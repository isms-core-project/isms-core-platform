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telligence Requirements" sheetId="2" state="visible" r:id="rId2"/>
    <sheet xmlns:r="http://schemas.openxmlformats.org/officeDocument/2006/relationships" name="Collection Sources" sheetId="3" state="visible" r:id="rId3"/>
    <sheet xmlns:r="http://schemas.openxmlformats.org/officeDocument/2006/relationships" name="Raw Intelligence Log" sheetId="4" state="visible" r:id="rId4"/>
    <sheet xmlns:r="http://schemas.openxmlformats.org/officeDocument/2006/relationships" name="Intelligence Production" sheetId="5" state="visible" r:id="rId5"/>
    <sheet xmlns:r="http://schemas.openxmlformats.org/officeDocument/2006/relationships" name="MITRE Mapping" sheetId="6" state="visible" r:id="rId6"/>
    <sheet xmlns:r="http://schemas.openxmlformats.org/officeDocument/2006/relationships" name="Quality Metrics" sheetId="7" state="visible" r:id="rId7"/>
    <sheet xmlns:r="http://schemas.openxmlformats.org/officeDocument/2006/relationships" name="Process Maturity" sheetId="8" state="visible" r:id="rId8"/>
    <sheet xmlns:r="http://schemas.openxmlformats.org/officeDocument/2006/relationships" name="Action Items" sheetId="9" state="visible" r:id="rId9"/>
    <sheet xmlns:r="http://schemas.openxmlformats.org/officeDocument/2006/relationships" name="Analysis Tools" sheetId="10" state="visible" r:id="rId10"/>
    <sheet xmlns:r="http://schemas.openxmlformats.org/officeDocument/2006/relationships" name="Threat Actor Profiles" sheetId="11" state="visible" r:id="rId11"/>
    <sheet xmlns:r="http://schemas.openxmlformats.org/officeDocument/2006/relationships" name="Campaign Tracking"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4">
    <numFmt numFmtId="164" formatCode="DD.MM.YYYY"/>
    <numFmt numFmtId="165" formatCode="HH:MM"/>
    <numFmt numFmtId="166" formatCode="0.0"/>
    <numFmt numFmtId="167"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0"/>
    </font>
    <font>
      <name val="Calibri"/>
      <i val="1"/>
      <color rgb="00666666"/>
      <sz val="9"/>
    </font>
    <font>
      <name val="Calibri"/>
      <b val="1"/>
      <color rgb="00FFFFFF"/>
      <sz val="10"/>
    </font>
    <font>
      <name val="Calibri"/>
      <b val="1"/>
      <color rgb="00FFFFFF"/>
      <sz val="12"/>
    </font>
    <font>
      <name val="Calibri"/>
      <b val="1"/>
      <color rgb="00000000"/>
      <sz val="10"/>
    </font>
    <font>
      <name val="Calibri"/>
      <color rgb="00000000"/>
    </font>
    <font>
      <name val="Calibri"/>
      <b val="1"/>
      <color rgb="0000000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0" fillId="4" borderId="1" pivotButton="0" quotePrefix="0" xfId="0"/>
    <xf numFmtId="164" fontId="0" fillId="3" borderId="1" pivotButton="0" quotePrefix="0" xfId="0"/>
    <xf numFmtId="0" fontId="6" fillId="11" borderId="0" pivotButton="0" quotePrefix="0" xfId="0"/>
    <xf numFmtId="0" fontId="4" fillId="0" borderId="0" pivotButton="0" quotePrefix="0" xfId="0"/>
    <xf numFmtId="4" fontId="0" fillId="3" borderId="1" pivotButton="0" quotePrefix="0" xfId="0"/>
    <xf numFmtId="164" fontId="0" fillId="12" borderId="1" pivotButton="0" quotePrefix="0" xfId="0"/>
    <xf numFmtId="165" fontId="0" fillId="12" borderId="1" pivotButton="0" quotePrefix="0" xfId="0"/>
    <xf numFmtId="0" fontId="0" fillId="12" borderId="1" pivotButton="0" quotePrefix="0" xfId="0"/>
    <xf numFmtId="1" fontId="0" fillId="12" borderId="1" pivotButton="0" quotePrefix="0" xfId="0"/>
    <xf numFmtId="9" fontId="0" fillId="12" borderId="1" pivotButton="0" quotePrefix="0" xfId="0"/>
    <xf numFmtId="166" fontId="0" fillId="12" borderId="1" pivotButton="0" quotePrefix="0" xfId="0"/>
    <xf numFmtId="166" fontId="4" fillId="0" borderId="0" pivotButton="0" quotePrefix="0" xfId="0"/>
    <xf numFmtId="9" fontId="4" fillId="0" borderId="0" pivotButton="0" quotePrefix="0" xfId="0"/>
    <xf numFmtId="164" fontId="0" fillId="10" borderId="1" pivotButton="0" quotePrefix="0" xfId="0"/>
    <xf numFmtId="0" fontId="0" fillId="9" borderId="1" pivotButton="0" quotePrefix="0" xfId="0"/>
    <xf numFmtId="0" fontId="4" fillId="12" borderId="1" pivotButton="0" quotePrefix="0" xfId="0"/>
    <xf numFmtId="0" fontId="6" fillId="11" borderId="1" pivotButton="0" quotePrefix="0" xfId="0"/>
    <xf numFmtId="0" fontId="7" fillId="0" borderId="0" pivotButton="0" quotePrefix="0" xfId="0"/>
    <xf numFmtId="0" fontId="8" fillId="10" borderId="1" pivotButton="0" quotePrefix="0" xfId="0"/>
    <xf numFmtId="166" fontId="0" fillId="9" borderId="1" pivotButton="0" quotePrefix="0" xfId="0"/>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9" fillId="8"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3"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0" borderId="0" applyAlignment="1" pivotButton="0" quotePrefix="0" xfId="0">
      <alignment horizontal="left" vertical="center"/>
    </xf>
    <xf numFmtId="0" fontId="10" fillId="2" borderId="1" applyAlignment="1" pivotButton="0" quotePrefix="0" xfId="0">
      <alignment horizontal="left" vertical="center"/>
    </xf>
    <xf numFmtId="0" fontId="9" fillId="14" borderId="1" applyAlignment="1" pivotButton="0" quotePrefix="0" xfId="0">
      <alignment horizontal="left" vertical="center"/>
    </xf>
    <xf numFmtId="0" fontId="11" fillId="4"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wrapText="1"/>
    </xf>
    <xf numFmtId="0" fontId="13" fillId="4" borderId="1" applyAlignment="1" pivotButton="0" quotePrefix="0" xfId="0">
      <alignment horizontal="left" vertical="center" wrapText="1"/>
    </xf>
    <xf numFmtId="0" fontId="12" fillId="4" borderId="1" applyAlignment="1" pivotButton="0" quotePrefix="0" xfId="0">
      <alignment horizontal="center" vertical="center" wrapText="1"/>
    </xf>
    <xf numFmtId="0" fontId="0" fillId="15" borderId="0" pivotButton="0" quotePrefix="0" xfId="0"/>
    <xf numFmtId="0" fontId="0" fillId="0" borderId="4" pivotButton="0" quotePrefix="0" xfId="0"/>
    <xf numFmtId="0" fontId="0" fillId="0" borderId="5" pivotButton="0" quotePrefix="0" xfId="0"/>
    <xf numFmtId="0" fontId="12" fillId="15" borderId="1" applyAlignment="1" pivotButton="0" quotePrefix="0" xfId="0">
      <alignment horizontal="left" vertical="center" wrapText="1"/>
    </xf>
    <xf numFmtId="0" fontId="12" fillId="15" borderId="1" applyAlignment="1" pivotButton="0" quotePrefix="0" xfId="0">
      <alignment horizontal="center" vertical="center"/>
    </xf>
    <xf numFmtId="0" fontId="10" fillId="16" borderId="1" applyAlignment="1" pivotButton="0" quotePrefix="0" xfId="0">
      <alignment horizontal="left" vertical="center"/>
    </xf>
    <xf numFmtId="0" fontId="13" fillId="3" borderId="1" applyAlignment="1" pivotButton="0" quotePrefix="0" xfId="0">
      <alignment horizontal="left" vertical="center" wrapText="1"/>
    </xf>
    <xf numFmtId="0" fontId="12" fillId="3" borderId="1" applyAlignment="1" pivotButton="0" quotePrefix="0" xfId="0">
      <alignment horizontal="center" vertical="center"/>
    </xf>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6" fillId="11" borderId="1" applyAlignment="1" pivotButton="0" quotePrefix="0" xfId="0">
      <alignment horizontal="left" vertical="center"/>
    </xf>
    <xf numFmtId="0" fontId="4" fillId="0" borderId="1" pivotButton="0" quotePrefix="0" xfId="0"/>
    <xf numFmtId="167" fontId="0" fillId="12" borderId="1" pivotButton="0" quotePrefix="0" xfId="0"/>
    <xf numFmtId="0" fontId="6" fillId="8" borderId="1" applyAlignment="1" pivotButton="0" quotePrefix="0" xfId="0">
      <alignment horizontal="left" vertical="center"/>
    </xf>
    <xf numFmtId="0" fontId="14" fillId="0" borderId="1" pivotButton="0" quotePrefix="0" xfId="0"/>
  </cellXfs>
  <cellStyles count="1">
    <cellStyle name="Normal" xfId="0" builtinId="0" hidden="0"/>
  </cellStyles>
  <dxfs count="5">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D9D9D9"/>
          <bgColor rgb="00D9D9D9"/>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ISMS-IMP-A.5.7.2  -  Intelligence Collection &amp; Analysis Assessment
ISO/IEC 27001:2022 - Control A.5.7: Threat Intelligence</t>
        </is>
      </c>
    </row>
    <row r="3">
      <c r="A3" s="2" t="inlineStr">
        <is>
          <t>Document Information</t>
        </is>
      </c>
    </row>
    <row r="4">
      <c r="A4" s="3" t="inlineStr">
        <is>
          <t>Document ID</t>
        </is>
      </c>
      <c r="B4" t="inlineStr">
        <is>
          <t>ISMS-IMP-A.5.7.2</t>
        </is>
      </c>
    </row>
    <row r="5">
      <c r="A5" s="3" t="inlineStr">
        <is>
          <t>Workbook Title</t>
        </is>
      </c>
      <c r="B5" t="inlineStr">
        <is>
          <t>Intelligence Collection &amp; Analysis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Define intelligence requirements (PIRs/SIRs) in the Intelligence Requirements sheet — align each requirement to a specific threat scenario, business process, or risk.</t>
        </is>
      </c>
    </row>
    <row r="14">
      <c r="A14" t="inlineStr">
        <is>
          <t>2. Map collection activities to each requirement in the Collection Plan sheet — identify responsible owners, collection methods, sources, and frequency.</t>
        </is>
      </c>
    </row>
    <row r="15">
      <c r="A15" t="inlineStr">
        <is>
          <t>3. Record processed intelligence findings in the Analysis Records sheet — document source, confidence level, threat actor attribution, and recommended defensive actions.</t>
        </is>
      </c>
    </row>
    <row r="16">
      <c r="A16" t="inlineStr">
        <is>
          <t>4. Document all intelligence sharing activities in the Sharing Records sheet — include recipient organisation, format, TLP classification, and date shared.</t>
        </is>
      </c>
    </row>
    <row r="17">
      <c r="A17" t="inlineStr">
        <is>
          <t>5. Apply TLP labels (TLP:RED, TLP:AMBER, TLP:GREEN, TLP:CLEAR) to all intelligence products before dissemination to internal or external recipients.</t>
        </is>
      </c>
    </row>
    <row r="18">
      <c r="A18" t="inlineStr">
        <is>
          <t>6. Ensure all shared intelligence includes provenance information, confidence ratings, and handling restrictions as required by your sharing agreements.</t>
        </is>
      </c>
    </row>
    <row r="19">
      <c r="A19" t="inlineStr">
        <is>
          <t>7. Maintain the Evidence Register with analysis reports, intelligence products, sharing agreements, and dissemination logs.</t>
        </is>
      </c>
    </row>
    <row r="20">
      <c r="A20" t="inlineStr">
        <is>
          <t>8. Obtain sign-off from the Threat Intelligence Manager, Information Security Officer, and Legal (for external sharing arrangements).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Intelligence requirements documentation (PIR / SIR register)</t>
        </is>
      </c>
    </row>
    <row r="31">
      <c r="A31" t="inlineStr">
        <is>
          <t>✓ Intelligence collection and analysis reports</t>
        </is>
      </c>
    </row>
    <row r="32">
      <c r="A32" t="inlineStr">
        <is>
          <t>✓ TLP-marked intelligence products disseminated internally or externally</t>
        </is>
      </c>
    </row>
    <row r="33">
      <c r="A33" t="inlineStr">
        <is>
          <t>✓ Sharing agreements with ISACs, sector partners, or government bodies</t>
        </is>
      </c>
    </row>
    <row r="34">
      <c r="A34" t="inlineStr">
        <is>
          <t>✓ Dissemination records and recipient acknowledgement logs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3"/>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40" customWidth="1" min="3" max="3"/>
    <col width="12" customWidth="1" min="4" max="4"/>
    <col width="18" customWidth="1" min="5" max="5"/>
    <col width="15" customWidth="1" min="6" max="6"/>
    <col width="20" customWidth="1" min="7" max="7"/>
    <col width="15" customWidth="1" min="8" max="8"/>
    <col width="15" customWidth="1" min="9" max="9"/>
    <col width="15" customWidth="1" min="10" max="10"/>
    <col width="18" customWidth="1" min="11" max="11"/>
    <col width="15" customWidth="1" min="12" max="12"/>
    <col width="18" customWidth="1" min="13" max="13"/>
    <col width="14" customWidth="1" min="14" max="14"/>
    <col width="14" customWidth="1" min="15" max="15"/>
    <col width="30" customWidth="1" min="16" max="16"/>
    <col width="25" customWidth="1" min="17" max="17"/>
    <col width="30" customWidth="1" min="18" max="18"/>
  </cols>
  <sheetData>
    <row r="1" ht="35" customHeight="1">
      <c r="A1" s="11" t="inlineStr">
        <is>
          <t>INTELLIGENCE REQUIREMENTS (PIR/SIR/IR)</t>
        </is>
      </c>
    </row>
    <row r="2">
      <c r="A2" s="12" t="inlineStr">
        <is>
          <t>Document all intelligence requirements (PIRs, SIRs, IRs). Map sources from A.5.7.1. Identify coverage gaps.</t>
        </is>
      </c>
    </row>
    <row r="4">
      <c r="A4" s="13" t="inlineStr">
        <is>
          <t>Requirement ID</t>
        </is>
      </c>
      <c r="B4" s="13" t="inlineStr">
        <is>
          <t>Intelligence Type</t>
        </is>
      </c>
      <c r="C4" s="13" t="inlineStr">
        <is>
          <t>Requirement Description</t>
        </is>
      </c>
      <c r="D4" s="13" t="inlineStr">
        <is>
          <t>Priority</t>
        </is>
      </c>
      <c r="E4" s="13" t="inlineStr">
        <is>
          <t>Target Sector</t>
        </is>
      </c>
      <c r="F4" s="13" t="inlineStr">
        <is>
          <t>Target Region</t>
        </is>
      </c>
      <c r="G4" s="13" t="inlineStr">
        <is>
          <t>Threat Category</t>
        </is>
      </c>
      <c r="H4" s="13" t="inlineStr">
        <is>
          <t>Collection Source 1</t>
        </is>
      </c>
      <c r="I4" s="13" t="inlineStr">
        <is>
          <t>Collection Source 2</t>
        </is>
      </c>
      <c r="J4" s="13" t="inlineStr">
        <is>
          <t>Collection Source 3</t>
        </is>
      </c>
      <c r="K4" s="13" t="inlineStr">
        <is>
          <t>Collection Method</t>
        </is>
      </c>
      <c r="L4" s="13" t="inlineStr">
        <is>
          <t>Coverage Status</t>
        </is>
      </c>
      <c r="M4" s="13" t="inlineStr">
        <is>
          <t>Collection Frequency</t>
        </is>
      </c>
      <c r="N4" s="13" t="inlineStr">
        <is>
          <t>Last Collected</t>
        </is>
      </c>
      <c r="O4" s="13" t="inlineStr">
        <is>
          <t>Gap Identified</t>
        </is>
      </c>
      <c r="P4" s="13" t="inlineStr">
        <is>
          <t>Gap Remediation</t>
        </is>
      </c>
      <c r="Q4" s="13" t="inlineStr">
        <is>
          <t>Responsible Analyst</t>
        </is>
      </c>
      <c r="R4" s="13" t="inlineStr">
        <is>
          <t>Notes</t>
        </is>
      </c>
    </row>
    <row r="5">
      <c r="A5" s="14" t="inlineStr">
        <is>
          <t>REQ-2025-EXX</t>
        </is>
      </c>
      <c r="B5" s="14" t="inlineStr">
        <is>
          <t>Strategic</t>
        </is>
      </c>
      <c r="C5" s="14" t="inlineStr">
        <is>
          <t>Track APT groups targeting EMEA financial sector</t>
        </is>
      </c>
      <c r="D5" s="14" t="inlineStr">
        <is>
          <t>Critical</t>
        </is>
      </c>
      <c r="E5" s="14" t="inlineStr">
        <is>
          <t>Finance</t>
        </is>
      </c>
      <c r="F5" s="14" t="inlineStr">
        <is>
          <t>EMEA</t>
        </is>
      </c>
      <c r="G5" s="14" t="inlineStr">
        <is>
          <t>APT/Ransomware</t>
        </is>
      </c>
      <c r="H5" s="14" t="inlineStr">
        <is>
          <t>MISP Community</t>
        </is>
      </c>
      <c r="I5" s="14" t="inlineStr">
        <is>
          <t>Commercial TI</t>
        </is>
      </c>
      <c r="J5" s="14" t="inlineStr">
        <is>
          <t>OSINT</t>
        </is>
      </c>
      <c r="K5" s="14" t="inlineStr">
        <is>
          <t>Automated API</t>
        </is>
      </c>
      <c r="L5" s="14" t="inlineStr">
        <is>
          <t>Adequate</t>
        </is>
      </c>
      <c r="M5" s="14" t="inlineStr">
        <is>
          <t>Weekly</t>
        </is>
      </c>
      <c r="N5" s="14" t="inlineStr">
        <is>
          <t>25.01.2026</t>
        </is>
      </c>
      <c r="O5" s="14" t="inlineStr">
        <is>
          <t>No</t>
        </is>
      </c>
      <c r="P5" s="14" t="n"/>
      <c r="Q5" s="14" t="inlineStr">
        <is>
          <t>J. Smith</t>
        </is>
      </c>
      <c r="R5" s="14" t="n"/>
    </row>
    <row r="6">
      <c r="A6" s="15">
        <f>IF(B6&lt;&gt;"","REQ-"&amp;TEXT(ROW()-5,"000"),"")</f>
        <v/>
      </c>
      <c r="B6" s="4" t="n"/>
      <c r="C6" s="4" t="n"/>
      <c r="D6" s="4" t="n"/>
      <c r="E6" s="4" t="n"/>
      <c r="F6" s="4" t="n"/>
      <c r="G6" s="4" t="n"/>
      <c r="H6" s="4" t="n"/>
      <c r="I6" s="4" t="n"/>
      <c r="J6" s="4" t="n"/>
      <c r="K6" s="4" t="n"/>
      <c r="L6" s="15">
        <f>IF(COUNTA(H6:J6)&gt;=2,"Adequate",IF(COUNTA(H6:J6)=1,"Minimal","Gap"))</f>
        <v/>
      </c>
      <c r="M6" s="4" t="n"/>
      <c r="N6" s="16" t="n"/>
      <c r="O6" s="15">
        <f>IF(L6="Gap","Yes","No")</f>
        <v/>
      </c>
      <c r="P6" s="4" t="n"/>
      <c r="Q6" s="4" t="n"/>
      <c r="R6" s="4" t="n"/>
    </row>
    <row r="7">
      <c r="A7" s="15">
        <f>IF(B7&lt;&gt;"","REQ-"&amp;TEXT(ROW()-5,"000"),"")</f>
        <v/>
      </c>
      <c r="B7" s="4" t="n"/>
      <c r="C7" s="4" t="n"/>
      <c r="D7" s="4" t="n"/>
      <c r="E7" s="4" t="n"/>
      <c r="F7" s="4" t="n"/>
      <c r="G7" s="4" t="n"/>
      <c r="H7" s="4" t="n"/>
      <c r="I7" s="4" t="n"/>
      <c r="J7" s="4" t="n"/>
      <c r="K7" s="4" t="n"/>
      <c r="L7" s="15">
        <f>IF(COUNTA(H7:J7)&gt;=2,"Adequate",IF(COUNTA(H7:J7)=1,"Minimal","Gap"))</f>
        <v/>
      </c>
      <c r="M7" s="4" t="n"/>
      <c r="N7" s="16" t="n"/>
      <c r="O7" s="15">
        <f>IF(L7="Gap","Yes","No")</f>
        <v/>
      </c>
      <c r="P7" s="4" t="n"/>
      <c r="Q7" s="4" t="n"/>
      <c r="R7" s="4" t="n"/>
    </row>
    <row r="8">
      <c r="A8" s="15">
        <f>IF(B8&lt;&gt;"","REQ-"&amp;TEXT(ROW()-5,"000"),"")</f>
        <v/>
      </c>
      <c r="B8" s="4" t="n"/>
      <c r="C8" s="4" t="n"/>
      <c r="D8" s="4" t="n"/>
      <c r="E8" s="4" t="n"/>
      <c r="F8" s="4" t="n"/>
      <c r="G8" s="4" t="n"/>
      <c r="H8" s="4" t="n"/>
      <c r="I8" s="4" t="n"/>
      <c r="J8" s="4" t="n"/>
      <c r="K8" s="4" t="n"/>
      <c r="L8" s="15">
        <f>IF(COUNTA(H8:J8)&gt;=2,"Adequate",IF(COUNTA(H8:J8)=1,"Minimal","Gap"))</f>
        <v/>
      </c>
      <c r="M8" s="4" t="n"/>
      <c r="N8" s="16" t="n"/>
      <c r="O8" s="15">
        <f>IF(L8="Gap","Yes","No")</f>
        <v/>
      </c>
      <c r="P8" s="4" t="n"/>
      <c r="Q8" s="4" t="n"/>
      <c r="R8" s="4" t="n"/>
    </row>
    <row r="9">
      <c r="A9" s="15">
        <f>IF(B9&lt;&gt;"","REQ-"&amp;TEXT(ROW()-5,"000"),"")</f>
        <v/>
      </c>
      <c r="B9" s="4" t="n"/>
      <c r="C9" s="4" t="n"/>
      <c r="D9" s="4" t="n"/>
      <c r="E9" s="4" t="n"/>
      <c r="F9" s="4" t="n"/>
      <c r="G9" s="4" t="n"/>
      <c r="H9" s="4" t="n"/>
      <c r="I9" s="4" t="n"/>
      <c r="J9" s="4" t="n"/>
      <c r="K9" s="4" t="n"/>
      <c r="L9" s="15">
        <f>IF(COUNTA(H9:J9)&gt;=2,"Adequate",IF(COUNTA(H9:J9)=1,"Minimal","Gap"))</f>
        <v/>
      </c>
      <c r="M9" s="4" t="n"/>
      <c r="N9" s="16" t="n"/>
      <c r="O9" s="15">
        <f>IF(L9="Gap","Yes","No")</f>
        <v/>
      </c>
      <c r="P9" s="4" t="n"/>
      <c r="Q9" s="4" t="n"/>
      <c r="R9" s="4" t="n"/>
    </row>
    <row r="10">
      <c r="A10" s="15">
        <f>IF(B10&lt;&gt;"","REQ-"&amp;TEXT(ROW()-5,"000"),"")</f>
        <v/>
      </c>
      <c r="B10" s="4" t="n"/>
      <c r="C10" s="4" t="n"/>
      <c r="D10" s="4" t="n"/>
      <c r="E10" s="4" t="n"/>
      <c r="F10" s="4" t="n"/>
      <c r="G10" s="4" t="n"/>
      <c r="H10" s="4" t="n"/>
      <c r="I10" s="4" t="n"/>
      <c r="J10" s="4" t="n"/>
      <c r="K10" s="4" t="n"/>
      <c r="L10" s="15">
        <f>IF(COUNTA(H10:J10)&gt;=2,"Adequate",IF(COUNTA(H10:J10)=1,"Minimal","Gap"))</f>
        <v/>
      </c>
      <c r="M10" s="4" t="n"/>
      <c r="N10" s="16" t="n"/>
      <c r="O10" s="15">
        <f>IF(L10="Gap","Yes","No")</f>
        <v/>
      </c>
      <c r="P10" s="4" t="n"/>
      <c r="Q10" s="4" t="n"/>
      <c r="R10" s="4" t="n"/>
    </row>
    <row r="11">
      <c r="A11" s="15">
        <f>IF(B11&lt;&gt;"","REQ-"&amp;TEXT(ROW()-5,"000"),"")</f>
        <v/>
      </c>
      <c r="B11" s="4" t="n"/>
      <c r="C11" s="4" t="n"/>
      <c r="D11" s="4" t="n"/>
      <c r="E11" s="4" t="n"/>
      <c r="F11" s="4" t="n"/>
      <c r="G11" s="4" t="n"/>
      <c r="H11" s="4" t="n"/>
      <c r="I11" s="4" t="n"/>
      <c r="J11" s="4" t="n"/>
      <c r="K11" s="4" t="n"/>
      <c r="L11" s="15">
        <f>IF(COUNTA(H11:J11)&gt;=2,"Adequate",IF(COUNTA(H11:J11)=1,"Minimal","Gap"))</f>
        <v/>
      </c>
      <c r="M11" s="4" t="n"/>
      <c r="N11" s="16" t="n"/>
      <c r="O11" s="15">
        <f>IF(L11="Gap","Yes","No")</f>
        <v/>
      </c>
      <c r="P11" s="4" t="n"/>
      <c r="Q11" s="4" t="n"/>
      <c r="R11" s="4" t="n"/>
    </row>
    <row r="12">
      <c r="A12" s="15">
        <f>IF(B12&lt;&gt;"","REQ-"&amp;TEXT(ROW()-5,"000"),"")</f>
        <v/>
      </c>
      <c r="B12" s="4" t="n"/>
      <c r="C12" s="4" t="n"/>
      <c r="D12" s="4" t="n"/>
      <c r="E12" s="4" t="n"/>
      <c r="F12" s="4" t="n"/>
      <c r="G12" s="4" t="n"/>
      <c r="H12" s="4" t="n"/>
      <c r="I12" s="4" t="n"/>
      <c r="J12" s="4" t="n"/>
      <c r="K12" s="4" t="n"/>
      <c r="L12" s="15">
        <f>IF(COUNTA(H12:J12)&gt;=2,"Adequate",IF(COUNTA(H12:J12)=1,"Minimal","Gap"))</f>
        <v/>
      </c>
      <c r="M12" s="4" t="n"/>
      <c r="N12" s="16" t="n"/>
      <c r="O12" s="15">
        <f>IF(L12="Gap","Yes","No")</f>
        <v/>
      </c>
      <c r="P12" s="4" t="n"/>
      <c r="Q12" s="4" t="n"/>
      <c r="R12" s="4" t="n"/>
    </row>
    <row r="13">
      <c r="A13" s="15">
        <f>IF(B13&lt;&gt;"","REQ-"&amp;TEXT(ROW()-5,"000"),"")</f>
        <v/>
      </c>
      <c r="B13" s="4" t="n"/>
      <c r="C13" s="4" t="n"/>
      <c r="D13" s="4" t="n"/>
      <c r="E13" s="4" t="n"/>
      <c r="F13" s="4" t="n"/>
      <c r="G13" s="4" t="n"/>
      <c r="H13" s="4" t="n"/>
      <c r="I13" s="4" t="n"/>
      <c r="J13" s="4" t="n"/>
      <c r="K13" s="4" t="n"/>
      <c r="L13" s="15">
        <f>IF(COUNTA(H13:J13)&gt;=2,"Adequate",IF(COUNTA(H13:J13)=1,"Minimal","Gap"))</f>
        <v/>
      </c>
      <c r="M13" s="4" t="n"/>
      <c r="N13" s="16" t="n"/>
      <c r="O13" s="15">
        <f>IF(L13="Gap","Yes","No")</f>
        <v/>
      </c>
      <c r="P13" s="4" t="n"/>
      <c r="Q13" s="4" t="n"/>
      <c r="R13" s="4" t="n"/>
    </row>
    <row r="14">
      <c r="A14" s="15">
        <f>IF(B14&lt;&gt;"","REQ-"&amp;TEXT(ROW()-5,"000"),"")</f>
        <v/>
      </c>
      <c r="B14" s="4" t="n"/>
      <c r="C14" s="4" t="n"/>
      <c r="D14" s="4" t="n"/>
      <c r="E14" s="4" t="n"/>
      <c r="F14" s="4" t="n"/>
      <c r="G14" s="4" t="n"/>
      <c r="H14" s="4" t="n"/>
      <c r="I14" s="4" t="n"/>
      <c r="J14" s="4" t="n"/>
      <c r="K14" s="4" t="n"/>
      <c r="L14" s="15">
        <f>IF(COUNTA(H14:J14)&gt;=2,"Adequate",IF(COUNTA(H14:J14)=1,"Minimal","Gap"))</f>
        <v/>
      </c>
      <c r="M14" s="4" t="n"/>
      <c r="N14" s="16" t="n"/>
      <c r="O14" s="15">
        <f>IF(L14="Gap","Yes","No")</f>
        <v/>
      </c>
      <c r="P14" s="4" t="n"/>
      <c r="Q14" s="4" t="n"/>
      <c r="R14" s="4" t="n"/>
    </row>
    <row r="15">
      <c r="A15" s="15">
        <f>IF(B15&lt;&gt;"","REQ-"&amp;TEXT(ROW()-5,"000"),"")</f>
        <v/>
      </c>
      <c r="B15" s="4" t="n"/>
      <c r="C15" s="4" t="n"/>
      <c r="D15" s="4" t="n"/>
      <c r="E15" s="4" t="n"/>
      <c r="F15" s="4" t="n"/>
      <c r="G15" s="4" t="n"/>
      <c r="H15" s="4" t="n"/>
      <c r="I15" s="4" t="n"/>
      <c r="J15" s="4" t="n"/>
      <c r="K15" s="4" t="n"/>
      <c r="L15" s="15">
        <f>IF(COUNTA(H15:J15)&gt;=2,"Adequate",IF(COUNTA(H15:J15)=1,"Minimal","Gap"))</f>
        <v/>
      </c>
      <c r="M15" s="4" t="n"/>
      <c r="N15" s="16" t="n"/>
      <c r="O15" s="15">
        <f>IF(L15="Gap","Yes","No")</f>
        <v/>
      </c>
      <c r="P15" s="4" t="n"/>
      <c r="Q15" s="4" t="n"/>
      <c r="R15" s="4" t="n"/>
    </row>
    <row r="16">
      <c r="A16" s="15">
        <f>IF(B16&lt;&gt;"","REQ-"&amp;TEXT(ROW()-5,"000"),"")</f>
        <v/>
      </c>
      <c r="B16" s="4" t="n"/>
      <c r="C16" s="4" t="n"/>
      <c r="D16" s="4" t="n"/>
      <c r="E16" s="4" t="n"/>
      <c r="F16" s="4" t="n"/>
      <c r="G16" s="4" t="n"/>
      <c r="H16" s="4" t="n"/>
      <c r="I16" s="4" t="n"/>
      <c r="J16" s="4" t="n"/>
      <c r="K16" s="4" t="n"/>
      <c r="L16" s="15">
        <f>IF(COUNTA(H16:J16)&gt;=2,"Adequate",IF(COUNTA(H16:J16)=1,"Minimal","Gap"))</f>
        <v/>
      </c>
      <c r="M16" s="4" t="n"/>
      <c r="N16" s="16" t="n"/>
      <c r="O16" s="15">
        <f>IF(L16="Gap","Yes","No")</f>
        <v/>
      </c>
      <c r="P16" s="4" t="n"/>
      <c r="Q16" s="4" t="n"/>
      <c r="R16" s="4" t="n"/>
    </row>
    <row r="17">
      <c r="A17" s="15">
        <f>IF(B17&lt;&gt;"","REQ-"&amp;TEXT(ROW()-5,"000"),"")</f>
        <v/>
      </c>
      <c r="B17" s="4" t="n"/>
      <c r="C17" s="4" t="n"/>
      <c r="D17" s="4" t="n"/>
      <c r="E17" s="4" t="n"/>
      <c r="F17" s="4" t="n"/>
      <c r="G17" s="4" t="n"/>
      <c r="H17" s="4" t="n"/>
      <c r="I17" s="4" t="n"/>
      <c r="J17" s="4" t="n"/>
      <c r="K17" s="4" t="n"/>
      <c r="L17" s="15">
        <f>IF(COUNTA(H17:J17)&gt;=2,"Adequate",IF(COUNTA(H17:J17)=1,"Minimal","Gap"))</f>
        <v/>
      </c>
      <c r="M17" s="4" t="n"/>
      <c r="N17" s="16" t="n"/>
      <c r="O17" s="15">
        <f>IF(L17="Gap","Yes","No")</f>
        <v/>
      </c>
      <c r="P17" s="4" t="n"/>
      <c r="Q17" s="4" t="n"/>
      <c r="R17" s="4" t="n"/>
    </row>
    <row r="18">
      <c r="A18" s="15">
        <f>IF(B18&lt;&gt;"","REQ-"&amp;TEXT(ROW()-5,"000"),"")</f>
        <v/>
      </c>
      <c r="B18" s="4" t="n"/>
      <c r="C18" s="4" t="n"/>
      <c r="D18" s="4" t="n"/>
      <c r="E18" s="4" t="n"/>
      <c r="F18" s="4" t="n"/>
      <c r="G18" s="4" t="n"/>
      <c r="H18" s="4" t="n"/>
      <c r="I18" s="4" t="n"/>
      <c r="J18" s="4" t="n"/>
      <c r="K18" s="4" t="n"/>
      <c r="L18" s="15">
        <f>IF(COUNTA(H18:J18)&gt;=2,"Adequate",IF(COUNTA(H18:J18)=1,"Minimal","Gap"))</f>
        <v/>
      </c>
      <c r="M18" s="4" t="n"/>
      <c r="N18" s="16" t="n"/>
      <c r="O18" s="15">
        <f>IF(L18="Gap","Yes","No")</f>
        <v/>
      </c>
      <c r="P18" s="4" t="n"/>
      <c r="Q18" s="4" t="n"/>
      <c r="R18" s="4" t="n"/>
    </row>
    <row r="19">
      <c r="A19" s="15">
        <f>IF(B19&lt;&gt;"","REQ-"&amp;TEXT(ROW()-5,"000"),"")</f>
        <v/>
      </c>
      <c r="B19" s="4" t="n"/>
      <c r="C19" s="4" t="n"/>
      <c r="D19" s="4" t="n"/>
      <c r="E19" s="4" t="n"/>
      <c r="F19" s="4" t="n"/>
      <c r="G19" s="4" t="n"/>
      <c r="H19" s="4" t="n"/>
      <c r="I19" s="4" t="n"/>
      <c r="J19" s="4" t="n"/>
      <c r="K19" s="4" t="n"/>
      <c r="L19" s="15">
        <f>IF(COUNTA(H19:J19)&gt;=2,"Adequate",IF(COUNTA(H19:J19)=1,"Minimal","Gap"))</f>
        <v/>
      </c>
      <c r="M19" s="4" t="n"/>
      <c r="N19" s="16" t="n"/>
      <c r="O19" s="15">
        <f>IF(L19="Gap","Yes","No")</f>
        <v/>
      </c>
      <c r="P19" s="4" t="n"/>
      <c r="Q19" s="4" t="n"/>
      <c r="R19" s="4" t="n"/>
    </row>
    <row r="20">
      <c r="A20" s="15">
        <f>IF(B20&lt;&gt;"","REQ-"&amp;TEXT(ROW()-5,"000"),"")</f>
        <v/>
      </c>
      <c r="B20" s="4" t="n"/>
      <c r="C20" s="4" t="n"/>
      <c r="D20" s="4" t="n"/>
      <c r="E20" s="4" t="n"/>
      <c r="F20" s="4" t="n"/>
      <c r="G20" s="4" t="n"/>
      <c r="H20" s="4" t="n"/>
      <c r="I20" s="4" t="n"/>
      <c r="J20" s="4" t="n"/>
      <c r="K20" s="4" t="n"/>
      <c r="L20" s="15">
        <f>IF(COUNTA(H20:J20)&gt;=2,"Adequate",IF(COUNTA(H20:J20)=1,"Minimal","Gap"))</f>
        <v/>
      </c>
      <c r="M20" s="4" t="n"/>
      <c r="N20" s="16" t="n"/>
      <c r="O20" s="15">
        <f>IF(L20="Gap","Yes","No")</f>
        <v/>
      </c>
      <c r="P20" s="4" t="n"/>
      <c r="Q20" s="4" t="n"/>
      <c r="R20" s="4" t="n"/>
    </row>
    <row r="21">
      <c r="A21" s="15">
        <f>IF(B21&lt;&gt;"","REQ-"&amp;TEXT(ROW()-5,"000"),"")</f>
        <v/>
      </c>
      <c r="B21" s="4" t="n"/>
      <c r="C21" s="4" t="n"/>
      <c r="D21" s="4" t="n"/>
      <c r="E21" s="4" t="n"/>
      <c r="F21" s="4" t="n"/>
      <c r="G21" s="4" t="n"/>
      <c r="H21" s="4" t="n"/>
      <c r="I21" s="4" t="n"/>
      <c r="J21" s="4" t="n"/>
      <c r="K21" s="4" t="n"/>
      <c r="L21" s="15">
        <f>IF(COUNTA(H21:J21)&gt;=2,"Adequate",IF(COUNTA(H21:J21)=1,"Minimal","Gap"))</f>
        <v/>
      </c>
      <c r="M21" s="4" t="n"/>
      <c r="N21" s="16" t="n"/>
      <c r="O21" s="15">
        <f>IF(L21="Gap","Yes","No")</f>
        <v/>
      </c>
      <c r="P21" s="4" t="n"/>
      <c r="Q21" s="4" t="n"/>
      <c r="R21" s="4" t="n"/>
    </row>
    <row r="22">
      <c r="A22" s="15">
        <f>IF(B22&lt;&gt;"","REQ-"&amp;TEXT(ROW()-5,"000"),"")</f>
        <v/>
      </c>
      <c r="B22" s="4" t="n"/>
      <c r="C22" s="4" t="n"/>
      <c r="D22" s="4" t="n"/>
      <c r="E22" s="4" t="n"/>
      <c r="F22" s="4" t="n"/>
      <c r="G22" s="4" t="n"/>
      <c r="H22" s="4" t="n"/>
      <c r="I22" s="4" t="n"/>
      <c r="J22" s="4" t="n"/>
      <c r="K22" s="4" t="n"/>
      <c r="L22" s="15">
        <f>IF(COUNTA(H22:J22)&gt;=2,"Adequate",IF(COUNTA(H22:J22)=1,"Minimal","Gap"))</f>
        <v/>
      </c>
      <c r="M22" s="4" t="n"/>
      <c r="N22" s="16" t="n"/>
      <c r="O22" s="15">
        <f>IF(L22="Gap","Yes","No")</f>
        <v/>
      </c>
      <c r="P22" s="4" t="n"/>
      <c r="Q22" s="4" t="n"/>
      <c r="R22" s="4" t="n"/>
    </row>
    <row r="23">
      <c r="A23" s="15">
        <f>IF(B23&lt;&gt;"","REQ-"&amp;TEXT(ROW()-5,"000"),"")</f>
        <v/>
      </c>
      <c r="B23" s="4" t="n"/>
      <c r="C23" s="4" t="n"/>
      <c r="D23" s="4" t="n"/>
      <c r="E23" s="4" t="n"/>
      <c r="F23" s="4" t="n"/>
      <c r="G23" s="4" t="n"/>
      <c r="H23" s="4" t="n"/>
      <c r="I23" s="4" t="n"/>
      <c r="J23" s="4" t="n"/>
      <c r="K23" s="4" t="n"/>
      <c r="L23" s="15">
        <f>IF(COUNTA(H23:J23)&gt;=2,"Adequate",IF(COUNTA(H23:J23)=1,"Minimal","Gap"))</f>
        <v/>
      </c>
      <c r="M23" s="4" t="n"/>
      <c r="N23" s="16" t="n"/>
      <c r="O23" s="15">
        <f>IF(L23="Gap","Yes","No")</f>
        <v/>
      </c>
      <c r="P23" s="4" t="n"/>
      <c r="Q23" s="4" t="n"/>
      <c r="R23" s="4" t="n"/>
    </row>
    <row r="24">
      <c r="A24" s="15">
        <f>IF(B24&lt;&gt;"","REQ-"&amp;TEXT(ROW()-5,"000"),"")</f>
        <v/>
      </c>
      <c r="B24" s="4" t="n"/>
      <c r="C24" s="4" t="n"/>
      <c r="D24" s="4" t="n"/>
      <c r="E24" s="4" t="n"/>
      <c r="F24" s="4" t="n"/>
      <c r="G24" s="4" t="n"/>
      <c r="H24" s="4" t="n"/>
      <c r="I24" s="4" t="n"/>
      <c r="J24" s="4" t="n"/>
      <c r="K24" s="4" t="n"/>
      <c r="L24" s="15">
        <f>IF(COUNTA(H24:J24)&gt;=2,"Adequate",IF(COUNTA(H24:J24)=1,"Minimal","Gap"))</f>
        <v/>
      </c>
      <c r="M24" s="4" t="n"/>
      <c r="N24" s="16" t="n"/>
      <c r="O24" s="15">
        <f>IF(L24="Gap","Yes","No")</f>
        <v/>
      </c>
      <c r="P24" s="4" t="n"/>
      <c r="Q24" s="4" t="n"/>
      <c r="R24" s="4" t="n"/>
    </row>
    <row r="25">
      <c r="A25" s="15">
        <f>IF(B25&lt;&gt;"","REQ-"&amp;TEXT(ROW()-5,"000"),"")</f>
        <v/>
      </c>
      <c r="B25" s="4" t="n"/>
      <c r="C25" s="4" t="n"/>
      <c r="D25" s="4" t="n"/>
      <c r="E25" s="4" t="n"/>
      <c r="F25" s="4" t="n"/>
      <c r="G25" s="4" t="n"/>
      <c r="H25" s="4" t="n"/>
      <c r="I25" s="4" t="n"/>
      <c r="J25" s="4" t="n"/>
      <c r="K25" s="4" t="n"/>
      <c r="L25" s="15">
        <f>IF(COUNTA(H25:J25)&gt;=2,"Adequate",IF(COUNTA(H25:J25)=1,"Minimal","Gap"))</f>
        <v/>
      </c>
      <c r="M25" s="4" t="n"/>
      <c r="N25" s="16" t="n"/>
      <c r="O25" s="15">
        <f>IF(L25="Gap","Yes","No")</f>
        <v/>
      </c>
      <c r="P25" s="4" t="n"/>
      <c r="Q25" s="4" t="n"/>
      <c r="R25" s="4" t="n"/>
    </row>
    <row r="26">
      <c r="A26" s="15">
        <f>IF(B26&lt;&gt;"","REQ-"&amp;TEXT(ROW()-5,"000"),"")</f>
        <v/>
      </c>
      <c r="B26" s="4" t="n"/>
      <c r="C26" s="4" t="n"/>
      <c r="D26" s="4" t="n"/>
      <c r="E26" s="4" t="n"/>
      <c r="F26" s="4" t="n"/>
      <c r="G26" s="4" t="n"/>
      <c r="H26" s="4" t="n"/>
      <c r="I26" s="4" t="n"/>
      <c r="J26" s="4" t="n"/>
      <c r="K26" s="4" t="n"/>
      <c r="L26" s="15">
        <f>IF(COUNTA(H26:J26)&gt;=2,"Adequate",IF(COUNTA(H26:J26)=1,"Minimal","Gap"))</f>
        <v/>
      </c>
      <c r="M26" s="4" t="n"/>
      <c r="N26" s="16" t="n"/>
      <c r="O26" s="15">
        <f>IF(L26="Gap","Yes","No")</f>
        <v/>
      </c>
      <c r="P26" s="4" t="n"/>
      <c r="Q26" s="4" t="n"/>
      <c r="R26" s="4" t="n"/>
    </row>
    <row r="27">
      <c r="A27" s="15">
        <f>IF(B27&lt;&gt;"","REQ-"&amp;TEXT(ROW()-5,"000"),"")</f>
        <v/>
      </c>
      <c r="B27" s="4" t="n"/>
      <c r="C27" s="4" t="n"/>
      <c r="D27" s="4" t="n"/>
      <c r="E27" s="4" t="n"/>
      <c r="F27" s="4" t="n"/>
      <c r="G27" s="4" t="n"/>
      <c r="H27" s="4" t="n"/>
      <c r="I27" s="4" t="n"/>
      <c r="J27" s="4" t="n"/>
      <c r="K27" s="4" t="n"/>
      <c r="L27" s="15">
        <f>IF(COUNTA(H27:J27)&gt;=2,"Adequate",IF(COUNTA(H27:J27)=1,"Minimal","Gap"))</f>
        <v/>
      </c>
      <c r="M27" s="4" t="n"/>
      <c r="N27" s="16" t="n"/>
      <c r="O27" s="15">
        <f>IF(L27="Gap","Yes","No")</f>
        <v/>
      </c>
      <c r="P27" s="4" t="n"/>
      <c r="Q27" s="4" t="n"/>
      <c r="R27" s="4" t="n"/>
    </row>
    <row r="28">
      <c r="A28" s="15">
        <f>IF(B28&lt;&gt;"","REQ-"&amp;TEXT(ROW()-5,"000"),"")</f>
        <v/>
      </c>
      <c r="B28" s="4" t="n"/>
      <c r="C28" s="4" t="n"/>
      <c r="D28" s="4" t="n"/>
      <c r="E28" s="4" t="n"/>
      <c r="F28" s="4" t="n"/>
      <c r="G28" s="4" t="n"/>
      <c r="H28" s="4" t="n"/>
      <c r="I28" s="4" t="n"/>
      <c r="J28" s="4" t="n"/>
      <c r="K28" s="4" t="n"/>
      <c r="L28" s="15">
        <f>IF(COUNTA(H28:J28)&gt;=2,"Adequate",IF(COUNTA(H28:J28)=1,"Minimal","Gap"))</f>
        <v/>
      </c>
      <c r="M28" s="4" t="n"/>
      <c r="N28" s="16" t="n"/>
      <c r="O28" s="15">
        <f>IF(L28="Gap","Yes","No")</f>
        <v/>
      </c>
      <c r="P28" s="4" t="n"/>
      <c r="Q28" s="4" t="n"/>
      <c r="R28" s="4" t="n"/>
    </row>
    <row r="29">
      <c r="A29" s="15">
        <f>IF(B29&lt;&gt;"","REQ-"&amp;TEXT(ROW()-5,"000"),"")</f>
        <v/>
      </c>
      <c r="B29" s="4" t="n"/>
      <c r="C29" s="4" t="n"/>
      <c r="D29" s="4" t="n"/>
      <c r="E29" s="4" t="n"/>
      <c r="F29" s="4" t="n"/>
      <c r="G29" s="4" t="n"/>
      <c r="H29" s="4" t="n"/>
      <c r="I29" s="4" t="n"/>
      <c r="J29" s="4" t="n"/>
      <c r="K29" s="4" t="n"/>
      <c r="L29" s="15">
        <f>IF(COUNTA(H29:J29)&gt;=2,"Adequate",IF(COUNTA(H29:J29)=1,"Minimal","Gap"))</f>
        <v/>
      </c>
      <c r="M29" s="4" t="n"/>
      <c r="N29" s="16" t="n"/>
      <c r="O29" s="15">
        <f>IF(L29="Gap","Yes","No")</f>
        <v/>
      </c>
      <c r="P29" s="4" t="n"/>
      <c r="Q29" s="4" t="n"/>
      <c r="R29" s="4" t="n"/>
    </row>
    <row r="30">
      <c r="A30" s="15">
        <f>IF(B30&lt;&gt;"","REQ-"&amp;TEXT(ROW()-5,"000"),"")</f>
        <v/>
      </c>
      <c r="B30" s="4" t="n"/>
      <c r="C30" s="4" t="n"/>
      <c r="D30" s="4" t="n"/>
      <c r="E30" s="4" t="n"/>
      <c r="F30" s="4" t="n"/>
      <c r="G30" s="4" t="n"/>
      <c r="H30" s="4" t="n"/>
      <c r="I30" s="4" t="n"/>
      <c r="J30" s="4" t="n"/>
      <c r="K30" s="4" t="n"/>
      <c r="L30" s="15">
        <f>IF(COUNTA(H30:J30)&gt;=2,"Adequate",IF(COUNTA(H30:J30)=1,"Minimal","Gap"))</f>
        <v/>
      </c>
      <c r="M30" s="4" t="n"/>
      <c r="N30" s="16" t="n"/>
      <c r="O30" s="15">
        <f>IF(L30="Gap","Yes","No")</f>
        <v/>
      </c>
      <c r="P30" s="4" t="n"/>
      <c r="Q30" s="4" t="n"/>
      <c r="R30" s="4" t="n"/>
    </row>
    <row r="31">
      <c r="A31" s="15">
        <f>IF(B31&lt;&gt;"","REQ-"&amp;TEXT(ROW()-5,"000"),"")</f>
        <v/>
      </c>
      <c r="B31" s="4" t="n"/>
      <c r="C31" s="4" t="n"/>
      <c r="D31" s="4" t="n"/>
      <c r="E31" s="4" t="n"/>
      <c r="F31" s="4" t="n"/>
      <c r="G31" s="4" t="n"/>
      <c r="H31" s="4" t="n"/>
      <c r="I31" s="4" t="n"/>
      <c r="J31" s="4" t="n"/>
      <c r="K31" s="4" t="n"/>
      <c r="L31" s="15">
        <f>IF(COUNTA(H31:J31)&gt;=2,"Adequate",IF(COUNTA(H31:J31)=1,"Minimal","Gap"))</f>
        <v/>
      </c>
      <c r="M31" s="4" t="n"/>
      <c r="N31" s="16" t="n"/>
      <c r="O31" s="15">
        <f>IF(L31="Gap","Yes","No")</f>
        <v/>
      </c>
      <c r="P31" s="4" t="n"/>
      <c r="Q31" s="4" t="n"/>
      <c r="R31" s="4" t="n"/>
    </row>
    <row r="32">
      <c r="A32" s="15">
        <f>IF(B32&lt;&gt;"","REQ-"&amp;TEXT(ROW()-5,"000"),"")</f>
        <v/>
      </c>
      <c r="B32" s="4" t="n"/>
      <c r="C32" s="4" t="n"/>
      <c r="D32" s="4" t="n"/>
      <c r="E32" s="4" t="n"/>
      <c r="F32" s="4" t="n"/>
      <c r="G32" s="4" t="n"/>
      <c r="H32" s="4" t="n"/>
      <c r="I32" s="4" t="n"/>
      <c r="J32" s="4" t="n"/>
      <c r="K32" s="4" t="n"/>
      <c r="L32" s="15">
        <f>IF(COUNTA(H32:J32)&gt;=2,"Adequate",IF(COUNTA(H32:J32)=1,"Minimal","Gap"))</f>
        <v/>
      </c>
      <c r="M32" s="4" t="n"/>
      <c r="N32" s="16" t="n"/>
      <c r="O32" s="15">
        <f>IF(L32="Gap","Yes","No")</f>
        <v/>
      </c>
      <c r="P32" s="4" t="n"/>
      <c r="Q32" s="4" t="n"/>
      <c r="R32" s="4" t="n"/>
    </row>
    <row r="33">
      <c r="A33" s="15">
        <f>IF(B33&lt;&gt;"","REQ-"&amp;TEXT(ROW()-5,"000"),"")</f>
        <v/>
      </c>
      <c r="B33" s="4" t="n"/>
      <c r="C33" s="4" t="n"/>
      <c r="D33" s="4" t="n"/>
      <c r="E33" s="4" t="n"/>
      <c r="F33" s="4" t="n"/>
      <c r="G33" s="4" t="n"/>
      <c r="H33" s="4" t="n"/>
      <c r="I33" s="4" t="n"/>
      <c r="J33" s="4" t="n"/>
      <c r="K33" s="4" t="n"/>
      <c r="L33" s="15">
        <f>IF(COUNTA(H33:J33)&gt;=2,"Adequate",IF(COUNTA(H33:J33)=1,"Minimal","Gap"))</f>
        <v/>
      </c>
      <c r="M33" s="4" t="n"/>
      <c r="N33" s="16" t="n"/>
      <c r="O33" s="15">
        <f>IF(L33="Gap","Yes","No")</f>
        <v/>
      </c>
      <c r="P33" s="4" t="n"/>
      <c r="Q33" s="4" t="n"/>
      <c r="R33" s="4" t="n"/>
    </row>
    <row r="34">
      <c r="A34" s="15">
        <f>IF(B34&lt;&gt;"","REQ-"&amp;TEXT(ROW()-5,"000"),"")</f>
        <v/>
      </c>
      <c r="B34" s="4" t="n"/>
      <c r="C34" s="4" t="n"/>
      <c r="D34" s="4" t="n"/>
      <c r="E34" s="4" t="n"/>
      <c r="F34" s="4" t="n"/>
      <c r="G34" s="4" t="n"/>
      <c r="H34" s="4" t="n"/>
      <c r="I34" s="4" t="n"/>
      <c r="J34" s="4" t="n"/>
      <c r="K34" s="4" t="n"/>
      <c r="L34" s="15">
        <f>IF(COUNTA(H34:J34)&gt;=2,"Adequate",IF(COUNTA(H34:J34)=1,"Minimal","Gap"))</f>
        <v/>
      </c>
      <c r="M34" s="4" t="n"/>
      <c r="N34" s="16" t="n"/>
      <c r="O34" s="15">
        <f>IF(L34="Gap","Yes","No")</f>
        <v/>
      </c>
      <c r="P34" s="4" t="n"/>
      <c r="Q34" s="4" t="n"/>
      <c r="R34" s="4" t="n"/>
    </row>
    <row r="35">
      <c r="A35" s="15">
        <f>IF(B35&lt;&gt;"","REQ-"&amp;TEXT(ROW()-5,"000"),"")</f>
        <v/>
      </c>
      <c r="B35" s="4" t="n"/>
      <c r="C35" s="4" t="n"/>
      <c r="D35" s="4" t="n"/>
      <c r="E35" s="4" t="n"/>
      <c r="F35" s="4" t="n"/>
      <c r="G35" s="4" t="n"/>
      <c r="H35" s="4" t="n"/>
      <c r="I35" s="4" t="n"/>
      <c r="J35" s="4" t="n"/>
      <c r="K35" s="4" t="n"/>
      <c r="L35" s="15">
        <f>IF(COUNTA(H35:J35)&gt;=2,"Adequate",IF(COUNTA(H35:J35)=1,"Minimal","Gap"))</f>
        <v/>
      </c>
      <c r="M35" s="4" t="n"/>
      <c r="N35" s="16" t="n"/>
      <c r="O35" s="15">
        <f>IF(L35="Gap","Yes","No")</f>
        <v/>
      </c>
      <c r="P35" s="4" t="n"/>
      <c r="Q35" s="4" t="n"/>
      <c r="R35" s="4" t="n"/>
    </row>
    <row r="36">
      <c r="A36" s="15">
        <f>IF(B36&lt;&gt;"","REQ-"&amp;TEXT(ROW()-5,"000"),"")</f>
        <v/>
      </c>
      <c r="B36" s="4" t="n"/>
      <c r="C36" s="4" t="n"/>
      <c r="D36" s="4" t="n"/>
      <c r="E36" s="4" t="n"/>
      <c r="F36" s="4" t="n"/>
      <c r="G36" s="4" t="n"/>
      <c r="H36" s="4" t="n"/>
      <c r="I36" s="4" t="n"/>
      <c r="J36" s="4" t="n"/>
      <c r="K36" s="4" t="n"/>
      <c r="L36" s="15">
        <f>IF(COUNTA(H36:J36)&gt;=2,"Adequate",IF(COUNTA(H36:J36)=1,"Minimal","Gap"))</f>
        <v/>
      </c>
      <c r="M36" s="4" t="n"/>
      <c r="N36" s="16" t="n"/>
      <c r="O36" s="15">
        <f>IF(L36="Gap","Yes","No")</f>
        <v/>
      </c>
      <c r="P36" s="4" t="n"/>
      <c r="Q36" s="4" t="n"/>
      <c r="R36" s="4" t="n"/>
    </row>
    <row r="37">
      <c r="A37" s="15">
        <f>IF(B37&lt;&gt;"","REQ-"&amp;TEXT(ROW()-5,"000"),"")</f>
        <v/>
      </c>
      <c r="B37" s="4" t="n"/>
      <c r="C37" s="4" t="n"/>
      <c r="D37" s="4" t="n"/>
      <c r="E37" s="4" t="n"/>
      <c r="F37" s="4" t="n"/>
      <c r="G37" s="4" t="n"/>
      <c r="H37" s="4" t="n"/>
      <c r="I37" s="4" t="n"/>
      <c r="J37" s="4" t="n"/>
      <c r="K37" s="4" t="n"/>
      <c r="L37" s="15">
        <f>IF(COUNTA(H37:J37)&gt;=2,"Adequate",IF(COUNTA(H37:J37)=1,"Minimal","Gap"))</f>
        <v/>
      </c>
      <c r="M37" s="4" t="n"/>
      <c r="N37" s="16" t="n"/>
      <c r="O37" s="15">
        <f>IF(L37="Gap","Yes","No")</f>
        <v/>
      </c>
      <c r="P37" s="4" t="n"/>
      <c r="Q37" s="4" t="n"/>
      <c r="R37" s="4" t="n"/>
    </row>
    <row r="38">
      <c r="A38" s="15">
        <f>IF(B38&lt;&gt;"","REQ-"&amp;TEXT(ROW()-5,"000"),"")</f>
        <v/>
      </c>
      <c r="B38" s="4" t="n"/>
      <c r="C38" s="4" t="n"/>
      <c r="D38" s="4" t="n"/>
      <c r="E38" s="4" t="n"/>
      <c r="F38" s="4" t="n"/>
      <c r="G38" s="4" t="n"/>
      <c r="H38" s="4" t="n"/>
      <c r="I38" s="4" t="n"/>
      <c r="J38" s="4" t="n"/>
      <c r="K38" s="4" t="n"/>
      <c r="L38" s="15">
        <f>IF(COUNTA(H38:J38)&gt;=2,"Adequate",IF(COUNTA(H38:J38)=1,"Minimal","Gap"))</f>
        <v/>
      </c>
      <c r="M38" s="4" t="n"/>
      <c r="N38" s="16" t="n"/>
      <c r="O38" s="15">
        <f>IF(L38="Gap","Yes","No")</f>
        <v/>
      </c>
      <c r="P38" s="4" t="n"/>
      <c r="Q38" s="4" t="n"/>
      <c r="R38" s="4" t="n"/>
    </row>
    <row r="39">
      <c r="A39" s="15">
        <f>IF(B39&lt;&gt;"","REQ-"&amp;TEXT(ROW()-5,"000"),"")</f>
        <v/>
      </c>
      <c r="B39" s="4" t="n"/>
      <c r="C39" s="4" t="n"/>
      <c r="D39" s="4" t="n"/>
      <c r="E39" s="4" t="n"/>
      <c r="F39" s="4" t="n"/>
      <c r="G39" s="4" t="n"/>
      <c r="H39" s="4" t="n"/>
      <c r="I39" s="4" t="n"/>
      <c r="J39" s="4" t="n"/>
      <c r="K39" s="4" t="n"/>
      <c r="L39" s="15">
        <f>IF(COUNTA(H39:J39)&gt;=2,"Adequate",IF(COUNTA(H39:J39)=1,"Minimal","Gap"))</f>
        <v/>
      </c>
      <c r="M39" s="4" t="n"/>
      <c r="N39" s="16" t="n"/>
      <c r="O39" s="15">
        <f>IF(L39="Gap","Yes","No")</f>
        <v/>
      </c>
      <c r="P39" s="4" t="n"/>
      <c r="Q39" s="4" t="n"/>
      <c r="R39" s="4" t="n"/>
    </row>
    <row r="40">
      <c r="A40" s="15">
        <f>IF(B40&lt;&gt;"","REQ-"&amp;TEXT(ROW()-5,"000"),"")</f>
        <v/>
      </c>
      <c r="B40" s="4" t="n"/>
      <c r="C40" s="4" t="n"/>
      <c r="D40" s="4" t="n"/>
      <c r="E40" s="4" t="n"/>
      <c r="F40" s="4" t="n"/>
      <c r="G40" s="4" t="n"/>
      <c r="H40" s="4" t="n"/>
      <c r="I40" s="4" t="n"/>
      <c r="J40" s="4" t="n"/>
      <c r="K40" s="4" t="n"/>
      <c r="L40" s="15">
        <f>IF(COUNTA(H40:J40)&gt;=2,"Adequate",IF(COUNTA(H40:J40)=1,"Minimal","Gap"))</f>
        <v/>
      </c>
      <c r="M40" s="4" t="n"/>
      <c r="N40" s="16" t="n"/>
      <c r="O40" s="15">
        <f>IF(L40="Gap","Yes","No")</f>
        <v/>
      </c>
      <c r="P40" s="4" t="n"/>
      <c r="Q40" s="4" t="n"/>
      <c r="R40" s="4" t="n"/>
    </row>
    <row r="41">
      <c r="A41" s="15">
        <f>IF(B41&lt;&gt;"","REQ-"&amp;TEXT(ROW()-5,"000"),"")</f>
        <v/>
      </c>
      <c r="B41" s="4" t="n"/>
      <c r="C41" s="4" t="n"/>
      <c r="D41" s="4" t="n"/>
      <c r="E41" s="4" t="n"/>
      <c r="F41" s="4" t="n"/>
      <c r="G41" s="4" t="n"/>
      <c r="H41" s="4" t="n"/>
      <c r="I41" s="4" t="n"/>
      <c r="J41" s="4" t="n"/>
      <c r="K41" s="4" t="n"/>
      <c r="L41" s="15">
        <f>IF(COUNTA(H41:J41)&gt;=2,"Adequate",IF(COUNTA(H41:J41)=1,"Minimal","Gap"))</f>
        <v/>
      </c>
      <c r="M41" s="4" t="n"/>
      <c r="N41" s="16" t="n"/>
      <c r="O41" s="15">
        <f>IF(L41="Gap","Yes","No")</f>
        <v/>
      </c>
      <c r="P41" s="4" t="n"/>
      <c r="Q41" s="4" t="n"/>
      <c r="R41" s="4" t="n"/>
    </row>
    <row r="42">
      <c r="A42" s="15">
        <f>IF(B42&lt;&gt;"","REQ-"&amp;TEXT(ROW()-5,"000"),"")</f>
        <v/>
      </c>
      <c r="B42" s="4" t="n"/>
      <c r="C42" s="4" t="n"/>
      <c r="D42" s="4" t="n"/>
      <c r="E42" s="4" t="n"/>
      <c r="F42" s="4" t="n"/>
      <c r="G42" s="4" t="n"/>
      <c r="H42" s="4" t="n"/>
      <c r="I42" s="4" t="n"/>
      <c r="J42" s="4" t="n"/>
      <c r="K42" s="4" t="n"/>
      <c r="L42" s="15">
        <f>IF(COUNTA(H42:J42)&gt;=2,"Adequate",IF(COUNTA(H42:J42)=1,"Minimal","Gap"))</f>
        <v/>
      </c>
      <c r="M42" s="4" t="n"/>
      <c r="N42" s="16" t="n"/>
      <c r="O42" s="15">
        <f>IF(L42="Gap","Yes","No")</f>
        <v/>
      </c>
      <c r="P42" s="4" t="n"/>
      <c r="Q42" s="4" t="n"/>
      <c r="R42" s="4" t="n"/>
    </row>
    <row r="43">
      <c r="A43" s="15">
        <f>IF(B43&lt;&gt;"","REQ-"&amp;TEXT(ROW()-5,"000"),"")</f>
        <v/>
      </c>
      <c r="B43" s="4" t="n"/>
      <c r="C43" s="4" t="n"/>
      <c r="D43" s="4" t="n"/>
      <c r="E43" s="4" t="n"/>
      <c r="F43" s="4" t="n"/>
      <c r="G43" s="4" t="n"/>
      <c r="H43" s="4" t="n"/>
      <c r="I43" s="4" t="n"/>
      <c r="J43" s="4" t="n"/>
      <c r="K43" s="4" t="n"/>
      <c r="L43" s="15">
        <f>IF(COUNTA(H43:J43)&gt;=2,"Adequate",IF(COUNTA(H43:J43)=1,"Minimal","Gap"))</f>
        <v/>
      </c>
      <c r="M43" s="4" t="n"/>
      <c r="N43" s="16" t="n"/>
      <c r="O43" s="15">
        <f>IF(L43="Gap","Yes","No")</f>
        <v/>
      </c>
      <c r="P43" s="4" t="n"/>
      <c r="Q43" s="4" t="n"/>
      <c r="R43" s="4" t="n"/>
    </row>
    <row r="44">
      <c r="A44" s="15">
        <f>IF(B44&lt;&gt;"","REQ-"&amp;TEXT(ROW()-5,"000"),"")</f>
        <v/>
      </c>
      <c r="B44" s="4" t="n"/>
      <c r="C44" s="4" t="n"/>
      <c r="D44" s="4" t="n"/>
      <c r="E44" s="4" t="n"/>
      <c r="F44" s="4" t="n"/>
      <c r="G44" s="4" t="n"/>
      <c r="H44" s="4" t="n"/>
      <c r="I44" s="4" t="n"/>
      <c r="J44" s="4" t="n"/>
      <c r="K44" s="4" t="n"/>
      <c r="L44" s="15">
        <f>IF(COUNTA(H44:J44)&gt;=2,"Adequate",IF(COUNTA(H44:J44)=1,"Minimal","Gap"))</f>
        <v/>
      </c>
      <c r="M44" s="4" t="n"/>
      <c r="N44" s="16" t="n"/>
      <c r="O44" s="15">
        <f>IF(L44="Gap","Yes","No")</f>
        <v/>
      </c>
      <c r="P44" s="4" t="n"/>
      <c r="Q44" s="4" t="n"/>
      <c r="R44" s="4" t="n"/>
    </row>
    <row r="45">
      <c r="A45" s="15">
        <f>IF(B45&lt;&gt;"","REQ-"&amp;TEXT(ROW()-5,"000"),"")</f>
        <v/>
      </c>
      <c r="B45" s="4" t="n"/>
      <c r="C45" s="4" t="n"/>
      <c r="D45" s="4" t="n"/>
      <c r="E45" s="4" t="n"/>
      <c r="F45" s="4" t="n"/>
      <c r="G45" s="4" t="n"/>
      <c r="H45" s="4" t="n"/>
      <c r="I45" s="4" t="n"/>
      <c r="J45" s="4" t="n"/>
      <c r="K45" s="4" t="n"/>
      <c r="L45" s="15">
        <f>IF(COUNTA(H45:J45)&gt;=2,"Adequate",IF(COUNTA(H45:J45)=1,"Minimal","Gap"))</f>
        <v/>
      </c>
      <c r="M45" s="4" t="n"/>
      <c r="N45" s="16" t="n"/>
      <c r="O45" s="15">
        <f>IF(L45="Gap","Yes","No")</f>
        <v/>
      </c>
      <c r="P45" s="4" t="n"/>
      <c r="Q45" s="4" t="n"/>
      <c r="R45" s="4" t="n"/>
    </row>
    <row r="46">
      <c r="A46" s="15">
        <f>IF(B46&lt;&gt;"","REQ-"&amp;TEXT(ROW()-5,"000"),"")</f>
        <v/>
      </c>
      <c r="B46" s="4" t="n"/>
      <c r="C46" s="4" t="n"/>
      <c r="D46" s="4" t="n"/>
      <c r="E46" s="4" t="n"/>
      <c r="F46" s="4" t="n"/>
      <c r="G46" s="4" t="n"/>
      <c r="H46" s="4" t="n"/>
      <c r="I46" s="4" t="n"/>
      <c r="J46" s="4" t="n"/>
      <c r="K46" s="4" t="n"/>
      <c r="L46" s="15">
        <f>IF(COUNTA(H46:J46)&gt;=2,"Adequate",IF(COUNTA(H46:J46)=1,"Minimal","Gap"))</f>
        <v/>
      </c>
      <c r="M46" s="4" t="n"/>
      <c r="N46" s="16" t="n"/>
      <c r="O46" s="15">
        <f>IF(L46="Gap","Yes","No")</f>
        <v/>
      </c>
      <c r="P46" s="4" t="n"/>
      <c r="Q46" s="4" t="n"/>
      <c r="R46" s="4" t="n"/>
    </row>
    <row r="47">
      <c r="A47" s="15">
        <f>IF(B47&lt;&gt;"","REQ-"&amp;TEXT(ROW()-5,"000"),"")</f>
        <v/>
      </c>
      <c r="B47" s="4" t="n"/>
      <c r="C47" s="4" t="n"/>
      <c r="D47" s="4" t="n"/>
      <c r="E47" s="4" t="n"/>
      <c r="F47" s="4" t="n"/>
      <c r="G47" s="4" t="n"/>
      <c r="H47" s="4" t="n"/>
      <c r="I47" s="4" t="n"/>
      <c r="J47" s="4" t="n"/>
      <c r="K47" s="4" t="n"/>
      <c r="L47" s="15">
        <f>IF(COUNTA(H47:J47)&gt;=2,"Adequate",IF(COUNTA(H47:J47)=1,"Minimal","Gap"))</f>
        <v/>
      </c>
      <c r="M47" s="4" t="n"/>
      <c r="N47" s="16" t="n"/>
      <c r="O47" s="15">
        <f>IF(L47="Gap","Yes","No")</f>
        <v/>
      </c>
      <c r="P47" s="4" t="n"/>
      <c r="Q47" s="4" t="n"/>
      <c r="R47" s="4" t="n"/>
    </row>
    <row r="48">
      <c r="A48" s="15">
        <f>IF(B48&lt;&gt;"","REQ-"&amp;TEXT(ROW()-5,"000"),"")</f>
        <v/>
      </c>
      <c r="B48" s="4" t="n"/>
      <c r="C48" s="4" t="n"/>
      <c r="D48" s="4" t="n"/>
      <c r="E48" s="4" t="n"/>
      <c r="F48" s="4" t="n"/>
      <c r="G48" s="4" t="n"/>
      <c r="H48" s="4" t="n"/>
      <c r="I48" s="4" t="n"/>
      <c r="J48" s="4" t="n"/>
      <c r="K48" s="4" t="n"/>
      <c r="L48" s="15">
        <f>IF(COUNTA(H48:J48)&gt;=2,"Adequate",IF(COUNTA(H48:J48)=1,"Minimal","Gap"))</f>
        <v/>
      </c>
      <c r="M48" s="4" t="n"/>
      <c r="N48" s="16" t="n"/>
      <c r="O48" s="15">
        <f>IF(L48="Gap","Yes","No")</f>
        <v/>
      </c>
      <c r="P48" s="4" t="n"/>
      <c r="Q48" s="4" t="n"/>
      <c r="R48" s="4" t="n"/>
    </row>
    <row r="49">
      <c r="A49" s="15">
        <f>IF(B49&lt;&gt;"","REQ-"&amp;TEXT(ROW()-5,"000"),"")</f>
        <v/>
      </c>
      <c r="B49" s="4" t="n"/>
      <c r="C49" s="4" t="n"/>
      <c r="D49" s="4" t="n"/>
      <c r="E49" s="4" t="n"/>
      <c r="F49" s="4" t="n"/>
      <c r="G49" s="4" t="n"/>
      <c r="H49" s="4" t="n"/>
      <c r="I49" s="4" t="n"/>
      <c r="J49" s="4" t="n"/>
      <c r="K49" s="4" t="n"/>
      <c r="L49" s="15">
        <f>IF(COUNTA(H49:J49)&gt;=2,"Adequate",IF(COUNTA(H49:J49)=1,"Minimal","Gap"))</f>
        <v/>
      </c>
      <c r="M49" s="4" t="n"/>
      <c r="N49" s="16" t="n"/>
      <c r="O49" s="15">
        <f>IF(L49="Gap","Yes","No")</f>
        <v/>
      </c>
      <c r="P49" s="4" t="n"/>
      <c r="Q49" s="4" t="n"/>
      <c r="R49" s="4" t="n"/>
    </row>
    <row r="50">
      <c r="A50" s="15">
        <f>IF(B50&lt;&gt;"","REQ-"&amp;TEXT(ROW()-5,"000"),"")</f>
        <v/>
      </c>
      <c r="B50" s="4" t="n"/>
      <c r="C50" s="4" t="n"/>
      <c r="D50" s="4" t="n"/>
      <c r="E50" s="4" t="n"/>
      <c r="F50" s="4" t="n"/>
      <c r="G50" s="4" t="n"/>
      <c r="H50" s="4" t="n"/>
      <c r="I50" s="4" t="n"/>
      <c r="J50" s="4" t="n"/>
      <c r="K50" s="4" t="n"/>
      <c r="L50" s="15">
        <f>IF(COUNTA(H50:J50)&gt;=2,"Adequate",IF(COUNTA(H50:J50)=1,"Minimal","Gap"))</f>
        <v/>
      </c>
      <c r="M50" s="4" t="n"/>
      <c r="N50" s="16" t="n"/>
      <c r="O50" s="15">
        <f>IF(L50="Gap","Yes","No")</f>
        <v/>
      </c>
      <c r="P50" s="4" t="n"/>
      <c r="Q50" s="4" t="n"/>
      <c r="R50" s="4" t="n"/>
    </row>
    <row r="51">
      <c r="A51" s="15">
        <f>IF(B51&lt;&gt;"","REQ-"&amp;TEXT(ROW()-5,"000"),"")</f>
        <v/>
      </c>
      <c r="B51" s="4" t="n"/>
      <c r="C51" s="4" t="n"/>
      <c r="D51" s="4" t="n"/>
      <c r="E51" s="4" t="n"/>
      <c r="F51" s="4" t="n"/>
      <c r="G51" s="4" t="n"/>
      <c r="H51" s="4" t="n"/>
      <c r="I51" s="4" t="n"/>
      <c r="J51" s="4" t="n"/>
      <c r="K51" s="4" t="n"/>
      <c r="L51" s="15">
        <f>IF(COUNTA(H51:J51)&gt;=2,"Adequate",IF(COUNTA(H51:J51)=1,"Minimal","Gap"))</f>
        <v/>
      </c>
      <c r="M51" s="4" t="n"/>
      <c r="N51" s="16" t="n"/>
      <c r="O51" s="15">
        <f>IF(L51="Gap","Yes","No")</f>
        <v/>
      </c>
      <c r="P51" s="4" t="n"/>
      <c r="Q51" s="4" t="n"/>
      <c r="R51" s="4" t="n"/>
    </row>
    <row r="52">
      <c r="A52" s="15">
        <f>IF(B52&lt;&gt;"","REQ-"&amp;TEXT(ROW()-5,"000"),"")</f>
        <v/>
      </c>
      <c r="B52" s="4" t="n"/>
      <c r="C52" s="4" t="n"/>
      <c r="D52" s="4" t="n"/>
      <c r="E52" s="4" t="n"/>
      <c r="F52" s="4" t="n"/>
      <c r="G52" s="4" t="n"/>
      <c r="H52" s="4" t="n"/>
      <c r="I52" s="4" t="n"/>
      <c r="J52" s="4" t="n"/>
      <c r="K52" s="4" t="n"/>
      <c r="L52" s="15">
        <f>IF(COUNTA(H52:J52)&gt;=2,"Adequate",IF(COUNTA(H52:J52)=1,"Minimal","Gap"))</f>
        <v/>
      </c>
      <c r="M52" s="4" t="n"/>
      <c r="N52" s="16" t="n"/>
      <c r="O52" s="15">
        <f>IF(L52="Gap","Yes","No")</f>
        <v/>
      </c>
      <c r="P52" s="4" t="n"/>
      <c r="Q52" s="4" t="n"/>
      <c r="R52" s="4" t="n"/>
    </row>
    <row r="53">
      <c r="A53" s="15">
        <f>IF(B53&lt;&gt;"","REQ-"&amp;TEXT(ROW()-5,"000"),"")</f>
        <v/>
      </c>
      <c r="B53" s="4" t="n"/>
      <c r="C53" s="4" t="n"/>
      <c r="D53" s="4" t="n"/>
      <c r="E53" s="4" t="n"/>
      <c r="F53" s="4" t="n"/>
      <c r="G53" s="4" t="n"/>
      <c r="H53" s="4" t="n"/>
      <c r="I53" s="4" t="n"/>
      <c r="J53" s="4" t="n"/>
      <c r="K53" s="4" t="n"/>
      <c r="L53" s="15">
        <f>IF(COUNTA(H53:J53)&gt;=2,"Adequate",IF(COUNTA(H53:J53)=1,"Minimal","Gap"))</f>
        <v/>
      </c>
      <c r="M53" s="4" t="n"/>
      <c r="N53" s="16" t="n"/>
      <c r="O53" s="15">
        <f>IF(L53="Gap","Yes","No")</f>
        <v/>
      </c>
      <c r="P53" s="4" t="n"/>
      <c r="Q53" s="4" t="n"/>
      <c r="R53" s="4" t="n"/>
    </row>
    <row r="54">
      <c r="A54" s="15">
        <f>IF(B54&lt;&gt;"","REQ-"&amp;TEXT(ROW()-5,"000"),"")</f>
        <v/>
      </c>
      <c r="B54" s="4" t="n"/>
      <c r="C54" s="4" t="n"/>
      <c r="D54" s="4" t="n"/>
      <c r="E54" s="4" t="n"/>
      <c r="F54" s="4" t="n"/>
      <c r="G54" s="4" t="n"/>
      <c r="H54" s="4" t="n"/>
      <c r="I54" s="4" t="n"/>
      <c r="J54" s="4" t="n"/>
      <c r="K54" s="4" t="n"/>
      <c r="L54" s="15">
        <f>IF(COUNTA(H54:J54)&gt;=2,"Adequate",IF(COUNTA(H54:J54)=1,"Minimal","Gap"))</f>
        <v/>
      </c>
      <c r="M54" s="4" t="n"/>
      <c r="N54" s="16" t="n"/>
      <c r="O54" s="15">
        <f>IF(L54="Gap","Yes","No")</f>
        <v/>
      </c>
      <c r="P54" s="4" t="n"/>
      <c r="Q54" s="4" t="n"/>
      <c r="R54" s="4" t="n"/>
    </row>
    <row r="55">
      <c r="A55" s="15">
        <f>IF(B55&lt;&gt;"","REQ-"&amp;TEXT(ROW()-5,"000"),"")</f>
        <v/>
      </c>
      <c r="B55" s="4" t="n"/>
      <c r="C55" s="4" t="n"/>
      <c r="D55" s="4" t="n"/>
      <c r="E55" s="4" t="n"/>
      <c r="F55" s="4" t="n"/>
      <c r="G55" s="4" t="n"/>
      <c r="H55" s="4" t="n"/>
      <c r="I55" s="4" t="n"/>
      <c r="J55" s="4" t="n"/>
      <c r="K55" s="4" t="n"/>
      <c r="L55" s="15">
        <f>IF(COUNTA(H55:J55)&gt;=2,"Adequate",IF(COUNTA(H55:J55)=1,"Minimal","Gap"))</f>
        <v/>
      </c>
      <c r="M55" s="4" t="n"/>
      <c r="N55" s="16" t="n"/>
      <c r="O55" s="15">
        <f>IF(L55="Gap","Yes","No")</f>
        <v/>
      </c>
      <c r="P55" s="4" t="n"/>
      <c r="Q55" s="4" t="n"/>
      <c r="R55" s="4" t="n"/>
    </row>
    <row r="57">
      <c r="A57" s="17" t="inlineStr">
        <is>
          <t>COLLECTION COVERAGE SUMMARY</t>
        </is>
      </c>
    </row>
    <row r="58">
      <c r="A58" s="18" t="inlineStr">
        <is>
          <t>Total Requirements:</t>
        </is>
      </c>
      <c r="B58" s="18">
        <f>COUNTA(C6:C55)</f>
        <v/>
      </c>
    </row>
    <row r="59">
      <c r="A59" s="18" t="inlineStr">
        <is>
          <t>Critical Priority:</t>
        </is>
      </c>
      <c r="B59" s="18">
        <f>COUNTIF(D6:D55,"Critical")</f>
        <v/>
      </c>
    </row>
    <row r="60">
      <c r="A60" s="18" t="inlineStr">
        <is>
          <t>High Priority:</t>
        </is>
      </c>
      <c r="B60" s="18">
        <f>COUNTIF(D6:D55,"High")</f>
        <v/>
      </c>
    </row>
    <row r="61">
      <c r="A61" s="18" t="inlineStr">
        <is>
          <t>Coverage Gaps:</t>
        </is>
      </c>
      <c r="B61" s="18">
        <f>COUNTIF(L6:L55,"Gap")</f>
        <v/>
      </c>
    </row>
    <row r="62">
      <c r="A62" s="18" t="inlineStr">
        <is>
          <t>Minimal Coverage:</t>
        </is>
      </c>
      <c r="B62" s="18">
        <f>COUNTIF(L6:L55,"Minimal")</f>
        <v/>
      </c>
    </row>
    <row r="63">
      <c r="A63" s="18" t="inlineStr">
        <is>
          <t>Adequate Coverage:</t>
        </is>
      </c>
      <c r="B63" s="18">
        <f>COUNTIF(L6:L55,"Adequate")</f>
        <v/>
      </c>
    </row>
  </sheetData>
  <mergeCells count="3">
    <mergeCell ref="A2:R2"/>
    <mergeCell ref="A57:D57"/>
    <mergeCell ref="A1:R1"/>
  </mergeCells>
  <conditionalFormatting sqref="L6:L55">
    <cfRule type="cellIs" priority="1" operator="equal" dxfId="0">
      <formula>"Gap"</formula>
    </cfRule>
    <cfRule type="cellIs" priority="2" operator="equal" dxfId="1">
      <formula>"Minimal"</formula>
    </cfRule>
    <cfRule type="cellIs" priority="3" operator="equal" dxfId="2">
      <formula>"Adequate"</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20" customWidth="1" min="6" max="6"/>
    <col width="20" customWidth="1" min="7" max="7"/>
    <col width="30" customWidth="1" min="8" max="8"/>
    <col width="18" customWidth="1" min="9" max="9"/>
    <col width="20" customWidth="1" min="10" max="10"/>
    <col width="14" customWidth="1" min="11" max="11"/>
    <col width="14" customWidth="1" min="12" max="12"/>
    <col width="25" customWidth="1" min="13" max="13"/>
    <col width="18" customWidth="1" min="14" max="14"/>
    <col width="14" customWidth="1" min="15" max="15"/>
    <col width="35" customWidth="1" min="16" max="16"/>
  </cols>
  <sheetData>
    <row r="1" ht="35" customHeight="1">
      <c r="A1" s="11" t="inlineStr">
        <is>
          <t>COLLECTION SOURCES</t>
        </is>
      </c>
    </row>
    <row r="2">
      <c r="A2" s="12" t="inlineStr">
        <is>
          <t>Document collection workflows for each source from A.5.7.1. Map data formats, update frequency, and integration status.</t>
        </is>
      </c>
    </row>
    <row r="4">
      <c r="A4" s="13" t="inlineStr">
        <is>
          <t>Source ID</t>
        </is>
      </c>
      <c r="B4" s="13" t="inlineStr">
        <is>
          <t>Source Name</t>
        </is>
      </c>
      <c r="C4" s="13" t="inlineStr">
        <is>
          <t>Source Type</t>
        </is>
      </c>
      <c r="D4" s="13" t="inlineStr">
        <is>
          <t>Data Format</t>
        </is>
      </c>
      <c r="E4" s="13" t="inlineStr">
        <is>
          <t>Update Frequency</t>
        </is>
      </c>
      <c r="F4" s="13" t="inlineStr">
        <is>
          <t>Coverage Geographic</t>
        </is>
      </c>
      <c r="G4" s="13" t="inlineStr">
        <is>
          <t>Coverage Sector</t>
        </is>
      </c>
      <c r="H4" s="13" t="inlineStr">
        <is>
          <t>Coverage Threat Types</t>
        </is>
      </c>
      <c r="I4" s="13" t="inlineStr">
        <is>
          <t>Integration Status</t>
        </is>
      </c>
      <c r="J4" s="13" t="inlineStr">
        <is>
          <t>Integration Platform</t>
        </is>
      </c>
      <c r="K4" s="13" t="inlineStr">
        <is>
          <t>Cost Annual</t>
        </is>
      </c>
      <c r="L4" s="13" t="inlineStr">
        <is>
          <t>Contract Expiry</t>
        </is>
      </c>
      <c r="M4" s="13" t="inlineStr">
        <is>
          <t>Primary Contact</t>
        </is>
      </c>
      <c r="N4" s="13" t="inlineStr">
        <is>
          <t>Data Quality Rating</t>
        </is>
      </c>
      <c r="O4" s="13" t="inlineStr">
        <is>
          <t>Last Review Date</t>
        </is>
      </c>
      <c r="P4" s="13" t="inlineStr">
        <is>
          <t>Notes</t>
        </is>
      </c>
    </row>
    <row r="5">
      <c r="A5" s="14" t="inlineStr">
        <is>
          <t>SRC-001</t>
        </is>
      </c>
      <c r="B5" s="14" t="inlineStr">
        <is>
          <t>MISP Community</t>
        </is>
      </c>
      <c r="C5" s="14" t="inlineStr">
        <is>
          <t>OSINT</t>
        </is>
      </c>
      <c r="D5" s="14" t="inlineStr">
        <is>
          <t>STIX/TAXII</t>
        </is>
      </c>
      <c r="E5" s="14" t="inlineStr">
        <is>
          <t>Daily</t>
        </is>
      </c>
      <c r="F5" s="14" t="inlineStr">
        <is>
          <t>Global</t>
        </is>
      </c>
      <c r="G5" s="14" t="inlineStr">
        <is>
          <t>Finance/Tech</t>
        </is>
      </c>
      <c r="H5" s="14" t="inlineStr">
        <is>
          <t>APT/Ransomware</t>
        </is>
      </c>
      <c r="I5" s="14" t="inlineStr">
        <is>
          <t>Fully_Implemented</t>
        </is>
      </c>
      <c r="J5" s="14" t="inlineStr">
        <is>
          <t>REST API</t>
        </is>
      </c>
      <c r="K5" s="14" t="n"/>
      <c r="L5" s="14" t="n"/>
      <c r="M5" s="14" t="inlineStr">
        <is>
          <t>J. Smith</t>
        </is>
      </c>
      <c r="N5" s="14" t="inlineStr">
        <is>
          <t>Good</t>
        </is>
      </c>
      <c r="O5" s="14" t="inlineStr">
        <is>
          <t>25.01.2026</t>
        </is>
      </c>
      <c r="P5" s="14" t="n"/>
    </row>
    <row r="6">
      <c r="A6" s="15" t="n"/>
      <c r="B6" s="4" t="n"/>
      <c r="C6" s="4" t="n"/>
      <c r="D6" s="4" t="n"/>
      <c r="E6" s="4" t="n"/>
      <c r="F6" s="4" t="n"/>
      <c r="G6" s="4" t="n"/>
      <c r="H6" s="4" t="n"/>
      <c r="I6" s="4" t="n"/>
      <c r="J6" s="4" t="n"/>
      <c r="K6" s="19" t="n"/>
      <c r="L6" s="16" t="n"/>
      <c r="M6" s="4" t="n"/>
      <c r="N6" s="4" t="n"/>
      <c r="O6" s="16" t="n"/>
      <c r="P6" s="4" t="n"/>
    </row>
    <row r="7">
      <c r="A7" s="15" t="n"/>
      <c r="B7" s="4" t="n"/>
      <c r="C7" s="4" t="n"/>
      <c r="D7" s="4" t="n"/>
      <c r="E7" s="4" t="n"/>
      <c r="F7" s="4" t="n"/>
      <c r="G7" s="4" t="n"/>
      <c r="H7" s="4" t="n"/>
      <c r="I7" s="4" t="n"/>
      <c r="J7" s="4" t="n"/>
      <c r="K7" s="19" t="n"/>
      <c r="L7" s="16" t="n"/>
      <c r="M7" s="4" t="n"/>
      <c r="N7" s="4" t="n"/>
      <c r="O7" s="16" t="n"/>
      <c r="P7" s="4" t="n"/>
    </row>
    <row r="8">
      <c r="A8" s="15" t="n"/>
      <c r="B8" s="4" t="n"/>
      <c r="C8" s="4" t="n"/>
      <c r="D8" s="4" t="n"/>
      <c r="E8" s="4" t="n"/>
      <c r="F8" s="4" t="n"/>
      <c r="G8" s="4" t="n"/>
      <c r="H8" s="4" t="n"/>
      <c r="I8" s="4" t="n"/>
      <c r="J8" s="4" t="n"/>
      <c r="K8" s="19" t="n"/>
      <c r="L8" s="16" t="n"/>
      <c r="M8" s="4" t="n"/>
      <c r="N8" s="4" t="n"/>
      <c r="O8" s="16" t="n"/>
      <c r="P8" s="4" t="n"/>
    </row>
    <row r="9">
      <c r="A9" s="15" t="n"/>
      <c r="B9" s="4" t="n"/>
      <c r="C9" s="4" t="n"/>
      <c r="D9" s="4" t="n"/>
      <c r="E9" s="4" t="n"/>
      <c r="F9" s="4" t="n"/>
      <c r="G9" s="4" t="n"/>
      <c r="H9" s="4" t="n"/>
      <c r="I9" s="4" t="n"/>
      <c r="J9" s="4" t="n"/>
      <c r="K9" s="19" t="n"/>
      <c r="L9" s="16" t="n"/>
      <c r="M9" s="4" t="n"/>
      <c r="N9" s="4" t="n"/>
      <c r="O9" s="16" t="n"/>
      <c r="P9" s="4" t="n"/>
    </row>
    <row r="10">
      <c r="A10" s="15" t="n"/>
      <c r="B10" s="4" t="n"/>
      <c r="C10" s="4" t="n"/>
      <c r="D10" s="4" t="n"/>
      <c r="E10" s="4" t="n"/>
      <c r="F10" s="4" t="n"/>
      <c r="G10" s="4" t="n"/>
      <c r="H10" s="4" t="n"/>
      <c r="I10" s="4" t="n"/>
      <c r="J10" s="4" t="n"/>
      <c r="K10" s="19" t="n"/>
      <c r="L10" s="16" t="n"/>
      <c r="M10" s="4" t="n"/>
      <c r="N10" s="4" t="n"/>
      <c r="O10" s="16" t="n"/>
      <c r="P10" s="4" t="n"/>
    </row>
    <row r="11">
      <c r="A11" s="15" t="n"/>
      <c r="B11" s="4" t="n"/>
      <c r="C11" s="4" t="n"/>
      <c r="D11" s="4" t="n"/>
      <c r="E11" s="4" t="n"/>
      <c r="F11" s="4" t="n"/>
      <c r="G11" s="4" t="n"/>
      <c r="H11" s="4" t="n"/>
      <c r="I11" s="4" t="n"/>
      <c r="J11" s="4" t="n"/>
      <c r="K11" s="19" t="n"/>
      <c r="L11" s="16" t="n"/>
      <c r="M11" s="4" t="n"/>
      <c r="N11" s="4" t="n"/>
      <c r="O11" s="16" t="n"/>
      <c r="P11" s="4" t="n"/>
    </row>
    <row r="12">
      <c r="A12" s="15" t="n"/>
      <c r="B12" s="4" t="n"/>
      <c r="C12" s="4" t="n"/>
      <c r="D12" s="4" t="n"/>
      <c r="E12" s="4" t="n"/>
      <c r="F12" s="4" t="n"/>
      <c r="G12" s="4" t="n"/>
      <c r="H12" s="4" t="n"/>
      <c r="I12" s="4" t="n"/>
      <c r="J12" s="4" t="n"/>
      <c r="K12" s="19" t="n"/>
      <c r="L12" s="16" t="n"/>
      <c r="M12" s="4" t="n"/>
      <c r="N12" s="4" t="n"/>
      <c r="O12" s="16" t="n"/>
      <c r="P12" s="4" t="n"/>
    </row>
    <row r="13">
      <c r="A13" s="15" t="n"/>
      <c r="B13" s="4" t="n"/>
      <c r="C13" s="4" t="n"/>
      <c r="D13" s="4" t="n"/>
      <c r="E13" s="4" t="n"/>
      <c r="F13" s="4" t="n"/>
      <c r="G13" s="4" t="n"/>
      <c r="H13" s="4" t="n"/>
      <c r="I13" s="4" t="n"/>
      <c r="J13" s="4" t="n"/>
      <c r="K13" s="19" t="n"/>
      <c r="L13" s="16" t="n"/>
      <c r="M13" s="4" t="n"/>
      <c r="N13" s="4" t="n"/>
      <c r="O13" s="16" t="n"/>
      <c r="P13" s="4" t="n"/>
    </row>
    <row r="14">
      <c r="A14" s="15" t="n"/>
      <c r="B14" s="4" t="n"/>
      <c r="C14" s="4" t="n"/>
      <c r="D14" s="4" t="n"/>
      <c r="E14" s="4" t="n"/>
      <c r="F14" s="4" t="n"/>
      <c r="G14" s="4" t="n"/>
      <c r="H14" s="4" t="n"/>
      <c r="I14" s="4" t="n"/>
      <c r="J14" s="4" t="n"/>
      <c r="K14" s="19" t="n"/>
      <c r="L14" s="16" t="n"/>
      <c r="M14" s="4" t="n"/>
      <c r="N14" s="4" t="n"/>
      <c r="O14" s="16" t="n"/>
      <c r="P14" s="4" t="n"/>
    </row>
    <row r="15">
      <c r="A15" s="15" t="n"/>
      <c r="B15" s="4" t="n"/>
      <c r="C15" s="4" t="n"/>
      <c r="D15" s="4" t="n"/>
      <c r="E15" s="4" t="n"/>
      <c r="F15" s="4" t="n"/>
      <c r="G15" s="4" t="n"/>
      <c r="H15" s="4" t="n"/>
      <c r="I15" s="4" t="n"/>
      <c r="J15" s="4" t="n"/>
      <c r="K15" s="19" t="n"/>
      <c r="L15" s="16" t="n"/>
      <c r="M15" s="4" t="n"/>
      <c r="N15" s="4" t="n"/>
      <c r="O15" s="16" t="n"/>
      <c r="P15" s="4" t="n"/>
    </row>
    <row r="16">
      <c r="A16" s="15" t="n"/>
      <c r="B16" s="4" t="n"/>
      <c r="C16" s="4" t="n"/>
      <c r="D16" s="4" t="n"/>
      <c r="E16" s="4" t="n"/>
      <c r="F16" s="4" t="n"/>
      <c r="G16" s="4" t="n"/>
      <c r="H16" s="4" t="n"/>
      <c r="I16" s="4" t="n"/>
      <c r="J16" s="4" t="n"/>
      <c r="K16" s="19" t="n"/>
      <c r="L16" s="16" t="n"/>
      <c r="M16" s="4" t="n"/>
      <c r="N16" s="4" t="n"/>
      <c r="O16" s="16" t="n"/>
      <c r="P16" s="4" t="n"/>
    </row>
    <row r="17">
      <c r="A17" s="15" t="n"/>
      <c r="B17" s="4" t="n"/>
      <c r="C17" s="4" t="n"/>
      <c r="D17" s="4" t="n"/>
      <c r="E17" s="4" t="n"/>
      <c r="F17" s="4" t="n"/>
      <c r="G17" s="4" t="n"/>
      <c r="H17" s="4" t="n"/>
      <c r="I17" s="4" t="n"/>
      <c r="J17" s="4" t="n"/>
      <c r="K17" s="19" t="n"/>
      <c r="L17" s="16" t="n"/>
      <c r="M17" s="4" t="n"/>
      <c r="N17" s="4" t="n"/>
      <c r="O17" s="16" t="n"/>
      <c r="P17" s="4" t="n"/>
    </row>
    <row r="18">
      <c r="A18" s="15" t="n"/>
      <c r="B18" s="4" t="n"/>
      <c r="C18" s="4" t="n"/>
      <c r="D18" s="4" t="n"/>
      <c r="E18" s="4" t="n"/>
      <c r="F18" s="4" t="n"/>
      <c r="G18" s="4" t="n"/>
      <c r="H18" s="4" t="n"/>
      <c r="I18" s="4" t="n"/>
      <c r="J18" s="4" t="n"/>
      <c r="K18" s="19" t="n"/>
      <c r="L18" s="16" t="n"/>
      <c r="M18" s="4" t="n"/>
      <c r="N18" s="4" t="n"/>
      <c r="O18" s="16" t="n"/>
      <c r="P18" s="4" t="n"/>
    </row>
    <row r="19">
      <c r="A19" s="15" t="n"/>
      <c r="B19" s="4" t="n"/>
      <c r="C19" s="4" t="n"/>
      <c r="D19" s="4" t="n"/>
      <c r="E19" s="4" t="n"/>
      <c r="F19" s="4" t="n"/>
      <c r="G19" s="4" t="n"/>
      <c r="H19" s="4" t="n"/>
      <c r="I19" s="4" t="n"/>
      <c r="J19" s="4" t="n"/>
      <c r="K19" s="19" t="n"/>
      <c r="L19" s="16" t="n"/>
      <c r="M19" s="4" t="n"/>
      <c r="N19" s="4" t="n"/>
      <c r="O19" s="16" t="n"/>
      <c r="P19" s="4" t="n"/>
    </row>
    <row r="20">
      <c r="A20" s="15" t="n"/>
      <c r="B20" s="4" t="n"/>
      <c r="C20" s="4" t="n"/>
      <c r="D20" s="4" t="n"/>
      <c r="E20" s="4" t="n"/>
      <c r="F20" s="4" t="n"/>
      <c r="G20" s="4" t="n"/>
      <c r="H20" s="4" t="n"/>
      <c r="I20" s="4" t="n"/>
      <c r="J20" s="4" t="n"/>
      <c r="K20" s="19" t="n"/>
      <c r="L20" s="16" t="n"/>
      <c r="M20" s="4" t="n"/>
      <c r="N20" s="4" t="n"/>
      <c r="O20" s="16" t="n"/>
      <c r="P20" s="4" t="n"/>
    </row>
    <row r="21">
      <c r="A21" s="15" t="n"/>
      <c r="B21" s="4" t="n"/>
      <c r="C21" s="4" t="n"/>
      <c r="D21" s="4" t="n"/>
      <c r="E21" s="4" t="n"/>
      <c r="F21" s="4" t="n"/>
      <c r="G21" s="4" t="n"/>
      <c r="H21" s="4" t="n"/>
      <c r="I21" s="4" t="n"/>
      <c r="J21" s="4" t="n"/>
      <c r="K21" s="19" t="n"/>
      <c r="L21" s="16" t="n"/>
      <c r="M21" s="4" t="n"/>
      <c r="N21" s="4" t="n"/>
      <c r="O21" s="16" t="n"/>
      <c r="P21" s="4" t="n"/>
    </row>
    <row r="22">
      <c r="A22" s="15" t="n"/>
      <c r="B22" s="4" t="n"/>
      <c r="C22" s="4" t="n"/>
      <c r="D22" s="4" t="n"/>
      <c r="E22" s="4" t="n"/>
      <c r="F22" s="4" t="n"/>
      <c r="G22" s="4" t="n"/>
      <c r="H22" s="4" t="n"/>
      <c r="I22" s="4" t="n"/>
      <c r="J22" s="4" t="n"/>
      <c r="K22" s="19" t="n"/>
      <c r="L22" s="16" t="n"/>
      <c r="M22" s="4" t="n"/>
      <c r="N22" s="4" t="n"/>
      <c r="O22" s="16" t="n"/>
      <c r="P22" s="4" t="n"/>
    </row>
    <row r="23">
      <c r="A23" s="15" t="n"/>
      <c r="B23" s="4" t="n"/>
      <c r="C23" s="4" t="n"/>
      <c r="D23" s="4" t="n"/>
      <c r="E23" s="4" t="n"/>
      <c r="F23" s="4" t="n"/>
      <c r="G23" s="4" t="n"/>
      <c r="H23" s="4" t="n"/>
      <c r="I23" s="4" t="n"/>
      <c r="J23" s="4" t="n"/>
      <c r="K23" s="19" t="n"/>
      <c r="L23" s="16" t="n"/>
      <c r="M23" s="4" t="n"/>
      <c r="N23" s="4" t="n"/>
      <c r="O23" s="16" t="n"/>
      <c r="P23" s="4" t="n"/>
    </row>
    <row r="24">
      <c r="A24" s="15" t="n"/>
      <c r="B24" s="4" t="n"/>
      <c r="C24" s="4" t="n"/>
      <c r="D24" s="4" t="n"/>
      <c r="E24" s="4" t="n"/>
      <c r="F24" s="4" t="n"/>
      <c r="G24" s="4" t="n"/>
      <c r="H24" s="4" t="n"/>
      <c r="I24" s="4" t="n"/>
      <c r="J24" s="4" t="n"/>
      <c r="K24" s="19" t="n"/>
      <c r="L24" s="16" t="n"/>
      <c r="M24" s="4" t="n"/>
      <c r="N24" s="4" t="n"/>
      <c r="O24" s="16" t="n"/>
      <c r="P24" s="4" t="n"/>
    </row>
    <row r="25">
      <c r="A25" s="15" t="n"/>
      <c r="B25" s="4" t="n"/>
      <c r="C25" s="4" t="n"/>
      <c r="D25" s="4" t="n"/>
      <c r="E25" s="4" t="n"/>
      <c r="F25" s="4" t="n"/>
      <c r="G25" s="4" t="n"/>
      <c r="H25" s="4" t="n"/>
      <c r="I25" s="4" t="n"/>
      <c r="J25" s="4" t="n"/>
      <c r="K25" s="19" t="n"/>
      <c r="L25" s="16" t="n"/>
      <c r="M25" s="4" t="n"/>
      <c r="N25" s="4" t="n"/>
      <c r="O25" s="16" t="n"/>
      <c r="P25" s="4" t="n"/>
    </row>
    <row r="26">
      <c r="A26" s="15" t="n"/>
      <c r="B26" s="4" t="n"/>
      <c r="C26" s="4" t="n"/>
      <c r="D26" s="4" t="n"/>
      <c r="E26" s="4" t="n"/>
      <c r="F26" s="4" t="n"/>
      <c r="G26" s="4" t="n"/>
      <c r="H26" s="4" t="n"/>
      <c r="I26" s="4" t="n"/>
      <c r="J26" s="4" t="n"/>
      <c r="K26" s="19" t="n"/>
      <c r="L26" s="16" t="n"/>
      <c r="M26" s="4" t="n"/>
      <c r="N26" s="4" t="n"/>
      <c r="O26" s="16" t="n"/>
      <c r="P26" s="4" t="n"/>
    </row>
    <row r="27">
      <c r="A27" s="15" t="n"/>
      <c r="B27" s="4" t="n"/>
      <c r="C27" s="4" t="n"/>
      <c r="D27" s="4" t="n"/>
      <c r="E27" s="4" t="n"/>
      <c r="F27" s="4" t="n"/>
      <c r="G27" s="4" t="n"/>
      <c r="H27" s="4" t="n"/>
      <c r="I27" s="4" t="n"/>
      <c r="J27" s="4" t="n"/>
      <c r="K27" s="19" t="n"/>
      <c r="L27" s="16" t="n"/>
      <c r="M27" s="4" t="n"/>
      <c r="N27" s="4" t="n"/>
      <c r="O27" s="16" t="n"/>
      <c r="P27" s="4" t="n"/>
    </row>
    <row r="28">
      <c r="A28" s="15" t="n"/>
      <c r="B28" s="4" t="n"/>
      <c r="C28" s="4" t="n"/>
      <c r="D28" s="4" t="n"/>
      <c r="E28" s="4" t="n"/>
      <c r="F28" s="4" t="n"/>
      <c r="G28" s="4" t="n"/>
      <c r="H28" s="4" t="n"/>
      <c r="I28" s="4" t="n"/>
      <c r="J28" s="4" t="n"/>
      <c r="K28" s="19" t="n"/>
      <c r="L28" s="16" t="n"/>
      <c r="M28" s="4" t="n"/>
      <c r="N28" s="4" t="n"/>
      <c r="O28" s="16" t="n"/>
      <c r="P28" s="4" t="n"/>
    </row>
    <row r="29">
      <c r="A29" s="15" t="n"/>
      <c r="B29" s="4" t="n"/>
      <c r="C29" s="4" t="n"/>
      <c r="D29" s="4" t="n"/>
      <c r="E29" s="4" t="n"/>
      <c r="F29" s="4" t="n"/>
      <c r="G29" s="4" t="n"/>
      <c r="H29" s="4" t="n"/>
      <c r="I29" s="4" t="n"/>
      <c r="J29" s="4" t="n"/>
      <c r="K29" s="19" t="n"/>
      <c r="L29" s="16" t="n"/>
      <c r="M29" s="4" t="n"/>
      <c r="N29" s="4" t="n"/>
      <c r="O29" s="16" t="n"/>
      <c r="P29" s="4" t="n"/>
    </row>
    <row r="30">
      <c r="A30" s="15" t="n"/>
      <c r="B30" s="4" t="n"/>
      <c r="C30" s="4" t="n"/>
      <c r="D30" s="4" t="n"/>
      <c r="E30" s="4" t="n"/>
      <c r="F30" s="4" t="n"/>
      <c r="G30" s="4" t="n"/>
      <c r="H30" s="4" t="n"/>
      <c r="I30" s="4" t="n"/>
      <c r="J30" s="4" t="n"/>
      <c r="K30" s="19" t="n"/>
      <c r="L30" s="16" t="n"/>
      <c r="M30" s="4" t="n"/>
      <c r="N30" s="4" t="n"/>
      <c r="O30" s="16" t="n"/>
      <c r="P30" s="4" t="n"/>
    </row>
    <row r="31">
      <c r="A31" s="15" t="n"/>
      <c r="B31" s="4" t="n"/>
      <c r="C31" s="4" t="n"/>
      <c r="D31" s="4" t="n"/>
      <c r="E31" s="4" t="n"/>
      <c r="F31" s="4" t="n"/>
      <c r="G31" s="4" t="n"/>
      <c r="H31" s="4" t="n"/>
      <c r="I31" s="4" t="n"/>
      <c r="J31" s="4" t="n"/>
      <c r="K31" s="19" t="n"/>
      <c r="L31" s="16" t="n"/>
      <c r="M31" s="4" t="n"/>
      <c r="N31" s="4" t="n"/>
      <c r="O31" s="16" t="n"/>
      <c r="P31" s="4" t="n"/>
    </row>
    <row r="32">
      <c r="A32" s="15" t="n"/>
      <c r="B32" s="4" t="n"/>
      <c r="C32" s="4" t="n"/>
      <c r="D32" s="4" t="n"/>
      <c r="E32" s="4" t="n"/>
      <c r="F32" s="4" t="n"/>
      <c r="G32" s="4" t="n"/>
      <c r="H32" s="4" t="n"/>
      <c r="I32" s="4" t="n"/>
      <c r="J32" s="4" t="n"/>
      <c r="K32" s="19" t="n"/>
      <c r="L32" s="16" t="n"/>
      <c r="M32" s="4" t="n"/>
      <c r="N32" s="4" t="n"/>
      <c r="O32" s="16" t="n"/>
      <c r="P32" s="4" t="n"/>
    </row>
    <row r="33">
      <c r="A33" s="15" t="n"/>
      <c r="B33" s="4" t="n"/>
      <c r="C33" s="4" t="n"/>
      <c r="D33" s="4" t="n"/>
      <c r="E33" s="4" t="n"/>
      <c r="F33" s="4" t="n"/>
      <c r="G33" s="4" t="n"/>
      <c r="H33" s="4" t="n"/>
      <c r="I33" s="4" t="n"/>
      <c r="J33" s="4" t="n"/>
      <c r="K33" s="19" t="n"/>
      <c r="L33" s="16" t="n"/>
      <c r="M33" s="4" t="n"/>
      <c r="N33" s="4" t="n"/>
      <c r="O33" s="16" t="n"/>
      <c r="P33" s="4" t="n"/>
    </row>
    <row r="34">
      <c r="A34" s="15" t="n"/>
      <c r="B34" s="4" t="n"/>
      <c r="C34" s="4" t="n"/>
      <c r="D34" s="4" t="n"/>
      <c r="E34" s="4" t="n"/>
      <c r="F34" s="4" t="n"/>
      <c r="G34" s="4" t="n"/>
      <c r="H34" s="4" t="n"/>
      <c r="I34" s="4" t="n"/>
      <c r="J34" s="4" t="n"/>
      <c r="K34" s="19" t="n"/>
      <c r="L34" s="16" t="n"/>
      <c r="M34" s="4" t="n"/>
      <c r="N34" s="4" t="n"/>
      <c r="O34" s="16" t="n"/>
      <c r="P34" s="4" t="n"/>
    </row>
    <row r="35">
      <c r="A35" s="15" t="n"/>
      <c r="B35" s="4" t="n"/>
      <c r="C35" s="4" t="n"/>
      <c r="D35" s="4" t="n"/>
      <c r="E35" s="4" t="n"/>
      <c r="F35" s="4" t="n"/>
      <c r="G35" s="4" t="n"/>
      <c r="H35" s="4" t="n"/>
      <c r="I35" s="4" t="n"/>
      <c r="J35" s="4" t="n"/>
      <c r="K35" s="19" t="n"/>
      <c r="L35" s="16" t="n"/>
      <c r="M35" s="4" t="n"/>
      <c r="N35" s="4" t="n"/>
      <c r="O35" s="16" t="n"/>
      <c r="P35" s="4" t="n"/>
    </row>
    <row r="36">
      <c r="A36" s="15" t="n"/>
      <c r="B36" s="4" t="n"/>
      <c r="C36" s="4" t="n"/>
      <c r="D36" s="4" t="n"/>
      <c r="E36" s="4" t="n"/>
      <c r="F36" s="4" t="n"/>
      <c r="G36" s="4" t="n"/>
      <c r="H36" s="4" t="n"/>
      <c r="I36" s="4" t="n"/>
      <c r="J36" s="4" t="n"/>
      <c r="K36" s="19" t="n"/>
      <c r="L36" s="16" t="n"/>
      <c r="M36" s="4" t="n"/>
      <c r="N36" s="4" t="n"/>
      <c r="O36" s="16" t="n"/>
      <c r="P36" s="4" t="n"/>
    </row>
    <row r="37">
      <c r="A37" s="15" t="n"/>
      <c r="B37" s="4" t="n"/>
      <c r="C37" s="4" t="n"/>
      <c r="D37" s="4" t="n"/>
      <c r="E37" s="4" t="n"/>
      <c r="F37" s="4" t="n"/>
      <c r="G37" s="4" t="n"/>
      <c r="H37" s="4" t="n"/>
      <c r="I37" s="4" t="n"/>
      <c r="J37" s="4" t="n"/>
      <c r="K37" s="19" t="n"/>
      <c r="L37" s="16" t="n"/>
      <c r="M37" s="4" t="n"/>
      <c r="N37" s="4" t="n"/>
      <c r="O37" s="16" t="n"/>
      <c r="P37" s="4" t="n"/>
    </row>
    <row r="38">
      <c r="A38" s="15" t="n"/>
      <c r="B38" s="4" t="n"/>
      <c r="C38" s="4" t="n"/>
      <c r="D38" s="4" t="n"/>
      <c r="E38" s="4" t="n"/>
      <c r="F38" s="4" t="n"/>
      <c r="G38" s="4" t="n"/>
      <c r="H38" s="4" t="n"/>
      <c r="I38" s="4" t="n"/>
      <c r="J38" s="4" t="n"/>
      <c r="K38" s="19" t="n"/>
      <c r="L38" s="16" t="n"/>
      <c r="M38" s="4" t="n"/>
      <c r="N38" s="4" t="n"/>
      <c r="O38" s="16" t="n"/>
      <c r="P38" s="4" t="n"/>
    </row>
    <row r="39">
      <c r="A39" s="15" t="n"/>
      <c r="B39" s="4" t="n"/>
      <c r="C39" s="4" t="n"/>
      <c r="D39" s="4" t="n"/>
      <c r="E39" s="4" t="n"/>
      <c r="F39" s="4" t="n"/>
      <c r="G39" s="4" t="n"/>
      <c r="H39" s="4" t="n"/>
      <c r="I39" s="4" t="n"/>
      <c r="J39" s="4" t="n"/>
      <c r="K39" s="19" t="n"/>
      <c r="L39" s="16" t="n"/>
      <c r="M39" s="4" t="n"/>
      <c r="N39" s="4" t="n"/>
      <c r="O39" s="16" t="n"/>
      <c r="P39" s="4" t="n"/>
    </row>
    <row r="40">
      <c r="A40" s="15" t="n"/>
      <c r="B40" s="4" t="n"/>
      <c r="C40" s="4" t="n"/>
      <c r="D40" s="4" t="n"/>
      <c r="E40" s="4" t="n"/>
      <c r="F40" s="4" t="n"/>
      <c r="G40" s="4" t="n"/>
      <c r="H40" s="4" t="n"/>
      <c r="I40" s="4" t="n"/>
      <c r="J40" s="4" t="n"/>
      <c r="K40" s="19" t="n"/>
      <c r="L40" s="16" t="n"/>
      <c r="M40" s="4" t="n"/>
      <c r="N40" s="4" t="n"/>
      <c r="O40" s="16" t="n"/>
      <c r="P40" s="4" t="n"/>
    </row>
    <row r="41">
      <c r="A41" s="15" t="n"/>
      <c r="B41" s="4" t="n"/>
      <c r="C41" s="4" t="n"/>
      <c r="D41" s="4" t="n"/>
      <c r="E41" s="4" t="n"/>
      <c r="F41" s="4" t="n"/>
      <c r="G41" s="4" t="n"/>
      <c r="H41" s="4" t="n"/>
      <c r="I41" s="4" t="n"/>
      <c r="J41" s="4" t="n"/>
      <c r="K41" s="19" t="n"/>
      <c r="L41" s="16" t="n"/>
      <c r="M41" s="4" t="n"/>
      <c r="N41" s="4" t="n"/>
      <c r="O41" s="16" t="n"/>
      <c r="P41" s="4" t="n"/>
    </row>
    <row r="42">
      <c r="A42" s="15" t="n"/>
      <c r="B42" s="4" t="n"/>
      <c r="C42" s="4" t="n"/>
      <c r="D42" s="4" t="n"/>
      <c r="E42" s="4" t="n"/>
      <c r="F42" s="4" t="n"/>
      <c r="G42" s="4" t="n"/>
      <c r="H42" s="4" t="n"/>
      <c r="I42" s="4" t="n"/>
      <c r="J42" s="4" t="n"/>
      <c r="K42" s="19" t="n"/>
      <c r="L42" s="16" t="n"/>
      <c r="M42" s="4" t="n"/>
      <c r="N42" s="4" t="n"/>
      <c r="O42" s="16" t="n"/>
      <c r="P42" s="4" t="n"/>
    </row>
    <row r="43">
      <c r="A43" s="15" t="n"/>
      <c r="B43" s="4" t="n"/>
      <c r="C43" s="4" t="n"/>
      <c r="D43" s="4" t="n"/>
      <c r="E43" s="4" t="n"/>
      <c r="F43" s="4" t="n"/>
      <c r="G43" s="4" t="n"/>
      <c r="H43" s="4" t="n"/>
      <c r="I43" s="4" t="n"/>
      <c r="J43" s="4" t="n"/>
      <c r="K43" s="19" t="n"/>
      <c r="L43" s="16" t="n"/>
      <c r="M43" s="4" t="n"/>
      <c r="N43" s="4" t="n"/>
      <c r="O43" s="16" t="n"/>
      <c r="P43" s="4" t="n"/>
    </row>
    <row r="44">
      <c r="A44" s="15" t="n"/>
      <c r="B44" s="4" t="n"/>
      <c r="C44" s="4" t="n"/>
      <c r="D44" s="4" t="n"/>
      <c r="E44" s="4" t="n"/>
      <c r="F44" s="4" t="n"/>
      <c r="G44" s="4" t="n"/>
      <c r="H44" s="4" t="n"/>
      <c r="I44" s="4" t="n"/>
      <c r="J44" s="4" t="n"/>
      <c r="K44" s="19" t="n"/>
      <c r="L44" s="16" t="n"/>
      <c r="M44" s="4" t="n"/>
      <c r="N44" s="4" t="n"/>
      <c r="O44" s="16" t="n"/>
      <c r="P44" s="4" t="n"/>
    </row>
    <row r="45">
      <c r="A45" s="15" t="n"/>
      <c r="B45" s="4" t="n"/>
      <c r="C45" s="4" t="n"/>
      <c r="D45" s="4" t="n"/>
      <c r="E45" s="4" t="n"/>
      <c r="F45" s="4" t="n"/>
      <c r="G45" s="4" t="n"/>
      <c r="H45" s="4" t="n"/>
      <c r="I45" s="4" t="n"/>
      <c r="J45" s="4" t="n"/>
      <c r="K45" s="19" t="n"/>
      <c r="L45" s="16" t="n"/>
      <c r="M45" s="4" t="n"/>
      <c r="N45" s="4" t="n"/>
      <c r="O45" s="16" t="n"/>
      <c r="P45" s="4" t="n"/>
    </row>
    <row r="46">
      <c r="A46" s="15" t="n"/>
      <c r="B46" s="4" t="n"/>
      <c r="C46" s="4" t="n"/>
      <c r="D46" s="4" t="n"/>
      <c r="E46" s="4" t="n"/>
      <c r="F46" s="4" t="n"/>
      <c r="G46" s="4" t="n"/>
      <c r="H46" s="4" t="n"/>
      <c r="I46" s="4" t="n"/>
      <c r="J46" s="4" t="n"/>
      <c r="K46" s="19" t="n"/>
      <c r="L46" s="16" t="n"/>
      <c r="M46" s="4" t="n"/>
      <c r="N46" s="4" t="n"/>
      <c r="O46" s="16" t="n"/>
      <c r="P46" s="4" t="n"/>
    </row>
    <row r="47">
      <c r="A47" s="15" t="n"/>
      <c r="B47" s="4" t="n"/>
      <c r="C47" s="4" t="n"/>
      <c r="D47" s="4" t="n"/>
      <c r="E47" s="4" t="n"/>
      <c r="F47" s="4" t="n"/>
      <c r="G47" s="4" t="n"/>
      <c r="H47" s="4" t="n"/>
      <c r="I47" s="4" t="n"/>
      <c r="J47" s="4" t="n"/>
      <c r="K47" s="19" t="n"/>
      <c r="L47" s="16" t="n"/>
      <c r="M47" s="4" t="n"/>
      <c r="N47" s="4" t="n"/>
      <c r="O47" s="16" t="n"/>
      <c r="P47" s="4" t="n"/>
    </row>
    <row r="48">
      <c r="A48" s="15" t="n"/>
      <c r="B48" s="4" t="n"/>
      <c r="C48" s="4" t="n"/>
      <c r="D48" s="4" t="n"/>
      <c r="E48" s="4" t="n"/>
      <c r="F48" s="4" t="n"/>
      <c r="G48" s="4" t="n"/>
      <c r="H48" s="4" t="n"/>
      <c r="I48" s="4" t="n"/>
      <c r="J48" s="4" t="n"/>
      <c r="K48" s="19" t="n"/>
      <c r="L48" s="16" t="n"/>
      <c r="M48" s="4" t="n"/>
      <c r="N48" s="4" t="n"/>
      <c r="O48" s="16" t="n"/>
      <c r="P48" s="4" t="n"/>
    </row>
    <row r="49">
      <c r="A49" s="15" t="n"/>
      <c r="B49" s="4" t="n"/>
      <c r="C49" s="4" t="n"/>
      <c r="D49" s="4" t="n"/>
      <c r="E49" s="4" t="n"/>
      <c r="F49" s="4" t="n"/>
      <c r="G49" s="4" t="n"/>
      <c r="H49" s="4" t="n"/>
      <c r="I49" s="4" t="n"/>
      <c r="J49" s="4" t="n"/>
      <c r="K49" s="19" t="n"/>
      <c r="L49" s="16" t="n"/>
      <c r="M49" s="4" t="n"/>
      <c r="N49" s="4" t="n"/>
      <c r="O49" s="16" t="n"/>
      <c r="P49" s="4" t="n"/>
    </row>
    <row r="50">
      <c r="A50" s="15" t="n"/>
      <c r="B50" s="4" t="n"/>
      <c r="C50" s="4" t="n"/>
      <c r="D50" s="4" t="n"/>
      <c r="E50" s="4" t="n"/>
      <c r="F50" s="4" t="n"/>
      <c r="G50" s="4" t="n"/>
      <c r="H50" s="4" t="n"/>
      <c r="I50" s="4" t="n"/>
      <c r="J50" s="4" t="n"/>
      <c r="K50" s="19" t="n"/>
      <c r="L50" s="16" t="n"/>
      <c r="M50" s="4" t="n"/>
      <c r="N50" s="4" t="n"/>
      <c r="O50" s="16" t="n"/>
      <c r="P50" s="4" t="n"/>
    </row>
    <row r="51">
      <c r="A51" s="15" t="n"/>
      <c r="B51" s="4" t="n"/>
      <c r="C51" s="4" t="n"/>
      <c r="D51" s="4" t="n"/>
      <c r="E51" s="4" t="n"/>
      <c r="F51" s="4" t="n"/>
      <c r="G51" s="4" t="n"/>
      <c r="H51" s="4" t="n"/>
      <c r="I51" s="4" t="n"/>
      <c r="J51" s="4" t="n"/>
      <c r="K51" s="19" t="n"/>
      <c r="L51" s="16" t="n"/>
      <c r="M51" s="4" t="n"/>
      <c r="N51" s="4" t="n"/>
      <c r="O51" s="16" t="n"/>
      <c r="P51" s="4" t="n"/>
    </row>
    <row r="52">
      <c r="A52" s="15" t="n"/>
      <c r="B52" s="4" t="n"/>
      <c r="C52" s="4" t="n"/>
      <c r="D52" s="4" t="n"/>
      <c r="E52" s="4" t="n"/>
      <c r="F52" s="4" t="n"/>
      <c r="G52" s="4" t="n"/>
      <c r="H52" s="4" t="n"/>
      <c r="I52" s="4" t="n"/>
      <c r="J52" s="4" t="n"/>
      <c r="K52" s="19" t="n"/>
      <c r="L52" s="16" t="n"/>
      <c r="M52" s="4" t="n"/>
      <c r="N52" s="4" t="n"/>
      <c r="O52" s="16" t="n"/>
      <c r="P52" s="4" t="n"/>
    </row>
    <row r="53">
      <c r="A53" s="15" t="n"/>
      <c r="B53" s="4" t="n"/>
      <c r="C53" s="4" t="n"/>
      <c r="D53" s="4" t="n"/>
      <c r="E53" s="4" t="n"/>
      <c r="F53" s="4" t="n"/>
      <c r="G53" s="4" t="n"/>
      <c r="H53" s="4" t="n"/>
      <c r="I53" s="4" t="n"/>
      <c r="J53" s="4" t="n"/>
      <c r="K53" s="19" t="n"/>
      <c r="L53" s="16" t="n"/>
      <c r="M53" s="4" t="n"/>
      <c r="N53" s="4" t="n"/>
      <c r="O53" s="16" t="n"/>
      <c r="P53" s="4" t="n"/>
    </row>
    <row r="54">
      <c r="A54" s="15" t="n"/>
      <c r="B54" s="4" t="n"/>
      <c r="C54" s="4" t="n"/>
      <c r="D54" s="4" t="n"/>
      <c r="E54" s="4" t="n"/>
      <c r="F54" s="4" t="n"/>
      <c r="G54" s="4" t="n"/>
      <c r="H54" s="4" t="n"/>
      <c r="I54" s="4" t="n"/>
      <c r="J54" s="4" t="n"/>
      <c r="K54" s="19" t="n"/>
      <c r="L54" s="16" t="n"/>
      <c r="M54" s="4" t="n"/>
      <c r="N54" s="4" t="n"/>
      <c r="O54" s="16" t="n"/>
      <c r="P54" s="4" t="n"/>
    </row>
    <row r="55">
      <c r="A55" s="15" t="n"/>
      <c r="B55" s="4" t="n"/>
      <c r="C55" s="4" t="n"/>
      <c r="D55" s="4" t="n"/>
      <c r="E55" s="4" t="n"/>
      <c r="F55" s="4" t="n"/>
      <c r="G55" s="4" t="n"/>
      <c r="H55" s="4" t="n"/>
      <c r="I55" s="4" t="n"/>
      <c r="J55" s="4" t="n"/>
      <c r="K55" s="19" t="n"/>
      <c r="L55" s="16" t="n"/>
      <c r="M55" s="4" t="n"/>
      <c r="N55" s="4" t="n"/>
      <c r="O55" s="16" t="n"/>
      <c r="P55" s="4" t="n"/>
    </row>
    <row r="57">
      <c r="A57" s="17" t="inlineStr">
        <is>
          <t>COLLECTION SOURCES SUMMARY</t>
        </is>
      </c>
    </row>
    <row r="58">
      <c r="A58" s="18" t="inlineStr">
        <is>
          <t>Total Sources:</t>
        </is>
      </c>
      <c r="B58" s="18">
        <f>COUNTA(B6:B55)</f>
        <v/>
      </c>
    </row>
    <row r="59">
      <c r="A59" s="18" t="inlineStr">
        <is>
          <t>Integrated Sources:</t>
        </is>
      </c>
      <c r="B59" s="18">
        <f>COUNTIF(I6:I55,"Fully_Implemented")</f>
        <v/>
      </c>
    </row>
    <row r="60">
      <c r="A60" s="18" t="inlineStr">
        <is>
          <t>Manual Sources:</t>
        </is>
      </c>
      <c r="B60" s="18">
        <f>COUNTIF(I6:I55,"Partially_Implemented")</f>
        <v/>
      </c>
    </row>
    <row r="61">
      <c r="A61" s="18" t="inlineStr">
        <is>
          <t>Excellent Quality:</t>
        </is>
      </c>
      <c r="B61" s="18">
        <f>COUNTIF(N6:N55,"Excellent")</f>
        <v/>
      </c>
    </row>
    <row r="62">
      <c r="A62" s="18" t="inlineStr">
        <is>
          <t>Good Quality:</t>
        </is>
      </c>
      <c r="B62" s="18">
        <f>COUNTIF(N6:N55,"Good")</f>
        <v/>
      </c>
    </row>
  </sheetData>
  <mergeCells count="3">
    <mergeCell ref="A1:P1"/>
    <mergeCell ref="A57:D57"/>
    <mergeCell ref="A2:P2"/>
  </mergeCells>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4" customWidth="1" min="3" max="3"/>
    <col width="15" customWidth="1" min="4" max="4"/>
    <col width="18" customWidth="1" min="5" max="5"/>
    <col width="15" customWidth="1" min="6" max="6"/>
    <col width="18" customWidth="1" min="7" max="7"/>
    <col width="20" customWidth="1" min="8" max="8"/>
    <col width="40" customWidth="1" min="9" max="9"/>
    <col width="30" customWidth="1" min="10" max="10"/>
    <col width="20" customWidth="1" min="11" max="11"/>
    <col width="18" customWidth="1" min="12" max="12"/>
    <col width="14" customWidth="1" min="13" max="13"/>
    <col width="18" customWidth="1" min="14" max="14"/>
    <col width="12" customWidth="1" min="15" max="15"/>
    <col width="35" customWidth="1" min="16" max="16"/>
  </cols>
  <sheetData>
    <row r="1" ht="35" customHeight="1">
      <c r="A1" s="11" t="inlineStr">
        <is>
          <t>RAW INTELLIGENCE LOG</t>
        </is>
      </c>
    </row>
    <row r="2">
      <c r="A2" s="12" t="inlineStr">
        <is>
          <t>Track all raw intelligence received before analysis. Log source, receipt time, initial triage, and processing status.</t>
        </is>
      </c>
    </row>
    <row r="4">
      <c r="A4" s="13" t="inlineStr">
        <is>
          <t>Log ID</t>
        </is>
      </c>
      <c r="B4" s="13" t="inlineStr">
        <is>
          <t>Date Received</t>
        </is>
      </c>
      <c r="C4" s="13" t="inlineStr">
        <is>
          <t>Time Received</t>
        </is>
      </c>
      <c r="D4" s="13" t="inlineStr">
        <is>
          <t>Source ID</t>
        </is>
      </c>
      <c r="E4" s="13" t="inlineStr">
        <is>
          <t>Source Type</t>
        </is>
      </c>
      <c r="F4" s="13" t="inlineStr">
        <is>
          <t>Intelligence Type</t>
        </is>
      </c>
      <c r="G4" s="13" t="inlineStr">
        <is>
          <t>TLP Classification</t>
        </is>
      </c>
      <c r="H4" s="13" t="inlineStr">
        <is>
          <t>Initial Triage Priority</t>
        </is>
      </c>
      <c r="I4" s="13" t="inlineStr">
        <is>
          <t>Brief Description</t>
        </is>
      </c>
      <c r="J4" s="13" t="inlineStr">
        <is>
          <t>Raw Data Location</t>
        </is>
      </c>
      <c r="K4" s="13" t="inlineStr">
        <is>
          <t>Assigned Analyst</t>
        </is>
      </c>
      <c r="L4" s="13" t="inlineStr">
        <is>
          <t>Processing Status</t>
        </is>
      </c>
      <c r="M4" s="13" t="inlineStr">
        <is>
          <t>Date Processed</t>
        </is>
      </c>
      <c r="N4" s="13" t="inlineStr">
        <is>
          <t>Linked Product ID</t>
        </is>
      </c>
      <c r="O4" s="13" t="inlineStr">
        <is>
          <t>Quality Score</t>
        </is>
      </c>
      <c r="P4" s="13" t="inlineStr">
        <is>
          <t>Notes</t>
        </is>
      </c>
    </row>
    <row r="5">
      <c r="A5" s="14" t="inlineStr">
        <is>
          <t>RAW-2026-EXX</t>
        </is>
      </c>
      <c r="B5" s="14" t="inlineStr">
        <is>
          <t>25.02.2026</t>
        </is>
      </c>
      <c r="C5" s="14" t="inlineStr">
        <is>
          <t>09:00</t>
        </is>
      </c>
      <c r="D5" s="14" t="inlineStr">
        <is>
          <t>SRC-001</t>
        </is>
      </c>
      <c r="E5" s="14" t="inlineStr">
        <is>
          <t>OSINT</t>
        </is>
      </c>
      <c r="F5" s="14" t="inlineStr">
        <is>
          <t>Tactical</t>
        </is>
      </c>
      <c r="G5" s="14" t="inlineStr">
        <is>
          <t>TLP:GREEN</t>
        </is>
      </c>
      <c r="H5" s="14" t="inlineStr">
        <is>
          <t>High</t>
        </is>
      </c>
      <c r="I5" s="14" t="inlineStr">
        <is>
          <t>Phishing campaign targeting SWIFT payment portals</t>
        </is>
      </c>
      <c r="J5" s="14" t="inlineStr">
        <is>
          <t>/evidence/raw/raw-2026-exx.json</t>
        </is>
      </c>
      <c r="K5" s="14" t="inlineStr">
        <is>
          <t>J. Smith</t>
        </is>
      </c>
      <c r="L5" s="14" t="inlineStr">
        <is>
          <t>Received</t>
        </is>
      </c>
      <c r="M5" s="14" t="n"/>
      <c r="N5" s="14" t="n"/>
      <c r="O5" s="14" t="inlineStr">
        <is>
          <t>3</t>
        </is>
      </c>
      <c r="P5" s="14" t="n"/>
    </row>
    <row r="6">
      <c r="A6" s="15" t="n"/>
      <c r="B6" s="20" t="n"/>
      <c r="C6" s="21" t="n"/>
      <c r="D6" s="22" t="n"/>
      <c r="E6" s="22" t="n"/>
      <c r="F6" s="22" t="n"/>
      <c r="G6" s="22" t="n"/>
      <c r="H6" s="22" t="n"/>
      <c r="I6" s="22" t="n"/>
      <c r="J6" s="22" t="n"/>
      <c r="K6" s="22" t="n"/>
      <c r="L6" s="22" t="n"/>
      <c r="M6" s="20" t="n"/>
      <c r="N6" s="22" t="n"/>
      <c r="O6" s="22" t="n"/>
      <c r="P6" s="22" t="n"/>
    </row>
    <row r="7">
      <c r="A7" s="15" t="n"/>
      <c r="B7" s="20" t="n"/>
      <c r="C7" s="21" t="n"/>
      <c r="D7" s="22" t="n"/>
      <c r="E7" s="22" t="n"/>
      <c r="F7" s="22" t="n"/>
      <c r="G7" s="22" t="n"/>
      <c r="H7" s="22" t="n"/>
      <c r="I7" s="22" t="n"/>
      <c r="J7" s="22" t="n"/>
      <c r="K7" s="22" t="n"/>
      <c r="L7" s="22" t="n"/>
      <c r="M7" s="20" t="n"/>
      <c r="N7" s="22" t="n"/>
      <c r="O7" s="22" t="n"/>
      <c r="P7" s="22" t="n"/>
    </row>
    <row r="8">
      <c r="A8" s="15" t="n"/>
      <c r="B8" s="20" t="n"/>
      <c r="C8" s="21" t="n"/>
      <c r="D8" s="22" t="n"/>
      <c r="E8" s="22" t="n"/>
      <c r="F8" s="22" t="n"/>
      <c r="G8" s="22" t="n"/>
      <c r="H8" s="22" t="n"/>
      <c r="I8" s="22" t="n"/>
      <c r="J8" s="22" t="n"/>
      <c r="K8" s="22" t="n"/>
      <c r="L8" s="22" t="n"/>
      <c r="M8" s="20" t="n"/>
      <c r="N8" s="22" t="n"/>
      <c r="O8" s="22" t="n"/>
      <c r="P8" s="22" t="n"/>
    </row>
    <row r="9">
      <c r="A9" s="15" t="n"/>
      <c r="B9" s="20" t="n"/>
      <c r="C9" s="21" t="n"/>
      <c r="D9" s="22" t="n"/>
      <c r="E9" s="22" t="n"/>
      <c r="F9" s="22" t="n"/>
      <c r="G9" s="22" t="n"/>
      <c r="H9" s="22" t="n"/>
      <c r="I9" s="22" t="n"/>
      <c r="J9" s="22" t="n"/>
      <c r="K9" s="22" t="n"/>
      <c r="L9" s="22" t="n"/>
      <c r="M9" s="20" t="n"/>
      <c r="N9" s="22" t="n"/>
      <c r="O9" s="22" t="n"/>
      <c r="P9" s="22" t="n"/>
    </row>
    <row r="10">
      <c r="A10" s="15" t="n"/>
      <c r="B10" s="20" t="n"/>
      <c r="C10" s="21" t="n"/>
      <c r="D10" s="22" t="n"/>
      <c r="E10" s="22" t="n"/>
      <c r="F10" s="22" t="n"/>
      <c r="G10" s="22" t="n"/>
      <c r="H10" s="22" t="n"/>
      <c r="I10" s="22" t="n"/>
      <c r="J10" s="22" t="n"/>
      <c r="K10" s="22" t="n"/>
      <c r="L10" s="22" t="n"/>
      <c r="M10" s="20" t="n"/>
      <c r="N10" s="22" t="n"/>
      <c r="O10" s="22" t="n"/>
      <c r="P10" s="22" t="n"/>
    </row>
    <row r="11">
      <c r="A11" s="15" t="n"/>
      <c r="B11" s="20" t="n"/>
      <c r="C11" s="21" t="n"/>
      <c r="D11" s="22" t="n"/>
      <c r="E11" s="22" t="n"/>
      <c r="F11" s="22" t="n"/>
      <c r="G11" s="22" t="n"/>
      <c r="H11" s="22" t="n"/>
      <c r="I11" s="22" t="n"/>
      <c r="J11" s="22" t="n"/>
      <c r="K11" s="22" t="n"/>
      <c r="L11" s="22" t="n"/>
      <c r="M11" s="20" t="n"/>
      <c r="N11" s="22" t="n"/>
      <c r="O11" s="22" t="n"/>
      <c r="P11" s="22" t="n"/>
    </row>
    <row r="12">
      <c r="A12" s="15" t="n"/>
      <c r="B12" s="20" t="n"/>
      <c r="C12" s="21" t="n"/>
      <c r="D12" s="22" t="n"/>
      <c r="E12" s="22" t="n"/>
      <c r="F12" s="22" t="n"/>
      <c r="G12" s="22" t="n"/>
      <c r="H12" s="22" t="n"/>
      <c r="I12" s="22" t="n"/>
      <c r="J12" s="22" t="n"/>
      <c r="K12" s="22" t="n"/>
      <c r="L12" s="22" t="n"/>
      <c r="M12" s="20" t="n"/>
      <c r="N12" s="22" t="n"/>
      <c r="O12" s="22" t="n"/>
      <c r="P12" s="22" t="n"/>
    </row>
    <row r="13">
      <c r="A13" s="15" t="n"/>
      <c r="B13" s="20" t="n"/>
      <c r="C13" s="21" t="n"/>
      <c r="D13" s="22" t="n"/>
      <c r="E13" s="22" t="n"/>
      <c r="F13" s="22" t="n"/>
      <c r="G13" s="22" t="n"/>
      <c r="H13" s="22" t="n"/>
      <c r="I13" s="22" t="n"/>
      <c r="J13" s="22" t="n"/>
      <c r="K13" s="22" t="n"/>
      <c r="L13" s="22" t="n"/>
      <c r="M13" s="20" t="n"/>
      <c r="N13" s="22" t="n"/>
      <c r="O13" s="22" t="n"/>
      <c r="P13" s="22" t="n"/>
    </row>
    <row r="14">
      <c r="A14" s="15" t="n"/>
      <c r="B14" s="20" t="n"/>
      <c r="C14" s="21" t="n"/>
      <c r="D14" s="22" t="n"/>
      <c r="E14" s="22" t="n"/>
      <c r="F14" s="22" t="n"/>
      <c r="G14" s="22" t="n"/>
      <c r="H14" s="22" t="n"/>
      <c r="I14" s="22" t="n"/>
      <c r="J14" s="22" t="n"/>
      <c r="K14" s="22" t="n"/>
      <c r="L14" s="22" t="n"/>
      <c r="M14" s="20" t="n"/>
      <c r="N14" s="22" t="n"/>
      <c r="O14" s="22" t="n"/>
      <c r="P14" s="22" t="n"/>
    </row>
    <row r="15">
      <c r="A15" s="15" t="n"/>
      <c r="B15" s="20" t="n"/>
      <c r="C15" s="21" t="n"/>
      <c r="D15" s="22" t="n"/>
      <c r="E15" s="22" t="n"/>
      <c r="F15" s="22" t="n"/>
      <c r="G15" s="22" t="n"/>
      <c r="H15" s="22" t="n"/>
      <c r="I15" s="22" t="n"/>
      <c r="J15" s="22" t="n"/>
      <c r="K15" s="22" t="n"/>
      <c r="L15" s="22" t="n"/>
      <c r="M15" s="20" t="n"/>
      <c r="N15" s="22" t="n"/>
      <c r="O15" s="22" t="n"/>
      <c r="P15" s="22" t="n"/>
    </row>
    <row r="16">
      <c r="A16" s="15" t="n"/>
      <c r="B16" s="20" t="n"/>
      <c r="C16" s="21" t="n"/>
      <c r="D16" s="22" t="n"/>
      <c r="E16" s="22" t="n"/>
      <c r="F16" s="22" t="n"/>
      <c r="G16" s="22" t="n"/>
      <c r="H16" s="22" t="n"/>
      <c r="I16" s="22" t="n"/>
      <c r="J16" s="22" t="n"/>
      <c r="K16" s="22" t="n"/>
      <c r="L16" s="22" t="n"/>
      <c r="M16" s="20" t="n"/>
      <c r="N16" s="22" t="n"/>
      <c r="O16" s="22" t="n"/>
      <c r="P16" s="22" t="n"/>
    </row>
    <row r="17">
      <c r="A17" s="15" t="n"/>
      <c r="B17" s="20" t="n"/>
      <c r="C17" s="21" t="n"/>
      <c r="D17" s="22" t="n"/>
      <c r="E17" s="22" t="n"/>
      <c r="F17" s="22" t="n"/>
      <c r="G17" s="22" t="n"/>
      <c r="H17" s="22" t="n"/>
      <c r="I17" s="22" t="n"/>
      <c r="J17" s="22" t="n"/>
      <c r="K17" s="22" t="n"/>
      <c r="L17" s="22" t="n"/>
      <c r="M17" s="20" t="n"/>
      <c r="N17" s="22" t="n"/>
      <c r="O17" s="22" t="n"/>
      <c r="P17" s="22" t="n"/>
    </row>
    <row r="18">
      <c r="A18" s="15" t="n"/>
      <c r="B18" s="20" t="n"/>
      <c r="C18" s="21" t="n"/>
      <c r="D18" s="22" t="n"/>
      <c r="E18" s="22" t="n"/>
      <c r="F18" s="22" t="n"/>
      <c r="G18" s="22" t="n"/>
      <c r="H18" s="22" t="n"/>
      <c r="I18" s="22" t="n"/>
      <c r="J18" s="22" t="n"/>
      <c r="K18" s="22" t="n"/>
      <c r="L18" s="22" t="n"/>
      <c r="M18" s="20" t="n"/>
      <c r="N18" s="22" t="n"/>
      <c r="O18" s="22" t="n"/>
      <c r="P18" s="22" t="n"/>
    </row>
    <row r="19">
      <c r="A19" s="15" t="n"/>
      <c r="B19" s="20" t="n"/>
      <c r="C19" s="21" t="n"/>
      <c r="D19" s="22" t="n"/>
      <c r="E19" s="22" t="n"/>
      <c r="F19" s="22" t="n"/>
      <c r="G19" s="22" t="n"/>
      <c r="H19" s="22" t="n"/>
      <c r="I19" s="22" t="n"/>
      <c r="J19" s="22" t="n"/>
      <c r="K19" s="22" t="n"/>
      <c r="L19" s="22" t="n"/>
      <c r="M19" s="20" t="n"/>
      <c r="N19" s="22" t="n"/>
      <c r="O19" s="22" t="n"/>
      <c r="P19" s="22" t="n"/>
    </row>
    <row r="20">
      <c r="A20" s="15" t="n"/>
      <c r="B20" s="20" t="n"/>
      <c r="C20" s="21" t="n"/>
      <c r="D20" s="22" t="n"/>
      <c r="E20" s="22" t="n"/>
      <c r="F20" s="22" t="n"/>
      <c r="G20" s="22" t="n"/>
      <c r="H20" s="22" t="n"/>
      <c r="I20" s="22" t="n"/>
      <c r="J20" s="22" t="n"/>
      <c r="K20" s="22" t="n"/>
      <c r="L20" s="22" t="n"/>
      <c r="M20" s="20" t="n"/>
      <c r="N20" s="22" t="n"/>
      <c r="O20" s="22" t="n"/>
      <c r="P20" s="22" t="n"/>
    </row>
    <row r="21">
      <c r="A21" s="15" t="n"/>
      <c r="B21" s="20" t="n"/>
      <c r="C21" s="21" t="n"/>
      <c r="D21" s="22" t="n"/>
      <c r="E21" s="22" t="n"/>
      <c r="F21" s="22" t="n"/>
      <c r="G21" s="22" t="n"/>
      <c r="H21" s="22" t="n"/>
      <c r="I21" s="22" t="n"/>
      <c r="J21" s="22" t="n"/>
      <c r="K21" s="22" t="n"/>
      <c r="L21" s="22" t="n"/>
      <c r="M21" s="20" t="n"/>
      <c r="N21" s="22" t="n"/>
      <c r="O21" s="22" t="n"/>
      <c r="P21" s="22" t="n"/>
    </row>
    <row r="22">
      <c r="A22" s="15" t="n"/>
      <c r="B22" s="20" t="n"/>
      <c r="C22" s="21" t="n"/>
      <c r="D22" s="22" t="n"/>
      <c r="E22" s="22" t="n"/>
      <c r="F22" s="22" t="n"/>
      <c r="G22" s="22" t="n"/>
      <c r="H22" s="22" t="n"/>
      <c r="I22" s="22" t="n"/>
      <c r="J22" s="22" t="n"/>
      <c r="K22" s="22" t="n"/>
      <c r="L22" s="22" t="n"/>
      <c r="M22" s="20" t="n"/>
      <c r="N22" s="22" t="n"/>
      <c r="O22" s="22" t="n"/>
      <c r="P22" s="22" t="n"/>
    </row>
    <row r="23">
      <c r="A23" s="15" t="n"/>
      <c r="B23" s="20" t="n"/>
      <c r="C23" s="21" t="n"/>
      <c r="D23" s="22" t="n"/>
      <c r="E23" s="22" t="n"/>
      <c r="F23" s="22" t="n"/>
      <c r="G23" s="22" t="n"/>
      <c r="H23" s="22" t="n"/>
      <c r="I23" s="22" t="n"/>
      <c r="J23" s="22" t="n"/>
      <c r="K23" s="22" t="n"/>
      <c r="L23" s="22" t="n"/>
      <c r="M23" s="20" t="n"/>
      <c r="N23" s="22" t="n"/>
      <c r="O23" s="22" t="n"/>
      <c r="P23" s="22" t="n"/>
    </row>
    <row r="24">
      <c r="A24" s="15" t="n"/>
      <c r="B24" s="20" t="n"/>
      <c r="C24" s="21" t="n"/>
      <c r="D24" s="22" t="n"/>
      <c r="E24" s="22" t="n"/>
      <c r="F24" s="22" t="n"/>
      <c r="G24" s="22" t="n"/>
      <c r="H24" s="22" t="n"/>
      <c r="I24" s="22" t="n"/>
      <c r="J24" s="22" t="n"/>
      <c r="K24" s="22" t="n"/>
      <c r="L24" s="22" t="n"/>
      <c r="M24" s="20" t="n"/>
      <c r="N24" s="22" t="n"/>
      <c r="O24" s="22" t="n"/>
      <c r="P24" s="22" t="n"/>
    </row>
    <row r="25">
      <c r="A25" s="15" t="n"/>
      <c r="B25" s="20" t="n"/>
      <c r="C25" s="21" t="n"/>
      <c r="D25" s="22" t="n"/>
      <c r="E25" s="22" t="n"/>
      <c r="F25" s="22" t="n"/>
      <c r="G25" s="22" t="n"/>
      <c r="H25" s="22" t="n"/>
      <c r="I25" s="22" t="n"/>
      <c r="J25" s="22" t="n"/>
      <c r="K25" s="22" t="n"/>
      <c r="L25" s="22" t="n"/>
      <c r="M25" s="20" t="n"/>
      <c r="N25" s="22" t="n"/>
      <c r="O25" s="22" t="n"/>
      <c r="P25" s="22" t="n"/>
    </row>
    <row r="26">
      <c r="A26" s="15" t="n"/>
      <c r="B26" s="20" t="n"/>
      <c r="C26" s="21" t="n"/>
      <c r="D26" s="22" t="n"/>
      <c r="E26" s="22" t="n"/>
      <c r="F26" s="22" t="n"/>
      <c r="G26" s="22" t="n"/>
      <c r="H26" s="22" t="n"/>
      <c r="I26" s="22" t="n"/>
      <c r="J26" s="22" t="n"/>
      <c r="K26" s="22" t="n"/>
      <c r="L26" s="22" t="n"/>
      <c r="M26" s="20" t="n"/>
      <c r="N26" s="22" t="n"/>
      <c r="O26" s="22" t="n"/>
      <c r="P26" s="22" t="n"/>
    </row>
    <row r="27">
      <c r="A27" s="15" t="n"/>
      <c r="B27" s="20" t="n"/>
      <c r="C27" s="21" t="n"/>
      <c r="D27" s="22" t="n"/>
      <c r="E27" s="22" t="n"/>
      <c r="F27" s="22" t="n"/>
      <c r="G27" s="22" t="n"/>
      <c r="H27" s="22" t="n"/>
      <c r="I27" s="22" t="n"/>
      <c r="J27" s="22" t="n"/>
      <c r="K27" s="22" t="n"/>
      <c r="L27" s="22" t="n"/>
      <c r="M27" s="20" t="n"/>
      <c r="N27" s="22" t="n"/>
      <c r="O27" s="22" t="n"/>
      <c r="P27" s="22" t="n"/>
    </row>
    <row r="28">
      <c r="A28" s="15" t="n"/>
      <c r="B28" s="20" t="n"/>
      <c r="C28" s="21" t="n"/>
      <c r="D28" s="22" t="n"/>
      <c r="E28" s="22" t="n"/>
      <c r="F28" s="22" t="n"/>
      <c r="G28" s="22" t="n"/>
      <c r="H28" s="22" t="n"/>
      <c r="I28" s="22" t="n"/>
      <c r="J28" s="22" t="n"/>
      <c r="K28" s="22" t="n"/>
      <c r="L28" s="22" t="n"/>
      <c r="M28" s="20" t="n"/>
      <c r="N28" s="22" t="n"/>
      <c r="O28" s="22" t="n"/>
      <c r="P28" s="22" t="n"/>
    </row>
    <row r="29">
      <c r="A29" s="15" t="n"/>
      <c r="B29" s="20" t="n"/>
      <c r="C29" s="21" t="n"/>
      <c r="D29" s="22" t="n"/>
      <c r="E29" s="22" t="n"/>
      <c r="F29" s="22" t="n"/>
      <c r="G29" s="22" t="n"/>
      <c r="H29" s="22" t="n"/>
      <c r="I29" s="22" t="n"/>
      <c r="J29" s="22" t="n"/>
      <c r="K29" s="22" t="n"/>
      <c r="L29" s="22" t="n"/>
      <c r="M29" s="20" t="n"/>
      <c r="N29" s="22" t="n"/>
      <c r="O29" s="22" t="n"/>
      <c r="P29" s="22" t="n"/>
    </row>
    <row r="30">
      <c r="A30" s="15" t="n"/>
      <c r="B30" s="20" t="n"/>
      <c r="C30" s="21" t="n"/>
      <c r="D30" s="22" t="n"/>
      <c r="E30" s="22" t="n"/>
      <c r="F30" s="22" t="n"/>
      <c r="G30" s="22" t="n"/>
      <c r="H30" s="22" t="n"/>
      <c r="I30" s="22" t="n"/>
      <c r="J30" s="22" t="n"/>
      <c r="K30" s="22" t="n"/>
      <c r="L30" s="22" t="n"/>
      <c r="M30" s="20" t="n"/>
      <c r="N30" s="22" t="n"/>
      <c r="O30" s="22" t="n"/>
      <c r="P30" s="22" t="n"/>
    </row>
    <row r="31">
      <c r="A31" s="15" t="n"/>
      <c r="B31" s="20" t="n"/>
      <c r="C31" s="21" t="n"/>
      <c r="D31" s="22" t="n"/>
      <c r="E31" s="22" t="n"/>
      <c r="F31" s="22" t="n"/>
      <c r="G31" s="22" t="n"/>
      <c r="H31" s="22" t="n"/>
      <c r="I31" s="22" t="n"/>
      <c r="J31" s="22" t="n"/>
      <c r="K31" s="22" t="n"/>
      <c r="L31" s="22" t="n"/>
      <c r="M31" s="20" t="n"/>
      <c r="N31" s="22" t="n"/>
      <c r="O31" s="22" t="n"/>
      <c r="P31" s="22" t="n"/>
    </row>
    <row r="32">
      <c r="A32" s="15" t="n"/>
      <c r="B32" s="20" t="n"/>
      <c r="C32" s="21" t="n"/>
      <c r="D32" s="22" t="n"/>
      <c r="E32" s="22" t="n"/>
      <c r="F32" s="22" t="n"/>
      <c r="G32" s="22" t="n"/>
      <c r="H32" s="22" t="n"/>
      <c r="I32" s="22" t="n"/>
      <c r="J32" s="22" t="n"/>
      <c r="K32" s="22" t="n"/>
      <c r="L32" s="22" t="n"/>
      <c r="M32" s="20" t="n"/>
      <c r="N32" s="22" t="n"/>
      <c r="O32" s="22" t="n"/>
      <c r="P32" s="22" t="n"/>
    </row>
    <row r="33">
      <c r="A33" s="15" t="n"/>
      <c r="B33" s="20" t="n"/>
      <c r="C33" s="21" t="n"/>
      <c r="D33" s="22" t="n"/>
      <c r="E33" s="22" t="n"/>
      <c r="F33" s="22" t="n"/>
      <c r="G33" s="22" t="n"/>
      <c r="H33" s="22" t="n"/>
      <c r="I33" s="22" t="n"/>
      <c r="J33" s="22" t="n"/>
      <c r="K33" s="22" t="n"/>
      <c r="L33" s="22" t="n"/>
      <c r="M33" s="20" t="n"/>
      <c r="N33" s="22" t="n"/>
      <c r="O33" s="22" t="n"/>
      <c r="P33" s="22" t="n"/>
    </row>
    <row r="34">
      <c r="A34" s="15" t="n"/>
      <c r="B34" s="20" t="n"/>
      <c r="C34" s="21" t="n"/>
      <c r="D34" s="22" t="n"/>
      <c r="E34" s="22" t="n"/>
      <c r="F34" s="22" t="n"/>
      <c r="G34" s="22" t="n"/>
      <c r="H34" s="22" t="n"/>
      <c r="I34" s="22" t="n"/>
      <c r="J34" s="22" t="n"/>
      <c r="K34" s="22" t="n"/>
      <c r="L34" s="22" t="n"/>
      <c r="M34" s="20" t="n"/>
      <c r="N34" s="22" t="n"/>
      <c r="O34" s="22" t="n"/>
      <c r="P34" s="22" t="n"/>
    </row>
    <row r="35">
      <c r="A35" s="15" t="n"/>
      <c r="B35" s="20" t="n"/>
      <c r="C35" s="21" t="n"/>
      <c r="D35" s="22" t="n"/>
      <c r="E35" s="22" t="n"/>
      <c r="F35" s="22" t="n"/>
      <c r="G35" s="22" t="n"/>
      <c r="H35" s="22" t="n"/>
      <c r="I35" s="22" t="n"/>
      <c r="J35" s="22" t="n"/>
      <c r="K35" s="22" t="n"/>
      <c r="L35" s="22" t="n"/>
      <c r="M35" s="20" t="n"/>
      <c r="N35" s="22" t="n"/>
      <c r="O35" s="22" t="n"/>
      <c r="P35" s="22" t="n"/>
    </row>
    <row r="36">
      <c r="A36" s="15" t="n"/>
      <c r="B36" s="20" t="n"/>
      <c r="C36" s="21" t="n"/>
      <c r="D36" s="22" t="n"/>
      <c r="E36" s="22" t="n"/>
      <c r="F36" s="22" t="n"/>
      <c r="G36" s="22" t="n"/>
      <c r="H36" s="22" t="n"/>
      <c r="I36" s="22" t="n"/>
      <c r="J36" s="22" t="n"/>
      <c r="K36" s="22" t="n"/>
      <c r="L36" s="22" t="n"/>
      <c r="M36" s="20" t="n"/>
      <c r="N36" s="22" t="n"/>
      <c r="O36" s="22" t="n"/>
      <c r="P36" s="22" t="n"/>
    </row>
    <row r="37">
      <c r="A37" s="15" t="n"/>
      <c r="B37" s="20" t="n"/>
      <c r="C37" s="21" t="n"/>
      <c r="D37" s="22" t="n"/>
      <c r="E37" s="22" t="n"/>
      <c r="F37" s="22" t="n"/>
      <c r="G37" s="22" t="n"/>
      <c r="H37" s="22" t="n"/>
      <c r="I37" s="22" t="n"/>
      <c r="J37" s="22" t="n"/>
      <c r="K37" s="22" t="n"/>
      <c r="L37" s="22" t="n"/>
      <c r="M37" s="20" t="n"/>
      <c r="N37" s="22" t="n"/>
      <c r="O37" s="22" t="n"/>
      <c r="P37" s="22" t="n"/>
    </row>
    <row r="38">
      <c r="A38" s="15" t="n"/>
      <c r="B38" s="20" t="n"/>
      <c r="C38" s="21" t="n"/>
      <c r="D38" s="22" t="n"/>
      <c r="E38" s="22" t="n"/>
      <c r="F38" s="22" t="n"/>
      <c r="G38" s="22" t="n"/>
      <c r="H38" s="22" t="n"/>
      <c r="I38" s="22" t="n"/>
      <c r="J38" s="22" t="n"/>
      <c r="K38" s="22" t="n"/>
      <c r="L38" s="22" t="n"/>
      <c r="M38" s="20" t="n"/>
      <c r="N38" s="22" t="n"/>
      <c r="O38" s="22" t="n"/>
      <c r="P38" s="22" t="n"/>
    </row>
    <row r="39">
      <c r="A39" s="15" t="n"/>
      <c r="B39" s="20" t="n"/>
      <c r="C39" s="21" t="n"/>
      <c r="D39" s="22" t="n"/>
      <c r="E39" s="22" t="n"/>
      <c r="F39" s="22" t="n"/>
      <c r="G39" s="22" t="n"/>
      <c r="H39" s="22" t="n"/>
      <c r="I39" s="22" t="n"/>
      <c r="J39" s="22" t="n"/>
      <c r="K39" s="22" t="n"/>
      <c r="L39" s="22" t="n"/>
      <c r="M39" s="20" t="n"/>
      <c r="N39" s="22" t="n"/>
      <c r="O39" s="22" t="n"/>
      <c r="P39" s="22" t="n"/>
    </row>
    <row r="40">
      <c r="A40" s="15" t="n"/>
      <c r="B40" s="20" t="n"/>
      <c r="C40" s="21" t="n"/>
      <c r="D40" s="22" t="n"/>
      <c r="E40" s="22" t="n"/>
      <c r="F40" s="22" t="n"/>
      <c r="G40" s="22" t="n"/>
      <c r="H40" s="22" t="n"/>
      <c r="I40" s="22" t="n"/>
      <c r="J40" s="22" t="n"/>
      <c r="K40" s="22" t="n"/>
      <c r="L40" s="22" t="n"/>
      <c r="M40" s="20" t="n"/>
      <c r="N40" s="22" t="n"/>
      <c r="O40" s="22" t="n"/>
      <c r="P40" s="22" t="n"/>
    </row>
    <row r="41">
      <c r="A41" s="15" t="n"/>
      <c r="B41" s="20" t="n"/>
      <c r="C41" s="21" t="n"/>
      <c r="D41" s="22" t="n"/>
      <c r="E41" s="22" t="n"/>
      <c r="F41" s="22" t="n"/>
      <c r="G41" s="22" t="n"/>
      <c r="H41" s="22" t="n"/>
      <c r="I41" s="22" t="n"/>
      <c r="J41" s="22" t="n"/>
      <c r="K41" s="22" t="n"/>
      <c r="L41" s="22" t="n"/>
      <c r="M41" s="20" t="n"/>
      <c r="N41" s="22" t="n"/>
      <c r="O41" s="22" t="n"/>
      <c r="P41" s="22" t="n"/>
    </row>
    <row r="42">
      <c r="A42" s="15" t="n"/>
      <c r="B42" s="20" t="n"/>
      <c r="C42" s="21" t="n"/>
      <c r="D42" s="22" t="n"/>
      <c r="E42" s="22" t="n"/>
      <c r="F42" s="22" t="n"/>
      <c r="G42" s="22" t="n"/>
      <c r="H42" s="22" t="n"/>
      <c r="I42" s="22" t="n"/>
      <c r="J42" s="22" t="n"/>
      <c r="K42" s="22" t="n"/>
      <c r="L42" s="22" t="n"/>
      <c r="M42" s="20" t="n"/>
      <c r="N42" s="22" t="n"/>
      <c r="O42" s="22" t="n"/>
      <c r="P42" s="22" t="n"/>
    </row>
    <row r="43">
      <c r="A43" s="15" t="n"/>
      <c r="B43" s="20" t="n"/>
      <c r="C43" s="21" t="n"/>
      <c r="D43" s="22" t="n"/>
      <c r="E43" s="22" t="n"/>
      <c r="F43" s="22" t="n"/>
      <c r="G43" s="22" t="n"/>
      <c r="H43" s="22" t="n"/>
      <c r="I43" s="22" t="n"/>
      <c r="J43" s="22" t="n"/>
      <c r="K43" s="22" t="n"/>
      <c r="L43" s="22" t="n"/>
      <c r="M43" s="20" t="n"/>
      <c r="N43" s="22" t="n"/>
      <c r="O43" s="22" t="n"/>
      <c r="P43" s="22" t="n"/>
    </row>
    <row r="44">
      <c r="A44" s="15" t="n"/>
      <c r="B44" s="20" t="n"/>
      <c r="C44" s="21" t="n"/>
      <c r="D44" s="22" t="n"/>
      <c r="E44" s="22" t="n"/>
      <c r="F44" s="22" t="n"/>
      <c r="G44" s="22" t="n"/>
      <c r="H44" s="22" t="n"/>
      <c r="I44" s="22" t="n"/>
      <c r="J44" s="22" t="n"/>
      <c r="K44" s="22" t="n"/>
      <c r="L44" s="22" t="n"/>
      <c r="M44" s="20" t="n"/>
      <c r="N44" s="22" t="n"/>
      <c r="O44" s="22" t="n"/>
      <c r="P44" s="22" t="n"/>
    </row>
    <row r="45">
      <c r="A45" s="15" t="n"/>
      <c r="B45" s="20" t="n"/>
      <c r="C45" s="21" t="n"/>
      <c r="D45" s="22" t="n"/>
      <c r="E45" s="22" t="n"/>
      <c r="F45" s="22" t="n"/>
      <c r="G45" s="22" t="n"/>
      <c r="H45" s="22" t="n"/>
      <c r="I45" s="22" t="n"/>
      <c r="J45" s="22" t="n"/>
      <c r="K45" s="22" t="n"/>
      <c r="L45" s="22" t="n"/>
      <c r="M45" s="20" t="n"/>
      <c r="N45" s="22" t="n"/>
      <c r="O45" s="22" t="n"/>
      <c r="P45" s="22" t="n"/>
    </row>
    <row r="46">
      <c r="A46" s="15" t="n"/>
      <c r="B46" s="20" t="n"/>
      <c r="C46" s="21" t="n"/>
      <c r="D46" s="22" t="n"/>
      <c r="E46" s="22" t="n"/>
      <c r="F46" s="22" t="n"/>
      <c r="G46" s="22" t="n"/>
      <c r="H46" s="22" t="n"/>
      <c r="I46" s="22" t="n"/>
      <c r="J46" s="22" t="n"/>
      <c r="K46" s="22" t="n"/>
      <c r="L46" s="22" t="n"/>
      <c r="M46" s="20" t="n"/>
      <c r="N46" s="22" t="n"/>
      <c r="O46" s="22" t="n"/>
      <c r="P46" s="22" t="n"/>
    </row>
    <row r="47">
      <c r="A47" s="15" t="n"/>
      <c r="B47" s="20" t="n"/>
      <c r="C47" s="21" t="n"/>
      <c r="D47" s="22" t="n"/>
      <c r="E47" s="22" t="n"/>
      <c r="F47" s="22" t="n"/>
      <c r="G47" s="22" t="n"/>
      <c r="H47" s="22" t="n"/>
      <c r="I47" s="22" t="n"/>
      <c r="J47" s="22" t="n"/>
      <c r="K47" s="22" t="n"/>
      <c r="L47" s="22" t="n"/>
      <c r="M47" s="20" t="n"/>
      <c r="N47" s="22" t="n"/>
      <c r="O47" s="22" t="n"/>
      <c r="P47" s="22" t="n"/>
    </row>
    <row r="48">
      <c r="A48" s="15" t="n"/>
      <c r="B48" s="20" t="n"/>
      <c r="C48" s="21" t="n"/>
      <c r="D48" s="22" t="n"/>
      <c r="E48" s="22" t="n"/>
      <c r="F48" s="22" t="n"/>
      <c r="G48" s="22" t="n"/>
      <c r="H48" s="22" t="n"/>
      <c r="I48" s="22" t="n"/>
      <c r="J48" s="22" t="n"/>
      <c r="K48" s="22" t="n"/>
      <c r="L48" s="22" t="n"/>
      <c r="M48" s="20" t="n"/>
      <c r="N48" s="22" t="n"/>
      <c r="O48" s="22" t="n"/>
      <c r="P48" s="22" t="n"/>
    </row>
    <row r="49">
      <c r="A49" s="15" t="n"/>
      <c r="B49" s="20" t="n"/>
      <c r="C49" s="21" t="n"/>
      <c r="D49" s="22" t="n"/>
      <c r="E49" s="22" t="n"/>
      <c r="F49" s="22" t="n"/>
      <c r="G49" s="22" t="n"/>
      <c r="H49" s="22" t="n"/>
      <c r="I49" s="22" t="n"/>
      <c r="J49" s="22" t="n"/>
      <c r="K49" s="22" t="n"/>
      <c r="L49" s="22" t="n"/>
      <c r="M49" s="20" t="n"/>
      <c r="N49" s="22" t="n"/>
      <c r="O49" s="22" t="n"/>
      <c r="P49" s="22" t="n"/>
    </row>
    <row r="50">
      <c r="A50" s="15" t="n"/>
      <c r="B50" s="20" t="n"/>
      <c r="C50" s="21" t="n"/>
      <c r="D50" s="22" t="n"/>
      <c r="E50" s="22" t="n"/>
      <c r="F50" s="22" t="n"/>
      <c r="G50" s="22" t="n"/>
      <c r="H50" s="22" t="n"/>
      <c r="I50" s="22" t="n"/>
      <c r="J50" s="22" t="n"/>
      <c r="K50" s="22" t="n"/>
      <c r="L50" s="22" t="n"/>
      <c r="M50" s="20" t="n"/>
      <c r="N50" s="22" t="n"/>
      <c r="O50" s="22" t="n"/>
      <c r="P50" s="22" t="n"/>
    </row>
    <row r="51">
      <c r="A51" s="15" t="n"/>
      <c r="B51" s="20" t="n"/>
      <c r="C51" s="21" t="n"/>
      <c r="D51" s="22" t="n"/>
      <c r="E51" s="22" t="n"/>
      <c r="F51" s="22" t="n"/>
      <c r="G51" s="22" t="n"/>
      <c r="H51" s="22" t="n"/>
      <c r="I51" s="22" t="n"/>
      <c r="J51" s="22" t="n"/>
      <c r="K51" s="22" t="n"/>
      <c r="L51" s="22" t="n"/>
      <c r="M51" s="20" t="n"/>
      <c r="N51" s="22" t="n"/>
      <c r="O51" s="22" t="n"/>
      <c r="P51" s="22" t="n"/>
    </row>
    <row r="52">
      <c r="A52" s="15" t="n"/>
      <c r="B52" s="20" t="n"/>
      <c r="C52" s="21" t="n"/>
      <c r="D52" s="22" t="n"/>
      <c r="E52" s="22" t="n"/>
      <c r="F52" s="22" t="n"/>
      <c r="G52" s="22" t="n"/>
      <c r="H52" s="22" t="n"/>
      <c r="I52" s="22" t="n"/>
      <c r="J52" s="22" t="n"/>
      <c r="K52" s="22" t="n"/>
      <c r="L52" s="22" t="n"/>
      <c r="M52" s="20" t="n"/>
      <c r="N52" s="22" t="n"/>
      <c r="O52" s="22" t="n"/>
      <c r="P52" s="22" t="n"/>
    </row>
    <row r="53">
      <c r="A53" s="15" t="n"/>
      <c r="B53" s="20" t="n"/>
      <c r="C53" s="21" t="n"/>
      <c r="D53" s="22" t="n"/>
      <c r="E53" s="22" t="n"/>
      <c r="F53" s="22" t="n"/>
      <c r="G53" s="22" t="n"/>
      <c r="H53" s="22" t="n"/>
      <c r="I53" s="22" t="n"/>
      <c r="J53" s="22" t="n"/>
      <c r="K53" s="22" t="n"/>
      <c r="L53" s="22" t="n"/>
      <c r="M53" s="20" t="n"/>
      <c r="N53" s="22" t="n"/>
      <c r="O53" s="22" t="n"/>
      <c r="P53" s="22" t="n"/>
    </row>
    <row r="54">
      <c r="A54" s="15" t="n"/>
      <c r="B54" s="20" t="n"/>
      <c r="C54" s="21" t="n"/>
      <c r="D54" s="22" t="n"/>
      <c r="E54" s="22" t="n"/>
      <c r="F54" s="22" t="n"/>
      <c r="G54" s="22" t="n"/>
      <c r="H54" s="22" t="n"/>
      <c r="I54" s="22" t="n"/>
      <c r="J54" s="22" t="n"/>
      <c r="K54" s="22" t="n"/>
      <c r="L54" s="22" t="n"/>
      <c r="M54" s="20" t="n"/>
      <c r="N54" s="22" t="n"/>
      <c r="O54" s="22" t="n"/>
      <c r="P54" s="22" t="n"/>
    </row>
    <row r="55">
      <c r="A55" s="15" t="n"/>
      <c r="B55" s="20" t="n"/>
      <c r="C55" s="21" t="n"/>
      <c r="D55" s="22" t="n"/>
      <c r="E55" s="22" t="n"/>
      <c r="F55" s="22" t="n"/>
      <c r="G55" s="22" t="n"/>
      <c r="H55" s="22" t="n"/>
      <c r="I55" s="22" t="n"/>
      <c r="J55" s="22" t="n"/>
      <c r="K55" s="22" t="n"/>
      <c r="L55" s="22" t="n"/>
      <c r="M55" s="20" t="n"/>
      <c r="N55" s="22" t="n"/>
      <c r="O55" s="22" t="n"/>
      <c r="P55" s="22" t="n"/>
    </row>
    <row r="57">
      <c r="A57" s="17" t="inlineStr">
        <is>
          <t>RAW INTELLIGENCE LOG SUMMARY</t>
        </is>
      </c>
    </row>
    <row r="58">
      <c r="A58" s="18" t="inlineStr">
        <is>
          <t>Total Raw Intel Logged:</t>
        </is>
      </c>
      <c r="B58" s="18">
        <f>COUNTA(I6:I55)</f>
        <v/>
      </c>
    </row>
    <row r="59">
      <c r="A59" s="18" t="inlineStr">
        <is>
          <t>Critical Priority:</t>
        </is>
      </c>
      <c r="B59" s="18">
        <f>COUNTIF(H6:H55,"Critical")</f>
        <v/>
      </c>
    </row>
    <row r="60">
      <c r="A60" s="18" t="inlineStr">
        <is>
          <t>High Priority:</t>
        </is>
      </c>
      <c r="B60" s="18">
        <f>COUNTIF(H6:H55,"High")</f>
        <v/>
      </c>
    </row>
    <row r="61">
      <c r="A61" s="18" t="inlineStr">
        <is>
          <t>Pending Processing:</t>
        </is>
      </c>
      <c r="B61" s="18">
        <f>COUNTIF(L6:L55,"Received")</f>
        <v/>
      </c>
    </row>
    <row r="62">
      <c r="A62" s="18" t="inlineStr">
        <is>
          <t>Processed:</t>
        </is>
      </c>
      <c r="B62" s="18">
        <f>COUNTIF(L6:L55,"Published")</f>
        <v/>
      </c>
    </row>
    <row r="63">
      <c r="A63" s="18" t="inlineStr">
        <is>
          <t>TLP:RED Items:</t>
        </is>
      </c>
      <c r="B63" s="18">
        <f>COUNTIF(G6:G55,"TLP:RED")</f>
        <v/>
      </c>
    </row>
  </sheetData>
  <mergeCells count="3">
    <mergeCell ref="A1:P1"/>
    <mergeCell ref="A57:D57"/>
    <mergeCell ref="A2:P2"/>
  </mergeCells>
  <conditionalFormatting sqref="H6:H55">
    <cfRule type="cellIs" priority="1" operator="equal" dxfId="0">
      <formula>"Critical"</formula>
    </cfRule>
    <cfRule type="cellIs" priority="2" operator="equal" dxfId="1">
      <formula>"High"</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45" customWidth="1" min="3" max="3"/>
    <col width="25" customWidth="1" min="4" max="4"/>
    <col width="25" customWidth="1" min="5" max="5"/>
    <col width="15" customWidth="1" min="6" max="6"/>
    <col width="18" customWidth="1" min="7" max="7"/>
    <col width="16" customWidth="1" min="8" max="8"/>
    <col width="25" customWidth="1" min="9" max="9"/>
    <col width="22" customWidth="1" min="10" max="10"/>
    <col width="18" customWidth="1" min="11" max="11"/>
    <col width="18" customWidth="1" min="12" max="12"/>
    <col width="20" customWidth="1" min="13" max="13"/>
    <col width="15" customWidth="1" min="14" max="14"/>
    <col width="30" customWidth="1" min="15" max="15"/>
  </cols>
  <sheetData>
    <row r="1" ht="35" customHeight="1">
      <c r="A1" s="11" t="inlineStr">
        <is>
          <t>INTELLIGENCE PRODUCTION TRACKING</t>
        </is>
      </c>
    </row>
    <row r="2">
      <c r="A2" s="12" t="inlineStr">
        <is>
          <t>Track all intelligence products (reports, briefings, alerts, IOC packages). Measure quality and stakeholder feedback.</t>
        </is>
      </c>
    </row>
    <row r="4">
      <c r="A4" s="13" t="inlineStr">
        <is>
          <t>Product ID</t>
        </is>
      </c>
      <c r="B4" s="13" t="inlineStr">
        <is>
          <t>Product Type</t>
        </is>
      </c>
      <c r="C4" s="13" t="inlineStr">
        <is>
          <t>Product Title</t>
        </is>
      </c>
      <c r="D4" s="13" t="inlineStr">
        <is>
          <t>Primary Author</t>
        </is>
      </c>
      <c r="E4" s="13" t="inlineStr">
        <is>
          <t>Contributors</t>
        </is>
      </c>
      <c r="F4" s="13" t="inlineStr">
        <is>
          <t>Publication Date</t>
        </is>
      </c>
      <c r="G4" s="13" t="inlineStr">
        <is>
          <t>TLP Classification</t>
        </is>
      </c>
      <c r="H4" s="13" t="inlineStr">
        <is>
          <t>Confidence Level</t>
        </is>
      </c>
      <c r="I4" s="13" t="inlineStr">
        <is>
          <t>Target Audience</t>
        </is>
      </c>
      <c r="J4" s="13" t="inlineStr">
        <is>
          <t>Stakeholder Feedback Rating</t>
        </is>
      </c>
      <c r="K4" s="13" t="inlineStr">
        <is>
          <t>Consumption Rate</t>
        </is>
      </c>
      <c r="L4" s="13" t="inlineStr">
        <is>
          <t>Actionability Score</t>
        </is>
      </c>
      <c r="M4" s="13" t="inlineStr">
        <is>
          <t>Time to Produce Hours</t>
        </is>
      </c>
      <c r="N4" s="13" t="inlineStr">
        <is>
          <t>Status</t>
        </is>
      </c>
      <c r="O4" s="13" t="inlineStr">
        <is>
          <t>Notes</t>
        </is>
      </c>
    </row>
    <row r="5">
      <c r="A5" s="14" t="inlineStr">
        <is>
          <t>PROD-2026-EXX</t>
        </is>
      </c>
      <c r="B5" s="14" t="inlineStr">
        <is>
          <t>Tactical Report</t>
        </is>
      </c>
      <c r="C5" s="14" t="inlineStr">
        <is>
          <t>APT29 EMEA Campaign Briefing</t>
        </is>
      </c>
      <c r="D5" s="14" t="inlineStr">
        <is>
          <t>J. Smith</t>
        </is>
      </c>
      <c r="E5" s="14" t="inlineStr">
        <is>
          <t>TI Team</t>
        </is>
      </c>
      <c r="F5" s="14" t="inlineStr">
        <is>
          <t>25.01.2026</t>
        </is>
      </c>
      <c r="G5" s="14" t="inlineStr">
        <is>
          <t>TLP:AMBER</t>
        </is>
      </c>
      <c r="H5" s="14" t="inlineStr">
        <is>
          <t>High</t>
        </is>
      </c>
      <c r="I5" s="14" t="inlineStr">
        <is>
          <t>SOC / IR Team</t>
        </is>
      </c>
      <c r="J5" s="14" t="n"/>
      <c r="K5" s="14" t="n"/>
      <c r="L5" s="14" t="n"/>
      <c r="M5" s="14" t="n"/>
      <c r="N5" s="14" t="inlineStr">
        <is>
          <t>Published</t>
        </is>
      </c>
      <c r="O5" s="14" t="n"/>
    </row>
    <row r="6">
      <c r="A6" s="15" t="n"/>
      <c r="B6" s="22" t="n"/>
      <c r="C6" s="22" t="n"/>
      <c r="D6" s="22" t="n"/>
      <c r="E6" s="22" t="n"/>
      <c r="F6" s="20" t="n"/>
      <c r="G6" s="22" t="n"/>
      <c r="H6" s="22" t="n"/>
      <c r="I6" s="22" t="n"/>
      <c r="J6" s="23" t="n"/>
      <c r="K6" s="24" t="n"/>
      <c r="L6" s="23" t="n"/>
      <c r="M6" s="25" t="n"/>
      <c r="N6" s="22" t="n"/>
      <c r="O6" s="22" t="n"/>
    </row>
    <row r="7">
      <c r="A7" s="15" t="n"/>
      <c r="B7" s="22" t="n"/>
      <c r="C7" s="22" t="n"/>
      <c r="D7" s="22" t="n"/>
      <c r="E7" s="22" t="n"/>
      <c r="F7" s="20" t="n"/>
      <c r="G7" s="22" t="n"/>
      <c r="H7" s="22" t="n"/>
      <c r="I7" s="22" t="n"/>
      <c r="J7" s="23" t="n"/>
      <c r="K7" s="24" t="n"/>
      <c r="L7" s="23" t="n"/>
      <c r="M7" s="25" t="n"/>
      <c r="N7" s="22" t="n"/>
      <c r="O7" s="22" t="n"/>
    </row>
    <row r="8">
      <c r="A8" s="15" t="n"/>
      <c r="B8" s="22" t="n"/>
      <c r="C8" s="22" t="n"/>
      <c r="D8" s="22" t="n"/>
      <c r="E8" s="22" t="n"/>
      <c r="F8" s="20" t="n"/>
      <c r="G8" s="22" t="n"/>
      <c r="H8" s="22" t="n"/>
      <c r="I8" s="22" t="n"/>
      <c r="J8" s="23" t="n"/>
      <c r="K8" s="24" t="n"/>
      <c r="L8" s="23" t="n"/>
      <c r="M8" s="25" t="n"/>
      <c r="N8" s="22" t="n"/>
      <c r="O8" s="22" t="n"/>
    </row>
    <row r="9">
      <c r="A9" s="15" t="n"/>
      <c r="B9" s="22" t="n"/>
      <c r="C9" s="22" t="n"/>
      <c r="D9" s="22" t="n"/>
      <c r="E9" s="22" t="n"/>
      <c r="F9" s="20" t="n"/>
      <c r="G9" s="22" t="n"/>
      <c r="H9" s="22" t="n"/>
      <c r="I9" s="22" t="n"/>
      <c r="J9" s="23" t="n"/>
      <c r="K9" s="24" t="n"/>
      <c r="L9" s="23" t="n"/>
      <c r="M9" s="25" t="n"/>
      <c r="N9" s="22" t="n"/>
      <c r="O9" s="22" t="n"/>
    </row>
    <row r="10">
      <c r="A10" s="15" t="n"/>
      <c r="B10" s="22" t="n"/>
      <c r="C10" s="22" t="n"/>
      <c r="D10" s="22" t="n"/>
      <c r="E10" s="22" t="n"/>
      <c r="F10" s="20" t="n"/>
      <c r="G10" s="22" t="n"/>
      <c r="H10" s="22" t="n"/>
      <c r="I10" s="22" t="n"/>
      <c r="J10" s="23" t="n"/>
      <c r="K10" s="24" t="n"/>
      <c r="L10" s="23" t="n"/>
      <c r="M10" s="25" t="n"/>
      <c r="N10" s="22" t="n"/>
      <c r="O10" s="22" t="n"/>
    </row>
    <row r="11">
      <c r="A11" s="15" t="n"/>
      <c r="B11" s="22" t="n"/>
      <c r="C11" s="22" t="n"/>
      <c r="D11" s="22" t="n"/>
      <c r="E11" s="22" t="n"/>
      <c r="F11" s="20" t="n"/>
      <c r="G11" s="22" t="n"/>
      <c r="H11" s="22" t="n"/>
      <c r="I11" s="22" t="n"/>
      <c r="J11" s="23" t="n"/>
      <c r="K11" s="24" t="n"/>
      <c r="L11" s="23" t="n"/>
      <c r="M11" s="25" t="n"/>
      <c r="N11" s="22" t="n"/>
      <c r="O11" s="22" t="n"/>
    </row>
    <row r="12">
      <c r="A12" s="15" t="n"/>
      <c r="B12" s="22" t="n"/>
      <c r="C12" s="22" t="n"/>
      <c r="D12" s="22" t="n"/>
      <c r="E12" s="22" t="n"/>
      <c r="F12" s="20" t="n"/>
      <c r="G12" s="22" t="n"/>
      <c r="H12" s="22" t="n"/>
      <c r="I12" s="22" t="n"/>
      <c r="J12" s="23" t="n"/>
      <c r="K12" s="24" t="n"/>
      <c r="L12" s="23" t="n"/>
      <c r="M12" s="25" t="n"/>
      <c r="N12" s="22" t="n"/>
      <c r="O12" s="22" t="n"/>
    </row>
    <row r="13">
      <c r="A13" s="15" t="n"/>
      <c r="B13" s="22" t="n"/>
      <c r="C13" s="22" t="n"/>
      <c r="D13" s="22" t="n"/>
      <c r="E13" s="22" t="n"/>
      <c r="F13" s="20" t="n"/>
      <c r="G13" s="22" t="n"/>
      <c r="H13" s="22" t="n"/>
      <c r="I13" s="22" t="n"/>
      <c r="J13" s="23" t="n"/>
      <c r="K13" s="24" t="n"/>
      <c r="L13" s="23" t="n"/>
      <c r="M13" s="25" t="n"/>
      <c r="N13" s="22" t="n"/>
      <c r="O13" s="22" t="n"/>
    </row>
    <row r="14">
      <c r="A14" s="15" t="n"/>
      <c r="B14" s="22" t="n"/>
      <c r="C14" s="22" t="n"/>
      <c r="D14" s="22" t="n"/>
      <c r="E14" s="22" t="n"/>
      <c r="F14" s="20" t="n"/>
      <c r="G14" s="22" t="n"/>
      <c r="H14" s="22" t="n"/>
      <c r="I14" s="22" t="n"/>
      <c r="J14" s="23" t="n"/>
      <c r="K14" s="24" t="n"/>
      <c r="L14" s="23" t="n"/>
      <c r="M14" s="25" t="n"/>
      <c r="N14" s="22" t="n"/>
      <c r="O14" s="22" t="n"/>
    </row>
    <row r="15">
      <c r="A15" s="15" t="n"/>
      <c r="B15" s="22" t="n"/>
      <c r="C15" s="22" t="n"/>
      <c r="D15" s="22" t="n"/>
      <c r="E15" s="22" t="n"/>
      <c r="F15" s="20" t="n"/>
      <c r="G15" s="22" t="n"/>
      <c r="H15" s="22" t="n"/>
      <c r="I15" s="22" t="n"/>
      <c r="J15" s="23" t="n"/>
      <c r="K15" s="24" t="n"/>
      <c r="L15" s="23" t="n"/>
      <c r="M15" s="25" t="n"/>
      <c r="N15" s="22" t="n"/>
      <c r="O15" s="22" t="n"/>
    </row>
    <row r="16">
      <c r="A16" s="15" t="n"/>
      <c r="B16" s="22" t="n"/>
      <c r="C16" s="22" t="n"/>
      <c r="D16" s="22" t="n"/>
      <c r="E16" s="22" t="n"/>
      <c r="F16" s="20" t="n"/>
      <c r="G16" s="22" t="n"/>
      <c r="H16" s="22" t="n"/>
      <c r="I16" s="22" t="n"/>
      <c r="J16" s="23" t="n"/>
      <c r="K16" s="24" t="n"/>
      <c r="L16" s="23" t="n"/>
      <c r="M16" s="25" t="n"/>
      <c r="N16" s="22" t="n"/>
      <c r="O16" s="22" t="n"/>
    </row>
    <row r="17">
      <c r="A17" s="15" t="n"/>
      <c r="B17" s="22" t="n"/>
      <c r="C17" s="22" t="n"/>
      <c r="D17" s="22" t="n"/>
      <c r="E17" s="22" t="n"/>
      <c r="F17" s="20" t="n"/>
      <c r="G17" s="22" t="n"/>
      <c r="H17" s="22" t="n"/>
      <c r="I17" s="22" t="n"/>
      <c r="J17" s="23" t="n"/>
      <c r="K17" s="24" t="n"/>
      <c r="L17" s="23" t="n"/>
      <c r="M17" s="25" t="n"/>
      <c r="N17" s="22" t="n"/>
      <c r="O17" s="22" t="n"/>
    </row>
    <row r="18">
      <c r="A18" s="15" t="n"/>
      <c r="B18" s="22" t="n"/>
      <c r="C18" s="22" t="n"/>
      <c r="D18" s="22" t="n"/>
      <c r="E18" s="22" t="n"/>
      <c r="F18" s="20" t="n"/>
      <c r="G18" s="22" t="n"/>
      <c r="H18" s="22" t="n"/>
      <c r="I18" s="22" t="n"/>
      <c r="J18" s="23" t="n"/>
      <c r="K18" s="24" t="n"/>
      <c r="L18" s="23" t="n"/>
      <c r="M18" s="25" t="n"/>
      <c r="N18" s="22" t="n"/>
      <c r="O18" s="22" t="n"/>
    </row>
    <row r="19">
      <c r="A19" s="15" t="n"/>
      <c r="B19" s="22" t="n"/>
      <c r="C19" s="22" t="n"/>
      <c r="D19" s="22" t="n"/>
      <c r="E19" s="22" t="n"/>
      <c r="F19" s="20" t="n"/>
      <c r="G19" s="22" t="n"/>
      <c r="H19" s="22" t="n"/>
      <c r="I19" s="22" t="n"/>
      <c r="J19" s="23" t="n"/>
      <c r="K19" s="24" t="n"/>
      <c r="L19" s="23" t="n"/>
      <c r="M19" s="25" t="n"/>
      <c r="N19" s="22" t="n"/>
      <c r="O19" s="22" t="n"/>
    </row>
    <row r="20">
      <c r="A20" s="15" t="n"/>
      <c r="B20" s="22" t="n"/>
      <c r="C20" s="22" t="n"/>
      <c r="D20" s="22" t="n"/>
      <c r="E20" s="22" t="n"/>
      <c r="F20" s="20" t="n"/>
      <c r="G20" s="22" t="n"/>
      <c r="H20" s="22" t="n"/>
      <c r="I20" s="22" t="n"/>
      <c r="J20" s="23" t="n"/>
      <c r="K20" s="24" t="n"/>
      <c r="L20" s="23" t="n"/>
      <c r="M20" s="25" t="n"/>
      <c r="N20" s="22" t="n"/>
      <c r="O20" s="22" t="n"/>
    </row>
    <row r="21">
      <c r="A21" s="15" t="n"/>
      <c r="B21" s="22" t="n"/>
      <c r="C21" s="22" t="n"/>
      <c r="D21" s="22" t="n"/>
      <c r="E21" s="22" t="n"/>
      <c r="F21" s="20" t="n"/>
      <c r="G21" s="22" t="n"/>
      <c r="H21" s="22" t="n"/>
      <c r="I21" s="22" t="n"/>
      <c r="J21" s="23" t="n"/>
      <c r="K21" s="24" t="n"/>
      <c r="L21" s="23" t="n"/>
      <c r="M21" s="25" t="n"/>
      <c r="N21" s="22" t="n"/>
      <c r="O21" s="22" t="n"/>
    </row>
    <row r="22">
      <c r="A22" s="15" t="n"/>
      <c r="B22" s="22" t="n"/>
      <c r="C22" s="22" t="n"/>
      <c r="D22" s="22" t="n"/>
      <c r="E22" s="22" t="n"/>
      <c r="F22" s="20" t="n"/>
      <c r="G22" s="22" t="n"/>
      <c r="H22" s="22" t="n"/>
      <c r="I22" s="22" t="n"/>
      <c r="J22" s="23" t="n"/>
      <c r="K22" s="24" t="n"/>
      <c r="L22" s="23" t="n"/>
      <c r="M22" s="25" t="n"/>
      <c r="N22" s="22" t="n"/>
      <c r="O22" s="22" t="n"/>
    </row>
    <row r="23">
      <c r="A23" s="15" t="n"/>
      <c r="B23" s="22" t="n"/>
      <c r="C23" s="22" t="n"/>
      <c r="D23" s="22" t="n"/>
      <c r="E23" s="22" t="n"/>
      <c r="F23" s="20" t="n"/>
      <c r="G23" s="22" t="n"/>
      <c r="H23" s="22" t="n"/>
      <c r="I23" s="22" t="n"/>
      <c r="J23" s="23" t="n"/>
      <c r="K23" s="24" t="n"/>
      <c r="L23" s="23" t="n"/>
      <c r="M23" s="25" t="n"/>
      <c r="N23" s="22" t="n"/>
      <c r="O23" s="22" t="n"/>
    </row>
    <row r="24">
      <c r="A24" s="15" t="n"/>
      <c r="B24" s="22" t="n"/>
      <c r="C24" s="22" t="n"/>
      <c r="D24" s="22" t="n"/>
      <c r="E24" s="22" t="n"/>
      <c r="F24" s="20" t="n"/>
      <c r="G24" s="22" t="n"/>
      <c r="H24" s="22" t="n"/>
      <c r="I24" s="22" t="n"/>
      <c r="J24" s="23" t="n"/>
      <c r="K24" s="24" t="n"/>
      <c r="L24" s="23" t="n"/>
      <c r="M24" s="25" t="n"/>
      <c r="N24" s="22" t="n"/>
      <c r="O24" s="22" t="n"/>
    </row>
    <row r="25">
      <c r="A25" s="15" t="n"/>
      <c r="B25" s="22" t="n"/>
      <c r="C25" s="22" t="n"/>
      <c r="D25" s="22" t="n"/>
      <c r="E25" s="22" t="n"/>
      <c r="F25" s="20" t="n"/>
      <c r="G25" s="22" t="n"/>
      <c r="H25" s="22" t="n"/>
      <c r="I25" s="22" t="n"/>
      <c r="J25" s="23" t="n"/>
      <c r="K25" s="24" t="n"/>
      <c r="L25" s="23" t="n"/>
      <c r="M25" s="25" t="n"/>
      <c r="N25" s="22" t="n"/>
      <c r="O25" s="22" t="n"/>
    </row>
    <row r="26">
      <c r="A26" s="15" t="n"/>
      <c r="B26" s="22" t="n"/>
      <c r="C26" s="22" t="n"/>
      <c r="D26" s="22" t="n"/>
      <c r="E26" s="22" t="n"/>
      <c r="F26" s="20" t="n"/>
      <c r="G26" s="22" t="n"/>
      <c r="H26" s="22" t="n"/>
      <c r="I26" s="22" t="n"/>
      <c r="J26" s="23" t="n"/>
      <c r="K26" s="24" t="n"/>
      <c r="L26" s="23" t="n"/>
      <c r="M26" s="25" t="n"/>
      <c r="N26" s="22" t="n"/>
      <c r="O26" s="22" t="n"/>
    </row>
    <row r="27">
      <c r="A27" s="15" t="n"/>
      <c r="B27" s="22" t="n"/>
      <c r="C27" s="22" t="n"/>
      <c r="D27" s="22" t="n"/>
      <c r="E27" s="22" t="n"/>
      <c r="F27" s="20" t="n"/>
      <c r="G27" s="22" t="n"/>
      <c r="H27" s="22" t="n"/>
      <c r="I27" s="22" t="n"/>
      <c r="J27" s="23" t="n"/>
      <c r="K27" s="24" t="n"/>
      <c r="L27" s="23" t="n"/>
      <c r="M27" s="25" t="n"/>
      <c r="N27" s="22" t="n"/>
      <c r="O27" s="22" t="n"/>
    </row>
    <row r="28">
      <c r="A28" s="15" t="n"/>
      <c r="B28" s="22" t="n"/>
      <c r="C28" s="22" t="n"/>
      <c r="D28" s="22" t="n"/>
      <c r="E28" s="22" t="n"/>
      <c r="F28" s="20" t="n"/>
      <c r="G28" s="22" t="n"/>
      <c r="H28" s="22" t="n"/>
      <c r="I28" s="22" t="n"/>
      <c r="J28" s="23" t="n"/>
      <c r="K28" s="24" t="n"/>
      <c r="L28" s="23" t="n"/>
      <c r="M28" s="25" t="n"/>
      <c r="N28" s="22" t="n"/>
      <c r="O28" s="22" t="n"/>
    </row>
    <row r="29">
      <c r="A29" s="15" t="n"/>
      <c r="B29" s="22" t="n"/>
      <c r="C29" s="22" t="n"/>
      <c r="D29" s="22" t="n"/>
      <c r="E29" s="22" t="n"/>
      <c r="F29" s="20" t="n"/>
      <c r="G29" s="22" t="n"/>
      <c r="H29" s="22" t="n"/>
      <c r="I29" s="22" t="n"/>
      <c r="J29" s="23" t="n"/>
      <c r="K29" s="24" t="n"/>
      <c r="L29" s="23" t="n"/>
      <c r="M29" s="25" t="n"/>
      <c r="N29" s="22" t="n"/>
      <c r="O29" s="22" t="n"/>
    </row>
    <row r="30">
      <c r="A30" s="15" t="n"/>
      <c r="B30" s="22" t="n"/>
      <c r="C30" s="22" t="n"/>
      <c r="D30" s="22" t="n"/>
      <c r="E30" s="22" t="n"/>
      <c r="F30" s="20" t="n"/>
      <c r="G30" s="22" t="n"/>
      <c r="H30" s="22" t="n"/>
      <c r="I30" s="22" t="n"/>
      <c r="J30" s="23" t="n"/>
      <c r="K30" s="24" t="n"/>
      <c r="L30" s="23" t="n"/>
      <c r="M30" s="25" t="n"/>
      <c r="N30" s="22" t="n"/>
      <c r="O30" s="22" t="n"/>
    </row>
    <row r="31">
      <c r="A31" s="15" t="n"/>
      <c r="B31" s="22" t="n"/>
      <c r="C31" s="22" t="n"/>
      <c r="D31" s="22" t="n"/>
      <c r="E31" s="22" t="n"/>
      <c r="F31" s="20" t="n"/>
      <c r="G31" s="22" t="n"/>
      <c r="H31" s="22" t="n"/>
      <c r="I31" s="22" t="n"/>
      <c r="J31" s="23" t="n"/>
      <c r="K31" s="24" t="n"/>
      <c r="L31" s="23" t="n"/>
      <c r="M31" s="25" t="n"/>
      <c r="N31" s="22" t="n"/>
      <c r="O31" s="22" t="n"/>
    </row>
    <row r="32">
      <c r="A32" s="15" t="n"/>
      <c r="B32" s="22" t="n"/>
      <c r="C32" s="22" t="n"/>
      <c r="D32" s="22" t="n"/>
      <c r="E32" s="22" t="n"/>
      <c r="F32" s="20" t="n"/>
      <c r="G32" s="22" t="n"/>
      <c r="H32" s="22" t="n"/>
      <c r="I32" s="22" t="n"/>
      <c r="J32" s="23" t="n"/>
      <c r="K32" s="24" t="n"/>
      <c r="L32" s="23" t="n"/>
      <c r="M32" s="25" t="n"/>
      <c r="N32" s="22" t="n"/>
      <c r="O32" s="22" t="n"/>
    </row>
    <row r="33">
      <c r="A33" s="15" t="n"/>
      <c r="B33" s="22" t="n"/>
      <c r="C33" s="22" t="n"/>
      <c r="D33" s="22" t="n"/>
      <c r="E33" s="22" t="n"/>
      <c r="F33" s="20" t="n"/>
      <c r="G33" s="22" t="n"/>
      <c r="H33" s="22" t="n"/>
      <c r="I33" s="22" t="n"/>
      <c r="J33" s="23" t="n"/>
      <c r="K33" s="24" t="n"/>
      <c r="L33" s="23" t="n"/>
      <c r="M33" s="25" t="n"/>
      <c r="N33" s="22" t="n"/>
      <c r="O33" s="22" t="n"/>
    </row>
    <row r="34">
      <c r="A34" s="15" t="n"/>
      <c r="B34" s="22" t="n"/>
      <c r="C34" s="22" t="n"/>
      <c r="D34" s="22" t="n"/>
      <c r="E34" s="22" t="n"/>
      <c r="F34" s="20" t="n"/>
      <c r="G34" s="22" t="n"/>
      <c r="H34" s="22" t="n"/>
      <c r="I34" s="22" t="n"/>
      <c r="J34" s="23" t="n"/>
      <c r="K34" s="24" t="n"/>
      <c r="L34" s="23" t="n"/>
      <c r="M34" s="25" t="n"/>
      <c r="N34" s="22" t="n"/>
      <c r="O34" s="22" t="n"/>
    </row>
    <row r="35">
      <c r="A35" s="15" t="n"/>
      <c r="B35" s="22" t="n"/>
      <c r="C35" s="22" t="n"/>
      <c r="D35" s="22" t="n"/>
      <c r="E35" s="22" t="n"/>
      <c r="F35" s="20" t="n"/>
      <c r="G35" s="22" t="n"/>
      <c r="H35" s="22" t="n"/>
      <c r="I35" s="22" t="n"/>
      <c r="J35" s="23" t="n"/>
      <c r="K35" s="24" t="n"/>
      <c r="L35" s="23" t="n"/>
      <c r="M35" s="25" t="n"/>
      <c r="N35" s="22" t="n"/>
      <c r="O35" s="22" t="n"/>
    </row>
    <row r="36">
      <c r="A36" s="15" t="n"/>
      <c r="B36" s="22" t="n"/>
      <c r="C36" s="22" t="n"/>
      <c r="D36" s="22" t="n"/>
      <c r="E36" s="22" t="n"/>
      <c r="F36" s="20" t="n"/>
      <c r="G36" s="22" t="n"/>
      <c r="H36" s="22" t="n"/>
      <c r="I36" s="22" t="n"/>
      <c r="J36" s="23" t="n"/>
      <c r="K36" s="24" t="n"/>
      <c r="L36" s="23" t="n"/>
      <c r="M36" s="25" t="n"/>
      <c r="N36" s="22" t="n"/>
      <c r="O36" s="22" t="n"/>
    </row>
    <row r="37">
      <c r="A37" s="15" t="n"/>
      <c r="B37" s="22" t="n"/>
      <c r="C37" s="22" t="n"/>
      <c r="D37" s="22" t="n"/>
      <c r="E37" s="22" t="n"/>
      <c r="F37" s="20" t="n"/>
      <c r="G37" s="22" t="n"/>
      <c r="H37" s="22" t="n"/>
      <c r="I37" s="22" t="n"/>
      <c r="J37" s="23" t="n"/>
      <c r="K37" s="24" t="n"/>
      <c r="L37" s="23" t="n"/>
      <c r="M37" s="25" t="n"/>
      <c r="N37" s="22" t="n"/>
      <c r="O37" s="22" t="n"/>
    </row>
    <row r="38">
      <c r="A38" s="15" t="n"/>
      <c r="B38" s="22" t="n"/>
      <c r="C38" s="22" t="n"/>
      <c r="D38" s="22" t="n"/>
      <c r="E38" s="22" t="n"/>
      <c r="F38" s="20" t="n"/>
      <c r="G38" s="22" t="n"/>
      <c r="H38" s="22" t="n"/>
      <c r="I38" s="22" t="n"/>
      <c r="J38" s="23" t="n"/>
      <c r="K38" s="24" t="n"/>
      <c r="L38" s="23" t="n"/>
      <c r="M38" s="25" t="n"/>
      <c r="N38" s="22" t="n"/>
      <c r="O38" s="22" t="n"/>
    </row>
    <row r="39">
      <c r="A39" s="15" t="n"/>
      <c r="B39" s="22" t="n"/>
      <c r="C39" s="22" t="n"/>
      <c r="D39" s="22" t="n"/>
      <c r="E39" s="22" t="n"/>
      <c r="F39" s="20" t="n"/>
      <c r="G39" s="22" t="n"/>
      <c r="H39" s="22" t="n"/>
      <c r="I39" s="22" t="n"/>
      <c r="J39" s="23" t="n"/>
      <c r="K39" s="24" t="n"/>
      <c r="L39" s="23" t="n"/>
      <c r="M39" s="25" t="n"/>
      <c r="N39" s="22" t="n"/>
      <c r="O39" s="22" t="n"/>
    </row>
    <row r="40">
      <c r="A40" s="15" t="n"/>
      <c r="B40" s="22" t="n"/>
      <c r="C40" s="22" t="n"/>
      <c r="D40" s="22" t="n"/>
      <c r="E40" s="22" t="n"/>
      <c r="F40" s="20" t="n"/>
      <c r="G40" s="22" t="n"/>
      <c r="H40" s="22" t="n"/>
      <c r="I40" s="22" t="n"/>
      <c r="J40" s="23" t="n"/>
      <c r="K40" s="24" t="n"/>
      <c r="L40" s="23" t="n"/>
      <c r="M40" s="25" t="n"/>
      <c r="N40" s="22" t="n"/>
      <c r="O40" s="22" t="n"/>
    </row>
    <row r="41">
      <c r="A41" s="15" t="n"/>
      <c r="B41" s="22" t="n"/>
      <c r="C41" s="22" t="n"/>
      <c r="D41" s="22" t="n"/>
      <c r="E41" s="22" t="n"/>
      <c r="F41" s="20" t="n"/>
      <c r="G41" s="22" t="n"/>
      <c r="H41" s="22" t="n"/>
      <c r="I41" s="22" t="n"/>
      <c r="J41" s="23" t="n"/>
      <c r="K41" s="24" t="n"/>
      <c r="L41" s="23" t="n"/>
      <c r="M41" s="25" t="n"/>
      <c r="N41" s="22" t="n"/>
      <c r="O41" s="22" t="n"/>
    </row>
    <row r="42">
      <c r="A42" s="15" t="n"/>
      <c r="B42" s="22" t="n"/>
      <c r="C42" s="22" t="n"/>
      <c r="D42" s="22" t="n"/>
      <c r="E42" s="22" t="n"/>
      <c r="F42" s="20" t="n"/>
      <c r="G42" s="22" t="n"/>
      <c r="H42" s="22" t="n"/>
      <c r="I42" s="22" t="n"/>
      <c r="J42" s="23" t="n"/>
      <c r="K42" s="24" t="n"/>
      <c r="L42" s="23" t="n"/>
      <c r="M42" s="25" t="n"/>
      <c r="N42" s="22" t="n"/>
      <c r="O42" s="22" t="n"/>
    </row>
    <row r="43">
      <c r="A43" s="15" t="n"/>
      <c r="B43" s="22" t="n"/>
      <c r="C43" s="22" t="n"/>
      <c r="D43" s="22" t="n"/>
      <c r="E43" s="22" t="n"/>
      <c r="F43" s="20" t="n"/>
      <c r="G43" s="22" t="n"/>
      <c r="H43" s="22" t="n"/>
      <c r="I43" s="22" t="n"/>
      <c r="J43" s="23" t="n"/>
      <c r="K43" s="24" t="n"/>
      <c r="L43" s="23" t="n"/>
      <c r="M43" s="25" t="n"/>
      <c r="N43" s="22" t="n"/>
      <c r="O43" s="22" t="n"/>
    </row>
    <row r="44">
      <c r="A44" s="15" t="n"/>
      <c r="B44" s="22" t="n"/>
      <c r="C44" s="22" t="n"/>
      <c r="D44" s="22" t="n"/>
      <c r="E44" s="22" t="n"/>
      <c r="F44" s="20" t="n"/>
      <c r="G44" s="22" t="n"/>
      <c r="H44" s="22" t="n"/>
      <c r="I44" s="22" t="n"/>
      <c r="J44" s="23" t="n"/>
      <c r="K44" s="24" t="n"/>
      <c r="L44" s="23" t="n"/>
      <c r="M44" s="25" t="n"/>
      <c r="N44" s="22" t="n"/>
      <c r="O44" s="22" t="n"/>
    </row>
    <row r="45">
      <c r="A45" s="15" t="n"/>
      <c r="B45" s="22" t="n"/>
      <c r="C45" s="22" t="n"/>
      <c r="D45" s="22" t="n"/>
      <c r="E45" s="22" t="n"/>
      <c r="F45" s="20" t="n"/>
      <c r="G45" s="22" t="n"/>
      <c r="H45" s="22" t="n"/>
      <c r="I45" s="22" t="n"/>
      <c r="J45" s="23" t="n"/>
      <c r="K45" s="24" t="n"/>
      <c r="L45" s="23" t="n"/>
      <c r="M45" s="25" t="n"/>
      <c r="N45" s="22" t="n"/>
      <c r="O45" s="22" t="n"/>
    </row>
    <row r="46">
      <c r="A46" s="15" t="n"/>
      <c r="B46" s="22" t="n"/>
      <c r="C46" s="22" t="n"/>
      <c r="D46" s="22" t="n"/>
      <c r="E46" s="22" t="n"/>
      <c r="F46" s="20" t="n"/>
      <c r="G46" s="22" t="n"/>
      <c r="H46" s="22" t="n"/>
      <c r="I46" s="22" t="n"/>
      <c r="J46" s="23" t="n"/>
      <c r="K46" s="24" t="n"/>
      <c r="L46" s="23" t="n"/>
      <c r="M46" s="25" t="n"/>
      <c r="N46" s="22" t="n"/>
      <c r="O46" s="22" t="n"/>
    </row>
    <row r="47">
      <c r="A47" s="15" t="n"/>
      <c r="B47" s="22" t="n"/>
      <c r="C47" s="22" t="n"/>
      <c r="D47" s="22" t="n"/>
      <c r="E47" s="22" t="n"/>
      <c r="F47" s="20" t="n"/>
      <c r="G47" s="22" t="n"/>
      <c r="H47" s="22" t="n"/>
      <c r="I47" s="22" t="n"/>
      <c r="J47" s="23" t="n"/>
      <c r="K47" s="24" t="n"/>
      <c r="L47" s="23" t="n"/>
      <c r="M47" s="25" t="n"/>
      <c r="N47" s="22" t="n"/>
      <c r="O47" s="22" t="n"/>
    </row>
    <row r="48">
      <c r="A48" s="15" t="n"/>
      <c r="B48" s="22" t="n"/>
      <c r="C48" s="22" t="n"/>
      <c r="D48" s="22" t="n"/>
      <c r="E48" s="22" t="n"/>
      <c r="F48" s="20" t="n"/>
      <c r="G48" s="22" t="n"/>
      <c r="H48" s="22" t="n"/>
      <c r="I48" s="22" t="n"/>
      <c r="J48" s="23" t="n"/>
      <c r="K48" s="24" t="n"/>
      <c r="L48" s="23" t="n"/>
      <c r="M48" s="25" t="n"/>
      <c r="N48" s="22" t="n"/>
      <c r="O48" s="22" t="n"/>
    </row>
    <row r="49">
      <c r="A49" s="15" t="n"/>
      <c r="B49" s="22" t="n"/>
      <c r="C49" s="22" t="n"/>
      <c r="D49" s="22" t="n"/>
      <c r="E49" s="22" t="n"/>
      <c r="F49" s="20" t="n"/>
      <c r="G49" s="22" t="n"/>
      <c r="H49" s="22" t="n"/>
      <c r="I49" s="22" t="n"/>
      <c r="J49" s="23" t="n"/>
      <c r="K49" s="24" t="n"/>
      <c r="L49" s="23" t="n"/>
      <c r="M49" s="25" t="n"/>
      <c r="N49" s="22" t="n"/>
      <c r="O49" s="22" t="n"/>
    </row>
    <row r="50">
      <c r="A50" s="15" t="n"/>
      <c r="B50" s="22" t="n"/>
      <c r="C50" s="22" t="n"/>
      <c r="D50" s="22" t="n"/>
      <c r="E50" s="22" t="n"/>
      <c r="F50" s="20" t="n"/>
      <c r="G50" s="22" t="n"/>
      <c r="H50" s="22" t="n"/>
      <c r="I50" s="22" t="n"/>
      <c r="J50" s="23" t="n"/>
      <c r="K50" s="24" t="n"/>
      <c r="L50" s="23" t="n"/>
      <c r="M50" s="25" t="n"/>
      <c r="N50" s="22" t="n"/>
      <c r="O50" s="22" t="n"/>
    </row>
    <row r="51">
      <c r="A51" s="15" t="n"/>
      <c r="B51" s="22" t="n"/>
      <c r="C51" s="22" t="n"/>
      <c r="D51" s="22" t="n"/>
      <c r="E51" s="22" t="n"/>
      <c r="F51" s="20" t="n"/>
      <c r="G51" s="22" t="n"/>
      <c r="H51" s="22" t="n"/>
      <c r="I51" s="22" t="n"/>
      <c r="J51" s="23" t="n"/>
      <c r="K51" s="24" t="n"/>
      <c r="L51" s="23" t="n"/>
      <c r="M51" s="25" t="n"/>
      <c r="N51" s="22" t="n"/>
      <c r="O51" s="22" t="n"/>
    </row>
    <row r="52">
      <c r="A52" s="15" t="n"/>
      <c r="B52" s="22" t="n"/>
      <c r="C52" s="22" t="n"/>
      <c r="D52" s="22" t="n"/>
      <c r="E52" s="22" t="n"/>
      <c r="F52" s="20" t="n"/>
      <c r="G52" s="22" t="n"/>
      <c r="H52" s="22" t="n"/>
      <c r="I52" s="22" t="n"/>
      <c r="J52" s="23" t="n"/>
      <c r="K52" s="24" t="n"/>
      <c r="L52" s="23" t="n"/>
      <c r="M52" s="25" t="n"/>
      <c r="N52" s="22" t="n"/>
      <c r="O52" s="22" t="n"/>
    </row>
    <row r="53">
      <c r="A53" s="15" t="n"/>
      <c r="B53" s="22" t="n"/>
      <c r="C53" s="22" t="n"/>
      <c r="D53" s="22" t="n"/>
      <c r="E53" s="22" t="n"/>
      <c r="F53" s="20" t="n"/>
      <c r="G53" s="22" t="n"/>
      <c r="H53" s="22" t="n"/>
      <c r="I53" s="22" t="n"/>
      <c r="J53" s="23" t="n"/>
      <c r="K53" s="24" t="n"/>
      <c r="L53" s="23" t="n"/>
      <c r="M53" s="25" t="n"/>
      <c r="N53" s="22" t="n"/>
      <c r="O53" s="22" t="n"/>
    </row>
    <row r="54">
      <c r="A54" s="15" t="n"/>
      <c r="B54" s="22" t="n"/>
      <c r="C54" s="22" t="n"/>
      <c r="D54" s="22" t="n"/>
      <c r="E54" s="22" t="n"/>
      <c r="F54" s="20" t="n"/>
      <c r="G54" s="22" t="n"/>
      <c r="H54" s="22" t="n"/>
      <c r="I54" s="22" t="n"/>
      <c r="J54" s="23" t="n"/>
      <c r="K54" s="24" t="n"/>
      <c r="L54" s="23" t="n"/>
      <c r="M54" s="25" t="n"/>
      <c r="N54" s="22" t="n"/>
      <c r="O54" s="22" t="n"/>
    </row>
    <row r="55">
      <c r="A55" s="15" t="n"/>
      <c r="B55" s="22" t="n"/>
      <c r="C55" s="22" t="n"/>
      <c r="D55" s="22" t="n"/>
      <c r="E55" s="22" t="n"/>
      <c r="F55" s="20" t="n"/>
      <c r="G55" s="22" t="n"/>
      <c r="H55" s="22" t="n"/>
      <c r="I55" s="22" t="n"/>
      <c r="J55" s="23" t="n"/>
      <c r="K55" s="24" t="n"/>
      <c r="L55" s="23" t="n"/>
      <c r="M55" s="25" t="n"/>
      <c r="N55" s="22" t="n"/>
      <c r="O55" s="22" t="n"/>
    </row>
    <row r="57">
      <c r="A57" s="17" t="inlineStr">
        <is>
          <t>PRODUCTION SUMMARY</t>
        </is>
      </c>
    </row>
    <row r="58">
      <c r="A58" s="18" t="inlineStr">
        <is>
          <t>Total Products:</t>
        </is>
      </c>
      <c r="B58" s="18">
        <f>COUNTA(C6:C55)</f>
        <v/>
      </c>
    </row>
    <row r="59">
      <c r="A59" s="18" t="inlineStr">
        <is>
          <t>Published This Quarter:</t>
        </is>
      </c>
      <c r="B59" s="18">
        <f>COUNTIF(N6:N55,"Published")</f>
        <v/>
      </c>
    </row>
    <row r="60">
      <c r="A60" s="18" t="inlineStr">
        <is>
          <t>Avg Feedback Rating:</t>
        </is>
      </c>
      <c r="B60" s="26">
        <f>AVERAGE(J6:J55)</f>
        <v/>
      </c>
    </row>
    <row r="61">
      <c r="A61" s="18" t="inlineStr">
        <is>
          <t>Avg Consumption Rate:</t>
        </is>
      </c>
      <c r="B61" s="27">
        <f>AVERAGE(K6:K55)</f>
        <v/>
      </c>
    </row>
    <row r="62">
      <c r="A62" s="18" t="inlineStr">
        <is>
          <t>Avg Time to Produce (hrs):</t>
        </is>
      </c>
      <c r="B62" s="26">
        <f>AVERAGE(M6:M55)</f>
        <v/>
      </c>
    </row>
  </sheetData>
  <mergeCells count="3">
    <mergeCell ref="A1:O1"/>
    <mergeCell ref="A57:D57"/>
    <mergeCell ref="A2:O2"/>
  </mergeCells>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30" customWidth="1" min="7" max="7"/>
    <col width="18" customWidth="1" min="8" max="8"/>
    <col width="18" customWidth="1" min="9" max="9"/>
    <col width="25" customWidth="1" min="10" max="10"/>
    <col width="30" customWidth="1" min="11" max="11"/>
    <col width="30" customWidth="1" min="12" max="12"/>
  </cols>
  <sheetData>
    <row r="1" ht="35" customHeight="1">
      <c r="A1" s="11" t="inlineStr">
        <is>
          <t>MITRE ATT&amp;CK TECHNIQUE COVERAGE</t>
        </is>
      </c>
    </row>
    <row r="2">
      <c r="A2" s="12" t="inlineStr">
        <is>
          <t>Assess threat intelligence coverage of MITRE ATT&amp;CK techniques. Focus on techniques relevant to your threat landscape.</t>
        </is>
      </c>
    </row>
    <row r="4">
      <c r="A4" s="13" t="inlineStr">
        <is>
          <t>Technique ID</t>
        </is>
      </c>
      <c r="B4" s="13" t="inlineStr">
        <is>
          <t>Tactic</t>
        </is>
      </c>
      <c r="C4" s="13" t="inlineStr">
        <is>
          <t>Technique Name</t>
        </is>
      </c>
      <c r="D4" s="13" t="inlineStr">
        <is>
          <t>Sub Technique</t>
        </is>
      </c>
      <c r="E4" s="13" t="inlineStr">
        <is>
          <t>Priority for Org</t>
        </is>
      </c>
      <c r="F4" s="13" t="inlineStr">
        <is>
          <t>Coverage Level</t>
        </is>
      </c>
      <c r="G4" s="13" t="inlineStr">
        <is>
          <t>Intelligence Sources</t>
        </is>
      </c>
      <c r="H4" s="13" t="inlineStr">
        <is>
          <t>Last Intelligence Update</t>
        </is>
      </c>
      <c r="I4" s="13" t="inlineStr">
        <is>
          <t>Detection Capability</t>
        </is>
      </c>
      <c r="J4" s="13" t="inlineStr">
        <is>
          <t>Use Cases Identified</t>
        </is>
      </c>
      <c r="K4" s="13" t="inlineStr">
        <is>
          <t>Gap Analysis</t>
        </is>
      </c>
      <c r="L4" s="13" t="inlineStr">
        <is>
          <t>Notes</t>
        </is>
      </c>
    </row>
    <row r="5">
      <c r="A5" s="14" t="inlineStr">
        <is>
          <t>T1190</t>
        </is>
      </c>
      <c r="B5" s="14" t="inlineStr">
        <is>
          <t>Initial Access</t>
        </is>
      </c>
      <c r="C5" s="14" t="inlineStr">
        <is>
          <t>Exploit Public-Facing Application</t>
        </is>
      </c>
      <c r="D5" s="14" t="n"/>
      <c r="E5" s="14" t="inlineStr">
        <is>
          <t>Critical</t>
        </is>
      </c>
      <c r="F5" s="14" t="inlineStr">
        <is>
          <t>Partial</t>
        </is>
      </c>
      <c r="G5" s="14" t="inlineStr">
        <is>
          <t>OSINT Feed, Commercial TI</t>
        </is>
      </c>
      <c r="H5" s="28" t="n"/>
      <c r="I5" s="14" t="inlineStr">
        <is>
          <t>Yes</t>
        </is>
      </c>
      <c r="J5" s="14" t="inlineStr">
        <is>
          <t>Phishing, Malware delivery</t>
        </is>
      </c>
      <c r="K5" s="14" t="inlineStr">
        <is>
          <t>Coverage gap on sub-techniques</t>
        </is>
      </c>
      <c r="L5" s="14" t="n"/>
    </row>
    <row r="6">
      <c r="A6" s="4" t="n"/>
      <c r="B6" s="4" t="n"/>
      <c r="C6" s="4" t="n"/>
      <c r="D6" s="4" t="n"/>
      <c r="E6" s="4" t="n"/>
      <c r="F6" s="4" t="n"/>
      <c r="G6" s="4" t="n"/>
      <c r="H6" s="16" t="n"/>
      <c r="I6" s="4" t="n"/>
      <c r="J6" s="4" t="n"/>
      <c r="K6" s="4" t="n"/>
      <c r="L6" s="4" t="n"/>
    </row>
    <row r="7">
      <c r="A7" s="4" t="n"/>
      <c r="B7" s="4" t="n"/>
      <c r="C7" s="4" t="n"/>
      <c r="D7" s="4" t="n"/>
      <c r="E7" s="4" t="n"/>
      <c r="F7" s="4" t="n"/>
      <c r="G7" s="4" t="n"/>
      <c r="H7" s="16" t="n"/>
      <c r="I7" s="4" t="n"/>
      <c r="J7" s="4" t="n"/>
      <c r="K7" s="4" t="n"/>
      <c r="L7" s="4" t="n"/>
    </row>
    <row r="8">
      <c r="A8" s="4" t="n"/>
      <c r="B8" s="4" t="n"/>
      <c r="C8" s="4" t="n"/>
      <c r="D8" s="4" t="n"/>
      <c r="E8" s="4" t="n"/>
      <c r="F8" s="4" t="n"/>
      <c r="G8" s="4" t="n"/>
      <c r="H8" s="16" t="n"/>
      <c r="I8" s="4" t="n"/>
      <c r="J8" s="4" t="n"/>
      <c r="K8" s="4" t="n"/>
      <c r="L8" s="4" t="n"/>
    </row>
    <row r="9">
      <c r="A9" s="4" t="n"/>
      <c r="B9" s="4" t="n"/>
      <c r="C9" s="4" t="n"/>
      <c r="D9" s="4" t="n"/>
      <c r="E9" s="4" t="n"/>
      <c r="F9" s="4" t="n"/>
      <c r="G9" s="4" t="n"/>
      <c r="H9" s="16" t="n"/>
      <c r="I9" s="4" t="n"/>
      <c r="J9" s="4" t="n"/>
      <c r="K9" s="4" t="n"/>
      <c r="L9" s="4" t="n"/>
    </row>
    <row r="10">
      <c r="A10" s="4" t="n"/>
      <c r="B10" s="4" t="n"/>
      <c r="C10" s="4" t="n"/>
      <c r="D10" s="4" t="n"/>
      <c r="E10" s="4" t="n"/>
      <c r="F10" s="4" t="n"/>
      <c r="G10" s="4" t="n"/>
      <c r="H10" s="16" t="n"/>
      <c r="I10" s="4" t="n"/>
      <c r="J10" s="4" t="n"/>
      <c r="K10" s="4" t="n"/>
      <c r="L10" s="4" t="n"/>
    </row>
    <row r="11">
      <c r="A11" s="4" t="n"/>
      <c r="B11" s="4" t="n"/>
      <c r="C11" s="4" t="n"/>
      <c r="D11" s="4" t="n"/>
      <c r="E11" s="4" t="n"/>
      <c r="F11" s="4" t="n"/>
      <c r="G11" s="4" t="n"/>
      <c r="H11" s="16" t="n"/>
      <c r="I11" s="4" t="n"/>
      <c r="J11" s="4" t="n"/>
      <c r="K11" s="4" t="n"/>
      <c r="L11" s="4" t="n"/>
    </row>
    <row r="12">
      <c r="A12" s="4" t="n"/>
      <c r="B12" s="4" t="n"/>
      <c r="C12" s="4" t="n"/>
      <c r="D12" s="4" t="n"/>
      <c r="E12" s="4" t="n"/>
      <c r="F12" s="4" t="n"/>
      <c r="G12" s="4" t="n"/>
      <c r="H12" s="16" t="n"/>
      <c r="I12" s="4" t="n"/>
      <c r="J12" s="4" t="n"/>
      <c r="K12" s="4" t="n"/>
      <c r="L12" s="4" t="n"/>
    </row>
    <row r="13">
      <c r="A13" s="4" t="n"/>
      <c r="B13" s="4" t="n"/>
      <c r="C13" s="4" t="n"/>
      <c r="D13" s="4" t="n"/>
      <c r="E13" s="4" t="n"/>
      <c r="F13" s="4" t="n"/>
      <c r="G13" s="4" t="n"/>
      <c r="H13" s="16" t="n"/>
      <c r="I13" s="4" t="n"/>
      <c r="J13" s="4" t="n"/>
      <c r="K13" s="4" t="n"/>
      <c r="L13" s="4" t="n"/>
    </row>
    <row r="14">
      <c r="A14" s="4" t="n"/>
      <c r="B14" s="4" t="n"/>
      <c r="C14" s="4" t="n"/>
      <c r="D14" s="4" t="n"/>
      <c r="E14" s="4" t="n"/>
      <c r="F14" s="4" t="n"/>
      <c r="G14" s="4" t="n"/>
      <c r="H14" s="16" t="n"/>
      <c r="I14" s="4" t="n"/>
      <c r="J14" s="4" t="n"/>
      <c r="K14" s="4" t="n"/>
      <c r="L14" s="4" t="n"/>
    </row>
    <row r="15">
      <c r="A15" s="4" t="n"/>
      <c r="B15" s="4" t="n"/>
      <c r="C15" s="4" t="n"/>
      <c r="D15" s="4" t="n"/>
      <c r="E15" s="4" t="n"/>
      <c r="F15" s="4" t="n"/>
      <c r="G15" s="4" t="n"/>
      <c r="H15" s="16" t="n"/>
      <c r="I15" s="4" t="n"/>
      <c r="J15" s="4" t="n"/>
      <c r="K15" s="4" t="n"/>
      <c r="L15" s="4" t="n"/>
    </row>
    <row r="16">
      <c r="A16" s="4" t="n"/>
      <c r="B16" s="4" t="n"/>
      <c r="C16" s="4" t="n"/>
      <c r="D16" s="4" t="n"/>
      <c r="E16" s="4" t="n"/>
      <c r="F16" s="4" t="n"/>
      <c r="G16" s="4" t="n"/>
      <c r="H16" s="16" t="n"/>
      <c r="I16" s="4" t="n"/>
      <c r="J16" s="4" t="n"/>
      <c r="K16" s="4" t="n"/>
      <c r="L16" s="4" t="n"/>
    </row>
    <row r="17">
      <c r="A17" s="4" t="n"/>
      <c r="B17" s="4" t="n"/>
      <c r="C17" s="4" t="n"/>
      <c r="D17" s="4" t="n"/>
      <c r="E17" s="4" t="n"/>
      <c r="F17" s="4" t="n"/>
      <c r="G17" s="4" t="n"/>
      <c r="H17" s="16" t="n"/>
      <c r="I17" s="4" t="n"/>
      <c r="J17" s="4" t="n"/>
      <c r="K17" s="4" t="n"/>
      <c r="L17" s="4" t="n"/>
    </row>
    <row r="18">
      <c r="A18" s="4" t="n"/>
      <c r="B18" s="4" t="n"/>
      <c r="C18" s="4" t="n"/>
      <c r="D18" s="4" t="n"/>
      <c r="E18" s="4" t="n"/>
      <c r="F18" s="4" t="n"/>
      <c r="G18" s="4" t="n"/>
      <c r="H18" s="16" t="n"/>
      <c r="I18" s="4" t="n"/>
      <c r="J18" s="4" t="n"/>
      <c r="K18" s="4" t="n"/>
      <c r="L18" s="4" t="n"/>
    </row>
    <row r="19">
      <c r="A19" s="4" t="n"/>
      <c r="B19" s="4" t="n"/>
      <c r="C19" s="4" t="n"/>
      <c r="D19" s="4" t="n"/>
      <c r="E19" s="4" t="n"/>
      <c r="F19" s="4" t="n"/>
      <c r="G19" s="4" t="n"/>
      <c r="H19" s="16" t="n"/>
      <c r="I19" s="4" t="n"/>
      <c r="J19" s="4" t="n"/>
      <c r="K19" s="4" t="n"/>
      <c r="L19" s="4" t="n"/>
    </row>
    <row r="20">
      <c r="A20" s="4" t="n"/>
      <c r="B20" s="4" t="n"/>
      <c r="C20" s="4" t="n"/>
      <c r="D20" s="4" t="n"/>
      <c r="E20" s="4" t="n"/>
      <c r="F20" s="4" t="n"/>
      <c r="G20" s="4" t="n"/>
      <c r="H20" s="16" t="n"/>
      <c r="I20" s="4" t="n"/>
      <c r="J20" s="4" t="n"/>
      <c r="K20" s="4" t="n"/>
      <c r="L20" s="4" t="n"/>
    </row>
    <row r="21">
      <c r="A21" s="4" t="n"/>
      <c r="B21" s="4" t="n"/>
      <c r="C21" s="4" t="n"/>
      <c r="D21" s="4" t="n"/>
      <c r="E21" s="4" t="n"/>
      <c r="F21" s="4" t="n"/>
      <c r="G21" s="4" t="n"/>
      <c r="H21" s="16" t="n"/>
      <c r="I21" s="4" t="n"/>
      <c r="J21" s="4" t="n"/>
      <c r="K21" s="4" t="n"/>
      <c r="L21" s="4" t="n"/>
    </row>
    <row r="22">
      <c r="A22" s="4" t="n"/>
      <c r="B22" s="4" t="n"/>
      <c r="C22" s="4" t="n"/>
      <c r="D22" s="4" t="n"/>
      <c r="E22" s="4" t="n"/>
      <c r="F22" s="4" t="n"/>
      <c r="G22" s="4" t="n"/>
      <c r="H22" s="16" t="n"/>
      <c r="I22" s="4" t="n"/>
      <c r="J22" s="4" t="n"/>
      <c r="K22" s="4" t="n"/>
      <c r="L22" s="4" t="n"/>
    </row>
    <row r="23">
      <c r="A23" s="4" t="n"/>
      <c r="B23" s="4" t="n"/>
      <c r="C23" s="4" t="n"/>
      <c r="D23" s="4" t="n"/>
      <c r="E23" s="4" t="n"/>
      <c r="F23" s="4" t="n"/>
      <c r="G23" s="4" t="n"/>
      <c r="H23" s="16" t="n"/>
      <c r="I23" s="4" t="n"/>
      <c r="J23" s="4" t="n"/>
      <c r="K23" s="4" t="n"/>
      <c r="L23" s="4" t="n"/>
    </row>
    <row r="24">
      <c r="A24" s="4" t="n"/>
      <c r="B24" s="4" t="n"/>
      <c r="C24" s="4" t="n"/>
      <c r="D24" s="4" t="n"/>
      <c r="E24" s="4" t="n"/>
      <c r="F24" s="4" t="n"/>
      <c r="G24" s="4" t="n"/>
      <c r="H24" s="16" t="n"/>
      <c r="I24" s="4" t="n"/>
      <c r="J24" s="4" t="n"/>
      <c r="K24" s="4" t="n"/>
      <c r="L24" s="4" t="n"/>
    </row>
    <row r="25">
      <c r="A25" s="4" t="n"/>
      <c r="B25" s="4" t="n"/>
      <c r="C25" s="4" t="n"/>
      <c r="D25" s="4" t="n"/>
      <c r="E25" s="4" t="n"/>
      <c r="F25" s="4" t="n"/>
      <c r="G25" s="4" t="n"/>
      <c r="H25" s="16" t="n"/>
      <c r="I25" s="4" t="n"/>
      <c r="J25" s="4" t="n"/>
      <c r="K25" s="4" t="n"/>
      <c r="L25" s="4" t="n"/>
    </row>
    <row r="26">
      <c r="A26" s="4" t="n"/>
      <c r="B26" s="4" t="n"/>
      <c r="C26" s="4" t="n"/>
      <c r="D26" s="4" t="n"/>
      <c r="E26" s="4" t="n"/>
      <c r="F26" s="4" t="n"/>
      <c r="G26" s="4" t="n"/>
      <c r="H26" s="16" t="n"/>
      <c r="I26" s="4" t="n"/>
      <c r="J26" s="4" t="n"/>
      <c r="K26" s="4" t="n"/>
      <c r="L26" s="4" t="n"/>
    </row>
    <row r="27">
      <c r="A27" s="4" t="n"/>
      <c r="B27" s="4" t="n"/>
      <c r="C27" s="4" t="n"/>
      <c r="D27" s="4" t="n"/>
      <c r="E27" s="4" t="n"/>
      <c r="F27" s="4" t="n"/>
      <c r="G27" s="4" t="n"/>
      <c r="H27" s="16" t="n"/>
      <c r="I27" s="4" t="n"/>
      <c r="J27" s="4" t="n"/>
      <c r="K27" s="4" t="n"/>
      <c r="L27" s="4" t="n"/>
    </row>
    <row r="28">
      <c r="A28" s="4" t="n"/>
      <c r="B28" s="4" t="n"/>
      <c r="C28" s="4" t="n"/>
      <c r="D28" s="4" t="n"/>
      <c r="E28" s="4" t="n"/>
      <c r="F28" s="4" t="n"/>
      <c r="G28" s="4" t="n"/>
      <c r="H28" s="16" t="n"/>
      <c r="I28" s="4" t="n"/>
      <c r="J28" s="4" t="n"/>
      <c r="K28" s="4" t="n"/>
      <c r="L28" s="4" t="n"/>
    </row>
    <row r="29">
      <c r="A29" s="4" t="n"/>
      <c r="B29" s="4" t="n"/>
      <c r="C29" s="4" t="n"/>
      <c r="D29" s="4" t="n"/>
      <c r="E29" s="4" t="n"/>
      <c r="F29" s="4" t="n"/>
      <c r="G29" s="4" t="n"/>
      <c r="H29" s="16" t="n"/>
      <c r="I29" s="4" t="n"/>
      <c r="J29" s="4" t="n"/>
      <c r="K29" s="4" t="n"/>
      <c r="L29" s="4" t="n"/>
    </row>
    <row r="30">
      <c r="A30" s="4" t="n"/>
      <c r="B30" s="4" t="n"/>
      <c r="C30" s="4" t="n"/>
      <c r="D30" s="4" t="n"/>
      <c r="E30" s="4" t="n"/>
      <c r="F30" s="4" t="n"/>
      <c r="G30" s="4" t="n"/>
      <c r="H30" s="16" t="n"/>
      <c r="I30" s="4" t="n"/>
      <c r="J30" s="4" t="n"/>
      <c r="K30" s="4" t="n"/>
      <c r="L30" s="4" t="n"/>
    </row>
    <row r="31">
      <c r="A31" s="4" t="n"/>
      <c r="B31" s="4" t="n"/>
      <c r="C31" s="4" t="n"/>
      <c r="D31" s="4" t="n"/>
      <c r="E31" s="4" t="n"/>
      <c r="F31" s="4" t="n"/>
      <c r="G31" s="4" t="n"/>
      <c r="H31" s="16" t="n"/>
      <c r="I31" s="4" t="n"/>
      <c r="J31" s="4" t="n"/>
      <c r="K31" s="4" t="n"/>
      <c r="L31" s="4" t="n"/>
    </row>
    <row r="32">
      <c r="A32" s="4" t="n"/>
      <c r="B32" s="4" t="n"/>
      <c r="C32" s="4" t="n"/>
      <c r="D32" s="4" t="n"/>
      <c r="E32" s="4" t="n"/>
      <c r="F32" s="4" t="n"/>
      <c r="G32" s="4" t="n"/>
      <c r="H32" s="16" t="n"/>
      <c r="I32" s="4" t="n"/>
      <c r="J32" s="4" t="n"/>
      <c r="K32" s="4" t="n"/>
      <c r="L32" s="4" t="n"/>
    </row>
    <row r="33">
      <c r="A33" s="4" t="n"/>
      <c r="B33" s="4" t="n"/>
      <c r="C33" s="4" t="n"/>
      <c r="D33" s="4" t="n"/>
      <c r="E33" s="4" t="n"/>
      <c r="F33" s="4" t="n"/>
      <c r="G33" s="4" t="n"/>
      <c r="H33" s="16" t="n"/>
      <c r="I33" s="4" t="n"/>
      <c r="J33" s="4" t="n"/>
      <c r="K33" s="4" t="n"/>
      <c r="L33" s="4" t="n"/>
    </row>
    <row r="34">
      <c r="A34" s="4" t="n"/>
      <c r="B34" s="4" t="n"/>
      <c r="C34" s="4" t="n"/>
      <c r="D34" s="4" t="n"/>
      <c r="E34" s="4" t="n"/>
      <c r="F34" s="4" t="n"/>
      <c r="G34" s="4" t="n"/>
      <c r="H34" s="16" t="n"/>
      <c r="I34" s="4" t="n"/>
      <c r="J34" s="4" t="n"/>
      <c r="K34" s="4" t="n"/>
      <c r="L34" s="4" t="n"/>
    </row>
    <row r="35">
      <c r="A35" s="4" t="n"/>
      <c r="B35" s="4" t="n"/>
      <c r="C35" s="4" t="n"/>
      <c r="D35" s="4" t="n"/>
      <c r="E35" s="4" t="n"/>
      <c r="F35" s="4" t="n"/>
      <c r="G35" s="4" t="n"/>
      <c r="H35" s="16" t="n"/>
      <c r="I35" s="4" t="n"/>
      <c r="J35" s="4" t="n"/>
      <c r="K35" s="4" t="n"/>
      <c r="L35" s="4" t="n"/>
    </row>
    <row r="36">
      <c r="A36" s="4" t="n"/>
      <c r="B36" s="4" t="n"/>
      <c r="C36" s="4" t="n"/>
      <c r="D36" s="4" t="n"/>
      <c r="E36" s="4" t="n"/>
      <c r="F36" s="4" t="n"/>
      <c r="G36" s="4" t="n"/>
      <c r="H36" s="16" t="n"/>
      <c r="I36" s="4" t="n"/>
      <c r="J36" s="4" t="n"/>
      <c r="K36" s="4" t="n"/>
      <c r="L36" s="4" t="n"/>
    </row>
    <row r="37">
      <c r="A37" s="4" t="n"/>
      <c r="B37" s="4" t="n"/>
      <c r="C37" s="4" t="n"/>
      <c r="D37" s="4" t="n"/>
      <c r="E37" s="4" t="n"/>
      <c r="F37" s="4" t="n"/>
      <c r="G37" s="4" t="n"/>
      <c r="H37" s="16" t="n"/>
      <c r="I37" s="4" t="n"/>
      <c r="J37" s="4" t="n"/>
      <c r="K37" s="4" t="n"/>
      <c r="L37" s="4" t="n"/>
    </row>
    <row r="38">
      <c r="A38" s="4" t="n"/>
      <c r="B38" s="4" t="n"/>
      <c r="C38" s="4" t="n"/>
      <c r="D38" s="4" t="n"/>
      <c r="E38" s="4" t="n"/>
      <c r="F38" s="4" t="n"/>
      <c r="G38" s="4" t="n"/>
      <c r="H38" s="16" t="n"/>
      <c r="I38" s="4" t="n"/>
      <c r="J38" s="4" t="n"/>
      <c r="K38" s="4" t="n"/>
      <c r="L38" s="4" t="n"/>
    </row>
    <row r="39">
      <c r="A39" s="4" t="n"/>
      <c r="B39" s="4" t="n"/>
      <c r="C39" s="4" t="n"/>
      <c r="D39" s="4" t="n"/>
      <c r="E39" s="4" t="n"/>
      <c r="F39" s="4" t="n"/>
      <c r="G39" s="4" t="n"/>
      <c r="H39" s="16" t="n"/>
      <c r="I39" s="4" t="n"/>
      <c r="J39" s="4" t="n"/>
      <c r="K39" s="4" t="n"/>
      <c r="L39" s="4" t="n"/>
    </row>
    <row r="40">
      <c r="A40" s="4" t="n"/>
      <c r="B40" s="4" t="n"/>
      <c r="C40" s="4" t="n"/>
      <c r="D40" s="4" t="n"/>
      <c r="E40" s="4" t="n"/>
      <c r="F40" s="4" t="n"/>
      <c r="G40" s="4" t="n"/>
      <c r="H40" s="16" t="n"/>
      <c r="I40" s="4" t="n"/>
      <c r="J40" s="4" t="n"/>
      <c r="K40" s="4" t="n"/>
      <c r="L40" s="4" t="n"/>
    </row>
    <row r="41">
      <c r="A41" s="4" t="n"/>
      <c r="B41" s="4" t="n"/>
      <c r="C41" s="4" t="n"/>
      <c r="D41" s="4" t="n"/>
      <c r="E41" s="4" t="n"/>
      <c r="F41" s="4" t="n"/>
      <c r="G41" s="4" t="n"/>
      <c r="H41" s="16" t="n"/>
      <c r="I41" s="4" t="n"/>
      <c r="J41" s="4" t="n"/>
      <c r="K41" s="4" t="n"/>
      <c r="L41" s="4" t="n"/>
    </row>
    <row r="42">
      <c r="A42" s="4" t="n"/>
      <c r="B42" s="4" t="n"/>
      <c r="C42" s="4" t="n"/>
      <c r="D42" s="4" t="n"/>
      <c r="E42" s="4" t="n"/>
      <c r="F42" s="4" t="n"/>
      <c r="G42" s="4" t="n"/>
      <c r="H42" s="16" t="n"/>
      <c r="I42" s="4" t="n"/>
      <c r="J42" s="4" t="n"/>
      <c r="K42" s="4" t="n"/>
      <c r="L42" s="4" t="n"/>
    </row>
    <row r="43">
      <c r="A43" s="4" t="n"/>
      <c r="B43" s="4" t="n"/>
      <c r="C43" s="4" t="n"/>
      <c r="D43" s="4" t="n"/>
      <c r="E43" s="4" t="n"/>
      <c r="F43" s="4" t="n"/>
      <c r="G43" s="4" t="n"/>
      <c r="H43" s="16" t="n"/>
      <c r="I43" s="4" t="n"/>
      <c r="J43" s="4" t="n"/>
      <c r="K43" s="4" t="n"/>
      <c r="L43" s="4" t="n"/>
    </row>
    <row r="44">
      <c r="A44" s="4" t="n"/>
      <c r="B44" s="4" t="n"/>
      <c r="C44" s="4" t="n"/>
      <c r="D44" s="4" t="n"/>
      <c r="E44" s="4" t="n"/>
      <c r="F44" s="4" t="n"/>
      <c r="G44" s="4" t="n"/>
      <c r="H44" s="16" t="n"/>
      <c r="I44" s="4" t="n"/>
      <c r="J44" s="4" t="n"/>
      <c r="K44" s="4" t="n"/>
      <c r="L44" s="4" t="n"/>
    </row>
    <row r="45">
      <c r="A45" s="4" t="n"/>
      <c r="B45" s="4" t="n"/>
      <c r="C45" s="4" t="n"/>
      <c r="D45" s="4" t="n"/>
      <c r="E45" s="4" t="n"/>
      <c r="F45" s="4" t="n"/>
      <c r="G45" s="4" t="n"/>
      <c r="H45" s="16" t="n"/>
      <c r="I45" s="4" t="n"/>
      <c r="J45" s="4" t="n"/>
      <c r="K45" s="4" t="n"/>
      <c r="L45" s="4" t="n"/>
    </row>
    <row r="46">
      <c r="A46" s="4" t="n"/>
      <c r="B46" s="4" t="n"/>
      <c r="C46" s="4" t="n"/>
      <c r="D46" s="4" t="n"/>
      <c r="E46" s="4" t="n"/>
      <c r="F46" s="4" t="n"/>
      <c r="G46" s="4" t="n"/>
      <c r="H46" s="16" t="n"/>
      <c r="I46" s="4" t="n"/>
      <c r="J46" s="4" t="n"/>
      <c r="K46" s="4" t="n"/>
      <c r="L46" s="4" t="n"/>
    </row>
    <row r="47">
      <c r="A47" s="4" t="n"/>
      <c r="B47" s="4" t="n"/>
      <c r="C47" s="4" t="n"/>
      <c r="D47" s="4" t="n"/>
      <c r="E47" s="4" t="n"/>
      <c r="F47" s="4" t="n"/>
      <c r="G47" s="4" t="n"/>
      <c r="H47" s="16" t="n"/>
      <c r="I47" s="4" t="n"/>
      <c r="J47" s="4" t="n"/>
      <c r="K47" s="4" t="n"/>
      <c r="L47" s="4" t="n"/>
    </row>
    <row r="48">
      <c r="A48" s="4" t="n"/>
      <c r="B48" s="4" t="n"/>
      <c r="C48" s="4" t="n"/>
      <c r="D48" s="4" t="n"/>
      <c r="E48" s="4" t="n"/>
      <c r="F48" s="4" t="n"/>
      <c r="G48" s="4" t="n"/>
      <c r="H48" s="16" t="n"/>
      <c r="I48" s="4" t="n"/>
      <c r="J48" s="4" t="n"/>
      <c r="K48" s="4" t="n"/>
      <c r="L48" s="4" t="n"/>
    </row>
    <row r="49">
      <c r="A49" s="4" t="n"/>
      <c r="B49" s="4" t="n"/>
      <c r="C49" s="4" t="n"/>
      <c r="D49" s="4" t="n"/>
      <c r="E49" s="4" t="n"/>
      <c r="F49" s="4" t="n"/>
      <c r="G49" s="4" t="n"/>
      <c r="H49" s="16" t="n"/>
      <c r="I49" s="4" t="n"/>
      <c r="J49" s="4" t="n"/>
      <c r="K49" s="4" t="n"/>
      <c r="L49" s="4" t="n"/>
    </row>
    <row r="50">
      <c r="A50" s="4" t="n"/>
      <c r="B50" s="4" t="n"/>
      <c r="C50" s="4" t="n"/>
      <c r="D50" s="4" t="n"/>
      <c r="E50" s="4" t="n"/>
      <c r="F50" s="4" t="n"/>
      <c r="G50" s="4" t="n"/>
      <c r="H50" s="16" t="n"/>
      <c r="I50" s="4" t="n"/>
      <c r="J50" s="4" t="n"/>
      <c r="K50" s="4" t="n"/>
      <c r="L50" s="4" t="n"/>
    </row>
    <row r="51">
      <c r="A51" s="4" t="n"/>
      <c r="B51" s="4" t="n"/>
      <c r="C51" s="4" t="n"/>
      <c r="D51" s="4" t="n"/>
      <c r="E51" s="4" t="n"/>
      <c r="F51" s="4" t="n"/>
      <c r="G51" s="4" t="n"/>
      <c r="H51" s="16" t="n"/>
      <c r="I51" s="4" t="n"/>
      <c r="J51" s="4" t="n"/>
      <c r="K51" s="4" t="n"/>
      <c r="L51" s="4" t="n"/>
    </row>
    <row r="52">
      <c r="A52" s="4" t="n"/>
      <c r="B52" s="4" t="n"/>
      <c r="C52" s="4" t="n"/>
      <c r="D52" s="4" t="n"/>
      <c r="E52" s="4" t="n"/>
      <c r="F52" s="4" t="n"/>
      <c r="G52" s="4" t="n"/>
      <c r="H52" s="16" t="n"/>
      <c r="I52" s="4" t="n"/>
      <c r="J52" s="4" t="n"/>
      <c r="K52" s="4" t="n"/>
      <c r="L52" s="4" t="n"/>
    </row>
    <row r="53">
      <c r="A53" s="4" t="n"/>
      <c r="B53" s="4" t="n"/>
      <c r="C53" s="4" t="n"/>
      <c r="D53" s="4" t="n"/>
      <c r="E53" s="4" t="n"/>
      <c r="F53" s="4" t="n"/>
      <c r="G53" s="4" t="n"/>
      <c r="H53" s="16" t="n"/>
      <c r="I53" s="4" t="n"/>
      <c r="J53" s="4" t="n"/>
      <c r="K53" s="4" t="n"/>
      <c r="L53" s="4" t="n"/>
    </row>
    <row r="54">
      <c r="A54" s="4" t="n"/>
      <c r="B54" s="4" t="n"/>
      <c r="C54" s="4" t="n"/>
      <c r="D54" s="4" t="n"/>
      <c r="E54" s="4" t="n"/>
      <c r="F54" s="4" t="n"/>
      <c r="G54" s="4" t="n"/>
      <c r="H54" s="16" t="n"/>
      <c r="I54" s="4" t="n"/>
      <c r="J54" s="4" t="n"/>
      <c r="K54" s="4" t="n"/>
      <c r="L54" s="4" t="n"/>
    </row>
    <row r="55">
      <c r="A55" s="4" t="n"/>
      <c r="B55" s="4" t="n"/>
      <c r="C55" s="4" t="n"/>
      <c r="D55" s="4" t="n"/>
      <c r="E55" s="4" t="n"/>
      <c r="F55" s="4" t="n"/>
      <c r="G55" s="4" t="n"/>
      <c r="H55" s="16" t="n"/>
      <c r="I55" s="4" t="n"/>
      <c r="J55" s="4" t="n"/>
      <c r="K55" s="4" t="n"/>
      <c r="L55" s="4" t="n"/>
    </row>
    <row r="57">
      <c r="A57" s="17" t="inlineStr">
        <is>
          <t>MITRE COVERAGE SUMMARY</t>
        </is>
      </c>
    </row>
    <row r="58">
      <c r="A58" s="18" t="inlineStr">
        <is>
          <t>Total Techniques Tracked:</t>
        </is>
      </c>
      <c r="B58" s="18">
        <f>COUNTA(A6:A55)</f>
        <v/>
      </c>
    </row>
    <row r="59">
      <c r="A59" s="18" t="inlineStr">
        <is>
          <t>Critical Priority:</t>
        </is>
      </c>
      <c r="B59" s="18">
        <f>COUNTIF(E6:E55,"Critical")</f>
        <v/>
      </c>
    </row>
    <row r="60">
      <c r="A60" s="18" t="inlineStr">
        <is>
          <t>Full Coverage:</t>
        </is>
      </c>
      <c r="B60" s="18">
        <f>COUNTIF(F6:F55,"Full")</f>
        <v/>
      </c>
    </row>
    <row r="61">
      <c r="A61" s="18" t="inlineStr">
        <is>
          <t>Partial Coverage:</t>
        </is>
      </c>
      <c r="B61" s="18">
        <f>COUNTIF(F6:F55,"Partial")</f>
        <v/>
      </c>
    </row>
    <row r="62">
      <c r="A62" s="18" t="inlineStr">
        <is>
          <t>Limited Coverage:</t>
        </is>
      </c>
      <c r="B62" s="18">
        <f>COUNTIF(F6:F55,"Limited")</f>
        <v/>
      </c>
    </row>
    <row r="63">
      <c r="A63" s="18" t="inlineStr">
        <is>
          <t>No Coverage:</t>
        </is>
      </c>
      <c r="B63" s="18">
        <f>COUNTIF(F6:F55,"None")</f>
        <v/>
      </c>
    </row>
    <row r="64">
      <c r="A64" s="18" t="inlineStr">
        <is>
          <t>With Detection Capability:</t>
        </is>
      </c>
      <c r="B64" s="18">
        <f>COUNTIF(I6:I55,"Yes")</f>
        <v/>
      </c>
    </row>
  </sheetData>
  <mergeCells count="3">
    <mergeCell ref="A2:L2"/>
    <mergeCell ref="A57:D57"/>
    <mergeCell ref="A1:L1"/>
  </mergeCells>
  <conditionalFormatting sqref="F6:F55">
    <cfRule type="cellIs" priority="1" operator="equal" dxfId="2">
      <formula>"Full"</formula>
    </cfRule>
    <cfRule type="cellIs" priority="2" operator="equal" dxfId="0">
      <formula>"None"</formula>
    </cfRule>
    <cfRule type="cellIs" priority="3" operator="equal" dxfId="1">
      <formula>"Limited"</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showGridLines="0" workbookViewId="0">
      <pane ySplit="3" topLeftCell="A4" activePane="bottomLeft" state="frozen"/>
      <selection pane="bottomLeft" activeCell="A1" sqref="A1"/>
    </sheetView>
  </sheetViews>
  <sheetFormatPr baseColWidth="8" defaultRowHeight="15"/>
  <cols>
    <col width="10" customWidth="1" min="1" max="1"/>
    <col width="35" customWidth="1" min="2" max="2"/>
    <col width="45" customWidth="1" min="3" max="3"/>
    <col width="14" customWidth="1" min="4" max="4"/>
    <col width="14" customWidth="1" min="5" max="5"/>
    <col width="16" customWidth="1" min="6" max="6"/>
    <col width="18" customWidth="1" min="7" max="7"/>
    <col width="18" customWidth="1" min="8" max="8"/>
    <col width="12" customWidth="1" min="9" max="9"/>
    <col width="25" customWidth="1" min="10" max="10"/>
    <col width="25" customWidth="1" min="11" max="11"/>
    <col width="14" customWidth="1" min="12" max="12"/>
    <col width="30" customWidth="1" min="13" max="13"/>
  </cols>
  <sheetData>
    <row r="1" ht="35" customHeight="1">
      <c r="A1" s="11" t="inlineStr">
        <is>
          <t>INTELLIGENCE QUALITY METRICS &amp; KPIS</t>
        </is>
      </c>
    </row>
    <row r="2">
      <c r="A2" s="12" t="inlineStr">
        <is>
          <t>Track key performance indicators for intelligence collection and analysis operations.</t>
        </is>
      </c>
    </row>
    <row r="4">
      <c r="A4" s="13" t="inlineStr">
        <is>
          <t>KPI ID</t>
        </is>
      </c>
      <c r="B4" s="13" t="inlineStr">
        <is>
          <t>KPI Name</t>
        </is>
      </c>
      <c r="C4" s="13" t="inlineStr">
        <is>
          <t>Description</t>
        </is>
      </c>
      <c r="D4" s="13" t="inlineStr">
        <is>
          <t>Target Value</t>
        </is>
      </c>
      <c r="E4" s="13" t="inlineStr">
        <is>
          <t>Current Value</t>
        </is>
      </c>
      <c r="F4" s="13" t="inlineStr">
        <is>
          <t>Last Month Value</t>
        </is>
      </c>
      <c r="G4" s="13" t="inlineStr">
        <is>
          <t>Measurement Period</t>
        </is>
      </c>
      <c r="H4" s="13" t="inlineStr">
        <is>
          <t>Performance vs Target</t>
        </is>
      </c>
      <c r="I4" s="13" t="inlineStr">
        <is>
          <t>Trend</t>
        </is>
      </c>
      <c r="J4" s="13" t="inlineStr">
        <is>
          <t>Data Source</t>
        </is>
      </c>
      <c r="K4" s="13" t="inlineStr">
        <is>
          <t>Owner</t>
        </is>
      </c>
      <c r="L4" s="13" t="inlineStr">
        <is>
          <t>Last Updated</t>
        </is>
      </c>
      <c r="M4" s="13" t="inlineStr">
        <is>
          <t>Notes</t>
        </is>
      </c>
    </row>
    <row r="5">
      <c r="A5" s="29" t="inlineStr">
        <is>
          <t>KPI-001</t>
        </is>
      </c>
      <c r="B5" s="22" t="inlineStr">
        <is>
          <t>Intelligence Products per Month</t>
        </is>
      </c>
      <c r="C5" s="22" t="inlineStr">
        <is>
          <t>Count of formal intelligence products</t>
        </is>
      </c>
      <c r="D5" s="22" t="inlineStr">
        <is>
          <t>20</t>
        </is>
      </c>
      <c r="E5" s="22" t="n"/>
      <c r="F5" s="22" t="n"/>
      <c r="G5" s="22" t="n"/>
      <c r="H5" s="29">
        <f>IF(E5="","",IF(D5="","N/A",(E5/D5-1)*100))</f>
        <v/>
      </c>
      <c r="I5" s="29">
        <f>IF(OR(E5="",F5=""),"N/A",IF(E5&gt;F5,"Improving",IF(E5&lt;F5,"Declining","Stable")))</f>
        <v/>
      </c>
      <c r="J5" s="22" t="inlineStr">
        <is>
          <t>Sheet 5</t>
        </is>
      </c>
      <c r="K5" s="22" t="n"/>
      <c r="L5" s="22" t="n"/>
      <c r="M5" s="22" t="n"/>
    </row>
    <row r="6">
      <c r="A6" s="29" t="inlineStr">
        <is>
          <t>KPI-002</t>
        </is>
      </c>
      <c r="B6" s="22" t="inlineStr">
        <is>
          <t>Avg Time to Produce Intelligence (hrs)</t>
        </is>
      </c>
      <c r="C6" s="22" t="inlineStr">
        <is>
          <t>Hours from start to publication</t>
        </is>
      </c>
      <c r="D6" s="22" t="inlineStr">
        <is>
          <t>48</t>
        </is>
      </c>
      <c r="E6" s="22" t="n"/>
      <c r="F6" s="22" t="n"/>
      <c r="G6" s="22" t="n"/>
      <c r="H6" s="29">
        <f>IF(E6="","",IF(D6="","N/A",(E6/D6-1)*100))</f>
        <v/>
      </c>
      <c r="I6" s="29">
        <f>IF(OR(E6="",F6=""),"N/A",IF(E6&gt;F6,"Improving",IF(E6&lt;F6,"Declining","Stable")))</f>
        <v/>
      </c>
      <c r="J6" s="22" t="inlineStr">
        <is>
          <t>Sheet 5</t>
        </is>
      </c>
      <c r="K6" s="22" t="n"/>
      <c r="L6" s="22" t="n"/>
      <c r="M6" s="22" t="n"/>
    </row>
    <row r="7">
      <c r="A7" s="29" t="inlineStr">
        <is>
          <t>KPI-003</t>
        </is>
      </c>
      <c r="B7" s="22" t="inlineStr">
        <is>
          <t>Stakeholder Feedback Rating (1-5)</t>
        </is>
      </c>
      <c r="C7" s="22" t="inlineStr">
        <is>
          <t>Average rating from consumers</t>
        </is>
      </c>
      <c r="D7" s="22" t="inlineStr">
        <is>
          <t>4.0</t>
        </is>
      </c>
      <c r="E7" s="22" t="n"/>
      <c r="F7" s="22" t="n"/>
      <c r="G7" s="22" t="n"/>
      <c r="H7" s="29">
        <f>IF(E7="","",IF(D7="","N/A",(E7/D7-1)*100))</f>
        <v/>
      </c>
      <c r="I7" s="29">
        <f>IF(OR(E7="",F7=""),"N/A",IF(E7&gt;F7,"Improving",IF(E7&lt;F7,"Declining","Stable")))</f>
        <v/>
      </c>
      <c r="J7" s="22" t="inlineStr">
        <is>
          <t>Sheet 5</t>
        </is>
      </c>
      <c r="K7" s="22" t="n"/>
      <c r="L7" s="22" t="n"/>
      <c r="M7" s="22" t="n"/>
    </row>
    <row r="8">
      <c r="A8" s="29" t="inlineStr">
        <is>
          <t>KPI-004</t>
        </is>
      </c>
      <c r="B8" s="22" t="inlineStr">
        <is>
          <t>Intelligence Actionability Rate (%)</t>
        </is>
      </c>
      <c r="C8" s="22" t="inlineStr">
        <is>
          <t>% of products acted upon</t>
        </is>
      </c>
      <c r="D8" s="22" t="inlineStr">
        <is>
          <t>75%</t>
        </is>
      </c>
      <c r="E8" s="22" t="n"/>
      <c r="F8" s="22" t="n"/>
      <c r="G8" s="22" t="n"/>
      <c r="H8" s="29">
        <f>IF(E8="","",IF(D8="","N/A",(E8/D8-1)*100))</f>
        <v/>
      </c>
      <c r="I8" s="29">
        <f>IF(OR(E8="",F8=""),"N/A",IF(E8&gt;F8,"Improving",IF(E8&lt;F8,"Declining","Stable")))</f>
        <v/>
      </c>
      <c r="J8" s="22" t="inlineStr">
        <is>
          <t>Sheet 5</t>
        </is>
      </c>
      <c r="K8" s="22" t="n"/>
      <c r="L8" s="22" t="n"/>
      <c r="M8" s="22" t="n"/>
    </row>
    <row r="9">
      <c r="A9" s="29" t="inlineStr">
        <is>
          <t>KPI-005</t>
        </is>
      </c>
      <c r="B9" s="22" t="inlineStr">
        <is>
          <t>Mean Time from Intelligence to Action (hrs)</t>
        </is>
      </c>
      <c r="C9" s="22" t="inlineStr">
        <is>
          <t>Hours from publication to action</t>
        </is>
      </c>
      <c r="D9" s="22" t="inlineStr">
        <is>
          <t>24</t>
        </is>
      </c>
      <c r="E9" s="22" t="n"/>
      <c r="F9" s="22" t="n"/>
      <c r="G9" s="22" t="n"/>
      <c r="H9" s="29">
        <f>IF(E9="","",IF(D9="","N/A",(E9/D9-1)*100))</f>
        <v/>
      </c>
      <c r="I9" s="29">
        <f>IF(OR(E9="",F9=""),"N/A",IF(E9&gt;F9,"Improving",IF(E9&lt;F9,"Declining","Stable")))</f>
        <v/>
      </c>
      <c r="J9" s="22" t="inlineStr">
        <is>
          <t>Sheet 5</t>
        </is>
      </c>
      <c r="K9" s="22" t="n"/>
      <c r="L9" s="22" t="n"/>
      <c r="M9" s="22" t="n"/>
    </row>
    <row r="10">
      <c r="A10" s="29" t="inlineStr">
        <is>
          <t>KPI-006</t>
        </is>
      </c>
      <c r="B10" s="22" t="inlineStr">
        <is>
          <t>MITRE ATT&amp;CK Coverage (%)</t>
        </is>
      </c>
      <c r="C10" s="22" t="inlineStr">
        <is>
          <t>% of critical techniques covered</t>
        </is>
      </c>
      <c r="D10" s="22" t="inlineStr">
        <is>
          <t>80%</t>
        </is>
      </c>
      <c r="E10" s="22" t="n"/>
      <c r="F10" s="22" t="n"/>
      <c r="G10" s="22" t="n"/>
      <c r="H10" s="29">
        <f>IF(E10="","",IF(D10="","N/A",(E10/D10-1)*100))</f>
        <v/>
      </c>
      <c r="I10" s="29">
        <f>IF(OR(E10="",F10=""),"N/A",IF(E10&gt;F10,"Improving",IF(E10&lt;F10,"Declining","Stable")))</f>
        <v/>
      </c>
      <c r="J10" s="22" t="inlineStr">
        <is>
          <t>Sheet 6</t>
        </is>
      </c>
      <c r="K10" s="22" t="n"/>
      <c r="L10" s="22" t="n"/>
      <c r="M10" s="22" t="n"/>
    </row>
    <row r="11">
      <c r="A11" s="29" t="inlineStr">
        <is>
          <t>KPI-007</t>
        </is>
      </c>
      <c r="B11" s="22" t="inlineStr">
        <is>
          <t>False Positive Rate (%)</t>
        </is>
      </c>
      <c r="C11" s="22" t="inlineStr">
        <is>
          <t>% of incorrect/unusable intelligence</t>
        </is>
      </c>
      <c r="D11" s="22" t="inlineStr">
        <is>
          <t>5%</t>
        </is>
      </c>
      <c r="E11" s="22" t="n"/>
      <c r="F11" s="22" t="n"/>
      <c r="G11" s="22" t="n"/>
      <c r="H11" s="29">
        <f>IF(E11="","",IF(D11="","N/A",(E11/D11-1)*100))</f>
        <v/>
      </c>
      <c r="I11" s="29">
        <f>IF(OR(E11="",F11=""),"N/A",IF(E11&gt;F11,"Improving",IF(E11&lt;F11,"Declining","Stable")))</f>
        <v/>
      </c>
      <c r="J11" s="22" t="inlineStr">
        <is>
          <t>Sheet 5</t>
        </is>
      </c>
      <c r="K11" s="22" t="n"/>
      <c r="L11" s="22" t="n"/>
      <c r="M11" s="22" t="n"/>
    </row>
    <row r="12">
      <c r="A12" s="29" t="inlineStr">
        <is>
          <t>KPI-008</t>
        </is>
      </c>
      <c r="B12" s="22" t="inlineStr">
        <is>
          <t>Analyst Training Completion Rate (%)</t>
        </is>
      </c>
      <c r="C12" s="22" t="inlineStr">
        <is>
          <t>% of planned training completed</t>
        </is>
      </c>
      <c r="D12" s="22" t="inlineStr">
        <is>
          <t>90%</t>
        </is>
      </c>
      <c r="E12" s="22" t="n"/>
      <c r="F12" s="22" t="n"/>
      <c r="G12" s="22" t="n"/>
      <c r="H12" s="29">
        <f>IF(E12="","",IF(D12="","N/A",(E12/D12-1)*100))</f>
        <v/>
      </c>
      <c r="I12" s="29">
        <f>IF(OR(E12="",F12=""),"N/A",IF(E12&gt;F12,"Improving",IF(E12&lt;F12,"Declining","Stable")))</f>
        <v/>
      </c>
      <c r="J12" s="22" t="inlineStr">
        <is>
          <t>Sheet 4</t>
        </is>
      </c>
      <c r="K12" s="22" t="n"/>
      <c r="L12" s="22" t="n"/>
      <c r="M12" s="22" t="n"/>
    </row>
    <row r="13">
      <c r="A13" s="29" t="inlineStr">
        <is>
          <t>KPI-009</t>
        </is>
      </c>
      <c r="B13" s="22" t="inlineStr">
        <is>
          <t>Requirement Fulfillment Rate (%)</t>
        </is>
      </c>
      <c r="C13" s="22" t="inlineStr">
        <is>
          <t>% of PIRs with adequate coverage</t>
        </is>
      </c>
      <c r="D13" s="22" t="inlineStr">
        <is>
          <t>85%</t>
        </is>
      </c>
      <c r="E13" s="22" t="n"/>
      <c r="F13" s="22" t="n"/>
      <c r="G13" s="22" t="n"/>
      <c r="H13" s="29">
        <f>IF(E13="","",IF(D13="","N/A",(E13/D13-1)*100))</f>
        <v/>
      </c>
      <c r="I13" s="29">
        <f>IF(OR(E13="",F13=""),"N/A",IF(E13&gt;F13,"Improving",IF(E13&lt;F13,"Declining","Stable")))</f>
        <v/>
      </c>
      <c r="J13" s="22" t="inlineStr">
        <is>
          <t>Sheet 2</t>
        </is>
      </c>
      <c r="K13" s="22" t="n"/>
      <c r="L13" s="22" t="n"/>
      <c r="M13" s="22" t="n"/>
    </row>
    <row r="14">
      <c r="A14" s="29" t="inlineStr">
        <is>
          <t>KPI-010</t>
        </is>
      </c>
      <c r="B14" s="22" t="inlineStr">
        <is>
          <t>VT Links Created per Month</t>
        </is>
      </c>
      <c r="C14" s="22" t="inlineStr">
        <is>
          <t>Vulnerability-threat linkages</t>
        </is>
      </c>
      <c r="D14" s="22" t="inlineStr">
        <is>
          <t>10</t>
        </is>
      </c>
      <c r="E14" s="22" t="n"/>
      <c r="F14" s="22" t="n"/>
      <c r="G14" s="22" t="n"/>
      <c r="H14" s="29">
        <f>IF(E14="","",IF(D14="","N/A",(E14/D14-1)*100))</f>
        <v/>
      </c>
      <c r="I14" s="29">
        <f>IF(OR(E14="",F14=""),"N/A",IF(E14&gt;F14,"Improving",IF(E14&lt;F14,"Declining","Stable")))</f>
        <v/>
      </c>
      <c r="J14" s="22" t="inlineStr">
        <is>
          <t>Sheet 8</t>
        </is>
      </c>
      <c r="K14" s="22" t="n"/>
      <c r="L14" s="22" t="n"/>
      <c r="M14" s="22" t="n"/>
    </row>
    <row r="15">
      <c r="A15" s="29" t="n"/>
      <c r="B15" s="22" t="n"/>
      <c r="C15" s="22" t="n"/>
      <c r="D15" s="22" t="n"/>
      <c r="E15" s="22" t="n"/>
      <c r="F15" s="22" t="n"/>
      <c r="G15" s="22" t="n"/>
      <c r="H15" s="29">
        <f>IF(E15="","",IF(D15="","N/A",(E15/D15-1)*100))</f>
        <v/>
      </c>
      <c r="I15" s="29">
        <f>IF(OR(E15="",F15=""),"N/A",IF(E15&gt;F15,"Improving",IF(E15&lt;F15,"Declining","Stable")))</f>
        <v/>
      </c>
      <c r="J15" s="22" t="n"/>
      <c r="K15" s="22" t="n"/>
      <c r="L15" s="20" t="n"/>
      <c r="M15" s="22" t="n"/>
    </row>
    <row r="16">
      <c r="A16" s="29" t="n"/>
      <c r="B16" s="22" t="n"/>
      <c r="C16" s="22" t="n"/>
      <c r="D16" s="22" t="n"/>
      <c r="E16" s="22" t="n"/>
      <c r="F16" s="22" t="n"/>
      <c r="G16" s="22" t="n"/>
      <c r="H16" s="29">
        <f>IF(E16="","",IF(D16="","N/A",(E16/D16-1)*100))</f>
        <v/>
      </c>
      <c r="I16" s="29">
        <f>IF(OR(E16="",F16=""),"N/A",IF(E16&gt;F16,"Improving",IF(E16&lt;F16,"Declining","Stable")))</f>
        <v/>
      </c>
      <c r="J16" s="22" t="n"/>
      <c r="K16" s="22" t="n"/>
      <c r="L16" s="20" t="n"/>
      <c r="M16" s="22" t="n"/>
    </row>
    <row r="17">
      <c r="A17" s="29" t="n"/>
      <c r="B17" s="22" t="n"/>
      <c r="C17" s="22" t="n"/>
      <c r="D17" s="22" t="n"/>
      <c r="E17" s="22" t="n"/>
      <c r="F17" s="22" t="n"/>
      <c r="G17" s="22" t="n"/>
      <c r="H17" s="29">
        <f>IF(E17="","",IF(D17="","N/A",(E17/D17-1)*100))</f>
        <v/>
      </c>
      <c r="I17" s="29">
        <f>IF(OR(E17="",F17=""),"N/A",IF(E17&gt;F17,"Improving",IF(E17&lt;F17,"Declining","Stable")))</f>
        <v/>
      </c>
      <c r="J17" s="22" t="n"/>
      <c r="K17" s="22" t="n"/>
      <c r="L17" s="20" t="n"/>
      <c r="M17" s="22" t="n"/>
    </row>
    <row r="18">
      <c r="A18" s="29" t="n"/>
      <c r="B18" s="22" t="n"/>
      <c r="C18" s="22" t="n"/>
      <c r="D18" s="22" t="n"/>
      <c r="E18" s="22" t="n"/>
      <c r="F18" s="22" t="n"/>
      <c r="G18" s="22" t="n"/>
      <c r="H18" s="29">
        <f>IF(E18="","",IF(D18="","N/A",(E18/D18-1)*100))</f>
        <v/>
      </c>
      <c r="I18" s="29">
        <f>IF(OR(E18="",F18=""),"N/A",IF(E18&gt;F18,"Improving",IF(E18&lt;F18,"Declining","Stable")))</f>
        <v/>
      </c>
      <c r="J18" s="22" t="n"/>
      <c r="K18" s="22" t="n"/>
      <c r="L18" s="20" t="n"/>
      <c r="M18" s="22" t="n"/>
    </row>
    <row r="19">
      <c r="A19" s="29" t="n"/>
      <c r="B19" s="22" t="n"/>
      <c r="C19" s="22" t="n"/>
      <c r="D19" s="22" t="n"/>
      <c r="E19" s="22" t="n"/>
      <c r="F19" s="22" t="n"/>
      <c r="G19" s="22" t="n"/>
      <c r="H19" s="29">
        <f>IF(E19="","",IF(D19="","N/A",(E19/D19-1)*100))</f>
        <v/>
      </c>
      <c r="I19" s="29">
        <f>IF(OR(E19="",F19=""),"N/A",IF(E19&gt;F19,"Improving",IF(E19&lt;F19,"Declining","Stable")))</f>
        <v/>
      </c>
      <c r="J19" s="22" t="n"/>
      <c r="K19" s="22" t="n"/>
      <c r="L19" s="20" t="n"/>
      <c r="M19" s="22" t="n"/>
    </row>
    <row r="20">
      <c r="A20" s="29" t="n"/>
      <c r="B20" s="22" t="n"/>
      <c r="C20" s="22" t="n"/>
      <c r="D20" s="22" t="n"/>
      <c r="E20" s="22" t="n"/>
      <c r="F20" s="22" t="n"/>
      <c r="G20" s="22" t="n"/>
      <c r="H20" s="29">
        <f>IF(E20="","",IF(D20="","N/A",(E20/D20-1)*100))</f>
        <v/>
      </c>
      <c r="I20" s="29">
        <f>IF(OR(E20="",F20=""),"N/A",IF(E20&gt;F20,"Improving",IF(E20&lt;F20,"Declining","Stable")))</f>
        <v/>
      </c>
      <c r="J20" s="22" t="n"/>
      <c r="K20" s="22" t="n"/>
      <c r="L20" s="20" t="n"/>
      <c r="M20" s="22" t="n"/>
    </row>
    <row r="21">
      <c r="A21" s="29" t="n"/>
      <c r="B21" s="22" t="n"/>
      <c r="C21" s="22" t="n"/>
      <c r="D21" s="22" t="n"/>
      <c r="E21" s="22" t="n"/>
      <c r="F21" s="22" t="n"/>
      <c r="G21" s="22" t="n"/>
      <c r="H21" s="29">
        <f>IF(E21="","",IF(D21="","N/A",(E21/D21-1)*100))</f>
        <v/>
      </c>
      <c r="I21" s="29">
        <f>IF(OR(E21="",F21=""),"N/A",IF(E21&gt;F21,"Improving",IF(E21&lt;F21,"Declining","Stable")))</f>
        <v/>
      </c>
      <c r="J21" s="22" t="n"/>
      <c r="K21" s="22" t="n"/>
      <c r="L21" s="20" t="n"/>
      <c r="M21" s="22" t="n"/>
    </row>
    <row r="22">
      <c r="A22" s="29" t="n"/>
      <c r="B22" s="22" t="n"/>
      <c r="C22" s="22" t="n"/>
      <c r="D22" s="22" t="n"/>
      <c r="E22" s="22" t="n"/>
      <c r="F22" s="22" t="n"/>
      <c r="G22" s="22" t="n"/>
      <c r="H22" s="29">
        <f>IF(E22="","",IF(D22="","N/A",(E22/D22-1)*100))</f>
        <v/>
      </c>
      <c r="I22" s="29">
        <f>IF(OR(E22="",F22=""),"N/A",IF(E22&gt;F22,"Improving",IF(E22&lt;F22,"Declining","Stable")))</f>
        <v/>
      </c>
      <c r="J22" s="22" t="n"/>
      <c r="K22" s="22" t="n"/>
      <c r="L22" s="20" t="n"/>
      <c r="M22" s="22" t="n"/>
    </row>
    <row r="23">
      <c r="A23" s="29" t="n"/>
      <c r="B23" s="22" t="n"/>
      <c r="C23" s="22" t="n"/>
      <c r="D23" s="22" t="n"/>
      <c r="E23" s="22" t="n"/>
      <c r="F23" s="22" t="n"/>
      <c r="G23" s="22" t="n"/>
      <c r="H23" s="29">
        <f>IF(E23="","",IF(D23="","N/A",(E23/D23-1)*100))</f>
        <v/>
      </c>
      <c r="I23" s="29">
        <f>IF(OR(E23="",F23=""),"N/A",IF(E23&gt;F23,"Improving",IF(E23&lt;F23,"Declining","Stable")))</f>
        <v/>
      </c>
      <c r="J23" s="22" t="n"/>
      <c r="K23" s="22" t="n"/>
      <c r="L23" s="20" t="n"/>
      <c r="M23" s="22" t="n"/>
    </row>
    <row r="24">
      <c r="A24" s="29" t="n"/>
      <c r="B24" s="22" t="n"/>
      <c r="C24" s="22" t="n"/>
      <c r="D24" s="22" t="n"/>
      <c r="E24" s="22" t="n"/>
      <c r="F24" s="22" t="n"/>
      <c r="G24" s="22" t="n"/>
      <c r="H24" s="29">
        <f>IF(E24="","",IF(D24="","N/A",(E24/D24-1)*100))</f>
        <v/>
      </c>
      <c r="I24" s="29">
        <f>IF(OR(E24="",F24=""),"N/A",IF(E24&gt;F24,"Improving",IF(E24&lt;F24,"Declining","Stable")))</f>
        <v/>
      </c>
      <c r="J24" s="22" t="n"/>
      <c r="K24" s="22" t="n"/>
      <c r="L24" s="20" t="n"/>
      <c r="M24" s="22" t="n"/>
    </row>
    <row r="26">
      <c r="A26" s="17" t="inlineStr">
        <is>
          <t>KPI SUMMARY</t>
        </is>
      </c>
    </row>
    <row r="27">
      <c r="A27" s="18" t="inlineStr">
        <is>
          <t>Total KPIs Tracked:</t>
        </is>
      </c>
      <c r="B27" s="18">
        <f>COUNTA(A5:A24)</f>
        <v/>
      </c>
    </row>
    <row r="28">
      <c r="A28" s="18" t="inlineStr">
        <is>
          <t>KPIs On Target (&gt;=100%):</t>
        </is>
      </c>
      <c r="B28" s="18">
        <f>COUNTIF(H5:H24,"&gt;=0")</f>
        <v/>
      </c>
    </row>
    <row r="29">
      <c r="A29" s="18" t="inlineStr">
        <is>
          <t>KPIs Below Target:</t>
        </is>
      </c>
      <c r="B29" s="18">
        <f>COUNTIF(H5:H24,"&lt;0")</f>
        <v/>
      </c>
    </row>
    <row r="30">
      <c r="A30" s="18" t="inlineStr">
        <is>
          <t>Improving Trends:</t>
        </is>
      </c>
      <c r="B30" s="18">
        <f>COUNTIF(I5:I24,"Improving")</f>
        <v/>
      </c>
    </row>
    <row r="31">
      <c r="A31" s="18" t="inlineStr">
        <is>
          <t>Declining Trends:</t>
        </is>
      </c>
      <c r="B31" s="18">
        <f>COUNTIF(I5:I24,"Declining")</f>
        <v/>
      </c>
    </row>
  </sheetData>
  <mergeCells count="3">
    <mergeCell ref="A2:M2"/>
    <mergeCell ref="A26:D26"/>
    <mergeCell ref="A1:M1"/>
  </mergeCells>
  <conditionalFormatting sqref="H5:H24">
    <cfRule type="cellIs" priority="1" operator="greaterThan" dxfId="2">
      <formula>0</formula>
    </cfRule>
    <cfRule type="cellIs" priority="2" operator="lessThan" dxfId="0">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25" customWidth="1" min="3" max="3"/>
    <col width="10" customWidth="1" min="4" max="4"/>
    <col width="40" customWidth="1" min="5" max="5"/>
    <col width="40" customWidth="1" min="6" max="6"/>
    <col width="14" customWidth="1" min="7" max="7"/>
  </cols>
  <sheetData>
    <row r="1" ht="35" customHeight="1">
      <c r="A1" s="11" t="inlineStr">
        <is>
          <t>PROCESS MATURITY ASSESSMENT (CMM MODEL)</t>
        </is>
      </c>
    </row>
    <row r="2">
      <c r="A2" s="12" t="inlineStr">
        <is>
          <t>Assess capability maturity using 5-level CMM model: 1-Initial, 2-Managed, 3-Defined, 4-Quantitatively Managed, 5-Optimizing</t>
        </is>
      </c>
    </row>
    <row r="4">
      <c r="A4" s="13" t="inlineStr">
        <is>
          <t>Process Area</t>
        </is>
      </c>
      <c r="B4" s="13" t="inlineStr">
        <is>
          <t>Current Level</t>
        </is>
      </c>
      <c r="C4" s="13" t="inlineStr">
        <is>
          <t>Target Level</t>
        </is>
      </c>
      <c r="D4" s="13" t="inlineStr">
        <is>
          <t>Gap</t>
        </is>
      </c>
      <c r="E4" s="13" t="inlineStr">
        <is>
          <t>Evidence</t>
        </is>
      </c>
      <c r="F4" s="13" t="inlineStr">
        <is>
          <t>Action Plan</t>
        </is>
      </c>
      <c r="G4" s="13" t="inlineStr">
        <is>
          <t>Target Date</t>
        </is>
      </c>
    </row>
    <row r="5">
      <c r="A5" s="30" t="inlineStr">
        <is>
          <t>Collection Planning</t>
        </is>
      </c>
      <c r="B5" s="22" t="n"/>
      <c r="C5" s="22" t="n"/>
      <c r="D5" s="29">
        <f>IF(OR(B5="",C5=""),"N/A",VALUE(LEFT(C5,1))-VALUE(LEFT(B5,1)))</f>
        <v/>
      </c>
      <c r="E5" s="22" t="n"/>
      <c r="F5" s="22" t="n"/>
      <c r="G5" s="20" t="n"/>
    </row>
    <row r="6">
      <c r="A6" s="30" t="inlineStr">
        <is>
          <t>Analysis Methodologies</t>
        </is>
      </c>
      <c r="B6" s="22" t="n"/>
      <c r="C6" s="22" t="n"/>
      <c r="D6" s="29">
        <f>IF(OR(B6="",C6=""),"N/A",VALUE(LEFT(C6,1))-VALUE(LEFT(B6,1)))</f>
        <v/>
      </c>
      <c r="E6" s="22" t="n"/>
      <c r="F6" s="22" t="n"/>
      <c r="G6" s="20" t="n"/>
    </row>
    <row r="7">
      <c r="A7" s="30" t="inlineStr">
        <is>
          <t>Production Quality</t>
        </is>
      </c>
      <c r="B7" s="22" t="n"/>
      <c r="C7" s="22" t="n"/>
      <c r="D7" s="29">
        <f>IF(OR(B7="",C7=""),"N/A",VALUE(LEFT(C7,1))-VALUE(LEFT(B7,1)))</f>
        <v/>
      </c>
      <c r="E7" s="22" t="n"/>
      <c r="F7" s="22" t="n"/>
      <c r="G7" s="20" t="n"/>
    </row>
    <row r="8">
      <c r="A8" s="30" t="inlineStr">
        <is>
          <t>Dissemination</t>
        </is>
      </c>
      <c r="B8" s="22" t="n"/>
      <c r="C8" s="22" t="n"/>
      <c r="D8" s="29">
        <f>IF(OR(B8="",C8=""),"N/A",VALUE(LEFT(C8,1))-VALUE(LEFT(B8,1)))</f>
        <v/>
      </c>
      <c r="E8" s="22" t="n"/>
      <c r="F8" s="22" t="n"/>
      <c r="G8" s="20" t="n"/>
    </row>
    <row r="9">
      <c r="A9" s="30" t="inlineStr">
        <is>
          <t>Feedback Mechanisms</t>
        </is>
      </c>
      <c r="B9" s="22" t="n"/>
      <c r="C9" s="22" t="n"/>
      <c r="D9" s="29">
        <f>IF(OR(B9="",C9=""),"N/A",VALUE(LEFT(C9,1))-VALUE(LEFT(B9,1)))</f>
        <v/>
      </c>
      <c r="E9" s="22" t="n"/>
      <c r="F9" s="22" t="n"/>
      <c r="G9" s="20" t="n"/>
    </row>
    <row r="10">
      <c r="A10" s="30" t="inlineStr">
        <is>
          <t>Integration (Technical)</t>
        </is>
      </c>
      <c r="B10" s="22" t="n"/>
      <c r="C10" s="22" t="n"/>
      <c r="D10" s="29">
        <f>IF(OR(B10="",C10=""),"N/A",VALUE(LEFT(C10,1))-VALUE(LEFT(B10,1)))</f>
        <v/>
      </c>
      <c r="E10" s="22" t="n"/>
      <c r="F10" s="22" t="n"/>
      <c r="G10" s="20" t="n"/>
    </row>
    <row r="11">
      <c r="A11" s="30" t="inlineStr">
        <is>
          <t>Integration (Control 8.8)</t>
        </is>
      </c>
      <c r="B11" s="22" t="n"/>
      <c r="C11" s="22" t="n"/>
      <c r="D11" s="29">
        <f>IF(OR(B11="",C11=""),"N/A",VALUE(LEFT(C11,1))-VALUE(LEFT(B11,1)))</f>
        <v/>
      </c>
      <c r="E11" s="22" t="n"/>
      <c r="F11" s="22" t="n"/>
      <c r="G11" s="20" t="n"/>
    </row>
    <row r="12">
      <c r="A12" s="30" t="inlineStr">
        <is>
          <t>Staff Training</t>
        </is>
      </c>
      <c r="B12" s="22" t="n"/>
      <c r="C12" s="22" t="n"/>
      <c r="D12" s="29">
        <f>IF(OR(B12="",C12=""),"N/A",VALUE(LEFT(C12,1))-VALUE(LEFT(B12,1)))</f>
        <v/>
      </c>
      <c r="E12" s="22" t="n"/>
      <c r="F12" s="22" t="n"/>
      <c r="G12" s="20" t="n"/>
    </row>
    <row r="13">
      <c r="A13" s="30" t="inlineStr">
        <is>
          <t>Metrics &amp; KPIs</t>
        </is>
      </c>
      <c r="B13" s="22" t="n"/>
      <c r="C13" s="22" t="n"/>
      <c r="D13" s="29">
        <f>IF(OR(B13="",C13=""),"N/A",VALUE(LEFT(C13,1))-VALUE(LEFT(B13,1)))</f>
        <v/>
      </c>
      <c r="E13" s="22" t="n"/>
      <c r="F13" s="22" t="n"/>
      <c r="G13" s="20" t="n"/>
    </row>
    <row r="14">
      <c r="A14" s="30" t="inlineStr">
        <is>
          <t>Threat Modeling</t>
        </is>
      </c>
      <c r="B14" s="22" t="n"/>
      <c r="C14" s="22" t="n"/>
      <c r="D14" s="29">
        <f>IF(OR(B14="",C14=""),"N/A",VALUE(LEFT(C14,1))-VALUE(LEFT(B14,1)))</f>
        <v/>
      </c>
      <c r="E14" s="22" t="n"/>
      <c r="F14" s="22" t="n"/>
      <c r="G14" s="20" t="n"/>
    </row>
    <row r="15">
      <c r="A15" s="22" t="n"/>
      <c r="B15" s="22" t="n"/>
      <c r="C15" s="22" t="n"/>
      <c r="D15" s="29">
        <f>IF(OR(B15="",C15=""),"N/A",VALUE(LEFT(C15,1))-VALUE(LEFT(B15,1)))</f>
        <v/>
      </c>
      <c r="E15" s="22" t="n"/>
      <c r="F15" s="22" t="n"/>
      <c r="G15" s="20" t="n"/>
    </row>
    <row r="16">
      <c r="A16" s="31" t="inlineStr">
        <is>
          <t>MATURITY LEVEL REFERENCE</t>
        </is>
      </c>
      <c r="B16" s="22" t="n"/>
      <c r="C16" s="22" t="n"/>
      <c r="D16" s="29">
        <f>IF(OR(B16="",C16=""),"N/A",VALUE(LEFT(C16,1))-VALUE(LEFT(B16,1)))</f>
        <v/>
      </c>
      <c r="E16" s="22" t="n"/>
      <c r="F16" s="22" t="n"/>
      <c r="G16" s="20" t="n"/>
    </row>
    <row r="17">
      <c r="A17" s="22" t="n"/>
      <c r="B17" s="22" t="n"/>
      <c r="C17" s="22" t="n"/>
      <c r="D17" s="29">
        <f>IF(OR(B17="",C17=""),"N/A",VALUE(LEFT(C17,1))-VALUE(LEFT(B17,1)))</f>
        <v/>
      </c>
      <c r="E17" s="22" t="n"/>
      <c r="F17" s="22" t="n"/>
      <c r="G17" s="20" t="n"/>
    </row>
    <row r="18">
      <c r="A18" s="22" t="n"/>
      <c r="B18" s="22" t="n"/>
      <c r="C18" s="22" t="n"/>
      <c r="D18" s="29">
        <f>IF(OR(B18="",C18=""),"N/A",VALUE(LEFT(C18,1))-VALUE(LEFT(B18,1)))</f>
        <v/>
      </c>
      <c r="E18" s="22" t="n"/>
      <c r="F18" s="22" t="n"/>
      <c r="G18" s="20" t="n"/>
    </row>
    <row r="19">
      <c r="A19" s="22" t="n"/>
      <c r="B19" s="22" t="n"/>
      <c r="C19" s="22" t="n"/>
      <c r="D19" s="29">
        <f>IF(OR(B19="",C19=""),"N/A",VALUE(LEFT(C19,1))-VALUE(LEFT(B19,1)))</f>
        <v/>
      </c>
      <c r="E19" s="22" t="n"/>
      <c r="F19" s="22" t="n"/>
      <c r="G19" s="20" t="n"/>
    </row>
    <row r="20">
      <c r="A20" s="22" t="n"/>
      <c r="B20" s="22" t="n"/>
      <c r="C20" s="22" t="n"/>
      <c r="D20" s="29">
        <f>IF(OR(B20="",C20=""),"N/A",VALUE(LEFT(C20,1))-VALUE(LEFT(B20,1)))</f>
        <v/>
      </c>
      <c r="E20" s="22" t="n"/>
      <c r="F20" s="22" t="n"/>
      <c r="G20" s="20" t="n"/>
    </row>
    <row r="21">
      <c r="A21" s="22" t="n"/>
      <c r="B21" s="22" t="n"/>
      <c r="C21" s="22" t="n"/>
      <c r="D21" s="29">
        <f>IF(OR(B21="",C21=""),"N/A",VALUE(LEFT(C21,1))-VALUE(LEFT(B21,1)))</f>
        <v/>
      </c>
      <c r="E21" s="22" t="n"/>
      <c r="F21" s="22" t="n"/>
      <c r="G21" s="20" t="n"/>
    </row>
    <row r="22">
      <c r="A22" s="22" t="n"/>
      <c r="B22" s="22" t="n"/>
      <c r="C22" s="22" t="n"/>
      <c r="D22" s="29">
        <f>IF(OR(B22="",C22=""),"N/A",VALUE(LEFT(C22,1))-VALUE(LEFT(B22,1)))</f>
        <v/>
      </c>
      <c r="E22" s="22" t="n"/>
      <c r="F22" s="22" t="n"/>
      <c r="G22" s="20" t="n"/>
    </row>
    <row r="23">
      <c r="A23" s="22" t="n"/>
      <c r="B23" s="22" t="n"/>
      <c r="C23" s="22" t="n"/>
      <c r="D23" s="29">
        <f>IF(OR(B23="",C23=""),"N/A",VALUE(LEFT(C23,1))-VALUE(LEFT(B23,1)))</f>
        <v/>
      </c>
      <c r="E23" s="22" t="n"/>
      <c r="F23" s="22" t="n"/>
      <c r="G23" s="20" t="n"/>
    </row>
    <row r="24">
      <c r="A24" s="22" t="n"/>
      <c r="B24" s="22" t="n"/>
      <c r="C24" s="22" t="n"/>
      <c r="D24" s="29">
        <f>IF(OR(B24="",C24=""),"N/A",VALUE(LEFT(C24,1))-VALUE(LEFT(B24,1)))</f>
        <v/>
      </c>
      <c r="E24" s="22" t="n"/>
      <c r="F24" s="22" t="n"/>
      <c r="G24" s="20" t="n"/>
    </row>
    <row r="26"/>
    <row r="27">
      <c r="A27" s="18" t="inlineStr">
        <is>
          <t>1 - Initial</t>
        </is>
      </c>
      <c r="B27" s="32" t="inlineStr">
        <is>
          <t>Ad hoc, reactive, inconsistent processes</t>
        </is>
      </c>
    </row>
    <row r="28">
      <c r="A28" s="18" t="inlineStr">
        <is>
          <t>2 - Managed</t>
        </is>
      </c>
      <c r="B28" s="32" t="inlineStr">
        <is>
          <t>Documented processes, some repeatability</t>
        </is>
      </c>
    </row>
    <row r="29">
      <c r="A29" s="18" t="inlineStr">
        <is>
          <t>3 - Defined</t>
        </is>
      </c>
      <c r="B29" s="32" t="inlineStr">
        <is>
          <t>Standardised processes, organisation-wide adoption</t>
        </is>
      </c>
    </row>
    <row r="30">
      <c r="A30" s="18" t="inlineStr">
        <is>
          <t>4 - Quantitatively Managed</t>
        </is>
      </c>
      <c r="B30" s="32" t="inlineStr">
        <is>
          <t>Measured and controlled processes</t>
        </is>
      </c>
    </row>
    <row r="31">
      <c r="A31" s="18" t="inlineStr">
        <is>
          <t>5 - Optimizing</t>
        </is>
      </c>
      <c r="B31" s="32" t="inlineStr">
        <is>
          <t>Continuous improvement, industry-leading practices</t>
        </is>
      </c>
    </row>
    <row r="33">
      <c r="A33" s="17" t="inlineStr">
        <is>
          <t>MATURITY SUMMARY</t>
        </is>
      </c>
    </row>
    <row r="34">
      <c r="A34" s="18" t="inlineStr">
        <is>
          <t>Avg Current Maturity:</t>
        </is>
      </c>
      <c r="B34" s="26">
        <f>AVERAGE(VALUE(LEFT(B5:B24,1)))</f>
        <v/>
      </c>
    </row>
    <row r="35">
      <c r="A35" s="18" t="inlineStr">
        <is>
          <t>Avg Target Maturity:</t>
        </is>
      </c>
      <c r="B35" s="26">
        <f>AVERAGE(VALUE(LEFT(C5:C24,1)))</f>
        <v/>
      </c>
    </row>
    <row r="36">
      <c r="A36" s="18" t="inlineStr">
        <is>
          <t>Total Gap (levels):</t>
        </is>
      </c>
      <c r="B36" s="26">
        <f>SUM(D5:D24)</f>
        <v/>
      </c>
    </row>
    <row r="37">
      <c r="A37" s="18" t="inlineStr">
        <is>
          <t>Areas at Target:</t>
        </is>
      </c>
      <c r="B37" s="26">
        <f>COUNTIF(D5:D24,0)</f>
        <v/>
      </c>
    </row>
  </sheetData>
  <mergeCells count="9">
    <mergeCell ref="A1:G1"/>
    <mergeCell ref="B28:G28"/>
    <mergeCell ref="B31:G31"/>
    <mergeCell ref="B27:G27"/>
    <mergeCell ref="A26:G26"/>
    <mergeCell ref="A2:G2"/>
    <mergeCell ref="A33:D33"/>
    <mergeCell ref="B30:G30"/>
    <mergeCell ref="B29:G29"/>
  </mergeCells>
  <conditionalFormatting sqref="D5:D24">
    <cfRule type="cellIs" priority="1" operator="greaterThan" dxfId="1">
      <formula>0</formula>
    </cfRule>
    <cfRule type="cellIs" priority="2" operator="equal" dxfId="2">
      <formula>0</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5"/>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45" customWidth="1" min="3" max="3"/>
    <col width="12" customWidth="1" min="4" max="4"/>
    <col width="25" customWidth="1" min="5" max="5"/>
    <col width="12" customWidth="1" min="6" max="6"/>
    <col width="15" customWidth="1" min="7" max="7"/>
    <col width="16" customWidth="1" min="8" max="8"/>
    <col width="14" customWidth="1" min="9" max="9"/>
    <col width="30" customWidth="1" min="10" max="10"/>
    <col width="35" customWidth="1" min="11" max="11"/>
    <col width="30" customWidth="1" min="12" max="12"/>
  </cols>
  <sheetData>
    <row r="1" ht="35" customHeight="1">
      <c r="A1" s="11" t="inlineStr">
        <is>
          <t>ACTION ITEMS &amp; CAPABILITY IMPROVEMENTS</t>
        </is>
      </c>
    </row>
    <row r="2">
      <c r="A2" s="12" t="inlineStr">
        <is>
          <t>Track actions to address gaps identified in collection coverage, analysis capabilities, and process maturity.</t>
        </is>
      </c>
    </row>
    <row r="4">
      <c r="A4" s="13" t="inlineStr">
        <is>
          <t>Action ID</t>
        </is>
      </c>
      <c r="B4" s="13" t="inlineStr">
        <is>
          <t>Related Sheet</t>
        </is>
      </c>
      <c r="C4" s="13" t="inlineStr">
        <is>
          <t>Issue Description</t>
        </is>
      </c>
      <c r="D4" s="13" t="inlineStr">
        <is>
          <t>Priority</t>
        </is>
      </c>
      <c r="E4" s="13" t="inlineStr">
        <is>
          <t>Assigned To</t>
        </is>
      </c>
      <c r="F4" s="13" t="inlineStr">
        <is>
          <t>Due Date</t>
        </is>
      </c>
      <c r="G4" s="13" t="inlineStr">
        <is>
          <t>Status</t>
        </is>
      </c>
      <c r="H4" s="13" t="inlineStr">
        <is>
          <t>Progress Percentage</t>
        </is>
      </c>
      <c r="I4" s="13" t="inlineStr">
        <is>
          <t>Completion Date</t>
        </is>
      </c>
      <c r="J4" s="13" t="inlineStr">
        <is>
          <t>Outcome</t>
        </is>
      </c>
      <c r="K4" s="13" t="inlineStr">
        <is>
          <t>Lessons Learned</t>
        </is>
      </c>
      <c r="L4" s="13" t="inlineStr">
        <is>
          <t>Notes</t>
        </is>
      </c>
    </row>
    <row r="5">
      <c r="A5" s="14" t="inlineStr">
        <is>
          <t>ACT-572-EXX</t>
        </is>
      </c>
      <c r="B5" s="14" t="inlineStr">
        <is>
          <t>Intelligence Requirements</t>
        </is>
      </c>
      <c r="C5" s="14" t="inlineStr">
        <is>
          <t>PIR coverage gap: no intelligence source for ICS/SCADA sector threats</t>
        </is>
      </c>
      <c r="D5" s="14" t="inlineStr">
        <is>
          <t>High</t>
        </is>
      </c>
      <c r="E5" s="14" t="inlineStr">
        <is>
          <t>J. Smith</t>
        </is>
      </c>
      <c r="F5" s="14" t="inlineStr">
        <is>
          <t>30.06.2026</t>
        </is>
      </c>
      <c r="G5" s="14" t="inlineStr">
        <is>
          <t>Open</t>
        </is>
      </c>
      <c r="H5" s="14" t="n"/>
      <c r="I5" s="14" t="n"/>
      <c r="J5" s="14" t="n"/>
      <c r="K5" s="14" t="n"/>
      <c r="L5" s="14" t="n"/>
    </row>
    <row r="6">
      <c r="A6" s="15" t="n"/>
      <c r="B6" s="22" t="n"/>
      <c r="C6" s="22" t="n"/>
      <c r="D6" s="22" t="n"/>
      <c r="E6" s="22" t="n"/>
      <c r="F6" s="20" t="n"/>
      <c r="G6" s="22" t="n"/>
      <c r="H6" s="24" t="n"/>
      <c r="I6" s="20" t="n"/>
      <c r="J6" s="22" t="n"/>
      <c r="K6" s="22" t="n"/>
      <c r="L6" s="22" t="n"/>
    </row>
    <row r="7">
      <c r="A7" s="15" t="n"/>
      <c r="B7" s="22" t="n"/>
      <c r="C7" s="22" t="n"/>
      <c r="D7" s="22" t="n"/>
      <c r="E7" s="22" t="n"/>
      <c r="F7" s="20" t="n"/>
      <c r="G7" s="22" t="n"/>
      <c r="H7" s="24" t="n"/>
      <c r="I7" s="20" t="n"/>
      <c r="J7" s="22" t="n"/>
      <c r="K7" s="22" t="n"/>
      <c r="L7" s="22" t="n"/>
    </row>
    <row r="8">
      <c r="A8" s="15" t="n"/>
      <c r="B8" s="22" t="n"/>
      <c r="C8" s="22" t="n"/>
      <c r="D8" s="22" t="n"/>
      <c r="E8" s="22" t="n"/>
      <c r="F8" s="20" t="n"/>
      <c r="G8" s="22" t="n"/>
      <c r="H8" s="24" t="n"/>
      <c r="I8" s="20" t="n"/>
      <c r="J8" s="22" t="n"/>
      <c r="K8" s="22" t="n"/>
      <c r="L8" s="22" t="n"/>
    </row>
    <row r="9">
      <c r="A9" s="15" t="n"/>
      <c r="B9" s="22" t="n"/>
      <c r="C9" s="22" t="n"/>
      <c r="D9" s="22" t="n"/>
      <c r="E9" s="22" t="n"/>
      <c r="F9" s="20" t="n"/>
      <c r="G9" s="22" t="n"/>
      <c r="H9" s="24" t="n"/>
      <c r="I9" s="20" t="n"/>
      <c r="J9" s="22" t="n"/>
      <c r="K9" s="22" t="n"/>
      <c r="L9" s="22" t="n"/>
    </row>
    <row r="10">
      <c r="A10" s="15" t="n"/>
      <c r="B10" s="22" t="n"/>
      <c r="C10" s="22" t="n"/>
      <c r="D10" s="22" t="n"/>
      <c r="E10" s="22" t="n"/>
      <c r="F10" s="20" t="n"/>
      <c r="G10" s="22" t="n"/>
      <c r="H10" s="24" t="n"/>
      <c r="I10" s="20" t="n"/>
      <c r="J10" s="22" t="n"/>
      <c r="K10" s="22" t="n"/>
      <c r="L10" s="22" t="n"/>
    </row>
    <row r="11">
      <c r="A11" s="15" t="n"/>
      <c r="B11" s="22" t="n"/>
      <c r="C11" s="22" t="n"/>
      <c r="D11" s="22" t="n"/>
      <c r="E11" s="22" t="n"/>
      <c r="F11" s="20" t="n"/>
      <c r="G11" s="22" t="n"/>
      <c r="H11" s="24" t="n"/>
      <c r="I11" s="20" t="n"/>
      <c r="J11" s="22" t="n"/>
      <c r="K11" s="22" t="n"/>
      <c r="L11" s="22" t="n"/>
    </row>
    <row r="12">
      <c r="A12" s="15" t="n"/>
      <c r="B12" s="22" t="n"/>
      <c r="C12" s="22" t="n"/>
      <c r="D12" s="22" t="n"/>
      <c r="E12" s="22" t="n"/>
      <c r="F12" s="20" t="n"/>
      <c r="G12" s="22" t="n"/>
      <c r="H12" s="24" t="n"/>
      <c r="I12" s="20" t="n"/>
      <c r="J12" s="22" t="n"/>
      <c r="K12" s="22" t="n"/>
      <c r="L12" s="22" t="n"/>
    </row>
    <row r="13">
      <c r="A13" s="15" t="n"/>
      <c r="B13" s="22" t="n"/>
      <c r="C13" s="22" t="n"/>
      <c r="D13" s="22" t="n"/>
      <c r="E13" s="22" t="n"/>
      <c r="F13" s="20" t="n"/>
      <c r="G13" s="22" t="n"/>
      <c r="H13" s="24" t="n"/>
      <c r="I13" s="20" t="n"/>
      <c r="J13" s="22" t="n"/>
      <c r="K13" s="22" t="n"/>
      <c r="L13" s="22" t="n"/>
    </row>
    <row r="14">
      <c r="A14" s="15" t="n"/>
      <c r="B14" s="22" t="n"/>
      <c r="C14" s="22" t="n"/>
      <c r="D14" s="22" t="n"/>
      <c r="E14" s="22" t="n"/>
      <c r="F14" s="20" t="n"/>
      <c r="G14" s="22" t="n"/>
      <c r="H14" s="24" t="n"/>
      <c r="I14" s="20" t="n"/>
      <c r="J14" s="22" t="n"/>
      <c r="K14" s="22" t="n"/>
      <c r="L14" s="22" t="n"/>
    </row>
    <row r="15">
      <c r="A15" s="15" t="n"/>
      <c r="B15" s="22" t="n"/>
      <c r="C15" s="22" t="n"/>
      <c r="D15" s="22" t="n"/>
      <c r="E15" s="22" t="n"/>
      <c r="F15" s="20" t="n"/>
      <c r="G15" s="22" t="n"/>
      <c r="H15" s="24" t="n"/>
      <c r="I15" s="20" t="n"/>
      <c r="J15" s="22" t="n"/>
      <c r="K15" s="22" t="n"/>
      <c r="L15" s="22" t="n"/>
    </row>
    <row r="16">
      <c r="A16" s="15" t="n"/>
      <c r="B16" s="22" t="n"/>
      <c r="C16" s="22" t="n"/>
      <c r="D16" s="22" t="n"/>
      <c r="E16" s="22" t="n"/>
      <c r="F16" s="20" t="n"/>
      <c r="G16" s="22" t="n"/>
      <c r="H16" s="24" t="n"/>
      <c r="I16" s="20" t="n"/>
      <c r="J16" s="22" t="n"/>
      <c r="K16" s="22" t="n"/>
      <c r="L16" s="22" t="n"/>
    </row>
    <row r="17">
      <c r="A17" s="15" t="n"/>
      <c r="B17" s="22" t="n"/>
      <c r="C17" s="22" t="n"/>
      <c r="D17" s="22" t="n"/>
      <c r="E17" s="22" t="n"/>
      <c r="F17" s="20" t="n"/>
      <c r="G17" s="22" t="n"/>
      <c r="H17" s="24" t="n"/>
      <c r="I17" s="20" t="n"/>
      <c r="J17" s="22" t="n"/>
      <c r="K17" s="22" t="n"/>
      <c r="L17" s="22" t="n"/>
    </row>
    <row r="18">
      <c r="A18" s="15" t="n"/>
      <c r="B18" s="22" t="n"/>
      <c r="C18" s="22" t="n"/>
      <c r="D18" s="22" t="n"/>
      <c r="E18" s="22" t="n"/>
      <c r="F18" s="20" t="n"/>
      <c r="G18" s="22" t="n"/>
      <c r="H18" s="24" t="n"/>
      <c r="I18" s="20" t="n"/>
      <c r="J18" s="22" t="n"/>
      <c r="K18" s="22" t="n"/>
      <c r="L18" s="22" t="n"/>
    </row>
    <row r="19">
      <c r="A19" s="15" t="n"/>
      <c r="B19" s="22" t="n"/>
      <c r="C19" s="22" t="n"/>
      <c r="D19" s="22" t="n"/>
      <c r="E19" s="22" t="n"/>
      <c r="F19" s="20" t="n"/>
      <c r="G19" s="22" t="n"/>
      <c r="H19" s="24" t="n"/>
      <c r="I19" s="20" t="n"/>
      <c r="J19" s="22" t="n"/>
      <c r="K19" s="22" t="n"/>
      <c r="L19" s="22" t="n"/>
    </row>
    <row r="20">
      <c r="A20" s="15" t="n"/>
      <c r="B20" s="22" t="n"/>
      <c r="C20" s="22" t="n"/>
      <c r="D20" s="22" t="n"/>
      <c r="E20" s="22" t="n"/>
      <c r="F20" s="20" t="n"/>
      <c r="G20" s="22" t="n"/>
      <c r="H20" s="24" t="n"/>
      <c r="I20" s="20" t="n"/>
      <c r="J20" s="22" t="n"/>
      <c r="K20" s="22" t="n"/>
      <c r="L20" s="22" t="n"/>
    </row>
    <row r="21">
      <c r="A21" s="15" t="n"/>
      <c r="B21" s="22" t="n"/>
      <c r="C21" s="22" t="n"/>
      <c r="D21" s="22" t="n"/>
      <c r="E21" s="22" t="n"/>
      <c r="F21" s="20" t="n"/>
      <c r="G21" s="22" t="n"/>
      <c r="H21" s="24" t="n"/>
      <c r="I21" s="20" t="n"/>
      <c r="J21" s="22" t="n"/>
      <c r="K21" s="22" t="n"/>
      <c r="L21" s="22" t="n"/>
    </row>
    <row r="22">
      <c r="A22" s="15" t="n"/>
      <c r="B22" s="22" t="n"/>
      <c r="C22" s="22" t="n"/>
      <c r="D22" s="22" t="n"/>
      <c r="E22" s="22" t="n"/>
      <c r="F22" s="20" t="n"/>
      <c r="G22" s="22" t="n"/>
      <c r="H22" s="24" t="n"/>
      <c r="I22" s="20" t="n"/>
      <c r="J22" s="22" t="n"/>
      <c r="K22" s="22" t="n"/>
      <c r="L22" s="22" t="n"/>
    </row>
    <row r="23">
      <c r="A23" s="15" t="n"/>
      <c r="B23" s="22" t="n"/>
      <c r="C23" s="22" t="n"/>
      <c r="D23" s="22" t="n"/>
      <c r="E23" s="22" t="n"/>
      <c r="F23" s="20" t="n"/>
      <c r="G23" s="22" t="n"/>
      <c r="H23" s="24" t="n"/>
      <c r="I23" s="20" t="n"/>
      <c r="J23" s="22" t="n"/>
      <c r="K23" s="22" t="n"/>
      <c r="L23" s="22" t="n"/>
    </row>
    <row r="24">
      <c r="A24" s="15" t="n"/>
      <c r="B24" s="22" t="n"/>
      <c r="C24" s="22" t="n"/>
      <c r="D24" s="22" t="n"/>
      <c r="E24" s="22" t="n"/>
      <c r="F24" s="20" t="n"/>
      <c r="G24" s="22" t="n"/>
      <c r="H24" s="24" t="n"/>
      <c r="I24" s="20" t="n"/>
      <c r="J24" s="22" t="n"/>
      <c r="K24" s="22" t="n"/>
      <c r="L24" s="22" t="n"/>
    </row>
    <row r="25">
      <c r="A25" s="15" t="n"/>
      <c r="B25" s="22" t="n"/>
      <c r="C25" s="22" t="n"/>
      <c r="D25" s="22" t="n"/>
      <c r="E25" s="22" t="n"/>
      <c r="F25" s="20" t="n"/>
      <c r="G25" s="22" t="n"/>
      <c r="H25" s="24" t="n"/>
      <c r="I25" s="20" t="n"/>
      <c r="J25" s="22" t="n"/>
      <c r="K25" s="22" t="n"/>
      <c r="L25" s="22" t="n"/>
    </row>
    <row r="26">
      <c r="A26" s="15" t="n"/>
      <c r="B26" s="22" t="n"/>
      <c r="C26" s="22" t="n"/>
      <c r="D26" s="22" t="n"/>
      <c r="E26" s="22" t="n"/>
      <c r="F26" s="20" t="n"/>
      <c r="G26" s="22" t="n"/>
      <c r="H26" s="24" t="n"/>
      <c r="I26" s="20" t="n"/>
      <c r="J26" s="22" t="n"/>
      <c r="K26" s="22" t="n"/>
      <c r="L26" s="22" t="n"/>
    </row>
    <row r="27">
      <c r="A27" s="15" t="n"/>
      <c r="B27" s="22" t="n"/>
      <c r="C27" s="22" t="n"/>
      <c r="D27" s="22" t="n"/>
      <c r="E27" s="22" t="n"/>
      <c r="F27" s="20" t="n"/>
      <c r="G27" s="22" t="n"/>
      <c r="H27" s="24" t="n"/>
      <c r="I27" s="20" t="n"/>
      <c r="J27" s="22" t="n"/>
      <c r="K27" s="22" t="n"/>
      <c r="L27" s="22" t="n"/>
    </row>
    <row r="28">
      <c r="A28" s="15" t="n"/>
      <c r="B28" s="22" t="n"/>
      <c r="C28" s="22" t="n"/>
      <c r="D28" s="22" t="n"/>
      <c r="E28" s="22" t="n"/>
      <c r="F28" s="20" t="n"/>
      <c r="G28" s="22" t="n"/>
      <c r="H28" s="24" t="n"/>
      <c r="I28" s="20" t="n"/>
      <c r="J28" s="22" t="n"/>
      <c r="K28" s="22" t="n"/>
      <c r="L28" s="22" t="n"/>
    </row>
    <row r="29">
      <c r="A29" s="15" t="n"/>
      <c r="B29" s="22" t="n"/>
      <c r="C29" s="22" t="n"/>
      <c r="D29" s="22" t="n"/>
      <c r="E29" s="22" t="n"/>
      <c r="F29" s="20" t="n"/>
      <c r="G29" s="22" t="n"/>
      <c r="H29" s="24" t="n"/>
      <c r="I29" s="20" t="n"/>
      <c r="J29" s="22" t="n"/>
      <c r="K29" s="22" t="n"/>
      <c r="L29" s="22" t="n"/>
    </row>
    <row r="30">
      <c r="A30" s="15" t="n"/>
      <c r="B30" s="22" t="n"/>
      <c r="C30" s="22" t="n"/>
      <c r="D30" s="22" t="n"/>
      <c r="E30" s="22" t="n"/>
      <c r="F30" s="20" t="n"/>
      <c r="G30" s="22" t="n"/>
      <c r="H30" s="24" t="n"/>
      <c r="I30" s="20" t="n"/>
      <c r="J30" s="22" t="n"/>
      <c r="K30" s="22" t="n"/>
      <c r="L30" s="22" t="n"/>
    </row>
    <row r="31">
      <c r="A31" s="15" t="n"/>
      <c r="B31" s="22" t="n"/>
      <c r="C31" s="22" t="n"/>
      <c r="D31" s="22" t="n"/>
      <c r="E31" s="22" t="n"/>
      <c r="F31" s="20" t="n"/>
      <c r="G31" s="22" t="n"/>
      <c r="H31" s="24" t="n"/>
      <c r="I31" s="20" t="n"/>
      <c r="J31" s="22" t="n"/>
      <c r="K31" s="22" t="n"/>
      <c r="L31" s="22" t="n"/>
    </row>
    <row r="32">
      <c r="A32" s="15" t="n"/>
      <c r="B32" s="22" t="n"/>
      <c r="C32" s="22" t="n"/>
      <c r="D32" s="22" t="n"/>
      <c r="E32" s="22" t="n"/>
      <c r="F32" s="20" t="n"/>
      <c r="G32" s="22" t="n"/>
      <c r="H32" s="24" t="n"/>
      <c r="I32" s="20" t="n"/>
      <c r="J32" s="22" t="n"/>
      <c r="K32" s="22" t="n"/>
      <c r="L32" s="22" t="n"/>
    </row>
    <row r="33">
      <c r="A33" s="15" t="n"/>
      <c r="B33" s="22" t="n"/>
      <c r="C33" s="22" t="n"/>
      <c r="D33" s="22" t="n"/>
      <c r="E33" s="22" t="n"/>
      <c r="F33" s="20" t="n"/>
      <c r="G33" s="22" t="n"/>
      <c r="H33" s="24" t="n"/>
      <c r="I33" s="20" t="n"/>
      <c r="J33" s="22" t="n"/>
      <c r="K33" s="22" t="n"/>
      <c r="L33" s="22" t="n"/>
    </row>
    <row r="34">
      <c r="A34" s="15" t="n"/>
      <c r="B34" s="22" t="n"/>
      <c r="C34" s="22" t="n"/>
      <c r="D34" s="22" t="n"/>
      <c r="E34" s="22" t="n"/>
      <c r="F34" s="20" t="n"/>
      <c r="G34" s="22" t="n"/>
      <c r="H34" s="24" t="n"/>
      <c r="I34" s="20" t="n"/>
      <c r="J34" s="22" t="n"/>
      <c r="K34" s="22" t="n"/>
      <c r="L34" s="22" t="n"/>
    </row>
    <row r="35">
      <c r="A35" s="15" t="n"/>
      <c r="B35" s="22" t="n"/>
      <c r="C35" s="22" t="n"/>
      <c r="D35" s="22" t="n"/>
      <c r="E35" s="22" t="n"/>
      <c r="F35" s="20" t="n"/>
      <c r="G35" s="22" t="n"/>
      <c r="H35" s="24" t="n"/>
      <c r="I35" s="20" t="n"/>
      <c r="J35" s="22" t="n"/>
      <c r="K35" s="22" t="n"/>
      <c r="L35" s="22" t="n"/>
    </row>
    <row r="36">
      <c r="A36" s="15" t="n"/>
      <c r="B36" s="22" t="n"/>
      <c r="C36" s="22" t="n"/>
      <c r="D36" s="22" t="n"/>
      <c r="E36" s="22" t="n"/>
      <c r="F36" s="20" t="n"/>
      <c r="G36" s="22" t="n"/>
      <c r="H36" s="24" t="n"/>
      <c r="I36" s="20" t="n"/>
      <c r="J36" s="22" t="n"/>
      <c r="K36" s="22" t="n"/>
      <c r="L36" s="22" t="n"/>
    </row>
    <row r="37">
      <c r="A37" s="15" t="n"/>
      <c r="B37" s="22" t="n"/>
      <c r="C37" s="22" t="n"/>
      <c r="D37" s="22" t="n"/>
      <c r="E37" s="22" t="n"/>
      <c r="F37" s="20" t="n"/>
      <c r="G37" s="22" t="n"/>
      <c r="H37" s="24" t="n"/>
      <c r="I37" s="20" t="n"/>
      <c r="J37" s="22" t="n"/>
      <c r="K37" s="22" t="n"/>
      <c r="L37" s="22" t="n"/>
    </row>
    <row r="38">
      <c r="A38" s="15" t="n"/>
      <c r="B38" s="22" t="n"/>
      <c r="C38" s="22" t="n"/>
      <c r="D38" s="22" t="n"/>
      <c r="E38" s="22" t="n"/>
      <c r="F38" s="20" t="n"/>
      <c r="G38" s="22" t="n"/>
      <c r="H38" s="24" t="n"/>
      <c r="I38" s="20" t="n"/>
      <c r="J38" s="22" t="n"/>
      <c r="K38" s="22" t="n"/>
      <c r="L38" s="22" t="n"/>
    </row>
    <row r="39">
      <c r="A39" s="15" t="n"/>
      <c r="B39" s="22" t="n"/>
      <c r="C39" s="22" t="n"/>
      <c r="D39" s="22" t="n"/>
      <c r="E39" s="22" t="n"/>
      <c r="F39" s="20" t="n"/>
      <c r="G39" s="22" t="n"/>
      <c r="H39" s="24" t="n"/>
      <c r="I39" s="20" t="n"/>
      <c r="J39" s="22" t="n"/>
      <c r="K39" s="22" t="n"/>
      <c r="L39" s="22" t="n"/>
    </row>
    <row r="40">
      <c r="A40" s="15" t="n"/>
      <c r="B40" s="22" t="n"/>
      <c r="C40" s="22" t="n"/>
      <c r="D40" s="22" t="n"/>
      <c r="E40" s="22" t="n"/>
      <c r="F40" s="20" t="n"/>
      <c r="G40" s="22" t="n"/>
      <c r="H40" s="24" t="n"/>
      <c r="I40" s="20" t="n"/>
      <c r="J40" s="22" t="n"/>
      <c r="K40" s="22" t="n"/>
      <c r="L40" s="22" t="n"/>
    </row>
    <row r="41">
      <c r="A41" s="15" t="n"/>
      <c r="B41" s="22" t="n"/>
      <c r="C41" s="22" t="n"/>
      <c r="D41" s="22" t="n"/>
      <c r="E41" s="22" t="n"/>
      <c r="F41" s="20" t="n"/>
      <c r="G41" s="22" t="n"/>
      <c r="H41" s="24" t="n"/>
      <c r="I41" s="20" t="n"/>
      <c r="J41" s="22" t="n"/>
      <c r="K41" s="22" t="n"/>
      <c r="L41" s="22" t="n"/>
    </row>
    <row r="42">
      <c r="A42" s="15" t="n"/>
      <c r="B42" s="22" t="n"/>
      <c r="C42" s="22" t="n"/>
      <c r="D42" s="22" t="n"/>
      <c r="E42" s="22" t="n"/>
      <c r="F42" s="20" t="n"/>
      <c r="G42" s="22" t="n"/>
      <c r="H42" s="24" t="n"/>
      <c r="I42" s="20" t="n"/>
      <c r="J42" s="22" t="n"/>
      <c r="K42" s="22" t="n"/>
      <c r="L42" s="22" t="n"/>
    </row>
    <row r="43">
      <c r="A43" s="15" t="n"/>
      <c r="B43" s="22" t="n"/>
      <c r="C43" s="22" t="n"/>
      <c r="D43" s="22" t="n"/>
      <c r="E43" s="22" t="n"/>
      <c r="F43" s="20" t="n"/>
      <c r="G43" s="22" t="n"/>
      <c r="H43" s="24" t="n"/>
      <c r="I43" s="20" t="n"/>
      <c r="J43" s="22" t="n"/>
      <c r="K43" s="22" t="n"/>
      <c r="L43" s="22" t="n"/>
    </row>
    <row r="44">
      <c r="A44" s="15" t="n"/>
      <c r="B44" s="22" t="n"/>
      <c r="C44" s="22" t="n"/>
      <c r="D44" s="22" t="n"/>
      <c r="E44" s="22" t="n"/>
      <c r="F44" s="20" t="n"/>
      <c r="G44" s="22" t="n"/>
      <c r="H44" s="24" t="n"/>
      <c r="I44" s="20" t="n"/>
      <c r="J44" s="22" t="n"/>
      <c r="K44" s="22" t="n"/>
      <c r="L44" s="22" t="n"/>
    </row>
    <row r="45">
      <c r="A45" s="15" t="n"/>
      <c r="B45" s="22" t="n"/>
      <c r="C45" s="22" t="n"/>
      <c r="D45" s="22" t="n"/>
      <c r="E45" s="22" t="n"/>
      <c r="F45" s="20" t="n"/>
      <c r="G45" s="22" t="n"/>
      <c r="H45" s="24" t="n"/>
      <c r="I45" s="20" t="n"/>
      <c r="J45" s="22" t="n"/>
      <c r="K45" s="22" t="n"/>
      <c r="L45" s="22" t="n"/>
    </row>
    <row r="46">
      <c r="A46" s="15" t="n"/>
      <c r="B46" s="22" t="n"/>
      <c r="C46" s="22" t="n"/>
      <c r="D46" s="22" t="n"/>
      <c r="E46" s="22" t="n"/>
      <c r="F46" s="20" t="n"/>
      <c r="G46" s="22" t="n"/>
      <c r="H46" s="24" t="n"/>
      <c r="I46" s="20" t="n"/>
      <c r="J46" s="22" t="n"/>
      <c r="K46" s="22" t="n"/>
      <c r="L46" s="22" t="n"/>
    </row>
    <row r="47">
      <c r="A47" s="15" t="n"/>
      <c r="B47" s="22" t="n"/>
      <c r="C47" s="22" t="n"/>
      <c r="D47" s="22" t="n"/>
      <c r="E47" s="22" t="n"/>
      <c r="F47" s="20" t="n"/>
      <c r="G47" s="22" t="n"/>
      <c r="H47" s="24" t="n"/>
      <c r="I47" s="20" t="n"/>
      <c r="J47" s="22" t="n"/>
      <c r="K47" s="22" t="n"/>
      <c r="L47" s="22" t="n"/>
    </row>
    <row r="48">
      <c r="A48" s="15" t="n"/>
      <c r="B48" s="22" t="n"/>
      <c r="C48" s="22" t="n"/>
      <c r="D48" s="22" t="n"/>
      <c r="E48" s="22" t="n"/>
      <c r="F48" s="20" t="n"/>
      <c r="G48" s="22" t="n"/>
      <c r="H48" s="24" t="n"/>
      <c r="I48" s="20" t="n"/>
      <c r="J48" s="22" t="n"/>
      <c r="K48" s="22" t="n"/>
      <c r="L48" s="22" t="n"/>
    </row>
    <row r="49">
      <c r="A49" s="15" t="n"/>
      <c r="B49" s="22" t="n"/>
      <c r="C49" s="22" t="n"/>
      <c r="D49" s="22" t="n"/>
      <c r="E49" s="22" t="n"/>
      <c r="F49" s="20" t="n"/>
      <c r="G49" s="22" t="n"/>
      <c r="H49" s="24" t="n"/>
      <c r="I49" s="20" t="n"/>
      <c r="J49" s="22" t="n"/>
      <c r="K49" s="22" t="n"/>
      <c r="L49" s="22" t="n"/>
    </row>
    <row r="50">
      <c r="A50" s="15" t="n"/>
      <c r="B50" s="22" t="n"/>
      <c r="C50" s="22" t="n"/>
      <c r="D50" s="22" t="n"/>
      <c r="E50" s="22" t="n"/>
      <c r="F50" s="20" t="n"/>
      <c r="G50" s="22" t="n"/>
      <c r="H50" s="24" t="n"/>
      <c r="I50" s="20" t="n"/>
      <c r="J50" s="22" t="n"/>
      <c r="K50" s="22" t="n"/>
      <c r="L50" s="22" t="n"/>
    </row>
    <row r="51">
      <c r="A51" s="15" t="n"/>
      <c r="B51" s="22" t="n"/>
      <c r="C51" s="22" t="n"/>
      <c r="D51" s="22" t="n"/>
      <c r="E51" s="22" t="n"/>
      <c r="F51" s="20" t="n"/>
      <c r="G51" s="22" t="n"/>
      <c r="H51" s="24" t="n"/>
      <c r="I51" s="20" t="n"/>
      <c r="J51" s="22" t="n"/>
      <c r="K51" s="22" t="n"/>
      <c r="L51" s="22" t="n"/>
    </row>
    <row r="52">
      <c r="A52" s="15" t="n"/>
      <c r="B52" s="22" t="n"/>
      <c r="C52" s="22" t="n"/>
      <c r="D52" s="22" t="n"/>
      <c r="E52" s="22" t="n"/>
      <c r="F52" s="20" t="n"/>
      <c r="G52" s="22" t="n"/>
      <c r="H52" s="24" t="n"/>
      <c r="I52" s="20" t="n"/>
      <c r="J52" s="22" t="n"/>
      <c r="K52" s="22" t="n"/>
      <c r="L52" s="22" t="n"/>
    </row>
    <row r="53">
      <c r="A53" s="15" t="n"/>
      <c r="B53" s="22" t="n"/>
      <c r="C53" s="22" t="n"/>
      <c r="D53" s="22" t="n"/>
      <c r="E53" s="22" t="n"/>
      <c r="F53" s="20" t="n"/>
      <c r="G53" s="22" t="n"/>
      <c r="H53" s="24" t="n"/>
      <c r="I53" s="20" t="n"/>
      <c r="J53" s="22" t="n"/>
      <c r="K53" s="22" t="n"/>
      <c r="L53" s="22" t="n"/>
    </row>
    <row r="54">
      <c r="A54" s="15" t="n"/>
      <c r="B54" s="22" t="n"/>
      <c r="C54" s="22" t="n"/>
      <c r="D54" s="22" t="n"/>
      <c r="E54" s="22" t="n"/>
      <c r="F54" s="20" t="n"/>
      <c r="G54" s="22" t="n"/>
      <c r="H54" s="24" t="n"/>
      <c r="I54" s="20" t="n"/>
      <c r="J54" s="22" t="n"/>
      <c r="K54" s="22" t="n"/>
      <c r="L54" s="22" t="n"/>
    </row>
    <row r="55">
      <c r="A55" s="15" t="n"/>
      <c r="B55" s="22" t="n"/>
      <c r="C55" s="22" t="n"/>
      <c r="D55" s="22" t="n"/>
      <c r="E55" s="22" t="n"/>
      <c r="F55" s="20" t="n"/>
      <c r="G55" s="22" t="n"/>
      <c r="H55" s="24" t="n"/>
      <c r="I55" s="20" t="n"/>
      <c r="J55" s="22" t="n"/>
      <c r="K55" s="22" t="n"/>
      <c r="L55" s="22" t="n"/>
    </row>
    <row r="57">
      <c r="A57" s="17" t="inlineStr">
        <is>
          <t>ACTION ITEMS SUMMARY</t>
        </is>
      </c>
    </row>
    <row r="58">
      <c r="A58" s="18" t="inlineStr">
        <is>
          <t>Total Actions:</t>
        </is>
      </c>
      <c r="B58" s="18">
        <f>COUNTA(C6:C55)</f>
        <v/>
      </c>
    </row>
    <row r="59">
      <c r="A59" s="18" t="inlineStr">
        <is>
          <t>Critical Priority:</t>
        </is>
      </c>
      <c r="B59" s="18">
        <f>COUNTIF(D6:D55,"Critical")</f>
        <v/>
      </c>
    </row>
    <row r="60">
      <c r="A60" s="18" t="inlineStr">
        <is>
          <t>High Priority:</t>
        </is>
      </c>
      <c r="B60" s="18">
        <f>COUNTIF(D6:D55,"High")</f>
        <v/>
      </c>
    </row>
    <row r="61">
      <c r="A61" s="18" t="inlineStr">
        <is>
          <t>Open:</t>
        </is>
      </c>
      <c r="B61" s="18">
        <f>COUNTIF(G6:G55,"Open")</f>
        <v/>
      </c>
    </row>
    <row r="62">
      <c r="A62" s="18" t="inlineStr">
        <is>
          <t>In Progress:</t>
        </is>
      </c>
      <c r="B62" s="18">
        <f>COUNTIF(G6:G55,"In_Progress")</f>
        <v/>
      </c>
    </row>
    <row r="63">
      <c r="A63" s="18" t="inlineStr">
        <is>
          <t>Blocked:</t>
        </is>
      </c>
      <c r="B63" s="18">
        <f>COUNTIF(G6:G55,"Blocked")</f>
        <v/>
      </c>
    </row>
    <row r="64">
      <c r="A64" s="18" t="inlineStr">
        <is>
          <t>Resolved:</t>
        </is>
      </c>
      <c r="B64" s="18">
        <f>COUNTIF(G6:G55,"Resolved")</f>
        <v/>
      </c>
    </row>
    <row r="65">
      <c r="A65" s="18" t="inlineStr">
        <is>
          <t>Closed:</t>
        </is>
      </c>
      <c r="B65" s="18">
        <f>COUNTIF(G6:G55,"Closed")</f>
        <v/>
      </c>
    </row>
  </sheetData>
  <mergeCells count="3">
    <mergeCell ref="A2:L2"/>
    <mergeCell ref="A57:D57"/>
    <mergeCell ref="A1:L1"/>
  </mergeCells>
  <conditionalFormatting sqref="D6:D55">
    <cfRule type="cellIs" priority="1" operator="equal" dxfId="0">
      <formula>"Critical"</formula>
    </cfRule>
  </conditionalFormatting>
  <conditionalFormatting sqref="G6:G55">
    <cfRule type="cellIs" priority="2" operator="equal" dxfId="2">
      <formula>"Closed"</formula>
    </cfRule>
    <cfRule type="cellIs" priority="3" operator="equal" dxfId="0">
      <formula>"Blocked"</formula>
    </cfRule>
  </conditionalFormatting>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5"/>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20" customWidth="1" min="4" max="4"/>
    <col width="16" customWidth="1" min="5" max="5"/>
    <col width="20" customWidth="1" min="6" max="6"/>
    <col width="35" customWidth="1" min="7" max="7"/>
    <col width="18" customWidth="1" min="8" max="8"/>
    <col width="25" customWidth="1" min="9" max="9"/>
    <col width="14" customWidth="1" min="10" max="10"/>
    <col width="12" customWidth="1" min="11" max="11"/>
    <col width="12" customWidth="1" min="12" max="12"/>
    <col width="16" customWidth="1" min="13" max="13"/>
    <col width="16" customWidth="1" min="14" max="14"/>
    <col width="12" customWidth="1" min="15" max="15"/>
    <col width="40" customWidth="1" min="16" max="16"/>
  </cols>
  <sheetData>
    <row r="1" ht="35" customHeight="1">
      <c r="A1" s="11" t="inlineStr">
        <is>
          <t>ANALYSIS TOOLS &amp; PLATFORMS (V1.0)</t>
        </is>
      </c>
    </row>
    <row r="2">
      <c r="A2" s="12" t="inlineStr">
        <is>
          <t>Document all threat intelligence analysis tools. Track CVSS support capability for v1.0 integration.</t>
        </is>
      </c>
    </row>
    <row r="4">
      <c r="A4" s="13" t="inlineStr">
        <is>
          <t>Tool ID</t>
        </is>
      </c>
      <c r="B4" s="13" t="inlineStr">
        <is>
          <t>Tool Name</t>
        </is>
      </c>
      <c r="C4" s="13" t="inlineStr">
        <is>
          <t>Tool Category</t>
        </is>
      </c>
      <c r="D4" s="13" t="inlineStr">
        <is>
          <t>Vendor</t>
        </is>
      </c>
      <c r="E4" s="13" t="inlineStr">
        <is>
          <t>License Type</t>
        </is>
      </c>
      <c r="F4" s="13" t="inlineStr">
        <is>
          <t>Primary Users</t>
        </is>
      </c>
      <c r="G4" s="13" t="inlineStr">
        <is>
          <t>Use Cases</t>
        </is>
      </c>
      <c r="H4" s="13" t="inlineStr">
        <is>
          <t>Integration Status</t>
        </is>
      </c>
      <c r="I4" s="13" t="inlineStr">
        <is>
          <t>Data Sources</t>
        </is>
      </c>
      <c r="J4" s="13" t="inlineStr">
        <is>
          <t>CVSS Support</t>
        </is>
      </c>
      <c r="K4" s="13" t="inlineStr">
        <is>
          <t>Last Updated</t>
        </is>
      </c>
      <c r="L4" s="13" t="inlineStr">
        <is>
          <t>Version</t>
        </is>
      </c>
      <c r="M4" s="13" t="inlineStr">
        <is>
          <t>Training Required</t>
        </is>
      </c>
      <c r="N4" s="13" t="inlineStr">
        <is>
          <t>Training Status</t>
        </is>
      </c>
      <c r="O4" s="13" t="inlineStr">
        <is>
          <t>Cost Annual</t>
        </is>
      </c>
      <c r="P4" s="13" t="inlineStr">
        <is>
          <t>Notes</t>
        </is>
      </c>
    </row>
    <row r="5">
      <c r="A5" s="14" t="inlineStr">
        <is>
          <t>TOOL-001</t>
        </is>
      </c>
      <c r="B5" s="14" t="inlineStr">
        <is>
          <t>MISP</t>
        </is>
      </c>
      <c r="C5" s="14" t="inlineStr">
        <is>
          <t>OSINT Platform</t>
        </is>
      </c>
      <c r="D5" s="14" t="inlineStr">
        <is>
          <t>CIRCL.lu</t>
        </is>
      </c>
      <c r="E5" s="14" t="inlineStr">
        <is>
          <t>Open Source</t>
        </is>
      </c>
      <c r="F5" s="14" t="inlineStr">
        <is>
          <t>TI Team</t>
        </is>
      </c>
      <c r="G5" s="14" t="inlineStr">
        <is>
          <t>IOC Sharing / Feed Management</t>
        </is>
      </c>
      <c r="H5" s="14" t="inlineStr">
        <is>
          <t>Integrated</t>
        </is>
      </c>
      <c r="I5" s="14" t="inlineStr">
        <is>
          <t>OSINT / Commercial Feeds</t>
        </is>
      </c>
      <c r="J5" s="14" t="inlineStr">
        <is>
          <t>Yes</t>
        </is>
      </c>
      <c r="K5" s="14" t="inlineStr">
        <is>
          <t>25.02.2026</t>
        </is>
      </c>
      <c r="L5" s="14" t="inlineStr">
        <is>
          <t>2.4.180</t>
        </is>
      </c>
      <c r="M5" s="14" t="inlineStr">
        <is>
          <t>Yes</t>
        </is>
      </c>
      <c r="N5" s="14" t="inlineStr">
        <is>
          <t>Complete</t>
        </is>
      </c>
      <c r="O5" s="14" t="n"/>
      <c r="P5" s="14" t="n"/>
    </row>
    <row r="6">
      <c r="A6" s="15" t="n"/>
      <c r="B6" s="4" t="n"/>
      <c r="C6" s="4" t="n"/>
      <c r="D6" s="4" t="n"/>
      <c r="E6" s="4" t="n"/>
      <c r="F6" s="4" t="n"/>
      <c r="G6" s="4" t="n"/>
      <c r="H6" s="4" t="n"/>
      <c r="I6" s="4" t="n"/>
      <c r="J6" s="4" t="n"/>
      <c r="K6" s="16" t="n"/>
      <c r="L6" s="4" t="n"/>
      <c r="M6" s="4" t="n"/>
      <c r="N6" s="4" t="n"/>
      <c r="O6" s="19" t="n"/>
      <c r="P6" s="4" t="n"/>
    </row>
    <row r="7">
      <c r="A7" s="15" t="n"/>
      <c r="B7" s="4" t="n"/>
      <c r="C7" s="4" t="n"/>
      <c r="D7" s="4" t="n"/>
      <c r="E7" s="4" t="n"/>
      <c r="F7" s="4" t="n"/>
      <c r="G7" s="4" t="n"/>
      <c r="H7" s="4" t="n"/>
      <c r="I7" s="4" t="n"/>
      <c r="J7" s="4" t="n"/>
      <c r="K7" s="16" t="n"/>
      <c r="L7" s="4" t="n"/>
      <c r="M7" s="4" t="n"/>
      <c r="N7" s="4" t="n"/>
      <c r="O7" s="19" t="n"/>
      <c r="P7" s="4" t="n"/>
    </row>
    <row r="8">
      <c r="A8" s="15" t="n"/>
      <c r="B8" s="4" t="n"/>
      <c r="C8" s="4" t="n"/>
      <c r="D8" s="4" t="n"/>
      <c r="E8" s="4" t="n"/>
      <c r="F8" s="4" t="n"/>
      <c r="G8" s="4" t="n"/>
      <c r="H8" s="4" t="n"/>
      <c r="I8" s="4" t="n"/>
      <c r="J8" s="4" t="n"/>
      <c r="K8" s="16" t="n"/>
      <c r="L8" s="4" t="n"/>
      <c r="M8" s="4" t="n"/>
      <c r="N8" s="4" t="n"/>
      <c r="O8" s="19" t="n"/>
      <c r="P8" s="4" t="n"/>
    </row>
    <row r="9">
      <c r="A9" s="15" t="n"/>
      <c r="B9" s="4" t="n"/>
      <c r="C9" s="4" t="n"/>
      <c r="D9" s="4" t="n"/>
      <c r="E9" s="4" t="n"/>
      <c r="F9" s="4" t="n"/>
      <c r="G9" s="4" t="n"/>
      <c r="H9" s="4" t="n"/>
      <c r="I9" s="4" t="n"/>
      <c r="J9" s="4" t="n"/>
      <c r="K9" s="16" t="n"/>
      <c r="L9" s="4" t="n"/>
      <c r="M9" s="4" t="n"/>
      <c r="N9" s="4" t="n"/>
      <c r="O9" s="19" t="n"/>
      <c r="P9" s="4" t="n"/>
    </row>
    <row r="10">
      <c r="A10" s="15" t="n"/>
      <c r="B10" s="4" t="n"/>
      <c r="C10" s="4" t="n"/>
      <c r="D10" s="4" t="n"/>
      <c r="E10" s="4" t="n"/>
      <c r="F10" s="4" t="n"/>
      <c r="G10" s="4" t="n"/>
      <c r="H10" s="4" t="n"/>
      <c r="I10" s="4" t="n"/>
      <c r="J10" s="4" t="n"/>
      <c r="K10" s="16" t="n"/>
      <c r="L10" s="4" t="n"/>
      <c r="M10" s="4" t="n"/>
      <c r="N10" s="4" t="n"/>
      <c r="O10" s="19" t="n"/>
      <c r="P10" s="4" t="n"/>
    </row>
    <row r="11">
      <c r="A11" s="15" t="n"/>
      <c r="B11" s="4" t="n"/>
      <c r="C11" s="4" t="n"/>
      <c r="D11" s="4" t="n"/>
      <c r="E11" s="4" t="n"/>
      <c r="F11" s="4" t="n"/>
      <c r="G11" s="4" t="n"/>
      <c r="H11" s="4" t="n"/>
      <c r="I11" s="4" t="n"/>
      <c r="J11" s="4" t="n"/>
      <c r="K11" s="16" t="n"/>
      <c r="L11" s="4" t="n"/>
      <c r="M11" s="4" t="n"/>
      <c r="N11" s="4" t="n"/>
      <c r="O11" s="19" t="n"/>
      <c r="P11" s="4" t="n"/>
    </row>
    <row r="12">
      <c r="A12" s="15" t="n"/>
      <c r="B12" s="4" t="n"/>
      <c r="C12" s="4" t="n"/>
      <c r="D12" s="4" t="n"/>
      <c r="E12" s="4" t="n"/>
      <c r="F12" s="4" t="n"/>
      <c r="G12" s="4" t="n"/>
      <c r="H12" s="4" t="n"/>
      <c r="I12" s="4" t="n"/>
      <c r="J12" s="4" t="n"/>
      <c r="K12" s="16" t="n"/>
      <c r="L12" s="4" t="n"/>
      <c r="M12" s="4" t="n"/>
      <c r="N12" s="4" t="n"/>
      <c r="O12" s="19" t="n"/>
      <c r="P12" s="4" t="n"/>
    </row>
    <row r="13">
      <c r="A13" s="15" t="n"/>
      <c r="B13" s="4" t="n"/>
      <c r="C13" s="4" t="n"/>
      <c r="D13" s="4" t="n"/>
      <c r="E13" s="4" t="n"/>
      <c r="F13" s="4" t="n"/>
      <c r="G13" s="4" t="n"/>
      <c r="H13" s="4" t="n"/>
      <c r="I13" s="4" t="n"/>
      <c r="J13" s="4" t="n"/>
      <c r="K13" s="16" t="n"/>
      <c r="L13" s="4" t="n"/>
      <c r="M13" s="4" t="n"/>
      <c r="N13" s="4" t="n"/>
      <c r="O13" s="19" t="n"/>
      <c r="P13" s="4" t="n"/>
    </row>
    <row r="14">
      <c r="A14" s="15" t="n"/>
      <c r="B14" s="4" t="n"/>
      <c r="C14" s="4" t="n"/>
      <c r="D14" s="4" t="n"/>
      <c r="E14" s="4" t="n"/>
      <c r="F14" s="4" t="n"/>
      <c r="G14" s="4" t="n"/>
      <c r="H14" s="4" t="n"/>
      <c r="I14" s="4" t="n"/>
      <c r="J14" s="4" t="n"/>
      <c r="K14" s="16" t="n"/>
      <c r="L14" s="4" t="n"/>
      <c r="M14" s="4" t="n"/>
      <c r="N14" s="4" t="n"/>
      <c r="O14" s="19" t="n"/>
      <c r="P14" s="4" t="n"/>
    </row>
    <row r="15">
      <c r="A15" s="15" t="n"/>
      <c r="B15" s="4" t="n"/>
      <c r="C15" s="4" t="n"/>
      <c r="D15" s="4" t="n"/>
      <c r="E15" s="4" t="n"/>
      <c r="F15" s="4" t="n"/>
      <c r="G15" s="4" t="n"/>
      <c r="H15" s="4" t="n"/>
      <c r="I15" s="4" t="n"/>
      <c r="J15" s="4" t="n"/>
      <c r="K15" s="16" t="n"/>
      <c r="L15" s="4" t="n"/>
      <c r="M15" s="4" t="n"/>
      <c r="N15" s="4" t="n"/>
      <c r="O15" s="19" t="n"/>
      <c r="P15" s="4" t="n"/>
    </row>
    <row r="16">
      <c r="A16" s="15" t="n"/>
      <c r="B16" s="4" t="n"/>
      <c r="C16" s="4" t="n"/>
      <c r="D16" s="4" t="n"/>
      <c r="E16" s="4" t="n"/>
      <c r="F16" s="4" t="n"/>
      <c r="G16" s="4" t="n"/>
      <c r="H16" s="4" t="n"/>
      <c r="I16" s="4" t="n"/>
      <c r="J16" s="4" t="n"/>
      <c r="K16" s="16" t="n"/>
      <c r="L16" s="4" t="n"/>
      <c r="M16" s="4" t="n"/>
      <c r="N16" s="4" t="n"/>
      <c r="O16" s="19" t="n"/>
      <c r="P16" s="4" t="n"/>
    </row>
    <row r="17">
      <c r="A17" s="15" t="n"/>
      <c r="B17" s="4" t="n"/>
      <c r="C17" s="4" t="n"/>
      <c r="D17" s="4" t="n"/>
      <c r="E17" s="4" t="n"/>
      <c r="F17" s="4" t="n"/>
      <c r="G17" s="4" t="n"/>
      <c r="H17" s="4" t="n"/>
      <c r="I17" s="4" t="n"/>
      <c r="J17" s="4" t="n"/>
      <c r="K17" s="16" t="n"/>
      <c r="L17" s="4" t="n"/>
      <c r="M17" s="4" t="n"/>
      <c r="N17" s="4" t="n"/>
      <c r="O17" s="19" t="n"/>
      <c r="P17" s="4" t="n"/>
    </row>
    <row r="18">
      <c r="A18" s="15" t="n"/>
      <c r="B18" s="4" t="n"/>
      <c r="C18" s="4" t="n"/>
      <c r="D18" s="4" t="n"/>
      <c r="E18" s="4" t="n"/>
      <c r="F18" s="4" t="n"/>
      <c r="G18" s="4" t="n"/>
      <c r="H18" s="4" t="n"/>
      <c r="I18" s="4" t="n"/>
      <c r="J18" s="4" t="n"/>
      <c r="K18" s="16" t="n"/>
      <c r="L18" s="4" t="n"/>
      <c r="M18" s="4" t="n"/>
      <c r="N18" s="4" t="n"/>
      <c r="O18" s="19" t="n"/>
      <c r="P18" s="4" t="n"/>
    </row>
    <row r="19">
      <c r="A19" s="15" t="n"/>
      <c r="B19" s="4" t="n"/>
      <c r="C19" s="4" t="n"/>
      <c r="D19" s="4" t="n"/>
      <c r="E19" s="4" t="n"/>
      <c r="F19" s="4" t="n"/>
      <c r="G19" s="4" t="n"/>
      <c r="H19" s="4" t="n"/>
      <c r="I19" s="4" t="n"/>
      <c r="J19" s="4" t="n"/>
      <c r="K19" s="16" t="n"/>
      <c r="L19" s="4" t="n"/>
      <c r="M19" s="4" t="n"/>
      <c r="N19" s="4" t="n"/>
      <c r="O19" s="19" t="n"/>
      <c r="P19" s="4" t="n"/>
    </row>
    <row r="20">
      <c r="A20" s="15" t="n"/>
      <c r="B20" s="4" t="n"/>
      <c r="C20" s="4" t="n"/>
      <c r="D20" s="4" t="n"/>
      <c r="E20" s="4" t="n"/>
      <c r="F20" s="4" t="n"/>
      <c r="G20" s="4" t="n"/>
      <c r="H20" s="4" t="n"/>
      <c r="I20" s="4" t="n"/>
      <c r="J20" s="4" t="n"/>
      <c r="K20" s="16" t="n"/>
      <c r="L20" s="4" t="n"/>
      <c r="M20" s="4" t="n"/>
      <c r="N20" s="4" t="n"/>
      <c r="O20" s="19" t="n"/>
      <c r="P20" s="4" t="n"/>
    </row>
    <row r="21">
      <c r="A21" s="15" t="n"/>
      <c r="B21" s="4" t="n"/>
      <c r="C21" s="4" t="n"/>
      <c r="D21" s="4" t="n"/>
      <c r="E21" s="4" t="n"/>
      <c r="F21" s="4" t="n"/>
      <c r="G21" s="4" t="n"/>
      <c r="H21" s="4" t="n"/>
      <c r="I21" s="4" t="n"/>
      <c r="J21" s="4" t="n"/>
      <c r="K21" s="16" t="n"/>
      <c r="L21" s="4" t="n"/>
      <c r="M21" s="4" t="n"/>
      <c r="N21" s="4" t="n"/>
      <c r="O21" s="19" t="n"/>
      <c r="P21" s="4" t="n"/>
    </row>
    <row r="22">
      <c r="A22" s="15" t="n"/>
      <c r="B22" s="4" t="n"/>
      <c r="C22" s="4" t="n"/>
      <c r="D22" s="4" t="n"/>
      <c r="E22" s="4" t="n"/>
      <c r="F22" s="4" t="n"/>
      <c r="G22" s="4" t="n"/>
      <c r="H22" s="4" t="n"/>
      <c r="I22" s="4" t="n"/>
      <c r="J22" s="4" t="n"/>
      <c r="K22" s="16" t="n"/>
      <c r="L22" s="4" t="n"/>
      <c r="M22" s="4" t="n"/>
      <c r="N22" s="4" t="n"/>
      <c r="O22" s="19" t="n"/>
      <c r="P22" s="4" t="n"/>
    </row>
    <row r="23">
      <c r="A23" s="15" t="n"/>
      <c r="B23" s="4" t="n"/>
      <c r="C23" s="4" t="n"/>
      <c r="D23" s="4" t="n"/>
      <c r="E23" s="4" t="n"/>
      <c r="F23" s="4" t="n"/>
      <c r="G23" s="4" t="n"/>
      <c r="H23" s="4" t="n"/>
      <c r="I23" s="4" t="n"/>
      <c r="J23" s="4" t="n"/>
      <c r="K23" s="16" t="n"/>
      <c r="L23" s="4" t="n"/>
      <c r="M23" s="4" t="n"/>
      <c r="N23" s="4" t="n"/>
      <c r="O23" s="19" t="n"/>
      <c r="P23" s="4" t="n"/>
    </row>
    <row r="24">
      <c r="A24" s="15" t="n"/>
      <c r="B24" s="4" t="n"/>
      <c r="C24" s="4" t="n"/>
      <c r="D24" s="4" t="n"/>
      <c r="E24" s="4" t="n"/>
      <c r="F24" s="4" t="n"/>
      <c r="G24" s="4" t="n"/>
      <c r="H24" s="4" t="n"/>
      <c r="I24" s="4" t="n"/>
      <c r="J24" s="4" t="n"/>
      <c r="K24" s="16" t="n"/>
      <c r="L24" s="4" t="n"/>
      <c r="M24" s="4" t="n"/>
      <c r="N24" s="4" t="n"/>
      <c r="O24" s="19" t="n"/>
      <c r="P24" s="4" t="n"/>
    </row>
    <row r="25">
      <c r="A25" s="15" t="n"/>
      <c r="B25" s="4" t="n"/>
      <c r="C25" s="4" t="n"/>
      <c r="D25" s="4" t="n"/>
      <c r="E25" s="4" t="n"/>
      <c r="F25" s="4" t="n"/>
      <c r="G25" s="4" t="n"/>
      <c r="H25" s="4" t="n"/>
      <c r="I25" s="4" t="n"/>
      <c r="J25" s="4" t="n"/>
      <c r="K25" s="16" t="n"/>
      <c r="L25" s="4" t="n"/>
      <c r="M25" s="4" t="n"/>
      <c r="N25" s="4" t="n"/>
      <c r="O25" s="19" t="n"/>
      <c r="P25" s="4" t="n"/>
    </row>
    <row r="26">
      <c r="A26" s="15" t="n"/>
      <c r="B26" s="4" t="n"/>
      <c r="C26" s="4" t="n"/>
      <c r="D26" s="4" t="n"/>
      <c r="E26" s="4" t="n"/>
      <c r="F26" s="4" t="n"/>
      <c r="G26" s="4" t="n"/>
      <c r="H26" s="4" t="n"/>
      <c r="I26" s="4" t="n"/>
      <c r="J26" s="4" t="n"/>
      <c r="K26" s="16" t="n"/>
      <c r="L26" s="4" t="n"/>
      <c r="M26" s="4" t="n"/>
      <c r="N26" s="4" t="n"/>
      <c r="O26" s="19" t="n"/>
      <c r="P26" s="4" t="n"/>
    </row>
    <row r="27">
      <c r="A27" s="15" t="n"/>
      <c r="B27" s="4" t="n"/>
      <c r="C27" s="4" t="n"/>
      <c r="D27" s="4" t="n"/>
      <c r="E27" s="4" t="n"/>
      <c r="F27" s="4" t="n"/>
      <c r="G27" s="4" t="n"/>
      <c r="H27" s="4" t="n"/>
      <c r="I27" s="4" t="n"/>
      <c r="J27" s="4" t="n"/>
      <c r="K27" s="16" t="n"/>
      <c r="L27" s="4" t="n"/>
      <c r="M27" s="4" t="n"/>
      <c r="N27" s="4" t="n"/>
      <c r="O27" s="19" t="n"/>
      <c r="P27" s="4" t="n"/>
    </row>
    <row r="28">
      <c r="A28" s="15" t="n"/>
      <c r="B28" s="4" t="n"/>
      <c r="C28" s="4" t="n"/>
      <c r="D28" s="4" t="n"/>
      <c r="E28" s="4" t="n"/>
      <c r="F28" s="4" t="n"/>
      <c r="G28" s="4" t="n"/>
      <c r="H28" s="4" t="n"/>
      <c r="I28" s="4" t="n"/>
      <c r="J28" s="4" t="n"/>
      <c r="K28" s="16" t="n"/>
      <c r="L28" s="4" t="n"/>
      <c r="M28" s="4" t="n"/>
      <c r="N28" s="4" t="n"/>
      <c r="O28" s="19" t="n"/>
      <c r="P28" s="4" t="n"/>
    </row>
    <row r="29">
      <c r="A29" s="15" t="n"/>
      <c r="B29" s="4" t="n"/>
      <c r="C29" s="4" t="n"/>
      <c r="D29" s="4" t="n"/>
      <c r="E29" s="4" t="n"/>
      <c r="F29" s="4" t="n"/>
      <c r="G29" s="4" t="n"/>
      <c r="H29" s="4" t="n"/>
      <c r="I29" s="4" t="n"/>
      <c r="J29" s="4" t="n"/>
      <c r="K29" s="16" t="n"/>
      <c r="L29" s="4" t="n"/>
      <c r="M29" s="4" t="n"/>
      <c r="N29" s="4" t="n"/>
      <c r="O29" s="19" t="n"/>
      <c r="P29" s="4" t="n"/>
    </row>
    <row r="30">
      <c r="A30" s="15" t="n"/>
      <c r="B30" s="4" t="n"/>
      <c r="C30" s="4" t="n"/>
      <c r="D30" s="4" t="n"/>
      <c r="E30" s="4" t="n"/>
      <c r="F30" s="4" t="n"/>
      <c r="G30" s="4" t="n"/>
      <c r="H30" s="4" t="n"/>
      <c r="I30" s="4" t="n"/>
      <c r="J30" s="4" t="n"/>
      <c r="K30" s="16" t="n"/>
      <c r="L30" s="4" t="n"/>
      <c r="M30" s="4" t="n"/>
      <c r="N30" s="4" t="n"/>
      <c r="O30" s="19" t="n"/>
      <c r="P30" s="4" t="n"/>
    </row>
    <row r="31">
      <c r="A31" s="15" t="n"/>
      <c r="B31" s="4" t="n"/>
      <c r="C31" s="4" t="n"/>
      <c r="D31" s="4" t="n"/>
      <c r="E31" s="4" t="n"/>
      <c r="F31" s="4" t="n"/>
      <c r="G31" s="4" t="n"/>
      <c r="H31" s="4" t="n"/>
      <c r="I31" s="4" t="n"/>
      <c r="J31" s="4" t="n"/>
      <c r="K31" s="16" t="n"/>
      <c r="L31" s="4" t="n"/>
      <c r="M31" s="4" t="n"/>
      <c r="N31" s="4" t="n"/>
      <c r="O31" s="19" t="n"/>
      <c r="P31" s="4" t="n"/>
    </row>
    <row r="32">
      <c r="A32" s="15" t="n"/>
      <c r="B32" s="4" t="n"/>
      <c r="C32" s="4" t="n"/>
      <c r="D32" s="4" t="n"/>
      <c r="E32" s="4" t="n"/>
      <c r="F32" s="4" t="n"/>
      <c r="G32" s="4" t="n"/>
      <c r="H32" s="4" t="n"/>
      <c r="I32" s="4" t="n"/>
      <c r="J32" s="4" t="n"/>
      <c r="K32" s="16" t="n"/>
      <c r="L32" s="4" t="n"/>
      <c r="M32" s="4" t="n"/>
      <c r="N32" s="4" t="n"/>
      <c r="O32" s="19" t="n"/>
      <c r="P32" s="4" t="n"/>
    </row>
    <row r="33">
      <c r="A33" s="15" t="n"/>
      <c r="B33" s="4" t="n"/>
      <c r="C33" s="4" t="n"/>
      <c r="D33" s="4" t="n"/>
      <c r="E33" s="4" t="n"/>
      <c r="F33" s="4" t="n"/>
      <c r="G33" s="4" t="n"/>
      <c r="H33" s="4" t="n"/>
      <c r="I33" s="4" t="n"/>
      <c r="J33" s="4" t="n"/>
      <c r="K33" s="16" t="n"/>
      <c r="L33" s="4" t="n"/>
      <c r="M33" s="4" t="n"/>
      <c r="N33" s="4" t="n"/>
      <c r="O33" s="19" t="n"/>
      <c r="P33" s="4" t="n"/>
    </row>
    <row r="34">
      <c r="A34" s="15" t="n"/>
      <c r="B34" s="4" t="n"/>
      <c r="C34" s="4" t="n"/>
      <c r="D34" s="4" t="n"/>
      <c r="E34" s="4" t="n"/>
      <c r="F34" s="4" t="n"/>
      <c r="G34" s="4" t="n"/>
      <c r="H34" s="4" t="n"/>
      <c r="I34" s="4" t="n"/>
      <c r="J34" s="4" t="n"/>
      <c r="K34" s="16" t="n"/>
      <c r="L34" s="4" t="n"/>
      <c r="M34" s="4" t="n"/>
      <c r="N34" s="4" t="n"/>
      <c r="O34" s="19" t="n"/>
      <c r="P34" s="4" t="n"/>
    </row>
    <row r="35">
      <c r="A35" s="15" t="n"/>
      <c r="B35" s="4" t="n"/>
      <c r="C35" s="4" t="n"/>
      <c r="D35" s="4" t="n"/>
      <c r="E35" s="4" t="n"/>
      <c r="F35" s="4" t="n"/>
      <c r="G35" s="4" t="n"/>
      <c r="H35" s="4" t="n"/>
      <c r="I35" s="4" t="n"/>
      <c r="J35" s="4" t="n"/>
      <c r="K35" s="16" t="n"/>
      <c r="L35" s="4" t="n"/>
      <c r="M35" s="4" t="n"/>
      <c r="N35" s="4" t="n"/>
      <c r="O35" s="19" t="n"/>
      <c r="P35" s="4" t="n"/>
    </row>
    <row r="36">
      <c r="A36" s="15" t="n"/>
      <c r="B36" s="4" t="n"/>
      <c r="C36" s="4" t="n"/>
      <c r="D36" s="4" t="n"/>
      <c r="E36" s="4" t="n"/>
      <c r="F36" s="4" t="n"/>
      <c r="G36" s="4" t="n"/>
      <c r="H36" s="4" t="n"/>
      <c r="I36" s="4" t="n"/>
      <c r="J36" s="4" t="n"/>
      <c r="K36" s="16" t="n"/>
      <c r="L36" s="4" t="n"/>
      <c r="M36" s="4" t="n"/>
      <c r="N36" s="4" t="n"/>
      <c r="O36" s="19" t="n"/>
      <c r="P36" s="4" t="n"/>
    </row>
    <row r="37">
      <c r="A37" s="15" t="n"/>
      <c r="B37" s="4" t="n"/>
      <c r="C37" s="4" t="n"/>
      <c r="D37" s="4" t="n"/>
      <c r="E37" s="4" t="n"/>
      <c r="F37" s="4" t="n"/>
      <c r="G37" s="4" t="n"/>
      <c r="H37" s="4" t="n"/>
      <c r="I37" s="4" t="n"/>
      <c r="J37" s="4" t="n"/>
      <c r="K37" s="16" t="n"/>
      <c r="L37" s="4" t="n"/>
      <c r="M37" s="4" t="n"/>
      <c r="N37" s="4" t="n"/>
      <c r="O37" s="19" t="n"/>
      <c r="P37" s="4" t="n"/>
    </row>
    <row r="38">
      <c r="A38" s="15" t="n"/>
      <c r="B38" s="4" t="n"/>
      <c r="C38" s="4" t="n"/>
      <c r="D38" s="4" t="n"/>
      <c r="E38" s="4" t="n"/>
      <c r="F38" s="4" t="n"/>
      <c r="G38" s="4" t="n"/>
      <c r="H38" s="4" t="n"/>
      <c r="I38" s="4" t="n"/>
      <c r="J38" s="4" t="n"/>
      <c r="K38" s="16" t="n"/>
      <c r="L38" s="4" t="n"/>
      <c r="M38" s="4" t="n"/>
      <c r="N38" s="4" t="n"/>
      <c r="O38" s="19" t="n"/>
      <c r="P38" s="4" t="n"/>
    </row>
    <row r="39">
      <c r="A39" s="15" t="n"/>
      <c r="B39" s="4" t="n"/>
      <c r="C39" s="4" t="n"/>
      <c r="D39" s="4" t="n"/>
      <c r="E39" s="4" t="n"/>
      <c r="F39" s="4" t="n"/>
      <c r="G39" s="4" t="n"/>
      <c r="H39" s="4" t="n"/>
      <c r="I39" s="4" t="n"/>
      <c r="J39" s="4" t="n"/>
      <c r="K39" s="16" t="n"/>
      <c r="L39" s="4" t="n"/>
      <c r="M39" s="4" t="n"/>
      <c r="N39" s="4" t="n"/>
      <c r="O39" s="19" t="n"/>
      <c r="P39" s="4" t="n"/>
    </row>
    <row r="40">
      <c r="A40" s="15" t="n"/>
      <c r="B40" s="4" t="n"/>
      <c r="C40" s="4" t="n"/>
      <c r="D40" s="4" t="n"/>
      <c r="E40" s="4" t="n"/>
      <c r="F40" s="4" t="n"/>
      <c r="G40" s="4" t="n"/>
      <c r="H40" s="4" t="n"/>
      <c r="I40" s="4" t="n"/>
      <c r="J40" s="4" t="n"/>
      <c r="K40" s="16" t="n"/>
      <c r="L40" s="4" t="n"/>
      <c r="M40" s="4" t="n"/>
      <c r="N40" s="4" t="n"/>
      <c r="O40" s="19" t="n"/>
      <c r="P40" s="4" t="n"/>
    </row>
    <row r="41">
      <c r="A41" s="15" t="n"/>
      <c r="B41" s="4" t="n"/>
      <c r="C41" s="4" t="n"/>
      <c r="D41" s="4" t="n"/>
      <c r="E41" s="4" t="n"/>
      <c r="F41" s="4" t="n"/>
      <c r="G41" s="4" t="n"/>
      <c r="H41" s="4" t="n"/>
      <c r="I41" s="4" t="n"/>
      <c r="J41" s="4" t="n"/>
      <c r="K41" s="16" t="n"/>
      <c r="L41" s="4" t="n"/>
      <c r="M41" s="4" t="n"/>
      <c r="N41" s="4" t="n"/>
      <c r="O41" s="19" t="n"/>
      <c r="P41" s="4" t="n"/>
    </row>
    <row r="42">
      <c r="A42" s="15" t="n"/>
      <c r="B42" s="4" t="n"/>
      <c r="C42" s="4" t="n"/>
      <c r="D42" s="4" t="n"/>
      <c r="E42" s="4" t="n"/>
      <c r="F42" s="4" t="n"/>
      <c r="G42" s="4" t="n"/>
      <c r="H42" s="4" t="n"/>
      <c r="I42" s="4" t="n"/>
      <c r="J42" s="4" t="n"/>
      <c r="K42" s="16" t="n"/>
      <c r="L42" s="4" t="n"/>
      <c r="M42" s="4" t="n"/>
      <c r="N42" s="4" t="n"/>
      <c r="O42" s="19" t="n"/>
      <c r="P42" s="4" t="n"/>
    </row>
    <row r="43">
      <c r="A43" s="15" t="n"/>
      <c r="B43" s="4" t="n"/>
      <c r="C43" s="4" t="n"/>
      <c r="D43" s="4" t="n"/>
      <c r="E43" s="4" t="n"/>
      <c r="F43" s="4" t="n"/>
      <c r="G43" s="4" t="n"/>
      <c r="H43" s="4" t="n"/>
      <c r="I43" s="4" t="n"/>
      <c r="J43" s="4" t="n"/>
      <c r="K43" s="16" t="n"/>
      <c r="L43" s="4" t="n"/>
      <c r="M43" s="4" t="n"/>
      <c r="N43" s="4" t="n"/>
      <c r="O43" s="19" t="n"/>
      <c r="P43" s="4" t="n"/>
    </row>
    <row r="44">
      <c r="A44" s="15" t="n"/>
      <c r="B44" s="4" t="n"/>
      <c r="C44" s="4" t="n"/>
      <c r="D44" s="4" t="n"/>
      <c r="E44" s="4" t="n"/>
      <c r="F44" s="4" t="n"/>
      <c r="G44" s="4" t="n"/>
      <c r="H44" s="4" t="n"/>
      <c r="I44" s="4" t="n"/>
      <c r="J44" s="4" t="n"/>
      <c r="K44" s="16" t="n"/>
      <c r="L44" s="4" t="n"/>
      <c r="M44" s="4" t="n"/>
      <c r="N44" s="4" t="n"/>
      <c r="O44" s="19" t="n"/>
      <c r="P44" s="4" t="n"/>
    </row>
    <row r="45">
      <c r="A45" s="15" t="n"/>
      <c r="B45" s="4" t="n"/>
      <c r="C45" s="4" t="n"/>
      <c r="D45" s="4" t="n"/>
      <c r="E45" s="4" t="n"/>
      <c r="F45" s="4" t="n"/>
      <c r="G45" s="4" t="n"/>
      <c r="H45" s="4" t="n"/>
      <c r="I45" s="4" t="n"/>
      <c r="J45" s="4" t="n"/>
      <c r="K45" s="16" t="n"/>
      <c r="L45" s="4" t="n"/>
      <c r="M45" s="4" t="n"/>
      <c r="N45" s="4" t="n"/>
      <c r="O45" s="19" t="n"/>
      <c r="P45" s="4" t="n"/>
    </row>
    <row r="46">
      <c r="A46" s="15" t="n"/>
      <c r="B46" s="4" t="n"/>
      <c r="C46" s="4" t="n"/>
      <c r="D46" s="4" t="n"/>
      <c r="E46" s="4" t="n"/>
      <c r="F46" s="4" t="n"/>
      <c r="G46" s="4" t="n"/>
      <c r="H46" s="4" t="n"/>
      <c r="I46" s="4" t="n"/>
      <c r="J46" s="4" t="n"/>
      <c r="K46" s="16" t="n"/>
      <c r="L46" s="4" t="n"/>
      <c r="M46" s="4" t="n"/>
      <c r="N46" s="4" t="n"/>
      <c r="O46" s="19" t="n"/>
      <c r="P46" s="4" t="n"/>
    </row>
    <row r="47">
      <c r="A47" s="15" t="n"/>
      <c r="B47" s="4" t="n"/>
      <c r="C47" s="4" t="n"/>
      <c r="D47" s="4" t="n"/>
      <c r="E47" s="4" t="n"/>
      <c r="F47" s="4" t="n"/>
      <c r="G47" s="4" t="n"/>
      <c r="H47" s="4" t="n"/>
      <c r="I47" s="4" t="n"/>
      <c r="J47" s="4" t="n"/>
      <c r="K47" s="16" t="n"/>
      <c r="L47" s="4" t="n"/>
      <c r="M47" s="4" t="n"/>
      <c r="N47" s="4" t="n"/>
      <c r="O47" s="19" t="n"/>
      <c r="P47" s="4" t="n"/>
    </row>
    <row r="48">
      <c r="A48" s="15" t="n"/>
      <c r="B48" s="4" t="n"/>
      <c r="C48" s="4" t="n"/>
      <c r="D48" s="4" t="n"/>
      <c r="E48" s="4" t="n"/>
      <c r="F48" s="4" t="n"/>
      <c r="G48" s="4" t="n"/>
      <c r="H48" s="4" t="n"/>
      <c r="I48" s="4" t="n"/>
      <c r="J48" s="4" t="n"/>
      <c r="K48" s="16" t="n"/>
      <c r="L48" s="4" t="n"/>
      <c r="M48" s="4" t="n"/>
      <c r="N48" s="4" t="n"/>
      <c r="O48" s="19" t="n"/>
      <c r="P48" s="4" t="n"/>
    </row>
    <row r="49">
      <c r="A49" s="15" t="n"/>
      <c r="B49" s="4" t="n"/>
      <c r="C49" s="4" t="n"/>
      <c r="D49" s="4" t="n"/>
      <c r="E49" s="4" t="n"/>
      <c r="F49" s="4" t="n"/>
      <c r="G49" s="4" t="n"/>
      <c r="H49" s="4" t="n"/>
      <c r="I49" s="4" t="n"/>
      <c r="J49" s="4" t="n"/>
      <c r="K49" s="16" t="n"/>
      <c r="L49" s="4" t="n"/>
      <c r="M49" s="4" t="n"/>
      <c r="N49" s="4" t="n"/>
      <c r="O49" s="19" t="n"/>
      <c r="P49" s="4" t="n"/>
    </row>
    <row r="50">
      <c r="A50" s="15" t="n"/>
      <c r="B50" s="4" t="n"/>
      <c r="C50" s="4" t="n"/>
      <c r="D50" s="4" t="n"/>
      <c r="E50" s="4" t="n"/>
      <c r="F50" s="4" t="n"/>
      <c r="G50" s="4" t="n"/>
      <c r="H50" s="4" t="n"/>
      <c r="I50" s="4" t="n"/>
      <c r="J50" s="4" t="n"/>
      <c r="K50" s="16" t="n"/>
      <c r="L50" s="4" t="n"/>
      <c r="M50" s="4" t="n"/>
      <c r="N50" s="4" t="n"/>
      <c r="O50" s="19" t="n"/>
      <c r="P50" s="4" t="n"/>
    </row>
    <row r="51">
      <c r="A51" s="15" t="n"/>
      <c r="B51" s="4" t="n"/>
      <c r="C51" s="4" t="n"/>
      <c r="D51" s="4" t="n"/>
      <c r="E51" s="4" t="n"/>
      <c r="F51" s="4" t="n"/>
      <c r="G51" s="4" t="n"/>
      <c r="H51" s="4" t="n"/>
      <c r="I51" s="4" t="n"/>
      <c r="J51" s="4" t="n"/>
      <c r="K51" s="16" t="n"/>
      <c r="L51" s="4" t="n"/>
      <c r="M51" s="4" t="n"/>
      <c r="N51" s="4" t="n"/>
      <c r="O51" s="19" t="n"/>
      <c r="P51" s="4" t="n"/>
    </row>
    <row r="52">
      <c r="A52" s="15" t="n"/>
      <c r="B52" s="4" t="n"/>
      <c r="C52" s="4" t="n"/>
      <c r="D52" s="4" t="n"/>
      <c r="E52" s="4" t="n"/>
      <c r="F52" s="4" t="n"/>
      <c r="G52" s="4" t="n"/>
      <c r="H52" s="4" t="n"/>
      <c r="I52" s="4" t="n"/>
      <c r="J52" s="4" t="n"/>
      <c r="K52" s="16" t="n"/>
      <c r="L52" s="4" t="n"/>
      <c r="M52" s="4" t="n"/>
      <c r="N52" s="4" t="n"/>
      <c r="O52" s="19" t="n"/>
      <c r="P52" s="4" t="n"/>
    </row>
    <row r="53">
      <c r="A53" s="15" t="n"/>
      <c r="B53" s="4" t="n"/>
      <c r="C53" s="4" t="n"/>
      <c r="D53" s="4" t="n"/>
      <c r="E53" s="4" t="n"/>
      <c r="F53" s="4" t="n"/>
      <c r="G53" s="4" t="n"/>
      <c r="H53" s="4" t="n"/>
      <c r="I53" s="4" t="n"/>
      <c r="J53" s="4" t="n"/>
      <c r="K53" s="16" t="n"/>
      <c r="L53" s="4" t="n"/>
      <c r="M53" s="4" t="n"/>
      <c r="N53" s="4" t="n"/>
      <c r="O53" s="19" t="n"/>
      <c r="P53" s="4" t="n"/>
    </row>
    <row r="54">
      <c r="A54" s="15" t="n"/>
      <c r="B54" s="4" t="n"/>
      <c r="C54" s="4" t="n"/>
      <c r="D54" s="4" t="n"/>
      <c r="E54" s="4" t="n"/>
      <c r="F54" s="4" t="n"/>
      <c r="G54" s="4" t="n"/>
      <c r="H54" s="4" t="n"/>
      <c r="I54" s="4" t="n"/>
      <c r="J54" s="4" t="n"/>
      <c r="K54" s="16" t="n"/>
      <c r="L54" s="4" t="n"/>
      <c r="M54" s="4" t="n"/>
      <c r="N54" s="4" t="n"/>
      <c r="O54" s="19" t="n"/>
      <c r="P54" s="4" t="n"/>
    </row>
    <row r="55">
      <c r="A55" s="15" t="n"/>
      <c r="B55" s="4" t="n"/>
      <c r="C55" s="4" t="n"/>
      <c r="D55" s="4" t="n"/>
      <c r="E55" s="4" t="n"/>
      <c r="F55" s="4" t="n"/>
      <c r="G55" s="4" t="n"/>
      <c r="H55" s="4" t="n"/>
      <c r="I55" s="4" t="n"/>
      <c r="J55" s="4" t="n"/>
      <c r="K55" s="16" t="n"/>
      <c r="L55" s="4" t="n"/>
      <c r="M55" s="4" t="n"/>
      <c r="N55" s="4" t="n"/>
      <c r="O55" s="19" t="n"/>
      <c r="P55" s="4" t="n"/>
    </row>
  </sheetData>
  <mergeCells count="2">
    <mergeCell ref="A1:P1"/>
    <mergeCell ref="A2:P2"/>
  </mergeCells>
  <conditionalFormatting sqref="H6:H55">
    <cfRule type="cellIs" priority="1" operator="equal" dxfId="3">
      <formula>"Deprecated"</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5"/>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18" customWidth="1" min="4" max="4"/>
    <col width="18" customWidth="1" min="5" max="5"/>
    <col width="18" customWidth="1" min="6" max="6"/>
    <col width="12" customWidth="1" min="7" max="7"/>
    <col width="12" customWidth="1" min="8" max="8"/>
    <col width="18" customWidth="1" min="9" max="9"/>
    <col width="16" customWidth="1" min="10" max="10"/>
    <col width="18" customWidth="1" min="11" max="11"/>
    <col width="16" customWidth="1" min="12" max="12"/>
    <col width="30" customWidth="1" min="13" max="13"/>
    <col width="25" customWidth="1" min="14" max="14"/>
    <col width="35" customWidth="1" min="15" max="15"/>
    <col width="30" customWidth="1" min="16" max="16"/>
    <col width="14" customWidth="1" min="17" max="17"/>
    <col width="25" customWidth="1" min="18" max="18"/>
    <col width="12" customWidth="1" min="19" max="19"/>
    <col width="40" customWidth="1" min="20" max="20"/>
  </cols>
  <sheetData>
    <row r="1" ht="35" customHeight="1">
      <c r="A1" s="11" t="inlineStr">
        <is>
          <t>THREAT ACTOR PROFILES (V1.0)</t>
        </is>
      </c>
    </row>
    <row r="2">
      <c r="A2" s="12" t="inlineStr">
        <is>
          <t>Document known threat actors. CVEs_Exploited column integrates with Sheet 8 VTL for tracking.</t>
        </is>
      </c>
    </row>
    <row r="4">
      <c r="A4" s="13" t="inlineStr">
        <is>
          <t>Actor ID</t>
        </is>
      </c>
      <c r="B4" s="13" t="inlineStr">
        <is>
          <t>Actor Name</t>
        </is>
      </c>
      <c r="C4" s="13" t="inlineStr">
        <is>
          <t>Actor Aliases</t>
        </is>
      </c>
      <c r="D4" s="13" t="inlineStr">
        <is>
          <t>Actor Type</t>
        </is>
      </c>
      <c r="E4" s="13" t="inlineStr">
        <is>
          <t>Attribution Confidence</t>
        </is>
      </c>
      <c r="F4" s="13" t="inlineStr">
        <is>
          <t>Country of Origin</t>
        </is>
      </c>
      <c r="G4" s="13" t="inlineStr">
        <is>
          <t>First Observed</t>
        </is>
      </c>
      <c r="H4" s="13" t="inlineStr">
        <is>
          <t>Last Activity</t>
        </is>
      </c>
      <c r="I4" s="13" t="inlineStr">
        <is>
          <t>Targeting Our Sector</t>
        </is>
      </c>
      <c r="J4" s="13" t="inlineStr">
        <is>
          <t>Targeting Our Org</t>
        </is>
      </c>
      <c r="K4" s="13" t="inlineStr">
        <is>
          <t>Primary Motivation</t>
        </is>
      </c>
      <c r="L4" s="13" t="inlineStr">
        <is>
          <t>Sophistication Level</t>
        </is>
      </c>
      <c r="M4" s="13" t="inlineStr">
        <is>
          <t>Primary TTPs</t>
        </is>
      </c>
      <c r="N4" s="13" t="inlineStr">
        <is>
          <t>Common Malware</t>
        </is>
      </c>
      <c r="O4" s="13" t="inlineStr">
        <is>
          <t>Infrastructure Notes</t>
        </is>
      </c>
      <c r="P4" s="13" t="inlineStr">
        <is>
          <t>CVEs Exploited</t>
        </is>
      </c>
      <c r="Q4" s="13" t="inlineStr">
        <is>
          <t>VTL Records Count</t>
        </is>
      </c>
      <c r="R4" s="13" t="inlineStr">
        <is>
          <t>Related Campaigns</t>
        </is>
      </c>
      <c r="S4" s="13" t="inlineStr">
        <is>
          <t>Last Update Date</t>
        </is>
      </c>
      <c r="T4" s="13" t="inlineStr">
        <is>
          <t>Notes</t>
        </is>
      </c>
    </row>
    <row r="5">
      <c r="A5" s="14" t="inlineStr">
        <is>
          <t>ACTOR-001</t>
        </is>
      </c>
      <c r="B5" s="14" t="inlineStr">
        <is>
          <t>APT29 (Cozy Bear)</t>
        </is>
      </c>
      <c r="C5" s="14" t="inlineStr">
        <is>
          <t>Midnight Blizzard / The Dukes</t>
        </is>
      </c>
      <c r="D5" s="14" t="inlineStr">
        <is>
          <t>Nation-State</t>
        </is>
      </c>
      <c r="E5" s="14" t="inlineStr">
        <is>
          <t>High</t>
        </is>
      </c>
      <c r="F5" s="14" t="inlineStr">
        <is>
          <t>Russia</t>
        </is>
      </c>
      <c r="G5" s="14" t="inlineStr">
        <is>
          <t>2008</t>
        </is>
      </c>
      <c r="H5" s="14" t="inlineStr">
        <is>
          <t>25.02.2026</t>
        </is>
      </c>
      <c r="I5" s="14" t="inlineStr">
        <is>
          <t>Yes</t>
        </is>
      </c>
      <c r="J5" s="14" t="inlineStr">
        <is>
          <t>Confirmed</t>
        </is>
      </c>
      <c r="K5" s="14" t="inlineStr">
        <is>
          <t>Espionage</t>
        </is>
      </c>
      <c r="L5" s="14" t="inlineStr">
        <is>
          <t>Advanced</t>
        </is>
      </c>
      <c r="M5" s="14" t="inlineStr">
        <is>
          <t>Spearphishing / Living off the Land</t>
        </is>
      </c>
      <c r="N5" s="14" t="inlineStr">
        <is>
          <t>LOSTKEYS</t>
        </is>
      </c>
      <c r="O5" s="14" t="inlineStr">
        <is>
          <t>TLS beaconing via CDN</t>
        </is>
      </c>
      <c r="P5" s="14" t="inlineStr">
        <is>
          <t>CVE-2024-21413</t>
        </is>
      </c>
      <c r="Q5" s="14" t="inlineStr">
        <is>
          <t>3</t>
        </is>
      </c>
      <c r="R5" s="14" t="inlineStr">
        <is>
          <t>CAM-001</t>
        </is>
      </c>
      <c r="S5" s="14" t="inlineStr">
        <is>
          <t>25.02.2026</t>
        </is>
      </c>
      <c r="T5" s="14" t="n"/>
    </row>
    <row r="6">
      <c r="A6" s="15" t="n"/>
      <c r="B6" s="22" t="n"/>
      <c r="C6" s="22" t="n"/>
      <c r="D6" s="22" t="n"/>
      <c r="E6" s="22" t="n"/>
      <c r="F6" s="22" t="n"/>
      <c r="G6" s="20" t="n"/>
      <c r="H6" s="20" t="n"/>
      <c r="I6" s="22" t="n"/>
      <c r="J6" s="22" t="n"/>
      <c r="K6" s="22" t="n"/>
      <c r="L6" s="22" t="n"/>
      <c r="M6" s="22" t="n"/>
      <c r="N6" s="22" t="n"/>
      <c r="O6" s="22" t="n"/>
      <c r="P6" s="22" t="n"/>
      <c r="Q6" s="23" t="n"/>
      <c r="R6" s="22" t="n"/>
      <c r="S6" s="20" t="n"/>
      <c r="T6" s="22" t="n"/>
    </row>
    <row r="7">
      <c r="A7" s="15" t="n"/>
      <c r="B7" s="22" t="n"/>
      <c r="C7" s="22" t="n"/>
      <c r="D7" s="22" t="n"/>
      <c r="E7" s="22" t="n"/>
      <c r="F7" s="22" t="n"/>
      <c r="G7" s="20" t="n"/>
      <c r="H7" s="20" t="n"/>
      <c r="I7" s="22" t="n"/>
      <c r="J7" s="22" t="n"/>
      <c r="K7" s="22" t="n"/>
      <c r="L7" s="22" t="n"/>
      <c r="M7" s="22" t="n"/>
      <c r="N7" s="22" t="n"/>
      <c r="O7" s="22" t="n"/>
      <c r="P7" s="22" t="n"/>
      <c r="Q7" s="23" t="n"/>
      <c r="R7" s="22" t="n"/>
      <c r="S7" s="20" t="n"/>
      <c r="T7" s="22" t="n"/>
    </row>
    <row r="8">
      <c r="A8" s="15" t="n"/>
      <c r="B8" s="22" t="n"/>
      <c r="C8" s="22" t="n"/>
      <c r="D8" s="22" t="n"/>
      <c r="E8" s="22" t="n"/>
      <c r="F8" s="22" t="n"/>
      <c r="G8" s="20" t="n"/>
      <c r="H8" s="20" t="n"/>
      <c r="I8" s="22" t="n"/>
      <c r="J8" s="22" t="n"/>
      <c r="K8" s="22" t="n"/>
      <c r="L8" s="22" t="n"/>
      <c r="M8" s="22" t="n"/>
      <c r="N8" s="22" t="n"/>
      <c r="O8" s="22" t="n"/>
      <c r="P8" s="22" t="n"/>
      <c r="Q8" s="23" t="n"/>
      <c r="R8" s="22" t="n"/>
      <c r="S8" s="20" t="n"/>
      <c r="T8" s="22" t="n"/>
    </row>
    <row r="9">
      <c r="A9" s="15" t="n"/>
      <c r="B9" s="22" t="n"/>
      <c r="C9" s="22" t="n"/>
      <c r="D9" s="22" t="n"/>
      <c r="E9" s="22" t="n"/>
      <c r="F9" s="22" t="n"/>
      <c r="G9" s="20" t="n"/>
      <c r="H9" s="20" t="n"/>
      <c r="I9" s="22" t="n"/>
      <c r="J9" s="22" t="n"/>
      <c r="K9" s="22" t="n"/>
      <c r="L9" s="22" t="n"/>
      <c r="M9" s="22" t="n"/>
      <c r="N9" s="22" t="n"/>
      <c r="O9" s="22" t="n"/>
      <c r="P9" s="22" t="n"/>
      <c r="Q9" s="23" t="n"/>
      <c r="R9" s="22" t="n"/>
      <c r="S9" s="20" t="n"/>
      <c r="T9" s="22" t="n"/>
    </row>
    <row r="10">
      <c r="A10" s="15" t="n"/>
      <c r="B10" s="22" t="n"/>
      <c r="C10" s="22" t="n"/>
      <c r="D10" s="22" t="n"/>
      <c r="E10" s="22" t="n"/>
      <c r="F10" s="22" t="n"/>
      <c r="G10" s="20" t="n"/>
      <c r="H10" s="20" t="n"/>
      <c r="I10" s="22" t="n"/>
      <c r="J10" s="22" t="n"/>
      <c r="K10" s="22" t="n"/>
      <c r="L10" s="22" t="n"/>
      <c r="M10" s="22" t="n"/>
      <c r="N10" s="22" t="n"/>
      <c r="O10" s="22" t="n"/>
      <c r="P10" s="22" t="n"/>
      <c r="Q10" s="23" t="n"/>
      <c r="R10" s="22" t="n"/>
      <c r="S10" s="20" t="n"/>
      <c r="T10" s="22" t="n"/>
    </row>
    <row r="11">
      <c r="A11" s="15" t="n"/>
      <c r="B11" s="22" t="n"/>
      <c r="C11" s="22" t="n"/>
      <c r="D11" s="22" t="n"/>
      <c r="E11" s="22" t="n"/>
      <c r="F11" s="22" t="n"/>
      <c r="G11" s="20" t="n"/>
      <c r="H11" s="20" t="n"/>
      <c r="I11" s="22" t="n"/>
      <c r="J11" s="22" t="n"/>
      <c r="K11" s="22" t="n"/>
      <c r="L11" s="22" t="n"/>
      <c r="M11" s="22" t="n"/>
      <c r="N11" s="22" t="n"/>
      <c r="O11" s="22" t="n"/>
      <c r="P11" s="22" t="n"/>
      <c r="Q11" s="23" t="n"/>
      <c r="R11" s="22" t="n"/>
      <c r="S11" s="20" t="n"/>
      <c r="T11" s="22" t="n"/>
    </row>
    <row r="12">
      <c r="A12" s="15" t="n"/>
      <c r="B12" s="22" t="n"/>
      <c r="C12" s="22" t="n"/>
      <c r="D12" s="22" t="n"/>
      <c r="E12" s="22" t="n"/>
      <c r="F12" s="22" t="n"/>
      <c r="G12" s="20" t="n"/>
      <c r="H12" s="20" t="n"/>
      <c r="I12" s="22" t="n"/>
      <c r="J12" s="22" t="n"/>
      <c r="K12" s="22" t="n"/>
      <c r="L12" s="22" t="n"/>
      <c r="M12" s="22" t="n"/>
      <c r="N12" s="22" t="n"/>
      <c r="O12" s="22" t="n"/>
      <c r="P12" s="22" t="n"/>
      <c r="Q12" s="23" t="n"/>
      <c r="R12" s="22" t="n"/>
      <c r="S12" s="20" t="n"/>
      <c r="T12" s="22" t="n"/>
    </row>
    <row r="13">
      <c r="A13" s="15" t="n"/>
      <c r="B13" s="22" t="n"/>
      <c r="C13" s="22" t="n"/>
      <c r="D13" s="22" t="n"/>
      <c r="E13" s="22" t="n"/>
      <c r="F13" s="22" t="n"/>
      <c r="G13" s="20" t="n"/>
      <c r="H13" s="20" t="n"/>
      <c r="I13" s="22" t="n"/>
      <c r="J13" s="22" t="n"/>
      <c r="K13" s="22" t="n"/>
      <c r="L13" s="22" t="n"/>
      <c r="M13" s="22" t="n"/>
      <c r="N13" s="22" t="n"/>
      <c r="O13" s="22" t="n"/>
      <c r="P13" s="22" t="n"/>
      <c r="Q13" s="23" t="n"/>
      <c r="R13" s="22" t="n"/>
      <c r="S13" s="20" t="n"/>
      <c r="T13" s="22" t="n"/>
    </row>
    <row r="14">
      <c r="A14" s="15" t="n"/>
      <c r="B14" s="22" t="n"/>
      <c r="C14" s="22" t="n"/>
      <c r="D14" s="22" t="n"/>
      <c r="E14" s="22" t="n"/>
      <c r="F14" s="22" t="n"/>
      <c r="G14" s="20" t="n"/>
      <c r="H14" s="20" t="n"/>
      <c r="I14" s="22" t="n"/>
      <c r="J14" s="22" t="n"/>
      <c r="K14" s="22" t="n"/>
      <c r="L14" s="22" t="n"/>
      <c r="M14" s="22" t="n"/>
      <c r="N14" s="22" t="n"/>
      <c r="O14" s="22" t="n"/>
      <c r="P14" s="22" t="n"/>
      <c r="Q14" s="23" t="n"/>
      <c r="R14" s="22" t="n"/>
      <c r="S14" s="20" t="n"/>
      <c r="T14" s="22" t="n"/>
    </row>
    <row r="15">
      <c r="A15" s="15" t="n"/>
      <c r="B15" s="22" t="n"/>
      <c r="C15" s="22" t="n"/>
      <c r="D15" s="22" t="n"/>
      <c r="E15" s="22" t="n"/>
      <c r="F15" s="22" t="n"/>
      <c r="G15" s="20" t="n"/>
      <c r="H15" s="20" t="n"/>
      <c r="I15" s="22" t="n"/>
      <c r="J15" s="22" t="n"/>
      <c r="K15" s="22" t="n"/>
      <c r="L15" s="22" t="n"/>
      <c r="M15" s="22" t="n"/>
      <c r="N15" s="22" t="n"/>
      <c r="O15" s="22" t="n"/>
      <c r="P15" s="22" t="n"/>
      <c r="Q15" s="23" t="n"/>
      <c r="R15" s="22" t="n"/>
      <c r="S15" s="20" t="n"/>
      <c r="T15" s="22" t="n"/>
    </row>
    <row r="16">
      <c r="A16" s="15" t="n"/>
      <c r="B16" s="22" t="n"/>
      <c r="C16" s="22" t="n"/>
      <c r="D16" s="22" t="n"/>
      <c r="E16" s="22" t="n"/>
      <c r="F16" s="22" t="n"/>
      <c r="G16" s="20" t="n"/>
      <c r="H16" s="20" t="n"/>
      <c r="I16" s="22" t="n"/>
      <c r="J16" s="22" t="n"/>
      <c r="K16" s="22" t="n"/>
      <c r="L16" s="22" t="n"/>
      <c r="M16" s="22" t="n"/>
      <c r="N16" s="22" t="n"/>
      <c r="O16" s="22" t="n"/>
      <c r="P16" s="22" t="n"/>
      <c r="Q16" s="23" t="n"/>
      <c r="R16" s="22" t="n"/>
      <c r="S16" s="20" t="n"/>
      <c r="T16" s="22" t="n"/>
    </row>
    <row r="17">
      <c r="A17" s="15" t="n"/>
      <c r="B17" s="22" t="n"/>
      <c r="C17" s="22" t="n"/>
      <c r="D17" s="22" t="n"/>
      <c r="E17" s="22" t="n"/>
      <c r="F17" s="22" t="n"/>
      <c r="G17" s="20" t="n"/>
      <c r="H17" s="20" t="n"/>
      <c r="I17" s="22" t="n"/>
      <c r="J17" s="22" t="n"/>
      <c r="K17" s="22" t="n"/>
      <c r="L17" s="22" t="n"/>
      <c r="M17" s="22" t="n"/>
      <c r="N17" s="22" t="n"/>
      <c r="O17" s="22" t="n"/>
      <c r="P17" s="22" t="n"/>
      <c r="Q17" s="23" t="n"/>
      <c r="R17" s="22" t="n"/>
      <c r="S17" s="20" t="n"/>
      <c r="T17" s="22" t="n"/>
    </row>
    <row r="18">
      <c r="A18" s="15" t="n"/>
      <c r="B18" s="22" t="n"/>
      <c r="C18" s="22" t="n"/>
      <c r="D18" s="22" t="n"/>
      <c r="E18" s="22" t="n"/>
      <c r="F18" s="22" t="n"/>
      <c r="G18" s="20" t="n"/>
      <c r="H18" s="20" t="n"/>
      <c r="I18" s="22" t="n"/>
      <c r="J18" s="22" t="n"/>
      <c r="K18" s="22" t="n"/>
      <c r="L18" s="22" t="n"/>
      <c r="M18" s="22" t="n"/>
      <c r="N18" s="22" t="n"/>
      <c r="O18" s="22" t="n"/>
      <c r="P18" s="22" t="n"/>
      <c r="Q18" s="23" t="n"/>
      <c r="R18" s="22" t="n"/>
      <c r="S18" s="20" t="n"/>
      <c r="T18" s="22" t="n"/>
    </row>
    <row r="19">
      <c r="A19" s="15" t="n"/>
      <c r="B19" s="22" t="n"/>
      <c r="C19" s="22" t="n"/>
      <c r="D19" s="22" t="n"/>
      <c r="E19" s="22" t="n"/>
      <c r="F19" s="22" t="n"/>
      <c r="G19" s="20" t="n"/>
      <c r="H19" s="20" t="n"/>
      <c r="I19" s="22" t="n"/>
      <c r="J19" s="22" t="n"/>
      <c r="K19" s="22" t="n"/>
      <c r="L19" s="22" t="n"/>
      <c r="M19" s="22" t="n"/>
      <c r="N19" s="22" t="n"/>
      <c r="O19" s="22" t="n"/>
      <c r="P19" s="22" t="n"/>
      <c r="Q19" s="23" t="n"/>
      <c r="R19" s="22" t="n"/>
      <c r="S19" s="20" t="n"/>
      <c r="T19" s="22" t="n"/>
    </row>
    <row r="20">
      <c r="A20" s="15" t="n"/>
      <c r="B20" s="22" t="n"/>
      <c r="C20" s="22" t="n"/>
      <c r="D20" s="22" t="n"/>
      <c r="E20" s="22" t="n"/>
      <c r="F20" s="22" t="n"/>
      <c r="G20" s="20" t="n"/>
      <c r="H20" s="20" t="n"/>
      <c r="I20" s="22" t="n"/>
      <c r="J20" s="22" t="n"/>
      <c r="K20" s="22" t="n"/>
      <c r="L20" s="22" t="n"/>
      <c r="M20" s="22" t="n"/>
      <c r="N20" s="22" t="n"/>
      <c r="O20" s="22" t="n"/>
      <c r="P20" s="22" t="n"/>
      <c r="Q20" s="23" t="n"/>
      <c r="R20" s="22" t="n"/>
      <c r="S20" s="20" t="n"/>
      <c r="T20" s="22" t="n"/>
    </row>
    <row r="21">
      <c r="A21" s="15" t="n"/>
      <c r="B21" s="22" t="n"/>
      <c r="C21" s="22" t="n"/>
      <c r="D21" s="22" t="n"/>
      <c r="E21" s="22" t="n"/>
      <c r="F21" s="22" t="n"/>
      <c r="G21" s="20" t="n"/>
      <c r="H21" s="20" t="n"/>
      <c r="I21" s="22" t="n"/>
      <c r="J21" s="22" t="n"/>
      <c r="K21" s="22" t="n"/>
      <c r="L21" s="22" t="n"/>
      <c r="M21" s="22" t="n"/>
      <c r="N21" s="22" t="n"/>
      <c r="O21" s="22" t="n"/>
      <c r="P21" s="22" t="n"/>
      <c r="Q21" s="23" t="n"/>
      <c r="R21" s="22" t="n"/>
      <c r="S21" s="20" t="n"/>
      <c r="T21" s="22" t="n"/>
    </row>
    <row r="22">
      <c r="A22" s="15" t="n"/>
      <c r="B22" s="22" t="n"/>
      <c r="C22" s="22" t="n"/>
      <c r="D22" s="22" t="n"/>
      <c r="E22" s="22" t="n"/>
      <c r="F22" s="22" t="n"/>
      <c r="G22" s="20" t="n"/>
      <c r="H22" s="20" t="n"/>
      <c r="I22" s="22" t="n"/>
      <c r="J22" s="22" t="n"/>
      <c r="K22" s="22" t="n"/>
      <c r="L22" s="22" t="n"/>
      <c r="M22" s="22" t="n"/>
      <c r="N22" s="22" t="n"/>
      <c r="O22" s="22" t="n"/>
      <c r="P22" s="22" t="n"/>
      <c r="Q22" s="23" t="n"/>
      <c r="R22" s="22" t="n"/>
      <c r="S22" s="20" t="n"/>
      <c r="T22" s="22" t="n"/>
    </row>
    <row r="23">
      <c r="A23" s="15" t="n"/>
      <c r="B23" s="22" t="n"/>
      <c r="C23" s="22" t="n"/>
      <c r="D23" s="22" t="n"/>
      <c r="E23" s="22" t="n"/>
      <c r="F23" s="22" t="n"/>
      <c r="G23" s="20" t="n"/>
      <c r="H23" s="20" t="n"/>
      <c r="I23" s="22" t="n"/>
      <c r="J23" s="22" t="n"/>
      <c r="K23" s="22" t="n"/>
      <c r="L23" s="22" t="n"/>
      <c r="M23" s="22" t="n"/>
      <c r="N23" s="22" t="n"/>
      <c r="O23" s="22" t="n"/>
      <c r="P23" s="22" t="n"/>
      <c r="Q23" s="23" t="n"/>
      <c r="R23" s="22" t="n"/>
      <c r="S23" s="20" t="n"/>
      <c r="T23" s="22" t="n"/>
    </row>
    <row r="24">
      <c r="A24" s="15" t="n"/>
      <c r="B24" s="22" t="n"/>
      <c r="C24" s="22" t="n"/>
      <c r="D24" s="22" t="n"/>
      <c r="E24" s="22" t="n"/>
      <c r="F24" s="22" t="n"/>
      <c r="G24" s="20" t="n"/>
      <c r="H24" s="20" t="n"/>
      <c r="I24" s="22" t="n"/>
      <c r="J24" s="22" t="n"/>
      <c r="K24" s="22" t="n"/>
      <c r="L24" s="22" t="n"/>
      <c r="M24" s="22" t="n"/>
      <c r="N24" s="22" t="n"/>
      <c r="O24" s="22" t="n"/>
      <c r="P24" s="22" t="n"/>
      <c r="Q24" s="23" t="n"/>
      <c r="R24" s="22" t="n"/>
      <c r="S24" s="20" t="n"/>
      <c r="T24" s="22" t="n"/>
    </row>
    <row r="25">
      <c r="A25" s="15" t="n"/>
      <c r="B25" s="22" t="n"/>
      <c r="C25" s="22" t="n"/>
      <c r="D25" s="22" t="n"/>
      <c r="E25" s="22" t="n"/>
      <c r="F25" s="22" t="n"/>
      <c r="G25" s="20" t="n"/>
      <c r="H25" s="20" t="n"/>
      <c r="I25" s="22" t="n"/>
      <c r="J25" s="22" t="n"/>
      <c r="K25" s="22" t="n"/>
      <c r="L25" s="22" t="n"/>
      <c r="M25" s="22" t="n"/>
      <c r="N25" s="22" t="n"/>
      <c r="O25" s="22" t="n"/>
      <c r="P25" s="22" t="n"/>
      <c r="Q25" s="23" t="n"/>
      <c r="R25" s="22" t="n"/>
      <c r="S25" s="20" t="n"/>
      <c r="T25" s="22" t="n"/>
    </row>
    <row r="26">
      <c r="A26" s="15" t="n"/>
      <c r="B26" s="22" t="n"/>
      <c r="C26" s="22" t="n"/>
      <c r="D26" s="22" t="n"/>
      <c r="E26" s="22" t="n"/>
      <c r="F26" s="22" t="n"/>
      <c r="G26" s="20" t="n"/>
      <c r="H26" s="20" t="n"/>
      <c r="I26" s="22" t="n"/>
      <c r="J26" s="22" t="n"/>
      <c r="K26" s="22" t="n"/>
      <c r="L26" s="22" t="n"/>
      <c r="M26" s="22" t="n"/>
      <c r="N26" s="22" t="n"/>
      <c r="O26" s="22" t="n"/>
      <c r="P26" s="22" t="n"/>
      <c r="Q26" s="23" t="n"/>
      <c r="R26" s="22" t="n"/>
      <c r="S26" s="20" t="n"/>
      <c r="T26" s="22" t="n"/>
    </row>
    <row r="27">
      <c r="A27" s="15" t="n"/>
      <c r="B27" s="22" t="n"/>
      <c r="C27" s="22" t="n"/>
      <c r="D27" s="22" t="n"/>
      <c r="E27" s="22" t="n"/>
      <c r="F27" s="22" t="n"/>
      <c r="G27" s="20" t="n"/>
      <c r="H27" s="20" t="n"/>
      <c r="I27" s="22" t="n"/>
      <c r="J27" s="22" t="n"/>
      <c r="K27" s="22" t="n"/>
      <c r="L27" s="22" t="n"/>
      <c r="M27" s="22" t="n"/>
      <c r="N27" s="22" t="n"/>
      <c r="O27" s="22" t="n"/>
      <c r="P27" s="22" t="n"/>
      <c r="Q27" s="23" t="n"/>
      <c r="R27" s="22" t="n"/>
      <c r="S27" s="20" t="n"/>
      <c r="T27" s="22" t="n"/>
    </row>
    <row r="28">
      <c r="A28" s="15" t="n"/>
      <c r="B28" s="22" t="n"/>
      <c r="C28" s="22" t="n"/>
      <c r="D28" s="22" t="n"/>
      <c r="E28" s="22" t="n"/>
      <c r="F28" s="22" t="n"/>
      <c r="G28" s="20" t="n"/>
      <c r="H28" s="20" t="n"/>
      <c r="I28" s="22" t="n"/>
      <c r="J28" s="22" t="n"/>
      <c r="K28" s="22" t="n"/>
      <c r="L28" s="22" t="n"/>
      <c r="M28" s="22" t="n"/>
      <c r="N28" s="22" t="n"/>
      <c r="O28" s="22" t="n"/>
      <c r="P28" s="22" t="n"/>
      <c r="Q28" s="23" t="n"/>
      <c r="R28" s="22" t="n"/>
      <c r="S28" s="20" t="n"/>
      <c r="T28" s="22" t="n"/>
    </row>
    <row r="29">
      <c r="A29" s="15" t="n"/>
      <c r="B29" s="22" t="n"/>
      <c r="C29" s="22" t="n"/>
      <c r="D29" s="22" t="n"/>
      <c r="E29" s="22" t="n"/>
      <c r="F29" s="22" t="n"/>
      <c r="G29" s="20" t="n"/>
      <c r="H29" s="20" t="n"/>
      <c r="I29" s="22" t="n"/>
      <c r="J29" s="22" t="n"/>
      <c r="K29" s="22" t="n"/>
      <c r="L29" s="22" t="n"/>
      <c r="M29" s="22" t="n"/>
      <c r="N29" s="22" t="n"/>
      <c r="O29" s="22" t="n"/>
      <c r="P29" s="22" t="n"/>
      <c r="Q29" s="23" t="n"/>
      <c r="R29" s="22" t="n"/>
      <c r="S29" s="20" t="n"/>
      <c r="T29" s="22" t="n"/>
    </row>
    <row r="30">
      <c r="A30" s="15" t="n"/>
      <c r="B30" s="22" t="n"/>
      <c r="C30" s="22" t="n"/>
      <c r="D30" s="22" t="n"/>
      <c r="E30" s="22" t="n"/>
      <c r="F30" s="22" t="n"/>
      <c r="G30" s="20" t="n"/>
      <c r="H30" s="20" t="n"/>
      <c r="I30" s="22" t="n"/>
      <c r="J30" s="22" t="n"/>
      <c r="K30" s="22" t="n"/>
      <c r="L30" s="22" t="n"/>
      <c r="M30" s="22" t="n"/>
      <c r="N30" s="22" t="n"/>
      <c r="O30" s="22" t="n"/>
      <c r="P30" s="22" t="n"/>
      <c r="Q30" s="23" t="n"/>
      <c r="R30" s="22" t="n"/>
      <c r="S30" s="20" t="n"/>
      <c r="T30" s="22" t="n"/>
    </row>
    <row r="31">
      <c r="A31" s="15" t="n"/>
      <c r="B31" s="22" t="n"/>
      <c r="C31" s="22" t="n"/>
      <c r="D31" s="22" t="n"/>
      <c r="E31" s="22" t="n"/>
      <c r="F31" s="22" t="n"/>
      <c r="G31" s="20" t="n"/>
      <c r="H31" s="20" t="n"/>
      <c r="I31" s="22" t="n"/>
      <c r="J31" s="22" t="n"/>
      <c r="K31" s="22" t="n"/>
      <c r="L31" s="22" t="n"/>
      <c r="M31" s="22" t="n"/>
      <c r="N31" s="22" t="n"/>
      <c r="O31" s="22" t="n"/>
      <c r="P31" s="22" t="n"/>
      <c r="Q31" s="23" t="n"/>
      <c r="R31" s="22" t="n"/>
      <c r="S31" s="20" t="n"/>
      <c r="T31" s="22" t="n"/>
    </row>
    <row r="32">
      <c r="A32" s="15" t="n"/>
      <c r="B32" s="22" t="n"/>
      <c r="C32" s="22" t="n"/>
      <c r="D32" s="22" t="n"/>
      <c r="E32" s="22" t="n"/>
      <c r="F32" s="22" t="n"/>
      <c r="G32" s="20" t="n"/>
      <c r="H32" s="20" t="n"/>
      <c r="I32" s="22" t="n"/>
      <c r="J32" s="22" t="n"/>
      <c r="K32" s="22" t="n"/>
      <c r="L32" s="22" t="n"/>
      <c r="M32" s="22" t="n"/>
      <c r="N32" s="22" t="n"/>
      <c r="O32" s="22" t="n"/>
      <c r="P32" s="22" t="n"/>
      <c r="Q32" s="23" t="n"/>
      <c r="R32" s="22" t="n"/>
      <c r="S32" s="20" t="n"/>
      <c r="T32" s="22" t="n"/>
    </row>
    <row r="33">
      <c r="A33" s="15" t="n"/>
      <c r="B33" s="22" t="n"/>
      <c r="C33" s="22" t="n"/>
      <c r="D33" s="22" t="n"/>
      <c r="E33" s="22" t="n"/>
      <c r="F33" s="22" t="n"/>
      <c r="G33" s="20" t="n"/>
      <c r="H33" s="20" t="n"/>
      <c r="I33" s="22" t="n"/>
      <c r="J33" s="22" t="n"/>
      <c r="K33" s="22" t="n"/>
      <c r="L33" s="22" t="n"/>
      <c r="M33" s="22" t="n"/>
      <c r="N33" s="22" t="n"/>
      <c r="O33" s="22" t="n"/>
      <c r="P33" s="22" t="n"/>
      <c r="Q33" s="23" t="n"/>
      <c r="R33" s="22" t="n"/>
      <c r="S33" s="20" t="n"/>
      <c r="T33" s="22" t="n"/>
    </row>
    <row r="34">
      <c r="A34" s="15" t="n"/>
      <c r="B34" s="22" t="n"/>
      <c r="C34" s="22" t="n"/>
      <c r="D34" s="22" t="n"/>
      <c r="E34" s="22" t="n"/>
      <c r="F34" s="22" t="n"/>
      <c r="G34" s="20" t="n"/>
      <c r="H34" s="20" t="n"/>
      <c r="I34" s="22" t="n"/>
      <c r="J34" s="22" t="n"/>
      <c r="K34" s="22" t="n"/>
      <c r="L34" s="22" t="n"/>
      <c r="M34" s="22" t="n"/>
      <c r="N34" s="22" t="n"/>
      <c r="O34" s="22" t="n"/>
      <c r="P34" s="22" t="n"/>
      <c r="Q34" s="23" t="n"/>
      <c r="R34" s="22" t="n"/>
      <c r="S34" s="20" t="n"/>
      <c r="T34" s="22" t="n"/>
    </row>
    <row r="35">
      <c r="A35" s="15" t="n"/>
      <c r="B35" s="22" t="n"/>
      <c r="C35" s="22" t="n"/>
      <c r="D35" s="22" t="n"/>
      <c r="E35" s="22" t="n"/>
      <c r="F35" s="22" t="n"/>
      <c r="G35" s="20" t="n"/>
      <c r="H35" s="20" t="n"/>
      <c r="I35" s="22" t="n"/>
      <c r="J35" s="22" t="n"/>
      <c r="K35" s="22" t="n"/>
      <c r="L35" s="22" t="n"/>
      <c r="M35" s="22" t="n"/>
      <c r="N35" s="22" t="n"/>
      <c r="O35" s="22" t="n"/>
      <c r="P35" s="22" t="n"/>
      <c r="Q35" s="23" t="n"/>
      <c r="R35" s="22" t="n"/>
      <c r="S35" s="20" t="n"/>
      <c r="T35" s="22" t="n"/>
    </row>
    <row r="36">
      <c r="A36" s="15" t="n"/>
      <c r="B36" s="22" t="n"/>
      <c r="C36" s="22" t="n"/>
      <c r="D36" s="22" t="n"/>
      <c r="E36" s="22" t="n"/>
      <c r="F36" s="22" t="n"/>
      <c r="G36" s="20" t="n"/>
      <c r="H36" s="20" t="n"/>
      <c r="I36" s="22" t="n"/>
      <c r="J36" s="22" t="n"/>
      <c r="K36" s="22" t="n"/>
      <c r="L36" s="22" t="n"/>
      <c r="M36" s="22" t="n"/>
      <c r="N36" s="22" t="n"/>
      <c r="O36" s="22" t="n"/>
      <c r="P36" s="22" t="n"/>
      <c r="Q36" s="23" t="n"/>
      <c r="R36" s="22" t="n"/>
      <c r="S36" s="20" t="n"/>
      <c r="T36" s="22" t="n"/>
    </row>
    <row r="37">
      <c r="A37" s="15" t="n"/>
      <c r="B37" s="22" t="n"/>
      <c r="C37" s="22" t="n"/>
      <c r="D37" s="22" t="n"/>
      <c r="E37" s="22" t="n"/>
      <c r="F37" s="22" t="n"/>
      <c r="G37" s="20" t="n"/>
      <c r="H37" s="20" t="n"/>
      <c r="I37" s="22" t="n"/>
      <c r="J37" s="22" t="n"/>
      <c r="K37" s="22" t="n"/>
      <c r="L37" s="22" t="n"/>
      <c r="M37" s="22" t="n"/>
      <c r="N37" s="22" t="n"/>
      <c r="O37" s="22" t="n"/>
      <c r="P37" s="22" t="n"/>
      <c r="Q37" s="23" t="n"/>
      <c r="R37" s="22" t="n"/>
      <c r="S37" s="20" t="n"/>
      <c r="T37" s="22" t="n"/>
    </row>
    <row r="38">
      <c r="A38" s="15" t="n"/>
      <c r="B38" s="22" t="n"/>
      <c r="C38" s="22" t="n"/>
      <c r="D38" s="22" t="n"/>
      <c r="E38" s="22" t="n"/>
      <c r="F38" s="22" t="n"/>
      <c r="G38" s="20" t="n"/>
      <c r="H38" s="20" t="n"/>
      <c r="I38" s="22" t="n"/>
      <c r="J38" s="22" t="n"/>
      <c r="K38" s="22" t="n"/>
      <c r="L38" s="22" t="n"/>
      <c r="M38" s="22" t="n"/>
      <c r="N38" s="22" t="n"/>
      <c r="O38" s="22" t="n"/>
      <c r="P38" s="22" t="n"/>
      <c r="Q38" s="23" t="n"/>
      <c r="R38" s="22" t="n"/>
      <c r="S38" s="20" t="n"/>
      <c r="T38" s="22" t="n"/>
    </row>
    <row r="39">
      <c r="A39" s="15" t="n"/>
      <c r="B39" s="22" t="n"/>
      <c r="C39" s="22" t="n"/>
      <c r="D39" s="22" t="n"/>
      <c r="E39" s="22" t="n"/>
      <c r="F39" s="22" t="n"/>
      <c r="G39" s="20" t="n"/>
      <c r="H39" s="20" t="n"/>
      <c r="I39" s="22" t="n"/>
      <c r="J39" s="22" t="n"/>
      <c r="K39" s="22" t="n"/>
      <c r="L39" s="22" t="n"/>
      <c r="M39" s="22" t="n"/>
      <c r="N39" s="22" t="n"/>
      <c r="O39" s="22" t="n"/>
      <c r="P39" s="22" t="n"/>
      <c r="Q39" s="23" t="n"/>
      <c r="R39" s="22" t="n"/>
      <c r="S39" s="20" t="n"/>
      <c r="T39" s="22" t="n"/>
    </row>
    <row r="40">
      <c r="A40" s="15" t="n"/>
      <c r="B40" s="22" t="n"/>
      <c r="C40" s="22" t="n"/>
      <c r="D40" s="22" t="n"/>
      <c r="E40" s="22" t="n"/>
      <c r="F40" s="22" t="n"/>
      <c r="G40" s="20" t="n"/>
      <c r="H40" s="20" t="n"/>
      <c r="I40" s="22" t="n"/>
      <c r="J40" s="22" t="n"/>
      <c r="K40" s="22" t="n"/>
      <c r="L40" s="22" t="n"/>
      <c r="M40" s="22" t="n"/>
      <c r="N40" s="22" t="n"/>
      <c r="O40" s="22" t="n"/>
      <c r="P40" s="22" t="n"/>
      <c r="Q40" s="23" t="n"/>
      <c r="R40" s="22" t="n"/>
      <c r="S40" s="20" t="n"/>
      <c r="T40" s="22" t="n"/>
    </row>
    <row r="41">
      <c r="A41" s="15" t="n"/>
      <c r="B41" s="22" t="n"/>
      <c r="C41" s="22" t="n"/>
      <c r="D41" s="22" t="n"/>
      <c r="E41" s="22" t="n"/>
      <c r="F41" s="22" t="n"/>
      <c r="G41" s="20" t="n"/>
      <c r="H41" s="20" t="n"/>
      <c r="I41" s="22" t="n"/>
      <c r="J41" s="22" t="n"/>
      <c r="K41" s="22" t="n"/>
      <c r="L41" s="22" t="n"/>
      <c r="M41" s="22" t="n"/>
      <c r="N41" s="22" t="n"/>
      <c r="O41" s="22" t="n"/>
      <c r="P41" s="22" t="n"/>
      <c r="Q41" s="23" t="n"/>
      <c r="R41" s="22" t="n"/>
      <c r="S41" s="20" t="n"/>
      <c r="T41" s="22" t="n"/>
    </row>
    <row r="42">
      <c r="A42" s="15" t="n"/>
      <c r="B42" s="22" t="n"/>
      <c r="C42" s="22" t="n"/>
      <c r="D42" s="22" t="n"/>
      <c r="E42" s="22" t="n"/>
      <c r="F42" s="22" t="n"/>
      <c r="G42" s="20" t="n"/>
      <c r="H42" s="20" t="n"/>
      <c r="I42" s="22" t="n"/>
      <c r="J42" s="22" t="n"/>
      <c r="K42" s="22" t="n"/>
      <c r="L42" s="22" t="n"/>
      <c r="M42" s="22" t="n"/>
      <c r="N42" s="22" t="n"/>
      <c r="O42" s="22" t="n"/>
      <c r="P42" s="22" t="n"/>
      <c r="Q42" s="23" t="n"/>
      <c r="R42" s="22" t="n"/>
      <c r="S42" s="20" t="n"/>
      <c r="T42" s="22" t="n"/>
    </row>
    <row r="43">
      <c r="A43" s="15" t="n"/>
      <c r="B43" s="22" t="n"/>
      <c r="C43" s="22" t="n"/>
      <c r="D43" s="22" t="n"/>
      <c r="E43" s="22" t="n"/>
      <c r="F43" s="22" t="n"/>
      <c r="G43" s="20" t="n"/>
      <c r="H43" s="20" t="n"/>
      <c r="I43" s="22" t="n"/>
      <c r="J43" s="22" t="n"/>
      <c r="K43" s="22" t="n"/>
      <c r="L43" s="22" t="n"/>
      <c r="M43" s="22" t="n"/>
      <c r="N43" s="22" t="n"/>
      <c r="O43" s="22" t="n"/>
      <c r="P43" s="22" t="n"/>
      <c r="Q43" s="23" t="n"/>
      <c r="R43" s="22" t="n"/>
      <c r="S43" s="20" t="n"/>
      <c r="T43" s="22" t="n"/>
    </row>
    <row r="44">
      <c r="A44" s="15" t="n"/>
      <c r="B44" s="22" t="n"/>
      <c r="C44" s="22" t="n"/>
      <c r="D44" s="22" t="n"/>
      <c r="E44" s="22" t="n"/>
      <c r="F44" s="22" t="n"/>
      <c r="G44" s="20" t="n"/>
      <c r="H44" s="20" t="n"/>
      <c r="I44" s="22" t="n"/>
      <c r="J44" s="22" t="n"/>
      <c r="K44" s="22" t="n"/>
      <c r="L44" s="22" t="n"/>
      <c r="M44" s="22" t="n"/>
      <c r="N44" s="22" t="n"/>
      <c r="O44" s="22" t="n"/>
      <c r="P44" s="22" t="n"/>
      <c r="Q44" s="23" t="n"/>
      <c r="R44" s="22" t="n"/>
      <c r="S44" s="20" t="n"/>
      <c r="T44" s="22" t="n"/>
    </row>
    <row r="45">
      <c r="A45" s="15" t="n"/>
      <c r="B45" s="22" t="n"/>
      <c r="C45" s="22" t="n"/>
      <c r="D45" s="22" t="n"/>
      <c r="E45" s="22" t="n"/>
      <c r="F45" s="22" t="n"/>
      <c r="G45" s="20" t="n"/>
      <c r="H45" s="20" t="n"/>
      <c r="I45" s="22" t="n"/>
      <c r="J45" s="22" t="n"/>
      <c r="K45" s="22" t="n"/>
      <c r="L45" s="22" t="n"/>
      <c r="M45" s="22" t="n"/>
      <c r="N45" s="22" t="n"/>
      <c r="O45" s="22" t="n"/>
      <c r="P45" s="22" t="n"/>
      <c r="Q45" s="23" t="n"/>
      <c r="R45" s="22" t="n"/>
      <c r="S45" s="20" t="n"/>
      <c r="T45" s="22" t="n"/>
    </row>
    <row r="46">
      <c r="A46" s="15" t="n"/>
      <c r="B46" s="22" t="n"/>
      <c r="C46" s="22" t="n"/>
      <c r="D46" s="22" t="n"/>
      <c r="E46" s="22" t="n"/>
      <c r="F46" s="22" t="n"/>
      <c r="G46" s="20" t="n"/>
      <c r="H46" s="20" t="n"/>
      <c r="I46" s="22" t="n"/>
      <c r="J46" s="22" t="n"/>
      <c r="K46" s="22" t="n"/>
      <c r="L46" s="22" t="n"/>
      <c r="M46" s="22" t="n"/>
      <c r="N46" s="22" t="n"/>
      <c r="O46" s="22" t="n"/>
      <c r="P46" s="22" t="n"/>
      <c r="Q46" s="23" t="n"/>
      <c r="R46" s="22" t="n"/>
      <c r="S46" s="20" t="n"/>
      <c r="T46" s="22" t="n"/>
    </row>
    <row r="47">
      <c r="A47" s="15" t="n"/>
      <c r="B47" s="22" t="n"/>
      <c r="C47" s="22" t="n"/>
      <c r="D47" s="22" t="n"/>
      <c r="E47" s="22" t="n"/>
      <c r="F47" s="22" t="n"/>
      <c r="G47" s="20" t="n"/>
      <c r="H47" s="20" t="n"/>
      <c r="I47" s="22" t="n"/>
      <c r="J47" s="22" t="n"/>
      <c r="K47" s="22" t="n"/>
      <c r="L47" s="22" t="n"/>
      <c r="M47" s="22" t="n"/>
      <c r="N47" s="22" t="n"/>
      <c r="O47" s="22" t="n"/>
      <c r="P47" s="22" t="n"/>
      <c r="Q47" s="23" t="n"/>
      <c r="R47" s="22" t="n"/>
      <c r="S47" s="20" t="n"/>
      <c r="T47" s="22" t="n"/>
    </row>
    <row r="48">
      <c r="A48" s="15" t="n"/>
      <c r="B48" s="22" t="n"/>
      <c r="C48" s="22" t="n"/>
      <c r="D48" s="22" t="n"/>
      <c r="E48" s="22" t="n"/>
      <c r="F48" s="22" t="n"/>
      <c r="G48" s="20" t="n"/>
      <c r="H48" s="20" t="n"/>
      <c r="I48" s="22" t="n"/>
      <c r="J48" s="22" t="n"/>
      <c r="K48" s="22" t="n"/>
      <c r="L48" s="22" t="n"/>
      <c r="M48" s="22" t="n"/>
      <c r="N48" s="22" t="n"/>
      <c r="O48" s="22" t="n"/>
      <c r="P48" s="22" t="n"/>
      <c r="Q48" s="23" t="n"/>
      <c r="R48" s="22" t="n"/>
      <c r="S48" s="20" t="n"/>
      <c r="T48" s="22" t="n"/>
    </row>
    <row r="49">
      <c r="A49" s="15" t="n"/>
      <c r="B49" s="22" t="n"/>
      <c r="C49" s="22" t="n"/>
      <c r="D49" s="22" t="n"/>
      <c r="E49" s="22" t="n"/>
      <c r="F49" s="22" t="n"/>
      <c r="G49" s="20" t="n"/>
      <c r="H49" s="20" t="n"/>
      <c r="I49" s="22" t="n"/>
      <c r="J49" s="22" t="n"/>
      <c r="K49" s="22" t="n"/>
      <c r="L49" s="22" t="n"/>
      <c r="M49" s="22" t="n"/>
      <c r="N49" s="22" t="n"/>
      <c r="O49" s="22" t="n"/>
      <c r="P49" s="22" t="n"/>
      <c r="Q49" s="23" t="n"/>
      <c r="R49" s="22" t="n"/>
      <c r="S49" s="20" t="n"/>
      <c r="T49" s="22" t="n"/>
    </row>
    <row r="50">
      <c r="A50" s="15" t="n"/>
      <c r="B50" s="22" t="n"/>
      <c r="C50" s="22" t="n"/>
      <c r="D50" s="22" t="n"/>
      <c r="E50" s="22" t="n"/>
      <c r="F50" s="22" t="n"/>
      <c r="G50" s="20" t="n"/>
      <c r="H50" s="20" t="n"/>
      <c r="I50" s="22" t="n"/>
      <c r="J50" s="22" t="n"/>
      <c r="K50" s="22" t="n"/>
      <c r="L50" s="22" t="n"/>
      <c r="M50" s="22" t="n"/>
      <c r="N50" s="22" t="n"/>
      <c r="O50" s="22" t="n"/>
      <c r="P50" s="22" t="n"/>
      <c r="Q50" s="23" t="n"/>
      <c r="R50" s="22" t="n"/>
      <c r="S50" s="20" t="n"/>
      <c r="T50" s="22" t="n"/>
    </row>
    <row r="51">
      <c r="A51" s="15" t="n"/>
      <c r="B51" s="22" t="n"/>
      <c r="C51" s="22" t="n"/>
      <c r="D51" s="22" t="n"/>
      <c r="E51" s="22" t="n"/>
      <c r="F51" s="22" t="n"/>
      <c r="G51" s="20" t="n"/>
      <c r="H51" s="20" t="n"/>
      <c r="I51" s="22" t="n"/>
      <c r="J51" s="22" t="n"/>
      <c r="K51" s="22" t="n"/>
      <c r="L51" s="22" t="n"/>
      <c r="M51" s="22" t="n"/>
      <c r="N51" s="22" t="n"/>
      <c r="O51" s="22" t="n"/>
      <c r="P51" s="22" t="n"/>
      <c r="Q51" s="23" t="n"/>
      <c r="R51" s="22" t="n"/>
      <c r="S51" s="20" t="n"/>
      <c r="T51" s="22" t="n"/>
    </row>
    <row r="52">
      <c r="A52" s="15" t="n"/>
      <c r="B52" s="22" t="n"/>
      <c r="C52" s="22" t="n"/>
      <c r="D52" s="22" t="n"/>
      <c r="E52" s="22" t="n"/>
      <c r="F52" s="22" t="n"/>
      <c r="G52" s="20" t="n"/>
      <c r="H52" s="20" t="n"/>
      <c r="I52" s="22" t="n"/>
      <c r="J52" s="22" t="n"/>
      <c r="K52" s="22" t="n"/>
      <c r="L52" s="22" t="n"/>
      <c r="M52" s="22" t="n"/>
      <c r="N52" s="22" t="n"/>
      <c r="O52" s="22" t="n"/>
      <c r="P52" s="22" t="n"/>
      <c r="Q52" s="23" t="n"/>
      <c r="R52" s="22" t="n"/>
      <c r="S52" s="20" t="n"/>
      <c r="T52" s="22" t="n"/>
    </row>
    <row r="53">
      <c r="A53" s="15" t="n"/>
      <c r="B53" s="22" t="n"/>
      <c r="C53" s="22" t="n"/>
      <c r="D53" s="22" t="n"/>
      <c r="E53" s="22" t="n"/>
      <c r="F53" s="22" t="n"/>
      <c r="G53" s="20" t="n"/>
      <c r="H53" s="20" t="n"/>
      <c r="I53" s="22" t="n"/>
      <c r="J53" s="22" t="n"/>
      <c r="K53" s="22" t="n"/>
      <c r="L53" s="22" t="n"/>
      <c r="M53" s="22" t="n"/>
      <c r="N53" s="22" t="n"/>
      <c r="O53" s="22" t="n"/>
      <c r="P53" s="22" t="n"/>
      <c r="Q53" s="23" t="n"/>
      <c r="R53" s="22" t="n"/>
      <c r="S53" s="20" t="n"/>
      <c r="T53" s="22" t="n"/>
    </row>
    <row r="54">
      <c r="A54" s="15" t="n"/>
      <c r="B54" s="22" t="n"/>
      <c r="C54" s="22" t="n"/>
      <c r="D54" s="22" t="n"/>
      <c r="E54" s="22" t="n"/>
      <c r="F54" s="22" t="n"/>
      <c r="G54" s="20" t="n"/>
      <c r="H54" s="20" t="n"/>
      <c r="I54" s="22" t="n"/>
      <c r="J54" s="22" t="n"/>
      <c r="K54" s="22" t="n"/>
      <c r="L54" s="22" t="n"/>
      <c r="M54" s="22" t="n"/>
      <c r="N54" s="22" t="n"/>
      <c r="O54" s="22" t="n"/>
      <c r="P54" s="22" t="n"/>
      <c r="Q54" s="23" t="n"/>
      <c r="R54" s="22" t="n"/>
      <c r="S54" s="20" t="n"/>
      <c r="T54" s="22" t="n"/>
    </row>
    <row r="55">
      <c r="A55" s="15" t="n"/>
      <c r="B55" s="22" t="n"/>
      <c r="C55" s="22" t="n"/>
      <c r="D55" s="22" t="n"/>
      <c r="E55" s="22" t="n"/>
      <c r="F55" s="22" t="n"/>
      <c r="G55" s="20" t="n"/>
      <c r="H55" s="20" t="n"/>
      <c r="I55" s="22" t="n"/>
      <c r="J55" s="22" t="n"/>
      <c r="K55" s="22" t="n"/>
      <c r="L55" s="22" t="n"/>
      <c r="M55" s="22" t="n"/>
      <c r="N55" s="22" t="n"/>
      <c r="O55" s="22" t="n"/>
      <c r="P55" s="22" t="n"/>
      <c r="Q55" s="23" t="n"/>
      <c r="R55" s="22" t="n"/>
      <c r="S55" s="20" t="n"/>
      <c r="T55" s="22" t="n"/>
    </row>
  </sheetData>
  <mergeCells count="2">
    <mergeCell ref="A1:T1"/>
    <mergeCell ref="A2:T2"/>
  </mergeCells>
  <conditionalFormatting sqref="J6:J55">
    <cfRule type="cellIs" priority="1" operator="equal" dxfId="0">
      <formula>"Confirmed"</formula>
    </cfRule>
    <cfRule type="cellIs" priority="2" operator="equal" dxfId="1">
      <formula>"Suspected"</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55"/>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2" customWidth="1" min="3" max="3"/>
    <col width="25" customWidth="1" min="4" max="4"/>
    <col width="12" customWidth="1" min="5" max="5"/>
    <col width="12" customWidth="1" min="6" max="6"/>
    <col width="14" customWidth="1" min="7" max="7"/>
    <col width="30" customWidth="1" min="8" max="8"/>
    <col width="25" customWidth="1" min="9" max="9"/>
    <col width="16" customWidth="1" min="10" max="10"/>
    <col width="16" customWidth="1" min="11" max="11"/>
    <col width="20" customWidth="1" min="12" max="12"/>
    <col width="30" customWidth="1" min="13" max="13"/>
    <col width="30" customWidth="1" min="14" max="14"/>
    <col width="30" customWidth="1" min="15" max="15"/>
    <col width="12" customWidth="1" min="16" max="16"/>
    <col width="12" customWidth="1" min="17" max="17"/>
    <col width="14" customWidth="1" min="18" max="18"/>
    <col width="14" customWidth="1" min="19" max="19"/>
    <col width="25" customWidth="1" min="20" max="20"/>
    <col width="14" customWidth="1" min="21" max="21"/>
    <col width="16" customWidth="1" min="22" max="22"/>
    <col width="12" customWidth="1" min="23" max="23"/>
    <col width="40" customWidth="1" min="24" max="24"/>
  </cols>
  <sheetData>
    <row r="1" ht="35" customHeight="1">
      <c r="A1" s="11" t="inlineStr">
        <is>
          <t>CAMPAIGN TRACKING (V1.0 - VLOOKUP + CVSS INTEGRATION)</t>
        </is>
      </c>
    </row>
    <row r="2">
      <c r="A2" s="12" t="inlineStr">
        <is>
          <t>Track threat campaigns. Actor_Name auto-populated via VLOOKUP from Sheet 12. CVEs_CVSS_Max references Sheet 8.</t>
        </is>
      </c>
    </row>
    <row r="4">
      <c r="A4" s="13" t="inlineStr">
        <is>
          <t>Campaign ID</t>
        </is>
      </c>
      <c r="B4" s="13" t="inlineStr">
        <is>
          <t>Campaign Name</t>
        </is>
      </c>
      <c r="C4" s="13" t="inlineStr">
        <is>
          <t>Actor ID</t>
        </is>
      </c>
      <c r="D4" s="13" t="inlineStr">
        <is>
          <t>Actor Name</t>
        </is>
      </c>
      <c r="E4" s="13" t="inlineStr">
        <is>
          <t>Campaign Start Date</t>
        </is>
      </c>
      <c r="F4" s="13" t="inlineStr">
        <is>
          <t>Campaign End Date</t>
        </is>
      </c>
      <c r="G4" s="13" t="inlineStr">
        <is>
          <t>Campaign Status</t>
        </is>
      </c>
      <c r="H4" s="13" t="inlineStr">
        <is>
          <t>Target Sectors</t>
        </is>
      </c>
      <c r="I4" s="13" t="inlineStr">
        <is>
          <t>Target Geographies</t>
        </is>
      </c>
      <c r="J4" s="13" t="inlineStr">
        <is>
          <t>Our Sector Targeted</t>
        </is>
      </c>
      <c r="K4" s="13" t="inlineStr">
        <is>
          <t>Our Org Targeted</t>
        </is>
      </c>
      <c r="L4" s="13" t="inlineStr">
        <is>
          <t>Primary Objective</t>
        </is>
      </c>
      <c r="M4" s="13" t="inlineStr">
        <is>
          <t>Attack Vectors</t>
        </is>
      </c>
      <c r="N4" s="13" t="inlineStr">
        <is>
          <t>TTPs Used</t>
        </is>
      </c>
      <c r="O4" s="13" t="inlineStr">
        <is>
          <t>CVEs Exploited</t>
        </is>
      </c>
      <c r="P4" s="13" t="inlineStr">
        <is>
          <t>CVEs CVSS Max</t>
        </is>
      </c>
      <c r="Q4" s="13" t="inlineStr">
        <is>
          <t>IOCs Count</t>
        </is>
      </c>
      <c r="R4" s="13" t="inlineStr">
        <is>
          <t>VTL Records Created</t>
        </is>
      </c>
      <c r="S4" s="13" t="inlineStr">
        <is>
          <t>Incidents Our Org</t>
        </is>
      </c>
      <c r="T4" s="13" t="inlineStr">
        <is>
          <t>Intelligence Sources</t>
        </is>
      </c>
      <c r="U4" s="13" t="inlineStr">
        <is>
          <t>Threat Level</t>
        </is>
      </c>
      <c r="V4" s="13" t="inlineStr">
        <is>
          <t>Monitoring Status</t>
        </is>
      </c>
      <c r="W4" s="13" t="inlineStr">
        <is>
          <t>Last Update Date</t>
        </is>
      </c>
      <c r="X4" s="13" t="inlineStr">
        <is>
          <t>Notes</t>
        </is>
      </c>
    </row>
    <row r="5">
      <c r="A5" s="33" t="inlineStr">
        <is>
          <t>CAM-2026-EXX</t>
        </is>
      </c>
      <c r="B5" s="33" t="inlineStr">
        <is>
          <t>EMEA Financial Sector Spearphishing</t>
        </is>
      </c>
      <c r="C5" s="33" t="inlineStr">
        <is>
          <t>ACTOR-001</t>
        </is>
      </c>
      <c r="D5" s="33" t="inlineStr">
        <is>
          <t>APT29 (Cozy Bear)</t>
        </is>
      </c>
      <c r="E5" s="33" t="inlineStr">
        <is>
          <t>01.01.2026</t>
        </is>
      </c>
      <c r="F5" s="33" t="inlineStr">
        <is>
          <t>31.03.2026</t>
        </is>
      </c>
      <c r="G5" s="33" t="inlineStr">
        <is>
          <t>Active</t>
        </is>
      </c>
      <c r="H5" s="33" t="inlineStr">
        <is>
          <t>Finance / Banking</t>
        </is>
      </c>
      <c r="I5" s="33" t="inlineStr">
        <is>
          <t>EMEA</t>
        </is>
      </c>
      <c r="J5" s="33" t="inlineStr">
        <is>
          <t>Yes</t>
        </is>
      </c>
      <c r="K5" s="33" t="inlineStr">
        <is>
          <t>Confirmed</t>
        </is>
      </c>
      <c r="L5" s="33" t="inlineStr">
        <is>
          <t>Espionage</t>
        </is>
      </c>
      <c r="M5" s="33" t="inlineStr">
        <is>
          <t>Spearphishing / BEC</t>
        </is>
      </c>
      <c r="N5" s="33" t="inlineStr">
        <is>
          <t>T1566 / T1078 / T1071</t>
        </is>
      </c>
      <c r="O5" s="33" t="inlineStr">
        <is>
          <t>CVE-2024-21413</t>
        </is>
      </c>
      <c r="P5" s="33" t="inlineStr">
        <is>
          <t>7.8</t>
        </is>
      </c>
      <c r="Q5" s="33" t="inlineStr">
        <is>
          <t>15</t>
        </is>
      </c>
      <c r="R5" s="33" t="inlineStr">
        <is>
          <t>8</t>
        </is>
      </c>
      <c r="S5" s="33" t="inlineStr">
        <is>
          <t>1</t>
        </is>
      </c>
      <c r="T5" s="33" t="inlineStr">
        <is>
          <t>MISP / OSINT</t>
        </is>
      </c>
      <c r="U5" s="33" t="inlineStr">
        <is>
          <t>High</t>
        </is>
      </c>
      <c r="V5" s="33" t="inlineStr">
        <is>
          <t>Active</t>
        </is>
      </c>
      <c r="W5" s="33" t="inlineStr">
        <is>
          <t>25.02.2026</t>
        </is>
      </c>
      <c r="X5" s="33" t="inlineStr"/>
    </row>
    <row r="6">
      <c r="A6" s="29" t="n"/>
      <c r="B6" s="22" t="n"/>
      <c r="C6" s="22" t="n"/>
      <c r="D6" s="29">
        <f>IFERROR(VLOOKUP(C6,'Threat Actor Profiles'!A:B,2,FALSE),"Unknown")</f>
        <v/>
      </c>
      <c r="E6" s="20" t="n"/>
      <c r="F6" s="20" t="n"/>
      <c r="G6" s="22" t="n"/>
      <c r="H6" s="22" t="n"/>
      <c r="I6" s="22" t="n"/>
      <c r="J6" s="22" t="n"/>
      <c r="K6" s="22" t="n"/>
      <c r="L6" s="22" t="n"/>
      <c r="M6" s="22" t="n"/>
      <c r="N6" s="22" t="n"/>
      <c r="O6" s="22" t="n"/>
      <c r="P6" s="34" t="inlineStr"/>
      <c r="Q6" s="23" t="n"/>
      <c r="R6" s="23" t="n"/>
      <c r="S6" s="23" t="n"/>
      <c r="T6" s="22" t="n"/>
      <c r="U6" s="22" t="n"/>
      <c r="V6" s="22" t="n"/>
      <c r="W6" s="20" t="n"/>
      <c r="X6" s="22" t="n"/>
    </row>
    <row r="7">
      <c r="A7" s="29" t="n"/>
      <c r="B7" s="22" t="n"/>
      <c r="C7" s="22" t="n"/>
      <c r="D7" s="29">
        <f>IFERROR(VLOOKUP(C7,'Threat Actor Profiles'!A:B,2,FALSE),"Unknown")</f>
        <v/>
      </c>
      <c r="E7" s="20" t="n"/>
      <c r="F7" s="20" t="n"/>
      <c r="G7" s="22" t="n"/>
      <c r="H7" s="22" t="n"/>
      <c r="I7" s="22" t="n"/>
      <c r="J7" s="22" t="n"/>
      <c r="K7" s="22" t="n"/>
      <c r="L7" s="22" t="n"/>
      <c r="M7" s="22" t="n"/>
      <c r="N7" s="22" t="n"/>
      <c r="O7" s="22" t="n"/>
      <c r="P7" s="34" t="inlineStr"/>
      <c r="Q7" s="23" t="n"/>
      <c r="R7" s="23" t="n"/>
      <c r="S7" s="23" t="n"/>
      <c r="T7" s="22" t="n"/>
      <c r="U7" s="22" t="n"/>
      <c r="V7" s="22" t="n"/>
      <c r="W7" s="20" t="n"/>
      <c r="X7" s="22" t="n"/>
    </row>
    <row r="8">
      <c r="A8" s="29" t="n"/>
      <c r="B8" s="22" t="n"/>
      <c r="C8" s="22" t="n"/>
      <c r="D8" s="29">
        <f>IFERROR(VLOOKUP(C8,'Threat Actor Profiles'!A:B,2,FALSE),"Unknown")</f>
        <v/>
      </c>
      <c r="E8" s="20" t="n"/>
      <c r="F8" s="20" t="n"/>
      <c r="G8" s="22" t="n"/>
      <c r="H8" s="22" t="n"/>
      <c r="I8" s="22" t="n"/>
      <c r="J8" s="22" t="n"/>
      <c r="K8" s="22" t="n"/>
      <c r="L8" s="22" t="n"/>
      <c r="M8" s="22" t="n"/>
      <c r="N8" s="22" t="n"/>
      <c r="O8" s="22" t="n"/>
      <c r="P8" s="34" t="inlineStr"/>
      <c r="Q8" s="23" t="n"/>
      <c r="R8" s="23" t="n"/>
      <c r="S8" s="23" t="n"/>
      <c r="T8" s="22" t="n"/>
      <c r="U8" s="22" t="n"/>
      <c r="V8" s="22" t="n"/>
      <c r="W8" s="20" t="n"/>
      <c r="X8" s="22" t="n"/>
    </row>
    <row r="9">
      <c r="A9" s="29" t="n"/>
      <c r="B9" s="22" t="n"/>
      <c r="C9" s="22" t="n"/>
      <c r="D9" s="29">
        <f>IFERROR(VLOOKUP(C9,'Threat Actor Profiles'!A:B,2,FALSE),"Unknown")</f>
        <v/>
      </c>
      <c r="E9" s="20" t="n"/>
      <c r="F9" s="20" t="n"/>
      <c r="G9" s="22" t="n"/>
      <c r="H9" s="22" t="n"/>
      <c r="I9" s="22" t="n"/>
      <c r="J9" s="22" t="n"/>
      <c r="K9" s="22" t="n"/>
      <c r="L9" s="22" t="n"/>
      <c r="M9" s="22" t="n"/>
      <c r="N9" s="22" t="n"/>
      <c r="O9" s="22" t="n"/>
      <c r="P9" s="34" t="inlineStr"/>
      <c r="Q9" s="23" t="n"/>
      <c r="R9" s="23" t="n"/>
      <c r="S9" s="23" t="n"/>
      <c r="T9" s="22" t="n"/>
      <c r="U9" s="22" t="n"/>
      <c r="V9" s="22" t="n"/>
      <c r="W9" s="20" t="n"/>
      <c r="X9" s="22" t="n"/>
    </row>
    <row r="10">
      <c r="A10" s="29" t="n"/>
      <c r="B10" s="22" t="n"/>
      <c r="C10" s="22" t="n"/>
      <c r="D10" s="29">
        <f>IFERROR(VLOOKUP(C10,'Threat Actor Profiles'!A:B,2,FALSE),"Unknown")</f>
        <v/>
      </c>
      <c r="E10" s="20" t="n"/>
      <c r="F10" s="20" t="n"/>
      <c r="G10" s="22" t="n"/>
      <c r="H10" s="22" t="n"/>
      <c r="I10" s="22" t="n"/>
      <c r="J10" s="22" t="n"/>
      <c r="K10" s="22" t="n"/>
      <c r="L10" s="22" t="n"/>
      <c r="M10" s="22" t="n"/>
      <c r="N10" s="22" t="n"/>
      <c r="O10" s="22" t="n"/>
      <c r="P10" s="34" t="inlineStr"/>
      <c r="Q10" s="23" t="n"/>
      <c r="R10" s="23" t="n"/>
      <c r="S10" s="23" t="n"/>
      <c r="T10" s="22" t="n"/>
      <c r="U10" s="22" t="n"/>
      <c r="V10" s="22" t="n"/>
      <c r="W10" s="20" t="n"/>
      <c r="X10" s="22" t="n"/>
    </row>
    <row r="11">
      <c r="A11" s="29" t="n"/>
      <c r="B11" s="22" t="n"/>
      <c r="C11" s="22" t="n"/>
      <c r="D11" s="29">
        <f>IFERROR(VLOOKUP(C11,'Threat Actor Profiles'!A:B,2,FALSE),"Unknown")</f>
        <v/>
      </c>
      <c r="E11" s="20" t="n"/>
      <c r="F11" s="20" t="n"/>
      <c r="G11" s="22" t="n"/>
      <c r="H11" s="22" t="n"/>
      <c r="I11" s="22" t="n"/>
      <c r="J11" s="22" t="n"/>
      <c r="K11" s="22" t="n"/>
      <c r="L11" s="22" t="n"/>
      <c r="M11" s="22" t="n"/>
      <c r="N11" s="22" t="n"/>
      <c r="O11" s="22" t="n"/>
      <c r="P11" s="34" t="inlineStr"/>
      <c r="Q11" s="23" t="n"/>
      <c r="R11" s="23" t="n"/>
      <c r="S11" s="23" t="n"/>
      <c r="T11" s="22" t="n"/>
      <c r="U11" s="22" t="n"/>
      <c r="V11" s="22" t="n"/>
      <c r="W11" s="20" t="n"/>
      <c r="X11" s="22" t="n"/>
    </row>
    <row r="12">
      <c r="A12" s="29" t="n"/>
      <c r="B12" s="22" t="n"/>
      <c r="C12" s="22" t="n"/>
      <c r="D12" s="29">
        <f>IFERROR(VLOOKUP(C12,'Threat Actor Profiles'!A:B,2,FALSE),"Unknown")</f>
        <v/>
      </c>
      <c r="E12" s="20" t="n"/>
      <c r="F12" s="20" t="n"/>
      <c r="G12" s="22" t="n"/>
      <c r="H12" s="22" t="n"/>
      <c r="I12" s="22" t="n"/>
      <c r="J12" s="22" t="n"/>
      <c r="K12" s="22" t="n"/>
      <c r="L12" s="22" t="n"/>
      <c r="M12" s="22" t="n"/>
      <c r="N12" s="22" t="n"/>
      <c r="O12" s="22" t="n"/>
      <c r="P12" s="34" t="inlineStr"/>
      <c r="Q12" s="23" t="n"/>
      <c r="R12" s="23" t="n"/>
      <c r="S12" s="23" t="n"/>
      <c r="T12" s="22" t="n"/>
      <c r="U12" s="22" t="n"/>
      <c r="V12" s="22" t="n"/>
      <c r="W12" s="20" t="n"/>
      <c r="X12" s="22" t="n"/>
    </row>
    <row r="13">
      <c r="A13" s="29" t="n"/>
      <c r="B13" s="22" t="n"/>
      <c r="C13" s="22" t="n"/>
      <c r="D13" s="29">
        <f>IFERROR(VLOOKUP(C13,'Threat Actor Profiles'!A:B,2,FALSE),"Unknown")</f>
        <v/>
      </c>
      <c r="E13" s="20" t="n"/>
      <c r="F13" s="20" t="n"/>
      <c r="G13" s="22" t="n"/>
      <c r="H13" s="22" t="n"/>
      <c r="I13" s="22" t="n"/>
      <c r="J13" s="22" t="n"/>
      <c r="K13" s="22" t="n"/>
      <c r="L13" s="22" t="n"/>
      <c r="M13" s="22" t="n"/>
      <c r="N13" s="22" t="n"/>
      <c r="O13" s="22" t="n"/>
      <c r="P13" s="34" t="inlineStr"/>
      <c r="Q13" s="23" t="n"/>
      <c r="R13" s="23" t="n"/>
      <c r="S13" s="23" t="n"/>
      <c r="T13" s="22" t="n"/>
      <c r="U13" s="22" t="n"/>
      <c r="V13" s="22" t="n"/>
      <c r="W13" s="20" t="n"/>
      <c r="X13" s="22" t="n"/>
    </row>
    <row r="14">
      <c r="A14" s="29" t="n"/>
      <c r="B14" s="22" t="n"/>
      <c r="C14" s="22" t="n"/>
      <c r="D14" s="29">
        <f>IFERROR(VLOOKUP(C14,'Threat Actor Profiles'!A:B,2,FALSE),"Unknown")</f>
        <v/>
      </c>
      <c r="E14" s="20" t="n"/>
      <c r="F14" s="20" t="n"/>
      <c r="G14" s="22" t="n"/>
      <c r="H14" s="22" t="n"/>
      <c r="I14" s="22" t="n"/>
      <c r="J14" s="22" t="n"/>
      <c r="K14" s="22" t="n"/>
      <c r="L14" s="22" t="n"/>
      <c r="M14" s="22" t="n"/>
      <c r="N14" s="22" t="n"/>
      <c r="O14" s="22" t="n"/>
      <c r="P14" s="34" t="inlineStr"/>
      <c r="Q14" s="23" t="n"/>
      <c r="R14" s="23" t="n"/>
      <c r="S14" s="23" t="n"/>
      <c r="T14" s="22" t="n"/>
      <c r="U14" s="22" t="n"/>
      <c r="V14" s="22" t="n"/>
      <c r="W14" s="20" t="n"/>
      <c r="X14" s="22" t="n"/>
    </row>
    <row r="15">
      <c r="A15" s="29" t="n"/>
      <c r="B15" s="22" t="n"/>
      <c r="C15" s="22" t="n"/>
      <c r="D15" s="29">
        <f>IFERROR(VLOOKUP(C15,'Threat Actor Profiles'!A:B,2,FALSE),"Unknown")</f>
        <v/>
      </c>
      <c r="E15" s="20" t="n"/>
      <c r="F15" s="20" t="n"/>
      <c r="G15" s="22" t="n"/>
      <c r="H15" s="22" t="n"/>
      <c r="I15" s="22" t="n"/>
      <c r="J15" s="22" t="n"/>
      <c r="K15" s="22" t="n"/>
      <c r="L15" s="22" t="n"/>
      <c r="M15" s="22" t="n"/>
      <c r="N15" s="22" t="n"/>
      <c r="O15" s="22" t="n"/>
      <c r="P15" s="34" t="inlineStr"/>
      <c r="Q15" s="23" t="n"/>
      <c r="R15" s="23" t="n"/>
      <c r="S15" s="23" t="n"/>
      <c r="T15" s="22" t="n"/>
      <c r="U15" s="22" t="n"/>
      <c r="V15" s="22" t="n"/>
      <c r="W15" s="20" t="n"/>
      <c r="X15" s="22" t="n"/>
    </row>
    <row r="16">
      <c r="A16" s="29" t="n"/>
      <c r="B16" s="22" t="n"/>
      <c r="C16" s="22" t="n"/>
      <c r="D16" s="29">
        <f>IFERROR(VLOOKUP(C16,'Threat Actor Profiles'!A:B,2,FALSE),"Unknown")</f>
        <v/>
      </c>
      <c r="E16" s="20" t="n"/>
      <c r="F16" s="20" t="n"/>
      <c r="G16" s="22" t="n"/>
      <c r="H16" s="22" t="n"/>
      <c r="I16" s="22" t="n"/>
      <c r="J16" s="22" t="n"/>
      <c r="K16" s="22" t="n"/>
      <c r="L16" s="22" t="n"/>
      <c r="M16" s="22" t="n"/>
      <c r="N16" s="22" t="n"/>
      <c r="O16" s="22" t="n"/>
      <c r="P16" s="34" t="inlineStr"/>
      <c r="Q16" s="23" t="n"/>
      <c r="R16" s="23" t="n"/>
      <c r="S16" s="23" t="n"/>
      <c r="T16" s="22" t="n"/>
      <c r="U16" s="22" t="n"/>
      <c r="V16" s="22" t="n"/>
      <c r="W16" s="20" t="n"/>
      <c r="X16" s="22" t="n"/>
    </row>
    <row r="17">
      <c r="A17" s="29" t="n"/>
      <c r="B17" s="22" t="n"/>
      <c r="C17" s="22" t="n"/>
      <c r="D17" s="29">
        <f>IFERROR(VLOOKUP(C17,'Threat Actor Profiles'!A:B,2,FALSE),"Unknown")</f>
        <v/>
      </c>
      <c r="E17" s="20" t="n"/>
      <c r="F17" s="20" t="n"/>
      <c r="G17" s="22" t="n"/>
      <c r="H17" s="22" t="n"/>
      <c r="I17" s="22" t="n"/>
      <c r="J17" s="22" t="n"/>
      <c r="K17" s="22" t="n"/>
      <c r="L17" s="22" t="n"/>
      <c r="M17" s="22" t="n"/>
      <c r="N17" s="22" t="n"/>
      <c r="O17" s="22" t="n"/>
      <c r="P17" s="34" t="inlineStr"/>
      <c r="Q17" s="23" t="n"/>
      <c r="R17" s="23" t="n"/>
      <c r="S17" s="23" t="n"/>
      <c r="T17" s="22" t="n"/>
      <c r="U17" s="22" t="n"/>
      <c r="V17" s="22" t="n"/>
      <c r="W17" s="20" t="n"/>
      <c r="X17" s="22" t="n"/>
    </row>
    <row r="18">
      <c r="A18" s="29" t="n"/>
      <c r="B18" s="22" t="n"/>
      <c r="C18" s="22" t="n"/>
      <c r="D18" s="29">
        <f>IFERROR(VLOOKUP(C18,'Threat Actor Profiles'!A:B,2,FALSE),"Unknown")</f>
        <v/>
      </c>
      <c r="E18" s="20" t="n"/>
      <c r="F18" s="20" t="n"/>
      <c r="G18" s="22" t="n"/>
      <c r="H18" s="22" t="n"/>
      <c r="I18" s="22" t="n"/>
      <c r="J18" s="22" t="n"/>
      <c r="K18" s="22" t="n"/>
      <c r="L18" s="22" t="n"/>
      <c r="M18" s="22" t="n"/>
      <c r="N18" s="22" t="n"/>
      <c r="O18" s="22" t="n"/>
      <c r="P18" s="34" t="inlineStr"/>
      <c r="Q18" s="23" t="n"/>
      <c r="R18" s="23" t="n"/>
      <c r="S18" s="23" t="n"/>
      <c r="T18" s="22" t="n"/>
      <c r="U18" s="22" t="n"/>
      <c r="V18" s="22" t="n"/>
      <c r="W18" s="20" t="n"/>
      <c r="X18" s="22" t="n"/>
    </row>
    <row r="19">
      <c r="A19" s="29" t="n"/>
      <c r="B19" s="22" t="n"/>
      <c r="C19" s="22" t="n"/>
      <c r="D19" s="29">
        <f>IFERROR(VLOOKUP(C19,'Threat Actor Profiles'!A:B,2,FALSE),"Unknown")</f>
        <v/>
      </c>
      <c r="E19" s="20" t="n"/>
      <c r="F19" s="20" t="n"/>
      <c r="G19" s="22" t="n"/>
      <c r="H19" s="22" t="n"/>
      <c r="I19" s="22" t="n"/>
      <c r="J19" s="22" t="n"/>
      <c r="K19" s="22" t="n"/>
      <c r="L19" s="22" t="n"/>
      <c r="M19" s="22" t="n"/>
      <c r="N19" s="22" t="n"/>
      <c r="O19" s="22" t="n"/>
      <c r="P19" s="34" t="inlineStr"/>
      <c r="Q19" s="23" t="n"/>
      <c r="R19" s="23" t="n"/>
      <c r="S19" s="23" t="n"/>
      <c r="T19" s="22" t="n"/>
      <c r="U19" s="22" t="n"/>
      <c r="V19" s="22" t="n"/>
      <c r="W19" s="20" t="n"/>
      <c r="X19" s="22" t="n"/>
    </row>
    <row r="20">
      <c r="A20" s="29" t="n"/>
      <c r="B20" s="22" t="n"/>
      <c r="C20" s="22" t="n"/>
      <c r="D20" s="29">
        <f>IFERROR(VLOOKUP(C20,'Threat Actor Profiles'!A:B,2,FALSE),"Unknown")</f>
        <v/>
      </c>
      <c r="E20" s="20" t="n"/>
      <c r="F20" s="20" t="n"/>
      <c r="G20" s="22" t="n"/>
      <c r="H20" s="22" t="n"/>
      <c r="I20" s="22" t="n"/>
      <c r="J20" s="22" t="n"/>
      <c r="K20" s="22" t="n"/>
      <c r="L20" s="22" t="n"/>
      <c r="M20" s="22" t="n"/>
      <c r="N20" s="22" t="n"/>
      <c r="O20" s="22" t="n"/>
      <c r="P20" s="34" t="inlineStr"/>
      <c r="Q20" s="23" t="n"/>
      <c r="R20" s="23" t="n"/>
      <c r="S20" s="23" t="n"/>
      <c r="T20" s="22" t="n"/>
      <c r="U20" s="22" t="n"/>
      <c r="V20" s="22" t="n"/>
      <c r="W20" s="20" t="n"/>
      <c r="X20" s="22" t="n"/>
    </row>
    <row r="21">
      <c r="A21" s="29" t="n"/>
      <c r="B21" s="22" t="n"/>
      <c r="C21" s="22" t="n"/>
      <c r="D21" s="29">
        <f>IFERROR(VLOOKUP(C21,'Threat Actor Profiles'!A:B,2,FALSE),"Unknown")</f>
        <v/>
      </c>
      <c r="E21" s="20" t="n"/>
      <c r="F21" s="20" t="n"/>
      <c r="G21" s="22" t="n"/>
      <c r="H21" s="22" t="n"/>
      <c r="I21" s="22" t="n"/>
      <c r="J21" s="22" t="n"/>
      <c r="K21" s="22" t="n"/>
      <c r="L21" s="22" t="n"/>
      <c r="M21" s="22" t="n"/>
      <c r="N21" s="22" t="n"/>
      <c r="O21" s="22" t="n"/>
      <c r="P21" s="34" t="inlineStr"/>
      <c r="Q21" s="23" t="n"/>
      <c r="R21" s="23" t="n"/>
      <c r="S21" s="23" t="n"/>
      <c r="T21" s="22" t="n"/>
      <c r="U21" s="22" t="n"/>
      <c r="V21" s="22" t="n"/>
      <c r="W21" s="20" t="n"/>
      <c r="X21" s="22" t="n"/>
    </row>
    <row r="22">
      <c r="A22" s="29" t="n"/>
      <c r="B22" s="22" t="n"/>
      <c r="C22" s="22" t="n"/>
      <c r="D22" s="29">
        <f>IFERROR(VLOOKUP(C22,'Threat Actor Profiles'!A:B,2,FALSE),"Unknown")</f>
        <v/>
      </c>
      <c r="E22" s="20" t="n"/>
      <c r="F22" s="20" t="n"/>
      <c r="G22" s="22" t="n"/>
      <c r="H22" s="22" t="n"/>
      <c r="I22" s="22" t="n"/>
      <c r="J22" s="22" t="n"/>
      <c r="K22" s="22" t="n"/>
      <c r="L22" s="22" t="n"/>
      <c r="M22" s="22" t="n"/>
      <c r="N22" s="22" t="n"/>
      <c r="O22" s="22" t="n"/>
      <c r="P22" s="34" t="inlineStr"/>
      <c r="Q22" s="23" t="n"/>
      <c r="R22" s="23" t="n"/>
      <c r="S22" s="23" t="n"/>
      <c r="T22" s="22" t="n"/>
      <c r="U22" s="22" t="n"/>
      <c r="V22" s="22" t="n"/>
      <c r="W22" s="20" t="n"/>
      <c r="X22" s="22" t="n"/>
    </row>
    <row r="23">
      <c r="A23" s="29" t="n"/>
      <c r="B23" s="22" t="n"/>
      <c r="C23" s="22" t="n"/>
      <c r="D23" s="29">
        <f>IFERROR(VLOOKUP(C23,'Threat Actor Profiles'!A:B,2,FALSE),"Unknown")</f>
        <v/>
      </c>
      <c r="E23" s="20" t="n"/>
      <c r="F23" s="20" t="n"/>
      <c r="G23" s="22" t="n"/>
      <c r="H23" s="22" t="n"/>
      <c r="I23" s="22" t="n"/>
      <c r="J23" s="22" t="n"/>
      <c r="K23" s="22" t="n"/>
      <c r="L23" s="22" t="n"/>
      <c r="M23" s="22" t="n"/>
      <c r="N23" s="22" t="n"/>
      <c r="O23" s="22" t="n"/>
      <c r="P23" s="34" t="inlineStr"/>
      <c r="Q23" s="23" t="n"/>
      <c r="R23" s="23" t="n"/>
      <c r="S23" s="23" t="n"/>
      <c r="T23" s="22" t="n"/>
      <c r="U23" s="22" t="n"/>
      <c r="V23" s="22" t="n"/>
      <c r="W23" s="20" t="n"/>
      <c r="X23" s="22" t="n"/>
    </row>
    <row r="24">
      <c r="A24" s="29" t="n"/>
      <c r="B24" s="22" t="n"/>
      <c r="C24" s="22" t="n"/>
      <c r="D24" s="29">
        <f>IFERROR(VLOOKUP(C24,'Threat Actor Profiles'!A:B,2,FALSE),"Unknown")</f>
        <v/>
      </c>
      <c r="E24" s="20" t="n"/>
      <c r="F24" s="20" t="n"/>
      <c r="G24" s="22" t="n"/>
      <c r="H24" s="22" t="n"/>
      <c r="I24" s="22" t="n"/>
      <c r="J24" s="22" t="n"/>
      <c r="K24" s="22" t="n"/>
      <c r="L24" s="22" t="n"/>
      <c r="M24" s="22" t="n"/>
      <c r="N24" s="22" t="n"/>
      <c r="O24" s="22" t="n"/>
      <c r="P24" s="34" t="inlineStr"/>
      <c r="Q24" s="23" t="n"/>
      <c r="R24" s="23" t="n"/>
      <c r="S24" s="23" t="n"/>
      <c r="T24" s="22" t="n"/>
      <c r="U24" s="22" t="n"/>
      <c r="V24" s="22" t="n"/>
      <c r="W24" s="20" t="n"/>
      <c r="X24" s="22" t="n"/>
    </row>
    <row r="25">
      <c r="A25" s="29" t="n"/>
      <c r="B25" s="22" t="n"/>
      <c r="C25" s="22" t="n"/>
      <c r="D25" s="29">
        <f>IFERROR(VLOOKUP(C25,'Threat Actor Profiles'!A:B,2,FALSE),"Unknown")</f>
        <v/>
      </c>
      <c r="E25" s="20" t="n"/>
      <c r="F25" s="20" t="n"/>
      <c r="G25" s="22" t="n"/>
      <c r="H25" s="22" t="n"/>
      <c r="I25" s="22" t="n"/>
      <c r="J25" s="22" t="n"/>
      <c r="K25" s="22" t="n"/>
      <c r="L25" s="22" t="n"/>
      <c r="M25" s="22" t="n"/>
      <c r="N25" s="22" t="n"/>
      <c r="O25" s="22" t="n"/>
      <c r="P25" s="34" t="inlineStr"/>
      <c r="Q25" s="23" t="n"/>
      <c r="R25" s="23" t="n"/>
      <c r="S25" s="23" t="n"/>
      <c r="T25" s="22" t="n"/>
      <c r="U25" s="22" t="n"/>
      <c r="V25" s="22" t="n"/>
      <c r="W25" s="20" t="n"/>
      <c r="X25" s="22" t="n"/>
    </row>
    <row r="26">
      <c r="A26" s="29" t="n"/>
      <c r="B26" s="22" t="n"/>
      <c r="C26" s="22" t="n"/>
      <c r="D26" s="29">
        <f>IFERROR(VLOOKUP(C26,'Threat Actor Profiles'!A:B,2,FALSE),"Unknown")</f>
        <v/>
      </c>
      <c r="E26" s="20" t="n"/>
      <c r="F26" s="20" t="n"/>
      <c r="G26" s="22" t="n"/>
      <c r="H26" s="22" t="n"/>
      <c r="I26" s="22" t="n"/>
      <c r="J26" s="22" t="n"/>
      <c r="K26" s="22" t="n"/>
      <c r="L26" s="22" t="n"/>
      <c r="M26" s="22" t="n"/>
      <c r="N26" s="22" t="n"/>
      <c r="O26" s="22" t="n"/>
      <c r="P26" s="34" t="inlineStr"/>
      <c r="Q26" s="23" t="n"/>
      <c r="R26" s="23" t="n"/>
      <c r="S26" s="23" t="n"/>
      <c r="T26" s="22" t="n"/>
      <c r="U26" s="22" t="n"/>
      <c r="V26" s="22" t="n"/>
      <c r="W26" s="20" t="n"/>
      <c r="X26" s="22" t="n"/>
    </row>
    <row r="27">
      <c r="A27" s="29" t="n"/>
      <c r="B27" s="22" t="n"/>
      <c r="C27" s="22" t="n"/>
      <c r="D27" s="29">
        <f>IFERROR(VLOOKUP(C27,'Threat Actor Profiles'!A:B,2,FALSE),"Unknown")</f>
        <v/>
      </c>
      <c r="E27" s="20" t="n"/>
      <c r="F27" s="20" t="n"/>
      <c r="G27" s="22" t="n"/>
      <c r="H27" s="22" t="n"/>
      <c r="I27" s="22" t="n"/>
      <c r="J27" s="22" t="n"/>
      <c r="K27" s="22" t="n"/>
      <c r="L27" s="22" t="n"/>
      <c r="M27" s="22" t="n"/>
      <c r="N27" s="22" t="n"/>
      <c r="O27" s="22" t="n"/>
      <c r="P27" s="34" t="inlineStr"/>
      <c r="Q27" s="23" t="n"/>
      <c r="R27" s="23" t="n"/>
      <c r="S27" s="23" t="n"/>
      <c r="T27" s="22" t="n"/>
      <c r="U27" s="22" t="n"/>
      <c r="V27" s="22" t="n"/>
      <c r="W27" s="20" t="n"/>
      <c r="X27" s="22" t="n"/>
    </row>
    <row r="28">
      <c r="A28" s="29" t="n"/>
      <c r="B28" s="22" t="n"/>
      <c r="C28" s="22" t="n"/>
      <c r="D28" s="29">
        <f>IFERROR(VLOOKUP(C28,'Threat Actor Profiles'!A:B,2,FALSE),"Unknown")</f>
        <v/>
      </c>
      <c r="E28" s="20" t="n"/>
      <c r="F28" s="20" t="n"/>
      <c r="G28" s="22" t="n"/>
      <c r="H28" s="22" t="n"/>
      <c r="I28" s="22" t="n"/>
      <c r="J28" s="22" t="n"/>
      <c r="K28" s="22" t="n"/>
      <c r="L28" s="22" t="n"/>
      <c r="M28" s="22" t="n"/>
      <c r="N28" s="22" t="n"/>
      <c r="O28" s="22" t="n"/>
      <c r="P28" s="34" t="inlineStr"/>
      <c r="Q28" s="23" t="n"/>
      <c r="R28" s="23" t="n"/>
      <c r="S28" s="23" t="n"/>
      <c r="T28" s="22" t="n"/>
      <c r="U28" s="22" t="n"/>
      <c r="V28" s="22" t="n"/>
      <c r="W28" s="20" t="n"/>
      <c r="X28" s="22" t="n"/>
    </row>
    <row r="29">
      <c r="A29" s="29" t="n"/>
      <c r="B29" s="22" t="n"/>
      <c r="C29" s="22" t="n"/>
      <c r="D29" s="29">
        <f>IFERROR(VLOOKUP(C29,'Threat Actor Profiles'!A:B,2,FALSE),"Unknown")</f>
        <v/>
      </c>
      <c r="E29" s="20" t="n"/>
      <c r="F29" s="20" t="n"/>
      <c r="G29" s="22" t="n"/>
      <c r="H29" s="22" t="n"/>
      <c r="I29" s="22" t="n"/>
      <c r="J29" s="22" t="n"/>
      <c r="K29" s="22" t="n"/>
      <c r="L29" s="22" t="n"/>
      <c r="M29" s="22" t="n"/>
      <c r="N29" s="22" t="n"/>
      <c r="O29" s="22" t="n"/>
      <c r="P29" s="34" t="inlineStr"/>
      <c r="Q29" s="23" t="n"/>
      <c r="R29" s="23" t="n"/>
      <c r="S29" s="23" t="n"/>
      <c r="T29" s="22" t="n"/>
      <c r="U29" s="22" t="n"/>
      <c r="V29" s="22" t="n"/>
      <c r="W29" s="20" t="n"/>
      <c r="X29" s="22" t="n"/>
    </row>
    <row r="30">
      <c r="A30" s="29" t="n"/>
      <c r="B30" s="22" t="n"/>
      <c r="C30" s="22" t="n"/>
      <c r="D30" s="29">
        <f>IFERROR(VLOOKUP(C30,'Threat Actor Profiles'!A:B,2,FALSE),"Unknown")</f>
        <v/>
      </c>
      <c r="E30" s="20" t="n"/>
      <c r="F30" s="20" t="n"/>
      <c r="G30" s="22" t="n"/>
      <c r="H30" s="22" t="n"/>
      <c r="I30" s="22" t="n"/>
      <c r="J30" s="22" t="n"/>
      <c r="K30" s="22" t="n"/>
      <c r="L30" s="22" t="n"/>
      <c r="M30" s="22" t="n"/>
      <c r="N30" s="22" t="n"/>
      <c r="O30" s="22" t="n"/>
      <c r="P30" s="34" t="inlineStr"/>
      <c r="Q30" s="23" t="n"/>
      <c r="R30" s="23" t="n"/>
      <c r="S30" s="23" t="n"/>
      <c r="T30" s="22" t="n"/>
      <c r="U30" s="22" t="n"/>
      <c r="V30" s="22" t="n"/>
      <c r="W30" s="20" t="n"/>
      <c r="X30" s="22" t="n"/>
    </row>
    <row r="31">
      <c r="A31" s="29" t="n"/>
      <c r="B31" s="22" t="n"/>
      <c r="C31" s="22" t="n"/>
      <c r="D31" s="29">
        <f>IFERROR(VLOOKUP(C31,'Threat Actor Profiles'!A:B,2,FALSE),"Unknown")</f>
        <v/>
      </c>
      <c r="E31" s="20" t="n"/>
      <c r="F31" s="20" t="n"/>
      <c r="G31" s="22" t="n"/>
      <c r="H31" s="22" t="n"/>
      <c r="I31" s="22" t="n"/>
      <c r="J31" s="22" t="n"/>
      <c r="K31" s="22" t="n"/>
      <c r="L31" s="22" t="n"/>
      <c r="M31" s="22" t="n"/>
      <c r="N31" s="22" t="n"/>
      <c r="O31" s="22" t="n"/>
      <c r="P31" s="34" t="inlineStr"/>
      <c r="Q31" s="23" t="n"/>
      <c r="R31" s="23" t="n"/>
      <c r="S31" s="23" t="n"/>
      <c r="T31" s="22" t="n"/>
      <c r="U31" s="22" t="n"/>
      <c r="V31" s="22" t="n"/>
      <c r="W31" s="20" t="n"/>
      <c r="X31" s="22" t="n"/>
    </row>
    <row r="32">
      <c r="A32" s="29" t="n"/>
      <c r="B32" s="22" t="n"/>
      <c r="C32" s="22" t="n"/>
      <c r="D32" s="29">
        <f>IFERROR(VLOOKUP(C32,'Threat Actor Profiles'!A:B,2,FALSE),"Unknown")</f>
        <v/>
      </c>
      <c r="E32" s="20" t="n"/>
      <c r="F32" s="20" t="n"/>
      <c r="G32" s="22" t="n"/>
      <c r="H32" s="22" t="n"/>
      <c r="I32" s="22" t="n"/>
      <c r="J32" s="22" t="n"/>
      <c r="K32" s="22" t="n"/>
      <c r="L32" s="22" t="n"/>
      <c r="M32" s="22" t="n"/>
      <c r="N32" s="22" t="n"/>
      <c r="O32" s="22" t="n"/>
      <c r="P32" s="34" t="inlineStr"/>
      <c r="Q32" s="23" t="n"/>
      <c r="R32" s="23" t="n"/>
      <c r="S32" s="23" t="n"/>
      <c r="T32" s="22" t="n"/>
      <c r="U32" s="22" t="n"/>
      <c r="V32" s="22" t="n"/>
      <c r="W32" s="20" t="n"/>
      <c r="X32" s="22" t="n"/>
    </row>
    <row r="33">
      <c r="A33" s="29" t="n"/>
      <c r="B33" s="22" t="n"/>
      <c r="C33" s="22" t="n"/>
      <c r="D33" s="29">
        <f>IFERROR(VLOOKUP(C33,'Threat Actor Profiles'!A:B,2,FALSE),"Unknown")</f>
        <v/>
      </c>
      <c r="E33" s="20" t="n"/>
      <c r="F33" s="20" t="n"/>
      <c r="G33" s="22" t="n"/>
      <c r="H33" s="22" t="n"/>
      <c r="I33" s="22" t="n"/>
      <c r="J33" s="22" t="n"/>
      <c r="K33" s="22" t="n"/>
      <c r="L33" s="22" t="n"/>
      <c r="M33" s="22" t="n"/>
      <c r="N33" s="22" t="n"/>
      <c r="O33" s="22" t="n"/>
      <c r="P33" s="34" t="inlineStr"/>
      <c r="Q33" s="23" t="n"/>
      <c r="R33" s="23" t="n"/>
      <c r="S33" s="23" t="n"/>
      <c r="T33" s="22" t="n"/>
      <c r="U33" s="22" t="n"/>
      <c r="V33" s="22" t="n"/>
      <c r="W33" s="20" t="n"/>
      <c r="X33" s="22" t="n"/>
    </row>
    <row r="34">
      <c r="A34" s="29" t="n"/>
      <c r="B34" s="22" t="n"/>
      <c r="C34" s="22" t="n"/>
      <c r="D34" s="29">
        <f>IFERROR(VLOOKUP(C34,'Threat Actor Profiles'!A:B,2,FALSE),"Unknown")</f>
        <v/>
      </c>
      <c r="E34" s="20" t="n"/>
      <c r="F34" s="20" t="n"/>
      <c r="G34" s="22" t="n"/>
      <c r="H34" s="22" t="n"/>
      <c r="I34" s="22" t="n"/>
      <c r="J34" s="22" t="n"/>
      <c r="K34" s="22" t="n"/>
      <c r="L34" s="22" t="n"/>
      <c r="M34" s="22" t="n"/>
      <c r="N34" s="22" t="n"/>
      <c r="O34" s="22" t="n"/>
      <c r="P34" s="34" t="inlineStr"/>
      <c r="Q34" s="23" t="n"/>
      <c r="R34" s="23" t="n"/>
      <c r="S34" s="23" t="n"/>
      <c r="T34" s="22" t="n"/>
      <c r="U34" s="22" t="n"/>
      <c r="V34" s="22" t="n"/>
      <c r="W34" s="20" t="n"/>
      <c r="X34" s="22" t="n"/>
    </row>
    <row r="35">
      <c r="A35" s="29" t="n"/>
      <c r="B35" s="22" t="n"/>
      <c r="C35" s="22" t="n"/>
      <c r="D35" s="29">
        <f>IFERROR(VLOOKUP(C35,'Threat Actor Profiles'!A:B,2,FALSE),"Unknown")</f>
        <v/>
      </c>
      <c r="E35" s="20" t="n"/>
      <c r="F35" s="20" t="n"/>
      <c r="G35" s="22" t="n"/>
      <c r="H35" s="22" t="n"/>
      <c r="I35" s="22" t="n"/>
      <c r="J35" s="22" t="n"/>
      <c r="K35" s="22" t="n"/>
      <c r="L35" s="22" t="n"/>
      <c r="M35" s="22" t="n"/>
      <c r="N35" s="22" t="n"/>
      <c r="O35" s="22" t="n"/>
      <c r="P35" s="34" t="inlineStr"/>
      <c r="Q35" s="23" t="n"/>
      <c r="R35" s="23" t="n"/>
      <c r="S35" s="23" t="n"/>
      <c r="T35" s="22" t="n"/>
      <c r="U35" s="22" t="n"/>
      <c r="V35" s="22" t="n"/>
      <c r="W35" s="20" t="n"/>
      <c r="X35" s="22" t="n"/>
    </row>
    <row r="36">
      <c r="A36" s="29" t="n"/>
      <c r="B36" s="22" t="n"/>
      <c r="C36" s="22" t="n"/>
      <c r="D36" s="29">
        <f>IFERROR(VLOOKUP(C36,'Threat Actor Profiles'!A:B,2,FALSE),"Unknown")</f>
        <v/>
      </c>
      <c r="E36" s="20" t="n"/>
      <c r="F36" s="20" t="n"/>
      <c r="G36" s="22" t="n"/>
      <c r="H36" s="22" t="n"/>
      <c r="I36" s="22" t="n"/>
      <c r="J36" s="22" t="n"/>
      <c r="K36" s="22" t="n"/>
      <c r="L36" s="22" t="n"/>
      <c r="M36" s="22" t="n"/>
      <c r="N36" s="22" t="n"/>
      <c r="O36" s="22" t="n"/>
      <c r="P36" s="34" t="inlineStr"/>
      <c r="Q36" s="23" t="n"/>
      <c r="R36" s="23" t="n"/>
      <c r="S36" s="23" t="n"/>
      <c r="T36" s="22" t="n"/>
      <c r="U36" s="22" t="n"/>
      <c r="V36" s="22" t="n"/>
      <c r="W36" s="20" t="n"/>
      <c r="X36" s="22" t="n"/>
    </row>
    <row r="37">
      <c r="A37" s="29" t="n"/>
      <c r="B37" s="22" t="n"/>
      <c r="C37" s="22" t="n"/>
      <c r="D37" s="29">
        <f>IFERROR(VLOOKUP(C37,'Threat Actor Profiles'!A:B,2,FALSE),"Unknown")</f>
        <v/>
      </c>
      <c r="E37" s="20" t="n"/>
      <c r="F37" s="20" t="n"/>
      <c r="G37" s="22" t="n"/>
      <c r="H37" s="22" t="n"/>
      <c r="I37" s="22" t="n"/>
      <c r="J37" s="22" t="n"/>
      <c r="K37" s="22" t="n"/>
      <c r="L37" s="22" t="n"/>
      <c r="M37" s="22" t="n"/>
      <c r="N37" s="22" t="n"/>
      <c r="O37" s="22" t="n"/>
      <c r="P37" s="34" t="inlineStr"/>
      <c r="Q37" s="23" t="n"/>
      <c r="R37" s="23" t="n"/>
      <c r="S37" s="23" t="n"/>
      <c r="T37" s="22" t="n"/>
      <c r="U37" s="22" t="n"/>
      <c r="V37" s="22" t="n"/>
      <c r="W37" s="20" t="n"/>
      <c r="X37" s="22" t="n"/>
    </row>
    <row r="38">
      <c r="A38" s="29" t="n"/>
      <c r="B38" s="22" t="n"/>
      <c r="C38" s="22" t="n"/>
      <c r="D38" s="29">
        <f>IFERROR(VLOOKUP(C38,'Threat Actor Profiles'!A:B,2,FALSE),"Unknown")</f>
        <v/>
      </c>
      <c r="E38" s="20" t="n"/>
      <c r="F38" s="20" t="n"/>
      <c r="G38" s="22" t="n"/>
      <c r="H38" s="22" t="n"/>
      <c r="I38" s="22" t="n"/>
      <c r="J38" s="22" t="n"/>
      <c r="K38" s="22" t="n"/>
      <c r="L38" s="22" t="n"/>
      <c r="M38" s="22" t="n"/>
      <c r="N38" s="22" t="n"/>
      <c r="O38" s="22" t="n"/>
      <c r="P38" s="34" t="inlineStr"/>
      <c r="Q38" s="23" t="n"/>
      <c r="R38" s="23" t="n"/>
      <c r="S38" s="23" t="n"/>
      <c r="T38" s="22" t="n"/>
      <c r="U38" s="22" t="n"/>
      <c r="V38" s="22" t="n"/>
      <c r="W38" s="20" t="n"/>
      <c r="X38" s="22" t="n"/>
    </row>
    <row r="39">
      <c r="A39" s="29" t="n"/>
      <c r="B39" s="22" t="n"/>
      <c r="C39" s="22" t="n"/>
      <c r="D39" s="29">
        <f>IFERROR(VLOOKUP(C39,'Threat Actor Profiles'!A:B,2,FALSE),"Unknown")</f>
        <v/>
      </c>
      <c r="E39" s="20" t="n"/>
      <c r="F39" s="20" t="n"/>
      <c r="G39" s="22" t="n"/>
      <c r="H39" s="22" t="n"/>
      <c r="I39" s="22" t="n"/>
      <c r="J39" s="22" t="n"/>
      <c r="K39" s="22" t="n"/>
      <c r="L39" s="22" t="n"/>
      <c r="M39" s="22" t="n"/>
      <c r="N39" s="22" t="n"/>
      <c r="O39" s="22" t="n"/>
      <c r="P39" s="34" t="inlineStr"/>
      <c r="Q39" s="23" t="n"/>
      <c r="R39" s="23" t="n"/>
      <c r="S39" s="23" t="n"/>
      <c r="T39" s="22" t="n"/>
      <c r="U39" s="22" t="n"/>
      <c r="V39" s="22" t="n"/>
      <c r="W39" s="20" t="n"/>
      <c r="X39" s="22" t="n"/>
    </row>
    <row r="40">
      <c r="A40" s="29" t="n"/>
      <c r="B40" s="22" t="n"/>
      <c r="C40" s="22" t="n"/>
      <c r="D40" s="29">
        <f>IFERROR(VLOOKUP(C40,'Threat Actor Profiles'!A:B,2,FALSE),"Unknown")</f>
        <v/>
      </c>
      <c r="E40" s="20" t="n"/>
      <c r="F40" s="20" t="n"/>
      <c r="G40" s="22" t="n"/>
      <c r="H40" s="22" t="n"/>
      <c r="I40" s="22" t="n"/>
      <c r="J40" s="22" t="n"/>
      <c r="K40" s="22" t="n"/>
      <c r="L40" s="22" t="n"/>
      <c r="M40" s="22" t="n"/>
      <c r="N40" s="22" t="n"/>
      <c r="O40" s="22" t="n"/>
      <c r="P40" s="34" t="inlineStr"/>
      <c r="Q40" s="23" t="n"/>
      <c r="R40" s="23" t="n"/>
      <c r="S40" s="23" t="n"/>
      <c r="T40" s="22" t="n"/>
      <c r="U40" s="22" t="n"/>
      <c r="V40" s="22" t="n"/>
      <c r="W40" s="20" t="n"/>
      <c r="X40" s="22" t="n"/>
    </row>
    <row r="41">
      <c r="A41" s="29" t="n"/>
      <c r="B41" s="22" t="n"/>
      <c r="C41" s="22" t="n"/>
      <c r="D41" s="29">
        <f>IFERROR(VLOOKUP(C41,'Threat Actor Profiles'!A:B,2,FALSE),"Unknown")</f>
        <v/>
      </c>
      <c r="E41" s="20" t="n"/>
      <c r="F41" s="20" t="n"/>
      <c r="G41" s="22" t="n"/>
      <c r="H41" s="22" t="n"/>
      <c r="I41" s="22" t="n"/>
      <c r="J41" s="22" t="n"/>
      <c r="K41" s="22" t="n"/>
      <c r="L41" s="22" t="n"/>
      <c r="M41" s="22" t="n"/>
      <c r="N41" s="22" t="n"/>
      <c r="O41" s="22" t="n"/>
      <c r="P41" s="34" t="inlineStr"/>
      <c r="Q41" s="23" t="n"/>
      <c r="R41" s="23" t="n"/>
      <c r="S41" s="23" t="n"/>
      <c r="T41" s="22" t="n"/>
      <c r="U41" s="22" t="n"/>
      <c r="V41" s="22" t="n"/>
      <c r="W41" s="20" t="n"/>
      <c r="X41" s="22" t="n"/>
    </row>
    <row r="42">
      <c r="A42" s="29" t="n"/>
      <c r="B42" s="22" t="n"/>
      <c r="C42" s="22" t="n"/>
      <c r="D42" s="29">
        <f>IFERROR(VLOOKUP(C42,'Threat Actor Profiles'!A:B,2,FALSE),"Unknown")</f>
        <v/>
      </c>
      <c r="E42" s="20" t="n"/>
      <c r="F42" s="20" t="n"/>
      <c r="G42" s="22" t="n"/>
      <c r="H42" s="22" t="n"/>
      <c r="I42" s="22" t="n"/>
      <c r="J42" s="22" t="n"/>
      <c r="K42" s="22" t="n"/>
      <c r="L42" s="22" t="n"/>
      <c r="M42" s="22" t="n"/>
      <c r="N42" s="22" t="n"/>
      <c r="O42" s="22" t="n"/>
      <c r="P42" s="34" t="inlineStr"/>
      <c r="Q42" s="23" t="n"/>
      <c r="R42" s="23" t="n"/>
      <c r="S42" s="23" t="n"/>
      <c r="T42" s="22" t="n"/>
      <c r="U42" s="22" t="n"/>
      <c r="V42" s="22" t="n"/>
      <c r="W42" s="20" t="n"/>
      <c r="X42" s="22" t="n"/>
    </row>
    <row r="43">
      <c r="A43" s="29" t="n"/>
      <c r="B43" s="22" t="n"/>
      <c r="C43" s="22" t="n"/>
      <c r="D43" s="29">
        <f>IFERROR(VLOOKUP(C43,'Threat Actor Profiles'!A:B,2,FALSE),"Unknown")</f>
        <v/>
      </c>
      <c r="E43" s="20" t="n"/>
      <c r="F43" s="20" t="n"/>
      <c r="G43" s="22" t="n"/>
      <c r="H43" s="22" t="n"/>
      <c r="I43" s="22" t="n"/>
      <c r="J43" s="22" t="n"/>
      <c r="K43" s="22" t="n"/>
      <c r="L43" s="22" t="n"/>
      <c r="M43" s="22" t="n"/>
      <c r="N43" s="22" t="n"/>
      <c r="O43" s="22" t="n"/>
      <c r="P43" s="34" t="inlineStr"/>
      <c r="Q43" s="23" t="n"/>
      <c r="R43" s="23" t="n"/>
      <c r="S43" s="23" t="n"/>
      <c r="T43" s="22" t="n"/>
      <c r="U43" s="22" t="n"/>
      <c r="V43" s="22" t="n"/>
      <c r="W43" s="20" t="n"/>
      <c r="X43" s="22" t="n"/>
    </row>
    <row r="44">
      <c r="A44" s="29" t="n"/>
      <c r="B44" s="22" t="n"/>
      <c r="C44" s="22" t="n"/>
      <c r="D44" s="29">
        <f>IFERROR(VLOOKUP(C44,'Threat Actor Profiles'!A:B,2,FALSE),"Unknown")</f>
        <v/>
      </c>
      <c r="E44" s="20" t="n"/>
      <c r="F44" s="20" t="n"/>
      <c r="G44" s="22" t="n"/>
      <c r="H44" s="22" t="n"/>
      <c r="I44" s="22" t="n"/>
      <c r="J44" s="22" t="n"/>
      <c r="K44" s="22" t="n"/>
      <c r="L44" s="22" t="n"/>
      <c r="M44" s="22" t="n"/>
      <c r="N44" s="22" t="n"/>
      <c r="O44" s="22" t="n"/>
      <c r="P44" s="34" t="inlineStr"/>
      <c r="Q44" s="23" t="n"/>
      <c r="R44" s="23" t="n"/>
      <c r="S44" s="23" t="n"/>
      <c r="T44" s="22" t="n"/>
      <c r="U44" s="22" t="n"/>
      <c r="V44" s="22" t="n"/>
      <c r="W44" s="20" t="n"/>
      <c r="X44" s="22" t="n"/>
    </row>
    <row r="45">
      <c r="A45" s="29" t="n"/>
      <c r="B45" s="22" t="n"/>
      <c r="C45" s="22" t="n"/>
      <c r="D45" s="29">
        <f>IFERROR(VLOOKUP(C45,'Threat Actor Profiles'!A:B,2,FALSE),"Unknown")</f>
        <v/>
      </c>
      <c r="E45" s="20" t="n"/>
      <c r="F45" s="20" t="n"/>
      <c r="G45" s="22" t="n"/>
      <c r="H45" s="22" t="n"/>
      <c r="I45" s="22" t="n"/>
      <c r="J45" s="22" t="n"/>
      <c r="K45" s="22" t="n"/>
      <c r="L45" s="22" t="n"/>
      <c r="M45" s="22" t="n"/>
      <c r="N45" s="22" t="n"/>
      <c r="O45" s="22" t="n"/>
      <c r="P45" s="34" t="inlineStr"/>
      <c r="Q45" s="23" t="n"/>
      <c r="R45" s="23" t="n"/>
      <c r="S45" s="23" t="n"/>
      <c r="T45" s="22" t="n"/>
      <c r="U45" s="22" t="n"/>
      <c r="V45" s="22" t="n"/>
      <c r="W45" s="20" t="n"/>
      <c r="X45" s="22" t="n"/>
    </row>
    <row r="46">
      <c r="A46" s="29" t="n"/>
      <c r="B46" s="22" t="n"/>
      <c r="C46" s="22" t="n"/>
      <c r="D46" s="29">
        <f>IFERROR(VLOOKUP(C46,'Threat Actor Profiles'!A:B,2,FALSE),"Unknown")</f>
        <v/>
      </c>
      <c r="E46" s="20" t="n"/>
      <c r="F46" s="20" t="n"/>
      <c r="G46" s="22" t="n"/>
      <c r="H46" s="22" t="n"/>
      <c r="I46" s="22" t="n"/>
      <c r="J46" s="22" t="n"/>
      <c r="K46" s="22" t="n"/>
      <c r="L46" s="22" t="n"/>
      <c r="M46" s="22" t="n"/>
      <c r="N46" s="22" t="n"/>
      <c r="O46" s="22" t="n"/>
      <c r="P46" s="34" t="inlineStr"/>
      <c r="Q46" s="23" t="n"/>
      <c r="R46" s="23" t="n"/>
      <c r="S46" s="23" t="n"/>
      <c r="T46" s="22" t="n"/>
      <c r="U46" s="22" t="n"/>
      <c r="V46" s="22" t="n"/>
      <c r="W46" s="20" t="n"/>
      <c r="X46" s="22" t="n"/>
    </row>
    <row r="47">
      <c r="A47" s="29" t="n"/>
      <c r="B47" s="22" t="n"/>
      <c r="C47" s="22" t="n"/>
      <c r="D47" s="29">
        <f>IFERROR(VLOOKUP(C47,'Threat Actor Profiles'!A:B,2,FALSE),"Unknown")</f>
        <v/>
      </c>
      <c r="E47" s="20" t="n"/>
      <c r="F47" s="20" t="n"/>
      <c r="G47" s="22" t="n"/>
      <c r="H47" s="22" t="n"/>
      <c r="I47" s="22" t="n"/>
      <c r="J47" s="22" t="n"/>
      <c r="K47" s="22" t="n"/>
      <c r="L47" s="22" t="n"/>
      <c r="M47" s="22" t="n"/>
      <c r="N47" s="22" t="n"/>
      <c r="O47" s="22" t="n"/>
      <c r="P47" s="34" t="inlineStr"/>
      <c r="Q47" s="23" t="n"/>
      <c r="R47" s="23" t="n"/>
      <c r="S47" s="23" t="n"/>
      <c r="T47" s="22" t="n"/>
      <c r="U47" s="22" t="n"/>
      <c r="V47" s="22" t="n"/>
      <c r="W47" s="20" t="n"/>
      <c r="X47" s="22" t="n"/>
    </row>
    <row r="48">
      <c r="A48" s="29" t="n"/>
      <c r="B48" s="22" t="n"/>
      <c r="C48" s="22" t="n"/>
      <c r="D48" s="29">
        <f>IFERROR(VLOOKUP(C48,'Threat Actor Profiles'!A:B,2,FALSE),"Unknown")</f>
        <v/>
      </c>
      <c r="E48" s="20" t="n"/>
      <c r="F48" s="20" t="n"/>
      <c r="G48" s="22" t="n"/>
      <c r="H48" s="22" t="n"/>
      <c r="I48" s="22" t="n"/>
      <c r="J48" s="22" t="n"/>
      <c r="K48" s="22" t="n"/>
      <c r="L48" s="22" t="n"/>
      <c r="M48" s="22" t="n"/>
      <c r="N48" s="22" t="n"/>
      <c r="O48" s="22" t="n"/>
      <c r="P48" s="34" t="inlineStr"/>
      <c r="Q48" s="23" t="n"/>
      <c r="R48" s="23" t="n"/>
      <c r="S48" s="23" t="n"/>
      <c r="T48" s="22" t="n"/>
      <c r="U48" s="22" t="n"/>
      <c r="V48" s="22" t="n"/>
      <c r="W48" s="20" t="n"/>
      <c r="X48" s="22" t="n"/>
    </row>
    <row r="49">
      <c r="A49" s="29" t="n"/>
      <c r="B49" s="22" t="n"/>
      <c r="C49" s="22" t="n"/>
      <c r="D49" s="29">
        <f>IFERROR(VLOOKUP(C49,'Threat Actor Profiles'!A:B,2,FALSE),"Unknown")</f>
        <v/>
      </c>
      <c r="E49" s="20" t="n"/>
      <c r="F49" s="20" t="n"/>
      <c r="G49" s="22" t="n"/>
      <c r="H49" s="22" t="n"/>
      <c r="I49" s="22" t="n"/>
      <c r="J49" s="22" t="n"/>
      <c r="K49" s="22" t="n"/>
      <c r="L49" s="22" t="n"/>
      <c r="M49" s="22" t="n"/>
      <c r="N49" s="22" t="n"/>
      <c r="O49" s="22" t="n"/>
      <c r="P49" s="34" t="inlineStr"/>
      <c r="Q49" s="23" t="n"/>
      <c r="R49" s="23" t="n"/>
      <c r="S49" s="23" t="n"/>
      <c r="T49" s="22" t="n"/>
      <c r="U49" s="22" t="n"/>
      <c r="V49" s="22" t="n"/>
      <c r="W49" s="20" t="n"/>
      <c r="X49" s="22" t="n"/>
    </row>
    <row r="50">
      <c r="A50" s="29" t="n"/>
      <c r="B50" s="22" t="n"/>
      <c r="C50" s="22" t="n"/>
      <c r="D50" s="29">
        <f>IFERROR(VLOOKUP(C50,'Threat Actor Profiles'!A:B,2,FALSE),"Unknown")</f>
        <v/>
      </c>
      <c r="E50" s="20" t="n"/>
      <c r="F50" s="20" t="n"/>
      <c r="G50" s="22" t="n"/>
      <c r="H50" s="22" t="n"/>
      <c r="I50" s="22" t="n"/>
      <c r="J50" s="22" t="n"/>
      <c r="K50" s="22" t="n"/>
      <c r="L50" s="22" t="n"/>
      <c r="M50" s="22" t="n"/>
      <c r="N50" s="22" t="n"/>
      <c r="O50" s="22" t="n"/>
      <c r="P50" s="34" t="inlineStr"/>
      <c r="Q50" s="23" t="n"/>
      <c r="R50" s="23" t="n"/>
      <c r="S50" s="23" t="n"/>
      <c r="T50" s="22" t="n"/>
      <c r="U50" s="22" t="n"/>
      <c r="V50" s="22" t="n"/>
      <c r="W50" s="20" t="n"/>
      <c r="X50" s="22" t="n"/>
    </row>
    <row r="51">
      <c r="A51" s="29" t="n"/>
      <c r="B51" s="22" t="n"/>
      <c r="C51" s="22" t="n"/>
      <c r="D51" s="29">
        <f>IFERROR(VLOOKUP(C51,'Threat Actor Profiles'!A:B,2,FALSE),"Unknown")</f>
        <v/>
      </c>
      <c r="E51" s="20" t="n"/>
      <c r="F51" s="20" t="n"/>
      <c r="G51" s="22" t="n"/>
      <c r="H51" s="22" t="n"/>
      <c r="I51" s="22" t="n"/>
      <c r="J51" s="22" t="n"/>
      <c r="K51" s="22" t="n"/>
      <c r="L51" s="22" t="n"/>
      <c r="M51" s="22" t="n"/>
      <c r="N51" s="22" t="n"/>
      <c r="O51" s="22" t="n"/>
      <c r="P51" s="34" t="inlineStr"/>
      <c r="Q51" s="23" t="n"/>
      <c r="R51" s="23" t="n"/>
      <c r="S51" s="23" t="n"/>
      <c r="T51" s="22" t="n"/>
      <c r="U51" s="22" t="n"/>
      <c r="V51" s="22" t="n"/>
      <c r="W51" s="20" t="n"/>
      <c r="X51" s="22" t="n"/>
    </row>
    <row r="52">
      <c r="A52" s="29" t="n"/>
      <c r="B52" s="22" t="n"/>
      <c r="C52" s="22" t="n"/>
      <c r="D52" s="29">
        <f>IFERROR(VLOOKUP(C52,'Threat Actor Profiles'!A:B,2,FALSE),"Unknown")</f>
        <v/>
      </c>
      <c r="E52" s="20" t="n"/>
      <c r="F52" s="20" t="n"/>
      <c r="G52" s="22" t="n"/>
      <c r="H52" s="22" t="n"/>
      <c r="I52" s="22" t="n"/>
      <c r="J52" s="22" t="n"/>
      <c r="K52" s="22" t="n"/>
      <c r="L52" s="22" t="n"/>
      <c r="M52" s="22" t="n"/>
      <c r="N52" s="22" t="n"/>
      <c r="O52" s="22" t="n"/>
      <c r="P52" s="34" t="inlineStr"/>
      <c r="Q52" s="23" t="n"/>
      <c r="R52" s="23" t="n"/>
      <c r="S52" s="23" t="n"/>
      <c r="T52" s="22" t="n"/>
      <c r="U52" s="22" t="n"/>
      <c r="V52" s="22" t="n"/>
      <c r="W52" s="20" t="n"/>
      <c r="X52" s="22" t="n"/>
    </row>
    <row r="53">
      <c r="A53" s="29" t="n"/>
      <c r="B53" s="22" t="n"/>
      <c r="C53" s="22" t="n"/>
      <c r="D53" s="29">
        <f>IFERROR(VLOOKUP(C53,'Threat Actor Profiles'!A:B,2,FALSE),"Unknown")</f>
        <v/>
      </c>
      <c r="E53" s="20" t="n"/>
      <c r="F53" s="20" t="n"/>
      <c r="G53" s="22" t="n"/>
      <c r="H53" s="22" t="n"/>
      <c r="I53" s="22" t="n"/>
      <c r="J53" s="22" t="n"/>
      <c r="K53" s="22" t="n"/>
      <c r="L53" s="22" t="n"/>
      <c r="M53" s="22" t="n"/>
      <c r="N53" s="22" t="n"/>
      <c r="O53" s="22" t="n"/>
      <c r="P53" s="34" t="inlineStr"/>
      <c r="Q53" s="23" t="n"/>
      <c r="R53" s="23" t="n"/>
      <c r="S53" s="23" t="n"/>
      <c r="T53" s="22" t="n"/>
      <c r="U53" s="22" t="n"/>
      <c r="V53" s="22" t="n"/>
      <c r="W53" s="20" t="n"/>
      <c r="X53" s="22" t="n"/>
    </row>
    <row r="54">
      <c r="A54" s="29" t="n"/>
      <c r="B54" s="22" t="n"/>
      <c r="C54" s="22" t="n"/>
      <c r="D54" s="29">
        <f>IFERROR(VLOOKUP(C54,'Threat Actor Profiles'!A:B,2,FALSE),"Unknown")</f>
        <v/>
      </c>
      <c r="E54" s="20" t="n"/>
      <c r="F54" s="20" t="n"/>
      <c r="G54" s="22" t="n"/>
      <c r="H54" s="22" t="n"/>
      <c r="I54" s="22" t="n"/>
      <c r="J54" s="22" t="n"/>
      <c r="K54" s="22" t="n"/>
      <c r="L54" s="22" t="n"/>
      <c r="M54" s="22" t="n"/>
      <c r="N54" s="22" t="n"/>
      <c r="O54" s="22" t="n"/>
      <c r="P54" s="34" t="inlineStr"/>
      <c r="Q54" s="23" t="n"/>
      <c r="R54" s="23" t="n"/>
      <c r="S54" s="23" t="n"/>
      <c r="T54" s="22" t="n"/>
      <c r="U54" s="22" t="n"/>
      <c r="V54" s="22" t="n"/>
      <c r="W54" s="20" t="n"/>
      <c r="X54" s="22" t="n"/>
    </row>
    <row r="55">
      <c r="A55" s="29" t="n"/>
      <c r="B55" s="22" t="n"/>
      <c r="C55" s="22" t="n"/>
      <c r="D55" s="29">
        <f>IFERROR(VLOOKUP(C55,'Threat Actor Profiles'!A:B,2,FALSE),"Unknown")</f>
        <v/>
      </c>
      <c r="E55" s="20" t="n"/>
      <c r="F55" s="20" t="n"/>
      <c r="G55" s="22" t="n"/>
      <c r="H55" s="22" t="n"/>
      <c r="I55" s="22" t="n"/>
      <c r="J55" s="22" t="n"/>
      <c r="K55" s="22" t="n"/>
      <c r="L55" s="22" t="n"/>
      <c r="M55" s="22" t="n"/>
      <c r="N55" s="22" t="n"/>
      <c r="O55" s="22" t="n"/>
      <c r="P55" s="34" t="inlineStr"/>
      <c r="Q55" s="23" t="n"/>
      <c r="R55" s="23" t="n"/>
      <c r="S55" s="23" t="n"/>
      <c r="T55" s="22" t="n"/>
      <c r="U55" s="22" t="n"/>
      <c r="V55" s="22" t="n"/>
      <c r="W55" s="20" t="n"/>
      <c r="X55" s="22" t="n"/>
    </row>
  </sheetData>
  <mergeCells count="2">
    <mergeCell ref="A2:X2"/>
    <mergeCell ref="A1:X1"/>
  </mergeCells>
  <conditionalFormatting sqref="K6:K55">
    <cfRule type="cellIs" priority="1" operator="equal" dxfId="0">
      <formula>"Confirmed"</formula>
    </cfRule>
  </conditionalFormatting>
  <conditionalFormatting sqref="U6:U55">
    <cfRule type="cellIs" priority="2" operator="equal" dxfId="4">
      <formula>"Critical"</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5" t="inlineStr">
        <is>
          <t>EVIDENCE REGISTER</t>
        </is>
      </c>
      <c r="B1" s="6" t="n"/>
      <c r="C1" s="6" t="n"/>
      <c r="D1" s="6" t="n"/>
      <c r="E1" s="6" t="n"/>
      <c r="F1" s="6" t="n"/>
      <c r="G1" s="6" t="n"/>
      <c r="H1" s="6" t="n"/>
    </row>
    <row r="2">
      <c r="A2" s="36" t="inlineStr">
        <is>
          <t>ISMS-IMP-A.5.7.2 | ISO/IEC 27001:2022 - Control A.5.7: Threat Intelligence</t>
        </is>
      </c>
      <c r="B2" s="6" t="n"/>
      <c r="C2" s="6" t="n"/>
      <c r="D2" s="6" t="n"/>
      <c r="E2" s="6" t="n"/>
      <c r="F2" s="6" t="n"/>
      <c r="G2" s="6" t="n"/>
      <c r="H2" s="6" t="n"/>
    </row>
    <row r="4">
      <c r="A4" s="37" t="inlineStr">
        <is>
          <t>Evidence ID</t>
        </is>
      </c>
      <c r="B4" s="37" t="inlineStr">
        <is>
          <t>Assessment Area</t>
        </is>
      </c>
      <c r="C4" s="37" t="inlineStr">
        <is>
          <t>Evidence Type</t>
        </is>
      </c>
      <c r="D4" s="37" t="inlineStr">
        <is>
          <t>Description</t>
        </is>
      </c>
      <c r="E4" s="37" t="inlineStr">
        <is>
          <t>Location / Path</t>
        </is>
      </c>
      <c r="F4" s="37" t="inlineStr">
        <is>
          <t>Date Collected</t>
        </is>
      </c>
      <c r="G4" s="37" t="inlineStr">
        <is>
          <t>Collected By</t>
        </is>
      </c>
      <c r="H4" s="37" t="inlineStr">
        <is>
          <t>Verification Status</t>
        </is>
      </c>
    </row>
    <row r="5">
      <c r="A5" s="38" t="inlineStr">
        <is>
          <t>EV-001</t>
        </is>
      </c>
      <c r="B5" s="39" t="inlineStr">
        <is>
          <t>Intelligence Collection Sources</t>
        </is>
      </c>
      <c r="C5" s="39" t="inlineStr">
        <is>
          <t>Screenshot</t>
        </is>
      </c>
      <c r="D5" s="39" t="inlineStr">
        <is>
          <t>MISP Community Feed configuration showing active subscription and API integration</t>
        </is>
      </c>
      <c r="E5" s="39" t="inlineStr">
        <is>
          <t>/evidence/a57/misp-feed-config-2026-01-15.png</t>
        </is>
      </c>
      <c r="F5" s="39" t="inlineStr">
        <is>
          <t>07.03.2026</t>
        </is>
      </c>
      <c r="G5" s="39" t="inlineStr">
        <is>
          <t>Security Manager</t>
        </is>
      </c>
      <c r="H5" s="39" t="inlineStr">
        <is>
          <t>✅ Verified</t>
        </is>
      </c>
    </row>
    <row r="6">
      <c r="A6" s="40" t="n"/>
      <c r="B6" s="41" t="n"/>
      <c r="C6" s="41" t="n"/>
      <c r="D6" s="41" t="n"/>
      <c r="E6" s="41" t="n"/>
      <c r="F6" s="41" t="n"/>
      <c r="G6" s="41" t="n"/>
      <c r="H6" s="41" t="n"/>
    </row>
    <row r="7">
      <c r="A7" s="40" t="n"/>
      <c r="B7" s="41" t="n"/>
      <c r="C7" s="41" t="n"/>
      <c r="D7" s="41" t="n"/>
      <c r="E7" s="41" t="n"/>
      <c r="F7" s="41" t="n"/>
      <c r="G7" s="41" t="n"/>
      <c r="H7" s="41" t="n"/>
    </row>
    <row r="8">
      <c r="A8" s="40" t="n"/>
      <c r="B8" s="41" t="n"/>
      <c r="C8" s="41" t="n"/>
      <c r="D8" s="41" t="n"/>
      <c r="E8" s="41" t="n"/>
      <c r="F8" s="41" t="n"/>
      <c r="G8" s="41" t="n"/>
      <c r="H8" s="41" t="n"/>
    </row>
    <row r="9">
      <c r="A9" s="40" t="n"/>
      <c r="B9" s="41" t="n"/>
      <c r="C9" s="41" t="n"/>
      <c r="D9" s="41" t="n"/>
      <c r="E9" s="41" t="n"/>
      <c r="F9" s="41" t="n"/>
      <c r="G9" s="41" t="n"/>
      <c r="H9" s="41" t="n"/>
    </row>
    <row r="10">
      <c r="A10" s="40" t="n"/>
      <c r="B10" s="41" t="n"/>
      <c r="C10" s="41" t="n"/>
      <c r="D10" s="41" t="n"/>
      <c r="E10" s="41" t="n"/>
      <c r="F10" s="41" t="n"/>
      <c r="G10" s="41" t="n"/>
      <c r="H10" s="41" t="n"/>
    </row>
    <row r="11">
      <c r="A11" s="40" t="n"/>
      <c r="B11" s="41" t="n"/>
      <c r="C11" s="41" t="n"/>
      <c r="D11" s="41" t="n"/>
      <c r="E11" s="41" t="n"/>
      <c r="F11" s="41" t="n"/>
      <c r="G11" s="41" t="n"/>
      <c r="H11" s="41" t="n"/>
    </row>
    <row r="12">
      <c r="A12" s="40" t="n"/>
      <c r="B12" s="41" t="n"/>
      <c r="C12" s="41" t="n"/>
      <c r="D12" s="41" t="n"/>
      <c r="E12" s="41" t="n"/>
      <c r="F12" s="41" t="n"/>
      <c r="G12" s="41" t="n"/>
      <c r="H12" s="41" t="n"/>
    </row>
    <row r="13">
      <c r="A13" s="40" t="n"/>
      <c r="B13" s="41" t="n"/>
      <c r="C13" s="41" t="n"/>
      <c r="D13" s="41" t="n"/>
      <c r="E13" s="41" t="n"/>
      <c r="F13" s="41" t="n"/>
      <c r="G13" s="41" t="n"/>
      <c r="H13" s="41" t="n"/>
    </row>
    <row r="14">
      <c r="A14" s="40" t="n"/>
      <c r="B14" s="41" t="n"/>
      <c r="C14" s="41" t="n"/>
      <c r="D14" s="41" t="n"/>
      <c r="E14" s="41" t="n"/>
      <c r="F14" s="41" t="n"/>
      <c r="G14" s="41" t="n"/>
      <c r="H14" s="41" t="n"/>
    </row>
    <row r="15">
      <c r="A15" s="40" t="n"/>
      <c r="B15" s="41" t="n"/>
      <c r="C15" s="41" t="n"/>
      <c r="D15" s="41" t="n"/>
      <c r="E15" s="41" t="n"/>
      <c r="F15" s="41" t="n"/>
      <c r="G15" s="41" t="n"/>
      <c r="H15" s="41" t="n"/>
    </row>
    <row r="16">
      <c r="A16" s="40" t="n"/>
      <c r="B16" s="41" t="n"/>
      <c r="C16" s="41" t="n"/>
      <c r="D16" s="41" t="n"/>
      <c r="E16" s="41" t="n"/>
      <c r="F16" s="41" t="n"/>
      <c r="G16" s="41" t="n"/>
      <c r="H16" s="41" t="n"/>
    </row>
    <row r="17">
      <c r="A17" s="40" t="n"/>
      <c r="B17" s="41" t="n"/>
      <c r="C17" s="41" t="n"/>
      <c r="D17" s="41" t="n"/>
      <c r="E17" s="41" t="n"/>
      <c r="F17" s="41" t="n"/>
      <c r="G17" s="41" t="n"/>
      <c r="H17" s="41" t="n"/>
    </row>
    <row r="18">
      <c r="A18" s="40" t="n"/>
      <c r="B18" s="41" t="n"/>
      <c r="C18" s="41" t="n"/>
      <c r="D18" s="41" t="n"/>
      <c r="E18" s="41" t="n"/>
      <c r="F18" s="41" t="n"/>
      <c r="G18" s="41" t="n"/>
      <c r="H18" s="41" t="n"/>
    </row>
    <row r="19">
      <c r="A19" s="40" t="n"/>
      <c r="B19" s="41" t="n"/>
      <c r="C19" s="41" t="n"/>
      <c r="D19" s="41" t="n"/>
      <c r="E19" s="41" t="n"/>
      <c r="F19" s="41" t="n"/>
      <c r="G19" s="41" t="n"/>
      <c r="H19" s="41" t="n"/>
    </row>
    <row r="20">
      <c r="A20" s="40" t="n"/>
      <c r="B20" s="41" t="n"/>
      <c r="C20" s="41" t="n"/>
      <c r="D20" s="41" t="n"/>
      <c r="E20" s="41" t="n"/>
      <c r="F20" s="41" t="n"/>
      <c r="G20" s="41" t="n"/>
      <c r="H20" s="41" t="n"/>
    </row>
    <row r="21">
      <c r="A21" s="40" t="n"/>
      <c r="B21" s="41" t="n"/>
      <c r="C21" s="41" t="n"/>
      <c r="D21" s="41" t="n"/>
      <c r="E21" s="41" t="n"/>
      <c r="F21" s="41" t="n"/>
      <c r="G21" s="41" t="n"/>
      <c r="H21" s="41" t="n"/>
    </row>
    <row r="22">
      <c r="A22" s="40" t="n"/>
      <c r="B22" s="41" t="n"/>
      <c r="C22" s="41" t="n"/>
      <c r="D22" s="41" t="n"/>
      <c r="E22" s="41" t="n"/>
      <c r="F22" s="41" t="n"/>
      <c r="G22" s="41" t="n"/>
      <c r="H22" s="41" t="n"/>
    </row>
    <row r="23">
      <c r="A23" s="40" t="n"/>
      <c r="B23" s="41" t="n"/>
      <c r="C23" s="41" t="n"/>
      <c r="D23" s="41" t="n"/>
      <c r="E23" s="41" t="n"/>
      <c r="F23" s="41" t="n"/>
      <c r="G23" s="41" t="n"/>
      <c r="H23" s="41" t="n"/>
    </row>
    <row r="24">
      <c r="A24" s="40" t="n"/>
      <c r="B24" s="41" t="n"/>
      <c r="C24" s="41" t="n"/>
      <c r="D24" s="41" t="n"/>
      <c r="E24" s="41" t="n"/>
      <c r="F24" s="41" t="n"/>
      <c r="G24" s="41" t="n"/>
      <c r="H24" s="41" t="n"/>
    </row>
    <row r="25">
      <c r="A25" s="40" t="n"/>
      <c r="B25" s="41" t="n"/>
      <c r="C25" s="41" t="n"/>
      <c r="D25" s="41" t="n"/>
      <c r="E25" s="41" t="n"/>
      <c r="F25" s="41" t="n"/>
      <c r="G25" s="41" t="n"/>
      <c r="H25" s="41" t="n"/>
    </row>
    <row r="26">
      <c r="A26" s="40" t="n"/>
      <c r="B26" s="41" t="n"/>
      <c r="C26" s="41" t="n"/>
      <c r="D26" s="41" t="n"/>
      <c r="E26" s="41" t="n"/>
      <c r="F26" s="41" t="n"/>
      <c r="G26" s="41" t="n"/>
      <c r="H26" s="41" t="n"/>
    </row>
    <row r="27">
      <c r="A27" s="40" t="n"/>
      <c r="B27" s="41" t="n"/>
      <c r="C27" s="41" t="n"/>
      <c r="D27" s="41" t="n"/>
      <c r="E27" s="41" t="n"/>
      <c r="F27" s="41" t="n"/>
      <c r="G27" s="41" t="n"/>
      <c r="H27" s="41" t="n"/>
    </row>
    <row r="28">
      <c r="A28" s="40" t="n"/>
      <c r="B28" s="41" t="n"/>
      <c r="C28" s="41" t="n"/>
      <c r="D28" s="41" t="n"/>
      <c r="E28" s="41" t="n"/>
      <c r="F28" s="41" t="n"/>
      <c r="G28" s="41" t="n"/>
      <c r="H28" s="41" t="n"/>
    </row>
    <row r="29">
      <c r="A29" s="40" t="n"/>
      <c r="B29" s="41" t="n"/>
      <c r="C29" s="41" t="n"/>
      <c r="D29" s="41" t="n"/>
      <c r="E29" s="41" t="n"/>
      <c r="F29" s="41" t="n"/>
      <c r="G29" s="41" t="n"/>
      <c r="H29" s="41" t="n"/>
    </row>
    <row r="30">
      <c r="A30" s="40" t="n"/>
      <c r="B30" s="41" t="n"/>
      <c r="C30" s="41" t="n"/>
      <c r="D30" s="41" t="n"/>
      <c r="E30" s="41" t="n"/>
      <c r="F30" s="41" t="n"/>
      <c r="G30" s="41" t="n"/>
      <c r="H30" s="41" t="n"/>
    </row>
    <row r="31">
      <c r="A31" s="40" t="n"/>
      <c r="B31" s="41" t="n"/>
      <c r="C31" s="41" t="n"/>
      <c r="D31" s="41" t="n"/>
      <c r="E31" s="41" t="n"/>
      <c r="F31" s="41" t="n"/>
      <c r="G31" s="41" t="n"/>
      <c r="H31" s="41" t="n"/>
    </row>
    <row r="32">
      <c r="A32" s="40" t="n"/>
      <c r="B32" s="41" t="n"/>
      <c r="C32" s="41" t="n"/>
      <c r="D32" s="41" t="n"/>
      <c r="E32" s="41" t="n"/>
      <c r="F32" s="41" t="n"/>
      <c r="G32" s="41" t="n"/>
      <c r="H32" s="41" t="n"/>
    </row>
    <row r="33">
      <c r="A33" s="40" t="n"/>
      <c r="B33" s="41" t="n"/>
      <c r="C33" s="41" t="n"/>
      <c r="D33" s="41" t="n"/>
      <c r="E33" s="41" t="n"/>
      <c r="F33" s="41" t="n"/>
      <c r="G33" s="41" t="n"/>
      <c r="H33" s="41" t="n"/>
    </row>
    <row r="34">
      <c r="A34" s="40" t="n"/>
      <c r="B34" s="41" t="n"/>
      <c r="C34" s="41" t="n"/>
      <c r="D34" s="41" t="n"/>
      <c r="E34" s="41" t="n"/>
      <c r="F34" s="41" t="n"/>
      <c r="G34" s="41" t="n"/>
      <c r="H34" s="41" t="n"/>
    </row>
    <row r="35">
      <c r="A35" s="40" t="n"/>
      <c r="B35" s="41" t="n"/>
      <c r="C35" s="41" t="n"/>
      <c r="D35" s="41" t="n"/>
      <c r="E35" s="41" t="n"/>
      <c r="F35" s="41" t="n"/>
      <c r="G35" s="41" t="n"/>
      <c r="H35" s="41" t="n"/>
    </row>
    <row r="36">
      <c r="A36" s="40" t="n"/>
      <c r="B36" s="41" t="n"/>
      <c r="C36" s="41" t="n"/>
      <c r="D36" s="41" t="n"/>
      <c r="E36" s="41" t="n"/>
      <c r="F36" s="41" t="n"/>
      <c r="G36" s="41" t="n"/>
      <c r="H36" s="41" t="n"/>
    </row>
    <row r="37">
      <c r="A37" s="40" t="n"/>
      <c r="B37" s="41" t="n"/>
      <c r="C37" s="41" t="n"/>
      <c r="D37" s="41" t="n"/>
      <c r="E37" s="41" t="n"/>
      <c r="F37" s="41" t="n"/>
      <c r="G37" s="41" t="n"/>
      <c r="H37" s="41" t="n"/>
    </row>
    <row r="38">
      <c r="A38" s="40" t="n"/>
      <c r="B38" s="41" t="n"/>
      <c r="C38" s="41" t="n"/>
      <c r="D38" s="41" t="n"/>
      <c r="E38" s="41" t="n"/>
      <c r="F38" s="41" t="n"/>
      <c r="G38" s="41" t="n"/>
      <c r="H38" s="41" t="n"/>
    </row>
    <row r="39">
      <c r="A39" s="40" t="n"/>
      <c r="B39" s="41" t="n"/>
      <c r="C39" s="41" t="n"/>
      <c r="D39" s="41" t="n"/>
      <c r="E39" s="41" t="n"/>
      <c r="F39" s="41" t="n"/>
      <c r="G39" s="41" t="n"/>
      <c r="H39" s="41" t="n"/>
    </row>
    <row r="40">
      <c r="A40" s="40" t="n"/>
      <c r="B40" s="41" t="n"/>
      <c r="C40" s="41" t="n"/>
      <c r="D40" s="41" t="n"/>
      <c r="E40" s="41" t="n"/>
      <c r="F40" s="41" t="n"/>
      <c r="G40" s="41" t="n"/>
      <c r="H40" s="41" t="n"/>
    </row>
    <row r="41">
      <c r="A41" s="40" t="n"/>
      <c r="B41" s="41" t="n"/>
      <c r="C41" s="41" t="n"/>
      <c r="D41" s="41" t="n"/>
      <c r="E41" s="41" t="n"/>
      <c r="F41" s="41" t="n"/>
      <c r="G41" s="41" t="n"/>
      <c r="H41" s="41" t="n"/>
    </row>
    <row r="42">
      <c r="A42" s="40" t="n"/>
      <c r="B42" s="41" t="n"/>
      <c r="C42" s="41" t="n"/>
      <c r="D42" s="41" t="n"/>
      <c r="E42" s="41" t="n"/>
      <c r="F42" s="41" t="n"/>
      <c r="G42" s="41" t="n"/>
      <c r="H42" s="41" t="n"/>
    </row>
    <row r="43">
      <c r="A43" s="40" t="n"/>
      <c r="B43" s="41" t="n"/>
      <c r="C43" s="41" t="n"/>
      <c r="D43" s="41" t="n"/>
      <c r="E43" s="41" t="n"/>
      <c r="F43" s="41" t="n"/>
      <c r="G43" s="41" t="n"/>
      <c r="H43" s="41" t="n"/>
    </row>
    <row r="44">
      <c r="A44" s="40" t="n"/>
      <c r="B44" s="41" t="n"/>
      <c r="C44" s="41" t="n"/>
      <c r="D44" s="41" t="n"/>
      <c r="E44" s="41" t="n"/>
      <c r="F44" s="41" t="n"/>
      <c r="G44" s="41" t="n"/>
      <c r="H44" s="41" t="n"/>
    </row>
    <row r="45">
      <c r="A45" s="40" t="n"/>
      <c r="B45" s="41" t="n"/>
      <c r="C45" s="41" t="n"/>
      <c r="D45" s="41" t="n"/>
      <c r="E45" s="41" t="n"/>
      <c r="F45" s="41" t="n"/>
      <c r="G45" s="41" t="n"/>
      <c r="H45" s="41" t="n"/>
    </row>
    <row r="46">
      <c r="A46" s="40" t="n"/>
      <c r="B46" s="41" t="n"/>
      <c r="C46" s="41" t="n"/>
      <c r="D46" s="41" t="n"/>
      <c r="E46" s="41" t="n"/>
      <c r="F46" s="41" t="n"/>
      <c r="G46" s="41" t="n"/>
      <c r="H46" s="41" t="n"/>
    </row>
    <row r="47">
      <c r="A47" s="40" t="n"/>
      <c r="B47" s="41" t="n"/>
      <c r="C47" s="41" t="n"/>
      <c r="D47" s="41" t="n"/>
      <c r="E47" s="41" t="n"/>
      <c r="F47" s="41" t="n"/>
      <c r="G47" s="41" t="n"/>
      <c r="H47" s="41" t="n"/>
    </row>
    <row r="48">
      <c r="A48" s="40" t="n"/>
      <c r="B48" s="41" t="n"/>
      <c r="C48" s="41" t="n"/>
      <c r="D48" s="41" t="n"/>
      <c r="E48" s="41" t="n"/>
      <c r="F48" s="41" t="n"/>
      <c r="G48" s="41" t="n"/>
      <c r="H48" s="41" t="n"/>
    </row>
    <row r="49">
      <c r="A49" s="40" t="n"/>
      <c r="B49" s="41" t="n"/>
      <c r="C49" s="41" t="n"/>
      <c r="D49" s="41" t="n"/>
      <c r="E49" s="41" t="n"/>
      <c r="F49" s="41" t="n"/>
      <c r="G49" s="41" t="n"/>
      <c r="H49" s="41" t="n"/>
    </row>
    <row r="50">
      <c r="A50" s="40" t="n"/>
      <c r="B50" s="41" t="n"/>
      <c r="C50" s="41" t="n"/>
      <c r="D50" s="41" t="n"/>
      <c r="E50" s="41" t="n"/>
      <c r="F50" s="41" t="n"/>
      <c r="G50" s="41" t="n"/>
      <c r="H50" s="41" t="n"/>
    </row>
    <row r="51">
      <c r="A51" s="40" t="n"/>
      <c r="B51" s="41" t="n"/>
      <c r="C51" s="41" t="n"/>
      <c r="D51" s="41" t="n"/>
      <c r="E51" s="41" t="n"/>
      <c r="F51" s="41" t="n"/>
      <c r="G51" s="41" t="n"/>
      <c r="H51" s="41" t="n"/>
    </row>
    <row r="52">
      <c r="A52" s="40" t="n"/>
      <c r="B52" s="41" t="n"/>
      <c r="C52" s="41" t="n"/>
      <c r="D52" s="41" t="n"/>
      <c r="E52" s="41" t="n"/>
      <c r="F52" s="41" t="n"/>
      <c r="G52" s="41" t="n"/>
      <c r="H52" s="41" t="n"/>
    </row>
    <row r="53">
      <c r="A53" s="40" t="n"/>
      <c r="B53" s="41" t="n"/>
      <c r="C53" s="41" t="n"/>
      <c r="D53" s="41" t="n"/>
      <c r="E53" s="41" t="n"/>
      <c r="F53" s="41" t="n"/>
      <c r="G53" s="41" t="n"/>
      <c r="H53" s="41" t="n"/>
    </row>
    <row r="54">
      <c r="A54" s="40" t="n"/>
      <c r="B54" s="41" t="n"/>
      <c r="C54" s="41" t="n"/>
      <c r="D54" s="41" t="n"/>
      <c r="E54" s="41" t="n"/>
      <c r="F54" s="41" t="n"/>
      <c r="G54" s="41" t="n"/>
      <c r="H54" s="41" t="n"/>
    </row>
    <row r="55">
      <c r="A55" s="40" t="n"/>
      <c r="B55" s="41" t="n"/>
      <c r="C55" s="41" t="n"/>
      <c r="D55" s="41" t="n"/>
      <c r="E55" s="41" t="n"/>
      <c r="F55" s="41" t="n"/>
      <c r="G55" s="41" t="n"/>
      <c r="H55" s="41" t="n"/>
    </row>
    <row r="56">
      <c r="A56" s="40" t="n"/>
      <c r="B56" s="41" t="n"/>
      <c r="C56" s="41" t="n"/>
      <c r="D56" s="41" t="n"/>
      <c r="E56" s="41" t="n"/>
      <c r="F56" s="41" t="n"/>
      <c r="G56" s="41" t="n"/>
      <c r="H56" s="41" t="n"/>
    </row>
    <row r="57">
      <c r="A57" s="40" t="n"/>
      <c r="B57" s="41" t="n"/>
      <c r="C57" s="41" t="n"/>
      <c r="D57" s="41" t="n"/>
      <c r="E57" s="41" t="n"/>
      <c r="F57" s="41" t="n"/>
      <c r="G57" s="41" t="n"/>
      <c r="H57" s="41" t="n"/>
    </row>
    <row r="58">
      <c r="A58" s="40" t="n"/>
      <c r="B58" s="41" t="n"/>
      <c r="C58" s="41" t="n"/>
      <c r="D58" s="41" t="n"/>
      <c r="E58" s="41" t="n"/>
      <c r="F58" s="41" t="n"/>
      <c r="G58" s="41" t="n"/>
      <c r="H58" s="41" t="n"/>
    </row>
    <row r="59">
      <c r="A59" s="40" t="n"/>
      <c r="B59" s="41" t="n"/>
      <c r="C59" s="41" t="n"/>
      <c r="D59" s="41" t="n"/>
      <c r="E59" s="41" t="n"/>
      <c r="F59" s="41" t="n"/>
      <c r="G59" s="41" t="n"/>
      <c r="H59" s="41" t="n"/>
    </row>
    <row r="60">
      <c r="A60" s="40" t="n"/>
      <c r="B60" s="41" t="n"/>
      <c r="C60" s="41" t="n"/>
      <c r="D60" s="41" t="n"/>
      <c r="E60" s="41" t="n"/>
      <c r="F60" s="41" t="n"/>
      <c r="G60" s="41" t="n"/>
      <c r="H60" s="41" t="n"/>
    </row>
    <row r="61">
      <c r="A61" s="40" t="n"/>
      <c r="B61" s="41" t="n"/>
      <c r="C61" s="41" t="n"/>
      <c r="D61" s="41" t="n"/>
      <c r="E61" s="41" t="n"/>
      <c r="F61" s="41" t="n"/>
      <c r="G61" s="41" t="n"/>
      <c r="H61" s="41" t="n"/>
    </row>
    <row r="62">
      <c r="A62" s="40" t="n"/>
      <c r="B62" s="41" t="n"/>
      <c r="C62" s="41" t="n"/>
      <c r="D62" s="41" t="n"/>
      <c r="E62" s="41" t="n"/>
      <c r="F62" s="41" t="n"/>
      <c r="G62" s="41" t="n"/>
      <c r="H62" s="41" t="n"/>
    </row>
    <row r="63">
      <c r="A63" s="40" t="n"/>
      <c r="B63" s="41" t="n"/>
      <c r="C63" s="41" t="n"/>
      <c r="D63" s="41" t="n"/>
      <c r="E63" s="41" t="n"/>
      <c r="F63" s="41" t="n"/>
      <c r="G63" s="41" t="n"/>
      <c r="H63" s="41" t="n"/>
    </row>
    <row r="64">
      <c r="A64" s="40" t="n"/>
      <c r="B64" s="41" t="n"/>
      <c r="C64" s="41" t="n"/>
      <c r="D64" s="41" t="n"/>
      <c r="E64" s="41" t="n"/>
      <c r="F64" s="41" t="n"/>
      <c r="G64" s="41" t="n"/>
      <c r="H64" s="41" t="n"/>
    </row>
    <row r="65">
      <c r="A65" s="40" t="n"/>
      <c r="B65" s="41" t="n"/>
      <c r="C65" s="41" t="n"/>
      <c r="D65" s="41" t="n"/>
      <c r="E65" s="41" t="n"/>
      <c r="F65" s="41" t="n"/>
      <c r="G65" s="41" t="n"/>
      <c r="H65" s="41" t="n"/>
    </row>
    <row r="66">
      <c r="A66" s="40" t="n"/>
      <c r="B66" s="41" t="n"/>
      <c r="C66" s="41" t="n"/>
      <c r="D66" s="41" t="n"/>
      <c r="E66" s="41" t="n"/>
      <c r="F66" s="41" t="n"/>
      <c r="G66" s="41" t="n"/>
      <c r="H66" s="41" t="n"/>
    </row>
    <row r="67">
      <c r="A67" s="40" t="n"/>
      <c r="B67" s="41" t="n"/>
      <c r="C67" s="41" t="n"/>
      <c r="D67" s="41" t="n"/>
      <c r="E67" s="41" t="n"/>
      <c r="F67" s="41" t="n"/>
      <c r="G67" s="41" t="n"/>
      <c r="H67" s="41" t="n"/>
    </row>
    <row r="68">
      <c r="A68" s="40" t="n"/>
      <c r="B68" s="41" t="n"/>
      <c r="C68" s="41" t="n"/>
      <c r="D68" s="41" t="n"/>
      <c r="E68" s="41" t="n"/>
      <c r="F68" s="41" t="n"/>
      <c r="G68" s="41" t="n"/>
      <c r="H68" s="41" t="n"/>
    </row>
    <row r="69">
      <c r="A69" s="40" t="n"/>
      <c r="B69" s="41" t="n"/>
      <c r="C69" s="41" t="n"/>
      <c r="D69" s="41" t="n"/>
      <c r="E69" s="41" t="n"/>
      <c r="F69" s="41" t="n"/>
      <c r="G69" s="41" t="n"/>
      <c r="H69" s="41" t="n"/>
    </row>
    <row r="70">
      <c r="A70" s="40" t="n"/>
      <c r="B70" s="41" t="n"/>
      <c r="C70" s="41" t="n"/>
      <c r="D70" s="41" t="n"/>
      <c r="E70" s="41" t="n"/>
      <c r="F70" s="41" t="n"/>
      <c r="G70" s="41" t="n"/>
      <c r="H70" s="41" t="n"/>
    </row>
    <row r="71">
      <c r="A71" s="40" t="n"/>
      <c r="B71" s="41" t="n"/>
      <c r="C71" s="41" t="n"/>
      <c r="D71" s="41" t="n"/>
      <c r="E71" s="41" t="n"/>
      <c r="F71" s="41" t="n"/>
      <c r="G71" s="41" t="n"/>
      <c r="H71" s="41" t="n"/>
    </row>
    <row r="72">
      <c r="A72" s="40" t="n"/>
      <c r="B72" s="41" t="n"/>
      <c r="C72" s="41" t="n"/>
      <c r="D72" s="41" t="n"/>
      <c r="E72" s="41" t="n"/>
      <c r="F72" s="41" t="n"/>
      <c r="G72" s="41" t="n"/>
      <c r="H72" s="41" t="n"/>
    </row>
    <row r="73">
      <c r="A73" s="40" t="n"/>
      <c r="B73" s="41" t="n"/>
      <c r="C73" s="41" t="n"/>
      <c r="D73" s="41" t="n"/>
      <c r="E73" s="41" t="n"/>
      <c r="F73" s="41" t="n"/>
      <c r="G73" s="41" t="n"/>
      <c r="H73" s="41" t="n"/>
    </row>
    <row r="74">
      <c r="A74" s="40" t="n"/>
      <c r="B74" s="41" t="n"/>
      <c r="C74" s="41" t="n"/>
      <c r="D74" s="41" t="n"/>
      <c r="E74" s="41" t="n"/>
      <c r="F74" s="41" t="n"/>
      <c r="G74" s="41" t="n"/>
      <c r="H74" s="41" t="n"/>
    </row>
    <row r="75">
      <c r="A75" s="40" t="n"/>
      <c r="B75" s="41" t="n"/>
      <c r="C75" s="41" t="n"/>
      <c r="D75" s="41" t="n"/>
      <c r="E75" s="41" t="n"/>
      <c r="F75" s="41" t="n"/>
      <c r="G75" s="41" t="n"/>
      <c r="H75" s="41" t="n"/>
    </row>
    <row r="76">
      <c r="A76" s="40" t="n"/>
      <c r="B76" s="41" t="n"/>
      <c r="C76" s="41" t="n"/>
      <c r="D76" s="41" t="n"/>
      <c r="E76" s="41" t="n"/>
      <c r="F76" s="41" t="n"/>
      <c r="G76" s="41" t="n"/>
      <c r="H76" s="41" t="n"/>
    </row>
    <row r="77">
      <c r="A77" s="40" t="n"/>
      <c r="B77" s="41" t="n"/>
      <c r="C77" s="41" t="n"/>
      <c r="D77" s="41" t="n"/>
      <c r="E77" s="41" t="n"/>
      <c r="F77" s="41" t="n"/>
      <c r="G77" s="41" t="n"/>
      <c r="H77" s="41" t="n"/>
    </row>
    <row r="78">
      <c r="A78" s="40" t="n"/>
      <c r="B78" s="41" t="n"/>
      <c r="C78" s="41" t="n"/>
      <c r="D78" s="41" t="n"/>
      <c r="E78" s="41" t="n"/>
      <c r="F78" s="41" t="n"/>
      <c r="G78" s="41" t="n"/>
      <c r="H78" s="41" t="n"/>
    </row>
    <row r="79">
      <c r="A79" s="40" t="n"/>
      <c r="B79" s="41" t="n"/>
      <c r="C79" s="41" t="n"/>
      <c r="D79" s="41" t="n"/>
      <c r="E79" s="41" t="n"/>
      <c r="F79" s="41" t="n"/>
      <c r="G79" s="41" t="n"/>
      <c r="H79" s="41" t="n"/>
    </row>
    <row r="80">
      <c r="A80" s="40" t="n"/>
      <c r="B80" s="41" t="n"/>
      <c r="C80" s="41" t="n"/>
      <c r="D80" s="41" t="n"/>
      <c r="E80" s="41" t="n"/>
      <c r="F80" s="41" t="n"/>
      <c r="G80" s="41" t="n"/>
      <c r="H80" s="41" t="n"/>
    </row>
    <row r="81">
      <c r="A81" s="40" t="n"/>
      <c r="B81" s="41" t="n"/>
      <c r="C81" s="41" t="n"/>
      <c r="D81" s="41" t="n"/>
      <c r="E81" s="41" t="n"/>
      <c r="F81" s="41" t="n"/>
      <c r="G81" s="41" t="n"/>
      <c r="H81" s="41" t="n"/>
    </row>
    <row r="82">
      <c r="A82" s="40" t="n"/>
      <c r="B82" s="41" t="n"/>
      <c r="C82" s="41" t="n"/>
      <c r="D82" s="41" t="n"/>
      <c r="E82" s="41" t="n"/>
      <c r="F82" s="41" t="n"/>
      <c r="G82" s="41" t="n"/>
      <c r="H82" s="41" t="n"/>
    </row>
    <row r="83">
      <c r="A83" s="40" t="n"/>
      <c r="B83" s="41" t="n"/>
      <c r="C83" s="41" t="n"/>
      <c r="D83" s="41" t="n"/>
      <c r="E83" s="41" t="n"/>
      <c r="F83" s="41" t="n"/>
      <c r="G83" s="41" t="n"/>
      <c r="H83" s="41" t="n"/>
    </row>
    <row r="84">
      <c r="A84" s="40" t="n"/>
      <c r="B84" s="41" t="n"/>
      <c r="C84" s="41" t="n"/>
      <c r="D84" s="41" t="n"/>
      <c r="E84" s="41" t="n"/>
      <c r="F84" s="41" t="n"/>
      <c r="G84" s="41" t="n"/>
      <c r="H84" s="41" t="n"/>
    </row>
    <row r="85">
      <c r="A85" s="40" t="n"/>
      <c r="B85" s="41" t="n"/>
      <c r="C85" s="41" t="n"/>
      <c r="D85" s="41" t="n"/>
      <c r="E85" s="41" t="n"/>
      <c r="F85" s="41" t="n"/>
      <c r="G85" s="41" t="n"/>
      <c r="H85" s="41" t="n"/>
    </row>
    <row r="86">
      <c r="A86" s="40" t="n"/>
      <c r="B86" s="41" t="n"/>
      <c r="C86" s="41" t="n"/>
      <c r="D86" s="41" t="n"/>
      <c r="E86" s="41" t="n"/>
      <c r="F86" s="41" t="n"/>
      <c r="G86" s="41" t="n"/>
      <c r="H86" s="41" t="n"/>
    </row>
    <row r="87">
      <c r="A87" s="40" t="n"/>
      <c r="B87" s="41" t="n"/>
      <c r="C87" s="41" t="n"/>
      <c r="D87" s="41" t="n"/>
      <c r="E87" s="41" t="n"/>
      <c r="F87" s="41" t="n"/>
      <c r="G87" s="41" t="n"/>
      <c r="H87" s="41" t="n"/>
    </row>
    <row r="88">
      <c r="A88" s="40" t="n"/>
      <c r="B88" s="41" t="n"/>
      <c r="C88" s="41" t="n"/>
      <c r="D88" s="41" t="n"/>
      <c r="E88" s="41" t="n"/>
      <c r="F88" s="41" t="n"/>
      <c r="G88" s="41" t="n"/>
      <c r="H88" s="41" t="n"/>
    </row>
    <row r="89">
      <c r="A89" s="40" t="n"/>
      <c r="B89" s="41" t="n"/>
      <c r="C89" s="41" t="n"/>
      <c r="D89" s="41" t="n"/>
      <c r="E89" s="41" t="n"/>
      <c r="F89" s="41" t="n"/>
      <c r="G89" s="41" t="n"/>
      <c r="H89" s="41" t="n"/>
    </row>
    <row r="90">
      <c r="A90" s="40" t="n"/>
      <c r="B90" s="41" t="n"/>
      <c r="C90" s="41" t="n"/>
      <c r="D90" s="41" t="n"/>
      <c r="E90" s="41" t="n"/>
      <c r="F90" s="41" t="n"/>
      <c r="G90" s="41" t="n"/>
      <c r="H90" s="41" t="n"/>
    </row>
    <row r="91">
      <c r="A91" s="40" t="n"/>
      <c r="B91" s="41" t="n"/>
      <c r="C91" s="41" t="n"/>
      <c r="D91" s="41" t="n"/>
      <c r="E91" s="41" t="n"/>
      <c r="F91" s="41" t="n"/>
      <c r="G91" s="41" t="n"/>
      <c r="H91" s="41" t="n"/>
    </row>
    <row r="92">
      <c r="A92" s="40" t="n"/>
      <c r="B92" s="41" t="n"/>
      <c r="C92" s="41" t="n"/>
      <c r="D92" s="41" t="n"/>
      <c r="E92" s="41" t="n"/>
      <c r="F92" s="41" t="n"/>
      <c r="G92" s="41" t="n"/>
      <c r="H92" s="41" t="n"/>
    </row>
    <row r="93">
      <c r="A93" s="40" t="n"/>
      <c r="B93" s="41" t="n"/>
      <c r="C93" s="41" t="n"/>
      <c r="D93" s="41" t="n"/>
      <c r="E93" s="41" t="n"/>
      <c r="F93" s="41" t="n"/>
      <c r="G93" s="41" t="n"/>
      <c r="H93" s="41" t="n"/>
    </row>
    <row r="94">
      <c r="A94" s="40" t="n"/>
      <c r="B94" s="41" t="n"/>
      <c r="C94" s="41" t="n"/>
      <c r="D94" s="41" t="n"/>
      <c r="E94" s="41" t="n"/>
      <c r="F94" s="41" t="n"/>
      <c r="G94" s="41" t="n"/>
      <c r="H94" s="41" t="n"/>
    </row>
    <row r="95">
      <c r="A95" s="40" t="n"/>
      <c r="B95" s="41" t="n"/>
      <c r="C95" s="41" t="n"/>
      <c r="D95" s="41" t="n"/>
      <c r="E95" s="41" t="n"/>
      <c r="F95" s="41" t="n"/>
      <c r="G95" s="41" t="n"/>
      <c r="H95" s="41" t="n"/>
    </row>
    <row r="96">
      <c r="A96" s="40" t="n"/>
      <c r="B96" s="41" t="n"/>
      <c r="C96" s="41" t="n"/>
      <c r="D96" s="41" t="n"/>
      <c r="E96" s="41" t="n"/>
      <c r="F96" s="41" t="n"/>
      <c r="G96" s="41" t="n"/>
      <c r="H96" s="41" t="n"/>
    </row>
    <row r="97">
      <c r="A97" s="40" t="n"/>
      <c r="B97" s="41" t="n"/>
      <c r="C97" s="41" t="n"/>
      <c r="D97" s="41" t="n"/>
      <c r="E97" s="41" t="n"/>
      <c r="F97" s="41" t="n"/>
      <c r="G97" s="41" t="n"/>
      <c r="H97" s="41" t="n"/>
    </row>
    <row r="98">
      <c r="A98" s="40" t="n"/>
      <c r="B98" s="41" t="n"/>
      <c r="C98" s="41" t="n"/>
      <c r="D98" s="41" t="n"/>
      <c r="E98" s="41" t="n"/>
      <c r="F98" s="41" t="n"/>
      <c r="G98" s="41" t="n"/>
      <c r="H98" s="41" t="n"/>
    </row>
    <row r="99">
      <c r="A99" s="40" t="n"/>
      <c r="B99" s="41" t="n"/>
      <c r="C99" s="41" t="n"/>
      <c r="D99" s="41" t="n"/>
      <c r="E99" s="41" t="n"/>
      <c r="F99" s="41" t="n"/>
      <c r="G99" s="41" t="n"/>
      <c r="H99" s="41" t="n"/>
    </row>
    <row r="100">
      <c r="A100" s="40" t="n"/>
      <c r="B100" s="41" t="n"/>
      <c r="C100" s="41" t="n"/>
      <c r="D100" s="41" t="n"/>
      <c r="E100" s="41" t="n"/>
      <c r="F100" s="41" t="n"/>
      <c r="G100" s="41" t="n"/>
      <c r="H100" s="41" t="n"/>
    </row>
    <row r="101">
      <c r="A101" s="40" t="n"/>
      <c r="B101" s="41" t="n"/>
      <c r="C101" s="41" t="n"/>
      <c r="D101" s="41" t="n"/>
      <c r="E101" s="41" t="n"/>
      <c r="F101" s="41" t="n"/>
      <c r="G101" s="41" t="n"/>
      <c r="H101" s="41" t="n"/>
    </row>
    <row r="102">
      <c r="A102" s="40" t="n"/>
      <c r="B102" s="41" t="n"/>
      <c r="C102" s="41" t="n"/>
      <c r="D102" s="41" t="n"/>
      <c r="E102" s="41" t="n"/>
      <c r="F102" s="41" t="n"/>
      <c r="G102" s="41" t="n"/>
      <c r="H102" s="41" t="n"/>
    </row>
    <row r="103">
      <c r="A103" s="40" t="n"/>
      <c r="B103" s="41" t="n"/>
      <c r="C103" s="41" t="n"/>
      <c r="D103" s="41" t="n"/>
      <c r="E103" s="41" t="n"/>
      <c r="F103" s="41" t="n"/>
      <c r="G103" s="41" t="n"/>
      <c r="H103" s="41" t="n"/>
    </row>
    <row r="104">
      <c r="A104" s="40" t="n"/>
      <c r="B104" s="41" t="n"/>
      <c r="C104" s="41" t="n"/>
      <c r="D104" s="41" t="n"/>
      <c r="E104" s="41" t="n"/>
      <c r="F104" s="41" t="n"/>
      <c r="G104" s="41" t="n"/>
      <c r="H104" s="41" t="n"/>
    </row>
    <row r="105">
      <c r="A105" s="40" t="n"/>
      <c r="B105" s="41" t="n"/>
      <c r="C105" s="41" t="n"/>
      <c r="D105" s="41" t="n"/>
      <c r="E105" s="41" t="n"/>
      <c r="F105" s="41" t="n"/>
      <c r="G105" s="41" t="n"/>
      <c r="H105" s="41"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42" t="inlineStr">
        <is>
          <t>ISMS-IMP-A.5.7.2 — INTELLIGENCE COLLECTION &amp; ANALYSIS — SUMMARY DASHBOARD</t>
        </is>
      </c>
      <c r="B1" s="6" t="n"/>
      <c r="C1" s="6" t="n"/>
      <c r="D1" s="6" t="n"/>
      <c r="E1" s="6" t="n"/>
      <c r="F1" s="6" t="n"/>
    </row>
    <row r="2">
      <c r="A2" s="43" t="inlineStr">
        <is>
          <t>ISO/IEC 27001:2022 | Control A.5.7 | Intelligence product status, action tracking, and collection KPIs</t>
        </is>
      </c>
    </row>
    <row r="4">
      <c r="A4" s="44" t="inlineStr">
        <is>
          <t>TABLE 1: STATUS DISTRIBUTION</t>
        </is>
      </c>
      <c r="B4" s="6" t="n"/>
      <c r="C4" s="6" t="n"/>
      <c r="D4" s="6" t="n"/>
      <c r="E4" s="6" t="n"/>
      <c r="F4" s="6" t="n"/>
    </row>
    <row r="5">
      <c r="A5" s="45" t="inlineStr">
        <is>
          <t>Section A: Intelligence Product Status ('Intelligence Production' — Column N, rows 6:55)</t>
        </is>
      </c>
      <c r="B5" s="6" t="n"/>
      <c r="C5" s="6" t="n"/>
      <c r="D5" s="6" t="n"/>
      <c r="E5" s="6" t="n"/>
      <c r="F5" s="6" t="n"/>
    </row>
    <row r="6">
      <c r="A6" s="46" t="inlineStr">
        <is>
          <t>Status</t>
        </is>
      </c>
      <c r="B6" s="46" t="inlineStr">
        <is>
          <t>Count</t>
        </is>
      </c>
      <c r="C6" s="46" t="inlineStr">
        <is>
          <t>% of Total</t>
        </is>
      </c>
    </row>
    <row r="7">
      <c r="A7" s="47" t="inlineStr">
        <is>
          <t>Draft</t>
        </is>
      </c>
      <c r="B7" s="48">
        <f>COUNTIF('Intelligence Production'!N6:N55,"Draft")</f>
        <v/>
      </c>
      <c r="C7" s="48">
        <f>IF($B$11=0,"—",TEXT(B7/$B$11,"0.0%"))</f>
        <v/>
      </c>
    </row>
    <row r="8">
      <c r="A8" s="47" t="inlineStr">
        <is>
          <t>Review</t>
        </is>
      </c>
      <c r="B8" s="48">
        <f>COUNTIF('Intelligence Production'!N6:N55,"Review")</f>
        <v/>
      </c>
      <c r="C8" s="48">
        <f>IF($B$11=0,"—",TEXT(B8/$B$11,"0.0%"))</f>
        <v/>
      </c>
    </row>
    <row r="9">
      <c r="A9" s="47" t="inlineStr">
        <is>
          <t>Published</t>
        </is>
      </c>
      <c r="B9" s="48">
        <f>COUNTIF('Intelligence Production'!N6:N55,"Published")</f>
        <v/>
      </c>
      <c r="C9" s="48">
        <f>IF($B$11=0,"—",TEXT(B9/$B$11,"0.0%"))</f>
        <v/>
      </c>
    </row>
    <row r="10">
      <c r="A10" s="47" t="inlineStr">
        <is>
          <t>Archived</t>
        </is>
      </c>
      <c r="B10" s="48">
        <f>COUNTIF('Intelligence Production'!N6:N55,"Archived")</f>
        <v/>
      </c>
      <c r="C10" s="48">
        <f>IF($B$11=0,"—",TEXT(B10/$B$11,"0.0%"))</f>
        <v/>
      </c>
    </row>
    <row r="11">
      <c r="A11" s="49" t="inlineStr">
        <is>
          <t>TOTAL</t>
        </is>
      </c>
      <c r="B11" s="50">
        <f>SUM(B7:B10)</f>
        <v/>
      </c>
      <c r="C11" s="50" t="inlineStr">
        <is>
          <t>—</t>
        </is>
      </c>
    </row>
    <row r="12">
      <c r="A12" s="45" t="inlineStr">
        <is>
          <t>Section B: Action Items Status ('Action Items' — Column G, rows 6:55)</t>
        </is>
      </c>
      <c r="B12" s="6" t="n"/>
      <c r="C12" s="6" t="n"/>
      <c r="D12" s="6" t="n"/>
      <c r="E12" s="6" t="n"/>
      <c r="F12" s="6" t="n"/>
    </row>
    <row r="13">
      <c r="A13" s="46" t="inlineStr">
        <is>
          <t>Status</t>
        </is>
      </c>
      <c r="B13" s="46" t="inlineStr">
        <is>
          <t>Count</t>
        </is>
      </c>
      <c r="C13" s="46" t="inlineStr">
        <is>
          <t>% of Total</t>
        </is>
      </c>
    </row>
    <row r="14">
      <c r="A14" s="47" t="inlineStr">
        <is>
          <t>Open</t>
        </is>
      </c>
      <c r="B14" s="48">
        <f>COUNTIF('Action Items'!G6:G55,"Open")</f>
        <v/>
      </c>
      <c r="C14" s="48">
        <f>IF($B$19=0,"—",TEXT(B14/$B$19,"0.0%"))</f>
        <v/>
      </c>
    </row>
    <row r="15">
      <c r="A15" s="47" t="inlineStr">
        <is>
          <t>In_Progress</t>
        </is>
      </c>
      <c r="B15" s="48">
        <f>COUNTIF('Action Items'!G6:G55,"In_Progress")</f>
        <v/>
      </c>
      <c r="C15" s="48">
        <f>IF($B$19=0,"—",TEXT(B15/$B$19,"0.0%"))</f>
        <v/>
      </c>
    </row>
    <row r="16">
      <c r="A16" s="47" t="inlineStr">
        <is>
          <t>Blocked</t>
        </is>
      </c>
      <c r="B16" s="48">
        <f>COUNTIF('Action Items'!G6:G55,"Blocked")</f>
        <v/>
      </c>
      <c r="C16" s="48">
        <f>IF($B$19=0,"—",TEXT(B16/$B$19,"0.0%"))</f>
        <v/>
      </c>
    </row>
    <row r="17">
      <c r="A17" s="47" t="inlineStr">
        <is>
          <t>Resolved</t>
        </is>
      </c>
      <c r="B17" s="48">
        <f>COUNTIF('Action Items'!G6:G55,"Resolved")</f>
        <v/>
      </c>
      <c r="C17" s="48">
        <f>IF($B$19=0,"—",TEXT(B17/$B$19,"0.0%"))</f>
        <v/>
      </c>
    </row>
    <row r="18">
      <c r="A18" s="47" t="inlineStr">
        <is>
          <t>Closed</t>
        </is>
      </c>
      <c r="B18" s="48">
        <f>COUNTIF('Action Items'!G6:G55,"Closed")</f>
        <v/>
      </c>
      <c r="C18" s="48">
        <f>IF($B$19=0,"—",TEXT(B18/$B$19,"0.0%"))</f>
        <v/>
      </c>
    </row>
    <row r="19">
      <c r="A19" s="49" t="inlineStr">
        <is>
          <t>TOTAL</t>
        </is>
      </c>
      <c r="B19" s="50">
        <f>SUM(B14:B18)</f>
        <v/>
      </c>
      <c r="C19" s="50" t="inlineStr">
        <is>
          <t>—</t>
        </is>
      </c>
    </row>
    <row r="20">
      <c r="A20" s="51" t="n"/>
      <c r="B20" s="51" t="n"/>
      <c r="C20" s="51" t="n"/>
      <c r="D20" s="51" t="n"/>
      <c r="E20" s="51" t="n"/>
      <c r="F20" s="51" t="n"/>
    </row>
    <row r="21">
      <c r="A21" s="44" t="inlineStr">
        <is>
          <t>TABLE 2: KEY PERFORMANCE INDICATORS</t>
        </is>
      </c>
      <c r="B21" s="6" t="n"/>
      <c r="C21" s="6" t="n"/>
      <c r="D21" s="6" t="n"/>
      <c r="E21" s="6" t="n"/>
      <c r="F21" s="6" t="n"/>
    </row>
    <row r="22">
      <c r="A22" s="46" t="inlineStr">
        <is>
          <t>KPI Metric</t>
        </is>
      </c>
      <c r="B22" s="46" t="inlineStr">
        <is>
          <t>Value</t>
        </is>
      </c>
      <c r="C22" s="46" t="inlineStr">
        <is>
          <t>Notes</t>
        </is>
      </c>
      <c r="D22" s="52" t="n"/>
      <c r="E22" s="52" t="n"/>
      <c r="F22" s="53" t="n"/>
    </row>
    <row r="23">
      <c r="A23" s="54" t="inlineStr">
        <is>
          <t>Total Intelligence Products</t>
        </is>
      </c>
      <c r="B23" s="55">
        <f>COUNTA('Intelligence Production'!B6:B55)</f>
        <v/>
      </c>
      <c r="C23" s="54" t="inlineStr">
        <is>
          <t>All products logged in Intelligence Production (col B = product name)</t>
        </is>
      </c>
      <c r="D23" s="52" t="n"/>
      <c r="E23" s="52" t="n"/>
      <c r="F23" s="53" t="n"/>
    </row>
    <row r="24">
      <c r="A24" s="54" t="inlineStr">
        <is>
          <t>Published Products</t>
        </is>
      </c>
      <c r="B24" s="55">
        <f>COUNTIF('Intelligence Production'!N6:N55,"Published")</f>
        <v/>
      </c>
      <c r="C24" s="54" t="inlineStr">
        <is>
          <t>Finalised products ready for consumption</t>
        </is>
      </c>
      <c r="D24" s="52" t="n"/>
      <c r="E24" s="52" t="n"/>
      <c r="F24" s="53" t="n"/>
    </row>
    <row r="25">
      <c r="A25" s="54" t="inlineStr">
        <is>
          <t>Products in Draft or Review</t>
        </is>
      </c>
      <c r="B25" s="55">
        <f>COUNTIF('Intelligence Production'!N6:N55,"Draft")+COUNTIF('Intelligence Production'!N6:N55,"Review")</f>
        <v/>
      </c>
      <c r="C25" s="54" t="inlineStr">
        <is>
          <t>Products still in progress</t>
        </is>
      </c>
      <c r="D25" s="52" t="n"/>
      <c r="E25" s="52" t="n"/>
      <c r="F25" s="53" t="n"/>
    </row>
    <row r="26">
      <c r="A26" s="54" t="inlineStr">
        <is>
          <t>Total Collection Sources</t>
        </is>
      </c>
      <c r="B26" s="55">
        <f>COUNTA('Collection Sources'!A6:A55)</f>
        <v/>
      </c>
      <c r="C26" s="54" t="inlineStr">
        <is>
          <t>All intelligence collection sources documented</t>
        </is>
      </c>
      <c r="D26" s="52" t="n"/>
      <c r="E26" s="52" t="n"/>
      <c r="F26" s="53" t="n"/>
    </row>
    <row r="27">
      <c r="A27" s="54" t="inlineStr">
        <is>
          <t>Open Action Items</t>
        </is>
      </c>
      <c r="B27" s="55">
        <f>COUNTIF('Action Items'!G6:G55,"Open")</f>
        <v/>
      </c>
      <c r="C27" s="54" t="inlineStr">
        <is>
          <t>Actions not yet started — requires attention</t>
        </is>
      </c>
      <c r="D27" s="52" t="n"/>
      <c r="E27" s="52" t="n"/>
      <c r="F27" s="53" t="n"/>
    </row>
    <row r="28">
      <c r="A28" s="54" t="inlineStr">
        <is>
          <t>Blocked Action Items</t>
        </is>
      </c>
      <c r="B28" s="55">
        <f>COUNTIF('Action Items'!G6:G55,"Blocked")</f>
        <v/>
      </c>
      <c r="C28" s="54" t="inlineStr">
        <is>
          <t>Actions blocked — requires escalation</t>
        </is>
      </c>
      <c r="D28" s="52" t="n"/>
      <c r="E28" s="52" t="n"/>
      <c r="F28" s="53" t="n"/>
    </row>
    <row r="29">
      <c r="A29" s="51" t="n"/>
      <c r="B29" s="51" t="n"/>
      <c r="C29" s="51" t="n"/>
      <c r="D29" s="51" t="n"/>
      <c r="E29" s="51" t="n"/>
      <c r="F29" s="51" t="n"/>
    </row>
    <row r="30">
      <c r="A30" s="56" t="inlineStr">
        <is>
          <t>TABLE 3: CRITICAL FINDINGS</t>
        </is>
      </c>
      <c r="B30" s="6" t="n"/>
      <c r="C30" s="6" t="n"/>
      <c r="D30" s="6" t="n"/>
      <c r="E30" s="6" t="n"/>
      <c r="F30" s="6" t="n"/>
    </row>
    <row r="31">
      <c r="A31" s="46" t="inlineStr">
        <is>
          <t>Finding</t>
        </is>
      </c>
      <c r="B31" s="46" t="inlineStr">
        <is>
          <t>Count</t>
        </is>
      </c>
      <c r="C31" s="46" t="inlineStr">
        <is>
          <t>Action Required</t>
        </is>
      </c>
      <c r="D31" s="52" t="n"/>
      <c r="E31" s="52" t="n"/>
      <c r="F31" s="53" t="n"/>
    </row>
    <row r="32">
      <c r="A32" s="57" t="inlineStr">
        <is>
          <t>Blocked Action Items</t>
        </is>
      </c>
      <c r="B32" s="58">
        <f>COUNTIF('Action Items'!G6:G55,"Blocked")</f>
        <v/>
      </c>
      <c r="C32" s="47" t="inlineStr">
        <is>
          <t>Identify blockers and escalate to resolve immediately</t>
        </is>
      </c>
      <c r="D32" s="52" t="n"/>
      <c r="E32" s="52" t="n"/>
      <c r="F32" s="53" t="n"/>
    </row>
    <row r="33">
      <c r="A33" s="57" t="inlineStr">
        <is>
          <t>Intelligence Products in Draft</t>
        </is>
      </c>
      <c r="B33" s="58">
        <f>COUNTIF('Intelligence Production'!N6:N55,"Draft")</f>
        <v/>
      </c>
      <c r="C33" s="47" t="inlineStr">
        <is>
          <t>Review stale drafts and either publish or archive</t>
        </is>
      </c>
      <c r="D33" s="52" t="n"/>
      <c r="E33" s="52" t="n"/>
      <c r="F33" s="53" t="n"/>
    </row>
    <row r="34">
      <c r="A34" s="57" t="inlineStr">
        <is>
          <t>Archived Products (no longer active)</t>
        </is>
      </c>
      <c r="B34" s="58">
        <f>COUNTIF('Intelligence Production'!N6:N55,"Archived")</f>
        <v/>
      </c>
      <c r="C34" s="47" t="inlineStr">
        <is>
          <t>Confirm archived products are intentionally retired</t>
        </is>
      </c>
      <c r="D34" s="52" t="n"/>
      <c r="E34" s="52" t="n"/>
      <c r="F34" s="53" t="n"/>
    </row>
  </sheetData>
  <mergeCells count="18">
    <mergeCell ref="C22:F22"/>
    <mergeCell ref="A2:F2"/>
    <mergeCell ref="A30:F30"/>
    <mergeCell ref="C23:F23"/>
    <mergeCell ref="C31:F31"/>
    <mergeCell ref="C32:F32"/>
    <mergeCell ref="A1:F1"/>
    <mergeCell ref="A5:F5"/>
    <mergeCell ref="C26:F26"/>
    <mergeCell ref="C27:F27"/>
    <mergeCell ref="C34:F34"/>
    <mergeCell ref="A12:F12"/>
    <mergeCell ref="A4:F4"/>
    <mergeCell ref="C25:F25"/>
    <mergeCell ref="C24:F24"/>
    <mergeCell ref="A21:F21"/>
    <mergeCell ref="C33:F33"/>
    <mergeCell ref="C28:F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9" t="inlineStr">
        <is>
          <t>ASSESSMENT APPROVAL AND SIGN-OFF</t>
        </is>
      </c>
      <c r="B1" s="6" t="n"/>
      <c r="C1" s="6" t="n"/>
      <c r="D1" s="6" t="n"/>
      <c r="E1" s="6" t="n"/>
    </row>
    <row r="2">
      <c r="A2" s="60" t="inlineStr">
        <is>
          <t>ISMS-IMP-A.5.7.2 | ISO/IEC 27001:2022 - Control A.5.7: Threat Intelligence</t>
        </is>
      </c>
      <c r="B2" s="6" t="n"/>
      <c r="C2" s="6" t="n"/>
      <c r="D2" s="6" t="n"/>
      <c r="E2" s="6" t="n"/>
    </row>
    <row r="3">
      <c r="A3" s="61" t="inlineStr">
        <is>
          <t>ASSESSMENT SUMMARY</t>
        </is>
      </c>
      <c r="B3" s="6" t="n"/>
      <c r="C3" s="6" t="n"/>
      <c r="D3" s="6" t="n"/>
      <c r="E3" s="6" t="n"/>
    </row>
    <row r="4">
      <c r="A4" s="62" t="inlineStr">
        <is>
          <t>Document:</t>
        </is>
      </c>
      <c r="B4" s="6" t="inlineStr">
        <is>
          <t>ISMS-IMP-A.5.7.2 - Intelligence Collection &amp; Analysis Assessment</t>
        </is>
      </c>
      <c r="C4" s="6" t="n"/>
      <c r="D4" s="6" t="n"/>
      <c r="E4" s="6" t="n"/>
    </row>
    <row r="5">
      <c r="A5" s="62" t="inlineStr">
        <is>
          <t>Assessment Period:</t>
        </is>
      </c>
      <c r="B5" s="22" t="inlineStr"/>
      <c r="C5" s="22" t="n"/>
      <c r="D5" s="22" t="n"/>
      <c r="E5" s="22" t="n"/>
    </row>
    <row r="6">
      <c r="A6" s="62" t="inlineStr">
        <is>
          <t>Overall Compliance Rate:</t>
        </is>
      </c>
      <c r="B6" s="63">
        <f>IFERROR('Summary Dashboard'!B9/'Summary Dashboard'!B11,"")</f>
        <v/>
      </c>
      <c r="C6" s="22" t="n"/>
      <c r="D6" s="22" t="n"/>
      <c r="E6" s="22" t="n"/>
    </row>
    <row r="7">
      <c r="A7" s="62" t="inlineStr">
        <is>
          <t>Assessment Status:</t>
        </is>
      </c>
      <c r="B7" s="22" t="inlineStr"/>
      <c r="C7" s="22" t="n"/>
      <c r="D7" s="22" t="n"/>
      <c r="E7" s="22" t="n"/>
    </row>
    <row r="8">
      <c r="A8" s="62" t="inlineStr">
        <is>
          <t>Assessed By:</t>
        </is>
      </c>
      <c r="B8" s="22" t="inlineStr"/>
      <c r="C8" s="22" t="n"/>
      <c r="D8" s="22" t="n"/>
      <c r="E8" s="22" t="n"/>
    </row>
    <row r="11">
      <c r="A11" s="61" t="inlineStr">
        <is>
          <t>COMPLETED BY (ASSESSOR)</t>
        </is>
      </c>
      <c r="B11" s="6" t="n"/>
      <c r="C11" s="6" t="n"/>
      <c r="D11" s="6" t="n"/>
      <c r="E11" s="6" t="n"/>
    </row>
    <row r="12">
      <c r="A12" s="62" t="inlineStr">
        <is>
          <t>Name:</t>
        </is>
      </c>
      <c r="B12" s="22" t="n"/>
      <c r="C12" s="22" t="n"/>
      <c r="D12" s="22" t="n"/>
      <c r="E12" s="22" t="n"/>
    </row>
    <row r="13">
      <c r="A13" s="62" t="inlineStr">
        <is>
          <t>Title:</t>
        </is>
      </c>
      <c r="B13" s="22" t="n"/>
      <c r="C13" s="22" t="n"/>
      <c r="D13" s="22" t="n"/>
      <c r="E13" s="22" t="n"/>
    </row>
    <row r="14">
      <c r="A14" s="62" t="inlineStr">
        <is>
          <t>Date:</t>
        </is>
      </c>
      <c r="B14" s="22" t="n"/>
      <c r="C14" s="22" t="n"/>
      <c r="D14" s="22" t="n"/>
      <c r="E14" s="22" t="n"/>
    </row>
    <row r="15">
      <c r="A15" s="62" t="inlineStr">
        <is>
          <t>Signature:</t>
        </is>
      </c>
      <c r="B15" s="22" t="n"/>
      <c r="C15" s="22" t="n"/>
      <c r="D15" s="22" t="n"/>
      <c r="E15" s="22" t="n"/>
    </row>
    <row r="16">
      <c r="A16" s="62" t="inlineStr">
        <is>
          <t>Comments:</t>
        </is>
      </c>
      <c r="B16" s="22" t="n"/>
      <c r="C16" s="22" t="n"/>
      <c r="D16" s="22" t="n"/>
      <c r="E16" s="22" t="n"/>
    </row>
    <row r="18">
      <c r="A18" s="61" t="inlineStr">
        <is>
          <t>REVIEWED BY (INFORMATION SECURITY OFFICER)</t>
        </is>
      </c>
      <c r="B18" s="6" t="n"/>
      <c r="C18" s="6" t="n"/>
      <c r="D18" s="6" t="n"/>
      <c r="E18" s="6" t="n"/>
    </row>
    <row r="19">
      <c r="A19" s="62" t="inlineStr">
        <is>
          <t>Name:</t>
        </is>
      </c>
      <c r="B19" s="22" t="n"/>
      <c r="C19" s="22" t="n"/>
      <c r="D19" s="22" t="n"/>
      <c r="E19" s="22" t="n"/>
    </row>
    <row r="20">
      <c r="A20" s="62" t="inlineStr">
        <is>
          <t>Title:</t>
        </is>
      </c>
      <c r="B20" s="22" t="n"/>
      <c r="C20" s="22" t="n"/>
      <c r="D20" s="22" t="n"/>
      <c r="E20" s="22" t="n"/>
    </row>
    <row r="21">
      <c r="A21" s="62" t="inlineStr">
        <is>
          <t>Date:</t>
        </is>
      </c>
      <c r="B21" s="22" t="n"/>
      <c r="C21" s="22" t="n"/>
      <c r="D21" s="22" t="n"/>
      <c r="E21" s="22" t="n"/>
    </row>
    <row r="22">
      <c r="A22" s="62" t="inlineStr">
        <is>
          <t>Signature:</t>
        </is>
      </c>
      <c r="B22" s="22" t="n"/>
      <c r="C22" s="22" t="n"/>
      <c r="D22" s="22" t="n"/>
      <c r="E22" s="22" t="n"/>
    </row>
    <row r="23">
      <c r="A23" s="62" t="inlineStr">
        <is>
          <t>Comments:</t>
        </is>
      </c>
      <c r="B23" s="22" t="n"/>
      <c r="C23" s="22" t="n"/>
      <c r="D23" s="22" t="n"/>
      <c r="E23" s="22" t="n"/>
    </row>
    <row r="25">
      <c r="A25" s="64" t="inlineStr">
        <is>
          <t>APPROVED BY (CISO)</t>
        </is>
      </c>
      <c r="B25" s="6" t="n"/>
      <c r="C25" s="6" t="n"/>
      <c r="D25" s="6" t="n"/>
      <c r="E25" s="6" t="n"/>
    </row>
    <row r="26">
      <c r="A26" s="62" t="inlineStr">
        <is>
          <t>Name:</t>
        </is>
      </c>
      <c r="B26" s="22" t="n"/>
      <c r="C26" s="22" t="n"/>
      <c r="D26" s="22" t="n"/>
      <c r="E26" s="22" t="n"/>
    </row>
    <row r="27">
      <c r="A27" s="62" t="inlineStr">
        <is>
          <t>Title:</t>
        </is>
      </c>
      <c r="B27" s="22" t="n"/>
      <c r="C27" s="22" t="n"/>
      <c r="D27" s="22" t="n"/>
      <c r="E27" s="22" t="n"/>
    </row>
    <row r="28">
      <c r="A28" s="62" t="inlineStr">
        <is>
          <t>Date:</t>
        </is>
      </c>
      <c r="B28" s="22" t="n"/>
      <c r="C28" s="22" t="n"/>
      <c r="D28" s="22" t="n"/>
      <c r="E28" s="22" t="n"/>
    </row>
    <row r="29">
      <c r="A29" s="62" t="inlineStr">
        <is>
          <t>Signature:</t>
        </is>
      </c>
      <c r="B29" s="22" t="n"/>
      <c r="C29" s="22" t="n"/>
      <c r="D29" s="22" t="n"/>
      <c r="E29" s="22" t="n"/>
    </row>
    <row r="30">
      <c r="A30" s="62" t="inlineStr">
        <is>
          <t>Comments:</t>
        </is>
      </c>
      <c r="B30" s="22" t="n"/>
      <c r="C30" s="22" t="n"/>
      <c r="D30" s="22" t="n"/>
      <c r="E30" s="22" t="n"/>
    </row>
    <row r="32">
      <c r="A32" s="65" t="inlineStr">
        <is>
          <t>FINAL DECISION:</t>
        </is>
      </c>
      <c r="B32" s="22" t="n"/>
      <c r="C32" s="22" t="n"/>
      <c r="D32" s="22" t="n"/>
      <c r="E32" s="22" t="n"/>
    </row>
    <row r="35">
      <c r="A35" s="61" t="inlineStr">
        <is>
          <t>NEXT REVIEW DETAILS</t>
        </is>
      </c>
      <c r="B35" s="6" t="n"/>
      <c r="C35" s="6" t="n"/>
      <c r="D35" s="6" t="n"/>
      <c r="E35" s="6" t="n"/>
    </row>
    <row r="36">
      <c r="A36" s="62" t="inlineStr">
        <is>
          <t>Next Review Date:</t>
        </is>
      </c>
      <c r="B36" s="22" t="n"/>
      <c r="C36" s="22" t="n"/>
      <c r="D36" s="22" t="n"/>
      <c r="E36" s="22" t="n"/>
    </row>
    <row r="37">
      <c r="A37" s="62" t="inlineStr">
        <is>
          <t>Review Responsible:</t>
        </is>
      </c>
      <c r="B37" s="22" t="n"/>
      <c r="C37" s="22" t="n"/>
      <c r="D37" s="22" t="n"/>
      <c r="E37" s="22" t="n"/>
    </row>
    <row r="38">
      <c r="A38" s="62" t="inlineStr">
        <is>
          <t>Special Considerations:</t>
        </is>
      </c>
      <c r="B38" s="22" t="n"/>
      <c r="C38" s="22" t="n"/>
      <c r="D38" s="22" t="n"/>
      <c r="E38" s="2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ISMS-IMP-A.5.7.2 — Intelligence Collection &amp; Analysis Assessment</dc:title>
  <dc:description xmlns:dc="http://purl.org/dc/elements/1.1/">ISMS Implementation Workbook — ISMS-IMP-A.5.7.2</dc:description>
  <dc:subject xmlns:dc="http://purl.org/dc/elements/1.1/">ISO/IEC 27001:2022 — Control A.5.7: Threat Intelligence</dc:subject>
  <dcterms:created xmlns:dcterms="http://purl.org/dc/terms/" xmlns:xsi="http://www.w3.org/2001/XMLSchema-instance" xsi:type="dcterms:W3CDTF">2026-03-07T11:27:44Z</dcterms:created>
  <dcterms:modified xmlns:dcterms="http://purl.org/dc/terms/" xmlns:xsi="http://www.w3.org/2001/XMLSchema-instance" xsi:type="dcterms:W3CDTF">2026-03-07T11:27:44Z</dcterms:modified>
</cp:coreProperties>
</file>