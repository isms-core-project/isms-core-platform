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vidence Collection" sheetId="2" state="visible" r:id="rId2"/>
    <sheet xmlns:r="http://schemas.openxmlformats.org/officeDocument/2006/relationships" name="Chain of Custody" sheetId="3" state="visible" r:id="rId3"/>
    <sheet xmlns:r="http://schemas.openxmlformats.org/officeDocument/2006/relationships" name="Forensic Analysis" sheetId="4" state="visible" r:id="rId4"/>
    <sheet xmlns:r="http://schemas.openxmlformats.org/officeDocument/2006/relationships" name="Storage &amp; Retention" sheetId="5" state="visible" r:id="rId5"/>
    <sheet xmlns:r="http://schemas.openxmlformats.org/officeDocument/2006/relationships" name="Legal &amp; Regulatory"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b val="1"/>
      <color rgb="00FFFFFF"/>
      <sz val="10"/>
    </font>
    <font>
      <b val="1"/>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C6EFCE"/>
        <bgColor rgb="00C6EFCE"/>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0" fillId="10" borderId="1" pivotButton="0" quotePrefix="0" xfId="0"/>
    <xf numFmtId="0" fontId="0" fillId="11" borderId="1" applyAlignment="1" pivotButton="0" quotePrefix="0" xfId="0">
      <alignment horizontal="center" vertical="center"/>
    </xf>
    <xf numFmtId="0" fontId="7" fillId="12" borderId="0" pivotButton="0" quotePrefix="0" xfId="0"/>
    <xf numFmtId="0" fontId="8" fillId="0" borderId="0" pivotButton="0" quotePrefix="0" xfId="0"/>
    <xf numFmtId="0" fontId="0" fillId="11" borderId="1" pivotButton="0" quotePrefix="0" xfId="0"/>
    <xf numFmtId="0" fontId="0" fillId="13" borderId="1" applyAlignment="1" pivotButton="0" quotePrefix="0" xfId="0">
      <alignment horizontal="center" vertical="center"/>
    </xf>
    <xf numFmtId="0" fontId="0" fillId="13" borderId="1" pivotButton="0" quotePrefix="0" xfId="0"/>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13" borderId="1" pivotButton="0" quotePrefix="0" xfId="0"/>
    <xf numFmtId="0" fontId="0" fillId="10"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0" borderId="1" applyAlignment="1" pivotButton="0" quotePrefix="0" xfId="0">
      <alignment horizontal="left" vertical="center"/>
    </xf>
    <xf numFmtId="164" fontId="0" fillId="10"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1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ISMS-IMP-A.5.24-28.S4  -  Forensic Evidence
ISO/IEC 27001:2022 - Control A.5.24-28: Incident Management</t>
        </is>
      </c>
    </row>
    <row r="3">
      <c r="A3" s="2" t="inlineStr">
        <is>
          <t>Document Information</t>
        </is>
      </c>
    </row>
    <row r="4">
      <c r="A4" s="3" t="inlineStr">
        <is>
          <t>Document ID</t>
        </is>
      </c>
      <c r="B4" t="inlineStr">
        <is>
          <t>ISMS-IMP-A.5.24-28.S4</t>
        </is>
      </c>
    </row>
    <row r="5">
      <c r="A5" s="3" t="inlineStr">
        <is>
          <t>Workbook Title</t>
        </is>
      </c>
      <c r="B5" t="inlineStr">
        <is>
          <t>Forensic Evidence</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Evidence Collection assessment — procedures, tools, methodology.</t>
        </is>
      </c>
    </row>
    <row r="14">
      <c r="A14" t="inlineStr">
        <is>
          <t>2. Complete Chain of Custody sheet — custody controls, tamper evidence, witness.</t>
        </is>
      </c>
    </row>
    <row r="15">
      <c r="A15" t="inlineStr">
        <is>
          <t>3. Complete Forensic Analysis sheet — tooling, documentation, peer review.</t>
        </is>
      </c>
    </row>
    <row r="16">
      <c r="A16" t="inlineStr">
        <is>
          <t>4. Complete Storage &amp; Retention sheet — media controls, encryption, retention.</t>
        </is>
      </c>
    </row>
    <row r="17">
      <c r="A17" t="inlineStr">
        <is>
          <t>5. Complete Legal &amp; Regulatory Readiness sheet — admissibility, liaison contacts.</t>
        </is>
      </c>
    </row>
    <row r="18">
      <c r="A18" t="inlineStr">
        <is>
          <t>6. Review Gap Analysis and prioritise remediation.</t>
        </is>
      </c>
    </row>
    <row r="19">
      <c r="A19" t="inlineStr">
        <is>
          <t>7. Link evidence in Evidence Register.</t>
        </is>
      </c>
    </row>
    <row r="20">
      <c r="A20" t="inlineStr">
        <is>
          <t>8. Review Dashboard for forensic capability metrics.</t>
        </is>
      </c>
    </row>
    <row r="21">
      <c r="A21" t="inlineStr">
        <is>
          <t>9. Complete Approval Sign-Off workflow.</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EVIDENCE COLLECTION</t>
        </is>
      </c>
    </row>
    <row r="2">
      <c r="A2" s="12" t="inlineStr">
        <is>
          <t>ISO/IEC 27001:2022 - Control A.5.24-28: Incident Management | Collection Procedures, Evidence Sources, Collection Quality (25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Collection Procedures</t>
        </is>
      </c>
      <c r="B5" s="6" t="n"/>
      <c r="C5" s="6" t="n"/>
      <c r="D5" s="6" t="n"/>
      <c r="E5" s="6" t="n"/>
      <c r="F5" s="6" t="n"/>
      <c r="G5" s="6" t="n"/>
    </row>
    <row r="6">
      <c r="A6" s="15" t="inlineStr">
        <is>
          <t>Q1</t>
        </is>
      </c>
      <c r="B6" s="15" t="inlineStr">
        <is>
          <t>Collection Procedures</t>
        </is>
      </c>
      <c r="C6" s="16" t="inlineStr">
        <is>
          <t>Are forensic evidence collection procedures documented?</t>
        </is>
      </c>
      <c r="D6" s="17" t="n"/>
      <c r="E6" s="17" t="n"/>
      <c r="F6" s="17" t="n"/>
      <c r="G6" s="18">
        <f>IF(D6="","",IF(OR(D6="No", D6="Never", D6="None", D6="No Capability"), "Yes", "No"))</f>
        <v/>
      </c>
    </row>
    <row r="7">
      <c r="A7" s="15" t="inlineStr">
        <is>
          <t>Q2</t>
        </is>
      </c>
      <c r="B7" s="15" t="inlineStr">
        <is>
          <t>Collection Procedures</t>
        </is>
      </c>
      <c r="C7" s="16" t="inlineStr">
        <is>
          <t>Is evidence collection integrated into IR playbooks?</t>
        </is>
      </c>
      <c r="D7" s="17" t="n"/>
      <c r="E7" s="17" t="n"/>
      <c r="F7" s="17" t="n"/>
      <c r="G7" s="18">
        <f>IF(D7="","",IF(OR(D7="No", D7="Never", D7="None", D7="No Capability"), "Yes", "No"))</f>
        <v/>
      </c>
    </row>
    <row r="8">
      <c r="A8" s="15" t="inlineStr">
        <is>
          <t>Q3</t>
        </is>
      </c>
      <c r="B8" s="15" t="inlineStr">
        <is>
          <t>Collection Procedures</t>
        </is>
      </c>
      <c r="C8" s="16" t="inlineStr">
        <is>
          <t>Which evidence types have collection procedures? (Disk/Memory/Network/Logs/Email/Cloud/Mobile/Physical/App/IoT)</t>
        </is>
      </c>
      <c r="D8" s="17" t="n"/>
      <c r="E8" s="17" t="n"/>
      <c r="F8" s="17" t="n"/>
      <c r="G8" s="18">
        <f>IF(D8="","",IF(OR(D8="No", D8="Never", D8="None", D8="No Capability"), "Yes", "No"))</f>
        <v/>
      </c>
    </row>
    <row r="9">
      <c r="A9" s="15" t="inlineStr">
        <is>
          <t>Q4</t>
        </is>
      </c>
      <c r="B9" s="15" t="inlineStr">
        <is>
          <t>Collection Procedures</t>
        </is>
      </c>
      <c r="C9" s="16" t="inlineStr">
        <is>
          <t>Is evidence collection prioritised (volatile first)?</t>
        </is>
      </c>
      <c r="D9" s="17" t="n"/>
      <c r="E9" s="17" t="n"/>
      <c r="F9" s="17" t="n"/>
      <c r="G9" s="18">
        <f>IF(D9="","",IF(OR(D9="No", D9="Never", D9="None", D9="No Capability"), "Yes", "No"))</f>
        <v/>
      </c>
    </row>
    <row r="10">
      <c r="A10" s="15" t="inlineStr">
        <is>
          <t>Q5</t>
        </is>
      </c>
      <c r="B10" s="15" t="inlineStr">
        <is>
          <t>Collection Procedures</t>
        </is>
      </c>
      <c r="C10" s="16" t="inlineStr">
        <is>
          <t>Is there a pre-collection checklist?</t>
        </is>
      </c>
      <c r="D10" s="17" t="n"/>
      <c r="E10" s="17" t="n"/>
      <c r="F10" s="17" t="n"/>
      <c r="G10" s="18">
        <f>IF(D10="","",IF(OR(D10="No", D10="Never", D10="None", D10="No Capability"), "Yes", "No"))</f>
        <v/>
      </c>
    </row>
    <row r="11">
      <c r="A11" s="15" t="inlineStr">
        <is>
          <t>Q6</t>
        </is>
      </c>
      <c r="B11" s="15" t="inlineStr">
        <is>
          <t>Collection Procedures</t>
        </is>
      </c>
      <c r="C11" s="16" t="inlineStr">
        <is>
          <t>Are standard forensic collection tools defined and approved?</t>
        </is>
      </c>
      <c r="D11" s="17" t="n"/>
      <c r="E11" s="17" t="n"/>
      <c r="F11" s="17" t="n"/>
      <c r="G11" s="18">
        <f>IF(D11="","",IF(OR(D11="No", D11="Never", D11="None", D11="No Capability"), "Yes", "No"))</f>
        <v/>
      </c>
    </row>
    <row r="12">
      <c r="A12" s="15" t="inlineStr">
        <is>
          <t>Q7</t>
        </is>
      </c>
      <c r="B12" s="15" t="inlineStr">
        <is>
          <t>Collection Procedures</t>
        </is>
      </c>
      <c r="C12" s="16" t="inlineStr">
        <is>
          <t>Collection training frequency?</t>
        </is>
      </c>
      <c r="D12" s="17" t="n"/>
      <c r="E12" s="17" t="n"/>
      <c r="F12" s="17" t="n"/>
      <c r="G12" s="18">
        <f>IF(D12="","",IF(OR(D12="No", D12="Never", D12="None", D12="No Capability"), "Yes", "No"))</f>
        <v/>
      </c>
    </row>
    <row r="13">
      <c r="A13" s="15" t="inlineStr">
        <is>
          <t>Q8</t>
        </is>
      </c>
      <c r="B13" s="15" t="inlineStr">
        <is>
          <t>Collection Procedures</t>
        </is>
      </c>
      <c r="C13" s="16" t="inlineStr">
        <is>
          <t>Are common collection mistakes addressed in training?</t>
        </is>
      </c>
      <c r="D13" s="17" t="n"/>
      <c r="E13" s="17" t="n"/>
      <c r="F13" s="17" t="n"/>
      <c r="G13" s="18">
        <f>IF(D13="","",IF(OR(D13="No", D13="Never", D13="None", D13="No Capability"), "Yes", "No"))</f>
        <v/>
      </c>
    </row>
    <row r="14" ht="20" customHeight="1">
      <c r="A14" s="14" t="inlineStr">
        <is>
          <t xml:space="preserve">  Evidence Sources</t>
        </is>
      </c>
      <c r="B14" s="6" t="n"/>
      <c r="C14" s="6" t="n"/>
      <c r="D14" s="6" t="n"/>
      <c r="E14" s="6" t="n"/>
      <c r="F14" s="6" t="n"/>
      <c r="G14" s="6" t="n"/>
    </row>
    <row r="15">
      <c r="A15" s="15" t="inlineStr">
        <is>
          <t>Q9</t>
        </is>
      </c>
      <c r="B15" s="15" t="inlineStr">
        <is>
          <t>Evidence Sources</t>
        </is>
      </c>
      <c r="C15" s="16" t="inlineStr">
        <is>
          <t>Endpoint Disk — Collection capability?</t>
        </is>
      </c>
      <c r="D15" s="17" t="n"/>
      <c r="E15" s="17" t="n"/>
      <c r="F15" s="17" t="n"/>
      <c r="G15" s="18">
        <f>IF(D15="","",IF(OR(D15="No", D15="Never", D15="None", D15="No Capability"), "Yes", "No"))</f>
        <v/>
      </c>
    </row>
    <row r="16">
      <c r="A16" s="15" t="inlineStr">
        <is>
          <t>Q10</t>
        </is>
      </c>
      <c r="B16" s="15" t="inlineStr">
        <is>
          <t>Evidence Sources</t>
        </is>
      </c>
      <c r="C16" s="16" t="inlineStr">
        <is>
          <t>Endpoint Memory (RAM) — Collection capability?</t>
        </is>
      </c>
      <c r="D16" s="17" t="n"/>
      <c r="E16" s="17" t="n"/>
      <c r="F16" s="17" t="n"/>
      <c r="G16" s="18">
        <f>IF(D16="","",IF(OR(D16="No", D16="Never", D16="None", D16="No Capability"), "Yes", "No"))</f>
        <v/>
      </c>
    </row>
    <row r="17">
      <c r="A17" s="15" t="inlineStr">
        <is>
          <t>Q11</t>
        </is>
      </c>
      <c r="B17" s="15" t="inlineStr">
        <is>
          <t>Evidence Sources</t>
        </is>
      </c>
      <c r="C17" s="16" t="inlineStr">
        <is>
          <t>Network Traffic (PCAP) — Collection capability?</t>
        </is>
      </c>
      <c r="D17" s="17" t="n"/>
      <c r="E17" s="17" t="n"/>
      <c r="F17" s="17" t="n"/>
      <c r="G17" s="18">
        <f>IF(D17="","",IF(OR(D17="No", D17="Never", D17="None", D17="No Capability"), "Yes", "No"))</f>
        <v/>
      </c>
    </row>
    <row r="18">
      <c r="A18" s="15" t="inlineStr">
        <is>
          <t>Q12</t>
        </is>
      </c>
      <c r="B18" s="15" t="inlineStr">
        <is>
          <t>Evidence Sources</t>
        </is>
      </c>
      <c r="C18" s="16" t="inlineStr">
        <is>
          <t>System/Application Logs — Collection capability?</t>
        </is>
      </c>
      <c r="D18" s="17" t="n"/>
      <c r="E18" s="17" t="n"/>
      <c r="F18" s="17" t="n"/>
      <c r="G18" s="18">
        <f>IF(D18="","",IF(OR(D18="No", D18="Never", D18="None", D18="No Capability"), "Yes", "No"))</f>
        <v/>
      </c>
    </row>
    <row r="19">
      <c r="A19" s="15" t="inlineStr">
        <is>
          <t>Q13</t>
        </is>
      </c>
      <c r="B19" s="15" t="inlineStr">
        <is>
          <t>Evidence Sources</t>
        </is>
      </c>
      <c r="C19" s="16" t="inlineStr">
        <is>
          <t>Email Evidence — Collection capability?</t>
        </is>
      </c>
      <c r="D19" s="17" t="n"/>
      <c r="E19" s="17" t="n"/>
      <c r="F19" s="17" t="n"/>
      <c r="G19" s="18">
        <f>IF(D19="","",IF(OR(D19="No", D19="Never", D19="None", D19="No Capability"), "Yes", "No"))</f>
        <v/>
      </c>
    </row>
    <row r="20">
      <c r="A20" s="15" t="inlineStr">
        <is>
          <t>Q14</t>
        </is>
      </c>
      <c r="B20" s="15" t="inlineStr">
        <is>
          <t>Evidence Sources</t>
        </is>
      </c>
      <c r="C20" s="16" t="inlineStr">
        <is>
          <t>Cloud Audit Logs — Collection capability?</t>
        </is>
      </c>
      <c r="D20" s="17" t="n"/>
      <c r="E20" s="17" t="n"/>
      <c r="F20" s="17" t="n"/>
      <c r="G20" s="18">
        <f>IF(D20="","",IF(OR(D20="No", D20="Never", D20="None", D20="No Capability"), "Yes", "No"))</f>
        <v/>
      </c>
    </row>
    <row r="21">
      <c r="A21" s="15" t="inlineStr">
        <is>
          <t>Q15</t>
        </is>
      </c>
      <c r="B21" s="15" t="inlineStr">
        <is>
          <t>Evidence Sources</t>
        </is>
      </c>
      <c r="C21" s="16" t="inlineStr">
        <is>
          <t>Mobile Device — Collection capability?</t>
        </is>
      </c>
      <c r="D21" s="17" t="n"/>
      <c r="E21" s="17" t="n"/>
      <c r="F21" s="17" t="n"/>
      <c r="G21" s="18">
        <f>IF(D21="","",IF(OR(D21="No", D21="Never", D21="None", D21="No Capability"), "Yes", "No"))</f>
        <v/>
      </c>
    </row>
    <row r="22">
      <c r="A22" s="15" t="inlineStr">
        <is>
          <t>Q16</t>
        </is>
      </c>
      <c r="B22" s="15" t="inlineStr">
        <is>
          <t>Evidence Sources</t>
        </is>
      </c>
      <c r="C22" s="16" t="inlineStr">
        <is>
          <t>Physical Evidence — Collection capability?</t>
        </is>
      </c>
      <c r="D22" s="17" t="n"/>
      <c r="E22" s="17" t="n"/>
      <c r="F22" s="17" t="n"/>
      <c r="G22" s="18">
        <f>IF(D22="","",IF(OR(D22="No", D22="Never", D22="None", D22="No Capability"), "Yes", "No"))</f>
        <v/>
      </c>
    </row>
    <row r="23">
      <c r="A23" s="15" t="inlineStr">
        <is>
          <t>Q17</t>
        </is>
      </c>
      <c r="B23" s="15" t="inlineStr">
        <is>
          <t>Evidence Sources</t>
        </is>
      </c>
      <c r="C23" s="16" t="inlineStr">
        <is>
          <t>Application-Level Evidence — Collection capability?</t>
        </is>
      </c>
      <c r="D23" s="17" t="n"/>
      <c r="E23" s="17" t="n"/>
      <c r="F23" s="17" t="n"/>
      <c r="G23" s="18">
        <f>IF(D23="","",IF(OR(D23="No", D23="Never", D23="None", D23="No Capability"), "Yes", "No"))</f>
        <v/>
      </c>
    </row>
    <row r="24">
      <c r="A24" s="15" t="inlineStr">
        <is>
          <t>Q18</t>
        </is>
      </c>
      <c r="B24" s="15" t="inlineStr">
        <is>
          <t>Evidence Sources</t>
        </is>
      </c>
      <c r="C24" s="16" t="inlineStr">
        <is>
          <t>IoT / OT Device Evidence — Collection capability?</t>
        </is>
      </c>
      <c r="D24" s="17" t="n"/>
      <c r="E24" s="17" t="n"/>
      <c r="F24" s="17" t="n"/>
      <c r="G24" s="18">
        <f>IF(D24="","",IF(OR(D24="No", D24="Never", D24="None", D24="No Capability"), "Yes", "No"))</f>
        <v/>
      </c>
    </row>
    <row r="25" ht="20" customHeight="1">
      <c r="A25" s="14" t="inlineStr">
        <is>
          <t xml:space="preserve">  Collection Quality</t>
        </is>
      </c>
      <c r="B25" s="6" t="n"/>
      <c r="C25" s="6" t="n"/>
      <c r="D25" s="6" t="n"/>
      <c r="E25" s="6" t="n"/>
      <c r="F25" s="6" t="n"/>
      <c r="G25" s="6" t="n"/>
    </row>
    <row r="26">
      <c r="A26" s="15" t="inlineStr">
        <is>
          <t>Q19</t>
        </is>
      </c>
      <c r="B26" s="15" t="inlineStr">
        <is>
          <t>Collection Quality</t>
        </is>
      </c>
      <c r="C26" s="16" t="inlineStr">
        <is>
          <t>Was evidence collection complete? (Last 10 incidents)</t>
        </is>
      </c>
      <c r="D26" s="17" t="n"/>
      <c r="E26" s="17" t="n"/>
      <c r="F26" s="17" t="n"/>
      <c r="G26" s="18">
        <f>IF(D26="","",IF(OR(D26="No", D26="Never", D26="None", D26="No Capability"), "Yes", "No"))</f>
        <v/>
      </c>
    </row>
    <row r="27">
      <c r="A27" s="15" t="inlineStr">
        <is>
          <t>Q20</t>
        </is>
      </c>
      <c r="B27" s="15" t="inlineStr">
        <is>
          <t>Collection Quality</t>
        </is>
      </c>
      <c r="C27" s="16" t="inlineStr">
        <is>
          <t>Was volatile evidence captured before containment? (Last 10 incidents)</t>
        </is>
      </c>
      <c r="D27" s="17" t="n"/>
      <c r="E27" s="17" t="n"/>
      <c r="F27" s="17" t="n"/>
      <c r="G27" s="18">
        <f>IF(D27="","",IF(OR(D27="No", D27="Never", D27="None", D27="No Capability"), "Yes", "No"))</f>
        <v/>
      </c>
    </row>
    <row r="28">
      <c r="A28" s="15" t="inlineStr">
        <is>
          <t>Q21</t>
        </is>
      </c>
      <c r="B28" s="15" t="inlineStr">
        <is>
          <t>Collection Quality</t>
        </is>
      </c>
      <c r="C28" s="16" t="inlineStr">
        <is>
          <t>Average time to begin evidence collection after incident declaration?</t>
        </is>
      </c>
      <c r="D28" s="17" t="n"/>
      <c r="E28" s="17" t="n"/>
      <c r="F28" s="17" t="n"/>
      <c r="G28" s="18">
        <f>IF(D28="","",IF(OR(D28="No", D28="Never", D28="None", D28="No Capability"), "Yes", "No"))</f>
        <v/>
      </c>
    </row>
    <row r="29">
      <c r="A29" s="15" t="inlineStr">
        <is>
          <t>Q22</t>
        </is>
      </c>
      <c r="B29" s="15" t="inlineStr">
        <is>
          <t>Collection Quality</t>
        </is>
      </c>
      <c r="C29" s="16" t="inlineStr">
        <is>
          <t>Is evidence collection documented in real-time?</t>
        </is>
      </c>
      <c r="D29" s="17" t="n"/>
      <c r="E29" s="17" t="n"/>
      <c r="F29" s="17" t="n"/>
      <c r="G29" s="18">
        <f>IF(D29="","",IF(OR(D29="No", D29="Never", D29="None", D29="No Capability"), "Yes", "No"))</f>
        <v/>
      </c>
    </row>
    <row r="30">
      <c r="A30" s="15" t="inlineStr">
        <is>
          <t>Q23</t>
        </is>
      </c>
      <c r="B30" s="15" t="inlineStr">
        <is>
          <t>Collection Quality</t>
        </is>
      </c>
      <c r="C30" s="16" t="inlineStr">
        <is>
          <t>% incidents with adequate evidence collection? (Last 10)</t>
        </is>
      </c>
      <c r="D30" s="17" t="n"/>
      <c r="E30" s="17" t="n"/>
      <c r="F30" s="17" t="n"/>
      <c r="G30" s="18">
        <f>IF(D30="","",IF(OR(D30="No", D30="Never", D30="None", D30="No Capability"), "Yes", "No"))</f>
        <v/>
      </c>
    </row>
    <row r="31">
      <c r="A31" s="15" t="inlineStr">
        <is>
          <t>Q24</t>
        </is>
      </c>
      <c r="B31" s="15" t="inlineStr">
        <is>
          <t>Collection Quality</t>
        </is>
      </c>
      <c r="C31" s="16" t="inlineStr">
        <is>
          <t>If external forensics engaged, is collection coordinated?</t>
        </is>
      </c>
      <c r="D31" s="17" t="n"/>
      <c r="E31" s="17" t="n"/>
      <c r="F31" s="17" t="n"/>
      <c r="G31" s="18">
        <f>IF(D31="","",IF(OR(D31="No", D31="Never", D31="None", D31="No Capability"), "Yes", "No"))</f>
        <v/>
      </c>
    </row>
    <row r="32">
      <c r="A32" s="15" t="inlineStr">
        <is>
          <t>Q25</t>
        </is>
      </c>
      <c r="B32" s="15" t="inlineStr">
        <is>
          <t>Collection Quality</t>
        </is>
      </c>
      <c r="C32" s="16" t="inlineStr">
        <is>
          <t>Are collection lessons learned captured and applied?</t>
        </is>
      </c>
      <c r="D32" s="17" t="n"/>
      <c r="E32" s="17" t="n"/>
      <c r="F32" s="17" t="n"/>
      <c r="G32" s="18">
        <f>IF(D32="","",IF(OR(D32="No", D32="Never", D32="None", D32="No Capability"), "Yes", "No"))</f>
        <v/>
      </c>
    </row>
  </sheetData>
  <mergeCells count="5">
    <mergeCell ref="A14:G14"/>
    <mergeCell ref="A1:G1"/>
    <mergeCell ref="A2:G2"/>
    <mergeCell ref="A25:G25"/>
    <mergeCell ref="A5:G5"/>
  </mergeCells>
  <dataValidations count="1">
    <dataValidation sqref="D5 D6 D7 D8 D9 D10 D11 D12 D13 D14 D15 D16 D17 D18 D19 D20 D21 D22 D23 D24 D25 D26 D27 D28 D29 D30 D31 D32" showDropDown="0" showInputMessage="0" showErrorMessage="0" allowBlank="1" type="list">
      <formula1>"Yes,No,Partial,None,Never,No Capability,In-Progress,N/A"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CHAIN OF CUSTODY</t>
        </is>
      </c>
    </row>
    <row r="2">
      <c r="A2" s="12" t="inlineStr">
        <is>
          <t>ISO/IEC 27001:2022 - Control A.5.24-28: Incident Management | CoC Documentation, Integrity Verification, Access Control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CoC Documentation</t>
        </is>
      </c>
      <c r="B5" s="6" t="n"/>
      <c r="C5" s="6" t="n"/>
      <c r="D5" s="6" t="n"/>
      <c r="E5" s="6" t="n"/>
      <c r="F5" s="6" t="n"/>
      <c r="G5" s="6" t="n"/>
    </row>
    <row r="6">
      <c r="A6" s="15" t="inlineStr">
        <is>
          <t>Q26</t>
        </is>
      </c>
      <c r="B6" s="15" t="inlineStr">
        <is>
          <t>CoC Documentation</t>
        </is>
      </c>
      <c r="C6" s="16" t="inlineStr">
        <is>
          <t>Is chain of custody procedure documented?</t>
        </is>
      </c>
      <c r="D6" s="17" t="n"/>
      <c r="E6" s="17" t="n"/>
      <c r="F6" s="17" t="n"/>
      <c r="G6" s="18">
        <f>IF(D6="","",IF(OR(D6="No", D6="Never", D6="None", D6="No Capability"), "Yes", "No"))</f>
        <v/>
      </c>
    </row>
    <row r="7">
      <c r="A7" s="15" t="inlineStr">
        <is>
          <t>Q27</t>
        </is>
      </c>
      <c r="B7" s="15" t="inlineStr">
        <is>
          <t>CoC Documentation</t>
        </is>
      </c>
      <c r="C7" s="16" t="inlineStr">
        <is>
          <t>Are CoC forms completed for all evidence?</t>
        </is>
      </c>
      <c r="D7" s="17" t="n"/>
      <c r="E7" s="17" t="n"/>
      <c r="F7" s="17" t="n"/>
      <c r="G7" s="18">
        <f>IF(D7="","",IF(OR(D7="No", D7="Never", D7="None", D7="No Capability"), "Yes", "No"))</f>
        <v/>
      </c>
    </row>
    <row r="8">
      <c r="A8" s="15" t="inlineStr">
        <is>
          <t>Q28</t>
        </is>
      </c>
      <c r="B8" s="15" t="inlineStr">
        <is>
          <t>CoC Documentation</t>
        </is>
      </c>
      <c r="C8" s="16" t="inlineStr">
        <is>
          <t>How is CoC documented?</t>
        </is>
      </c>
      <c r="D8" s="17" t="n"/>
      <c r="E8" s="17" t="n"/>
      <c r="F8" s="17" t="n"/>
      <c r="G8" s="18">
        <f>IF(D8="","",IF(OR(D8="No", D8="Never", D8="None", D8="No Capability"), "Yes", "No"))</f>
        <v/>
      </c>
    </row>
    <row r="9">
      <c r="A9" s="15" t="inlineStr">
        <is>
          <t>Q29</t>
        </is>
      </c>
      <c r="B9" s="15" t="inlineStr">
        <is>
          <t>CoC Documentation</t>
        </is>
      </c>
      <c r="C9" s="16" t="inlineStr">
        <is>
          <t>Is every evidence transfer documented?</t>
        </is>
      </c>
      <c r="D9" s="17" t="n"/>
      <c r="E9" s="17" t="n"/>
      <c r="F9" s="17" t="n"/>
      <c r="G9" s="18">
        <f>IF(D9="","",IF(OR(D9="No", D9="Never", D9="None", D9="No Capability"), "Yes", "No"))</f>
        <v/>
      </c>
    </row>
    <row r="10">
      <c r="A10" s="15" t="inlineStr">
        <is>
          <t>Q30</t>
        </is>
      </c>
      <c r="B10" s="15" t="inlineStr">
        <is>
          <t>CoC Documentation</t>
        </is>
      </c>
      <c r="C10" s="16" t="inlineStr">
        <is>
          <t>Is access to stored evidence logged?</t>
        </is>
      </c>
      <c r="D10" s="17" t="n"/>
      <c r="E10" s="17" t="n"/>
      <c r="F10" s="17" t="n"/>
      <c r="G10" s="18">
        <f>IF(D10="","",IF(OR(D10="No", D10="Never", D10="None", D10="No Capability"), "Yes", "No"))</f>
        <v/>
      </c>
    </row>
    <row r="11">
      <c r="A11" s="15" t="inlineStr">
        <is>
          <t>Q31</t>
        </is>
      </c>
      <c r="B11" s="15" t="inlineStr">
        <is>
          <t>CoC Documentation</t>
        </is>
      </c>
      <c r="C11" s="16" t="inlineStr">
        <is>
          <t>Was CoC complete in recent investigations? (Last 10)</t>
        </is>
      </c>
      <c r="D11" s="17" t="n"/>
      <c r="E11" s="17" t="n"/>
      <c r="F11" s="17" t="n"/>
      <c r="G11" s="18">
        <f>IF(D11="","",IF(OR(D11="No", D11="Never", D11="None", D11="No Capability"), "Yes", "No"))</f>
        <v/>
      </c>
    </row>
    <row r="12">
      <c r="A12" s="15" t="inlineStr">
        <is>
          <t>Q32</t>
        </is>
      </c>
      <c r="B12" s="15" t="inlineStr">
        <is>
          <t>CoC Documentation</t>
        </is>
      </c>
      <c r="C12" s="16" t="inlineStr">
        <is>
          <t>Do all evidence-handling personnel receive CoC training?</t>
        </is>
      </c>
      <c r="D12" s="17" t="n"/>
      <c r="E12" s="17" t="n"/>
      <c r="F12" s="17" t="n"/>
      <c r="G12" s="18">
        <f>IF(D12="","",IF(OR(D12="No", D12="Never", D12="None", D12="No Capability"), "Yes", "No"))</f>
        <v/>
      </c>
    </row>
    <row r="13" ht="20" customHeight="1">
      <c r="A13" s="14" t="inlineStr">
        <is>
          <t xml:space="preserve">  Integrity Verification</t>
        </is>
      </c>
      <c r="B13" s="6" t="n"/>
      <c r="C13" s="6" t="n"/>
      <c r="D13" s="6" t="n"/>
      <c r="E13" s="6" t="n"/>
      <c r="F13" s="6" t="n"/>
      <c r="G13" s="6" t="n"/>
    </row>
    <row r="14">
      <c r="A14" s="15" t="inlineStr">
        <is>
          <t>Q33</t>
        </is>
      </c>
      <c r="B14" s="15" t="inlineStr">
        <is>
          <t>Integrity Verification</t>
        </is>
      </c>
      <c r="C14" s="16" t="inlineStr">
        <is>
          <t>Are hash values calculated for all collected evidence?</t>
        </is>
      </c>
      <c r="D14" s="17" t="n"/>
      <c r="E14" s="17" t="n"/>
      <c r="F14" s="17" t="n"/>
      <c r="G14" s="18">
        <f>IF(D14="","",IF(OR(D14="No", D14="Never", D14="None", D14="No Capability"), "Yes", "No"))</f>
        <v/>
      </c>
    </row>
    <row r="15">
      <c r="A15" s="15" t="inlineStr">
        <is>
          <t>Q34</t>
        </is>
      </c>
      <c r="B15" s="15" t="inlineStr">
        <is>
          <t>Integrity Verification</t>
        </is>
      </c>
      <c r="C15" s="16" t="inlineStr">
        <is>
          <t>What hash algorithm is used?</t>
        </is>
      </c>
      <c r="D15" s="17" t="n"/>
      <c r="E15" s="17" t="n"/>
      <c r="F15" s="17" t="n"/>
      <c r="G15" s="18">
        <f>IF(D15="","",IF(OR(D15="No", D15="Never", D15="None", D15="No Capability"), "Yes", "No"))</f>
        <v/>
      </c>
    </row>
    <row r="16">
      <c r="A16" s="15" t="inlineStr">
        <is>
          <t>Q35</t>
        </is>
      </c>
      <c r="B16" s="15" t="inlineStr">
        <is>
          <t>Integrity Verification</t>
        </is>
      </c>
      <c r="C16" s="16" t="inlineStr">
        <is>
          <t>Is dual hashing used (two independent algorithms)?</t>
        </is>
      </c>
      <c r="D16" s="17" t="n"/>
      <c r="E16" s="17" t="n"/>
      <c r="F16" s="17" t="n"/>
      <c r="G16" s="18">
        <f>IF(D16="","",IF(OR(D16="No", D16="Never", D16="None", D16="No Capability"), "Yes", "No"))</f>
        <v/>
      </c>
    </row>
    <row r="17">
      <c r="A17" s="15" t="inlineStr">
        <is>
          <t>Q36</t>
        </is>
      </c>
      <c r="B17" s="15" t="inlineStr">
        <is>
          <t>Integrity Verification</t>
        </is>
      </c>
      <c r="C17" s="16" t="inlineStr">
        <is>
          <t>Are hash values verified when copies are made?</t>
        </is>
      </c>
      <c r="D17" s="17" t="n"/>
      <c r="E17" s="17" t="n"/>
      <c r="F17" s="17" t="n"/>
      <c r="G17" s="18">
        <f>IF(D17="","",IF(OR(D17="No", D17="Never", D17="None", D17="No Capability"), "Yes", "No"))</f>
        <v/>
      </c>
    </row>
    <row r="18">
      <c r="A18" s="15" t="inlineStr">
        <is>
          <t>Q37</t>
        </is>
      </c>
      <c r="B18" s="15" t="inlineStr">
        <is>
          <t>Integrity Verification</t>
        </is>
      </c>
      <c r="C18" s="16" t="inlineStr">
        <is>
          <t>Are hash values stored separately from evidence?</t>
        </is>
      </c>
      <c r="D18" s="17" t="n"/>
      <c r="E18" s="17" t="n"/>
      <c r="F18" s="17" t="n"/>
      <c r="G18" s="18">
        <f>IF(D18="","",IF(OR(D18="No", D18="Never", D18="None", D18="No Capability"), "Yes", "No"))</f>
        <v/>
      </c>
    </row>
    <row r="19">
      <c r="A19" s="15" t="inlineStr">
        <is>
          <t>Q38</t>
        </is>
      </c>
      <c r="B19" s="15" t="inlineStr">
        <is>
          <t>Integrity Verification</t>
        </is>
      </c>
      <c r="C19" s="16" t="inlineStr">
        <is>
          <t>How often is stored evidence integrity verified?</t>
        </is>
      </c>
      <c r="D19" s="17" t="n"/>
      <c r="E19" s="17" t="n"/>
      <c r="F19" s="17" t="n"/>
      <c r="G19" s="18">
        <f>IF(D19="","",IF(OR(D19="No", D19="Never", D19="None", D19="No Capability"), "Yes", "No"))</f>
        <v/>
      </c>
    </row>
    <row r="20" ht="20" customHeight="1">
      <c r="A20" s="14" t="inlineStr">
        <is>
          <t xml:space="preserve">  Access Control</t>
        </is>
      </c>
      <c r="B20" s="6" t="n"/>
      <c r="C20" s="6" t="n"/>
      <c r="D20" s="6" t="n"/>
      <c r="E20" s="6" t="n"/>
      <c r="F20" s="6" t="n"/>
      <c r="G20" s="6" t="n"/>
    </row>
    <row r="21">
      <c r="A21" s="15" t="inlineStr">
        <is>
          <t>Q39</t>
        </is>
      </c>
      <c r="B21" s="15" t="inlineStr">
        <is>
          <t>Access Control</t>
        </is>
      </c>
      <c r="C21" s="16" t="inlineStr">
        <is>
          <t>Is access to forensic evidence restricted?</t>
        </is>
      </c>
      <c r="D21" s="17" t="n"/>
      <c r="E21" s="17" t="n"/>
      <c r="F21" s="17" t="n"/>
      <c r="G21" s="18">
        <f>IF(D21="","",IF(OR(D21="No", D21="Never", D21="None", D21="No Capability"), "Yes", "No"))</f>
        <v/>
      </c>
    </row>
    <row r="22">
      <c r="A22" s="15" t="inlineStr">
        <is>
          <t>Q40</t>
        </is>
      </c>
      <c r="B22" s="15" t="inlineStr">
        <is>
          <t>Access Control</t>
        </is>
      </c>
      <c r="C22" s="16" t="inlineStr">
        <is>
          <t>Is an authorised access list maintained per evidence item?</t>
        </is>
      </c>
      <c r="D22" s="17" t="n"/>
      <c r="E22" s="17" t="n"/>
      <c r="F22" s="17" t="n"/>
      <c r="G22" s="18">
        <f>IF(D22="","",IF(OR(D22="No", D22="Never", D22="None", D22="No Capability"), "Yes", "No"))</f>
        <v/>
      </c>
    </row>
    <row r="23">
      <c r="A23" s="15" t="inlineStr">
        <is>
          <t>Q41</t>
        </is>
      </c>
      <c r="B23" s="15" t="inlineStr">
        <is>
          <t>Access Control</t>
        </is>
      </c>
      <c r="C23" s="16" t="inlineStr">
        <is>
          <t>Is evidence accessible in read-only mode?</t>
        </is>
      </c>
      <c r="D23" s="17" t="n"/>
      <c r="E23" s="17" t="n"/>
      <c r="F23" s="17" t="n"/>
      <c r="G23" s="18">
        <f>IF(D23="","",IF(OR(D23="No", D23="Never", D23="None", D23="No Capability"), "Yes", "No"))</f>
        <v/>
      </c>
    </row>
    <row r="24">
      <c r="A24" s="15" t="inlineStr">
        <is>
          <t>Q42</t>
        </is>
      </c>
      <c r="B24" s="15" t="inlineStr">
        <is>
          <t>Access Control</t>
        </is>
      </c>
      <c r="C24" s="16" t="inlineStr">
        <is>
          <t>Is physical evidence in a secure, access-controlled location?</t>
        </is>
      </c>
      <c r="D24" s="17" t="n"/>
      <c r="E24" s="17" t="n"/>
      <c r="F24" s="17" t="n"/>
      <c r="G24" s="18">
        <f>IF(D24="","",IF(OR(D24="No", D24="Never", D24="None", D24="No Capability"), "Yes", "No"))</f>
        <v/>
      </c>
    </row>
    <row r="25">
      <c r="A25" s="15" t="inlineStr">
        <is>
          <t>Q43</t>
        </is>
      </c>
      <c r="B25" s="15" t="inlineStr">
        <is>
          <t>Access Control</t>
        </is>
      </c>
      <c r="C25" s="16" t="inlineStr">
        <is>
          <t>Can unauthorised access to evidence be detected?</t>
        </is>
      </c>
      <c r="D25" s="17" t="n"/>
      <c r="E25" s="17" t="n"/>
      <c r="F25" s="17" t="n"/>
      <c r="G25" s="18">
        <f>IF(D25="","",IF(OR(D25="No", D25="Never", D25="None", D25="No Capability"), "Yes", "No"))</f>
        <v/>
      </c>
    </row>
    <row r="26">
      <c r="A26" s="15" t="inlineStr">
        <is>
          <t>Q44</t>
        </is>
      </c>
      <c r="B26" s="15" t="inlineStr">
        <is>
          <t>Access Control</t>
        </is>
      </c>
      <c r="C26" s="16" t="inlineStr">
        <is>
          <t>Are controls in place for sharing evidence externally?</t>
        </is>
      </c>
      <c r="D26" s="17" t="n"/>
      <c r="E26" s="17" t="n"/>
      <c r="F26" s="17" t="n"/>
      <c r="G26" s="18">
        <f>IF(D26="","",IF(OR(D26="No", D26="Never", D26="None", D26="No Capability"), "Yes", "No"))</f>
        <v/>
      </c>
    </row>
    <row r="27">
      <c r="A27" s="15" t="inlineStr">
        <is>
          <t>Q45</t>
        </is>
      </c>
      <c r="B27" s="15" t="inlineStr">
        <is>
          <t>Access Control</t>
        </is>
      </c>
      <c r="C27" s="16" t="inlineStr">
        <is>
          <t>For physical evidence, are handling precautions followed (gloves, packaging)?</t>
        </is>
      </c>
      <c r="D27" s="17" t="n"/>
      <c r="E27" s="17" t="n"/>
      <c r="F27" s="17" t="n"/>
      <c r="G27" s="18">
        <f>IF(D27="","",IF(OR(D27="No", D27="Never", D27="None", D27="No Capability"), "Yes", "No"))</f>
        <v/>
      </c>
    </row>
  </sheetData>
  <mergeCells count="5">
    <mergeCell ref="A13:G13"/>
    <mergeCell ref="A1:G1"/>
    <mergeCell ref="A20:G20"/>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FORENSIC ANALYSIS</t>
        </is>
      </c>
    </row>
    <row r="2">
      <c r="A2" s="12" t="inlineStr">
        <is>
          <t>ISO/IEC 27001:2022 - Control A.5.24-28: Incident Management | Analysis Tools, Analyst Capabilities, Analysis Outcomes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Analysis Tools</t>
        </is>
      </c>
      <c r="B5" s="6" t="n"/>
      <c r="C5" s="6" t="n"/>
      <c r="D5" s="6" t="n"/>
      <c r="E5" s="6" t="n"/>
      <c r="F5" s="6" t="n"/>
      <c r="G5" s="6" t="n"/>
    </row>
    <row r="6">
      <c r="A6" s="15" t="inlineStr">
        <is>
          <t>Q46</t>
        </is>
      </c>
      <c r="B6" s="15" t="inlineStr">
        <is>
          <t>Analysis Tools</t>
        </is>
      </c>
      <c r="C6" s="16" t="inlineStr">
        <is>
          <t>What forensic tools are available? (Disk/Memory/Network/Malware/Mobile/Cloud/Log/Other)</t>
        </is>
      </c>
      <c r="D6" s="17" t="n"/>
      <c r="E6" s="17" t="n"/>
      <c r="F6" s="17" t="n"/>
      <c r="G6" s="18">
        <f>IF(D6="","",IF(OR(D6="No", D6="Never", D6="None", D6="No Capability"), "Yes", "No"))</f>
        <v/>
      </c>
    </row>
    <row r="7">
      <c r="A7" s="15" t="inlineStr">
        <is>
          <t>Q47</t>
        </is>
      </c>
      <c r="B7" s="15" t="inlineStr">
        <is>
          <t>Analysis Tools</t>
        </is>
      </c>
      <c r="C7" s="16" t="inlineStr">
        <is>
          <t>Tool type: Commercial / Open-Source / Both / None?</t>
        </is>
      </c>
      <c r="D7" s="17" t="n"/>
      <c r="E7" s="17" t="n"/>
      <c r="F7" s="17" t="n"/>
      <c r="G7" s="18">
        <f>IF(D7="","",IF(OR(D7="No", D7="Never", D7="None", D7="No Capability"), "Yes", "No"))</f>
        <v/>
      </c>
    </row>
    <row r="8">
      <c r="A8" s="15" t="inlineStr">
        <is>
          <t>Q48</t>
        </is>
      </c>
      <c r="B8" s="15" t="inlineStr">
        <is>
          <t>Analysis Tools</t>
        </is>
      </c>
      <c r="C8" s="16" t="inlineStr">
        <is>
          <t>Are forensic tools properly licensed and maintained?</t>
        </is>
      </c>
      <c r="D8" s="17" t="n"/>
      <c r="E8" s="17" t="n"/>
      <c r="F8" s="17" t="n"/>
      <c r="G8" s="18">
        <f>IF(D8="","",IF(OR(D8="No", D8="Never", D8="None", D8="No Capability"), "Yes", "No"))</f>
        <v/>
      </c>
    </row>
    <row r="9">
      <c r="A9" s="15" t="inlineStr">
        <is>
          <t>Q49</t>
        </is>
      </c>
      <c r="B9" s="15" t="inlineStr">
        <is>
          <t>Analysis Tools</t>
        </is>
      </c>
      <c r="C9" s="16" t="inlineStr">
        <is>
          <t>Are forensic tools validated before use?</t>
        </is>
      </c>
      <c r="D9" s="17" t="n"/>
      <c r="E9" s="17" t="n"/>
      <c r="F9" s="17" t="n"/>
      <c r="G9" s="18">
        <f>IF(D9="","",IF(OR(D9="No", D9="Never", D9="None", D9="No Capability"), "Yes", "No"))</f>
        <v/>
      </c>
    </row>
    <row r="10">
      <c r="A10" s="15" t="inlineStr">
        <is>
          <t>Q50</t>
        </is>
      </c>
      <c r="B10" s="15" t="inlineStr">
        <is>
          <t>Analysis Tools</t>
        </is>
      </c>
      <c r="C10" s="16" t="inlineStr">
        <is>
          <t>Are forensic tools kept up-to-date?</t>
        </is>
      </c>
      <c r="D10" s="17" t="n"/>
      <c r="E10" s="17" t="n"/>
      <c r="F10" s="17" t="n"/>
      <c r="G10" s="18">
        <f>IF(D10="","",IF(OR(D10="No", D10="Never", D10="None", D10="No Capability"), "Yes", "No"))</f>
        <v/>
      </c>
    </row>
    <row r="11">
      <c r="A11" s="15" t="inlineStr">
        <is>
          <t>Q51</t>
        </is>
      </c>
      <c r="B11" s="15" t="inlineStr">
        <is>
          <t>Analysis Tools</t>
        </is>
      </c>
      <c r="C11" s="16" t="inlineStr">
        <is>
          <t>Are dedicated forensic workstations available (isolated)?</t>
        </is>
      </c>
      <c r="D11" s="17" t="n"/>
      <c r="E11" s="17" t="n"/>
      <c r="F11" s="17" t="n"/>
      <c r="G11" s="18">
        <f>IF(D11="","",IF(OR(D11="No", D11="Never", D11="None", D11="No Capability"), "Yes", "No"))</f>
        <v/>
      </c>
    </row>
    <row r="12">
      <c r="A12" s="15" t="inlineStr">
        <is>
          <t>Q52</t>
        </is>
      </c>
      <c r="B12" s="15" t="inlineStr">
        <is>
          <t>Analysis Tools</t>
        </is>
      </c>
      <c r="C12" s="16" t="inlineStr">
        <is>
          <t>Is a malware analysis sandbox available?</t>
        </is>
      </c>
      <c r="D12" s="17" t="n"/>
      <c r="E12" s="17" t="n"/>
      <c r="F12" s="17" t="n"/>
      <c r="G12" s="18">
        <f>IF(D12="","",IF(OR(D12="No", D12="Never", D12="None", D12="No Capability"), "Yes", "No"))</f>
        <v/>
      </c>
    </row>
    <row r="13" ht="20" customHeight="1">
      <c r="A13" s="14" t="inlineStr">
        <is>
          <t xml:space="preserve">  Analyst Capabilities</t>
        </is>
      </c>
      <c r="B13" s="6" t="n"/>
      <c r="C13" s="6" t="n"/>
      <c r="D13" s="6" t="n"/>
      <c r="E13" s="6" t="n"/>
      <c r="F13" s="6" t="n"/>
      <c r="G13" s="6" t="n"/>
    </row>
    <row r="14">
      <c r="A14" s="15" t="inlineStr">
        <is>
          <t>Q53</t>
        </is>
      </c>
      <c r="B14" s="15" t="inlineStr">
        <is>
          <t>Analyst Capabilities</t>
        </is>
      </c>
      <c r="C14" s="16" t="inlineStr">
        <is>
          <t>How many qualified forensic analysts?</t>
        </is>
      </c>
      <c r="D14" s="17" t="n"/>
      <c r="E14" s="17" t="n"/>
      <c r="F14" s="17" t="n"/>
      <c r="G14" s="18">
        <f>IF(D14="","",IF(OR(D14="No", D14="Never", D14="None", D14="No Capability"), "Yes", "No"))</f>
        <v/>
      </c>
    </row>
    <row r="15">
      <c r="A15" s="15" t="inlineStr">
        <is>
          <t>Q54</t>
        </is>
      </c>
      <c r="B15" s="15" t="inlineStr">
        <is>
          <t>Analyst Capabilities</t>
        </is>
      </c>
      <c r="C15" s="16" t="inlineStr">
        <is>
          <t>Do forensic analysts hold recognised certifications?</t>
        </is>
      </c>
      <c r="D15" s="17" t="n"/>
      <c r="E15" s="17" t="n"/>
      <c r="F15" s="17" t="n"/>
      <c r="G15" s="18">
        <f>IF(D15="","",IF(OR(D15="No", D15="Never", D15="None", D15="No Capability"), "Yes", "No"))</f>
        <v/>
      </c>
    </row>
    <row r="16">
      <c r="A16" s="15" t="inlineStr">
        <is>
          <t>Q55</t>
        </is>
      </c>
      <c r="B16" s="15" t="inlineStr">
        <is>
          <t>Analyst Capabilities</t>
        </is>
      </c>
      <c r="C16" s="16" t="inlineStr">
        <is>
          <t>Forensic analyst training frequency?</t>
        </is>
      </c>
      <c r="D16" s="17" t="n"/>
      <c r="E16" s="17" t="n"/>
      <c r="F16" s="17" t="n"/>
      <c r="G16" s="18">
        <f>IF(D16="","",IF(OR(D16="No", D16="Never", D16="None", D16="No Capability"), "Yes", "No"))</f>
        <v/>
      </c>
    </row>
    <row r="17">
      <c r="A17" s="15" t="inlineStr">
        <is>
          <t>Q56</t>
        </is>
      </c>
      <c r="B17" s="15" t="inlineStr">
        <is>
          <t>Analyst Capabilities</t>
        </is>
      </c>
      <c r="C17" s="16" t="inlineStr">
        <is>
          <t>Is analysis methodology documented?</t>
        </is>
      </c>
      <c r="D17" s="17" t="n"/>
      <c r="E17" s="17" t="n"/>
      <c r="F17" s="17" t="n"/>
      <c r="G17" s="18">
        <f>IF(D17="","",IF(OR(D17="No", D17="Never", D17="None", D17="No Capability"), "Yes", "No"))</f>
        <v/>
      </c>
    </row>
    <row r="18">
      <c r="A18" s="15" t="inlineStr">
        <is>
          <t>Q57</t>
        </is>
      </c>
      <c r="B18" s="15" t="inlineStr">
        <is>
          <t>Analyst Capabilities</t>
        </is>
      </c>
      <c r="C18" s="16" t="inlineStr">
        <is>
          <t>Is analysis always performed on copies only?</t>
        </is>
      </c>
      <c r="D18" s="17" t="n"/>
      <c r="E18" s="17" t="n"/>
      <c r="F18" s="17" t="n"/>
      <c r="G18" s="18">
        <f>IF(D18="","",IF(OR(D18="No", D18="Never", D18="None", D18="No Capability"), "Yes", "No"))</f>
        <v/>
      </c>
    </row>
    <row r="19">
      <c r="A19" s="15" t="inlineStr">
        <is>
          <t>Q58</t>
        </is>
      </c>
      <c r="B19" s="15" t="inlineStr">
        <is>
          <t>Analyst Capabilities</t>
        </is>
      </c>
      <c r="C19" s="16" t="inlineStr">
        <is>
          <t>Are findings reproducible (documented for verification)?</t>
        </is>
      </c>
      <c r="D19" s="17" t="n"/>
      <c r="E19" s="17" t="n"/>
      <c r="F19" s="17" t="n"/>
      <c r="G19" s="18">
        <f>IF(D19="","",IF(OR(D19="No", D19="Never", D19="None", D19="No Capability"), "Yes", "No"))</f>
        <v/>
      </c>
    </row>
    <row r="20">
      <c r="A20" s="15" t="inlineStr">
        <is>
          <t>Q59</t>
        </is>
      </c>
      <c r="B20" s="15" t="inlineStr">
        <is>
          <t>Analyst Capabilities</t>
        </is>
      </c>
      <c r="C20" s="16" t="inlineStr">
        <is>
          <t>Are forensic reports reviewed by a second analyst?</t>
        </is>
      </c>
      <c r="D20" s="17" t="n"/>
      <c r="E20" s="17" t="n"/>
      <c r="F20" s="17" t="n"/>
      <c r="G20" s="18">
        <f>IF(D20="","",IF(OR(D20="No", D20="Never", D20="None", D20="No Capability"), "Yes", "No"))</f>
        <v/>
      </c>
    </row>
    <row r="21">
      <c r="A21" s="15" t="inlineStr">
        <is>
          <t>Q60</t>
        </is>
      </c>
      <c r="B21" s="15" t="inlineStr">
        <is>
          <t>Analyst Capabilities</t>
        </is>
      </c>
      <c r="C21" s="16" t="inlineStr">
        <is>
          <t>Can external forensic services be engaged?</t>
        </is>
      </c>
      <c r="D21" s="17" t="n"/>
      <c r="E21" s="17" t="n"/>
      <c r="F21" s="17" t="n"/>
      <c r="G21" s="18">
        <f>IF(D21="","",IF(OR(D21="No", D21="Never", D21="None", D21="No Capability"), "Yes", "No"))</f>
        <v/>
      </c>
    </row>
    <row r="22" ht="20" customHeight="1">
      <c r="A22" s="14" t="inlineStr">
        <is>
          <t xml:space="preserve">  Analysis Outcomes</t>
        </is>
      </c>
      <c r="B22" s="6" t="n"/>
      <c r="C22" s="6" t="n"/>
      <c r="D22" s="6" t="n"/>
      <c r="E22" s="6" t="n"/>
      <c r="F22" s="6" t="n"/>
      <c r="G22" s="6" t="n"/>
    </row>
    <row r="23">
      <c r="A23" s="15" t="inlineStr">
        <is>
          <t>Q61</t>
        </is>
      </c>
      <c r="B23" s="15" t="inlineStr">
        <is>
          <t>Analysis Outcomes</t>
        </is>
      </c>
      <c r="C23" s="16" t="inlineStr">
        <is>
          <t>% incidents with root cause identified? (Last 10 requiring forensics)</t>
        </is>
      </c>
      <c r="D23" s="17" t="n"/>
      <c r="E23" s="17" t="n"/>
      <c r="F23" s="17" t="n"/>
      <c r="G23" s="18">
        <f>IF(D23="","",IF(OR(D23="No", D23="Never", D23="None", D23="No Capability"), "Yes", "No"))</f>
        <v/>
      </c>
    </row>
    <row r="24">
      <c r="A24" s="15" t="inlineStr">
        <is>
          <t>Q62</t>
        </is>
      </c>
      <c r="B24" s="15" t="inlineStr">
        <is>
          <t>Analysis Outcomes</t>
        </is>
      </c>
      <c r="C24" s="16" t="inlineStr">
        <is>
          <t>% breach incidents with full attacker scope determined?</t>
        </is>
      </c>
      <c r="D24" s="17" t="n"/>
      <c r="E24" s="17" t="n"/>
      <c r="F24" s="17" t="n"/>
      <c r="G24" s="18">
        <f>IF(D24="","",IF(OR(D24="No", D24="Never", D24="None", D24="No Capability"), "Yes", "No"))</f>
        <v/>
      </c>
    </row>
    <row r="25">
      <c r="A25" s="15" t="inlineStr">
        <is>
          <t>Q63</t>
        </is>
      </c>
      <c r="B25" s="15" t="inlineStr">
        <is>
          <t>Analysis Outcomes</t>
        </is>
      </c>
      <c r="C25" s="16" t="inlineStr">
        <is>
          <t>Are IOCs generated from forensic analysis?</t>
        </is>
      </c>
      <c r="D25" s="17" t="n"/>
      <c r="E25" s="17" t="n"/>
      <c r="F25" s="17" t="n"/>
      <c r="G25" s="18">
        <f>IF(D25="","",IF(OR(D25="No", D25="Never", D25="None", D25="No Capability"), "Yes", "No"))</f>
        <v/>
      </c>
    </row>
    <row r="26">
      <c r="A26" s="15" t="inlineStr">
        <is>
          <t>Q64</t>
        </is>
      </c>
      <c r="B26" s="15" t="inlineStr">
        <is>
          <t>Analysis Outcomes</t>
        </is>
      </c>
      <c r="C26" s="16" t="inlineStr">
        <is>
          <t>Are incident timelines reconstructed accurately?</t>
        </is>
      </c>
      <c r="D26" s="17" t="n"/>
      <c r="E26" s="17" t="n"/>
      <c r="F26" s="17" t="n"/>
      <c r="G26" s="18">
        <f>IF(D26="","",IF(OR(D26="No", D26="Never", D26="None", D26="No Capability"), "Yes", "No"))</f>
        <v/>
      </c>
    </row>
    <row r="27">
      <c r="A27" s="15" t="inlineStr">
        <is>
          <t>Q65</t>
        </is>
      </c>
      <c r="B27" s="15" t="inlineStr">
        <is>
          <t>Analysis Outcomes</t>
        </is>
      </c>
      <c r="C27" s="16" t="inlineStr">
        <is>
          <t>Were forensic findings actionable?</t>
        </is>
      </c>
      <c r="D27" s="17" t="n"/>
      <c r="E27" s="17" t="n"/>
      <c r="F27" s="17" t="n"/>
      <c r="G27" s="18">
        <f>IF(D27="","",IF(OR(D27="No", D27="Never", D27="None", D27="No Capability"), "Yes", "No"))</f>
        <v/>
      </c>
    </row>
  </sheetData>
  <mergeCells count="5">
    <mergeCell ref="A13:G13"/>
    <mergeCell ref="A1:G1"/>
    <mergeCell ref="A22:G22"/>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STORAGE &amp; RETENTION</t>
        </is>
      </c>
    </row>
    <row r="2">
      <c r="A2" s="12" t="inlineStr">
        <is>
          <t>ISO/IEC 27001:2022 - Control A.5.24-28: Incident Management | Evidence Storage, Retention &amp; Disposal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Evidence Storage</t>
        </is>
      </c>
      <c r="B5" s="6" t="n"/>
      <c r="C5" s="6" t="n"/>
      <c r="D5" s="6" t="n"/>
      <c r="E5" s="6" t="n"/>
      <c r="F5" s="6" t="n"/>
      <c r="G5" s="6" t="n"/>
    </row>
    <row r="6">
      <c r="A6" s="15" t="inlineStr">
        <is>
          <t>Q66</t>
        </is>
      </c>
      <c r="B6" s="15" t="inlineStr">
        <is>
          <t>Evidence Storage</t>
        </is>
      </c>
      <c r="C6" s="16" t="inlineStr">
        <is>
          <t>Where is forensic evidence stored?</t>
        </is>
      </c>
      <c r="D6" s="17" t="n"/>
      <c r="E6" s="17" t="n"/>
      <c r="F6" s="17" t="n"/>
      <c r="G6" s="18">
        <f>IF(D6="","",IF(OR(D6="No", D6="Never", D6="None", D6="No Capability"), "Yes", "No"))</f>
        <v/>
      </c>
    </row>
    <row r="7">
      <c r="A7" s="15" t="inlineStr">
        <is>
          <t>Q67</t>
        </is>
      </c>
      <c r="B7" s="15" t="inlineStr">
        <is>
          <t>Evidence Storage</t>
        </is>
      </c>
      <c r="C7" s="16" t="inlineStr">
        <is>
          <t>Is storage access-controlled?</t>
        </is>
      </c>
      <c r="D7" s="17" t="n"/>
      <c r="E7" s="17" t="n"/>
      <c r="F7" s="17" t="n"/>
      <c r="G7" s="18">
        <f>IF(D7="","",IF(OR(D7="No", D7="Never", D7="None", D7="No Capability"), "Yes", "No"))</f>
        <v/>
      </c>
    </row>
    <row r="8">
      <c r="A8" s="15" t="inlineStr">
        <is>
          <t>Q68</t>
        </is>
      </c>
      <c r="B8" s="15" t="inlineStr">
        <is>
          <t>Evidence Storage</t>
        </is>
      </c>
      <c r="C8" s="16" t="inlineStr">
        <is>
          <t>Is stored evidence encrypted?</t>
        </is>
      </c>
      <c r="D8" s="17" t="n"/>
      <c r="E8" s="17" t="n"/>
      <c r="F8" s="17" t="n"/>
      <c r="G8" s="18">
        <f>IF(D8="","",IF(OR(D8="No", D8="Never", D8="None", D8="No Capability"), "Yes", "No"))</f>
        <v/>
      </c>
    </row>
    <row r="9">
      <c r="A9" s="15" t="inlineStr">
        <is>
          <t>Q69</t>
        </is>
      </c>
      <c r="B9" s="15" t="inlineStr">
        <is>
          <t>Evidence Storage</t>
        </is>
      </c>
      <c r="C9" s="16" t="inlineStr">
        <is>
          <t>Are backup copies of critical evidence maintained?</t>
        </is>
      </c>
      <c r="D9" s="17" t="n"/>
      <c r="E9" s="17" t="n"/>
      <c r="F9" s="17" t="n"/>
      <c r="G9" s="18">
        <f>IF(D9="","",IF(OR(D9="No", D9="Never", D9="None", D9="No Capability"), "Yes", "No"))</f>
        <v/>
      </c>
    </row>
    <row r="10">
      <c r="A10" s="15" t="inlineStr">
        <is>
          <t>Q70</t>
        </is>
      </c>
      <c r="B10" s="15" t="inlineStr">
        <is>
          <t>Evidence Storage</t>
        </is>
      </c>
      <c r="C10" s="16" t="inlineStr">
        <is>
          <t>Is evidence storage monitored?</t>
        </is>
      </c>
      <c r="D10" s="17" t="n"/>
      <c r="E10" s="17" t="n"/>
      <c r="F10" s="17" t="n"/>
      <c r="G10" s="18">
        <f>IF(D10="","",IF(OR(D10="No", D10="Never", D10="None", D10="No Capability"), "Yes", "No"))</f>
        <v/>
      </c>
    </row>
    <row r="11">
      <c r="A11" s="15" t="inlineStr">
        <is>
          <t>Q71</t>
        </is>
      </c>
      <c r="B11" s="15" t="inlineStr">
        <is>
          <t>Evidence Storage</t>
        </is>
      </c>
      <c r="C11" s="16" t="inlineStr">
        <is>
          <t>Is an evidence catalog maintained?</t>
        </is>
      </c>
      <c r="D11" s="17" t="n"/>
      <c r="E11" s="17" t="n"/>
      <c r="F11" s="17" t="n"/>
      <c r="G11" s="18">
        <f>IF(D11="","",IF(OR(D11="No", D11="Never", D11="None", D11="No Capability"), "Yes", "No"))</f>
        <v/>
      </c>
    </row>
    <row r="12">
      <c r="A12" s="15" t="inlineStr">
        <is>
          <t>Q72</t>
        </is>
      </c>
      <c r="B12" s="15" t="inlineStr">
        <is>
          <t>Evidence Storage</t>
        </is>
      </c>
      <c r="C12" s="16" t="inlineStr">
        <is>
          <t>Is storage capacity sufficient?</t>
        </is>
      </c>
      <c r="D12" s="17" t="n"/>
      <c r="E12" s="17" t="n"/>
      <c r="F12" s="17" t="n"/>
      <c r="G12" s="18">
        <f>IF(D12="","",IF(OR(D12="No", D12="Never", D12="None", D12="No Capability"), "Yes", "No"))</f>
        <v/>
      </c>
    </row>
    <row r="13" ht="20" customHeight="1">
      <c r="A13" s="14" t="inlineStr">
        <is>
          <t xml:space="preserve">  Retention &amp; Disposal</t>
        </is>
      </c>
      <c r="B13" s="6" t="n"/>
      <c r="C13" s="6" t="n"/>
      <c r="D13" s="6" t="n"/>
      <c r="E13" s="6" t="n"/>
      <c r="F13" s="6" t="n"/>
      <c r="G13" s="6" t="n"/>
    </row>
    <row r="14">
      <c r="A14" s="15" t="inlineStr">
        <is>
          <t>Q73</t>
        </is>
      </c>
      <c r="B14" s="15" t="inlineStr">
        <is>
          <t>Retention &amp; Disposal</t>
        </is>
      </c>
      <c r="C14" s="16" t="inlineStr">
        <is>
          <t>Are retention periods defined for forensic evidence?</t>
        </is>
      </c>
      <c r="D14" s="17" t="n"/>
      <c r="E14" s="17" t="n"/>
      <c r="F14" s="17" t="n"/>
      <c r="G14" s="18">
        <f>IF(D14="","",IF(OR(D14="No", D14="Never", D14="None", D14="No Capability"), "Yes", "No"))</f>
        <v/>
      </c>
    </row>
    <row r="15">
      <c r="A15" s="15" t="inlineStr">
        <is>
          <t>Q74</t>
        </is>
      </c>
      <c r="B15" s="15" t="inlineStr">
        <is>
          <t>Retention &amp; Disposal</t>
        </is>
      </c>
      <c r="C15" s="16" t="inlineStr">
        <is>
          <t>Do retention periods meet regulatory requirements?</t>
        </is>
      </c>
      <c r="D15" s="17" t="n"/>
      <c r="E15" s="17" t="n"/>
      <c r="F15" s="17" t="n"/>
      <c r="G15" s="18">
        <f>IF(D15="","",IF(OR(D15="No", D15="Never", D15="None", D15="No Capability"), "Yes", "No"))</f>
        <v/>
      </c>
    </row>
    <row r="16">
      <c r="A16" s="15" t="inlineStr">
        <is>
          <t>Q75</t>
        </is>
      </c>
      <c r="B16" s="15" t="inlineStr">
        <is>
          <t>Retention &amp; Disposal</t>
        </is>
      </c>
      <c r="C16" s="16" t="inlineStr">
        <is>
          <t>Can retention be extended via legal hold?</t>
        </is>
      </c>
      <c r="D16" s="17" t="n"/>
      <c r="E16" s="17" t="n"/>
      <c r="F16" s="17" t="n"/>
      <c r="G16" s="18">
        <f>IF(D16="","",IF(OR(D16="No", D16="Never", D16="None", D16="No Capability"), "Yes", "No"))</f>
        <v/>
      </c>
    </row>
    <row r="17">
      <c r="A17" s="15" t="inlineStr">
        <is>
          <t>Q76</t>
        </is>
      </c>
      <c r="B17" s="15" t="inlineStr">
        <is>
          <t>Retention &amp; Disposal</t>
        </is>
      </c>
      <c r="C17" s="16" t="inlineStr">
        <is>
          <t>Are evidence disposal procedures documented?</t>
        </is>
      </c>
      <c r="D17" s="17" t="n"/>
      <c r="E17" s="17" t="n"/>
      <c r="F17" s="17" t="n"/>
      <c r="G17" s="18">
        <f>IF(D17="","",IF(OR(D17="No", D17="Never", D17="None", D17="No Capability"), "Yes", "No"))</f>
        <v/>
      </c>
    </row>
    <row r="18">
      <c r="A18" s="15" t="inlineStr">
        <is>
          <t>Q77</t>
        </is>
      </c>
      <c r="B18" s="15" t="inlineStr">
        <is>
          <t>Retention &amp; Disposal</t>
        </is>
      </c>
      <c r="C18" s="16" t="inlineStr">
        <is>
          <t>Is disposal authorised before execution?</t>
        </is>
      </c>
      <c r="D18" s="17" t="n"/>
      <c r="E18" s="17" t="n"/>
      <c r="F18" s="17" t="n"/>
      <c r="G18" s="18">
        <f>IF(D18="","",IF(OR(D18="No", D18="Never", D18="None", D18="No Capability"), "Yes", "No"))</f>
        <v/>
      </c>
    </row>
    <row r="19">
      <c r="A19" s="15" t="inlineStr">
        <is>
          <t>Q78</t>
        </is>
      </c>
      <c r="B19" s="15" t="inlineStr">
        <is>
          <t>Retention &amp; Disposal</t>
        </is>
      </c>
      <c r="C19" s="16" t="inlineStr">
        <is>
          <t>Is disposal verified after execution?</t>
        </is>
      </c>
      <c r="D19" s="17" t="n"/>
      <c r="E19" s="17" t="n"/>
      <c r="F19" s="17" t="n"/>
      <c r="G19" s="18">
        <f>IF(D19="","",IF(OR(D19="No", D19="Never", D19="None", D19="No Capability"), "Yes", "No"))</f>
        <v/>
      </c>
    </row>
    <row r="20">
      <c r="A20" s="15" t="inlineStr">
        <is>
          <t>Q79</t>
        </is>
      </c>
      <c r="B20" s="15" t="inlineStr">
        <is>
          <t>Retention &amp; Disposal</t>
        </is>
      </c>
      <c r="C20" s="16" t="inlineStr">
        <is>
          <t>Are disposal records maintained?</t>
        </is>
      </c>
      <c r="D20" s="17" t="n"/>
      <c r="E20" s="17" t="n"/>
      <c r="F20" s="17" t="n"/>
      <c r="G20" s="18">
        <f>IF(D20="","",IF(OR(D20="No", D20="Never", D20="None", D20="No Capability"), "Yes", "No"))</f>
        <v/>
      </c>
    </row>
    <row r="21">
      <c r="A21" s="15" t="inlineStr">
        <is>
          <t>Q80</t>
        </is>
      </c>
      <c r="B21" s="15" t="inlineStr">
        <is>
          <t>Retention &amp; Disposal</t>
        </is>
      </c>
      <c r="C21" s="16" t="inlineStr">
        <is>
          <t>Is disposal automated when retention expires?</t>
        </is>
      </c>
      <c r="D21" s="17" t="n"/>
      <c r="E21" s="17" t="n"/>
      <c r="F21" s="17" t="n"/>
      <c r="G21" s="18">
        <f>IF(D21="","",IF(OR(D21="No", D21="Never", D21="None", D21="No Capability"), "Yes", "No"))</f>
        <v/>
      </c>
    </row>
  </sheetData>
  <mergeCells count="4">
    <mergeCell ref="A13:G13"/>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LEGAL &amp; REGULATORY READINESS</t>
        </is>
      </c>
    </row>
    <row r="2">
      <c r="A2" s="12" t="inlineStr">
        <is>
          <t>ISO/IEC 27001:2022 - Control A.5.24-28: Incident Management | Legal Admissibility, Regulatory Compliance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Legal Admissibility</t>
        </is>
      </c>
      <c r="B5" s="6" t="n"/>
      <c r="C5" s="6" t="n"/>
      <c r="D5" s="6" t="n"/>
      <c r="E5" s="6" t="n"/>
      <c r="F5" s="6" t="n"/>
      <c r="G5" s="6" t="n"/>
    </row>
    <row r="6">
      <c r="A6" s="15" t="inlineStr">
        <is>
          <t>Q81</t>
        </is>
      </c>
      <c r="B6" s="15" t="inlineStr">
        <is>
          <t>Legal Admissibility</t>
        </is>
      </c>
      <c r="C6" s="16" t="inlineStr">
        <is>
          <t>Have forensic procedures been reviewed by Legal?</t>
        </is>
      </c>
      <c r="D6" s="17" t="n"/>
      <c r="E6" s="17" t="n"/>
      <c r="F6" s="17" t="n"/>
      <c r="G6" s="18">
        <f>IF(D6="","",IF(OR(D6="No", D6="Never", D6="None", D6="No Capability"), "Yes", "No"))</f>
        <v/>
      </c>
    </row>
    <row r="7">
      <c r="A7" s="15" t="inlineStr">
        <is>
          <t>Q82</t>
        </is>
      </c>
      <c r="B7" s="15" t="inlineStr">
        <is>
          <t>Legal Admissibility</t>
        </is>
      </c>
      <c r="C7" s="16" t="inlineStr">
        <is>
          <t>Are legal admissibility requirements documented?</t>
        </is>
      </c>
      <c r="D7" s="17" t="n"/>
      <c r="E7" s="17" t="n"/>
      <c r="F7" s="17" t="n"/>
      <c r="G7" s="18">
        <f>IF(D7="","",IF(OR(D7="No", D7="Never", D7="None", D7="No Capability"), "Yes", "No"))</f>
        <v/>
      </c>
    </row>
    <row r="8">
      <c r="A8" s="15" t="inlineStr">
        <is>
          <t>Q83</t>
        </is>
      </c>
      <c r="B8" s="15" t="inlineStr">
        <is>
          <t>Legal Admissibility</t>
        </is>
      </c>
      <c r="C8" s="16" t="inlineStr">
        <is>
          <t>Can [Organisation] provide expert witnesses?</t>
        </is>
      </c>
      <c r="D8" s="17" t="n"/>
      <c r="E8" s="17" t="n"/>
      <c r="F8" s="17" t="n"/>
      <c r="G8" s="18">
        <f>IF(D8="","",IF(OR(D8="No", D8="Never", D8="None", D8="No Capability"), "Yes", "No"))</f>
        <v/>
      </c>
    </row>
    <row r="9">
      <c r="A9" s="15" t="inlineStr">
        <is>
          <t>Q84</t>
        </is>
      </c>
      <c r="B9" s="15" t="inlineStr">
        <is>
          <t>Legal Admissibility</t>
        </is>
      </c>
      <c r="C9" s="16" t="inlineStr">
        <is>
          <t>Is forensic report format suitable for legal proceedings?</t>
        </is>
      </c>
      <c r="D9" s="17" t="n"/>
      <c r="E9" s="17" t="n"/>
      <c r="F9" s="17" t="n"/>
      <c r="G9" s="18">
        <f>IF(D9="","",IF(OR(D9="No", D9="Never", D9="None", D9="No Capability"), "Yes", "No"))</f>
        <v/>
      </c>
    </row>
    <row r="10">
      <c r="A10" s="15" t="inlineStr">
        <is>
          <t>Q85</t>
        </is>
      </c>
      <c r="B10" s="15" t="inlineStr">
        <is>
          <t>Legal Admissibility</t>
        </is>
      </c>
      <c r="C10" s="16" t="inlineStr">
        <is>
          <t>Are forensic analysts prepared for cross-examination?</t>
        </is>
      </c>
      <c r="D10" s="17" t="n"/>
      <c r="E10" s="17" t="n"/>
      <c r="F10" s="17" t="n"/>
      <c r="G10" s="18">
        <f>IF(D10="","",IF(OR(D10="No", D10="Never", D10="None", D10="No Capability"), "Yes", "No"))</f>
        <v/>
      </c>
    </row>
    <row r="11">
      <c r="A11" s="15" t="inlineStr">
        <is>
          <t>Q86</t>
        </is>
      </c>
      <c r="B11" s="15" t="inlineStr">
        <is>
          <t>Legal Admissibility</t>
        </is>
      </c>
      <c r="C11" s="16" t="inlineStr">
        <is>
          <t>Is evidence integrity fully documented (end-to-end)?</t>
        </is>
      </c>
      <c r="D11" s="17" t="n"/>
      <c r="E11" s="17" t="n"/>
      <c r="F11" s="17" t="n"/>
      <c r="G11" s="18">
        <f>IF(D11="","",IF(OR(D11="No", D11="Never", D11="None", D11="No Capability"), "Yes", "No"))</f>
        <v/>
      </c>
    </row>
    <row r="12">
      <c r="A12" s="15" t="inlineStr">
        <is>
          <t>Q87</t>
        </is>
      </c>
      <c r="B12" s="15" t="inlineStr">
        <is>
          <t>Legal Admissibility</t>
        </is>
      </c>
      <c r="C12" s="16" t="inlineStr">
        <is>
          <t>Is physical evidence photographed in situ?</t>
        </is>
      </c>
      <c r="D12" s="17" t="n"/>
      <c r="E12" s="17" t="n"/>
      <c r="F12" s="17" t="n"/>
      <c r="G12" s="18">
        <f>IF(D12="","",IF(OR(D12="No", D12="Never", D12="None", D12="No Capability"), "Yes", "No"))</f>
        <v/>
      </c>
    </row>
    <row r="13">
      <c r="A13" s="15" t="inlineStr">
        <is>
          <t>Q88</t>
        </is>
      </c>
      <c r="B13" s="15" t="inlineStr">
        <is>
          <t>Legal Admissibility</t>
        </is>
      </c>
      <c r="C13" s="16" t="inlineStr">
        <is>
          <t>Are witness statements collected during incidents?</t>
        </is>
      </c>
      <c r="D13" s="17" t="n"/>
      <c r="E13" s="17" t="n"/>
      <c r="F13" s="17" t="n"/>
      <c r="G13" s="18">
        <f>IF(D13="","",IF(OR(D13="No", D13="Never", D13="None", D13="No Capability"), "Yes", "No"))</f>
        <v/>
      </c>
    </row>
    <row r="14" ht="20" customHeight="1">
      <c r="A14" s="14" t="inlineStr">
        <is>
          <t xml:space="preserve">  Regulatory Compliance</t>
        </is>
      </c>
      <c r="B14" s="6" t="n"/>
      <c r="C14" s="6" t="n"/>
      <c r="D14" s="6" t="n"/>
      <c r="E14" s="6" t="n"/>
      <c r="F14" s="6" t="n"/>
      <c r="G14" s="6" t="n"/>
    </row>
    <row r="15">
      <c r="A15" s="15" t="inlineStr">
        <is>
          <t>Q89</t>
        </is>
      </c>
      <c r="B15" s="15" t="inlineStr">
        <is>
          <t>Regulatory Compliance</t>
        </is>
      </c>
      <c r="C15" s="16" t="inlineStr">
        <is>
          <t>GDPR forensic evidence compliance?</t>
        </is>
      </c>
      <c r="D15" s="17" t="n"/>
      <c r="E15" s="17" t="n"/>
      <c r="F15" s="17" t="n"/>
      <c r="G15" s="18">
        <f>IF(D15="","",IF(OR(D15="No", D15="Never", D15="None", D15="No Capability"), "Yes", "No"))</f>
        <v/>
      </c>
    </row>
    <row r="16">
      <c r="A16" s="15" t="inlineStr">
        <is>
          <t>Q90</t>
        </is>
      </c>
      <c r="B16" s="15" t="inlineStr">
        <is>
          <t>Regulatory Compliance</t>
        </is>
      </c>
      <c r="C16" s="16" t="inlineStr">
        <is>
          <t>PCI DSS v4.0.1 forensic evidence compliance?</t>
        </is>
      </c>
      <c r="D16" s="17" t="n"/>
      <c r="E16" s="17" t="n"/>
      <c r="F16" s="17" t="n"/>
      <c r="G16" s="18">
        <f>IF(D16="","",IF(OR(D16="No", D16="Never", D16="None", D16="No Capability"), "Yes", "No"))</f>
        <v/>
      </c>
    </row>
    <row r="17">
      <c r="A17" s="15" t="inlineStr">
        <is>
          <t>Q91</t>
        </is>
      </c>
      <c r="B17" s="15" t="inlineStr">
        <is>
          <t>Regulatory Compliance</t>
        </is>
      </c>
      <c r="C17" s="16" t="inlineStr">
        <is>
          <t>Industry-specific forensic requirements met?</t>
        </is>
      </c>
      <c r="D17" s="17" t="n"/>
      <c r="E17" s="17" t="n"/>
      <c r="F17" s="17" t="n"/>
      <c r="G17" s="18">
        <f>IF(D17="","",IF(OR(D17="No", D17="Never", D17="None", D17="No Capability"), "Yes", "No"))</f>
        <v/>
      </c>
    </row>
    <row r="18">
      <c r="A18" s="15" t="inlineStr">
        <is>
          <t>Q92</t>
        </is>
      </c>
      <c r="B18" s="15" t="inlineStr">
        <is>
          <t>Regulatory Compliance</t>
        </is>
      </c>
      <c r="C18" s="16" t="inlineStr">
        <is>
          <t>Can evidence be submitted to regulators in required format?</t>
        </is>
      </c>
      <c r="D18" s="17" t="n"/>
      <c r="E18" s="17" t="n"/>
      <c r="F18" s="17" t="n"/>
      <c r="G18" s="18">
        <f>IF(D18="","",IF(OR(D18="No", D18="Never", D18="None", D18="No Capability"), "Yes", "No"))</f>
        <v/>
      </c>
    </row>
    <row r="19">
      <c r="A19" s="15" t="inlineStr">
        <is>
          <t>Q93</t>
        </is>
      </c>
      <c r="B19" s="15" t="inlineStr">
        <is>
          <t>Regulatory Compliance</t>
        </is>
      </c>
      <c r="C19" s="16" t="inlineStr">
        <is>
          <t>Law enforcement evidence cooperation procedures?</t>
        </is>
      </c>
      <c r="D19" s="17" t="n"/>
      <c r="E19" s="17" t="n"/>
      <c r="F19" s="17" t="n"/>
      <c r="G19" s="18">
        <f>IF(D19="","",IF(OR(D19="No", D19="Never", D19="None", D19="No Capability"), "Yes", "No"))</f>
        <v/>
      </c>
    </row>
    <row r="20">
      <c r="A20" s="15" t="inlineStr">
        <is>
          <t>Q94</t>
        </is>
      </c>
      <c r="B20" s="15" t="inlineStr">
        <is>
          <t>Regulatory Compliance</t>
        </is>
      </c>
      <c r="C20" s="16" t="inlineStr">
        <is>
          <t>International evidence requirements considered?</t>
        </is>
      </c>
      <c r="D20" s="17" t="n"/>
      <c r="E20" s="17" t="n"/>
      <c r="F20" s="17" t="n"/>
      <c r="G20" s="18">
        <f>IF(D20="","",IF(OR(D20="No", D20="Never", D20="None", D20="No Capability"), "Yes", "No"))</f>
        <v/>
      </c>
    </row>
    <row r="21">
      <c r="A21" s="15" t="inlineStr">
        <is>
          <t>Q95</t>
        </is>
      </c>
      <c r="B21" s="15" t="inlineStr">
        <is>
          <t>Regulatory Compliance</t>
        </is>
      </c>
      <c r="C21" s="16" t="inlineStr">
        <is>
          <t>Forensic evidence available for regulatory audits?</t>
        </is>
      </c>
      <c r="D21" s="17" t="n"/>
      <c r="E21" s="17" t="n"/>
      <c r="F21" s="17" t="n"/>
      <c r="G21" s="18">
        <f>IF(D21="","",IF(OR(D21="No", D21="Never", D21="None", D21="No Capability"), "Yes", "No"))</f>
        <v/>
      </c>
    </row>
  </sheetData>
  <mergeCells count="4">
    <mergeCell ref="A14:G14"/>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0" customWidth="1" min="1" max="1"/>
    <col width="22" customWidth="1" min="2" max="2"/>
    <col width="42" customWidth="1" min="3" max="3"/>
    <col width="12" customWidth="1" min="4" max="4"/>
    <col width="26" customWidth="1" min="5" max="5"/>
    <col width="26" customWidth="1" min="6" max="6"/>
    <col width="42"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Consolidated gaps from all assessment domains</t>
        </is>
      </c>
    </row>
    <row r="3">
      <c r="A3" s="19" t="inlineStr">
        <is>
          <t>GAP SUMMARY</t>
        </is>
      </c>
    </row>
    <row r="4">
      <c r="A4" s="20" t="inlineStr">
        <is>
          <t>Total Gaps:</t>
        </is>
      </c>
      <c r="B4" s="21">
        <f>COUNTA(C6:C45)-COUNTBLANK(C6:C45)</f>
        <v/>
      </c>
      <c r="C4" s="20" t="inlineStr">
        <is>
          <t>Critical:</t>
        </is>
      </c>
      <c r="D4" s="21">
        <f>COUNTIF(E6:E45,"Critical")</f>
        <v/>
      </c>
      <c r="E4" s="20" t="inlineStr">
        <is>
          <t>High:</t>
        </is>
      </c>
      <c r="F4" s="21">
        <f>COUNTIF(E6:E45,"High")</f>
        <v/>
      </c>
      <c r="G4" s="20" t="inlineStr">
        <is>
          <t>Medium:</t>
        </is>
      </c>
      <c r="H4" s="21">
        <f>COUNTIF(E6:E45,"Medium")</f>
        <v/>
      </c>
    </row>
    <row r="6">
      <c r="A6" s="13" t="inlineStr">
        <is>
          <t>Gap ID</t>
        </is>
      </c>
      <c r="B6" s="13" t="inlineStr">
        <is>
          <t>Domain</t>
        </is>
      </c>
      <c r="C6" s="13" t="inlineStr">
        <is>
          <t>Gap Description</t>
        </is>
      </c>
      <c r="D6" s="13" t="inlineStr">
        <is>
          <t>Risk Level</t>
        </is>
      </c>
      <c r="E6" s="13" t="inlineStr">
        <is>
          <t>Current State</t>
        </is>
      </c>
      <c r="F6" s="13" t="inlineStr">
        <is>
          <t>Target State</t>
        </is>
      </c>
      <c r="G6" s="13" t="inlineStr">
        <is>
          <t>Remediation Action</t>
        </is>
      </c>
      <c r="H6" s="13" t="inlineStr">
        <is>
          <t>Owner</t>
        </is>
      </c>
      <c r="I6" s="13" t="inlineStr">
        <is>
          <t>Target Date</t>
        </is>
      </c>
      <c r="J6" s="13" t="inlineStr">
        <is>
          <t>Status</t>
        </is>
      </c>
    </row>
    <row r="7">
      <c r="A7" s="22" t="inlineStr">
        <is>
          <t>GAP-001</t>
        </is>
      </c>
      <c r="B7" s="23" t="n"/>
      <c r="C7" s="23" t="n"/>
      <c r="D7" s="23" t="n"/>
      <c r="E7" s="23" t="n"/>
      <c r="F7" s="23" t="n"/>
      <c r="G7" s="23" t="n"/>
      <c r="H7" s="23" t="n"/>
      <c r="I7" s="23" t="n"/>
      <c r="J7" s="23"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D3"/>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4" t="inlineStr">
        <is>
          <t>EVIDENCE REGISTER</t>
        </is>
      </c>
    </row>
    <row r="2">
      <c r="A2" s="25"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4" t="inlineStr">
        <is>
          <t>Forensic Evidence — SUMMARY DASHBOARD</t>
        </is>
      </c>
      <c r="B1" s="6" t="n"/>
      <c r="C1" s="6" t="n"/>
      <c r="D1" s="6" t="n"/>
      <c r="E1" s="6" t="n"/>
      <c r="F1" s="6" t="n"/>
      <c r="G1" s="6" t="n"/>
    </row>
    <row r="2">
      <c r="A2" s="28" t="inlineStr">
        <is>
          <t>ISO/IEC 27001:2022 - Control A.5.24-28: Incident Management</t>
        </is>
      </c>
      <c r="B2" s="6" t="n"/>
      <c r="C2" s="6" t="n"/>
      <c r="D2" s="6" t="n"/>
      <c r="E2" s="6" t="n"/>
      <c r="F2" s="6" t="n"/>
      <c r="G2" s="6" t="n"/>
    </row>
    <row r="3">
      <c r="A3" s="29" t="inlineStr">
        <is>
          <t>COMPLIANCE ASSESSMENT SUMMARY</t>
        </is>
      </c>
      <c r="B3" s="6" t="n"/>
      <c r="C3" s="6" t="n"/>
      <c r="D3" s="6" t="n"/>
      <c r="E3" s="6" t="n"/>
      <c r="F3" s="6" t="n"/>
      <c r="G3" s="6" t="n"/>
    </row>
    <row r="4" ht="30" customHeight="1">
      <c r="A4" s="30" t="inlineStr">
        <is>
          <t>Assessment Area</t>
        </is>
      </c>
      <c r="B4" s="30" t="inlineStr">
        <is>
          <t>Questions Answered</t>
        </is>
      </c>
      <c r="C4" s="30" t="inlineStr">
        <is>
          <t>No Gap</t>
        </is>
      </c>
      <c r="D4" s="30" t="inlineStr">
        <is>
          <t>Gap Identified</t>
        </is>
      </c>
      <c r="E4" s="30" t="inlineStr">
        <is>
          <t>N/A</t>
        </is>
      </c>
      <c r="F4" s="30" t="inlineStr">
        <is>
          <t>Target</t>
        </is>
      </c>
      <c r="G4" s="30" t="inlineStr">
        <is>
          <t>Compliance %</t>
        </is>
      </c>
    </row>
    <row r="5">
      <c r="A5" s="31" t="inlineStr">
        <is>
          <t>Evidence Collection</t>
        </is>
      </c>
      <c r="B5" s="31">
        <f>COUNTA('Evidence Collection'!D5:D100)</f>
        <v/>
      </c>
      <c r="C5" s="31">
        <f>COUNTIF('Evidence Collection'!G5:G100,"No")</f>
        <v/>
      </c>
      <c r="D5" s="31">
        <f>COUNTIF('Evidence Collection'!G5:G100,"Yes")</f>
        <v/>
      </c>
      <c r="E5" s="31">
        <f>COUNTIF('Evidence Collection'!D5:D100,"N/A")</f>
        <v/>
      </c>
      <c r="F5" s="31" t="inlineStr">
        <is>
          <t>90%</t>
        </is>
      </c>
      <c r="G5" s="32">
        <f>IFERROR(C5/(C5+D5)*100,0)</f>
        <v/>
      </c>
    </row>
    <row r="6">
      <c r="A6" s="31" t="inlineStr">
        <is>
          <t>Chain of Custody</t>
        </is>
      </c>
      <c r="B6" s="31">
        <f>COUNTA('Chain of Custody'!D5:D100)</f>
        <v/>
      </c>
      <c r="C6" s="31">
        <f>COUNTIF('Chain of Custody'!G5:G100,"No")</f>
        <v/>
      </c>
      <c r="D6" s="31">
        <f>COUNTIF('Chain of Custody'!G5:G100,"Yes")</f>
        <v/>
      </c>
      <c r="E6" s="31">
        <f>COUNTIF('Chain of Custody'!D5:D100,"N/A")</f>
        <v/>
      </c>
      <c r="F6" s="31" t="inlineStr">
        <is>
          <t>95%</t>
        </is>
      </c>
      <c r="G6" s="32">
        <f>IFERROR(C6/(C6+D6)*100,0)</f>
        <v/>
      </c>
    </row>
    <row r="7">
      <c r="A7" s="31" t="inlineStr">
        <is>
          <t>Forensic Analysis</t>
        </is>
      </c>
      <c r="B7" s="31">
        <f>COUNTA('Forensic Analysis'!D5:D100)</f>
        <v/>
      </c>
      <c r="C7" s="31">
        <f>COUNTIF('Forensic Analysis'!G5:G100,"No")</f>
        <v/>
      </c>
      <c r="D7" s="31">
        <f>COUNTIF('Forensic Analysis'!G5:G100,"Yes")</f>
        <v/>
      </c>
      <c r="E7" s="31">
        <f>COUNTIF('Forensic Analysis'!D5:D100,"N/A")</f>
        <v/>
      </c>
      <c r="F7" s="31" t="inlineStr">
        <is>
          <t>85%</t>
        </is>
      </c>
      <c r="G7" s="32">
        <f>IFERROR(C7/(C7+D7)*100,0)</f>
        <v/>
      </c>
    </row>
    <row r="8">
      <c r="A8" s="31" t="inlineStr">
        <is>
          <t>Storage &amp; Retention</t>
        </is>
      </c>
      <c r="B8" s="31">
        <f>COUNTA('Storage &amp; Retention'!D5:D100)</f>
        <v/>
      </c>
      <c r="C8" s="31">
        <f>COUNTIF('Storage &amp; Retention'!G5:G100,"No")</f>
        <v/>
      </c>
      <c r="D8" s="31">
        <f>COUNTIF('Storage &amp; Retention'!G5:G100,"Yes")</f>
        <v/>
      </c>
      <c r="E8" s="31">
        <f>COUNTIF('Storage &amp; Retention'!D5:D100,"N/A")</f>
        <v/>
      </c>
      <c r="F8" s="31" t="inlineStr">
        <is>
          <t>90%</t>
        </is>
      </c>
      <c r="G8" s="32">
        <f>IFERROR(C8/(C8+D8)*100,0)</f>
        <v/>
      </c>
    </row>
    <row r="9">
      <c r="A9" s="31" t="inlineStr">
        <is>
          <t>Legal &amp; Regulatory</t>
        </is>
      </c>
      <c r="B9" s="31">
        <f>COUNTA('Legal &amp; Regulatory'!D5:D100)</f>
        <v/>
      </c>
      <c r="C9" s="31">
        <f>COUNTIF('Legal &amp; Regulatory'!G5:G100,"No")</f>
        <v/>
      </c>
      <c r="D9" s="31">
        <f>COUNTIF('Legal &amp; Regulatory'!G5:G100,"Yes")</f>
        <v/>
      </c>
      <c r="E9" s="31">
        <f>COUNTIF('Legal &amp; Regulatory'!D5:D100,"N/A")</f>
        <v/>
      </c>
      <c r="F9" s="31" t="inlineStr">
        <is>
          <t>90%</t>
        </is>
      </c>
      <c r="G9" s="32">
        <f>IFERROR(C9/(C9+D9)*100,0)</f>
        <v/>
      </c>
    </row>
    <row r="10">
      <c r="A10" s="33" t="inlineStr">
        <is>
          <t>TOTAL</t>
        </is>
      </c>
      <c r="B10" s="33">
        <f>SUM(B5:B9)</f>
        <v/>
      </c>
      <c r="C10" s="33">
        <f>SUM(C5:C9)</f>
        <v/>
      </c>
      <c r="D10" s="33">
        <f>SUM(D5:D9)</f>
        <v/>
      </c>
      <c r="E10" s="33">
        <f>SUM(E5:E9)</f>
        <v/>
      </c>
      <c r="F10" s="33" t="inlineStr">
        <is>
          <t>—</t>
        </is>
      </c>
      <c r="G10" s="34">
        <f>IFERROR(AVERAGE(G5:G9),0)</f>
        <v/>
      </c>
    </row>
    <row r="12">
      <c r="A12" s="29" t="inlineStr">
        <is>
          <t>FORENSIC CAPABILITY METRICS</t>
        </is>
      </c>
      <c r="B12" s="6" t="n"/>
      <c r="C12" s="6" t="n"/>
      <c r="D12" s="6" t="n"/>
      <c r="E12" s="6" t="n"/>
      <c r="F12" s="6" t="n"/>
      <c r="G12" s="6" t="n"/>
    </row>
    <row r="13">
      <c r="A13" s="35" t="inlineStr">
        <is>
          <t>Metric</t>
        </is>
      </c>
      <c r="B13" s="35" t="inlineStr">
        <is>
          <t>Value</t>
        </is>
      </c>
      <c r="C13" s="35" t="inlineStr">
        <is>
          <t>Target</t>
        </is>
      </c>
    </row>
    <row r="14">
      <c r="A14" s="31" t="inlineStr">
        <is>
          <t>Evidence Collection Completeness (%)</t>
        </is>
      </c>
      <c r="B14" s="31">
        <f>'Evidence Collection'!D23</f>
        <v/>
      </c>
      <c r="C14" s="31" t="inlineStr">
        <is>
          <t>≥95%</t>
        </is>
      </c>
    </row>
    <row r="15">
      <c r="A15" s="31" t="inlineStr">
        <is>
          <t>Root Cause Identification Rate (%)</t>
        </is>
      </c>
      <c r="B15" s="31">
        <f>'Forensic Analysis'!D61</f>
        <v/>
      </c>
      <c r="C15" s="31" t="inlineStr">
        <is>
          <t>≥90%</t>
        </is>
      </c>
    </row>
    <row r="16">
      <c r="A16" s="31" t="inlineStr">
        <is>
          <t>Attacker Scope Determination Rate (%)</t>
        </is>
      </c>
      <c r="B16" s="31">
        <f>'Forensic Analysis'!D62</f>
        <v/>
      </c>
      <c r="C16" s="31" t="inlineStr">
        <is>
          <t>≥85%</t>
        </is>
      </c>
    </row>
    <row r="17">
      <c r="A17" s="31" t="inlineStr">
        <is>
          <t>Time to Begin Collection (hours)</t>
        </is>
      </c>
      <c r="B17" s="31">
        <f>'Evidence Collection'!D21</f>
        <v/>
      </c>
      <c r="C17" s="31" t="inlineStr">
        <is>
          <t>≤1h</t>
        </is>
      </c>
    </row>
    <row r="18">
      <c r="A18" s="31" t="inlineStr">
        <is>
          <t>Forensic Analysts (FTE)</t>
        </is>
      </c>
      <c r="B18" s="31">
        <f>'Forensic Analysis'!D53</f>
        <v/>
      </c>
      <c r="C18" s="31" t="inlineStr">
        <is>
          <t>≥2 FTE</t>
        </is>
      </c>
    </row>
    <row r="20">
      <c r="A20" s="36" t="inlineStr">
        <is>
          <t>CRITICAL FINDINGS</t>
        </is>
      </c>
      <c r="B20" s="6" t="n"/>
      <c r="C20" s="6" t="n"/>
      <c r="D20" s="6" t="n"/>
      <c r="E20" s="6" t="n"/>
      <c r="F20" s="6" t="n"/>
      <c r="G20" s="6" t="n"/>
    </row>
    <row r="21">
      <c r="A21" s="35" t="inlineStr">
        <is>
          <t>Critical Finding</t>
        </is>
      </c>
      <c r="B21" s="35" t="inlineStr">
        <is>
          <t>Status</t>
        </is>
      </c>
      <c r="C21" s="35" t="inlineStr">
        <is>
          <t>Severity</t>
        </is>
      </c>
    </row>
    <row r="22">
      <c r="A22" s="37" t="inlineStr">
        <is>
          <t>Evidence Collection &lt;70%</t>
        </is>
      </c>
      <c r="B22" s="37">
        <f>IF(G5&lt;70,"[!] Below Target","[OK]")</f>
        <v/>
      </c>
      <c r="C22" s="37" t="inlineStr">
        <is>
          <t>Critical</t>
        </is>
      </c>
    </row>
    <row r="23">
      <c r="A23" s="37" t="inlineStr">
        <is>
          <t>Chain of Custody &lt;70%</t>
        </is>
      </c>
      <c r="B23" s="37">
        <f>IF(G6&lt;70,"[!] Below Target","[OK]")</f>
        <v/>
      </c>
      <c r="C23" s="37" t="inlineStr">
        <is>
          <t>Critical</t>
        </is>
      </c>
    </row>
    <row r="24">
      <c r="A24" s="38" t="inlineStr">
        <is>
          <t>Forensic Analysis &lt;70%</t>
        </is>
      </c>
      <c r="B24" s="38">
        <f>IF(G7&lt;70,"[!] Below Target","[OK]")</f>
        <v/>
      </c>
      <c r="C24" s="38" t="inlineStr">
        <is>
          <t>High</t>
        </is>
      </c>
    </row>
    <row r="25">
      <c r="A25" s="38" t="inlineStr">
        <is>
          <t>Storage &amp; Retention &lt;70%</t>
        </is>
      </c>
      <c r="B25" s="38">
        <f>IF(G8&lt;70,"[!] Below Target","[OK]")</f>
        <v/>
      </c>
      <c r="C25" s="38" t="inlineStr">
        <is>
          <t>High</t>
        </is>
      </c>
    </row>
    <row r="26">
      <c r="A26" s="37" t="inlineStr">
        <is>
          <t>Legal &amp; Regulatory &lt;70%</t>
        </is>
      </c>
      <c r="B26" s="37">
        <f>IF(G9&lt;70,"[!] Below Target","[OK]")</f>
        <v/>
      </c>
      <c r="C26" s="37" t="inlineStr">
        <is>
          <t>Critical</t>
        </is>
      </c>
    </row>
    <row r="27">
      <c r="A27" s="37" t="inlineStr">
        <is>
          <t>Overall forensic readiness &lt;70%</t>
        </is>
      </c>
      <c r="B27" s="37">
        <f>IF(G10&lt;70,"[!] Below Target","[OK]")</f>
        <v/>
      </c>
      <c r="C27" s="37" t="inlineStr">
        <is>
          <t>Critical</t>
        </is>
      </c>
    </row>
    <row r="28">
      <c r="A28" s="38" t="inlineStr">
        <is>
          <t>Evidence source coverage &lt;5 sources</t>
        </is>
      </c>
      <c r="B28" s="38">
        <f>IFERROR(IF(COUNTIF('Evidence Collection'!D9:D18,"Yes")&lt;5,"[!] Low Coverage","[OK]"),"")</f>
        <v/>
      </c>
      <c r="C28" s="38" t="inlineStr">
        <is>
          <t>High</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9" t="inlineStr">
        <is>
          <t>ASSESSMENT APPROVAL AND SIGN-OFF</t>
        </is>
      </c>
      <c r="B1" s="6" t="n"/>
      <c r="C1" s="6" t="n"/>
      <c r="D1" s="6" t="n"/>
      <c r="E1" s="6" t="n"/>
    </row>
    <row r="2">
      <c r="A2" s="40" t="inlineStr">
        <is>
          <t>ISO/IEC 27001:2022 - Control A.5.24-28: Incident Management</t>
        </is>
      </c>
      <c r="B2" s="6" t="n"/>
      <c r="C2" s="6" t="n"/>
      <c r="D2" s="6" t="n"/>
      <c r="E2" s="6" t="n"/>
    </row>
    <row r="3">
      <c r="A3" s="41" t="inlineStr">
        <is>
          <t>ASSESSMENT SUMMARY</t>
        </is>
      </c>
      <c r="B3" s="6" t="n"/>
      <c r="C3" s="6" t="n"/>
      <c r="D3" s="6" t="n"/>
      <c r="E3" s="6" t="n"/>
    </row>
    <row r="4">
      <c r="A4" s="3" t="inlineStr">
        <is>
          <t>Document:</t>
        </is>
      </c>
      <c r="B4" s="6" t="inlineStr">
        <is>
          <t>ISMS-IMP-A.5.24-28.S4 - Forensic Evidence</t>
        </is>
      </c>
      <c r="C4" s="6" t="n"/>
      <c r="D4" s="6" t="n"/>
      <c r="E4" s="6" t="n"/>
    </row>
    <row r="5">
      <c r="A5" s="3" t="inlineStr">
        <is>
          <t>Assessment Period:</t>
        </is>
      </c>
      <c r="B5" s="17" t="inlineStr"/>
      <c r="C5" s="6" t="n"/>
      <c r="D5" s="6" t="n"/>
      <c r="E5" s="6" t="n"/>
    </row>
    <row r="6">
      <c r="A6" s="3" t="inlineStr">
        <is>
          <t>Overall Compliance Rating:</t>
        </is>
      </c>
      <c r="B6" s="42">
        <f>IFERROR(AVERAGE('Summary Dashboard'!G5:G9),"")</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1"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1"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3"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1"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ISMS-IMP-A.5.24-28.S4 — Forensic Evidence</dc:title>
  <dc:description xmlns:dc="http://purl.org/dc/elements/1.1/">ISMS Implementation Workbook — ISMS-IMP-A.5.24-28.S4</dc:description>
  <dc:subject xmlns:dc="http://purl.org/dc/elements/1.1/">ISO/IEC 27001:2022 — Control A.5.24-28: Incident Management</dc:subject>
  <dcterms:created xmlns:dcterms="http://purl.org/dc/terms/" xmlns:xsi="http://www.w3.org/2001/XMLSchema-instance" xsi:type="dcterms:W3CDTF">2026-03-01T16:57:22Z</dcterms:created>
  <dcterms:modified xmlns:dcterms="http://purl.org/dc/terms/" xmlns:xsi="http://www.w3.org/2001/XMLSchema-instance" xsi:type="dcterms:W3CDTF">2026-03-01T16:57:22Z</dcterms:modified>
</cp:coreProperties>
</file>