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Governance Assessment" sheetId="2" state="visible" r:id="rId2"/>
    <sheet xmlns:r="http://schemas.openxmlformats.org/officeDocument/2006/relationships" name="Organisational Structure" sheetId="3" state="visible" r:id="rId3"/>
    <sheet xmlns:r="http://schemas.openxmlformats.org/officeDocument/2006/relationships" name="Training &amp; Competency" sheetId="4" state="visible" r:id="rId4"/>
    <sheet xmlns:r="http://schemas.openxmlformats.org/officeDocument/2006/relationships" name="Tools &amp; Technology" sheetId="5" state="visible" r:id="rId5"/>
    <sheet xmlns:r="http://schemas.openxmlformats.org/officeDocument/2006/relationships" name="Integration Assessment"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color rgb="00808080"/>
      <sz val="10"/>
    </font>
    <font>
      <b val="1"/>
      <color rgb="00FFFFFF"/>
      <sz val="11"/>
    </font>
    <font>
      <b val="1"/>
    </font>
    <font>
      <name val="Calibri"/>
      <i val="1"/>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7" fillId="11" borderId="1" pivotButton="0" quotePrefix="0" xfId="0"/>
    <xf numFmtId="0" fontId="8" fillId="12" borderId="0" pivotButton="0" quotePrefix="0" xfId="0"/>
    <xf numFmtId="0" fontId="9" fillId="0" borderId="0" pivotButton="0" quotePrefix="0" xfId="0"/>
    <xf numFmtId="0" fontId="0" fillId="1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0" fillId="9" borderId="1" applyAlignment="1" pivotButton="0" quotePrefix="0" xfId="0">
      <alignment vertical="center"/>
    </xf>
    <xf numFmtId="0" fontId="11" fillId="0" borderId="1" applyAlignment="1" pivotButton="0" quotePrefix="0" xfId="0">
      <alignment horizontal="left" vertical="center"/>
    </xf>
    <xf numFmtId="0" fontId="12" fillId="8" borderId="1" applyAlignment="1" pivotButton="0" quotePrefix="0" xfId="0">
      <alignment horizontal="center" vertical="center"/>
    </xf>
    <xf numFmtId="0" fontId="13" fillId="13"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3" borderId="1" applyAlignment="1" pivotButton="0" quotePrefix="0" xfId="0">
      <alignment horizontal="left" vertical="center"/>
    </xf>
    <xf numFmtId="164" fontId="3" fillId="13" borderId="1" applyAlignment="1" pivotButton="0" quotePrefix="0" xfId="0">
      <alignment horizontal="left" vertical="center"/>
    </xf>
    <xf numFmtId="0" fontId="13" fillId="13" borderId="1" applyAlignment="1" pivotButton="0" quotePrefix="0" xfId="0">
      <alignment horizontal="center" vertical="center"/>
    </xf>
    <xf numFmtId="0" fontId="12" fillId="14" borderId="1" applyAlignment="1" pivotButton="0" quotePrefix="0" xfId="0">
      <alignment horizontal="center" vertical="center"/>
    </xf>
    <xf numFmtId="0" fontId="0" fillId="15" borderId="1" applyAlignment="1" pivotButton="0" quotePrefix="0" xfId="0">
      <alignment horizontal="left" vertical="center"/>
    </xf>
    <xf numFmtId="0" fontId="0" fillId="16" borderId="1" applyAlignment="1" pivotButton="0" quotePrefix="0" xfId="0">
      <alignment horizontal="left" vertic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2" borderId="1" pivotButton="0" quotePrefix="0" xfId="0"/>
    <xf numFmtId="165" fontId="0" fillId="9"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ISMS-IMP-A.5.24-28.S1  -  Incident Management Framework
ISO/IEC 27001:2022 - Control A.5.24-28: Incident Management</t>
        </is>
      </c>
    </row>
    <row r="3">
      <c r="A3" s="2" t="inlineStr">
        <is>
          <t>Document Information</t>
        </is>
      </c>
    </row>
    <row r="4">
      <c r="A4" s="3" t="inlineStr">
        <is>
          <t>Document ID</t>
        </is>
      </c>
      <c r="B4" t="inlineStr">
        <is>
          <t>ISMS-IMP-A.5.24-28.S1</t>
        </is>
      </c>
    </row>
    <row r="5">
      <c r="A5" s="3" t="inlineStr">
        <is>
          <t>Workbook Title</t>
        </is>
      </c>
      <c r="B5" t="inlineStr">
        <is>
          <t>Incident Management Framework</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Governance Assessment (25 questions on policy, procedures, authority).</t>
        </is>
      </c>
    </row>
    <row r="14">
      <c r="A14" t="inlineStr">
        <is>
          <t>2. Complete Organisational Structure assessment (30 questions on CSIRT/SOC model).</t>
        </is>
      </c>
    </row>
    <row r="15">
      <c r="A15" t="inlineStr">
        <is>
          <t>3. Complete Training &amp; Competency assessment (25 questions).</t>
        </is>
      </c>
    </row>
    <row r="16">
      <c r="A16" t="inlineStr">
        <is>
          <t>4. Complete Tools &amp; Technology assessment (30 questions).</t>
        </is>
      </c>
    </row>
    <row r="17">
      <c r="A17" t="inlineStr">
        <is>
          <t>5. Complete Integration Assessment (25 questions on cross-control integration).</t>
        </is>
      </c>
    </row>
    <row r="18">
      <c r="A18" t="inlineStr">
        <is>
          <t>6. Complete Gap Analysis with prioritised remediation actions.</t>
        </is>
      </c>
    </row>
    <row r="19">
      <c r="A19" t="inlineStr">
        <is>
          <t>7. Link audit evidence in the Evidence Register.</t>
        </is>
      </c>
    </row>
    <row r="20">
      <c r="A20" t="inlineStr">
        <is>
          <t>8. Review Summary Dashboard for maturity scoring.</t>
        </is>
      </c>
    </row>
    <row r="21">
      <c r="A21" t="inlineStr">
        <is>
          <t>9. Obtain stakeholder approvals in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GOVERNANCE ASSESSMENT</t>
        </is>
      </c>
    </row>
    <row r="2">
      <c r="A2" s="12" t="inlineStr">
        <is>
          <t>ISO/IEC 27001:2022 - Control A.5.24-28: Incident Management | Policy, Procedures, Authority, and Regulatory Compliance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Policy Documentation</t>
        </is>
      </c>
      <c r="C5" s="14" t="inlineStr">
        <is>
          <t>Does [Organisation] have a documented incident management policy?</t>
        </is>
      </c>
      <c r="D5" s="15" t="n"/>
      <c r="E5" s="15" t="n"/>
      <c r="F5" s="15" t="n"/>
      <c r="G5" s="16">
        <f>IF(D5="","",IF(OR(D5="No", D5="Partial", D5="Informal"), "Yes", "No"))</f>
        <v/>
      </c>
    </row>
    <row r="6">
      <c r="A6" s="6" t="inlineStr">
        <is>
          <t>Q2</t>
        </is>
      </c>
      <c r="B6" s="6" t="inlineStr">
        <is>
          <t>Policy Documentation</t>
        </is>
      </c>
      <c r="C6" s="14" t="inlineStr">
        <is>
          <t>When was the current incident management policy approved? (DD.MM.YYYY)</t>
        </is>
      </c>
      <c r="D6" s="15" t="n"/>
      <c r="E6" s="15" t="n"/>
      <c r="F6" s="15" t="n"/>
      <c r="G6" s="16">
        <f>IF(D6="","",IF(OR(D6="No", D6="Partial", D6="Informal"), "Yes", "No"))</f>
        <v/>
      </c>
    </row>
    <row r="7">
      <c r="A7" s="6" t="inlineStr">
        <is>
          <t>Q3</t>
        </is>
      </c>
      <c r="B7" s="6" t="inlineStr">
        <is>
          <t>Policy Documentation</t>
        </is>
      </c>
      <c r="C7" s="14" t="inlineStr">
        <is>
          <t>Who is the designated owner of the incident management policy? (Name, Title)</t>
        </is>
      </c>
      <c r="D7" s="15" t="n"/>
      <c r="E7" s="15" t="n"/>
      <c r="F7" s="15" t="n"/>
      <c r="G7" s="16">
        <f>IF(D7="","",IF(OR(D7="No", D7="Partial", D7="Informal"), "Yes", "No"))</f>
        <v/>
      </c>
    </row>
    <row r="8">
      <c r="A8" s="6" t="inlineStr">
        <is>
          <t>Q4</t>
        </is>
      </c>
      <c r="B8" s="6" t="inlineStr">
        <is>
          <t>Policy Documentation</t>
        </is>
      </c>
      <c r="C8" s="14" t="inlineStr">
        <is>
          <t>How often is the incident management policy reviewed?</t>
        </is>
      </c>
      <c r="D8" s="15" t="n"/>
      <c r="E8" s="15" t="n"/>
      <c r="F8" s="15" t="n"/>
      <c r="G8" s="16">
        <f>IF(D8="","",IF(OR(D8="No", D8="Partial", D8="Informal"), "Yes", "No"))</f>
        <v/>
      </c>
    </row>
    <row r="9">
      <c r="A9" s="6" t="inlineStr">
        <is>
          <t>Q5</t>
        </is>
      </c>
      <c r="B9" s="6" t="inlineStr">
        <is>
          <t>Policy Documentation</t>
        </is>
      </c>
      <c r="C9" s="14" t="inlineStr">
        <is>
          <t>When was the policy last reviewed? (DD.MM.YYYY)</t>
        </is>
      </c>
      <c r="D9" s="15" t="n"/>
      <c r="E9" s="15" t="n"/>
      <c r="F9" s="15" t="n"/>
      <c r="G9" s="16">
        <f>IF(D9="","",IF(OR(D9="No", D9="Partial", D9="Informal"), "Yes", "No"))</f>
        <v/>
      </c>
    </row>
    <row r="10">
      <c r="A10" s="6" t="inlineStr">
        <is>
          <t>Q6</t>
        </is>
      </c>
      <c r="B10" s="6" t="inlineStr">
        <is>
          <t>Procedure Documentation</t>
        </is>
      </c>
      <c r="C10" s="14" t="inlineStr">
        <is>
          <t>Are incident response procedures documented?</t>
        </is>
      </c>
      <c r="D10" s="15" t="n"/>
      <c r="E10" s="15" t="n"/>
      <c r="F10" s="15" t="n"/>
      <c r="G10" s="16">
        <f>IF(D10="","",IF(OR(D10="No", D10="Partial", D10="Informal"), "Yes", "No"))</f>
        <v/>
      </c>
    </row>
    <row r="11">
      <c r="A11" s="6" t="inlineStr">
        <is>
          <t>Q7</t>
        </is>
      </c>
      <c r="B11" s="6" t="inlineStr">
        <is>
          <t>Procedure Documentation</t>
        </is>
      </c>
      <c r="C11" s="14" t="inlineStr">
        <is>
          <t>In what format are incident response procedures documented? (Select all: Written/Flowcharts/Automated/Scenarios/Other)</t>
        </is>
      </c>
      <c r="D11" s="15" t="n"/>
      <c r="E11" s="15" t="n"/>
      <c r="F11" s="15" t="n"/>
      <c r="G11" s="16">
        <f>IF(D11="","",IF(OR(D11="No", D11="Partial", D11="Informal"), "Yes", "No"))</f>
        <v/>
      </c>
    </row>
    <row r="12">
      <c r="A12" s="6" t="inlineStr">
        <is>
          <t>Q8</t>
        </is>
      </c>
      <c r="B12" s="6" t="inlineStr">
        <is>
          <t>Procedure Documentation</t>
        </is>
      </c>
      <c r="C12" s="14" t="inlineStr">
        <is>
          <t>Where are incident response procedures stored and how are they accessed?</t>
        </is>
      </c>
      <c r="D12" s="15" t="n"/>
      <c r="E12" s="15" t="n"/>
      <c r="F12" s="15" t="n"/>
      <c r="G12" s="16">
        <f>IF(D12="","",IF(OR(D12="No", D12="Partial", D12="Informal"), "Yes", "No"))</f>
        <v/>
      </c>
    </row>
    <row r="13">
      <c r="A13" s="6" t="inlineStr">
        <is>
          <t>Q9</t>
        </is>
      </c>
      <c r="B13" s="6" t="inlineStr">
        <is>
          <t>Procedure Documentation</t>
        </is>
      </c>
      <c r="C13" s="14" t="inlineStr">
        <is>
          <t>Do procedures include up-to-date contact information (CSIRT, management, legal, external partners)?</t>
        </is>
      </c>
      <c r="D13" s="15" t="n"/>
      <c r="E13" s="15" t="n"/>
      <c r="F13" s="15" t="n"/>
      <c r="G13" s="16">
        <f>IF(D13="","",IF(OR(D13="No", D13="Partial", D13="Informal"), "Yes", "No"))</f>
        <v/>
      </c>
    </row>
    <row r="14">
      <c r="A14" s="6" t="inlineStr">
        <is>
          <t>Q10</t>
        </is>
      </c>
      <c r="B14" s="6" t="inlineStr">
        <is>
          <t>Procedure Documentation</t>
        </is>
      </c>
      <c r="C14" s="14" t="inlineStr">
        <is>
          <t>When were incident response procedures last updated? (DD.MM.YYYY)</t>
        </is>
      </c>
      <c r="D14" s="15" t="n"/>
      <c r="E14" s="15" t="n"/>
      <c r="F14" s="15" t="n"/>
      <c r="G14" s="16">
        <f>IF(D14="","",IF(OR(D14="No", D14="Partial", D14="Informal"), "Yes", "No"))</f>
        <v/>
      </c>
    </row>
    <row r="15">
      <c r="A15" s="6" t="inlineStr">
        <is>
          <t>Q11</t>
        </is>
      </c>
      <c r="B15" s="6" t="inlineStr">
        <is>
          <t>Authority &amp; Escalation</t>
        </is>
      </c>
      <c r="C15" s="14" t="inlineStr">
        <is>
          <t>Who has authority to declare a security incident? (Role/title)</t>
        </is>
      </c>
      <c r="D15" s="15" t="n"/>
      <c r="E15" s="15" t="n"/>
      <c r="F15" s="15" t="n"/>
      <c r="G15" s="16">
        <f>IF(D15="","",IF(OR(D15="No", D15="Partial", D15="Informal"), "Yes", "No"))</f>
        <v/>
      </c>
    </row>
    <row r="16">
      <c r="A16" s="6" t="inlineStr">
        <is>
          <t>Q12</t>
        </is>
      </c>
      <c r="B16" s="6" t="inlineStr">
        <is>
          <t>Authority &amp; Escalation</t>
        </is>
      </c>
      <c r="C16" s="14" t="inlineStr">
        <is>
          <t>Is there a documented escalation matrix defining when and to whom incidents are escalated?</t>
        </is>
      </c>
      <c r="D16" s="15" t="n"/>
      <c r="E16" s="15" t="n"/>
      <c r="F16" s="15" t="n"/>
      <c r="G16" s="16">
        <f>IF(D16="","",IF(OR(D16="No", D16="Partial", D16="Informal"), "Yes", "No"))</f>
        <v/>
      </c>
    </row>
    <row r="17">
      <c r="A17" s="6" t="inlineStr">
        <is>
          <t>Q13</t>
        </is>
      </c>
      <c r="B17" s="6" t="inlineStr">
        <is>
          <t>Authority &amp; Escalation</t>
        </is>
      </c>
      <c r="C17" s="14" t="inlineStr">
        <is>
          <t>What criteria trigger executive management notification?</t>
        </is>
      </c>
      <c r="D17" s="15" t="n"/>
      <c r="E17" s="15" t="n"/>
      <c r="F17" s="15" t="n"/>
      <c r="G17" s="16">
        <f>IF(D17="","",IF(OR(D17="No", D17="Partial", D17="Informal"), "Yes", "No"))</f>
        <v/>
      </c>
    </row>
    <row r="18">
      <c r="A18" s="6" t="inlineStr">
        <is>
          <t>Q14</t>
        </is>
      </c>
      <c r="B18" s="6" t="inlineStr">
        <is>
          <t>Authority &amp; Escalation</t>
        </is>
      </c>
      <c r="C18" s="14" t="inlineStr">
        <is>
          <t>What criteria trigger Board of Directors notification?</t>
        </is>
      </c>
      <c r="D18" s="15" t="n"/>
      <c r="E18" s="15" t="n"/>
      <c r="F18" s="15" t="n"/>
      <c r="G18" s="16">
        <f>IF(D18="","",IF(OR(D18="No", D18="Partial", D18="Informal"), "Yes", "No"))</f>
        <v/>
      </c>
    </row>
    <row r="19">
      <c r="A19" s="6" t="inlineStr">
        <is>
          <t>Q15</t>
        </is>
      </c>
      <c r="B19" s="6" t="inlineStr">
        <is>
          <t>Authority &amp; Escalation</t>
        </is>
      </c>
      <c r="C19" s="14" t="inlineStr">
        <is>
          <t>Are procedures defined for external notifications (regulators, law enforcement, customers, media)?</t>
        </is>
      </c>
      <c r="D19" s="15" t="n"/>
      <c r="E19" s="15" t="n"/>
      <c r="F19" s="15" t="n"/>
      <c r="G19" s="16">
        <f>IF(D19="","",IF(OR(D19="No", D19="Partial", D19="Informal"), "Yes", "No"))</f>
        <v/>
      </c>
    </row>
    <row r="20">
      <c r="A20" s="6" t="inlineStr">
        <is>
          <t>Q16</t>
        </is>
      </c>
      <c r="B20" s="6" t="inlineStr">
        <is>
          <t>Regulatory Compliance</t>
        </is>
      </c>
      <c r="C20" s="14" t="inlineStr">
        <is>
          <t>Have applicable regulatory incident notification requirements been identified?</t>
        </is>
      </c>
      <c r="D20" s="15" t="n"/>
      <c r="E20" s="15" t="n"/>
      <c r="F20" s="15" t="n"/>
      <c r="G20" s="16">
        <f>IF(D20="","",IF(OR(D20="No", D20="Partial", D20="Informal"), "Yes", "No"))</f>
        <v/>
      </c>
    </row>
    <row r="21">
      <c r="A21" s="6" t="inlineStr">
        <is>
          <t>Q17</t>
        </is>
      </c>
      <c r="B21" s="6" t="inlineStr">
        <is>
          <t>Regulatory Compliance</t>
        </is>
      </c>
      <c r="C21" s="14" t="inlineStr">
        <is>
          <t>(If GDPR applies) Is GDPR 72-hour breach notification procedure documented?</t>
        </is>
      </c>
      <c r="D21" s="15" t="n"/>
      <c r="E21" s="15" t="n"/>
      <c r="F21" s="15" t="n"/>
      <c r="G21" s="16">
        <f>IF(D21="","",IF(OR(D21="No", D21="Partial", D21="Informal"), "Yes", "No"))</f>
        <v/>
      </c>
    </row>
    <row r="22">
      <c r="A22" s="6" t="inlineStr">
        <is>
          <t>Q18</t>
        </is>
      </c>
      <c r="B22" s="6" t="inlineStr">
        <is>
          <t>Regulatory Compliance</t>
        </is>
      </c>
      <c r="C22" s="14" t="inlineStr">
        <is>
          <t>(If Swiss nDSG applies) Is Swiss nDSG breach notification procedure documented?</t>
        </is>
      </c>
      <c r="D22" s="15" t="n"/>
      <c r="E22" s="15" t="n"/>
      <c r="F22" s="15" t="n"/>
      <c r="G22" s="16">
        <f>IF(D22="","",IF(OR(D22="No", D22="Partial", D22="Informal"), "Yes", "No"))</f>
        <v/>
      </c>
    </row>
    <row r="23">
      <c r="A23" s="6" t="inlineStr">
        <is>
          <t>Q19</t>
        </is>
      </c>
      <c r="B23" s="6" t="inlineStr">
        <is>
          <t>Regulatory Compliance</t>
        </is>
      </c>
      <c r="C23" s="14" t="inlineStr">
        <is>
          <t>(If PCI DSS v4.0.1 applies) Is PCI DSS v4.0.1 incident reporting procedure documented?</t>
        </is>
      </c>
      <c r="D23" s="15" t="n"/>
      <c r="E23" s="15" t="n"/>
      <c r="F23" s="15" t="n"/>
      <c r="G23" s="16">
        <f>IF(D23="","",IF(OR(D23="No", D23="Partial", D23="Informal"), "Yes", "No"))</f>
        <v/>
      </c>
    </row>
    <row r="24">
      <c r="A24" s="6" t="inlineStr">
        <is>
          <t>Q20</t>
        </is>
      </c>
      <c r="B24" s="6" t="inlineStr">
        <is>
          <t>Regulatory Compliance</t>
        </is>
      </c>
      <c r="C24" s="14" t="inlineStr">
        <is>
          <t>Are sector-specific incident reporting requirements documented (FINMA, DORA, NIS2, HIPAA, etc.)?</t>
        </is>
      </c>
      <c r="D24" s="15" t="n"/>
      <c r="E24" s="15" t="n"/>
      <c r="F24" s="15" t="n"/>
      <c r="G24" s="16">
        <f>IF(D24="","",IF(OR(D24="No", D24="Partial", D24="Informal"), "Yes", "No"))</f>
        <v/>
      </c>
    </row>
    <row r="25">
      <c r="A25" s="6" t="inlineStr">
        <is>
          <t>Q21</t>
        </is>
      </c>
      <c r="B25" s="6" t="inlineStr">
        <is>
          <t>Exception Management</t>
        </is>
      </c>
      <c r="C25" s="14" t="inlineStr">
        <is>
          <t>Is there a process for exceptions to incident management requirements?</t>
        </is>
      </c>
      <c r="D25" s="15" t="n"/>
      <c r="E25" s="15" t="n"/>
      <c r="F25" s="15" t="n"/>
      <c r="G25" s="16">
        <f>IF(D25="","",IF(OR(D25="No", D25="Partial", D25="Informal"), "Yes", "No"))</f>
        <v/>
      </c>
    </row>
    <row r="26">
      <c r="A26" s="6" t="inlineStr">
        <is>
          <t>Q22</t>
        </is>
      </c>
      <c r="B26" s="6" t="inlineStr">
        <is>
          <t>Exception Management</t>
        </is>
      </c>
      <c r="C26" s="14" t="inlineStr">
        <is>
          <t>Are current exceptions documented and approved?</t>
        </is>
      </c>
      <c r="D26" s="15" t="n"/>
      <c r="E26" s="15" t="n"/>
      <c r="F26" s="15" t="n"/>
      <c r="G26" s="16">
        <f>IF(D26="","",IF(OR(D26="No", D26="Partial", D26="Informal"), "Yes", "No"))</f>
        <v/>
      </c>
    </row>
    <row r="27">
      <c r="A27" s="6" t="inlineStr">
        <is>
          <t>Q23</t>
        </is>
      </c>
      <c r="B27" s="6" t="inlineStr">
        <is>
          <t>Policy Governance</t>
        </is>
      </c>
      <c r="C27" s="14" t="inlineStr">
        <is>
          <t>How is the incident management policy communicated to staff? (Select all: Repository/Onboarding/Training/Other)</t>
        </is>
      </c>
      <c r="D27" s="15" t="n"/>
      <c r="E27" s="15" t="n"/>
      <c r="F27" s="15" t="n"/>
      <c r="G27" s="16">
        <f>IF(D27="","",IF(OR(D27="No", D27="Partial", D27="Informal"), "Yes", "No"))</f>
        <v/>
      </c>
    </row>
    <row r="28">
      <c r="A28" s="6" t="inlineStr">
        <is>
          <t>Q24</t>
        </is>
      </c>
      <c r="B28" s="6" t="inlineStr">
        <is>
          <t>Policy Governance</t>
        </is>
      </c>
      <c r="C28" s="14" t="inlineStr">
        <is>
          <t>Can relevant staff easily access the incident management policy?</t>
        </is>
      </c>
      <c r="D28" s="15" t="n"/>
      <c r="E28" s="15" t="n"/>
      <c r="F28" s="15" t="n"/>
      <c r="G28" s="16">
        <f>IF(D28="","",IF(OR(D28="No", D28="Partial", D28="Informal"), "Yes", "No"))</f>
        <v/>
      </c>
    </row>
    <row r="29">
      <c r="A29" s="6" t="inlineStr">
        <is>
          <t>Q25</t>
        </is>
      </c>
      <c r="B29" s="6" t="inlineStr">
        <is>
          <t>Policy Governance</t>
        </is>
      </c>
      <c r="C29" s="14" t="inlineStr">
        <is>
          <t>When is the next scheduled policy review? (DD.MM.YYYY)</t>
        </is>
      </c>
      <c r="D29" s="15" t="n"/>
      <c r="E29" s="15" t="n"/>
      <c r="F29" s="15" t="n"/>
      <c r="G29" s="16">
        <f>IF(D29="","",IF(OR(D29="No", D29="Partial",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 Development,In Draft,N/A"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ORGANISATIONAL STRUCTURE</t>
        </is>
      </c>
    </row>
    <row r="2">
      <c r="A2" s="12" t="inlineStr">
        <is>
          <t>ISO/IEC 27001:2022 - Control A.5.24-28: Incident Management | CSIRT/SOC Model, Roles, Staffing, and RACI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Q26</t>
        </is>
      </c>
      <c r="B5" s="6" t="inlineStr">
        <is>
          <t>CSIRT/SOC Model</t>
        </is>
      </c>
      <c r="C5" s="14" t="inlineStr">
        <is>
          <t>What incident response organisational model does [Organisation] use?</t>
        </is>
      </c>
      <c r="D5" s="15" t="n"/>
      <c r="E5" s="15" t="n"/>
      <c r="F5" s="15" t="n"/>
      <c r="G5" s="16">
        <f>IF(D5="","",IF(OR(D5="No", D5="Vacant", D5="Barely Adequate"), "Yes", "No"))</f>
        <v/>
      </c>
    </row>
    <row r="6">
      <c r="A6" s="6" t="inlineStr">
        <is>
          <t>Q27</t>
        </is>
      </c>
      <c r="B6" s="6" t="inlineStr">
        <is>
          <t>CSIRT/SOC Model</t>
        </is>
      </c>
      <c r="C6" s="14" t="inlineStr">
        <is>
          <t>When was the CSIRT/SOC team established? (MM.YYYY)</t>
        </is>
      </c>
      <c r="D6" s="15" t="n"/>
      <c r="E6" s="15" t="n"/>
      <c r="F6" s="15" t="n"/>
      <c r="G6" s="16">
        <f>IF(D6="","",IF(OR(D6="No", D6="Vacant", D6="Barely Adequate"), "Yes", "No"))</f>
        <v/>
      </c>
    </row>
    <row r="7">
      <c r="A7" s="6" t="inlineStr">
        <is>
          <t>Q28</t>
        </is>
      </c>
      <c r="B7" s="6" t="inlineStr">
        <is>
          <t>CSIRT/SOC Model</t>
        </is>
      </c>
      <c r="C7" s="14" t="inlineStr">
        <is>
          <t>What coverage does the CSIRT/SOC provide?</t>
        </is>
      </c>
      <c r="D7" s="15" t="n"/>
      <c r="E7" s="15" t="n"/>
      <c r="F7" s="15" t="n"/>
      <c r="G7" s="16">
        <f>IF(D7="","",IF(OR(D7="No", D7="Vacant", D7="Barely Adequate"), "Yes", "No"))</f>
        <v/>
      </c>
    </row>
    <row r="8">
      <c r="A8" s="6" t="inlineStr">
        <is>
          <t>Q29</t>
        </is>
      </c>
      <c r="B8" s="6" t="inlineStr">
        <is>
          <t>CSIRT/SOC Model</t>
        </is>
      </c>
      <c r="C8" s="14" t="inlineStr">
        <is>
          <t>How many full-time equivalent (FTE) staff are dedicated to incident response?</t>
        </is>
      </c>
      <c r="D8" s="15" t="n"/>
      <c r="E8" s="15" t="n"/>
      <c r="F8" s="15" t="n"/>
      <c r="G8" s="16">
        <f>IF(D8="","",IF(OR(D8="No", D8="Vacant", D8="Barely Adequate"), "Yes", "No"))</f>
        <v/>
      </c>
    </row>
    <row r="9">
      <c r="A9" s="6" t="inlineStr">
        <is>
          <t>Q30</t>
        </is>
      </c>
      <c r="B9" s="6" t="inlineStr">
        <is>
          <t>CSIRT/SOC Model</t>
        </is>
      </c>
      <c r="C9" s="14" t="inlineStr">
        <is>
          <t>To whom does the CSIRT/SOC team report? (Title/Department)</t>
        </is>
      </c>
      <c r="D9" s="15" t="n"/>
      <c r="E9" s="15" t="n"/>
      <c r="F9" s="15" t="n"/>
      <c r="G9" s="16">
        <f>IF(D9="","",IF(OR(D9="No", D9="Vacant", D9="Barely Adequate"), "Yes", "No"))</f>
        <v/>
      </c>
    </row>
    <row r="10">
      <c r="A10" s="6" t="inlineStr">
        <is>
          <t>Q31</t>
        </is>
      </c>
      <c r="B10" s="6" t="inlineStr">
        <is>
          <t>Role Definitions</t>
        </is>
      </c>
      <c r="C10" s="14" t="inlineStr">
        <is>
          <t>Incident Manager - Does role exist? (Yes/No), Assigned to:</t>
        </is>
      </c>
      <c r="D10" s="15" t="n"/>
      <c r="E10" s="15" t="n"/>
      <c r="F10" s="15" t="n"/>
      <c r="G10" s="16">
        <f>IF(D10="","",IF(OR(D10="No", D10="Vacant", D10="Barely Adequate"), "Yes", "No"))</f>
        <v/>
      </c>
    </row>
    <row r="11">
      <c r="A11" s="6" t="inlineStr">
        <is>
          <t>Q32</t>
        </is>
      </c>
      <c r="B11" s="6" t="inlineStr">
        <is>
          <t>Role Definitions</t>
        </is>
      </c>
      <c r="C11" s="14" t="inlineStr">
        <is>
          <t>SOC Analyst Tier 1 - Does role exist? (Yes/No), Assigned to:</t>
        </is>
      </c>
      <c r="D11" s="15" t="n"/>
      <c r="E11" s="15" t="n"/>
      <c r="F11" s="15" t="n"/>
      <c r="G11" s="16">
        <f>IF(D11="","",IF(OR(D11="No", D11="Vacant", D11="Barely Adequate"), "Yes", "No"))</f>
        <v/>
      </c>
    </row>
    <row r="12">
      <c r="A12" s="6" t="inlineStr">
        <is>
          <t>Q33</t>
        </is>
      </c>
      <c r="B12" s="6" t="inlineStr">
        <is>
          <t>Role Definitions</t>
        </is>
      </c>
      <c r="C12" s="14" t="inlineStr">
        <is>
          <t>SOC Analyst Tier 2 - Does role exist? (Yes/No), Assigned to:</t>
        </is>
      </c>
      <c r="D12" s="15" t="n"/>
      <c r="E12" s="15" t="n"/>
      <c r="F12" s="15" t="n"/>
      <c r="G12" s="16">
        <f>IF(D12="","",IF(OR(D12="No", D12="Vacant", D12="Barely Adequate"), "Yes", "No"))</f>
        <v/>
      </c>
    </row>
    <row r="13">
      <c r="A13" s="6" t="inlineStr">
        <is>
          <t>Q34</t>
        </is>
      </c>
      <c r="B13" s="6" t="inlineStr">
        <is>
          <t>Role Definitions</t>
        </is>
      </c>
      <c r="C13" s="14" t="inlineStr">
        <is>
          <t>Forensic Specialist - Does role exist? (Yes/No), Assigned to:</t>
        </is>
      </c>
      <c r="D13" s="15" t="n"/>
      <c r="E13" s="15" t="n"/>
      <c r="F13" s="15" t="n"/>
      <c r="G13" s="16">
        <f>IF(D13="","",IF(OR(D13="No", D13="Vacant", D13="Barely Adequate"), "Yes", "No"))</f>
        <v/>
      </c>
    </row>
    <row r="14">
      <c r="A14" s="6" t="inlineStr">
        <is>
          <t>Q35</t>
        </is>
      </c>
      <c r="B14" s="6" t="inlineStr">
        <is>
          <t>Role Definitions</t>
        </is>
      </c>
      <c r="C14" s="14" t="inlineStr">
        <is>
          <t>Malware Analyst - Does role exist? (Yes/No), Assigned to:</t>
        </is>
      </c>
      <c r="D14" s="15" t="n"/>
      <c r="E14" s="15" t="n"/>
      <c r="F14" s="15" t="n"/>
      <c r="G14" s="16">
        <f>IF(D14="","",IF(OR(D14="No", D14="Vacant", D14="Barely Adequate"), "Yes", "No"))</f>
        <v/>
      </c>
    </row>
    <row r="15">
      <c r="A15" s="6" t="inlineStr">
        <is>
          <t>Q36</t>
        </is>
      </c>
      <c r="B15" s="6" t="inlineStr">
        <is>
          <t>Role Definitions</t>
        </is>
      </c>
      <c r="C15" s="14" t="inlineStr">
        <is>
          <t>Threat Intelligence Analyst - Does role exist? (Yes/No), Assigned to:</t>
        </is>
      </c>
      <c r="D15" s="15" t="n"/>
      <c r="E15" s="15" t="n"/>
      <c r="F15" s="15" t="n"/>
      <c r="G15" s="16">
        <f>IF(D15="","",IF(OR(D15="No", D15="Vacant", D15="Barely Adequate"), "Yes", "No"))</f>
        <v/>
      </c>
    </row>
    <row r="16">
      <c r="A16" s="6" t="inlineStr">
        <is>
          <t>Q37</t>
        </is>
      </c>
      <c r="B16" s="6" t="inlineStr">
        <is>
          <t>Role Definitions</t>
        </is>
      </c>
      <c r="C16" s="14" t="inlineStr">
        <is>
          <t>Communication Coordinator - Does role exist? (Yes/No), Assigned to:</t>
        </is>
      </c>
      <c r="D16" s="15" t="n"/>
      <c r="E16" s="15" t="n"/>
      <c r="F16" s="15" t="n"/>
      <c r="G16" s="16">
        <f>IF(D16="","",IF(OR(D16="No", D16="Vacant", D16="Barely Adequate"), "Yes", "No"))</f>
        <v/>
      </c>
    </row>
    <row r="17">
      <c r="A17" s="6" t="inlineStr">
        <is>
          <t>Q38</t>
        </is>
      </c>
      <c r="B17" s="6" t="inlineStr">
        <is>
          <t>Role Definitions</t>
        </is>
      </c>
      <c r="C17" s="14" t="inlineStr">
        <is>
          <t>Legal Representative - Does role exist? (Yes/No), Assigned to:</t>
        </is>
      </c>
      <c r="D17" s="15" t="n"/>
      <c r="E17" s="15" t="n"/>
      <c r="F17" s="15" t="n"/>
      <c r="G17" s="16">
        <f>IF(D17="","",IF(OR(D17="No", D17="Vacant", D17="Barely Adequate"), "Yes", "No"))</f>
        <v/>
      </c>
    </row>
    <row r="18">
      <c r="A18" s="6" t="inlineStr">
        <is>
          <t>Q39</t>
        </is>
      </c>
      <c r="B18" s="6" t="inlineStr">
        <is>
          <t>Role Definitions</t>
        </is>
      </c>
      <c r="C18" s="14" t="inlineStr">
        <is>
          <t>HR Representative - Does role exist? (Yes/No), Assigned to:</t>
        </is>
      </c>
      <c r="D18" s="15" t="n"/>
      <c r="E18" s="15" t="n"/>
      <c r="F18" s="15" t="n"/>
      <c r="G18" s="16">
        <f>IF(D18="","",IF(OR(D18="No", D18="Vacant", D18="Barely Adequate"), "Yes", "No"))</f>
        <v/>
      </c>
    </row>
    <row r="19">
      <c r="A19" s="6" t="inlineStr">
        <is>
          <t>Q40</t>
        </is>
      </c>
      <c r="B19" s="6" t="inlineStr">
        <is>
          <t>Role Definitions</t>
        </is>
      </c>
      <c r="C19" s="14" t="inlineStr">
        <is>
          <t>IT Operations Liaison - Does role exist? (Yes/No), Assigned to:</t>
        </is>
      </c>
      <c r="D19" s="15" t="n"/>
      <c r="E19" s="15" t="n"/>
      <c r="F19" s="15" t="n"/>
      <c r="G19" s="16">
        <f>IF(D19="","",IF(OR(D19="No", D19="Vacant", D19="Barely Adequate"), "Yes", "No"))</f>
        <v/>
      </c>
    </row>
    <row r="20">
      <c r="A20" s="6" t="inlineStr">
        <is>
          <t>Q41</t>
        </is>
      </c>
      <c r="B20" s="6" t="inlineStr">
        <is>
          <t>Role Definitions</t>
        </is>
      </c>
      <c r="C20" s="14" t="inlineStr">
        <is>
          <t>Business Unit Liaison - Does role exist? (Yes/No), Assigned to:</t>
        </is>
      </c>
      <c r="D20" s="15" t="n"/>
      <c r="E20" s="15" t="n"/>
      <c r="F20" s="15" t="n"/>
      <c r="G20" s="16">
        <f>IF(D20="","",IF(OR(D20="No", D20="Vacant", D20="Barely Adequate"), "Yes", "No"))</f>
        <v/>
      </c>
    </row>
    <row r="21">
      <c r="A21" s="6" t="inlineStr">
        <is>
          <t>Q42</t>
        </is>
      </c>
      <c r="B21" s="6" t="inlineStr">
        <is>
          <t>Role Definitions</t>
        </is>
      </c>
      <c r="C21" s="14" t="inlineStr">
        <is>
          <t>Third-Party Coordinator - Does role exist? (Yes/No), Assigned to:</t>
        </is>
      </c>
      <c r="D21" s="15" t="n"/>
      <c r="E21" s="15" t="n"/>
      <c r="F21" s="15" t="n"/>
      <c r="G21" s="16">
        <f>IF(D21="","",IF(OR(D21="No", D21="Vacant", D21="Barely Adequate"), "Yes", "No"))</f>
        <v/>
      </c>
    </row>
    <row r="22">
      <c r="A22" s="6" t="inlineStr">
        <is>
          <t>Q43</t>
        </is>
      </c>
      <c r="B22" s="6" t="inlineStr">
        <is>
          <t>Role Definitions</t>
        </is>
      </c>
      <c r="C22" s="14" t="inlineStr">
        <is>
          <t>Executive Sponsor - Does role exist? (Yes/No), Assigned to:</t>
        </is>
      </c>
      <c r="D22" s="15" t="n"/>
      <c r="E22" s="15" t="n"/>
      <c r="F22" s="15" t="n"/>
      <c r="G22" s="16">
        <f>IF(D22="","",IF(OR(D22="No", D22="Vacant", D22="Barely Adequate"), "Yes", "No"))</f>
        <v/>
      </c>
    </row>
    <row r="23">
      <c r="A23" s="6" t="inlineStr">
        <is>
          <t>Q44</t>
        </is>
      </c>
      <c r="B23" s="6" t="inlineStr">
        <is>
          <t>Role Definitions</t>
        </is>
      </c>
      <c r="C23" s="14" t="inlineStr">
        <is>
          <t>On-Call Engineer - Does role exist? (Yes/No), Assigned to:</t>
        </is>
      </c>
      <c r="D23" s="15" t="n"/>
      <c r="E23" s="15" t="n"/>
      <c r="F23" s="15" t="n"/>
      <c r="G23" s="16">
        <f>IF(D23="","",IF(OR(D23="No", D23="Vacant", D23="Barely Adequate"), "Yes", "No"))</f>
        <v/>
      </c>
    </row>
    <row r="24">
      <c r="A24" s="6" t="inlineStr">
        <is>
          <t>Q45</t>
        </is>
      </c>
      <c r="B24" s="6" t="inlineStr">
        <is>
          <t>Role Definitions</t>
        </is>
      </c>
      <c r="C24" s="14" t="inlineStr">
        <is>
          <t>Other Roles - List any additional incident response roles:</t>
        </is>
      </c>
      <c r="D24" s="15" t="n"/>
      <c r="E24" s="15" t="n"/>
      <c r="F24" s="15" t="n"/>
      <c r="G24" s="16">
        <f>IF(D24="","",IF(OR(D24="No", D24="Vacant", D24="Barely Adequate"), "Yes", "No"))</f>
        <v/>
      </c>
    </row>
    <row r="25">
      <c r="A25" s="6" t="inlineStr">
        <is>
          <t>Q46</t>
        </is>
      </c>
      <c r="B25" s="6" t="inlineStr">
        <is>
          <t>RACI Matrix</t>
        </is>
      </c>
      <c r="C25" s="14" t="inlineStr">
        <is>
          <t>Is there a documented RACI matrix for incident management roles?</t>
        </is>
      </c>
      <c r="D25" s="15" t="n"/>
      <c r="E25" s="15" t="n"/>
      <c r="F25" s="15" t="n"/>
      <c r="G25" s="16">
        <f>IF(D25="","",IF(OR(D25="No", D25="Vacant", D25="Barely Adequate"), "Yes", "No"))</f>
        <v/>
      </c>
    </row>
    <row r="26">
      <c r="A26" s="6" t="inlineStr">
        <is>
          <t>Q47</t>
        </is>
      </c>
      <c r="B26" s="6" t="inlineStr">
        <is>
          <t>RACI Matrix</t>
        </is>
      </c>
      <c r="C26" s="14" t="inlineStr">
        <is>
          <t>Overall, are roles and responsibilities clear and unambiguous?</t>
        </is>
      </c>
      <c r="D26" s="15" t="n"/>
      <c r="E26" s="15" t="n"/>
      <c r="F26" s="15" t="n"/>
      <c r="G26" s="16">
        <f>IF(D26="","",IF(OR(D26="No", D26="Vacant", D26="Barely Adequate"), "Yes", "No"))</f>
        <v/>
      </c>
    </row>
    <row r="27">
      <c r="A27" s="6" t="inlineStr">
        <is>
          <t>Q48</t>
        </is>
      </c>
      <c r="B27" s="6" t="inlineStr">
        <is>
          <t>RACI Matrix</t>
        </is>
      </c>
      <c r="C27" s="14" t="inlineStr">
        <is>
          <t>When was the RACI matrix last reviewed/updated? (DD.MM.YYYY)</t>
        </is>
      </c>
      <c r="D27" s="15" t="n"/>
      <c r="E27" s="15" t="n"/>
      <c r="F27" s="15" t="n"/>
      <c r="G27" s="16">
        <f>IF(D27="","",IF(OR(D27="No", D27="Vacant", D27="Barely Adequate"), "Yes", "No"))</f>
        <v/>
      </c>
    </row>
    <row r="28">
      <c r="A28" s="6" t="inlineStr">
        <is>
          <t>Q49</t>
        </is>
      </c>
      <c r="B28" s="6" t="inlineStr">
        <is>
          <t>Staffing Adequacy</t>
        </is>
      </c>
      <c r="C28" s="14" t="inlineStr">
        <is>
          <t>Is current staffing adequate to support stated coverage?</t>
        </is>
      </c>
      <c r="D28" s="15" t="n"/>
      <c r="E28" s="15" t="n"/>
      <c r="F28" s="15" t="n"/>
      <c r="G28" s="16">
        <f>IF(D28="","",IF(OR(D28="No", D28="Vacant", D28="Barely Adequate"), "Yes", "No"))</f>
        <v/>
      </c>
    </row>
    <row r="29">
      <c r="A29" s="6" t="inlineStr">
        <is>
          <t>Q50</t>
        </is>
      </c>
      <c r="B29" s="6" t="inlineStr">
        <is>
          <t>Staffing Adequacy</t>
        </is>
      </c>
      <c r="C29" s="14" t="inlineStr">
        <is>
          <t>What is the CSIRT/SOC annual turnover rate? (%)</t>
        </is>
      </c>
      <c r="D29" s="15" t="n"/>
      <c r="E29" s="15" t="n"/>
      <c r="F29" s="15" t="n"/>
      <c r="G29" s="16">
        <f>IF(D29="","",IF(OR(D29="No", D29="Vacant", D29="Barely Adequate"), "Yes", "No"))</f>
        <v/>
      </c>
    </row>
    <row r="30">
      <c r="A30" s="6" t="inlineStr">
        <is>
          <t>Q51</t>
        </is>
      </c>
      <c r="B30" s="6" t="inlineStr">
        <is>
          <t>Staffing Adequacy</t>
        </is>
      </c>
      <c r="C30" s="14" t="inlineStr">
        <is>
          <t>Is there succession planning for key incident response roles?</t>
        </is>
      </c>
      <c r="D30" s="15" t="n"/>
      <c r="E30" s="15" t="n"/>
      <c r="F30" s="15" t="n"/>
      <c r="G30" s="16">
        <f>IF(D30="","",IF(OR(D30="No", D30="Vacant", D30="Barely Adequate"), "Yes", "No"))</f>
        <v/>
      </c>
    </row>
    <row r="31">
      <c r="A31" s="6" t="inlineStr">
        <is>
          <t>Q52</t>
        </is>
      </c>
      <c r="B31" s="6" t="inlineStr">
        <is>
          <t>Staffing Adequacy</t>
        </is>
      </c>
      <c r="C31" s="14" t="inlineStr">
        <is>
          <t>Have skill gaps in the incident response team been identified?</t>
        </is>
      </c>
      <c r="D31" s="15" t="n"/>
      <c r="E31" s="15" t="n"/>
      <c r="F31" s="15" t="n"/>
      <c r="G31" s="16">
        <f>IF(D31="","",IF(OR(D31="No", D31="Vacant", D31="Barely Adequate"), "Yes", "No"))</f>
        <v/>
      </c>
    </row>
    <row r="32">
      <c r="A32" s="6" t="inlineStr">
        <is>
          <t>Q53</t>
        </is>
      </c>
      <c r="B32" s="6" t="inlineStr">
        <is>
          <t>Management Visibility</t>
        </is>
      </c>
      <c r="C32" s="14" t="inlineStr">
        <is>
          <t>How frequently does CSIRT report to management (CISO, CIO, or Executive)?</t>
        </is>
      </c>
      <c r="D32" s="15" t="n"/>
      <c r="E32" s="15" t="n"/>
      <c r="F32" s="15" t="n"/>
      <c r="G32" s="16">
        <f>IF(D32="","",IF(OR(D32="No", D32="Vacant", D32="Barely Adequate"), "Yes", "No"))</f>
        <v/>
      </c>
    </row>
    <row r="33">
      <c r="A33" s="6" t="inlineStr">
        <is>
          <t>Q54</t>
        </is>
      </c>
      <c r="B33" s="6" t="inlineStr">
        <is>
          <t>Management Visibility</t>
        </is>
      </c>
      <c r="C33" s="14" t="inlineStr">
        <is>
          <t>Are incident management performance metrics defined and tracked?</t>
        </is>
      </c>
      <c r="D33" s="15" t="n"/>
      <c r="E33" s="15" t="n"/>
      <c r="F33" s="15" t="n"/>
      <c r="G33" s="16">
        <f>IF(D33="","",IF(OR(D33="No", D33="Vacant", D33="Barely Adequate"), "Yes", "No"))</f>
        <v/>
      </c>
    </row>
    <row r="34">
      <c r="A34" s="6" t="inlineStr">
        <is>
          <t>Q55</t>
        </is>
      </c>
      <c r="B34" s="6" t="inlineStr">
        <is>
          <t>Management Visibility</t>
        </is>
      </c>
      <c r="C34" s="14" t="inlineStr">
        <is>
          <t>Is there a protocol for briefing the Board of Directors on material incidents?</t>
        </is>
      </c>
      <c r="D34" s="15" t="n"/>
      <c r="E34" s="15" t="n"/>
      <c r="F34" s="15" t="n"/>
      <c r="G34" s="16">
        <f>IF(D34="","",IF(OR(D34="No", D34="Vacant", D34="Barely Adequate"),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"Fully Staffed,Partially Staffed,Vacant,Barely Adequate,Yes,No,Informal,N/A"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TRAINING &amp; COMPETENCY</t>
        </is>
      </c>
    </row>
    <row r="2">
      <c r="A2" s="12" t="inlineStr">
        <is>
          <t>ISO/IEC 27001:2022 - Control A.5.24-28: Incident Management | Training Programs, Exercises, and Certifications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Q56</t>
        </is>
      </c>
      <c r="B5" s="6" t="inlineStr">
        <is>
          <t>Training Program</t>
        </is>
      </c>
      <c r="C5" s="14" t="inlineStr">
        <is>
          <t>Does [Organisation] have a documented incident response training program?</t>
        </is>
      </c>
      <c r="D5" s="15" t="n"/>
      <c r="E5" s="15" t="n"/>
      <c r="F5" s="15" t="n"/>
      <c r="G5" s="16">
        <f>IF(D5="","",IF(OR(D5="No", D5&lt;95, D5="Never"), "Yes", "No"))</f>
        <v/>
      </c>
    </row>
    <row r="6">
      <c r="A6" s="6" t="inlineStr">
        <is>
          <t>Q57</t>
        </is>
      </c>
      <c r="B6" s="6" t="inlineStr">
        <is>
          <t>Training Program</t>
        </is>
      </c>
      <c r="C6" s="14" t="inlineStr">
        <is>
          <t>Do all staff receive annual security awareness training including incident reporting?</t>
        </is>
      </c>
      <c r="D6" s="15" t="n"/>
      <c r="E6" s="15" t="n"/>
      <c r="F6" s="15" t="n"/>
      <c r="G6" s="16">
        <f>IF(D6="","",IF(OR(D6="No", D6&lt;95, D6="Never"), "Yes", "No"))</f>
        <v/>
      </c>
    </row>
    <row r="7">
      <c r="A7" s="6" t="inlineStr">
        <is>
          <t>Q58</t>
        </is>
      </c>
      <c r="B7" s="6" t="inlineStr">
        <is>
          <t>Training Program</t>
        </is>
      </c>
      <c r="C7" s="14" t="inlineStr">
        <is>
          <t>What percentage of staff completed incident reporting awareness training in the last 12 months? (%)</t>
        </is>
      </c>
      <c r="D7" s="15" t="n"/>
      <c r="E7" s="15" t="n"/>
      <c r="F7" s="15" t="n"/>
      <c r="G7" s="16">
        <f>IF(D7="","",IF(OR(D7="No", D7&lt;95, D7="Never"), "Yes", "No"))</f>
        <v/>
      </c>
    </row>
    <row r="8">
      <c r="A8" s="6" t="inlineStr">
        <is>
          <t>Q59</t>
        </is>
      </c>
      <c r="B8" s="6" t="inlineStr">
        <is>
          <t>Training Program</t>
        </is>
      </c>
      <c r="C8" s="14" t="inlineStr">
        <is>
          <t>Do CSIRT members receive specialized incident response training?</t>
        </is>
      </c>
      <c r="D8" s="15" t="n"/>
      <c r="E8" s="15" t="n"/>
      <c r="F8" s="15" t="n"/>
      <c r="G8" s="16">
        <f>IF(D8="","",IF(OR(D8="No", D8&lt;95, D8="Never"), "Yes", "No"))</f>
        <v/>
      </c>
    </row>
    <row r="9">
      <c r="A9" s="6" t="inlineStr">
        <is>
          <t>Q60</t>
        </is>
      </c>
      <c r="B9" s="6" t="inlineStr">
        <is>
          <t>Training Program</t>
        </is>
      </c>
      <c r="C9" s="14" t="inlineStr">
        <is>
          <t>Is there a dedicated budget for incident response training (courses, certifications, conferences)?</t>
        </is>
      </c>
      <c r="D9" s="15" t="n"/>
      <c r="E9" s="15" t="n"/>
      <c r="F9" s="15" t="n"/>
      <c r="G9" s="16">
        <f>IF(D9="","",IF(OR(D9="No", D9&lt;95, D9="Never"), "Yes", "No"))</f>
        <v/>
      </c>
    </row>
    <row r="10">
      <c r="A10" s="6" t="inlineStr">
        <is>
          <t>Q61</t>
        </is>
      </c>
      <c r="B10" s="6" t="inlineStr">
        <is>
          <t>Tabletop Exercises</t>
        </is>
      </c>
      <c r="C10" s="14" t="inlineStr">
        <is>
          <t>How often does [Organisation] conduct incident response tabletop exercises?</t>
        </is>
      </c>
      <c r="D10" s="15" t="n"/>
      <c r="E10" s="15" t="n"/>
      <c r="F10" s="15" t="n"/>
      <c r="G10" s="16">
        <f>IF(D10="","",IF(OR(D10="No", D10&lt;95, D10="Never"), "Yes", "No"))</f>
        <v/>
      </c>
    </row>
    <row r="11">
      <c r="A11" s="6" t="inlineStr">
        <is>
          <t>Q62</t>
        </is>
      </c>
      <c r="B11" s="6" t="inlineStr">
        <is>
          <t>Tabletop Exercises</t>
        </is>
      </c>
      <c r="C11" s="14" t="inlineStr">
        <is>
          <t>When was the most recent tabletop exercise conducted? (DD.MM.YYYY)</t>
        </is>
      </c>
      <c r="D11" s="15" t="n"/>
      <c r="E11" s="15" t="n"/>
      <c r="F11" s="15" t="n"/>
      <c r="G11" s="16">
        <f>IF(D11="","",IF(OR(D11="No", D11&lt;95, D11="Never"), "Yes", "No"))</f>
        <v/>
      </c>
    </row>
    <row r="12">
      <c r="A12" s="6" t="inlineStr">
        <is>
          <t>Q63</t>
        </is>
      </c>
      <c r="B12" s="6" t="inlineStr">
        <is>
          <t>Tabletop Exercises</t>
        </is>
      </c>
      <c r="C12" s="14" t="inlineStr">
        <is>
          <t>Do tabletop exercises cover a variety of incident types?</t>
        </is>
      </c>
      <c r="D12" s="15" t="n"/>
      <c r="E12" s="15" t="n"/>
      <c r="F12" s="15" t="n"/>
      <c r="G12" s="16">
        <f>IF(D12="","",IF(OR(D12="No", D12&lt;95, D12="Never"), "Yes", "No"))</f>
        <v/>
      </c>
    </row>
    <row r="13">
      <c r="A13" s="6" t="inlineStr">
        <is>
          <t>Q64</t>
        </is>
      </c>
      <c r="B13" s="6" t="inlineStr">
        <is>
          <t>Tabletop Exercises</t>
        </is>
      </c>
      <c r="C13" s="14" t="inlineStr">
        <is>
          <t>Who typically participates in tabletop exercises? (Select all: CSIRT/IT Ops/Legal/HR/Management/Executive/Board/External)</t>
        </is>
      </c>
      <c r="D13" s="15" t="n"/>
      <c r="E13" s="15" t="n"/>
      <c r="F13" s="15" t="n"/>
      <c r="G13" s="16">
        <f>IF(D13="","",IF(OR(D13="No", D13&lt;95, D13="Never"), "Yes", "No"))</f>
        <v/>
      </c>
    </row>
    <row r="14">
      <c r="A14" s="6" t="inlineStr">
        <is>
          <t>Q65</t>
        </is>
      </c>
      <c r="B14" s="6" t="inlineStr">
        <is>
          <t>Tabletop Exercises</t>
        </is>
      </c>
      <c r="C14" s="14" t="inlineStr">
        <is>
          <t>Are lessons learned from tabletop exercises documented and acted upon?</t>
        </is>
      </c>
      <c r="D14" s="15" t="n"/>
      <c r="E14" s="15" t="n"/>
      <c r="F14" s="15" t="n"/>
      <c r="G14" s="16">
        <f>IF(D14="","",IF(OR(D14="No", D14&lt;95, D14="Never"), "Yes", "No"))</f>
        <v/>
      </c>
    </row>
    <row r="15">
      <c r="A15" s="6" t="inlineStr">
        <is>
          <t>Q66</t>
        </is>
      </c>
      <c r="B15" s="6" t="inlineStr">
        <is>
          <t>Simulation &amp; Testing</t>
        </is>
      </c>
      <c r="C15" s="14" t="inlineStr">
        <is>
          <t>Does [Organisation] conduct full-scale incident response exercises (beyond tabletop)?</t>
        </is>
      </c>
      <c r="D15" s="15" t="n"/>
      <c r="E15" s="15" t="n"/>
      <c r="F15" s="15" t="n"/>
      <c r="G15" s="16">
        <f>IF(D15="","",IF(OR(D15="No", D15&lt;95, D15="Never"), "Yes", "No"))</f>
        <v/>
      </c>
    </row>
    <row r="16">
      <c r="A16" s="6" t="inlineStr">
        <is>
          <t>Q67</t>
        </is>
      </c>
      <c r="B16" s="6" t="inlineStr">
        <is>
          <t>Simulation &amp; Testing</t>
        </is>
      </c>
      <c r="C16" s="14" t="inlineStr">
        <is>
          <t>Does [Organisation] use breach simulation or attack simulation tools?</t>
        </is>
      </c>
      <c r="D16" s="15" t="n"/>
      <c r="E16" s="15" t="n"/>
      <c r="F16" s="15" t="n"/>
      <c r="G16" s="16">
        <f>IF(D16="","",IF(OR(D16="No", D16&lt;95, D16="Never"), "Yes", "No"))</f>
        <v/>
      </c>
    </row>
    <row r="17">
      <c r="A17" s="6" t="inlineStr">
        <is>
          <t>Q68</t>
        </is>
      </c>
      <c r="B17" s="6" t="inlineStr">
        <is>
          <t>Simulation &amp; Testing</t>
        </is>
      </c>
      <c r="C17" s="14" t="inlineStr">
        <is>
          <t>Are drills conducted specifically for regulatory breach notification (GDPR 72-hour, PCI DSS v4.0.1, etc.)?</t>
        </is>
      </c>
      <c r="D17" s="15" t="n"/>
      <c r="E17" s="15" t="n"/>
      <c r="F17" s="15" t="n"/>
      <c r="G17" s="16">
        <f>IF(D17="","",IF(OR(D17="No", D17&lt;95, D17="Never"), "Yes", "No"))</f>
        <v/>
      </c>
    </row>
    <row r="18">
      <c r="A18" s="6" t="inlineStr">
        <is>
          <t>Q69</t>
        </is>
      </c>
      <c r="B18" s="6" t="inlineStr">
        <is>
          <t>Competency &amp; Certification</t>
        </is>
      </c>
      <c r="C18" s="14" t="inlineStr">
        <is>
          <t>Are competency requirements defined for incident response roles?</t>
        </is>
      </c>
      <c r="D18" s="15" t="n"/>
      <c r="E18" s="15" t="n"/>
      <c r="F18" s="15" t="n"/>
      <c r="G18" s="16">
        <f>IF(D18="","",IF(OR(D18="No", D18&lt;95, D18="Never"), "Yes", "No"))</f>
        <v/>
      </c>
    </row>
    <row r="19">
      <c r="A19" s="6" t="inlineStr">
        <is>
          <t>Q70</t>
        </is>
      </c>
      <c r="B19" s="6" t="inlineStr">
        <is>
          <t>Competency &amp; Certification</t>
        </is>
      </c>
      <c r="C19" s="14" t="inlineStr">
        <is>
          <t>Does [Organisation] track security certifications for CSIRT members?</t>
        </is>
      </c>
      <c r="D19" s="15" t="n"/>
      <c r="E19" s="15" t="n"/>
      <c r="F19" s="15" t="n"/>
      <c r="G19" s="16">
        <f>IF(D19="","",IF(OR(D19="No", D19&lt;95, D19="Never"), "Yes", "No"))</f>
        <v/>
      </c>
    </row>
    <row r="20">
      <c r="A20" s="6" t="inlineStr">
        <is>
          <t>Q71</t>
        </is>
      </c>
      <c r="B20" s="6" t="inlineStr">
        <is>
          <t>Competency &amp; Certification</t>
        </is>
      </c>
      <c r="C20" s="14" t="inlineStr">
        <is>
          <t>Are certifications current (not expired)?</t>
        </is>
      </c>
      <c r="D20" s="15" t="n"/>
      <c r="E20" s="15" t="n"/>
      <c r="F20" s="15" t="n"/>
      <c r="G20" s="16">
        <f>IF(D20="","",IF(OR(D20="No", D20&lt;95, D20="Never"), "Yes", "No"))</f>
        <v/>
      </c>
    </row>
    <row r="21">
      <c r="A21" s="6" t="inlineStr">
        <is>
          <t>Q72</t>
        </is>
      </c>
      <c r="B21" s="6" t="inlineStr">
        <is>
          <t>Competency &amp; Certification</t>
        </is>
      </c>
      <c r="C21" s="14" t="inlineStr">
        <is>
          <t>Is there a documented onboarding process for new CSIRT members?</t>
        </is>
      </c>
      <c r="D21" s="15" t="n"/>
      <c r="E21" s="15" t="n"/>
      <c r="F21" s="15" t="n"/>
      <c r="G21" s="16">
        <f>IF(D21="","",IF(OR(D21="No", D21&lt;95, D21="Never"), "Yes", "No"))</f>
        <v/>
      </c>
    </row>
    <row r="22">
      <c r="A22" s="6" t="inlineStr">
        <is>
          <t>Q73</t>
        </is>
      </c>
      <c r="B22" s="6" t="inlineStr">
        <is>
          <t>Training Effectiveness</t>
        </is>
      </c>
      <c r="C22" s="14" t="inlineStr">
        <is>
          <t>Is training effectiveness measured (beyond completion tracking)?</t>
        </is>
      </c>
      <c r="D22" s="15" t="n"/>
      <c r="E22" s="15" t="n"/>
      <c r="F22" s="15" t="n"/>
      <c r="G22" s="16">
        <f>IF(D22="","",IF(OR(D22="No", D22&lt;95, D22="Never"), "Yes", "No"))</f>
        <v/>
      </c>
    </row>
    <row r="23">
      <c r="A23" s="6" t="inlineStr">
        <is>
          <t>Q74</t>
        </is>
      </c>
      <c r="B23" s="6" t="inlineStr">
        <is>
          <t>Training Effectiveness</t>
        </is>
      </c>
      <c r="C23" s="14" t="inlineStr">
        <is>
          <t>Is feedback collected from training participants?</t>
        </is>
      </c>
      <c r="D23" s="15" t="n"/>
      <c r="E23" s="15" t="n"/>
      <c r="F23" s="15" t="n"/>
      <c r="G23" s="16">
        <f>IF(D23="","",IF(OR(D23="No", D23&lt;95, D23="Never"), "Yes", "No"))</f>
        <v/>
      </c>
    </row>
    <row r="24">
      <c r="A24" s="6" t="inlineStr">
        <is>
          <t>Q75</t>
        </is>
      </c>
      <c r="B24" s="6" t="inlineStr">
        <is>
          <t>Training Effectiveness</t>
        </is>
      </c>
      <c r="C24" s="14" t="inlineStr">
        <is>
          <t>Have training gaps been identified through exercises or actual incidents?</t>
        </is>
      </c>
      <c r="D24" s="15" t="n"/>
      <c r="E24" s="15" t="n"/>
      <c r="F24" s="15" t="n"/>
      <c r="G24" s="16">
        <f>IF(D24="","",IF(OR(D24="No", D24&lt;95, D24="Never"), "Yes", "No"))</f>
        <v/>
      </c>
    </row>
    <row r="25">
      <c r="A25" s="6" t="inlineStr">
        <is>
          <t>Q76</t>
        </is>
      </c>
      <c r="B25" s="6" t="inlineStr">
        <is>
          <t>Training Records</t>
        </is>
      </c>
      <c r="C25" s="14" t="inlineStr">
        <is>
          <t>Are training records maintained and accessible for audit purposes?</t>
        </is>
      </c>
      <c r="D25" s="15" t="n"/>
      <c r="E25" s="15" t="n"/>
      <c r="F25" s="15" t="n"/>
      <c r="G25" s="16">
        <f>IF(D25="","",IF(OR(D25="No", D25&lt;95, D25="Never"), "Yes", "No"))</f>
        <v/>
      </c>
    </row>
    <row r="26">
      <c r="A26" s="6" t="inlineStr">
        <is>
          <t>Q77</t>
        </is>
      </c>
      <c r="B26" s="6" t="inlineStr">
        <is>
          <t>Training Records</t>
        </is>
      </c>
      <c r="C26" s="14" t="inlineStr">
        <is>
          <t>How long are training records retained? (Years)</t>
        </is>
      </c>
      <c r="D26" s="15" t="n"/>
      <c r="E26" s="15" t="n"/>
      <c r="F26" s="15" t="n"/>
      <c r="G26" s="16">
        <f>IF(D26="","",IF(OR(D26="No", D26&lt;95, D26="Never"), "Yes", "No"))</f>
        <v/>
      </c>
    </row>
    <row r="27">
      <c r="A27" s="6" t="inlineStr">
        <is>
          <t>Q78</t>
        </is>
      </c>
      <c r="B27" s="6" t="inlineStr">
        <is>
          <t>External Training</t>
        </is>
      </c>
      <c r="C27" s="14" t="inlineStr">
        <is>
          <t>Have CSIRT members attended external training in the last 12 months?</t>
        </is>
      </c>
      <c r="D27" s="15" t="n"/>
      <c r="E27" s="15" t="n"/>
      <c r="F27" s="15" t="n"/>
      <c r="G27" s="16">
        <f>IF(D27="","",IF(OR(D27="No", D27&lt;95, D27="Never"), "Yes", "No"))</f>
        <v/>
      </c>
    </row>
    <row r="28">
      <c r="A28" s="6" t="inlineStr">
        <is>
          <t>Q79</t>
        </is>
      </c>
      <c r="B28" s="6" t="inlineStr">
        <is>
          <t>Certification Goals</t>
        </is>
      </c>
      <c r="C28" s="14" t="inlineStr">
        <is>
          <t>Are certification goals set for CSIRT members?</t>
        </is>
      </c>
      <c r="D28" s="15" t="n"/>
      <c r="E28" s="15" t="n"/>
      <c r="F28" s="15" t="n"/>
      <c r="G28" s="16">
        <f>IF(D28="","",IF(OR(D28="No", D28&lt;95, D28="Never"), "Yes", "No"))</f>
        <v/>
      </c>
    </row>
    <row r="29">
      <c r="A29" s="6" t="inlineStr">
        <is>
          <t>Q80</t>
        </is>
      </c>
      <c r="B29" s="6" t="inlineStr">
        <is>
          <t>Training Budget</t>
        </is>
      </c>
      <c r="C29" s="14" t="inlineStr">
        <is>
          <t>What percentage of security budget is allocated to incident response training? (%)</t>
        </is>
      </c>
      <c r="D29" s="15" t="n"/>
      <c r="E29" s="15" t="n"/>
      <c r="F29" s="15" t="n"/>
      <c r="G29" s="16">
        <f>IF(D29="","",IF(OR(D29="No", D29&lt;95, D29="Never"),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"Yes,No,In Progress,Never,N/A"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TOOLS &amp; TECHNOLOGY</t>
        </is>
      </c>
    </row>
    <row r="2">
      <c r="A2" s="12" t="inlineStr">
        <is>
          <t>ISO/IEC 27001:2022 - Control A.5.24-28: Incident Management | Ticketing, SIEM, Forensics, Communication, and Automation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Q81</t>
        </is>
      </c>
      <c r="B5" s="6" t="inlineStr">
        <is>
          <t>Ticketing</t>
        </is>
      </c>
      <c r="C5" s="14" t="inlineStr">
        <is>
          <t>Does [Organisation] have a dedicated incident ticketing/tracking system?</t>
        </is>
      </c>
      <c r="D5" s="15" t="n"/>
      <c r="E5" s="15" t="n"/>
      <c r="F5" s="15" t="n"/>
      <c r="G5" s="16">
        <f>IF(D5="","",IF(OR(D5="No", D5="None", D5="N/A"), "Yes", "No"))</f>
        <v/>
      </c>
    </row>
    <row r="6">
      <c r="A6" s="6" t="inlineStr">
        <is>
          <t>Q82</t>
        </is>
      </c>
      <c r="B6" s="6" t="inlineStr">
        <is>
          <t>Ticketing</t>
        </is>
      </c>
      <c r="C6" s="14" t="inlineStr">
        <is>
          <t>What features does the incident ticketing system provide? (Select all: Creation/Severity/Timeline/Evidence/Tasks/Collaboration/Escalation/Integration/Reporting/Playbooks)</t>
        </is>
      </c>
      <c r="D6" s="15" t="n"/>
      <c r="E6" s="15" t="n"/>
      <c r="F6" s="15" t="n"/>
      <c r="G6" s="16">
        <f>IF(D6="","",IF(OR(D6="No", D6="None", D6="N/A"), "Yes", "No"))</f>
        <v/>
      </c>
    </row>
    <row r="7">
      <c r="A7" s="6" t="inlineStr">
        <is>
          <t>Q83</t>
        </is>
      </c>
      <c r="B7" s="6" t="inlineStr">
        <is>
          <t>Ticketing</t>
        </is>
      </c>
      <c r="C7" s="14" t="inlineStr">
        <is>
          <t>How long are incident tickets retained? (Years)</t>
        </is>
      </c>
      <c r="D7" s="15" t="n"/>
      <c r="E7" s="15" t="n"/>
      <c r="F7" s="15" t="n"/>
      <c r="G7" s="16">
        <f>IF(D7="","",IF(OR(D7="No", D7="None", D7="N/A"), "Yes", "No"))</f>
        <v/>
      </c>
    </row>
    <row r="8">
      <c r="A8" s="6" t="inlineStr">
        <is>
          <t>Q84</t>
        </is>
      </c>
      <c r="B8" s="6" t="inlineStr">
        <is>
          <t>Ticketing</t>
        </is>
      </c>
      <c r="C8" s="14" t="inlineStr">
        <is>
          <t>Are access controls implemented for incident tickets (need-to-know basis)?</t>
        </is>
      </c>
      <c r="D8" s="15" t="n"/>
      <c r="E8" s="15" t="n"/>
      <c r="F8" s="15" t="n"/>
      <c r="G8" s="16">
        <f>IF(D8="","",IF(OR(D8="No", D8="None", D8="N/A"), "Yes", "No"))</f>
        <v/>
      </c>
    </row>
    <row r="9">
      <c r="A9" s="6" t="inlineStr">
        <is>
          <t>Q85</t>
        </is>
      </c>
      <c r="B9" s="6" t="inlineStr">
        <is>
          <t>SIEM</t>
        </is>
      </c>
      <c r="C9" s="14" t="inlineStr">
        <is>
          <t>Does [Organisation] have a Security Information and Event Management (SIEM) system?</t>
        </is>
      </c>
      <c r="D9" s="15" t="n"/>
      <c r="E9" s="15" t="n"/>
      <c r="F9" s="15" t="n"/>
      <c r="G9" s="16">
        <f>IF(D9="","",IF(OR(D9="No", D9="None", D9="N/A"), "Yes", "No"))</f>
        <v/>
      </c>
    </row>
    <row r="10">
      <c r="A10" s="6" t="inlineStr">
        <is>
          <t>Q86</t>
        </is>
      </c>
      <c r="B10" s="6" t="inlineStr">
        <is>
          <t>SIEM</t>
        </is>
      </c>
      <c r="C10" s="14" t="inlineStr">
        <is>
          <t>How many log sources feed into the SIEM? (Number)</t>
        </is>
      </c>
      <c r="D10" s="15" t="n"/>
      <c r="E10" s="15" t="n"/>
      <c r="F10" s="15" t="n"/>
      <c r="G10" s="16">
        <f>IF(D10="","",IF(OR(D10="No", D10="None", D10="N/A"), "Yes", "No"))</f>
        <v/>
      </c>
    </row>
    <row r="11">
      <c r="A11" s="6" t="inlineStr">
        <is>
          <t>Q87</t>
        </is>
      </c>
      <c r="B11" s="6" t="inlineStr">
        <is>
          <t>SIEM</t>
        </is>
      </c>
      <c r="C11" s="14" t="inlineStr">
        <is>
          <t>Is the SIEM integrated with the incident ticketing system (automatic ticket creation)?</t>
        </is>
      </c>
      <c r="D11" s="15" t="n"/>
      <c r="E11" s="15" t="n"/>
      <c r="F11" s="15" t="n"/>
      <c r="G11" s="16">
        <f>IF(D11="","",IF(OR(D11="No", D11="None", D11="N/A"), "Yes", "No"))</f>
        <v/>
      </c>
    </row>
    <row r="12">
      <c r="A12" s="6" t="inlineStr">
        <is>
          <t>Q88</t>
        </is>
      </c>
      <c r="B12" s="6" t="inlineStr">
        <is>
          <t>SIEM</t>
        </is>
      </c>
      <c r="C12" s="14" t="inlineStr">
        <is>
          <t>Does the SIEM/SOAR platform support automated playbooks for common incident types?</t>
        </is>
      </c>
      <c r="D12" s="15" t="n"/>
      <c r="E12" s="15" t="n"/>
      <c r="F12" s="15" t="n"/>
      <c r="G12" s="16">
        <f>IF(D12="","",IF(OR(D12="No", D12="None", D12="N/A"), "Yes", "No"))</f>
        <v/>
      </c>
    </row>
    <row r="13">
      <c r="A13" s="6" t="inlineStr">
        <is>
          <t>Q89</t>
        </is>
      </c>
      <c r="B13" s="6" t="inlineStr">
        <is>
          <t>Forensics</t>
        </is>
      </c>
      <c r="C13" s="14" t="inlineStr">
        <is>
          <t>What digital forensic tools are available? (Select all: Disk imaging/Memory acquisition/Memory analysis/Network forensics/Log analysis/Malware analysis/Mobile/Cloud/Commercial suites/None)</t>
        </is>
      </c>
      <c r="D13" s="15" t="n"/>
      <c r="E13" s="15" t="n"/>
      <c r="F13" s="15" t="n"/>
      <c r="G13" s="16">
        <f>IF(D13="","",IF(OR(D13="No", D13="None", D13="N/A"), "Yes", "No"))</f>
        <v/>
      </c>
    </row>
    <row r="14">
      <c r="A14" s="6" t="inlineStr">
        <is>
          <t>Q90</t>
        </is>
      </c>
      <c r="B14" s="6" t="inlineStr">
        <is>
          <t>Forensics</t>
        </is>
      </c>
      <c r="C14" s="14" t="inlineStr">
        <is>
          <t>Are CSIRT members trained in the use of forensic tools?</t>
        </is>
      </c>
      <c r="D14" s="15" t="n"/>
      <c r="E14" s="15" t="n"/>
      <c r="F14" s="15" t="n"/>
      <c r="G14" s="16">
        <f>IF(D14="","",IF(OR(D14="No", D14="None", D14="N/A"), "Yes", "No"))</f>
        <v/>
      </c>
    </row>
    <row r="15">
      <c r="A15" s="6" t="inlineStr">
        <is>
          <t>Q91</t>
        </is>
      </c>
      <c r="B15" s="6" t="inlineStr">
        <is>
          <t>Forensics</t>
        </is>
      </c>
      <c r="C15" s="14" t="inlineStr">
        <is>
          <t>Does [Organisation] have a dedicated forensic workstation or lab?</t>
        </is>
      </c>
      <c r="D15" s="15" t="n"/>
      <c r="E15" s="15" t="n"/>
      <c r="F15" s="15" t="n"/>
      <c r="G15" s="16">
        <f>IF(D15="","",IF(OR(D15="No", D15="None", D15="N/A"), "Yes", "No"))</f>
        <v/>
      </c>
    </row>
    <row r="16">
      <c r="A16" s="6" t="inlineStr">
        <is>
          <t>Q92</t>
        </is>
      </c>
      <c r="B16" s="6" t="inlineStr">
        <is>
          <t>Forensics</t>
        </is>
      </c>
      <c r="C16" s="14" t="inlineStr">
        <is>
          <t>Is there secure storage for forensic evidence?</t>
        </is>
      </c>
      <c r="D16" s="15" t="n"/>
      <c r="E16" s="15" t="n"/>
      <c r="F16" s="15" t="n"/>
      <c r="G16" s="16">
        <f>IF(D16="","",IF(OR(D16="No", D16="None", D16="N/A"), "Yes", "No"))</f>
        <v/>
      </c>
    </row>
    <row r="17">
      <c r="A17" s="6" t="inlineStr">
        <is>
          <t>Q93</t>
        </is>
      </c>
      <c r="B17" s="6" t="inlineStr">
        <is>
          <t>Communication</t>
        </is>
      </c>
      <c r="C17" s="14" t="inlineStr">
        <is>
          <t>What tools are used for internal incident response communication? (Select all: Email/Phone/IM/Video/War Room/IR Platform/Encrypted)</t>
        </is>
      </c>
      <c r="D17" s="15" t="n"/>
      <c r="E17" s="15" t="n"/>
      <c r="F17" s="15" t="n"/>
      <c r="G17" s="16">
        <f>IF(D17="","",IF(OR(D17="No", D17="None", D17="N/A"), "Yes", "No"))</f>
        <v/>
      </c>
    </row>
    <row r="18">
      <c r="A18" s="6" t="inlineStr">
        <is>
          <t>Q94</t>
        </is>
      </c>
      <c r="B18" s="6" t="inlineStr">
        <is>
          <t>Communication</t>
        </is>
      </c>
      <c r="C18" s="14" t="inlineStr">
        <is>
          <t>Is there a secure channel for external communications (legal, law enforcement, regulators)?</t>
        </is>
      </c>
      <c r="D18" s="15" t="n"/>
      <c r="E18" s="15" t="n"/>
      <c r="F18" s="15" t="n"/>
      <c r="G18" s="16">
        <f>IF(D18="","",IF(OR(D18="No", D18="None", D18="N/A"), "Yes", "No"))</f>
        <v/>
      </c>
    </row>
    <row r="19">
      <c r="A19" s="6" t="inlineStr">
        <is>
          <t>Q95</t>
        </is>
      </c>
      <c r="B19" s="6" t="inlineStr">
        <is>
          <t>Communication</t>
        </is>
      </c>
      <c r="C19" s="14" t="inlineStr">
        <is>
          <t>How are on-call incident responders alerted?</t>
        </is>
      </c>
      <c r="D19" s="15" t="n"/>
      <c r="E19" s="15" t="n"/>
      <c r="F19" s="15" t="n"/>
      <c r="G19" s="16">
        <f>IF(D19="","",IF(OR(D19="No", D19="None", D19="N/A"), "Yes", "No"))</f>
        <v/>
      </c>
    </row>
    <row r="20">
      <c r="A20" s="6" t="inlineStr">
        <is>
          <t>Q96</t>
        </is>
      </c>
      <c r="B20" s="6" t="inlineStr">
        <is>
          <t>Threat Intel</t>
        </is>
      </c>
      <c r="C20" s="14" t="inlineStr">
        <is>
          <t>Does [Organisation] subscribe to threat intelligence feeds?</t>
        </is>
      </c>
      <c r="D20" s="15" t="n"/>
      <c r="E20" s="15" t="n"/>
      <c r="F20" s="15" t="n"/>
      <c r="G20" s="16">
        <f>IF(D20="","",IF(OR(D20="No", D20="None", D20="N/A"), "Yes", "No"))</f>
        <v/>
      </c>
    </row>
    <row r="21">
      <c r="A21" s="6" t="inlineStr">
        <is>
          <t>Q97</t>
        </is>
      </c>
      <c r="B21" s="6" t="inlineStr">
        <is>
          <t>Threat Intel</t>
        </is>
      </c>
      <c r="C21" s="14" t="inlineStr">
        <is>
          <t>Is threat intelligence integrated into SIEM for alerting?</t>
        </is>
      </c>
      <c r="D21" s="15" t="n"/>
      <c r="E21" s="15" t="n"/>
      <c r="F21" s="15" t="n"/>
      <c r="G21" s="16">
        <f>IF(D21="","",IF(OR(D21="No", D21="None", D21="N/A"), "Yes", "No"))</f>
        <v/>
      </c>
    </row>
    <row r="22">
      <c r="A22" s="6" t="inlineStr">
        <is>
          <t>Q98</t>
        </is>
      </c>
      <c r="B22" s="6" t="inlineStr">
        <is>
          <t>Threat Intel</t>
        </is>
      </c>
      <c r="C22" s="14" t="inlineStr">
        <is>
          <t>Is there a dedicated threat intelligence analyst role?</t>
        </is>
      </c>
      <c r="D22" s="15" t="n"/>
      <c r="E22" s="15" t="n"/>
      <c r="F22" s="15" t="n"/>
      <c r="G22" s="16">
        <f>IF(D22="","",IF(OR(D22="No", D22="None", D22="N/A"), "Yes", "No"))</f>
        <v/>
      </c>
    </row>
    <row r="23">
      <c r="A23" s="6" t="inlineStr">
        <is>
          <t>Q99</t>
        </is>
      </c>
      <c r="B23" s="6" t="inlineStr">
        <is>
          <t>Automation</t>
        </is>
      </c>
      <c r="C23" s="14" t="inlineStr">
        <is>
          <t>What level of incident response automation exists?</t>
        </is>
      </c>
      <c r="D23" s="15" t="n"/>
      <c r="E23" s="15" t="n"/>
      <c r="F23" s="15" t="n"/>
      <c r="G23" s="16">
        <f>IF(D23="","",IF(OR(D23="No", D23="None", D23="N/A"), "Yes", "No"))</f>
        <v/>
      </c>
    </row>
    <row r="24">
      <c r="A24" s="6" t="inlineStr">
        <is>
          <t>Q100</t>
        </is>
      </c>
      <c r="B24" s="6" t="inlineStr">
        <is>
          <t>Automation</t>
        </is>
      </c>
      <c r="C24" s="14" t="inlineStr">
        <is>
          <t>How many documented/automated playbooks exist? (Number)</t>
        </is>
      </c>
      <c r="D24" s="15" t="n"/>
      <c r="E24" s="15" t="n"/>
      <c r="F24" s="15" t="n"/>
      <c r="G24" s="16">
        <f>IF(D24="","",IF(OR(D24="No", D24="None", D24="N/A"), "Yes", "No"))</f>
        <v/>
      </c>
    </row>
    <row r="25">
      <c r="A25" s="6" t="inlineStr">
        <is>
          <t>Q101</t>
        </is>
      </c>
      <c r="B25" s="6" t="inlineStr">
        <is>
          <t>Automation</t>
        </is>
      </c>
      <c r="C25" s="14" t="inlineStr">
        <is>
          <t>Are playbooks regularly reviewed and updated?</t>
        </is>
      </c>
      <c r="D25" s="15" t="n"/>
      <c r="E25" s="15" t="n"/>
      <c r="F25" s="15" t="n"/>
      <c r="G25" s="16">
        <f>IF(D25="","",IF(OR(D25="No", D25="None", D25="N/A"), "Yes", "No"))</f>
        <v/>
      </c>
    </row>
    <row r="26">
      <c r="A26" s="6" t="inlineStr">
        <is>
          <t>Q102</t>
        </is>
      </c>
      <c r="B26" s="6" t="inlineStr">
        <is>
          <t>Tool Gaps</t>
        </is>
      </c>
      <c r="C26" s="14" t="inlineStr">
        <is>
          <t>Are there critical tool gaps preventing effective incident response?</t>
        </is>
      </c>
      <c r="D26" s="15" t="n"/>
      <c r="E26" s="15" t="n"/>
      <c r="F26" s="15" t="n"/>
      <c r="G26" s="16">
        <f>IF(D26="","",IF(OR(D26="No", D26="None", D26="N/A"), "Yes", "No"))</f>
        <v/>
      </c>
    </row>
    <row r="27">
      <c r="A27" s="6" t="inlineStr">
        <is>
          <t>Q103</t>
        </is>
      </c>
      <c r="B27" s="6" t="inlineStr">
        <is>
          <t>Tool Gaps</t>
        </is>
      </c>
      <c r="C27" s="14" t="inlineStr">
        <is>
          <t>Are tool gaps being addressed (budget approved, procurement in progress)?</t>
        </is>
      </c>
      <c r="D27" s="15" t="n"/>
      <c r="E27" s="15" t="n"/>
      <c r="F27" s="15" t="n"/>
      <c r="G27" s="16">
        <f>IF(D27="","",IF(OR(D27="No", D27="None", D27="N/A"), "Yes", "No"))</f>
        <v/>
      </c>
    </row>
    <row r="28">
      <c r="A28" s="6" t="inlineStr">
        <is>
          <t>Q104</t>
        </is>
      </c>
      <c r="B28" s="6" t="inlineStr">
        <is>
          <t>Tool Gaps</t>
        </is>
      </c>
      <c r="C28" s="14" t="inlineStr">
        <is>
          <t>Are there challenges integrating incident response tools?</t>
        </is>
      </c>
      <c r="D28" s="15" t="n"/>
      <c r="E28" s="15" t="n"/>
      <c r="F28" s="15" t="n"/>
      <c r="G28" s="16">
        <f>IF(D28="","",IF(OR(D28="No", D28="None", D28="N/A"), "Yes", "No"))</f>
        <v/>
      </c>
    </row>
    <row r="29">
      <c r="A29" s="6" t="inlineStr">
        <is>
          <t>Q105</t>
        </is>
      </c>
      <c r="B29" s="6" t="inlineStr">
        <is>
          <t>Tool Inventory</t>
        </is>
      </c>
      <c r="C29" s="14" t="inlineStr">
        <is>
          <t>Is there a documented inventory of all incident response tools?</t>
        </is>
      </c>
      <c r="D29" s="15" t="n"/>
      <c r="E29" s="15" t="n"/>
      <c r="F29" s="15" t="n"/>
      <c r="G29" s="16">
        <f>IF(D29="","",IF(OR(D29="No", D29="None", D29="N/A"), "Yes", "No"))</f>
        <v/>
      </c>
    </row>
    <row r="30">
      <c r="A30" s="6" t="inlineStr">
        <is>
          <t>Q106</t>
        </is>
      </c>
      <c r="B30" s="6" t="inlineStr">
        <is>
          <t>Tool Licensing</t>
        </is>
      </c>
      <c r="C30" s="14" t="inlineStr">
        <is>
          <t>Are all incident response tools properly licensed?</t>
        </is>
      </c>
      <c r="D30" s="15" t="n"/>
      <c r="E30" s="15" t="n"/>
      <c r="F30" s="15" t="n"/>
      <c r="G30" s="16">
        <f>IF(D30="","",IF(OR(D30="No", D30="None", D30="N/A"), "Yes", "No"))</f>
        <v/>
      </c>
    </row>
    <row r="31">
      <c r="A31" s="6" t="inlineStr">
        <is>
          <t>Q107</t>
        </is>
      </c>
      <c r="B31" s="6" t="inlineStr">
        <is>
          <t>Tool Maintenance</t>
        </is>
      </c>
      <c r="C31" s="14" t="inlineStr">
        <is>
          <t>Are incident response tools regularly updated and maintained?</t>
        </is>
      </c>
      <c r="D31" s="15" t="n"/>
      <c r="E31" s="15" t="n"/>
      <c r="F31" s="15" t="n"/>
      <c r="G31" s="16">
        <f>IF(D31="","",IF(OR(D31="No", D31="None", D31="N/A"), "Yes", "No"))</f>
        <v/>
      </c>
    </row>
    <row r="32">
      <c r="A32" s="6" t="inlineStr">
        <is>
          <t>Q108</t>
        </is>
      </c>
      <c r="B32" s="6" t="inlineStr">
        <is>
          <t>Tool Training</t>
        </is>
      </c>
      <c r="C32" s="14" t="inlineStr">
        <is>
          <t>Do CSIRT members receive training on all critical tools?</t>
        </is>
      </c>
      <c r="D32" s="15" t="n"/>
      <c r="E32" s="15" t="n"/>
      <c r="F32" s="15" t="n"/>
      <c r="G32" s="16">
        <f>IF(D32="","",IF(OR(D32="No", D32="None", D32="N/A"), "Yes", "No"))</f>
        <v/>
      </c>
    </row>
    <row r="33">
      <c r="A33" s="6" t="inlineStr">
        <is>
          <t>Q109</t>
        </is>
      </c>
      <c r="B33" s="6" t="inlineStr">
        <is>
          <t>Tool Documentation</t>
        </is>
      </c>
      <c r="C33" s="14" t="inlineStr">
        <is>
          <t>Is tool documentation maintained and accessible?</t>
        </is>
      </c>
      <c r="D33" s="15" t="n"/>
      <c r="E33" s="15" t="n"/>
      <c r="F33" s="15" t="n"/>
      <c r="G33" s="16">
        <f>IF(D33="","",IF(OR(D33="No", D33="None", D33="N/A"), "Yes", "No"))</f>
        <v/>
      </c>
    </row>
    <row r="34">
      <c r="A34" s="6" t="inlineStr">
        <is>
          <t>Q110</t>
        </is>
      </c>
      <c r="B34" s="6" t="inlineStr">
        <is>
          <t>Tool Testing</t>
        </is>
      </c>
      <c r="C34" s="14" t="inlineStr">
        <is>
          <t>Are incident response tools tested regularly?</t>
        </is>
      </c>
      <c r="D34" s="15" t="n"/>
      <c r="E34" s="15" t="n"/>
      <c r="F34" s="15" t="n"/>
      <c r="G34" s="16">
        <f>IF(D34="","",IF(OR(D34="No", D34="None", D34="N/A"),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"Yes,No,None,Partial,In-Progress,N/A"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INTEGRATION ASSESSMENT</t>
        </is>
      </c>
    </row>
    <row r="2">
      <c r="A2" s="12" t="inlineStr">
        <is>
          <t>ISO/IEC 27001:2022 - Control A.5.24-28: Incident Management | Integration with Logging, Monitoring, BC/DR, and Other Controls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Logging Integration</t>
        </is>
      </c>
      <c r="C5" s="14" t="inlineStr">
        <is>
          <t>Is incident management integrated with logging infrastructure (A.8.15)?</t>
        </is>
      </c>
      <c r="D5" s="15" t="n"/>
      <c r="E5" s="15" t="n"/>
      <c r="F5" s="15" t="n"/>
      <c r="G5" s="16">
        <f>IF(D5="","",IF(OR(D5="No", D5="Informal"), "Yes", "No"))</f>
        <v/>
      </c>
    </row>
    <row r="6">
      <c r="A6" s="6" t="inlineStr">
        <is>
          <t>Q112</t>
        </is>
      </c>
      <c r="B6" s="6" t="inlineStr">
        <is>
          <t>Logging Integration</t>
        </is>
      </c>
      <c r="C6" s="14" t="inlineStr">
        <is>
          <t>Are logs readily available to CSIRT during incidents?</t>
        </is>
      </c>
      <c r="D6" s="15" t="n"/>
      <c r="E6" s="15" t="n"/>
      <c r="F6" s="15" t="n"/>
      <c r="G6" s="16">
        <f>IF(D6="","",IF(OR(D6="No", D6="Informal"), "Yes", "No"))</f>
        <v/>
      </c>
    </row>
    <row r="7">
      <c r="A7" s="6" t="inlineStr">
        <is>
          <t>Q113</t>
        </is>
      </c>
      <c r="B7" s="6" t="inlineStr">
        <is>
          <t>Logging Integration</t>
        </is>
      </c>
      <c r="C7" s="14" t="inlineStr">
        <is>
          <t>Is log retention adequate for incident investigation?</t>
        </is>
      </c>
      <c r="D7" s="15" t="n"/>
      <c r="E7" s="15" t="n"/>
      <c r="F7" s="15" t="n"/>
      <c r="G7" s="16">
        <f>IF(D7="","",IF(OR(D7="No", D7="Informal"), "Yes", "No"))</f>
        <v/>
      </c>
    </row>
    <row r="8">
      <c r="A8" s="6" t="inlineStr">
        <is>
          <t>Q114</t>
        </is>
      </c>
      <c r="B8" s="6" t="inlineStr">
        <is>
          <t>Monitoring Integration</t>
        </is>
      </c>
      <c r="C8" s="14" t="inlineStr">
        <is>
          <t>Is incident management integrated with security monitoring (A.8.16)?</t>
        </is>
      </c>
      <c r="D8" s="15" t="n"/>
      <c r="E8" s="15" t="n"/>
      <c r="F8" s="15" t="n"/>
      <c r="G8" s="16">
        <f>IF(D8="","",IF(OR(D8="No", D8="Informal"), "Yes", "No"))</f>
        <v/>
      </c>
    </row>
    <row r="9">
      <c r="A9" s="6" t="inlineStr">
        <is>
          <t>Q115</t>
        </is>
      </c>
      <c r="B9" s="6" t="inlineStr">
        <is>
          <t>Monitoring Integration</t>
        </is>
      </c>
      <c r="C9" s="14" t="inlineStr">
        <is>
          <t>Is there a defined workflow from security alert to incident declaration?</t>
        </is>
      </c>
      <c r="D9" s="15" t="n"/>
      <c r="E9" s="15" t="n"/>
      <c r="F9" s="15" t="n"/>
      <c r="G9" s="16">
        <f>IF(D9="","",IF(OR(D9="No", D9="Informal"), "Yes", "No"))</f>
        <v/>
      </c>
    </row>
    <row r="10">
      <c r="A10" s="6" t="inlineStr">
        <is>
          <t>Q116</t>
        </is>
      </c>
      <c r="B10" s="6" t="inlineStr">
        <is>
          <t>Monitoring Integration</t>
        </is>
      </c>
      <c r="C10" s="14" t="inlineStr">
        <is>
          <t>Is the false positive rate from monitoring tracked?</t>
        </is>
      </c>
      <c r="D10" s="15" t="n"/>
      <c r="E10" s="15" t="n"/>
      <c r="F10" s="15" t="n"/>
      <c r="G10" s="16">
        <f>IF(D10="","",IF(OR(D10="No", D10="Informal"), "Yes", "No"))</f>
        <v/>
      </c>
    </row>
    <row r="11">
      <c r="A11" s="6" t="inlineStr">
        <is>
          <t>Q117</t>
        </is>
      </c>
      <c r="B11" s="6" t="inlineStr">
        <is>
          <t>User Reporting</t>
        </is>
      </c>
      <c r="C11" s="14" t="inlineStr">
        <is>
          <t>Is there a mechanism for users to report security events (A.6.8 integration)?</t>
        </is>
      </c>
      <c r="D11" s="15" t="n"/>
      <c r="E11" s="15" t="n"/>
      <c r="F11" s="15" t="n"/>
      <c r="G11" s="16">
        <f>IF(D11="","",IF(OR(D11="No", D11="Informal"), "Yes", "No"))</f>
        <v/>
      </c>
    </row>
    <row r="12">
      <c r="A12" s="6" t="inlineStr">
        <is>
          <t>Q118</t>
        </is>
      </c>
      <c r="B12" s="6" t="inlineStr">
        <is>
          <t>User Reporting</t>
        </is>
      </c>
      <c r="C12" s="14" t="inlineStr">
        <is>
          <t>Are user-reported events integrated into incident ticketing system?</t>
        </is>
      </c>
      <c r="D12" s="15" t="n"/>
      <c r="E12" s="15" t="n"/>
      <c r="F12" s="15" t="n"/>
      <c r="G12" s="16">
        <f>IF(D12="","",IF(OR(D12="No", D12="Informal"), "Yes", "No"))</f>
        <v/>
      </c>
    </row>
    <row r="13">
      <c r="A13" s="6" t="inlineStr">
        <is>
          <t>Q119</t>
        </is>
      </c>
      <c r="B13" s="6" t="inlineStr">
        <is>
          <t>User Reporting</t>
        </is>
      </c>
      <c r="C13" s="14" t="inlineStr">
        <is>
          <t>Do users know how to report security incidents?</t>
        </is>
      </c>
      <c r="D13" s="15" t="n"/>
      <c r="E13" s="15" t="n"/>
      <c r="F13" s="15" t="n"/>
      <c r="G13" s="16">
        <f>IF(D13="","",IF(OR(D13="No", D13="Informal"), "Yes", "No"))</f>
        <v/>
      </c>
    </row>
    <row r="14">
      <c r="A14" s="6" t="inlineStr">
        <is>
          <t>Q120</t>
        </is>
      </c>
      <c r="B14" s="6" t="inlineStr">
        <is>
          <t>BC/DR Integration</t>
        </is>
      </c>
      <c r="C14" s="14" t="inlineStr">
        <is>
          <t>Is incident management integrated with Business Continuity / Disaster Recovery (A.5.29-30)?</t>
        </is>
      </c>
      <c r="D14" s="15" t="n"/>
      <c r="E14" s="15" t="n"/>
      <c r="F14" s="15" t="n"/>
      <c r="G14" s="16">
        <f>IF(D14="","",IF(OR(D14="No", D14="Informal"), "Yes", "No"))</f>
        <v/>
      </c>
    </row>
    <row r="15">
      <c r="A15" s="6" t="inlineStr">
        <is>
          <t>Q121</t>
        </is>
      </c>
      <c r="B15" s="6" t="inlineStr">
        <is>
          <t>BC/DR Integration</t>
        </is>
      </c>
      <c r="C15" s="14" t="inlineStr">
        <is>
          <t>Are criteria defined for when an incident triggers BC/DR activation?</t>
        </is>
      </c>
      <c r="D15" s="15" t="n"/>
      <c r="E15" s="15" t="n"/>
      <c r="F15" s="15" t="n"/>
      <c r="G15" s="16">
        <f>IF(D15="","",IF(OR(D15="No", D15="Informal"), "Yes", "No"))</f>
        <v/>
      </c>
    </row>
    <row r="16">
      <c r="A16" s="6" t="inlineStr">
        <is>
          <t>Q122</t>
        </is>
      </c>
      <c r="B16" s="6" t="inlineStr">
        <is>
          <t>BC/DR Integration</t>
        </is>
      </c>
      <c r="C16" s="14" t="inlineStr">
        <is>
          <t>Is CSIRT's role defined in BC/DR plans?</t>
        </is>
      </c>
      <c r="D16" s="15" t="n"/>
      <c r="E16" s="15" t="n"/>
      <c r="F16" s="15" t="n"/>
      <c r="G16" s="16">
        <f>IF(D16="","",IF(OR(D16="No", D16="Informal"), "Yes", "No"))</f>
        <v/>
      </c>
    </row>
    <row r="17">
      <c r="A17" s="6" t="inlineStr">
        <is>
          <t>Q123</t>
        </is>
      </c>
      <c r="B17" s="6" t="inlineStr">
        <is>
          <t>Third-Party Coordination</t>
        </is>
      </c>
      <c r="C17" s="14" t="inlineStr">
        <is>
          <t>Are procedures defined for incidents involving third parties (suppliers, MSSPs)?</t>
        </is>
      </c>
      <c r="D17" s="15" t="n"/>
      <c r="E17" s="15" t="n"/>
      <c r="F17" s="15" t="n"/>
      <c r="G17" s="16">
        <f>IF(D17="","",IF(OR(D17="No", D17="Informal"), "Yes", "No"))</f>
        <v/>
      </c>
    </row>
    <row r="18">
      <c r="A18" s="6" t="inlineStr">
        <is>
          <t>Q124</t>
        </is>
      </c>
      <c r="B18" s="6" t="inlineStr">
        <is>
          <t>Third-Party Coordination</t>
        </is>
      </c>
      <c r="C18" s="14" t="inlineStr">
        <is>
          <t>(If MSSP/outsourced SOC) Are SLAs defined for incident detection and escalation?</t>
        </is>
      </c>
      <c r="D18" s="15" t="n"/>
      <c r="E18" s="15" t="n"/>
      <c r="F18" s="15" t="n"/>
      <c r="G18" s="16">
        <f>IF(D18="","",IF(OR(D18="No", D18="Informal"), "Yes", "No"))</f>
        <v/>
      </c>
    </row>
    <row r="19">
      <c r="A19" s="6" t="inlineStr">
        <is>
          <t>Q125</t>
        </is>
      </c>
      <c r="B19" s="6" t="inlineStr">
        <is>
          <t>Third-Party Coordination</t>
        </is>
      </c>
      <c r="C19" s="14" t="inlineStr">
        <is>
          <t>Do suppliers know how to report security incidents to [Organisation]?</t>
        </is>
      </c>
      <c r="D19" s="15" t="n"/>
      <c r="E19" s="15" t="n"/>
      <c r="F19" s="15" t="n"/>
      <c r="G19" s="16">
        <f>IF(D19="","",IF(OR(D19="No", D19="Informal"), "Yes", "No"))</f>
        <v/>
      </c>
    </row>
    <row r="20">
      <c r="A20" s="6" t="inlineStr">
        <is>
          <t>Q126</t>
        </is>
      </c>
      <c r="B20" s="6" t="inlineStr">
        <is>
          <t>Legal &amp; Regulatory</t>
        </is>
      </c>
      <c r="C20" s="14" t="inlineStr">
        <is>
          <t>Is Legal/Compliance involvement in incident management clearly defined?</t>
        </is>
      </c>
      <c r="D20" s="15" t="n"/>
      <c r="E20" s="15" t="n"/>
      <c r="F20" s="15" t="n"/>
      <c r="G20" s="16">
        <f>IF(D20="","",IF(OR(D20="No", D20="Informal"), "Yes", "No"))</f>
        <v/>
      </c>
    </row>
    <row r="21">
      <c r="A21" s="6" t="inlineStr">
        <is>
          <t>Q127</t>
        </is>
      </c>
      <c r="B21" s="6" t="inlineStr">
        <is>
          <t>Legal &amp; Regulatory</t>
        </is>
      </c>
      <c r="C21" s="14" t="inlineStr">
        <is>
          <t>(If GDPR applicable) Is the Data Protection Officer (DPO) integrated into incident management?</t>
        </is>
      </c>
      <c r="D21" s="15" t="n"/>
      <c r="E21" s="15" t="n"/>
      <c r="F21" s="15" t="n"/>
      <c r="G21" s="16">
        <f>IF(D21="","",IF(OR(D21="No", D21="Informal"), "Yes", "No"))</f>
        <v/>
      </c>
    </row>
    <row r="22">
      <c r="A22" s="6" t="inlineStr">
        <is>
          <t>Q128</t>
        </is>
      </c>
      <c r="B22" s="6" t="inlineStr">
        <is>
          <t>Legal &amp; Regulatory</t>
        </is>
      </c>
      <c r="C22" s="14" t="inlineStr">
        <is>
          <t>Are procedures defined for coordinating with law enforcement?</t>
        </is>
      </c>
      <c r="D22" s="15" t="n"/>
      <c r="E22" s="15" t="n"/>
      <c r="F22" s="15" t="n"/>
      <c r="G22" s="16">
        <f>IF(D22="","",IF(OR(D22="No", D22="Informal"), "Yes", "No"))</f>
        <v/>
      </c>
    </row>
    <row r="23">
      <c r="A23" s="6" t="inlineStr">
        <is>
          <t>Q129</t>
        </is>
      </c>
      <c r="B23" s="6" t="inlineStr">
        <is>
          <t>Asset Management</t>
        </is>
      </c>
      <c r="C23" s="14" t="inlineStr">
        <is>
          <t>Is incident management integrated with asset management (A.5.9)?</t>
        </is>
      </c>
      <c r="D23" s="15" t="n"/>
      <c r="E23" s="15" t="n"/>
      <c r="F23" s="15" t="n"/>
      <c r="G23" s="16">
        <f>IF(D23="","",IF(OR(D23="No", D23="Informal"), "Yes", "No"))</f>
        <v/>
      </c>
    </row>
    <row r="24">
      <c r="A24" s="6" t="inlineStr">
        <is>
          <t>Q130</t>
        </is>
      </c>
      <c r="B24" s="6" t="inlineStr">
        <is>
          <t>Access Control</t>
        </is>
      </c>
      <c r="C24" s="14" t="inlineStr">
        <is>
          <t>Is incident management integrated with access control processes (A.5.15-18)?</t>
        </is>
      </c>
      <c r="D24" s="15" t="n"/>
      <c r="E24" s="15" t="n"/>
      <c r="F24" s="15" t="n"/>
      <c r="G24" s="16">
        <f>IF(D24="","",IF(OR(D24="No", D24="Informal"), "Yes", "No"))</f>
        <v/>
      </c>
    </row>
    <row r="25">
      <c r="A25" s="6" t="inlineStr">
        <is>
          <t>Q131</t>
        </is>
      </c>
      <c r="B25" s="6" t="inlineStr">
        <is>
          <t>Change Management</t>
        </is>
      </c>
      <c r="C25" s="14" t="inlineStr">
        <is>
          <t>Is incident management integrated with change management (A.8.32)?</t>
        </is>
      </c>
      <c r="D25" s="15" t="n"/>
      <c r="E25" s="15" t="n"/>
      <c r="F25" s="15" t="n"/>
      <c r="G25" s="16">
        <f>IF(D25="","",IF(OR(D25="No", D25="Informal"), "Yes", "No"))</f>
        <v/>
      </c>
    </row>
    <row r="26">
      <c r="A26" s="6" t="inlineStr">
        <is>
          <t>Q132</t>
        </is>
      </c>
      <c r="B26" s="6" t="inlineStr">
        <is>
          <t>Vulnerability Management</t>
        </is>
      </c>
      <c r="C26" s="14" t="inlineStr">
        <is>
          <t>Is incident management integrated with vulnerability management (A.8.8)?</t>
        </is>
      </c>
      <c r="D26" s="15" t="n"/>
      <c r="E26" s="15" t="n"/>
      <c r="F26" s="15" t="n"/>
      <c r="G26" s="16">
        <f>IF(D26="","",IF(OR(D26="No", D26="Informal"), "Yes", "No"))</f>
        <v/>
      </c>
    </row>
    <row r="27">
      <c r="A27" s="6" t="inlineStr">
        <is>
          <t>Q133</t>
        </is>
      </c>
      <c r="B27" s="6" t="inlineStr">
        <is>
          <t>Patch Management</t>
        </is>
      </c>
      <c r="C27" s="14" t="inlineStr">
        <is>
          <t>Is incident management integrated with patch management (A.8.19)?</t>
        </is>
      </c>
      <c r="D27" s="15" t="n"/>
      <c r="E27" s="15" t="n"/>
      <c r="F27" s="15" t="n"/>
      <c r="G27" s="16">
        <f>IF(D27="","",IF(OR(D27="No", D27="Informal"), "Yes", "No"))</f>
        <v/>
      </c>
    </row>
    <row r="28">
      <c r="A28" s="6" t="inlineStr">
        <is>
          <t>Q134</t>
        </is>
      </c>
      <c r="B28" s="6" t="inlineStr">
        <is>
          <t>Risk Assessment</t>
        </is>
      </c>
      <c r="C28" s="14" t="inlineStr">
        <is>
          <t>Are incident trends fed back into risk assessment processes (A.5.8)?</t>
        </is>
      </c>
      <c r="D28" s="15" t="n"/>
      <c r="E28" s="15" t="n"/>
      <c r="F28" s="15" t="n"/>
      <c r="G28" s="16">
        <f>IF(D28="","",IF(OR(D28="No", D28="Informal"), "Yes", "No"))</f>
        <v/>
      </c>
    </row>
    <row r="29">
      <c r="A29" s="6" t="inlineStr">
        <is>
          <t>Q135</t>
        </is>
      </c>
      <c r="B29" s="6" t="inlineStr">
        <is>
          <t>Audit &amp; Compliance</t>
        </is>
      </c>
      <c r="C29" s="14" t="inlineStr">
        <is>
          <t>Are incident records available for audit and compliance reviews?</t>
        </is>
      </c>
      <c r="D29" s="15" t="n"/>
      <c r="E29" s="15" t="n"/>
      <c r="F29" s="15" t="n"/>
      <c r="G29" s="16">
        <f>IF(D29="","",IF(OR(D29="No", D29="Informal"),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8"/>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(50 Gap Capacity)</t>
        </is>
      </c>
    </row>
    <row r="4">
      <c r="A4" s="13" t="inlineStr">
        <is>
          <t>Gap ID</t>
        </is>
      </c>
      <c r="B4" s="13" t="inlineStr">
        <is>
          <t>Assessment Section</t>
        </is>
      </c>
      <c r="C4" s="13" t="inlineStr">
        <is>
          <t>Gap Description</t>
        </is>
      </c>
      <c r="D4" s="13" t="inlineStr">
        <is>
          <t>Risk Level</t>
        </is>
      </c>
      <c r="E4" s="13" t="inlineStr">
        <is>
          <t>Current State</t>
        </is>
      </c>
      <c r="F4" s="13" t="inlineStr">
        <is>
          <t>Target State</t>
        </is>
      </c>
      <c r="G4" s="13" t="inlineStr">
        <is>
          <t>Remediation Action</t>
        </is>
      </c>
      <c r="H4" s="13" t="inlineStr">
        <is>
          <t>Owner</t>
        </is>
      </c>
      <c r="I4" s="13" t="inlineStr">
        <is>
          <t>Target Date</t>
        </is>
      </c>
      <c r="J4" s="13" t="inlineStr">
        <is>
          <t>Status</t>
        </is>
      </c>
    </row>
    <row r="5">
      <c r="A5" s="17" t="inlineStr">
        <is>
          <t>GAP-001</t>
        </is>
      </c>
      <c r="B5" s="17" t="inlineStr">
        <is>
          <t>Governance</t>
        </is>
      </c>
      <c r="C5" s="17" t="inlineStr">
        <is>
          <t>No RACI matrix documented — sample entry, replace with actual gaps</t>
        </is>
      </c>
      <c r="D5" s="17" t="inlineStr">
        <is>
          <t>High</t>
        </is>
      </c>
      <c r="E5" s="17" t="inlineStr">
        <is>
          <t>Roles informally understood</t>
        </is>
      </c>
      <c r="F5" s="17" t="inlineStr">
        <is>
          <t>RACI matrix created and approved</t>
        </is>
      </c>
      <c r="G5" s="17" t="inlineStr">
        <is>
          <t>Document RACI matrix, review with CSIRT, obtain CISO sign-off</t>
        </is>
      </c>
      <c r="H5" s="17" t="inlineStr">
        <is>
          <t>CSIRT Manager</t>
        </is>
      </c>
      <c r="I5" s="17" t="inlineStr"/>
      <c r="J5" s="17" t="inlineStr">
        <is>
          <t>Open</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8" t="inlineStr">
        <is>
          <t>GAP SUMMARY</t>
        </is>
      </c>
    </row>
    <row r="59">
      <c r="A59" s="19" t="inlineStr">
        <is>
          <t>Total Gaps:</t>
        </is>
      </c>
      <c r="B59" s="20">
        <f>COUNTA(A6:A55)</f>
        <v/>
      </c>
    </row>
    <row r="60">
      <c r="A60" s="19" t="inlineStr">
        <is>
          <t>Critical:</t>
        </is>
      </c>
      <c r="B60" s="20">
        <f>COUNTIF(D6:D55, "Critical")</f>
        <v/>
      </c>
    </row>
    <row r="61">
      <c r="A61" s="19" t="inlineStr">
        <is>
          <t>High:</t>
        </is>
      </c>
      <c r="B61" s="20">
        <f>COUNTIF(D6:D55, "High")</f>
        <v/>
      </c>
    </row>
    <row r="62">
      <c r="A62" s="19" t="inlineStr">
        <is>
          <t>Medium:</t>
        </is>
      </c>
      <c r="B62" s="20">
        <f>COUNTIF(D6:D55, "Medium")</f>
        <v/>
      </c>
    </row>
    <row r="63">
      <c r="A63" s="19" t="inlineStr">
        <is>
          <t>Low:</t>
        </is>
      </c>
      <c r="B63" s="20">
        <f>COUNTIF(D6:D55, "Low")</f>
        <v/>
      </c>
    </row>
    <row r="64">
      <c r="A64" s="19" t="inlineStr"/>
    </row>
    <row r="65">
      <c r="A65" s="19" t="inlineStr">
        <is>
          <t>Open:</t>
        </is>
      </c>
      <c r="B65" s="20">
        <f>COUNTIF(J6:J55, "Open")</f>
        <v/>
      </c>
    </row>
    <row r="66">
      <c r="A66" s="19" t="inlineStr">
        <is>
          <t>In Progress:</t>
        </is>
      </c>
      <c r="B66" s="20">
        <f>COUNTIF(J6:J55, "In Progress")</f>
        <v/>
      </c>
    </row>
    <row r="67">
      <c r="A67" s="19" t="inlineStr">
        <is>
          <t>Resolved:</t>
        </is>
      </c>
      <c r="B67" s="20">
        <f>COUNTIF(J6:J55, "Resolved")</f>
        <v/>
      </c>
    </row>
    <row r="68">
      <c r="A68" s="19" t="inlineStr">
        <is>
          <t>Accepted:</t>
        </is>
      </c>
      <c r="B68" s="20">
        <f>COUNTIF(J6:J55, "Accepted")</f>
        <v/>
      </c>
    </row>
  </sheetData>
  <mergeCells count="3">
    <mergeCell ref="A1:J1"/>
    <mergeCell ref="A58:D58"/>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17" t="inlineStr">
        <is>
          <t>EV-001</t>
        </is>
      </c>
      <c r="B5" s="17" t="inlineStr">
        <is>
          <t>Document</t>
        </is>
      </c>
      <c r="C5" s="17" t="inlineStr">
        <is>
          <t>Sample evidence entry — replace with actual evidence</t>
        </is>
      </c>
      <c r="D5" s="17" t="inlineStr">
        <is>
          <t>All Controls</t>
        </is>
      </c>
      <c r="E5" s="17" t="inlineStr">
        <is>
          <t>01.01.2026</t>
        </is>
      </c>
      <c r="F5" s="17" t="inlineStr">
        <is>
          <t>SharePoint/ISMS/Evidence/</t>
        </is>
      </c>
      <c r="G5" s="17" t="inlineStr">
        <is>
          <t>ISMS Team</t>
        </is>
      </c>
      <c r="H5" s="17"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21" t="inlineStr">
        <is>
          <t>Incident Management Framework — SUMMARY DASHBOARD</t>
        </is>
      </c>
      <c r="B1" s="6" t="n"/>
      <c r="C1" s="6" t="n"/>
      <c r="D1" s="6" t="n"/>
      <c r="E1" s="6" t="n"/>
      <c r="F1" s="6" t="n"/>
      <c r="G1" s="6" t="n"/>
    </row>
    <row r="2">
      <c r="A2" s="24" t="inlineStr">
        <is>
          <t>ISO/IEC 27001:2022 - Control A.5.24-28: Incident Management</t>
        </is>
      </c>
      <c r="B2" s="6" t="n"/>
      <c r="C2" s="6" t="n"/>
      <c r="D2" s="6" t="n"/>
      <c r="E2" s="6" t="n"/>
      <c r="F2" s="6" t="n"/>
      <c r="G2" s="6" t="n"/>
    </row>
    <row r="3">
      <c r="A3" s="25" t="inlineStr">
        <is>
          <t>COMPLIANCE ASSESSMENT SUMMARY</t>
        </is>
      </c>
      <c r="B3" s="6" t="n"/>
      <c r="C3" s="6" t="n"/>
      <c r="D3" s="6" t="n"/>
      <c r="E3" s="6" t="n"/>
      <c r="F3" s="6" t="n"/>
      <c r="G3" s="6" t="n"/>
    </row>
    <row r="4" ht="30" customHeight="1">
      <c r="A4" s="26" t="inlineStr">
        <is>
          <t>Assessment Area</t>
        </is>
      </c>
      <c r="B4" s="26" t="inlineStr">
        <is>
          <t>Questions Answered</t>
        </is>
      </c>
      <c r="C4" s="26" t="inlineStr">
        <is>
          <t>No Gap</t>
        </is>
      </c>
      <c r="D4" s="26" t="inlineStr">
        <is>
          <t>Gap Identified</t>
        </is>
      </c>
      <c r="E4" s="26" t="inlineStr">
        <is>
          <t>N/A</t>
        </is>
      </c>
      <c r="F4" s="26" t="inlineStr">
        <is>
          <t>Target</t>
        </is>
      </c>
      <c r="G4" s="26" t="inlineStr">
        <is>
          <t>Compliance %</t>
        </is>
      </c>
    </row>
    <row r="5">
      <c r="A5" s="27" t="inlineStr">
        <is>
          <t>Governance</t>
        </is>
      </c>
      <c r="B5" s="27">
        <f>COUNTA('Governance Assessment'!D5:D100)</f>
        <v/>
      </c>
      <c r="C5" s="27">
        <f>COUNTIF('Governance Assessment'!G5:G100,"No")</f>
        <v/>
      </c>
      <c r="D5" s="27">
        <f>COUNTIF('Governance Assessment'!G5:G100,"Yes")</f>
        <v/>
      </c>
      <c r="E5" s="27">
        <f>COUNTIF('Governance Assessment'!D5:D100,"N/A")</f>
        <v/>
      </c>
      <c r="F5" s="27" t="inlineStr">
        <is>
          <t>90%</t>
        </is>
      </c>
      <c r="G5" s="28">
        <f>IFERROR(C5/(C5+D5)*100,0)</f>
        <v/>
      </c>
    </row>
    <row r="6">
      <c r="A6" s="27" t="inlineStr">
        <is>
          <t>Organisational Structure</t>
        </is>
      </c>
      <c r="B6" s="27">
        <f>COUNTA('Organisational Structure'!D5:D100)</f>
        <v/>
      </c>
      <c r="C6" s="27">
        <f>COUNTIF('Organisational Structure'!G5:G100,"No")</f>
        <v/>
      </c>
      <c r="D6" s="27">
        <f>COUNTIF('Organisational Structure'!G5:G100,"Yes")</f>
        <v/>
      </c>
      <c r="E6" s="27">
        <f>COUNTIF('Organisational Structure'!D5:D100,"N/A")</f>
        <v/>
      </c>
      <c r="F6" s="27" t="inlineStr">
        <is>
          <t>85%</t>
        </is>
      </c>
      <c r="G6" s="28">
        <f>IFERROR(C6/(C6+D6)*100,0)</f>
        <v/>
      </c>
    </row>
    <row r="7">
      <c r="A7" s="27" t="inlineStr">
        <is>
          <t>Training &amp; Competency</t>
        </is>
      </c>
      <c r="B7" s="27">
        <f>COUNTA('Training &amp; Competency'!D5:D100)</f>
        <v/>
      </c>
      <c r="C7" s="27">
        <f>COUNTIF('Training &amp; Competency'!G5:G100,"No")</f>
        <v/>
      </c>
      <c r="D7" s="27">
        <f>COUNTIF('Training &amp; Competency'!G5:G100,"Yes")</f>
        <v/>
      </c>
      <c r="E7" s="27">
        <f>COUNTIF('Training &amp; Competency'!D5:D100,"N/A")</f>
        <v/>
      </c>
      <c r="F7" s="27" t="inlineStr">
        <is>
          <t>90%</t>
        </is>
      </c>
      <c r="G7" s="28">
        <f>IFERROR(C7/(C7+D7)*100,0)</f>
        <v/>
      </c>
    </row>
    <row r="8">
      <c r="A8" s="27" t="inlineStr">
        <is>
          <t>Tools &amp; Technology</t>
        </is>
      </c>
      <c r="B8" s="27">
        <f>COUNTA('Tools &amp; Technology'!D5:D100)</f>
        <v/>
      </c>
      <c r="C8" s="27">
        <f>COUNTIF('Tools &amp; Technology'!G5:G100,"No")</f>
        <v/>
      </c>
      <c r="D8" s="27">
        <f>COUNTIF('Tools &amp; Technology'!G5:G100,"Yes")</f>
        <v/>
      </c>
      <c r="E8" s="27">
        <f>COUNTIF('Tools &amp; Technology'!D5:D100,"N/A")</f>
        <v/>
      </c>
      <c r="F8" s="27" t="inlineStr">
        <is>
          <t>80%</t>
        </is>
      </c>
      <c r="G8" s="28">
        <f>IFERROR(C8/(C8+D8)*100,0)</f>
        <v/>
      </c>
    </row>
    <row r="9">
      <c r="A9" s="27" t="inlineStr">
        <is>
          <t>Integration</t>
        </is>
      </c>
      <c r="B9" s="27">
        <f>COUNTA('Integration Assessment'!D5:D100)</f>
        <v/>
      </c>
      <c r="C9" s="27">
        <f>COUNTIF('Integration Assessment'!G5:G100,"No")</f>
        <v/>
      </c>
      <c r="D9" s="27">
        <f>COUNTIF('Integration Assessment'!G5:G100,"Yes")</f>
        <v/>
      </c>
      <c r="E9" s="27">
        <f>COUNTIF('Integration Assessment'!D5:D100,"N/A")</f>
        <v/>
      </c>
      <c r="F9" s="27" t="inlineStr">
        <is>
          <t>85%</t>
        </is>
      </c>
      <c r="G9" s="28">
        <f>IFERROR(C9/(C9+D9)*100,0)</f>
        <v/>
      </c>
    </row>
    <row r="10">
      <c r="A10" s="29" t="inlineStr">
        <is>
          <t>TOTAL</t>
        </is>
      </c>
      <c r="B10" s="29">
        <f>SUM(B5:B9)</f>
        <v/>
      </c>
      <c r="C10" s="29">
        <f>SUM(C5:C9)</f>
        <v/>
      </c>
      <c r="D10" s="29">
        <f>SUM(D5:D9)</f>
        <v/>
      </c>
      <c r="E10" s="29">
        <f>SUM(E5:E9)</f>
        <v/>
      </c>
      <c r="F10" s="29" t="inlineStr">
        <is>
          <t>—</t>
        </is>
      </c>
      <c r="G10" s="30">
        <f>IFERROR(AVERAGE(G5:G9),0)</f>
        <v/>
      </c>
    </row>
    <row r="12">
      <c r="A12" s="25" t="inlineStr">
        <is>
          <t>FRAMEWORK HEALTH METRICS</t>
        </is>
      </c>
      <c r="B12" s="6" t="n"/>
      <c r="C12" s="6" t="n"/>
      <c r="D12" s="6" t="n"/>
      <c r="E12" s="6" t="n"/>
      <c r="F12" s="6" t="n"/>
      <c r="G12" s="6" t="n"/>
    </row>
    <row r="13">
      <c r="A13" s="31" t="inlineStr">
        <is>
          <t>Metric</t>
        </is>
      </c>
      <c r="B13" s="31" t="inlineStr">
        <is>
          <t>Value</t>
        </is>
      </c>
      <c r="C13" s="31" t="inlineStr">
        <is>
          <t>Target</t>
        </is>
      </c>
    </row>
    <row r="14">
      <c r="A14" s="27" t="inlineStr">
        <is>
          <t>CSIRT Staffing (FTE)</t>
        </is>
      </c>
      <c r="B14" s="27">
        <f>'Organisational Structure'!D29</f>
        <v/>
      </c>
      <c r="C14" s="27" t="inlineStr">
        <is>
          <t>≥3 FTE</t>
        </is>
      </c>
    </row>
    <row r="15">
      <c r="A15" s="27" t="inlineStr">
        <is>
          <t>Coverage Model</t>
        </is>
      </c>
      <c r="B15" s="27">
        <f>'Organisational Structure'!D28</f>
        <v/>
      </c>
      <c r="C15" s="27" t="inlineStr">
        <is>
          <t>24x7</t>
        </is>
      </c>
    </row>
    <row r="16">
      <c r="A16" s="27" t="inlineStr">
        <is>
          <t>Training Completion Rate</t>
        </is>
      </c>
      <c r="B16" s="27">
        <f>'Training &amp; Competency'!D58</f>
        <v/>
      </c>
      <c r="C16" s="27" t="inlineStr">
        <is>
          <t>≥90%</t>
        </is>
      </c>
    </row>
    <row r="17">
      <c r="A17" s="27" t="inlineStr">
        <is>
          <t>Tabletop Exercise Frequency</t>
        </is>
      </c>
      <c r="B17" s="27">
        <f>'Training &amp; Competency'!D61</f>
        <v/>
      </c>
      <c r="C17" s="27" t="inlineStr">
        <is>
          <t>Quarterly</t>
        </is>
      </c>
    </row>
    <row r="18">
      <c r="A18" s="27" t="inlineStr">
        <is>
          <t>Critical Gaps Identified</t>
        </is>
      </c>
      <c r="B18" s="27">
        <f>'Gap Analysis'!B72</f>
        <v/>
      </c>
      <c r="C18" s="27" t="inlineStr">
        <is>
          <t>0</t>
        </is>
      </c>
    </row>
    <row r="19">
      <c r="A19" s="27" t="inlineStr">
        <is>
          <t>High Priority Gaps</t>
        </is>
      </c>
      <c r="B19" s="27">
        <f>'Gap Analysis'!B73</f>
        <v/>
      </c>
      <c r="C19" s="27" t="inlineStr">
        <is>
          <t>&lt;5</t>
        </is>
      </c>
    </row>
    <row r="21">
      <c r="A21" s="32" t="inlineStr">
        <is>
          <t>CRITICAL FINDINGS</t>
        </is>
      </c>
      <c r="B21" s="6" t="n"/>
      <c r="C21" s="6" t="n"/>
      <c r="D21" s="6" t="n"/>
      <c r="E21" s="6" t="n"/>
      <c r="F21" s="6" t="n"/>
      <c r="G21" s="6" t="n"/>
    </row>
    <row r="22">
      <c r="A22" s="31" t="inlineStr">
        <is>
          <t>Critical Finding</t>
        </is>
      </c>
      <c r="B22" s="31" t="inlineStr">
        <is>
          <t>Status</t>
        </is>
      </c>
      <c r="C22" s="31" t="inlineStr">
        <is>
          <t>Severity</t>
        </is>
      </c>
    </row>
    <row r="23">
      <c r="A23" s="33" t="inlineStr">
        <is>
          <t>Governance compliance &lt;70%</t>
        </is>
      </c>
      <c r="B23" s="33">
        <f>IF(G5&lt;70,"[!] Below Target","[OK]")</f>
        <v/>
      </c>
      <c r="C23" s="33" t="inlineStr">
        <is>
          <t>Critical</t>
        </is>
      </c>
    </row>
    <row r="24">
      <c r="A24" s="33" t="inlineStr">
        <is>
          <t>Organisational Structure &lt;70%</t>
        </is>
      </c>
      <c r="B24" s="33">
        <f>IF(G6&lt;70,"[!] Below Target","[OK]")</f>
        <v/>
      </c>
      <c r="C24" s="33" t="inlineStr">
        <is>
          <t>Critical</t>
        </is>
      </c>
    </row>
    <row r="25">
      <c r="A25" s="34" t="inlineStr">
        <is>
          <t>Training &amp; Competency &lt;70%</t>
        </is>
      </c>
      <c r="B25" s="34">
        <f>IF(G7&lt;70,"[!] Below Target","[OK]")</f>
        <v/>
      </c>
      <c r="C25" s="34" t="inlineStr">
        <is>
          <t>High</t>
        </is>
      </c>
    </row>
    <row r="26">
      <c r="A26" s="34" t="inlineStr">
        <is>
          <t>Tools &amp; Technology &lt;70%</t>
        </is>
      </c>
      <c r="B26" s="34">
        <f>IF(G8&lt;70,"[!] Below Target","[OK]")</f>
        <v/>
      </c>
      <c r="C26" s="34" t="inlineStr">
        <is>
          <t>High</t>
        </is>
      </c>
    </row>
    <row r="27">
      <c r="A27" s="34" t="inlineStr">
        <is>
          <t>Integration &lt;70%</t>
        </is>
      </c>
      <c r="B27" s="34">
        <f>IF(G9&lt;70,"[!] Below Target","[OK]")</f>
        <v/>
      </c>
      <c r="C27" s="34" t="inlineStr">
        <is>
          <t>High</t>
        </is>
      </c>
    </row>
    <row r="28">
      <c r="A28" s="33" t="inlineStr">
        <is>
          <t>Overall framework maturity &lt;70%</t>
        </is>
      </c>
      <c r="B28" s="33">
        <f>IF(G10&lt;70,"[!] Below Target","[OK]")</f>
        <v/>
      </c>
      <c r="C28" s="33" t="inlineStr">
        <is>
          <t>Critical</t>
        </is>
      </c>
    </row>
    <row r="29">
      <c r="A29" s="33" t="inlineStr">
        <is>
          <t>Critical gaps exist</t>
        </is>
      </c>
      <c r="B29" s="33">
        <f>IF(ISNUMBER('Gap Analysis'!B72),IF('Gap Analysis'!B72&gt;0,"[!] Gaps Present","[OK]"),"")</f>
        <v/>
      </c>
      <c r="C29" s="33" t="inlineStr">
        <is>
          <t>Critical</t>
        </is>
      </c>
    </row>
  </sheetData>
  <mergeCells count="5">
    <mergeCell ref="A1:G1"/>
    <mergeCell ref="A3:G3"/>
    <mergeCell ref="A21:G21"/>
    <mergeCell ref="A12:G12"/>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A.5.24-28: Incident Management</t>
        </is>
      </c>
      <c r="B2" s="6" t="n"/>
      <c r="C2" s="6" t="n"/>
      <c r="D2" s="6" t="n"/>
      <c r="E2" s="6" t="n"/>
    </row>
    <row r="3">
      <c r="A3" s="37" t="inlineStr">
        <is>
          <t>ASSESSMENT SUMMARY</t>
        </is>
      </c>
      <c r="B3" s="6" t="n"/>
      <c r="C3" s="6" t="n"/>
      <c r="D3" s="6" t="n"/>
      <c r="E3" s="6" t="n"/>
    </row>
    <row r="4">
      <c r="A4" s="3" t="inlineStr">
        <is>
          <t>Document:</t>
        </is>
      </c>
      <c r="B4" s="6" t="inlineStr">
        <is>
          <t>ISMS-IMP-A.5.24-28.S1 - Incident Management Framework</t>
        </is>
      </c>
      <c r="C4" s="6" t="n"/>
      <c r="D4" s="6" t="n"/>
      <c r="E4" s="6" t="n"/>
    </row>
    <row r="5">
      <c r="A5" s="3" t="inlineStr">
        <is>
          <t>Assessment Period:</t>
        </is>
      </c>
      <c r="B5" s="15" t="inlineStr"/>
      <c r="C5" s="6" t="n"/>
      <c r="D5" s="6" t="n"/>
      <c r="E5" s="6" t="n"/>
    </row>
    <row r="6">
      <c r="A6" s="3" t="inlineStr">
        <is>
          <t>Overall Compliance Rating:</t>
        </is>
      </c>
      <c r="B6" s="38">
        <f>IFERROR(AVERAGE('Summary Dashboard'!G5:G9),"")</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9"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ISMS-IMP-A.5.24-28.S1 — Incident Management Framework</dc:title>
  <dc:description xmlns:dc="http://purl.org/dc/elements/1.1/">ISMS Implementation Workbook — ISMS-IMP-A.5.24-28.S1</dc:description>
  <dc:subject xmlns:dc="http://purl.org/dc/elements/1.1/">ISO/IEC 27001:2022 — Control A.5.24-28: Incident Management</dc:subject>
  <dcterms:created xmlns:dcterms="http://purl.org/dc/terms/" xmlns:xsi="http://www.w3.org/2001/XMLSchema-instance" xsi:type="dcterms:W3CDTF">2026-03-10T18:48:41Z</dcterms:created>
  <dcterms:modified xmlns:dcterms="http://purl.org/dc/terms/" xmlns:xsi="http://www.w3.org/2001/XMLSchema-instance" xsi:type="dcterms:W3CDTF">2026-03-10T18:48:41Z</dcterms:modified>
</cp:coreProperties>
</file>