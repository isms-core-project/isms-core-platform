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Detection Mechanisms" sheetId="2" state="visible" r:id="rId2"/>
    <sheet xmlns:r="http://schemas.openxmlformats.org/officeDocument/2006/relationships" name="Alert Handling" sheetId="3" state="visible" r:id="rId3"/>
    <sheet xmlns:r="http://schemas.openxmlformats.org/officeDocument/2006/relationships" name="Classification &amp; Severity" sheetId="4" state="visible" r:id="rId4"/>
    <sheet xmlns:r="http://schemas.openxmlformats.org/officeDocument/2006/relationships" name="Detection Effectiveness" sheetId="5" state="visible" r:id="rId5"/>
    <sheet xmlns:r="http://schemas.openxmlformats.org/officeDocument/2006/relationships" name="Gap Analysi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2">
    <font>
      <name val="Calibri"/>
      <family val="2"/>
      <color theme="1"/>
      <sz val="11"/>
      <scheme val="minor"/>
    </font>
    <font>
      <name val="Calibri"/>
      <b val="1"/>
      <color rgb="00FFFFFF"/>
      <sz val="14"/>
    </font>
    <font>
      <name val="Calibri"/>
      <b val="1"/>
      <sz val="12"/>
    </font>
    <font>
      <name val="Calibri"/>
      <b val="1"/>
    </font>
    <font>
      <name val="Calibri"/>
      <b val="1"/>
      <sz val="10"/>
    </font>
    <font>
      <i val="1"/>
      <sz val="10"/>
    </font>
    <font>
      <name val="Calibri"/>
      <b val="1"/>
      <color rgb="00FFFFFF"/>
      <sz val="10"/>
    </font>
    <font>
      <name val="Calibri"/>
      <i val="1"/>
      <sz val="10"/>
    </font>
    <font>
      <name val="Calibri"/>
      <i val="1"/>
      <color rgb="00808080"/>
      <sz val="10"/>
    </font>
    <font>
      <name val="Calibri"/>
      <i val="1"/>
      <color rgb="00003366"/>
      <sz val="10"/>
    </font>
    <font>
      <name val="Calibri"/>
      <b val="1"/>
      <color rgb="00FFFFFF"/>
      <sz val="11"/>
    </font>
    <font>
      <name val="Calibri"/>
      <b val="1"/>
      <color rgb="00000000"/>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C6EFCE"/>
        <bgColor rgb="00C6EFCE"/>
      </patternFill>
    </fill>
    <fill>
      <patternFill patternType="solid">
        <fgColor rgb="00F2F2F2"/>
        <bgColor rgb="00F2F2F2"/>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6" fillId="8" borderId="1" applyAlignment="1" pivotButton="0" quotePrefix="0" xfId="0">
      <alignment horizontal="center" vertical="center" wrapText="1"/>
    </xf>
    <xf numFmtId="0" fontId="0" fillId="0" borderId="1" applyAlignment="1" pivotButton="0" quotePrefix="0" xfId="0">
      <alignment vertical="top" wrapText="1"/>
    </xf>
    <xf numFmtId="0" fontId="0" fillId="9" borderId="1" pivotButton="0" quotePrefix="0" xfId="0"/>
    <xf numFmtId="0" fontId="0" fillId="10" borderId="1" pivotButton="0" quotePrefix="0" xfId="0"/>
    <xf numFmtId="0" fontId="0" fillId="11" borderId="1" pivotButton="0" quotePrefix="0" xfId="0"/>
    <xf numFmtId="0" fontId="1" fillId="8" borderId="1" applyAlignment="1" pivotButton="0" quotePrefix="0" xfId="0">
      <alignment horizontal="center" vertical="center"/>
    </xf>
    <xf numFmtId="0" fontId="7" fillId="0" borderId="1" applyAlignment="1" pivotButton="0" quotePrefix="0" xfId="0">
      <alignment horizontal="center" vertical="center"/>
    </xf>
    <xf numFmtId="0" fontId="8" fillId="11" borderId="1" pivotButton="0" quotePrefix="0" xfId="0"/>
    <xf numFmtId="0" fontId="0" fillId="9" borderId="1" applyAlignment="1" pivotButton="0" quotePrefix="0" xfId="0">
      <alignment vertical="center"/>
    </xf>
    <xf numFmtId="0" fontId="9" fillId="0" borderId="1" applyAlignment="1" pivotButton="0" quotePrefix="0" xfId="0">
      <alignment horizontal="left" vertical="center"/>
    </xf>
    <xf numFmtId="0" fontId="10" fillId="8" borderId="1" applyAlignment="1" pivotButton="0" quotePrefix="0" xfId="0">
      <alignment horizontal="center" vertical="center"/>
    </xf>
    <xf numFmtId="0" fontId="11" fillId="12" borderId="1" applyAlignment="1" pivotButton="0" quotePrefix="0" xfId="0">
      <alignment horizontal="center" vertical="center" wrapText="1"/>
    </xf>
    <xf numFmtId="0" fontId="0" fillId="9" borderId="1" applyAlignment="1" pivotButton="0" quotePrefix="0" xfId="0">
      <alignment horizontal="left" vertical="center"/>
    </xf>
    <xf numFmtId="164" fontId="0" fillId="9" borderId="1" applyAlignment="1" pivotButton="0" quotePrefix="0" xfId="0">
      <alignment horizontal="left" vertical="center"/>
    </xf>
    <xf numFmtId="0" fontId="3" fillId="12" borderId="1" applyAlignment="1" pivotButton="0" quotePrefix="0" xfId="0">
      <alignment horizontal="left" vertical="center"/>
    </xf>
    <xf numFmtId="164" fontId="3" fillId="12" borderId="1" applyAlignment="1" pivotButton="0" quotePrefix="0" xfId="0">
      <alignment horizontal="left" vertical="center"/>
    </xf>
    <xf numFmtId="0" fontId="11" fillId="12" borderId="1" applyAlignment="1" pivotButton="0" quotePrefix="0" xfId="0">
      <alignment horizontal="center" vertical="center"/>
    </xf>
    <xf numFmtId="0" fontId="10" fillId="13" borderId="1" applyAlignment="1" pivotButton="0" quotePrefix="0" xfId="0">
      <alignment horizontal="center" vertical="center"/>
    </xf>
    <xf numFmtId="0" fontId="0" fillId="14" borderId="1" applyAlignment="1" pivotButton="0" quotePrefix="0" xfId="0">
      <alignment horizontal="left" vertical="center"/>
    </xf>
    <xf numFmtId="0" fontId="0" fillId="15" borderId="1" applyAlignment="1" pivotButton="0" quotePrefix="0" xfId="0">
      <alignment horizontal="left" vertical="center"/>
    </xf>
    <xf numFmtId="0" fontId="1" fillId="8" borderId="1" applyAlignment="1" pivotButton="0" quotePrefix="0" xfId="0">
      <alignment horizontal="center" vertical="center" wrapText="1"/>
    </xf>
    <xf numFmtId="0" fontId="9" fillId="0" borderId="1" applyAlignment="1" pivotButton="0" quotePrefix="0" xfId="0">
      <alignment horizontal="center" vertical="center"/>
    </xf>
    <xf numFmtId="0" fontId="10" fillId="16" borderId="1" pivotButton="0" quotePrefix="0" xfId="0"/>
    <xf numFmtId="165" fontId="0" fillId="9" borderId="1" pivotButton="0" quotePrefix="0" xfId="0"/>
    <xf numFmtId="0" fontId="10"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ISMS-IMP-A.5.24-28.S2  -  Detection &amp; Classification
ISO/IEC 27001:2022 - Control A.5.24-28: Incident Management</t>
        </is>
      </c>
    </row>
    <row r="3">
      <c r="A3" s="2" t="inlineStr">
        <is>
          <t>Document Information</t>
        </is>
      </c>
    </row>
    <row r="4">
      <c r="A4" s="3" t="inlineStr">
        <is>
          <t>Document ID</t>
        </is>
      </c>
      <c r="B4" t="inlineStr">
        <is>
          <t>ISMS-IMP-A.5.24-28.S2</t>
        </is>
      </c>
    </row>
    <row r="5">
      <c r="A5" s="3" t="inlineStr">
        <is>
          <t>Workbook Title</t>
        </is>
      </c>
      <c r="B5" t="inlineStr">
        <is>
          <t>Detection &amp; Classification</t>
        </is>
      </c>
    </row>
    <row r="6">
      <c r="A6" s="3" t="inlineStr">
        <is>
          <t>Control Reference</t>
        </is>
      </c>
      <c r="B6" t="inlineStr">
        <is>
          <t>ISO/IEC 27001:2022 - Control A.5.24-28: Incident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Detection Mechanisms sheet — review all detection sources and coverage.</t>
        </is>
      </c>
    </row>
    <row r="14">
      <c r="A14" t="inlineStr">
        <is>
          <t>2. Complete Alert Handling sheet — review triage, false positive rate, ticket hygiene.</t>
        </is>
      </c>
    </row>
    <row r="15">
      <c r="A15" t="inlineStr">
        <is>
          <t>3. Complete Classification &amp; Severity sheet — verify classification accuracy.</t>
        </is>
      </c>
    </row>
    <row r="16">
      <c r="A16" t="inlineStr">
        <is>
          <t>4. Complete Detection Effectiveness sheet — MTTD, coverage metrics, gaps.</t>
        </is>
      </c>
    </row>
    <row r="17">
      <c r="A17" t="inlineStr">
        <is>
          <t>5. Review Gap Analysis and prioritise remediation.</t>
        </is>
      </c>
    </row>
    <row r="18">
      <c r="A18" t="inlineStr">
        <is>
          <t>6. Link evidence in Evidence Register.</t>
        </is>
      </c>
    </row>
    <row r="19">
      <c r="A19" t="inlineStr">
        <is>
          <t>7. Review Summary Dashboard for overall compliance.</t>
        </is>
      </c>
    </row>
    <row r="20">
      <c r="A20" t="inlineStr">
        <is>
          <t>8. Complete Approval Sign-Off workflow.</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DETECTION MECHANISMS</t>
        </is>
      </c>
    </row>
    <row r="2">
      <c r="A2" s="12" t="inlineStr">
        <is>
          <t>ISO/IEC 27001:2022 - Control A.5.24-28: Incident Management | SIEM, EDR, IDS/IPS, NDR, User Reporting, Coverage by Threat Category (33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Q1</t>
        </is>
      </c>
      <c r="B5" s="6" t="inlineStr">
        <is>
          <t>SIEM</t>
        </is>
      </c>
      <c r="C5" s="14" t="inlineStr">
        <is>
          <t>What SIEM platform(s) does [Organisation] use?</t>
        </is>
      </c>
      <c r="D5" s="15" t="n"/>
      <c r="E5" s="15" t="n"/>
      <c r="F5" s="15" t="n"/>
      <c r="G5" s="16">
        <f>IF(D5="","",IF(OR(D5="No", D5="Never", D5&lt;90), "Yes", "No"))</f>
        <v/>
      </c>
    </row>
    <row r="6">
      <c r="A6" s="6" t="inlineStr">
        <is>
          <t>Q2</t>
        </is>
      </c>
      <c r="B6" s="6" t="inlineStr">
        <is>
          <t>SIEM</t>
        </is>
      </c>
      <c r="C6" s="14" t="inlineStr">
        <is>
          <t>How many active detection rules/alerts are configured in the SIEM?</t>
        </is>
      </c>
      <c r="D6" s="15" t="n"/>
      <c r="E6" s="15" t="n"/>
      <c r="F6" s="15" t="n"/>
      <c r="G6" s="16">
        <f>IF(D6="","",IF(OR(D6="No", D6="Never", D6&lt;90), "Yes", "No"))</f>
        <v/>
      </c>
    </row>
    <row r="7">
      <c r="A7" s="6" t="inlineStr">
        <is>
          <t>Q3</t>
        </is>
      </c>
      <c r="B7" s="6" t="inlineStr">
        <is>
          <t>SIEM</t>
        </is>
      </c>
      <c r="C7" s="14" t="inlineStr">
        <is>
          <t>Which threat categories have SIEM detection rules?</t>
        </is>
      </c>
      <c r="D7" s="15" t="n"/>
      <c r="E7" s="15" t="n"/>
      <c r="F7" s="15" t="n"/>
      <c r="G7" s="16">
        <f>IF(D7="","",IF(OR(D7="No", D7="Never", D7&lt;90), "Yes", "No"))</f>
        <v/>
      </c>
    </row>
    <row r="8">
      <c r="A8" s="6" t="inlineStr">
        <is>
          <t>Q4</t>
        </is>
      </c>
      <c r="B8" s="6" t="inlineStr">
        <is>
          <t>SIEM</t>
        </is>
      </c>
      <c r="C8" s="14" t="inlineStr">
        <is>
          <t>How often are SIEM rules tuned to reduce false positives?</t>
        </is>
      </c>
      <c r="D8" s="15" t="n"/>
      <c r="E8" s="15" t="n"/>
      <c r="F8" s="15" t="n"/>
      <c r="G8" s="16">
        <f>IF(D8="","",IF(OR(D8="No", D8="Never", D8&lt;90), "Yes", "No"))</f>
        <v/>
      </c>
    </row>
    <row r="9">
      <c r="A9" s="6" t="inlineStr">
        <is>
          <t>Q5</t>
        </is>
      </c>
      <c r="B9" s="6" t="inlineStr">
        <is>
          <t>SIEM</t>
        </is>
      </c>
      <c r="C9" s="14" t="inlineStr">
        <is>
          <t>What percentage of SIEM rules are custom-developed (vs. vendor-provided)?</t>
        </is>
      </c>
      <c r="D9" s="15" t="n"/>
      <c r="E9" s="15" t="n"/>
      <c r="F9" s="15" t="n"/>
      <c r="G9" s="16">
        <f>IF(D9="","",IF(OR(D9="No", D9="Never", D9&lt;90), "Yes", "No"))</f>
        <v/>
      </c>
    </row>
    <row r="10">
      <c r="A10" s="6" t="inlineStr">
        <is>
          <t>Q6</t>
        </is>
      </c>
      <c r="B10" s="6" t="inlineStr">
        <is>
          <t>SIEM</t>
        </is>
      </c>
      <c r="C10" s="14" t="inlineStr">
        <is>
          <t>Is threat intelligence integrated into SIEM for automated alerting?</t>
        </is>
      </c>
      <c r="D10" s="15" t="n"/>
      <c r="E10" s="15" t="n"/>
      <c r="F10" s="15" t="n"/>
      <c r="G10" s="16">
        <f>IF(D10="","",IF(OR(D10="No", D10="Never", D10&lt;90), "Yes", "No"))</f>
        <v/>
      </c>
    </row>
    <row r="11">
      <c r="A11" s="6" t="inlineStr">
        <is>
          <t>Q7</t>
        </is>
      </c>
      <c r="B11" s="6" t="inlineStr">
        <is>
          <t>SIEM</t>
        </is>
      </c>
      <c r="C11" s="14" t="inlineStr">
        <is>
          <t>What is the average daily SIEM alert volume?</t>
        </is>
      </c>
      <c r="D11" s="15" t="n"/>
      <c r="E11" s="15" t="n"/>
      <c r="F11" s="15" t="n"/>
      <c r="G11" s="16">
        <f>IF(D11="","",IF(OR(D11="No", D11="Never", D11&lt;90), "Yes", "No"))</f>
        <v/>
      </c>
    </row>
    <row r="12">
      <c r="A12" s="6" t="inlineStr">
        <is>
          <t>Q8</t>
        </is>
      </c>
      <c r="B12" s="6" t="inlineStr">
        <is>
          <t>SIEM</t>
        </is>
      </c>
      <c r="C12" s="14" t="inlineStr">
        <is>
          <t>How many log sources feed the SIEM?</t>
        </is>
      </c>
      <c r="D12" s="15" t="n"/>
      <c r="E12" s="15" t="n"/>
      <c r="F12" s="15" t="n"/>
      <c r="G12" s="16">
        <f>IF(D12="","",IF(OR(D12="No", D12="Never", D12&lt;90), "Yes", "No"))</f>
        <v/>
      </c>
    </row>
    <row r="13">
      <c r="A13" s="6" t="inlineStr">
        <is>
          <t>Q9</t>
        </is>
      </c>
      <c r="B13" s="6" t="inlineStr">
        <is>
          <t>EDR</t>
        </is>
      </c>
      <c r="C13" s="14" t="inlineStr">
        <is>
          <t>Is EDR or XDR deployed?</t>
        </is>
      </c>
      <c r="D13" s="15" t="n"/>
      <c r="E13" s="15" t="n"/>
      <c r="F13" s="15" t="n"/>
      <c r="G13" s="16">
        <f>IF(D13="","",IF(OR(D13="No", D13="Never", D13&lt;90), "Yes", "No"))</f>
        <v/>
      </c>
    </row>
    <row r="14">
      <c r="A14" s="6" t="inlineStr">
        <is>
          <t>Q10</t>
        </is>
      </c>
      <c r="B14" s="6" t="inlineStr">
        <is>
          <t>EDR</t>
        </is>
      </c>
      <c r="C14" s="14" t="inlineStr">
        <is>
          <t>What percentage of endpoints have EDR agent deployed?</t>
        </is>
      </c>
      <c r="D14" s="15" t="n"/>
      <c r="E14" s="15" t="n"/>
      <c r="F14" s="15" t="n"/>
      <c r="G14" s="16">
        <f>IF(D14="","",IF(OR(D14="No", D14="Never", D14&lt;90), "Yes", "No"))</f>
        <v/>
      </c>
    </row>
    <row r="15">
      <c r="A15" s="6" t="inlineStr">
        <is>
          <t>Q11</t>
        </is>
      </c>
      <c r="B15" s="6" t="inlineStr">
        <is>
          <t>EDR</t>
        </is>
      </c>
      <c r="C15" s="14" t="inlineStr">
        <is>
          <t>What types of EDR alerts are enabled?</t>
        </is>
      </c>
      <c r="D15" s="15" t="n"/>
      <c r="E15" s="15" t="n"/>
      <c r="F15" s="15" t="n"/>
      <c r="G15" s="16">
        <f>IF(D15="","",IF(OR(D15="No", D15="Never", D15&lt;90), "Yes", "No"))</f>
        <v/>
      </c>
    </row>
    <row r="16">
      <c r="A16" s="6" t="inlineStr">
        <is>
          <t>Q12</t>
        </is>
      </c>
      <c r="B16" s="6" t="inlineStr">
        <is>
          <t>EDR</t>
        </is>
      </c>
      <c r="C16" s="14" t="inlineStr">
        <is>
          <t>Does EDR support automated response actions?</t>
        </is>
      </c>
      <c r="D16" s="15" t="n"/>
      <c r="E16" s="15" t="n"/>
      <c r="F16" s="15" t="n"/>
      <c r="G16" s="16">
        <f>IF(D16="","",IF(OR(D16="No", D16="Never", D16&lt;90), "Yes", "No"))</f>
        <v/>
      </c>
    </row>
    <row r="17">
      <c r="A17" s="6" t="inlineStr">
        <is>
          <t>Q13</t>
        </is>
      </c>
      <c r="B17" s="6" t="inlineStr">
        <is>
          <t>EDR</t>
        </is>
      </c>
      <c r="C17" s="14" t="inlineStr">
        <is>
          <t>How long does EDR retain forensic data?</t>
        </is>
      </c>
      <c r="D17" s="15" t="n"/>
      <c r="E17" s="15" t="n"/>
      <c r="F17" s="15" t="n"/>
      <c r="G17" s="16">
        <f>IF(D17="","",IF(OR(D17="No", D17="Never", D17&lt;90), "Yes", "No"))</f>
        <v/>
      </c>
    </row>
    <row r="18">
      <c r="A18" s="6" t="inlineStr">
        <is>
          <t>Q14</t>
        </is>
      </c>
      <c r="B18" s="6" t="inlineStr">
        <is>
          <t>Network Detection</t>
        </is>
      </c>
      <c r="C18" s="14" t="inlineStr">
        <is>
          <t>Is IDS/IPS deployed?</t>
        </is>
      </c>
      <c r="D18" s="15" t="n"/>
      <c r="E18" s="15" t="n"/>
      <c r="F18" s="15" t="n"/>
      <c r="G18" s="16">
        <f>IF(D18="","",IF(OR(D18="No", D18="Never", D18&lt;90), "Yes", "No"))</f>
        <v/>
      </c>
    </row>
    <row r="19">
      <c r="A19" s="6" t="inlineStr">
        <is>
          <t>Q15</t>
        </is>
      </c>
      <c r="B19" s="6" t="inlineStr">
        <is>
          <t>Network Detection</t>
        </is>
      </c>
      <c r="C19" s="14" t="inlineStr">
        <is>
          <t>Where is IDS/IPS deployed?</t>
        </is>
      </c>
      <c r="D19" s="15" t="n"/>
      <c r="E19" s="15" t="n"/>
      <c r="F19" s="15" t="n"/>
      <c r="G19" s="16">
        <f>IF(D19="","",IF(OR(D19="No", D19="Never", D19&lt;90), "Yes", "No"))</f>
        <v/>
      </c>
    </row>
    <row r="20">
      <c r="A20" s="6" t="inlineStr">
        <is>
          <t>Q16</t>
        </is>
      </c>
      <c r="B20" s="6" t="inlineStr">
        <is>
          <t>Network Detection</t>
        </is>
      </c>
      <c r="C20" s="14" t="inlineStr">
        <is>
          <t>How frequently are IDS/IPS signatures updated?</t>
        </is>
      </c>
      <c r="D20" s="15" t="n"/>
      <c r="E20" s="15" t="n"/>
      <c r="F20" s="15" t="n"/>
      <c r="G20" s="16">
        <f>IF(D20="","",IF(OR(D20="No", D20="Never", D20&lt;90), "Yes", "No"))</f>
        <v/>
      </c>
    </row>
    <row r="21">
      <c r="A21" s="6" t="inlineStr">
        <is>
          <t>Q17</t>
        </is>
      </c>
      <c r="B21" s="6" t="inlineStr">
        <is>
          <t>Network Detection</t>
        </is>
      </c>
      <c r="C21" s="14" t="inlineStr">
        <is>
          <t>Is NDR/NTA deployed?</t>
        </is>
      </c>
      <c r="D21" s="15" t="n"/>
      <c r="E21" s="15" t="n"/>
      <c r="F21" s="15" t="n"/>
      <c r="G21" s="16">
        <f>IF(D21="","",IF(OR(D21="No", D21="Never", D21&lt;90), "Yes", "No"))</f>
        <v/>
      </c>
    </row>
    <row r="22">
      <c r="A22" s="6" t="inlineStr">
        <is>
          <t>Q18</t>
        </is>
      </c>
      <c r="B22" s="6" t="inlineStr">
        <is>
          <t>Other Detection</t>
        </is>
      </c>
      <c r="C22" s="14" t="inlineStr">
        <is>
          <t>Is there a user reporting mechanism (A.6.8)?</t>
        </is>
      </c>
      <c r="D22" s="15" t="n"/>
      <c r="E22" s="15" t="n"/>
      <c r="F22" s="15" t="n"/>
      <c r="G22" s="16">
        <f>IF(D22="","",IF(OR(D22="No", D22="Never", D22&lt;90), "Yes", "No"))</f>
        <v/>
      </c>
    </row>
    <row r="23">
      <c r="A23" s="6" t="inlineStr">
        <is>
          <t>Q19</t>
        </is>
      </c>
      <c r="B23" s="6" t="inlineStr">
        <is>
          <t>Other Detection</t>
        </is>
      </c>
      <c r="C23" s="14" t="inlineStr">
        <is>
          <t>Average monthly user-reported events?</t>
        </is>
      </c>
      <c r="D23" s="15" t="n"/>
      <c r="E23" s="15" t="n"/>
      <c r="F23" s="15" t="n"/>
      <c r="G23" s="16">
        <f>IF(D23="","",IF(OR(D23="No", D23="Never", D23&lt;90), "Yes", "No"))</f>
        <v/>
      </c>
    </row>
    <row r="24">
      <c r="A24" s="6" t="inlineStr">
        <is>
          <t>Q20</t>
        </is>
      </c>
      <c r="B24" s="6" t="inlineStr">
        <is>
          <t>Other Detection</t>
        </is>
      </c>
      <c r="C24" s="14" t="inlineStr">
        <is>
          <t>Does DLP generate security alerts?</t>
        </is>
      </c>
      <c r="D24" s="15" t="n"/>
      <c r="E24" s="15" t="n"/>
      <c r="F24" s="15" t="n"/>
      <c r="G24" s="16">
        <f>IF(D24="","",IF(OR(D24="No", D24="Never", D24&lt;90), "Yes", "No"))</f>
        <v/>
      </c>
    </row>
    <row r="25">
      <c r="A25" s="6" t="inlineStr">
        <is>
          <t>Q21</t>
        </is>
      </c>
      <c r="B25" s="6" t="inlineStr">
        <is>
          <t>Other Detection</t>
        </is>
      </c>
      <c r="C25" s="14" t="inlineStr">
        <is>
          <t>Does CASB generate security alerts?</t>
        </is>
      </c>
      <c r="D25" s="15" t="n"/>
      <c r="E25" s="15" t="n"/>
      <c r="F25" s="15" t="n"/>
      <c r="G25" s="16">
        <f>IF(D25="","",IF(OR(D25="No", D25="Never", D25&lt;90), "Yes", "No"))</f>
        <v/>
      </c>
    </row>
    <row r="26">
      <c r="A26" s="6" t="inlineStr">
        <is>
          <t>Q22</t>
        </is>
      </c>
      <c r="B26" s="6" t="inlineStr">
        <is>
          <t>Other Detection</t>
        </is>
      </c>
      <c r="C26" s="14" t="inlineStr">
        <is>
          <t>Are honeypots/deception deployed?</t>
        </is>
      </c>
      <c r="D26" s="15" t="n"/>
      <c r="E26" s="15" t="n"/>
      <c r="F26" s="15" t="n"/>
      <c r="G26" s="16">
        <f>IF(D26="","",IF(OR(D26="No", D26="Never", D26&lt;90), "Yes", "No"))</f>
        <v/>
      </c>
    </row>
    <row r="27">
      <c r="A27" s="6" t="inlineStr">
        <is>
          <t>Q23</t>
        </is>
      </c>
      <c r="B27" s="6" t="inlineStr">
        <is>
          <t>Coverage</t>
        </is>
      </c>
      <c r="C27" s="14" t="inlineStr">
        <is>
          <t>Category 1: Malware Detection</t>
        </is>
      </c>
      <c r="D27" s="15" t="n"/>
      <c r="E27" s="15" t="n"/>
      <c r="F27" s="15" t="n"/>
      <c r="G27" s="16">
        <f>IF(D27="","",IF(OR(D27="No", D27="Never", D27&lt;90), "Yes", "No"))</f>
        <v/>
      </c>
    </row>
    <row r="28">
      <c r="A28" s="6" t="inlineStr">
        <is>
          <t>Q24</t>
        </is>
      </c>
      <c r="B28" s="6" t="inlineStr">
        <is>
          <t>Coverage</t>
        </is>
      </c>
      <c r="C28" s="14" t="inlineStr">
        <is>
          <t>Category 2: Unauthorised Access Detection</t>
        </is>
      </c>
      <c r="D28" s="15" t="n"/>
      <c r="E28" s="15" t="n"/>
      <c r="F28" s="15" t="n"/>
      <c r="G28" s="16">
        <f>IF(D28="","",IF(OR(D28="No", D28="Never", D28&lt;90), "Yes", "No"))</f>
        <v/>
      </c>
    </row>
    <row r="29">
      <c r="A29" s="6" t="inlineStr">
        <is>
          <t>Q25</t>
        </is>
      </c>
      <c r="B29" s="6" t="inlineStr">
        <is>
          <t>Coverage</t>
        </is>
      </c>
      <c r="C29" s="14" t="inlineStr">
        <is>
          <t>Category 3: Data Breach Detection</t>
        </is>
      </c>
      <c r="D29" s="15" t="n"/>
      <c r="E29" s="15" t="n"/>
      <c r="F29" s="15" t="n"/>
      <c r="G29" s="16">
        <f>IF(D29="","",IF(OR(D29="No", D29="Never", D29&lt;90), "Yes", "No"))</f>
        <v/>
      </c>
    </row>
    <row r="30">
      <c r="A30" s="6" t="inlineStr">
        <is>
          <t>Q26</t>
        </is>
      </c>
      <c r="B30" s="6" t="inlineStr">
        <is>
          <t>Coverage</t>
        </is>
      </c>
      <c r="C30" s="14" t="inlineStr">
        <is>
          <t>Category 4: DoS Detection</t>
        </is>
      </c>
      <c r="D30" s="15" t="n"/>
      <c r="E30" s="15" t="n"/>
      <c r="F30" s="15" t="n"/>
      <c r="G30" s="16">
        <f>IF(D30="","",IF(OR(D30="No", D30="Never", D30&lt;90), "Yes", "No"))</f>
        <v/>
      </c>
    </row>
    <row r="31">
      <c r="A31" s="6" t="inlineStr">
        <is>
          <t>Q27</t>
        </is>
      </c>
      <c r="B31" s="6" t="inlineStr">
        <is>
          <t>Coverage</t>
        </is>
      </c>
      <c r="C31" s="14" t="inlineStr">
        <is>
          <t>Category 5: Social Engineering Detection</t>
        </is>
      </c>
      <c r="D31" s="15" t="n"/>
      <c r="E31" s="15" t="n"/>
      <c r="F31" s="15" t="n"/>
      <c r="G31" s="16">
        <f>IF(D31="","",IF(OR(D31="No", D31="Never", D31&lt;90), "Yes", "No"))</f>
        <v/>
      </c>
    </row>
    <row r="32">
      <c r="A32" s="6" t="inlineStr">
        <is>
          <t>Q28</t>
        </is>
      </c>
      <c r="B32" s="6" t="inlineStr">
        <is>
          <t>Coverage</t>
        </is>
      </c>
      <c r="C32" s="14" t="inlineStr">
        <is>
          <t>Category 6: Web Attack Detection</t>
        </is>
      </c>
      <c r="D32" s="15" t="n"/>
      <c r="E32" s="15" t="n"/>
      <c r="F32" s="15" t="n"/>
      <c r="G32" s="16">
        <f>IF(D32="","",IF(OR(D32="No", D32="Never", D32&lt;90), "Yes", "No"))</f>
        <v/>
      </c>
    </row>
    <row r="33">
      <c r="A33" s="6" t="inlineStr">
        <is>
          <t>Q29</t>
        </is>
      </c>
      <c r="B33" s="6" t="inlineStr">
        <is>
          <t>Coverage</t>
        </is>
      </c>
      <c r="C33" s="14" t="inlineStr">
        <is>
          <t>Category 7: Network Attack Detection</t>
        </is>
      </c>
      <c r="D33" s="15" t="n"/>
      <c r="E33" s="15" t="n"/>
      <c r="F33" s="15" t="n"/>
      <c r="G33" s="16">
        <f>IF(D33="","",IF(OR(D33="No", D33="Never", D33&lt;90), "Yes", "No"))</f>
        <v/>
      </c>
    </row>
    <row r="34">
      <c r="A34" s="6" t="inlineStr">
        <is>
          <t>Q30</t>
        </is>
      </c>
      <c r="B34" s="6" t="inlineStr">
        <is>
          <t>Coverage</t>
        </is>
      </c>
      <c r="C34" s="14" t="inlineStr">
        <is>
          <t>Category 8: Endpoint Compromise Detection</t>
        </is>
      </c>
      <c r="D34" s="15" t="n"/>
      <c r="E34" s="15" t="n"/>
      <c r="F34" s="15" t="n"/>
      <c r="G34" s="16">
        <f>IF(D34="","",IF(OR(D34="No", D34="Never", D34&lt;90), "Yes", "No"))</f>
        <v/>
      </c>
    </row>
    <row r="35">
      <c r="A35" s="6" t="inlineStr">
        <is>
          <t>Q31</t>
        </is>
      </c>
      <c r="B35" s="6" t="inlineStr">
        <is>
          <t>Coverage</t>
        </is>
      </c>
      <c r="C35" s="14" t="inlineStr">
        <is>
          <t>Category 9: Physical Security Detection</t>
        </is>
      </c>
      <c r="D35" s="15" t="n"/>
      <c r="E35" s="15" t="n"/>
      <c r="F35" s="15" t="n"/>
      <c r="G35" s="16">
        <f>IF(D35="","",IF(OR(D35="No", D35="Never", D35&lt;90), "Yes", "No"))</f>
        <v/>
      </c>
    </row>
    <row r="36">
      <c r="A36" s="6" t="inlineStr">
        <is>
          <t>Q32</t>
        </is>
      </c>
      <c r="B36" s="6" t="inlineStr">
        <is>
          <t>Coverage</t>
        </is>
      </c>
      <c r="C36" s="14" t="inlineStr">
        <is>
          <t>Category 10: Config/Patch Detection</t>
        </is>
      </c>
      <c r="D36" s="15" t="n"/>
      <c r="E36" s="15" t="n"/>
      <c r="F36" s="15" t="n"/>
      <c r="G36" s="16">
        <f>IF(D36="","",IF(OR(D36="No", D36="Never", D36&lt;90), "Yes", "No"))</f>
        <v/>
      </c>
    </row>
    <row r="37">
      <c r="A37" s="6" t="inlineStr">
        <is>
          <t>Q33</t>
        </is>
      </c>
      <c r="B37" s="6" t="inlineStr">
        <is>
          <t>Coverage</t>
        </is>
      </c>
      <c r="C37" s="14" t="inlineStr">
        <is>
          <t>Category 11: Other Detection</t>
        </is>
      </c>
      <c r="D37" s="15" t="n"/>
      <c r="E37" s="15" t="n"/>
      <c r="F37" s="15" t="n"/>
      <c r="G37" s="16">
        <f>IF(D37="","",IF(OR(D37="No", D37="Never", D37&lt;90), "Yes", "No"))</f>
        <v/>
      </c>
    </row>
  </sheetData>
  <mergeCells count="2">
    <mergeCell ref="A2:G2"/>
    <mergeCell ref="A1:G1"/>
  </mergeCells>
  <dataValidations count="1">
    <dataValidation sqref="D5 D6 D7 D8 D9 D10 D11 D12 D13 D14 D15 D16 D17 D18 D19 D20 D21 D22 D23 D24 D25 D26 D27 D28 D29 D30 D31 D32 D33 D34 D35 D36 D37" showDropDown="0" showInputMessage="0" showErrorMessage="0" allowBlank="1" type="list">
      <formula1>"Yes,No,Partial,Never,In-Progress,N/A"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ALERT HANDLING</t>
        </is>
      </c>
    </row>
    <row r="2">
      <c r="A2" s="12" t="inlineStr">
        <is>
          <t>ISO/IEC 27001:2022 - Control A.5.24-28: Incident Management | Triage, Investigation, Escalation, Analyst Capacity (25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Q34</t>
        </is>
      </c>
      <c r="B5" s="6" t="inlineStr">
        <is>
          <t>Triage</t>
        </is>
      </c>
      <c r="C5" s="14" t="inlineStr">
        <is>
          <t>Are alert triage procedures documented?</t>
        </is>
      </c>
      <c r="D5" s="15" t="n"/>
      <c r="E5" s="15" t="n"/>
      <c r="F5" s="15" t="n"/>
      <c r="G5" s="16">
        <f>IF(D5="","",IF(OR(D5="No", D5="Informal", D5&lt;80), "Yes", "No"))</f>
        <v/>
      </c>
    </row>
    <row r="6">
      <c r="A6" s="6" t="inlineStr">
        <is>
          <t>Q35</t>
        </is>
      </c>
      <c r="B6" s="6" t="inlineStr">
        <is>
          <t>Triage</t>
        </is>
      </c>
      <c r="C6" s="14" t="inlineStr">
        <is>
          <t>Are triage time SLAs defined for each severity?</t>
        </is>
      </c>
      <c r="D6" s="15" t="n"/>
      <c r="E6" s="15" t="n"/>
      <c r="F6" s="15" t="n"/>
      <c r="G6" s="16">
        <f>IF(D6="","",IF(OR(D6="No", D6="Informal", D6&lt;80), "Yes", "No"))</f>
        <v/>
      </c>
    </row>
    <row r="7">
      <c r="A7" s="6" t="inlineStr">
        <is>
          <t>Q36</t>
        </is>
      </c>
      <c r="B7" s="6" t="inlineStr">
        <is>
          <t>Triage</t>
        </is>
      </c>
      <c r="C7" s="14" t="inlineStr">
        <is>
          <t>Percentage of alerts triaged within SLA? (90 days)</t>
        </is>
      </c>
      <c r="D7" s="15" t="n"/>
      <c r="E7" s="15" t="n"/>
      <c r="F7" s="15" t="n"/>
      <c r="G7" s="16">
        <f>IF(D7="","",IF(OR(D7="No", D7="Informal", D7&lt;80), "Yes", "No"))</f>
        <v/>
      </c>
    </row>
    <row r="8">
      <c r="A8" s="6" t="inlineStr">
        <is>
          <t>Q37</t>
        </is>
      </c>
      <c r="B8" s="6" t="inlineStr">
        <is>
          <t>Triage</t>
        </is>
      </c>
      <c r="C8" s="14" t="inlineStr">
        <is>
          <t>How are alerts prioritised in queue?</t>
        </is>
      </c>
      <c r="D8" s="15" t="n"/>
      <c r="E8" s="15" t="n"/>
      <c r="F8" s="15" t="n"/>
      <c r="G8" s="16">
        <f>IF(D8="","",IF(OR(D8="No", D8="Informal", D8&lt;80), "Yes", "No"))</f>
        <v/>
      </c>
    </row>
    <row r="9">
      <c r="A9" s="6" t="inlineStr">
        <is>
          <t>Q38</t>
        </is>
      </c>
      <c r="B9" s="6" t="inlineStr">
        <is>
          <t>Triage</t>
        </is>
      </c>
      <c r="C9" s="14" t="inlineStr">
        <is>
          <t>Documented shift handoff process?</t>
        </is>
      </c>
      <c r="D9" s="15" t="n"/>
      <c r="E9" s="15" t="n"/>
      <c r="F9" s="15" t="n"/>
      <c r="G9" s="16">
        <f>IF(D9="","",IF(OR(D9="No", D9="Informal", D9&lt;80), "Yes", "No"))</f>
        <v/>
      </c>
    </row>
    <row r="10">
      <c r="A10" s="6" t="inlineStr">
        <is>
          <t>Q39</t>
        </is>
      </c>
      <c r="B10" s="6" t="inlineStr">
        <is>
          <t>Triage</t>
        </is>
      </c>
      <c r="C10" s="14" t="inlineStr">
        <is>
          <t>Do analysts receive triage training?</t>
        </is>
      </c>
      <c r="D10" s="15" t="n"/>
      <c r="E10" s="15" t="n"/>
      <c r="F10" s="15" t="n"/>
      <c r="G10" s="16">
        <f>IF(D10="","",IF(OR(D10="No", D10="Informal", D10&lt;80), "Yes", "No"))</f>
        <v/>
      </c>
    </row>
    <row r="11">
      <c r="A11" s="6" t="inlineStr">
        <is>
          <t>Q40</t>
        </is>
      </c>
      <c r="B11" s="6" t="inlineStr">
        <is>
          <t>Triage</t>
        </is>
      </c>
      <c r="C11" s="14" t="inlineStr">
        <is>
          <t>What tools for alert triage?</t>
        </is>
      </c>
      <c r="D11" s="15" t="n"/>
      <c r="E11" s="15" t="n"/>
      <c r="F11" s="15" t="n"/>
      <c r="G11" s="16">
        <f>IF(D11="","",IF(OR(D11="No", D11="Informal", D11&lt;80), "Yes", "No"))</f>
        <v/>
      </c>
    </row>
    <row r="12">
      <c r="A12" s="6" t="inlineStr">
        <is>
          <t>Q41</t>
        </is>
      </c>
      <c r="B12" s="6" t="inlineStr">
        <is>
          <t>Playbooks</t>
        </is>
      </c>
      <c r="C12" s="14" t="inlineStr">
        <is>
          <t>Are investigation playbooks documented?</t>
        </is>
      </c>
      <c r="D12" s="15" t="n"/>
      <c r="E12" s="15" t="n"/>
      <c r="F12" s="15" t="n"/>
      <c r="G12" s="16">
        <f>IF(D12="","",IF(OR(D12="No", D12="Informal", D12&lt;80), "Yes", "No"))</f>
        <v/>
      </c>
    </row>
    <row r="13">
      <c r="A13" s="6" t="inlineStr">
        <is>
          <t>Q42</t>
        </is>
      </c>
      <c r="B13" s="6" t="inlineStr">
        <is>
          <t>Playbooks</t>
        </is>
      </c>
      <c r="C13" s="14" t="inlineStr">
        <is>
          <t>Which categories have playbooks?</t>
        </is>
      </c>
      <c r="D13" s="15" t="n"/>
      <c r="E13" s="15" t="n"/>
      <c r="F13" s="15" t="n"/>
      <c r="G13" s="16">
        <f>IF(D13="","",IF(OR(D13="No", D13="Informal", D13&lt;80), "Yes", "No"))</f>
        <v/>
      </c>
    </row>
    <row r="14">
      <c r="A14" s="6" t="inlineStr">
        <is>
          <t>Q43</t>
        </is>
      </c>
      <c r="B14" s="6" t="inlineStr">
        <is>
          <t>Playbooks</t>
        </is>
      </c>
      <c r="C14" s="14" t="inlineStr">
        <is>
          <t>Playbook format?</t>
        </is>
      </c>
      <c r="D14" s="15" t="n"/>
      <c r="E14" s="15" t="n"/>
      <c r="F14" s="15" t="n"/>
      <c r="G14" s="16">
        <f>IF(D14="","",IF(OR(D14="No", D14="Informal", D14&lt;80), "Yes", "No"))</f>
        <v/>
      </c>
    </row>
    <row r="15">
      <c r="A15" s="6" t="inlineStr">
        <is>
          <t>Q44</t>
        </is>
      </c>
      <c r="B15" s="6" t="inlineStr">
        <is>
          <t>Playbooks</t>
        </is>
      </c>
      <c r="C15" s="14" t="inlineStr">
        <is>
          <t>Playbook update frequency?</t>
        </is>
      </c>
      <c r="D15" s="15" t="n"/>
      <c r="E15" s="15" t="n"/>
      <c r="F15" s="15" t="n"/>
      <c r="G15" s="16">
        <f>IF(D15="","",IF(OR(D15="No", D15="Informal", D15&lt;80), "Yes", "No"))</f>
        <v/>
      </c>
    </row>
    <row r="16">
      <c r="A16" s="6" t="inlineStr">
        <is>
          <t>Q45</t>
        </is>
      </c>
      <c r="B16" s="6" t="inlineStr">
        <is>
          <t>Playbooks</t>
        </is>
      </c>
      <c r="C16" s="14" t="inlineStr">
        <is>
          <t>Playbook: Malware/Ransomware</t>
        </is>
      </c>
      <c r="D16" s="15" t="n"/>
      <c r="E16" s="15" t="n"/>
      <c r="F16" s="15" t="n"/>
      <c r="G16" s="16">
        <f>IF(D16="","",IF(OR(D16="No", D16="Informal", D16&lt;80), "Yes", "No"))</f>
        <v/>
      </c>
    </row>
    <row r="17">
      <c r="A17" s="6" t="inlineStr">
        <is>
          <t>Q46</t>
        </is>
      </c>
      <c r="B17" s="6" t="inlineStr">
        <is>
          <t>Playbooks</t>
        </is>
      </c>
      <c r="C17" s="14" t="inlineStr">
        <is>
          <t>Playbook: Phishing/BEC</t>
        </is>
      </c>
      <c r="D17" s="15" t="n"/>
      <c r="E17" s="15" t="n"/>
      <c r="F17" s="15" t="n"/>
      <c r="G17" s="16">
        <f>IF(D17="","",IF(OR(D17="No", D17="Informal", D17&lt;80), "Yes", "No"))</f>
        <v/>
      </c>
    </row>
    <row r="18">
      <c r="A18" s="6" t="inlineStr">
        <is>
          <t>Q47</t>
        </is>
      </c>
      <c r="B18" s="6" t="inlineStr">
        <is>
          <t>Playbooks</t>
        </is>
      </c>
      <c r="C18" s="14" t="inlineStr">
        <is>
          <t>Playbook: Unauthorised Access</t>
        </is>
      </c>
      <c r="D18" s="15" t="n"/>
      <c r="E18" s="15" t="n"/>
      <c r="F18" s="15" t="n"/>
      <c r="G18" s="16">
        <f>IF(D18="","",IF(OR(D18="No", D18="Informal", D18&lt;80), "Yes", "No"))</f>
        <v/>
      </c>
    </row>
    <row r="19">
      <c r="A19" s="6" t="inlineStr">
        <is>
          <t>Q48</t>
        </is>
      </c>
      <c r="B19" s="6" t="inlineStr">
        <is>
          <t>Playbooks</t>
        </is>
      </c>
      <c r="C19" s="14" t="inlineStr">
        <is>
          <t>Playbook: Data Exfiltration</t>
        </is>
      </c>
      <c r="D19" s="15" t="n"/>
      <c r="E19" s="15" t="n"/>
      <c r="F19" s="15" t="n"/>
      <c r="G19" s="16">
        <f>IF(D19="","",IF(OR(D19="No", D19="Informal", D19&lt;80), "Yes", "No"))</f>
        <v/>
      </c>
    </row>
    <row r="20">
      <c r="A20" s="6" t="inlineStr">
        <is>
          <t>Q49</t>
        </is>
      </c>
      <c r="B20" s="6" t="inlineStr">
        <is>
          <t>Escalation</t>
        </is>
      </c>
      <c r="C20" s="14" t="inlineStr">
        <is>
          <t>Escalation criteria clearly defined?</t>
        </is>
      </c>
      <c r="D20" s="15" t="n"/>
      <c r="E20" s="15" t="n"/>
      <c r="F20" s="15" t="n"/>
      <c r="G20" s="16">
        <f>IF(D20="","",IF(OR(D20="No", D20="Informal", D20&lt;80), "Yes", "No"))</f>
        <v/>
      </c>
    </row>
    <row r="21">
      <c r="A21" s="6" t="inlineStr">
        <is>
          <t>Q50</t>
        </is>
      </c>
      <c r="B21" s="6" t="inlineStr">
        <is>
          <t>Escalation</t>
        </is>
      </c>
      <c r="C21" s="14" t="inlineStr">
        <is>
          <t>How are incidents escalated SOC → CSIRT?</t>
        </is>
      </c>
      <c r="D21" s="15" t="n"/>
      <c r="E21" s="15" t="n"/>
      <c r="F21" s="15" t="n"/>
      <c r="G21" s="16">
        <f>IF(D21="","",IF(OR(D21="No", D21="Informal", D21&lt;80), "Yes", "No"))</f>
        <v/>
      </c>
    </row>
    <row r="22">
      <c r="A22" s="6" t="inlineStr">
        <is>
          <t>Q51</t>
        </is>
      </c>
      <c r="B22" s="6" t="inlineStr">
        <is>
          <t>Escalation</t>
        </is>
      </c>
      <c r="C22" s="14" t="inlineStr">
        <is>
          <t>Handoff checklist for CSIRT escalation?</t>
        </is>
      </c>
      <c r="D22" s="15" t="n"/>
      <c r="E22" s="15" t="n"/>
      <c r="F22" s="15" t="n"/>
      <c r="G22" s="16">
        <f>IF(D22="","",IF(OR(D22="No", D22="Informal", D22&lt;80), "Yes", "No"))</f>
        <v/>
      </c>
    </row>
    <row r="23">
      <c r="A23" s="6" t="inlineStr">
        <is>
          <t>Q52</t>
        </is>
      </c>
      <c r="B23" s="6" t="inlineStr">
        <is>
          <t>Escalation</t>
        </is>
      </c>
      <c r="C23" s="14" t="inlineStr">
        <is>
          <t>False positive handling process?</t>
        </is>
      </c>
      <c r="D23" s="15" t="n"/>
      <c r="E23" s="15" t="n"/>
      <c r="F23" s="15" t="n"/>
      <c r="G23" s="16">
        <f>IF(D23="","",IF(OR(D23="No", D23="Informal", D23&lt;80), "Yes", "No"))</f>
        <v/>
      </c>
    </row>
    <row r="24">
      <c r="A24" s="6" t="inlineStr">
        <is>
          <t>Q53</t>
        </is>
      </c>
      <c r="B24" s="6" t="inlineStr">
        <is>
          <t>Escalation</t>
        </is>
      </c>
      <c r="C24" s="14" t="inlineStr">
        <is>
          <t>Feedback loop: FP → tuning?</t>
        </is>
      </c>
      <c r="D24" s="15" t="n"/>
      <c r="E24" s="15" t="n"/>
      <c r="F24" s="15" t="n"/>
      <c r="G24" s="16">
        <f>IF(D24="","",IF(OR(D24="No", D24="Informal", D24&lt;80), "Yes", "No"))</f>
        <v/>
      </c>
    </row>
    <row r="25">
      <c r="A25" s="6" t="inlineStr">
        <is>
          <t>Q54</t>
        </is>
      </c>
      <c r="B25" s="6" t="inlineStr">
        <is>
          <t>Capacity</t>
        </is>
      </c>
      <c r="C25" s="14" t="inlineStr">
        <is>
          <t>SOC analyst FTE count?</t>
        </is>
      </c>
      <c r="D25" s="15" t="n"/>
      <c r="E25" s="15" t="n"/>
      <c r="F25" s="15" t="n"/>
      <c r="G25" s="16">
        <f>IF(D25="","",IF(OR(D25="No", D25="Informal", D25&lt;80), "Yes", "No"))</f>
        <v/>
      </c>
    </row>
    <row r="26">
      <c r="A26" s="6" t="inlineStr">
        <is>
          <t>Q55</t>
        </is>
      </c>
      <c r="B26" s="6" t="inlineStr">
        <is>
          <t>Capacity</t>
        </is>
      </c>
      <c r="C26" s="14" t="inlineStr">
        <is>
          <t>Tiered analyst structure?</t>
        </is>
      </c>
      <c r="D26" s="15" t="n"/>
      <c r="E26" s="15" t="n"/>
      <c r="F26" s="15" t="n"/>
      <c r="G26" s="16">
        <f>IF(D26="","",IF(OR(D26="No", D26="Informal", D26&lt;80), "Yes", "No"))</f>
        <v/>
      </c>
    </row>
    <row r="27">
      <c r="A27" s="6" t="inlineStr">
        <is>
          <t>Q56</t>
        </is>
      </c>
      <c r="B27" s="6" t="inlineStr">
        <is>
          <t>Capacity</t>
        </is>
      </c>
      <c r="C27" s="14" t="inlineStr">
        <is>
          <t>Analyst training frequency?</t>
        </is>
      </c>
      <c r="D27" s="15" t="n"/>
      <c r="E27" s="15" t="n"/>
      <c r="F27" s="15" t="n"/>
      <c r="G27" s="16">
        <f>IF(D27="","",IF(OR(D27="No", D27="Informal", D27&lt;80), "Yes", "No"))</f>
        <v/>
      </c>
    </row>
    <row r="28">
      <c r="A28" s="6" t="inlineStr">
        <is>
          <t>Q57</t>
        </is>
      </c>
      <c r="B28" s="6" t="inlineStr">
        <is>
          <t>Capacity</t>
        </is>
      </c>
      <c r="C28" s="14" t="inlineStr">
        <is>
          <t>Analyst burnout indicators?</t>
        </is>
      </c>
      <c r="D28" s="15" t="n"/>
      <c r="E28" s="15" t="n"/>
      <c r="F28" s="15" t="n"/>
      <c r="G28" s="16">
        <f>IF(D28="","",IF(OR(D28="No", D28="Informal", D28&lt;80), "Yes", "No"))</f>
        <v/>
      </c>
    </row>
    <row r="29">
      <c r="A29" s="6" t="inlineStr">
        <is>
          <t>Q58</t>
        </is>
      </c>
      <c r="B29" s="6" t="inlineStr">
        <is>
          <t>Capacity</t>
        </is>
      </c>
      <c r="C29" s="14" t="inlineStr">
        <is>
          <t>Analysts trained on all tools?</t>
        </is>
      </c>
      <c r="D29" s="15" t="n"/>
      <c r="E29" s="15" t="n"/>
      <c r="F29" s="15" t="n"/>
      <c r="G29" s="16">
        <f>IF(D29="","",IF(OR(D29="No", D29="Informal", D29&lt;80), "Yes", "No"))</f>
        <v/>
      </c>
    </row>
  </sheetData>
  <mergeCells count="2">
    <mergeCell ref="A2:G2"/>
    <mergeCell ref="A1:G1"/>
  </mergeCells>
  <dataValidations count="1">
    <dataValidation sqref="D5 D6 D7 D8 D9 D10 D11 D12 D13 D14 D15 D16 D17 D18 D19 D20 D21 D22 D23 D24 D25 D26 D27 D28 D29" showDropDown="0" showInputMessage="0" showErrorMessage="0" allowBlank="1" type="list">
      <formula1>"Yes,No,Partial,Informal,In-Progress,N/A"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CLASSIFICATION &amp; SEVERITY</t>
        </is>
      </c>
    </row>
    <row r="2">
      <c r="A2" s="12" t="inlineStr">
        <is>
          <t>ISO/IEC 27001:2022 - Control A.5.24-28: Incident Management | Category Assignment, Severity Criteria, Consistency (25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Q59</t>
        </is>
      </c>
      <c r="B5" s="6" t="inlineStr">
        <is>
          <t>Classification</t>
        </is>
      </c>
      <c r="C5" s="14" t="inlineStr">
        <is>
          <t>Adopted ISMS-REF-A.5.24-28 taxonomy?</t>
        </is>
      </c>
      <c r="D5" s="15" t="n"/>
      <c r="E5" s="15" t="n"/>
      <c r="F5" s="15" t="n"/>
      <c r="G5" s="16">
        <f>IF(D5="","",IF(OR(D5="No", D5&lt;80), "Yes", "No"))</f>
        <v/>
      </c>
    </row>
    <row r="6">
      <c r="A6" s="6" t="inlineStr">
        <is>
          <t>Q60</t>
        </is>
      </c>
      <c r="B6" s="6" t="inlineStr">
        <is>
          <t>Classification</t>
        </is>
      </c>
      <c r="C6" s="14" t="inlineStr">
        <is>
          <t>Classification procedure documented?</t>
        </is>
      </c>
      <c r="D6" s="15" t="n"/>
      <c r="E6" s="15" t="n"/>
      <c r="F6" s="15" t="n"/>
      <c r="G6" s="16">
        <f>IF(D6="","",IF(OR(D6="No", D6&lt;80), "Yes", "No"))</f>
        <v/>
      </c>
    </row>
    <row r="7">
      <c r="A7" s="6" t="inlineStr">
        <is>
          <t>Q61</t>
        </is>
      </c>
      <c r="B7" s="6" t="inlineStr">
        <is>
          <t>Classification</t>
        </is>
      </c>
      <c r="C7" s="14" t="inlineStr">
        <is>
          <t>Analysts trained on classification?</t>
        </is>
      </c>
      <c r="D7" s="15" t="n"/>
      <c r="E7" s="15" t="n"/>
      <c r="F7" s="15" t="n"/>
      <c r="G7" s="16">
        <f>IF(D7="","",IF(OR(D7="No", D7&lt;80), "Yes", "No"))</f>
        <v/>
      </c>
    </row>
    <row r="8">
      <c r="A8" s="6" t="inlineStr">
        <is>
          <t>Q62</t>
        </is>
      </c>
      <c r="B8" s="6" t="inlineStr">
        <is>
          <t>Classification</t>
        </is>
      </c>
      <c r="C8" s="14" t="inlineStr">
        <is>
          <t>Classification consistency reviewed?</t>
        </is>
      </c>
      <c r="D8" s="15" t="n"/>
      <c r="E8" s="15" t="n"/>
      <c r="F8" s="15" t="n"/>
      <c r="G8" s="16">
        <f>IF(D8="","",IF(OR(D8="No", D8&lt;80), "Yes", "No"))</f>
        <v/>
      </c>
    </row>
    <row r="9">
      <c r="A9" s="6" t="inlineStr">
        <is>
          <t>Q63</t>
        </is>
      </c>
      <c r="B9" s="6" t="inlineStr">
        <is>
          <t>Classification</t>
        </is>
      </c>
      <c r="C9" s="14" t="inlineStr">
        <is>
          <t>Classification accuracy rate?</t>
        </is>
      </c>
      <c r="D9" s="15" t="n"/>
      <c r="E9" s="15" t="n"/>
      <c r="F9" s="15" t="n"/>
      <c r="G9" s="16">
        <f>IF(D9="","",IF(OR(D9="No", D9&lt;80), "Yes", "No"))</f>
        <v/>
      </c>
    </row>
    <row r="10">
      <c r="A10" s="6" t="inlineStr">
        <is>
          <t>Q64</t>
        </is>
      </c>
      <c r="B10" s="6" t="inlineStr">
        <is>
          <t>Classification</t>
        </is>
      </c>
      <c r="C10" s="14" t="inlineStr">
        <is>
          <t>Reclassification process documented?</t>
        </is>
      </c>
      <c r="D10" s="15" t="n"/>
      <c r="E10" s="15" t="n"/>
      <c r="F10" s="15" t="n"/>
      <c r="G10" s="16">
        <f>IF(D10="","",IF(OR(D10="No", D10&lt;80), "Yes", "No"))</f>
        <v/>
      </c>
    </row>
    <row r="11">
      <c r="A11" s="6" t="inlineStr">
        <is>
          <t>Q65</t>
        </is>
      </c>
      <c r="B11" s="6" t="inlineStr">
        <is>
          <t>Classification</t>
        </is>
      </c>
      <c r="C11" s="14" t="inlineStr">
        <is>
          <t>Multi-category incident handling?</t>
        </is>
      </c>
      <c r="D11" s="15" t="n"/>
      <c r="E11" s="15" t="n"/>
      <c r="F11" s="15" t="n"/>
      <c r="G11" s="16">
        <f>IF(D11="","",IF(OR(D11="No", D11&lt;80), "Yes", "No"))</f>
        <v/>
      </c>
    </row>
    <row r="12">
      <c r="A12" s="6" t="inlineStr">
        <is>
          <t>Q66</t>
        </is>
      </c>
      <c r="B12" s="6" t="inlineStr">
        <is>
          <t>Severity</t>
        </is>
      </c>
      <c r="C12" s="14" t="inlineStr">
        <is>
          <t>How many severity levels?</t>
        </is>
      </c>
      <c r="D12" s="15" t="n"/>
      <c r="E12" s="15" t="n"/>
      <c r="F12" s="15" t="n"/>
      <c r="G12" s="16">
        <f>IF(D12="","",IF(OR(D12="No", D12&lt;80), "Yes", "No"))</f>
        <v/>
      </c>
    </row>
    <row r="13">
      <c r="A13" s="6" t="inlineStr">
        <is>
          <t>Q67</t>
        </is>
      </c>
      <c r="B13" s="6" t="inlineStr">
        <is>
          <t>Severity</t>
        </is>
      </c>
      <c r="C13" s="14" t="inlineStr">
        <is>
          <t>Severity criteria documented?</t>
        </is>
      </c>
      <c r="D13" s="15" t="n"/>
      <c r="E13" s="15" t="n"/>
      <c r="F13" s="15" t="n"/>
      <c r="G13" s="16">
        <f>IF(D13="","",IF(OR(D13="No", D13&lt;80), "Yes", "No"))</f>
        <v/>
      </c>
    </row>
    <row r="14">
      <c r="A14" s="6" t="inlineStr">
        <is>
          <t>Q68</t>
        </is>
      </c>
      <c r="B14" s="6" t="inlineStr">
        <is>
          <t>Severity</t>
        </is>
      </c>
      <c r="C14" s="14" t="inlineStr">
        <is>
          <t>Critical severity criteria?</t>
        </is>
      </c>
      <c r="D14" s="15" t="n"/>
      <c r="E14" s="15" t="n"/>
      <c r="F14" s="15" t="n"/>
      <c r="G14" s="16">
        <f>IF(D14="","",IF(OR(D14="No", D14&lt;80), "Yes", "No"))</f>
        <v/>
      </c>
    </row>
    <row r="15">
      <c r="A15" s="6" t="inlineStr">
        <is>
          <t>Q69</t>
        </is>
      </c>
      <c r="B15" s="6" t="inlineStr">
        <is>
          <t>Severity</t>
        </is>
      </c>
      <c r="C15" s="14" t="inlineStr">
        <is>
          <t>Severity assignment training?</t>
        </is>
      </c>
      <c r="D15" s="15" t="n"/>
      <c r="E15" s="15" t="n"/>
      <c r="F15" s="15" t="n"/>
      <c r="G15" s="16">
        <f>IF(D15="","",IF(OR(D15="No", D15&lt;80), "Yes", "No"))</f>
        <v/>
      </c>
    </row>
    <row r="16">
      <c r="A16" s="6" t="inlineStr">
        <is>
          <t>Q70</t>
        </is>
      </c>
      <c r="B16" s="6" t="inlineStr">
        <is>
          <t>Severity</t>
        </is>
      </c>
      <c r="C16" s="14" t="inlineStr">
        <is>
          <t>Severity consistency reviewed?</t>
        </is>
      </c>
      <c r="D16" s="15" t="n"/>
      <c r="E16" s="15" t="n"/>
      <c r="F16" s="15" t="n"/>
      <c r="G16" s="16">
        <f>IF(D16="","",IF(OR(D16="No", D16&lt;80), "Yes", "No"))</f>
        <v/>
      </c>
    </row>
    <row r="17">
      <c r="A17" s="6" t="inlineStr">
        <is>
          <t>Q71</t>
        </is>
      </c>
      <c r="B17" s="6" t="inlineStr">
        <is>
          <t>Severity</t>
        </is>
      </c>
      <c r="C17" s="14" t="inlineStr">
        <is>
          <t>Severity upgrade process?</t>
        </is>
      </c>
      <c r="D17" s="15" t="n"/>
      <c r="E17" s="15" t="n"/>
      <c r="F17" s="15" t="n"/>
      <c r="G17" s="16">
        <f>IF(D17="","",IF(OR(D17="No", D17&lt;80), "Yes", "No"))</f>
        <v/>
      </c>
    </row>
    <row r="18">
      <c r="A18" s="6" t="inlineStr">
        <is>
          <t>Q72</t>
        </is>
      </c>
      <c r="B18" s="6" t="inlineStr">
        <is>
          <t>Severity</t>
        </is>
      </c>
      <c r="C18" s="14" t="inlineStr">
        <is>
          <t>Severity downgrade process?</t>
        </is>
      </c>
      <c r="D18" s="15" t="n"/>
      <c r="E18" s="15" t="n"/>
      <c r="F18" s="15" t="n"/>
      <c r="G18" s="16">
        <f>IF(D18="","",IF(OR(D18="No", D18&lt;80), "Yes", "No"))</f>
        <v/>
      </c>
    </row>
    <row r="19">
      <c r="A19" s="6" t="inlineStr">
        <is>
          <t>Q73</t>
        </is>
      </c>
      <c r="B19" s="6" t="inlineStr">
        <is>
          <t>Severity</t>
        </is>
      </c>
      <c r="C19" s="14" t="inlineStr">
        <is>
          <t>% Incidents Critical (90 days)?</t>
        </is>
      </c>
      <c r="D19" s="15" t="n"/>
      <c r="E19" s="15" t="n"/>
      <c r="F19" s="15" t="n"/>
      <c r="G19" s="16">
        <f>IF(D19="","",IF(OR(D19="No", D19&lt;80), "Yes", "No"))</f>
        <v/>
      </c>
    </row>
    <row r="20">
      <c r="A20" s="6" t="inlineStr">
        <is>
          <t>Q74</t>
        </is>
      </c>
      <c r="B20" s="6" t="inlineStr">
        <is>
          <t>Severity</t>
        </is>
      </c>
      <c r="C20" s="14" t="inlineStr">
        <is>
          <t>% Incidents High (90 days)?</t>
        </is>
      </c>
      <c r="D20" s="15" t="n"/>
      <c r="E20" s="15" t="n"/>
      <c r="F20" s="15" t="n"/>
      <c r="G20" s="16">
        <f>IF(D20="","",IF(OR(D20="No", D20&lt;80), "Yes", "No"))</f>
        <v/>
      </c>
    </row>
    <row r="21">
      <c r="A21" s="6" t="inlineStr">
        <is>
          <t>Q75</t>
        </is>
      </c>
      <c r="B21" s="6" t="inlineStr">
        <is>
          <t>Severity</t>
        </is>
      </c>
      <c r="C21" s="14" t="inlineStr">
        <is>
          <t>% Incidents Medium (90 days)?</t>
        </is>
      </c>
      <c r="D21" s="15" t="n"/>
      <c r="E21" s="15" t="n"/>
      <c r="F21" s="15" t="n"/>
      <c r="G21" s="16">
        <f>IF(D21="","",IF(OR(D21="No", D21&lt;80), "Yes", "No"))</f>
        <v/>
      </c>
    </row>
    <row r="22">
      <c r="A22" s="6" t="inlineStr">
        <is>
          <t>Q76</t>
        </is>
      </c>
      <c r="B22" s="6" t="inlineStr">
        <is>
          <t>Correlation</t>
        </is>
      </c>
      <c r="C22" s="14" t="inlineStr">
        <is>
          <t>Top Category 1</t>
        </is>
      </c>
      <c r="D22" s="15" t="n"/>
      <c r="E22" s="15" t="n"/>
      <c r="F22" s="15" t="n"/>
      <c r="G22" s="16">
        <f>IF(D22="","",IF(OR(D22="No", D22&lt;80), "Yes", "No"))</f>
        <v/>
      </c>
    </row>
    <row r="23">
      <c r="A23" s="6" t="inlineStr">
        <is>
          <t>Q77</t>
        </is>
      </c>
      <c r="B23" s="6" t="inlineStr">
        <is>
          <t>Correlation</t>
        </is>
      </c>
      <c r="C23" s="14" t="inlineStr">
        <is>
          <t>Top Category 2</t>
        </is>
      </c>
      <c r="D23" s="15" t="n"/>
      <c r="E23" s="15" t="n"/>
      <c r="F23" s="15" t="n"/>
      <c r="G23" s="16">
        <f>IF(D23="","",IF(OR(D23="No", D23&lt;80), "Yes", "No"))</f>
        <v/>
      </c>
    </row>
    <row r="24">
      <c r="A24" s="6" t="inlineStr">
        <is>
          <t>Q78</t>
        </is>
      </c>
      <c r="B24" s="6" t="inlineStr">
        <is>
          <t>Correlation</t>
        </is>
      </c>
      <c r="C24" s="14" t="inlineStr">
        <is>
          <t>Top Category 3</t>
        </is>
      </c>
      <c r="D24" s="15" t="n"/>
      <c r="E24" s="15" t="n"/>
      <c r="F24" s="15" t="n"/>
      <c r="G24" s="16">
        <f>IF(D24="","",IF(OR(D24="No", D24&lt;80), "Yes", "No"))</f>
        <v/>
      </c>
    </row>
    <row r="25">
      <c r="A25" s="6" t="inlineStr">
        <is>
          <t>Q79</t>
        </is>
      </c>
      <c r="B25" s="6" t="inlineStr">
        <is>
          <t>Correlation</t>
        </is>
      </c>
      <c r="C25" s="14" t="inlineStr">
        <is>
          <t>Top Category 4</t>
        </is>
      </c>
      <c r="D25" s="15" t="n"/>
      <c r="E25" s="15" t="n"/>
      <c r="F25" s="15" t="n"/>
      <c r="G25" s="16">
        <f>IF(D25="","",IF(OR(D25="No", D25&lt;80), "Yes", "No"))</f>
        <v/>
      </c>
    </row>
    <row r="26">
      <c r="A26" s="6" t="inlineStr">
        <is>
          <t>Q80</t>
        </is>
      </c>
      <c r="B26" s="6" t="inlineStr">
        <is>
          <t>Correlation</t>
        </is>
      </c>
      <c r="C26" s="14" t="inlineStr">
        <is>
          <t>Top Category 5</t>
        </is>
      </c>
      <c r="D26" s="15" t="n"/>
      <c r="E26" s="15" t="n"/>
      <c r="F26" s="15" t="n"/>
      <c r="G26" s="16">
        <f>IF(D26="","",IF(OR(D26="No", D26&lt;80), "Yes", "No"))</f>
        <v/>
      </c>
    </row>
    <row r="27">
      <c r="A27" s="6" t="inlineStr">
        <is>
          <t>Q81</t>
        </is>
      </c>
      <c r="B27" s="6" t="inlineStr">
        <is>
          <t>Correlation</t>
        </is>
      </c>
      <c r="C27" s="14" t="inlineStr">
        <is>
          <t>Top Category 6</t>
        </is>
      </c>
      <c r="D27" s="15" t="n"/>
      <c r="E27" s="15" t="n"/>
      <c r="F27" s="15" t="n"/>
      <c r="G27" s="16">
        <f>IF(D27="","",IF(OR(D27="No", D27&lt;80), "Yes", "No"))</f>
        <v/>
      </c>
    </row>
    <row r="28">
      <c r="A28" s="6" t="inlineStr">
        <is>
          <t>Q82</t>
        </is>
      </c>
      <c r="B28" s="6" t="inlineStr">
        <is>
          <t>Correlation</t>
        </is>
      </c>
      <c r="C28" s="14" t="inlineStr">
        <is>
          <t>Top Category 7</t>
        </is>
      </c>
      <c r="D28" s="15" t="n"/>
      <c r="E28" s="15" t="n"/>
      <c r="F28" s="15" t="n"/>
      <c r="G28" s="16">
        <f>IF(D28="","",IF(OR(D28="No", D28&lt;80), "Yes", "No"))</f>
        <v/>
      </c>
    </row>
    <row r="29">
      <c r="A29" s="6" t="inlineStr">
        <is>
          <t>Q83</t>
        </is>
      </c>
      <c r="B29" s="6" t="inlineStr">
        <is>
          <t>Correlation</t>
        </is>
      </c>
      <c r="C29" s="14" t="inlineStr">
        <is>
          <t>Top Category 8</t>
        </is>
      </c>
      <c r="D29" s="15" t="n"/>
      <c r="E29" s="15" t="n"/>
      <c r="F29" s="15" t="n"/>
      <c r="G29" s="16">
        <f>IF(D29="","",IF(OR(D29="No", D29&lt;80), "Yes", "No"))</f>
        <v/>
      </c>
    </row>
  </sheetData>
  <mergeCells count="2">
    <mergeCell ref="A2:G2"/>
    <mergeCell ref="A1:G1"/>
  </mergeCells>
  <dataValidations count="1">
    <dataValidation sqref="D5 D6 D7 D8 D9 D10 D11 D12 D13 D14 D15 D16 D17 D18 D19 D20 D21 D22 D23 D24 D25 D26 D27 D28 D29" showDropDown="0" showInputMessage="0" showErrorMessage="0" allowBlank="1" type="list">
      <formula1>"Yes,No,Partial,In-Progress,N/A"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60" customWidth="1" min="3" max="3"/>
    <col width="25" customWidth="1" min="4" max="4"/>
    <col width="30" customWidth="1" min="5" max="5"/>
    <col width="35" customWidth="1" min="6" max="6"/>
    <col width="12" customWidth="1" min="7" max="7"/>
  </cols>
  <sheetData>
    <row r="1" ht="35" customHeight="1">
      <c r="A1" s="11" t="inlineStr">
        <is>
          <t>DETECTION EFFECTIVENESS</t>
        </is>
      </c>
    </row>
    <row r="2">
      <c r="A2" s="12" t="inlineStr">
        <is>
          <t>ISO/IEC 27001:2022 - Control A.5.24-28: Incident Management | MTTD, MTTT, False Positives, Coverage Gaps (25 Questions)</t>
        </is>
      </c>
    </row>
    <row r="4">
      <c r="A4" s="13" t="inlineStr">
        <is>
          <t>Question ID</t>
        </is>
      </c>
      <c r="B4" s="13" t="inlineStr">
        <is>
          <t>Section</t>
        </is>
      </c>
      <c r="C4" s="13" t="inlineStr">
        <is>
          <t>Question</t>
        </is>
      </c>
      <c r="D4" s="13" t="inlineStr">
        <is>
          <t>Answer</t>
        </is>
      </c>
      <c r="E4" s="13" t="inlineStr">
        <is>
          <t>Evidence Reference</t>
        </is>
      </c>
      <c r="F4" s="13" t="inlineStr">
        <is>
          <t>Comments</t>
        </is>
      </c>
      <c r="G4" s="13" t="inlineStr">
        <is>
          <t>Gap Identified</t>
        </is>
      </c>
    </row>
    <row r="5">
      <c r="A5" s="6" t="inlineStr">
        <is>
          <t>Q84</t>
        </is>
      </c>
      <c r="B5" s="6" t="inlineStr">
        <is>
          <t>MTTD</t>
        </is>
      </c>
      <c r="C5" s="14" t="inlineStr">
        <is>
          <t>Is MTTD tracked?</t>
        </is>
      </c>
      <c r="D5" s="15" t="n"/>
      <c r="E5" s="15" t="n"/>
      <c r="F5" s="15" t="n"/>
      <c r="G5" s="16">
        <f>IF(D5="","",IF(OR(D5="No", D5&gt;30, D5="Worsening"), "Yes", "No"))</f>
        <v/>
      </c>
    </row>
    <row r="6">
      <c r="A6" s="6" t="inlineStr">
        <is>
          <t>Q85</t>
        </is>
      </c>
      <c r="B6" s="6" t="inlineStr">
        <is>
          <t>MTTD</t>
        </is>
      </c>
      <c r="C6" s="14" t="inlineStr">
        <is>
          <t>Overall MTTD (90 days)?</t>
        </is>
      </c>
      <c r="D6" s="15" t="n"/>
      <c r="E6" s="15" t="n"/>
      <c r="F6" s="15" t="n"/>
      <c r="G6" s="16">
        <f>IF(D6="","",IF(OR(D6="No", D6&gt;30, D6="Worsening"), "Yes", "No"))</f>
        <v/>
      </c>
    </row>
    <row r="7">
      <c r="A7" s="6" t="inlineStr">
        <is>
          <t>Q86</t>
        </is>
      </c>
      <c r="B7" s="6" t="inlineStr">
        <is>
          <t>MTTD</t>
        </is>
      </c>
      <c r="C7" s="14" t="inlineStr">
        <is>
          <t>MTTD for Critical incidents?</t>
        </is>
      </c>
      <c r="D7" s="15" t="n"/>
      <c r="E7" s="15" t="n"/>
      <c r="F7" s="15" t="n"/>
      <c r="G7" s="16">
        <f>IF(D7="","",IF(OR(D7="No", D7&gt;30, D7="Worsening"), "Yes", "No"))</f>
        <v/>
      </c>
    </row>
    <row r="8">
      <c r="A8" s="6" t="inlineStr">
        <is>
          <t>Q87</t>
        </is>
      </c>
      <c r="B8" s="6" t="inlineStr">
        <is>
          <t>MTTD</t>
        </is>
      </c>
      <c r="C8" s="14" t="inlineStr">
        <is>
          <t>MTTD for High incidents?</t>
        </is>
      </c>
      <c r="D8" s="15" t="n"/>
      <c r="E8" s="15" t="n"/>
      <c r="F8" s="15" t="n"/>
      <c r="G8" s="16">
        <f>IF(D8="","",IF(OR(D8="No", D8&gt;30, D8="Worsening"), "Yes", "No"))</f>
        <v/>
      </c>
    </row>
    <row r="9">
      <c r="A9" s="6" t="inlineStr">
        <is>
          <t>Q88</t>
        </is>
      </c>
      <c r="B9" s="6" t="inlineStr">
        <is>
          <t>MTTD</t>
        </is>
      </c>
      <c r="C9" s="14" t="inlineStr">
        <is>
          <t>MTTD trend?</t>
        </is>
      </c>
      <c r="D9" s="15" t="n"/>
      <c r="E9" s="15" t="n"/>
      <c r="F9" s="15" t="n"/>
      <c r="G9" s="16">
        <f>IF(D9="","",IF(OR(D9="No", D9&gt;30, D9="Worsening"), "Yes", "No"))</f>
        <v/>
      </c>
    </row>
    <row r="10">
      <c r="A10" s="6" t="inlineStr">
        <is>
          <t>Q89</t>
        </is>
      </c>
      <c r="B10" s="6" t="inlineStr">
        <is>
          <t>MTTT</t>
        </is>
      </c>
      <c r="C10" s="14" t="inlineStr">
        <is>
          <t>Is MTTT tracked?</t>
        </is>
      </c>
      <c r="D10" s="15" t="n"/>
      <c r="E10" s="15" t="n"/>
      <c r="F10" s="15" t="n"/>
      <c r="G10" s="16">
        <f>IF(D10="","",IF(OR(D10="No", D10&gt;30, D10="Worsening"), "Yes", "No"))</f>
        <v/>
      </c>
    </row>
    <row r="11">
      <c r="A11" s="6" t="inlineStr">
        <is>
          <t>Q90</t>
        </is>
      </c>
      <c r="B11" s="6" t="inlineStr">
        <is>
          <t>MTTT</t>
        </is>
      </c>
      <c r="C11" s="14" t="inlineStr">
        <is>
          <t>Overall MTTT (90 days)?</t>
        </is>
      </c>
      <c r="D11" s="15" t="n"/>
      <c r="E11" s="15" t="n"/>
      <c r="F11" s="15" t="n"/>
      <c r="G11" s="16">
        <f>IF(D11="","",IF(OR(D11="No", D11&gt;30, D11="Worsening"), "Yes", "No"))</f>
        <v/>
      </c>
    </row>
    <row r="12">
      <c r="A12" s="6" t="inlineStr">
        <is>
          <t>Q91</t>
        </is>
      </c>
      <c r="B12" s="6" t="inlineStr">
        <is>
          <t>MTTT</t>
        </is>
      </c>
      <c r="C12" s="14" t="inlineStr">
        <is>
          <t>MTTT for Critical alerts?</t>
        </is>
      </c>
      <c r="D12" s="15" t="n"/>
      <c r="E12" s="15" t="n"/>
      <c r="F12" s="15" t="n"/>
      <c r="G12" s="16">
        <f>IF(D12="","",IF(OR(D12="No", D12&gt;30, D12="Worsening"), "Yes", "No"))</f>
        <v/>
      </c>
    </row>
    <row r="13">
      <c r="A13" s="6" t="inlineStr">
        <is>
          <t>Q92</t>
        </is>
      </c>
      <c r="B13" s="6" t="inlineStr">
        <is>
          <t>MTTT</t>
        </is>
      </c>
      <c r="C13" s="14" t="inlineStr">
        <is>
          <t>MTTT for High alerts?</t>
        </is>
      </c>
      <c r="D13" s="15" t="n"/>
      <c r="E13" s="15" t="n"/>
      <c r="F13" s="15" t="n"/>
      <c r="G13" s="16">
        <f>IF(D13="","",IF(OR(D13="No", D13&gt;30, D13="Worsening"), "Yes", "No"))</f>
        <v/>
      </c>
    </row>
    <row r="14">
      <c r="A14" s="6" t="inlineStr">
        <is>
          <t>Q93</t>
        </is>
      </c>
      <c r="B14" s="6" t="inlineStr">
        <is>
          <t>MTTT</t>
        </is>
      </c>
      <c r="C14" s="14" t="inlineStr">
        <is>
          <t>MTTT SLA compliance %?</t>
        </is>
      </c>
      <c r="D14" s="15" t="n"/>
      <c r="E14" s="15" t="n"/>
      <c r="F14" s="15" t="n"/>
      <c r="G14" s="16">
        <f>IF(D14="","",IF(OR(D14="No", D14&gt;30, D14="Worsening"), "Yes", "No"))</f>
        <v/>
      </c>
    </row>
    <row r="15">
      <c r="A15" s="6" t="inlineStr">
        <is>
          <t>Q94</t>
        </is>
      </c>
      <c r="B15" s="6" t="inlineStr">
        <is>
          <t>False Positives</t>
        </is>
      </c>
      <c r="C15" s="14" t="inlineStr">
        <is>
          <t>FPs systematically tracked?</t>
        </is>
      </c>
      <c r="D15" s="15" t="n"/>
      <c r="E15" s="15" t="n"/>
      <c r="F15" s="15" t="n"/>
      <c r="G15" s="16">
        <f>IF(D15="","",IF(OR(D15="No", D15&gt;30, D15="Worsening"), "Yes", "No"))</f>
        <v/>
      </c>
    </row>
    <row r="16">
      <c r="A16" s="6" t="inlineStr">
        <is>
          <t>Q95</t>
        </is>
      </c>
      <c r="B16" s="6" t="inlineStr">
        <is>
          <t>False Positives</t>
        </is>
      </c>
      <c r="C16" s="14" t="inlineStr">
        <is>
          <t>Total alerts (90 days)?</t>
        </is>
      </c>
      <c r="D16" s="15" t="n"/>
      <c r="E16" s="15" t="n"/>
      <c r="F16" s="15" t="n"/>
      <c r="G16" s="16">
        <f>IF(D16="","",IF(OR(D16="No", D16&gt;30, D16="Worsening"), "Yes", "No"))</f>
        <v/>
      </c>
    </row>
    <row r="17">
      <c r="A17" s="6" t="inlineStr">
        <is>
          <t>Q96</t>
        </is>
      </c>
      <c r="B17" s="6" t="inlineStr">
        <is>
          <t>False Positives</t>
        </is>
      </c>
      <c r="C17" s="14" t="inlineStr">
        <is>
          <t>False positives (90 days)?</t>
        </is>
      </c>
      <c r="D17" s="15" t="n"/>
      <c r="E17" s="15" t="n"/>
      <c r="F17" s="15" t="n"/>
      <c r="G17" s="16">
        <f>IF(D17="","",IF(OR(D17="No", D17&gt;30, D17="Worsening"), "Yes", "No"))</f>
        <v/>
      </c>
    </row>
    <row r="18">
      <c r="A18" s="6" t="inlineStr">
        <is>
          <t>Q97</t>
        </is>
      </c>
      <c r="B18" s="6" t="inlineStr">
        <is>
          <t>False Positives</t>
        </is>
      </c>
      <c r="C18" s="14" t="inlineStr">
        <is>
          <t>False positive rate?</t>
        </is>
      </c>
      <c r="D18" s="16">
        <f>D6/D5*100</f>
        <v/>
      </c>
      <c r="E18" s="15" t="n"/>
      <c r="F18" s="15" t="n"/>
      <c r="G18" s="16">
        <f>IF(D18="","",IF(OR(D18="No", D18&gt;30, D18="Worsening"), "Yes", "No"))</f>
        <v/>
      </c>
    </row>
    <row r="19">
      <c r="A19" s="6" t="inlineStr">
        <is>
          <t>Q98</t>
        </is>
      </c>
      <c r="B19" s="6" t="inlineStr">
        <is>
          <t>False Positives</t>
        </is>
      </c>
      <c r="C19" s="14" t="inlineStr">
        <is>
          <t>FP trend?</t>
        </is>
      </c>
      <c r="D19" s="15" t="n"/>
      <c r="E19" s="15" t="n"/>
      <c r="F19" s="15" t="n"/>
      <c r="G19" s="16">
        <f>IF(D19="","",IF(OR(D19="No", D19&gt;30, D19="Worsening"), "Yes", "No"))</f>
        <v/>
      </c>
    </row>
    <row r="20">
      <c r="A20" s="6" t="inlineStr">
        <is>
          <t>Q99</t>
        </is>
      </c>
      <c r="B20" s="6" t="inlineStr">
        <is>
          <t>False Positives</t>
        </is>
      </c>
      <c r="C20" s="14" t="inlineStr">
        <is>
          <t>Top FP source?</t>
        </is>
      </c>
      <c r="D20" s="15" t="n"/>
      <c r="E20" s="15" t="n"/>
      <c r="F20" s="15" t="n"/>
      <c r="G20" s="16">
        <f>IF(D20="","",IF(OR(D20="No", D20&gt;30, D20="Worsening"), "Yes", "No"))</f>
        <v/>
      </c>
    </row>
    <row r="21">
      <c r="A21" s="6" t="inlineStr">
        <is>
          <t>Q100</t>
        </is>
      </c>
      <c r="B21" s="6" t="inlineStr">
        <is>
          <t>False Positives</t>
        </is>
      </c>
      <c r="C21" s="14" t="inlineStr">
        <is>
          <t>FP tuning backlog?</t>
        </is>
      </c>
      <c r="D21" s="15" t="n"/>
      <c r="E21" s="15" t="n"/>
      <c r="F21" s="15" t="n"/>
      <c r="G21" s="16">
        <f>IF(D21="","",IF(OR(D21="No", D21&gt;30, D21="Worsening"), "Yes", "No"))</f>
        <v/>
      </c>
    </row>
    <row r="22">
      <c r="A22" s="6" t="inlineStr">
        <is>
          <t>Q101</t>
        </is>
      </c>
      <c r="B22" s="6" t="inlineStr">
        <is>
          <t>True Positives</t>
        </is>
      </c>
      <c r="C22" s="14" t="inlineStr">
        <is>
          <t>True positives (90 days)?</t>
        </is>
      </c>
      <c r="D22" s="15" t="n"/>
      <c r="E22" s="15" t="n"/>
      <c r="F22" s="15" t="n"/>
      <c r="G22" s="16">
        <f>IF(D22="","",IF(OR(D22="No", D22&gt;30, D22="Worsening"), "Yes", "No"))</f>
        <v/>
      </c>
    </row>
    <row r="23">
      <c r="A23" s="6" t="inlineStr">
        <is>
          <t>Q102</t>
        </is>
      </c>
      <c r="B23" s="6" t="inlineStr">
        <is>
          <t>True Positives</t>
        </is>
      </c>
      <c r="C23" s="14" t="inlineStr">
        <is>
          <t>True positive rate?</t>
        </is>
      </c>
      <c r="D23" s="16">
        <f>D16/D10*100</f>
        <v/>
      </c>
      <c r="E23" s="15" t="n"/>
      <c r="F23" s="15" t="n"/>
      <c r="G23" s="16">
        <f>IF(D23="","",IF(OR(D23="No", D23&gt;30, D23="Worsening"), "Yes", "No"))</f>
        <v/>
      </c>
    </row>
    <row r="24">
      <c r="A24" s="6" t="inlineStr">
        <is>
          <t>Q103</t>
        </is>
      </c>
      <c r="B24" s="6" t="inlineStr">
        <is>
          <t>True Positives</t>
        </is>
      </c>
      <c r="C24" s="14" t="inlineStr">
        <is>
          <t>Incident volume trend?</t>
        </is>
      </c>
      <c r="D24" s="15" t="n"/>
      <c r="E24" s="15" t="n"/>
      <c r="F24" s="15" t="n"/>
      <c r="G24" s="16">
        <f>IF(D24="","",IF(OR(D24="No", D24&gt;30, D24="Worsening"), "Yes", "No"))</f>
        <v/>
      </c>
    </row>
    <row r="25">
      <c r="A25" s="6" t="inlineStr">
        <is>
          <t>Q104</t>
        </is>
      </c>
      <c r="B25" s="6" t="inlineStr">
        <is>
          <t>True Positives</t>
        </is>
      </c>
      <c r="C25" s="14" t="inlineStr">
        <is>
          <t>Alert-to-incident ratio?</t>
        </is>
      </c>
      <c r="D25" s="16">
        <f>D12/D18</f>
        <v/>
      </c>
      <c r="E25" s="15" t="n"/>
      <c r="F25" s="15" t="n"/>
      <c r="G25" s="16">
        <f>IF(D25="","",IF(OR(D25="No", D25&gt;30, D25="Worsening"), "Yes", "No"))</f>
        <v/>
      </c>
    </row>
    <row r="26">
      <c r="A26" s="6" t="inlineStr">
        <is>
          <t>Q105</t>
        </is>
      </c>
      <c r="B26" s="6" t="inlineStr">
        <is>
          <t>True Positives</t>
        </is>
      </c>
      <c r="C26" s="14" t="inlineStr">
        <is>
          <t>Can SOC handle volume?</t>
        </is>
      </c>
      <c r="D26" s="15" t="n"/>
      <c r="E26" s="15" t="n"/>
      <c r="F26" s="15" t="n"/>
      <c r="G26" s="16">
        <f>IF(D26="","",IF(OR(D26="No", D26&gt;30, D26="Worsening"), "Yes", "No"))</f>
        <v/>
      </c>
    </row>
    <row r="27">
      <c r="A27" s="6" t="inlineStr">
        <is>
          <t>Q106</t>
        </is>
      </c>
      <c r="B27" s="6" t="inlineStr">
        <is>
          <t>Coverage</t>
        </is>
      </c>
      <c r="C27" s="14" t="inlineStr">
        <is>
          <t>Detection blind spots identified?</t>
        </is>
      </c>
      <c r="D27" s="15" t="n"/>
      <c r="E27" s="15" t="n"/>
      <c r="F27" s="15" t="n"/>
      <c r="G27" s="16">
        <f>IF(D27="","",IF(OR(D27="No", D27&gt;30, D27="Worsening"), "Yes", "No"))</f>
        <v/>
      </c>
    </row>
    <row r="28">
      <c r="A28" s="6" t="inlineStr">
        <is>
          <t>Q107</t>
        </is>
      </c>
      <c r="B28" s="6" t="inlineStr">
        <is>
          <t>Coverage</t>
        </is>
      </c>
      <c r="C28" s="14" t="inlineStr">
        <is>
          <t>Coverage gaps prioritised?</t>
        </is>
      </c>
      <c r="D28" s="15" t="n"/>
      <c r="E28" s="15" t="n"/>
      <c r="F28" s="15" t="n"/>
      <c r="G28" s="16">
        <f>IF(D28="","",IF(OR(D28="No", D28&gt;30, D28="Worsening"), "Yes", "No"))</f>
        <v/>
      </c>
    </row>
    <row r="29">
      <c r="A29" s="6" t="inlineStr">
        <is>
          <t>Q108</t>
        </is>
      </c>
      <c r="B29" s="6" t="inlineStr">
        <is>
          <t>Coverage</t>
        </is>
      </c>
      <c r="C29" s="14" t="inlineStr">
        <is>
          <t>Coverage improvement plan?</t>
        </is>
      </c>
      <c r="D29" s="15" t="n"/>
      <c r="E29" s="15" t="n"/>
      <c r="F29" s="15" t="n"/>
      <c r="G29" s="16">
        <f>IF(D29="","",IF(OR(D29="No", D29&gt;30, D29="Worsening"), "Yes", "No"))</f>
        <v/>
      </c>
    </row>
  </sheetData>
  <mergeCells count="2">
    <mergeCell ref="A2:G2"/>
    <mergeCell ref="A1:G1"/>
  </mergeCells>
  <dataValidations count="1">
    <dataValidation sqref="D5 D6 D7 D8 D9 D10 D11 D12 D13 D14 D15 D16 D17 D18 D19 D20 D21 D22 D23 D24 D25 D26 D27 D28 D29" showDropDown="0" showInputMessage="0" showErrorMessage="0" allowBlank="1" type="list">
      <formula1>"Yes,No,Partial,Worsening,Improving,Stable,In-Progress,N/A"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10" customWidth="1" min="1" max="1"/>
    <col width="20" customWidth="1" min="2" max="2"/>
    <col width="40" customWidth="1" min="3" max="3"/>
    <col width="12" customWidth="1" min="4" max="4"/>
    <col width="25" customWidth="1" min="5" max="5"/>
    <col width="25" customWidth="1" min="6" max="6"/>
    <col width="40" customWidth="1" min="7" max="7"/>
    <col width="18" customWidth="1" min="8" max="8"/>
    <col width="14" customWidth="1" min="9" max="9"/>
    <col width="14" customWidth="1" min="10" max="10"/>
  </cols>
  <sheetData>
    <row r="1" ht="35" customHeight="1">
      <c r="A1" s="11" t="inlineStr">
        <is>
          <t>GAP ANALYSIS</t>
        </is>
      </c>
    </row>
    <row r="2">
      <c r="A2" s="12" t="inlineStr">
        <is>
          <t>ISO/IEC 27001:2022 - Control A.5.24-28: Incident Management | Gap Prioritisation and Remediation Planning (40 Gap Capacity)</t>
        </is>
      </c>
    </row>
    <row r="4">
      <c r="A4" s="13" t="inlineStr">
        <is>
          <t>Gap ID</t>
        </is>
      </c>
      <c r="B4" s="13" t="inlineStr">
        <is>
          <t>Section</t>
        </is>
      </c>
      <c r="C4" s="13" t="inlineStr">
        <is>
          <t>Gap Description</t>
        </is>
      </c>
      <c r="D4" s="13" t="inlineStr">
        <is>
          <t>Risk Level</t>
        </is>
      </c>
      <c r="E4" s="13" t="inlineStr">
        <is>
          <t>Current State</t>
        </is>
      </c>
      <c r="F4" s="13" t="inlineStr">
        <is>
          <t>Target State</t>
        </is>
      </c>
      <c r="G4" s="13" t="inlineStr">
        <is>
          <t>Remediation</t>
        </is>
      </c>
      <c r="H4" s="13" t="inlineStr">
        <is>
          <t>Owner</t>
        </is>
      </c>
      <c r="I4" s="13" t="inlineStr">
        <is>
          <t>Target Date</t>
        </is>
      </c>
      <c r="J4" s="13" t="inlineStr">
        <is>
          <t>Status</t>
        </is>
      </c>
    </row>
    <row r="5">
      <c r="A5" s="17" t="inlineStr">
        <is>
          <t>GAP-001</t>
        </is>
      </c>
      <c r="B5" s="17" t="n"/>
      <c r="C5" s="17" t="n"/>
      <c r="D5" s="17" t="n"/>
      <c r="E5" s="17" t="n"/>
      <c r="F5" s="17" t="n"/>
      <c r="G5" s="17" t="n"/>
      <c r="H5" s="17" t="n"/>
      <c r="I5" s="17" t="n"/>
      <c r="J5" s="17"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8" t="inlineStr">
        <is>
          <t>EVIDENCE REGISTER</t>
        </is>
      </c>
    </row>
    <row r="2">
      <c r="A2" s="19" t="inlineStr">
        <is>
          <t>ISO/IEC 27001:2022 - Control A.5.24-28: Incident Management</t>
        </is>
      </c>
    </row>
    <row r="3">
      <c r="A3" s="6" t="n"/>
      <c r="B3" s="6" t="n"/>
      <c r="C3" s="6" t="n"/>
      <c r="D3" s="6" t="n"/>
      <c r="E3" s="6" t="n"/>
      <c r="F3" s="6" t="n"/>
      <c r="G3" s="6" t="n"/>
      <c r="H3" s="6" t="n"/>
    </row>
    <row r="4">
      <c r="A4" s="13" t="inlineStr">
        <is>
          <t>Evidence ID</t>
        </is>
      </c>
      <c r="B4" s="13" t="inlineStr">
        <is>
          <t>Evidence Type</t>
        </is>
      </c>
      <c r="C4" s="13" t="inlineStr">
        <is>
          <t>Description</t>
        </is>
      </c>
      <c r="D4" s="13" t="inlineStr">
        <is>
          <t>Related Control / Section</t>
        </is>
      </c>
      <c r="E4" s="13" t="inlineStr">
        <is>
          <t>Collection Date (DD.MM.YYYY)</t>
        </is>
      </c>
      <c r="F4" s="13" t="inlineStr">
        <is>
          <t>Storage Location / Reference</t>
        </is>
      </c>
      <c r="G4" s="13" t="inlineStr">
        <is>
          <t>Collected By</t>
        </is>
      </c>
      <c r="H4" s="13" t="inlineStr">
        <is>
          <t>Status</t>
        </is>
      </c>
    </row>
    <row r="5">
      <c r="A5" s="20" t="inlineStr">
        <is>
          <t>EV-001</t>
        </is>
      </c>
      <c r="B5" s="20" t="inlineStr">
        <is>
          <t>Document</t>
        </is>
      </c>
      <c r="C5" s="20" t="inlineStr">
        <is>
          <t>Sample evidence entry — replace with actual evidence</t>
        </is>
      </c>
      <c r="D5" s="20" t="inlineStr">
        <is>
          <t>All Controls</t>
        </is>
      </c>
      <c r="E5" s="20" t="inlineStr">
        <is>
          <t>01.01.2026</t>
        </is>
      </c>
      <c r="F5" s="20" t="inlineStr">
        <is>
          <t>SharePoint/ISMS/Evidence/</t>
        </is>
      </c>
      <c r="G5" s="20" t="inlineStr">
        <is>
          <t>ISMS Team</t>
        </is>
      </c>
      <c r="H5" s="20" t="inlineStr">
        <is>
          <t>Active</t>
        </is>
      </c>
    </row>
    <row r="6">
      <c r="A6" s="21" t="n"/>
      <c r="B6" s="21" t="n"/>
      <c r="C6" s="21" t="n"/>
      <c r="D6" s="21" t="n"/>
      <c r="E6" s="21" t="n"/>
      <c r="F6" s="21" t="n"/>
      <c r="G6" s="21" t="n"/>
      <c r="H6" s="21" t="n"/>
    </row>
    <row r="7">
      <c r="A7" s="21" t="n"/>
      <c r="B7" s="21" t="n"/>
      <c r="C7" s="21" t="n"/>
      <c r="D7" s="21" t="n"/>
      <c r="E7" s="21" t="n"/>
      <c r="F7" s="21" t="n"/>
      <c r="G7" s="21" t="n"/>
      <c r="H7" s="21" t="n"/>
    </row>
    <row r="8">
      <c r="A8" s="21" t="n"/>
      <c r="B8" s="21" t="n"/>
      <c r="C8" s="21" t="n"/>
      <c r="D8" s="21" t="n"/>
      <c r="E8" s="21" t="n"/>
      <c r="F8" s="21" t="n"/>
      <c r="G8" s="21" t="n"/>
      <c r="H8" s="21" t="n"/>
    </row>
    <row r="9">
      <c r="A9" s="21" t="n"/>
      <c r="B9" s="21" t="n"/>
      <c r="C9" s="21" t="n"/>
      <c r="D9" s="21" t="n"/>
      <c r="E9" s="21" t="n"/>
      <c r="F9" s="21" t="n"/>
      <c r="G9" s="21" t="n"/>
      <c r="H9" s="21" t="n"/>
    </row>
    <row r="10">
      <c r="A10" s="21" t="n"/>
      <c r="B10" s="21" t="n"/>
      <c r="C10" s="21" t="n"/>
      <c r="D10" s="21" t="n"/>
      <c r="E10" s="21" t="n"/>
      <c r="F10" s="21" t="n"/>
      <c r="G10" s="21" t="n"/>
      <c r="H10" s="21" t="n"/>
    </row>
    <row r="11">
      <c r="A11" s="21" t="n"/>
      <c r="B11" s="21" t="n"/>
      <c r="C11" s="21" t="n"/>
      <c r="D11" s="21" t="n"/>
      <c r="E11" s="21" t="n"/>
      <c r="F11" s="21" t="n"/>
      <c r="G11" s="21" t="n"/>
      <c r="H11" s="21" t="n"/>
    </row>
    <row r="12">
      <c r="A12" s="21" t="n"/>
      <c r="B12" s="21" t="n"/>
      <c r="C12" s="21" t="n"/>
      <c r="D12" s="21" t="n"/>
      <c r="E12" s="21" t="n"/>
      <c r="F12" s="21" t="n"/>
      <c r="G12" s="21" t="n"/>
      <c r="H12" s="21" t="n"/>
    </row>
    <row r="13">
      <c r="A13" s="21" t="n"/>
      <c r="B13" s="21" t="n"/>
      <c r="C13" s="21" t="n"/>
      <c r="D13" s="21" t="n"/>
      <c r="E13" s="21" t="n"/>
      <c r="F13" s="21" t="n"/>
      <c r="G13" s="21" t="n"/>
      <c r="H13" s="21" t="n"/>
    </row>
    <row r="14">
      <c r="A14" s="21" t="n"/>
      <c r="B14" s="21" t="n"/>
      <c r="C14" s="21" t="n"/>
      <c r="D14" s="21" t="n"/>
      <c r="E14" s="21" t="n"/>
      <c r="F14" s="21" t="n"/>
      <c r="G14" s="21" t="n"/>
      <c r="H14" s="21" t="n"/>
    </row>
    <row r="15">
      <c r="A15" s="21" t="n"/>
      <c r="B15" s="21" t="n"/>
      <c r="C15" s="21" t="n"/>
      <c r="D15" s="21" t="n"/>
      <c r="E15" s="21" t="n"/>
      <c r="F15" s="21" t="n"/>
      <c r="G15" s="21" t="n"/>
      <c r="H15" s="21" t="n"/>
    </row>
    <row r="16">
      <c r="A16" s="21" t="n"/>
      <c r="B16" s="21" t="n"/>
      <c r="C16" s="21" t="n"/>
      <c r="D16" s="21" t="n"/>
      <c r="E16" s="21" t="n"/>
      <c r="F16" s="21" t="n"/>
      <c r="G16" s="21" t="n"/>
      <c r="H16" s="21" t="n"/>
    </row>
    <row r="17">
      <c r="A17" s="21" t="n"/>
      <c r="B17" s="21" t="n"/>
      <c r="C17" s="21" t="n"/>
      <c r="D17" s="21" t="n"/>
      <c r="E17" s="21" t="n"/>
      <c r="F17" s="21" t="n"/>
      <c r="G17" s="21" t="n"/>
      <c r="H17" s="21" t="n"/>
    </row>
    <row r="18">
      <c r="A18" s="21" t="n"/>
      <c r="B18" s="21" t="n"/>
      <c r="C18" s="21" t="n"/>
      <c r="D18" s="21" t="n"/>
      <c r="E18" s="21" t="n"/>
      <c r="F18" s="21" t="n"/>
      <c r="G18" s="21" t="n"/>
      <c r="H18" s="21" t="n"/>
    </row>
    <row r="19">
      <c r="A19" s="21" t="n"/>
      <c r="B19" s="21" t="n"/>
      <c r="C19" s="21" t="n"/>
      <c r="D19" s="21" t="n"/>
      <c r="E19" s="21" t="n"/>
      <c r="F19" s="21" t="n"/>
      <c r="G19" s="21" t="n"/>
      <c r="H19" s="21" t="n"/>
    </row>
    <row r="20">
      <c r="A20" s="21" t="n"/>
      <c r="B20" s="21" t="n"/>
      <c r="C20" s="21" t="n"/>
      <c r="D20" s="21" t="n"/>
      <c r="E20" s="21" t="n"/>
      <c r="F20" s="21" t="n"/>
      <c r="G20" s="21" t="n"/>
      <c r="H20" s="21" t="n"/>
    </row>
    <row r="21">
      <c r="A21" s="21" t="n"/>
      <c r="B21" s="21" t="n"/>
      <c r="C21" s="21" t="n"/>
      <c r="D21" s="21" t="n"/>
      <c r="E21" s="21" t="n"/>
      <c r="F21" s="21" t="n"/>
      <c r="G21" s="21" t="n"/>
      <c r="H21" s="21" t="n"/>
    </row>
    <row r="22">
      <c r="A22" s="21" t="n"/>
      <c r="B22" s="21" t="n"/>
      <c r="C22" s="21" t="n"/>
      <c r="D22" s="21" t="n"/>
      <c r="E22" s="21" t="n"/>
      <c r="F22" s="21" t="n"/>
      <c r="G22" s="21" t="n"/>
      <c r="H22" s="21" t="n"/>
    </row>
    <row r="23">
      <c r="A23" s="21" t="n"/>
      <c r="B23" s="21" t="n"/>
      <c r="C23" s="21" t="n"/>
      <c r="D23" s="21" t="n"/>
      <c r="E23" s="21" t="n"/>
      <c r="F23" s="21" t="n"/>
      <c r="G23" s="21" t="n"/>
      <c r="H23" s="21" t="n"/>
    </row>
    <row r="24">
      <c r="A24" s="21" t="n"/>
      <c r="B24" s="21" t="n"/>
      <c r="C24" s="21" t="n"/>
      <c r="D24" s="21" t="n"/>
      <c r="E24" s="21" t="n"/>
      <c r="F24" s="21" t="n"/>
      <c r="G24" s="21" t="n"/>
      <c r="H24" s="21" t="n"/>
    </row>
    <row r="25">
      <c r="A25" s="21" t="n"/>
      <c r="B25" s="21" t="n"/>
      <c r="C25" s="21" t="n"/>
      <c r="D25" s="21" t="n"/>
      <c r="E25" s="21" t="n"/>
      <c r="F25" s="21" t="n"/>
      <c r="G25" s="21" t="n"/>
      <c r="H25" s="21" t="n"/>
    </row>
    <row r="26">
      <c r="A26" s="21" t="n"/>
      <c r="B26" s="21" t="n"/>
      <c r="C26" s="21" t="n"/>
      <c r="D26" s="21" t="n"/>
      <c r="E26" s="21" t="n"/>
      <c r="F26" s="21" t="n"/>
      <c r="G26" s="21" t="n"/>
      <c r="H26" s="21" t="n"/>
    </row>
    <row r="27">
      <c r="A27" s="21" t="n"/>
      <c r="B27" s="21" t="n"/>
      <c r="C27" s="21" t="n"/>
      <c r="D27" s="21" t="n"/>
      <c r="E27" s="21" t="n"/>
      <c r="F27" s="21" t="n"/>
      <c r="G27" s="21" t="n"/>
      <c r="H27" s="21" t="n"/>
    </row>
    <row r="28">
      <c r="A28" s="21" t="n"/>
      <c r="B28" s="21" t="n"/>
      <c r="C28" s="21" t="n"/>
      <c r="D28" s="21" t="n"/>
      <c r="E28" s="21" t="n"/>
      <c r="F28" s="21" t="n"/>
      <c r="G28" s="21" t="n"/>
      <c r="H28" s="21" t="n"/>
    </row>
    <row r="29">
      <c r="A29" s="21" t="n"/>
      <c r="B29" s="21" t="n"/>
      <c r="C29" s="21" t="n"/>
      <c r="D29" s="21" t="n"/>
      <c r="E29" s="21" t="n"/>
      <c r="F29" s="21" t="n"/>
      <c r="G29" s="21" t="n"/>
      <c r="H29" s="21" t="n"/>
    </row>
    <row r="30">
      <c r="A30" s="21" t="n"/>
      <c r="B30" s="21" t="n"/>
      <c r="C30" s="21" t="n"/>
      <c r="D30" s="21" t="n"/>
      <c r="E30" s="21" t="n"/>
      <c r="F30" s="21" t="n"/>
      <c r="G30" s="21" t="n"/>
      <c r="H30" s="21" t="n"/>
    </row>
    <row r="31">
      <c r="A31" s="21" t="n"/>
      <c r="B31" s="21" t="n"/>
      <c r="C31" s="21" t="n"/>
      <c r="D31" s="21" t="n"/>
      <c r="E31" s="21" t="n"/>
      <c r="F31" s="21" t="n"/>
      <c r="G31" s="21" t="n"/>
      <c r="H31" s="21" t="n"/>
    </row>
    <row r="32">
      <c r="A32" s="21" t="n"/>
      <c r="B32" s="21" t="n"/>
      <c r="C32" s="21" t="n"/>
      <c r="D32" s="21" t="n"/>
      <c r="E32" s="21" t="n"/>
      <c r="F32" s="21" t="n"/>
      <c r="G32" s="21" t="n"/>
      <c r="H32" s="21" t="n"/>
    </row>
    <row r="33">
      <c r="A33" s="21" t="n"/>
      <c r="B33" s="21" t="n"/>
      <c r="C33" s="21" t="n"/>
      <c r="D33" s="21" t="n"/>
      <c r="E33" s="21" t="n"/>
      <c r="F33" s="21" t="n"/>
      <c r="G33" s="21" t="n"/>
      <c r="H33" s="21" t="n"/>
    </row>
    <row r="34">
      <c r="A34" s="21" t="n"/>
      <c r="B34" s="21" t="n"/>
      <c r="C34" s="21" t="n"/>
      <c r="D34" s="21" t="n"/>
      <c r="E34" s="21" t="n"/>
      <c r="F34" s="21" t="n"/>
      <c r="G34" s="21" t="n"/>
      <c r="H34" s="21" t="n"/>
    </row>
    <row r="35">
      <c r="A35" s="21" t="n"/>
      <c r="B35" s="21" t="n"/>
      <c r="C35" s="21" t="n"/>
      <c r="D35" s="21" t="n"/>
      <c r="E35" s="21" t="n"/>
      <c r="F35" s="21" t="n"/>
      <c r="G35" s="21" t="n"/>
      <c r="H35" s="21" t="n"/>
    </row>
    <row r="36">
      <c r="A36" s="21" t="n"/>
      <c r="B36" s="21" t="n"/>
      <c r="C36" s="21" t="n"/>
      <c r="D36" s="21" t="n"/>
      <c r="E36" s="21" t="n"/>
      <c r="F36" s="21" t="n"/>
      <c r="G36" s="21" t="n"/>
      <c r="H36" s="21" t="n"/>
    </row>
    <row r="37">
      <c r="A37" s="21" t="n"/>
      <c r="B37" s="21" t="n"/>
      <c r="C37" s="21" t="n"/>
      <c r="D37" s="21" t="n"/>
      <c r="E37" s="21" t="n"/>
      <c r="F37" s="21" t="n"/>
      <c r="G37" s="21" t="n"/>
      <c r="H37" s="21" t="n"/>
    </row>
    <row r="38">
      <c r="A38" s="21" t="n"/>
      <c r="B38" s="21" t="n"/>
      <c r="C38" s="21" t="n"/>
      <c r="D38" s="21" t="n"/>
      <c r="E38" s="21" t="n"/>
      <c r="F38" s="21" t="n"/>
      <c r="G38" s="21" t="n"/>
      <c r="H38" s="21" t="n"/>
    </row>
    <row r="39">
      <c r="A39" s="21" t="n"/>
      <c r="B39" s="21" t="n"/>
      <c r="C39" s="21" t="n"/>
      <c r="D39" s="21" t="n"/>
      <c r="E39" s="21" t="n"/>
      <c r="F39" s="21" t="n"/>
      <c r="G39" s="21" t="n"/>
      <c r="H39" s="21" t="n"/>
    </row>
    <row r="40">
      <c r="A40" s="21" t="n"/>
      <c r="B40" s="21" t="n"/>
      <c r="C40" s="21" t="n"/>
      <c r="D40" s="21" t="n"/>
      <c r="E40" s="21" t="n"/>
      <c r="F40" s="21" t="n"/>
      <c r="G40" s="21" t="n"/>
      <c r="H40" s="21" t="n"/>
    </row>
    <row r="41">
      <c r="A41" s="21" t="n"/>
      <c r="B41" s="21" t="n"/>
      <c r="C41" s="21" t="n"/>
      <c r="D41" s="21" t="n"/>
      <c r="E41" s="21" t="n"/>
      <c r="F41" s="21" t="n"/>
      <c r="G41" s="21" t="n"/>
      <c r="H41" s="21" t="n"/>
    </row>
    <row r="42">
      <c r="A42" s="21" t="n"/>
      <c r="B42" s="21" t="n"/>
      <c r="C42" s="21" t="n"/>
      <c r="D42" s="21" t="n"/>
      <c r="E42" s="21" t="n"/>
      <c r="F42" s="21" t="n"/>
      <c r="G42" s="21" t="n"/>
      <c r="H42" s="21" t="n"/>
    </row>
    <row r="43">
      <c r="A43" s="21" t="n"/>
      <c r="B43" s="21" t="n"/>
      <c r="C43" s="21" t="n"/>
      <c r="D43" s="21" t="n"/>
      <c r="E43" s="21" t="n"/>
      <c r="F43" s="21" t="n"/>
      <c r="G43" s="21" t="n"/>
      <c r="H43" s="21" t="n"/>
    </row>
    <row r="44">
      <c r="A44" s="21" t="n"/>
      <c r="B44" s="21" t="n"/>
      <c r="C44" s="21" t="n"/>
      <c r="D44" s="21" t="n"/>
      <c r="E44" s="21" t="n"/>
      <c r="F44" s="21" t="n"/>
      <c r="G44" s="21" t="n"/>
      <c r="H44" s="21" t="n"/>
    </row>
    <row r="45">
      <c r="A45" s="21" t="n"/>
      <c r="B45" s="21" t="n"/>
      <c r="C45" s="21" t="n"/>
      <c r="D45" s="21" t="n"/>
      <c r="E45" s="21" t="n"/>
      <c r="F45" s="21" t="n"/>
      <c r="G45" s="21" t="n"/>
      <c r="H45" s="21" t="n"/>
    </row>
    <row r="46">
      <c r="A46" s="21" t="n"/>
      <c r="B46" s="21" t="n"/>
      <c r="C46" s="21" t="n"/>
      <c r="D46" s="21" t="n"/>
      <c r="E46" s="21" t="n"/>
      <c r="F46" s="21" t="n"/>
      <c r="G46" s="21" t="n"/>
      <c r="H46" s="21" t="n"/>
    </row>
    <row r="47">
      <c r="A47" s="21" t="n"/>
      <c r="B47" s="21" t="n"/>
      <c r="C47" s="21" t="n"/>
      <c r="D47" s="21" t="n"/>
      <c r="E47" s="21" t="n"/>
      <c r="F47" s="21" t="n"/>
      <c r="G47" s="21" t="n"/>
      <c r="H47" s="21" t="n"/>
    </row>
    <row r="48">
      <c r="A48" s="21" t="n"/>
      <c r="B48" s="21" t="n"/>
      <c r="C48" s="21" t="n"/>
      <c r="D48" s="21" t="n"/>
      <c r="E48" s="21" t="n"/>
      <c r="F48" s="21" t="n"/>
      <c r="G48" s="21" t="n"/>
      <c r="H48" s="21" t="n"/>
    </row>
    <row r="49">
      <c r="A49" s="21" t="n"/>
      <c r="B49" s="21" t="n"/>
      <c r="C49" s="21" t="n"/>
      <c r="D49" s="21" t="n"/>
      <c r="E49" s="21" t="n"/>
      <c r="F49" s="21" t="n"/>
      <c r="G49" s="21" t="n"/>
      <c r="H49" s="21" t="n"/>
    </row>
    <row r="50">
      <c r="A50" s="21" t="n"/>
      <c r="B50" s="21" t="n"/>
      <c r="C50" s="21" t="n"/>
      <c r="D50" s="21" t="n"/>
      <c r="E50" s="21" t="n"/>
      <c r="F50" s="21" t="n"/>
      <c r="G50" s="21" t="n"/>
      <c r="H50" s="21" t="n"/>
    </row>
    <row r="51">
      <c r="A51" s="21" t="n"/>
      <c r="B51" s="21" t="n"/>
      <c r="C51" s="21" t="n"/>
      <c r="D51" s="21" t="n"/>
      <c r="E51" s="21" t="n"/>
      <c r="F51" s="21" t="n"/>
      <c r="G51" s="21" t="n"/>
      <c r="H51" s="21" t="n"/>
    </row>
    <row r="52">
      <c r="A52" s="21" t="n"/>
      <c r="B52" s="21" t="n"/>
      <c r="C52" s="21" t="n"/>
      <c r="D52" s="21" t="n"/>
      <c r="E52" s="21" t="n"/>
      <c r="F52" s="21" t="n"/>
      <c r="G52" s="21" t="n"/>
      <c r="H52" s="21" t="n"/>
    </row>
    <row r="53">
      <c r="A53" s="21" t="n"/>
      <c r="B53" s="21" t="n"/>
      <c r="C53" s="21" t="n"/>
      <c r="D53" s="21" t="n"/>
      <c r="E53" s="21" t="n"/>
      <c r="F53" s="21" t="n"/>
      <c r="G53" s="21" t="n"/>
      <c r="H53" s="21" t="n"/>
    </row>
    <row r="54">
      <c r="A54" s="21" t="n"/>
      <c r="B54" s="21" t="n"/>
      <c r="C54" s="21" t="n"/>
      <c r="D54" s="21" t="n"/>
      <c r="E54" s="21" t="n"/>
      <c r="F54" s="21" t="n"/>
      <c r="G54" s="21" t="n"/>
      <c r="H54" s="21" t="n"/>
    </row>
    <row r="55">
      <c r="A55" s="21" t="n"/>
      <c r="B55" s="21" t="n"/>
      <c r="C55" s="21" t="n"/>
      <c r="D55" s="21" t="n"/>
      <c r="E55" s="21" t="n"/>
      <c r="F55" s="21" t="n"/>
      <c r="G55" s="21" t="n"/>
      <c r="H55" s="21" t="n"/>
    </row>
    <row r="56">
      <c r="A56" s="21" t="n"/>
      <c r="B56" s="21" t="n"/>
      <c r="C56" s="21" t="n"/>
      <c r="D56" s="21" t="n"/>
      <c r="E56" s="21" t="n"/>
      <c r="F56" s="21" t="n"/>
      <c r="G56" s="21" t="n"/>
      <c r="H56" s="21" t="n"/>
    </row>
    <row r="57">
      <c r="A57" s="21" t="n"/>
      <c r="B57" s="21" t="n"/>
      <c r="C57" s="21" t="n"/>
      <c r="D57" s="21" t="n"/>
      <c r="E57" s="21" t="n"/>
      <c r="F57" s="21" t="n"/>
      <c r="G57" s="21" t="n"/>
      <c r="H57" s="21" t="n"/>
    </row>
    <row r="58">
      <c r="A58" s="21" t="n"/>
      <c r="B58" s="21" t="n"/>
      <c r="C58" s="21" t="n"/>
      <c r="D58" s="21" t="n"/>
      <c r="E58" s="21" t="n"/>
      <c r="F58" s="21" t="n"/>
      <c r="G58" s="21" t="n"/>
      <c r="H58" s="21" t="n"/>
    </row>
    <row r="59">
      <c r="A59" s="21" t="n"/>
      <c r="B59" s="21" t="n"/>
      <c r="C59" s="21" t="n"/>
      <c r="D59" s="21" t="n"/>
      <c r="E59" s="21" t="n"/>
      <c r="F59" s="21" t="n"/>
      <c r="G59" s="21" t="n"/>
      <c r="H59" s="21" t="n"/>
    </row>
    <row r="60">
      <c r="A60" s="21" t="n"/>
      <c r="B60" s="21" t="n"/>
      <c r="C60" s="21" t="n"/>
      <c r="D60" s="21" t="n"/>
      <c r="E60" s="21" t="n"/>
      <c r="F60" s="21" t="n"/>
      <c r="G60" s="21" t="n"/>
      <c r="H60" s="21" t="n"/>
    </row>
    <row r="61">
      <c r="A61" s="21" t="n"/>
      <c r="B61" s="21" t="n"/>
      <c r="C61" s="21" t="n"/>
      <c r="D61" s="21" t="n"/>
      <c r="E61" s="21" t="n"/>
      <c r="F61" s="21" t="n"/>
      <c r="G61" s="21" t="n"/>
      <c r="H61" s="21" t="n"/>
    </row>
    <row r="62">
      <c r="A62" s="21" t="n"/>
      <c r="B62" s="21" t="n"/>
      <c r="C62" s="21" t="n"/>
      <c r="D62" s="21" t="n"/>
      <c r="E62" s="21" t="n"/>
      <c r="F62" s="21" t="n"/>
      <c r="G62" s="21" t="n"/>
      <c r="H62" s="21" t="n"/>
    </row>
    <row r="63">
      <c r="A63" s="21" t="n"/>
      <c r="B63" s="21" t="n"/>
      <c r="C63" s="21" t="n"/>
      <c r="D63" s="21" t="n"/>
      <c r="E63" s="21" t="n"/>
      <c r="F63" s="21" t="n"/>
      <c r="G63" s="21" t="n"/>
      <c r="H63" s="21" t="n"/>
    </row>
    <row r="64">
      <c r="A64" s="21" t="n"/>
      <c r="B64" s="21" t="n"/>
      <c r="C64" s="21" t="n"/>
      <c r="D64" s="21" t="n"/>
      <c r="E64" s="21" t="n"/>
      <c r="F64" s="21" t="n"/>
      <c r="G64" s="21" t="n"/>
      <c r="H64" s="21" t="n"/>
    </row>
    <row r="65">
      <c r="A65" s="21" t="n"/>
      <c r="B65" s="21" t="n"/>
      <c r="C65" s="21" t="n"/>
      <c r="D65" s="21" t="n"/>
      <c r="E65" s="21" t="n"/>
      <c r="F65" s="21" t="n"/>
      <c r="G65" s="21" t="n"/>
      <c r="H65" s="21" t="n"/>
    </row>
    <row r="66">
      <c r="A66" s="21" t="n"/>
      <c r="B66" s="21" t="n"/>
      <c r="C66" s="21" t="n"/>
      <c r="D66" s="21" t="n"/>
      <c r="E66" s="21" t="n"/>
      <c r="F66" s="21" t="n"/>
      <c r="G66" s="21" t="n"/>
      <c r="H66" s="21" t="n"/>
    </row>
    <row r="67">
      <c r="A67" s="21" t="n"/>
      <c r="B67" s="21" t="n"/>
      <c r="C67" s="21" t="n"/>
      <c r="D67" s="21" t="n"/>
      <c r="E67" s="21" t="n"/>
      <c r="F67" s="21" t="n"/>
      <c r="G67" s="21" t="n"/>
      <c r="H67" s="21" t="n"/>
    </row>
    <row r="68">
      <c r="A68" s="21" t="n"/>
      <c r="B68" s="21" t="n"/>
      <c r="C68" s="21" t="n"/>
      <c r="D68" s="21" t="n"/>
      <c r="E68" s="21" t="n"/>
      <c r="F68" s="21" t="n"/>
      <c r="G68" s="21" t="n"/>
      <c r="H68" s="21" t="n"/>
    </row>
    <row r="69">
      <c r="A69" s="21" t="n"/>
      <c r="B69" s="21" t="n"/>
      <c r="C69" s="21" t="n"/>
      <c r="D69" s="21" t="n"/>
      <c r="E69" s="21" t="n"/>
      <c r="F69" s="21" t="n"/>
      <c r="G69" s="21" t="n"/>
      <c r="H69" s="21" t="n"/>
    </row>
    <row r="70">
      <c r="A70" s="21" t="n"/>
      <c r="B70" s="21" t="n"/>
      <c r="C70" s="21" t="n"/>
      <c r="D70" s="21" t="n"/>
      <c r="E70" s="21" t="n"/>
      <c r="F70" s="21" t="n"/>
      <c r="G70" s="21" t="n"/>
      <c r="H70" s="21" t="n"/>
    </row>
    <row r="71">
      <c r="A71" s="21" t="n"/>
      <c r="B71" s="21" t="n"/>
      <c r="C71" s="21" t="n"/>
      <c r="D71" s="21" t="n"/>
      <c r="E71" s="21" t="n"/>
      <c r="F71" s="21" t="n"/>
      <c r="G71" s="21" t="n"/>
      <c r="H71" s="21" t="n"/>
    </row>
    <row r="72">
      <c r="A72" s="21" t="n"/>
      <c r="B72" s="21" t="n"/>
      <c r="C72" s="21" t="n"/>
      <c r="D72" s="21" t="n"/>
      <c r="E72" s="21" t="n"/>
      <c r="F72" s="21" t="n"/>
      <c r="G72" s="21" t="n"/>
      <c r="H72" s="21" t="n"/>
    </row>
    <row r="73">
      <c r="A73" s="21" t="n"/>
      <c r="B73" s="21" t="n"/>
      <c r="C73" s="21" t="n"/>
      <c r="D73" s="21" t="n"/>
      <c r="E73" s="21" t="n"/>
      <c r="F73" s="21" t="n"/>
      <c r="G73" s="21" t="n"/>
      <c r="H73" s="21" t="n"/>
    </row>
    <row r="74">
      <c r="A74" s="21" t="n"/>
      <c r="B74" s="21" t="n"/>
      <c r="C74" s="21" t="n"/>
      <c r="D74" s="21" t="n"/>
      <c r="E74" s="21" t="n"/>
      <c r="F74" s="21" t="n"/>
      <c r="G74" s="21" t="n"/>
      <c r="H74" s="21" t="n"/>
    </row>
    <row r="75">
      <c r="A75" s="21" t="n"/>
      <c r="B75" s="21" t="n"/>
      <c r="C75" s="21" t="n"/>
      <c r="D75" s="21" t="n"/>
      <c r="E75" s="21" t="n"/>
      <c r="F75" s="21" t="n"/>
      <c r="G75" s="21" t="n"/>
      <c r="H75" s="21" t="n"/>
    </row>
    <row r="76">
      <c r="A76" s="21" t="n"/>
      <c r="B76" s="21" t="n"/>
      <c r="C76" s="21" t="n"/>
      <c r="D76" s="21" t="n"/>
      <c r="E76" s="21" t="n"/>
      <c r="F76" s="21" t="n"/>
      <c r="G76" s="21" t="n"/>
      <c r="H76" s="21" t="n"/>
    </row>
    <row r="77">
      <c r="A77" s="21" t="n"/>
      <c r="B77" s="21" t="n"/>
      <c r="C77" s="21" t="n"/>
      <c r="D77" s="21" t="n"/>
      <c r="E77" s="21" t="n"/>
      <c r="F77" s="21" t="n"/>
      <c r="G77" s="21" t="n"/>
      <c r="H77" s="21" t="n"/>
    </row>
    <row r="78">
      <c r="A78" s="21" t="n"/>
      <c r="B78" s="21" t="n"/>
      <c r="C78" s="21" t="n"/>
      <c r="D78" s="21" t="n"/>
      <c r="E78" s="21" t="n"/>
      <c r="F78" s="21" t="n"/>
      <c r="G78" s="21" t="n"/>
      <c r="H78" s="21" t="n"/>
    </row>
    <row r="79">
      <c r="A79" s="21" t="n"/>
      <c r="B79" s="21" t="n"/>
      <c r="C79" s="21" t="n"/>
      <c r="D79" s="21" t="n"/>
      <c r="E79" s="21" t="n"/>
      <c r="F79" s="21" t="n"/>
      <c r="G79" s="21" t="n"/>
      <c r="H79" s="21" t="n"/>
    </row>
    <row r="80">
      <c r="A80" s="21" t="n"/>
      <c r="B80" s="21" t="n"/>
      <c r="C80" s="21" t="n"/>
      <c r="D80" s="21" t="n"/>
      <c r="E80" s="21" t="n"/>
      <c r="F80" s="21" t="n"/>
      <c r="G80" s="21" t="n"/>
      <c r="H80" s="21" t="n"/>
    </row>
    <row r="81">
      <c r="A81" s="21" t="n"/>
      <c r="B81" s="21" t="n"/>
      <c r="C81" s="21" t="n"/>
      <c r="D81" s="21" t="n"/>
      <c r="E81" s="21" t="n"/>
      <c r="F81" s="21" t="n"/>
      <c r="G81" s="21" t="n"/>
      <c r="H81" s="21" t="n"/>
    </row>
    <row r="82">
      <c r="A82" s="21" t="n"/>
      <c r="B82" s="21" t="n"/>
      <c r="C82" s="21" t="n"/>
      <c r="D82" s="21" t="n"/>
      <c r="E82" s="21" t="n"/>
      <c r="F82" s="21" t="n"/>
      <c r="G82" s="21" t="n"/>
      <c r="H82" s="21" t="n"/>
    </row>
    <row r="83">
      <c r="A83" s="21" t="n"/>
      <c r="B83" s="21" t="n"/>
      <c r="C83" s="21" t="n"/>
      <c r="D83" s="21" t="n"/>
      <c r="E83" s="21" t="n"/>
      <c r="F83" s="21" t="n"/>
      <c r="G83" s="21" t="n"/>
      <c r="H83" s="21" t="n"/>
    </row>
    <row r="84">
      <c r="A84" s="21" t="n"/>
      <c r="B84" s="21" t="n"/>
      <c r="C84" s="21" t="n"/>
      <c r="D84" s="21" t="n"/>
      <c r="E84" s="21" t="n"/>
      <c r="F84" s="21" t="n"/>
      <c r="G84" s="21" t="n"/>
      <c r="H84" s="21" t="n"/>
    </row>
    <row r="85">
      <c r="A85" s="21" t="n"/>
      <c r="B85" s="21" t="n"/>
      <c r="C85" s="21" t="n"/>
      <c r="D85" s="21" t="n"/>
      <c r="E85" s="21" t="n"/>
      <c r="F85" s="21" t="n"/>
      <c r="G85" s="21" t="n"/>
      <c r="H85" s="21" t="n"/>
    </row>
    <row r="86">
      <c r="A86" s="21" t="n"/>
      <c r="B86" s="21" t="n"/>
      <c r="C86" s="21" t="n"/>
      <c r="D86" s="21" t="n"/>
      <c r="E86" s="21" t="n"/>
      <c r="F86" s="21" t="n"/>
      <c r="G86" s="21" t="n"/>
      <c r="H86" s="21" t="n"/>
    </row>
    <row r="87">
      <c r="A87" s="21" t="n"/>
      <c r="B87" s="21" t="n"/>
      <c r="C87" s="21" t="n"/>
      <c r="D87" s="21" t="n"/>
      <c r="E87" s="21" t="n"/>
      <c r="F87" s="21" t="n"/>
      <c r="G87" s="21" t="n"/>
      <c r="H87" s="21" t="n"/>
    </row>
    <row r="88">
      <c r="A88" s="21" t="n"/>
      <c r="B88" s="21" t="n"/>
      <c r="C88" s="21" t="n"/>
      <c r="D88" s="21" t="n"/>
      <c r="E88" s="21" t="n"/>
      <c r="F88" s="21" t="n"/>
      <c r="G88" s="21" t="n"/>
      <c r="H88" s="21" t="n"/>
    </row>
    <row r="89">
      <c r="A89" s="21" t="n"/>
      <c r="B89" s="21" t="n"/>
      <c r="C89" s="21" t="n"/>
      <c r="D89" s="21" t="n"/>
      <c r="E89" s="21" t="n"/>
      <c r="F89" s="21" t="n"/>
      <c r="G89" s="21" t="n"/>
      <c r="H89" s="21" t="n"/>
    </row>
    <row r="90">
      <c r="A90" s="21" t="n"/>
      <c r="B90" s="21" t="n"/>
      <c r="C90" s="21" t="n"/>
      <c r="D90" s="21" t="n"/>
      <c r="E90" s="21" t="n"/>
      <c r="F90" s="21" t="n"/>
      <c r="G90" s="21" t="n"/>
      <c r="H90" s="21" t="n"/>
    </row>
    <row r="91">
      <c r="A91" s="21" t="n"/>
      <c r="B91" s="21" t="n"/>
      <c r="C91" s="21" t="n"/>
      <c r="D91" s="21" t="n"/>
      <c r="E91" s="21" t="n"/>
      <c r="F91" s="21" t="n"/>
      <c r="G91" s="21" t="n"/>
      <c r="H91" s="21" t="n"/>
    </row>
    <row r="92">
      <c r="A92" s="21" t="n"/>
      <c r="B92" s="21" t="n"/>
      <c r="C92" s="21" t="n"/>
      <c r="D92" s="21" t="n"/>
      <c r="E92" s="21" t="n"/>
      <c r="F92" s="21" t="n"/>
      <c r="G92" s="21" t="n"/>
      <c r="H92" s="21" t="n"/>
    </row>
    <row r="93">
      <c r="A93" s="21" t="n"/>
      <c r="B93" s="21" t="n"/>
      <c r="C93" s="21" t="n"/>
      <c r="D93" s="21" t="n"/>
      <c r="E93" s="21" t="n"/>
      <c r="F93" s="21" t="n"/>
      <c r="G93" s="21" t="n"/>
      <c r="H93" s="21" t="n"/>
    </row>
    <row r="94">
      <c r="A94" s="21" t="n"/>
      <c r="B94" s="21" t="n"/>
      <c r="C94" s="21" t="n"/>
      <c r="D94" s="21" t="n"/>
      <c r="E94" s="21" t="n"/>
      <c r="F94" s="21" t="n"/>
      <c r="G94" s="21" t="n"/>
      <c r="H94" s="21" t="n"/>
    </row>
    <row r="95">
      <c r="A95" s="21" t="n"/>
      <c r="B95" s="21" t="n"/>
      <c r="C95" s="21" t="n"/>
      <c r="D95" s="21" t="n"/>
      <c r="E95" s="21" t="n"/>
      <c r="F95" s="21" t="n"/>
      <c r="G95" s="21" t="n"/>
      <c r="H95" s="21" t="n"/>
    </row>
    <row r="96">
      <c r="A96" s="21" t="n"/>
      <c r="B96" s="21" t="n"/>
      <c r="C96" s="21" t="n"/>
      <c r="D96" s="21" t="n"/>
      <c r="E96" s="21" t="n"/>
      <c r="F96" s="21" t="n"/>
      <c r="G96" s="21" t="n"/>
      <c r="H96" s="21" t="n"/>
    </row>
    <row r="97">
      <c r="A97" s="21" t="n"/>
      <c r="B97" s="21" t="n"/>
      <c r="C97" s="21" t="n"/>
      <c r="D97" s="21" t="n"/>
      <c r="E97" s="21" t="n"/>
      <c r="F97" s="21" t="n"/>
      <c r="G97" s="21" t="n"/>
      <c r="H97" s="21" t="n"/>
    </row>
    <row r="98">
      <c r="A98" s="21" t="n"/>
      <c r="B98" s="21" t="n"/>
      <c r="C98" s="21" t="n"/>
      <c r="D98" s="21" t="n"/>
      <c r="E98" s="21" t="n"/>
      <c r="F98" s="21" t="n"/>
      <c r="G98" s="21" t="n"/>
      <c r="H98" s="21" t="n"/>
    </row>
    <row r="99">
      <c r="A99" s="21" t="n"/>
      <c r="B99" s="21" t="n"/>
      <c r="C99" s="21" t="n"/>
      <c r="D99" s="21" t="n"/>
      <c r="E99" s="21" t="n"/>
      <c r="F99" s="21" t="n"/>
      <c r="G99" s="21" t="n"/>
      <c r="H99" s="21" t="n"/>
    </row>
    <row r="100">
      <c r="A100" s="21" t="n"/>
      <c r="B100" s="21" t="n"/>
      <c r="C100" s="21" t="n"/>
      <c r="D100" s="21" t="n"/>
      <c r="E100" s="21" t="n"/>
      <c r="F100" s="21" t="n"/>
      <c r="G100" s="21" t="n"/>
      <c r="H100" s="21" t="n"/>
    </row>
    <row r="101">
      <c r="A101" s="21" t="n"/>
      <c r="B101" s="21" t="n"/>
      <c r="C101" s="21" t="n"/>
      <c r="D101" s="21" t="n"/>
      <c r="E101" s="21" t="n"/>
      <c r="F101" s="21" t="n"/>
      <c r="G101" s="21" t="n"/>
      <c r="H101" s="21" t="n"/>
    </row>
    <row r="102">
      <c r="A102" s="21" t="n"/>
      <c r="B102" s="21" t="n"/>
      <c r="C102" s="21" t="n"/>
      <c r="D102" s="21" t="n"/>
      <c r="E102" s="21" t="n"/>
      <c r="F102" s="21" t="n"/>
      <c r="G102" s="21" t="n"/>
      <c r="H102" s="21" t="n"/>
    </row>
    <row r="103">
      <c r="A103" s="21" t="n"/>
      <c r="B103" s="21" t="n"/>
      <c r="C103" s="21" t="n"/>
      <c r="D103" s="21" t="n"/>
      <c r="E103" s="21" t="n"/>
      <c r="F103" s="21" t="n"/>
      <c r="G103" s="21" t="n"/>
      <c r="H103" s="21" t="n"/>
    </row>
    <row r="104">
      <c r="A104" s="21" t="n"/>
      <c r="B104" s="21" t="n"/>
      <c r="C104" s="21" t="n"/>
      <c r="D104" s="21" t="n"/>
      <c r="E104" s="21" t="n"/>
      <c r="F104" s="21" t="n"/>
      <c r="G104" s="21" t="n"/>
      <c r="H104" s="21" t="n"/>
    </row>
    <row r="105">
      <c r="A105" s="21" t="n"/>
      <c r="B105" s="21" t="n"/>
      <c r="C105" s="21" t="n"/>
      <c r="D105" s="21" t="n"/>
      <c r="E105" s="21" t="n"/>
      <c r="F105" s="21" t="n"/>
      <c r="G105" s="21" t="n"/>
      <c r="H105" s="21"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2" customWidth="1" min="3" max="3"/>
    <col width="16" customWidth="1" min="4" max="4"/>
    <col width="8" customWidth="1" min="5" max="5"/>
    <col width="10" customWidth="1" min="6" max="6"/>
    <col width="14" customWidth="1" min="7" max="7"/>
  </cols>
  <sheetData>
    <row r="1" ht="35" customHeight="1">
      <c r="A1" s="18" t="inlineStr">
        <is>
          <t>Detection &amp; Classification — SUMMARY DASHBOARD</t>
        </is>
      </c>
      <c r="B1" s="6" t="n"/>
      <c r="C1" s="6" t="n"/>
      <c r="D1" s="6" t="n"/>
      <c r="E1" s="6" t="n"/>
      <c r="F1" s="6" t="n"/>
      <c r="G1" s="6" t="n"/>
    </row>
    <row r="2">
      <c r="A2" s="22" t="inlineStr">
        <is>
          <t>ISO/IEC 27001:2022 - Control A.5.24-28: Incident Management</t>
        </is>
      </c>
      <c r="B2" s="6" t="n"/>
      <c r="C2" s="6" t="n"/>
      <c r="D2" s="6" t="n"/>
      <c r="E2" s="6" t="n"/>
      <c r="F2" s="6" t="n"/>
      <c r="G2" s="6" t="n"/>
    </row>
    <row r="3">
      <c r="A3" s="23" t="inlineStr">
        <is>
          <t>COMPLIANCE ASSESSMENT SUMMARY</t>
        </is>
      </c>
      <c r="B3" s="6" t="n"/>
      <c r="C3" s="6" t="n"/>
      <c r="D3" s="6" t="n"/>
      <c r="E3" s="6" t="n"/>
      <c r="F3" s="6" t="n"/>
      <c r="G3" s="6" t="n"/>
    </row>
    <row r="4" ht="30" customHeight="1">
      <c r="A4" s="24" t="inlineStr">
        <is>
          <t>Assessment Area</t>
        </is>
      </c>
      <c r="B4" s="24" t="inlineStr">
        <is>
          <t>Questions Answered</t>
        </is>
      </c>
      <c r="C4" s="24" t="inlineStr">
        <is>
          <t>No Gap</t>
        </is>
      </c>
      <c r="D4" s="24" t="inlineStr">
        <is>
          <t>Gap Identified</t>
        </is>
      </c>
      <c r="E4" s="24" t="inlineStr">
        <is>
          <t>N/A</t>
        </is>
      </c>
      <c r="F4" s="24" t="inlineStr">
        <is>
          <t>Target</t>
        </is>
      </c>
      <c r="G4" s="24" t="inlineStr">
        <is>
          <t>Compliance %</t>
        </is>
      </c>
    </row>
    <row r="5">
      <c r="A5" s="25" t="inlineStr">
        <is>
          <t>Detection Mechanisms</t>
        </is>
      </c>
      <c r="B5" s="25">
        <f>COUNTA('Detection Mechanisms'!D5:D100)</f>
        <v/>
      </c>
      <c r="C5" s="25">
        <f>COUNTIF('Detection Mechanisms'!G5:G100,"No")</f>
        <v/>
      </c>
      <c r="D5" s="25">
        <f>COUNTIF('Detection Mechanisms'!G5:G100,"Yes")</f>
        <v/>
      </c>
      <c r="E5" s="25">
        <f>COUNTIF('Detection Mechanisms'!D5:D100,"N/A")</f>
        <v/>
      </c>
      <c r="F5" s="25" t="inlineStr">
        <is>
          <t>85%</t>
        </is>
      </c>
      <c r="G5" s="26">
        <f>IFERROR(C5/(C5+D5)*100,0)</f>
        <v/>
      </c>
    </row>
    <row r="6">
      <c r="A6" s="25" t="inlineStr">
        <is>
          <t>Alert Handling</t>
        </is>
      </c>
      <c r="B6" s="25">
        <f>COUNTA('Alert Handling'!D5:D100)</f>
        <v/>
      </c>
      <c r="C6" s="25">
        <f>COUNTIF('Alert Handling'!G5:G100,"No")</f>
        <v/>
      </c>
      <c r="D6" s="25">
        <f>COUNTIF('Alert Handling'!G5:G100,"Yes")</f>
        <v/>
      </c>
      <c r="E6" s="25">
        <f>COUNTIF('Alert Handling'!D5:D100,"N/A")</f>
        <v/>
      </c>
      <c r="F6" s="25" t="inlineStr">
        <is>
          <t>85%</t>
        </is>
      </c>
      <c r="G6" s="26">
        <f>IFERROR(C6/(C6+D6)*100,0)</f>
        <v/>
      </c>
    </row>
    <row r="7">
      <c r="A7" s="25" t="inlineStr">
        <is>
          <t>Classification &amp; Severity</t>
        </is>
      </c>
      <c r="B7" s="25">
        <f>COUNTA('Classification &amp; Severity'!D5:D100)</f>
        <v/>
      </c>
      <c r="C7" s="25">
        <f>COUNTIF('Classification &amp; Severity'!G5:G100,"No")</f>
        <v/>
      </c>
      <c r="D7" s="25">
        <f>COUNTIF('Classification &amp; Severity'!G5:G100,"Yes")</f>
        <v/>
      </c>
      <c r="E7" s="25">
        <f>COUNTIF('Classification &amp; Severity'!D5:D100,"N/A")</f>
        <v/>
      </c>
      <c r="F7" s="25" t="inlineStr">
        <is>
          <t>90%</t>
        </is>
      </c>
      <c r="G7" s="26">
        <f>IFERROR(C7/(C7+D7)*100,0)</f>
        <v/>
      </c>
    </row>
    <row r="8">
      <c r="A8" s="25" t="inlineStr">
        <is>
          <t>Detection Effectiveness</t>
        </is>
      </c>
      <c r="B8" s="25">
        <f>COUNTA('Detection Effectiveness'!D5:D100)</f>
        <v/>
      </c>
      <c r="C8" s="25">
        <f>COUNTIF('Detection Effectiveness'!G5:G100,"No")</f>
        <v/>
      </c>
      <c r="D8" s="25">
        <f>COUNTIF('Detection Effectiveness'!G5:G100,"Yes")</f>
        <v/>
      </c>
      <c r="E8" s="25">
        <f>COUNTIF('Detection Effectiveness'!D5:D100,"N/A")</f>
        <v/>
      </c>
      <c r="F8" s="25" t="inlineStr">
        <is>
          <t>80%</t>
        </is>
      </c>
      <c r="G8" s="26">
        <f>IFERROR(C8/(C8+D8)*100,0)</f>
        <v/>
      </c>
    </row>
    <row r="9">
      <c r="A9" s="27" t="inlineStr">
        <is>
          <t>TOTAL</t>
        </is>
      </c>
      <c r="B9" s="27">
        <f>SUM(B5:B8)</f>
        <v/>
      </c>
      <c r="C9" s="27">
        <f>SUM(C5:C8)</f>
        <v/>
      </c>
      <c r="D9" s="27">
        <f>SUM(D5:D8)</f>
        <v/>
      </c>
      <c r="E9" s="27">
        <f>SUM(E5:E8)</f>
        <v/>
      </c>
      <c r="F9" s="27" t="inlineStr">
        <is>
          <t>—</t>
        </is>
      </c>
      <c r="G9" s="28">
        <f>IFERROR(AVERAGE(G5:G8),0)</f>
        <v/>
      </c>
    </row>
    <row r="11">
      <c r="A11" s="23" t="inlineStr">
        <is>
          <t>DETECTION PERFORMANCE METRICS</t>
        </is>
      </c>
      <c r="B11" s="6" t="n"/>
      <c r="C11" s="6" t="n"/>
      <c r="D11" s="6" t="n"/>
      <c r="E11" s="6" t="n"/>
      <c r="F11" s="6" t="n"/>
      <c r="G11" s="6" t="n"/>
    </row>
    <row r="12">
      <c r="A12" s="29" t="inlineStr">
        <is>
          <t>Metric</t>
        </is>
      </c>
      <c r="B12" s="29" t="inlineStr">
        <is>
          <t>Value</t>
        </is>
      </c>
      <c r="C12" s="29" t="inlineStr">
        <is>
          <t>Target</t>
        </is>
      </c>
    </row>
    <row r="13">
      <c r="A13" s="25" t="inlineStr">
        <is>
          <t>Overall MTTD (hours)</t>
        </is>
      </c>
      <c r="B13" s="25">
        <f>'Detection Effectiveness'!D85</f>
        <v/>
      </c>
      <c r="C13" s="25" t="inlineStr">
        <is>
          <t>≤4h</t>
        </is>
      </c>
    </row>
    <row r="14">
      <c r="A14" s="25" t="inlineStr">
        <is>
          <t>Overall MTTT (hours)</t>
        </is>
      </c>
      <c r="B14" s="25">
        <f>'Detection Effectiveness'!D90</f>
        <v/>
      </c>
      <c r="C14" s="25" t="inlineStr">
        <is>
          <t>≤1h</t>
        </is>
      </c>
    </row>
    <row r="15">
      <c r="A15" s="25" t="inlineStr">
        <is>
          <t>False Positive Rate (%)</t>
        </is>
      </c>
      <c r="B15" s="25">
        <f>'Detection Effectiveness'!D97</f>
        <v/>
      </c>
      <c r="C15" s="25" t="inlineStr">
        <is>
          <t>≤20%</t>
        </is>
      </c>
    </row>
    <row r="16">
      <c r="A16" s="25" t="inlineStr">
        <is>
          <t>True Positive Rate (%)</t>
        </is>
      </c>
      <c r="B16" s="25">
        <f>'Detection Effectiveness'!D102</f>
        <v/>
      </c>
      <c r="C16" s="25" t="inlineStr">
        <is>
          <t>≥80%</t>
        </is>
      </c>
    </row>
    <row r="17">
      <c r="A17" s="25" t="inlineStr">
        <is>
          <t>Detection Coverage (%)</t>
        </is>
      </c>
      <c r="B17" s="25">
        <f>COUNTIF('Detection Mechanisms'!D27:D37,"Yes")/11*100</f>
        <v/>
      </c>
      <c r="C17" s="25" t="inlineStr">
        <is>
          <t>≥85%</t>
        </is>
      </c>
    </row>
    <row r="18">
      <c r="A18" s="25" t="inlineStr">
        <is>
          <t>Alert-to-Incident Ratio</t>
        </is>
      </c>
      <c r="B18" s="25">
        <f>'Detection Effectiveness'!D104</f>
        <v/>
      </c>
      <c r="C18" s="25" t="inlineStr">
        <is>
          <t>≥0.1</t>
        </is>
      </c>
    </row>
    <row r="20">
      <c r="A20" s="30" t="inlineStr">
        <is>
          <t>CRITICAL FINDINGS</t>
        </is>
      </c>
      <c r="B20" s="6" t="n"/>
      <c r="C20" s="6" t="n"/>
      <c r="D20" s="6" t="n"/>
      <c r="E20" s="6" t="n"/>
      <c r="F20" s="6" t="n"/>
      <c r="G20" s="6" t="n"/>
    </row>
    <row r="21">
      <c r="A21" s="29" t="inlineStr">
        <is>
          <t>Critical Finding</t>
        </is>
      </c>
      <c r="B21" s="29" t="inlineStr">
        <is>
          <t>Status</t>
        </is>
      </c>
      <c r="C21" s="29" t="inlineStr">
        <is>
          <t>Severity</t>
        </is>
      </c>
    </row>
    <row r="22">
      <c r="A22" s="31" t="inlineStr">
        <is>
          <t>Detection Mechanisms &lt;70%</t>
        </is>
      </c>
      <c r="B22" s="31">
        <f>IF(G5&lt;70,"[!] Below Target","[OK]")</f>
        <v/>
      </c>
      <c r="C22" s="31" t="inlineStr">
        <is>
          <t>Critical</t>
        </is>
      </c>
    </row>
    <row r="23">
      <c r="A23" s="31" t="inlineStr">
        <is>
          <t>Alert Handling &lt;70%</t>
        </is>
      </c>
      <c r="B23" s="31">
        <f>IF(G6&lt;70,"[!] Below Target","[OK]")</f>
        <v/>
      </c>
      <c r="C23" s="31" t="inlineStr">
        <is>
          <t>Critical</t>
        </is>
      </c>
    </row>
    <row r="24">
      <c r="A24" s="32" t="inlineStr">
        <is>
          <t>Classification &amp; Severity &lt;70%</t>
        </is>
      </c>
      <c r="B24" s="32">
        <f>IF(G7&lt;70,"[!] Below Target","[OK]")</f>
        <v/>
      </c>
      <c r="C24" s="32" t="inlineStr">
        <is>
          <t>High</t>
        </is>
      </c>
    </row>
    <row r="25">
      <c r="A25" s="32" t="inlineStr">
        <is>
          <t>Detection Effectiveness &lt;70%</t>
        </is>
      </c>
      <c r="B25" s="32">
        <f>IF(G8&lt;70,"[!] Below Target","[OK]")</f>
        <v/>
      </c>
      <c r="C25" s="32" t="inlineStr">
        <is>
          <t>High</t>
        </is>
      </c>
    </row>
    <row r="26">
      <c r="A26" s="31" t="inlineStr">
        <is>
          <t>Overall detection compliance &lt;70%</t>
        </is>
      </c>
      <c r="B26" s="31">
        <f>IF(G9&lt;70,"[!] Below Target","[OK]")</f>
        <v/>
      </c>
      <c r="C26" s="31" t="inlineStr">
        <is>
          <t>Critical</t>
        </is>
      </c>
    </row>
    <row r="27">
      <c r="A27" s="32" t="inlineStr">
        <is>
          <t>False positive rate too high</t>
        </is>
      </c>
      <c r="B27" s="32">
        <f>IFERROR(IF('Detection Effectiveness'!D97&gt;30,"[!] High FPR","[OK]"),"")</f>
        <v/>
      </c>
      <c r="C27" s="32" t="inlineStr">
        <is>
          <t>High</t>
        </is>
      </c>
    </row>
  </sheetData>
  <mergeCells count="5">
    <mergeCell ref="A1:G1"/>
    <mergeCell ref="A3:G3"/>
    <mergeCell ref="A20:G20"/>
    <mergeCell ref="A2:G2"/>
    <mergeCell ref="A11:G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3" t="inlineStr">
        <is>
          <t>ASSESSMENT APPROVAL AND SIGN-OFF</t>
        </is>
      </c>
      <c r="B1" s="6" t="n"/>
      <c r="C1" s="6" t="n"/>
      <c r="D1" s="6" t="n"/>
      <c r="E1" s="6" t="n"/>
    </row>
    <row r="2">
      <c r="A2" s="34" t="inlineStr">
        <is>
          <t>ISO/IEC 27001:2022 - Control A.5.24-28: Incident Management</t>
        </is>
      </c>
      <c r="B2" s="6" t="n"/>
      <c r="C2" s="6" t="n"/>
      <c r="D2" s="6" t="n"/>
      <c r="E2" s="6" t="n"/>
    </row>
    <row r="3">
      <c r="A3" s="35" t="inlineStr">
        <is>
          <t>ASSESSMENT SUMMARY</t>
        </is>
      </c>
      <c r="B3" s="6" t="n"/>
      <c r="C3" s="6" t="n"/>
      <c r="D3" s="6" t="n"/>
      <c r="E3" s="6" t="n"/>
    </row>
    <row r="4">
      <c r="A4" s="3" t="inlineStr">
        <is>
          <t>Document:</t>
        </is>
      </c>
      <c r="B4" s="6" t="inlineStr">
        <is>
          <t>ISMS-IMP-A.5.24-28.S2 - Detection &amp; Classification</t>
        </is>
      </c>
      <c r="C4" s="6" t="n"/>
      <c r="D4" s="6" t="n"/>
      <c r="E4" s="6" t="n"/>
    </row>
    <row r="5">
      <c r="A5" s="3" t="inlineStr">
        <is>
          <t>Assessment Period:</t>
        </is>
      </c>
      <c r="B5" s="15" t="inlineStr"/>
      <c r="C5" s="6" t="n"/>
      <c r="D5" s="6" t="n"/>
      <c r="E5" s="6" t="n"/>
    </row>
    <row r="6">
      <c r="A6" s="3" t="inlineStr">
        <is>
          <t>Overall Compliance Rating:</t>
        </is>
      </c>
      <c r="B6" s="36">
        <f>IFERROR(AVERAGE('Summary Dashboard'!G5:G8),"")</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35"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35"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37"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35"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ISMS-IMP-A.5.24-28.S2 — Detection &amp; Classification</dc:title>
  <dc:description xmlns:dc="http://purl.org/dc/elements/1.1/">ISMS Implementation Workbook — ISMS-IMP-A.5.24-28.S2</dc:description>
  <dc:subject xmlns:dc="http://purl.org/dc/elements/1.1/">ISO/IEC 27001:2022 — Control A.5.24-28: Incident Management</dc:subject>
  <dcterms:created xmlns:dcterms="http://purl.org/dc/terms/" xmlns:xsi="http://www.w3.org/2001/XMLSchema-instance" xsi:type="dcterms:W3CDTF">2026-03-01T09:50:21Z</dcterms:created>
  <dcterms:modified xmlns:dcterms="http://purl.org/dc/terms/" xmlns:xsi="http://www.w3.org/2001/XMLSchema-instance" xsi:type="dcterms:W3CDTF">2026-03-01T09:50:21Z</dcterms:modified>
</cp:coreProperties>
</file>