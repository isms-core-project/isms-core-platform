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ainment Capabilities" sheetId="2" state="visible" r:id="rId2"/>
    <sheet xmlns:r="http://schemas.openxmlformats.org/officeDocument/2006/relationships" name="Eradication &amp; Remediation" sheetId="3" state="visible" r:id="rId3"/>
    <sheet xmlns:r="http://schemas.openxmlformats.org/officeDocument/2006/relationships" name="Recovery &amp; Restoration" sheetId="4" state="visible" r:id="rId4"/>
    <sheet xmlns:r="http://schemas.openxmlformats.org/officeDocument/2006/relationships" name="Communication" sheetId="5" state="visible" r:id="rId5"/>
    <sheet xmlns:r="http://schemas.openxmlformats.org/officeDocument/2006/relationships" name="Resources &amp; Authority" sheetId="6" state="visible" r:id="rId6"/>
    <sheet xmlns:r="http://schemas.openxmlformats.org/officeDocument/2006/relationships" name="Playbook Effectivenes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ISMS-IMP-A.5.24-28.S3  -  Response Capabilities
ISO/IEC 27001:2022 - Control A.5.24-28: Incident Management</t>
        </is>
      </c>
    </row>
    <row r="3">
      <c r="A3" s="2" t="inlineStr">
        <is>
          <t>Document Information</t>
        </is>
      </c>
    </row>
    <row r="4">
      <c r="A4" s="3" t="inlineStr">
        <is>
          <t>Document ID</t>
        </is>
      </c>
      <c r="B4" t="inlineStr">
        <is>
          <t>ISMS-IMP-A.5.24-28.S3</t>
        </is>
      </c>
    </row>
    <row r="5">
      <c r="A5" s="3" t="inlineStr">
        <is>
          <t>Workbook Title</t>
        </is>
      </c>
      <c r="B5" t="inlineStr">
        <is>
          <t>Response Capabilities</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Containment Capabilities assessment (30 questions).</t>
        </is>
      </c>
    </row>
    <row r="14">
      <c r="A14" t="inlineStr">
        <is>
          <t>2. Complete Eradication &amp; Remediation assessment (20 questions).</t>
        </is>
      </c>
    </row>
    <row r="15">
      <c r="A15" t="inlineStr">
        <is>
          <t>3. Complete Recovery &amp; Restoration assessment (20 questions).</t>
        </is>
      </c>
    </row>
    <row r="16">
      <c r="A16" t="inlineStr">
        <is>
          <t>4. Complete Communication assessment (20 questions).</t>
        </is>
      </c>
    </row>
    <row r="17">
      <c r="A17" t="inlineStr">
        <is>
          <t>5. Complete Resources &amp; Authority assessment (20 questions).</t>
        </is>
      </c>
    </row>
    <row r="18">
      <c r="A18" t="inlineStr">
        <is>
          <t>6. Complete Playbook Effectiveness assessment (15 questions).</t>
        </is>
      </c>
    </row>
    <row r="19">
      <c r="A19" t="inlineStr">
        <is>
          <t>7. Complete Gap Analysis with prioritised remediation actions.</t>
        </is>
      </c>
    </row>
    <row r="20">
      <c r="A20" t="inlineStr">
        <is>
          <t>8. Link audit evidence in the Evidence Register.</t>
        </is>
      </c>
    </row>
    <row r="21">
      <c r="A21" t="inlineStr">
        <is>
          <t>9. Review Dashboard for response effectiveness metrics.</t>
        </is>
      </c>
    </row>
    <row r="22">
      <c r="A22" t="inlineStr">
        <is>
          <t>10. Obtain stakeholder approvals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CONTAINMENT CAPABILITIES</t>
        </is>
      </c>
    </row>
    <row r="2">
      <c r="A2" s="12" t="inlineStr">
        <is>
          <t>ISO/IEC 27001:2022 - Control A.5.24-28: Incident Management | Network, Endpoint, Account, Application Containment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Network</t>
        </is>
      </c>
      <c r="C5" s="14" t="inlineStr">
        <is>
          <t>Can [Organisation] isolate network segments?</t>
        </is>
      </c>
      <c r="D5" s="15" t="n"/>
      <c r="E5" s="15" t="n"/>
      <c r="F5" s="15" t="n"/>
      <c r="G5" s="16">
        <f>IF(D5="","",IF(OR(D5="No", D5="Limited", D5&lt;80), "Yes", "No"))</f>
        <v/>
      </c>
    </row>
    <row r="6">
      <c r="A6" s="6" t="inlineStr">
        <is>
          <t>Q2</t>
        </is>
      </c>
      <c r="B6" s="6" t="inlineStr">
        <is>
          <t>Network</t>
        </is>
      </c>
      <c r="C6" s="14" t="inlineStr">
        <is>
          <t>Emergency firewall rule changes capability?</t>
        </is>
      </c>
      <c r="D6" s="15" t="n"/>
      <c r="E6" s="15" t="n"/>
      <c r="F6" s="15" t="n"/>
      <c r="G6" s="16">
        <f>IF(D6="","",IF(OR(D6="No", D6="Limited", D6&lt;80), "Yes", "No"))</f>
        <v/>
      </c>
    </row>
    <row r="7">
      <c r="A7" s="6" t="inlineStr">
        <is>
          <t>Q3</t>
        </is>
      </c>
      <c r="B7" s="6" t="inlineStr">
        <is>
          <t>Network</t>
        </is>
      </c>
      <c r="C7" s="14" t="inlineStr">
        <is>
          <t>Can internet egress be blocked for infected systems?</t>
        </is>
      </c>
      <c r="D7" s="15" t="n"/>
      <c r="E7" s="15" t="n"/>
      <c r="F7" s="15" t="n"/>
      <c r="G7" s="16">
        <f>IF(D7="","",IF(OR(D7="No", D7="Limited", D7&lt;80), "Yes", "No"))</f>
        <v/>
      </c>
    </row>
    <row r="8">
      <c r="A8" s="6" t="inlineStr">
        <is>
          <t>Q4</t>
        </is>
      </c>
      <c r="B8" s="6" t="inlineStr">
        <is>
          <t>Network</t>
        </is>
      </c>
      <c r="C8" s="14" t="inlineStr">
        <is>
          <t>Is there a quarantine VLAN?</t>
        </is>
      </c>
      <c r="D8" s="15" t="n"/>
      <c r="E8" s="15" t="n"/>
      <c r="F8" s="15" t="n"/>
      <c r="G8" s="16">
        <f>IF(D8="","",IF(OR(D8="No", D8="Limited", D8&lt;80), "Yes", "No"))</f>
        <v/>
      </c>
    </row>
    <row r="9">
      <c r="A9" s="6" t="inlineStr">
        <is>
          <t>Q5</t>
        </is>
      </c>
      <c r="B9" s="6" t="inlineStr">
        <is>
          <t>Network</t>
        </is>
      </c>
      <c r="C9" s="14" t="inlineStr">
        <is>
          <t>Average time to execute network containment?</t>
        </is>
      </c>
      <c r="D9" s="15" t="n"/>
      <c r="E9" s="15" t="n"/>
      <c r="F9" s="15" t="n"/>
      <c r="G9" s="16">
        <f>IF(D9="","",IF(OR(D9="No", D9="Limited", D9&lt;80), "Yes", "No"))</f>
        <v/>
      </c>
    </row>
    <row r="10">
      <c r="A10" s="6" t="inlineStr">
        <is>
          <t>Q6</t>
        </is>
      </c>
      <c r="B10" s="6" t="inlineStr">
        <is>
          <t>Network</t>
        </is>
      </c>
      <c r="C10" s="14" t="inlineStr">
        <is>
          <t>Who has authority to order network containment?</t>
        </is>
      </c>
      <c r="D10" s="15" t="n"/>
      <c r="E10" s="15" t="n"/>
      <c r="F10" s="15" t="n"/>
      <c r="G10" s="16">
        <f>IF(D10="","",IF(OR(D10="No", D10="Limited", D10&lt;80), "Yes", "No"))</f>
        <v/>
      </c>
    </row>
    <row r="11">
      <c r="A11" s="6" t="inlineStr">
        <is>
          <t>Q7</t>
        </is>
      </c>
      <c r="B11" s="6" t="inlineStr">
        <is>
          <t>Network</t>
        </is>
      </c>
      <c r="C11" s="14" t="inlineStr">
        <is>
          <t>Network containment procedures documented?</t>
        </is>
      </c>
      <c r="D11" s="15" t="n"/>
      <c r="E11" s="15" t="n"/>
      <c r="F11" s="15" t="n"/>
      <c r="G11" s="16">
        <f>IF(D11="","",IF(OR(D11="No", D11="Limited", D11&lt;80), "Yes", "No"))</f>
        <v/>
      </c>
    </row>
    <row r="12">
      <c r="A12" s="6" t="inlineStr">
        <is>
          <t>Q8</t>
        </is>
      </c>
      <c r="B12" s="6" t="inlineStr">
        <is>
          <t>Network</t>
        </is>
      </c>
      <c r="C12" s="14" t="inlineStr">
        <is>
          <t>Network team available 24/7?</t>
        </is>
      </c>
      <c r="D12" s="15" t="n"/>
      <c r="E12" s="15" t="n"/>
      <c r="F12" s="15" t="n"/>
      <c r="G12" s="16">
        <f>IF(D12="","",IF(OR(D12="No", D12="Limited", D12&lt;80), "Yes", "No"))</f>
        <v/>
      </c>
    </row>
    <row r="13">
      <c r="A13" s="6" t="inlineStr">
        <is>
          <t>Q9</t>
        </is>
      </c>
      <c r="B13" s="6" t="inlineStr">
        <is>
          <t>Endpoint</t>
        </is>
      </c>
      <c r="C13" s="14" t="inlineStr">
        <is>
          <t>Can endpoints be isolated remotely via EDR?</t>
        </is>
      </c>
      <c r="D13" s="15" t="n"/>
      <c r="E13" s="15" t="n"/>
      <c r="F13" s="15" t="n"/>
      <c r="G13" s="16">
        <f>IF(D13="","",IF(OR(D13="No", D13="Limited", D13&lt;80), "Yes", "No"))</f>
        <v/>
      </c>
    </row>
    <row r="14">
      <c r="A14" s="6" t="inlineStr">
        <is>
          <t>Q10</t>
        </is>
      </c>
      <c r="B14" s="6" t="inlineStr">
        <is>
          <t>Endpoint</t>
        </is>
      </c>
      <c r="C14" s="14" t="inlineStr">
        <is>
          <t>Endpoint isolation speed?</t>
        </is>
      </c>
      <c r="D14" s="15" t="n"/>
      <c r="E14" s="15" t="n"/>
      <c r="F14" s="15" t="n"/>
      <c r="G14" s="16">
        <f>IF(D14="","",IF(OR(D14="No", D14="Limited", D14&lt;80), "Yes", "No"))</f>
        <v/>
      </c>
    </row>
    <row r="15">
      <c r="A15" s="6" t="inlineStr">
        <is>
          <t>Q11</t>
        </is>
      </c>
      <c r="B15" s="6" t="inlineStr">
        <is>
          <t>Endpoint</t>
        </is>
      </c>
      <c r="C15" s="14" t="inlineStr">
        <is>
          <t>Non-EDR endpoint isolation capability?</t>
        </is>
      </c>
      <c r="D15" s="15" t="n"/>
      <c r="E15" s="15" t="n"/>
      <c r="F15" s="15" t="n"/>
      <c r="G15" s="16">
        <f>IF(D15="","",IF(OR(D15="No", D15="Limited", D15&lt;80), "Yes", "No"))</f>
        <v/>
      </c>
    </row>
    <row r="16">
      <c r="A16" s="6" t="inlineStr">
        <is>
          <t>Q12</t>
        </is>
      </c>
      <c r="B16" s="6" t="inlineStr">
        <is>
          <t>Endpoint</t>
        </is>
      </c>
      <c r="C16" s="14" t="inlineStr">
        <is>
          <t>% endpoints remotely isolatable?</t>
        </is>
      </c>
      <c r="D16" s="15" t="n"/>
      <c r="E16" s="15" t="n"/>
      <c r="F16" s="15" t="n"/>
      <c r="G16" s="16">
        <f>IF(D16="","",IF(OR(D16="No", D16="Limited", D16&lt;80), "Yes", "No"))</f>
        <v/>
      </c>
    </row>
    <row r="17">
      <c r="A17" s="6" t="inlineStr">
        <is>
          <t>Q13</t>
        </is>
      </c>
      <c r="B17" s="6" t="inlineStr">
        <is>
          <t>Endpoint</t>
        </is>
      </c>
      <c r="C17" s="14" t="inlineStr">
        <is>
          <t>Remote laptop isolation capability?</t>
        </is>
      </c>
      <c r="D17" s="15" t="n"/>
      <c r="E17" s="15" t="n"/>
      <c r="F17" s="15" t="n"/>
      <c r="G17" s="16">
        <f>IF(D17="","",IF(OR(D17="No", D17="Limited", D17&lt;80), "Yes", "No"))</f>
        <v/>
      </c>
    </row>
    <row r="18">
      <c r="A18" s="6" t="inlineStr">
        <is>
          <t>Q14</t>
        </is>
      </c>
      <c r="B18" s="6" t="inlineStr">
        <is>
          <t>Endpoint</t>
        </is>
      </c>
      <c r="C18" s="14" t="inlineStr">
        <is>
          <t>Can production servers be isolated?</t>
        </is>
      </c>
      <c r="D18" s="15" t="n"/>
      <c r="E18" s="15" t="n"/>
      <c r="F18" s="15" t="n"/>
      <c r="G18" s="16">
        <f>IF(D18="","",IF(OR(D18="No", D18="Limited", D18&lt;80), "Yes", "No"))</f>
        <v/>
      </c>
    </row>
    <row r="19">
      <c r="A19" s="6" t="inlineStr">
        <is>
          <t>Q15</t>
        </is>
      </c>
      <c r="B19" s="6" t="inlineStr">
        <is>
          <t>Endpoint</t>
        </is>
      </c>
      <c r="C19" s="14" t="inlineStr">
        <is>
          <t>Endpoint isolation reversal process?</t>
        </is>
      </c>
      <c r="D19" s="15" t="n"/>
      <c r="E19" s="15" t="n"/>
      <c r="F19" s="15" t="n"/>
      <c r="G19" s="16">
        <f>IF(D19="","",IF(OR(D19="No", D19="Limited", D19&lt;80), "Yes", "No"))</f>
        <v/>
      </c>
    </row>
    <row r="20">
      <c r="A20" s="6" t="inlineStr">
        <is>
          <t>Q16</t>
        </is>
      </c>
      <c r="B20" s="6" t="inlineStr">
        <is>
          <t>Account</t>
        </is>
      </c>
      <c r="C20" s="14" t="inlineStr">
        <is>
          <t>Compromised account suspension capability?</t>
        </is>
      </c>
      <c r="D20" s="15" t="n"/>
      <c r="E20" s="15" t="n"/>
      <c r="F20" s="15" t="n"/>
      <c r="G20" s="16">
        <f>IF(D20="","",IF(OR(D20="No", D20="Limited", D20&lt;80), "Yes", "No"))</f>
        <v/>
      </c>
    </row>
    <row r="21">
      <c r="A21" s="6" t="inlineStr">
        <is>
          <t>Q17</t>
        </is>
      </c>
      <c r="B21" s="6" t="inlineStr">
        <is>
          <t>Account</t>
        </is>
      </c>
      <c r="C21" s="14" t="inlineStr">
        <is>
          <t>Who has authority to suspend accounts?</t>
        </is>
      </c>
      <c r="D21" s="15" t="n"/>
      <c r="E21" s="15" t="n"/>
      <c r="F21" s="15" t="n"/>
      <c r="G21" s="16">
        <f>IF(D21="","",IF(OR(D21="No", D21="Limited", D21&lt;80), "Yes", "No"))</f>
        <v/>
      </c>
    </row>
    <row r="22">
      <c r="A22" s="6" t="inlineStr">
        <is>
          <t>Q18</t>
        </is>
      </c>
      <c r="B22" s="6" t="inlineStr">
        <is>
          <t>Account</t>
        </is>
      </c>
      <c r="C22" s="14" t="inlineStr">
        <is>
          <t>MFA token/session revocation capability?</t>
        </is>
      </c>
      <c r="D22" s="15" t="n"/>
      <c r="E22" s="15" t="n"/>
      <c r="F22" s="15" t="n"/>
      <c r="G22" s="16">
        <f>IF(D22="","",IF(OR(D22="No", D22="Limited", D22&lt;80), "Yes", "No"))</f>
        <v/>
      </c>
    </row>
    <row r="23">
      <c r="A23" s="6" t="inlineStr">
        <is>
          <t>Q19</t>
        </is>
      </c>
      <c r="B23" s="6" t="inlineStr">
        <is>
          <t>Account</t>
        </is>
      </c>
      <c r="C23" s="14" t="inlineStr">
        <is>
          <t>Service account credential rotation?</t>
        </is>
      </c>
      <c r="D23" s="15" t="n"/>
      <c r="E23" s="15" t="n"/>
      <c r="F23" s="15" t="n"/>
      <c r="G23" s="16">
        <f>IF(D23="","",IF(OR(D23="No", D23="Limited", D23&lt;80), "Yes", "No"))</f>
        <v/>
      </c>
    </row>
    <row r="24">
      <c r="A24" s="6" t="inlineStr">
        <is>
          <t>Q20</t>
        </is>
      </c>
      <c r="B24" s="6" t="inlineStr">
        <is>
          <t>Account</t>
        </is>
      </c>
      <c r="C24" s="14" t="inlineStr">
        <is>
          <t>Force password reset capability?</t>
        </is>
      </c>
      <c r="D24" s="15" t="n"/>
      <c r="E24" s="15" t="n"/>
      <c r="F24" s="15" t="n"/>
      <c r="G24" s="16">
        <f>IF(D24="","",IF(OR(D24="No", D24="Limited", D24&lt;80), "Yes", "No"))</f>
        <v/>
      </c>
    </row>
    <row r="25">
      <c r="A25" s="6" t="inlineStr">
        <is>
          <t>Q21</t>
        </is>
      </c>
      <c r="B25" s="6" t="inlineStr">
        <is>
          <t>Account</t>
        </is>
      </c>
      <c r="C25" s="14" t="inlineStr">
        <is>
          <t>Privileged access revocation capability?</t>
        </is>
      </c>
      <c r="D25" s="15" t="n"/>
      <c r="E25" s="15" t="n"/>
      <c r="F25" s="15" t="n"/>
      <c r="G25" s="16">
        <f>IF(D25="","",IF(OR(D25="No", D25="Limited", D25&lt;80), "Yes", "No"))</f>
        <v/>
      </c>
    </row>
    <row r="26">
      <c r="A26" s="6" t="inlineStr">
        <is>
          <t>Q22</t>
        </is>
      </c>
      <c r="B26" s="6" t="inlineStr">
        <is>
          <t>Account</t>
        </is>
      </c>
      <c r="C26" s="14" t="inlineStr">
        <is>
          <t>Average time to suspend compromised account?</t>
        </is>
      </c>
      <c r="D26" s="15" t="n"/>
      <c r="E26" s="15" t="n"/>
      <c r="F26" s="15" t="n"/>
      <c r="G26" s="16">
        <f>IF(D26="","",IF(OR(D26="No", D26="Limited", D26&lt;80), "Yes", "No"))</f>
        <v/>
      </c>
    </row>
    <row r="27">
      <c r="A27" s="6" t="inlineStr">
        <is>
          <t>Q23</t>
        </is>
      </c>
      <c r="B27" s="6" t="inlineStr">
        <is>
          <t>Application</t>
        </is>
      </c>
      <c r="C27" s="14" t="inlineStr">
        <is>
          <t>Who has authority to shut down applications?</t>
        </is>
      </c>
      <c r="D27" s="15" t="n"/>
      <c r="E27" s="15" t="n"/>
      <c r="F27" s="15" t="n"/>
      <c r="G27" s="16">
        <f>IF(D27="","",IF(OR(D27="No", D27="Limited", D27&lt;80), "Yes", "No"))</f>
        <v/>
      </c>
    </row>
    <row r="28">
      <c r="A28" s="6" t="inlineStr">
        <is>
          <t>Q24</t>
        </is>
      </c>
      <c r="B28" s="6" t="inlineStr">
        <is>
          <t>Application</t>
        </is>
      </c>
      <c r="C28" s="14" t="inlineStr">
        <is>
          <t>Individual service isolation capability?</t>
        </is>
      </c>
      <c r="D28" s="15" t="n"/>
      <c r="E28" s="15" t="n"/>
      <c r="F28" s="15" t="n"/>
      <c r="G28" s="16">
        <f>IF(D28="","",IF(OR(D28="No", D28="Limited", D28&lt;80), "Yes", "No"))</f>
        <v/>
      </c>
    </row>
    <row r="29">
      <c r="A29" s="6" t="inlineStr">
        <is>
          <t>Q25</t>
        </is>
      </c>
      <c r="B29" s="6" t="inlineStr">
        <is>
          <t>Application</t>
        </is>
      </c>
      <c r="C29" s="14" t="inlineStr">
        <is>
          <t>Database connection blocking capability?</t>
        </is>
      </c>
      <c r="D29" s="15" t="n"/>
      <c r="E29" s="15" t="n"/>
      <c r="F29" s="15" t="n"/>
      <c r="G29" s="16">
        <f>IF(D29="","",IF(OR(D29="No", D29="Limited", D29&lt;80), "Yes", "No"))</f>
        <v/>
      </c>
    </row>
    <row r="30">
      <c r="A30" s="6" t="inlineStr">
        <is>
          <t>Q26</t>
        </is>
      </c>
      <c r="B30" s="6" t="inlineStr">
        <is>
          <t>Application</t>
        </is>
      </c>
      <c r="C30" s="14" t="inlineStr">
        <is>
          <t>Emergency WAF rule deployment?</t>
        </is>
      </c>
      <c r="D30" s="15" t="n"/>
      <c r="E30" s="15" t="n"/>
      <c r="F30" s="15" t="n"/>
      <c r="G30" s="16">
        <f>IF(D30="","",IF(OR(D30="No", D30="Limited", D30&lt;80), "Yes", "No"))</f>
        <v/>
      </c>
    </row>
    <row r="31">
      <c r="A31" s="6" t="inlineStr">
        <is>
          <t>Q27</t>
        </is>
      </c>
      <c r="B31" s="6" t="inlineStr">
        <is>
          <t>Application</t>
        </is>
      </c>
      <c r="C31" s="14" t="inlineStr">
        <is>
          <t>Cloud service containment capability?</t>
        </is>
      </c>
      <c r="D31" s="15" t="n"/>
      <c r="E31" s="15" t="n"/>
      <c r="F31" s="15" t="n"/>
      <c r="G31" s="16">
        <f>IF(D31="","",IF(OR(D31="No", D31="Limited", D31&lt;80), "Yes", "No"))</f>
        <v/>
      </c>
    </row>
    <row r="32">
      <c r="A32" s="6" t="inlineStr">
        <is>
          <t>Q28</t>
        </is>
      </c>
      <c r="B32" s="6" t="inlineStr">
        <is>
          <t>Metrics</t>
        </is>
      </c>
      <c r="C32" s="14" t="inlineStr">
        <is>
          <t>Mean Time to Contain (MTTC) overall? (6 months)</t>
        </is>
      </c>
      <c r="D32" s="15" t="n"/>
      <c r="E32" s="15" t="n"/>
      <c r="F32" s="15" t="n"/>
      <c r="G32" s="16">
        <f>IF(D32="","",IF(OR(D32="No", D32="Limited", D32&lt;80), "Yes", "No"))</f>
        <v/>
      </c>
    </row>
    <row r="33">
      <c r="A33" s="6" t="inlineStr">
        <is>
          <t>Q29</t>
        </is>
      </c>
      <c r="B33" s="6" t="inlineStr">
        <is>
          <t>Metrics</t>
        </is>
      </c>
      <c r="C33" s="14" t="inlineStr">
        <is>
          <t>MTTC for Critical incidents?</t>
        </is>
      </c>
      <c r="D33" s="15" t="n"/>
      <c r="E33" s="15" t="n"/>
      <c r="F33" s="15" t="n"/>
      <c r="G33" s="16">
        <f>IF(D33="","",IF(OR(D33="No", D33="Limited", D33&lt;80), "Yes", "No"))</f>
        <v/>
      </c>
    </row>
    <row r="34">
      <c r="A34" s="6" t="inlineStr">
        <is>
          <t>Q30</t>
        </is>
      </c>
      <c r="B34" s="6" t="inlineStr">
        <is>
          <t>Metrics</t>
        </is>
      </c>
      <c r="C34" s="14" t="inlineStr">
        <is>
          <t>% incidents meeting containment SLA? (6 months)</t>
        </is>
      </c>
      <c r="D34" s="15" t="n"/>
      <c r="E34" s="15" t="n"/>
      <c r="F34" s="15" t="n"/>
      <c r="G34" s="16">
        <f>IF(D34="","",IF(OR(D34="No", D34="Limited", D34&lt;80),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"Yes,No,Partial,Limited,In-Progress,N/A"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ERADICATION &amp; REMEDIATION</t>
        </is>
      </c>
    </row>
    <row r="2">
      <c r="A2" s="12" t="inlineStr">
        <is>
          <t>ISO/IEC 27001:2022 - Control A.5.24-28: Incident Management | Malware, Vulnerability, Credential, Threat Actor Expulsion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Q31</t>
        </is>
      </c>
      <c r="B5" s="6" t="inlineStr">
        <is>
          <t>Malware</t>
        </is>
      </c>
      <c r="C5" s="14" t="inlineStr">
        <is>
          <t>Malware removal procedures documented?</t>
        </is>
      </c>
      <c r="D5" s="15" t="n"/>
      <c r="E5" s="15" t="n"/>
      <c r="F5" s="15" t="n"/>
      <c r="G5" s="16">
        <f>IF(D5="","",IF(OR(D5="No", D5="Limited", D5&lt;80), "Yes", "No"))</f>
        <v/>
      </c>
    </row>
    <row r="6">
      <c r="A6" s="6" t="inlineStr">
        <is>
          <t>Q32</t>
        </is>
      </c>
      <c r="B6" s="6" t="inlineStr">
        <is>
          <t>Malware</t>
        </is>
      </c>
      <c r="C6" s="14" t="inlineStr">
        <is>
          <t>EDR automated malware removal?</t>
        </is>
      </c>
      <c r="D6" s="15" t="n"/>
      <c r="E6" s="15" t="n"/>
      <c r="F6" s="15" t="n"/>
      <c r="G6" s="16">
        <f>IF(D6="","",IF(OR(D6="No", D6="Limited", D6&lt;80), "Yes", "No"))</f>
        <v/>
      </c>
    </row>
    <row r="7">
      <c r="A7" s="6" t="inlineStr">
        <is>
          <t>Q33</t>
        </is>
      </c>
      <c r="B7" s="6" t="inlineStr">
        <is>
          <t>Malware</t>
        </is>
      </c>
      <c r="C7" s="14" t="inlineStr">
        <is>
          <t>Reimaging capability?</t>
        </is>
      </c>
      <c r="D7" s="15" t="n"/>
      <c r="E7" s="15" t="n"/>
      <c r="F7" s="15" t="n"/>
      <c r="G7" s="16">
        <f>IF(D7="","",IF(OR(D7="No", D7="Limited", D7&lt;80), "Yes", "No"))</f>
        <v/>
      </c>
    </row>
    <row r="8">
      <c r="A8" s="6" t="inlineStr">
        <is>
          <t>Q34</t>
        </is>
      </c>
      <c r="B8" s="6" t="inlineStr">
        <is>
          <t>Malware</t>
        </is>
      </c>
      <c r="C8" s="14" t="inlineStr">
        <is>
          <t>Persistence mechanism checks?</t>
        </is>
      </c>
      <c r="D8" s="15" t="n"/>
      <c r="E8" s="15" t="n"/>
      <c r="F8" s="15" t="n"/>
      <c r="G8" s="16">
        <f>IF(D8="","",IF(OR(D8="No", D8="Limited", D8&lt;80), "Yes", "No"))</f>
        <v/>
      </c>
    </row>
    <row r="9">
      <c r="A9" s="6" t="inlineStr">
        <is>
          <t>Q35</t>
        </is>
      </c>
      <c r="B9" s="6" t="inlineStr">
        <is>
          <t>Malware</t>
        </is>
      </c>
      <c r="C9" s="14" t="inlineStr">
        <is>
          <t>Network share malware scanning?</t>
        </is>
      </c>
      <c r="D9" s="15" t="n"/>
      <c r="E9" s="15" t="n"/>
      <c r="F9" s="15" t="n"/>
      <c r="G9" s="16">
        <f>IF(D9="","",IF(OR(D9="No", D9="Limited", D9&lt;80), "Yes", "No"))</f>
        <v/>
      </c>
    </row>
    <row r="10">
      <c r="A10" s="6" t="inlineStr">
        <is>
          <t>Q36</t>
        </is>
      </c>
      <c r="B10" s="6" t="inlineStr">
        <is>
          <t>Malware</t>
        </is>
      </c>
      <c r="C10" s="14" t="inlineStr">
        <is>
          <t>Malware sample collection before removal?</t>
        </is>
      </c>
      <c r="D10" s="15" t="n"/>
      <c r="E10" s="15" t="n"/>
      <c r="F10" s="15" t="n"/>
      <c r="G10" s="16">
        <f>IF(D10="","",IF(OR(D10="No", D10="Limited", D10&lt;80), "Yes", "No"))</f>
        <v/>
      </c>
    </row>
    <row r="11">
      <c r="A11" s="6" t="inlineStr">
        <is>
          <t>Q37</t>
        </is>
      </c>
      <c r="B11" s="6" t="inlineStr">
        <is>
          <t>Vulnerability</t>
        </is>
      </c>
      <c r="C11" s="14" t="inlineStr">
        <is>
          <t>Emergency patching capability?</t>
        </is>
      </c>
      <c r="D11" s="15" t="n"/>
      <c r="E11" s="15" t="n"/>
      <c r="F11" s="15" t="n"/>
      <c r="G11" s="16">
        <f>IF(D11="","",IF(OR(D11="No", D11="Limited", D11&lt;80), "Yes", "No"))</f>
        <v/>
      </c>
    </row>
    <row r="12">
      <c r="A12" s="6" t="inlineStr">
        <is>
          <t>Q38</t>
        </is>
      </c>
      <c r="B12" s="6" t="inlineStr">
        <is>
          <t>Vulnerability</t>
        </is>
      </c>
      <c r="C12" s="14" t="inlineStr">
        <is>
          <t>Average vulnerability remediation time?</t>
        </is>
      </c>
      <c r="D12" s="15" t="n"/>
      <c r="E12" s="15" t="n"/>
      <c r="F12" s="15" t="n"/>
      <c r="G12" s="16">
        <f>IF(D12="","",IF(OR(D12="No", D12="Limited", D12&lt;80), "Yes", "No"))</f>
        <v/>
      </c>
    </row>
    <row r="13">
      <c r="A13" s="6" t="inlineStr">
        <is>
          <t>Q39</t>
        </is>
      </c>
      <c r="B13" s="6" t="inlineStr">
        <is>
          <t>Vulnerability</t>
        </is>
      </c>
      <c r="C13" s="14" t="inlineStr">
        <is>
          <t>Can patch testing be waived?</t>
        </is>
      </c>
      <c r="D13" s="15" t="n"/>
      <c r="E13" s="15" t="n"/>
      <c r="F13" s="15" t="n"/>
      <c r="G13" s="16">
        <f>IF(D13="","",IF(OR(D13="No", D13="Limited", D13&lt;80), "Yes", "No"))</f>
        <v/>
      </c>
    </row>
    <row r="14">
      <c r="A14" s="6" t="inlineStr">
        <is>
          <t>Q40</t>
        </is>
      </c>
      <c r="B14" s="6" t="inlineStr">
        <is>
          <t>Vulnerability</t>
        </is>
      </c>
      <c r="C14" s="14" t="inlineStr">
        <is>
          <t>Configuration hardening after incidents?</t>
        </is>
      </c>
      <c r="D14" s="15" t="n"/>
      <c r="E14" s="15" t="n"/>
      <c r="F14" s="15" t="n"/>
      <c r="G14" s="16">
        <f>IF(D14="","",IF(OR(D14="No", D14="Limited", D14&lt;80), "Yes", "No"))</f>
        <v/>
      </c>
    </row>
    <row r="15">
      <c r="A15" s="6" t="inlineStr">
        <is>
          <t>Q41</t>
        </is>
      </c>
      <c r="B15" s="6" t="inlineStr">
        <is>
          <t>Vulnerability</t>
        </is>
      </c>
      <c r="C15" s="14" t="inlineStr">
        <is>
          <t>Emergency code fix deployment?</t>
        </is>
      </c>
      <c r="D15" s="15" t="n"/>
      <c r="E15" s="15" t="n"/>
      <c r="F15" s="15" t="n"/>
      <c r="G15" s="16">
        <f>IF(D15="","",IF(OR(D15="No", D15="Limited", D15&lt;80), "Yes", "No"))</f>
        <v/>
      </c>
    </row>
    <row r="16">
      <c r="A16" s="6" t="inlineStr">
        <is>
          <t>Q42</t>
        </is>
      </c>
      <c r="B16" s="6" t="inlineStr">
        <is>
          <t>Vulnerability</t>
        </is>
      </c>
      <c r="C16" s="14" t="inlineStr">
        <is>
          <t>Workaround implementation capability?</t>
        </is>
      </c>
      <c r="D16" s="15" t="n"/>
      <c r="E16" s="15" t="n"/>
      <c r="F16" s="15" t="n"/>
      <c r="G16" s="16">
        <f>IF(D16="","",IF(OR(D16="No", D16="Limited", D16&lt;80), "Yes", "No"))</f>
        <v/>
      </c>
    </row>
    <row r="17">
      <c r="A17" s="6" t="inlineStr">
        <is>
          <t>Q43</t>
        </is>
      </c>
      <c r="B17" s="6" t="inlineStr">
        <is>
          <t>Credential</t>
        </is>
      </c>
      <c r="C17" s="14" t="inlineStr">
        <is>
          <t>Credential rotation procedures documented?</t>
        </is>
      </c>
      <c r="D17" s="15" t="n"/>
      <c r="E17" s="15" t="n"/>
      <c r="F17" s="15" t="n"/>
      <c r="G17" s="16">
        <f>IF(D17="","",IF(OR(D17="No", D17="Limited", D17&lt;80), "Yes", "No"))</f>
        <v/>
      </c>
    </row>
    <row r="18">
      <c r="A18" s="6" t="inlineStr">
        <is>
          <t>Q44</t>
        </is>
      </c>
      <c r="B18" s="6" t="inlineStr">
        <is>
          <t>Credential</t>
        </is>
      </c>
      <c r="C18" s="14" t="inlineStr">
        <is>
          <t>Bulk password reset capability?</t>
        </is>
      </c>
      <c r="D18" s="15" t="n"/>
      <c r="E18" s="15" t="n"/>
      <c r="F18" s="15" t="n"/>
      <c r="G18" s="16">
        <f>IF(D18="","",IF(OR(D18="No", D18="Limited", D18&lt;80), "Yes", "No"))</f>
        <v/>
      </c>
    </row>
    <row r="19">
      <c r="A19" s="6" t="inlineStr">
        <is>
          <t>Q45</t>
        </is>
      </c>
      <c r="B19" s="6" t="inlineStr">
        <is>
          <t>Credential</t>
        </is>
      </c>
      <c r="C19" s="14" t="inlineStr">
        <is>
          <t>Certificate revocation/reissue capability?</t>
        </is>
      </c>
      <c r="D19" s="15" t="n"/>
      <c r="E19" s="15" t="n"/>
      <c r="F19" s="15" t="n"/>
      <c r="G19" s="16">
        <f>IF(D19="","",IF(OR(D19="No", D19="Limited", D19&lt;80), "Yes", "No"))</f>
        <v/>
      </c>
    </row>
    <row r="20">
      <c r="A20" s="6" t="inlineStr">
        <is>
          <t>Q46</t>
        </is>
      </c>
      <c r="B20" s="6" t="inlineStr">
        <is>
          <t>Credential</t>
        </is>
      </c>
      <c r="C20" s="14" t="inlineStr">
        <is>
          <t>API key rotation capability?</t>
        </is>
      </c>
      <c r="D20" s="15" t="n"/>
      <c r="E20" s="15" t="n"/>
      <c r="F20" s="15" t="n"/>
      <c r="G20" s="16">
        <f>IF(D20="","",IF(OR(D20="No", D20="Limited", D20&lt;80), "Yes", "No"))</f>
        <v/>
      </c>
    </row>
    <row r="21">
      <c r="A21" s="6" t="inlineStr">
        <is>
          <t>Q47</t>
        </is>
      </c>
      <c r="B21" s="6" t="inlineStr">
        <is>
          <t>Credential</t>
        </is>
      </c>
      <c r="C21" s="14" t="inlineStr">
        <is>
          <t>Privileged account review after incidents?</t>
        </is>
      </c>
      <c r="D21" s="15" t="n"/>
      <c r="E21" s="15" t="n"/>
      <c r="F21" s="15" t="n"/>
      <c r="G21" s="16">
        <f>IF(D21="","",IF(OR(D21="No", D21="Limited", D21&lt;80), "Yes", "No"))</f>
        <v/>
      </c>
    </row>
    <row r="22">
      <c r="A22" s="6" t="inlineStr">
        <is>
          <t>Q48</t>
        </is>
      </c>
      <c r="B22" s="6" t="inlineStr">
        <is>
          <t>Expulsion</t>
        </is>
      </c>
      <c r="C22" s="14" t="inlineStr">
        <is>
          <t>Threat actor expulsion verification?</t>
        </is>
      </c>
      <c r="D22" s="15" t="n"/>
      <c r="E22" s="15" t="n"/>
      <c r="F22" s="15" t="n"/>
      <c r="G22" s="16">
        <f>IF(D22="","",IF(OR(D22="No", D22="Limited", D22&lt;80), "Yes", "No"))</f>
        <v/>
      </c>
    </row>
    <row r="23">
      <c r="A23" s="6" t="inlineStr">
        <is>
          <t>Q49</t>
        </is>
      </c>
      <c r="B23" s="6" t="inlineStr">
        <is>
          <t>Expulsion</t>
        </is>
      </c>
      <c r="C23" s="14" t="inlineStr">
        <is>
          <t>Backdoor search and removal?</t>
        </is>
      </c>
      <c r="D23" s="15" t="n"/>
      <c r="E23" s="15" t="n"/>
      <c r="F23" s="15" t="n"/>
      <c r="G23" s="16">
        <f>IF(D23="","",IF(OR(D23="No", D23="Limited", D23&lt;80), "Yes", "No"))</f>
        <v/>
      </c>
    </row>
    <row r="24">
      <c r="A24" s="6" t="inlineStr">
        <is>
          <t>Q50</t>
        </is>
      </c>
      <c r="B24" s="6" t="inlineStr">
        <is>
          <t>Expulsion</t>
        </is>
      </c>
      <c r="C24" s="14" t="inlineStr">
        <is>
          <t>Re-infection prevention measures?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RECOVERY &amp; RESTORATION</t>
        </is>
      </c>
    </row>
    <row r="2">
      <c r="A2" s="12" t="inlineStr">
        <is>
          <t>ISO/IEC 27001:2022 - Control A.5.24-28: Incident Management | System Restoration, Service Resumption, Post-Recovery Monitoring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Q51</t>
        </is>
      </c>
      <c r="B5" s="6" t="inlineStr">
        <is>
          <t>Restoration</t>
        </is>
      </c>
      <c r="C5" s="14" t="inlineStr">
        <is>
          <t>System restoration procedures documented?</t>
        </is>
      </c>
      <c r="D5" s="15" t="n"/>
      <c r="E5" s="15" t="n"/>
      <c r="F5" s="15" t="n"/>
      <c r="G5" s="16">
        <f>IF(D5="","",IF(OR(D5="No", D5="Limited", D5&lt;80), "Yes", "No"))</f>
        <v/>
      </c>
    </row>
    <row r="6">
      <c r="A6" s="6" t="inlineStr">
        <is>
          <t>Q52</t>
        </is>
      </c>
      <c r="B6" s="6" t="inlineStr">
        <is>
          <t>Restoration</t>
        </is>
      </c>
      <c r="C6" s="14" t="inlineStr">
        <is>
          <t>Backup availability for critical systems?</t>
        </is>
      </c>
      <c r="D6" s="15" t="n"/>
      <c r="E6" s="15" t="n"/>
      <c r="F6" s="15" t="n"/>
      <c r="G6" s="16">
        <f>IF(D6="","",IF(OR(D6="No", D6="Limited", D6&lt;80), "Yes", "No"))</f>
        <v/>
      </c>
    </row>
    <row r="7">
      <c r="A7" s="6" t="inlineStr">
        <is>
          <t>Q53</t>
        </is>
      </c>
      <c r="B7" s="6" t="inlineStr">
        <is>
          <t>Restoration</t>
        </is>
      </c>
      <c r="C7" s="14" t="inlineStr">
        <is>
          <t>Average backup restoration time?</t>
        </is>
      </c>
      <c r="D7" s="15" t="n"/>
      <c r="E7" s="15" t="n"/>
      <c r="F7" s="15" t="n"/>
      <c r="G7" s="16">
        <f>IF(D7="","",IF(OR(D7="No", D7="Limited", D7&lt;80), "Yes", "No"))</f>
        <v/>
      </c>
    </row>
    <row r="8">
      <c r="A8" s="6" t="inlineStr">
        <is>
          <t>Q54</t>
        </is>
      </c>
      <c r="B8" s="6" t="inlineStr">
        <is>
          <t>Restoration</t>
        </is>
      </c>
      <c r="C8" s="14" t="inlineStr">
        <is>
          <t>Backup integrity verification before restoration?</t>
        </is>
      </c>
      <c r="D8" s="15" t="n"/>
      <c r="E8" s="15" t="n"/>
      <c r="F8" s="15" t="n"/>
      <c r="G8" s="16">
        <f>IF(D8="","",IF(OR(D8="No", D8="Limited", D8&lt;80), "Yes", "No"))</f>
        <v/>
      </c>
    </row>
    <row r="9">
      <c r="A9" s="6" t="inlineStr">
        <is>
          <t>Q55</t>
        </is>
      </c>
      <c r="B9" s="6" t="inlineStr">
        <is>
          <t>Restoration</t>
        </is>
      </c>
      <c r="C9" s="14" t="inlineStr">
        <is>
          <t>Clean rebuild capability?</t>
        </is>
      </c>
      <c r="D9" s="15" t="n"/>
      <c r="E9" s="15" t="n"/>
      <c r="F9" s="15" t="n"/>
      <c r="G9" s="16">
        <f>IF(D9="","",IF(OR(D9="No", D9="Limited", D9&lt;80), "Yes", "No"))</f>
        <v/>
      </c>
    </row>
    <row r="10">
      <c r="A10" s="6" t="inlineStr">
        <is>
          <t>Q56</t>
        </is>
      </c>
      <c r="B10" s="6" t="inlineStr">
        <is>
          <t>Restoration</t>
        </is>
      </c>
      <c r="C10" s="14" t="inlineStr">
        <is>
          <t>Configuration restoration capability?</t>
        </is>
      </c>
      <c r="D10" s="15" t="n"/>
      <c r="E10" s="15" t="n"/>
      <c r="F10" s="15" t="n"/>
      <c r="G10" s="16">
        <f>IF(D10="","",IF(OR(D10="No", D10="Limited", D10&lt;80), "Yes", "No"))</f>
        <v/>
      </c>
    </row>
    <row r="11">
      <c r="A11" s="6" t="inlineStr">
        <is>
          <t>Q57</t>
        </is>
      </c>
      <c r="B11" s="6" t="inlineStr">
        <is>
          <t>Restoration</t>
        </is>
      </c>
      <c r="C11" s="14" t="inlineStr">
        <is>
          <t>Data recovery testing frequency?</t>
        </is>
      </c>
      <c r="D11" s="15" t="n"/>
      <c r="E11" s="15" t="n"/>
      <c r="F11" s="15" t="n"/>
      <c r="G11" s="16">
        <f>IF(D11="","",IF(OR(D11="No", D11="Limited", D11&lt;80), "Yes", "No"))</f>
        <v/>
      </c>
    </row>
    <row r="12">
      <c r="A12" s="6" t="inlineStr">
        <is>
          <t>Q58</t>
        </is>
      </c>
      <c r="B12" s="6" t="inlineStr">
        <is>
          <t>Resumption</t>
        </is>
      </c>
      <c r="C12" s="14" t="inlineStr">
        <is>
          <t>Service resumption procedures documented?</t>
        </is>
      </c>
      <c r="D12" s="15" t="n"/>
      <c r="E12" s="15" t="n"/>
      <c r="F12" s="15" t="n"/>
      <c r="G12" s="16">
        <f>IF(D12="","",IF(OR(D12="No", D12="Limited", D12&lt;80), "Yes", "No"))</f>
        <v/>
      </c>
    </row>
    <row r="13">
      <c r="A13" s="6" t="inlineStr">
        <is>
          <t>Q59</t>
        </is>
      </c>
      <c r="B13" s="6" t="inlineStr">
        <is>
          <t>Resumption</t>
        </is>
      </c>
      <c r="C13" s="14" t="inlineStr">
        <is>
          <t>Post-recovery validation?</t>
        </is>
      </c>
      <c r="D13" s="15" t="n"/>
      <c r="E13" s="15" t="n"/>
      <c r="F13" s="15" t="n"/>
      <c r="G13" s="16">
        <f>IF(D13="","",IF(OR(D13="No", D13="Limited", D13&lt;80), "Yes", "No"))</f>
        <v/>
      </c>
    </row>
    <row r="14">
      <c r="A14" s="6" t="inlineStr">
        <is>
          <t>Q60</t>
        </is>
      </c>
      <c r="B14" s="6" t="inlineStr">
        <is>
          <t>Resumption</t>
        </is>
      </c>
      <c r="C14" s="14" t="inlineStr">
        <is>
          <t>Staged recovery capability?</t>
        </is>
      </c>
      <c r="D14" s="15" t="n"/>
      <c r="E14" s="15" t="n"/>
      <c r="F14" s="15" t="n"/>
      <c r="G14" s="16">
        <f>IF(D14="","",IF(OR(D14="No", D14="Limited", D14&lt;80), "Yes", "No"))</f>
        <v/>
      </c>
    </row>
    <row r="15">
      <c r="A15" s="6" t="inlineStr">
        <is>
          <t>Q61</t>
        </is>
      </c>
      <c r="B15" s="6" t="inlineStr">
        <is>
          <t>Resumption</t>
        </is>
      </c>
      <c r="C15" s="14" t="inlineStr">
        <is>
          <t>User communication during recovery?</t>
        </is>
      </c>
      <c r="D15" s="15" t="n"/>
      <c r="E15" s="15" t="n"/>
      <c r="F15" s="15" t="n"/>
      <c r="G15" s="16">
        <f>IF(D15="","",IF(OR(D15="No", D15="Limited", D15&lt;80), "Yes", "No"))</f>
        <v/>
      </c>
    </row>
    <row r="16">
      <c r="A16" s="6" t="inlineStr">
        <is>
          <t>Q62</t>
        </is>
      </c>
      <c r="B16" s="6" t="inlineStr">
        <is>
          <t>Resumption</t>
        </is>
      </c>
      <c r="C16" s="14" t="inlineStr">
        <is>
          <t>Service degradation mode capability?</t>
        </is>
      </c>
      <c r="D16" s="15" t="n"/>
      <c r="E16" s="15" t="n"/>
      <c r="F16" s="15" t="n"/>
      <c r="G16" s="16">
        <f>IF(D16="","",IF(OR(D16="No", D16="Limited", D16&lt;80), "Yes", "No"))</f>
        <v/>
      </c>
    </row>
    <row r="17">
      <c r="A17" s="6" t="inlineStr">
        <is>
          <t>Q63</t>
        </is>
      </c>
      <c r="B17" s="6" t="inlineStr">
        <is>
          <t>Resumption</t>
        </is>
      </c>
      <c r="C17" s="14" t="inlineStr">
        <is>
          <t>RTOs defined for critical services?</t>
        </is>
      </c>
      <c r="D17" s="15" t="n"/>
      <c r="E17" s="15" t="n"/>
      <c r="F17" s="15" t="n"/>
      <c r="G17" s="16">
        <f>IF(D17="","",IF(OR(D17="No", D17="Limited", D17&lt;80), "Yes", "No"))</f>
        <v/>
      </c>
    </row>
    <row r="18">
      <c r="A18" s="6" t="inlineStr">
        <is>
          <t>Q64</t>
        </is>
      </c>
      <c r="B18" s="6" t="inlineStr">
        <is>
          <t>Resumption</t>
        </is>
      </c>
      <c r="C18" s="14" t="inlineStr">
        <is>
          <t>% incidents meeting RTO? (6 months)</t>
        </is>
      </c>
      <c r="D18" s="15" t="n"/>
      <c r="E18" s="15" t="n"/>
      <c r="F18" s="15" t="n"/>
      <c r="G18" s="16">
        <f>IF(D18="","",IF(OR(D18="No", D18="Limited", D18&lt;80), "Yes", "No"))</f>
        <v/>
      </c>
    </row>
    <row r="19">
      <c r="A19" s="6" t="inlineStr">
        <is>
          <t>Q65</t>
        </is>
      </c>
      <c r="B19" s="6" t="inlineStr">
        <is>
          <t>Monitoring</t>
        </is>
      </c>
      <c r="C19" s="14" t="inlineStr">
        <is>
          <t>Enhanced monitoring period after recovery?</t>
        </is>
      </c>
      <c r="D19" s="15" t="n"/>
      <c r="E19" s="15" t="n"/>
      <c r="F19" s="15" t="n"/>
      <c r="G19" s="16">
        <f>IF(D19="","",IF(OR(D19="No", D19="Limited", D19&lt;80), "Yes", "No"))</f>
        <v/>
      </c>
    </row>
    <row r="20">
      <c r="A20" s="6" t="inlineStr">
        <is>
          <t>Q66</t>
        </is>
      </c>
      <c r="B20" s="6" t="inlineStr">
        <is>
          <t>Monitoring</t>
        </is>
      </c>
      <c r="C20" s="14" t="inlineStr">
        <is>
          <t>Reinfection actively monitored?</t>
        </is>
      </c>
      <c r="D20" s="15" t="n"/>
      <c r="E20" s="15" t="n"/>
      <c r="F20" s="15" t="n"/>
      <c r="G20" s="16">
        <f>IF(D20="","",IF(OR(D20="No", D20="Limited", D20&lt;80), "Yes", "No"))</f>
        <v/>
      </c>
    </row>
    <row r="21">
      <c r="A21" s="6" t="inlineStr">
        <is>
          <t>Q67</t>
        </is>
      </c>
      <c r="B21" s="6" t="inlineStr">
        <is>
          <t>Monitoring</t>
        </is>
      </c>
      <c r="C21" s="14" t="inlineStr">
        <is>
          <t>IOC monitoring after recovery?</t>
        </is>
      </c>
      <c r="D21" s="15" t="n"/>
      <c r="E21" s="15" t="n"/>
      <c r="F21" s="15" t="n"/>
      <c r="G21" s="16">
        <f>IF(D21="","",IF(OR(D21="No", D21="Limited", D21&lt;80), "Yes", "No"))</f>
        <v/>
      </c>
    </row>
    <row r="22">
      <c r="A22" s="6" t="inlineStr">
        <is>
          <t>Q68</t>
        </is>
      </c>
      <c r="B22" s="6" t="inlineStr">
        <is>
          <t>Monitoring</t>
        </is>
      </c>
      <c r="C22" s="14" t="inlineStr">
        <is>
          <t>Mean Time to Recover (MTTR) overall? (6 months)</t>
        </is>
      </c>
      <c r="D22" s="15" t="n"/>
      <c r="E22" s="15" t="n"/>
      <c r="F22" s="15" t="n"/>
      <c r="G22" s="16">
        <f>IF(D22="","",IF(OR(D22="No", D22="Limited", D22&lt;80), "Yes", "No"))</f>
        <v/>
      </c>
    </row>
    <row r="23">
      <c r="A23" s="6" t="inlineStr">
        <is>
          <t>Q69</t>
        </is>
      </c>
      <c r="B23" s="6" t="inlineStr">
        <is>
          <t>Monitoring</t>
        </is>
      </c>
      <c r="C23" s="14" t="inlineStr">
        <is>
          <t>MTTR for Critical incidents?</t>
        </is>
      </c>
      <c r="D23" s="15" t="n"/>
      <c r="E23" s="15" t="n"/>
      <c r="F23" s="15" t="n"/>
      <c r="G23" s="16">
        <f>IF(D23="","",IF(OR(D23="No", D23="Limited", D23&lt;80), "Yes", "No"))</f>
        <v/>
      </c>
    </row>
    <row r="24">
      <c r="A24" s="6" t="inlineStr">
        <is>
          <t>Q70</t>
        </is>
      </c>
      <c r="B24" s="6" t="inlineStr">
        <is>
          <t>Monitoring</t>
        </is>
      </c>
      <c r="C24" s="14" t="inlineStr">
        <is>
          <t>Recovery success rate (no recurrence)? (6 months)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COMMUNICATION</t>
        </is>
      </c>
    </row>
    <row r="2">
      <c r="A2" s="12" t="inlineStr">
        <is>
          <t>ISO/IEC 27001:2022 - Control A.5.24-28: Incident Management | Internal, External, Crisis Communication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Q71</t>
        </is>
      </c>
      <c r="B5" s="6" t="inlineStr">
        <is>
          <t>Internal</t>
        </is>
      </c>
      <c r="C5" s="14" t="inlineStr">
        <is>
          <t>Internal communication protocol documented?</t>
        </is>
      </c>
      <c r="D5" s="15" t="n"/>
      <c r="E5" s="15" t="n"/>
      <c r="F5" s="15" t="n"/>
      <c r="G5" s="16">
        <f>IF(D5="","",IF(OR(D5="No", D5="Limited", D5&lt;80), "Yes", "No"))</f>
        <v/>
      </c>
    </row>
    <row r="6">
      <c r="A6" s="6" t="inlineStr">
        <is>
          <t>Q72</t>
        </is>
      </c>
      <c r="B6" s="6" t="inlineStr">
        <is>
          <t>Internal</t>
        </is>
      </c>
      <c r="C6" s="14" t="inlineStr">
        <is>
          <t>Management notifications within SLA?</t>
        </is>
      </c>
      <c r="D6" s="15" t="n"/>
      <c r="E6" s="15" t="n"/>
      <c r="F6" s="15" t="n"/>
      <c r="G6" s="16">
        <f>IF(D6="","",IF(OR(D6="No", D6="Limited", D6&lt;80), "Yes", "No"))</f>
        <v/>
      </c>
    </row>
    <row r="7">
      <c r="A7" s="6" t="inlineStr">
        <is>
          <t>Q73</t>
        </is>
      </c>
      <c r="B7" s="6" t="inlineStr">
        <is>
          <t>Internal</t>
        </is>
      </c>
      <c r="C7" s="14" t="inlineStr">
        <is>
          <t>Affected user notification?</t>
        </is>
      </c>
      <c r="D7" s="15" t="n"/>
      <c r="E7" s="15" t="n"/>
      <c r="F7" s="15" t="n"/>
      <c r="G7" s="16">
        <f>IF(D7="","",IF(OR(D7="No", D7="Limited", D7&lt;80), "Yes", "No"))</f>
        <v/>
      </c>
    </row>
    <row r="8">
      <c r="A8" s="6" t="inlineStr">
        <is>
          <t>Q74</t>
        </is>
      </c>
      <c r="B8" s="6" t="inlineStr">
        <is>
          <t>Internal</t>
        </is>
      </c>
      <c r="C8" s="14" t="inlineStr">
        <is>
          <t>IT Ops coordination method?</t>
        </is>
      </c>
      <c r="D8" s="15" t="n"/>
      <c r="E8" s="15" t="n"/>
      <c r="F8" s="15" t="n"/>
      <c r="G8" s="16">
        <f>IF(D8="","",IF(OR(D8="No", D8="Limited", D8&lt;80), "Yes", "No"))</f>
        <v/>
      </c>
    </row>
    <row r="9">
      <c r="A9" s="6" t="inlineStr">
        <is>
          <t>Q75</t>
        </is>
      </c>
      <c r="B9" s="6" t="inlineStr">
        <is>
          <t>Internal</t>
        </is>
      </c>
      <c r="C9" s="14" t="inlineStr">
        <is>
          <t>Communication templates available?</t>
        </is>
      </c>
      <c r="D9" s="15" t="n"/>
      <c r="E9" s="15" t="n"/>
      <c r="F9" s="15" t="n"/>
      <c r="G9" s="16">
        <f>IF(D9="","",IF(OR(D9="No", D9="Limited", D9&lt;80), "Yes", "No"))</f>
        <v/>
      </c>
    </row>
    <row r="10">
      <c r="A10" s="6" t="inlineStr">
        <is>
          <t>Q76</t>
        </is>
      </c>
      <c r="B10" s="6" t="inlineStr">
        <is>
          <t>Internal</t>
        </is>
      </c>
      <c r="C10" s="14" t="inlineStr">
        <is>
          <t>Communication approval process?</t>
        </is>
      </c>
      <c r="D10" s="15" t="n"/>
      <c r="E10" s="15" t="n"/>
      <c r="F10" s="15" t="n"/>
      <c r="G10" s="16">
        <f>IF(D10="","",IF(OR(D10="No", D10="Limited", D10&lt;80), "Yes", "No"))</f>
        <v/>
      </c>
    </row>
    <row r="11">
      <c r="A11" s="6" t="inlineStr">
        <is>
          <t>Q77</t>
        </is>
      </c>
      <c r="B11" s="6" t="inlineStr">
        <is>
          <t>Internal</t>
        </is>
      </c>
      <c r="C11" s="14" t="inlineStr">
        <is>
          <t>All incident communication logged?</t>
        </is>
      </c>
      <c r="D11" s="15" t="n"/>
      <c r="E11" s="15" t="n"/>
      <c r="F11" s="15" t="n"/>
      <c r="G11" s="16">
        <f>IF(D11="","",IF(OR(D11="No", D11="Limited", D11&lt;80), "Yes", "No"))</f>
        <v/>
      </c>
    </row>
    <row r="12">
      <c r="A12" s="6" t="inlineStr">
        <is>
          <t>Q78</t>
        </is>
      </c>
      <c r="B12" s="6" t="inlineStr">
        <is>
          <t>External</t>
        </is>
      </c>
      <c r="C12" s="14" t="inlineStr">
        <is>
          <t>External communication procedures documented?</t>
        </is>
      </c>
      <c r="D12" s="15" t="n"/>
      <c r="E12" s="15" t="n"/>
      <c r="F12" s="15" t="n"/>
      <c r="G12" s="16">
        <f>IF(D12="","",IF(OR(D12="No", D12="Limited", D12&lt;80), "Yes", "No"))</f>
        <v/>
      </c>
    </row>
    <row r="13">
      <c r="A13" s="6" t="inlineStr">
        <is>
          <t>Q79</t>
        </is>
      </c>
      <c r="B13" s="6" t="inlineStr">
        <is>
          <t>External</t>
        </is>
      </c>
      <c r="C13" s="14" t="inlineStr">
        <is>
          <t>Customer notification capability?</t>
        </is>
      </c>
      <c r="D13" s="15" t="n"/>
      <c r="E13" s="15" t="n"/>
      <c r="F13" s="15" t="n"/>
      <c r="G13" s="16">
        <f>IF(D13="","",IF(OR(D13="No", D13="Limited", D13&lt;80), "Yes", "No"))</f>
        <v/>
      </c>
    </row>
    <row r="14">
      <c r="A14" s="6" t="inlineStr">
        <is>
          <t>Q80</t>
        </is>
      </c>
      <c r="B14" s="6" t="inlineStr">
        <is>
          <t>External</t>
        </is>
      </c>
      <c r="C14" s="14" t="inlineStr">
        <is>
          <t>Regulatory notification templates ready?</t>
        </is>
      </c>
      <c r="D14" s="15" t="n"/>
      <c r="E14" s="15" t="n"/>
      <c r="F14" s="15" t="n"/>
      <c r="G14" s="16">
        <f>IF(D14="","",IF(OR(D14="No", D14="Limited", D14&lt;80), "Yes", "No"))</f>
        <v/>
      </c>
    </row>
    <row r="15">
      <c r="A15" s="6" t="inlineStr">
        <is>
          <t>Q81</t>
        </is>
      </c>
      <c r="B15" s="6" t="inlineStr">
        <is>
          <t>External</t>
        </is>
      </c>
      <c r="C15" s="14" t="inlineStr">
        <is>
          <t>Media inquiry handling process?</t>
        </is>
      </c>
      <c r="D15" s="15" t="n"/>
      <c r="E15" s="15" t="n"/>
      <c r="F15" s="15" t="n"/>
      <c r="G15" s="16">
        <f>IF(D15="","",IF(OR(D15="No", D15="Limited", D15&lt;80), "Yes", "No"))</f>
        <v/>
      </c>
    </row>
    <row r="16">
      <c r="A16" s="6" t="inlineStr">
        <is>
          <t>Q82</t>
        </is>
      </c>
      <c r="B16" s="6" t="inlineStr">
        <is>
          <t>External</t>
        </is>
      </c>
      <c r="C16" s="14" t="inlineStr">
        <is>
          <t>Third-party notification when affected?</t>
        </is>
      </c>
      <c r="D16" s="15" t="n"/>
      <c r="E16" s="15" t="n"/>
      <c r="F16" s="15" t="n"/>
      <c r="G16" s="16">
        <f>IF(D16="","",IF(OR(D16="No", D16="Limited", D16&lt;80), "Yes", "No"))</f>
        <v/>
      </c>
    </row>
    <row r="17">
      <c r="A17" s="6" t="inlineStr">
        <is>
          <t>Q83</t>
        </is>
      </c>
      <c r="B17" s="6" t="inlineStr">
        <is>
          <t>External</t>
        </is>
      </c>
      <c r="C17" s="14" t="inlineStr">
        <is>
          <t>Legal reviews external communications?</t>
        </is>
      </c>
      <c r="D17" s="15" t="n"/>
      <c r="E17" s="15" t="n"/>
      <c r="F17" s="15" t="n"/>
      <c r="G17" s="16">
        <f>IF(D17="","",IF(OR(D17="No", D17="Limited", D17&lt;80), "Yes", "No"))</f>
        <v/>
      </c>
    </row>
    <row r="18">
      <c r="A18" s="6" t="inlineStr">
        <is>
          <t>Q84</t>
        </is>
      </c>
      <c r="B18" s="6" t="inlineStr">
        <is>
          <t>External</t>
        </is>
      </c>
      <c r="C18" s="14" t="inlineStr">
        <is>
          <t>External communications within timelines?</t>
        </is>
      </c>
      <c r="D18" s="15" t="n"/>
      <c r="E18" s="15" t="n"/>
      <c r="F18" s="15" t="n"/>
      <c r="G18" s="16">
        <f>IF(D18="","",IF(OR(D18="No", D18="Limited", D18&lt;80), "Yes", "No"))</f>
        <v/>
      </c>
    </row>
    <row r="19">
      <c r="A19" s="6" t="inlineStr">
        <is>
          <t>Q85</t>
        </is>
      </c>
      <c r="B19" s="6" t="inlineStr">
        <is>
          <t>Crisis</t>
        </is>
      </c>
      <c r="C19" s="14" t="inlineStr">
        <is>
          <t>Crisis communication plan exists?</t>
        </is>
      </c>
      <c r="D19" s="15" t="n"/>
      <c r="E19" s="15" t="n"/>
      <c r="F19" s="15" t="n"/>
      <c r="G19" s="16">
        <f>IF(D19="","",IF(OR(D19="No", D19="Limited", D19&lt;80), "Yes", "No"))</f>
        <v/>
      </c>
    </row>
    <row r="20">
      <c r="A20" s="6" t="inlineStr">
        <is>
          <t>Q86</t>
        </is>
      </c>
      <c r="B20" s="6" t="inlineStr">
        <is>
          <t>Crisis</t>
        </is>
      </c>
      <c r="C20" s="14" t="inlineStr">
        <is>
          <t>Designated spokespersons identified?</t>
        </is>
      </c>
      <c r="D20" s="15" t="n"/>
      <c r="E20" s="15" t="n"/>
      <c r="F20" s="15" t="n"/>
      <c r="G20" s="16">
        <f>IF(D20="","",IF(OR(D20="No", D20="Limited", D20&lt;80), "Yes", "No"))</f>
        <v/>
      </c>
    </row>
    <row r="21">
      <c r="A21" s="6" t="inlineStr">
        <is>
          <t>Q87</t>
        </is>
      </c>
      <c r="B21" s="6" t="inlineStr">
        <is>
          <t>Crisis</t>
        </is>
      </c>
      <c r="C21" s="14" t="inlineStr">
        <is>
          <t>Communication frequency defined?</t>
        </is>
      </c>
      <c r="D21" s="15" t="n"/>
      <c r="E21" s="15" t="n"/>
      <c r="F21" s="15" t="n"/>
      <c r="G21" s="16">
        <f>IF(D21="","",IF(OR(D21="No", D21="Limited", D21&lt;80), "Yes", "No"))</f>
        <v/>
      </c>
    </row>
    <row r="22">
      <c r="A22" s="6" t="inlineStr">
        <is>
          <t>Q88</t>
        </is>
      </c>
      <c r="B22" s="6" t="inlineStr">
        <is>
          <t>Crisis</t>
        </is>
      </c>
      <c r="C22" s="14" t="inlineStr">
        <is>
          <t>Stakeholder satisfaction with communication?</t>
        </is>
      </c>
      <c r="D22" s="15" t="n"/>
      <c r="E22" s="15" t="n"/>
      <c r="F22" s="15" t="n"/>
      <c r="G22" s="16">
        <f>IF(D22="","",IF(OR(D22="No", D22="Limited", D22&lt;80), "Yes", "No"))</f>
        <v/>
      </c>
    </row>
    <row r="23">
      <c r="A23" s="6" t="inlineStr">
        <is>
          <t>Q89</t>
        </is>
      </c>
      <c r="B23" s="6" t="inlineStr">
        <is>
          <t>Crisis</t>
        </is>
      </c>
      <c r="C23" s="14" t="inlineStr">
        <is>
          <t>Communication lessons learned captured?</t>
        </is>
      </c>
      <c r="D23" s="15" t="n"/>
      <c r="E23" s="15" t="n"/>
      <c r="F23" s="15" t="n"/>
      <c r="G23" s="16">
        <f>IF(D23="","",IF(OR(D23="No", D23="Limited", D23&lt;80), "Yes", "No"))</f>
        <v/>
      </c>
    </row>
    <row r="24">
      <c r="A24" s="6" t="inlineStr">
        <is>
          <t>Q90</t>
        </is>
      </c>
      <c r="B24" s="6" t="inlineStr">
        <is>
          <t>Crisis</t>
        </is>
      </c>
      <c r="C24" s="14" t="inlineStr">
        <is>
          <t>CSIRT communication training?</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RESOURCES &amp; AUTHORITY</t>
        </is>
      </c>
    </row>
    <row r="2">
      <c r="A2" s="12" t="inlineStr">
        <is>
          <t>ISO/IEC 27001:2022 - Control A.5.24-28: Incident Management | CSIRT Availability, Tool Access, Decision Authority, Budget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Q91</t>
        </is>
      </c>
      <c r="B5" s="6" t="inlineStr">
        <is>
          <t>CSIRT Availability</t>
        </is>
      </c>
      <c r="C5" s="14" t="inlineStr">
        <is>
          <t>CSIRT 24/7 coverage?</t>
        </is>
      </c>
      <c r="D5" s="15" t="n"/>
      <c r="E5" s="15" t="n"/>
      <c r="F5" s="15" t="n"/>
      <c r="G5" s="16">
        <f>IF(D5="","",IF(OR(D5="No", D5="Limited", D5&lt;80), "Yes", "No"))</f>
        <v/>
      </c>
    </row>
    <row r="6">
      <c r="A6" s="6" t="inlineStr">
        <is>
          <t>Q92</t>
        </is>
      </c>
      <c r="B6" s="6" t="inlineStr">
        <is>
          <t>CSIRT Availability</t>
        </is>
      </c>
      <c r="C6" s="14" t="inlineStr">
        <is>
          <t>On-call response SLA?</t>
        </is>
      </c>
      <c r="D6" s="15" t="n"/>
      <c r="E6" s="15" t="n"/>
      <c r="F6" s="15" t="n"/>
      <c r="G6" s="16">
        <f>IF(D6="","",IF(OR(D6="No", D6="Limited", D6&lt;80), "Yes", "No"))</f>
        <v/>
      </c>
    </row>
    <row r="7">
      <c r="A7" s="6" t="inlineStr">
        <is>
          <t>Q93</t>
        </is>
      </c>
      <c r="B7" s="6" t="inlineStr">
        <is>
          <t>CSIRT Availability</t>
        </is>
      </c>
      <c r="C7" s="14" t="inlineStr">
        <is>
          <t>On-call escalation process?</t>
        </is>
      </c>
      <c r="D7" s="15" t="n"/>
      <c r="E7" s="15" t="n"/>
      <c r="F7" s="15" t="n"/>
      <c r="G7" s="16">
        <f>IF(D7="","",IF(OR(D7="No", D7="Limited", D7&lt;80), "Yes", "No"))</f>
        <v/>
      </c>
    </row>
    <row r="8">
      <c r="A8" s="6" t="inlineStr">
        <is>
          <t>Q94</t>
        </is>
      </c>
      <c r="B8" s="6" t="inlineStr">
        <is>
          <t>CSIRT Availability</t>
        </is>
      </c>
      <c r="C8" s="14" t="inlineStr">
        <is>
          <t>Weekend/holiday coverage?</t>
        </is>
      </c>
      <c r="D8" s="15" t="n"/>
      <c r="E8" s="15" t="n"/>
      <c r="F8" s="15" t="n"/>
      <c r="G8" s="16">
        <f>IF(D8="","",IF(OR(D8="No", D8="Limited", D8&lt;80), "Yes", "No"))</f>
        <v/>
      </c>
    </row>
    <row r="9">
      <c r="A9" s="6" t="inlineStr">
        <is>
          <t>Q95</t>
        </is>
      </c>
      <c r="B9" s="6" t="inlineStr">
        <is>
          <t>CSIRT Availability</t>
        </is>
      </c>
      <c r="C9" s="14" t="inlineStr">
        <is>
          <t>Surge capacity for multiple incidents?</t>
        </is>
      </c>
      <c r="D9" s="15" t="n"/>
      <c r="E9" s="15" t="n"/>
      <c r="F9" s="15" t="n"/>
      <c r="G9" s="16">
        <f>IF(D9="","",IF(OR(D9="No", D9="Limited", D9&lt;80), "Yes", "No"))</f>
        <v/>
      </c>
    </row>
    <row r="10">
      <c r="A10" s="6" t="inlineStr">
        <is>
          <t>Q96</t>
        </is>
      </c>
      <c r="B10" s="6" t="inlineStr">
        <is>
          <t>Tool Access</t>
        </is>
      </c>
      <c r="C10" s="14" t="inlineStr">
        <is>
          <t>After-hours tool access?</t>
        </is>
      </c>
      <c r="D10" s="15" t="n"/>
      <c r="E10" s="15" t="n"/>
      <c r="F10" s="15" t="n"/>
      <c r="G10" s="16">
        <f>IF(D10="","",IF(OR(D10="No", D10="Limited", D10&lt;80), "Yes", "No"))</f>
        <v/>
      </c>
    </row>
    <row r="11">
      <c r="A11" s="6" t="inlineStr">
        <is>
          <t>Q97</t>
        </is>
      </c>
      <c r="B11" s="6" t="inlineStr">
        <is>
          <t>Tool Access</t>
        </is>
      </c>
      <c r="C11" s="14" t="inlineStr">
        <is>
          <t>Remote response capability?</t>
        </is>
      </c>
      <c r="D11" s="15" t="n"/>
      <c r="E11" s="15" t="n"/>
      <c r="F11" s="15" t="n"/>
      <c r="G11" s="16">
        <f>IF(D11="","",IF(OR(D11="No", D11="Limited", D11&lt;80), "Yes", "No"))</f>
        <v/>
      </c>
    </row>
    <row r="12">
      <c r="A12" s="6" t="inlineStr">
        <is>
          <t>Q98</t>
        </is>
      </c>
      <c r="B12" s="6" t="inlineStr">
        <is>
          <t>Tool Access</t>
        </is>
      </c>
      <c r="C12" s="14" t="inlineStr">
        <is>
          <t>Emergency system access?</t>
        </is>
      </c>
      <c r="D12" s="15" t="n"/>
      <c r="E12" s="15" t="n"/>
      <c r="F12" s="15" t="n"/>
      <c r="G12" s="16">
        <f>IF(D12="","",IF(OR(D12="No", D12="Limited", D12&lt;80), "Yes", "No"))</f>
        <v/>
      </c>
    </row>
    <row r="13">
      <c r="A13" s="6" t="inlineStr">
        <is>
          <t>Q99</t>
        </is>
      </c>
      <c r="B13" s="6" t="inlineStr">
        <is>
          <t>Tool Access</t>
        </is>
      </c>
      <c r="C13" s="14" t="inlineStr">
        <is>
          <t>External partner tool access?</t>
        </is>
      </c>
      <c r="D13" s="15" t="n"/>
      <c r="E13" s="15" t="n"/>
      <c r="F13" s="15" t="n"/>
      <c r="G13" s="16">
        <f>IF(D13="","",IF(OR(D13="No", D13="Limited", D13&lt;80), "Yes", "No"))</f>
        <v/>
      </c>
    </row>
    <row r="14">
      <c r="A14" s="6" t="inlineStr">
        <is>
          <t>Q100</t>
        </is>
      </c>
      <c r="B14" s="6" t="inlineStr">
        <is>
          <t>Tool Access</t>
        </is>
      </c>
      <c r="C14" s="14" t="inlineStr">
        <is>
          <t>VPN capacity for mass remote work?</t>
        </is>
      </c>
      <c r="D14" s="15" t="n"/>
      <c r="E14" s="15" t="n"/>
      <c r="F14" s="15" t="n"/>
      <c r="G14" s="16">
        <f>IF(D14="","",IF(OR(D14="No", D14="Limited", D14&lt;80), "Yes", "No"))</f>
        <v/>
      </c>
    </row>
    <row r="15">
      <c r="A15" s="6" t="inlineStr">
        <is>
          <t>Q101</t>
        </is>
      </c>
      <c r="B15" s="6" t="inlineStr">
        <is>
          <t>Authority</t>
        </is>
      </c>
      <c r="C15" s="14" t="inlineStr">
        <is>
          <t>Emergency decision authority documented?</t>
        </is>
      </c>
      <c r="D15" s="15" t="n"/>
      <c r="E15" s="15" t="n"/>
      <c r="F15" s="15" t="n"/>
      <c r="G15" s="16">
        <f>IF(D15="","",IF(OR(D15="No", D15="Limited", D15&lt;80), "Yes", "No"))</f>
        <v/>
      </c>
    </row>
    <row r="16">
      <c r="A16" s="6" t="inlineStr">
        <is>
          <t>Q102</t>
        </is>
      </c>
      <c r="B16" s="6" t="inlineStr">
        <is>
          <t>Authority</t>
        </is>
      </c>
      <c r="C16" s="14" t="inlineStr">
        <is>
          <t>CSIRT business impact decision authority?</t>
        </is>
      </c>
      <c r="D16" s="15" t="n"/>
      <c r="E16" s="15" t="n"/>
      <c r="F16" s="15" t="n"/>
      <c r="G16" s="16">
        <f>IF(D16="","",IF(OR(D16="No", D16="Limited", D16&lt;80), "Yes", "No"))</f>
        <v/>
      </c>
    </row>
    <row r="17">
      <c r="A17" s="6" t="inlineStr">
        <is>
          <t>Q103</t>
        </is>
      </c>
      <c r="B17" s="6" t="inlineStr">
        <is>
          <t>Authority</t>
        </is>
      </c>
      <c r="C17" s="14" t="inlineStr">
        <is>
          <t>After-hours critical decision authority?</t>
        </is>
      </c>
      <c r="D17" s="15" t="n"/>
      <c r="E17" s="15" t="n"/>
      <c r="F17" s="15" t="n"/>
      <c r="G17" s="16">
        <f>IF(D17="","",IF(OR(D17="No", D17="Limited", D17&lt;80), "Yes", "No"))</f>
        <v/>
      </c>
    </row>
    <row r="18">
      <c r="A18" s="6" t="inlineStr">
        <is>
          <t>Q104</t>
        </is>
      </c>
      <c r="B18" s="6" t="inlineStr">
        <is>
          <t>Authority</t>
        </is>
      </c>
      <c r="C18" s="14" t="inlineStr">
        <is>
          <t>CSIRT spending authority?</t>
        </is>
      </c>
      <c r="D18" s="15" t="n"/>
      <c r="E18" s="15" t="n"/>
      <c r="F18" s="15" t="n"/>
      <c r="G18" s="16">
        <f>IF(D18="","",IF(OR(D18="No", D18="Limited", D18&lt;80), "Yes", "No"))</f>
        <v/>
      </c>
    </row>
    <row r="19">
      <c r="A19" s="6" t="inlineStr">
        <is>
          <t>Q105</t>
        </is>
      </c>
      <c r="B19" s="6" t="inlineStr">
        <is>
          <t>Authority</t>
        </is>
      </c>
      <c r="C19" s="14" t="inlineStr">
        <is>
          <t>Legal hold initiation authority?</t>
        </is>
      </c>
      <c r="D19" s="15" t="n"/>
      <c r="E19" s="15" t="n"/>
      <c r="F19" s="15" t="n"/>
      <c r="G19" s="16">
        <f>IF(D19="","",IF(OR(D19="No", D19="Limited", D19&lt;80), "Yes", "No"))</f>
        <v/>
      </c>
    </row>
    <row r="20">
      <c r="A20" s="6" t="inlineStr">
        <is>
          <t>Q106</t>
        </is>
      </c>
      <c r="B20" s="6" t="inlineStr">
        <is>
          <t>Budget</t>
        </is>
      </c>
      <c r="C20" s="14" t="inlineStr">
        <is>
          <t>IR budget allocated?</t>
        </is>
      </c>
      <c r="D20" s="15" t="n"/>
      <c r="E20" s="15" t="n"/>
      <c r="F20" s="15" t="n"/>
      <c r="G20" s="16">
        <f>IF(D20="","",IF(OR(D20="No", D20="Limited", D20&lt;80), "Yes", "No"))</f>
        <v/>
      </c>
    </row>
    <row r="21">
      <c r="A21" s="6" t="inlineStr">
        <is>
          <t>Q107</t>
        </is>
      </c>
      <c r="B21" s="6" t="inlineStr">
        <is>
          <t>Budget</t>
        </is>
      </c>
      <c r="C21" s="14" t="inlineStr">
        <is>
          <t>External IR retainer exists?</t>
        </is>
      </c>
      <c r="D21" s="15" t="n"/>
      <c r="E21" s="15" t="n"/>
      <c r="F21" s="15" t="n"/>
      <c r="G21" s="16">
        <f>IF(D21="","",IF(OR(D21="No", D21="Limited", D21&lt;80), "Yes", "No"))</f>
        <v/>
      </c>
    </row>
    <row r="22">
      <c r="A22" s="6" t="inlineStr">
        <is>
          <t>Q108</t>
        </is>
      </c>
      <c r="B22" s="6" t="inlineStr">
        <is>
          <t>Budget</t>
        </is>
      </c>
      <c r="C22" s="14" t="inlineStr">
        <is>
          <t>Forensic services available?</t>
        </is>
      </c>
      <c r="D22" s="15" t="n"/>
      <c r="E22" s="15" t="n"/>
      <c r="F22" s="15" t="n"/>
      <c r="G22" s="16">
        <f>IF(D22="","",IF(OR(D22="No", D22="Limited", D22&lt;80), "Yes", "No"))</f>
        <v/>
      </c>
    </row>
    <row r="23">
      <c r="A23" s="6" t="inlineStr">
        <is>
          <t>Q109</t>
        </is>
      </c>
      <c r="B23" s="6" t="inlineStr">
        <is>
          <t>Budget</t>
        </is>
      </c>
      <c r="C23" s="14" t="inlineStr">
        <is>
          <t>24/7 legal support available?</t>
        </is>
      </c>
      <c r="D23" s="15" t="n"/>
      <c r="E23" s="15" t="n"/>
      <c r="F23" s="15" t="n"/>
      <c r="G23" s="16">
        <f>IF(D23="","",IF(OR(D23="No", D23="Limited", D23&lt;80), "Yes", "No"))</f>
        <v/>
      </c>
    </row>
    <row r="24">
      <c r="A24" s="6" t="inlineStr">
        <is>
          <t>Q110</t>
        </is>
      </c>
      <c r="B24" s="6" t="inlineStr">
        <is>
          <t>Budget</t>
        </is>
      </c>
      <c r="C24" s="14" t="inlineStr">
        <is>
          <t>Cyber insurance coverage?</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PLAYBOOK EFFECTIVENESS</t>
        </is>
      </c>
    </row>
    <row r="2">
      <c r="A2" s="12" t="inlineStr">
        <is>
          <t>ISO/IEC 27001:2022 - Control A.5.24-28: Incident Management | Usage, Quality, Training, Testing, Automation, Improvement (15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Usage</t>
        </is>
      </c>
      <c r="C5" s="14" t="inlineStr">
        <is>
          <t>Playbook usage rate?</t>
        </is>
      </c>
      <c r="D5" s="15" t="n"/>
      <c r="E5" s="15" t="n"/>
      <c r="F5" s="15" t="n"/>
      <c r="G5" s="16">
        <f>IF(D5="","",IF(OR(D5="No", D5="Limited", D5&lt;80), "Yes", "No"))</f>
        <v/>
      </c>
    </row>
    <row r="6">
      <c r="A6" s="6" t="inlineStr">
        <is>
          <t>Q112</t>
        </is>
      </c>
      <c r="B6" s="6" t="inlineStr">
        <is>
          <t>Quality</t>
        </is>
      </c>
      <c r="C6" s="14" t="inlineStr">
        <is>
          <t>Playbooks comprehensive?</t>
        </is>
      </c>
      <c r="D6" s="15" t="n"/>
      <c r="E6" s="15" t="n"/>
      <c r="F6" s="15" t="n"/>
      <c r="G6" s="16">
        <f>IF(D6="","",IF(OR(D6="No", D6="Limited", D6&lt;80), "Yes", "No"))</f>
        <v/>
      </c>
    </row>
    <row r="7">
      <c r="A7" s="6" t="inlineStr">
        <is>
          <t>Q113</t>
        </is>
      </c>
      <c r="B7" s="6" t="inlineStr">
        <is>
          <t>Quality</t>
        </is>
      </c>
      <c r="C7" s="14" t="inlineStr">
        <is>
          <t>Playbooks accurate?</t>
        </is>
      </c>
      <c r="D7" s="15" t="n"/>
      <c r="E7" s="15" t="n"/>
      <c r="F7" s="15" t="n"/>
      <c r="G7" s="16">
        <f>IF(D7="","",IF(OR(D7="No", D7="Limited", D7&lt;80), "Yes", "No"))</f>
        <v/>
      </c>
    </row>
    <row r="8">
      <c r="A8" s="6" t="inlineStr">
        <is>
          <t>Q114</t>
        </is>
      </c>
      <c r="B8" s="6" t="inlineStr">
        <is>
          <t>Quality</t>
        </is>
      </c>
      <c r="C8" s="14" t="inlineStr">
        <is>
          <t>Playbooks updated after incidents?</t>
        </is>
      </c>
      <c r="D8" s="15" t="n"/>
      <c r="E8" s="15" t="n"/>
      <c r="F8" s="15" t="n"/>
      <c r="G8" s="16">
        <f>IF(D8="","",IF(OR(D8="No", D8="Limited", D8&lt;80), "Yes", "No"))</f>
        <v/>
      </c>
    </row>
    <row r="9">
      <c r="A9" s="6" t="inlineStr">
        <is>
          <t>Q115</t>
        </is>
      </c>
      <c r="B9" s="6" t="inlineStr">
        <is>
          <t>Quality</t>
        </is>
      </c>
      <c r="C9" s="14" t="inlineStr">
        <is>
          <t>Playbook accessibility during incidents?</t>
        </is>
      </c>
      <c r="D9" s="15" t="n"/>
      <c r="E9" s="15" t="n"/>
      <c r="F9" s="15" t="n"/>
      <c r="G9" s="16">
        <f>IF(D9="","",IF(OR(D9="No", D9="Limited", D9&lt;80), "Yes", "No"))</f>
        <v/>
      </c>
    </row>
    <row r="10">
      <c r="A10" s="6" t="inlineStr">
        <is>
          <t>Q116</t>
        </is>
      </c>
      <c r="B10" s="6" t="inlineStr">
        <is>
          <t>By Category</t>
        </is>
      </c>
      <c r="C10" s="14" t="inlineStr">
        <is>
          <t>Playbook: Ransomware - Quality?</t>
        </is>
      </c>
      <c r="D10" s="15" t="n"/>
      <c r="E10" s="15" t="n"/>
      <c r="F10" s="15" t="n"/>
      <c r="G10" s="16">
        <f>IF(D10="","",IF(OR(D10="No", D10="Limited", D10&lt;80), "Yes", "No"))</f>
        <v/>
      </c>
    </row>
    <row r="11">
      <c r="A11" s="6" t="inlineStr">
        <is>
          <t>Q117</t>
        </is>
      </c>
      <c r="B11" s="6" t="inlineStr">
        <is>
          <t>By Category</t>
        </is>
      </c>
      <c r="C11" s="14" t="inlineStr">
        <is>
          <t>Playbook: Phishing - Quality?</t>
        </is>
      </c>
      <c r="D11" s="15" t="n"/>
      <c r="E11" s="15" t="n"/>
      <c r="F11" s="15" t="n"/>
      <c r="G11" s="16">
        <f>IF(D11="","",IF(OR(D11="No", D11="Limited", D11&lt;80), "Yes", "No"))</f>
        <v/>
      </c>
    </row>
    <row r="12">
      <c r="A12" s="6" t="inlineStr">
        <is>
          <t>Q118</t>
        </is>
      </c>
      <c r="B12" s="6" t="inlineStr">
        <is>
          <t>By Category</t>
        </is>
      </c>
      <c r="C12" s="14" t="inlineStr">
        <is>
          <t>Playbook: Data Breach - Quality?</t>
        </is>
      </c>
      <c r="D12" s="15" t="n"/>
      <c r="E12" s="15" t="n"/>
      <c r="F12" s="15" t="n"/>
      <c r="G12" s="16">
        <f>IF(D12="","",IF(OR(D12="No", D12="Limited", D12&lt;80), "Yes", "No"))</f>
        <v/>
      </c>
    </row>
    <row r="13">
      <c r="A13" s="6" t="inlineStr">
        <is>
          <t>Q119</t>
        </is>
      </c>
      <c r="B13" s="6" t="inlineStr">
        <is>
          <t>By Category</t>
        </is>
      </c>
      <c r="C13" s="14" t="inlineStr">
        <is>
          <t>Playbook: Unauthorised Access - Quality?</t>
        </is>
      </c>
      <c r="D13" s="15" t="n"/>
      <c r="E13" s="15" t="n"/>
      <c r="F13" s="15" t="n"/>
      <c r="G13" s="16">
        <f>IF(D13="","",IF(OR(D13="No", D13="Limited", D13&lt;80), "Yes", "No"))</f>
        <v/>
      </c>
    </row>
    <row r="14">
      <c r="A14" s="6" t="inlineStr">
        <is>
          <t>Q120</t>
        </is>
      </c>
      <c r="B14" s="6" t="inlineStr">
        <is>
          <t>By Category</t>
        </is>
      </c>
      <c r="C14" s="14" t="inlineStr">
        <is>
          <t>Playbook: DDoS - Quality?</t>
        </is>
      </c>
      <c r="D14" s="15" t="n"/>
      <c r="E14" s="15" t="n"/>
      <c r="F14" s="15" t="n"/>
      <c r="G14" s="16">
        <f>IF(D14="","",IF(OR(D14="No", D14="Limited", D14&lt;80), "Yes", "No"))</f>
        <v/>
      </c>
    </row>
    <row r="15">
      <c r="A15" s="6" t="inlineStr">
        <is>
          <t>Q121</t>
        </is>
      </c>
      <c r="B15" s="6" t="inlineStr">
        <is>
          <t>Training</t>
        </is>
      </c>
      <c r="C15" s="14" t="inlineStr">
        <is>
          <t>Responders trained on playbooks?</t>
        </is>
      </c>
      <c r="D15" s="15" t="n"/>
      <c r="E15" s="15" t="n"/>
      <c r="F15" s="15" t="n"/>
      <c r="G15" s="16">
        <f>IF(D15="","",IF(OR(D15="No", D15="Limited", D15&lt;80), "Yes", "No"))</f>
        <v/>
      </c>
    </row>
    <row r="16">
      <c r="A16" s="6" t="inlineStr">
        <is>
          <t>Q122</t>
        </is>
      </c>
      <c r="B16" s="6" t="inlineStr">
        <is>
          <t>Testing</t>
        </is>
      </c>
      <c r="C16" s="14" t="inlineStr">
        <is>
          <t>Playbooks tested during exercises?</t>
        </is>
      </c>
      <c r="D16" s="15" t="n"/>
      <c r="E16" s="15" t="n"/>
      <c r="F16" s="15" t="n"/>
      <c r="G16" s="16">
        <f>IF(D16="","",IF(OR(D16="No", D16="Limited", D16&lt;80), "Yes", "No"))</f>
        <v/>
      </c>
    </row>
    <row r="17">
      <c r="A17" s="6" t="inlineStr">
        <is>
          <t>Q123</t>
        </is>
      </c>
      <c r="B17" s="6" t="inlineStr">
        <is>
          <t>Automation</t>
        </is>
      </c>
      <c r="C17" s="14" t="inlineStr">
        <is>
          <t>% playbook steps automated (SOAR)?</t>
        </is>
      </c>
      <c r="D17" s="15" t="n"/>
      <c r="E17" s="15" t="n"/>
      <c r="F17" s="15" t="n"/>
      <c r="G17" s="16">
        <f>IF(D17="","",IF(OR(D17="No", D17="Limited", D17&lt;80), "Yes", "No"))</f>
        <v/>
      </c>
    </row>
    <row r="18">
      <c r="A18" s="6" t="inlineStr">
        <is>
          <t>Q124</t>
        </is>
      </c>
      <c r="B18" s="6" t="inlineStr">
        <is>
          <t>Improvement</t>
        </is>
      </c>
      <c r="C18" s="14" t="inlineStr">
        <is>
          <t>Playbook deviations tracked?</t>
        </is>
      </c>
      <c r="D18" s="15" t="n"/>
      <c r="E18" s="15" t="n"/>
      <c r="F18" s="15" t="n"/>
      <c r="G18" s="16">
        <f>IF(D18="","",IF(OR(D18="No", D18="Limited", D18&lt;80), "Yes", "No"))</f>
        <v/>
      </c>
    </row>
    <row r="19">
      <c r="A19" s="6" t="inlineStr">
        <is>
          <t>Q125</t>
        </is>
      </c>
      <c r="B19" s="6" t="inlineStr">
        <is>
          <t>Improvement</t>
        </is>
      </c>
      <c r="C19" s="14" t="inlineStr">
        <is>
          <t>Playbook improvement process?</t>
        </is>
      </c>
      <c r="D19" s="15" t="n"/>
      <c r="E19" s="15" t="n"/>
      <c r="F19" s="15" t="n"/>
      <c r="G19" s="16">
        <f>IF(D19="","",IF(OR(D19="No", D19="Limited", D19&lt;80), "Yes", "No"))</f>
        <v/>
      </c>
    </row>
  </sheetData>
  <mergeCells count="2">
    <mergeCell ref="A2:G2"/>
    <mergeCell ref="A1:G1"/>
  </mergeCells>
  <dataValidations count="1">
    <dataValidation sqref="D5 D6 D7 D8 D9 D10 D11 D12 D13 D14 D15 D16 D17 D18 D19" showDropDown="0" showInputMessage="0" showErrorMessage="0" allowBlank="1" type="list">
      <formula1>"Yes,No,Partial,Limited,In-Progress,N/A"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Response Capabilities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Containment Capabilities</t>
        </is>
      </c>
      <c r="B5" s="25">
        <f>COUNTA('Containment Capabilities'!D5:D100)</f>
        <v/>
      </c>
      <c r="C5" s="25">
        <f>COUNTIF('Containment Capabilities'!G5:G100,"No")</f>
        <v/>
      </c>
      <c r="D5" s="25">
        <f>COUNTIF('Containment Capabilities'!G5:G100,"Yes")</f>
        <v/>
      </c>
      <c r="E5" s="25">
        <f>COUNTIF('Containment Capabilities'!D5:D100,"N/A")</f>
        <v/>
      </c>
      <c r="F5" s="25" t="inlineStr">
        <is>
          <t>85%</t>
        </is>
      </c>
      <c r="G5" s="26">
        <f>IFERROR(C5/(C5+D5)*100,0)</f>
        <v/>
      </c>
    </row>
    <row r="6">
      <c r="A6" s="25" t="inlineStr">
        <is>
          <t>Eradication &amp; Remediation</t>
        </is>
      </c>
      <c r="B6" s="25">
        <f>COUNTA('Eradication &amp; Remediation'!D5:D100)</f>
        <v/>
      </c>
      <c r="C6" s="25">
        <f>COUNTIF('Eradication &amp; Remediation'!G5:G100,"No")</f>
        <v/>
      </c>
      <c r="D6" s="25">
        <f>COUNTIF('Eradication &amp; Remediation'!G5:G100,"Yes")</f>
        <v/>
      </c>
      <c r="E6" s="25">
        <f>COUNTIF('Eradication &amp; Remediation'!D5:D100,"N/A")</f>
        <v/>
      </c>
      <c r="F6" s="25" t="inlineStr">
        <is>
          <t>85%</t>
        </is>
      </c>
      <c r="G6" s="26">
        <f>IFERROR(C6/(C6+D6)*100,0)</f>
        <v/>
      </c>
    </row>
    <row r="7">
      <c r="A7" s="25" t="inlineStr">
        <is>
          <t>Recovery &amp; Restoration</t>
        </is>
      </c>
      <c r="B7" s="25">
        <f>COUNTA('Recovery &amp; Restoration'!D5:D100)</f>
        <v/>
      </c>
      <c r="C7" s="25">
        <f>COUNTIF('Recovery &amp; Restoration'!G5:G100,"No")</f>
        <v/>
      </c>
      <c r="D7" s="25">
        <f>COUNTIF('Recovery &amp; Restoration'!G5:G100,"Yes")</f>
        <v/>
      </c>
      <c r="E7" s="25">
        <f>COUNTIF('Recovery &amp; Restoration'!D5:D100,"N/A")</f>
        <v/>
      </c>
      <c r="F7" s="25" t="inlineStr">
        <is>
          <t>85%</t>
        </is>
      </c>
      <c r="G7" s="26">
        <f>IFERROR(C7/(C7+D7)*100,0)</f>
        <v/>
      </c>
    </row>
    <row r="8">
      <c r="A8" s="25" t="inlineStr">
        <is>
          <t>Communication</t>
        </is>
      </c>
      <c r="B8" s="25">
        <f>COUNTA('Communication'!D5:D100)</f>
        <v/>
      </c>
      <c r="C8" s="25">
        <f>COUNTIF('Communication'!G5:G100,"No")</f>
        <v/>
      </c>
      <c r="D8" s="25">
        <f>COUNTIF('Communication'!G5:G100,"Yes")</f>
        <v/>
      </c>
      <c r="E8" s="25">
        <f>COUNTIF('Communication'!D5:D100,"N/A")</f>
        <v/>
      </c>
      <c r="F8" s="25" t="inlineStr">
        <is>
          <t>90%</t>
        </is>
      </c>
      <c r="G8" s="26">
        <f>IFERROR(C8/(C8+D8)*100,0)</f>
        <v/>
      </c>
    </row>
    <row r="9">
      <c r="A9" s="25" t="inlineStr">
        <is>
          <t>Resources &amp; Authority</t>
        </is>
      </c>
      <c r="B9" s="25">
        <f>COUNTA('Resources &amp; Authority'!D5:D100)</f>
        <v/>
      </c>
      <c r="C9" s="25">
        <f>COUNTIF('Resources &amp; Authority'!G5:G100,"No")</f>
        <v/>
      </c>
      <c r="D9" s="25">
        <f>COUNTIF('Resources &amp; Authority'!G5:G100,"Yes")</f>
        <v/>
      </c>
      <c r="E9" s="25">
        <f>COUNTIF('Resources &amp; Authority'!D5:D100,"N/A")</f>
        <v/>
      </c>
      <c r="F9" s="25" t="inlineStr">
        <is>
          <t>80%</t>
        </is>
      </c>
      <c r="G9" s="26">
        <f>IFERROR(C9/(C9+D9)*100,0)</f>
        <v/>
      </c>
    </row>
    <row r="10">
      <c r="A10" s="25" t="inlineStr">
        <is>
          <t>Playbook Effectiveness</t>
        </is>
      </c>
      <c r="B10" s="25">
        <f>COUNTA('Playbook Effectiveness'!D5:D100)</f>
        <v/>
      </c>
      <c r="C10" s="25">
        <f>COUNTIF('Playbook Effectiveness'!G5:G100,"No")</f>
        <v/>
      </c>
      <c r="D10" s="25">
        <f>COUNTIF('Playbook Effectiveness'!G5:G100,"Yes")</f>
        <v/>
      </c>
      <c r="E10" s="25">
        <f>COUNTIF('Playbook Effectiveness'!D5:D100,"N/A")</f>
        <v/>
      </c>
      <c r="F10" s="25" t="inlineStr">
        <is>
          <t>80%</t>
        </is>
      </c>
      <c r="G10" s="26">
        <f>IFERROR(C10/(C10+D10)*100,0)</f>
        <v/>
      </c>
    </row>
    <row r="11">
      <c r="A11" s="27" t="inlineStr">
        <is>
          <t>TOTAL</t>
        </is>
      </c>
      <c r="B11" s="27">
        <f>SUM(B5:B10)</f>
        <v/>
      </c>
      <c r="C11" s="27">
        <f>SUM(C5:C10)</f>
        <v/>
      </c>
      <c r="D11" s="27">
        <f>SUM(D5:D10)</f>
        <v/>
      </c>
      <c r="E11" s="27">
        <f>SUM(E5:E10)</f>
        <v/>
      </c>
      <c r="F11" s="27" t="inlineStr">
        <is>
          <t>—</t>
        </is>
      </c>
      <c r="G11" s="28">
        <f>IFERROR(AVERAGE(G5:G10),0)</f>
        <v/>
      </c>
    </row>
    <row r="13">
      <c r="A13" s="23" t="inlineStr">
        <is>
          <t>RESPONSE PERFORMANCE METRICS</t>
        </is>
      </c>
      <c r="B13" s="6" t="n"/>
      <c r="C13" s="6" t="n"/>
      <c r="D13" s="6" t="n"/>
      <c r="E13" s="6" t="n"/>
      <c r="F13" s="6" t="n"/>
      <c r="G13" s="6" t="n"/>
    </row>
    <row r="14">
      <c r="A14" s="29" t="inlineStr">
        <is>
          <t>Metric</t>
        </is>
      </c>
      <c r="B14" s="29" t="inlineStr">
        <is>
          <t>Value</t>
        </is>
      </c>
      <c r="C14" s="29" t="inlineStr">
        <is>
          <t>Target</t>
        </is>
      </c>
    </row>
    <row r="15">
      <c r="A15" s="25" t="inlineStr">
        <is>
          <t>Mean Time to Contain (MTTC)</t>
        </is>
      </c>
      <c r="B15" s="25">
        <f>'Containment Capabilities'!D28</f>
        <v/>
      </c>
      <c r="C15" s="25" t="inlineStr">
        <is>
          <t>≤4h</t>
        </is>
      </c>
    </row>
    <row r="16">
      <c r="A16" s="25" t="inlineStr">
        <is>
          <t>MTTC Critical Incidents</t>
        </is>
      </c>
      <c r="B16" s="25">
        <f>'Containment Capabilities'!D29</f>
        <v/>
      </c>
      <c r="C16" s="25" t="inlineStr">
        <is>
          <t>≤1h</t>
        </is>
      </c>
    </row>
    <row r="17">
      <c r="A17" s="25" t="inlineStr">
        <is>
          <t>Containment SLA Compliance</t>
        </is>
      </c>
      <c r="B17" s="25">
        <f>'Containment Capabilities'!D30</f>
        <v/>
      </c>
      <c r="C17" s="25" t="inlineStr">
        <is>
          <t>≥90%</t>
        </is>
      </c>
    </row>
    <row r="18">
      <c r="A18" s="25" t="inlineStr">
        <is>
          <t>Mean Time to Recover (MTTR)</t>
        </is>
      </c>
      <c r="B18" s="25">
        <f>'Recovery &amp; Restoration'!D68</f>
        <v/>
      </c>
      <c r="C18" s="25" t="inlineStr">
        <is>
          <t>≤24h</t>
        </is>
      </c>
    </row>
    <row r="19">
      <c r="A19" s="25" t="inlineStr">
        <is>
          <t>MTTR Critical Incidents</t>
        </is>
      </c>
      <c r="B19" s="25">
        <f>'Recovery &amp; Restoration'!D69</f>
        <v/>
      </c>
      <c r="C19" s="25" t="inlineStr">
        <is>
          <t>≤8h</t>
        </is>
      </c>
    </row>
    <row r="20">
      <c r="A20" s="25" t="inlineStr">
        <is>
          <t>Recovery Success Rate</t>
        </is>
      </c>
      <c r="B20" s="25">
        <f>'Recovery &amp; Restoration'!D70</f>
        <v/>
      </c>
      <c r="C20" s="25" t="inlineStr">
        <is>
          <t>≥95%</t>
        </is>
      </c>
    </row>
    <row r="21">
      <c r="A21" s="25" t="inlineStr">
        <is>
          <t>Playbook Usage Rate</t>
        </is>
      </c>
      <c r="B21" s="25">
        <f>'Playbook Effectiveness'!D111</f>
        <v/>
      </c>
      <c r="C21" s="25" t="inlineStr">
        <is>
          <t>≥80%</t>
        </is>
      </c>
    </row>
    <row r="22">
      <c r="A22" s="25" t="inlineStr">
        <is>
          <t>Playbook Automation Rate</t>
        </is>
      </c>
      <c r="B22" s="25">
        <f>'Playbook Effectiveness'!D123</f>
        <v/>
      </c>
      <c r="C22" s="25" t="inlineStr">
        <is>
          <t>≥30%</t>
        </is>
      </c>
    </row>
    <row r="24">
      <c r="A24" s="30" t="inlineStr">
        <is>
          <t>CRITICAL FINDINGS</t>
        </is>
      </c>
      <c r="B24" s="6" t="n"/>
      <c r="C24" s="6" t="n"/>
      <c r="D24" s="6" t="n"/>
      <c r="E24" s="6" t="n"/>
      <c r="F24" s="6" t="n"/>
      <c r="G24" s="6" t="n"/>
    </row>
    <row r="25">
      <c r="A25" s="29" t="inlineStr">
        <is>
          <t>Critical Finding</t>
        </is>
      </c>
      <c r="B25" s="29" t="inlineStr">
        <is>
          <t>Status</t>
        </is>
      </c>
      <c r="C25" s="29" t="inlineStr">
        <is>
          <t>Severity</t>
        </is>
      </c>
    </row>
    <row r="26">
      <c r="A26" s="31" t="inlineStr">
        <is>
          <t>Containment Capabilities &lt;70%</t>
        </is>
      </c>
      <c r="B26" s="31">
        <f>IF(G5&lt;70,"[!] Below Target","[OK]")</f>
        <v/>
      </c>
      <c r="C26" s="31" t="inlineStr">
        <is>
          <t>Critical</t>
        </is>
      </c>
    </row>
    <row r="27">
      <c r="A27" s="31" t="inlineStr">
        <is>
          <t>Eradication &amp; Remediation &lt;70%</t>
        </is>
      </c>
      <c r="B27" s="31">
        <f>IF(G6&lt;70,"[!] Below Target","[OK]")</f>
        <v/>
      </c>
      <c r="C27" s="31" t="inlineStr">
        <is>
          <t>Critical</t>
        </is>
      </c>
    </row>
    <row r="28">
      <c r="A28" s="31" t="inlineStr">
        <is>
          <t>Recovery &amp; Restoration &lt;70%</t>
        </is>
      </c>
      <c r="B28" s="31">
        <f>IF(G7&lt;70,"[!] Below Target","[OK]")</f>
        <v/>
      </c>
      <c r="C28" s="31" t="inlineStr">
        <is>
          <t>Critical</t>
        </is>
      </c>
    </row>
    <row r="29">
      <c r="A29" s="32" t="inlineStr">
        <is>
          <t>Communication &lt;70%</t>
        </is>
      </c>
      <c r="B29" s="32">
        <f>IF(G8&lt;70,"[!] Below Target","[OK]")</f>
        <v/>
      </c>
      <c r="C29" s="32" t="inlineStr">
        <is>
          <t>High</t>
        </is>
      </c>
    </row>
    <row r="30">
      <c r="A30" s="32" t="inlineStr">
        <is>
          <t>Resources &amp; Authority &lt;70%</t>
        </is>
      </c>
      <c r="B30" s="32">
        <f>IF(G9&lt;70,"[!] Below Target","[OK]")</f>
        <v/>
      </c>
      <c r="C30" s="32" t="inlineStr">
        <is>
          <t>High</t>
        </is>
      </c>
    </row>
    <row r="31">
      <c r="A31" s="32" t="inlineStr">
        <is>
          <t>Playbook Effectiveness &lt;70%</t>
        </is>
      </c>
      <c r="B31" s="32">
        <f>IF(G10&lt;70,"[!] Below Target","[OK]")</f>
        <v/>
      </c>
      <c r="C31" s="32" t="inlineStr">
        <is>
          <t>High</t>
        </is>
      </c>
    </row>
    <row r="32">
      <c r="A32" s="31" t="inlineStr">
        <is>
          <t>Overall response compliance &lt;70%</t>
        </is>
      </c>
      <c r="B32" s="31">
        <f>IF(G11&lt;70,"[!] Below Target","[OK]")</f>
        <v/>
      </c>
      <c r="C32" s="31" t="inlineStr">
        <is>
          <t>Critical</t>
        </is>
      </c>
    </row>
  </sheetData>
  <mergeCells count="5">
    <mergeCell ref="A13:G13"/>
    <mergeCell ref="A1:G1"/>
    <mergeCell ref="A3:G3"/>
    <mergeCell ref="A24:G24"/>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ISMS-IMP-A.5.24-28.S3 - Response Capabilities</t>
        </is>
      </c>
      <c r="C4" s="6" t="n"/>
      <c r="D4" s="6" t="n"/>
      <c r="E4" s="6" t="n"/>
    </row>
    <row r="5">
      <c r="A5" s="3" t="inlineStr">
        <is>
          <t>Assessment Period:</t>
        </is>
      </c>
      <c r="B5" s="15" t="inlineStr"/>
      <c r="C5" s="6" t="n"/>
      <c r="D5" s="6" t="n"/>
      <c r="E5" s="6" t="n"/>
    </row>
    <row r="6">
      <c r="A6" s="3" t="inlineStr">
        <is>
          <t>Overall Compliance Rating:</t>
        </is>
      </c>
      <c r="B6" s="36">
        <f>IFERROR(AVERAGE('Summary Dashboard'!G5:G10),"")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ISMS-IMP-A.5.24-28.S3 — Response Capabilities</dc:title>
  <dc:description xmlns:dc="http://purl.org/dc/elements/1.1/">ISMS Implementation Workbook — ISMS-IMP-A.5.24-28.S3</dc:description>
  <dc:subject xmlns:dc="http://purl.org/dc/elements/1.1/">ISO/IEC 27001:2022 — Control A.5.24-28: Incident Management</dc:subject>
  <dcterms:created xmlns:dcterms="http://purl.org/dc/terms/" xmlns:xsi="http://www.w3.org/2001/XMLSchema-instance" xsi:type="dcterms:W3CDTF">2026-03-01T09:50:22Z</dcterms:created>
  <dcterms:modified xmlns:dcterms="http://purl.org/dc/terms/" xmlns:xsi="http://www.w3.org/2001/XMLSchema-instance" xsi:type="dcterms:W3CDTF">2026-03-01T09:50:22Z</dcterms:modified>
</cp:coreProperties>
</file>