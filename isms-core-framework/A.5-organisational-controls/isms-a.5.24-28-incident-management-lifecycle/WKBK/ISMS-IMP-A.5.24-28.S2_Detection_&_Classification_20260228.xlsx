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tection Mechanisms" sheetId="2" state="visible" r:id="rId2"/>
    <sheet xmlns:r="http://schemas.openxmlformats.org/officeDocument/2006/relationships" name="Alert Handling" sheetId="3" state="visible" r:id="rId3"/>
    <sheet xmlns:r="http://schemas.openxmlformats.org/officeDocument/2006/relationships" name="Classification &amp; Severity" sheetId="4" state="visible" r:id="rId4"/>
    <sheet xmlns:r="http://schemas.openxmlformats.org/officeDocument/2006/relationships" name="Detection Effectiveness"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ISMS-IMP-A.5.24-28.S2  -  Detection &amp; Classification
ISO/IEC 27001:2022 - Control A.5.24-28: Incident Management</t>
        </is>
      </c>
    </row>
    <row r="3">
      <c r="A3" s="2" t="inlineStr">
        <is>
          <t>Document Information</t>
        </is>
      </c>
    </row>
    <row r="4">
      <c r="A4" s="3" t="inlineStr">
        <is>
          <t>Document ID</t>
        </is>
      </c>
      <c r="B4" t="inlineStr">
        <is>
          <t>ISMS-IMP-A.5.24-28.S2</t>
        </is>
      </c>
    </row>
    <row r="5">
      <c r="A5" s="3" t="inlineStr">
        <is>
          <t>Workbook Title</t>
        </is>
      </c>
      <c r="B5" t="inlineStr">
        <is>
          <t>Detection &amp; Classification</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MECHANISMS</t>
        </is>
      </c>
    </row>
    <row r="2">
      <c r="A2" s="12" t="inlineStr">
        <is>
          <t>ISO/IEC 27001:2022 - Control A.5.24-28: Incident Management | SIEM, EDR, IDS/IPS, NDR, User Reporting, Coverage by Threat Category (33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SIEM</t>
        </is>
      </c>
      <c r="C5" s="14" t="inlineStr">
        <is>
          <t>What SIEM platform(s) does [Organisation] use?</t>
        </is>
      </c>
      <c r="D5" s="15" t="n"/>
      <c r="E5" s="15" t="n"/>
      <c r="F5" s="15" t="n"/>
      <c r="G5" s="16">
        <f>IF(D5="","",IF(OR(D5="No", D5="Never", D5&lt;90), "Yes", "No"))</f>
        <v/>
      </c>
    </row>
    <row r="6">
      <c r="A6" s="6" t="inlineStr">
        <is>
          <t>Q2</t>
        </is>
      </c>
      <c r="B6" s="6" t="inlineStr">
        <is>
          <t>SIEM</t>
        </is>
      </c>
      <c r="C6" s="14" t="inlineStr">
        <is>
          <t>How many active detection rules/alerts are configured in the SIEM?</t>
        </is>
      </c>
      <c r="D6" s="15" t="n"/>
      <c r="E6" s="15" t="n"/>
      <c r="F6" s="15" t="n"/>
      <c r="G6" s="16">
        <f>IF(D6="","",IF(OR(D6="No", D6="Never", D6&lt;90), "Yes", "No"))</f>
        <v/>
      </c>
    </row>
    <row r="7">
      <c r="A7" s="6" t="inlineStr">
        <is>
          <t>Q3</t>
        </is>
      </c>
      <c r="B7" s="6" t="inlineStr">
        <is>
          <t>SIEM</t>
        </is>
      </c>
      <c r="C7" s="14" t="inlineStr">
        <is>
          <t>Which threat categories have SIEM detection rules?</t>
        </is>
      </c>
      <c r="D7" s="15" t="n"/>
      <c r="E7" s="15" t="n"/>
      <c r="F7" s="15" t="n"/>
      <c r="G7" s="16">
        <f>IF(D7="","",IF(OR(D7="No", D7="Never", D7&lt;90), "Yes", "No"))</f>
        <v/>
      </c>
    </row>
    <row r="8">
      <c r="A8" s="6" t="inlineStr">
        <is>
          <t>Q4</t>
        </is>
      </c>
      <c r="B8" s="6" t="inlineStr">
        <is>
          <t>SIEM</t>
        </is>
      </c>
      <c r="C8" s="14" t="inlineStr">
        <is>
          <t>How often are SIEM rules tuned to reduce false positives?</t>
        </is>
      </c>
      <c r="D8" s="15" t="n"/>
      <c r="E8" s="15" t="n"/>
      <c r="F8" s="15" t="n"/>
      <c r="G8" s="16">
        <f>IF(D8="","",IF(OR(D8="No", D8="Never", D8&lt;90), "Yes", "No"))</f>
        <v/>
      </c>
    </row>
    <row r="9">
      <c r="A9" s="6" t="inlineStr">
        <is>
          <t>Q5</t>
        </is>
      </c>
      <c r="B9" s="6" t="inlineStr">
        <is>
          <t>SIEM</t>
        </is>
      </c>
      <c r="C9" s="14" t="inlineStr">
        <is>
          <t>What percentage of SIEM rules are custom-developed (vs. vendor-provided)?</t>
        </is>
      </c>
      <c r="D9" s="15" t="n"/>
      <c r="E9" s="15" t="n"/>
      <c r="F9" s="15" t="n"/>
      <c r="G9" s="16">
        <f>IF(D9="","",IF(OR(D9="No", D9="Never", D9&lt;90), "Yes", "No"))</f>
        <v/>
      </c>
    </row>
    <row r="10">
      <c r="A10" s="6" t="inlineStr">
        <is>
          <t>Q6</t>
        </is>
      </c>
      <c r="B10" s="6" t="inlineStr">
        <is>
          <t>SIEM</t>
        </is>
      </c>
      <c r="C10" s="14" t="inlineStr">
        <is>
          <t>Is threat intelligence integrated into SIEM for automated alerting?</t>
        </is>
      </c>
      <c r="D10" s="15" t="n"/>
      <c r="E10" s="15" t="n"/>
      <c r="F10" s="15" t="n"/>
      <c r="G10" s="16">
        <f>IF(D10="","",IF(OR(D10="No", D10="Never", D10&lt;90), "Yes", "No"))</f>
        <v/>
      </c>
    </row>
    <row r="11">
      <c r="A11" s="6" t="inlineStr">
        <is>
          <t>Q7</t>
        </is>
      </c>
      <c r="B11" s="6" t="inlineStr">
        <is>
          <t>SIEM</t>
        </is>
      </c>
      <c r="C11" s="14" t="inlineStr">
        <is>
          <t>What is the average daily SIEM alert volume?</t>
        </is>
      </c>
      <c r="D11" s="15" t="n"/>
      <c r="E11" s="15" t="n"/>
      <c r="F11" s="15" t="n"/>
      <c r="G11" s="16">
        <f>IF(D11="","",IF(OR(D11="No", D11="Never", D11&lt;90), "Yes", "No"))</f>
        <v/>
      </c>
    </row>
    <row r="12">
      <c r="A12" s="6" t="inlineStr">
        <is>
          <t>Q8</t>
        </is>
      </c>
      <c r="B12" s="6" t="inlineStr">
        <is>
          <t>SIEM</t>
        </is>
      </c>
      <c r="C12" s="14" t="inlineStr">
        <is>
          <t>How many log sources feed the SIEM?</t>
        </is>
      </c>
      <c r="D12" s="15" t="n"/>
      <c r="E12" s="15" t="n"/>
      <c r="F12" s="15" t="n"/>
      <c r="G12" s="16">
        <f>IF(D12="","",IF(OR(D12="No", D12="Never", D12&lt;90), "Yes", "No"))</f>
        <v/>
      </c>
    </row>
    <row r="13">
      <c r="A13" s="6" t="inlineStr">
        <is>
          <t>Q9</t>
        </is>
      </c>
      <c r="B13" s="6" t="inlineStr">
        <is>
          <t>EDR</t>
        </is>
      </c>
      <c r="C13" s="14" t="inlineStr">
        <is>
          <t>Is EDR or XDR deployed?</t>
        </is>
      </c>
      <c r="D13" s="15" t="n"/>
      <c r="E13" s="15" t="n"/>
      <c r="F13" s="15" t="n"/>
      <c r="G13" s="16">
        <f>IF(D13="","",IF(OR(D13="No", D13="Never", D13&lt;90), "Yes", "No"))</f>
        <v/>
      </c>
    </row>
    <row r="14">
      <c r="A14" s="6" t="inlineStr">
        <is>
          <t>Q10</t>
        </is>
      </c>
      <c r="B14" s="6" t="inlineStr">
        <is>
          <t>EDR</t>
        </is>
      </c>
      <c r="C14" s="14" t="inlineStr">
        <is>
          <t>What percentage of endpoints have EDR agent deployed?</t>
        </is>
      </c>
      <c r="D14" s="15" t="n"/>
      <c r="E14" s="15" t="n"/>
      <c r="F14" s="15" t="n"/>
      <c r="G14" s="16">
        <f>IF(D14="","",IF(OR(D14="No", D14="Never", D14&lt;90), "Yes", "No"))</f>
        <v/>
      </c>
    </row>
    <row r="15">
      <c r="A15" s="6" t="inlineStr">
        <is>
          <t>Q11</t>
        </is>
      </c>
      <c r="B15" s="6" t="inlineStr">
        <is>
          <t>EDR</t>
        </is>
      </c>
      <c r="C15" s="14" t="inlineStr">
        <is>
          <t>What types of EDR alerts are enabled?</t>
        </is>
      </c>
      <c r="D15" s="15" t="n"/>
      <c r="E15" s="15" t="n"/>
      <c r="F15" s="15" t="n"/>
      <c r="G15" s="16">
        <f>IF(D15="","",IF(OR(D15="No", D15="Never", D15&lt;90), "Yes", "No"))</f>
        <v/>
      </c>
    </row>
    <row r="16">
      <c r="A16" s="6" t="inlineStr">
        <is>
          <t>Q12</t>
        </is>
      </c>
      <c r="B16" s="6" t="inlineStr">
        <is>
          <t>EDR</t>
        </is>
      </c>
      <c r="C16" s="14" t="inlineStr">
        <is>
          <t>Does EDR support automated response actions?</t>
        </is>
      </c>
      <c r="D16" s="15" t="n"/>
      <c r="E16" s="15" t="n"/>
      <c r="F16" s="15" t="n"/>
      <c r="G16" s="16">
        <f>IF(D16="","",IF(OR(D16="No", D16="Never", D16&lt;90), "Yes", "No"))</f>
        <v/>
      </c>
    </row>
    <row r="17">
      <c r="A17" s="6" t="inlineStr">
        <is>
          <t>Q13</t>
        </is>
      </c>
      <c r="B17" s="6" t="inlineStr">
        <is>
          <t>EDR</t>
        </is>
      </c>
      <c r="C17" s="14" t="inlineStr">
        <is>
          <t>How long does EDR retain forensic data?</t>
        </is>
      </c>
      <c r="D17" s="15" t="n"/>
      <c r="E17" s="15" t="n"/>
      <c r="F17" s="15" t="n"/>
      <c r="G17" s="16">
        <f>IF(D17="","",IF(OR(D17="No", D17="Never", D17&lt;90), "Yes", "No"))</f>
        <v/>
      </c>
    </row>
    <row r="18">
      <c r="A18" s="6" t="inlineStr">
        <is>
          <t>Q14</t>
        </is>
      </c>
      <c r="B18" s="6" t="inlineStr">
        <is>
          <t>Network Detection</t>
        </is>
      </c>
      <c r="C18" s="14" t="inlineStr">
        <is>
          <t>Is IDS/IPS deployed?</t>
        </is>
      </c>
      <c r="D18" s="15" t="n"/>
      <c r="E18" s="15" t="n"/>
      <c r="F18" s="15" t="n"/>
      <c r="G18" s="16">
        <f>IF(D18="","",IF(OR(D18="No", D18="Never", D18&lt;90), "Yes", "No"))</f>
        <v/>
      </c>
    </row>
    <row r="19">
      <c r="A19" s="6" t="inlineStr">
        <is>
          <t>Q15</t>
        </is>
      </c>
      <c r="B19" s="6" t="inlineStr">
        <is>
          <t>Network Detection</t>
        </is>
      </c>
      <c r="C19" s="14" t="inlineStr">
        <is>
          <t>Where is IDS/IPS deployed?</t>
        </is>
      </c>
      <c r="D19" s="15" t="n"/>
      <c r="E19" s="15" t="n"/>
      <c r="F19" s="15" t="n"/>
      <c r="G19" s="16">
        <f>IF(D19="","",IF(OR(D19="No", D19="Never", D19&lt;90), "Yes", "No"))</f>
        <v/>
      </c>
    </row>
    <row r="20">
      <c r="A20" s="6" t="inlineStr">
        <is>
          <t>Q16</t>
        </is>
      </c>
      <c r="B20" s="6" t="inlineStr">
        <is>
          <t>Network Detection</t>
        </is>
      </c>
      <c r="C20" s="14" t="inlineStr">
        <is>
          <t>How frequently are IDS/IPS signatures updated?</t>
        </is>
      </c>
      <c r="D20" s="15" t="n"/>
      <c r="E20" s="15" t="n"/>
      <c r="F20" s="15" t="n"/>
      <c r="G20" s="16">
        <f>IF(D20="","",IF(OR(D20="No", D20="Never", D20&lt;90), "Yes", "No"))</f>
        <v/>
      </c>
    </row>
    <row r="21">
      <c r="A21" s="6" t="inlineStr">
        <is>
          <t>Q17</t>
        </is>
      </c>
      <c r="B21" s="6" t="inlineStr">
        <is>
          <t>Network Detection</t>
        </is>
      </c>
      <c r="C21" s="14" t="inlineStr">
        <is>
          <t>Is NDR/NTA deployed?</t>
        </is>
      </c>
      <c r="D21" s="15" t="n"/>
      <c r="E21" s="15" t="n"/>
      <c r="F21" s="15" t="n"/>
      <c r="G21" s="16">
        <f>IF(D21="","",IF(OR(D21="No", D21="Never", D21&lt;90), "Yes", "No"))</f>
        <v/>
      </c>
    </row>
    <row r="22">
      <c r="A22" s="6" t="inlineStr">
        <is>
          <t>Q18</t>
        </is>
      </c>
      <c r="B22" s="6" t="inlineStr">
        <is>
          <t>Other Detection</t>
        </is>
      </c>
      <c r="C22" s="14" t="inlineStr">
        <is>
          <t>Is there a user reporting mechanism (A.6.8)?</t>
        </is>
      </c>
      <c r="D22" s="15" t="n"/>
      <c r="E22" s="15" t="n"/>
      <c r="F22" s="15" t="n"/>
      <c r="G22" s="16">
        <f>IF(D22="","",IF(OR(D22="No", D22="Never", D22&lt;90), "Yes", "No"))</f>
        <v/>
      </c>
    </row>
    <row r="23">
      <c r="A23" s="6" t="inlineStr">
        <is>
          <t>Q19</t>
        </is>
      </c>
      <c r="B23" s="6" t="inlineStr">
        <is>
          <t>Other Detection</t>
        </is>
      </c>
      <c r="C23" s="14" t="inlineStr">
        <is>
          <t>Average monthly user-reported events?</t>
        </is>
      </c>
      <c r="D23" s="15" t="n"/>
      <c r="E23" s="15" t="n"/>
      <c r="F23" s="15" t="n"/>
      <c r="G23" s="16">
        <f>IF(D23="","",IF(OR(D23="No", D23="Never", D23&lt;90), "Yes", "No"))</f>
        <v/>
      </c>
    </row>
    <row r="24">
      <c r="A24" s="6" t="inlineStr">
        <is>
          <t>Q20</t>
        </is>
      </c>
      <c r="B24" s="6" t="inlineStr">
        <is>
          <t>Other Detection</t>
        </is>
      </c>
      <c r="C24" s="14" t="inlineStr">
        <is>
          <t>Does DLP generate security alerts?</t>
        </is>
      </c>
      <c r="D24" s="15" t="n"/>
      <c r="E24" s="15" t="n"/>
      <c r="F24" s="15" t="n"/>
      <c r="G24" s="16">
        <f>IF(D24="","",IF(OR(D24="No", D24="Never", D24&lt;90), "Yes", "No"))</f>
        <v/>
      </c>
    </row>
    <row r="25">
      <c r="A25" s="6" t="inlineStr">
        <is>
          <t>Q21</t>
        </is>
      </c>
      <c r="B25" s="6" t="inlineStr">
        <is>
          <t>Other Detection</t>
        </is>
      </c>
      <c r="C25" s="14" t="inlineStr">
        <is>
          <t>Does CASB generate security alerts?</t>
        </is>
      </c>
      <c r="D25" s="15" t="n"/>
      <c r="E25" s="15" t="n"/>
      <c r="F25" s="15" t="n"/>
      <c r="G25" s="16">
        <f>IF(D25="","",IF(OR(D25="No", D25="Never", D25&lt;90), "Yes", "No"))</f>
        <v/>
      </c>
    </row>
    <row r="26">
      <c r="A26" s="6" t="inlineStr">
        <is>
          <t>Q22</t>
        </is>
      </c>
      <c r="B26" s="6" t="inlineStr">
        <is>
          <t>Other Detection</t>
        </is>
      </c>
      <c r="C26" s="14" t="inlineStr">
        <is>
          <t>Are honeypots/deception deployed?</t>
        </is>
      </c>
      <c r="D26" s="15" t="n"/>
      <c r="E26" s="15" t="n"/>
      <c r="F26" s="15" t="n"/>
      <c r="G26" s="16">
        <f>IF(D26="","",IF(OR(D26="No", D26="Never", D26&lt;90), "Yes", "No"))</f>
        <v/>
      </c>
    </row>
    <row r="27">
      <c r="A27" s="6" t="inlineStr">
        <is>
          <t>Q23</t>
        </is>
      </c>
      <c r="B27" s="6" t="inlineStr">
        <is>
          <t>Coverage</t>
        </is>
      </c>
      <c r="C27" s="14" t="inlineStr">
        <is>
          <t>Category 1: Malware Detection</t>
        </is>
      </c>
      <c r="D27" s="15" t="n"/>
      <c r="E27" s="15" t="n"/>
      <c r="F27" s="15" t="n"/>
      <c r="G27" s="16">
        <f>IF(D27="","",IF(OR(D27="No", D27="Never", D27&lt;90), "Yes", "No"))</f>
        <v/>
      </c>
    </row>
    <row r="28">
      <c r="A28" s="6" t="inlineStr">
        <is>
          <t>Q24</t>
        </is>
      </c>
      <c r="B28" s="6" t="inlineStr">
        <is>
          <t>Coverage</t>
        </is>
      </c>
      <c r="C28" s="14" t="inlineStr">
        <is>
          <t>Category 2: Unauthorised Access Detection</t>
        </is>
      </c>
      <c r="D28" s="15" t="n"/>
      <c r="E28" s="15" t="n"/>
      <c r="F28" s="15" t="n"/>
      <c r="G28" s="16">
        <f>IF(D28="","",IF(OR(D28="No", D28="Never", D28&lt;90), "Yes", "No"))</f>
        <v/>
      </c>
    </row>
    <row r="29">
      <c r="A29" s="6" t="inlineStr">
        <is>
          <t>Q25</t>
        </is>
      </c>
      <c r="B29" s="6" t="inlineStr">
        <is>
          <t>Coverage</t>
        </is>
      </c>
      <c r="C29" s="14" t="inlineStr">
        <is>
          <t>Category 3: Data Breach Detection</t>
        </is>
      </c>
      <c r="D29" s="15" t="n"/>
      <c r="E29" s="15" t="n"/>
      <c r="F29" s="15" t="n"/>
      <c r="G29" s="16">
        <f>IF(D29="","",IF(OR(D29="No", D29="Never", D29&lt;90), "Yes", "No"))</f>
        <v/>
      </c>
    </row>
    <row r="30">
      <c r="A30" s="6" t="inlineStr">
        <is>
          <t>Q26</t>
        </is>
      </c>
      <c r="B30" s="6" t="inlineStr">
        <is>
          <t>Coverage</t>
        </is>
      </c>
      <c r="C30" s="14" t="inlineStr">
        <is>
          <t>Category 4: DoS Detection</t>
        </is>
      </c>
      <c r="D30" s="15" t="n"/>
      <c r="E30" s="15" t="n"/>
      <c r="F30" s="15" t="n"/>
      <c r="G30" s="16">
        <f>IF(D30="","",IF(OR(D30="No", D30="Never", D30&lt;90), "Yes", "No"))</f>
        <v/>
      </c>
    </row>
    <row r="31">
      <c r="A31" s="6" t="inlineStr">
        <is>
          <t>Q27</t>
        </is>
      </c>
      <c r="B31" s="6" t="inlineStr">
        <is>
          <t>Coverage</t>
        </is>
      </c>
      <c r="C31" s="14" t="inlineStr">
        <is>
          <t>Category 5: Social Engineering Detection</t>
        </is>
      </c>
      <c r="D31" s="15" t="n"/>
      <c r="E31" s="15" t="n"/>
      <c r="F31" s="15" t="n"/>
      <c r="G31" s="16">
        <f>IF(D31="","",IF(OR(D31="No", D31="Never", D31&lt;90), "Yes", "No"))</f>
        <v/>
      </c>
    </row>
    <row r="32">
      <c r="A32" s="6" t="inlineStr">
        <is>
          <t>Q28</t>
        </is>
      </c>
      <c r="B32" s="6" t="inlineStr">
        <is>
          <t>Coverage</t>
        </is>
      </c>
      <c r="C32" s="14" t="inlineStr">
        <is>
          <t>Category 6: Web Attack Detection</t>
        </is>
      </c>
      <c r="D32" s="15" t="n"/>
      <c r="E32" s="15" t="n"/>
      <c r="F32" s="15" t="n"/>
      <c r="G32" s="16">
        <f>IF(D32="","",IF(OR(D32="No", D32="Never", D32&lt;90), "Yes", "No"))</f>
        <v/>
      </c>
    </row>
    <row r="33">
      <c r="A33" s="6" t="inlineStr">
        <is>
          <t>Q29</t>
        </is>
      </c>
      <c r="B33" s="6" t="inlineStr">
        <is>
          <t>Coverage</t>
        </is>
      </c>
      <c r="C33" s="14" t="inlineStr">
        <is>
          <t>Category 7: Network Attack Detection</t>
        </is>
      </c>
      <c r="D33" s="15" t="n"/>
      <c r="E33" s="15" t="n"/>
      <c r="F33" s="15" t="n"/>
      <c r="G33" s="16">
        <f>IF(D33="","",IF(OR(D33="No", D33="Never", D33&lt;90), "Yes", "No"))</f>
        <v/>
      </c>
    </row>
    <row r="34">
      <c r="A34" s="6" t="inlineStr">
        <is>
          <t>Q30</t>
        </is>
      </c>
      <c r="B34" s="6" t="inlineStr">
        <is>
          <t>Coverage</t>
        </is>
      </c>
      <c r="C34" s="14" t="inlineStr">
        <is>
          <t>Category 8: Endpoint Compromise Detection</t>
        </is>
      </c>
      <c r="D34" s="15" t="n"/>
      <c r="E34" s="15" t="n"/>
      <c r="F34" s="15" t="n"/>
      <c r="G34" s="16">
        <f>IF(D34="","",IF(OR(D34="No", D34="Never", D34&lt;90), "Yes", "No"))</f>
        <v/>
      </c>
    </row>
    <row r="35">
      <c r="A35" s="6" t="inlineStr">
        <is>
          <t>Q31</t>
        </is>
      </c>
      <c r="B35" s="6" t="inlineStr">
        <is>
          <t>Coverage</t>
        </is>
      </c>
      <c r="C35" s="14" t="inlineStr">
        <is>
          <t>Category 9: Physical Security Detection</t>
        </is>
      </c>
      <c r="D35" s="15" t="n"/>
      <c r="E35" s="15" t="n"/>
      <c r="F35" s="15" t="n"/>
      <c r="G35" s="16">
        <f>IF(D35="","",IF(OR(D35="No", D35="Never", D35&lt;90), "Yes", "No"))</f>
        <v/>
      </c>
    </row>
    <row r="36">
      <c r="A36" s="6" t="inlineStr">
        <is>
          <t>Q32</t>
        </is>
      </c>
      <c r="B36" s="6" t="inlineStr">
        <is>
          <t>Coverage</t>
        </is>
      </c>
      <c r="C36" s="14" t="inlineStr">
        <is>
          <t>Category 10: Config/Patch Detection</t>
        </is>
      </c>
      <c r="D36" s="15" t="n"/>
      <c r="E36" s="15" t="n"/>
      <c r="F36" s="15" t="n"/>
      <c r="G36" s="16">
        <f>IF(D36="","",IF(OR(D36="No", D36="Never", D36&lt;90), "Yes", "No"))</f>
        <v/>
      </c>
    </row>
    <row r="37">
      <c r="A37" s="6" t="inlineStr">
        <is>
          <t>Q33</t>
        </is>
      </c>
      <c r="B37" s="6" t="inlineStr">
        <is>
          <t>Coverage</t>
        </is>
      </c>
      <c r="C37" s="14" t="inlineStr">
        <is>
          <t>Category 11: Other Detection</t>
        </is>
      </c>
      <c r="D37" s="15" t="n"/>
      <c r="E37" s="15" t="n"/>
      <c r="F37" s="15" t="n"/>
      <c r="G37" s="16">
        <f>IF(D37="","",IF(OR(D37="No", D37="Never", D37&lt;90), "Yes", "No"))</f>
        <v/>
      </c>
    </row>
  </sheetData>
  <mergeCells count="2">
    <mergeCell ref="A2:G2"/>
    <mergeCell ref="A1:G1"/>
  </mergeCells>
  <dataValidations count="1">
    <dataValidation sqref="D5 D6 D7 D8 D9 D10 D11 D12 D13 D14 D15 D16 D17 D18 D19 D20 D21 D22 D23 D24 D25 D26 D27 D28 D29 D30 D31 D32 D33 D34 D35 D36 D37" showDropDown="0" showInputMessage="0" showErrorMessage="0" allowBlank="1" type="list">
      <formula1>"Yes,No,Partial,Never,In-Progress,N/A"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ALERT HANDLING</t>
        </is>
      </c>
    </row>
    <row r="2">
      <c r="A2" s="12" t="inlineStr">
        <is>
          <t>ISO/IEC 27001:2022 - Control A.5.24-28: Incident Management | Triage, Investigation, Escalation, Analyst Capacity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Q34</t>
        </is>
      </c>
      <c r="B5" s="6" t="inlineStr">
        <is>
          <t>Triage</t>
        </is>
      </c>
      <c r="C5" s="14" t="inlineStr">
        <is>
          <t>Are alert triage procedures documented?</t>
        </is>
      </c>
      <c r="D5" s="15" t="n"/>
      <c r="E5" s="15" t="n"/>
      <c r="F5" s="15" t="n"/>
      <c r="G5" s="16">
        <f>IF(D5="","",IF(OR(D5="No", D5="Informal", D5&lt;80), "Yes", "No"))</f>
        <v/>
      </c>
    </row>
    <row r="6">
      <c r="A6" s="6" t="inlineStr">
        <is>
          <t>Q35</t>
        </is>
      </c>
      <c r="B6" s="6" t="inlineStr">
        <is>
          <t>Triage</t>
        </is>
      </c>
      <c r="C6" s="14" t="inlineStr">
        <is>
          <t>Are triage time SLAs defined for each severity?</t>
        </is>
      </c>
      <c r="D6" s="15" t="n"/>
      <c r="E6" s="15" t="n"/>
      <c r="F6" s="15" t="n"/>
      <c r="G6" s="16">
        <f>IF(D6="","",IF(OR(D6="No", D6="Informal", D6&lt;80), "Yes", "No"))</f>
        <v/>
      </c>
    </row>
    <row r="7">
      <c r="A7" s="6" t="inlineStr">
        <is>
          <t>Q36</t>
        </is>
      </c>
      <c r="B7" s="6" t="inlineStr">
        <is>
          <t>Triage</t>
        </is>
      </c>
      <c r="C7" s="14" t="inlineStr">
        <is>
          <t>Percentage of alerts triaged within SLA? (90 days)</t>
        </is>
      </c>
      <c r="D7" s="15" t="n"/>
      <c r="E7" s="15" t="n"/>
      <c r="F7" s="15" t="n"/>
      <c r="G7" s="16">
        <f>IF(D7="","",IF(OR(D7="No", D7="Informal", D7&lt;80), "Yes", "No"))</f>
        <v/>
      </c>
    </row>
    <row r="8">
      <c r="A8" s="6" t="inlineStr">
        <is>
          <t>Q37</t>
        </is>
      </c>
      <c r="B8" s="6" t="inlineStr">
        <is>
          <t>Triage</t>
        </is>
      </c>
      <c r="C8" s="14" t="inlineStr">
        <is>
          <t>How are alerts prioritised in queue?</t>
        </is>
      </c>
      <c r="D8" s="15" t="n"/>
      <c r="E8" s="15" t="n"/>
      <c r="F8" s="15" t="n"/>
      <c r="G8" s="16">
        <f>IF(D8="","",IF(OR(D8="No", D8="Informal", D8&lt;80), "Yes", "No"))</f>
        <v/>
      </c>
    </row>
    <row r="9">
      <c r="A9" s="6" t="inlineStr">
        <is>
          <t>Q38</t>
        </is>
      </c>
      <c r="B9" s="6" t="inlineStr">
        <is>
          <t>Triage</t>
        </is>
      </c>
      <c r="C9" s="14" t="inlineStr">
        <is>
          <t>Documented shift handoff process?</t>
        </is>
      </c>
      <c r="D9" s="15" t="n"/>
      <c r="E9" s="15" t="n"/>
      <c r="F9" s="15" t="n"/>
      <c r="G9" s="16">
        <f>IF(D9="","",IF(OR(D9="No", D9="Informal", D9&lt;80), "Yes", "No"))</f>
        <v/>
      </c>
    </row>
    <row r="10">
      <c r="A10" s="6" t="inlineStr">
        <is>
          <t>Q39</t>
        </is>
      </c>
      <c r="B10" s="6" t="inlineStr">
        <is>
          <t>Triage</t>
        </is>
      </c>
      <c r="C10" s="14" t="inlineStr">
        <is>
          <t>Do analysts receive triage training?</t>
        </is>
      </c>
      <c r="D10" s="15" t="n"/>
      <c r="E10" s="15" t="n"/>
      <c r="F10" s="15" t="n"/>
      <c r="G10" s="16">
        <f>IF(D10="","",IF(OR(D10="No", D10="Informal", D10&lt;80), "Yes", "No"))</f>
        <v/>
      </c>
    </row>
    <row r="11">
      <c r="A11" s="6" t="inlineStr">
        <is>
          <t>Q40</t>
        </is>
      </c>
      <c r="B11" s="6" t="inlineStr">
        <is>
          <t>Triage</t>
        </is>
      </c>
      <c r="C11" s="14" t="inlineStr">
        <is>
          <t>What tools for alert triage?</t>
        </is>
      </c>
      <c r="D11" s="15" t="n"/>
      <c r="E11" s="15" t="n"/>
      <c r="F11" s="15" t="n"/>
      <c r="G11" s="16">
        <f>IF(D11="","",IF(OR(D11="No", D11="Informal", D11&lt;80), "Yes", "No"))</f>
        <v/>
      </c>
    </row>
    <row r="12">
      <c r="A12" s="6" t="inlineStr">
        <is>
          <t>Q41</t>
        </is>
      </c>
      <c r="B12" s="6" t="inlineStr">
        <is>
          <t>Playbooks</t>
        </is>
      </c>
      <c r="C12" s="14" t="inlineStr">
        <is>
          <t>Are investigation playbooks documented?</t>
        </is>
      </c>
      <c r="D12" s="15" t="n"/>
      <c r="E12" s="15" t="n"/>
      <c r="F12" s="15" t="n"/>
      <c r="G12" s="16">
        <f>IF(D12="","",IF(OR(D12="No", D12="Informal", D12&lt;80), "Yes", "No"))</f>
        <v/>
      </c>
    </row>
    <row r="13">
      <c r="A13" s="6" t="inlineStr">
        <is>
          <t>Q42</t>
        </is>
      </c>
      <c r="B13" s="6" t="inlineStr">
        <is>
          <t>Playbooks</t>
        </is>
      </c>
      <c r="C13" s="14" t="inlineStr">
        <is>
          <t>Which categories have playbooks?</t>
        </is>
      </c>
      <c r="D13" s="15" t="n"/>
      <c r="E13" s="15" t="n"/>
      <c r="F13" s="15" t="n"/>
      <c r="G13" s="16">
        <f>IF(D13="","",IF(OR(D13="No", D13="Informal", D13&lt;80), "Yes", "No"))</f>
        <v/>
      </c>
    </row>
    <row r="14">
      <c r="A14" s="6" t="inlineStr">
        <is>
          <t>Q43</t>
        </is>
      </c>
      <c r="B14" s="6" t="inlineStr">
        <is>
          <t>Playbooks</t>
        </is>
      </c>
      <c r="C14" s="14" t="inlineStr">
        <is>
          <t>Playbook format?</t>
        </is>
      </c>
      <c r="D14" s="15" t="n"/>
      <c r="E14" s="15" t="n"/>
      <c r="F14" s="15" t="n"/>
      <c r="G14" s="16">
        <f>IF(D14="","",IF(OR(D14="No", D14="Informal", D14&lt;80), "Yes", "No"))</f>
        <v/>
      </c>
    </row>
    <row r="15">
      <c r="A15" s="6" t="inlineStr">
        <is>
          <t>Q44</t>
        </is>
      </c>
      <c r="B15" s="6" t="inlineStr">
        <is>
          <t>Playbooks</t>
        </is>
      </c>
      <c r="C15" s="14" t="inlineStr">
        <is>
          <t>Playbook update frequency?</t>
        </is>
      </c>
      <c r="D15" s="15" t="n"/>
      <c r="E15" s="15" t="n"/>
      <c r="F15" s="15" t="n"/>
      <c r="G15" s="16">
        <f>IF(D15="","",IF(OR(D15="No", D15="Informal", D15&lt;80), "Yes", "No"))</f>
        <v/>
      </c>
    </row>
    <row r="16">
      <c r="A16" s="6" t="inlineStr">
        <is>
          <t>Q45</t>
        </is>
      </c>
      <c r="B16" s="6" t="inlineStr">
        <is>
          <t>Playbooks</t>
        </is>
      </c>
      <c r="C16" s="14" t="inlineStr">
        <is>
          <t>Playbook: Malware/Ransomware</t>
        </is>
      </c>
      <c r="D16" s="15" t="n"/>
      <c r="E16" s="15" t="n"/>
      <c r="F16" s="15" t="n"/>
      <c r="G16" s="16">
        <f>IF(D16="","",IF(OR(D16="No", D16="Informal", D16&lt;80), "Yes", "No"))</f>
        <v/>
      </c>
    </row>
    <row r="17">
      <c r="A17" s="6" t="inlineStr">
        <is>
          <t>Q46</t>
        </is>
      </c>
      <c r="B17" s="6" t="inlineStr">
        <is>
          <t>Playbooks</t>
        </is>
      </c>
      <c r="C17" s="14" t="inlineStr">
        <is>
          <t>Playbook: Phishing/BEC</t>
        </is>
      </c>
      <c r="D17" s="15" t="n"/>
      <c r="E17" s="15" t="n"/>
      <c r="F17" s="15" t="n"/>
      <c r="G17" s="16">
        <f>IF(D17="","",IF(OR(D17="No", D17="Informal", D17&lt;80), "Yes", "No"))</f>
        <v/>
      </c>
    </row>
    <row r="18">
      <c r="A18" s="6" t="inlineStr">
        <is>
          <t>Q47</t>
        </is>
      </c>
      <c r="B18" s="6" t="inlineStr">
        <is>
          <t>Playbooks</t>
        </is>
      </c>
      <c r="C18" s="14" t="inlineStr">
        <is>
          <t>Playbook: Unauthorised Access</t>
        </is>
      </c>
      <c r="D18" s="15" t="n"/>
      <c r="E18" s="15" t="n"/>
      <c r="F18" s="15" t="n"/>
      <c r="G18" s="16">
        <f>IF(D18="","",IF(OR(D18="No", D18="Informal", D18&lt;80), "Yes", "No"))</f>
        <v/>
      </c>
    </row>
    <row r="19">
      <c r="A19" s="6" t="inlineStr">
        <is>
          <t>Q48</t>
        </is>
      </c>
      <c r="B19" s="6" t="inlineStr">
        <is>
          <t>Playbooks</t>
        </is>
      </c>
      <c r="C19" s="14" t="inlineStr">
        <is>
          <t>Playbook: Data Exfiltration</t>
        </is>
      </c>
      <c r="D19" s="15" t="n"/>
      <c r="E19" s="15" t="n"/>
      <c r="F19" s="15" t="n"/>
      <c r="G19" s="16">
        <f>IF(D19="","",IF(OR(D19="No", D19="Informal", D19&lt;80), "Yes", "No"))</f>
        <v/>
      </c>
    </row>
    <row r="20">
      <c r="A20" s="6" t="inlineStr">
        <is>
          <t>Q49</t>
        </is>
      </c>
      <c r="B20" s="6" t="inlineStr">
        <is>
          <t>Escalation</t>
        </is>
      </c>
      <c r="C20" s="14" t="inlineStr">
        <is>
          <t>Escalation criteria clearly defined?</t>
        </is>
      </c>
      <c r="D20" s="15" t="n"/>
      <c r="E20" s="15" t="n"/>
      <c r="F20" s="15" t="n"/>
      <c r="G20" s="16">
        <f>IF(D20="","",IF(OR(D20="No", D20="Informal", D20&lt;80), "Yes", "No"))</f>
        <v/>
      </c>
    </row>
    <row r="21">
      <c r="A21" s="6" t="inlineStr">
        <is>
          <t>Q50</t>
        </is>
      </c>
      <c r="B21" s="6" t="inlineStr">
        <is>
          <t>Escalation</t>
        </is>
      </c>
      <c r="C21" s="14" t="inlineStr">
        <is>
          <t>How are incidents escalated SOC → CSIRT?</t>
        </is>
      </c>
      <c r="D21" s="15" t="n"/>
      <c r="E21" s="15" t="n"/>
      <c r="F21" s="15" t="n"/>
      <c r="G21" s="16">
        <f>IF(D21="","",IF(OR(D21="No", D21="Informal", D21&lt;80), "Yes", "No"))</f>
        <v/>
      </c>
    </row>
    <row r="22">
      <c r="A22" s="6" t="inlineStr">
        <is>
          <t>Q51</t>
        </is>
      </c>
      <c r="B22" s="6" t="inlineStr">
        <is>
          <t>Escalation</t>
        </is>
      </c>
      <c r="C22" s="14" t="inlineStr">
        <is>
          <t>Handoff checklist for CSIRT escalation?</t>
        </is>
      </c>
      <c r="D22" s="15" t="n"/>
      <c r="E22" s="15" t="n"/>
      <c r="F22" s="15" t="n"/>
      <c r="G22" s="16">
        <f>IF(D22="","",IF(OR(D22="No", D22="Informal", D22&lt;80), "Yes", "No"))</f>
        <v/>
      </c>
    </row>
    <row r="23">
      <c r="A23" s="6" t="inlineStr">
        <is>
          <t>Q52</t>
        </is>
      </c>
      <c r="B23" s="6" t="inlineStr">
        <is>
          <t>Escalation</t>
        </is>
      </c>
      <c r="C23" s="14" t="inlineStr">
        <is>
          <t>False positive handling process?</t>
        </is>
      </c>
      <c r="D23" s="15" t="n"/>
      <c r="E23" s="15" t="n"/>
      <c r="F23" s="15" t="n"/>
      <c r="G23" s="16">
        <f>IF(D23="","",IF(OR(D23="No", D23="Informal", D23&lt;80), "Yes", "No"))</f>
        <v/>
      </c>
    </row>
    <row r="24">
      <c r="A24" s="6" t="inlineStr">
        <is>
          <t>Q53</t>
        </is>
      </c>
      <c r="B24" s="6" t="inlineStr">
        <is>
          <t>Escalation</t>
        </is>
      </c>
      <c r="C24" s="14" t="inlineStr">
        <is>
          <t>Feedback loop: FP → tuning?</t>
        </is>
      </c>
      <c r="D24" s="15" t="n"/>
      <c r="E24" s="15" t="n"/>
      <c r="F24" s="15" t="n"/>
      <c r="G24" s="16">
        <f>IF(D24="","",IF(OR(D24="No", D24="Informal", D24&lt;80), "Yes", "No"))</f>
        <v/>
      </c>
    </row>
    <row r="25">
      <c r="A25" s="6" t="inlineStr">
        <is>
          <t>Q54</t>
        </is>
      </c>
      <c r="B25" s="6" t="inlineStr">
        <is>
          <t>Capacity</t>
        </is>
      </c>
      <c r="C25" s="14" t="inlineStr">
        <is>
          <t>SOC analyst FTE count?</t>
        </is>
      </c>
      <c r="D25" s="15" t="n"/>
      <c r="E25" s="15" t="n"/>
      <c r="F25" s="15" t="n"/>
      <c r="G25" s="16">
        <f>IF(D25="","",IF(OR(D25="No", D25="Informal", D25&lt;80), "Yes", "No"))</f>
        <v/>
      </c>
    </row>
    <row r="26">
      <c r="A26" s="6" t="inlineStr">
        <is>
          <t>Q55</t>
        </is>
      </c>
      <c r="B26" s="6" t="inlineStr">
        <is>
          <t>Capacity</t>
        </is>
      </c>
      <c r="C26" s="14" t="inlineStr">
        <is>
          <t>Tiered analyst structure?</t>
        </is>
      </c>
      <c r="D26" s="15" t="n"/>
      <c r="E26" s="15" t="n"/>
      <c r="F26" s="15" t="n"/>
      <c r="G26" s="16">
        <f>IF(D26="","",IF(OR(D26="No", D26="Informal", D26&lt;80), "Yes", "No"))</f>
        <v/>
      </c>
    </row>
    <row r="27">
      <c r="A27" s="6" t="inlineStr">
        <is>
          <t>Q56</t>
        </is>
      </c>
      <c r="B27" s="6" t="inlineStr">
        <is>
          <t>Capacity</t>
        </is>
      </c>
      <c r="C27" s="14" t="inlineStr">
        <is>
          <t>Analyst training frequency?</t>
        </is>
      </c>
      <c r="D27" s="15" t="n"/>
      <c r="E27" s="15" t="n"/>
      <c r="F27" s="15" t="n"/>
      <c r="G27" s="16">
        <f>IF(D27="","",IF(OR(D27="No", D27="Informal", D27&lt;80), "Yes", "No"))</f>
        <v/>
      </c>
    </row>
    <row r="28">
      <c r="A28" s="6" t="inlineStr">
        <is>
          <t>Q57</t>
        </is>
      </c>
      <c r="B28" s="6" t="inlineStr">
        <is>
          <t>Capacity</t>
        </is>
      </c>
      <c r="C28" s="14" t="inlineStr">
        <is>
          <t>Analyst burnout indicators?</t>
        </is>
      </c>
      <c r="D28" s="15" t="n"/>
      <c r="E28" s="15" t="n"/>
      <c r="F28" s="15" t="n"/>
      <c r="G28" s="16">
        <f>IF(D28="","",IF(OR(D28="No", D28="Informal", D28&lt;80), "Yes", "No"))</f>
        <v/>
      </c>
    </row>
    <row r="29">
      <c r="A29" s="6" t="inlineStr">
        <is>
          <t>Q58</t>
        </is>
      </c>
      <c r="B29" s="6" t="inlineStr">
        <is>
          <t>Capacity</t>
        </is>
      </c>
      <c r="C29" s="14" t="inlineStr">
        <is>
          <t>Analysts trained on all tools?</t>
        </is>
      </c>
      <c r="D29" s="15" t="n"/>
      <c r="E29" s="15" t="n"/>
      <c r="F29" s="15" t="n"/>
      <c r="G29" s="16">
        <f>IF(D29="","",IF(OR(D29="No", D29="Informal",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CLASSIFICATION &amp; SEVERITY</t>
        </is>
      </c>
    </row>
    <row r="2">
      <c r="A2" s="12" t="inlineStr">
        <is>
          <t>ISO/IEC 27001:2022 - Control A.5.24-28: Incident Management | Category Assignment, Severity Criteria, Consistency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Q59</t>
        </is>
      </c>
      <c r="B5" s="6" t="inlineStr">
        <is>
          <t>Classification</t>
        </is>
      </c>
      <c r="C5" s="14" t="inlineStr">
        <is>
          <t>Adopted ISMS-REF-A.5.24-28 taxonomy?</t>
        </is>
      </c>
      <c r="D5" s="15" t="n"/>
      <c r="E5" s="15" t="n"/>
      <c r="F5" s="15" t="n"/>
      <c r="G5" s="16">
        <f>IF(D5="","",IF(OR(D5="No", D5&lt;80), "Yes", "No"))</f>
        <v/>
      </c>
    </row>
    <row r="6">
      <c r="A6" s="6" t="inlineStr">
        <is>
          <t>Q60</t>
        </is>
      </c>
      <c r="B6" s="6" t="inlineStr">
        <is>
          <t>Classification</t>
        </is>
      </c>
      <c r="C6" s="14" t="inlineStr">
        <is>
          <t>Classification procedure documented?</t>
        </is>
      </c>
      <c r="D6" s="15" t="n"/>
      <c r="E6" s="15" t="n"/>
      <c r="F6" s="15" t="n"/>
      <c r="G6" s="16">
        <f>IF(D6="","",IF(OR(D6="No", D6&lt;80), "Yes", "No"))</f>
        <v/>
      </c>
    </row>
    <row r="7">
      <c r="A7" s="6" t="inlineStr">
        <is>
          <t>Q61</t>
        </is>
      </c>
      <c r="B7" s="6" t="inlineStr">
        <is>
          <t>Classification</t>
        </is>
      </c>
      <c r="C7" s="14" t="inlineStr">
        <is>
          <t>Analysts trained on classification?</t>
        </is>
      </c>
      <c r="D7" s="15" t="n"/>
      <c r="E7" s="15" t="n"/>
      <c r="F7" s="15" t="n"/>
      <c r="G7" s="16">
        <f>IF(D7="","",IF(OR(D7="No", D7&lt;80), "Yes", "No"))</f>
        <v/>
      </c>
    </row>
    <row r="8">
      <c r="A8" s="6" t="inlineStr">
        <is>
          <t>Q62</t>
        </is>
      </c>
      <c r="B8" s="6" t="inlineStr">
        <is>
          <t>Classification</t>
        </is>
      </c>
      <c r="C8" s="14" t="inlineStr">
        <is>
          <t>Classification consistency reviewed?</t>
        </is>
      </c>
      <c r="D8" s="15" t="n"/>
      <c r="E8" s="15" t="n"/>
      <c r="F8" s="15" t="n"/>
      <c r="G8" s="16">
        <f>IF(D8="","",IF(OR(D8="No", D8&lt;80), "Yes", "No"))</f>
        <v/>
      </c>
    </row>
    <row r="9">
      <c r="A9" s="6" t="inlineStr">
        <is>
          <t>Q63</t>
        </is>
      </c>
      <c r="B9" s="6" t="inlineStr">
        <is>
          <t>Classification</t>
        </is>
      </c>
      <c r="C9" s="14" t="inlineStr">
        <is>
          <t>Classification accuracy rate?</t>
        </is>
      </c>
      <c r="D9" s="15" t="n"/>
      <c r="E9" s="15" t="n"/>
      <c r="F9" s="15" t="n"/>
      <c r="G9" s="16">
        <f>IF(D9="","",IF(OR(D9="No", D9&lt;80), "Yes", "No"))</f>
        <v/>
      </c>
    </row>
    <row r="10">
      <c r="A10" s="6" t="inlineStr">
        <is>
          <t>Q64</t>
        </is>
      </c>
      <c r="B10" s="6" t="inlineStr">
        <is>
          <t>Classification</t>
        </is>
      </c>
      <c r="C10" s="14" t="inlineStr">
        <is>
          <t>Reclassification process documented?</t>
        </is>
      </c>
      <c r="D10" s="15" t="n"/>
      <c r="E10" s="15" t="n"/>
      <c r="F10" s="15" t="n"/>
      <c r="G10" s="16">
        <f>IF(D10="","",IF(OR(D10="No", D10&lt;80), "Yes", "No"))</f>
        <v/>
      </c>
    </row>
    <row r="11">
      <c r="A11" s="6" t="inlineStr">
        <is>
          <t>Q65</t>
        </is>
      </c>
      <c r="B11" s="6" t="inlineStr">
        <is>
          <t>Classification</t>
        </is>
      </c>
      <c r="C11" s="14" t="inlineStr">
        <is>
          <t>Multi-category incident handling?</t>
        </is>
      </c>
      <c r="D11" s="15" t="n"/>
      <c r="E11" s="15" t="n"/>
      <c r="F11" s="15" t="n"/>
      <c r="G11" s="16">
        <f>IF(D11="","",IF(OR(D11="No", D11&lt;80), "Yes", "No"))</f>
        <v/>
      </c>
    </row>
    <row r="12">
      <c r="A12" s="6" t="inlineStr">
        <is>
          <t>Q66</t>
        </is>
      </c>
      <c r="B12" s="6" t="inlineStr">
        <is>
          <t>Severity</t>
        </is>
      </c>
      <c r="C12" s="14" t="inlineStr">
        <is>
          <t>How many severity levels?</t>
        </is>
      </c>
      <c r="D12" s="15" t="n"/>
      <c r="E12" s="15" t="n"/>
      <c r="F12" s="15" t="n"/>
      <c r="G12" s="16">
        <f>IF(D12="","",IF(OR(D12="No", D12&lt;80), "Yes", "No"))</f>
        <v/>
      </c>
    </row>
    <row r="13">
      <c r="A13" s="6" t="inlineStr">
        <is>
          <t>Q67</t>
        </is>
      </c>
      <c r="B13" s="6" t="inlineStr">
        <is>
          <t>Severity</t>
        </is>
      </c>
      <c r="C13" s="14" t="inlineStr">
        <is>
          <t>Severity criteria documented?</t>
        </is>
      </c>
      <c r="D13" s="15" t="n"/>
      <c r="E13" s="15" t="n"/>
      <c r="F13" s="15" t="n"/>
      <c r="G13" s="16">
        <f>IF(D13="","",IF(OR(D13="No", D13&lt;80), "Yes", "No"))</f>
        <v/>
      </c>
    </row>
    <row r="14">
      <c r="A14" s="6" t="inlineStr">
        <is>
          <t>Q68</t>
        </is>
      </c>
      <c r="B14" s="6" t="inlineStr">
        <is>
          <t>Severity</t>
        </is>
      </c>
      <c r="C14" s="14" t="inlineStr">
        <is>
          <t>Critical severity criteria?</t>
        </is>
      </c>
      <c r="D14" s="15" t="n"/>
      <c r="E14" s="15" t="n"/>
      <c r="F14" s="15" t="n"/>
      <c r="G14" s="16">
        <f>IF(D14="","",IF(OR(D14="No", D14&lt;80), "Yes", "No"))</f>
        <v/>
      </c>
    </row>
    <row r="15">
      <c r="A15" s="6" t="inlineStr">
        <is>
          <t>Q69</t>
        </is>
      </c>
      <c r="B15" s="6" t="inlineStr">
        <is>
          <t>Severity</t>
        </is>
      </c>
      <c r="C15" s="14" t="inlineStr">
        <is>
          <t>Severity assignment training?</t>
        </is>
      </c>
      <c r="D15" s="15" t="n"/>
      <c r="E15" s="15" t="n"/>
      <c r="F15" s="15" t="n"/>
      <c r="G15" s="16">
        <f>IF(D15="","",IF(OR(D15="No", D15&lt;80), "Yes", "No"))</f>
        <v/>
      </c>
    </row>
    <row r="16">
      <c r="A16" s="6" t="inlineStr">
        <is>
          <t>Q70</t>
        </is>
      </c>
      <c r="B16" s="6" t="inlineStr">
        <is>
          <t>Severity</t>
        </is>
      </c>
      <c r="C16" s="14" t="inlineStr">
        <is>
          <t>Severity consistency reviewed?</t>
        </is>
      </c>
      <c r="D16" s="15" t="n"/>
      <c r="E16" s="15" t="n"/>
      <c r="F16" s="15" t="n"/>
      <c r="G16" s="16">
        <f>IF(D16="","",IF(OR(D16="No", D16&lt;80), "Yes", "No"))</f>
        <v/>
      </c>
    </row>
    <row r="17">
      <c r="A17" s="6" t="inlineStr">
        <is>
          <t>Q71</t>
        </is>
      </c>
      <c r="B17" s="6" t="inlineStr">
        <is>
          <t>Severity</t>
        </is>
      </c>
      <c r="C17" s="14" t="inlineStr">
        <is>
          <t>Severity upgrade process?</t>
        </is>
      </c>
      <c r="D17" s="15" t="n"/>
      <c r="E17" s="15" t="n"/>
      <c r="F17" s="15" t="n"/>
      <c r="G17" s="16">
        <f>IF(D17="","",IF(OR(D17="No", D17&lt;80), "Yes", "No"))</f>
        <v/>
      </c>
    </row>
    <row r="18">
      <c r="A18" s="6" t="inlineStr">
        <is>
          <t>Q72</t>
        </is>
      </c>
      <c r="B18" s="6" t="inlineStr">
        <is>
          <t>Severity</t>
        </is>
      </c>
      <c r="C18" s="14" t="inlineStr">
        <is>
          <t>Severity downgrade process?</t>
        </is>
      </c>
      <c r="D18" s="15" t="n"/>
      <c r="E18" s="15" t="n"/>
      <c r="F18" s="15" t="n"/>
      <c r="G18" s="16">
        <f>IF(D18="","",IF(OR(D18="No", D18&lt;80), "Yes", "No"))</f>
        <v/>
      </c>
    </row>
    <row r="19">
      <c r="A19" s="6" t="inlineStr">
        <is>
          <t>Q73</t>
        </is>
      </c>
      <c r="B19" s="6" t="inlineStr">
        <is>
          <t>Severity</t>
        </is>
      </c>
      <c r="C19" s="14" t="inlineStr">
        <is>
          <t>% Incidents Critical (90 days)?</t>
        </is>
      </c>
      <c r="D19" s="15" t="n"/>
      <c r="E19" s="15" t="n"/>
      <c r="F19" s="15" t="n"/>
      <c r="G19" s="16">
        <f>IF(D19="","",IF(OR(D19="No", D19&lt;80), "Yes", "No"))</f>
        <v/>
      </c>
    </row>
    <row r="20">
      <c r="A20" s="6" t="inlineStr">
        <is>
          <t>Q74</t>
        </is>
      </c>
      <c r="B20" s="6" t="inlineStr">
        <is>
          <t>Severity</t>
        </is>
      </c>
      <c r="C20" s="14" t="inlineStr">
        <is>
          <t>% Incidents High (90 days)?</t>
        </is>
      </c>
      <c r="D20" s="15" t="n"/>
      <c r="E20" s="15" t="n"/>
      <c r="F20" s="15" t="n"/>
      <c r="G20" s="16">
        <f>IF(D20="","",IF(OR(D20="No", D20&lt;80), "Yes", "No"))</f>
        <v/>
      </c>
    </row>
    <row r="21">
      <c r="A21" s="6" t="inlineStr">
        <is>
          <t>Q75</t>
        </is>
      </c>
      <c r="B21" s="6" t="inlineStr">
        <is>
          <t>Severity</t>
        </is>
      </c>
      <c r="C21" s="14" t="inlineStr">
        <is>
          <t>% Incidents Medium (90 days)?</t>
        </is>
      </c>
      <c r="D21" s="15" t="n"/>
      <c r="E21" s="15" t="n"/>
      <c r="F21" s="15" t="n"/>
      <c r="G21" s="16">
        <f>IF(D21="","",IF(OR(D21="No", D21&lt;80), "Yes", "No"))</f>
        <v/>
      </c>
    </row>
    <row r="22">
      <c r="A22" s="6" t="inlineStr">
        <is>
          <t>Q76</t>
        </is>
      </c>
      <c r="B22" s="6" t="inlineStr">
        <is>
          <t>Correlation</t>
        </is>
      </c>
      <c r="C22" s="14" t="inlineStr">
        <is>
          <t>Top Category 1</t>
        </is>
      </c>
      <c r="D22" s="15" t="n"/>
      <c r="E22" s="15" t="n"/>
      <c r="F22" s="15" t="n"/>
      <c r="G22" s="16">
        <f>IF(D22="","",IF(OR(D22="No", D22&lt;80), "Yes", "No"))</f>
        <v/>
      </c>
    </row>
    <row r="23">
      <c r="A23" s="6" t="inlineStr">
        <is>
          <t>Q77</t>
        </is>
      </c>
      <c r="B23" s="6" t="inlineStr">
        <is>
          <t>Correlation</t>
        </is>
      </c>
      <c r="C23" s="14" t="inlineStr">
        <is>
          <t>Top Category 2</t>
        </is>
      </c>
      <c r="D23" s="15" t="n"/>
      <c r="E23" s="15" t="n"/>
      <c r="F23" s="15" t="n"/>
      <c r="G23" s="16">
        <f>IF(D23="","",IF(OR(D23="No", D23&lt;80), "Yes", "No"))</f>
        <v/>
      </c>
    </row>
    <row r="24">
      <c r="A24" s="6" t="inlineStr">
        <is>
          <t>Q78</t>
        </is>
      </c>
      <c r="B24" s="6" t="inlineStr">
        <is>
          <t>Correlation</t>
        </is>
      </c>
      <c r="C24" s="14" t="inlineStr">
        <is>
          <t>Top Category 3</t>
        </is>
      </c>
      <c r="D24" s="15" t="n"/>
      <c r="E24" s="15" t="n"/>
      <c r="F24" s="15" t="n"/>
      <c r="G24" s="16">
        <f>IF(D24="","",IF(OR(D24="No", D24&lt;80), "Yes", "No"))</f>
        <v/>
      </c>
    </row>
    <row r="25">
      <c r="A25" s="6" t="inlineStr">
        <is>
          <t>Q79</t>
        </is>
      </c>
      <c r="B25" s="6" t="inlineStr">
        <is>
          <t>Correlation</t>
        </is>
      </c>
      <c r="C25" s="14" t="inlineStr">
        <is>
          <t>Top Category 4</t>
        </is>
      </c>
      <c r="D25" s="15" t="n"/>
      <c r="E25" s="15" t="n"/>
      <c r="F25" s="15" t="n"/>
      <c r="G25" s="16">
        <f>IF(D25="","",IF(OR(D25="No", D25&lt;80), "Yes", "No"))</f>
        <v/>
      </c>
    </row>
    <row r="26">
      <c r="A26" s="6" t="inlineStr">
        <is>
          <t>Q80</t>
        </is>
      </c>
      <c r="B26" s="6" t="inlineStr">
        <is>
          <t>Correlation</t>
        </is>
      </c>
      <c r="C26" s="14" t="inlineStr">
        <is>
          <t>Top Category 5</t>
        </is>
      </c>
      <c r="D26" s="15" t="n"/>
      <c r="E26" s="15" t="n"/>
      <c r="F26" s="15" t="n"/>
      <c r="G26" s="16">
        <f>IF(D26="","",IF(OR(D26="No", D26&lt;80), "Yes", "No"))</f>
        <v/>
      </c>
    </row>
    <row r="27">
      <c r="A27" s="6" t="inlineStr">
        <is>
          <t>Q81</t>
        </is>
      </c>
      <c r="B27" s="6" t="inlineStr">
        <is>
          <t>Correlation</t>
        </is>
      </c>
      <c r="C27" s="14" t="inlineStr">
        <is>
          <t>Top Category 6</t>
        </is>
      </c>
      <c r="D27" s="15" t="n"/>
      <c r="E27" s="15" t="n"/>
      <c r="F27" s="15" t="n"/>
      <c r="G27" s="16">
        <f>IF(D27="","",IF(OR(D27="No", D27&lt;80), "Yes", "No"))</f>
        <v/>
      </c>
    </row>
    <row r="28">
      <c r="A28" s="6" t="inlineStr">
        <is>
          <t>Q82</t>
        </is>
      </c>
      <c r="B28" s="6" t="inlineStr">
        <is>
          <t>Correlation</t>
        </is>
      </c>
      <c r="C28" s="14" t="inlineStr">
        <is>
          <t>Top Category 7</t>
        </is>
      </c>
      <c r="D28" s="15" t="n"/>
      <c r="E28" s="15" t="n"/>
      <c r="F28" s="15" t="n"/>
      <c r="G28" s="16">
        <f>IF(D28="","",IF(OR(D28="No", D28&lt;80), "Yes", "No"))</f>
        <v/>
      </c>
    </row>
    <row r="29">
      <c r="A29" s="6" t="inlineStr">
        <is>
          <t>Q83</t>
        </is>
      </c>
      <c r="B29" s="6" t="inlineStr">
        <is>
          <t>Correlation</t>
        </is>
      </c>
      <c r="C29" s="14" t="inlineStr">
        <is>
          <t>Top Category 8</t>
        </is>
      </c>
      <c r="D29" s="15" t="n"/>
      <c r="E29" s="15" t="n"/>
      <c r="F29" s="15" t="n"/>
      <c r="G29" s="16">
        <f>IF(D29="","",IF(OR(D29="No",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EFFECTIVENESS</t>
        </is>
      </c>
    </row>
    <row r="2">
      <c r="A2" s="12" t="inlineStr">
        <is>
          <t>ISO/IEC 27001:2022 - Control A.5.24-28: Incident Management | MTTD, MTTT, False Positives, Coverage Gaps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Q84</t>
        </is>
      </c>
      <c r="B5" s="6" t="inlineStr">
        <is>
          <t>MTTD</t>
        </is>
      </c>
      <c r="C5" s="14" t="inlineStr">
        <is>
          <t>Is MTTD tracked?</t>
        </is>
      </c>
      <c r="D5" s="15" t="n"/>
      <c r="E5" s="15" t="n"/>
      <c r="F5" s="15" t="n"/>
      <c r="G5" s="16">
        <f>IF(D5="","",IF(OR(D5="No", D5&gt;30, D5="Worsening"), "Yes", "No"))</f>
        <v/>
      </c>
    </row>
    <row r="6">
      <c r="A6" s="6" t="inlineStr">
        <is>
          <t>Q85</t>
        </is>
      </c>
      <c r="B6" s="6" t="inlineStr">
        <is>
          <t>MTTD</t>
        </is>
      </c>
      <c r="C6" s="14" t="inlineStr">
        <is>
          <t>Overall MTTD (90 days)?</t>
        </is>
      </c>
      <c r="D6" s="15" t="n"/>
      <c r="E6" s="15" t="n"/>
      <c r="F6" s="15" t="n"/>
      <c r="G6" s="16">
        <f>IF(D6="","",IF(OR(D6="No", D6&gt;30, D6="Worsening"), "Yes", "No"))</f>
        <v/>
      </c>
    </row>
    <row r="7">
      <c r="A7" s="6" t="inlineStr">
        <is>
          <t>Q86</t>
        </is>
      </c>
      <c r="B7" s="6" t="inlineStr">
        <is>
          <t>MTTD</t>
        </is>
      </c>
      <c r="C7" s="14" t="inlineStr">
        <is>
          <t>MTTD for Critical incidents?</t>
        </is>
      </c>
      <c r="D7" s="15" t="n"/>
      <c r="E7" s="15" t="n"/>
      <c r="F7" s="15" t="n"/>
      <c r="G7" s="16">
        <f>IF(D7="","",IF(OR(D7="No", D7&gt;30, D7="Worsening"), "Yes", "No"))</f>
        <v/>
      </c>
    </row>
    <row r="8">
      <c r="A8" s="6" t="inlineStr">
        <is>
          <t>Q87</t>
        </is>
      </c>
      <c r="B8" s="6" t="inlineStr">
        <is>
          <t>MTTD</t>
        </is>
      </c>
      <c r="C8" s="14" t="inlineStr">
        <is>
          <t>MTTD for High incidents?</t>
        </is>
      </c>
      <c r="D8" s="15" t="n"/>
      <c r="E8" s="15" t="n"/>
      <c r="F8" s="15" t="n"/>
      <c r="G8" s="16">
        <f>IF(D8="","",IF(OR(D8="No", D8&gt;30, D8="Worsening"), "Yes", "No"))</f>
        <v/>
      </c>
    </row>
    <row r="9">
      <c r="A9" s="6" t="inlineStr">
        <is>
          <t>Q88</t>
        </is>
      </c>
      <c r="B9" s="6" t="inlineStr">
        <is>
          <t>MTTD</t>
        </is>
      </c>
      <c r="C9" s="14" t="inlineStr">
        <is>
          <t>MTTD trend?</t>
        </is>
      </c>
      <c r="D9" s="15" t="n"/>
      <c r="E9" s="15" t="n"/>
      <c r="F9" s="15" t="n"/>
      <c r="G9" s="16">
        <f>IF(D9="","",IF(OR(D9="No", D9&gt;30, D9="Worsening"), "Yes", "No"))</f>
        <v/>
      </c>
    </row>
    <row r="10">
      <c r="A10" s="6" t="inlineStr">
        <is>
          <t>Q89</t>
        </is>
      </c>
      <c r="B10" s="6" t="inlineStr">
        <is>
          <t>MTTT</t>
        </is>
      </c>
      <c r="C10" s="14" t="inlineStr">
        <is>
          <t>Is MTTT tracked?</t>
        </is>
      </c>
      <c r="D10" s="15" t="n"/>
      <c r="E10" s="15" t="n"/>
      <c r="F10" s="15" t="n"/>
      <c r="G10" s="16">
        <f>IF(D10="","",IF(OR(D10="No", D10&gt;30, D10="Worsening"), "Yes", "No"))</f>
        <v/>
      </c>
    </row>
    <row r="11">
      <c r="A11" s="6" t="inlineStr">
        <is>
          <t>Q90</t>
        </is>
      </c>
      <c r="B11" s="6" t="inlineStr">
        <is>
          <t>MTTT</t>
        </is>
      </c>
      <c r="C11" s="14" t="inlineStr">
        <is>
          <t>Overall MTTT (90 days)?</t>
        </is>
      </c>
      <c r="D11" s="15" t="n"/>
      <c r="E11" s="15" t="n"/>
      <c r="F11" s="15" t="n"/>
      <c r="G11" s="16">
        <f>IF(D11="","",IF(OR(D11="No", D11&gt;30, D11="Worsening"), "Yes", "No"))</f>
        <v/>
      </c>
    </row>
    <row r="12">
      <c r="A12" s="6" t="inlineStr">
        <is>
          <t>Q91</t>
        </is>
      </c>
      <c r="B12" s="6" t="inlineStr">
        <is>
          <t>MTTT</t>
        </is>
      </c>
      <c r="C12" s="14" t="inlineStr">
        <is>
          <t>MTTT for Critical alerts?</t>
        </is>
      </c>
      <c r="D12" s="15" t="n"/>
      <c r="E12" s="15" t="n"/>
      <c r="F12" s="15" t="n"/>
      <c r="G12" s="16">
        <f>IF(D12="","",IF(OR(D12="No", D12&gt;30, D12="Worsening"), "Yes", "No"))</f>
        <v/>
      </c>
    </row>
    <row r="13">
      <c r="A13" s="6" t="inlineStr">
        <is>
          <t>Q92</t>
        </is>
      </c>
      <c r="B13" s="6" t="inlineStr">
        <is>
          <t>MTTT</t>
        </is>
      </c>
      <c r="C13" s="14" t="inlineStr">
        <is>
          <t>MTTT for High alerts?</t>
        </is>
      </c>
      <c r="D13" s="15" t="n"/>
      <c r="E13" s="15" t="n"/>
      <c r="F13" s="15" t="n"/>
      <c r="G13" s="16">
        <f>IF(D13="","",IF(OR(D13="No", D13&gt;30, D13="Worsening"), "Yes", "No"))</f>
        <v/>
      </c>
    </row>
    <row r="14">
      <c r="A14" s="6" t="inlineStr">
        <is>
          <t>Q93</t>
        </is>
      </c>
      <c r="B14" s="6" t="inlineStr">
        <is>
          <t>MTTT</t>
        </is>
      </c>
      <c r="C14" s="14" t="inlineStr">
        <is>
          <t>MTTT SLA compliance %?</t>
        </is>
      </c>
      <c r="D14" s="15" t="n"/>
      <c r="E14" s="15" t="n"/>
      <c r="F14" s="15" t="n"/>
      <c r="G14" s="16">
        <f>IF(D14="","",IF(OR(D14="No", D14&gt;30, D14="Worsening"), "Yes", "No"))</f>
        <v/>
      </c>
    </row>
    <row r="15">
      <c r="A15" s="6" t="inlineStr">
        <is>
          <t>Q94</t>
        </is>
      </c>
      <c r="B15" s="6" t="inlineStr">
        <is>
          <t>False Positives</t>
        </is>
      </c>
      <c r="C15" s="14" t="inlineStr">
        <is>
          <t>FPs systematically tracked?</t>
        </is>
      </c>
      <c r="D15" s="15" t="n"/>
      <c r="E15" s="15" t="n"/>
      <c r="F15" s="15" t="n"/>
      <c r="G15" s="16">
        <f>IF(D15="","",IF(OR(D15="No", D15&gt;30, D15="Worsening"), "Yes", "No"))</f>
        <v/>
      </c>
    </row>
    <row r="16">
      <c r="A16" s="6" t="inlineStr">
        <is>
          <t>Q95</t>
        </is>
      </c>
      <c r="B16" s="6" t="inlineStr">
        <is>
          <t>False Positives</t>
        </is>
      </c>
      <c r="C16" s="14" t="inlineStr">
        <is>
          <t>Total alerts (90 days)?</t>
        </is>
      </c>
      <c r="D16" s="15" t="n"/>
      <c r="E16" s="15" t="n"/>
      <c r="F16" s="15" t="n"/>
      <c r="G16" s="16">
        <f>IF(D16="","",IF(OR(D16="No", D16&gt;30, D16="Worsening"), "Yes", "No"))</f>
        <v/>
      </c>
    </row>
    <row r="17">
      <c r="A17" s="6" t="inlineStr">
        <is>
          <t>Q96</t>
        </is>
      </c>
      <c r="B17" s="6" t="inlineStr">
        <is>
          <t>False Positives</t>
        </is>
      </c>
      <c r="C17" s="14" t="inlineStr">
        <is>
          <t>False positives (90 days)?</t>
        </is>
      </c>
      <c r="D17" s="15" t="n"/>
      <c r="E17" s="15" t="n"/>
      <c r="F17" s="15" t="n"/>
      <c r="G17" s="16">
        <f>IF(D17="","",IF(OR(D17="No", D17&gt;30, D17="Worsening"), "Yes", "No"))</f>
        <v/>
      </c>
    </row>
    <row r="18">
      <c r="A18" s="6" t="inlineStr">
        <is>
          <t>Q97</t>
        </is>
      </c>
      <c r="B18" s="6" t="inlineStr">
        <is>
          <t>False Positives</t>
        </is>
      </c>
      <c r="C18" s="14" t="inlineStr">
        <is>
          <t>False positive rate?</t>
        </is>
      </c>
      <c r="D18" s="16">
        <f>D6/D5*100</f>
        <v/>
      </c>
      <c r="E18" s="15" t="n"/>
      <c r="F18" s="15" t="n"/>
      <c r="G18" s="16">
        <f>IF(D18="","",IF(OR(D18="No", D18&gt;30, D18="Worsening"), "Yes", "No"))</f>
        <v/>
      </c>
    </row>
    <row r="19">
      <c r="A19" s="6" t="inlineStr">
        <is>
          <t>Q98</t>
        </is>
      </c>
      <c r="B19" s="6" t="inlineStr">
        <is>
          <t>False Positives</t>
        </is>
      </c>
      <c r="C19" s="14" t="inlineStr">
        <is>
          <t>FP trend?</t>
        </is>
      </c>
      <c r="D19" s="15" t="n"/>
      <c r="E19" s="15" t="n"/>
      <c r="F19" s="15" t="n"/>
      <c r="G19" s="16">
        <f>IF(D19="","",IF(OR(D19="No", D19&gt;30, D19="Worsening"), "Yes", "No"))</f>
        <v/>
      </c>
    </row>
    <row r="20">
      <c r="A20" s="6" t="inlineStr">
        <is>
          <t>Q99</t>
        </is>
      </c>
      <c r="B20" s="6" t="inlineStr">
        <is>
          <t>False Positives</t>
        </is>
      </c>
      <c r="C20" s="14" t="inlineStr">
        <is>
          <t>Top FP source?</t>
        </is>
      </c>
      <c r="D20" s="15" t="n"/>
      <c r="E20" s="15" t="n"/>
      <c r="F20" s="15" t="n"/>
      <c r="G20" s="16">
        <f>IF(D20="","",IF(OR(D20="No", D20&gt;30, D20="Worsening"), "Yes", "No"))</f>
        <v/>
      </c>
    </row>
    <row r="21">
      <c r="A21" s="6" t="inlineStr">
        <is>
          <t>Q100</t>
        </is>
      </c>
      <c r="B21" s="6" t="inlineStr">
        <is>
          <t>False Positives</t>
        </is>
      </c>
      <c r="C21" s="14" t="inlineStr">
        <is>
          <t>FP tuning backlog?</t>
        </is>
      </c>
      <c r="D21" s="15" t="n"/>
      <c r="E21" s="15" t="n"/>
      <c r="F21" s="15" t="n"/>
      <c r="G21" s="16">
        <f>IF(D21="","",IF(OR(D21="No", D21&gt;30, D21="Worsening"), "Yes", "No"))</f>
        <v/>
      </c>
    </row>
    <row r="22">
      <c r="A22" s="6" t="inlineStr">
        <is>
          <t>Q101</t>
        </is>
      </c>
      <c r="B22" s="6" t="inlineStr">
        <is>
          <t>True Positives</t>
        </is>
      </c>
      <c r="C22" s="14" t="inlineStr">
        <is>
          <t>True positives (90 days)?</t>
        </is>
      </c>
      <c r="D22" s="15" t="n"/>
      <c r="E22" s="15" t="n"/>
      <c r="F22" s="15" t="n"/>
      <c r="G22" s="16">
        <f>IF(D22="","",IF(OR(D22="No", D22&gt;30, D22="Worsening"), "Yes", "No"))</f>
        <v/>
      </c>
    </row>
    <row r="23">
      <c r="A23" s="6" t="inlineStr">
        <is>
          <t>Q102</t>
        </is>
      </c>
      <c r="B23" s="6" t="inlineStr">
        <is>
          <t>True Positives</t>
        </is>
      </c>
      <c r="C23" s="14" t="inlineStr">
        <is>
          <t>True positive rate?</t>
        </is>
      </c>
      <c r="D23" s="16">
        <f>D16/D10*100</f>
        <v/>
      </c>
      <c r="E23" s="15" t="n"/>
      <c r="F23" s="15" t="n"/>
      <c r="G23" s="16">
        <f>IF(D23="","",IF(OR(D23="No", D23&gt;30, D23="Worsening"), "Yes", "No"))</f>
        <v/>
      </c>
    </row>
    <row r="24">
      <c r="A24" s="6" t="inlineStr">
        <is>
          <t>Q103</t>
        </is>
      </c>
      <c r="B24" s="6" t="inlineStr">
        <is>
          <t>True Positives</t>
        </is>
      </c>
      <c r="C24" s="14" t="inlineStr">
        <is>
          <t>Incident volume trend?</t>
        </is>
      </c>
      <c r="D24" s="15" t="n"/>
      <c r="E24" s="15" t="n"/>
      <c r="F24" s="15" t="n"/>
      <c r="G24" s="16">
        <f>IF(D24="","",IF(OR(D24="No", D24&gt;30, D24="Worsening"), "Yes", "No"))</f>
        <v/>
      </c>
    </row>
    <row r="25">
      <c r="A25" s="6" t="inlineStr">
        <is>
          <t>Q104</t>
        </is>
      </c>
      <c r="B25" s="6" t="inlineStr">
        <is>
          <t>True Positives</t>
        </is>
      </c>
      <c r="C25" s="14" t="inlineStr">
        <is>
          <t>Alert-to-incident ratio?</t>
        </is>
      </c>
      <c r="D25" s="16">
        <f>D12/D18</f>
        <v/>
      </c>
      <c r="E25" s="15" t="n"/>
      <c r="F25" s="15" t="n"/>
      <c r="G25" s="16">
        <f>IF(D25="","",IF(OR(D25="No", D25&gt;30, D25="Worsening"), "Yes", "No"))</f>
        <v/>
      </c>
    </row>
    <row r="26">
      <c r="A26" s="6" t="inlineStr">
        <is>
          <t>Q105</t>
        </is>
      </c>
      <c r="B26" s="6" t="inlineStr">
        <is>
          <t>True Positives</t>
        </is>
      </c>
      <c r="C26" s="14" t="inlineStr">
        <is>
          <t>Can SOC handle volume?</t>
        </is>
      </c>
      <c r="D26" s="15" t="n"/>
      <c r="E26" s="15" t="n"/>
      <c r="F26" s="15" t="n"/>
      <c r="G26" s="16">
        <f>IF(D26="","",IF(OR(D26="No", D26&gt;30, D26="Worsening"), "Yes", "No"))</f>
        <v/>
      </c>
    </row>
    <row r="27">
      <c r="A27" s="6" t="inlineStr">
        <is>
          <t>Q106</t>
        </is>
      </c>
      <c r="B27" s="6" t="inlineStr">
        <is>
          <t>Coverage</t>
        </is>
      </c>
      <c r="C27" s="14" t="inlineStr">
        <is>
          <t>Detection blind spots identified?</t>
        </is>
      </c>
      <c r="D27" s="15" t="n"/>
      <c r="E27" s="15" t="n"/>
      <c r="F27" s="15" t="n"/>
      <c r="G27" s="16">
        <f>IF(D27="","",IF(OR(D27="No", D27&gt;30, D27="Worsening"), "Yes", "No"))</f>
        <v/>
      </c>
    </row>
    <row r="28">
      <c r="A28" s="6" t="inlineStr">
        <is>
          <t>Q107</t>
        </is>
      </c>
      <c r="B28" s="6" t="inlineStr">
        <is>
          <t>Coverage</t>
        </is>
      </c>
      <c r="C28" s="14" t="inlineStr">
        <is>
          <t>Coverage gaps prioritised?</t>
        </is>
      </c>
      <c r="D28" s="15" t="n"/>
      <c r="E28" s="15" t="n"/>
      <c r="F28" s="15" t="n"/>
      <c r="G28" s="16">
        <f>IF(D28="","",IF(OR(D28="No", D28&gt;30, D28="Worsening"), "Yes", "No"))</f>
        <v/>
      </c>
    </row>
    <row r="29">
      <c r="A29" s="6" t="inlineStr">
        <is>
          <t>Q108</t>
        </is>
      </c>
      <c r="B29" s="6" t="inlineStr">
        <is>
          <t>Coverage</t>
        </is>
      </c>
      <c r="C29" s="14" t="inlineStr">
        <is>
          <t>Coverage improvement plan?</t>
        </is>
      </c>
      <c r="D29" s="15" t="n"/>
      <c r="E29" s="15" t="n"/>
      <c r="F29" s="15" t="n"/>
      <c r="G29" s="16">
        <f>IF(D29="","",IF(OR(D29="No", D29&gt;30, D29="Worsening"),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"Yes,No,Partial,Worsening,Improving,Stable,In-Progress,N/A"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Detection &amp; Classification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Detection Mechanisms</t>
        </is>
      </c>
      <c r="B5" s="25">
        <f>COUNTA('Detection Mechanisms'!D5:D100)</f>
        <v/>
      </c>
      <c r="C5" s="25">
        <f>COUNTIF('Detection Mechanisms'!G5:G100,"No")</f>
        <v/>
      </c>
      <c r="D5" s="25">
        <f>COUNTIF('Detection Mechanisms'!G5:G100,"Yes")</f>
        <v/>
      </c>
      <c r="E5" s="25">
        <f>COUNTIF('Detection Mechanisms'!D5:D100,"N/A")</f>
        <v/>
      </c>
      <c r="F5" s="25" t="inlineStr">
        <is>
          <t>85%</t>
        </is>
      </c>
      <c r="G5" s="26">
        <f>IFERROR(C5/(C5+D5)*100,0)</f>
        <v/>
      </c>
    </row>
    <row r="6">
      <c r="A6" s="25" t="inlineStr">
        <is>
          <t>Alert Handling</t>
        </is>
      </c>
      <c r="B6" s="25">
        <f>COUNTA('Alert Handling'!D5:D100)</f>
        <v/>
      </c>
      <c r="C6" s="25">
        <f>COUNTIF('Alert Handling'!G5:G100,"No")</f>
        <v/>
      </c>
      <c r="D6" s="25">
        <f>COUNTIF('Alert Handling'!G5:G100,"Yes")</f>
        <v/>
      </c>
      <c r="E6" s="25">
        <f>COUNTIF('Alert Handling'!D5:D100,"N/A")</f>
        <v/>
      </c>
      <c r="F6" s="25" t="inlineStr">
        <is>
          <t>85%</t>
        </is>
      </c>
      <c r="G6" s="26">
        <f>IFERROR(C6/(C6+D6)*100,0)</f>
        <v/>
      </c>
    </row>
    <row r="7">
      <c r="A7" s="25" t="inlineStr">
        <is>
          <t>Classification &amp; Severity</t>
        </is>
      </c>
      <c r="B7" s="25">
        <f>COUNTA('Classification &amp; Severity'!D5:D100)</f>
        <v/>
      </c>
      <c r="C7" s="25">
        <f>COUNTIF('Classification &amp; Severity'!G5:G100,"No")</f>
        <v/>
      </c>
      <c r="D7" s="25">
        <f>COUNTIF('Classification &amp; Severity'!G5:G100,"Yes")</f>
        <v/>
      </c>
      <c r="E7" s="25">
        <f>COUNTIF('Classification &amp; Severity'!D5:D100,"N/A")</f>
        <v/>
      </c>
      <c r="F7" s="25" t="inlineStr">
        <is>
          <t>90%</t>
        </is>
      </c>
      <c r="G7" s="26">
        <f>IFERROR(C7/(C7+D7)*100,0)</f>
        <v/>
      </c>
    </row>
    <row r="8">
      <c r="A8" s="25" t="inlineStr">
        <is>
          <t>Detection Effectiveness</t>
        </is>
      </c>
      <c r="B8" s="25">
        <f>COUNTA('Detection Effectiveness'!D5:D100)</f>
        <v/>
      </c>
      <c r="C8" s="25">
        <f>COUNTIF('Detection Effectiveness'!G5:G100,"No")</f>
        <v/>
      </c>
      <c r="D8" s="25">
        <f>COUNTIF('Detection Effectiveness'!G5:G100,"Yes")</f>
        <v/>
      </c>
      <c r="E8" s="25">
        <f>COUNTIF('Detection Effectiveness'!D5:D100,"N/A")</f>
        <v/>
      </c>
      <c r="F8" s="25" t="inlineStr">
        <is>
          <t>80%</t>
        </is>
      </c>
      <c r="G8" s="26">
        <f>IFERROR(C8/(C8+D8)*100,0)</f>
        <v/>
      </c>
    </row>
    <row r="9">
      <c r="A9" s="27" t="inlineStr">
        <is>
          <t>TOTAL</t>
        </is>
      </c>
      <c r="B9" s="27">
        <f>SUM(B5:B8)</f>
        <v/>
      </c>
      <c r="C9" s="27">
        <f>SUM(C5:C8)</f>
        <v/>
      </c>
      <c r="D9" s="27">
        <f>SUM(D5:D8)</f>
        <v/>
      </c>
      <c r="E9" s="27">
        <f>SUM(E5:E8)</f>
        <v/>
      </c>
      <c r="F9" s="27" t="inlineStr">
        <is>
          <t>—</t>
        </is>
      </c>
      <c r="G9" s="28">
        <f>IFERROR(AVERAGE(G5:G8),0)</f>
        <v/>
      </c>
    </row>
    <row r="11">
      <c r="A11" s="23" t="inlineStr">
        <is>
          <t>DETECTION PERFORMANCE METRICS</t>
        </is>
      </c>
      <c r="B11" s="6" t="n"/>
      <c r="C11" s="6" t="n"/>
      <c r="D11" s="6" t="n"/>
      <c r="E11" s="6" t="n"/>
      <c r="F11" s="6" t="n"/>
      <c r="G11" s="6" t="n"/>
    </row>
    <row r="12">
      <c r="A12" s="29" t="inlineStr">
        <is>
          <t>Metric</t>
        </is>
      </c>
      <c r="B12" s="29" t="inlineStr">
        <is>
          <t>Value</t>
        </is>
      </c>
      <c r="C12" s="29" t="inlineStr">
        <is>
          <t>Target</t>
        </is>
      </c>
    </row>
    <row r="13">
      <c r="A13" s="25" t="inlineStr">
        <is>
          <t>Overall MTTD (hours)</t>
        </is>
      </c>
      <c r="B13" s="25">
        <f>'Detection Effectiveness'!D85</f>
        <v/>
      </c>
      <c r="C13" s="25" t="inlineStr">
        <is>
          <t>≤4h</t>
        </is>
      </c>
    </row>
    <row r="14">
      <c r="A14" s="25" t="inlineStr">
        <is>
          <t>Overall MTTT (hours)</t>
        </is>
      </c>
      <c r="B14" s="25">
        <f>'Detection Effectiveness'!D90</f>
        <v/>
      </c>
      <c r="C14" s="25" t="inlineStr">
        <is>
          <t>≤1h</t>
        </is>
      </c>
    </row>
    <row r="15">
      <c r="A15" s="25" t="inlineStr">
        <is>
          <t>False Positive Rate (%)</t>
        </is>
      </c>
      <c r="B15" s="25">
        <f>'Detection Effectiveness'!D97</f>
        <v/>
      </c>
      <c r="C15" s="25" t="inlineStr">
        <is>
          <t>≤20%</t>
        </is>
      </c>
    </row>
    <row r="16">
      <c r="A16" s="25" t="inlineStr">
        <is>
          <t>True Positive Rate (%)</t>
        </is>
      </c>
      <c r="B16" s="25">
        <f>'Detection Effectiveness'!D102</f>
        <v/>
      </c>
      <c r="C16" s="25" t="inlineStr">
        <is>
          <t>≥80%</t>
        </is>
      </c>
    </row>
    <row r="17">
      <c r="A17" s="25" t="inlineStr">
        <is>
          <t>Detection Coverage (%)</t>
        </is>
      </c>
      <c r="B17" s="25">
        <f>COUNTIF('Detection Mechanisms'!D27:D37,"Yes")/11*100</f>
        <v/>
      </c>
      <c r="C17" s="25" t="inlineStr">
        <is>
          <t>≥85%</t>
        </is>
      </c>
    </row>
    <row r="18">
      <c r="A18" s="25" t="inlineStr">
        <is>
          <t>Alert-to-Incident Ratio</t>
        </is>
      </c>
      <c r="B18" s="25">
        <f>'Detection Effectiveness'!D104</f>
        <v/>
      </c>
      <c r="C18" s="25" t="inlineStr">
        <is>
          <t>≥0.1</t>
        </is>
      </c>
    </row>
    <row r="20">
      <c r="A20" s="30" t="inlineStr">
        <is>
          <t>CRITICAL FINDINGS</t>
        </is>
      </c>
      <c r="B20" s="6" t="n"/>
      <c r="C20" s="6" t="n"/>
      <c r="D20" s="6" t="n"/>
      <c r="E20" s="6" t="n"/>
      <c r="F20" s="6" t="n"/>
      <c r="G20" s="6" t="n"/>
    </row>
    <row r="21">
      <c r="A21" s="29" t="inlineStr">
        <is>
          <t>Critical Finding</t>
        </is>
      </c>
      <c r="B21" s="29" t="inlineStr">
        <is>
          <t>Status</t>
        </is>
      </c>
      <c r="C21" s="29" t="inlineStr">
        <is>
          <t>Severity</t>
        </is>
      </c>
    </row>
    <row r="22">
      <c r="A22" s="31" t="inlineStr">
        <is>
          <t>Detection Mechanisms &lt;70%</t>
        </is>
      </c>
      <c r="B22" s="31">
        <f>IF(G5&lt;70,"[!] Below Target","[OK]")</f>
        <v/>
      </c>
      <c r="C22" s="31" t="inlineStr">
        <is>
          <t>Critical</t>
        </is>
      </c>
    </row>
    <row r="23">
      <c r="A23" s="31" t="inlineStr">
        <is>
          <t>Alert Handling &lt;70%</t>
        </is>
      </c>
      <c r="B23" s="31">
        <f>IF(G6&lt;70,"[!] Below Target","[OK]")</f>
        <v/>
      </c>
      <c r="C23" s="31" t="inlineStr">
        <is>
          <t>Critical</t>
        </is>
      </c>
    </row>
    <row r="24">
      <c r="A24" s="32" t="inlineStr">
        <is>
          <t>Classification &amp; Severity &lt;70%</t>
        </is>
      </c>
      <c r="B24" s="32">
        <f>IF(G7&lt;70,"[!] Below Target","[OK]")</f>
        <v/>
      </c>
      <c r="C24" s="32" t="inlineStr">
        <is>
          <t>High</t>
        </is>
      </c>
    </row>
    <row r="25">
      <c r="A25" s="32" t="inlineStr">
        <is>
          <t>Detection Effectiveness &lt;70%</t>
        </is>
      </c>
      <c r="B25" s="32">
        <f>IF(G8&lt;70,"[!] Below Target","[OK]")</f>
        <v/>
      </c>
      <c r="C25" s="32" t="inlineStr">
        <is>
          <t>High</t>
        </is>
      </c>
    </row>
    <row r="26">
      <c r="A26" s="31" t="inlineStr">
        <is>
          <t>Overall detection compliance &lt;70%</t>
        </is>
      </c>
      <c r="B26" s="31">
        <f>IF(G9&lt;70,"[!] Below Target","[OK]")</f>
        <v/>
      </c>
      <c r="C26" s="31" t="inlineStr">
        <is>
          <t>Critical</t>
        </is>
      </c>
    </row>
    <row r="27">
      <c r="A27" s="32" t="inlineStr">
        <is>
          <t>False positive rate too high</t>
        </is>
      </c>
      <c r="B27" s="32">
        <f>IFERROR(IF('Detection Effectiveness'!D97&gt;30,"[!] High FPR","[OK]"),"")</f>
        <v/>
      </c>
      <c r="C27" s="32" t="inlineStr">
        <is>
          <t>High</t>
        </is>
      </c>
    </row>
  </sheetData>
  <mergeCells count="5">
    <mergeCell ref="A1:G1"/>
    <mergeCell ref="A3:G3"/>
    <mergeCell ref="A20:G20"/>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ISMS-IMP-A.5.24-28.S2 - Detection &amp; Classification</t>
        </is>
      </c>
      <c r="C4" s="6" t="n"/>
      <c r="D4" s="6" t="n"/>
      <c r="E4" s="6" t="n"/>
    </row>
    <row r="5">
      <c r="A5" s="3" t="inlineStr">
        <is>
          <t>Assessment Period:</t>
        </is>
      </c>
      <c r="B5" s="15" t="inlineStr"/>
      <c r="C5" s="6" t="n"/>
      <c r="D5" s="6" t="n"/>
      <c r="E5" s="6" t="n"/>
    </row>
    <row r="6">
      <c r="A6" s="3" t="inlineStr">
        <is>
          <t>Overall Compliance Rating:</t>
        </is>
      </c>
      <c r="B6" s="36">
        <f>IFERROR(AVERAGE('Summary Dashboard'!G5:G8),"")</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ISMS-IMP-A.5.24-28.S2 — Detection &amp; Classification</dc:title>
  <dc:description xmlns:dc="http://purl.org/dc/elements/1.1/">ISMS Implementation Workbook — ISMS-IMP-A.5.24-28.S2</dc:description>
  <dc:subject xmlns:dc="http://purl.org/dc/elements/1.1/">ISO/IEC 27001:2022 — Control A.5.24-28: Incident Management</dc:subject>
  <dcterms:created xmlns:dcterms="http://purl.org/dc/terms/" xmlns:xsi="http://www.w3.org/2001/XMLSchema-instance" xsi:type="dcterms:W3CDTF">2026-02-28T20:09:53Z</dcterms:created>
  <dcterms:modified xmlns:dcterms="http://purl.org/dc/terms/" xmlns:xsi="http://www.w3.org/2001/XMLSchema-instance" xsi:type="dcterms:W3CDTF">2026-02-28T20:09:53Z</dcterms:modified>
</cp:coreProperties>
</file>