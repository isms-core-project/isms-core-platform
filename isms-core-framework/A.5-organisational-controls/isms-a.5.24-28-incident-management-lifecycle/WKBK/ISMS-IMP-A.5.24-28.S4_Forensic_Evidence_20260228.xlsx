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Evidence Collection" sheetId="2" state="visible" r:id="rId2"/>
    <sheet xmlns:r="http://schemas.openxmlformats.org/officeDocument/2006/relationships" name="Chain of Custody" sheetId="3" state="visible" r:id="rId3"/>
    <sheet xmlns:r="http://schemas.openxmlformats.org/officeDocument/2006/relationships" name="Forensic Analysis" sheetId="4" state="visible" r:id="rId4"/>
    <sheet xmlns:r="http://schemas.openxmlformats.org/officeDocument/2006/relationships" name="Storage &amp; Retention" sheetId="5" state="visible" r:id="rId5"/>
    <sheet xmlns:r="http://schemas.openxmlformats.org/officeDocument/2006/relationships" name="Legal &amp; Regulatory" sheetId="6" state="visible" r:id="rId6"/>
    <sheet xmlns:r="http://schemas.openxmlformats.org/officeDocument/2006/relationships" name="Gap Analysis"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i val="1"/>
      <sz val="10"/>
    </font>
    <font>
      <name val="Calibri"/>
      <b val="1"/>
      <color rgb="00FFFFFF"/>
      <sz val="10"/>
    </font>
    <font>
      <b val="1"/>
      <color rgb="00FFFFFF"/>
      <sz val="10"/>
    </font>
    <font>
      <b val="1"/>
    </font>
    <font>
      <name val="Calibri"/>
      <i val="1"/>
      <sz val="10"/>
    </font>
    <font>
      <name val="Calibri"/>
      <i val="1"/>
      <color rgb="00808080"/>
      <sz val="10"/>
    </font>
    <font>
      <name val="Calibri"/>
      <i val="1"/>
      <color rgb="00003366"/>
      <sz val="10"/>
    </font>
    <font>
      <name val="Calibri"/>
      <b val="1"/>
      <color rgb="00FFFFFF"/>
      <sz val="11"/>
    </font>
    <font>
      <name val="Calibri"/>
      <b val="1"/>
      <color rgb="00000000"/>
      <sz val="10"/>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C6EFCE"/>
        <bgColor rgb="00C6EFCE"/>
      </patternFill>
    </fill>
    <fill>
      <patternFill patternType="solid">
        <fgColor rgb="004472C4"/>
        <bgColor rgb="004472C4"/>
      </patternFill>
    </fill>
    <fill>
      <patternFill patternType="solid">
        <fgColor rgb="00F2F2F2"/>
        <bgColor rgb="00F2F2F2"/>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pivotButton="0" quotePrefix="0" xfId="0"/>
    <xf numFmtId="0" fontId="6" fillId="8" borderId="1" applyAlignment="1" pivotButton="0" quotePrefix="0" xfId="0">
      <alignment horizontal="center" vertical="center" wrapText="1"/>
    </xf>
    <xf numFmtId="0" fontId="4" fillId="9"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applyAlignment="1" pivotButton="0" quotePrefix="0" xfId="0">
      <alignment horizontal="left" vertical="top" wrapText="1"/>
    </xf>
    <xf numFmtId="0" fontId="0" fillId="10" borderId="1" pivotButton="0" quotePrefix="0" xfId="0"/>
    <xf numFmtId="0" fontId="0" fillId="11" borderId="1" applyAlignment="1" pivotButton="0" quotePrefix="0" xfId="0">
      <alignment horizontal="center" vertical="center"/>
    </xf>
    <xf numFmtId="0" fontId="7" fillId="12" borderId="0" pivotButton="0" quotePrefix="0" xfId="0"/>
    <xf numFmtId="0" fontId="8" fillId="0" borderId="0" pivotButton="0" quotePrefix="0" xfId="0"/>
    <xf numFmtId="0" fontId="0" fillId="11" borderId="1" pivotButton="0" quotePrefix="0" xfId="0"/>
    <xf numFmtId="0" fontId="0" fillId="13" borderId="1" applyAlignment="1" pivotButton="0" quotePrefix="0" xfId="0">
      <alignment horizontal="center" vertical="center"/>
    </xf>
    <xf numFmtId="0" fontId="0" fillId="13" borderId="1" pivotButton="0" quotePrefix="0" xfId="0"/>
    <xf numFmtId="0" fontId="1" fillId="8" borderId="1" applyAlignment="1" pivotButton="0" quotePrefix="0" xfId="0">
      <alignment horizontal="center" vertical="center"/>
    </xf>
    <xf numFmtId="0" fontId="9" fillId="0" borderId="1" applyAlignment="1" pivotButton="0" quotePrefix="0" xfId="0">
      <alignment horizontal="center" vertical="center"/>
    </xf>
    <xf numFmtId="0" fontId="10" fillId="13" borderId="1" pivotButton="0" quotePrefix="0" xfId="0"/>
    <xf numFmtId="0" fontId="0" fillId="10" borderId="1" applyAlignment="1" pivotButton="0" quotePrefix="0" xfId="0">
      <alignment vertical="center"/>
    </xf>
    <xf numFmtId="0" fontId="11" fillId="0" borderId="1" applyAlignment="1" pivotButton="0" quotePrefix="0" xfId="0">
      <alignment horizontal="left" vertical="center"/>
    </xf>
    <xf numFmtId="0" fontId="12" fillId="8" borderId="1" applyAlignment="1" pivotButton="0" quotePrefix="0" xfId="0">
      <alignment horizontal="center" vertical="center"/>
    </xf>
    <xf numFmtId="0" fontId="13" fillId="9" borderId="1" applyAlignment="1" pivotButton="0" quotePrefix="0" xfId="0">
      <alignment horizontal="center" vertical="center" wrapText="1"/>
    </xf>
    <xf numFmtId="0" fontId="0" fillId="10" borderId="1" applyAlignment="1" pivotButton="0" quotePrefix="0" xfId="0">
      <alignment horizontal="left" vertical="center"/>
    </xf>
    <xf numFmtId="164" fontId="0" fillId="10" borderId="1" applyAlignment="1" pivotButton="0" quotePrefix="0" xfId="0">
      <alignment horizontal="left" vertical="center"/>
    </xf>
    <xf numFmtId="0" fontId="3" fillId="9" borderId="1" applyAlignment="1" pivotButton="0" quotePrefix="0" xfId="0">
      <alignment horizontal="left" vertical="center"/>
    </xf>
    <xf numFmtId="164" fontId="3" fillId="9" borderId="1" applyAlignment="1" pivotButton="0" quotePrefix="0" xfId="0">
      <alignment horizontal="left" vertical="center"/>
    </xf>
    <xf numFmtId="0" fontId="13" fillId="9" borderId="1" applyAlignment="1" pivotButton="0" quotePrefix="0" xfId="0">
      <alignment horizontal="center" vertical="center"/>
    </xf>
    <xf numFmtId="0" fontId="12" fillId="14" borderId="1" applyAlignment="1" pivotButton="0" quotePrefix="0" xfId="0">
      <alignment horizontal="center" vertical="center"/>
    </xf>
    <xf numFmtId="0" fontId="0" fillId="15" borderId="1" applyAlignment="1" pivotButton="0" quotePrefix="0" xfId="0">
      <alignment horizontal="left" vertical="center"/>
    </xf>
    <xf numFmtId="0" fontId="0" fillId="16" borderId="1" applyAlignment="1" pivotButton="0" quotePrefix="0" xfId="0">
      <alignment horizontal="left" vertical="center"/>
    </xf>
    <xf numFmtId="0" fontId="1" fillId="8" borderId="1" applyAlignment="1" pivotButton="0" quotePrefix="0" xfId="0">
      <alignment horizontal="center" vertical="center" wrapText="1"/>
    </xf>
    <xf numFmtId="0" fontId="11" fillId="0" borderId="1" applyAlignment="1" pivotButton="0" quotePrefix="0" xfId="0">
      <alignment horizontal="center" vertical="center"/>
    </xf>
    <xf numFmtId="0" fontId="12" fillId="12" borderId="1" pivotButton="0" quotePrefix="0" xfId="0"/>
    <xf numFmtId="165" fontId="0" fillId="10" borderId="1" pivotButton="0" quotePrefix="0" xfId="0"/>
    <xf numFmtId="0" fontId="12"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ISMS-IMP-A.5.24-28.S4  -  Forensic Evidence
ISO/IEC 27001:2022 - Control A.5.24-28: Incident Management</t>
        </is>
      </c>
    </row>
    <row r="3">
      <c r="A3" s="2" t="inlineStr">
        <is>
          <t>Document Information</t>
        </is>
      </c>
    </row>
    <row r="4">
      <c r="A4" s="3" t="inlineStr">
        <is>
          <t>Document ID</t>
        </is>
      </c>
      <c r="B4" t="inlineStr">
        <is>
          <t>ISMS-IMP-A.5.24-28.S4</t>
        </is>
      </c>
    </row>
    <row r="5">
      <c r="A5" s="3" t="inlineStr">
        <is>
          <t>Workbook Title</t>
        </is>
      </c>
      <c r="B5" t="inlineStr">
        <is>
          <t>Forensic Evidence</t>
        </is>
      </c>
    </row>
    <row r="6">
      <c r="A6" s="3" t="inlineStr">
        <is>
          <t>Control Reference</t>
        </is>
      </c>
      <c r="B6" t="inlineStr">
        <is>
          <t>ISO/IEC 27001:2022 - Control A.5.24-28: Incident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Instructions &amp; Legend sheet before starting the assessment.</t>
        </is>
      </c>
    </row>
    <row r="14">
      <c r="A14" t="inlineStr">
        <is>
          <t>2. Complete all yellow (FFFFCC) input cells with your assessment data.</t>
        </is>
      </c>
    </row>
    <row r="15">
      <c r="A15" t="inlineStr">
        <is>
          <t>3. Grey (F2F2F2) rows are sample rows — do not edit them.</t>
        </is>
      </c>
    </row>
    <row r="16">
      <c r="A16" t="inlineStr">
        <is>
          <t>4. Complete the Evidence Register with supporting documentation references.</t>
        </is>
      </c>
    </row>
    <row r="17">
      <c r="A17" t="inlineStr">
        <is>
          <t>5. Obtain sign-off in the Approval Sign-Off sheet when the assessment is complete.</t>
        </is>
      </c>
    </row>
    <row r="19">
      <c r="A19" s="2" t="inlineStr">
        <is>
          <t>Status Legend</t>
        </is>
      </c>
    </row>
    <row r="20">
      <c r="A20" s="5" t="inlineStr">
        <is>
          <t>Symbol</t>
        </is>
      </c>
      <c r="B20" s="5" t="inlineStr">
        <is>
          <t>Status</t>
        </is>
      </c>
      <c r="C20" s="5" t="inlineStr">
        <is>
          <t>Description</t>
        </is>
      </c>
    </row>
    <row r="21">
      <c r="A21" s="6" t="inlineStr">
        <is>
          <t>✓</t>
        </is>
      </c>
      <c r="B21" s="7" t="inlineStr">
        <is>
          <t>Compliant / Complete</t>
        </is>
      </c>
      <c r="C21" s="8" t="inlineStr">
        <is>
          <t>Requirement fully met</t>
        </is>
      </c>
    </row>
    <row r="22">
      <c r="A22" s="6" t="inlineStr">
        <is>
          <t>⚠</t>
        </is>
      </c>
      <c r="B22" s="9" t="inlineStr">
        <is>
          <t>Partial / In Progress</t>
        </is>
      </c>
      <c r="C22" s="8" t="inlineStr">
        <is>
          <t>Partially met or in progress</t>
        </is>
      </c>
    </row>
    <row r="23">
      <c r="A23" s="6" t="inlineStr">
        <is>
          <t>✗</t>
        </is>
      </c>
      <c r="B23" s="10" t="inlineStr">
        <is>
          <t>Non-Compliant / Not Started</t>
        </is>
      </c>
      <c r="C23" s="8" t="inlineStr">
        <is>
          <t>Requirement not met</t>
        </is>
      </c>
    </row>
    <row r="24">
      <c r="A24" s="6" t="inlineStr">
        <is>
          <t>—</t>
        </is>
      </c>
      <c r="B24" s="8" t="inlineStr">
        <is>
          <t>Not Applicable</t>
        </is>
      </c>
      <c r="C24"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2"/>
  <sheetViews>
    <sheetView showGridLines="0" workbookViewId="0">
      <pane ySplit="4" topLeftCell="A5" activePane="bottomLeft" state="frozen"/>
      <selection pane="bottomLeft" activeCell="A1" sqref="A1"/>
    </sheetView>
  </sheetViews>
  <sheetFormatPr baseColWidth="8" defaultRowHeight="15"/>
  <cols>
    <col width="12" customWidth="1" min="1" max="1"/>
    <col width="22" customWidth="1" min="2" max="2"/>
    <col width="58" customWidth="1" min="3" max="3"/>
    <col width="28" customWidth="1" min="4" max="4"/>
    <col width="28" customWidth="1" min="5" max="5"/>
    <col width="32" customWidth="1" min="6" max="6"/>
    <col width="10" customWidth="1" min="7" max="7"/>
  </cols>
  <sheetData>
    <row r="1" ht="35" customHeight="1">
      <c r="A1" s="11" t="inlineStr">
        <is>
          <t>EVIDENCE COLLECTION</t>
        </is>
      </c>
    </row>
    <row r="2">
      <c r="A2" s="12" t="inlineStr">
        <is>
          <t>ISO/IEC 27001:2022 - Control A.5.24-28: Incident Management | Collection Procedures, Evidence Sources, Collection Quality (25 Questions)</t>
        </is>
      </c>
    </row>
    <row r="4">
      <c r="A4" s="13" t="inlineStr">
        <is>
          <t>Question ID</t>
        </is>
      </c>
      <c r="B4" s="13" t="inlineStr">
        <is>
          <t>Section</t>
        </is>
      </c>
      <c r="C4" s="13" t="inlineStr">
        <is>
          <t>Question</t>
        </is>
      </c>
      <c r="D4" s="13" t="inlineStr">
        <is>
          <t>Answer</t>
        </is>
      </c>
      <c r="E4" s="13" t="inlineStr">
        <is>
          <t>Evidence Ref</t>
        </is>
      </c>
      <c r="F4" s="13" t="inlineStr">
        <is>
          <t>Comments</t>
        </is>
      </c>
      <c r="G4" s="13" t="inlineStr">
        <is>
          <t>Gap Flag</t>
        </is>
      </c>
    </row>
    <row r="5" ht="20" customHeight="1">
      <c r="A5" s="14" t="inlineStr">
        <is>
          <t xml:space="preserve">  Collection Procedures</t>
        </is>
      </c>
      <c r="B5" s="6" t="n"/>
      <c r="C5" s="6" t="n"/>
      <c r="D5" s="6" t="n"/>
      <c r="E5" s="6" t="n"/>
      <c r="F5" s="6" t="n"/>
      <c r="G5" s="6" t="n"/>
    </row>
    <row r="6">
      <c r="A6" s="15" t="inlineStr">
        <is>
          <t>Q1</t>
        </is>
      </c>
      <c r="B6" s="15" t="inlineStr">
        <is>
          <t>Collection Procedures</t>
        </is>
      </c>
      <c r="C6" s="16" t="inlineStr">
        <is>
          <t>Are forensic evidence collection procedures documented?</t>
        </is>
      </c>
      <c r="D6" s="17" t="n"/>
      <c r="E6" s="17" t="n"/>
      <c r="F6" s="17" t="n"/>
      <c r="G6" s="18">
        <f>IF(D6="","",IF(OR(D6="No", D6="Never", D6="None", D6="No Capability"), "Yes", "No"))</f>
        <v/>
      </c>
    </row>
    <row r="7">
      <c r="A7" s="15" t="inlineStr">
        <is>
          <t>Q2</t>
        </is>
      </c>
      <c r="B7" s="15" t="inlineStr">
        <is>
          <t>Collection Procedures</t>
        </is>
      </c>
      <c r="C7" s="16" t="inlineStr">
        <is>
          <t>Is evidence collection integrated into IR playbooks?</t>
        </is>
      </c>
      <c r="D7" s="17" t="n"/>
      <c r="E7" s="17" t="n"/>
      <c r="F7" s="17" t="n"/>
      <c r="G7" s="18">
        <f>IF(D7="","",IF(OR(D7="No", D7="Never", D7="None", D7="No Capability"), "Yes", "No"))</f>
        <v/>
      </c>
    </row>
    <row r="8">
      <c r="A8" s="15" t="inlineStr">
        <is>
          <t>Q3</t>
        </is>
      </c>
      <c r="B8" s="15" t="inlineStr">
        <is>
          <t>Collection Procedures</t>
        </is>
      </c>
      <c r="C8" s="16" t="inlineStr">
        <is>
          <t>Which evidence types have collection procedures? (Disk/Memory/Network/Logs/Email/Cloud/Mobile/Physical/App/IoT)</t>
        </is>
      </c>
      <c r="D8" s="17" t="n"/>
      <c r="E8" s="17" t="n"/>
      <c r="F8" s="17" t="n"/>
      <c r="G8" s="18">
        <f>IF(D8="","",IF(OR(D8="No", D8="Never", D8="None", D8="No Capability"), "Yes", "No"))</f>
        <v/>
      </c>
    </row>
    <row r="9">
      <c r="A9" s="15" t="inlineStr">
        <is>
          <t>Q4</t>
        </is>
      </c>
      <c r="B9" s="15" t="inlineStr">
        <is>
          <t>Collection Procedures</t>
        </is>
      </c>
      <c r="C9" s="16" t="inlineStr">
        <is>
          <t>Is evidence collection prioritised (volatile first)?</t>
        </is>
      </c>
      <c r="D9" s="17" t="n"/>
      <c r="E9" s="17" t="n"/>
      <c r="F9" s="17" t="n"/>
      <c r="G9" s="18">
        <f>IF(D9="","",IF(OR(D9="No", D9="Never", D9="None", D9="No Capability"), "Yes", "No"))</f>
        <v/>
      </c>
    </row>
    <row r="10">
      <c r="A10" s="15" t="inlineStr">
        <is>
          <t>Q5</t>
        </is>
      </c>
      <c r="B10" s="15" t="inlineStr">
        <is>
          <t>Collection Procedures</t>
        </is>
      </c>
      <c r="C10" s="16" t="inlineStr">
        <is>
          <t>Is there a pre-collection checklist?</t>
        </is>
      </c>
      <c r="D10" s="17" t="n"/>
      <c r="E10" s="17" t="n"/>
      <c r="F10" s="17" t="n"/>
      <c r="G10" s="18">
        <f>IF(D10="","",IF(OR(D10="No", D10="Never", D10="None", D10="No Capability"), "Yes", "No"))</f>
        <v/>
      </c>
    </row>
    <row r="11">
      <c r="A11" s="15" t="inlineStr">
        <is>
          <t>Q6</t>
        </is>
      </c>
      <c r="B11" s="15" t="inlineStr">
        <is>
          <t>Collection Procedures</t>
        </is>
      </c>
      <c r="C11" s="16" t="inlineStr">
        <is>
          <t>Are standard forensic collection tools defined and approved?</t>
        </is>
      </c>
      <c r="D11" s="17" t="n"/>
      <c r="E11" s="17" t="n"/>
      <c r="F11" s="17" t="n"/>
      <c r="G11" s="18">
        <f>IF(D11="","",IF(OR(D11="No", D11="Never", D11="None", D11="No Capability"), "Yes", "No"))</f>
        <v/>
      </c>
    </row>
    <row r="12">
      <c r="A12" s="15" t="inlineStr">
        <is>
          <t>Q7</t>
        </is>
      </c>
      <c r="B12" s="15" t="inlineStr">
        <is>
          <t>Collection Procedures</t>
        </is>
      </c>
      <c r="C12" s="16" t="inlineStr">
        <is>
          <t>Collection training frequency?</t>
        </is>
      </c>
      <c r="D12" s="17" t="n"/>
      <c r="E12" s="17" t="n"/>
      <c r="F12" s="17" t="n"/>
      <c r="G12" s="18">
        <f>IF(D12="","",IF(OR(D12="No", D12="Never", D12="None", D12="No Capability"), "Yes", "No"))</f>
        <v/>
      </c>
    </row>
    <row r="13">
      <c r="A13" s="15" t="inlineStr">
        <is>
          <t>Q8</t>
        </is>
      </c>
      <c r="B13" s="15" t="inlineStr">
        <is>
          <t>Collection Procedures</t>
        </is>
      </c>
      <c r="C13" s="16" t="inlineStr">
        <is>
          <t>Are common collection mistakes addressed in training?</t>
        </is>
      </c>
      <c r="D13" s="17" t="n"/>
      <c r="E13" s="17" t="n"/>
      <c r="F13" s="17" t="n"/>
      <c r="G13" s="18">
        <f>IF(D13="","",IF(OR(D13="No", D13="Never", D13="None", D13="No Capability"), "Yes", "No"))</f>
        <v/>
      </c>
    </row>
    <row r="14" ht="20" customHeight="1">
      <c r="A14" s="14" t="inlineStr">
        <is>
          <t xml:space="preserve">  Evidence Sources</t>
        </is>
      </c>
      <c r="B14" s="6" t="n"/>
      <c r="C14" s="6" t="n"/>
      <c r="D14" s="6" t="n"/>
      <c r="E14" s="6" t="n"/>
      <c r="F14" s="6" t="n"/>
      <c r="G14" s="6" t="n"/>
    </row>
    <row r="15">
      <c r="A15" s="15" t="inlineStr">
        <is>
          <t>Q9</t>
        </is>
      </c>
      <c r="B15" s="15" t="inlineStr">
        <is>
          <t>Evidence Sources</t>
        </is>
      </c>
      <c r="C15" s="16" t="inlineStr">
        <is>
          <t>Endpoint Disk — Collection capability?</t>
        </is>
      </c>
      <c r="D15" s="17" t="n"/>
      <c r="E15" s="17" t="n"/>
      <c r="F15" s="17" t="n"/>
      <c r="G15" s="18">
        <f>IF(D15="","",IF(OR(D15="No", D15="Never", D15="None", D15="No Capability"), "Yes", "No"))</f>
        <v/>
      </c>
    </row>
    <row r="16">
      <c r="A16" s="15" t="inlineStr">
        <is>
          <t>Q10</t>
        </is>
      </c>
      <c r="B16" s="15" t="inlineStr">
        <is>
          <t>Evidence Sources</t>
        </is>
      </c>
      <c r="C16" s="16" t="inlineStr">
        <is>
          <t>Endpoint Memory (RAM) — Collection capability?</t>
        </is>
      </c>
      <c r="D16" s="17" t="n"/>
      <c r="E16" s="17" t="n"/>
      <c r="F16" s="17" t="n"/>
      <c r="G16" s="18">
        <f>IF(D16="","",IF(OR(D16="No", D16="Never", D16="None", D16="No Capability"), "Yes", "No"))</f>
        <v/>
      </c>
    </row>
    <row r="17">
      <c r="A17" s="15" t="inlineStr">
        <is>
          <t>Q11</t>
        </is>
      </c>
      <c r="B17" s="15" t="inlineStr">
        <is>
          <t>Evidence Sources</t>
        </is>
      </c>
      <c r="C17" s="16" t="inlineStr">
        <is>
          <t>Network Traffic (PCAP) — Collection capability?</t>
        </is>
      </c>
      <c r="D17" s="17" t="n"/>
      <c r="E17" s="17" t="n"/>
      <c r="F17" s="17" t="n"/>
      <c r="G17" s="18">
        <f>IF(D17="","",IF(OR(D17="No", D17="Never", D17="None", D17="No Capability"), "Yes", "No"))</f>
        <v/>
      </c>
    </row>
    <row r="18">
      <c r="A18" s="15" t="inlineStr">
        <is>
          <t>Q12</t>
        </is>
      </c>
      <c r="B18" s="15" t="inlineStr">
        <is>
          <t>Evidence Sources</t>
        </is>
      </c>
      <c r="C18" s="16" t="inlineStr">
        <is>
          <t>System/Application Logs — Collection capability?</t>
        </is>
      </c>
      <c r="D18" s="17" t="n"/>
      <c r="E18" s="17" t="n"/>
      <c r="F18" s="17" t="n"/>
      <c r="G18" s="18">
        <f>IF(D18="","",IF(OR(D18="No", D18="Never", D18="None", D18="No Capability"), "Yes", "No"))</f>
        <v/>
      </c>
    </row>
    <row r="19">
      <c r="A19" s="15" t="inlineStr">
        <is>
          <t>Q13</t>
        </is>
      </c>
      <c r="B19" s="15" t="inlineStr">
        <is>
          <t>Evidence Sources</t>
        </is>
      </c>
      <c r="C19" s="16" t="inlineStr">
        <is>
          <t>Email Evidence — Collection capability?</t>
        </is>
      </c>
      <c r="D19" s="17" t="n"/>
      <c r="E19" s="17" t="n"/>
      <c r="F19" s="17" t="n"/>
      <c r="G19" s="18">
        <f>IF(D19="","",IF(OR(D19="No", D19="Never", D19="None", D19="No Capability"), "Yes", "No"))</f>
        <v/>
      </c>
    </row>
    <row r="20">
      <c r="A20" s="15" t="inlineStr">
        <is>
          <t>Q14</t>
        </is>
      </c>
      <c r="B20" s="15" t="inlineStr">
        <is>
          <t>Evidence Sources</t>
        </is>
      </c>
      <c r="C20" s="16" t="inlineStr">
        <is>
          <t>Cloud Audit Logs — Collection capability?</t>
        </is>
      </c>
      <c r="D20" s="17" t="n"/>
      <c r="E20" s="17" t="n"/>
      <c r="F20" s="17" t="n"/>
      <c r="G20" s="18">
        <f>IF(D20="","",IF(OR(D20="No", D20="Never", D20="None", D20="No Capability"), "Yes", "No"))</f>
        <v/>
      </c>
    </row>
    <row r="21">
      <c r="A21" s="15" t="inlineStr">
        <is>
          <t>Q15</t>
        </is>
      </c>
      <c r="B21" s="15" t="inlineStr">
        <is>
          <t>Evidence Sources</t>
        </is>
      </c>
      <c r="C21" s="16" t="inlineStr">
        <is>
          <t>Mobile Device — Collection capability?</t>
        </is>
      </c>
      <c r="D21" s="17" t="n"/>
      <c r="E21" s="17" t="n"/>
      <c r="F21" s="17" t="n"/>
      <c r="G21" s="18">
        <f>IF(D21="","",IF(OR(D21="No", D21="Never", D21="None", D21="No Capability"), "Yes", "No"))</f>
        <v/>
      </c>
    </row>
    <row r="22">
      <c r="A22" s="15" t="inlineStr">
        <is>
          <t>Q16</t>
        </is>
      </c>
      <c r="B22" s="15" t="inlineStr">
        <is>
          <t>Evidence Sources</t>
        </is>
      </c>
      <c r="C22" s="16" t="inlineStr">
        <is>
          <t>Physical Evidence — Collection capability?</t>
        </is>
      </c>
      <c r="D22" s="17" t="n"/>
      <c r="E22" s="17" t="n"/>
      <c r="F22" s="17" t="n"/>
      <c r="G22" s="18">
        <f>IF(D22="","",IF(OR(D22="No", D22="Never", D22="None", D22="No Capability"), "Yes", "No"))</f>
        <v/>
      </c>
    </row>
    <row r="23">
      <c r="A23" s="15" t="inlineStr">
        <is>
          <t>Q17</t>
        </is>
      </c>
      <c r="B23" s="15" t="inlineStr">
        <is>
          <t>Evidence Sources</t>
        </is>
      </c>
      <c r="C23" s="16" t="inlineStr">
        <is>
          <t>Application-Level Evidence — Collection capability?</t>
        </is>
      </c>
      <c r="D23" s="17" t="n"/>
      <c r="E23" s="17" t="n"/>
      <c r="F23" s="17" t="n"/>
      <c r="G23" s="18">
        <f>IF(D23="","",IF(OR(D23="No", D23="Never", D23="None", D23="No Capability"), "Yes", "No"))</f>
        <v/>
      </c>
    </row>
    <row r="24">
      <c r="A24" s="15" t="inlineStr">
        <is>
          <t>Q18</t>
        </is>
      </c>
      <c r="B24" s="15" t="inlineStr">
        <is>
          <t>Evidence Sources</t>
        </is>
      </c>
      <c r="C24" s="16" t="inlineStr">
        <is>
          <t>IoT / OT Device Evidence — Collection capability?</t>
        </is>
      </c>
      <c r="D24" s="17" t="n"/>
      <c r="E24" s="17" t="n"/>
      <c r="F24" s="17" t="n"/>
      <c r="G24" s="18">
        <f>IF(D24="","",IF(OR(D24="No", D24="Never", D24="None", D24="No Capability"), "Yes", "No"))</f>
        <v/>
      </c>
    </row>
    <row r="25" ht="20" customHeight="1">
      <c r="A25" s="14" t="inlineStr">
        <is>
          <t xml:space="preserve">  Collection Quality</t>
        </is>
      </c>
      <c r="B25" s="6" t="n"/>
      <c r="C25" s="6" t="n"/>
      <c r="D25" s="6" t="n"/>
      <c r="E25" s="6" t="n"/>
      <c r="F25" s="6" t="n"/>
      <c r="G25" s="6" t="n"/>
    </row>
    <row r="26">
      <c r="A26" s="15" t="inlineStr">
        <is>
          <t>Q19</t>
        </is>
      </c>
      <c r="B26" s="15" t="inlineStr">
        <is>
          <t>Collection Quality</t>
        </is>
      </c>
      <c r="C26" s="16" t="inlineStr">
        <is>
          <t>Was evidence collection complete? (Last 10 incidents)</t>
        </is>
      </c>
      <c r="D26" s="17" t="n"/>
      <c r="E26" s="17" t="n"/>
      <c r="F26" s="17" t="n"/>
      <c r="G26" s="18">
        <f>IF(D26="","",IF(OR(D26="No", D26="Never", D26="None", D26="No Capability"), "Yes", "No"))</f>
        <v/>
      </c>
    </row>
    <row r="27">
      <c r="A27" s="15" t="inlineStr">
        <is>
          <t>Q20</t>
        </is>
      </c>
      <c r="B27" s="15" t="inlineStr">
        <is>
          <t>Collection Quality</t>
        </is>
      </c>
      <c r="C27" s="16" t="inlineStr">
        <is>
          <t>Was volatile evidence captured before containment? (Last 10 incidents)</t>
        </is>
      </c>
      <c r="D27" s="17" t="n"/>
      <c r="E27" s="17" t="n"/>
      <c r="F27" s="17" t="n"/>
      <c r="G27" s="18">
        <f>IF(D27="","",IF(OR(D27="No", D27="Never", D27="None", D27="No Capability"), "Yes", "No"))</f>
        <v/>
      </c>
    </row>
    <row r="28">
      <c r="A28" s="15" t="inlineStr">
        <is>
          <t>Q21</t>
        </is>
      </c>
      <c r="B28" s="15" t="inlineStr">
        <is>
          <t>Collection Quality</t>
        </is>
      </c>
      <c r="C28" s="16" t="inlineStr">
        <is>
          <t>Average time to begin evidence collection after incident declaration?</t>
        </is>
      </c>
      <c r="D28" s="17" t="n"/>
      <c r="E28" s="17" t="n"/>
      <c r="F28" s="17" t="n"/>
      <c r="G28" s="18">
        <f>IF(D28="","",IF(OR(D28="No", D28="Never", D28="None", D28="No Capability"), "Yes", "No"))</f>
        <v/>
      </c>
    </row>
    <row r="29">
      <c r="A29" s="15" t="inlineStr">
        <is>
          <t>Q22</t>
        </is>
      </c>
      <c r="B29" s="15" t="inlineStr">
        <is>
          <t>Collection Quality</t>
        </is>
      </c>
      <c r="C29" s="16" t="inlineStr">
        <is>
          <t>Is evidence collection documented in real-time?</t>
        </is>
      </c>
      <c r="D29" s="17" t="n"/>
      <c r="E29" s="17" t="n"/>
      <c r="F29" s="17" t="n"/>
      <c r="G29" s="18">
        <f>IF(D29="","",IF(OR(D29="No", D29="Never", D29="None", D29="No Capability"), "Yes", "No"))</f>
        <v/>
      </c>
    </row>
    <row r="30">
      <c r="A30" s="15" t="inlineStr">
        <is>
          <t>Q23</t>
        </is>
      </c>
      <c r="B30" s="15" t="inlineStr">
        <is>
          <t>Collection Quality</t>
        </is>
      </c>
      <c r="C30" s="16" t="inlineStr">
        <is>
          <t>% incidents with adequate evidence collection? (Last 10)</t>
        </is>
      </c>
      <c r="D30" s="17" t="n"/>
      <c r="E30" s="17" t="n"/>
      <c r="F30" s="17" t="n"/>
      <c r="G30" s="18">
        <f>IF(D30="","",IF(OR(D30="No", D30="Never", D30="None", D30="No Capability"), "Yes", "No"))</f>
        <v/>
      </c>
    </row>
    <row r="31">
      <c r="A31" s="15" t="inlineStr">
        <is>
          <t>Q24</t>
        </is>
      </c>
      <c r="B31" s="15" t="inlineStr">
        <is>
          <t>Collection Quality</t>
        </is>
      </c>
      <c r="C31" s="16" t="inlineStr">
        <is>
          <t>If external forensics engaged, is collection coordinated?</t>
        </is>
      </c>
      <c r="D31" s="17" t="n"/>
      <c r="E31" s="17" t="n"/>
      <c r="F31" s="17" t="n"/>
      <c r="G31" s="18">
        <f>IF(D31="","",IF(OR(D31="No", D31="Never", D31="None", D31="No Capability"), "Yes", "No"))</f>
        <v/>
      </c>
    </row>
    <row r="32">
      <c r="A32" s="15" t="inlineStr">
        <is>
          <t>Q25</t>
        </is>
      </c>
      <c r="B32" s="15" t="inlineStr">
        <is>
          <t>Collection Quality</t>
        </is>
      </c>
      <c r="C32" s="16" t="inlineStr">
        <is>
          <t>Are collection lessons learned captured and applied?</t>
        </is>
      </c>
      <c r="D32" s="17" t="n"/>
      <c r="E32" s="17" t="n"/>
      <c r="F32" s="17" t="n"/>
      <c r="G32" s="18">
        <f>IF(D32="","",IF(OR(D32="No", D32="Never", D32="None", D32="No Capability"), "Yes", "No"))</f>
        <v/>
      </c>
    </row>
  </sheetData>
  <mergeCells count="5">
    <mergeCell ref="A14:G14"/>
    <mergeCell ref="A1:G1"/>
    <mergeCell ref="A2:G2"/>
    <mergeCell ref="A25:G25"/>
    <mergeCell ref="A5:G5"/>
  </mergeCells>
  <dataValidations count="1">
    <dataValidation sqref="D5 D6 D7 D8 D9 D10 D11 D12 D13 D14 D15 D16 D17 D18 D19 D20 D21 D22 D23 D24 D25 D26 D27 D28 D29 D30 D31 D32" showDropDown="0" showInputMessage="0" showErrorMessage="0" allowBlank="1" type="list">
      <formula1>"Yes,No,Partial,None,Never,No Capability,In-Progress,N/A"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
  <sheetViews>
    <sheetView showGridLines="0" workbookViewId="0">
      <pane ySplit="4" topLeftCell="A5" activePane="bottomLeft" state="frozen"/>
      <selection pane="bottomLeft" activeCell="A1" sqref="A1"/>
    </sheetView>
  </sheetViews>
  <sheetFormatPr baseColWidth="8" defaultRowHeight="15"/>
  <cols>
    <col width="12" customWidth="1" min="1" max="1"/>
    <col width="22" customWidth="1" min="2" max="2"/>
    <col width="58" customWidth="1" min="3" max="3"/>
    <col width="28" customWidth="1" min="4" max="4"/>
    <col width="28" customWidth="1" min="5" max="5"/>
    <col width="32" customWidth="1" min="6" max="6"/>
    <col width="10" customWidth="1" min="7" max="7"/>
  </cols>
  <sheetData>
    <row r="1" ht="35" customHeight="1">
      <c r="A1" s="11" t="inlineStr">
        <is>
          <t>CHAIN OF CUSTODY</t>
        </is>
      </c>
    </row>
    <row r="2">
      <c r="A2" s="12" t="inlineStr">
        <is>
          <t>ISO/IEC 27001:2022 - Control A.5.24-28: Incident Management | CoC Documentation, Integrity Verification, Access Control (20 Questions)</t>
        </is>
      </c>
    </row>
    <row r="4">
      <c r="A4" s="13" t="inlineStr">
        <is>
          <t>Question ID</t>
        </is>
      </c>
      <c r="B4" s="13" t="inlineStr">
        <is>
          <t>Section</t>
        </is>
      </c>
      <c r="C4" s="13" t="inlineStr">
        <is>
          <t>Question</t>
        </is>
      </c>
      <c r="D4" s="13" t="inlineStr">
        <is>
          <t>Answer</t>
        </is>
      </c>
      <c r="E4" s="13" t="inlineStr">
        <is>
          <t>Evidence Ref</t>
        </is>
      </c>
      <c r="F4" s="13" t="inlineStr">
        <is>
          <t>Comments</t>
        </is>
      </c>
      <c r="G4" s="13" t="inlineStr">
        <is>
          <t>Gap Flag</t>
        </is>
      </c>
    </row>
    <row r="5" ht="20" customHeight="1">
      <c r="A5" s="14" t="inlineStr">
        <is>
          <t xml:space="preserve">  CoC Documentation</t>
        </is>
      </c>
      <c r="B5" s="6" t="n"/>
      <c r="C5" s="6" t="n"/>
      <c r="D5" s="6" t="n"/>
      <c r="E5" s="6" t="n"/>
      <c r="F5" s="6" t="n"/>
      <c r="G5" s="6" t="n"/>
    </row>
    <row r="6">
      <c r="A6" s="15" t="inlineStr">
        <is>
          <t>Q26</t>
        </is>
      </c>
      <c r="B6" s="15" t="inlineStr">
        <is>
          <t>CoC Documentation</t>
        </is>
      </c>
      <c r="C6" s="16" t="inlineStr">
        <is>
          <t>Is chain of custody procedure documented?</t>
        </is>
      </c>
      <c r="D6" s="17" t="n"/>
      <c r="E6" s="17" t="n"/>
      <c r="F6" s="17" t="n"/>
      <c r="G6" s="18">
        <f>IF(D6="","",IF(OR(D6="No", D6="Never", D6="None", D6="No Capability"), "Yes", "No"))</f>
        <v/>
      </c>
    </row>
    <row r="7">
      <c r="A7" s="15" t="inlineStr">
        <is>
          <t>Q27</t>
        </is>
      </c>
      <c r="B7" s="15" t="inlineStr">
        <is>
          <t>CoC Documentation</t>
        </is>
      </c>
      <c r="C7" s="16" t="inlineStr">
        <is>
          <t>Are CoC forms completed for all evidence?</t>
        </is>
      </c>
      <c r="D7" s="17" t="n"/>
      <c r="E7" s="17" t="n"/>
      <c r="F7" s="17" t="n"/>
      <c r="G7" s="18">
        <f>IF(D7="","",IF(OR(D7="No", D7="Never", D7="None", D7="No Capability"), "Yes", "No"))</f>
        <v/>
      </c>
    </row>
    <row r="8">
      <c r="A8" s="15" t="inlineStr">
        <is>
          <t>Q28</t>
        </is>
      </c>
      <c r="B8" s="15" t="inlineStr">
        <is>
          <t>CoC Documentation</t>
        </is>
      </c>
      <c r="C8" s="16" t="inlineStr">
        <is>
          <t>How is CoC documented?</t>
        </is>
      </c>
      <c r="D8" s="17" t="n"/>
      <c r="E8" s="17" t="n"/>
      <c r="F8" s="17" t="n"/>
      <c r="G8" s="18">
        <f>IF(D8="","",IF(OR(D8="No", D8="Never", D8="None", D8="No Capability"), "Yes", "No"))</f>
        <v/>
      </c>
    </row>
    <row r="9">
      <c r="A9" s="15" t="inlineStr">
        <is>
          <t>Q29</t>
        </is>
      </c>
      <c r="B9" s="15" t="inlineStr">
        <is>
          <t>CoC Documentation</t>
        </is>
      </c>
      <c r="C9" s="16" t="inlineStr">
        <is>
          <t>Is every evidence transfer documented?</t>
        </is>
      </c>
      <c r="D9" s="17" t="n"/>
      <c r="E9" s="17" t="n"/>
      <c r="F9" s="17" t="n"/>
      <c r="G9" s="18">
        <f>IF(D9="","",IF(OR(D9="No", D9="Never", D9="None", D9="No Capability"), "Yes", "No"))</f>
        <v/>
      </c>
    </row>
    <row r="10">
      <c r="A10" s="15" t="inlineStr">
        <is>
          <t>Q30</t>
        </is>
      </c>
      <c r="B10" s="15" t="inlineStr">
        <is>
          <t>CoC Documentation</t>
        </is>
      </c>
      <c r="C10" s="16" t="inlineStr">
        <is>
          <t>Is access to stored evidence logged?</t>
        </is>
      </c>
      <c r="D10" s="17" t="n"/>
      <c r="E10" s="17" t="n"/>
      <c r="F10" s="17" t="n"/>
      <c r="G10" s="18">
        <f>IF(D10="","",IF(OR(D10="No", D10="Never", D10="None", D10="No Capability"), "Yes", "No"))</f>
        <v/>
      </c>
    </row>
    <row r="11">
      <c r="A11" s="15" t="inlineStr">
        <is>
          <t>Q31</t>
        </is>
      </c>
      <c r="B11" s="15" t="inlineStr">
        <is>
          <t>CoC Documentation</t>
        </is>
      </c>
      <c r="C11" s="16" t="inlineStr">
        <is>
          <t>Was CoC complete in recent investigations? (Last 10)</t>
        </is>
      </c>
      <c r="D11" s="17" t="n"/>
      <c r="E11" s="17" t="n"/>
      <c r="F11" s="17" t="n"/>
      <c r="G11" s="18">
        <f>IF(D11="","",IF(OR(D11="No", D11="Never", D11="None", D11="No Capability"), "Yes", "No"))</f>
        <v/>
      </c>
    </row>
    <row r="12">
      <c r="A12" s="15" t="inlineStr">
        <is>
          <t>Q32</t>
        </is>
      </c>
      <c r="B12" s="15" t="inlineStr">
        <is>
          <t>CoC Documentation</t>
        </is>
      </c>
      <c r="C12" s="16" t="inlineStr">
        <is>
          <t>Do all evidence-handling personnel receive CoC training?</t>
        </is>
      </c>
      <c r="D12" s="17" t="n"/>
      <c r="E12" s="17" t="n"/>
      <c r="F12" s="17" t="n"/>
      <c r="G12" s="18">
        <f>IF(D12="","",IF(OR(D12="No", D12="Never", D12="None", D12="No Capability"), "Yes", "No"))</f>
        <v/>
      </c>
    </row>
    <row r="13" ht="20" customHeight="1">
      <c r="A13" s="14" t="inlineStr">
        <is>
          <t xml:space="preserve">  Integrity Verification</t>
        </is>
      </c>
      <c r="B13" s="6" t="n"/>
      <c r="C13" s="6" t="n"/>
      <c r="D13" s="6" t="n"/>
      <c r="E13" s="6" t="n"/>
      <c r="F13" s="6" t="n"/>
      <c r="G13" s="6" t="n"/>
    </row>
    <row r="14">
      <c r="A14" s="15" t="inlineStr">
        <is>
          <t>Q33</t>
        </is>
      </c>
      <c r="B14" s="15" t="inlineStr">
        <is>
          <t>Integrity Verification</t>
        </is>
      </c>
      <c r="C14" s="16" t="inlineStr">
        <is>
          <t>Are hash values calculated for all collected evidence?</t>
        </is>
      </c>
      <c r="D14" s="17" t="n"/>
      <c r="E14" s="17" t="n"/>
      <c r="F14" s="17" t="n"/>
      <c r="G14" s="18">
        <f>IF(D14="","",IF(OR(D14="No", D14="Never", D14="None", D14="No Capability"), "Yes", "No"))</f>
        <v/>
      </c>
    </row>
    <row r="15">
      <c r="A15" s="15" t="inlineStr">
        <is>
          <t>Q34</t>
        </is>
      </c>
      <c r="B15" s="15" t="inlineStr">
        <is>
          <t>Integrity Verification</t>
        </is>
      </c>
      <c r="C15" s="16" t="inlineStr">
        <is>
          <t>What hash algorithm is used?</t>
        </is>
      </c>
      <c r="D15" s="17" t="n"/>
      <c r="E15" s="17" t="n"/>
      <c r="F15" s="17" t="n"/>
      <c r="G15" s="18">
        <f>IF(D15="","",IF(OR(D15="No", D15="Never", D15="None", D15="No Capability"), "Yes", "No"))</f>
        <v/>
      </c>
    </row>
    <row r="16">
      <c r="A16" s="15" t="inlineStr">
        <is>
          <t>Q35</t>
        </is>
      </c>
      <c r="B16" s="15" t="inlineStr">
        <is>
          <t>Integrity Verification</t>
        </is>
      </c>
      <c r="C16" s="16" t="inlineStr">
        <is>
          <t>Is dual hashing used (two independent algorithms)?</t>
        </is>
      </c>
      <c r="D16" s="17" t="n"/>
      <c r="E16" s="17" t="n"/>
      <c r="F16" s="17" t="n"/>
      <c r="G16" s="18">
        <f>IF(D16="","",IF(OR(D16="No", D16="Never", D16="None", D16="No Capability"), "Yes", "No"))</f>
        <v/>
      </c>
    </row>
    <row r="17">
      <c r="A17" s="15" t="inlineStr">
        <is>
          <t>Q36</t>
        </is>
      </c>
      <c r="B17" s="15" t="inlineStr">
        <is>
          <t>Integrity Verification</t>
        </is>
      </c>
      <c r="C17" s="16" t="inlineStr">
        <is>
          <t>Are hash values verified when copies are made?</t>
        </is>
      </c>
      <c r="D17" s="17" t="n"/>
      <c r="E17" s="17" t="n"/>
      <c r="F17" s="17" t="n"/>
      <c r="G17" s="18">
        <f>IF(D17="","",IF(OR(D17="No", D17="Never", D17="None", D17="No Capability"), "Yes", "No"))</f>
        <v/>
      </c>
    </row>
    <row r="18">
      <c r="A18" s="15" t="inlineStr">
        <is>
          <t>Q37</t>
        </is>
      </c>
      <c r="B18" s="15" t="inlineStr">
        <is>
          <t>Integrity Verification</t>
        </is>
      </c>
      <c r="C18" s="16" t="inlineStr">
        <is>
          <t>Are hash values stored separately from evidence?</t>
        </is>
      </c>
      <c r="D18" s="17" t="n"/>
      <c r="E18" s="17" t="n"/>
      <c r="F18" s="17" t="n"/>
      <c r="G18" s="18">
        <f>IF(D18="","",IF(OR(D18="No", D18="Never", D18="None", D18="No Capability"), "Yes", "No"))</f>
        <v/>
      </c>
    </row>
    <row r="19">
      <c r="A19" s="15" t="inlineStr">
        <is>
          <t>Q38</t>
        </is>
      </c>
      <c r="B19" s="15" t="inlineStr">
        <is>
          <t>Integrity Verification</t>
        </is>
      </c>
      <c r="C19" s="16" t="inlineStr">
        <is>
          <t>How often is stored evidence integrity verified?</t>
        </is>
      </c>
      <c r="D19" s="17" t="n"/>
      <c r="E19" s="17" t="n"/>
      <c r="F19" s="17" t="n"/>
      <c r="G19" s="18">
        <f>IF(D19="","",IF(OR(D19="No", D19="Never", D19="None", D19="No Capability"), "Yes", "No"))</f>
        <v/>
      </c>
    </row>
    <row r="20" ht="20" customHeight="1">
      <c r="A20" s="14" t="inlineStr">
        <is>
          <t xml:space="preserve">  Access Control</t>
        </is>
      </c>
      <c r="B20" s="6" t="n"/>
      <c r="C20" s="6" t="n"/>
      <c r="D20" s="6" t="n"/>
      <c r="E20" s="6" t="n"/>
      <c r="F20" s="6" t="n"/>
      <c r="G20" s="6" t="n"/>
    </row>
    <row r="21">
      <c r="A21" s="15" t="inlineStr">
        <is>
          <t>Q39</t>
        </is>
      </c>
      <c r="B21" s="15" t="inlineStr">
        <is>
          <t>Access Control</t>
        </is>
      </c>
      <c r="C21" s="16" t="inlineStr">
        <is>
          <t>Is access to forensic evidence restricted?</t>
        </is>
      </c>
      <c r="D21" s="17" t="n"/>
      <c r="E21" s="17" t="n"/>
      <c r="F21" s="17" t="n"/>
      <c r="G21" s="18">
        <f>IF(D21="","",IF(OR(D21="No", D21="Never", D21="None", D21="No Capability"), "Yes", "No"))</f>
        <v/>
      </c>
    </row>
    <row r="22">
      <c r="A22" s="15" t="inlineStr">
        <is>
          <t>Q40</t>
        </is>
      </c>
      <c r="B22" s="15" t="inlineStr">
        <is>
          <t>Access Control</t>
        </is>
      </c>
      <c r="C22" s="16" t="inlineStr">
        <is>
          <t>Is an authorised access list maintained per evidence item?</t>
        </is>
      </c>
      <c r="D22" s="17" t="n"/>
      <c r="E22" s="17" t="n"/>
      <c r="F22" s="17" t="n"/>
      <c r="G22" s="18">
        <f>IF(D22="","",IF(OR(D22="No", D22="Never", D22="None", D22="No Capability"), "Yes", "No"))</f>
        <v/>
      </c>
    </row>
    <row r="23">
      <c r="A23" s="15" t="inlineStr">
        <is>
          <t>Q41</t>
        </is>
      </c>
      <c r="B23" s="15" t="inlineStr">
        <is>
          <t>Access Control</t>
        </is>
      </c>
      <c r="C23" s="16" t="inlineStr">
        <is>
          <t>Is evidence accessible in read-only mode?</t>
        </is>
      </c>
      <c r="D23" s="17" t="n"/>
      <c r="E23" s="17" t="n"/>
      <c r="F23" s="17" t="n"/>
      <c r="G23" s="18">
        <f>IF(D23="","",IF(OR(D23="No", D23="Never", D23="None", D23="No Capability"), "Yes", "No"))</f>
        <v/>
      </c>
    </row>
    <row r="24">
      <c r="A24" s="15" t="inlineStr">
        <is>
          <t>Q42</t>
        </is>
      </c>
      <c r="B24" s="15" t="inlineStr">
        <is>
          <t>Access Control</t>
        </is>
      </c>
      <c r="C24" s="16" t="inlineStr">
        <is>
          <t>Is physical evidence in a secure, access-controlled location?</t>
        </is>
      </c>
      <c r="D24" s="17" t="n"/>
      <c r="E24" s="17" t="n"/>
      <c r="F24" s="17" t="n"/>
      <c r="G24" s="18">
        <f>IF(D24="","",IF(OR(D24="No", D24="Never", D24="None", D24="No Capability"), "Yes", "No"))</f>
        <v/>
      </c>
    </row>
    <row r="25">
      <c r="A25" s="15" t="inlineStr">
        <is>
          <t>Q43</t>
        </is>
      </c>
      <c r="B25" s="15" t="inlineStr">
        <is>
          <t>Access Control</t>
        </is>
      </c>
      <c r="C25" s="16" t="inlineStr">
        <is>
          <t>Can unauthorised access to evidence be detected?</t>
        </is>
      </c>
      <c r="D25" s="17" t="n"/>
      <c r="E25" s="17" t="n"/>
      <c r="F25" s="17" t="n"/>
      <c r="G25" s="18">
        <f>IF(D25="","",IF(OR(D25="No", D25="Never", D25="None", D25="No Capability"), "Yes", "No"))</f>
        <v/>
      </c>
    </row>
    <row r="26">
      <c r="A26" s="15" t="inlineStr">
        <is>
          <t>Q44</t>
        </is>
      </c>
      <c r="B26" s="15" t="inlineStr">
        <is>
          <t>Access Control</t>
        </is>
      </c>
      <c r="C26" s="16" t="inlineStr">
        <is>
          <t>Are controls in place for sharing evidence externally?</t>
        </is>
      </c>
      <c r="D26" s="17" t="n"/>
      <c r="E26" s="17" t="n"/>
      <c r="F26" s="17" t="n"/>
      <c r="G26" s="18">
        <f>IF(D26="","",IF(OR(D26="No", D26="Never", D26="None", D26="No Capability"), "Yes", "No"))</f>
        <v/>
      </c>
    </row>
    <row r="27">
      <c r="A27" s="15" t="inlineStr">
        <is>
          <t>Q45</t>
        </is>
      </c>
      <c r="B27" s="15" t="inlineStr">
        <is>
          <t>Access Control</t>
        </is>
      </c>
      <c r="C27" s="16" t="inlineStr">
        <is>
          <t>For physical evidence, are handling precautions followed (gloves, packaging)?</t>
        </is>
      </c>
      <c r="D27" s="17" t="n"/>
      <c r="E27" s="17" t="n"/>
      <c r="F27" s="17" t="n"/>
      <c r="G27" s="18">
        <f>IF(D27="","",IF(OR(D27="No", D27="Never", D27="None", D27="No Capability"), "Yes", "No"))</f>
        <v/>
      </c>
    </row>
  </sheetData>
  <mergeCells count="5">
    <mergeCell ref="A13:G13"/>
    <mergeCell ref="A1:G1"/>
    <mergeCell ref="A20:G20"/>
    <mergeCell ref="A2:G2"/>
    <mergeCell ref="A5:G5"/>
  </mergeCells>
  <dataValidations count="1">
    <dataValidation sqref="D5 D6 D7 D8 D9 D10 D11 D12 D13 D14 D15 D16 D17 D18 D19 D20 D21 D22 D23 D24 D25 D26 D27" showDropDown="0" showInputMessage="0" showErrorMessage="0" allowBlank="1" type="list">
      <formula1>"Yes,No,Partial,None,Never,No Capability,In-Progress,N/A"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7"/>
  <sheetViews>
    <sheetView showGridLines="0" workbookViewId="0">
      <pane ySplit="4" topLeftCell="A5" activePane="bottomLeft" state="frozen"/>
      <selection pane="bottomLeft" activeCell="A1" sqref="A1"/>
    </sheetView>
  </sheetViews>
  <sheetFormatPr baseColWidth="8" defaultRowHeight="15"/>
  <cols>
    <col width="12" customWidth="1" min="1" max="1"/>
    <col width="22" customWidth="1" min="2" max="2"/>
    <col width="58" customWidth="1" min="3" max="3"/>
    <col width="28" customWidth="1" min="4" max="4"/>
    <col width="28" customWidth="1" min="5" max="5"/>
    <col width="32" customWidth="1" min="6" max="6"/>
    <col width="10" customWidth="1" min="7" max="7"/>
  </cols>
  <sheetData>
    <row r="1" ht="35" customHeight="1">
      <c r="A1" s="11" t="inlineStr">
        <is>
          <t>FORENSIC ANALYSIS</t>
        </is>
      </c>
    </row>
    <row r="2">
      <c r="A2" s="12" t="inlineStr">
        <is>
          <t>ISO/IEC 27001:2022 - Control A.5.24-28: Incident Management | Analysis Tools, Analyst Capabilities, Analysis Outcomes (20 Questions)</t>
        </is>
      </c>
    </row>
    <row r="4">
      <c r="A4" s="13" t="inlineStr">
        <is>
          <t>Question ID</t>
        </is>
      </c>
      <c r="B4" s="13" t="inlineStr">
        <is>
          <t>Section</t>
        </is>
      </c>
      <c r="C4" s="13" t="inlineStr">
        <is>
          <t>Question</t>
        </is>
      </c>
      <c r="D4" s="13" t="inlineStr">
        <is>
          <t>Answer</t>
        </is>
      </c>
      <c r="E4" s="13" t="inlineStr">
        <is>
          <t>Evidence Ref</t>
        </is>
      </c>
      <c r="F4" s="13" t="inlineStr">
        <is>
          <t>Comments</t>
        </is>
      </c>
      <c r="G4" s="13" t="inlineStr">
        <is>
          <t>Gap Flag</t>
        </is>
      </c>
    </row>
    <row r="5" ht="20" customHeight="1">
      <c r="A5" s="14" t="inlineStr">
        <is>
          <t xml:space="preserve">  Analysis Tools</t>
        </is>
      </c>
      <c r="B5" s="6" t="n"/>
      <c r="C5" s="6" t="n"/>
      <c r="D5" s="6" t="n"/>
      <c r="E5" s="6" t="n"/>
      <c r="F5" s="6" t="n"/>
      <c r="G5" s="6" t="n"/>
    </row>
    <row r="6">
      <c r="A6" s="15" t="inlineStr">
        <is>
          <t>Q46</t>
        </is>
      </c>
      <c r="B6" s="15" t="inlineStr">
        <is>
          <t>Analysis Tools</t>
        </is>
      </c>
      <c r="C6" s="16" t="inlineStr">
        <is>
          <t>What forensic tools are available? (Disk/Memory/Network/Malware/Mobile/Cloud/Log/Other)</t>
        </is>
      </c>
      <c r="D6" s="17" t="n"/>
      <c r="E6" s="17" t="n"/>
      <c r="F6" s="17" t="n"/>
      <c r="G6" s="18">
        <f>IF(D6="","",IF(OR(D6="No", D6="Never", D6="None", D6="No Capability"), "Yes", "No"))</f>
        <v/>
      </c>
    </row>
    <row r="7">
      <c r="A7" s="15" t="inlineStr">
        <is>
          <t>Q47</t>
        </is>
      </c>
      <c r="B7" s="15" t="inlineStr">
        <is>
          <t>Analysis Tools</t>
        </is>
      </c>
      <c r="C7" s="16" t="inlineStr">
        <is>
          <t>Tool type: Commercial / Open-Source / Both / None?</t>
        </is>
      </c>
      <c r="D7" s="17" t="n"/>
      <c r="E7" s="17" t="n"/>
      <c r="F7" s="17" t="n"/>
      <c r="G7" s="18">
        <f>IF(D7="","",IF(OR(D7="No", D7="Never", D7="None", D7="No Capability"), "Yes", "No"))</f>
        <v/>
      </c>
    </row>
    <row r="8">
      <c r="A8" s="15" t="inlineStr">
        <is>
          <t>Q48</t>
        </is>
      </c>
      <c r="B8" s="15" t="inlineStr">
        <is>
          <t>Analysis Tools</t>
        </is>
      </c>
      <c r="C8" s="16" t="inlineStr">
        <is>
          <t>Are forensic tools properly licensed and maintained?</t>
        </is>
      </c>
      <c r="D8" s="17" t="n"/>
      <c r="E8" s="17" t="n"/>
      <c r="F8" s="17" t="n"/>
      <c r="G8" s="18">
        <f>IF(D8="","",IF(OR(D8="No", D8="Never", D8="None", D8="No Capability"), "Yes", "No"))</f>
        <v/>
      </c>
    </row>
    <row r="9">
      <c r="A9" s="15" t="inlineStr">
        <is>
          <t>Q49</t>
        </is>
      </c>
      <c r="B9" s="15" t="inlineStr">
        <is>
          <t>Analysis Tools</t>
        </is>
      </c>
      <c r="C9" s="16" t="inlineStr">
        <is>
          <t>Are forensic tools validated before use?</t>
        </is>
      </c>
      <c r="D9" s="17" t="n"/>
      <c r="E9" s="17" t="n"/>
      <c r="F9" s="17" t="n"/>
      <c r="G9" s="18">
        <f>IF(D9="","",IF(OR(D9="No", D9="Never", D9="None", D9="No Capability"), "Yes", "No"))</f>
        <v/>
      </c>
    </row>
    <row r="10">
      <c r="A10" s="15" t="inlineStr">
        <is>
          <t>Q50</t>
        </is>
      </c>
      <c r="B10" s="15" t="inlineStr">
        <is>
          <t>Analysis Tools</t>
        </is>
      </c>
      <c r="C10" s="16" t="inlineStr">
        <is>
          <t>Are forensic tools kept up-to-date?</t>
        </is>
      </c>
      <c r="D10" s="17" t="n"/>
      <c r="E10" s="17" t="n"/>
      <c r="F10" s="17" t="n"/>
      <c r="G10" s="18">
        <f>IF(D10="","",IF(OR(D10="No", D10="Never", D10="None", D10="No Capability"), "Yes", "No"))</f>
        <v/>
      </c>
    </row>
    <row r="11">
      <c r="A11" s="15" t="inlineStr">
        <is>
          <t>Q51</t>
        </is>
      </c>
      <c r="B11" s="15" t="inlineStr">
        <is>
          <t>Analysis Tools</t>
        </is>
      </c>
      <c r="C11" s="16" t="inlineStr">
        <is>
          <t>Are dedicated forensic workstations available (isolated)?</t>
        </is>
      </c>
      <c r="D11" s="17" t="n"/>
      <c r="E11" s="17" t="n"/>
      <c r="F11" s="17" t="n"/>
      <c r="G11" s="18">
        <f>IF(D11="","",IF(OR(D11="No", D11="Never", D11="None", D11="No Capability"), "Yes", "No"))</f>
        <v/>
      </c>
    </row>
    <row r="12">
      <c r="A12" s="15" t="inlineStr">
        <is>
          <t>Q52</t>
        </is>
      </c>
      <c r="B12" s="15" t="inlineStr">
        <is>
          <t>Analysis Tools</t>
        </is>
      </c>
      <c r="C12" s="16" t="inlineStr">
        <is>
          <t>Is a malware analysis sandbox available?</t>
        </is>
      </c>
      <c r="D12" s="17" t="n"/>
      <c r="E12" s="17" t="n"/>
      <c r="F12" s="17" t="n"/>
      <c r="G12" s="18">
        <f>IF(D12="","",IF(OR(D12="No", D12="Never", D12="None", D12="No Capability"), "Yes", "No"))</f>
        <v/>
      </c>
    </row>
    <row r="13" ht="20" customHeight="1">
      <c r="A13" s="14" t="inlineStr">
        <is>
          <t xml:space="preserve">  Analyst Capabilities</t>
        </is>
      </c>
      <c r="B13" s="6" t="n"/>
      <c r="C13" s="6" t="n"/>
      <c r="D13" s="6" t="n"/>
      <c r="E13" s="6" t="n"/>
      <c r="F13" s="6" t="n"/>
      <c r="G13" s="6" t="n"/>
    </row>
    <row r="14">
      <c r="A14" s="15" t="inlineStr">
        <is>
          <t>Q53</t>
        </is>
      </c>
      <c r="B14" s="15" t="inlineStr">
        <is>
          <t>Analyst Capabilities</t>
        </is>
      </c>
      <c r="C14" s="16" t="inlineStr">
        <is>
          <t>How many qualified forensic analysts?</t>
        </is>
      </c>
      <c r="D14" s="17" t="n"/>
      <c r="E14" s="17" t="n"/>
      <c r="F14" s="17" t="n"/>
      <c r="G14" s="18">
        <f>IF(D14="","",IF(OR(D14="No", D14="Never", D14="None", D14="No Capability"), "Yes", "No"))</f>
        <v/>
      </c>
    </row>
    <row r="15">
      <c r="A15" s="15" t="inlineStr">
        <is>
          <t>Q54</t>
        </is>
      </c>
      <c r="B15" s="15" t="inlineStr">
        <is>
          <t>Analyst Capabilities</t>
        </is>
      </c>
      <c r="C15" s="16" t="inlineStr">
        <is>
          <t>Do forensic analysts hold recognised certifications?</t>
        </is>
      </c>
      <c r="D15" s="17" t="n"/>
      <c r="E15" s="17" t="n"/>
      <c r="F15" s="17" t="n"/>
      <c r="G15" s="18">
        <f>IF(D15="","",IF(OR(D15="No", D15="Never", D15="None", D15="No Capability"), "Yes", "No"))</f>
        <v/>
      </c>
    </row>
    <row r="16">
      <c r="A16" s="15" t="inlineStr">
        <is>
          <t>Q55</t>
        </is>
      </c>
      <c r="B16" s="15" t="inlineStr">
        <is>
          <t>Analyst Capabilities</t>
        </is>
      </c>
      <c r="C16" s="16" t="inlineStr">
        <is>
          <t>Forensic analyst training frequency?</t>
        </is>
      </c>
      <c r="D16" s="17" t="n"/>
      <c r="E16" s="17" t="n"/>
      <c r="F16" s="17" t="n"/>
      <c r="G16" s="18">
        <f>IF(D16="","",IF(OR(D16="No", D16="Never", D16="None", D16="No Capability"), "Yes", "No"))</f>
        <v/>
      </c>
    </row>
    <row r="17">
      <c r="A17" s="15" t="inlineStr">
        <is>
          <t>Q56</t>
        </is>
      </c>
      <c r="B17" s="15" t="inlineStr">
        <is>
          <t>Analyst Capabilities</t>
        </is>
      </c>
      <c r="C17" s="16" t="inlineStr">
        <is>
          <t>Is analysis methodology documented?</t>
        </is>
      </c>
      <c r="D17" s="17" t="n"/>
      <c r="E17" s="17" t="n"/>
      <c r="F17" s="17" t="n"/>
      <c r="G17" s="18">
        <f>IF(D17="","",IF(OR(D17="No", D17="Never", D17="None", D17="No Capability"), "Yes", "No"))</f>
        <v/>
      </c>
    </row>
    <row r="18">
      <c r="A18" s="15" t="inlineStr">
        <is>
          <t>Q57</t>
        </is>
      </c>
      <c r="B18" s="15" t="inlineStr">
        <is>
          <t>Analyst Capabilities</t>
        </is>
      </c>
      <c r="C18" s="16" t="inlineStr">
        <is>
          <t>Is analysis always performed on copies only?</t>
        </is>
      </c>
      <c r="D18" s="17" t="n"/>
      <c r="E18" s="17" t="n"/>
      <c r="F18" s="17" t="n"/>
      <c r="G18" s="18">
        <f>IF(D18="","",IF(OR(D18="No", D18="Never", D18="None", D18="No Capability"), "Yes", "No"))</f>
        <v/>
      </c>
    </row>
    <row r="19">
      <c r="A19" s="15" t="inlineStr">
        <is>
          <t>Q58</t>
        </is>
      </c>
      <c r="B19" s="15" t="inlineStr">
        <is>
          <t>Analyst Capabilities</t>
        </is>
      </c>
      <c r="C19" s="16" t="inlineStr">
        <is>
          <t>Are findings reproducible (documented for verification)?</t>
        </is>
      </c>
      <c r="D19" s="17" t="n"/>
      <c r="E19" s="17" t="n"/>
      <c r="F19" s="17" t="n"/>
      <c r="G19" s="18">
        <f>IF(D19="","",IF(OR(D19="No", D19="Never", D19="None", D19="No Capability"), "Yes", "No"))</f>
        <v/>
      </c>
    </row>
    <row r="20">
      <c r="A20" s="15" t="inlineStr">
        <is>
          <t>Q59</t>
        </is>
      </c>
      <c r="B20" s="15" t="inlineStr">
        <is>
          <t>Analyst Capabilities</t>
        </is>
      </c>
      <c r="C20" s="16" t="inlineStr">
        <is>
          <t>Are forensic reports reviewed by a second analyst?</t>
        </is>
      </c>
      <c r="D20" s="17" t="n"/>
      <c r="E20" s="17" t="n"/>
      <c r="F20" s="17" t="n"/>
      <c r="G20" s="18">
        <f>IF(D20="","",IF(OR(D20="No", D20="Never", D20="None", D20="No Capability"), "Yes", "No"))</f>
        <v/>
      </c>
    </row>
    <row r="21">
      <c r="A21" s="15" t="inlineStr">
        <is>
          <t>Q60</t>
        </is>
      </c>
      <c r="B21" s="15" t="inlineStr">
        <is>
          <t>Analyst Capabilities</t>
        </is>
      </c>
      <c r="C21" s="16" t="inlineStr">
        <is>
          <t>Can external forensic services be engaged?</t>
        </is>
      </c>
      <c r="D21" s="17" t="n"/>
      <c r="E21" s="17" t="n"/>
      <c r="F21" s="17" t="n"/>
      <c r="G21" s="18">
        <f>IF(D21="","",IF(OR(D21="No", D21="Never", D21="None", D21="No Capability"), "Yes", "No"))</f>
        <v/>
      </c>
    </row>
    <row r="22" ht="20" customHeight="1">
      <c r="A22" s="14" t="inlineStr">
        <is>
          <t xml:space="preserve">  Analysis Outcomes</t>
        </is>
      </c>
      <c r="B22" s="6" t="n"/>
      <c r="C22" s="6" t="n"/>
      <c r="D22" s="6" t="n"/>
      <c r="E22" s="6" t="n"/>
      <c r="F22" s="6" t="n"/>
      <c r="G22" s="6" t="n"/>
    </row>
    <row r="23">
      <c r="A23" s="15" t="inlineStr">
        <is>
          <t>Q61</t>
        </is>
      </c>
      <c r="B23" s="15" t="inlineStr">
        <is>
          <t>Analysis Outcomes</t>
        </is>
      </c>
      <c r="C23" s="16" t="inlineStr">
        <is>
          <t>% incidents with root cause identified? (Last 10 requiring forensics)</t>
        </is>
      </c>
      <c r="D23" s="17" t="n"/>
      <c r="E23" s="17" t="n"/>
      <c r="F23" s="17" t="n"/>
      <c r="G23" s="18">
        <f>IF(D23="","",IF(OR(D23="No", D23="Never", D23="None", D23="No Capability"), "Yes", "No"))</f>
        <v/>
      </c>
    </row>
    <row r="24">
      <c r="A24" s="15" t="inlineStr">
        <is>
          <t>Q62</t>
        </is>
      </c>
      <c r="B24" s="15" t="inlineStr">
        <is>
          <t>Analysis Outcomes</t>
        </is>
      </c>
      <c r="C24" s="16" t="inlineStr">
        <is>
          <t>% breach incidents with full attacker scope determined?</t>
        </is>
      </c>
      <c r="D24" s="17" t="n"/>
      <c r="E24" s="17" t="n"/>
      <c r="F24" s="17" t="n"/>
      <c r="G24" s="18">
        <f>IF(D24="","",IF(OR(D24="No", D24="Never", D24="None", D24="No Capability"), "Yes", "No"))</f>
        <v/>
      </c>
    </row>
    <row r="25">
      <c r="A25" s="15" t="inlineStr">
        <is>
          <t>Q63</t>
        </is>
      </c>
      <c r="B25" s="15" t="inlineStr">
        <is>
          <t>Analysis Outcomes</t>
        </is>
      </c>
      <c r="C25" s="16" t="inlineStr">
        <is>
          <t>Are IOCs generated from forensic analysis?</t>
        </is>
      </c>
      <c r="D25" s="17" t="n"/>
      <c r="E25" s="17" t="n"/>
      <c r="F25" s="17" t="n"/>
      <c r="G25" s="18">
        <f>IF(D25="","",IF(OR(D25="No", D25="Never", D25="None", D25="No Capability"), "Yes", "No"))</f>
        <v/>
      </c>
    </row>
    <row r="26">
      <c r="A26" s="15" t="inlineStr">
        <is>
          <t>Q64</t>
        </is>
      </c>
      <c r="B26" s="15" t="inlineStr">
        <is>
          <t>Analysis Outcomes</t>
        </is>
      </c>
      <c r="C26" s="16" t="inlineStr">
        <is>
          <t>Are incident timelines reconstructed accurately?</t>
        </is>
      </c>
      <c r="D26" s="17" t="n"/>
      <c r="E26" s="17" t="n"/>
      <c r="F26" s="17" t="n"/>
      <c r="G26" s="18">
        <f>IF(D26="","",IF(OR(D26="No", D26="Never", D26="None", D26="No Capability"), "Yes", "No"))</f>
        <v/>
      </c>
    </row>
    <row r="27">
      <c r="A27" s="15" t="inlineStr">
        <is>
          <t>Q65</t>
        </is>
      </c>
      <c r="B27" s="15" t="inlineStr">
        <is>
          <t>Analysis Outcomes</t>
        </is>
      </c>
      <c r="C27" s="16" t="inlineStr">
        <is>
          <t>Were forensic findings actionable?</t>
        </is>
      </c>
      <c r="D27" s="17" t="n"/>
      <c r="E27" s="17" t="n"/>
      <c r="F27" s="17" t="n"/>
      <c r="G27" s="18">
        <f>IF(D27="","",IF(OR(D27="No", D27="Never", D27="None", D27="No Capability"), "Yes", "No"))</f>
        <v/>
      </c>
    </row>
  </sheetData>
  <mergeCells count="5">
    <mergeCell ref="A13:G13"/>
    <mergeCell ref="A1:G1"/>
    <mergeCell ref="A22:G22"/>
    <mergeCell ref="A2:G2"/>
    <mergeCell ref="A5:G5"/>
  </mergeCells>
  <dataValidations count="1">
    <dataValidation sqref="D5 D6 D7 D8 D9 D10 D11 D12 D13 D14 D15 D16 D17 D18 D19 D20 D21 D22 D23 D24 D25 D26 D27" showDropDown="0" showInputMessage="0" showErrorMessage="0" allowBlank="1" type="list">
      <formula1>"Yes,No,Partial,None,Never,No Capability,In-Progress,N/A"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12" customWidth="1" min="1" max="1"/>
    <col width="22" customWidth="1" min="2" max="2"/>
    <col width="58" customWidth="1" min="3" max="3"/>
    <col width="28" customWidth="1" min="4" max="4"/>
    <col width="28" customWidth="1" min="5" max="5"/>
    <col width="32" customWidth="1" min="6" max="6"/>
    <col width="10" customWidth="1" min="7" max="7"/>
  </cols>
  <sheetData>
    <row r="1" ht="35" customHeight="1">
      <c r="A1" s="11" t="inlineStr">
        <is>
          <t>STORAGE &amp; RETENTION</t>
        </is>
      </c>
    </row>
    <row r="2">
      <c r="A2" s="12" t="inlineStr">
        <is>
          <t>ISO/IEC 27001:2022 - Control A.5.24-28: Incident Management | Evidence Storage, Retention &amp; Disposal (15 Questions)</t>
        </is>
      </c>
    </row>
    <row r="4">
      <c r="A4" s="13" t="inlineStr">
        <is>
          <t>Question ID</t>
        </is>
      </c>
      <c r="B4" s="13" t="inlineStr">
        <is>
          <t>Section</t>
        </is>
      </c>
      <c r="C4" s="13" t="inlineStr">
        <is>
          <t>Question</t>
        </is>
      </c>
      <c r="D4" s="13" t="inlineStr">
        <is>
          <t>Answer</t>
        </is>
      </c>
      <c r="E4" s="13" t="inlineStr">
        <is>
          <t>Evidence Ref</t>
        </is>
      </c>
      <c r="F4" s="13" t="inlineStr">
        <is>
          <t>Comments</t>
        </is>
      </c>
      <c r="G4" s="13" t="inlineStr">
        <is>
          <t>Gap Flag</t>
        </is>
      </c>
    </row>
    <row r="5" ht="20" customHeight="1">
      <c r="A5" s="14" t="inlineStr">
        <is>
          <t xml:space="preserve">  Evidence Storage</t>
        </is>
      </c>
      <c r="B5" s="6" t="n"/>
      <c r="C5" s="6" t="n"/>
      <c r="D5" s="6" t="n"/>
      <c r="E5" s="6" t="n"/>
      <c r="F5" s="6" t="n"/>
      <c r="G5" s="6" t="n"/>
    </row>
    <row r="6">
      <c r="A6" s="15" t="inlineStr">
        <is>
          <t>Q66</t>
        </is>
      </c>
      <c r="B6" s="15" t="inlineStr">
        <is>
          <t>Evidence Storage</t>
        </is>
      </c>
      <c r="C6" s="16" t="inlineStr">
        <is>
          <t>Where is forensic evidence stored?</t>
        </is>
      </c>
      <c r="D6" s="17" t="n"/>
      <c r="E6" s="17" t="n"/>
      <c r="F6" s="17" t="n"/>
      <c r="G6" s="18">
        <f>IF(D6="","",IF(OR(D6="No", D6="Never", D6="None", D6="No Capability"), "Yes", "No"))</f>
        <v/>
      </c>
    </row>
    <row r="7">
      <c r="A7" s="15" t="inlineStr">
        <is>
          <t>Q67</t>
        </is>
      </c>
      <c r="B7" s="15" t="inlineStr">
        <is>
          <t>Evidence Storage</t>
        </is>
      </c>
      <c r="C7" s="16" t="inlineStr">
        <is>
          <t>Is storage access-controlled?</t>
        </is>
      </c>
      <c r="D7" s="17" t="n"/>
      <c r="E7" s="17" t="n"/>
      <c r="F7" s="17" t="n"/>
      <c r="G7" s="18">
        <f>IF(D7="","",IF(OR(D7="No", D7="Never", D7="None", D7="No Capability"), "Yes", "No"))</f>
        <v/>
      </c>
    </row>
    <row r="8">
      <c r="A8" s="15" t="inlineStr">
        <is>
          <t>Q68</t>
        </is>
      </c>
      <c r="B8" s="15" t="inlineStr">
        <is>
          <t>Evidence Storage</t>
        </is>
      </c>
      <c r="C8" s="16" t="inlineStr">
        <is>
          <t>Is stored evidence encrypted?</t>
        </is>
      </c>
      <c r="D8" s="17" t="n"/>
      <c r="E8" s="17" t="n"/>
      <c r="F8" s="17" t="n"/>
      <c r="G8" s="18">
        <f>IF(D8="","",IF(OR(D8="No", D8="Never", D8="None", D8="No Capability"), "Yes", "No"))</f>
        <v/>
      </c>
    </row>
    <row r="9">
      <c r="A9" s="15" t="inlineStr">
        <is>
          <t>Q69</t>
        </is>
      </c>
      <c r="B9" s="15" t="inlineStr">
        <is>
          <t>Evidence Storage</t>
        </is>
      </c>
      <c r="C9" s="16" t="inlineStr">
        <is>
          <t>Are backup copies of critical evidence maintained?</t>
        </is>
      </c>
      <c r="D9" s="17" t="n"/>
      <c r="E9" s="17" t="n"/>
      <c r="F9" s="17" t="n"/>
      <c r="G9" s="18">
        <f>IF(D9="","",IF(OR(D9="No", D9="Never", D9="None", D9="No Capability"), "Yes", "No"))</f>
        <v/>
      </c>
    </row>
    <row r="10">
      <c r="A10" s="15" t="inlineStr">
        <is>
          <t>Q70</t>
        </is>
      </c>
      <c r="B10" s="15" t="inlineStr">
        <is>
          <t>Evidence Storage</t>
        </is>
      </c>
      <c r="C10" s="16" t="inlineStr">
        <is>
          <t>Is evidence storage monitored?</t>
        </is>
      </c>
      <c r="D10" s="17" t="n"/>
      <c r="E10" s="17" t="n"/>
      <c r="F10" s="17" t="n"/>
      <c r="G10" s="18">
        <f>IF(D10="","",IF(OR(D10="No", D10="Never", D10="None", D10="No Capability"), "Yes", "No"))</f>
        <v/>
      </c>
    </row>
    <row r="11">
      <c r="A11" s="15" t="inlineStr">
        <is>
          <t>Q71</t>
        </is>
      </c>
      <c r="B11" s="15" t="inlineStr">
        <is>
          <t>Evidence Storage</t>
        </is>
      </c>
      <c r="C11" s="16" t="inlineStr">
        <is>
          <t>Is an evidence catalog maintained?</t>
        </is>
      </c>
      <c r="D11" s="17" t="n"/>
      <c r="E11" s="17" t="n"/>
      <c r="F11" s="17" t="n"/>
      <c r="G11" s="18">
        <f>IF(D11="","",IF(OR(D11="No", D11="Never", D11="None", D11="No Capability"), "Yes", "No"))</f>
        <v/>
      </c>
    </row>
    <row r="12">
      <c r="A12" s="15" t="inlineStr">
        <is>
          <t>Q72</t>
        </is>
      </c>
      <c r="B12" s="15" t="inlineStr">
        <is>
          <t>Evidence Storage</t>
        </is>
      </c>
      <c r="C12" s="16" t="inlineStr">
        <is>
          <t>Is storage capacity sufficient?</t>
        </is>
      </c>
      <c r="D12" s="17" t="n"/>
      <c r="E12" s="17" t="n"/>
      <c r="F12" s="17" t="n"/>
      <c r="G12" s="18">
        <f>IF(D12="","",IF(OR(D12="No", D12="Never", D12="None", D12="No Capability"), "Yes", "No"))</f>
        <v/>
      </c>
    </row>
    <row r="13" ht="20" customHeight="1">
      <c r="A13" s="14" t="inlineStr">
        <is>
          <t xml:space="preserve">  Retention &amp; Disposal</t>
        </is>
      </c>
      <c r="B13" s="6" t="n"/>
      <c r="C13" s="6" t="n"/>
      <c r="D13" s="6" t="n"/>
      <c r="E13" s="6" t="n"/>
      <c r="F13" s="6" t="n"/>
      <c r="G13" s="6" t="n"/>
    </row>
    <row r="14">
      <c r="A14" s="15" t="inlineStr">
        <is>
          <t>Q73</t>
        </is>
      </c>
      <c r="B14" s="15" t="inlineStr">
        <is>
          <t>Retention &amp; Disposal</t>
        </is>
      </c>
      <c r="C14" s="16" t="inlineStr">
        <is>
          <t>Are retention periods defined for forensic evidence?</t>
        </is>
      </c>
      <c r="D14" s="17" t="n"/>
      <c r="E14" s="17" t="n"/>
      <c r="F14" s="17" t="n"/>
      <c r="G14" s="18">
        <f>IF(D14="","",IF(OR(D14="No", D14="Never", D14="None", D14="No Capability"), "Yes", "No"))</f>
        <v/>
      </c>
    </row>
    <row r="15">
      <c r="A15" s="15" t="inlineStr">
        <is>
          <t>Q74</t>
        </is>
      </c>
      <c r="B15" s="15" t="inlineStr">
        <is>
          <t>Retention &amp; Disposal</t>
        </is>
      </c>
      <c r="C15" s="16" t="inlineStr">
        <is>
          <t>Do retention periods meet regulatory requirements?</t>
        </is>
      </c>
      <c r="D15" s="17" t="n"/>
      <c r="E15" s="17" t="n"/>
      <c r="F15" s="17" t="n"/>
      <c r="G15" s="18">
        <f>IF(D15="","",IF(OR(D15="No", D15="Never", D15="None", D15="No Capability"), "Yes", "No"))</f>
        <v/>
      </c>
    </row>
    <row r="16">
      <c r="A16" s="15" t="inlineStr">
        <is>
          <t>Q75</t>
        </is>
      </c>
      <c r="B16" s="15" t="inlineStr">
        <is>
          <t>Retention &amp; Disposal</t>
        </is>
      </c>
      <c r="C16" s="16" t="inlineStr">
        <is>
          <t>Can retention be extended via legal hold?</t>
        </is>
      </c>
      <c r="D16" s="17" t="n"/>
      <c r="E16" s="17" t="n"/>
      <c r="F16" s="17" t="n"/>
      <c r="G16" s="18">
        <f>IF(D16="","",IF(OR(D16="No", D16="Never", D16="None", D16="No Capability"), "Yes", "No"))</f>
        <v/>
      </c>
    </row>
    <row r="17">
      <c r="A17" s="15" t="inlineStr">
        <is>
          <t>Q76</t>
        </is>
      </c>
      <c r="B17" s="15" t="inlineStr">
        <is>
          <t>Retention &amp; Disposal</t>
        </is>
      </c>
      <c r="C17" s="16" t="inlineStr">
        <is>
          <t>Are evidence disposal procedures documented?</t>
        </is>
      </c>
      <c r="D17" s="17" t="n"/>
      <c r="E17" s="17" t="n"/>
      <c r="F17" s="17" t="n"/>
      <c r="G17" s="18">
        <f>IF(D17="","",IF(OR(D17="No", D17="Never", D17="None", D17="No Capability"), "Yes", "No"))</f>
        <v/>
      </c>
    </row>
    <row r="18">
      <c r="A18" s="15" t="inlineStr">
        <is>
          <t>Q77</t>
        </is>
      </c>
      <c r="B18" s="15" t="inlineStr">
        <is>
          <t>Retention &amp; Disposal</t>
        </is>
      </c>
      <c r="C18" s="16" t="inlineStr">
        <is>
          <t>Is disposal authorised before execution?</t>
        </is>
      </c>
      <c r="D18" s="17" t="n"/>
      <c r="E18" s="17" t="n"/>
      <c r="F18" s="17" t="n"/>
      <c r="G18" s="18">
        <f>IF(D18="","",IF(OR(D18="No", D18="Never", D18="None", D18="No Capability"), "Yes", "No"))</f>
        <v/>
      </c>
    </row>
    <row r="19">
      <c r="A19" s="15" t="inlineStr">
        <is>
          <t>Q78</t>
        </is>
      </c>
      <c r="B19" s="15" t="inlineStr">
        <is>
          <t>Retention &amp; Disposal</t>
        </is>
      </c>
      <c r="C19" s="16" t="inlineStr">
        <is>
          <t>Is disposal verified after execution?</t>
        </is>
      </c>
      <c r="D19" s="17" t="n"/>
      <c r="E19" s="17" t="n"/>
      <c r="F19" s="17" t="n"/>
      <c r="G19" s="18">
        <f>IF(D19="","",IF(OR(D19="No", D19="Never", D19="None", D19="No Capability"), "Yes", "No"))</f>
        <v/>
      </c>
    </row>
    <row r="20">
      <c r="A20" s="15" t="inlineStr">
        <is>
          <t>Q79</t>
        </is>
      </c>
      <c r="B20" s="15" t="inlineStr">
        <is>
          <t>Retention &amp; Disposal</t>
        </is>
      </c>
      <c r="C20" s="16" t="inlineStr">
        <is>
          <t>Are disposal records maintained?</t>
        </is>
      </c>
      <c r="D20" s="17" t="n"/>
      <c r="E20" s="17" t="n"/>
      <c r="F20" s="17" t="n"/>
      <c r="G20" s="18">
        <f>IF(D20="","",IF(OR(D20="No", D20="Never", D20="None", D20="No Capability"), "Yes", "No"))</f>
        <v/>
      </c>
    </row>
    <row r="21">
      <c r="A21" s="15" t="inlineStr">
        <is>
          <t>Q80</t>
        </is>
      </c>
      <c r="B21" s="15" t="inlineStr">
        <is>
          <t>Retention &amp; Disposal</t>
        </is>
      </c>
      <c r="C21" s="16" t="inlineStr">
        <is>
          <t>Is disposal automated when retention expires?</t>
        </is>
      </c>
      <c r="D21" s="17" t="n"/>
      <c r="E21" s="17" t="n"/>
      <c r="F21" s="17" t="n"/>
      <c r="G21" s="18">
        <f>IF(D21="","",IF(OR(D21="No", D21="Never", D21="None", D21="No Capability"), "Yes", "No"))</f>
        <v/>
      </c>
    </row>
  </sheetData>
  <mergeCells count="4">
    <mergeCell ref="A13:G13"/>
    <mergeCell ref="A2:G2"/>
    <mergeCell ref="A1:G1"/>
    <mergeCell ref="A5:G5"/>
  </mergeCells>
  <dataValidations count="1">
    <dataValidation sqref="D5 D6 D7 D8 D9 D10 D11 D12 D13 D14 D15 D16 D17 D18 D19 D20 D21" showDropDown="0" showInputMessage="0" showErrorMessage="0" allowBlank="1" type="list">
      <formula1>"Yes,No,Partial,None,Never,No Capability,In-Progress,N/A"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12" customWidth="1" min="1" max="1"/>
    <col width="22" customWidth="1" min="2" max="2"/>
    <col width="58" customWidth="1" min="3" max="3"/>
    <col width="28" customWidth="1" min="4" max="4"/>
    <col width="28" customWidth="1" min="5" max="5"/>
    <col width="32" customWidth="1" min="6" max="6"/>
    <col width="10" customWidth="1" min="7" max="7"/>
  </cols>
  <sheetData>
    <row r="1" ht="35" customHeight="1">
      <c r="A1" s="11" t="inlineStr">
        <is>
          <t>LEGAL &amp; REGULATORY READINESS</t>
        </is>
      </c>
    </row>
    <row r="2">
      <c r="A2" s="12" t="inlineStr">
        <is>
          <t>ISO/IEC 27001:2022 - Control A.5.24-28: Incident Management | Legal Admissibility, Regulatory Compliance (15 Questions)</t>
        </is>
      </c>
    </row>
    <row r="4">
      <c r="A4" s="13" t="inlineStr">
        <is>
          <t>Question ID</t>
        </is>
      </c>
      <c r="B4" s="13" t="inlineStr">
        <is>
          <t>Section</t>
        </is>
      </c>
      <c r="C4" s="13" t="inlineStr">
        <is>
          <t>Question</t>
        </is>
      </c>
      <c r="D4" s="13" t="inlineStr">
        <is>
          <t>Answer</t>
        </is>
      </c>
      <c r="E4" s="13" t="inlineStr">
        <is>
          <t>Evidence Ref</t>
        </is>
      </c>
      <c r="F4" s="13" t="inlineStr">
        <is>
          <t>Comments</t>
        </is>
      </c>
      <c r="G4" s="13" t="inlineStr">
        <is>
          <t>Gap Flag</t>
        </is>
      </c>
    </row>
    <row r="5" ht="20" customHeight="1">
      <c r="A5" s="14" t="inlineStr">
        <is>
          <t xml:space="preserve">  Legal Admissibility</t>
        </is>
      </c>
      <c r="B5" s="6" t="n"/>
      <c r="C5" s="6" t="n"/>
      <c r="D5" s="6" t="n"/>
      <c r="E5" s="6" t="n"/>
      <c r="F5" s="6" t="n"/>
      <c r="G5" s="6" t="n"/>
    </row>
    <row r="6">
      <c r="A6" s="15" t="inlineStr">
        <is>
          <t>Q81</t>
        </is>
      </c>
      <c r="B6" s="15" t="inlineStr">
        <is>
          <t>Legal Admissibility</t>
        </is>
      </c>
      <c r="C6" s="16" t="inlineStr">
        <is>
          <t>Have forensic procedures been reviewed by Legal?</t>
        </is>
      </c>
      <c r="D6" s="17" t="n"/>
      <c r="E6" s="17" t="n"/>
      <c r="F6" s="17" t="n"/>
      <c r="G6" s="18">
        <f>IF(D6="","",IF(OR(D6="No", D6="Never", D6="None", D6="No Capability"), "Yes", "No"))</f>
        <v/>
      </c>
    </row>
    <row r="7">
      <c r="A7" s="15" t="inlineStr">
        <is>
          <t>Q82</t>
        </is>
      </c>
      <c r="B7" s="15" t="inlineStr">
        <is>
          <t>Legal Admissibility</t>
        </is>
      </c>
      <c r="C7" s="16" t="inlineStr">
        <is>
          <t>Are legal admissibility requirements documented?</t>
        </is>
      </c>
      <c r="D7" s="17" t="n"/>
      <c r="E7" s="17" t="n"/>
      <c r="F7" s="17" t="n"/>
      <c r="G7" s="18">
        <f>IF(D7="","",IF(OR(D7="No", D7="Never", D7="None", D7="No Capability"), "Yes", "No"))</f>
        <v/>
      </c>
    </row>
    <row r="8">
      <c r="A8" s="15" t="inlineStr">
        <is>
          <t>Q83</t>
        </is>
      </c>
      <c r="B8" s="15" t="inlineStr">
        <is>
          <t>Legal Admissibility</t>
        </is>
      </c>
      <c r="C8" s="16" t="inlineStr">
        <is>
          <t>Can [Organisation] provide expert witnesses?</t>
        </is>
      </c>
      <c r="D8" s="17" t="n"/>
      <c r="E8" s="17" t="n"/>
      <c r="F8" s="17" t="n"/>
      <c r="G8" s="18">
        <f>IF(D8="","",IF(OR(D8="No", D8="Never", D8="None", D8="No Capability"), "Yes", "No"))</f>
        <v/>
      </c>
    </row>
    <row r="9">
      <c r="A9" s="15" t="inlineStr">
        <is>
          <t>Q84</t>
        </is>
      </c>
      <c r="B9" s="15" t="inlineStr">
        <is>
          <t>Legal Admissibility</t>
        </is>
      </c>
      <c r="C9" s="16" t="inlineStr">
        <is>
          <t>Is forensic report format suitable for legal proceedings?</t>
        </is>
      </c>
      <c r="D9" s="17" t="n"/>
      <c r="E9" s="17" t="n"/>
      <c r="F9" s="17" t="n"/>
      <c r="G9" s="18">
        <f>IF(D9="","",IF(OR(D9="No", D9="Never", D9="None", D9="No Capability"), "Yes", "No"))</f>
        <v/>
      </c>
    </row>
    <row r="10">
      <c r="A10" s="15" t="inlineStr">
        <is>
          <t>Q85</t>
        </is>
      </c>
      <c r="B10" s="15" t="inlineStr">
        <is>
          <t>Legal Admissibility</t>
        </is>
      </c>
      <c r="C10" s="16" t="inlineStr">
        <is>
          <t>Are forensic analysts prepared for cross-examination?</t>
        </is>
      </c>
      <c r="D10" s="17" t="n"/>
      <c r="E10" s="17" t="n"/>
      <c r="F10" s="17" t="n"/>
      <c r="G10" s="18">
        <f>IF(D10="","",IF(OR(D10="No", D10="Never", D10="None", D10="No Capability"), "Yes", "No"))</f>
        <v/>
      </c>
    </row>
    <row r="11">
      <c r="A11" s="15" t="inlineStr">
        <is>
          <t>Q86</t>
        </is>
      </c>
      <c r="B11" s="15" t="inlineStr">
        <is>
          <t>Legal Admissibility</t>
        </is>
      </c>
      <c r="C11" s="16" t="inlineStr">
        <is>
          <t>Is evidence integrity fully documented (end-to-end)?</t>
        </is>
      </c>
      <c r="D11" s="17" t="n"/>
      <c r="E11" s="17" t="n"/>
      <c r="F11" s="17" t="n"/>
      <c r="G11" s="18">
        <f>IF(D11="","",IF(OR(D11="No", D11="Never", D11="None", D11="No Capability"), "Yes", "No"))</f>
        <v/>
      </c>
    </row>
    <row r="12">
      <c r="A12" s="15" t="inlineStr">
        <is>
          <t>Q87</t>
        </is>
      </c>
      <c r="B12" s="15" t="inlineStr">
        <is>
          <t>Legal Admissibility</t>
        </is>
      </c>
      <c r="C12" s="16" t="inlineStr">
        <is>
          <t>Is physical evidence photographed in situ?</t>
        </is>
      </c>
      <c r="D12" s="17" t="n"/>
      <c r="E12" s="17" t="n"/>
      <c r="F12" s="17" t="n"/>
      <c r="G12" s="18">
        <f>IF(D12="","",IF(OR(D12="No", D12="Never", D12="None", D12="No Capability"), "Yes", "No"))</f>
        <v/>
      </c>
    </row>
    <row r="13">
      <c r="A13" s="15" t="inlineStr">
        <is>
          <t>Q88</t>
        </is>
      </c>
      <c r="B13" s="15" t="inlineStr">
        <is>
          <t>Legal Admissibility</t>
        </is>
      </c>
      <c r="C13" s="16" t="inlineStr">
        <is>
          <t>Are witness statements collected during incidents?</t>
        </is>
      </c>
      <c r="D13" s="17" t="n"/>
      <c r="E13" s="17" t="n"/>
      <c r="F13" s="17" t="n"/>
      <c r="G13" s="18">
        <f>IF(D13="","",IF(OR(D13="No", D13="Never", D13="None", D13="No Capability"), "Yes", "No"))</f>
        <v/>
      </c>
    </row>
    <row r="14" ht="20" customHeight="1">
      <c r="A14" s="14" t="inlineStr">
        <is>
          <t xml:space="preserve">  Regulatory Compliance</t>
        </is>
      </c>
      <c r="B14" s="6" t="n"/>
      <c r="C14" s="6" t="n"/>
      <c r="D14" s="6" t="n"/>
      <c r="E14" s="6" t="n"/>
      <c r="F14" s="6" t="n"/>
      <c r="G14" s="6" t="n"/>
    </row>
    <row r="15">
      <c r="A15" s="15" t="inlineStr">
        <is>
          <t>Q89</t>
        </is>
      </c>
      <c r="B15" s="15" t="inlineStr">
        <is>
          <t>Regulatory Compliance</t>
        </is>
      </c>
      <c r="C15" s="16" t="inlineStr">
        <is>
          <t>GDPR forensic evidence compliance?</t>
        </is>
      </c>
      <c r="D15" s="17" t="n"/>
      <c r="E15" s="17" t="n"/>
      <c r="F15" s="17" t="n"/>
      <c r="G15" s="18">
        <f>IF(D15="","",IF(OR(D15="No", D15="Never", D15="None", D15="No Capability"), "Yes", "No"))</f>
        <v/>
      </c>
    </row>
    <row r="16">
      <c r="A16" s="15" t="inlineStr">
        <is>
          <t>Q90</t>
        </is>
      </c>
      <c r="B16" s="15" t="inlineStr">
        <is>
          <t>Regulatory Compliance</t>
        </is>
      </c>
      <c r="C16" s="16" t="inlineStr">
        <is>
          <t>PCI DSS v4.0.1 forensic evidence compliance?</t>
        </is>
      </c>
      <c r="D16" s="17" t="n"/>
      <c r="E16" s="17" t="n"/>
      <c r="F16" s="17" t="n"/>
      <c r="G16" s="18">
        <f>IF(D16="","",IF(OR(D16="No", D16="Never", D16="None", D16="No Capability"), "Yes", "No"))</f>
        <v/>
      </c>
    </row>
    <row r="17">
      <c r="A17" s="15" t="inlineStr">
        <is>
          <t>Q91</t>
        </is>
      </c>
      <c r="B17" s="15" t="inlineStr">
        <is>
          <t>Regulatory Compliance</t>
        </is>
      </c>
      <c r="C17" s="16" t="inlineStr">
        <is>
          <t>Industry-specific forensic requirements met?</t>
        </is>
      </c>
      <c r="D17" s="17" t="n"/>
      <c r="E17" s="17" t="n"/>
      <c r="F17" s="17" t="n"/>
      <c r="G17" s="18">
        <f>IF(D17="","",IF(OR(D17="No", D17="Never", D17="None", D17="No Capability"), "Yes", "No"))</f>
        <v/>
      </c>
    </row>
    <row r="18">
      <c r="A18" s="15" t="inlineStr">
        <is>
          <t>Q92</t>
        </is>
      </c>
      <c r="B18" s="15" t="inlineStr">
        <is>
          <t>Regulatory Compliance</t>
        </is>
      </c>
      <c r="C18" s="16" t="inlineStr">
        <is>
          <t>Can evidence be submitted to regulators in required format?</t>
        </is>
      </c>
      <c r="D18" s="17" t="n"/>
      <c r="E18" s="17" t="n"/>
      <c r="F18" s="17" t="n"/>
      <c r="G18" s="18">
        <f>IF(D18="","",IF(OR(D18="No", D18="Never", D18="None", D18="No Capability"), "Yes", "No"))</f>
        <v/>
      </c>
    </row>
    <row r="19">
      <c r="A19" s="15" t="inlineStr">
        <is>
          <t>Q93</t>
        </is>
      </c>
      <c r="B19" s="15" t="inlineStr">
        <is>
          <t>Regulatory Compliance</t>
        </is>
      </c>
      <c r="C19" s="16" t="inlineStr">
        <is>
          <t>Law enforcement evidence cooperation procedures?</t>
        </is>
      </c>
      <c r="D19" s="17" t="n"/>
      <c r="E19" s="17" t="n"/>
      <c r="F19" s="17" t="n"/>
      <c r="G19" s="18">
        <f>IF(D19="","",IF(OR(D19="No", D19="Never", D19="None", D19="No Capability"), "Yes", "No"))</f>
        <v/>
      </c>
    </row>
    <row r="20">
      <c r="A20" s="15" t="inlineStr">
        <is>
          <t>Q94</t>
        </is>
      </c>
      <c r="B20" s="15" t="inlineStr">
        <is>
          <t>Regulatory Compliance</t>
        </is>
      </c>
      <c r="C20" s="16" t="inlineStr">
        <is>
          <t>International evidence requirements considered?</t>
        </is>
      </c>
      <c r="D20" s="17" t="n"/>
      <c r="E20" s="17" t="n"/>
      <c r="F20" s="17" t="n"/>
      <c r="G20" s="18">
        <f>IF(D20="","",IF(OR(D20="No", D20="Never", D20="None", D20="No Capability"), "Yes", "No"))</f>
        <v/>
      </c>
    </row>
    <row r="21">
      <c r="A21" s="15" t="inlineStr">
        <is>
          <t>Q95</t>
        </is>
      </c>
      <c r="B21" s="15" t="inlineStr">
        <is>
          <t>Regulatory Compliance</t>
        </is>
      </c>
      <c r="C21" s="16" t="inlineStr">
        <is>
          <t>Forensic evidence available for regulatory audits?</t>
        </is>
      </c>
      <c r="D21" s="17" t="n"/>
      <c r="E21" s="17" t="n"/>
      <c r="F21" s="17" t="n"/>
      <c r="G21" s="18">
        <f>IF(D21="","",IF(OR(D21="No", D21="Never", D21="None", D21="No Capability"), "Yes", "No"))</f>
        <v/>
      </c>
    </row>
  </sheetData>
  <mergeCells count="4">
    <mergeCell ref="A14:G14"/>
    <mergeCell ref="A2:G2"/>
    <mergeCell ref="A1:G1"/>
    <mergeCell ref="A5:G5"/>
  </mergeCells>
  <dataValidations count="1">
    <dataValidation sqref="D5 D6 D7 D8 D9 D10 D11 D12 D13 D14 D15 D16 D17 D18 D19 D20 D21" showDropDown="0" showInputMessage="0" showErrorMessage="0" allowBlank="1" type="list">
      <formula1>"Yes,No,Partial,None,Never,No Capability,In-Progress,N/A"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7"/>
  <sheetViews>
    <sheetView showGridLines="0" workbookViewId="0">
      <pane ySplit="6" topLeftCell="A7" activePane="bottomLeft" state="frozen"/>
      <selection pane="bottomLeft" activeCell="A1" sqref="A1"/>
    </sheetView>
  </sheetViews>
  <sheetFormatPr baseColWidth="8" defaultRowHeight="15"/>
  <cols>
    <col width="10" customWidth="1" min="1" max="1"/>
    <col width="22" customWidth="1" min="2" max="2"/>
    <col width="42" customWidth="1" min="3" max="3"/>
    <col width="12" customWidth="1" min="4" max="4"/>
    <col width="26" customWidth="1" min="5" max="5"/>
    <col width="26" customWidth="1" min="6" max="6"/>
    <col width="42" customWidth="1" min="7" max="7"/>
    <col width="18" customWidth="1" min="8" max="8"/>
    <col width="14" customWidth="1" min="9" max="9"/>
    <col width="14" customWidth="1" min="10" max="10"/>
  </cols>
  <sheetData>
    <row r="1" ht="35" customHeight="1">
      <c r="A1" s="11" t="inlineStr">
        <is>
          <t>GAP ANALYSIS</t>
        </is>
      </c>
    </row>
    <row r="2">
      <c r="A2" s="12" t="inlineStr">
        <is>
          <t>ISO/IEC 27001:2022 - Control A.5.24-28: Incident Management | Consolidated gaps from all assessment domains</t>
        </is>
      </c>
    </row>
    <row r="3">
      <c r="A3" s="19" t="inlineStr">
        <is>
          <t>GAP SUMMARY</t>
        </is>
      </c>
    </row>
    <row r="4">
      <c r="A4" s="20" t="inlineStr">
        <is>
          <t>Total Gaps:</t>
        </is>
      </c>
      <c r="B4" s="21">
        <f>COUNTA(C6:C45)-COUNTBLANK(C6:C45)</f>
        <v/>
      </c>
      <c r="C4" s="20" t="inlineStr">
        <is>
          <t>Critical:</t>
        </is>
      </c>
      <c r="D4" s="21">
        <f>COUNTIF(E6:E45,"Critical")</f>
        <v/>
      </c>
      <c r="E4" s="20" t="inlineStr">
        <is>
          <t>High:</t>
        </is>
      </c>
      <c r="F4" s="21">
        <f>COUNTIF(E6:E45,"High")</f>
        <v/>
      </c>
      <c r="G4" s="20" t="inlineStr">
        <is>
          <t>Medium:</t>
        </is>
      </c>
      <c r="H4" s="21">
        <f>COUNTIF(E6:E45,"Medium")</f>
        <v/>
      </c>
    </row>
    <row r="6">
      <c r="A6" s="13" t="inlineStr">
        <is>
          <t>Gap ID</t>
        </is>
      </c>
      <c r="B6" s="13" t="inlineStr">
        <is>
          <t>Domain</t>
        </is>
      </c>
      <c r="C6" s="13" t="inlineStr">
        <is>
          <t>Gap Description</t>
        </is>
      </c>
      <c r="D6" s="13" t="inlineStr">
        <is>
          <t>Risk Level</t>
        </is>
      </c>
      <c r="E6" s="13" t="inlineStr">
        <is>
          <t>Current State</t>
        </is>
      </c>
      <c r="F6" s="13" t="inlineStr">
        <is>
          <t>Target State</t>
        </is>
      </c>
      <c r="G6" s="13" t="inlineStr">
        <is>
          <t>Remediation Action</t>
        </is>
      </c>
      <c r="H6" s="13" t="inlineStr">
        <is>
          <t>Owner</t>
        </is>
      </c>
      <c r="I6" s="13" t="inlineStr">
        <is>
          <t>Target Date</t>
        </is>
      </c>
      <c r="J6" s="13" t="inlineStr">
        <is>
          <t>Status</t>
        </is>
      </c>
    </row>
    <row r="7">
      <c r="A7" s="22" t="inlineStr">
        <is>
          <t>GAP-001</t>
        </is>
      </c>
      <c r="B7" s="23" t="n"/>
      <c r="C7" s="23" t="n"/>
      <c r="D7" s="23" t="n"/>
      <c r="E7" s="23" t="n"/>
      <c r="F7" s="23" t="n"/>
      <c r="G7" s="23" t="n"/>
      <c r="H7" s="23" t="n"/>
      <c r="I7" s="23" t="n"/>
      <c r="J7" s="23" t="n"/>
    </row>
    <row r="8">
      <c r="A8" s="17" t="n"/>
      <c r="B8" s="17" t="n"/>
      <c r="C8" s="17" t="n"/>
      <c r="D8" s="17" t="n"/>
      <c r="E8" s="17" t="n"/>
      <c r="F8" s="17" t="n"/>
      <c r="G8" s="17" t="n"/>
      <c r="H8" s="17" t="n"/>
      <c r="I8" s="17" t="n"/>
      <c r="J8" s="17" t="n"/>
    </row>
    <row r="9">
      <c r="A9" s="17" t="n"/>
      <c r="B9" s="17" t="n"/>
      <c r="C9" s="17" t="n"/>
      <c r="D9" s="17" t="n"/>
      <c r="E9" s="17" t="n"/>
      <c r="F9" s="17" t="n"/>
      <c r="G9" s="17" t="n"/>
      <c r="H9" s="17" t="n"/>
      <c r="I9" s="17" t="n"/>
      <c r="J9" s="17" t="n"/>
    </row>
    <row r="10">
      <c r="A10" s="17" t="n"/>
      <c r="B10" s="17" t="n"/>
      <c r="C10" s="17" t="n"/>
      <c r="D10" s="17" t="n"/>
      <c r="E10" s="17" t="n"/>
      <c r="F10" s="17" t="n"/>
      <c r="G10" s="17" t="n"/>
      <c r="H10" s="17" t="n"/>
      <c r="I10" s="17" t="n"/>
      <c r="J10" s="17" t="n"/>
    </row>
    <row r="11">
      <c r="A11" s="17" t="n"/>
      <c r="B11" s="17" t="n"/>
      <c r="C11" s="17" t="n"/>
      <c r="D11" s="17" t="n"/>
      <c r="E11" s="17" t="n"/>
      <c r="F11" s="17" t="n"/>
      <c r="G11" s="17" t="n"/>
      <c r="H11" s="17" t="n"/>
      <c r="I11" s="17" t="n"/>
      <c r="J11" s="17" t="n"/>
    </row>
    <row r="12">
      <c r="A12" s="17" t="n"/>
      <c r="B12" s="17" t="n"/>
      <c r="C12" s="17" t="n"/>
      <c r="D12" s="17" t="n"/>
      <c r="E12" s="17" t="n"/>
      <c r="F12" s="17" t="n"/>
      <c r="G12" s="17" t="n"/>
      <c r="H12" s="17" t="n"/>
      <c r="I12" s="17" t="n"/>
      <c r="J12" s="17" t="n"/>
    </row>
    <row r="13">
      <c r="A13" s="17" t="n"/>
      <c r="B13" s="17" t="n"/>
      <c r="C13" s="17" t="n"/>
      <c r="D13" s="17" t="n"/>
      <c r="E13" s="17" t="n"/>
      <c r="F13" s="17" t="n"/>
      <c r="G13" s="17" t="n"/>
      <c r="H13" s="17" t="n"/>
      <c r="I13" s="17" t="n"/>
      <c r="J13" s="17" t="n"/>
    </row>
    <row r="14">
      <c r="A14" s="17" t="n"/>
      <c r="B14" s="17" t="n"/>
      <c r="C14" s="17" t="n"/>
      <c r="D14" s="17" t="n"/>
      <c r="E14" s="17" t="n"/>
      <c r="F14" s="17" t="n"/>
      <c r="G14" s="17" t="n"/>
      <c r="H14" s="17" t="n"/>
      <c r="I14" s="17" t="n"/>
      <c r="J14" s="17" t="n"/>
    </row>
    <row r="15">
      <c r="A15" s="17" t="n"/>
      <c r="B15" s="17" t="n"/>
      <c r="C15" s="17" t="n"/>
      <c r="D15" s="17" t="n"/>
      <c r="E15" s="17" t="n"/>
      <c r="F15" s="17" t="n"/>
      <c r="G15" s="17" t="n"/>
      <c r="H15" s="17" t="n"/>
      <c r="I15" s="17" t="n"/>
      <c r="J15" s="17" t="n"/>
    </row>
    <row r="16">
      <c r="A16" s="17" t="n"/>
      <c r="B16" s="17" t="n"/>
      <c r="C16" s="17" t="n"/>
      <c r="D16" s="17" t="n"/>
      <c r="E16" s="17" t="n"/>
      <c r="F16" s="17" t="n"/>
      <c r="G16" s="17" t="n"/>
      <c r="H16" s="17" t="n"/>
      <c r="I16" s="17" t="n"/>
      <c r="J16" s="17" t="n"/>
    </row>
    <row r="17">
      <c r="A17" s="17" t="n"/>
      <c r="B17" s="17" t="n"/>
      <c r="C17" s="17" t="n"/>
      <c r="D17" s="17" t="n"/>
      <c r="E17" s="17" t="n"/>
      <c r="F17" s="17" t="n"/>
      <c r="G17" s="17" t="n"/>
      <c r="H17" s="17" t="n"/>
      <c r="I17" s="17" t="n"/>
      <c r="J17" s="17" t="n"/>
    </row>
    <row r="18">
      <c r="A18" s="17" t="n"/>
      <c r="B18" s="17" t="n"/>
      <c r="C18" s="17" t="n"/>
      <c r="D18" s="17" t="n"/>
      <c r="E18" s="17" t="n"/>
      <c r="F18" s="17" t="n"/>
      <c r="G18" s="17" t="n"/>
      <c r="H18" s="17" t="n"/>
      <c r="I18" s="17" t="n"/>
      <c r="J18" s="17" t="n"/>
    </row>
    <row r="19">
      <c r="A19" s="17" t="n"/>
      <c r="B19" s="17" t="n"/>
      <c r="C19" s="17" t="n"/>
      <c r="D19" s="17" t="n"/>
      <c r="E19" s="17" t="n"/>
      <c r="F19" s="17" t="n"/>
      <c r="G19" s="17" t="n"/>
      <c r="H19" s="17" t="n"/>
      <c r="I19" s="17" t="n"/>
      <c r="J19" s="17" t="n"/>
    </row>
    <row r="20">
      <c r="A20" s="17" t="n"/>
      <c r="B20" s="17" t="n"/>
      <c r="C20" s="17" t="n"/>
      <c r="D20" s="17" t="n"/>
      <c r="E20" s="17" t="n"/>
      <c r="F20" s="17" t="n"/>
      <c r="G20" s="17" t="n"/>
      <c r="H20" s="17" t="n"/>
      <c r="I20" s="17" t="n"/>
      <c r="J20" s="17" t="n"/>
    </row>
    <row r="21">
      <c r="A21" s="17" t="n"/>
      <c r="B21" s="17" t="n"/>
      <c r="C21" s="17" t="n"/>
      <c r="D21" s="17" t="n"/>
      <c r="E21" s="17" t="n"/>
      <c r="F21" s="17" t="n"/>
      <c r="G21" s="17" t="n"/>
      <c r="H21" s="17" t="n"/>
      <c r="I21" s="17" t="n"/>
      <c r="J21" s="17" t="n"/>
    </row>
    <row r="22">
      <c r="A22" s="17" t="n"/>
      <c r="B22" s="17" t="n"/>
      <c r="C22" s="17" t="n"/>
      <c r="D22" s="17" t="n"/>
      <c r="E22" s="17" t="n"/>
      <c r="F22" s="17" t="n"/>
      <c r="G22" s="17" t="n"/>
      <c r="H22" s="17" t="n"/>
      <c r="I22" s="17" t="n"/>
      <c r="J22" s="17" t="n"/>
    </row>
    <row r="23">
      <c r="A23" s="17" t="n"/>
      <c r="B23" s="17" t="n"/>
      <c r="C23" s="17" t="n"/>
      <c r="D23" s="17" t="n"/>
      <c r="E23" s="17" t="n"/>
      <c r="F23" s="17" t="n"/>
      <c r="G23" s="17" t="n"/>
      <c r="H23" s="17" t="n"/>
      <c r="I23" s="17" t="n"/>
      <c r="J23" s="17" t="n"/>
    </row>
    <row r="24">
      <c r="A24" s="17" t="n"/>
      <c r="B24" s="17" t="n"/>
      <c r="C24" s="17" t="n"/>
      <c r="D24" s="17" t="n"/>
      <c r="E24" s="17" t="n"/>
      <c r="F24" s="17" t="n"/>
      <c r="G24" s="17" t="n"/>
      <c r="H24" s="17" t="n"/>
      <c r="I24" s="17" t="n"/>
      <c r="J24" s="17" t="n"/>
    </row>
    <row r="25">
      <c r="A25" s="17" t="n"/>
      <c r="B25" s="17" t="n"/>
      <c r="C25" s="17" t="n"/>
      <c r="D25" s="17" t="n"/>
      <c r="E25" s="17" t="n"/>
      <c r="F25" s="17" t="n"/>
      <c r="G25" s="17" t="n"/>
      <c r="H25" s="17" t="n"/>
      <c r="I25" s="17" t="n"/>
      <c r="J25" s="17" t="n"/>
    </row>
    <row r="26">
      <c r="A26" s="17" t="n"/>
      <c r="B26" s="17" t="n"/>
      <c r="C26" s="17" t="n"/>
      <c r="D26" s="17" t="n"/>
      <c r="E26" s="17" t="n"/>
      <c r="F26" s="17" t="n"/>
      <c r="G26" s="17" t="n"/>
      <c r="H26" s="17" t="n"/>
      <c r="I26" s="17" t="n"/>
      <c r="J26" s="17" t="n"/>
    </row>
    <row r="27">
      <c r="A27" s="17" t="n"/>
      <c r="B27" s="17" t="n"/>
      <c r="C27" s="17" t="n"/>
      <c r="D27" s="17" t="n"/>
      <c r="E27" s="17" t="n"/>
      <c r="F27" s="17" t="n"/>
      <c r="G27" s="17" t="n"/>
      <c r="H27" s="17" t="n"/>
      <c r="I27" s="17" t="n"/>
      <c r="J27" s="17" t="n"/>
    </row>
    <row r="28">
      <c r="A28" s="17" t="n"/>
      <c r="B28" s="17" t="n"/>
      <c r="C28" s="17" t="n"/>
      <c r="D28" s="17" t="n"/>
      <c r="E28" s="17" t="n"/>
      <c r="F28" s="17" t="n"/>
      <c r="G28" s="17" t="n"/>
      <c r="H28" s="17" t="n"/>
      <c r="I28" s="17" t="n"/>
      <c r="J28" s="17" t="n"/>
    </row>
    <row r="29">
      <c r="A29" s="17" t="n"/>
      <c r="B29" s="17" t="n"/>
      <c r="C29" s="17" t="n"/>
      <c r="D29" s="17" t="n"/>
      <c r="E29" s="17" t="n"/>
      <c r="F29" s="17" t="n"/>
      <c r="G29" s="17" t="n"/>
      <c r="H29" s="17" t="n"/>
      <c r="I29" s="17" t="n"/>
      <c r="J29" s="17" t="n"/>
    </row>
    <row r="30">
      <c r="A30" s="17" t="n"/>
      <c r="B30" s="17" t="n"/>
      <c r="C30" s="17" t="n"/>
      <c r="D30" s="17" t="n"/>
      <c r="E30" s="17" t="n"/>
      <c r="F30" s="17" t="n"/>
      <c r="G30" s="17" t="n"/>
      <c r="H30" s="17" t="n"/>
      <c r="I30" s="17" t="n"/>
      <c r="J30" s="17" t="n"/>
    </row>
    <row r="31">
      <c r="A31" s="17" t="n"/>
      <c r="B31" s="17" t="n"/>
      <c r="C31" s="17" t="n"/>
      <c r="D31" s="17" t="n"/>
      <c r="E31" s="17" t="n"/>
      <c r="F31" s="17" t="n"/>
      <c r="G31" s="17" t="n"/>
      <c r="H31" s="17" t="n"/>
      <c r="I31" s="17" t="n"/>
      <c r="J31" s="17" t="n"/>
    </row>
    <row r="32">
      <c r="A32" s="17" t="n"/>
      <c r="B32" s="17" t="n"/>
      <c r="C32" s="17" t="n"/>
      <c r="D32" s="17" t="n"/>
      <c r="E32" s="17" t="n"/>
      <c r="F32" s="17" t="n"/>
      <c r="G32" s="17" t="n"/>
      <c r="H32" s="17" t="n"/>
      <c r="I32" s="17" t="n"/>
      <c r="J32" s="17" t="n"/>
    </row>
    <row r="33">
      <c r="A33" s="17" t="n"/>
      <c r="B33" s="17" t="n"/>
      <c r="C33" s="17" t="n"/>
      <c r="D33" s="17" t="n"/>
      <c r="E33" s="17" t="n"/>
      <c r="F33" s="17" t="n"/>
      <c r="G33" s="17" t="n"/>
      <c r="H33" s="17" t="n"/>
      <c r="I33" s="17" t="n"/>
      <c r="J33" s="17" t="n"/>
    </row>
    <row r="34">
      <c r="A34" s="17" t="n"/>
      <c r="B34" s="17" t="n"/>
      <c r="C34" s="17" t="n"/>
      <c r="D34" s="17" t="n"/>
      <c r="E34" s="17" t="n"/>
      <c r="F34" s="17" t="n"/>
      <c r="G34" s="17" t="n"/>
      <c r="H34" s="17" t="n"/>
      <c r="I34" s="17" t="n"/>
      <c r="J34" s="17" t="n"/>
    </row>
    <row r="35">
      <c r="A35" s="17" t="n"/>
      <c r="B35" s="17" t="n"/>
      <c r="C35" s="17" t="n"/>
      <c r="D35" s="17" t="n"/>
      <c r="E35" s="17" t="n"/>
      <c r="F35" s="17" t="n"/>
      <c r="G35" s="17" t="n"/>
      <c r="H35" s="17" t="n"/>
      <c r="I35" s="17" t="n"/>
      <c r="J35" s="17" t="n"/>
    </row>
    <row r="36">
      <c r="A36" s="17" t="n"/>
      <c r="B36" s="17" t="n"/>
      <c r="C36" s="17" t="n"/>
      <c r="D36" s="17" t="n"/>
      <c r="E36" s="17" t="n"/>
      <c r="F36" s="17" t="n"/>
      <c r="G36" s="17" t="n"/>
      <c r="H36" s="17" t="n"/>
      <c r="I36" s="17" t="n"/>
      <c r="J36" s="17" t="n"/>
    </row>
    <row r="37">
      <c r="A37" s="17" t="n"/>
      <c r="B37" s="17" t="n"/>
      <c r="C37" s="17" t="n"/>
      <c r="D37" s="17" t="n"/>
      <c r="E37" s="17" t="n"/>
      <c r="F37" s="17" t="n"/>
      <c r="G37" s="17" t="n"/>
      <c r="H37" s="17" t="n"/>
      <c r="I37" s="17" t="n"/>
      <c r="J37" s="17" t="n"/>
    </row>
    <row r="38">
      <c r="A38" s="17" t="n"/>
      <c r="B38" s="17" t="n"/>
      <c r="C38" s="17" t="n"/>
      <c r="D38" s="17" t="n"/>
      <c r="E38" s="17" t="n"/>
      <c r="F38" s="17" t="n"/>
      <c r="G38" s="17" t="n"/>
      <c r="H38" s="17" t="n"/>
      <c r="I38" s="17" t="n"/>
      <c r="J38" s="17" t="n"/>
    </row>
    <row r="39">
      <c r="A39" s="17" t="n"/>
      <c r="B39" s="17" t="n"/>
      <c r="C39" s="17" t="n"/>
      <c r="D39" s="17" t="n"/>
      <c r="E39" s="17" t="n"/>
      <c r="F39" s="17" t="n"/>
      <c r="G39" s="17" t="n"/>
      <c r="H39" s="17" t="n"/>
      <c r="I39" s="17" t="n"/>
      <c r="J39" s="17" t="n"/>
    </row>
    <row r="40">
      <c r="A40" s="17" t="n"/>
      <c r="B40" s="17" t="n"/>
      <c r="C40" s="17" t="n"/>
      <c r="D40" s="17" t="n"/>
      <c r="E40" s="17" t="n"/>
      <c r="F40" s="17" t="n"/>
      <c r="G40" s="17" t="n"/>
      <c r="H40" s="17" t="n"/>
      <c r="I40" s="17" t="n"/>
      <c r="J40" s="17" t="n"/>
    </row>
    <row r="41">
      <c r="A41" s="17" t="n"/>
      <c r="B41" s="17" t="n"/>
      <c r="C41" s="17" t="n"/>
      <c r="D41" s="17" t="n"/>
      <c r="E41" s="17" t="n"/>
      <c r="F41" s="17" t="n"/>
      <c r="G41" s="17" t="n"/>
      <c r="H41" s="17" t="n"/>
      <c r="I41" s="17" t="n"/>
      <c r="J41" s="17" t="n"/>
    </row>
    <row r="42">
      <c r="A42" s="17" t="n"/>
      <c r="B42" s="17" t="n"/>
      <c r="C42" s="17" t="n"/>
      <c r="D42" s="17" t="n"/>
      <c r="E42" s="17" t="n"/>
      <c r="F42" s="17" t="n"/>
      <c r="G42" s="17" t="n"/>
      <c r="H42" s="17" t="n"/>
      <c r="I42" s="17" t="n"/>
      <c r="J42" s="17" t="n"/>
    </row>
    <row r="43">
      <c r="A43" s="17" t="n"/>
      <c r="B43" s="17" t="n"/>
      <c r="C43" s="17" t="n"/>
      <c r="D43" s="17" t="n"/>
      <c r="E43" s="17" t="n"/>
      <c r="F43" s="17" t="n"/>
      <c r="G43" s="17" t="n"/>
      <c r="H43" s="17" t="n"/>
      <c r="I43" s="17" t="n"/>
      <c r="J43" s="17" t="n"/>
    </row>
    <row r="44">
      <c r="A44" s="17" t="n"/>
      <c r="B44" s="17" t="n"/>
      <c r="C44" s="17" t="n"/>
      <c r="D44" s="17" t="n"/>
      <c r="E44" s="17" t="n"/>
      <c r="F44" s="17" t="n"/>
      <c r="G44" s="17" t="n"/>
      <c r="H44" s="17" t="n"/>
      <c r="I44" s="17" t="n"/>
      <c r="J44" s="17" t="n"/>
    </row>
    <row r="45">
      <c r="A45" s="17" t="n"/>
      <c r="B45" s="17" t="n"/>
      <c r="C45" s="17" t="n"/>
      <c r="D45" s="17" t="n"/>
      <c r="E45" s="17" t="n"/>
      <c r="F45" s="17" t="n"/>
      <c r="G45" s="17" t="n"/>
      <c r="H45" s="17" t="n"/>
      <c r="I45" s="17" t="n"/>
      <c r="J45" s="17" t="n"/>
    </row>
    <row r="46">
      <c r="A46" s="17" t="n"/>
      <c r="B46" s="17" t="n"/>
      <c r="C46" s="17" t="n"/>
      <c r="D46" s="17" t="n"/>
      <c r="E46" s="17" t="n"/>
      <c r="F46" s="17" t="n"/>
      <c r="G46" s="17" t="n"/>
      <c r="H46" s="17" t="n"/>
      <c r="I46" s="17" t="n"/>
      <c r="J46" s="17" t="n"/>
    </row>
    <row r="47">
      <c r="A47" s="17" t="n"/>
      <c r="B47" s="17" t="n"/>
      <c r="C47" s="17" t="n"/>
      <c r="D47" s="17" t="n"/>
      <c r="E47" s="17" t="n"/>
      <c r="F47" s="17" t="n"/>
      <c r="G47" s="17" t="n"/>
      <c r="H47" s="17" t="n"/>
      <c r="I47" s="17" t="n"/>
      <c r="J47" s="17" t="n"/>
    </row>
    <row r="48">
      <c r="A48" s="17" t="n"/>
      <c r="B48" s="17" t="n"/>
      <c r="C48" s="17" t="n"/>
      <c r="D48" s="17" t="n"/>
      <c r="E48" s="17" t="n"/>
      <c r="F48" s="17" t="n"/>
      <c r="G48" s="17" t="n"/>
      <c r="H48" s="17" t="n"/>
      <c r="I48" s="17" t="n"/>
      <c r="J48" s="17" t="n"/>
    </row>
    <row r="49">
      <c r="A49" s="17" t="n"/>
      <c r="B49" s="17" t="n"/>
      <c r="C49" s="17" t="n"/>
      <c r="D49" s="17" t="n"/>
      <c r="E49" s="17" t="n"/>
      <c r="F49" s="17" t="n"/>
      <c r="G49" s="17" t="n"/>
      <c r="H49" s="17" t="n"/>
      <c r="I49" s="17" t="n"/>
      <c r="J49" s="17" t="n"/>
    </row>
    <row r="50">
      <c r="A50" s="17" t="n"/>
      <c r="B50" s="17" t="n"/>
      <c r="C50" s="17" t="n"/>
      <c r="D50" s="17" t="n"/>
      <c r="E50" s="17" t="n"/>
      <c r="F50" s="17" t="n"/>
      <c r="G50" s="17" t="n"/>
      <c r="H50" s="17" t="n"/>
      <c r="I50" s="17" t="n"/>
      <c r="J50" s="17" t="n"/>
    </row>
    <row r="51">
      <c r="A51" s="17" t="n"/>
      <c r="B51" s="17" t="n"/>
      <c r="C51" s="17" t="n"/>
      <c r="D51" s="17" t="n"/>
      <c r="E51" s="17" t="n"/>
      <c r="F51" s="17" t="n"/>
      <c r="G51" s="17" t="n"/>
      <c r="H51" s="17" t="n"/>
      <c r="I51" s="17" t="n"/>
      <c r="J51" s="17" t="n"/>
    </row>
    <row r="52">
      <c r="A52" s="17" t="n"/>
      <c r="B52" s="17" t="n"/>
      <c r="C52" s="17" t="n"/>
      <c r="D52" s="17" t="n"/>
      <c r="E52" s="17" t="n"/>
      <c r="F52" s="17" t="n"/>
      <c r="G52" s="17" t="n"/>
      <c r="H52" s="17" t="n"/>
      <c r="I52" s="17" t="n"/>
      <c r="J52" s="17" t="n"/>
    </row>
    <row r="53">
      <c r="A53" s="17" t="n"/>
      <c r="B53" s="17" t="n"/>
      <c r="C53" s="17" t="n"/>
      <c r="D53" s="17" t="n"/>
      <c r="E53" s="17" t="n"/>
      <c r="F53" s="17" t="n"/>
      <c r="G53" s="17" t="n"/>
      <c r="H53" s="17" t="n"/>
      <c r="I53" s="17" t="n"/>
      <c r="J53" s="17" t="n"/>
    </row>
    <row r="54">
      <c r="A54" s="17" t="n"/>
      <c r="B54" s="17" t="n"/>
      <c r="C54" s="17" t="n"/>
      <c r="D54" s="17" t="n"/>
      <c r="E54" s="17" t="n"/>
      <c r="F54" s="17" t="n"/>
      <c r="G54" s="17" t="n"/>
      <c r="H54" s="17" t="n"/>
      <c r="I54" s="17" t="n"/>
      <c r="J54" s="17" t="n"/>
    </row>
    <row r="55">
      <c r="A55" s="17" t="n"/>
      <c r="B55" s="17" t="n"/>
      <c r="C55" s="17" t="n"/>
      <c r="D55" s="17" t="n"/>
      <c r="E55" s="17" t="n"/>
      <c r="F55" s="17" t="n"/>
      <c r="G55" s="17" t="n"/>
      <c r="H55" s="17" t="n"/>
      <c r="I55" s="17" t="n"/>
      <c r="J55" s="17" t="n"/>
    </row>
    <row r="56">
      <c r="A56" s="17" t="n"/>
      <c r="B56" s="17" t="n"/>
      <c r="C56" s="17" t="n"/>
      <c r="D56" s="17" t="n"/>
      <c r="E56" s="17" t="n"/>
      <c r="F56" s="17" t="n"/>
      <c r="G56" s="17" t="n"/>
      <c r="H56" s="17" t="n"/>
      <c r="I56" s="17" t="n"/>
      <c r="J56" s="17" t="n"/>
    </row>
    <row r="57">
      <c r="A57" s="17" t="n"/>
      <c r="B57" s="17" t="n"/>
      <c r="C57" s="17" t="n"/>
      <c r="D57" s="17" t="n"/>
      <c r="E57" s="17" t="n"/>
      <c r="F57" s="17" t="n"/>
      <c r="G57" s="17" t="n"/>
      <c r="H57" s="17" t="n"/>
      <c r="I57" s="17" t="n"/>
      <c r="J57" s="17" t="n"/>
    </row>
  </sheetData>
  <mergeCells count="3">
    <mergeCell ref="A1:J1"/>
    <mergeCell ref="A3:D3"/>
    <mergeCell ref="A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24" t="inlineStr">
        <is>
          <t>EVIDENCE REGISTER</t>
        </is>
      </c>
    </row>
    <row r="2">
      <c r="A2" s="25" t="inlineStr">
        <is>
          <t>ISO/IEC 27001:2022 - Control A.5.24-28: Incident Management</t>
        </is>
      </c>
    </row>
    <row r="3">
      <c r="A3" s="6" t="n"/>
      <c r="B3" s="6" t="n"/>
      <c r="C3" s="6" t="n"/>
      <c r="D3" s="6" t="n"/>
      <c r="E3" s="6" t="n"/>
      <c r="F3" s="6" t="n"/>
      <c r="G3" s="6" t="n"/>
      <c r="H3" s="6" t="n"/>
    </row>
    <row r="4">
      <c r="A4" s="13" t="inlineStr">
        <is>
          <t>Evidence ID</t>
        </is>
      </c>
      <c r="B4" s="13" t="inlineStr">
        <is>
          <t>Evidence Type</t>
        </is>
      </c>
      <c r="C4" s="13" t="inlineStr">
        <is>
          <t>Description</t>
        </is>
      </c>
      <c r="D4" s="13" t="inlineStr">
        <is>
          <t>Related Control / Section</t>
        </is>
      </c>
      <c r="E4" s="13" t="inlineStr">
        <is>
          <t>Collection Date (DD.MM.YYYY)</t>
        </is>
      </c>
      <c r="F4" s="13" t="inlineStr">
        <is>
          <t>Storage Location / Reference</t>
        </is>
      </c>
      <c r="G4" s="13" t="inlineStr">
        <is>
          <t>Collected By</t>
        </is>
      </c>
      <c r="H4" s="13" t="inlineStr">
        <is>
          <t>Status</t>
        </is>
      </c>
    </row>
    <row r="5">
      <c r="A5" s="26" t="inlineStr">
        <is>
          <t>EV-001</t>
        </is>
      </c>
      <c r="B5" s="26" t="inlineStr">
        <is>
          <t>Document</t>
        </is>
      </c>
      <c r="C5" s="26" t="inlineStr">
        <is>
          <t>Sample evidence entry — replace with actual evidence</t>
        </is>
      </c>
      <c r="D5" s="26" t="inlineStr">
        <is>
          <t>All Controls</t>
        </is>
      </c>
      <c r="E5" s="26" t="inlineStr">
        <is>
          <t>01.01.2026</t>
        </is>
      </c>
      <c r="F5" s="26" t="inlineStr">
        <is>
          <t>SharePoint/ISMS/Evidence/</t>
        </is>
      </c>
      <c r="G5" s="26" t="inlineStr">
        <is>
          <t>ISMS Team</t>
        </is>
      </c>
      <c r="H5" s="26" t="inlineStr">
        <is>
          <t>Active</t>
        </is>
      </c>
    </row>
    <row r="6">
      <c r="A6" s="27" t="n"/>
      <c r="B6" s="27" t="n"/>
      <c r="C6" s="27" t="n"/>
      <c r="D6" s="27" t="n"/>
      <c r="E6" s="27" t="n"/>
      <c r="F6" s="27" t="n"/>
      <c r="G6" s="27" t="n"/>
      <c r="H6" s="27" t="n"/>
    </row>
    <row r="7">
      <c r="A7" s="27" t="n"/>
      <c r="B7" s="27" t="n"/>
      <c r="C7" s="27" t="n"/>
      <c r="D7" s="27" t="n"/>
      <c r="E7" s="27" t="n"/>
      <c r="F7" s="27" t="n"/>
      <c r="G7" s="27" t="n"/>
      <c r="H7" s="27" t="n"/>
    </row>
    <row r="8">
      <c r="A8" s="27" t="n"/>
      <c r="B8" s="27" t="n"/>
      <c r="C8" s="27" t="n"/>
      <c r="D8" s="27" t="n"/>
      <c r="E8" s="27" t="n"/>
      <c r="F8" s="27" t="n"/>
      <c r="G8" s="27" t="n"/>
      <c r="H8" s="27" t="n"/>
    </row>
    <row r="9">
      <c r="A9" s="27" t="n"/>
      <c r="B9" s="27" t="n"/>
      <c r="C9" s="27" t="n"/>
      <c r="D9" s="27" t="n"/>
      <c r="E9" s="27" t="n"/>
      <c r="F9" s="27" t="n"/>
      <c r="G9" s="27" t="n"/>
      <c r="H9" s="27" t="n"/>
    </row>
    <row r="10">
      <c r="A10" s="27" t="n"/>
      <c r="B10" s="27" t="n"/>
      <c r="C10" s="27" t="n"/>
      <c r="D10" s="27" t="n"/>
      <c r="E10" s="27" t="n"/>
      <c r="F10" s="27" t="n"/>
      <c r="G10" s="27" t="n"/>
      <c r="H10" s="27" t="n"/>
    </row>
    <row r="11">
      <c r="A11" s="27" t="n"/>
      <c r="B11" s="27" t="n"/>
      <c r="C11" s="27" t="n"/>
      <c r="D11" s="27" t="n"/>
      <c r="E11" s="27" t="n"/>
      <c r="F11" s="27" t="n"/>
      <c r="G11" s="27" t="n"/>
      <c r="H11" s="27" t="n"/>
    </row>
    <row r="12">
      <c r="A12" s="27" t="n"/>
      <c r="B12" s="27" t="n"/>
      <c r="C12" s="27" t="n"/>
      <c r="D12" s="27" t="n"/>
      <c r="E12" s="27" t="n"/>
      <c r="F12" s="27" t="n"/>
      <c r="G12" s="27" t="n"/>
      <c r="H12" s="27" t="n"/>
    </row>
    <row r="13">
      <c r="A13" s="27" t="n"/>
      <c r="B13" s="27" t="n"/>
      <c r="C13" s="27" t="n"/>
      <c r="D13" s="27" t="n"/>
      <c r="E13" s="27" t="n"/>
      <c r="F13" s="27" t="n"/>
      <c r="G13" s="27" t="n"/>
      <c r="H13" s="27" t="n"/>
    </row>
    <row r="14">
      <c r="A14" s="27" t="n"/>
      <c r="B14" s="27" t="n"/>
      <c r="C14" s="27" t="n"/>
      <c r="D14" s="27" t="n"/>
      <c r="E14" s="27" t="n"/>
      <c r="F14" s="27" t="n"/>
      <c r="G14" s="27" t="n"/>
      <c r="H14" s="27" t="n"/>
    </row>
    <row r="15">
      <c r="A15" s="27" t="n"/>
      <c r="B15" s="27" t="n"/>
      <c r="C15" s="27" t="n"/>
      <c r="D15" s="27" t="n"/>
      <c r="E15" s="27" t="n"/>
      <c r="F15" s="27" t="n"/>
      <c r="G15" s="27" t="n"/>
      <c r="H15" s="27" t="n"/>
    </row>
    <row r="16">
      <c r="A16" s="27" t="n"/>
      <c r="B16" s="27" t="n"/>
      <c r="C16" s="27" t="n"/>
      <c r="D16" s="27" t="n"/>
      <c r="E16" s="27" t="n"/>
      <c r="F16" s="27" t="n"/>
      <c r="G16" s="27" t="n"/>
      <c r="H16" s="27" t="n"/>
    </row>
    <row r="17">
      <c r="A17" s="27" t="n"/>
      <c r="B17" s="27" t="n"/>
      <c r="C17" s="27" t="n"/>
      <c r="D17" s="27" t="n"/>
      <c r="E17" s="27" t="n"/>
      <c r="F17" s="27" t="n"/>
      <c r="G17" s="27" t="n"/>
      <c r="H17" s="27" t="n"/>
    </row>
    <row r="18">
      <c r="A18" s="27" t="n"/>
      <c r="B18" s="27" t="n"/>
      <c r="C18" s="27" t="n"/>
      <c r="D18" s="27" t="n"/>
      <c r="E18" s="27" t="n"/>
      <c r="F18" s="27" t="n"/>
      <c r="G18" s="27" t="n"/>
      <c r="H18" s="27" t="n"/>
    </row>
    <row r="19">
      <c r="A19" s="27" t="n"/>
      <c r="B19" s="27" t="n"/>
      <c r="C19" s="27" t="n"/>
      <c r="D19" s="27" t="n"/>
      <c r="E19" s="27" t="n"/>
      <c r="F19" s="27" t="n"/>
      <c r="G19" s="27" t="n"/>
      <c r="H19" s="27" t="n"/>
    </row>
    <row r="20">
      <c r="A20" s="27" t="n"/>
      <c r="B20" s="27" t="n"/>
      <c r="C20" s="27" t="n"/>
      <c r="D20" s="27" t="n"/>
      <c r="E20" s="27" t="n"/>
      <c r="F20" s="27" t="n"/>
      <c r="G20" s="27" t="n"/>
      <c r="H20" s="27" t="n"/>
    </row>
    <row r="21">
      <c r="A21" s="27" t="n"/>
      <c r="B21" s="27" t="n"/>
      <c r="C21" s="27" t="n"/>
      <c r="D21" s="27" t="n"/>
      <c r="E21" s="27" t="n"/>
      <c r="F21" s="27" t="n"/>
      <c r="G21" s="27" t="n"/>
      <c r="H21" s="27" t="n"/>
    </row>
    <row r="22">
      <c r="A22" s="27" t="n"/>
      <c r="B22" s="27" t="n"/>
      <c r="C22" s="27" t="n"/>
      <c r="D22" s="27" t="n"/>
      <c r="E22" s="27" t="n"/>
      <c r="F22" s="27" t="n"/>
      <c r="G22" s="27" t="n"/>
      <c r="H22" s="27" t="n"/>
    </row>
    <row r="23">
      <c r="A23" s="27" t="n"/>
      <c r="B23" s="27" t="n"/>
      <c r="C23" s="27" t="n"/>
      <c r="D23" s="27" t="n"/>
      <c r="E23" s="27" t="n"/>
      <c r="F23" s="27" t="n"/>
      <c r="G23" s="27" t="n"/>
      <c r="H23" s="27" t="n"/>
    </row>
    <row r="24">
      <c r="A24" s="27" t="n"/>
      <c r="B24" s="27" t="n"/>
      <c r="C24" s="27" t="n"/>
      <c r="D24" s="27" t="n"/>
      <c r="E24" s="27" t="n"/>
      <c r="F24" s="27" t="n"/>
      <c r="G24" s="27" t="n"/>
      <c r="H24" s="27" t="n"/>
    </row>
    <row r="25">
      <c r="A25" s="27" t="n"/>
      <c r="B25" s="27" t="n"/>
      <c r="C25" s="27" t="n"/>
      <c r="D25" s="27" t="n"/>
      <c r="E25" s="27" t="n"/>
      <c r="F25" s="27" t="n"/>
      <c r="G25" s="27" t="n"/>
      <c r="H25" s="27" t="n"/>
    </row>
    <row r="26">
      <c r="A26" s="27" t="n"/>
      <c r="B26" s="27" t="n"/>
      <c r="C26" s="27" t="n"/>
      <c r="D26" s="27" t="n"/>
      <c r="E26" s="27" t="n"/>
      <c r="F26" s="27" t="n"/>
      <c r="G26" s="27" t="n"/>
      <c r="H26" s="27" t="n"/>
    </row>
    <row r="27">
      <c r="A27" s="27" t="n"/>
      <c r="B27" s="27" t="n"/>
      <c r="C27" s="27" t="n"/>
      <c r="D27" s="27" t="n"/>
      <c r="E27" s="27" t="n"/>
      <c r="F27" s="27" t="n"/>
      <c r="G27" s="27" t="n"/>
      <c r="H27" s="27" t="n"/>
    </row>
    <row r="28">
      <c r="A28" s="27" t="n"/>
      <c r="B28" s="27" t="n"/>
      <c r="C28" s="27" t="n"/>
      <c r="D28" s="27" t="n"/>
      <c r="E28" s="27" t="n"/>
      <c r="F28" s="27" t="n"/>
      <c r="G28" s="27" t="n"/>
      <c r="H28" s="27" t="n"/>
    </row>
    <row r="29">
      <c r="A29" s="27" t="n"/>
      <c r="B29" s="27" t="n"/>
      <c r="C29" s="27" t="n"/>
      <c r="D29" s="27" t="n"/>
      <c r="E29" s="27" t="n"/>
      <c r="F29" s="27" t="n"/>
      <c r="G29" s="27" t="n"/>
      <c r="H29" s="27" t="n"/>
    </row>
    <row r="30">
      <c r="A30" s="27" t="n"/>
      <c r="B30" s="27" t="n"/>
      <c r="C30" s="27" t="n"/>
      <c r="D30" s="27" t="n"/>
      <c r="E30" s="27" t="n"/>
      <c r="F30" s="27" t="n"/>
      <c r="G30" s="27" t="n"/>
      <c r="H30" s="27" t="n"/>
    </row>
    <row r="31">
      <c r="A31" s="27" t="n"/>
      <c r="B31" s="27" t="n"/>
      <c r="C31" s="27" t="n"/>
      <c r="D31" s="27" t="n"/>
      <c r="E31" s="27" t="n"/>
      <c r="F31" s="27" t="n"/>
      <c r="G31" s="27" t="n"/>
      <c r="H31" s="27" t="n"/>
    </row>
    <row r="32">
      <c r="A32" s="27" t="n"/>
      <c r="B32" s="27" t="n"/>
      <c r="C32" s="27" t="n"/>
      <c r="D32" s="27" t="n"/>
      <c r="E32" s="27" t="n"/>
      <c r="F32" s="27" t="n"/>
      <c r="G32" s="27" t="n"/>
      <c r="H32" s="27" t="n"/>
    </row>
    <row r="33">
      <c r="A33" s="27" t="n"/>
      <c r="B33" s="27" t="n"/>
      <c r="C33" s="27" t="n"/>
      <c r="D33" s="27" t="n"/>
      <c r="E33" s="27" t="n"/>
      <c r="F33" s="27" t="n"/>
      <c r="G33" s="27" t="n"/>
      <c r="H33" s="27" t="n"/>
    </row>
    <row r="34">
      <c r="A34" s="27" t="n"/>
      <c r="B34" s="27" t="n"/>
      <c r="C34" s="27" t="n"/>
      <c r="D34" s="27" t="n"/>
      <c r="E34" s="27" t="n"/>
      <c r="F34" s="27" t="n"/>
      <c r="G34" s="27" t="n"/>
      <c r="H34" s="27" t="n"/>
    </row>
    <row r="35">
      <c r="A35" s="27" t="n"/>
      <c r="B35" s="27" t="n"/>
      <c r="C35" s="27" t="n"/>
      <c r="D35" s="27" t="n"/>
      <c r="E35" s="27" t="n"/>
      <c r="F35" s="27" t="n"/>
      <c r="G35" s="27" t="n"/>
      <c r="H35" s="27" t="n"/>
    </row>
    <row r="36">
      <c r="A36" s="27" t="n"/>
      <c r="B36" s="27" t="n"/>
      <c r="C36" s="27" t="n"/>
      <c r="D36" s="27" t="n"/>
      <c r="E36" s="27" t="n"/>
      <c r="F36" s="27" t="n"/>
      <c r="G36" s="27" t="n"/>
      <c r="H36" s="27" t="n"/>
    </row>
    <row r="37">
      <c r="A37" s="27" t="n"/>
      <c r="B37" s="27" t="n"/>
      <c r="C37" s="27" t="n"/>
      <c r="D37" s="27" t="n"/>
      <c r="E37" s="27" t="n"/>
      <c r="F37" s="27" t="n"/>
      <c r="G37" s="27" t="n"/>
      <c r="H37" s="27" t="n"/>
    </row>
    <row r="38">
      <c r="A38" s="27" t="n"/>
      <c r="B38" s="27" t="n"/>
      <c r="C38" s="27" t="n"/>
      <c r="D38" s="27" t="n"/>
      <c r="E38" s="27" t="n"/>
      <c r="F38" s="27" t="n"/>
      <c r="G38" s="27" t="n"/>
      <c r="H38" s="27" t="n"/>
    </row>
    <row r="39">
      <c r="A39" s="27" t="n"/>
      <c r="B39" s="27" t="n"/>
      <c r="C39" s="27" t="n"/>
      <c r="D39" s="27" t="n"/>
      <c r="E39" s="27" t="n"/>
      <c r="F39" s="27" t="n"/>
      <c r="G39" s="27" t="n"/>
      <c r="H39" s="27" t="n"/>
    </row>
    <row r="40">
      <c r="A40" s="27" t="n"/>
      <c r="B40" s="27" t="n"/>
      <c r="C40" s="27" t="n"/>
      <c r="D40" s="27" t="n"/>
      <c r="E40" s="27" t="n"/>
      <c r="F40" s="27" t="n"/>
      <c r="G40" s="27" t="n"/>
      <c r="H40" s="27" t="n"/>
    </row>
    <row r="41">
      <c r="A41" s="27" t="n"/>
      <c r="B41" s="27" t="n"/>
      <c r="C41" s="27" t="n"/>
      <c r="D41" s="27" t="n"/>
      <c r="E41" s="27" t="n"/>
      <c r="F41" s="27" t="n"/>
      <c r="G41" s="27" t="n"/>
      <c r="H41" s="27" t="n"/>
    </row>
    <row r="42">
      <c r="A42" s="27" t="n"/>
      <c r="B42" s="27" t="n"/>
      <c r="C42" s="27" t="n"/>
      <c r="D42" s="27" t="n"/>
      <c r="E42" s="27" t="n"/>
      <c r="F42" s="27" t="n"/>
      <c r="G42" s="27" t="n"/>
      <c r="H42" s="27" t="n"/>
    </row>
    <row r="43">
      <c r="A43" s="27" t="n"/>
      <c r="B43" s="27" t="n"/>
      <c r="C43" s="27" t="n"/>
      <c r="D43" s="27" t="n"/>
      <c r="E43" s="27" t="n"/>
      <c r="F43" s="27" t="n"/>
      <c r="G43" s="27" t="n"/>
      <c r="H43" s="27" t="n"/>
    </row>
    <row r="44">
      <c r="A44" s="27" t="n"/>
      <c r="B44" s="27" t="n"/>
      <c r="C44" s="27" t="n"/>
      <c r="D44" s="27" t="n"/>
      <c r="E44" s="27" t="n"/>
      <c r="F44" s="27" t="n"/>
      <c r="G44" s="27" t="n"/>
      <c r="H44" s="27" t="n"/>
    </row>
    <row r="45">
      <c r="A45" s="27" t="n"/>
      <c r="B45" s="27" t="n"/>
      <c r="C45" s="27" t="n"/>
      <c r="D45" s="27" t="n"/>
      <c r="E45" s="27" t="n"/>
      <c r="F45" s="27" t="n"/>
      <c r="G45" s="27" t="n"/>
      <c r="H45" s="27" t="n"/>
    </row>
    <row r="46">
      <c r="A46" s="27" t="n"/>
      <c r="B46" s="27" t="n"/>
      <c r="C46" s="27" t="n"/>
      <c r="D46" s="27" t="n"/>
      <c r="E46" s="27" t="n"/>
      <c r="F46" s="27" t="n"/>
      <c r="G46" s="27" t="n"/>
      <c r="H46" s="27" t="n"/>
    </row>
    <row r="47">
      <c r="A47" s="27" t="n"/>
      <c r="B47" s="27" t="n"/>
      <c r="C47" s="27" t="n"/>
      <c r="D47" s="27" t="n"/>
      <c r="E47" s="27" t="n"/>
      <c r="F47" s="27" t="n"/>
      <c r="G47" s="27" t="n"/>
      <c r="H47" s="27" t="n"/>
    </row>
    <row r="48">
      <c r="A48" s="27" t="n"/>
      <c r="B48" s="27" t="n"/>
      <c r="C48" s="27" t="n"/>
      <c r="D48" s="27" t="n"/>
      <c r="E48" s="27" t="n"/>
      <c r="F48" s="27" t="n"/>
      <c r="G48" s="27" t="n"/>
      <c r="H48" s="27" t="n"/>
    </row>
    <row r="49">
      <c r="A49" s="27" t="n"/>
      <c r="B49" s="27" t="n"/>
      <c r="C49" s="27" t="n"/>
      <c r="D49" s="27" t="n"/>
      <c r="E49" s="27" t="n"/>
      <c r="F49" s="27" t="n"/>
      <c r="G49" s="27" t="n"/>
      <c r="H49" s="27" t="n"/>
    </row>
    <row r="50">
      <c r="A50" s="27" t="n"/>
      <c r="B50" s="27" t="n"/>
      <c r="C50" s="27" t="n"/>
      <c r="D50" s="27" t="n"/>
      <c r="E50" s="27" t="n"/>
      <c r="F50" s="27" t="n"/>
      <c r="G50" s="27" t="n"/>
      <c r="H50" s="27" t="n"/>
    </row>
    <row r="51">
      <c r="A51" s="27" t="n"/>
      <c r="B51" s="27" t="n"/>
      <c r="C51" s="27" t="n"/>
      <c r="D51" s="27" t="n"/>
      <c r="E51" s="27" t="n"/>
      <c r="F51" s="27" t="n"/>
      <c r="G51" s="27" t="n"/>
      <c r="H51" s="27" t="n"/>
    </row>
    <row r="52">
      <c r="A52" s="27" t="n"/>
      <c r="B52" s="27" t="n"/>
      <c r="C52" s="27" t="n"/>
      <c r="D52" s="27" t="n"/>
      <c r="E52" s="27" t="n"/>
      <c r="F52" s="27" t="n"/>
      <c r="G52" s="27" t="n"/>
      <c r="H52" s="27" t="n"/>
    </row>
    <row r="53">
      <c r="A53" s="27" t="n"/>
      <c r="B53" s="27" t="n"/>
      <c r="C53" s="27" t="n"/>
      <c r="D53" s="27" t="n"/>
      <c r="E53" s="27" t="n"/>
      <c r="F53" s="27" t="n"/>
      <c r="G53" s="27" t="n"/>
      <c r="H53" s="27" t="n"/>
    </row>
    <row r="54">
      <c r="A54" s="27" t="n"/>
      <c r="B54" s="27" t="n"/>
      <c r="C54" s="27" t="n"/>
      <c r="D54" s="27" t="n"/>
      <c r="E54" s="27" t="n"/>
      <c r="F54" s="27" t="n"/>
      <c r="G54" s="27" t="n"/>
      <c r="H54" s="27" t="n"/>
    </row>
    <row r="55">
      <c r="A55" s="27" t="n"/>
      <c r="B55" s="27" t="n"/>
      <c r="C55" s="27" t="n"/>
      <c r="D55" s="27" t="n"/>
      <c r="E55" s="27" t="n"/>
      <c r="F55" s="27" t="n"/>
      <c r="G55" s="27" t="n"/>
      <c r="H55" s="27" t="n"/>
    </row>
    <row r="56">
      <c r="A56" s="27" t="n"/>
      <c r="B56" s="27" t="n"/>
      <c r="C56" s="27" t="n"/>
      <c r="D56" s="27" t="n"/>
      <c r="E56" s="27" t="n"/>
      <c r="F56" s="27" t="n"/>
      <c r="G56" s="27" t="n"/>
      <c r="H56" s="27" t="n"/>
    </row>
    <row r="57">
      <c r="A57" s="27" t="n"/>
      <c r="B57" s="27" t="n"/>
      <c r="C57" s="27" t="n"/>
      <c r="D57" s="27" t="n"/>
      <c r="E57" s="27" t="n"/>
      <c r="F57" s="27" t="n"/>
      <c r="G57" s="27" t="n"/>
      <c r="H57" s="27" t="n"/>
    </row>
    <row r="58">
      <c r="A58" s="27" t="n"/>
      <c r="B58" s="27" t="n"/>
      <c r="C58" s="27" t="n"/>
      <c r="D58" s="27" t="n"/>
      <c r="E58" s="27" t="n"/>
      <c r="F58" s="27" t="n"/>
      <c r="G58" s="27" t="n"/>
      <c r="H58" s="27" t="n"/>
    </row>
    <row r="59">
      <c r="A59" s="27" t="n"/>
      <c r="B59" s="27" t="n"/>
      <c r="C59" s="27" t="n"/>
      <c r="D59" s="27" t="n"/>
      <c r="E59" s="27" t="n"/>
      <c r="F59" s="27" t="n"/>
      <c r="G59" s="27" t="n"/>
      <c r="H59" s="27" t="n"/>
    </row>
    <row r="60">
      <c r="A60" s="27" t="n"/>
      <c r="B60" s="27" t="n"/>
      <c r="C60" s="27" t="n"/>
      <c r="D60" s="27" t="n"/>
      <c r="E60" s="27" t="n"/>
      <c r="F60" s="27" t="n"/>
      <c r="G60" s="27" t="n"/>
      <c r="H60" s="27" t="n"/>
    </row>
    <row r="61">
      <c r="A61" s="27" t="n"/>
      <c r="B61" s="27" t="n"/>
      <c r="C61" s="27" t="n"/>
      <c r="D61" s="27" t="n"/>
      <c r="E61" s="27" t="n"/>
      <c r="F61" s="27" t="n"/>
      <c r="G61" s="27" t="n"/>
      <c r="H61" s="27" t="n"/>
    </row>
    <row r="62">
      <c r="A62" s="27" t="n"/>
      <c r="B62" s="27" t="n"/>
      <c r="C62" s="27" t="n"/>
      <c r="D62" s="27" t="n"/>
      <c r="E62" s="27" t="n"/>
      <c r="F62" s="27" t="n"/>
      <c r="G62" s="27" t="n"/>
      <c r="H62" s="27" t="n"/>
    </row>
    <row r="63">
      <c r="A63" s="27" t="n"/>
      <c r="B63" s="27" t="n"/>
      <c r="C63" s="27" t="n"/>
      <c r="D63" s="27" t="n"/>
      <c r="E63" s="27" t="n"/>
      <c r="F63" s="27" t="n"/>
      <c r="G63" s="27" t="n"/>
      <c r="H63" s="27" t="n"/>
    </row>
    <row r="64">
      <c r="A64" s="27" t="n"/>
      <c r="B64" s="27" t="n"/>
      <c r="C64" s="27" t="n"/>
      <c r="D64" s="27" t="n"/>
      <c r="E64" s="27" t="n"/>
      <c r="F64" s="27" t="n"/>
      <c r="G64" s="27" t="n"/>
      <c r="H64" s="27" t="n"/>
    </row>
    <row r="65">
      <c r="A65" s="27" t="n"/>
      <c r="B65" s="27" t="n"/>
      <c r="C65" s="27" t="n"/>
      <c r="D65" s="27" t="n"/>
      <c r="E65" s="27" t="n"/>
      <c r="F65" s="27" t="n"/>
      <c r="G65" s="27" t="n"/>
      <c r="H65" s="27" t="n"/>
    </row>
    <row r="66">
      <c r="A66" s="27" t="n"/>
      <c r="B66" s="27" t="n"/>
      <c r="C66" s="27" t="n"/>
      <c r="D66" s="27" t="n"/>
      <c r="E66" s="27" t="n"/>
      <c r="F66" s="27" t="n"/>
      <c r="G66" s="27" t="n"/>
      <c r="H66" s="27" t="n"/>
    </row>
    <row r="67">
      <c r="A67" s="27" t="n"/>
      <c r="B67" s="27" t="n"/>
      <c r="C67" s="27" t="n"/>
      <c r="D67" s="27" t="n"/>
      <c r="E67" s="27" t="n"/>
      <c r="F67" s="27" t="n"/>
      <c r="G67" s="27" t="n"/>
      <c r="H67" s="27" t="n"/>
    </row>
    <row r="68">
      <c r="A68" s="27" t="n"/>
      <c r="B68" s="27" t="n"/>
      <c r="C68" s="27" t="n"/>
      <c r="D68" s="27" t="n"/>
      <c r="E68" s="27" t="n"/>
      <c r="F68" s="27" t="n"/>
      <c r="G68" s="27" t="n"/>
      <c r="H68" s="27" t="n"/>
    </row>
    <row r="69">
      <c r="A69" s="27" t="n"/>
      <c r="B69" s="27" t="n"/>
      <c r="C69" s="27" t="n"/>
      <c r="D69" s="27" t="n"/>
      <c r="E69" s="27" t="n"/>
      <c r="F69" s="27" t="n"/>
      <c r="G69" s="27" t="n"/>
      <c r="H69" s="27" t="n"/>
    </row>
    <row r="70">
      <c r="A70" s="27" t="n"/>
      <c r="B70" s="27" t="n"/>
      <c r="C70" s="27" t="n"/>
      <c r="D70" s="27" t="n"/>
      <c r="E70" s="27" t="n"/>
      <c r="F70" s="27" t="n"/>
      <c r="G70" s="27" t="n"/>
      <c r="H70" s="27" t="n"/>
    </row>
    <row r="71">
      <c r="A71" s="27" t="n"/>
      <c r="B71" s="27" t="n"/>
      <c r="C71" s="27" t="n"/>
      <c r="D71" s="27" t="n"/>
      <c r="E71" s="27" t="n"/>
      <c r="F71" s="27" t="n"/>
      <c r="G71" s="27" t="n"/>
      <c r="H71" s="27" t="n"/>
    </row>
    <row r="72">
      <c r="A72" s="27" t="n"/>
      <c r="B72" s="27" t="n"/>
      <c r="C72" s="27" t="n"/>
      <c r="D72" s="27" t="n"/>
      <c r="E72" s="27" t="n"/>
      <c r="F72" s="27" t="n"/>
      <c r="G72" s="27" t="n"/>
      <c r="H72" s="27" t="n"/>
    </row>
    <row r="73">
      <c r="A73" s="27" t="n"/>
      <c r="B73" s="27" t="n"/>
      <c r="C73" s="27" t="n"/>
      <c r="D73" s="27" t="n"/>
      <c r="E73" s="27" t="n"/>
      <c r="F73" s="27" t="n"/>
      <c r="G73" s="27" t="n"/>
      <c r="H73" s="27" t="n"/>
    </row>
    <row r="74">
      <c r="A74" s="27" t="n"/>
      <c r="B74" s="27" t="n"/>
      <c r="C74" s="27" t="n"/>
      <c r="D74" s="27" t="n"/>
      <c r="E74" s="27" t="n"/>
      <c r="F74" s="27" t="n"/>
      <c r="G74" s="27" t="n"/>
      <c r="H74" s="27" t="n"/>
    </row>
    <row r="75">
      <c r="A75" s="27" t="n"/>
      <c r="B75" s="27" t="n"/>
      <c r="C75" s="27" t="n"/>
      <c r="D75" s="27" t="n"/>
      <c r="E75" s="27" t="n"/>
      <c r="F75" s="27" t="n"/>
      <c r="G75" s="27" t="n"/>
      <c r="H75" s="27" t="n"/>
    </row>
    <row r="76">
      <c r="A76" s="27" t="n"/>
      <c r="B76" s="27" t="n"/>
      <c r="C76" s="27" t="n"/>
      <c r="D76" s="27" t="n"/>
      <c r="E76" s="27" t="n"/>
      <c r="F76" s="27" t="n"/>
      <c r="G76" s="27" t="n"/>
      <c r="H76" s="27" t="n"/>
    </row>
    <row r="77">
      <c r="A77" s="27" t="n"/>
      <c r="B77" s="27" t="n"/>
      <c r="C77" s="27" t="n"/>
      <c r="D77" s="27" t="n"/>
      <c r="E77" s="27" t="n"/>
      <c r="F77" s="27" t="n"/>
      <c r="G77" s="27" t="n"/>
      <c r="H77" s="27" t="n"/>
    </row>
    <row r="78">
      <c r="A78" s="27" t="n"/>
      <c r="B78" s="27" t="n"/>
      <c r="C78" s="27" t="n"/>
      <c r="D78" s="27" t="n"/>
      <c r="E78" s="27" t="n"/>
      <c r="F78" s="27" t="n"/>
      <c r="G78" s="27" t="n"/>
      <c r="H78" s="27" t="n"/>
    </row>
    <row r="79">
      <c r="A79" s="27" t="n"/>
      <c r="B79" s="27" t="n"/>
      <c r="C79" s="27" t="n"/>
      <c r="D79" s="27" t="n"/>
      <c r="E79" s="27" t="n"/>
      <c r="F79" s="27" t="n"/>
      <c r="G79" s="27" t="n"/>
      <c r="H79" s="27" t="n"/>
    </row>
    <row r="80">
      <c r="A80" s="27" t="n"/>
      <c r="B80" s="27" t="n"/>
      <c r="C80" s="27" t="n"/>
      <c r="D80" s="27" t="n"/>
      <c r="E80" s="27" t="n"/>
      <c r="F80" s="27" t="n"/>
      <c r="G80" s="27" t="n"/>
      <c r="H80" s="27" t="n"/>
    </row>
    <row r="81">
      <c r="A81" s="27" t="n"/>
      <c r="B81" s="27" t="n"/>
      <c r="C81" s="27" t="n"/>
      <c r="D81" s="27" t="n"/>
      <c r="E81" s="27" t="n"/>
      <c r="F81" s="27" t="n"/>
      <c r="G81" s="27" t="n"/>
      <c r="H81" s="27" t="n"/>
    </row>
    <row r="82">
      <c r="A82" s="27" t="n"/>
      <c r="B82" s="27" t="n"/>
      <c r="C82" s="27" t="n"/>
      <c r="D82" s="27" t="n"/>
      <c r="E82" s="27" t="n"/>
      <c r="F82" s="27" t="n"/>
      <c r="G82" s="27" t="n"/>
      <c r="H82" s="27" t="n"/>
    </row>
    <row r="83">
      <c r="A83" s="27" t="n"/>
      <c r="B83" s="27" t="n"/>
      <c r="C83" s="27" t="n"/>
      <c r="D83" s="27" t="n"/>
      <c r="E83" s="27" t="n"/>
      <c r="F83" s="27" t="n"/>
      <c r="G83" s="27" t="n"/>
      <c r="H83" s="27" t="n"/>
    </row>
    <row r="84">
      <c r="A84" s="27" t="n"/>
      <c r="B84" s="27" t="n"/>
      <c r="C84" s="27" t="n"/>
      <c r="D84" s="27" t="n"/>
      <c r="E84" s="27" t="n"/>
      <c r="F84" s="27" t="n"/>
      <c r="G84" s="27" t="n"/>
      <c r="H84" s="27" t="n"/>
    </row>
    <row r="85">
      <c r="A85" s="27" t="n"/>
      <c r="B85" s="27" t="n"/>
      <c r="C85" s="27" t="n"/>
      <c r="D85" s="27" t="n"/>
      <c r="E85" s="27" t="n"/>
      <c r="F85" s="27" t="n"/>
      <c r="G85" s="27" t="n"/>
      <c r="H85" s="27" t="n"/>
    </row>
    <row r="86">
      <c r="A86" s="27" t="n"/>
      <c r="B86" s="27" t="n"/>
      <c r="C86" s="27" t="n"/>
      <c r="D86" s="27" t="n"/>
      <c r="E86" s="27" t="n"/>
      <c r="F86" s="27" t="n"/>
      <c r="G86" s="27" t="n"/>
      <c r="H86" s="27" t="n"/>
    </row>
    <row r="87">
      <c r="A87" s="27" t="n"/>
      <c r="B87" s="27" t="n"/>
      <c r="C87" s="27" t="n"/>
      <c r="D87" s="27" t="n"/>
      <c r="E87" s="27" t="n"/>
      <c r="F87" s="27" t="n"/>
      <c r="G87" s="27" t="n"/>
      <c r="H87" s="27" t="n"/>
    </row>
    <row r="88">
      <c r="A88" s="27" t="n"/>
      <c r="B88" s="27" t="n"/>
      <c r="C88" s="27" t="n"/>
      <c r="D88" s="27" t="n"/>
      <c r="E88" s="27" t="n"/>
      <c r="F88" s="27" t="n"/>
      <c r="G88" s="27" t="n"/>
      <c r="H88" s="27" t="n"/>
    </row>
    <row r="89">
      <c r="A89" s="27" t="n"/>
      <c r="B89" s="27" t="n"/>
      <c r="C89" s="27" t="n"/>
      <c r="D89" s="27" t="n"/>
      <c r="E89" s="27" t="n"/>
      <c r="F89" s="27" t="n"/>
      <c r="G89" s="27" t="n"/>
      <c r="H89" s="27" t="n"/>
    </row>
    <row r="90">
      <c r="A90" s="27" t="n"/>
      <c r="B90" s="27" t="n"/>
      <c r="C90" s="27" t="n"/>
      <c r="D90" s="27" t="n"/>
      <c r="E90" s="27" t="n"/>
      <c r="F90" s="27" t="n"/>
      <c r="G90" s="27" t="n"/>
      <c r="H90" s="27" t="n"/>
    </row>
    <row r="91">
      <c r="A91" s="27" t="n"/>
      <c r="B91" s="27" t="n"/>
      <c r="C91" s="27" t="n"/>
      <c r="D91" s="27" t="n"/>
      <c r="E91" s="27" t="n"/>
      <c r="F91" s="27" t="n"/>
      <c r="G91" s="27" t="n"/>
      <c r="H91" s="27" t="n"/>
    </row>
    <row r="92">
      <c r="A92" s="27" t="n"/>
      <c r="B92" s="27" t="n"/>
      <c r="C92" s="27" t="n"/>
      <c r="D92" s="27" t="n"/>
      <c r="E92" s="27" t="n"/>
      <c r="F92" s="27" t="n"/>
      <c r="G92" s="27" t="n"/>
      <c r="H92" s="27" t="n"/>
    </row>
    <row r="93">
      <c r="A93" s="27" t="n"/>
      <c r="B93" s="27" t="n"/>
      <c r="C93" s="27" t="n"/>
      <c r="D93" s="27" t="n"/>
      <c r="E93" s="27" t="n"/>
      <c r="F93" s="27" t="n"/>
      <c r="G93" s="27" t="n"/>
      <c r="H93" s="27" t="n"/>
    </row>
    <row r="94">
      <c r="A94" s="27" t="n"/>
      <c r="B94" s="27" t="n"/>
      <c r="C94" s="27" t="n"/>
      <c r="D94" s="27" t="n"/>
      <c r="E94" s="27" t="n"/>
      <c r="F94" s="27" t="n"/>
      <c r="G94" s="27" t="n"/>
      <c r="H94" s="27" t="n"/>
    </row>
    <row r="95">
      <c r="A95" s="27" t="n"/>
      <c r="B95" s="27" t="n"/>
      <c r="C95" s="27" t="n"/>
      <c r="D95" s="27" t="n"/>
      <c r="E95" s="27" t="n"/>
      <c r="F95" s="27" t="n"/>
      <c r="G95" s="27" t="n"/>
      <c r="H95" s="27" t="n"/>
    </row>
    <row r="96">
      <c r="A96" s="27" t="n"/>
      <c r="B96" s="27" t="n"/>
      <c r="C96" s="27" t="n"/>
      <c r="D96" s="27" t="n"/>
      <c r="E96" s="27" t="n"/>
      <c r="F96" s="27" t="n"/>
      <c r="G96" s="27" t="n"/>
      <c r="H96" s="27" t="n"/>
    </row>
    <row r="97">
      <c r="A97" s="27" t="n"/>
      <c r="B97" s="27" t="n"/>
      <c r="C97" s="27" t="n"/>
      <c r="D97" s="27" t="n"/>
      <c r="E97" s="27" t="n"/>
      <c r="F97" s="27" t="n"/>
      <c r="G97" s="27" t="n"/>
      <c r="H97" s="27" t="n"/>
    </row>
    <row r="98">
      <c r="A98" s="27" t="n"/>
      <c r="B98" s="27" t="n"/>
      <c r="C98" s="27" t="n"/>
      <c r="D98" s="27" t="n"/>
      <c r="E98" s="27" t="n"/>
      <c r="F98" s="27" t="n"/>
      <c r="G98" s="27" t="n"/>
      <c r="H98" s="27" t="n"/>
    </row>
    <row r="99">
      <c r="A99" s="27" t="n"/>
      <c r="B99" s="27" t="n"/>
      <c r="C99" s="27" t="n"/>
      <c r="D99" s="27" t="n"/>
      <c r="E99" s="27" t="n"/>
      <c r="F99" s="27" t="n"/>
      <c r="G99" s="27" t="n"/>
      <c r="H99" s="27" t="n"/>
    </row>
    <row r="100">
      <c r="A100" s="27" t="n"/>
      <c r="B100" s="27" t="n"/>
      <c r="C100" s="27" t="n"/>
      <c r="D100" s="27" t="n"/>
      <c r="E100" s="27" t="n"/>
      <c r="F100" s="27" t="n"/>
      <c r="G100" s="27" t="n"/>
      <c r="H100" s="27" t="n"/>
    </row>
    <row r="101">
      <c r="A101" s="27" t="n"/>
      <c r="B101" s="27" t="n"/>
      <c r="C101" s="27" t="n"/>
      <c r="D101" s="27" t="n"/>
      <c r="E101" s="27" t="n"/>
      <c r="F101" s="27" t="n"/>
      <c r="G101" s="27" t="n"/>
      <c r="H101" s="27" t="n"/>
    </row>
    <row r="102">
      <c r="A102" s="27" t="n"/>
      <c r="B102" s="27" t="n"/>
      <c r="C102" s="27" t="n"/>
      <c r="D102" s="27" t="n"/>
      <c r="E102" s="27" t="n"/>
      <c r="F102" s="27" t="n"/>
      <c r="G102" s="27" t="n"/>
      <c r="H102" s="27" t="n"/>
    </row>
    <row r="103">
      <c r="A103" s="27" t="n"/>
      <c r="B103" s="27" t="n"/>
      <c r="C103" s="27" t="n"/>
      <c r="D103" s="27" t="n"/>
      <c r="E103" s="27" t="n"/>
      <c r="F103" s="27" t="n"/>
      <c r="G103" s="27" t="n"/>
      <c r="H103" s="27" t="n"/>
    </row>
    <row r="104">
      <c r="A104" s="27" t="n"/>
      <c r="B104" s="27" t="n"/>
      <c r="C104" s="27" t="n"/>
      <c r="D104" s="27" t="n"/>
      <c r="E104" s="27" t="n"/>
      <c r="F104" s="27" t="n"/>
      <c r="G104" s="27" t="n"/>
      <c r="H104" s="27" t="n"/>
    </row>
    <row r="105">
      <c r="A105" s="27" t="n"/>
      <c r="B105" s="27" t="n"/>
      <c r="C105" s="27" t="n"/>
      <c r="D105" s="27" t="n"/>
      <c r="E105" s="27" t="n"/>
      <c r="F105" s="27" t="n"/>
      <c r="G105" s="27" t="n"/>
      <c r="H105" s="27"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35" customWidth="1" min="1" max="1"/>
    <col width="18" customWidth="1" min="2" max="2"/>
    <col width="12" customWidth="1" min="3" max="3"/>
    <col width="16" customWidth="1" min="4" max="4"/>
    <col width="8" customWidth="1" min="5" max="5"/>
    <col width="10" customWidth="1" min="6" max="6"/>
    <col width="14" customWidth="1" min="7" max="7"/>
  </cols>
  <sheetData>
    <row r="1" ht="35" customHeight="1">
      <c r="A1" s="24" t="inlineStr">
        <is>
          <t>Forensic Evidence — SUMMARY DASHBOARD</t>
        </is>
      </c>
      <c r="B1" s="6" t="n"/>
      <c r="C1" s="6" t="n"/>
      <c r="D1" s="6" t="n"/>
      <c r="E1" s="6" t="n"/>
      <c r="F1" s="6" t="n"/>
      <c r="G1" s="6" t="n"/>
    </row>
    <row r="2">
      <c r="A2" s="28" t="inlineStr">
        <is>
          <t>ISO/IEC 27001:2022 - Control A.5.24-28: Incident Management</t>
        </is>
      </c>
      <c r="B2" s="6" t="n"/>
      <c r="C2" s="6" t="n"/>
      <c r="D2" s="6" t="n"/>
      <c r="E2" s="6" t="n"/>
      <c r="F2" s="6" t="n"/>
      <c r="G2" s="6" t="n"/>
    </row>
    <row r="3">
      <c r="A3" s="29" t="inlineStr">
        <is>
          <t>COMPLIANCE ASSESSMENT SUMMARY</t>
        </is>
      </c>
      <c r="B3" s="6" t="n"/>
      <c r="C3" s="6" t="n"/>
      <c r="D3" s="6" t="n"/>
      <c r="E3" s="6" t="n"/>
      <c r="F3" s="6" t="n"/>
      <c r="G3" s="6" t="n"/>
    </row>
    <row r="4" ht="30" customHeight="1">
      <c r="A4" s="30" t="inlineStr">
        <is>
          <t>Assessment Area</t>
        </is>
      </c>
      <c r="B4" s="30" t="inlineStr">
        <is>
          <t>Questions Answered</t>
        </is>
      </c>
      <c r="C4" s="30" t="inlineStr">
        <is>
          <t>No Gap</t>
        </is>
      </c>
      <c r="D4" s="30" t="inlineStr">
        <is>
          <t>Gap Identified</t>
        </is>
      </c>
      <c r="E4" s="30" t="inlineStr">
        <is>
          <t>N/A</t>
        </is>
      </c>
      <c r="F4" s="30" t="inlineStr">
        <is>
          <t>Target</t>
        </is>
      </c>
      <c r="G4" s="30" t="inlineStr">
        <is>
          <t>Compliance %</t>
        </is>
      </c>
    </row>
    <row r="5">
      <c r="A5" s="31" t="inlineStr">
        <is>
          <t>Evidence Collection</t>
        </is>
      </c>
      <c r="B5" s="31">
        <f>COUNTA('Evidence Collection'!D5:D100)</f>
        <v/>
      </c>
      <c r="C5" s="31">
        <f>COUNTIF('Evidence Collection'!G5:G100,"No")</f>
        <v/>
      </c>
      <c r="D5" s="31">
        <f>COUNTIF('Evidence Collection'!G5:G100,"Yes")</f>
        <v/>
      </c>
      <c r="E5" s="31">
        <f>COUNTIF('Evidence Collection'!D5:D100,"N/A")</f>
        <v/>
      </c>
      <c r="F5" s="31" t="inlineStr">
        <is>
          <t>90%</t>
        </is>
      </c>
      <c r="G5" s="32">
        <f>IFERROR(C5/(C5+D5)*100,0)</f>
        <v/>
      </c>
    </row>
    <row r="6">
      <c r="A6" s="31" t="inlineStr">
        <is>
          <t>Chain of Custody</t>
        </is>
      </c>
      <c r="B6" s="31">
        <f>COUNTA('Chain of Custody'!D5:D100)</f>
        <v/>
      </c>
      <c r="C6" s="31">
        <f>COUNTIF('Chain of Custody'!G5:G100,"No")</f>
        <v/>
      </c>
      <c r="D6" s="31">
        <f>COUNTIF('Chain of Custody'!G5:G100,"Yes")</f>
        <v/>
      </c>
      <c r="E6" s="31">
        <f>COUNTIF('Chain of Custody'!D5:D100,"N/A")</f>
        <v/>
      </c>
      <c r="F6" s="31" t="inlineStr">
        <is>
          <t>95%</t>
        </is>
      </c>
      <c r="G6" s="32">
        <f>IFERROR(C6/(C6+D6)*100,0)</f>
        <v/>
      </c>
    </row>
    <row r="7">
      <c r="A7" s="31" t="inlineStr">
        <is>
          <t>Forensic Analysis</t>
        </is>
      </c>
      <c r="B7" s="31">
        <f>COUNTA('Forensic Analysis'!D5:D100)</f>
        <v/>
      </c>
      <c r="C7" s="31">
        <f>COUNTIF('Forensic Analysis'!G5:G100,"No")</f>
        <v/>
      </c>
      <c r="D7" s="31">
        <f>COUNTIF('Forensic Analysis'!G5:G100,"Yes")</f>
        <v/>
      </c>
      <c r="E7" s="31">
        <f>COUNTIF('Forensic Analysis'!D5:D100,"N/A")</f>
        <v/>
      </c>
      <c r="F7" s="31" t="inlineStr">
        <is>
          <t>85%</t>
        </is>
      </c>
      <c r="G7" s="32">
        <f>IFERROR(C7/(C7+D7)*100,0)</f>
        <v/>
      </c>
    </row>
    <row r="8">
      <c r="A8" s="31" t="inlineStr">
        <is>
          <t>Storage &amp; Retention</t>
        </is>
      </c>
      <c r="B8" s="31">
        <f>COUNTA('Storage &amp; Retention'!D5:D100)</f>
        <v/>
      </c>
      <c r="C8" s="31">
        <f>COUNTIF('Storage &amp; Retention'!G5:G100,"No")</f>
        <v/>
      </c>
      <c r="D8" s="31">
        <f>COUNTIF('Storage &amp; Retention'!G5:G100,"Yes")</f>
        <v/>
      </c>
      <c r="E8" s="31">
        <f>COUNTIF('Storage &amp; Retention'!D5:D100,"N/A")</f>
        <v/>
      </c>
      <c r="F8" s="31" t="inlineStr">
        <is>
          <t>90%</t>
        </is>
      </c>
      <c r="G8" s="32">
        <f>IFERROR(C8/(C8+D8)*100,0)</f>
        <v/>
      </c>
    </row>
    <row r="9">
      <c r="A9" s="31" t="inlineStr">
        <is>
          <t>Legal &amp; Regulatory</t>
        </is>
      </c>
      <c r="B9" s="31">
        <f>COUNTA('Legal &amp; Regulatory'!D5:D100)</f>
        <v/>
      </c>
      <c r="C9" s="31">
        <f>COUNTIF('Legal &amp; Regulatory'!G5:G100,"No")</f>
        <v/>
      </c>
      <c r="D9" s="31">
        <f>COUNTIF('Legal &amp; Regulatory'!G5:G100,"Yes")</f>
        <v/>
      </c>
      <c r="E9" s="31">
        <f>COUNTIF('Legal &amp; Regulatory'!D5:D100,"N/A")</f>
        <v/>
      </c>
      <c r="F9" s="31" t="inlineStr">
        <is>
          <t>90%</t>
        </is>
      </c>
      <c r="G9" s="32">
        <f>IFERROR(C9/(C9+D9)*100,0)</f>
        <v/>
      </c>
    </row>
    <row r="10">
      <c r="A10" s="33" t="inlineStr">
        <is>
          <t>TOTAL</t>
        </is>
      </c>
      <c r="B10" s="33">
        <f>SUM(B5:B9)</f>
        <v/>
      </c>
      <c r="C10" s="33">
        <f>SUM(C5:C9)</f>
        <v/>
      </c>
      <c r="D10" s="33">
        <f>SUM(D5:D9)</f>
        <v/>
      </c>
      <c r="E10" s="33">
        <f>SUM(E5:E9)</f>
        <v/>
      </c>
      <c r="F10" s="33" t="inlineStr">
        <is>
          <t>—</t>
        </is>
      </c>
      <c r="G10" s="34">
        <f>IFERROR(AVERAGE(G5:G9),0)</f>
        <v/>
      </c>
    </row>
    <row r="12">
      <c r="A12" s="29" t="inlineStr">
        <is>
          <t>FORENSIC CAPABILITY METRICS</t>
        </is>
      </c>
      <c r="B12" s="6" t="n"/>
      <c r="C12" s="6" t="n"/>
      <c r="D12" s="6" t="n"/>
      <c r="E12" s="6" t="n"/>
      <c r="F12" s="6" t="n"/>
      <c r="G12" s="6" t="n"/>
    </row>
    <row r="13">
      <c r="A13" s="35" t="inlineStr">
        <is>
          <t>Metric</t>
        </is>
      </c>
      <c r="B13" s="35" t="inlineStr">
        <is>
          <t>Value</t>
        </is>
      </c>
      <c r="C13" s="35" t="inlineStr">
        <is>
          <t>Target</t>
        </is>
      </c>
    </row>
    <row r="14">
      <c r="A14" s="31" t="inlineStr">
        <is>
          <t>Evidence Collection Completeness (%)</t>
        </is>
      </c>
      <c r="B14" s="31">
        <f>'Evidence Collection'!D23</f>
        <v/>
      </c>
      <c r="C14" s="31" t="inlineStr">
        <is>
          <t>≥95%</t>
        </is>
      </c>
    </row>
    <row r="15">
      <c r="A15" s="31" t="inlineStr">
        <is>
          <t>Root Cause Identification Rate (%)</t>
        </is>
      </c>
      <c r="B15" s="31">
        <f>'Forensic Analysis'!D61</f>
        <v/>
      </c>
      <c r="C15" s="31" t="inlineStr">
        <is>
          <t>≥90%</t>
        </is>
      </c>
    </row>
    <row r="16">
      <c r="A16" s="31" t="inlineStr">
        <is>
          <t>Attacker Scope Determination Rate (%)</t>
        </is>
      </c>
      <c r="B16" s="31">
        <f>'Forensic Analysis'!D62</f>
        <v/>
      </c>
      <c r="C16" s="31" t="inlineStr">
        <is>
          <t>≥85%</t>
        </is>
      </c>
    </row>
    <row r="17">
      <c r="A17" s="31" t="inlineStr">
        <is>
          <t>Time to Begin Collection (hours)</t>
        </is>
      </c>
      <c r="B17" s="31">
        <f>'Evidence Collection'!D21</f>
        <v/>
      </c>
      <c r="C17" s="31" t="inlineStr">
        <is>
          <t>≤1h</t>
        </is>
      </c>
    </row>
    <row r="18">
      <c r="A18" s="31" t="inlineStr">
        <is>
          <t>Forensic Analysts (FTE)</t>
        </is>
      </c>
      <c r="B18" s="31">
        <f>'Forensic Analysis'!D53</f>
        <v/>
      </c>
      <c r="C18" s="31" t="inlineStr">
        <is>
          <t>≥2 FTE</t>
        </is>
      </c>
    </row>
    <row r="20">
      <c r="A20" s="36" t="inlineStr">
        <is>
          <t>CRITICAL FINDINGS</t>
        </is>
      </c>
      <c r="B20" s="6" t="n"/>
      <c r="C20" s="6" t="n"/>
      <c r="D20" s="6" t="n"/>
      <c r="E20" s="6" t="n"/>
      <c r="F20" s="6" t="n"/>
      <c r="G20" s="6" t="n"/>
    </row>
    <row r="21">
      <c r="A21" s="35" t="inlineStr">
        <is>
          <t>Critical Finding</t>
        </is>
      </c>
      <c r="B21" s="35" t="inlineStr">
        <is>
          <t>Status</t>
        </is>
      </c>
      <c r="C21" s="35" t="inlineStr">
        <is>
          <t>Severity</t>
        </is>
      </c>
    </row>
    <row r="22">
      <c r="A22" s="37" t="inlineStr">
        <is>
          <t>Evidence Collection &lt;70%</t>
        </is>
      </c>
      <c r="B22" s="37">
        <f>IF(G5&lt;70,"[!] Below Target","[OK]")</f>
        <v/>
      </c>
      <c r="C22" s="37" t="inlineStr">
        <is>
          <t>Critical</t>
        </is>
      </c>
    </row>
    <row r="23">
      <c r="A23" s="37" t="inlineStr">
        <is>
          <t>Chain of Custody &lt;70%</t>
        </is>
      </c>
      <c r="B23" s="37">
        <f>IF(G6&lt;70,"[!] Below Target","[OK]")</f>
        <v/>
      </c>
      <c r="C23" s="37" t="inlineStr">
        <is>
          <t>Critical</t>
        </is>
      </c>
    </row>
    <row r="24">
      <c r="A24" s="38" t="inlineStr">
        <is>
          <t>Forensic Analysis &lt;70%</t>
        </is>
      </c>
      <c r="B24" s="38">
        <f>IF(G7&lt;70,"[!] Below Target","[OK]")</f>
        <v/>
      </c>
      <c r="C24" s="38" t="inlineStr">
        <is>
          <t>High</t>
        </is>
      </c>
    </row>
    <row r="25">
      <c r="A25" s="38" t="inlineStr">
        <is>
          <t>Storage &amp; Retention &lt;70%</t>
        </is>
      </c>
      <c r="B25" s="38">
        <f>IF(G8&lt;70,"[!] Below Target","[OK]")</f>
        <v/>
      </c>
      <c r="C25" s="38" t="inlineStr">
        <is>
          <t>High</t>
        </is>
      </c>
    </row>
    <row r="26">
      <c r="A26" s="37" t="inlineStr">
        <is>
          <t>Legal &amp; Regulatory &lt;70%</t>
        </is>
      </c>
      <c r="B26" s="37">
        <f>IF(G9&lt;70,"[!] Below Target","[OK]")</f>
        <v/>
      </c>
      <c r="C26" s="37" t="inlineStr">
        <is>
          <t>Critical</t>
        </is>
      </c>
    </row>
    <row r="27">
      <c r="A27" s="37" t="inlineStr">
        <is>
          <t>Overall forensic readiness &lt;70%</t>
        </is>
      </c>
      <c r="B27" s="37">
        <f>IF(G10&lt;70,"[!] Below Target","[OK]")</f>
        <v/>
      </c>
      <c r="C27" s="37" t="inlineStr">
        <is>
          <t>Critical</t>
        </is>
      </c>
    </row>
    <row r="28">
      <c r="A28" s="38" t="inlineStr">
        <is>
          <t>Evidence source coverage &lt;5 sources</t>
        </is>
      </c>
      <c r="B28" s="38">
        <f>IFERROR(IF(COUNTIF('Evidence Collection'!D9:D18,"Yes")&lt;5,"[!] Low Coverage","[OK]"),"")</f>
        <v/>
      </c>
      <c r="C28" s="38" t="inlineStr">
        <is>
          <t>High</t>
        </is>
      </c>
    </row>
  </sheetData>
  <mergeCells count="5">
    <mergeCell ref="A1:G1"/>
    <mergeCell ref="A3:G3"/>
    <mergeCell ref="A12:G12"/>
    <mergeCell ref="A20:G20"/>
    <mergeCell ref="A2:G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9" t="inlineStr">
        <is>
          <t>ASSESSMENT APPROVAL AND SIGN-OFF</t>
        </is>
      </c>
      <c r="B1" s="6" t="n"/>
      <c r="C1" s="6" t="n"/>
      <c r="D1" s="6" t="n"/>
      <c r="E1" s="6" t="n"/>
    </row>
    <row r="2">
      <c r="A2" s="40" t="inlineStr">
        <is>
          <t>ISO/IEC 27001:2022 - Control A.5.24-28: Incident Management</t>
        </is>
      </c>
      <c r="B2" s="6" t="n"/>
      <c r="C2" s="6" t="n"/>
      <c r="D2" s="6" t="n"/>
      <c r="E2" s="6" t="n"/>
    </row>
    <row r="3">
      <c r="A3" s="41" t="inlineStr">
        <is>
          <t>ASSESSMENT SUMMARY</t>
        </is>
      </c>
      <c r="B3" s="6" t="n"/>
      <c r="C3" s="6" t="n"/>
      <c r="D3" s="6" t="n"/>
      <c r="E3" s="6" t="n"/>
    </row>
    <row r="4">
      <c r="A4" s="3" t="inlineStr">
        <is>
          <t>Document:</t>
        </is>
      </c>
      <c r="B4" s="6" t="inlineStr">
        <is>
          <t>ISMS-IMP-A.5.24-28.S4 - Forensic Evidence</t>
        </is>
      </c>
      <c r="C4" s="6" t="n"/>
      <c r="D4" s="6" t="n"/>
      <c r="E4" s="6" t="n"/>
    </row>
    <row r="5">
      <c r="A5" s="3" t="inlineStr">
        <is>
          <t>Assessment Period:</t>
        </is>
      </c>
      <c r="B5" s="17" t="inlineStr"/>
      <c r="C5" s="6" t="n"/>
      <c r="D5" s="6" t="n"/>
      <c r="E5" s="6" t="n"/>
    </row>
    <row r="6">
      <c r="A6" s="3" t="inlineStr">
        <is>
          <t>Overall Compliance Rating:</t>
        </is>
      </c>
      <c r="B6" s="42">
        <f>IFERROR(AVERAGE('Summary Dashboard'!G5:G9),"")</f>
        <v/>
      </c>
      <c r="C6" s="6" t="n"/>
      <c r="D6" s="6" t="n"/>
      <c r="E6" s="6" t="n"/>
    </row>
    <row r="7">
      <c r="A7" s="3" t="inlineStr">
        <is>
          <t>Assessment Status:</t>
        </is>
      </c>
      <c r="B7" s="17" t="inlineStr"/>
      <c r="C7" s="6" t="n"/>
      <c r="D7" s="6" t="n"/>
      <c r="E7" s="6" t="n"/>
    </row>
    <row r="8">
      <c r="A8" s="3" t="inlineStr">
        <is>
          <t>Assessed By:</t>
        </is>
      </c>
      <c r="B8" s="17" t="inlineStr"/>
      <c r="C8" s="6" t="n"/>
      <c r="D8" s="6" t="n"/>
      <c r="E8" s="6" t="n"/>
    </row>
    <row r="11">
      <c r="A11" s="41" t="inlineStr">
        <is>
          <t>COMPLETED BY (ASSESSOR)</t>
        </is>
      </c>
      <c r="B11" s="6" t="n"/>
      <c r="C11" s="6" t="n"/>
      <c r="D11" s="6" t="n"/>
      <c r="E11" s="6" t="n"/>
    </row>
    <row r="12">
      <c r="A12" s="3" t="inlineStr">
        <is>
          <t>Name:</t>
        </is>
      </c>
      <c r="B12" s="17" t="n"/>
      <c r="C12" s="6" t="n"/>
      <c r="D12" s="6" t="n"/>
      <c r="E12" s="6" t="n"/>
    </row>
    <row r="13">
      <c r="A13" s="3" t="inlineStr">
        <is>
          <t>Title:</t>
        </is>
      </c>
      <c r="B13" s="17" t="n"/>
      <c r="C13" s="6" t="n"/>
      <c r="D13" s="6" t="n"/>
      <c r="E13" s="6" t="n"/>
    </row>
    <row r="14">
      <c r="A14" s="3" t="inlineStr">
        <is>
          <t>Date:</t>
        </is>
      </c>
      <c r="B14" s="17" t="n"/>
      <c r="C14" s="6" t="n"/>
      <c r="D14" s="6" t="n"/>
      <c r="E14" s="6" t="n"/>
    </row>
    <row r="15">
      <c r="A15" s="3" t="inlineStr">
        <is>
          <t>Signature:</t>
        </is>
      </c>
      <c r="B15" s="17" t="n"/>
      <c r="C15" s="6" t="n"/>
      <c r="D15" s="6" t="n"/>
      <c r="E15" s="6" t="n"/>
    </row>
    <row r="16">
      <c r="A16" s="3" t="inlineStr">
        <is>
          <t>Comments:</t>
        </is>
      </c>
      <c r="B16" s="17" t="n"/>
      <c r="C16" s="6" t="n"/>
      <c r="D16" s="6" t="n"/>
      <c r="E16" s="6" t="n"/>
    </row>
    <row r="18">
      <c r="A18" s="41" t="inlineStr">
        <is>
          <t>REVIEWED BY (INFORMATION SECURITY OFFICER)</t>
        </is>
      </c>
      <c r="B18" s="6" t="n"/>
      <c r="C18" s="6" t="n"/>
      <c r="D18" s="6" t="n"/>
      <c r="E18" s="6" t="n"/>
    </row>
    <row r="19">
      <c r="A19" s="3" t="inlineStr">
        <is>
          <t>Name:</t>
        </is>
      </c>
      <c r="B19" s="17" t="n"/>
      <c r="C19" s="6" t="n"/>
      <c r="D19" s="6" t="n"/>
      <c r="E19" s="6" t="n"/>
    </row>
    <row r="20">
      <c r="A20" s="3" t="inlineStr">
        <is>
          <t>Title:</t>
        </is>
      </c>
      <c r="B20" s="17" t="n"/>
      <c r="C20" s="6" t="n"/>
      <c r="D20" s="6" t="n"/>
      <c r="E20" s="6" t="n"/>
    </row>
    <row r="21">
      <c r="A21" s="3" t="inlineStr">
        <is>
          <t>Date:</t>
        </is>
      </c>
      <c r="B21" s="17" t="n"/>
      <c r="C21" s="6" t="n"/>
      <c r="D21" s="6" t="n"/>
      <c r="E21" s="6" t="n"/>
    </row>
    <row r="22">
      <c r="A22" s="3" t="inlineStr">
        <is>
          <t>Signature:</t>
        </is>
      </c>
      <c r="B22" s="17" t="n"/>
      <c r="C22" s="6" t="n"/>
      <c r="D22" s="6" t="n"/>
      <c r="E22" s="6" t="n"/>
    </row>
    <row r="23">
      <c r="A23" s="3" t="inlineStr">
        <is>
          <t>Comments:</t>
        </is>
      </c>
      <c r="B23" s="17" t="n"/>
      <c r="C23" s="6" t="n"/>
      <c r="D23" s="6" t="n"/>
      <c r="E23" s="6" t="n"/>
    </row>
    <row r="25">
      <c r="A25" s="43" t="inlineStr">
        <is>
          <t>APPROVED BY (CISO)</t>
        </is>
      </c>
      <c r="B25" s="6" t="n"/>
      <c r="C25" s="6" t="n"/>
      <c r="D25" s="6" t="n"/>
      <c r="E25" s="6" t="n"/>
    </row>
    <row r="26">
      <c r="A26" s="3" t="inlineStr">
        <is>
          <t>Name:</t>
        </is>
      </c>
      <c r="B26" s="17" t="n"/>
      <c r="C26" s="6" t="n"/>
      <c r="D26" s="6" t="n"/>
      <c r="E26" s="6" t="n"/>
    </row>
    <row r="27">
      <c r="A27" s="3" t="inlineStr">
        <is>
          <t>Title:</t>
        </is>
      </c>
      <c r="B27" s="17" t="n"/>
      <c r="C27" s="6" t="n"/>
      <c r="D27" s="6" t="n"/>
      <c r="E27" s="6" t="n"/>
    </row>
    <row r="28">
      <c r="A28" s="3" t="inlineStr">
        <is>
          <t>Date:</t>
        </is>
      </c>
      <c r="B28" s="17" t="n"/>
      <c r="C28" s="6" t="n"/>
      <c r="D28" s="6" t="n"/>
      <c r="E28" s="6" t="n"/>
    </row>
    <row r="29">
      <c r="A29" s="3" t="inlineStr">
        <is>
          <t>Signature:</t>
        </is>
      </c>
      <c r="B29" s="17" t="n"/>
      <c r="C29" s="6" t="n"/>
      <c r="D29" s="6" t="n"/>
      <c r="E29" s="6" t="n"/>
    </row>
    <row r="30">
      <c r="A30" s="3" t="inlineStr">
        <is>
          <t>Comments:</t>
        </is>
      </c>
      <c r="B30" s="17" t="n"/>
      <c r="C30" s="6" t="n"/>
      <c r="D30" s="6" t="n"/>
      <c r="E30" s="6" t="n"/>
    </row>
    <row r="32">
      <c r="A32" s="3" t="inlineStr">
        <is>
          <t>FINAL DECISION:</t>
        </is>
      </c>
      <c r="B32" s="17" t="n"/>
      <c r="C32" s="6" t="n"/>
      <c r="D32" s="6" t="n"/>
      <c r="E32" s="6" t="n"/>
    </row>
    <row r="35">
      <c r="A35" s="41" t="inlineStr">
        <is>
          <t>NEXT REVIEW DETAILS</t>
        </is>
      </c>
      <c r="B35" s="6" t="n"/>
      <c r="C35" s="6" t="n"/>
      <c r="D35" s="6" t="n"/>
      <c r="E35" s="6" t="n"/>
    </row>
    <row r="36">
      <c r="A36" s="3" t="inlineStr">
        <is>
          <t>Next Review Date:</t>
        </is>
      </c>
      <c r="B36" s="17" t="n"/>
      <c r="C36" s="6" t="n"/>
      <c r="D36" s="6" t="n"/>
      <c r="E36" s="6" t="n"/>
    </row>
    <row r="37">
      <c r="A37" s="3" t="inlineStr">
        <is>
          <t>Review Responsible:</t>
        </is>
      </c>
      <c r="B37" s="17" t="n"/>
      <c r="C37" s="6" t="n"/>
      <c r="D37" s="6" t="n"/>
      <c r="E37" s="6" t="n"/>
    </row>
    <row r="38">
      <c r="A38" s="3" t="inlineStr">
        <is>
          <t>Special Considerations:</t>
        </is>
      </c>
      <c r="B38" s="17"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ISMS-IMP-A.5.24-28.S4 — Forensic Evidence</dc:title>
  <dc:description xmlns:dc="http://purl.org/dc/elements/1.1/">ISMS Implementation Workbook — ISMS-IMP-A.5.24-28.S4</dc:description>
  <dc:subject xmlns:dc="http://purl.org/dc/elements/1.1/">ISO/IEC 27001:2022 — Control A.5.24-28: Incident Management</dc:subject>
  <dcterms:created xmlns:dcterms="http://purl.org/dc/terms/" xmlns:xsi="http://www.w3.org/2001/XMLSchema-instance" xsi:type="dcterms:W3CDTF">2026-02-28T20:09:53Z</dcterms:created>
  <dcterms:modified xmlns:dcterms="http://purl.org/dc/terms/" xmlns:xsi="http://www.w3.org/2001/XMLSchema-instance" xsi:type="dcterms:W3CDTF">2026-02-28T20:09:53Z</dcterms:modified>
</cp:coreProperties>
</file>