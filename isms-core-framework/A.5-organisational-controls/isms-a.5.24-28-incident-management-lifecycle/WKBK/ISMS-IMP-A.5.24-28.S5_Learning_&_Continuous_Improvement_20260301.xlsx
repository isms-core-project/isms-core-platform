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IR Process" sheetId="2" state="visible" r:id="rId2"/>
    <sheet xmlns:r="http://schemas.openxmlformats.org/officeDocument/2006/relationships" name="Root Cause Analysis" sheetId="3" state="visible" r:id="rId3"/>
    <sheet xmlns:r="http://schemas.openxmlformats.org/officeDocument/2006/relationships" name="Lessons Learned" sheetId="4" state="visible" r:id="rId4"/>
    <sheet xmlns:r="http://schemas.openxmlformats.org/officeDocument/2006/relationships" name="Control Improvements" sheetId="5" state="visible" r:id="rId5"/>
    <sheet xmlns:r="http://schemas.openxmlformats.org/officeDocument/2006/relationships" name="Trend Analysis" sheetId="6" state="visible" r:id="rId6"/>
    <sheet xmlns:r="http://schemas.openxmlformats.org/officeDocument/2006/relationships" name="Gap Analysi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sz val="11"/>
    </font>
    <font>
      <name val="Calibri"/>
      <b val="1"/>
      <color rgb="00FFFFFF"/>
      <sz val="11"/>
    </font>
    <font>
      <name val="Calibri"/>
      <i val="1"/>
      <color rgb="00808080"/>
      <sz val="10"/>
    </font>
    <font>
      <name val="Calibri"/>
      <sz val="10"/>
    </font>
    <font>
      <name val="Calibri"/>
      <b val="1"/>
      <color rgb="00FFFFFF"/>
      <sz val="10"/>
    </font>
    <font>
      <name val="Calibri"/>
      <i val="1"/>
      <color rgb="00003366"/>
      <sz val="10"/>
    </font>
    <font>
      <name val="Calibri"/>
      <b val="1"/>
      <color rgb="00000000"/>
      <sz val="10"/>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6EFCE"/>
        <bgColor rgb="00C6EFCE"/>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4472C4"/>
        <bgColor rgb="004472C4"/>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1" applyAlignment="1" pivotButton="0" quotePrefix="0" xfId="0">
      <alignment horizontal="center" vertical="center" wrapText="1"/>
    </xf>
    <xf numFmtId="0" fontId="5" fillId="0" borderId="0" pivotButton="0" quotePrefix="0" xfId="0"/>
    <xf numFmtId="0" fontId="6" fillId="9" borderId="1" applyAlignment="1" pivotButton="0" quotePrefix="0" xfId="0">
      <alignment horizontal="left" vertical="center"/>
    </xf>
    <xf numFmtId="0" fontId="7" fillId="8" borderId="1" applyAlignment="1" pivotButton="0" quotePrefix="0" xfId="0">
      <alignment horizontal="center" vertical="center" wrapText="1"/>
    </xf>
    <xf numFmtId="0" fontId="8" fillId="10" borderId="1" pivotButton="0" quotePrefix="0" xfId="0"/>
    <xf numFmtId="0" fontId="9" fillId="11" borderId="1" applyAlignment="1" pivotButton="0" quotePrefix="0" xfId="0">
      <alignment horizontal="left" vertical="center" wrapText="1"/>
    </xf>
    <xf numFmtId="0" fontId="9"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9" fillId="12" borderId="1" applyAlignment="1" pivotButton="0" quotePrefix="0" xfId="0">
      <alignment horizontal="center" vertical="center"/>
    </xf>
    <xf numFmtId="0" fontId="1" fillId="8" borderId="1" applyAlignment="1" pivotButton="0" quotePrefix="0" xfId="0">
      <alignment horizontal="center" vertical="center"/>
    </xf>
    <xf numFmtId="0" fontId="5" fillId="0" borderId="1" applyAlignment="1" pivotButton="0" quotePrefix="0" xfId="0">
      <alignment horizontal="center" vertical="center"/>
    </xf>
    <xf numFmtId="0" fontId="10" fillId="8" borderId="1" applyAlignment="1" pivotButton="0" quotePrefix="0" xfId="0">
      <alignment horizontal="center" vertical="center" wrapText="1"/>
    </xf>
    <xf numFmtId="0" fontId="0" fillId="11" borderId="1" applyAlignment="1" pivotButton="0" quotePrefix="0" xfId="0">
      <alignment vertical="center"/>
    </xf>
    <xf numFmtId="0" fontId="11" fillId="0" borderId="1" applyAlignment="1" pivotButton="0" quotePrefix="0" xfId="0">
      <alignment horizontal="left" vertical="center"/>
    </xf>
    <xf numFmtId="0" fontId="7" fillId="8" borderId="1" applyAlignment="1" pivotButton="0" quotePrefix="0" xfId="0">
      <alignment horizontal="center" vertical="center"/>
    </xf>
    <xf numFmtId="0" fontId="12" fillId="9" borderId="1" applyAlignment="1" pivotButton="0" quotePrefix="0" xfId="0">
      <alignment horizontal="center" vertical="center" wrapText="1"/>
    </xf>
    <xf numFmtId="0" fontId="0" fillId="11" borderId="1" applyAlignment="1" pivotButton="0" quotePrefix="0" xfId="0">
      <alignment horizontal="left" vertical="center"/>
    </xf>
    <xf numFmtId="164" fontId="0" fillId="11" borderId="1" applyAlignment="1" pivotButton="0" quotePrefix="0" xfId="0">
      <alignment horizontal="left" vertical="center"/>
    </xf>
    <xf numFmtId="0" fontId="3" fillId="9" borderId="1" applyAlignment="1" pivotButton="0" quotePrefix="0" xfId="0">
      <alignment horizontal="left" vertical="center"/>
    </xf>
    <xf numFmtId="164" fontId="3" fillId="9" borderId="1" applyAlignment="1" pivotButton="0" quotePrefix="0" xfId="0">
      <alignment horizontal="left" vertical="center"/>
    </xf>
    <xf numFmtId="0" fontId="12" fillId="9" borderId="1" applyAlignment="1" pivotButton="0" quotePrefix="0" xfId="0">
      <alignment horizontal="center" vertical="center"/>
    </xf>
    <xf numFmtId="0" fontId="7" fillId="13" borderId="1" applyAlignment="1" pivotButton="0" quotePrefix="0" xfId="0">
      <alignment horizontal="center" vertical="center"/>
    </xf>
    <xf numFmtId="0" fontId="0" fillId="14" borderId="1" applyAlignment="1" pivotButton="0" quotePrefix="0" xfId="0">
      <alignment horizontal="left" vertical="center"/>
    </xf>
    <xf numFmtId="0" fontId="0" fillId="15" borderId="1" applyAlignment="1" pivotButton="0" quotePrefix="0" xfId="0">
      <alignment horizontal="left" vertical="center"/>
    </xf>
    <xf numFmtId="0" fontId="11" fillId="0" borderId="1" applyAlignment="1" pivotButton="0" quotePrefix="0" xfId="0">
      <alignment horizontal="center" vertical="center"/>
    </xf>
    <xf numFmtId="0" fontId="7" fillId="16" borderId="1" pivotButton="0" quotePrefix="0" xfId="0"/>
    <xf numFmtId="0" fontId="0" fillId="11" borderId="1" pivotButton="0" quotePrefix="0" xfId="0"/>
    <xf numFmtId="165" fontId="0" fillId="0" borderId="1" pivotButton="0" quotePrefix="0" xfId="0"/>
    <xf numFmtId="0" fontId="7"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ISMS-IMP-A.5.24-28.S5  -  Learning &amp; Continuous Improvement
ISO/IEC 27001:2022 - Control A.5.27: Learning from Information Security Incidents</t>
        </is>
      </c>
    </row>
    <row r="3">
      <c r="A3" s="2" t="inlineStr">
        <is>
          <t>Document Information</t>
        </is>
      </c>
    </row>
    <row r="4">
      <c r="A4" s="3" t="inlineStr">
        <is>
          <t>Document ID</t>
        </is>
      </c>
      <c r="B4" t="inlineStr">
        <is>
          <t>ISMS-IMP-A.5.24-28.S5</t>
        </is>
      </c>
    </row>
    <row r="5">
      <c r="A5" s="3" t="inlineStr">
        <is>
          <t>Workbook Title</t>
        </is>
      </c>
      <c r="B5" t="inlineStr">
        <is>
          <t>Learning &amp; Continuous Improvement</t>
        </is>
      </c>
    </row>
    <row r="6">
      <c r="A6" s="3" t="inlineStr">
        <is>
          <t>Control Reference</t>
        </is>
      </c>
      <c r="B6" t="inlineStr">
        <is>
          <t>ISO/IEC 27001:2022 - Control A.5.27: Learning from Information Security Incidents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PIR Process sheet — review all PIRs from last 12 months.</t>
        </is>
      </c>
    </row>
    <row r="14">
      <c r="A14" t="inlineStr">
        <is>
          <t>2. Complete Root Cause Analysis sheet — assess RCA quality for Critical/High incidents.</t>
        </is>
      </c>
    </row>
    <row r="15">
      <c r="A15" t="inlineStr">
        <is>
          <t>3. Complete Lessons Learned sheet — verify documentation and distribution.</t>
        </is>
      </c>
    </row>
    <row r="16">
      <c r="A16" t="inlineStr">
        <is>
          <t>4. Complete Control Improvements sheet — track remediation actions.</t>
        </is>
      </c>
    </row>
    <row r="17">
      <c r="A17" t="inlineStr">
        <is>
          <t>5. Complete Trend Analysis sheet — verify KPIs and reporting.</t>
        </is>
      </c>
    </row>
    <row r="18">
      <c r="A18" t="inlineStr">
        <is>
          <t>6. Review Gap Analysis.</t>
        </is>
      </c>
    </row>
    <row r="19">
      <c r="A19" t="inlineStr">
        <is>
          <t>7. Link evidence in Evidence Register.</t>
        </is>
      </c>
    </row>
    <row r="20">
      <c r="A20" t="inlineStr">
        <is>
          <t>8. Review Summary Dashboard for overall compliance.</t>
        </is>
      </c>
    </row>
    <row r="21">
      <c r="A21" t="inlineStr">
        <is>
          <t>9. Complete Approval Sign-Off workflow.</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1"/>
  <sheetViews>
    <sheetView showGridLines="0" workbookViewId="0">
      <pane ySplit="3" topLeftCell="A4" activePane="bottomLeft" state="frozen"/>
      <selection pane="bottomLeft" activeCell="A1" sqref="A1"/>
    </sheetView>
  </sheetViews>
  <sheetFormatPr baseColWidth="8" defaultRowHeight="15"/>
  <cols>
    <col width="12" customWidth="1" min="1" max="1"/>
    <col width="15" customWidth="1" min="2" max="2"/>
    <col width="12" customWidth="1" min="3" max="3"/>
    <col width="12" customWidth="1" min="4" max="4"/>
    <col width="12" customWidth="1" min="5" max="5"/>
    <col width="12" customWidth="1" min="6" max="6"/>
    <col width="12" customWidth="1" min="7" max="7"/>
    <col width="12" customWidth="1" min="8" max="8"/>
    <col width="12" customWidth="1" min="9" max="9"/>
    <col width="15" customWidth="1" min="10" max="10"/>
    <col width="12" customWidth="1" min="11" max="11"/>
    <col width="12" customWidth="1" min="12" max="12"/>
  </cols>
  <sheetData>
    <row r="1" ht="35" customHeight="1">
      <c r="A1" s="11" t="inlineStr">
        <is>
          <t>PIR PROCESS ASSESSMENT</t>
        </is>
      </c>
    </row>
    <row r="2">
      <c r="A2" s="12" t="inlineStr">
        <is>
          <t>ISO/IEC 27001:2022 - Control A.5.27: Learning from Information Security Incidents | Post-Incident Review timeliness, quality scoring, and SLA compliance</t>
        </is>
      </c>
    </row>
    <row r="3">
      <c r="A3" s="13" t="inlineStr">
        <is>
          <t>Section A: PIR Inventory (Last 12 Months)</t>
        </is>
      </c>
    </row>
    <row r="5">
      <c r="A5" s="14" t="inlineStr">
        <is>
          <t>Incident ID</t>
        </is>
      </c>
      <c r="B5" s="14" t="inlineStr">
        <is>
          <t>Incident Date</t>
        </is>
      </c>
      <c r="C5" s="14" t="inlineStr">
        <is>
          <t>Severity</t>
        </is>
      </c>
      <c r="D5" s="14" t="inlineStr">
        <is>
          <t>Resolution Date</t>
        </is>
      </c>
      <c r="E5" s="14" t="inlineStr">
        <is>
          <t>PIR Status</t>
        </is>
      </c>
      <c r="F5" s="14" t="inlineStr">
        <is>
          <t>PIR Completion Date</t>
        </is>
      </c>
      <c r="G5" s="14" t="inlineStr">
        <is>
          <t>SLA Days</t>
        </is>
      </c>
      <c r="H5" s="14" t="inlineStr">
        <is>
          <t>Actual Days</t>
        </is>
      </c>
      <c r="I5" s="14" t="inlineStr">
        <is>
          <t>SLA Met</t>
        </is>
      </c>
      <c r="J5" s="14" t="inlineStr">
        <is>
          <t>Participants Met</t>
        </is>
      </c>
      <c r="K5" s="14" t="inlineStr">
        <is>
          <t>Quality Score</t>
        </is>
      </c>
      <c r="L5" s="14" t="inlineStr">
        <is>
          <t>Evidence Ref</t>
        </is>
      </c>
    </row>
    <row r="6">
      <c r="A6" s="15" t="inlineStr">
        <is>
          <t>INC-001</t>
        </is>
      </c>
      <c r="B6" s="15" t="inlineStr">
        <is>
          <t>01.01.2026</t>
        </is>
      </c>
      <c r="C6" s="15" t="inlineStr">
        <is>
          <t>High</t>
        </is>
      </c>
      <c r="D6" s="15" t="inlineStr">
        <is>
          <t>04.01.2026</t>
        </is>
      </c>
      <c r="E6" s="15" t="inlineStr">
        <is>
          <t>Completed</t>
        </is>
      </c>
      <c r="F6" s="15" t="inlineStr">
        <is>
          <t>08.01.2026</t>
        </is>
      </c>
      <c r="G6" s="15" t="inlineStr">
        <is>
          <t>5</t>
        </is>
      </c>
      <c r="H6" s="15" t="inlineStr">
        <is>
          <t>7</t>
        </is>
      </c>
      <c r="I6" s="15" t="inlineStr">
        <is>
          <t>Yes</t>
        </is>
      </c>
      <c r="J6" s="15" t="inlineStr">
        <is>
          <t>Yes</t>
        </is>
      </c>
      <c r="K6" s="15" t="inlineStr">
        <is>
          <t>4</t>
        </is>
      </c>
      <c r="L6" s="15" t="inlineStr">
        <is>
          <t>EV-001</t>
        </is>
      </c>
    </row>
    <row r="7">
      <c r="A7" s="16" t="inlineStr"/>
      <c r="B7" s="16" t="inlineStr"/>
      <c r="C7" s="16" t="inlineStr"/>
      <c r="D7" s="16" t="inlineStr"/>
      <c r="E7" s="16" t="inlineStr"/>
      <c r="F7" s="16" t="inlineStr"/>
      <c r="G7" s="16" t="inlineStr"/>
      <c r="H7" s="16" t="inlineStr"/>
      <c r="I7" s="16" t="inlineStr"/>
      <c r="J7" s="16" t="inlineStr"/>
      <c r="K7" s="16" t="inlineStr"/>
      <c r="L7" s="16" t="inlineStr"/>
    </row>
    <row r="8">
      <c r="A8" s="16" t="inlineStr"/>
      <c r="B8" s="16" t="inlineStr"/>
      <c r="C8" s="16" t="inlineStr"/>
      <c r="D8" s="16" t="inlineStr"/>
      <c r="E8" s="16" t="inlineStr"/>
      <c r="F8" s="16" t="inlineStr"/>
      <c r="G8" s="16" t="inlineStr"/>
      <c r="H8" s="16" t="inlineStr"/>
      <c r="I8" s="16" t="inlineStr"/>
      <c r="J8" s="16" t="inlineStr"/>
      <c r="K8" s="16" t="inlineStr"/>
      <c r="L8" s="16" t="inlineStr"/>
    </row>
    <row r="9">
      <c r="A9" s="16" t="inlineStr"/>
      <c r="B9" s="16" t="inlineStr"/>
      <c r="C9" s="16" t="inlineStr"/>
      <c r="D9" s="16" t="inlineStr"/>
      <c r="E9" s="16" t="inlineStr"/>
      <c r="F9" s="16" t="inlineStr"/>
      <c r="G9" s="16" t="inlineStr"/>
      <c r="H9" s="16" t="inlineStr"/>
      <c r="I9" s="16" t="inlineStr"/>
      <c r="J9" s="16" t="inlineStr"/>
      <c r="K9" s="16" t="inlineStr"/>
      <c r="L9" s="16" t="inlineStr"/>
    </row>
    <row r="10">
      <c r="A10" s="16" t="inlineStr"/>
      <c r="B10" s="16" t="inlineStr"/>
      <c r="C10" s="16" t="inlineStr"/>
      <c r="D10" s="16" t="inlineStr"/>
      <c r="E10" s="16" t="inlineStr"/>
      <c r="F10" s="16" t="inlineStr"/>
      <c r="G10" s="16" t="inlineStr"/>
      <c r="H10" s="16" t="inlineStr"/>
      <c r="I10" s="16" t="inlineStr"/>
      <c r="J10" s="16" t="inlineStr"/>
      <c r="K10" s="16" t="inlineStr"/>
      <c r="L10" s="16" t="inlineStr"/>
    </row>
    <row r="11">
      <c r="A11" s="16" t="inlineStr"/>
      <c r="B11" s="16" t="inlineStr"/>
      <c r="C11" s="16" t="inlineStr"/>
      <c r="D11" s="16" t="inlineStr"/>
      <c r="E11" s="16" t="inlineStr"/>
      <c r="F11" s="16" t="inlineStr"/>
      <c r="G11" s="16" t="inlineStr"/>
      <c r="H11" s="16" t="inlineStr"/>
      <c r="I11" s="16" t="inlineStr"/>
      <c r="J11" s="16" t="inlineStr"/>
      <c r="K11" s="16" t="inlineStr"/>
      <c r="L11" s="16" t="inlineStr"/>
    </row>
    <row r="12">
      <c r="A12" s="16" t="inlineStr"/>
      <c r="B12" s="16" t="inlineStr"/>
      <c r="C12" s="16" t="inlineStr"/>
      <c r="D12" s="16" t="inlineStr"/>
      <c r="E12" s="16" t="inlineStr"/>
      <c r="F12" s="16" t="inlineStr"/>
      <c r="G12" s="16" t="inlineStr"/>
      <c r="H12" s="16" t="inlineStr"/>
      <c r="I12" s="16" t="inlineStr"/>
      <c r="J12" s="16" t="inlineStr"/>
      <c r="K12" s="16" t="inlineStr"/>
      <c r="L12" s="16" t="inlineStr"/>
    </row>
    <row r="13">
      <c r="A13" s="16" t="inlineStr"/>
      <c r="B13" s="16" t="inlineStr"/>
      <c r="C13" s="16" t="inlineStr"/>
      <c r="D13" s="16" t="inlineStr"/>
      <c r="E13" s="16" t="inlineStr"/>
      <c r="F13" s="16" t="inlineStr"/>
      <c r="G13" s="16" t="inlineStr"/>
      <c r="H13" s="16" t="inlineStr"/>
      <c r="I13" s="16" t="inlineStr"/>
      <c r="J13" s="16" t="inlineStr"/>
      <c r="K13" s="16" t="inlineStr"/>
      <c r="L13" s="16" t="inlineStr"/>
    </row>
    <row r="14">
      <c r="A14" s="16" t="inlineStr"/>
      <c r="B14" s="16" t="inlineStr"/>
      <c r="C14" s="16" t="inlineStr"/>
      <c r="D14" s="16" t="inlineStr"/>
      <c r="E14" s="16" t="inlineStr"/>
      <c r="F14" s="16" t="inlineStr"/>
      <c r="G14" s="16" t="inlineStr"/>
      <c r="H14" s="16" t="inlineStr"/>
      <c r="I14" s="16" t="inlineStr"/>
      <c r="J14" s="16" t="inlineStr"/>
      <c r="K14" s="16" t="inlineStr"/>
      <c r="L14" s="16" t="inlineStr"/>
    </row>
    <row r="15">
      <c r="A15" s="16" t="inlineStr"/>
      <c r="B15" s="16" t="inlineStr"/>
      <c r="C15" s="16" t="inlineStr"/>
      <c r="D15" s="16" t="inlineStr"/>
      <c r="E15" s="16" t="inlineStr"/>
      <c r="F15" s="16" t="inlineStr"/>
      <c r="G15" s="16" t="inlineStr"/>
      <c r="H15" s="16" t="inlineStr"/>
      <c r="I15" s="16" t="inlineStr"/>
      <c r="J15" s="16" t="inlineStr"/>
      <c r="K15" s="16" t="inlineStr"/>
      <c r="L15" s="16" t="inlineStr"/>
    </row>
    <row r="16">
      <c r="A16" s="16" t="inlineStr"/>
      <c r="B16" s="16" t="inlineStr"/>
      <c r="C16" s="16" t="inlineStr"/>
      <c r="D16" s="16" t="inlineStr"/>
      <c r="E16" s="16" t="inlineStr"/>
      <c r="F16" s="16" t="inlineStr"/>
      <c r="G16" s="16" t="inlineStr"/>
      <c r="H16" s="16" t="inlineStr"/>
      <c r="I16" s="16" t="inlineStr"/>
      <c r="J16" s="16" t="inlineStr"/>
      <c r="K16" s="16" t="inlineStr"/>
      <c r="L16" s="16" t="inlineStr"/>
    </row>
    <row r="17">
      <c r="A17" s="16" t="inlineStr"/>
      <c r="B17" s="16" t="inlineStr"/>
      <c r="C17" s="16" t="inlineStr"/>
      <c r="D17" s="16" t="inlineStr"/>
      <c r="E17" s="16" t="inlineStr"/>
      <c r="F17" s="16" t="inlineStr"/>
      <c r="G17" s="16" t="inlineStr"/>
      <c r="H17" s="16" t="inlineStr"/>
      <c r="I17" s="16" t="inlineStr"/>
      <c r="J17" s="16" t="inlineStr"/>
      <c r="K17" s="16" t="inlineStr"/>
      <c r="L17" s="16" t="inlineStr"/>
    </row>
    <row r="18">
      <c r="A18" s="16" t="inlineStr"/>
      <c r="B18" s="16" t="inlineStr"/>
      <c r="C18" s="16" t="inlineStr"/>
      <c r="D18" s="16" t="inlineStr"/>
      <c r="E18" s="16" t="inlineStr"/>
      <c r="F18" s="16" t="inlineStr"/>
      <c r="G18" s="16" t="inlineStr"/>
      <c r="H18" s="16" t="inlineStr"/>
      <c r="I18" s="16" t="inlineStr"/>
      <c r="J18" s="16" t="inlineStr"/>
      <c r="K18" s="16" t="inlineStr"/>
      <c r="L18" s="16" t="inlineStr"/>
    </row>
    <row r="19">
      <c r="A19" s="16" t="inlineStr"/>
      <c r="B19" s="16" t="inlineStr"/>
      <c r="C19" s="16" t="inlineStr"/>
      <c r="D19" s="16" t="inlineStr"/>
      <c r="E19" s="16" t="inlineStr"/>
      <c r="F19" s="16" t="inlineStr"/>
      <c r="G19" s="16" t="inlineStr"/>
      <c r="H19" s="16" t="inlineStr"/>
      <c r="I19" s="16" t="inlineStr"/>
      <c r="J19" s="16" t="inlineStr"/>
      <c r="K19" s="16" t="inlineStr"/>
      <c r="L19" s="16" t="inlineStr"/>
    </row>
    <row r="20">
      <c r="A20" s="16" t="inlineStr"/>
      <c r="B20" s="16" t="inlineStr"/>
      <c r="C20" s="16" t="inlineStr"/>
      <c r="D20" s="16" t="inlineStr"/>
      <c r="E20" s="16" t="inlineStr"/>
      <c r="F20" s="16" t="inlineStr"/>
      <c r="G20" s="16" t="inlineStr"/>
      <c r="H20" s="16" t="inlineStr"/>
      <c r="I20" s="16" t="inlineStr"/>
      <c r="J20" s="16" t="inlineStr"/>
      <c r="K20" s="16" t="inlineStr"/>
      <c r="L20" s="16" t="inlineStr"/>
    </row>
    <row r="21">
      <c r="A21" s="16" t="inlineStr"/>
      <c r="B21" s="16" t="inlineStr"/>
      <c r="C21" s="16" t="inlineStr"/>
      <c r="D21" s="16" t="inlineStr"/>
      <c r="E21" s="16" t="inlineStr"/>
      <c r="F21" s="16" t="inlineStr"/>
      <c r="G21" s="16" t="inlineStr"/>
      <c r="H21" s="16" t="inlineStr"/>
      <c r="I21" s="16" t="inlineStr"/>
      <c r="J21" s="16" t="inlineStr"/>
      <c r="K21" s="16" t="inlineStr"/>
      <c r="L21" s="16" t="inlineStr"/>
    </row>
    <row r="22">
      <c r="A22" s="16" t="inlineStr"/>
      <c r="B22" s="16" t="inlineStr"/>
      <c r="C22" s="16" t="inlineStr"/>
      <c r="D22" s="16" t="inlineStr"/>
      <c r="E22" s="16" t="inlineStr"/>
      <c r="F22" s="16" t="inlineStr"/>
      <c r="G22" s="16" t="inlineStr"/>
      <c r="H22" s="16" t="inlineStr"/>
      <c r="I22" s="16" t="inlineStr"/>
      <c r="J22" s="16" t="inlineStr"/>
      <c r="K22" s="16" t="inlineStr"/>
      <c r="L22" s="16" t="inlineStr"/>
    </row>
    <row r="23">
      <c r="A23" s="16" t="inlineStr"/>
      <c r="B23" s="16" t="inlineStr"/>
      <c r="C23" s="16" t="inlineStr"/>
      <c r="D23" s="16" t="inlineStr"/>
      <c r="E23" s="16" t="inlineStr"/>
      <c r="F23" s="16" t="inlineStr"/>
      <c r="G23" s="16" t="inlineStr"/>
      <c r="H23" s="16" t="inlineStr"/>
      <c r="I23" s="16" t="inlineStr"/>
      <c r="J23" s="16" t="inlineStr"/>
      <c r="K23" s="16" t="inlineStr"/>
      <c r="L23" s="16" t="inlineStr"/>
    </row>
    <row r="24">
      <c r="A24" s="16" t="inlineStr"/>
      <c r="B24" s="16" t="inlineStr"/>
      <c r="C24" s="16" t="inlineStr"/>
      <c r="D24" s="16" t="inlineStr"/>
      <c r="E24" s="16" t="inlineStr"/>
      <c r="F24" s="16" t="inlineStr"/>
      <c r="G24" s="16" t="inlineStr"/>
      <c r="H24" s="16" t="inlineStr"/>
      <c r="I24" s="16" t="inlineStr"/>
      <c r="J24" s="16" t="inlineStr"/>
      <c r="K24" s="16" t="inlineStr"/>
      <c r="L24" s="16" t="inlineStr"/>
    </row>
    <row r="25">
      <c r="A25" s="16" t="inlineStr"/>
      <c r="B25" s="16" t="inlineStr"/>
      <c r="C25" s="16" t="inlineStr"/>
      <c r="D25" s="16" t="inlineStr"/>
      <c r="E25" s="16" t="inlineStr"/>
      <c r="F25" s="16" t="inlineStr"/>
      <c r="G25" s="16" t="inlineStr"/>
      <c r="H25" s="16" t="inlineStr"/>
      <c r="I25" s="16" t="inlineStr"/>
      <c r="J25" s="16" t="inlineStr"/>
      <c r="K25" s="16" t="inlineStr"/>
      <c r="L25" s="16" t="inlineStr"/>
    </row>
    <row r="26">
      <c r="A26" s="16" t="inlineStr"/>
      <c r="B26" s="16" t="inlineStr"/>
      <c r="C26" s="16" t="inlineStr"/>
      <c r="D26" s="16" t="inlineStr"/>
      <c r="E26" s="16" t="inlineStr"/>
      <c r="F26" s="16" t="inlineStr"/>
      <c r="G26" s="16" t="inlineStr"/>
      <c r="H26" s="16" t="inlineStr"/>
      <c r="I26" s="16" t="inlineStr"/>
      <c r="J26" s="16" t="inlineStr"/>
      <c r="K26" s="16" t="inlineStr"/>
      <c r="L26" s="16" t="inlineStr"/>
    </row>
    <row r="27">
      <c r="A27" s="16" t="inlineStr"/>
      <c r="B27" s="16" t="inlineStr"/>
      <c r="C27" s="16" t="inlineStr"/>
      <c r="D27" s="16" t="inlineStr"/>
      <c r="E27" s="16" t="inlineStr"/>
      <c r="F27" s="16" t="inlineStr"/>
      <c r="G27" s="16" t="inlineStr"/>
      <c r="H27" s="16" t="inlineStr"/>
      <c r="I27" s="16" t="inlineStr"/>
      <c r="J27" s="16" t="inlineStr"/>
      <c r="K27" s="16" t="inlineStr"/>
      <c r="L27" s="16" t="inlineStr"/>
    </row>
    <row r="28">
      <c r="A28" s="16" t="inlineStr"/>
      <c r="B28" s="16" t="inlineStr"/>
      <c r="C28" s="16" t="inlineStr"/>
      <c r="D28" s="16" t="inlineStr"/>
      <c r="E28" s="16" t="inlineStr"/>
      <c r="F28" s="16" t="inlineStr"/>
      <c r="G28" s="16" t="inlineStr"/>
      <c r="H28" s="16" t="inlineStr"/>
      <c r="I28" s="16" t="inlineStr"/>
      <c r="J28" s="16" t="inlineStr"/>
      <c r="K28" s="16" t="inlineStr"/>
      <c r="L28" s="16" t="inlineStr"/>
    </row>
    <row r="29">
      <c r="A29" s="16" t="inlineStr"/>
      <c r="B29" s="16" t="inlineStr"/>
      <c r="C29" s="16" t="inlineStr"/>
      <c r="D29" s="16" t="inlineStr"/>
      <c r="E29" s="16" t="inlineStr"/>
      <c r="F29" s="16" t="inlineStr"/>
      <c r="G29" s="16" t="inlineStr"/>
      <c r="H29" s="16" t="inlineStr"/>
      <c r="I29" s="16" t="inlineStr"/>
      <c r="J29" s="16" t="inlineStr"/>
      <c r="K29" s="16" t="inlineStr"/>
      <c r="L29" s="16" t="inlineStr"/>
    </row>
    <row r="30">
      <c r="A30" s="16" t="inlineStr"/>
      <c r="B30" s="16" t="inlineStr"/>
      <c r="C30" s="16" t="inlineStr"/>
      <c r="D30" s="16" t="inlineStr"/>
      <c r="E30" s="16" t="inlineStr"/>
      <c r="F30" s="16" t="inlineStr"/>
      <c r="G30" s="16" t="inlineStr"/>
      <c r="H30" s="16" t="inlineStr"/>
      <c r="I30" s="16" t="inlineStr"/>
      <c r="J30" s="16" t="inlineStr"/>
      <c r="K30" s="16" t="inlineStr"/>
      <c r="L30" s="16" t="inlineStr"/>
    </row>
    <row r="31">
      <c r="A31" s="16" t="inlineStr"/>
      <c r="B31" s="16" t="inlineStr"/>
      <c r="C31" s="16" t="inlineStr"/>
      <c r="D31" s="16" t="inlineStr"/>
      <c r="E31" s="16" t="inlineStr"/>
      <c r="F31" s="16" t="inlineStr"/>
      <c r="G31" s="16" t="inlineStr"/>
      <c r="H31" s="16" t="inlineStr"/>
      <c r="I31" s="16" t="inlineStr"/>
      <c r="J31" s="16" t="inlineStr"/>
      <c r="K31" s="16" t="inlineStr"/>
      <c r="L31" s="16" t="inlineStr"/>
    </row>
    <row r="32">
      <c r="A32" s="16" t="inlineStr"/>
      <c r="B32" s="16" t="inlineStr"/>
      <c r="C32" s="16" t="inlineStr"/>
      <c r="D32" s="16" t="inlineStr"/>
      <c r="E32" s="16" t="inlineStr"/>
      <c r="F32" s="16" t="inlineStr"/>
      <c r="G32" s="16" t="inlineStr"/>
      <c r="H32" s="16" t="inlineStr"/>
      <c r="I32" s="16" t="inlineStr"/>
      <c r="J32" s="16" t="inlineStr"/>
      <c r="K32" s="16" t="inlineStr"/>
      <c r="L32" s="16" t="inlineStr"/>
    </row>
    <row r="33">
      <c r="A33" s="16" t="inlineStr"/>
      <c r="B33" s="16" t="inlineStr"/>
      <c r="C33" s="16" t="inlineStr"/>
      <c r="D33" s="16" t="inlineStr"/>
      <c r="E33" s="16" t="inlineStr"/>
      <c r="F33" s="16" t="inlineStr"/>
      <c r="G33" s="16" t="inlineStr"/>
      <c r="H33" s="16" t="inlineStr"/>
      <c r="I33" s="16" t="inlineStr"/>
      <c r="J33" s="16" t="inlineStr"/>
      <c r="K33" s="16" t="inlineStr"/>
      <c r="L33" s="16" t="inlineStr"/>
    </row>
    <row r="34">
      <c r="A34" s="16" t="inlineStr"/>
      <c r="B34" s="16" t="inlineStr"/>
      <c r="C34" s="16" t="inlineStr"/>
      <c r="D34" s="16" t="inlineStr"/>
      <c r="E34" s="16" t="inlineStr"/>
      <c r="F34" s="16" t="inlineStr"/>
      <c r="G34" s="16" t="inlineStr"/>
      <c r="H34" s="16" t="inlineStr"/>
      <c r="I34" s="16" t="inlineStr"/>
      <c r="J34" s="16" t="inlineStr"/>
      <c r="K34" s="16" t="inlineStr"/>
      <c r="L34" s="16" t="inlineStr"/>
    </row>
    <row r="35">
      <c r="A35" s="16" t="inlineStr"/>
      <c r="B35" s="16" t="inlineStr"/>
      <c r="C35" s="16" t="inlineStr"/>
      <c r="D35" s="16" t="inlineStr"/>
      <c r="E35" s="16" t="inlineStr"/>
      <c r="F35" s="16" t="inlineStr"/>
      <c r="G35" s="16" t="inlineStr"/>
      <c r="H35" s="16" t="inlineStr"/>
      <c r="I35" s="16" t="inlineStr"/>
      <c r="J35" s="16" t="inlineStr"/>
      <c r="K35" s="16" t="inlineStr"/>
      <c r="L35" s="16" t="inlineStr"/>
    </row>
    <row r="36">
      <c r="A36" s="16" t="inlineStr"/>
      <c r="B36" s="16" t="inlineStr"/>
      <c r="C36" s="16" t="inlineStr"/>
      <c r="D36" s="16" t="inlineStr"/>
      <c r="E36" s="16" t="inlineStr"/>
      <c r="F36" s="16" t="inlineStr"/>
      <c r="G36" s="16" t="inlineStr"/>
      <c r="H36" s="16" t="inlineStr"/>
      <c r="I36" s="16" t="inlineStr"/>
      <c r="J36" s="16" t="inlineStr"/>
      <c r="K36" s="16" t="inlineStr"/>
      <c r="L36" s="16" t="inlineStr"/>
    </row>
    <row r="37">
      <c r="A37" s="16" t="inlineStr"/>
      <c r="B37" s="16" t="inlineStr"/>
      <c r="C37" s="16" t="inlineStr"/>
      <c r="D37" s="16" t="inlineStr"/>
      <c r="E37" s="16" t="inlineStr"/>
      <c r="F37" s="16" t="inlineStr"/>
      <c r="G37" s="16" t="inlineStr"/>
      <c r="H37" s="16" t="inlineStr"/>
      <c r="I37" s="16" t="inlineStr"/>
      <c r="J37" s="16" t="inlineStr"/>
      <c r="K37" s="16" t="inlineStr"/>
      <c r="L37" s="16" t="inlineStr"/>
    </row>
    <row r="38">
      <c r="A38" s="16" t="inlineStr"/>
      <c r="B38" s="16" t="inlineStr"/>
      <c r="C38" s="16" t="inlineStr"/>
      <c r="D38" s="16" t="inlineStr"/>
      <c r="E38" s="16" t="inlineStr"/>
      <c r="F38" s="16" t="inlineStr"/>
      <c r="G38" s="16" t="inlineStr"/>
      <c r="H38" s="16" t="inlineStr"/>
      <c r="I38" s="16" t="inlineStr"/>
      <c r="J38" s="16" t="inlineStr"/>
      <c r="K38" s="16" t="inlineStr"/>
      <c r="L38" s="16" t="inlineStr"/>
    </row>
    <row r="39">
      <c r="A39" s="16" t="inlineStr"/>
      <c r="B39" s="16" t="inlineStr"/>
      <c r="C39" s="16" t="inlineStr"/>
      <c r="D39" s="16" t="inlineStr"/>
      <c r="E39" s="16" t="inlineStr"/>
      <c r="F39" s="16" t="inlineStr"/>
      <c r="G39" s="16" t="inlineStr"/>
      <c r="H39" s="16" t="inlineStr"/>
      <c r="I39" s="16" t="inlineStr"/>
      <c r="J39" s="16" t="inlineStr"/>
      <c r="K39" s="16" t="inlineStr"/>
      <c r="L39" s="16" t="inlineStr"/>
    </row>
    <row r="40">
      <c r="A40" s="16" t="inlineStr"/>
      <c r="B40" s="16" t="inlineStr"/>
      <c r="C40" s="16" t="inlineStr"/>
      <c r="D40" s="16" t="inlineStr"/>
      <c r="E40" s="16" t="inlineStr"/>
      <c r="F40" s="16" t="inlineStr"/>
      <c r="G40" s="16" t="inlineStr"/>
      <c r="H40" s="16" t="inlineStr"/>
      <c r="I40" s="16" t="inlineStr"/>
      <c r="J40" s="16" t="inlineStr"/>
      <c r="K40" s="16" t="inlineStr"/>
      <c r="L40" s="16" t="inlineStr"/>
    </row>
    <row r="41">
      <c r="A41" s="16" t="inlineStr"/>
      <c r="B41" s="16" t="inlineStr"/>
      <c r="C41" s="16" t="inlineStr"/>
      <c r="D41" s="16" t="inlineStr"/>
      <c r="E41" s="16" t="inlineStr"/>
      <c r="F41" s="16" t="inlineStr"/>
      <c r="G41" s="16" t="inlineStr"/>
      <c r="H41" s="16" t="inlineStr"/>
      <c r="I41" s="16" t="inlineStr"/>
      <c r="J41" s="16" t="inlineStr"/>
      <c r="K41" s="16" t="inlineStr"/>
      <c r="L41" s="16" t="inlineStr"/>
    </row>
    <row r="42">
      <c r="A42" s="16" t="inlineStr"/>
      <c r="B42" s="16" t="inlineStr"/>
      <c r="C42" s="16" t="inlineStr"/>
      <c r="D42" s="16" t="inlineStr"/>
      <c r="E42" s="16" t="inlineStr"/>
      <c r="F42" s="16" t="inlineStr"/>
      <c r="G42" s="16" t="inlineStr"/>
      <c r="H42" s="16" t="inlineStr"/>
      <c r="I42" s="16" t="inlineStr"/>
      <c r="J42" s="16" t="inlineStr"/>
      <c r="K42" s="16" t="inlineStr"/>
      <c r="L42" s="16" t="inlineStr"/>
    </row>
    <row r="43">
      <c r="A43" s="16" t="inlineStr"/>
      <c r="B43" s="16" t="inlineStr"/>
      <c r="C43" s="16" t="inlineStr"/>
      <c r="D43" s="16" t="inlineStr"/>
      <c r="E43" s="16" t="inlineStr"/>
      <c r="F43" s="16" t="inlineStr"/>
      <c r="G43" s="16" t="inlineStr"/>
      <c r="H43" s="16" t="inlineStr"/>
      <c r="I43" s="16" t="inlineStr"/>
      <c r="J43" s="16" t="inlineStr"/>
      <c r="K43" s="16" t="inlineStr"/>
      <c r="L43" s="16" t="inlineStr"/>
    </row>
    <row r="44">
      <c r="A44" s="16" t="inlineStr"/>
      <c r="B44" s="16" t="inlineStr"/>
      <c r="C44" s="16" t="inlineStr"/>
      <c r="D44" s="16" t="inlineStr"/>
      <c r="E44" s="16" t="inlineStr"/>
      <c r="F44" s="16" t="inlineStr"/>
      <c r="G44" s="16" t="inlineStr"/>
      <c r="H44" s="16" t="inlineStr"/>
      <c r="I44" s="16" t="inlineStr"/>
      <c r="J44" s="16" t="inlineStr"/>
      <c r="K44" s="16" t="inlineStr"/>
      <c r="L44" s="16" t="inlineStr"/>
    </row>
    <row r="45">
      <c r="A45" s="16" t="inlineStr"/>
      <c r="B45" s="16" t="inlineStr"/>
      <c r="C45" s="16" t="inlineStr"/>
      <c r="D45" s="16" t="inlineStr"/>
      <c r="E45" s="16" t="inlineStr"/>
      <c r="F45" s="16" t="inlineStr"/>
      <c r="G45" s="16" t="inlineStr"/>
      <c r="H45" s="16" t="inlineStr"/>
      <c r="I45" s="16" t="inlineStr"/>
      <c r="J45" s="16" t="inlineStr"/>
      <c r="K45" s="16" t="inlineStr"/>
      <c r="L45" s="16" t="inlineStr"/>
    </row>
    <row r="46">
      <c r="A46" s="16" t="inlineStr"/>
      <c r="B46" s="16" t="inlineStr"/>
      <c r="C46" s="16" t="inlineStr"/>
      <c r="D46" s="16" t="inlineStr"/>
      <c r="E46" s="16" t="inlineStr"/>
      <c r="F46" s="16" t="inlineStr"/>
      <c r="G46" s="16" t="inlineStr"/>
      <c r="H46" s="16" t="inlineStr"/>
      <c r="I46" s="16" t="inlineStr"/>
      <c r="J46" s="16" t="inlineStr"/>
      <c r="K46" s="16" t="inlineStr"/>
      <c r="L46" s="16" t="inlineStr"/>
    </row>
    <row r="47">
      <c r="A47" s="16" t="inlineStr"/>
      <c r="B47" s="16" t="inlineStr"/>
      <c r="C47" s="16" t="inlineStr"/>
      <c r="D47" s="16" t="inlineStr"/>
      <c r="E47" s="16" t="inlineStr"/>
      <c r="F47" s="16" t="inlineStr"/>
      <c r="G47" s="16" t="inlineStr"/>
      <c r="H47" s="16" t="inlineStr"/>
      <c r="I47" s="16" t="inlineStr"/>
      <c r="J47" s="16" t="inlineStr"/>
      <c r="K47" s="16" t="inlineStr"/>
      <c r="L47" s="16" t="inlineStr"/>
    </row>
    <row r="48">
      <c r="A48" s="16" t="inlineStr"/>
      <c r="B48" s="16" t="inlineStr"/>
      <c r="C48" s="16" t="inlineStr"/>
      <c r="D48" s="16" t="inlineStr"/>
      <c r="E48" s="16" t="inlineStr"/>
      <c r="F48" s="16" t="inlineStr"/>
      <c r="G48" s="16" t="inlineStr"/>
      <c r="H48" s="16" t="inlineStr"/>
      <c r="I48" s="16" t="inlineStr"/>
      <c r="J48" s="16" t="inlineStr"/>
      <c r="K48" s="16" t="inlineStr"/>
      <c r="L48" s="16" t="inlineStr"/>
    </row>
    <row r="49">
      <c r="A49" s="16" t="inlineStr"/>
      <c r="B49" s="16" t="inlineStr"/>
      <c r="C49" s="16" t="inlineStr"/>
      <c r="D49" s="16" t="inlineStr"/>
      <c r="E49" s="16" t="inlineStr"/>
      <c r="F49" s="16" t="inlineStr"/>
      <c r="G49" s="16" t="inlineStr"/>
      <c r="H49" s="16" t="inlineStr"/>
      <c r="I49" s="16" t="inlineStr"/>
      <c r="J49" s="16" t="inlineStr"/>
      <c r="K49" s="16" t="inlineStr"/>
      <c r="L49" s="16" t="inlineStr"/>
    </row>
    <row r="50">
      <c r="A50" s="16" t="inlineStr"/>
      <c r="B50" s="16" t="inlineStr"/>
      <c r="C50" s="16" t="inlineStr"/>
      <c r="D50" s="16" t="inlineStr"/>
      <c r="E50" s="16" t="inlineStr"/>
      <c r="F50" s="16" t="inlineStr"/>
      <c r="G50" s="16" t="inlineStr"/>
      <c r="H50" s="16" t="inlineStr"/>
      <c r="I50" s="16" t="inlineStr"/>
      <c r="J50" s="16" t="inlineStr"/>
      <c r="K50" s="16" t="inlineStr"/>
      <c r="L50" s="16" t="inlineStr"/>
    </row>
    <row r="51">
      <c r="A51" s="16" t="inlineStr"/>
      <c r="B51" s="16" t="inlineStr"/>
      <c r="C51" s="16" t="inlineStr"/>
      <c r="D51" s="16" t="inlineStr"/>
      <c r="E51" s="16" t="inlineStr"/>
      <c r="F51" s="16" t="inlineStr"/>
      <c r="G51" s="16" t="inlineStr"/>
      <c r="H51" s="16" t="inlineStr"/>
      <c r="I51" s="16" t="inlineStr"/>
      <c r="J51" s="16" t="inlineStr"/>
      <c r="K51" s="16" t="inlineStr"/>
      <c r="L51" s="16" t="inlineStr"/>
    </row>
    <row r="52">
      <c r="A52" s="16" t="inlineStr"/>
      <c r="B52" s="16" t="inlineStr"/>
      <c r="C52" s="16" t="inlineStr"/>
      <c r="D52" s="16" t="inlineStr"/>
      <c r="E52" s="16" t="inlineStr"/>
      <c r="F52" s="16" t="inlineStr"/>
      <c r="G52" s="16" t="inlineStr"/>
      <c r="H52" s="16" t="inlineStr"/>
      <c r="I52" s="16" t="inlineStr"/>
      <c r="J52" s="16" t="inlineStr"/>
      <c r="K52" s="16" t="inlineStr"/>
      <c r="L52" s="16" t="inlineStr"/>
    </row>
    <row r="53">
      <c r="A53" s="16" t="inlineStr"/>
      <c r="B53" s="16" t="inlineStr"/>
      <c r="C53" s="16" t="inlineStr"/>
      <c r="D53" s="16" t="inlineStr"/>
      <c r="E53" s="16" t="inlineStr"/>
      <c r="F53" s="16" t="inlineStr"/>
      <c r="G53" s="16" t="inlineStr"/>
      <c r="H53" s="16" t="inlineStr"/>
      <c r="I53" s="16" t="inlineStr"/>
      <c r="J53" s="16" t="inlineStr"/>
      <c r="K53" s="16" t="inlineStr"/>
      <c r="L53" s="16" t="inlineStr"/>
    </row>
    <row r="54">
      <c r="A54" s="16" t="inlineStr"/>
      <c r="B54" s="16" t="inlineStr"/>
      <c r="C54" s="16" t="inlineStr"/>
      <c r="D54" s="16" t="inlineStr"/>
      <c r="E54" s="16" t="inlineStr"/>
      <c r="F54" s="16" t="inlineStr"/>
      <c r="G54" s="16" t="inlineStr"/>
      <c r="H54" s="16" t="inlineStr"/>
      <c r="I54" s="16" t="inlineStr"/>
      <c r="J54" s="16" t="inlineStr"/>
      <c r="K54" s="16" t="inlineStr"/>
      <c r="L54" s="16" t="inlineStr"/>
    </row>
    <row r="55">
      <c r="A55" s="16" t="inlineStr"/>
      <c r="B55" s="16" t="inlineStr"/>
      <c r="C55" s="16" t="inlineStr"/>
      <c r="D55" s="16" t="inlineStr"/>
      <c r="E55" s="16" t="inlineStr"/>
      <c r="F55" s="16" t="inlineStr"/>
      <c r="G55" s="16" t="inlineStr"/>
      <c r="H55" s="16" t="inlineStr"/>
      <c r="I55" s="16" t="inlineStr"/>
      <c r="J55" s="16" t="inlineStr"/>
      <c r="K55" s="16" t="inlineStr"/>
      <c r="L55" s="16" t="inlineStr"/>
    </row>
    <row r="56">
      <c r="A56" s="16" t="inlineStr"/>
      <c r="B56" s="16" t="inlineStr"/>
      <c r="C56" s="16" t="inlineStr"/>
      <c r="D56" s="16" t="inlineStr"/>
      <c r="E56" s="16" t="inlineStr"/>
      <c r="F56" s="16" t="inlineStr"/>
      <c r="G56" s="16" t="inlineStr"/>
      <c r="H56" s="16" t="inlineStr"/>
      <c r="I56" s="16" t="inlineStr"/>
      <c r="J56" s="16" t="inlineStr"/>
      <c r="K56" s="16" t="inlineStr"/>
      <c r="L56" s="16" t="inlineStr"/>
    </row>
    <row r="58">
      <c r="A58" s="13" t="inlineStr">
        <is>
          <t>Section B: PIR Quality Scoring Criteria (Reference)</t>
        </is>
      </c>
    </row>
    <row r="59">
      <c r="A59" s="17" t="inlineStr">
        <is>
          <t>5 - Excellent</t>
        </is>
      </c>
      <c r="B59" s="17" t="inlineStr">
        <is>
          <t>Complete timeline, full impact assessment, all action items with owners/dates, root cause referenced, distributed</t>
        </is>
      </c>
    </row>
    <row r="60">
      <c r="A60" s="17" t="inlineStr">
        <is>
          <t>4 - Good</t>
        </is>
      </c>
      <c r="B60" s="17" t="inlineStr">
        <is>
          <t>Timeline and impact documented, most action items defined, minor gaps in distribution</t>
        </is>
      </c>
    </row>
    <row r="61">
      <c r="A61" s="17" t="inlineStr">
        <is>
          <t>3 - Adequate</t>
        </is>
      </c>
      <c r="B61" s="17" t="inlineStr">
        <is>
          <t>Basic incident summary, some action items defined, distribution incomplete</t>
        </is>
      </c>
    </row>
    <row r="62">
      <c r="A62" s="17" t="inlineStr">
        <is>
          <t>2 - Poor</t>
        </is>
      </c>
      <c r="B62" s="17" t="inlineStr">
        <is>
          <t>Minimal documentation, few action items, no distribution</t>
        </is>
      </c>
    </row>
    <row r="63">
      <c r="A63" s="17" t="inlineStr">
        <is>
          <t>1 - Non-existent</t>
        </is>
      </c>
      <c r="B63" s="17" t="inlineStr">
        <is>
          <t>PIR marked complete but no substantive report exists</t>
        </is>
      </c>
    </row>
    <row r="65">
      <c r="A65" s="13" t="inlineStr">
        <is>
          <t>Section C: PIR Process Summary</t>
        </is>
      </c>
    </row>
    <row r="66">
      <c r="A66" s="17" t="inlineStr">
        <is>
          <t>Total incidents in period</t>
        </is>
      </c>
      <c r="B66" s="18" t="n"/>
      <c r="C66" s="19" t="n"/>
      <c r="D66" s="20">
        <f>COUNTA(A7:A56)</f>
        <v/>
      </c>
    </row>
    <row r="67">
      <c r="A67" s="17" t="inlineStr">
        <is>
          <t>PIRs completed</t>
        </is>
      </c>
      <c r="B67" s="18" t="n"/>
      <c r="C67" s="19" t="n"/>
      <c r="D67" s="20">
        <f>COUNTIF(E7:E56,"Completed")</f>
        <v/>
      </c>
    </row>
    <row r="68">
      <c r="A68" s="17" t="inlineStr">
        <is>
          <t>PIRs overdue</t>
        </is>
      </c>
      <c r="B68" s="18" t="n"/>
      <c r="C68" s="19" t="n"/>
      <c r="D68" s="20">
        <f>COUNTIF(E7:E56,"Overdue")</f>
        <v/>
      </c>
    </row>
    <row r="69">
      <c r="A69" s="17" t="inlineStr">
        <is>
          <t>SLA compliance rate (%)</t>
        </is>
      </c>
      <c r="B69" s="18" t="n"/>
      <c r="C69" s="19" t="n"/>
      <c r="D69" s="20">
        <f>IF(B67&gt;0,COUNTIF(I7:I56,"Yes")/B67*100,0)</f>
        <v/>
      </c>
    </row>
    <row r="70">
      <c r="A70" s="17" t="inlineStr">
        <is>
          <t>Average quality score</t>
        </is>
      </c>
      <c r="B70" s="18" t="n"/>
      <c r="C70" s="19" t="n"/>
      <c r="D70" s="20">
        <f>AVERAGE(K7:K56)</f>
        <v/>
      </c>
    </row>
    <row r="71">
      <c r="A71" s="17" t="inlineStr">
        <is>
          <t>Participant requirement met (%)</t>
        </is>
      </c>
      <c r="B71" s="18" t="n"/>
      <c r="C71" s="19" t="n"/>
      <c r="D71" s="20">
        <f>IF(B67&gt;0,COUNTIF(J7:J56,"Yes")/B67*100,0)</f>
        <v/>
      </c>
    </row>
  </sheetData>
  <mergeCells count="16">
    <mergeCell ref="A2:L2"/>
    <mergeCell ref="A68:C68"/>
    <mergeCell ref="A66:C66"/>
    <mergeCell ref="A71:C71"/>
    <mergeCell ref="B62:L62"/>
    <mergeCell ref="A1:L1"/>
    <mergeCell ref="B59:L59"/>
    <mergeCell ref="A70:C70"/>
    <mergeCell ref="A67:C67"/>
    <mergeCell ref="A58:L58"/>
    <mergeCell ref="A69:C69"/>
    <mergeCell ref="B60:L60"/>
    <mergeCell ref="A3:L3"/>
    <mergeCell ref="B63:L63"/>
    <mergeCell ref="B61:L61"/>
    <mergeCell ref="A65:L65"/>
  </mergeCells>
  <dataValidations count="4">
    <dataValidation sqref="C7:C56" showDropDown="0" showInputMessage="0" showErrorMessage="0" allowBlank="1" type="list">
      <formula1>"Critical,High,Medium,Low"</formula1>
    </dataValidation>
    <dataValidation sqref="E7:E56" showDropDown="0" showInputMessage="0" showErrorMessage="0" allowBlank="1" type="list">
      <formula1>"Completed,Overdue,Pending,Not_Required"</formula1>
    </dataValidation>
    <dataValidation sqref="I7:I56 J7:J56" showDropDown="0" showInputMessage="0" showErrorMessage="0" allowBlank="1" type="list">
      <formula1>"Yes,No"</formula1>
    </dataValidation>
    <dataValidation sqref="K7:K56" showDropDown="0" showInputMessage="0" showErrorMessage="0" allowBlank="1" type="list">
      <formula1>"1,2,3,4,5"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1"/>
  <sheetViews>
    <sheetView showGridLines="0" workbookViewId="0">
      <pane ySplit="3" topLeftCell="A4" activePane="bottomLeft" state="frozen"/>
      <selection pane="bottomLeft" activeCell="A1" sqref="A1"/>
    </sheetView>
  </sheetViews>
  <sheetFormatPr baseColWidth="8" defaultRowHeight="15"/>
  <cols>
    <col width="12" customWidth="1" min="1" max="1"/>
    <col width="15" customWidth="1" min="2" max="2"/>
    <col width="12" customWidth="1" min="3" max="3"/>
    <col width="15" customWidth="1" min="4" max="4"/>
    <col width="12" customWidth="1" min="5" max="5"/>
    <col width="30" customWidth="1" min="6" max="6"/>
    <col width="12" customWidth="1" min="7" max="7"/>
    <col width="12" customWidth="1" min="8" max="8"/>
    <col width="12" customWidth="1" min="9" max="9"/>
  </cols>
  <sheetData>
    <row r="1" ht="35" customHeight="1">
      <c r="A1" s="11" t="inlineStr">
        <is>
          <t>ROOT CAUSE ANALYSIS ASSESSMENT</t>
        </is>
      </c>
    </row>
    <row r="2">
      <c r="A2" s="12" t="inlineStr">
        <is>
          <t>ISO/IEC 27001:2022 - Control A.5.27: Learning from Information Security Incidents | RCA inventory, depth scoring, methodology, and recurring cause identification</t>
        </is>
      </c>
    </row>
    <row r="3">
      <c r="A3" s="13" t="inlineStr">
        <is>
          <t>Section A: RCA Inventory (Critical and High Incidents)</t>
        </is>
      </c>
    </row>
    <row r="5">
      <c r="A5" s="14" t="inlineStr">
        <is>
          <t>Incident ID</t>
        </is>
      </c>
      <c r="B5" s="14" t="inlineStr">
        <is>
          <t>Severity</t>
        </is>
      </c>
      <c r="C5" s="14" t="inlineStr">
        <is>
          <t>RCA Status</t>
        </is>
      </c>
      <c r="D5" s="14" t="inlineStr">
        <is>
          <t>RCA Date</t>
        </is>
      </c>
      <c r="E5" s="14" t="inlineStr">
        <is>
          <t>Methodology</t>
        </is>
      </c>
      <c r="F5" s="14" t="inlineStr">
        <is>
          <t>Root Cause Summary</t>
        </is>
      </c>
      <c r="G5" s="14" t="inlineStr">
        <is>
          <t>Depth Score</t>
        </is>
      </c>
      <c r="H5" s="14" t="inlineStr">
        <is>
          <t>Recurring</t>
        </is>
      </c>
      <c r="I5" s="14" t="inlineStr">
        <is>
          <t>Evidence Ref</t>
        </is>
      </c>
    </row>
    <row r="6">
      <c r="A6" s="15" t="inlineStr">
        <is>
          <t>INC-001</t>
        </is>
      </c>
      <c r="B6" s="15" t="inlineStr">
        <is>
          <t>Critical</t>
        </is>
      </c>
      <c r="C6" s="15" t="inlineStr">
        <is>
          <t>Completed</t>
        </is>
      </c>
      <c r="D6" s="15" t="inlineStr">
        <is>
          <t>05.01.2026</t>
        </is>
      </c>
      <c r="E6" s="15" t="inlineStr">
        <is>
          <t>5_Whys</t>
        </is>
      </c>
      <c r="F6" s="15" t="inlineStr">
        <is>
          <t>Misconfigured firewall rule allowed lateral movement — sample entry</t>
        </is>
      </c>
      <c r="G6" s="15" t="inlineStr">
        <is>
          <t>3 - Systemic</t>
        </is>
      </c>
      <c r="H6" s="15" t="inlineStr">
        <is>
          <t>No</t>
        </is>
      </c>
      <c r="I6" s="15" t="inlineStr">
        <is>
          <t>EV-001</t>
        </is>
      </c>
    </row>
    <row r="7">
      <c r="A7" s="16" t="inlineStr"/>
      <c r="B7" s="16" t="inlineStr"/>
      <c r="C7" s="16" t="inlineStr"/>
      <c r="D7" s="16" t="inlineStr"/>
      <c r="E7" s="16" t="inlineStr"/>
      <c r="F7" s="16" t="inlineStr"/>
      <c r="G7" s="16" t="inlineStr"/>
      <c r="H7" s="16" t="inlineStr"/>
      <c r="I7" s="16" t="inlineStr"/>
    </row>
    <row r="8">
      <c r="A8" s="16" t="inlineStr"/>
      <c r="B8" s="16" t="inlineStr"/>
      <c r="C8" s="16" t="inlineStr"/>
      <c r="D8" s="16" t="inlineStr"/>
      <c r="E8" s="16" t="inlineStr"/>
      <c r="F8" s="16" t="inlineStr"/>
      <c r="G8" s="16" t="inlineStr"/>
      <c r="H8" s="16" t="inlineStr"/>
      <c r="I8" s="16" t="inlineStr"/>
    </row>
    <row r="9">
      <c r="A9" s="16" t="inlineStr"/>
      <c r="B9" s="16" t="inlineStr"/>
      <c r="C9" s="16" t="inlineStr"/>
      <c r="D9" s="16" t="inlineStr"/>
      <c r="E9" s="16" t="inlineStr"/>
      <c r="F9" s="16" t="inlineStr"/>
      <c r="G9" s="16" t="inlineStr"/>
      <c r="H9" s="16" t="inlineStr"/>
      <c r="I9" s="16" t="inlineStr"/>
    </row>
    <row r="10">
      <c r="A10" s="16" t="inlineStr"/>
      <c r="B10" s="16" t="inlineStr"/>
      <c r="C10" s="16" t="inlineStr"/>
      <c r="D10" s="16" t="inlineStr"/>
      <c r="E10" s="16" t="inlineStr"/>
      <c r="F10" s="16" t="inlineStr"/>
      <c r="G10" s="16" t="inlineStr"/>
      <c r="H10" s="16" t="inlineStr"/>
      <c r="I10" s="16" t="inlineStr"/>
    </row>
    <row r="11">
      <c r="A11" s="16" t="inlineStr"/>
      <c r="B11" s="16" t="inlineStr"/>
      <c r="C11" s="16" t="inlineStr"/>
      <c r="D11" s="16" t="inlineStr"/>
      <c r="E11" s="16" t="inlineStr"/>
      <c r="F11" s="16" t="inlineStr"/>
      <c r="G11" s="16" t="inlineStr"/>
      <c r="H11" s="16" t="inlineStr"/>
      <c r="I11" s="16" t="inlineStr"/>
    </row>
    <row r="12">
      <c r="A12" s="16" t="inlineStr"/>
      <c r="B12" s="16" t="inlineStr"/>
      <c r="C12" s="16" t="inlineStr"/>
      <c r="D12" s="16" t="inlineStr"/>
      <c r="E12" s="16" t="inlineStr"/>
      <c r="F12" s="16" t="inlineStr"/>
      <c r="G12" s="16" t="inlineStr"/>
      <c r="H12" s="16" t="inlineStr"/>
      <c r="I12" s="16" t="inlineStr"/>
    </row>
    <row r="13">
      <c r="A13" s="16" t="inlineStr"/>
      <c r="B13" s="16" t="inlineStr"/>
      <c r="C13" s="16" t="inlineStr"/>
      <c r="D13" s="16" t="inlineStr"/>
      <c r="E13" s="16" t="inlineStr"/>
      <c r="F13" s="16" t="inlineStr"/>
      <c r="G13" s="16" t="inlineStr"/>
      <c r="H13" s="16" t="inlineStr"/>
      <c r="I13" s="16" t="inlineStr"/>
    </row>
    <row r="14">
      <c r="A14" s="16" t="inlineStr"/>
      <c r="B14" s="16" t="inlineStr"/>
      <c r="C14" s="16" t="inlineStr"/>
      <c r="D14" s="16" t="inlineStr"/>
      <c r="E14" s="16" t="inlineStr"/>
      <c r="F14" s="16" t="inlineStr"/>
      <c r="G14" s="16" t="inlineStr"/>
      <c r="H14" s="16" t="inlineStr"/>
      <c r="I14" s="16" t="inlineStr"/>
    </row>
    <row r="15">
      <c r="A15" s="16" t="inlineStr"/>
      <c r="B15" s="16" t="inlineStr"/>
      <c r="C15" s="16" t="inlineStr"/>
      <c r="D15" s="16" t="inlineStr"/>
      <c r="E15" s="16" t="inlineStr"/>
      <c r="F15" s="16" t="inlineStr"/>
      <c r="G15" s="16" t="inlineStr"/>
      <c r="H15" s="16" t="inlineStr"/>
      <c r="I15" s="16" t="inlineStr"/>
    </row>
    <row r="16">
      <c r="A16" s="16" t="inlineStr"/>
      <c r="B16" s="16" t="inlineStr"/>
      <c r="C16" s="16" t="inlineStr"/>
      <c r="D16" s="16" t="inlineStr"/>
      <c r="E16" s="16" t="inlineStr"/>
      <c r="F16" s="16" t="inlineStr"/>
      <c r="G16" s="16" t="inlineStr"/>
      <c r="H16" s="16" t="inlineStr"/>
      <c r="I16" s="16" t="inlineStr"/>
    </row>
    <row r="17">
      <c r="A17" s="16" t="inlineStr"/>
      <c r="B17" s="16" t="inlineStr"/>
      <c r="C17" s="16" t="inlineStr"/>
      <c r="D17" s="16" t="inlineStr"/>
      <c r="E17" s="16" t="inlineStr"/>
      <c r="F17" s="16" t="inlineStr"/>
      <c r="G17" s="16" t="inlineStr"/>
      <c r="H17" s="16" t="inlineStr"/>
      <c r="I17" s="16" t="inlineStr"/>
    </row>
    <row r="18">
      <c r="A18" s="16" t="inlineStr"/>
      <c r="B18" s="16" t="inlineStr"/>
      <c r="C18" s="16" t="inlineStr"/>
      <c r="D18" s="16" t="inlineStr"/>
      <c r="E18" s="16" t="inlineStr"/>
      <c r="F18" s="16" t="inlineStr"/>
      <c r="G18" s="16" t="inlineStr"/>
      <c r="H18" s="16" t="inlineStr"/>
      <c r="I18" s="16" t="inlineStr"/>
    </row>
    <row r="19">
      <c r="A19" s="16" t="inlineStr"/>
      <c r="B19" s="16" t="inlineStr"/>
      <c r="C19" s="16" t="inlineStr"/>
      <c r="D19" s="16" t="inlineStr"/>
      <c r="E19" s="16" t="inlineStr"/>
      <c r="F19" s="16" t="inlineStr"/>
      <c r="G19" s="16" t="inlineStr"/>
      <c r="H19" s="16" t="inlineStr"/>
      <c r="I19" s="16" t="inlineStr"/>
    </row>
    <row r="20">
      <c r="A20" s="16" t="inlineStr"/>
      <c r="B20" s="16" t="inlineStr"/>
      <c r="C20" s="16" t="inlineStr"/>
      <c r="D20" s="16" t="inlineStr"/>
      <c r="E20" s="16" t="inlineStr"/>
      <c r="F20" s="16" t="inlineStr"/>
      <c r="G20" s="16" t="inlineStr"/>
      <c r="H20" s="16" t="inlineStr"/>
      <c r="I20" s="16" t="inlineStr"/>
    </row>
    <row r="21">
      <c r="A21" s="16" t="inlineStr"/>
      <c r="B21" s="16" t="inlineStr"/>
      <c r="C21" s="16" t="inlineStr"/>
      <c r="D21" s="16" t="inlineStr"/>
      <c r="E21" s="16" t="inlineStr"/>
      <c r="F21" s="16" t="inlineStr"/>
      <c r="G21" s="16" t="inlineStr"/>
      <c r="H21" s="16" t="inlineStr"/>
      <c r="I21" s="16" t="inlineStr"/>
    </row>
    <row r="22">
      <c r="A22" s="16" t="inlineStr"/>
      <c r="B22" s="16" t="inlineStr"/>
      <c r="C22" s="16" t="inlineStr"/>
      <c r="D22" s="16" t="inlineStr"/>
      <c r="E22" s="16" t="inlineStr"/>
      <c r="F22" s="16" t="inlineStr"/>
      <c r="G22" s="16" t="inlineStr"/>
      <c r="H22" s="16" t="inlineStr"/>
      <c r="I22" s="16" t="inlineStr"/>
    </row>
    <row r="23">
      <c r="A23" s="16" t="inlineStr"/>
      <c r="B23" s="16" t="inlineStr"/>
      <c r="C23" s="16" t="inlineStr"/>
      <c r="D23" s="16" t="inlineStr"/>
      <c r="E23" s="16" t="inlineStr"/>
      <c r="F23" s="16" t="inlineStr"/>
      <c r="G23" s="16" t="inlineStr"/>
      <c r="H23" s="16" t="inlineStr"/>
      <c r="I23" s="16" t="inlineStr"/>
    </row>
    <row r="24">
      <c r="A24" s="16" t="inlineStr"/>
      <c r="B24" s="16" t="inlineStr"/>
      <c r="C24" s="16" t="inlineStr"/>
      <c r="D24" s="16" t="inlineStr"/>
      <c r="E24" s="16" t="inlineStr"/>
      <c r="F24" s="16" t="inlineStr"/>
      <c r="G24" s="16" t="inlineStr"/>
      <c r="H24" s="16" t="inlineStr"/>
      <c r="I24" s="16" t="inlineStr"/>
    </row>
    <row r="25">
      <c r="A25" s="16" t="inlineStr"/>
      <c r="B25" s="16" t="inlineStr"/>
      <c r="C25" s="16" t="inlineStr"/>
      <c r="D25" s="16" t="inlineStr"/>
      <c r="E25" s="16" t="inlineStr"/>
      <c r="F25" s="16" t="inlineStr"/>
      <c r="G25" s="16" t="inlineStr"/>
      <c r="H25" s="16" t="inlineStr"/>
      <c r="I25" s="16" t="inlineStr"/>
    </row>
    <row r="26">
      <c r="A26" s="16" t="inlineStr"/>
      <c r="B26" s="16" t="inlineStr"/>
      <c r="C26" s="16" t="inlineStr"/>
      <c r="D26" s="16" t="inlineStr"/>
      <c r="E26" s="16" t="inlineStr"/>
      <c r="F26" s="16" t="inlineStr"/>
      <c r="G26" s="16" t="inlineStr"/>
      <c r="H26" s="16" t="inlineStr"/>
      <c r="I26" s="16" t="inlineStr"/>
    </row>
    <row r="27">
      <c r="A27" s="16" t="inlineStr"/>
      <c r="B27" s="16" t="inlineStr"/>
      <c r="C27" s="16" t="inlineStr"/>
      <c r="D27" s="16" t="inlineStr"/>
      <c r="E27" s="16" t="inlineStr"/>
      <c r="F27" s="16" t="inlineStr"/>
      <c r="G27" s="16" t="inlineStr"/>
      <c r="H27" s="16" t="inlineStr"/>
      <c r="I27" s="16" t="inlineStr"/>
    </row>
    <row r="28">
      <c r="A28" s="16" t="inlineStr"/>
      <c r="B28" s="16" t="inlineStr"/>
      <c r="C28" s="16" t="inlineStr"/>
      <c r="D28" s="16" t="inlineStr"/>
      <c r="E28" s="16" t="inlineStr"/>
      <c r="F28" s="16" t="inlineStr"/>
      <c r="G28" s="16" t="inlineStr"/>
      <c r="H28" s="16" t="inlineStr"/>
      <c r="I28" s="16" t="inlineStr"/>
    </row>
    <row r="29">
      <c r="A29" s="16" t="inlineStr"/>
      <c r="B29" s="16" t="inlineStr"/>
      <c r="C29" s="16" t="inlineStr"/>
      <c r="D29" s="16" t="inlineStr"/>
      <c r="E29" s="16" t="inlineStr"/>
      <c r="F29" s="16" t="inlineStr"/>
      <c r="G29" s="16" t="inlineStr"/>
      <c r="H29" s="16" t="inlineStr"/>
      <c r="I29" s="16" t="inlineStr"/>
    </row>
    <row r="30">
      <c r="A30" s="16" t="inlineStr"/>
      <c r="B30" s="16" t="inlineStr"/>
      <c r="C30" s="16" t="inlineStr"/>
      <c r="D30" s="16" t="inlineStr"/>
      <c r="E30" s="16" t="inlineStr"/>
      <c r="F30" s="16" t="inlineStr"/>
      <c r="G30" s="16" t="inlineStr"/>
      <c r="H30" s="16" t="inlineStr"/>
      <c r="I30" s="16" t="inlineStr"/>
    </row>
    <row r="31">
      <c r="A31" s="16" t="inlineStr"/>
      <c r="B31" s="16" t="inlineStr"/>
      <c r="C31" s="16" t="inlineStr"/>
      <c r="D31" s="16" t="inlineStr"/>
      <c r="E31" s="16" t="inlineStr"/>
      <c r="F31" s="16" t="inlineStr"/>
      <c r="G31" s="16" t="inlineStr"/>
      <c r="H31" s="16" t="inlineStr"/>
      <c r="I31" s="16" t="inlineStr"/>
    </row>
    <row r="32">
      <c r="A32" s="16" t="inlineStr"/>
      <c r="B32" s="16" t="inlineStr"/>
      <c r="C32" s="16" t="inlineStr"/>
      <c r="D32" s="16" t="inlineStr"/>
      <c r="E32" s="16" t="inlineStr"/>
      <c r="F32" s="16" t="inlineStr"/>
      <c r="G32" s="16" t="inlineStr"/>
      <c r="H32" s="16" t="inlineStr"/>
      <c r="I32" s="16" t="inlineStr"/>
    </row>
    <row r="33">
      <c r="A33" s="16" t="inlineStr"/>
      <c r="B33" s="16" t="inlineStr"/>
      <c r="C33" s="16" t="inlineStr"/>
      <c r="D33" s="16" t="inlineStr"/>
      <c r="E33" s="16" t="inlineStr"/>
      <c r="F33" s="16" t="inlineStr"/>
      <c r="G33" s="16" t="inlineStr"/>
      <c r="H33" s="16" t="inlineStr"/>
      <c r="I33" s="16" t="inlineStr"/>
    </row>
    <row r="34">
      <c r="A34" s="16" t="inlineStr"/>
      <c r="B34" s="16" t="inlineStr"/>
      <c r="C34" s="16" t="inlineStr"/>
      <c r="D34" s="16" t="inlineStr"/>
      <c r="E34" s="16" t="inlineStr"/>
      <c r="F34" s="16" t="inlineStr"/>
      <c r="G34" s="16" t="inlineStr"/>
      <c r="H34" s="16" t="inlineStr"/>
      <c r="I34" s="16" t="inlineStr"/>
    </row>
    <row r="35">
      <c r="A35" s="16" t="inlineStr"/>
      <c r="B35" s="16" t="inlineStr"/>
      <c r="C35" s="16" t="inlineStr"/>
      <c r="D35" s="16" t="inlineStr"/>
      <c r="E35" s="16" t="inlineStr"/>
      <c r="F35" s="16" t="inlineStr"/>
      <c r="G35" s="16" t="inlineStr"/>
      <c r="H35" s="16" t="inlineStr"/>
      <c r="I35" s="16" t="inlineStr"/>
    </row>
    <row r="36">
      <c r="A36" s="16" t="inlineStr"/>
      <c r="B36" s="16" t="inlineStr"/>
      <c r="C36" s="16" t="inlineStr"/>
      <c r="D36" s="16" t="inlineStr"/>
      <c r="E36" s="16" t="inlineStr"/>
      <c r="F36" s="16" t="inlineStr"/>
      <c r="G36" s="16" t="inlineStr"/>
      <c r="H36" s="16" t="inlineStr"/>
      <c r="I36" s="16" t="inlineStr"/>
    </row>
    <row r="37">
      <c r="A37" s="16" t="inlineStr"/>
      <c r="B37" s="16" t="inlineStr"/>
      <c r="C37" s="16" t="inlineStr"/>
      <c r="D37" s="16" t="inlineStr"/>
      <c r="E37" s="16" t="inlineStr"/>
      <c r="F37" s="16" t="inlineStr"/>
      <c r="G37" s="16" t="inlineStr"/>
      <c r="H37" s="16" t="inlineStr"/>
      <c r="I37" s="16" t="inlineStr"/>
    </row>
    <row r="38">
      <c r="A38" s="16" t="inlineStr"/>
      <c r="B38" s="16" t="inlineStr"/>
      <c r="C38" s="16" t="inlineStr"/>
      <c r="D38" s="16" t="inlineStr"/>
      <c r="E38" s="16" t="inlineStr"/>
      <c r="F38" s="16" t="inlineStr"/>
      <c r="G38" s="16" t="inlineStr"/>
      <c r="H38" s="16" t="inlineStr"/>
      <c r="I38" s="16" t="inlineStr"/>
    </row>
    <row r="39">
      <c r="A39" s="16" t="inlineStr"/>
      <c r="B39" s="16" t="inlineStr"/>
      <c r="C39" s="16" t="inlineStr"/>
      <c r="D39" s="16" t="inlineStr"/>
      <c r="E39" s="16" t="inlineStr"/>
      <c r="F39" s="16" t="inlineStr"/>
      <c r="G39" s="16" t="inlineStr"/>
      <c r="H39" s="16" t="inlineStr"/>
      <c r="I39" s="16" t="inlineStr"/>
    </row>
    <row r="40">
      <c r="A40" s="16" t="inlineStr"/>
      <c r="B40" s="16" t="inlineStr"/>
      <c r="C40" s="16" t="inlineStr"/>
      <c r="D40" s="16" t="inlineStr"/>
      <c r="E40" s="16" t="inlineStr"/>
      <c r="F40" s="16" t="inlineStr"/>
      <c r="G40" s="16" t="inlineStr"/>
      <c r="H40" s="16" t="inlineStr"/>
      <c r="I40" s="16" t="inlineStr"/>
    </row>
    <row r="41">
      <c r="A41" s="16" t="inlineStr"/>
      <c r="B41" s="16" t="inlineStr"/>
      <c r="C41" s="16" t="inlineStr"/>
      <c r="D41" s="16" t="inlineStr"/>
      <c r="E41" s="16" t="inlineStr"/>
      <c r="F41" s="16" t="inlineStr"/>
      <c r="G41" s="16" t="inlineStr"/>
      <c r="H41" s="16" t="inlineStr"/>
      <c r="I41" s="16" t="inlineStr"/>
    </row>
    <row r="42">
      <c r="A42" s="16" t="inlineStr"/>
      <c r="B42" s="16" t="inlineStr"/>
      <c r="C42" s="16" t="inlineStr"/>
      <c r="D42" s="16" t="inlineStr"/>
      <c r="E42" s="16" t="inlineStr"/>
      <c r="F42" s="16" t="inlineStr"/>
      <c r="G42" s="16" t="inlineStr"/>
      <c r="H42" s="16" t="inlineStr"/>
      <c r="I42" s="16" t="inlineStr"/>
    </row>
    <row r="43">
      <c r="A43" s="16" t="inlineStr"/>
      <c r="B43" s="16" t="inlineStr"/>
      <c r="C43" s="16" t="inlineStr"/>
      <c r="D43" s="16" t="inlineStr"/>
      <c r="E43" s="16" t="inlineStr"/>
      <c r="F43" s="16" t="inlineStr"/>
      <c r="G43" s="16" t="inlineStr"/>
      <c r="H43" s="16" t="inlineStr"/>
      <c r="I43" s="16" t="inlineStr"/>
    </row>
    <row r="44">
      <c r="A44" s="16" t="inlineStr"/>
      <c r="B44" s="16" t="inlineStr"/>
      <c r="C44" s="16" t="inlineStr"/>
      <c r="D44" s="16" t="inlineStr"/>
      <c r="E44" s="16" t="inlineStr"/>
      <c r="F44" s="16" t="inlineStr"/>
      <c r="G44" s="16" t="inlineStr"/>
      <c r="H44" s="16" t="inlineStr"/>
      <c r="I44" s="16" t="inlineStr"/>
    </row>
    <row r="45">
      <c r="A45" s="16" t="inlineStr"/>
      <c r="B45" s="16" t="inlineStr"/>
      <c r="C45" s="16" t="inlineStr"/>
      <c r="D45" s="16" t="inlineStr"/>
      <c r="E45" s="16" t="inlineStr"/>
      <c r="F45" s="16" t="inlineStr"/>
      <c r="G45" s="16" t="inlineStr"/>
      <c r="H45" s="16" t="inlineStr"/>
      <c r="I45" s="16" t="inlineStr"/>
    </row>
    <row r="46">
      <c r="A46" s="16" t="inlineStr"/>
      <c r="B46" s="16" t="inlineStr"/>
      <c r="C46" s="16" t="inlineStr"/>
      <c r="D46" s="16" t="inlineStr"/>
      <c r="E46" s="16" t="inlineStr"/>
      <c r="F46" s="16" t="inlineStr"/>
      <c r="G46" s="16" t="inlineStr"/>
      <c r="H46" s="16" t="inlineStr"/>
      <c r="I46" s="16" t="inlineStr"/>
    </row>
    <row r="47">
      <c r="A47" s="16" t="inlineStr"/>
      <c r="B47" s="16" t="inlineStr"/>
      <c r="C47" s="16" t="inlineStr"/>
      <c r="D47" s="16" t="inlineStr"/>
      <c r="E47" s="16" t="inlineStr"/>
      <c r="F47" s="16" t="inlineStr"/>
      <c r="G47" s="16" t="inlineStr"/>
      <c r="H47" s="16" t="inlineStr"/>
      <c r="I47" s="16" t="inlineStr"/>
    </row>
    <row r="48">
      <c r="A48" s="16" t="inlineStr"/>
      <c r="B48" s="16" t="inlineStr"/>
      <c r="C48" s="16" t="inlineStr"/>
      <c r="D48" s="16" t="inlineStr"/>
      <c r="E48" s="16" t="inlineStr"/>
      <c r="F48" s="16" t="inlineStr"/>
      <c r="G48" s="16" t="inlineStr"/>
      <c r="H48" s="16" t="inlineStr"/>
      <c r="I48" s="16" t="inlineStr"/>
    </row>
    <row r="49">
      <c r="A49" s="16" t="inlineStr"/>
      <c r="B49" s="16" t="inlineStr"/>
      <c r="C49" s="16" t="inlineStr"/>
      <c r="D49" s="16" t="inlineStr"/>
      <c r="E49" s="16" t="inlineStr"/>
      <c r="F49" s="16" t="inlineStr"/>
      <c r="G49" s="16" t="inlineStr"/>
      <c r="H49" s="16" t="inlineStr"/>
      <c r="I49" s="16" t="inlineStr"/>
    </row>
    <row r="50">
      <c r="A50" s="16" t="inlineStr"/>
      <c r="B50" s="16" t="inlineStr"/>
      <c r="C50" s="16" t="inlineStr"/>
      <c r="D50" s="16" t="inlineStr"/>
      <c r="E50" s="16" t="inlineStr"/>
      <c r="F50" s="16" t="inlineStr"/>
      <c r="G50" s="16" t="inlineStr"/>
      <c r="H50" s="16" t="inlineStr"/>
      <c r="I50" s="16" t="inlineStr"/>
    </row>
    <row r="51">
      <c r="A51" s="16" t="inlineStr"/>
      <c r="B51" s="16" t="inlineStr"/>
      <c r="C51" s="16" t="inlineStr"/>
      <c r="D51" s="16" t="inlineStr"/>
      <c r="E51" s="16" t="inlineStr"/>
      <c r="F51" s="16" t="inlineStr"/>
      <c r="G51" s="16" t="inlineStr"/>
      <c r="H51" s="16" t="inlineStr"/>
      <c r="I51" s="16" t="inlineStr"/>
    </row>
    <row r="52">
      <c r="A52" s="16" t="inlineStr"/>
      <c r="B52" s="16" t="inlineStr"/>
      <c r="C52" s="16" t="inlineStr"/>
      <c r="D52" s="16" t="inlineStr"/>
      <c r="E52" s="16" t="inlineStr"/>
      <c r="F52" s="16" t="inlineStr"/>
      <c r="G52" s="16" t="inlineStr"/>
      <c r="H52" s="16" t="inlineStr"/>
      <c r="I52" s="16" t="inlineStr"/>
    </row>
    <row r="53">
      <c r="A53" s="16" t="inlineStr"/>
      <c r="B53" s="16" t="inlineStr"/>
      <c r="C53" s="16" t="inlineStr"/>
      <c r="D53" s="16" t="inlineStr"/>
      <c r="E53" s="16" t="inlineStr"/>
      <c r="F53" s="16" t="inlineStr"/>
      <c r="G53" s="16" t="inlineStr"/>
      <c r="H53" s="16" t="inlineStr"/>
      <c r="I53" s="16" t="inlineStr"/>
    </row>
    <row r="54">
      <c r="A54" s="16" t="inlineStr"/>
      <c r="B54" s="16" t="inlineStr"/>
      <c r="C54" s="16" t="inlineStr"/>
      <c r="D54" s="16" t="inlineStr"/>
      <c r="E54" s="16" t="inlineStr"/>
      <c r="F54" s="16" t="inlineStr"/>
      <c r="G54" s="16" t="inlineStr"/>
      <c r="H54" s="16" t="inlineStr"/>
      <c r="I54" s="16" t="inlineStr"/>
    </row>
    <row r="55">
      <c r="A55" s="16" t="inlineStr"/>
      <c r="B55" s="16" t="inlineStr"/>
      <c r="C55" s="16" t="inlineStr"/>
      <c r="D55" s="16" t="inlineStr"/>
      <c r="E55" s="16" t="inlineStr"/>
      <c r="F55" s="16" t="inlineStr"/>
      <c r="G55" s="16" t="inlineStr"/>
      <c r="H55" s="16" t="inlineStr"/>
      <c r="I55" s="16" t="inlineStr"/>
    </row>
    <row r="56">
      <c r="A56" s="16" t="inlineStr"/>
      <c r="B56" s="16" t="inlineStr"/>
      <c r="C56" s="16" t="inlineStr"/>
      <c r="D56" s="16" t="inlineStr"/>
      <c r="E56" s="16" t="inlineStr"/>
      <c r="F56" s="16" t="inlineStr"/>
      <c r="G56" s="16" t="inlineStr"/>
      <c r="H56" s="16" t="inlineStr"/>
      <c r="I56" s="16" t="inlineStr"/>
    </row>
    <row r="59">
      <c r="A59" s="13" t="inlineStr">
        <is>
          <t>Section B: RCA Quality Questions</t>
        </is>
      </c>
    </row>
    <row r="60">
      <c r="A60" s="17" t="inlineStr">
        <is>
          <t>Does RCA go beyond immediate technical cause to identify process/governance gaps?</t>
        </is>
      </c>
      <c r="B60" s="18" t="n"/>
      <c r="C60" s="18" t="n"/>
      <c r="D60" s="18" t="n"/>
      <c r="E60" s="18" t="n"/>
      <c r="F60" s="18" t="n"/>
      <c r="G60" s="19" t="n"/>
      <c r="H60" s="16" t="inlineStr"/>
    </row>
    <row r="61">
      <c r="A61" s="17" t="inlineStr">
        <is>
          <t>Was the RCA methodology appropriate for the incident complexity?</t>
        </is>
      </c>
      <c r="B61" s="18" t="n"/>
      <c r="C61" s="18" t="n"/>
      <c r="D61" s="18" t="n"/>
      <c r="E61" s="18" t="n"/>
      <c r="F61" s="18" t="n"/>
      <c r="G61" s="19" t="n"/>
      <c r="H61" s="16" t="inlineStr"/>
    </row>
    <row r="62">
      <c r="A62" s="17" t="inlineStr">
        <is>
          <t>Are preventive recommendations specific and actionable?</t>
        </is>
      </c>
      <c r="B62" s="18" t="n"/>
      <c r="C62" s="18" t="n"/>
      <c r="D62" s="18" t="n"/>
      <c r="E62" s="18" t="n"/>
      <c r="F62" s="18" t="n"/>
      <c r="G62" s="19" t="n"/>
      <c r="H62" s="16" t="inlineStr"/>
    </row>
    <row r="63">
      <c r="A63" s="17" t="inlineStr">
        <is>
          <t>Has the RCA been reviewed by someone other than the incident owner?</t>
        </is>
      </c>
      <c r="B63" s="18" t="n"/>
      <c r="C63" s="18" t="n"/>
      <c r="D63" s="18" t="n"/>
      <c r="E63" s="18" t="n"/>
      <c r="F63" s="18" t="n"/>
      <c r="G63" s="19" t="n"/>
      <c r="H63" s="16" t="inlineStr"/>
    </row>
    <row r="66">
      <c r="A66" s="13" t="inlineStr">
        <is>
          <t>Section C: RCA Summary</t>
        </is>
      </c>
    </row>
    <row r="67">
      <c r="A67" s="17" t="inlineStr">
        <is>
          <t>Critical/High incidents in period</t>
        </is>
      </c>
      <c r="B67" s="18" t="n"/>
      <c r="C67" s="19" t="n"/>
      <c r="D67" s="20">
        <f>COUNTA(A7:A56)</f>
        <v/>
      </c>
    </row>
    <row r="68">
      <c r="A68" s="17" t="inlineStr">
        <is>
          <t>RCAs completed</t>
        </is>
      </c>
      <c r="B68" s="18" t="n"/>
      <c r="C68" s="19" t="n"/>
      <c r="D68" s="20">
        <f>COUNTIF(C7:C56,"Completed")</f>
        <v/>
      </c>
    </row>
    <row r="69">
      <c r="A69" s="17" t="inlineStr">
        <is>
          <t>RCAs not performed</t>
        </is>
      </c>
      <c r="B69" s="18" t="n"/>
      <c r="C69" s="19" t="n"/>
      <c r="D69" s="20">
        <f>COUNTIF(C7:C56,"Not_Performed")</f>
        <v/>
      </c>
    </row>
    <row r="70">
      <c r="A70" s="17" t="inlineStr">
        <is>
          <t>Systemic depth RCAs</t>
        </is>
      </c>
      <c r="B70" s="18" t="n"/>
      <c r="C70" s="19" t="n"/>
      <c r="D70" s="20">
        <f>COUNTIF(G7:G56,"3 - Systemic")</f>
        <v/>
      </c>
    </row>
    <row r="71">
      <c r="A71" s="17" t="inlineStr">
        <is>
          <t>Recurring root causes</t>
        </is>
      </c>
      <c r="B71" s="18" t="n"/>
      <c r="C71" s="19" t="n"/>
      <c r="D71" s="20">
        <f>COUNTIF(H7:H56,"Yes")</f>
        <v/>
      </c>
    </row>
  </sheetData>
  <mergeCells count="14">
    <mergeCell ref="A59:I59"/>
    <mergeCell ref="A61:G61"/>
    <mergeCell ref="A68:C68"/>
    <mergeCell ref="A2:I2"/>
    <mergeCell ref="A71:C71"/>
    <mergeCell ref="A66:I66"/>
    <mergeCell ref="A1:I1"/>
    <mergeCell ref="A62:G62"/>
    <mergeCell ref="A67:C67"/>
    <mergeCell ref="A70:C70"/>
    <mergeCell ref="A3:I3"/>
    <mergeCell ref="A69:C69"/>
    <mergeCell ref="A60:G60"/>
    <mergeCell ref="A63:G63"/>
  </mergeCells>
  <dataValidations count="6">
    <dataValidation sqref="B7:B56" showDropDown="0" showInputMessage="0" showErrorMessage="0" allowBlank="1" type="list">
      <formula1>"Critical,High"</formula1>
    </dataValidation>
    <dataValidation sqref="C7:C56" showDropDown="0" showInputMessage="0" showErrorMessage="0" allowBlank="1" type="list">
      <formula1>"Completed,In_Progress,Not_Performed"</formula1>
    </dataValidation>
    <dataValidation sqref="E7:E56" showDropDown="0" showInputMessage="0" showErrorMessage="0" allowBlank="1" type="list">
      <formula1>"5_Whys,Fishbone,Fault_Tree,Timeline,Combined,Other"</formula1>
    </dataValidation>
    <dataValidation sqref="G7:G56" showDropDown="0" showInputMessage="0" showErrorMessage="0" allowBlank="1" type="list">
      <formula1>"1 - Technical,2 - Procedural,3 - Systemic"</formula1>
    </dataValidation>
    <dataValidation sqref="H7:H56" showDropDown="0" showInputMessage="0" showErrorMessage="0" allowBlank="1" type="list">
      <formula1>"Yes,No"</formula1>
    </dataValidation>
    <dataValidation sqref="H60:H63" showDropDown="0" showInputMessage="0" showErrorMessage="0" allowBlank="1" type="list">
      <formula1>"Yes,No,Partial"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4"/>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30" customWidth="1" min="3" max="3"/>
    <col width="15" customWidth="1" min="4" max="4"/>
    <col width="12" customWidth="1" min="5" max="5"/>
    <col width="12" customWidth="1" min="6" max="6"/>
    <col width="12" customWidth="1" min="7" max="7"/>
    <col width="12" customWidth="1" min="8" max="8"/>
  </cols>
  <sheetData>
    <row r="1" ht="35" customHeight="1">
      <c r="A1" s="11" t="inlineStr">
        <is>
          <t>LESSONS LEARNED ASSESSMENT</t>
        </is>
      </c>
    </row>
    <row r="2">
      <c r="A2" s="12" t="inlineStr">
        <is>
          <t>ISO/IEC 27001:2022 - Control A.5.27: Learning from Information Security Incidents | Lessons learned log, knowledge base inventory, and governance verification</t>
        </is>
      </c>
    </row>
    <row r="3">
      <c r="A3" s="13" t="inlineStr">
        <is>
          <t>Section A: Lessons Learned Log (Per PIR)</t>
        </is>
      </c>
    </row>
    <row r="5">
      <c r="A5" s="14" t="inlineStr">
        <is>
          <t>PIR ID</t>
        </is>
      </c>
      <c r="B5" s="14" t="inlineStr">
        <is>
          <t>LL Entry Date</t>
        </is>
      </c>
      <c r="C5" s="14" t="inlineStr">
        <is>
          <t>Lesson Summary</t>
        </is>
      </c>
      <c r="D5" s="14" t="inlineStr">
        <is>
          <t>Distribution Date</t>
        </is>
      </c>
      <c r="E5" s="14" t="inlineStr">
        <is>
          <t>SLA Met</t>
        </is>
      </c>
      <c r="F5" s="14" t="inlineStr">
        <is>
          <t>Playbook Update</t>
        </is>
      </c>
      <c r="G5" s="14" t="inlineStr">
        <is>
          <t>Playbook Date</t>
        </is>
      </c>
      <c r="H5" s="14" t="inlineStr">
        <is>
          <t>Evidence Ref</t>
        </is>
      </c>
    </row>
    <row r="6">
      <c r="A6" s="15" t="inlineStr">
        <is>
          <t>PIR-001</t>
        </is>
      </c>
      <c r="B6" s="15" t="inlineStr">
        <is>
          <t>08.01.2026</t>
        </is>
      </c>
      <c r="C6" s="15" t="inlineStr">
        <is>
          <t>Firewall rules must be reviewed quarterly — sample entry</t>
        </is>
      </c>
      <c r="D6" s="15" t="inlineStr">
        <is>
          <t>15.01.2026</t>
        </is>
      </c>
      <c r="E6" s="15" t="inlineStr">
        <is>
          <t>Yes</t>
        </is>
      </c>
      <c r="F6" s="15" t="inlineStr">
        <is>
          <t>Yes</t>
        </is>
      </c>
      <c r="G6" s="15" t="inlineStr">
        <is>
          <t>20.01.2026</t>
        </is>
      </c>
      <c r="H6" s="15" t="inlineStr">
        <is>
          <t>EV-001</t>
        </is>
      </c>
    </row>
    <row r="7">
      <c r="A7" s="16" t="inlineStr"/>
      <c r="B7" s="16" t="inlineStr"/>
      <c r="C7" s="16" t="inlineStr"/>
      <c r="D7" s="16" t="inlineStr"/>
      <c r="E7" s="16" t="inlineStr"/>
      <c r="F7" s="16" t="inlineStr"/>
      <c r="G7" s="16" t="inlineStr"/>
      <c r="H7" s="16" t="inlineStr"/>
    </row>
    <row r="8">
      <c r="A8" s="16" t="inlineStr"/>
      <c r="B8" s="16" t="inlineStr"/>
      <c r="C8" s="16" t="inlineStr"/>
      <c r="D8" s="16" t="inlineStr"/>
      <c r="E8" s="16" t="inlineStr"/>
      <c r="F8" s="16" t="inlineStr"/>
      <c r="G8" s="16" t="inlineStr"/>
      <c r="H8" s="16" t="inlineStr"/>
    </row>
    <row r="9">
      <c r="A9" s="16" t="inlineStr"/>
      <c r="B9" s="16" t="inlineStr"/>
      <c r="C9" s="16" t="inlineStr"/>
      <c r="D9" s="16" t="inlineStr"/>
      <c r="E9" s="16" t="inlineStr"/>
      <c r="F9" s="16" t="inlineStr"/>
      <c r="G9" s="16" t="inlineStr"/>
      <c r="H9" s="16" t="inlineStr"/>
    </row>
    <row r="10">
      <c r="A10" s="16" t="inlineStr"/>
      <c r="B10" s="16" t="inlineStr"/>
      <c r="C10" s="16" t="inlineStr"/>
      <c r="D10" s="16" t="inlineStr"/>
      <c r="E10" s="16" t="inlineStr"/>
      <c r="F10" s="16" t="inlineStr"/>
      <c r="G10" s="16" t="inlineStr"/>
      <c r="H10" s="16" t="inlineStr"/>
    </row>
    <row r="11">
      <c r="A11" s="16" t="inlineStr"/>
      <c r="B11" s="16" t="inlineStr"/>
      <c r="C11" s="16" t="inlineStr"/>
      <c r="D11" s="16" t="inlineStr"/>
      <c r="E11" s="16" t="inlineStr"/>
      <c r="F11" s="16" t="inlineStr"/>
      <c r="G11" s="16" t="inlineStr"/>
      <c r="H11" s="16" t="inlineStr"/>
    </row>
    <row r="12">
      <c r="A12" s="16" t="inlineStr"/>
      <c r="B12" s="16" t="inlineStr"/>
      <c r="C12" s="16" t="inlineStr"/>
      <c r="D12" s="16" t="inlineStr"/>
      <c r="E12" s="16" t="inlineStr"/>
      <c r="F12" s="16" t="inlineStr"/>
      <c r="G12" s="16" t="inlineStr"/>
      <c r="H12" s="16" t="inlineStr"/>
    </row>
    <row r="13">
      <c r="A13" s="16" t="inlineStr"/>
      <c r="B13" s="16" t="inlineStr"/>
      <c r="C13" s="16" t="inlineStr"/>
      <c r="D13" s="16" t="inlineStr"/>
      <c r="E13" s="16" t="inlineStr"/>
      <c r="F13" s="16" t="inlineStr"/>
      <c r="G13" s="16" t="inlineStr"/>
      <c r="H13" s="16" t="inlineStr"/>
    </row>
    <row r="14">
      <c r="A14" s="16" t="inlineStr"/>
      <c r="B14" s="16" t="inlineStr"/>
      <c r="C14" s="16" t="inlineStr"/>
      <c r="D14" s="16" t="inlineStr"/>
      <c r="E14" s="16" t="inlineStr"/>
      <c r="F14" s="16" t="inlineStr"/>
      <c r="G14" s="16" t="inlineStr"/>
      <c r="H14" s="16" t="inlineStr"/>
    </row>
    <row r="15">
      <c r="A15" s="16" t="inlineStr"/>
      <c r="B15" s="16" t="inlineStr"/>
      <c r="C15" s="16" t="inlineStr"/>
      <c r="D15" s="16" t="inlineStr"/>
      <c r="E15" s="16" t="inlineStr"/>
      <c r="F15" s="16" t="inlineStr"/>
      <c r="G15" s="16" t="inlineStr"/>
      <c r="H15" s="16" t="inlineStr"/>
    </row>
    <row r="16">
      <c r="A16" s="16" t="inlineStr"/>
      <c r="B16" s="16" t="inlineStr"/>
      <c r="C16" s="16" t="inlineStr"/>
      <c r="D16" s="16" t="inlineStr"/>
      <c r="E16" s="16" t="inlineStr"/>
      <c r="F16" s="16" t="inlineStr"/>
      <c r="G16" s="16" t="inlineStr"/>
      <c r="H16" s="16" t="inlineStr"/>
    </row>
    <row r="17">
      <c r="A17" s="16" t="inlineStr"/>
      <c r="B17" s="16" t="inlineStr"/>
      <c r="C17" s="16" t="inlineStr"/>
      <c r="D17" s="16" t="inlineStr"/>
      <c r="E17" s="16" t="inlineStr"/>
      <c r="F17" s="16" t="inlineStr"/>
      <c r="G17" s="16" t="inlineStr"/>
      <c r="H17" s="16" t="inlineStr"/>
    </row>
    <row r="18">
      <c r="A18" s="16" t="inlineStr"/>
      <c r="B18" s="16" t="inlineStr"/>
      <c r="C18" s="16" t="inlineStr"/>
      <c r="D18" s="16" t="inlineStr"/>
      <c r="E18" s="16" t="inlineStr"/>
      <c r="F18" s="16" t="inlineStr"/>
      <c r="G18" s="16" t="inlineStr"/>
      <c r="H18" s="16" t="inlineStr"/>
    </row>
    <row r="19">
      <c r="A19" s="16" t="inlineStr"/>
      <c r="B19" s="16" t="inlineStr"/>
      <c r="C19" s="16" t="inlineStr"/>
      <c r="D19" s="16" t="inlineStr"/>
      <c r="E19" s="16" t="inlineStr"/>
      <c r="F19" s="16" t="inlineStr"/>
      <c r="G19" s="16" t="inlineStr"/>
      <c r="H19" s="16" t="inlineStr"/>
    </row>
    <row r="20">
      <c r="A20" s="16" t="inlineStr"/>
      <c r="B20" s="16" t="inlineStr"/>
      <c r="C20" s="16" t="inlineStr"/>
      <c r="D20" s="16" t="inlineStr"/>
      <c r="E20" s="16" t="inlineStr"/>
      <c r="F20" s="16" t="inlineStr"/>
      <c r="G20" s="16" t="inlineStr"/>
      <c r="H20" s="16" t="inlineStr"/>
    </row>
    <row r="21">
      <c r="A21" s="16" t="inlineStr"/>
      <c r="B21" s="16" t="inlineStr"/>
      <c r="C21" s="16" t="inlineStr"/>
      <c r="D21" s="16" t="inlineStr"/>
      <c r="E21" s="16" t="inlineStr"/>
      <c r="F21" s="16" t="inlineStr"/>
      <c r="G21" s="16" t="inlineStr"/>
      <c r="H21" s="16" t="inlineStr"/>
    </row>
    <row r="22">
      <c r="A22" s="16" t="inlineStr"/>
      <c r="B22" s="16" t="inlineStr"/>
      <c r="C22" s="16" t="inlineStr"/>
      <c r="D22" s="16" t="inlineStr"/>
      <c r="E22" s="16" t="inlineStr"/>
      <c r="F22" s="16" t="inlineStr"/>
      <c r="G22" s="16" t="inlineStr"/>
      <c r="H22" s="16" t="inlineStr"/>
    </row>
    <row r="23">
      <c r="A23" s="16" t="inlineStr"/>
      <c r="B23" s="16" t="inlineStr"/>
      <c r="C23" s="16" t="inlineStr"/>
      <c r="D23" s="16" t="inlineStr"/>
      <c r="E23" s="16" t="inlineStr"/>
      <c r="F23" s="16" t="inlineStr"/>
      <c r="G23" s="16" t="inlineStr"/>
      <c r="H23" s="16" t="inlineStr"/>
    </row>
    <row r="24">
      <c r="A24" s="16" t="inlineStr"/>
      <c r="B24" s="16" t="inlineStr"/>
      <c r="C24" s="16" t="inlineStr"/>
      <c r="D24" s="16" t="inlineStr"/>
      <c r="E24" s="16" t="inlineStr"/>
      <c r="F24" s="16" t="inlineStr"/>
      <c r="G24" s="16" t="inlineStr"/>
      <c r="H24" s="16" t="inlineStr"/>
    </row>
    <row r="25">
      <c r="A25" s="16" t="inlineStr"/>
      <c r="B25" s="16" t="inlineStr"/>
      <c r="C25" s="16" t="inlineStr"/>
      <c r="D25" s="16" t="inlineStr"/>
      <c r="E25" s="16" t="inlineStr"/>
      <c r="F25" s="16" t="inlineStr"/>
      <c r="G25" s="16" t="inlineStr"/>
      <c r="H25" s="16" t="inlineStr"/>
    </row>
    <row r="26">
      <c r="A26" s="16" t="inlineStr"/>
      <c r="B26" s="16" t="inlineStr"/>
      <c r="C26" s="16" t="inlineStr"/>
      <c r="D26" s="16" t="inlineStr"/>
      <c r="E26" s="16" t="inlineStr"/>
      <c r="F26" s="16" t="inlineStr"/>
      <c r="G26" s="16" t="inlineStr"/>
      <c r="H26" s="16" t="inlineStr"/>
    </row>
    <row r="27">
      <c r="A27" s="16" t="inlineStr"/>
      <c r="B27" s="16" t="inlineStr"/>
      <c r="C27" s="16" t="inlineStr"/>
      <c r="D27" s="16" t="inlineStr"/>
      <c r="E27" s="16" t="inlineStr"/>
      <c r="F27" s="16" t="inlineStr"/>
      <c r="G27" s="16" t="inlineStr"/>
      <c r="H27" s="16" t="inlineStr"/>
    </row>
    <row r="28">
      <c r="A28" s="16" t="inlineStr"/>
      <c r="B28" s="16" t="inlineStr"/>
      <c r="C28" s="16" t="inlineStr"/>
      <c r="D28" s="16" t="inlineStr"/>
      <c r="E28" s="16" t="inlineStr"/>
      <c r="F28" s="16" t="inlineStr"/>
      <c r="G28" s="16" t="inlineStr"/>
      <c r="H28" s="16" t="inlineStr"/>
    </row>
    <row r="29">
      <c r="A29" s="16" t="inlineStr"/>
      <c r="B29" s="16" t="inlineStr"/>
      <c r="C29" s="16" t="inlineStr"/>
      <c r="D29" s="16" t="inlineStr"/>
      <c r="E29" s="16" t="inlineStr"/>
      <c r="F29" s="16" t="inlineStr"/>
      <c r="G29" s="16" t="inlineStr"/>
      <c r="H29" s="16" t="inlineStr"/>
    </row>
    <row r="30">
      <c r="A30" s="16" t="inlineStr"/>
      <c r="B30" s="16" t="inlineStr"/>
      <c r="C30" s="16" t="inlineStr"/>
      <c r="D30" s="16" t="inlineStr"/>
      <c r="E30" s="16" t="inlineStr"/>
      <c r="F30" s="16" t="inlineStr"/>
      <c r="G30" s="16" t="inlineStr"/>
      <c r="H30" s="16" t="inlineStr"/>
    </row>
    <row r="31">
      <c r="A31" s="16" t="inlineStr"/>
      <c r="B31" s="16" t="inlineStr"/>
      <c r="C31" s="16" t="inlineStr"/>
      <c r="D31" s="16" t="inlineStr"/>
      <c r="E31" s="16" t="inlineStr"/>
      <c r="F31" s="16" t="inlineStr"/>
      <c r="G31" s="16" t="inlineStr"/>
      <c r="H31" s="16" t="inlineStr"/>
    </row>
    <row r="32">
      <c r="A32" s="16" t="inlineStr"/>
      <c r="B32" s="16" t="inlineStr"/>
      <c r="C32" s="16" t="inlineStr"/>
      <c r="D32" s="16" t="inlineStr"/>
      <c r="E32" s="16" t="inlineStr"/>
      <c r="F32" s="16" t="inlineStr"/>
      <c r="G32" s="16" t="inlineStr"/>
      <c r="H32" s="16" t="inlineStr"/>
    </row>
    <row r="33">
      <c r="A33" s="16" t="inlineStr"/>
      <c r="B33" s="16" t="inlineStr"/>
      <c r="C33" s="16" t="inlineStr"/>
      <c r="D33" s="16" t="inlineStr"/>
      <c r="E33" s="16" t="inlineStr"/>
      <c r="F33" s="16" t="inlineStr"/>
      <c r="G33" s="16" t="inlineStr"/>
      <c r="H33" s="16" t="inlineStr"/>
    </row>
    <row r="34">
      <c r="A34" s="16" t="inlineStr"/>
      <c r="B34" s="16" t="inlineStr"/>
      <c r="C34" s="16" t="inlineStr"/>
      <c r="D34" s="16" t="inlineStr"/>
      <c r="E34" s="16" t="inlineStr"/>
      <c r="F34" s="16" t="inlineStr"/>
      <c r="G34" s="16" t="inlineStr"/>
      <c r="H34" s="16" t="inlineStr"/>
    </row>
    <row r="35">
      <c r="A35" s="16" t="inlineStr"/>
      <c r="B35" s="16" t="inlineStr"/>
      <c r="C35" s="16" t="inlineStr"/>
      <c r="D35" s="16" t="inlineStr"/>
      <c r="E35" s="16" t="inlineStr"/>
      <c r="F35" s="16" t="inlineStr"/>
      <c r="G35" s="16" t="inlineStr"/>
      <c r="H35" s="16" t="inlineStr"/>
    </row>
    <row r="36">
      <c r="A36" s="16" t="inlineStr"/>
      <c r="B36" s="16" t="inlineStr"/>
      <c r="C36" s="16" t="inlineStr"/>
      <c r="D36" s="16" t="inlineStr"/>
      <c r="E36" s="16" t="inlineStr"/>
      <c r="F36" s="16" t="inlineStr"/>
      <c r="G36" s="16" t="inlineStr"/>
      <c r="H36" s="16" t="inlineStr"/>
    </row>
    <row r="37">
      <c r="A37" s="16" t="inlineStr"/>
      <c r="B37" s="16" t="inlineStr"/>
      <c r="C37" s="16" t="inlineStr"/>
      <c r="D37" s="16" t="inlineStr"/>
      <c r="E37" s="16" t="inlineStr"/>
      <c r="F37" s="16" t="inlineStr"/>
      <c r="G37" s="16" t="inlineStr"/>
      <c r="H37" s="16" t="inlineStr"/>
    </row>
    <row r="38">
      <c r="A38" s="16" t="inlineStr"/>
      <c r="B38" s="16" t="inlineStr"/>
      <c r="C38" s="16" t="inlineStr"/>
      <c r="D38" s="16" t="inlineStr"/>
      <c r="E38" s="16" t="inlineStr"/>
      <c r="F38" s="16" t="inlineStr"/>
      <c r="G38" s="16" t="inlineStr"/>
      <c r="H38" s="16" t="inlineStr"/>
    </row>
    <row r="39">
      <c r="A39" s="16" t="inlineStr"/>
      <c r="B39" s="16" t="inlineStr"/>
      <c r="C39" s="16" t="inlineStr"/>
      <c r="D39" s="16" t="inlineStr"/>
      <c r="E39" s="16" t="inlineStr"/>
      <c r="F39" s="16" t="inlineStr"/>
      <c r="G39" s="16" t="inlineStr"/>
      <c r="H39" s="16" t="inlineStr"/>
    </row>
    <row r="40">
      <c r="A40" s="16" t="inlineStr"/>
      <c r="B40" s="16" t="inlineStr"/>
      <c r="C40" s="16" t="inlineStr"/>
      <c r="D40" s="16" t="inlineStr"/>
      <c r="E40" s="16" t="inlineStr"/>
      <c r="F40" s="16" t="inlineStr"/>
      <c r="G40" s="16" t="inlineStr"/>
      <c r="H40" s="16" t="inlineStr"/>
    </row>
    <row r="41">
      <c r="A41" s="16" t="inlineStr"/>
      <c r="B41" s="16" t="inlineStr"/>
      <c r="C41" s="16" t="inlineStr"/>
      <c r="D41" s="16" t="inlineStr"/>
      <c r="E41" s="16" t="inlineStr"/>
      <c r="F41" s="16" t="inlineStr"/>
      <c r="G41" s="16" t="inlineStr"/>
      <c r="H41" s="16" t="inlineStr"/>
    </row>
    <row r="42">
      <c r="A42" s="16" t="inlineStr"/>
      <c r="B42" s="16" t="inlineStr"/>
      <c r="C42" s="16" t="inlineStr"/>
      <c r="D42" s="16" t="inlineStr"/>
      <c r="E42" s="16" t="inlineStr"/>
      <c r="F42" s="16" t="inlineStr"/>
      <c r="G42" s="16" t="inlineStr"/>
      <c r="H42" s="16" t="inlineStr"/>
    </row>
    <row r="43">
      <c r="A43" s="16" t="inlineStr"/>
      <c r="B43" s="16" t="inlineStr"/>
      <c r="C43" s="16" t="inlineStr"/>
      <c r="D43" s="16" t="inlineStr"/>
      <c r="E43" s="16" t="inlineStr"/>
      <c r="F43" s="16" t="inlineStr"/>
      <c r="G43" s="16" t="inlineStr"/>
      <c r="H43" s="16" t="inlineStr"/>
    </row>
    <row r="44">
      <c r="A44" s="16" t="inlineStr"/>
      <c r="B44" s="16" t="inlineStr"/>
      <c r="C44" s="16" t="inlineStr"/>
      <c r="D44" s="16" t="inlineStr"/>
      <c r="E44" s="16" t="inlineStr"/>
      <c r="F44" s="16" t="inlineStr"/>
      <c r="G44" s="16" t="inlineStr"/>
      <c r="H44" s="16" t="inlineStr"/>
    </row>
    <row r="45">
      <c r="A45" s="16" t="inlineStr"/>
      <c r="B45" s="16" t="inlineStr"/>
      <c r="C45" s="16" t="inlineStr"/>
      <c r="D45" s="16" t="inlineStr"/>
      <c r="E45" s="16" t="inlineStr"/>
      <c r="F45" s="16" t="inlineStr"/>
      <c r="G45" s="16" t="inlineStr"/>
      <c r="H45" s="16" t="inlineStr"/>
    </row>
    <row r="46">
      <c r="A46" s="16" t="inlineStr"/>
      <c r="B46" s="16" t="inlineStr"/>
      <c r="C46" s="16" t="inlineStr"/>
      <c r="D46" s="16" t="inlineStr"/>
      <c r="E46" s="16" t="inlineStr"/>
      <c r="F46" s="16" t="inlineStr"/>
      <c r="G46" s="16" t="inlineStr"/>
      <c r="H46" s="16" t="inlineStr"/>
    </row>
    <row r="47">
      <c r="A47" s="16" t="inlineStr"/>
      <c r="B47" s="16" t="inlineStr"/>
      <c r="C47" s="16" t="inlineStr"/>
      <c r="D47" s="16" t="inlineStr"/>
      <c r="E47" s="16" t="inlineStr"/>
      <c r="F47" s="16" t="inlineStr"/>
      <c r="G47" s="16" t="inlineStr"/>
      <c r="H47" s="16" t="inlineStr"/>
    </row>
    <row r="48">
      <c r="A48" s="16" t="inlineStr"/>
      <c r="B48" s="16" t="inlineStr"/>
      <c r="C48" s="16" t="inlineStr"/>
      <c r="D48" s="16" t="inlineStr"/>
      <c r="E48" s="16" t="inlineStr"/>
      <c r="F48" s="16" t="inlineStr"/>
      <c r="G48" s="16" t="inlineStr"/>
      <c r="H48" s="16" t="inlineStr"/>
    </row>
    <row r="49">
      <c r="A49" s="16" t="inlineStr"/>
      <c r="B49" s="16" t="inlineStr"/>
      <c r="C49" s="16" t="inlineStr"/>
      <c r="D49" s="16" t="inlineStr"/>
      <c r="E49" s="16" t="inlineStr"/>
      <c r="F49" s="16" t="inlineStr"/>
      <c r="G49" s="16" t="inlineStr"/>
      <c r="H49" s="16" t="inlineStr"/>
    </row>
    <row r="50">
      <c r="A50" s="16" t="inlineStr"/>
      <c r="B50" s="16" t="inlineStr"/>
      <c r="C50" s="16" t="inlineStr"/>
      <c r="D50" s="16" t="inlineStr"/>
      <c r="E50" s="16" t="inlineStr"/>
      <c r="F50" s="16" t="inlineStr"/>
      <c r="G50" s="16" t="inlineStr"/>
      <c r="H50" s="16" t="inlineStr"/>
    </row>
    <row r="51">
      <c r="A51" s="16" t="inlineStr"/>
      <c r="B51" s="16" t="inlineStr"/>
      <c r="C51" s="16" t="inlineStr"/>
      <c r="D51" s="16" t="inlineStr"/>
      <c r="E51" s="16" t="inlineStr"/>
      <c r="F51" s="16" t="inlineStr"/>
      <c r="G51" s="16" t="inlineStr"/>
      <c r="H51" s="16" t="inlineStr"/>
    </row>
    <row r="52">
      <c r="A52" s="16" t="inlineStr"/>
      <c r="B52" s="16" t="inlineStr"/>
      <c r="C52" s="16" t="inlineStr"/>
      <c r="D52" s="16" t="inlineStr"/>
      <c r="E52" s="16" t="inlineStr"/>
      <c r="F52" s="16" t="inlineStr"/>
      <c r="G52" s="16" t="inlineStr"/>
      <c r="H52" s="16" t="inlineStr"/>
    </row>
    <row r="53">
      <c r="A53" s="16" t="inlineStr"/>
      <c r="B53" s="16" t="inlineStr"/>
      <c r="C53" s="16" t="inlineStr"/>
      <c r="D53" s="16" t="inlineStr"/>
      <c r="E53" s="16" t="inlineStr"/>
      <c r="F53" s="16" t="inlineStr"/>
      <c r="G53" s="16" t="inlineStr"/>
      <c r="H53" s="16" t="inlineStr"/>
    </row>
    <row r="54">
      <c r="A54" s="16" t="inlineStr"/>
      <c r="B54" s="16" t="inlineStr"/>
      <c r="C54" s="16" t="inlineStr"/>
      <c r="D54" s="16" t="inlineStr"/>
      <c r="E54" s="16" t="inlineStr"/>
      <c r="F54" s="16" t="inlineStr"/>
      <c r="G54" s="16" t="inlineStr"/>
      <c r="H54" s="16" t="inlineStr"/>
    </row>
    <row r="55">
      <c r="A55" s="16" t="inlineStr"/>
      <c r="B55" s="16" t="inlineStr"/>
      <c r="C55" s="16" t="inlineStr"/>
      <c r="D55" s="16" t="inlineStr"/>
      <c r="E55" s="16" t="inlineStr"/>
      <c r="F55" s="16" t="inlineStr"/>
      <c r="G55" s="16" t="inlineStr"/>
      <c r="H55" s="16" t="inlineStr"/>
    </row>
    <row r="56">
      <c r="A56" s="16" t="inlineStr"/>
      <c r="B56" s="16" t="inlineStr"/>
      <c r="C56" s="16" t="inlineStr"/>
      <c r="D56" s="16" t="inlineStr"/>
      <c r="E56" s="16" t="inlineStr"/>
      <c r="F56" s="16" t="inlineStr"/>
      <c r="G56" s="16" t="inlineStr"/>
      <c r="H56" s="16" t="inlineStr"/>
    </row>
    <row r="59">
      <c r="A59" s="13" t="inlineStr">
        <is>
          <t>Section B: Knowledge Base Inventory</t>
        </is>
      </c>
    </row>
    <row r="61">
      <c r="A61" s="14" t="inlineStr">
        <is>
          <t>KB ID</t>
        </is>
      </c>
      <c r="B61" s="14" t="inlineStr">
        <is>
          <t>Title</t>
        </is>
      </c>
      <c r="C61" s="14" t="inlineStr">
        <is>
          <t>Type</t>
        </is>
      </c>
      <c r="D61" s="14" t="inlineStr">
        <is>
          <t>Last Updated</t>
        </is>
      </c>
      <c r="E61" s="14" t="inlineStr">
        <is>
          <t>Status</t>
        </is>
      </c>
      <c r="F61" s="14" t="inlineStr">
        <is>
          <t>Owner</t>
        </is>
      </c>
      <c r="G61" s="14" t="inlineStr">
        <is>
          <t>Evidence Ref</t>
        </is>
      </c>
      <c r="H61" s="14" t="inlineStr"/>
    </row>
    <row r="62">
      <c r="A62" s="16" t="inlineStr"/>
      <c r="B62" s="16" t="inlineStr"/>
      <c r="C62" s="16" t="inlineStr"/>
      <c r="D62" s="16" t="inlineStr"/>
      <c r="E62" s="16" t="inlineStr"/>
      <c r="F62" s="16" t="inlineStr"/>
      <c r="G62" s="16" t="inlineStr"/>
    </row>
    <row r="63">
      <c r="A63" s="16" t="inlineStr"/>
      <c r="B63" s="16" t="inlineStr"/>
      <c r="C63" s="16" t="inlineStr"/>
      <c r="D63" s="16" t="inlineStr"/>
      <c r="E63" s="16" t="inlineStr"/>
      <c r="F63" s="16" t="inlineStr"/>
      <c r="G63" s="16" t="inlineStr"/>
    </row>
    <row r="64">
      <c r="A64" s="16" t="inlineStr"/>
      <c r="B64" s="16" t="inlineStr"/>
      <c r="C64" s="16" t="inlineStr"/>
      <c r="D64" s="16" t="inlineStr"/>
      <c r="E64" s="16" t="inlineStr"/>
      <c r="F64" s="16" t="inlineStr"/>
      <c r="G64" s="16" t="inlineStr"/>
    </row>
    <row r="65">
      <c r="A65" s="16" t="inlineStr"/>
      <c r="B65" s="16" t="inlineStr"/>
      <c r="C65" s="16" t="inlineStr"/>
      <c r="D65" s="16" t="inlineStr"/>
      <c r="E65" s="16" t="inlineStr"/>
      <c r="F65" s="16" t="inlineStr"/>
      <c r="G65" s="16" t="inlineStr"/>
    </row>
    <row r="66">
      <c r="A66" s="16" t="inlineStr"/>
      <c r="B66" s="16" t="inlineStr"/>
      <c r="C66" s="16" t="inlineStr"/>
      <c r="D66" s="16" t="inlineStr"/>
      <c r="E66" s="16" t="inlineStr"/>
      <c r="F66" s="16" t="inlineStr"/>
      <c r="G66" s="16" t="inlineStr"/>
    </row>
    <row r="67">
      <c r="A67" s="16" t="inlineStr"/>
      <c r="B67" s="16" t="inlineStr"/>
      <c r="C67" s="16" t="inlineStr"/>
      <c r="D67" s="16" t="inlineStr"/>
      <c r="E67" s="16" t="inlineStr"/>
      <c r="F67" s="16" t="inlineStr"/>
      <c r="G67" s="16" t="inlineStr"/>
    </row>
    <row r="68">
      <c r="A68" s="16" t="inlineStr"/>
      <c r="B68" s="16" t="inlineStr"/>
      <c r="C68" s="16" t="inlineStr"/>
      <c r="D68" s="16" t="inlineStr"/>
      <c r="E68" s="16" t="inlineStr"/>
      <c r="F68" s="16" t="inlineStr"/>
      <c r="G68" s="16" t="inlineStr"/>
    </row>
    <row r="69">
      <c r="A69" s="16" t="inlineStr"/>
      <c r="B69" s="16" t="inlineStr"/>
      <c r="C69" s="16" t="inlineStr"/>
      <c r="D69" s="16" t="inlineStr"/>
      <c r="E69" s="16" t="inlineStr"/>
      <c r="F69" s="16" t="inlineStr"/>
      <c r="G69" s="16" t="inlineStr"/>
    </row>
    <row r="70">
      <c r="A70" s="16" t="inlineStr"/>
      <c r="B70" s="16" t="inlineStr"/>
      <c r="C70" s="16" t="inlineStr"/>
      <c r="D70" s="16" t="inlineStr"/>
      <c r="E70" s="16" t="inlineStr"/>
      <c r="F70" s="16" t="inlineStr"/>
      <c r="G70" s="16" t="inlineStr"/>
    </row>
    <row r="71">
      <c r="A71" s="16" t="inlineStr"/>
      <c r="B71" s="16" t="inlineStr"/>
      <c r="C71" s="16" t="inlineStr"/>
      <c r="D71" s="16" t="inlineStr"/>
      <c r="E71" s="16" t="inlineStr"/>
      <c r="F71" s="16" t="inlineStr"/>
      <c r="G71" s="16" t="inlineStr"/>
    </row>
    <row r="72">
      <c r="A72" s="16" t="inlineStr"/>
      <c r="B72" s="16" t="inlineStr"/>
      <c r="C72" s="16" t="inlineStr"/>
      <c r="D72" s="16" t="inlineStr"/>
      <c r="E72" s="16" t="inlineStr"/>
      <c r="F72" s="16" t="inlineStr"/>
      <c r="G72" s="16" t="inlineStr"/>
    </row>
    <row r="73">
      <c r="A73" s="16" t="inlineStr"/>
      <c r="B73" s="16" t="inlineStr"/>
      <c r="C73" s="16" t="inlineStr"/>
      <c r="D73" s="16" t="inlineStr"/>
      <c r="E73" s="16" t="inlineStr"/>
      <c r="F73" s="16" t="inlineStr"/>
      <c r="G73" s="16" t="inlineStr"/>
    </row>
    <row r="74">
      <c r="A74" s="16" t="inlineStr"/>
      <c r="B74" s="16" t="inlineStr"/>
      <c r="C74" s="16" t="inlineStr"/>
      <c r="D74" s="16" t="inlineStr"/>
      <c r="E74" s="16" t="inlineStr"/>
      <c r="F74" s="16" t="inlineStr"/>
      <c r="G74" s="16" t="inlineStr"/>
    </row>
    <row r="75">
      <c r="A75" s="16" t="inlineStr"/>
      <c r="B75" s="16" t="inlineStr"/>
      <c r="C75" s="16" t="inlineStr"/>
      <c r="D75" s="16" t="inlineStr"/>
      <c r="E75" s="16" t="inlineStr"/>
      <c r="F75" s="16" t="inlineStr"/>
      <c r="G75" s="16" t="inlineStr"/>
    </row>
    <row r="76">
      <c r="A76" s="16" t="inlineStr"/>
      <c r="B76" s="16" t="inlineStr"/>
      <c r="C76" s="16" t="inlineStr"/>
      <c r="D76" s="16" t="inlineStr"/>
      <c r="E76" s="16" t="inlineStr"/>
      <c r="F76" s="16" t="inlineStr"/>
      <c r="G76" s="16" t="inlineStr"/>
    </row>
    <row r="79">
      <c r="A79" s="13" t="inlineStr">
        <is>
          <t>Section C: Lessons Learned Summary</t>
        </is>
      </c>
    </row>
    <row r="80">
      <c r="A80" s="17" t="inlineStr">
        <is>
          <t>Total lessons learned entries</t>
        </is>
      </c>
      <c r="B80" s="18" t="n"/>
      <c r="C80" s="19" t="n"/>
      <c r="D80" s="20">
        <f>COUNTA(A7:A56)</f>
        <v/>
      </c>
    </row>
    <row r="81">
      <c r="A81" s="17" t="inlineStr">
        <is>
          <t>Distribution SLA met (%)</t>
        </is>
      </c>
      <c r="B81" s="18" t="n"/>
      <c r="C81" s="19" t="n"/>
      <c r="D81" s="20">
        <f>IF(COUNTA(A7:A56)&gt;0,COUNTIF(E7:E56,"Yes")/COUNTA(A7:A56)*100,0)</f>
        <v/>
      </c>
    </row>
    <row r="82">
      <c r="A82" s="17" t="inlineStr">
        <is>
          <t>Playbook updates completed</t>
        </is>
      </c>
      <c r="B82" s="18" t="n"/>
      <c r="C82" s="19" t="n"/>
      <c r="D82" s="20">
        <f>COUNTIF(F7:F56,"Yes")</f>
        <v/>
      </c>
    </row>
    <row r="83">
      <c r="A83" s="17" t="inlineStr">
        <is>
          <t>KB items current</t>
        </is>
      </c>
      <c r="B83" s="18" t="n"/>
      <c r="C83" s="19" t="n"/>
      <c r="D83" s="20">
        <f>COUNTIF(E62:E76,"Current")</f>
        <v/>
      </c>
    </row>
    <row r="84">
      <c r="A84" s="17" t="inlineStr">
        <is>
          <t>KB items outdated/missing</t>
        </is>
      </c>
      <c r="B84" s="18" t="n"/>
      <c r="C84" s="19" t="n"/>
      <c r="D84" s="20">
        <f>COUNTIFS(E62:E76,"&lt;&gt;Current",E62:E76,"&lt;&gt;")</f>
        <v/>
      </c>
    </row>
  </sheetData>
  <mergeCells count="10">
    <mergeCell ref="A82:C82"/>
    <mergeCell ref="A3:H3"/>
    <mergeCell ref="A59:H59"/>
    <mergeCell ref="A80:C80"/>
    <mergeCell ref="A84:C84"/>
    <mergeCell ref="A2:H2"/>
    <mergeCell ref="A83:C83"/>
    <mergeCell ref="A1:H1"/>
    <mergeCell ref="A79:H79"/>
    <mergeCell ref="A81:C81"/>
  </mergeCells>
  <dataValidations count="3">
    <dataValidation sqref="E7:E56 F7:F56" showDropDown="0" showInputMessage="0" showErrorMessage="0" allowBlank="1" type="list">
      <formula1>"Yes,No,N/A"</formula1>
    </dataValidation>
    <dataValidation sqref="C62:C76" showDropDown="0" showInputMessage="0" showErrorMessage="0" allowBlank="1" type="list">
      <formula1>"Playbook,Procedure,Template,Reference,Training"</formula1>
    </dataValidation>
    <dataValidation sqref="E62:E76" showDropDown="0" showInputMessage="0" showErrorMessage="0" allowBlank="1" type="list">
      <formula1>"Current,Outdated,Missing,Under_Review"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6"/>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25" customWidth="1" min="3" max="3"/>
    <col width="12" customWidth="1" min="4" max="4"/>
    <col width="12" customWidth="1" min="5" max="5"/>
    <col width="15" customWidth="1" min="6" max="6"/>
    <col width="12" customWidth="1" min="7" max="7"/>
    <col width="12" customWidth="1" min="8" max="8"/>
    <col width="12" customWidth="1" min="9" max="9"/>
    <col width="15" customWidth="1" min="10" max="10"/>
    <col width="12" customWidth="1" min="11" max="11"/>
  </cols>
  <sheetData>
    <row r="1" ht="35" customHeight="1">
      <c r="A1" s="11" t="inlineStr">
        <is>
          <t>CONTROL IMPROVEMENTS ASSESSMENT</t>
        </is>
      </c>
    </row>
    <row r="2">
      <c r="A2" s="12" t="inlineStr">
        <is>
          <t>ISO/IEC 27001:2022 - Control A.5.27: Learning from Information Security Incidents | Remediation action register, closure tracking, and overdue escalation</t>
        </is>
      </c>
    </row>
    <row r="3">
      <c r="A3" s="13" t="inlineStr">
        <is>
          <t>Section A: Remediation Action Register</t>
        </is>
      </c>
    </row>
    <row r="5">
      <c r="A5" s="14" t="inlineStr">
        <is>
          <t>Action ID</t>
        </is>
      </c>
      <c r="B5" s="14" t="inlineStr">
        <is>
          <t>Source Incident</t>
        </is>
      </c>
      <c r="C5" s="14" t="inlineStr">
        <is>
          <t>Action Description</t>
        </is>
      </c>
      <c r="D5" s="14" t="inlineStr">
        <is>
          <t>Priority</t>
        </is>
      </c>
      <c r="E5" s="14" t="inlineStr">
        <is>
          <t>Owner</t>
        </is>
      </c>
      <c r="F5" s="14" t="inlineStr">
        <is>
          <t>Target Date</t>
        </is>
      </c>
      <c r="G5" s="14" t="inlineStr">
        <is>
          <t>Status</t>
        </is>
      </c>
      <c r="H5" s="14" t="inlineStr">
        <is>
          <t>Completion Date</t>
        </is>
      </c>
      <c r="I5" s="14" t="inlineStr">
        <is>
          <t>Verified By</t>
        </is>
      </c>
      <c r="J5" s="14" t="inlineStr">
        <is>
          <t>Escalated</t>
        </is>
      </c>
      <c r="K5" s="14" t="inlineStr">
        <is>
          <t>Evidence Ref</t>
        </is>
      </c>
    </row>
    <row r="6">
      <c r="A6" s="15" t="inlineStr">
        <is>
          <t>ACT-001</t>
        </is>
      </c>
      <c r="B6" s="15" t="inlineStr">
        <is>
          <t>INC-001</t>
        </is>
      </c>
      <c r="C6" s="15" t="inlineStr">
        <is>
          <t>Update firewall rules and review quarterly — sample entry</t>
        </is>
      </c>
      <c r="D6" s="15" t="inlineStr">
        <is>
          <t>High</t>
        </is>
      </c>
      <c r="E6" s="15" t="inlineStr">
        <is>
          <t>IT Manager</t>
        </is>
      </c>
      <c r="F6" s="15" t="inlineStr">
        <is>
          <t>28.02.2026</t>
        </is>
      </c>
      <c r="G6" s="15" t="inlineStr">
        <is>
          <t>Open</t>
        </is>
      </c>
      <c r="H6" s="15" t="inlineStr"/>
      <c r="I6" s="15" t="inlineStr"/>
      <c r="J6" s="15" t="inlineStr">
        <is>
          <t>No</t>
        </is>
      </c>
      <c r="K6" s="15" t="inlineStr">
        <is>
          <t>EV-001</t>
        </is>
      </c>
    </row>
    <row r="7">
      <c r="A7" s="16" t="inlineStr"/>
      <c r="B7" s="16" t="inlineStr"/>
      <c r="C7" s="16" t="inlineStr"/>
      <c r="D7" s="16" t="inlineStr"/>
      <c r="E7" s="16" t="inlineStr"/>
      <c r="F7" s="16" t="inlineStr"/>
      <c r="G7" s="16" t="inlineStr"/>
      <c r="H7" s="16" t="inlineStr"/>
      <c r="I7" s="16" t="inlineStr"/>
      <c r="J7" s="16" t="inlineStr"/>
      <c r="K7" s="16" t="inlineStr"/>
    </row>
    <row r="8">
      <c r="A8" s="16" t="inlineStr"/>
      <c r="B8" s="16" t="inlineStr"/>
      <c r="C8" s="16" t="inlineStr"/>
      <c r="D8" s="16" t="inlineStr"/>
      <c r="E8" s="16" t="inlineStr"/>
      <c r="F8" s="16" t="inlineStr"/>
      <c r="G8" s="16" t="inlineStr"/>
      <c r="H8" s="16" t="inlineStr"/>
      <c r="I8" s="16" t="inlineStr"/>
      <c r="J8" s="16" t="inlineStr"/>
      <c r="K8" s="16" t="inlineStr"/>
    </row>
    <row r="9">
      <c r="A9" s="16" t="inlineStr"/>
      <c r="B9" s="16" t="inlineStr"/>
      <c r="C9" s="16" t="inlineStr"/>
      <c r="D9" s="16" t="inlineStr"/>
      <c r="E9" s="16" t="inlineStr"/>
      <c r="F9" s="16" t="inlineStr"/>
      <c r="G9" s="16" t="inlineStr"/>
      <c r="H9" s="16" t="inlineStr"/>
      <c r="I9" s="16" t="inlineStr"/>
      <c r="J9" s="16" t="inlineStr"/>
      <c r="K9" s="16" t="inlineStr"/>
    </row>
    <row r="10">
      <c r="A10" s="16" t="inlineStr"/>
      <c r="B10" s="16" t="inlineStr"/>
      <c r="C10" s="16" t="inlineStr"/>
      <c r="D10" s="16" t="inlineStr"/>
      <c r="E10" s="16" t="inlineStr"/>
      <c r="F10" s="16" t="inlineStr"/>
      <c r="G10" s="16" t="inlineStr"/>
      <c r="H10" s="16" t="inlineStr"/>
      <c r="I10" s="16" t="inlineStr"/>
      <c r="J10" s="16" t="inlineStr"/>
      <c r="K10" s="16" t="inlineStr"/>
    </row>
    <row r="11">
      <c r="A11" s="16" t="inlineStr"/>
      <c r="B11" s="16" t="inlineStr"/>
      <c r="C11" s="16" t="inlineStr"/>
      <c r="D11" s="16" t="inlineStr"/>
      <c r="E11" s="16" t="inlineStr"/>
      <c r="F11" s="16" t="inlineStr"/>
      <c r="G11" s="16" t="inlineStr"/>
      <c r="H11" s="16" t="inlineStr"/>
      <c r="I11" s="16" t="inlineStr"/>
      <c r="J11" s="16" t="inlineStr"/>
      <c r="K11" s="16" t="inlineStr"/>
    </row>
    <row r="12">
      <c r="A12" s="16" t="inlineStr"/>
      <c r="B12" s="16" t="inlineStr"/>
      <c r="C12" s="16" t="inlineStr"/>
      <c r="D12" s="16" t="inlineStr"/>
      <c r="E12" s="16" t="inlineStr"/>
      <c r="F12" s="16" t="inlineStr"/>
      <c r="G12" s="16" t="inlineStr"/>
      <c r="H12" s="16" t="inlineStr"/>
      <c r="I12" s="16" t="inlineStr"/>
      <c r="J12" s="16" t="inlineStr"/>
      <c r="K12" s="16" t="inlineStr"/>
    </row>
    <row r="13">
      <c r="A13" s="16" t="inlineStr"/>
      <c r="B13" s="16" t="inlineStr"/>
      <c r="C13" s="16" t="inlineStr"/>
      <c r="D13" s="16" t="inlineStr"/>
      <c r="E13" s="16" t="inlineStr"/>
      <c r="F13" s="16" t="inlineStr"/>
      <c r="G13" s="16" t="inlineStr"/>
      <c r="H13" s="16" t="inlineStr"/>
      <c r="I13" s="16" t="inlineStr"/>
      <c r="J13" s="16" t="inlineStr"/>
      <c r="K13" s="16" t="inlineStr"/>
    </row>
    <row r="14">
      <c r="A14" s="16" t="inlineStr"/>
      <c r="B14" s="16" t="inlineStr"/>
      <c r="C14" s="16" t="inlineStr"/>
      <c r="D14" s="16" t="inlineStr"/>
      <c r="E14" s="16" t="inlineStr"/>
      <c r="F14" s="16" t="inlineStr"/>
      <c r="G14" s="16" t="inlineStr"/>
      <c r="H14" s="16" t="inlineStr"/>
      <c r="I14" s="16" t="inlineStr"/>
      <c r="J14" s="16" t="inlineStr"/>
      <c r="K14" s="16" t="inlineStr"/>
    </row>
    <row r="15">
      <c r="A15" s="16" t="inlineStr"/>
      <c r="B15" s="16" t="inlineStr"/>
      <c r="C15" s="16" t="inlineStr"/>
      <c r="D15" s="16" t="inlineStr"/>
      <c r="E15" s="16" t="inlineStr"/>
      <c r="F15" s="16" t="inlineStr"/>
      <c r="G15" s="16" t="inlineStr"/>
      <c r="H15" s="16" t="inlineStr"/>
      <c r="I15" s="16" t="inlineStr"/>
      <c r="J15" s="16" t="inlineStr"/>
      <c r="K15" s="16" t="inlineStr"/>
    </row>
    <row r="16">
      <c r="A16" s="16" t="inlineStr"/>
      <c r="B16" s="16" t="inlineStr"/>
      <c r="C16" s="16" t="inlineStr"/>
      <c r="D16" s="16" t="inlineStr"/>
      <c r="E16" s="16" t="inlineStr"/>
      <c r="F16" s="16" t="inlineStr"/>
      <c r="G16" s="16" t="inlineStr"/>
      <c r="H16" s="16" t="inlineStr"/>
      <c r="I16" s="16" t="inlineStr"/>
      <c r="J16" s="16" t="inlineStr"/>
      <c r="K16" s="16" t="inlineStr"/>
    </row>
    <row r="17">
      <c r="A17" s="16" t="inlineStr"/>
      <c r="B17" s="16" t="inlineStr"/>
      <c r="C17" s="16" t="inlineStr"/>
      <c r="D17" s="16" t="inlineStr"/>
      <c r="E17" s="16" t="inlineStr"/>
      <c r="F17" s="16" t="inlineStr"/>
      <c r="G17" s="16" t="inlineStr"/>
      <c r="H17" s="16" t="inlineStr"/>
      <c r="I17" s="16" t="inlineStr"/>
      <c r="J17" s="16" t="inlineStr"/>
      <c r="K17" s="16" t="inlineStr"/>
    </row>
    <row r="18">
      <c r="A18" s="16" t="inlineStr"/>
      <c r="B18" s="16" t="inlineStr"/>
      <c r="C18" s="16" t="inlineStr"/>
      <c r="D18" s="16" t="inlineStr"/>
      <c r="E18" s="16" t="inlineStr"/>
      <c r="F18" s="16" t="inlineStr"/>
      <c r="G18" s="16" t="inlineStr"/>
      <c r="H18" s="16" t="inlineStr"/>
      <c r="I18" s="16" t="inlineStr"/>
      <c r="J18" s="16" t="inlineStr"/>
      <c r="K18" s="16" t="inlineStr"/>
    </row>
    <row r="19">
      <c r="A19" s="16" t="inlineStr"/>
      <c r="B19" s="16" t="inlineStr"/>
      <c r="C19" s="16" t="inlineStr"/>
      <c r="D19" s="16" t="inlineStr"/>
      <c r="E19" s="16" t="inlineStr"/>
      <c r="F19" s="16" t="inlineStr"/>
      <c r="G19" s="16" t="inlineStr"/>
      <c r="H19" s="16" t="inlineStr"/>
      <c r="I19" s="16" t="inlineStr"/>
      <c r="J19" s="16" t="inlineStr"/>
      <c r="K19" s="16" t="inlineStr"/>
    </row>
    <row r="20">
      <c r="A20" s="16" t="inlineStr"/>
      <c r="B20" s="16" t="inlineStr"/>
      <c r="C20" s="16" t="inlineStr"/>
      <c r="D20" s="16" t="inlineStr"/>
      <c r="E20" s="16" t="inlineStr"/>
      <c r="F20" s="16" t="inlineStr"/>
      <c r="G20" s="16" t="inlineStr"/>
      <c r="H20" s="16" t="inlineStr"/>
      <c r="I20" s="16" t="inlineStr"/>
      <c r="J20" s="16" t="inlineStr"/>
      <c r="K20" s="16" t="inlineStr"/>
    </row>
    <row r="21">
      <c r="A21" s="16" t="inlineStr"/>
      <c r="B21" s="16" t="inlineStr"/>
      <c r="C21" s="16" t="inlineStr"/>
      <c r="D21" s="16" t="inlineStr"/>
      <c r="E21" s="16" t="inlineStr"/>
      <c r="F21" s="16" t="inlineStr"/>
      <c r="G21" s="16" t="inlineStr"/>
      <c r="H21" s="16" t="inlineStr"/>
      <c r="I21" s="16" t="inlineStr"/>
      <c r="J21" s="16" t="inlineStr"/>
      <c r="K21" s="16" t="inlineStr"/>
    </row>
    <row r="22">
      <c r="A22" s="16" t="inlineStr"/>
      <c r="B22" s="16" t="inlineStr"/>
      <c r="C22" s="16" t="inlineStr"/>
      <c r="D22" s="16" t="inlineStr"/>
      <c r="E22" s="16" t="inlineStr"/>
      <c r="F22" s="16" t="inlineStr"/>
      <c r="G22" s="16" t="inlineStr"/>
      <c r="H22" s="16" t="inlineStr"/>
      <c r="I22" s="16" t="inlineStr"/>
      <c r="J22" s="16" t="inlineStr"/>
      <c r="K22" s="16" t="inlineStr"/>
    </row>
    <row r="23">
      <c r="A23" s="16" t="inlineStr"/>
      <c r="B23" s="16" t="inlineStr"/>
      <c r="C23" s="16" t="inlineStr"/>
      <c r="D23" s="16" t="inlineStr"/>
      <c r="E23" s="16" t="inlineStr"/>
      <c r="F23" s="16" t="inlineStr"/>
      <c r="G23" s="16" t="inlineStr"/>
      <c r="H23" s="16" t="inlineStr"/>
      <c r="I23" s="16" t="inlineStr"/>
      <c r="J23" s="16" t="inlineStr"/>
      <c r="K23" s="16" t="inlineStr"/>
    </row>
    <row r="24">
      <c r="A24" s="16" t="inlineStr"/>
      <c r="B24" s="16" t="inlineStr"/>
      <c r="C24" s="16" t="inlineStr"/>
      <c r="D24" s="16" t="inlineStr"/>
      <c r="E24" s="16" t="inlineStr"/>
      <c r="F24" s="16" t="inlineStr"/>
      <c r="G24" s="16" t="inlineStr"/>
      <c r="H24" s="16" t="inlineStr"/>
      <c r="I24" s="16" t="inlineStr"/>
      <c r="J24" s="16" t="inlineStr"/>
      <c r="K24" s="16" t="inlineStr"/>
    </row>
    <row r="25">
      <c r="A25" s="16" t="inlineStr"/>
      <c r="B25" s="16" t="inlineStr"/>
      <c r="C25" s="16" t="inlineStr"/>
      <c r="D25" s="16" t="inlineStr"/>
      <c r="E25" s="16" t="inlineStr"/>
      <c r="F25" s="16" t="inlineStr"/>
      <c r="G25" s="16" t="inlineStr"/>
      <c r="H25" s="16" t="inlineStr"/>
      <c r="I25" s="16" t="inlineStr"/>
      <c r="J25" s="16" t="inlineStr"/>
      <c r="K25" s="16" t="inlineStr"/>
    </row>
    <row r="26">
      <c r="A26" s="16" t="inlineStr"/>
      <c r="B26" s="16" t="inlineStr"/>
      <c r="C26" s="16" t="inlineStr"/>
      <c r="D26" s="16" t="inlineStr"/>
      <c r="E26" s="16" t="inlineStr"/>
      <c r="F26" s="16" t="inlineStr"/>
      <c r="G26" s="16" t="inlineStr"/>
      <c r="H26" s="16" t="inlineStr"/>
      <c r="I26" s="16" t="inlineStr"/>
      <c r="J26" s="16" t="inlineStr"/>
      <c r="K26" s="16" t="inlineStr"/>
    </row>
    <row r="27">
      <c r="A27" s="16" t="inlineStr"/>
      <c r="B27" s="16" t="inlineStr"/>
      <c r="C27" s="16" t="inlineStr"/>
      <c r="D27" s="16" t="inlineStr"/>
      <c r="E27" s="16" t="inlineStr"/>
      <c r="F27" s="16" t="inlineStr"/>
      <c r="G27" s="16" t="inlineStr"/>
      <c r="H27" s="16" t="inlineStr"/>
      <c r="I27" s="16" t="inlineStr"/>
      <c r="J27" s="16" t="inlineStr"/>
      <c r="K27" s="16" t="inlineStr"/>
    </row>
    <row r="28">
      <c r="A28" s="16" t="inlineStr"/>
      <c r="B28" s="16" t="inlineStr"/>
      <c r="C28" s="16" t="inlineStr"/>
      <c r="D28" s="16" t="inlineStr"/>
      <c r="E28" s="16" t="inlineStr"/>
      <c r="F28" s="16" t="inlineStr"/>
      <c r="G28" s="16" t="inlineStr"/>
      <c r="H28" s="16" t="inlineStr"/>
      <c r="I28" s="16" t="inlineStr"/>
      <c r="J28" s="16" t="inlineStr"/>
      <c r="K28" s="16" t="inlineStr"/>
    </row>
    <row r="29">
      <c r="A29" s="16" t="inlineStr"/>
      <c r="B29" s="16" t="inlineStr"/>
      <c r="C29" s="16" t="inlineStr"/>
      <c r="D29" s="16" t="inlineStr"/>
      <c r="E29" s="16" t="inlineStr"/>
      <c r="F29" s="16" t="inlineStr"/>
      <c r="G29" s="16" t="inlineStr"/>
      <c r="H29" s="16" t="inlineStr"/>
      <c r="I29" s="16" t="inlineStr"/>
      <c r="J29" s="16" t="inlineStr"/>
      <c r="K29" s="16" t="inlineStr"/>
    </row>
    <row r="30">
      <c r="A30" s="16" t="inlineStr"/>
      <c r="B30" s="16" t="inlineStr"/>
      <c r="C30" s="16" t="inlineStr"/>
      <c r="D30" s="16" t="inlineStr"/>
      <c r="E30" s="16" t="inlineStr"/>
      <c r="F30" s="16" t="inlineStr"/>
      <c r="G30" s="16" t="inlineStr"/>
      <c r="H30" s="16" t="inlineStr"/>
      <c r="I30" s="16" t="inlineStr"/>
      <c r="J30" s="16" t="inlineStr"/>
      <c r="K30" s="16" t="inlineStr"/>
    </row>
    <row r="31">
      <c r="A31" s="16" t="inlineStr"/>
      <c r="B31" s="16" t="inlineStr"/>
      <c r="C31" s="16" t="inlineStr"/>
      <c r="D31" s="16" t="inlineStr"/>
      <c r="E31" s="16" t="inlineStr"/>
      <c r="F31" s="16" t="inlineStr"/>
      <c r="G31" s="16" t="inlineStr"/>
      <c r="H31" s="16" t="inlineStr"/>
      <c r="I31" s="16" t="inlineStr"/>
      <c r="J31" s="16" t="inlineStr"/>
      <c r="K31" s="16" t="inlineStr"/>
    </row>
    <row r="32">
      <c r="A32" s="16" t="inlineStr"/>
      <c r="B32" s="16" t="inlineStr"/>
      <c r="C32" s="16" t="inlineStr"/>
      <c r="D32" s="16" t="inlineStr"/>
      <c r="E32" s="16" t="inlineStr"/>
      <c r="F32" s="16" t="inlineStr"/>
      <c r="G32" s="16" t="inlineStr"/>
      <c r="H32" s="16" t="inlineStr"/>
      <c r="I32" s="16" t="inlineStr"/>
      <c r="J32" s="16" t="inlineStr"/>
      <c r="K32" s="16" t="inlineStr"/>
    </row>
    <row r="33">
      <c r="A33" s="16" t="inlineStr"/>
      <c r="B33" s="16" t="inlineStr"/>
      <c r="C33" s="16" t="inlineStr"/>
      <c r="D33" s="16" t="inlineStr"/>
      <c r="E33" s="16" t="inlineStr"/>
      <c r="F33" s="16" t="inlineStr"/>
      <c r="G33" s="16" t="inlineStr"/>
      <c r="H33" s="16" t="inlineStr"/>
      <c r="I33" s="16" t="inlineStr"/>
      <c r="J33" s="16" t="inlineStr"/>
      <c r="K33" s="16" t="inlineStr"/>
    </row>
    <row r="34">
      <c r="A34" s="16" t="inlineStr"/>
      <c r="B34" s="16" t="inlineStr"/>
      <c r="C34" s="16" t="inlineStr"/>
      <c r="D34" s="16" t="inlineStr"/>
      <c r="E34" s="16" t="inlineStr"/>
      <c r="F34" s="16" t="inlineStr"/>
      <c r="G34" s="16" t="inlineStr"/>
      <c r="H34" s="16" t="inlineStr"/>
      <c r="I34" s="16" t="inlineStr"/>
      <c r="J34" s="16" t="inlineStr"/>
      <c r="K34" s="16" t="inlineStr"/>
    </row>
    <row r="35">
      <c r="A35" s="16" t="inlineStr"/>
      <c r="B35" s="16" t="inlineStr"/>
      <c r="C35" s="16" t="inlineStr"/>
      <c r="D35" s="16" t="inlineStr"/>
      <c r="E35" s="16" t="inlineStr"/>
      <c r="F35" s="16" t="inlineStr"/>
      <c r="G35" s="16" t="inlineStr"/>
      <c r="H35" s="16" t="inlineStr"/>
      <c r="I35" s="16" t="inlineStr"/>
      <c r="J35" s="16" t="inlineStr"/>
      <c r="K35" s="16" t="inlineStr"/>
    </row>
    <row r="36">
      <c r="A36" s="16" t="inlineStr"/>
      <c r="B36" s="16" t="inlineStr"/>
      <c r="C36" s="16" t="inlineStr"/>
      <c r="D36" s="16" t="inlineStr"/>
      <c r="E36" s="16" t="inlineStr"/>
      <c r="F36" s="16" t="inlineStr"/>
      <c r="G36" s="16" t="inlineStr"/>
      <c r="H36" s="16" t="inlineStr"/>
      <c r="I36" s="16" t="inlineStr"/>
      <c r="J36" s="16" t="inlineStr"/>
      <c r="K36" s="16" t="inlineStr"/>
    </row>
    <row r="37">
      <c r="A37" s="16" t="inlineStr"/>
      <c r="B37" s="16" t="inlineStr"/>
      <c r="C37" s="16" t="inlineStr"/>
      <c r="D37" s="16" t="inlineStr"/>
      <c r="E37" s="16" t="inlineStr"/>
      <c r="F37" s="16" t="inlineStr"/>
      <c r="G37" s="16" t="inlineStr"/>
      <c r="H37" s="16" t="inlineStr"/>
      <c r="I37" s="16" t="inlineStr"/>
      <c r="J37" s="16" t="inlineStr"/>
      <c r="K37" s="16" t="inlineStr"/>
    </row>
    <row r="38">
      <c r="A38" s="16" t="inlineStr"/>
      <c r="B38" s="16" t="inlineStr"/>
      <c r="C38" s="16" t="inlineStr"/>
      <c r="D38" s="16" t="inlineStr"/>
      <c r="E38" s="16" t="inlineStr"/>
      <c r="F38" s="16" t="inlineStr"/>
      <c r="G38" s="16" t="inlineStr"/>
      <c r="H38" s="16" t="inlineStr"/>
      <c r="I38" s="16" t="inlineStr"/>
      <c r="J38" s="16" t="inlineStr"/>
      <c r="K38" s="16" t="inlineStr"/>
    </row>
    <row r="39">
      <c r="A39" s="16" t="inlineStr"/>
      <c r="B39" s="16" t="inlineStr"/>
      <c r="C39" s="16" t="inlineStr"/>
      <c r="D39" s="16" t="inlineStr"/>
      <c r="E39" s="16" t="inlineStr"/>
      <c r="F39" s="16" t="inlineStr"/>
      <c r="G39" s="16" t="inlineStr"/>
      <c r="H39" s="16" t="inlineStr"/>
      <c r="I39" s="16" t="inlineStr"/>
      <c r="J39" s="16" t="inlineStr"/>
      <c r="K39" s="16" t="inlineStr"/>
    </row>
    <row r="40">
      <c r="A40" s="16" t="inlineStr"/>
      <c r="B40" s="16" t="inlineStr"/>
      <c r="C40" s="16" t="inlineStr"/>
      <c r="D40" s="16" t="inlineStr"/>
      <c r="E40" s="16" t="inlineStr"/>
      <c r="F40" s="16" t="inlineStr"/>
      <c r="G40" s="16" t="inlineStr"/>
      <c r="H40" s="16" t="inlineStr"/>
      <c r="I40" s="16" t="inlineStr"/>
      <c r="J40" s="16" t="inlineStr"/>
      <c r="K40" s="16" t="inlineStr"/>
    </row>
    <row r="41">
      <c r="A41" s="16" t="inlineStr"/>
      <c r="B41" s="16" t="inlineStr"/>
      <c r="C41" s="16" t="inlineStr"/>
      <c r="D41" s="16" t="inlineStr"/>
      <c r="E41" s="16" t="inlineStr"/>
      <c r="F41" s="16" t="inlineStr"/>
      <c r="G41" s="16" t="inlineStr"/>
      <c r="H41" s="16" t="inlineStr"/>
      <c r="I41" s="16" t="inlineStr"/>
      <c r="J41" s="16" t="inlineStr"/>
      <c r="K41" s="16" t="inlineStr"/>
    </row>
    <row r="42">
      <c r="A42" s="16" t="inlineStr"/>
      <c r="B42" s="16" t="inlineStr"/>
      <c r="C42" s="16" t="inlineStr"/>
      <c r="D42" s="16" t="inlineStr"/>
      <c r="E42" s="16" t="inlineStr"/>
      <c r="F42" s="16" t="inlineStr"/>
      <c r="G42" s="16" t="inlineStr"/>
      <c r="H42" s="16" t="inlineStr"/>
      <c r="I42" s="16" t="inlineStr"/>
      <c r="J42" s="16" t="inlineStr"/>
      <c r="K42" s="16" t="inlineStr"/>
    </row>
    <row r="43">
      <c r="A43" s="16" t="inlineStr"/>
      <c r="B43" s="16" t="inlineStr"/>
      <c r="C43" s="16" t="inlineStr"/>
      <c r="D43" s="16" t="inlineStr"/>
      <c r="E43" s="16" t="inlineStr"/>
      <c r="F43" s="16" t="inlineStr"/>
      <c r="G43" s="16" t="inlineStr"/>
      <c r="H43" s="16" t="inlineStr"/>
      <c r="I43" s="16" t="inlineStr"/>
      <c r="J43" s="16" t="inlineStr"/>
      <c r="K43" s="16" t="inlineStr"/>
    </row>
    <row r="44">
      <c r="A44" s="16" t="inlineStr"/>
      <c r="B44" s="16" t="inlineStr"/>
      <c r="C44" s="16" t="inlineStr"/>
      <c r="D44" s="16" t="inlineStr"/>
      <c r="E44" s="16" t="inlineStr"/>
      <c r="F44" s="16" t="inlineStr"/>
      <c r="G44" s="16" t="inlineStr"/>
      <c r="H44" s="16" t="inlineStr"/>
      <c r="I44" s="16" t="inlineStr"/>
      <c r="J44" s="16" t="inlineStr"/>
      <c r="K44" s="16" t="inlineStr"/>
    </row>
    <row r="45">
      <c r="A45" s="16" t="inlineStr"/>
      <c r="B45" s="16" t="inlineStr"/>
      <c r="C45" s="16" t="inlineStr"/>
      <c r="D45" s="16" t="inlineStr"/>
      <c r="E45" s="16" t="inlineStr"/>
      <c r="F45" s="16" t="inlineStr"/>
      <c r="G45" s="16" t="inlineStr"/>
      <c r="H45" s="16" t="inlineStr"/>
      <c r="I45" s="16" t="inlineStr"/>
      <c r="J45" s="16" t="inlineStr"/>
      <c r="K45" s="16" t="inlineStr"/>
    </row>
    <row r="46">
      <c r="A46" s="16" t="inlineStr"/>
      <c r="B46" s="16" t="inlineStr"/>
      <c r="C46" s="16" t="inlineStr"/>
      <c r="D46" s="16" t="inlineStr"/>
      <c r="E46" s="16" t="inlineStr"/>
      <c r="F46" s="16" t="inlineStr"/>
      <c r="G46" s="16" t="inlineStr"/>
      <c r="H46" s="16" t="inlineStr"/>
      <c r="I46" s="16" t="inlineStr"/>
      <c r="J46" s="16" t="inlineStr"/>
      <c r="K46" s="16" t="inlineStr"/>
    </row>
    <row r="47">
      <c r="A47" s="16" t="inlineStr"/>
      <c r="B47" s="16" t="inlineStr"/>
      <c r="C47" s="16" t="inlineStr"/>
      <c r="D47" s="16" t="inlineStr"/>
      <c r="E47" s="16" t="inlineStr"/>
      <c r="F47" s="16" t="inlineStr"/>
      <c r="G47" s="16" t="inlineStr"/>
      <c r="H47" s="16" t="inlineStr"/>
      <c r="I47" s="16" t="inlineStr"/>
      <c r="J47" s="16" t="inlineStr"/>
      <c r="K47" s="16" t="inlineStr"/>
    </row>
    <row r="48">
      <c r="A48" s="16" t="inlineStr"/>
      <c r="B48" s="16" t="inlineStr"/>
      <c r="C48" s="16" t="inlineStr"/>
      <c r="D48" s="16" t="inlineStr"/>
      <c r="E48" s="16" t="inlineStr"/>
      <c r="F48" s="16" t="inlineStr"/>
      <c r="G48" s="16" t="inlineStr"/>
      <c r="H48" s="16" t="inlineStr"/>
      <c r="I48" s="16" t="inlineStr"/>
      <c r="J48" s="16" t="inlineStr"/>
      <c r="K48" s="16" t="inlineStr"/>
    </row>
    <row r="49">
      <c r="A49" s="16" t="inlineStr"/>
      <c r="B49" s="16" t="inlineStr"/>
      <c r="C49" s="16" t="inlineStr"/>
      <c r="D49" s="16" t="inlineStr"/>
      <c r="E49" s="16" t="inlineStr"/>
      <c r="F49" s="16" t="inlineStr"/>
      <c r="G49" s="16" t="inlineStr"/>
      <c r="H49" s="16" t="inlineStr"/>
      <c r="I49" s="16" t="inlineStr"/>
      <c r="J49" s="16" t="inlineStr"/>
      <c r="K49" s="16" t="inlineStr"/>
    </row>
    <row r="50">
      <c r="A50" s="16" t="inlineStr"/>
      <c r="B50" s="16" t="inlineStr"/>
      <c r="C50" s="16" t="inlineStr"/>
      <c r="D50" s="16" t="inlineStr"/>
      <c r="E50" s="16" t="inlineStr"/>
      <c r="F50" s="16" t="inlineStr"/>
      <c r="G50" s="16" t="inlineStr"/>
      <c r="H50" s="16" t="inlineStr"/>
      <c r="I50" s="16" t="inlineStr"/>
      <c r="J50" s="16" t="inlineStr"/>
      <c r="K50" s="16" t="inlineStr"/>
    </row>
    <row r="51">
      <c r="A51" s="16" t="inlineStr"/>
      <c r="B51" s="16" t="inlineStr"/>
      <c r="C51" s="16" t="inlineStr"/>
      <c r="D51" s="16" t="inlineStr"/>
      <c r="E51" s="16" t="inlineStr"/>
      <c r="F51" s="16" t="inlineStr"/>
      <c r="G51" s="16" t="inlineStr"/>
      <c r="H51" s="16" t="inlineStr"/>
      <c r="I51" s="16" t="inlineStr"/>
      <c r="J51" s="16" t="inlineStr"/>
      <c r="K51" s="16" t="inlineStr"/>
    </row>
    <row r="52">
      <c r="A52" s="16" t="inlineStr"/>
      <c r="B52" s="16" t="inlineStr"/>
      <c r="C52" s="16" t="inlineStr"/>
      <c r="D52" s="16" t="inlineStr"/>
      <c r="E52" s="16" t="inlineStr"/>
      <c r="F52" s="16" t="inlineStr"/>
      <c r="G52" s="16" t="inlineStr"/>
      <c r="H52" s="16" t="inlineStr"/>
      <c r="I52" s="16" t="inlineStr"/>
      <c r="J52" s="16" t="inlineStr"/>
      <c r="K52" s="16" t="inlineStr"/>
    </row>
    <row r="53">
      <c r="A53" s="16" t="inlineStr"/>
      <c r="B53" s="16" t="inlineStr"/>
      <c r="C53" s="16" t="inlineStr"/>
      <c r="D53" s="16" t="inlineStr"/>
      <c r="E53" s="16" t="inlineStr"/>
      <c r="F53" s="16" t="inlineStr"/>
      <c r="G53" s="16" t="inlineStr"/>
      <c r="H53" s="16" t="inlineStr"/>
      <c r="I53" s="16" t="inlineStr"/>
      <c r="J53" s="16" t="inlineStr"/>
      <c r="K53" s="16" t="inlineStr"/>
    </row>
    <row r="54">
      <c r="A54" s="16" t="inlineStr"/>
      <c r="B54" s="16" t="inlineStr"/>
      <c r="C54" s="16" t="inlineStr"/>
      <c r="D54" s="16" t="inlineStr"/>
      <c r="E54" s="16" t="inlineStr"/>
      <c r="F54" s="16" t="inlineStr"/>
      <c r="G54" s="16" t="inlineStr"/>
      <c r="H54" s="16" t="inlineStr"/>
      <c r="I54" s="16" t="inlineStr"/>
      <c r="J54" s="16" t="inlineStr"/>
      <c r="K54" s="16" t="inlineStr"/>
    </row>
    <row r="55">
      <c r="A55" s="16" t="inlineStr"/>
      <c r="B55" s="16" t="inlineStr"/>
      <c r="C55" s="16" t="inlineStr"/>
      <c r="D55" s="16" t="inlineStr"/>
      <c r="E55" s="16" t="inlineStr"/>
      <c r="F55" s="16" t="inlineStr"/>
      <c r="G55" s="16" t="inlineStr"/>
      <c r="H55" s="16" t="inlineStr"/>
      <c r="I55" s="16" t="inlineStr"/>
      <c r="J55" s="16" t="inlineStr"/>
      <c r="K55" s="16" t="inlineStr"/>
    </row>
    <row r="56">
      <c r="A56" s="16" t="inlineStr"/>
      <c r="B56" s="16" t="inlineStr"/>
      <c r="C56" s="16" t="inlineStr"/>
      <c r="D56" s="16" t="inlineStr"/>
      <c r="E56" s="16" t="inlineStr"/>
      <c r="F56" s="16" t="inlineStr"/>
      <c r="G56" s="16" t="inlineStr"/>
      <c r="H56" s="16" t="inlineStr"/>
      <c r="I56" s="16" t="inlineStr"/>
      <c r="J56" s="16" t="inlineStr"/>
      <c r="K56" s="16" t="inlineStr"/>
    </row>
    <row r="59">
      <c r="A59" s="13" t="inlineStr">
        <is>
          <t>Section B: Action Summary Metrics</t>
        </is>
      </c>
    </row>
    <row r="60">
      <c r="A60" s="17" t="inlineStr">
        <is>
          <t>Total actions</t>
        </is>
      </c>
      <c r="B60" s="18" t="n"/>
      <c r="C60" s="19" t="n"/>
      <c r="D60" s="20">
        <f>COUNTA(A7:A56)</f>
        <v/>
      </c>
    </row>
    <row r="61">
      <c r="A61" s="17" t="inlineStr">
        <is>
          <t>Actions completed</t>
        </is>
      </c>
      <c r="B61" s="18" t="n"/>
      <c r="C61" s="19" t="n"/>
      <c r="D61" s="20">
        <f>COUNTIF(G7:G56,"Completed")</f>
        <v/>
      </c>
    </row>
    <row r="62">
      <c r="A62" s="17" t="inlineStr">
        <is>
          <t>Actions open</t>
        </is>
      </c>
      <c r="B62" s="18" t="n"/>
      <c r="C62" s="19" t="n"/>
      <c r="D62" s="20">
        <f>COUNTIF(G7:G56,"Open")</f>
        <v/>
      </c>
    </row>
    <row r="63">
      <c r="A63" s="17" t="inlineStr">
        <is>
          <t>Actions blocked</t>
        </is>
      </c>
      <c r="B63" s="18" t="n"/>
      <c r="C63" s="19" t="n"/>
      <c r="D63" s="20">
        <f>COUNTIF(G7:G56,"Blocked")</f>
        <v/>
      </c>
    </row>
    <row r="64">
      <c r="A64" s="17" t="inlineStr">
        <is>
          <t>Closure rate (%)</t>
        </is>
      </c>
      <c r="B64" s="18" t="n"/>
      <c r="C64" s="19" t="n"/>
      <c r="D64" s="20">
        <f>IF(COUNTA(A7:A56)&gt;0,COUNTIF(G7:G56,"Completed")/COUNTA(A7:A56)*100,0)</f>
        <v/>
      </c>
    </row>
    <row r="65">
      <c r="A65" s="17" t="inlineStr">
        <is>
          <t>Critical actions open</t>
        </is>
      </c>
      <c r="B65" s="18" t="n"/>
      <c r="C65" s="19" t="n"/>
      <c r="D65" s="20">
        <f>COUNTIFS(D7:D56,"Critical",G7:G56,"&lt;&gt;Completed")</f>
        <v/>
      </c>
    </row>
    <row r="66">
      <c r="A66" s="17" t="inlineStr">
        <is>
          <t>Overdue actions</t>
        </is>
      </c>
      <c r="B66" s="18" t="n"/>
      <c r="C66" s="19" t="n"/>
      <c r="D66" s="20">
        <f>COUNTIFS(F7:F56,"&lt;"&amp;TODAY(),G7:G56,"&lt;&gt;Completed")</f>
        <v/>
      </c>
    </row>
  </sheetData>
  <mergeCells count="11">
    <mergeCell ref="A60:C60"/>
    <mergeCell ref="A63:C63"/>
    <mergeCell ref="A66:C66"/>
    <mergeCell ref="A3:K3"/>
    <mergeCell ref="A59:K59"/>
    <mergeCell ref="A61:C61"/>
    <mergeCell ref="A2:K2"/>
    <mergeCell ref="A62:C62"/>
    <mergeCell ref="A65:C65"/>
    <mergeCell ref="A1:K1"/>
    <mergeCell ref="A64:C64"/>
  </mergeCells>
  <dataValidations count="3">
    <dataValidation sqref="D7:D56" showDropDown="0" showInputMessage="0" showErrorMessage="0" allowBlank="1" type="list">
      <formula1>"Critical,High,Medium,Low"</formula1>
    </dataValidation>
    <dataValidation sqref="G7:G56" showDropDown="0" showInputMessage="0" showErrorMessage="0" allowBlank="1" type="list">
      <formula1>"Open,In_Progress,Completed,Blocked,Cancelled"</formula1>
    </dataValidation>
    <dataValidation sqref="J7:J56"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2"/>
  <sheetViews>
    <sheetView showGridLines="0" workbookViewId="0">
      <pane ySplit="3" topLeftCell="A4" activePane="bottomLeft" state="frozen"/>
      <selection pane="bottomLeft" activeCell="A1" sqref="A1"/>
    </sheetView>
  </sheetViews>
  <sheetFormatPr baseColWidth="8" defaultRowHeight="15"/>
  <cols>
    <col width="25" customWidth="1" min="1" max="1"/>
    <col width="12" customWidth="1" min="2" max="2"/>
    <col width="12" customWidth="1" min="3" max="3"/>
    <col width="12" customWidth="1" min="4" max="4"/>
    <col width="12" customWidth="1" min="5" max="5"/>
    <col width="12" customWidth="1" min="6" max="6"/>
    <col width="15" customWidth="1" min="7" max="7"/>
    <col width="12" customWidth="1" min="8" max="8"/>
  </cols>
  <sheetData>
    <row r="1" ht="35" customHeight="1">
      <c r="A1" s="11" t="inlineStr">
        <is>
          <t>TREND ANALYSIS ASSESSMENT</t>
        </is>
      </c>
    </row>
    <row r="2">
      <c r="A2" s="12" t="inlineStr">
        <is>
          <t>ISO/IEC 27001:2022 - Control A.5.27: Learning from Information Security Incidents | KPI definitions, current values, trend tracking, and reporting cadence</t>
        </is>
      </c>
    </row>
    <row r="3">
      <c r="A3" s="13" t="inlineStr">
        <is>
          <t>Section A: KPI Definitions and Current Values</t>
        </is>
      </c>
    </row>
    <row r="5">
      <c r="A5" s="14" t="inlineStr">
        <is>
          <t>KPI</t>
        </is>
      </c>
      <c r="B5" s="14" t="inlineStr">
        <is>
          <t>Metric Type</t>
        </is>
      </c>
      <c r="C5" s="14" t="inlineStr">
        <is>
          <t>Target</t>
        </is>
      </c>
      <c r="D5" s="14" t="inlineStr">
        <is>
          <t>Current</t>
        </is>
      </c>
      <c r="E5" s="14" t="inlineStr">
        <is>
          <t>Status</t>
        </is>
      </c>
      <c r="F5" s="14" t="inlineStr">
        <is>
          <t>Trend</t>
        </is>
      </c>
      <c r="G5" s="14" t="inlineStr">
        <is>
          <t>Period</t>
        </is>
      </c>
      <c r="H5" s="14" t="inlineStr">
        <is>
          <t>Evidence Ref</t>
        </is>
      </c>
    </row>
    <row r="6">
      <c r="A6" s="17" t="inlineStr">
        <is>
          <t>Incident Recurrence Rate</t>
        </is>
      </c>
      <c r="B6" s="17" t="inlineStr">
        <is>
          <t>Percentage</t>
        </is>
      </c>
      <c r="C6" s="17" t="inlineStr">
        <is>
          <t>&lt;=15%</t>
        </is>
      </c>
      <c r="D6" s="16" t="inlineStr"/>
      <c r="E6" s="16" t="inlineStr"/>
      <c r="F6" s="16" t="inlineStr"/>
      <c r="G6" s="16" t="inlineStr"/>
      <c r="H6" s="16" t="inlineStr"/>
    </row>
    <row r="7">
      <c r="A7" s="17" t="inlineStr">
        <is>
          <t>PIR SLA Compliance Rate</t>
        </is>
      </c>
      <c r="B7" s="17" t="inlineStr">
        <is>
          <t>Percentage</t>
        </is>
      </c>
      <c r="C7" s="17" t="inlineStr">
        <is>
          <t>&gt;=95%</t>
        </is>
      </c>
      <c r="D7" s="16" t="inlineStr"/>
      <c r="E7" s="16" t="inlineStr"/>
      <c r="F7" s="16" t="inlineStr"/>
      <c r="G7" s="16" t="inlineStr"/>
      <c r="H7" s="16" t="inlineStr"/>
    </row>
    <row r="8">
      <c r="A8" s="17" t="inlineStr">
        <is>
          <t>Lessons Learned Distribution SLA</t>
        </is>
      </c>
      <c r="B8" s="17" t="inlineStr">
        <is>
          <t>Percentage</t>
        </is>
      </c>
      <c r="C8" s="17" t="inlineStr">
        <is>
          <t>&gt;=90%</t>
        </is>
      </c>
      <c r="D8" s="16" t="inlineStr"/>
      <c r="E8" s="16" t="inlineStr"/>
      <c r="F8" s="16" t="inlineStr"/>
      <c r="G8" s="16" t="inlineStr"/>
      <c r="H8" s="16" t="inlineStr"/>
    </row>
    <row r="9">
      <c r="A9" s="17" t="inlineStr">
        <is>
          <t>Remediation Closure Rate</t>
        </is>
      </c>
      <c r="B9" s="17" t="inlineStr">
        <is>
          <t>Percentage</t>
        </is>
      </c>
      <c r="C9" s="17" t="inlineStr">
        <is>
          <t>&gt;=85%</t>
        </is>
      </c>
      <c r="D9" s="16" t="inlineStr"/>
      <c r="E9" s="16" t="inlineStr"/>
      <c r="F9" s="16" t="inlineStr"/>
      <c r="G9" s="16" t="inlineStr"/>
      <c r="H9" s="16" t="inlineStr"/>
    </row>
    <row r="10">
      <c r="A10" s="17" t="inlineStr">
        <is>
          <t>Average PIR Quality Score</t>
        </is>
      </c>
      <c r="B10" s="17" t="inlineStr">
        <is>
          <t>Score (1-5)</t>
        </is>
      </c>
      <c r="C10" s="17" t="inlineStr">
        <is>
          <t>&gt;=4.0</t>
        </is>
      </c>
      <c r="D10" s="16" t="inlineStr"/>
      <c r="E10" s="16" t="inlineStr"/>
      <c r="F10" s="16" t="inlineStr"/>
      <c r="G10" s="16" t="inlineStr"/>
      <c r="H10" s="16" t="inlineStr"/>
    </row>
    <row r="11">
      <c r="A11" s="17" t="inlineStr">
        <is>
          <t>RCA Completion Rate (Crit/High)</t>
        </is>
      </c>
      <c r="B11" s="17" t="inlineStr">
        <is>
          <t>Percentage</t>
        </is>
      </c>
      <c r="C11" s="17" t="inlineStr">
        <is>
          <t>100%</t>
        </is>
      </c>
      <c r="D11" s="16" t="inlineStr"/>
      <c r="E11" s="16" t="inlineStr"/>
      <c r="F11" s="16" t="inlineStr"/>
      <c r="G11" s="16" t="inlineStr"/>
      <c r="H11" s="16" t="inlineStr"/>
    </row>
    <row r="12">
      <c r="A12" s="17" t="inlineStr">
        <is>
          <t>MTTD (Critical Incidents)</t>
        </is>
      </c>
      <c r="B12" s="17" t="inlineStr">
        <is>
          <t>Hours</t>
        </is>
      </c>
      <c r="C12" s="17" t="inlineStr">
        <is>
          <t>&lt;=1</t>
        </is>
      </c>
      <c r="D12" s="16" t="inlineStr"/>
      <c r="E12" s="16" t="inlineStr"/>
      <c r="F12" s="16" t="inlineStr"/>
      <c r="G12" s="16" t="inlineStr"/>
      <c r="H12" s="16" t="inlineStr"/>
    </row>
    <row r="13">
      <c r="A13" s="17" t="inlineStr">
        <is>
          <t>MTTR (Critical Incidents)</t>
        </is>
      </c>
      <c r="B13" s="17" t="inlineStr">
        <is>
          <t>Hours</t>
        </is>
      </c>
      <c r="C13" s="17" t="inlineStr">
        <is>
          <t>&lt;=4</t>
        </is>
      </c>
      <c r="D13" s="16" t="inlineStr"/>
      <c r="E13" s="16" t="inlineStr"/>
      <c r="F13" s="16" t="inlineStr"/>
      <c r="G13" s="16" t="inlineStr"/>
      <c r="H13" s="16" t="inlineStr"/>
    </row>
    <row r="16">
      <c r="A16" s="13" t="inlineStr">
        <is>
          <t>Section B: Reporting Cadence Verification</t>
        </is>
      </c>
    </row>
    <row r="18">
      <c r="A18" s="14" t="inlineStr">
        <is>
          <t>Report Type</t>
        </is>
      </c>
      <c r="B18" s="14" t="inlineStr">
        <is>
          <t>Frequency</t>
        </is>
      </c>
      <c r="C18" s="14" t="inlineStr">
        <is>
          <t>Last Produced</t>
        </is>
      </c>
      <c r="D18" s="14" t="inlineStr">
        <is>
          <t>On Schedule</t>
        </is>
      </c>
      <c r="E18" s="14" t="inlineStr">
        <is>
          <t>Recipients Documented</t>
        </is>
      </c>
      <c r="F18" s="14" t="inlineStr">
        <is>
          <t>Evidence Ref</t>
        </is>
      </c>
      <c r="G18" s="14" t="inlineStr"/>
      <c r="H18" s="14" t="inlineStr"/>
    </row>
    <row r="19">
      <c r="A19" s="17" t="inlineStr">
        <is>
          <t>Weekly CSIRT Status</t>
        </is>
      </c>
      <c r="B19" s="17" t="inlineStr">
        <is>
          <t>Weekly</t>
        </is>
      </c>
      <c r="C19" s="16" t="inlineStr"/>
      <c r="D19" s="16" t="inlineStr"/>
      <c r="E19" s="16" t="inlineStr"/>
      <c r="F19" s="16" t="inlineStr"/>
    </row>
    <row r="20">
      <c r="A20" s="17" t="inlineStr">
        <is>
          <t>Monthly Incident Summary</t>
        </is>
      </c>
      <c r="B20" s="17" t="inlineStr">
        <is>
          <t>Monthly</t>
        </is>
      </c>
      <c r="C20" s="16" t="inlineStr"/>
      <c r="D20" s="16" t="inlineStr"/>
      <c r="E20" s="16" t="inlineStr"/>
      <c r="F20" s="16" t="inlineStr"/>
    </row>
    <row r="21">
      <c r="A21" s="17" t="inlineStr">
        <is>
          <t>Quarterly Trend Report</t>
        </is>
      </c>
      <c r="B21" s="17" t="inlineStr">
        <is>
          <t>Quarterly</t>
        </is>
      </c>
      <c r="C21" s="16" t="inlineStr"/>
      <c r="D21" s="16" t="inlineStr"/>
      <c r="E21" s="16" t="inlineStr"/>
      <c r="F21" s="16" t="inlineStr"/>
    </row>
    <row r="22">
      <c r="A22" s="17" t="inlineStr">
        <is>
          <t>Annual Executive Report</t>
        </is>
      </c>
      <c r="B22" s="17" t="inlineStr">
        <is>
          <t>Annual</t>
        </is>
      </c>
      <c r="C22" s="16" t="inlineStr"/>
      <c r="D22" s="16" t="inlineStr"/>
      <c r="E22" s="16" t="inlineStr"/>
      <c r="F22" s="16" t="inlineStr"/>
    </row>
  </sheetData>
  <mergeCells count="4">
    <mergeCell ref="A16:H16"/>
    <mergeCell ref="A3:H3"/>
    <mergeCell ref="A2:H2"/>
    <mergeCell ref="A1:H1"/>
  </mergeCells>
  <dataValidations count="3">
    <dataValidation sqref="E6:E13" showDropDown="0" showInputMessage="0" showErrorMessage="0" allowBlank="1" type="list">
      <formula1>"Yes,No,At_Risk"</formula1>
    </dataValidation>
    <dataValidation sqref="F6:F13" showDropDown="0" showInputMessage="0" showErrorMessage="0" allowBlank="1" type="list">
      <formula1>"Improving,Stable,Degrading"</formula1>
    </dataValidation>
    <dataValidation sqref="D19:E22" showDropDown="0" showInputMessage="0" showErrorMessage="0" allowBlank="1"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9"/>
  <sheetViews>
    <sheetView showGridLines="0" workbookViewId="0">
      <pane ySplit="3" topLeftCell="A4" activePane="bottomLeft" state="frozen"/>
      <selection pane="bottomLeft" activeCell="A1" sqref="A1"/>
    </sheetView>
  </sheetViews>
  <sheetFormatPr baseColWidth="8" defaultRowHeight="15"/>
  <cols>
    <col width="12" customWidth="1" min="1" max="1"/>
    <col width="15" customWidth="1" min="2" max="2"/>
    <col width="30" customWidth="1" min="3" max="3"/>
    <col width="12" customWidth="1" min="4" max="4"/>
    <col width="15" customWidth="1" min="5" max="5"/>
    <col width="12" customWidth="1" min="6" max="6"/>
    <col width="25" customWidth="1" min="7" max="7"/>
    <col width="12" customWidth="1" min="8" max="8"/>
  </cols>
  <sheetData>
    <row r="1" ht="35" customHeight="1">
      <c r="A1" s="11" t="inlineStr">
        <is>
          <t>GAP ANALYSIS</t>
        </is>
      </c>
    </row>
    <row r="2">
      <c r="A2" s="12" t="inlineStr">
        <is>
          <t>ISO/IEC 27001:2022 - Control A.5.27: Learning from Information Security Incidents | Consolidated gap register for Learning &amp; Continuous Improvement domain</t>
        </is>
      </c>
    </row>
    <row r="3">
      <c r="A3" s="13" t="inlineStr">
        <is>
          <t>Consolidated Gap Register</t>
        </is>
      </c>
    </row>
    <row r="5">
      <c r="A5" s="14" t="inlineStr">
        <is>
          <t>Gap ID</t>
        </is>
      </c>
      <c r="B5" s="14" t="inlineStr">
        <is>
          <t>Source Sheet</t>
        </is>
      </c>
      <c r="C5" s="14" t="inlineStr">
        <is>
          <t>Gap Description</t>
        </is>
      </c>
      <c r="D5" s="14" t="inlineStr">
        <is>
          <t>Severity</t>
        </is>
      </c>
      <c r="E5" s="14" t="inlineStr">
        <is>
          <t>Owner</t>
        </is>
      </c>
      <c r="F5" s="14" t="inlineStr">
        <is>
          <t>Target Date</t>
        </is>
      </c>
      <c r="G5" s="14" t="inlineStr">
        <is>
          <t>Remediation Plan</t>
        </is>
      </c>
      <c r="H5" s="14" t="inlineStr">
        <is>
          <t>Status</t>
        </is>
      </c>
    </row>
    <row r="6">
      <c r="A6" s="15" t="inlineStr">
        <is>
          <t>GAP-001</t>
        </is>
      </c>
      <c r="B6" s="15" t="inlineStr">
        <is>
          <t>PIR Process</t>
        </is>
      </c>
      <c r="C6" s="15" t="inlineStr">
        <is>
          <t>PIR completion SLA not consistently met — sample entry</t>
        </is>
      </c>
      <c r="D6" s="15" t="inlineStr">
        <is>
          <t>High</t>
        </is>
      </c>
      <c r="E6" s="15" t="inlineStr">
        <is>
          <t>CSIRT Manager</t>
        </is>
      </c>
      <c r="F6" s="15" t="inlineStr">
        <is>
          <t>31.03.2026</t>
        </is>
      </c>
      <c r="G6" s="15" t="inlineStr">
        <is>
          <t>Establish automated SLA tracking</t>
        </is>
      </c>
      <c r="H6" s="15" t="inlineStr">
        <is>
          <t>Open</t>
        </is>
      </c>
    </row>
    <row r="7">
      <c r="A7" s="16" t="inlineStr"/>
      <c r="B7" s="16" t="inlineStr"/>
      <c r="C7" s="16" t="inlineStr"/>
      <c r="D7" s="16" t="inlineStr"/>
      <c r="E7" s="16" t="inlineStr"/>
      <c r="F7" s="16" t="inlineStr"/>
      <c r="G7" s="16" t="inlineStr"/>
      <c r="H7" s="16" t="inlineStr"/>
    </row>
    <row r="8">
      <c r="A8" s="16" t="inlineStr"/>
      <c r="B8" s="16" t="inlineStr"/>
      <c r="C8" s="16" t="inlineStr"/>
      <c r="D8" s="16" t="inlineStr"/>
      <c r="E8" s="16" t="inlineStr"/>
      <c r="F8" s="16" t="inlineStr"/>
      <c r="G8" s="16" t="inlineStr"/>
      <c r="H8" s="16" t="inlineStr"/>
    </row>
    <row r="9">
      <c r="A9" s="16" t="inlineStr"/>
      <c r="B9" s="16" t="inlineStr"/>
      <c r="C9" s="16" t="inlineStr"/>
      <c r="D9" s="16" t="inlineStr"/>
      <c r="E9" s="16" t="inlineStr"/>
      <c r="F9" s="16" t="inlineStr"/>
      <c r="G9" s="16" t="inlineStr"/>
      <c r="H9" s="16" t="inlineStr"/>
    </row>
    <row r="10">
      <c r="A10" s="16" t="inlineStr"/>
      <c r="B10" s="16" t="inlineStr"/>
      <c r="C10" s="16" t="inlineStr"/>
      <c r="D10" s="16" t="inlineStr"/>
      <c r="E10" s="16" t="inlineStr"/>
      <c r="F10" s="16" t="inlineStr"/>
      <c r="G10" s="16" t="inlineStr"/>
      <c r="H10" s="16" t="inlineStr"/>
    </row>
    <row r="11">
      <c r="A11" s="16" t="inlineStr"/>
      <c r="B11" s="16" t="inlineStr"/>
      <c r="C11" s="16" t="inlineStr"/>
      <c r="D11" s="16" t="inlineStr"/>
      <c r="E11" s="16" t="inlineStr"/>
      <c r="F11" s="16" t="inlineStr"/>
      <c r="G11" s="16" t="inlineStr"/>
      <c r="H11" s="16" t="inlineStr"/>
    </row>
    <row r="12">
      <c r="A12" s="16" t="inlineStr"/>
      <c r="B12" s="16" t="inlineStr"/>
      <c r="C12" s="16" t="inlineStr"/>
      <c r="D12" s="16" t="inlineStr"/>
      <c r="E12" s="16" t="inlineStr"/>
      <c r="F12" s="16" t="inlineStr"/>
      <c r="G12" s="16" t="inlineStr"/>
      <c r="H12" s="16" t="inlineStr"/>
    </row>
    <row r="13">
      <c r="A13" s="16" t="inlineStr"/>
      <c r="B13" s="16" t="inlineStr"/>
      <c r="C13" s="16" t="inlineStr"/>
      <c r="D13" s="16" t="inlineStr"/>
      <c r="E13" s="16" t="inlineStr"/>
      <c r="F13" s="16" t="inlineStr"/>
      <c r="G13" s="16" t="inlineStr"/>
      <c r="H13" s="16" t="inlineStr"/>
    </row>
    <row r="14">
      <c r="A14" s="16" t="inlineStr"/>
      <c r="B14" s="16" t="inlineStr"/>
      <c r="C14" s="16" t="inlineStr"/>
      <c r="D14" s="16" t="inlineStr"/>
      <c r="E14" s="16" t="inlineStr"/>
      <c r="F14" s="16" t="inlineStr"/>
      <c r="G14" s="16" t="inlineStr"/>
      <c r="H14" s="16" t="inlineStr"/>
    </row>
    <row r="15">
      <c r="A15" s="16" t="inlineStr"/>
      <c r="B15" s="16" t="inlineStr"/>
      <c r="C15" s="16" t="inlineStr"/>
      <c r="D15" s="16" t="inlineStr"/>
      <c r="E15" s="16" t="inlineStr"/>
      <c r="F15" s="16" t="inlineStr"/>
      <c r="G15" s="16" t="inlineStr"/>
      <c r="H15" s="16" t="inlineStr"/>
    </row>
    <row r="16">
      <c r="A16" s="16" t="inlineStr"/>
      <c r="B16" s="16" t="inlineStr"/>
      <c r="C16" s="16" t="inlineStr"/>
      <c r="D16" s="16" t="inlineStr"/>
      <c r="E16" s="16" t="inlineStr"/>
      <c r="F16" s="16" t="inlineStr"/>
      <c r="G16" s="16" t="inlineStr"/>
      <c r="H16" s="16" t="inlineStr"/>
    </row>
    <row r="17">
      <c r="A17" s="16" t="inlineStr"/>
      <c r="B17" s="16" t="inlineStr"/>
      <c r="C17" s="16" t="inlineStr"/>
      <c r="D17" s="16" t="inlineStr"/>
      <c r="E17" s="16" t="inlineStr"/>
      <c r="F17" s="16" t="inlineStr"/>
      <c r="G17" s="16" t="inlineStr"/>
      <c r="H17" s="16" t="inlineStr"/>
    </row>
    <row r="18">
      <c r="A18" s="16" t="inlineStr"/>
      <c r="B18" s="16" t="inlineStr"/>
      <c r="C18" s="16" t="inlineStr"/>
      <c r="D18" s="16" t="inlineStr"/>
      <c r="E18" s="16" t="inlineStr"/>
      <c r="F18" s="16" t="inlineStr"/>
      <c r="G18" s="16" t="inlineStr"/>
      <c r="H18" s="16" t="inlineStr"/>
    </row>
    <row r="19">
      <c r="A19" s="16" t="inlineStr"/>
      <c r="B19" s="16" t="inlineStr"/>
      <c r="C19" s="16" t="inlineStr"/>
      <c r="D19" s="16" t="inlineStr"/>
      <c r="E19" s="16" t="inlineStr"/>
      <c r="F19" s="16" t="inlineStr"/>
      <c r="G19" s="16" t="inlineStr"/>
      <c r="H19" s="16" t="inlineStr"/>
    </row>
    <row r="20">
      <c r="A20" s="16" t="inlineStr"/>
      <c r="B20" s="16" t="inlineStr"/>
      <c r="C20" s="16" t="inlineStr"/>
      <c r="D20" s="16" t="inlineStr"/>
      <c r="E20" s="16" t="inlineStr"/>
      <c r="F20" s="16" t="inlineStr"/>
      <c r="G20" s="16" t="inlineStr"/>
      <c r="H20" s="16" t="inlineStr"/>
    </row>
    <row r="21">
      <c r="A21" s="16" t="inlineStr"/>
      <c r="B21" s="16" t="inlineStr"/>
      <c r="C21" s="16" t="inlineStr"/>
      <c r="D21" s="16" t="inlineStr"/>
      <c r="E21" s="16" t="inlineStr"/>
      <c r="F21" s="16" t="inlineStr"/>
      <c r="G21" s="16" t="inlineStr"/>
      <c r="H21" s="16" t="inlineStr"/>
    </row>
    <row r="22">
      <c r="A22" s="16" t="inlineStr"/>
      <c r="B22" s="16" t="inlineStr"/>
      <c r="C22" s="16" t="inlineStr"/>
      <c r="D22" s="16" t="inlineStr"/>
      <c r="E22" s="16" t="inlineStr"/>
      <c r="F22" s="16" t="inlineStr"/>
      <c r="G22" s="16" t="inlineStr"/>
      <c r="H22" s="16" t="inlineStr"/>
    </row>
    <row r="23">
      <c r="A23" s="16" t="inlineStr"/>
      <c r="B23" s="16" t="inlineStr"/>
      <c r="C23" s="16" t="inlineStr"/>
      <c r="D23" s="16" t="inlineStr"/>
      <c r="E23" s="16" t="inlineStr"/>
      <c r="F23" s="16" t="inlineStr"/>
      <c r="G23" s="16" t="inlineStr"/>
      <c r="H23" s="16" t="inlineStr"/>
    </row>
    <row r="24">
      <c r="A24" s="16" t="inlineStr"/>
      <c r="B24" s="16" t="inlineStr"/>
      <c r="C24" s="16" t="inlineStr"/>
      <c r="D24" s="16" t="inlineStr"/>
      <c r="E24" s="16" t="inlineStr"/>
      <c r="F24" s="16" t="inlineStr"/>
      <c r="G24" s="16" t="inlineStr"/>
      <c r="H24" s="16" t="inlineStr"/>
    </row>
    <row r="25">
      <c r="A25" s="16" t="inlineStr"/>
      <c r="B25" s="16" t="inlineStr"/>
      <c r="C25" s="16" t="inlineStr"/>
      <c r="D25" s="16" t="inlineStr"/>
      <c r="E25" s="16" t="inlineStr"/>
      <c r="F25" s="16" t="inlineStr"/>
      <c r="G25" s="16" t="inlineStr"/>
      <c r="H25" s="16" t="inlineStr"/>
    </row>
    <row r="26">
      <c r="A26" s="16" t="inlineStr"/>
      <c r="B26" s="16" t="inlineStr"/>
      <c r="C26" s="16" t="inlineStr"/>
      <c r="D26" s="16" t="inlineStr"/>
      <c r="E26" s="16" t="inlineStr"/>
      <c r="F26" s="16" t="inlineStr"/>
      <c r="G26" s="16" t="inlineStr"/>
      <c r="H26" s="16" t="inlineStr"/>
    </row>
    <row r="27">
      <c r="A27" s="16" t="inlineStr"/>
      <c r="B27" s="16" t="inlineStr"/>
      <c r="C27" s="16" t="inlineStr"/>
      <c r="D27" s="16" t="inlineStr"/>
      <c r="E27" s="16" t="inlineStr"/>
      <c r="F27" s="16" t="inlineStr"/>
      <c r="G27" s="16" t="inlineStr"/>
      <c r="H27" s="16" t="inlineStr"/>
    </row>
    <row r="28">
      <c r="A28" s="16" t="inlineStr"/>
      <c r="B28" s="16" t="inlineStr"/>
      <c r="C28" s="16" t="inlineStr"/>
      <c r="D28" s="16" t="inlineStr"/>
      <c r="E28" s="16" t="inlineStr"/>
      <c r="F28" s="16" t="inlineStr"/>
      <c r="G28" s="16" t="inlineStr"/>
      <c r="H28" s="16" t="inlineStr"/>
    </row>
    <row r="29">
      <c r="A29" s="16" t="inlineStr"/>
      <c r="B29" s="16" t="inlineStr"/>
      <c r="C29" s="16" t="inlineStr"/>
      <c r="D29" s="16" t="inlineStr"/>
      <c r="E29" s="16" t="inlineStr"/>
      <c r="F29" s="16" t="inlineStr"/>
      <c r="G29" s="16" t="inlineStr"/>
      <c r="H29" s="16" t="inlineStr"/>
    </row>
    <row r="30">
      <c r="A30" s="16" t="inlineStr"/>
      <c r="B30" s="16" t="inlineStr"/>
      <c r="C30" s="16" t="inlineStr"/>
      <c r="D30" s="16" t="inlineStr"/>
      <c r="E30" s="16" t="inlineStr"/>
      <c r="F30" s="16" t="inlineStr"/>
      <c r="G30" s="16" t="inlineStr"/>
      <c r="H30" s="16" t="inlineStr"/>
    </row>
    <row r="31">
      <c r="A31" s="16" t="inlineStr"/>
      <c r="B31" s="16" t="inlineStr"/>
      <c r="C31" s="16" t="inlineStr"/>
      <c r="D31" s="16" t="inlineStr"/>
      <c r="E31" s="16" t="inlineStr"/>
      <c r="F31" s="16" t="inlineStr"/>
      <c r="G31" s="16" t="inlineStr"/>
      <c r="H31" s="16" t="inlineStr"/>
    </row>
    <row r="32">
      <c r="A32" s="16" t="inlineStr"/>
      <c r="B32" s="16" t="inlineStr"/>
      <c r="C32" s="16" t="inlineStr"/>
      <c r="D32" s="16" t="inlineStr"/>
      <c r="E32" s="16" t="inlineStr"/>
      <c r="F32" s="16" t="inlineStr"/>
      <c r="G32" s="16" t="inlineStr"/>
      <c r="H32" s="16" t="inlineStr"/>
    </row>
    <row r="33">
      <c r="A33" s="16" t="inlineStr"/>
      <c r="B33" s="16" t="inlineStr"/>
      <c r="C33" s="16" t="inlineStr"/>
      <c r="D33" s="16" t="inlineStr"/>
      <c r="E33" s="16" t="inlineStr"/>
      <c r="F33" s="16" t="inlineStr"/>
      <c r="G33" s="16" t="inlineStr"/>
      <c r="H33" s="16" t="inlineStr"/>
    </row>
    <row r="34">
      <c r="A34" s="16" t="inlineStr"/>
      <c r="B34" s="16" t="inlineStr"/>
      <c r="C34" s="16" t="inlineStr"/>
      <c r="D34" s="16" t="inlineStr"/>
      <c r="E34" s="16" t="inlineStr"/>
      <c r="F34" s="16" t="inlineStr"/>
      <c r="G34" s="16" t="inlineStr"/>
      <c r="H34" s="16" t="inlineStr"/>
    </row>
    <row r="35">
      <c r="A35" s="16" t="inlineStr"/>
      <c r="B35" s="16" t="inlineStr"/>
      <c r="C35" s="16" t="inlineStr"/>
      <c r="D35" s="16" t="inlineStr"/>
      <c r="E35" s="16" t="inlineStr"/>
      <c r="F35" s="16" t="inlineStr"/>
      <c r="G35" s="16" t="inlineStr"/>
      <c r="H35" s="16" t="inlineStr"/>
    </row>
    <row r="36">
      <c r="A36" s="16" t="inlineStr"/>
      <c r="B36" s="16" t="inlineStr"/>
      <c r="C36" s="16" t="inlineStr"/>
      <c r="D36" s="16" t="inlineStr"/>
      <c r="E36" s="16" t="inlineStr"/>
      <c r="F36" s="16" t="inlineStr"/>
      <c r="G36" s="16" t="inlineStr"/>
      <c r="H36" s="16" t="inlineStr"/>
    </row>
    <row r="37">
      <c r="A37" s="16" t="inlineStr"/>
      <c r="B37" s="16" t="inlineStr"/>
      <c r="C37" s="16" t="inlineStr"/>
      <c r="D37" s="16" t="inlineStr"/>
      <c r="E37" s="16" t="inlineStr"/>
      <c r="F37" s="16" t="inlineStr"/>
      <c r="G37" s="16" t="inlineStr"/>
      <c r="H37" s="16" t="inlineStr"/>
    </row>
    <row r="38">
      <c r="A38" s="16" t="inlineStr"/>
      <c r="B38" s="16" t="inlineStr"/>
      <c r="C38" s="16" t="inlineStr"/>
      <c r="D38" s="16" t="inlineStr"/>
      <c r="E38" s="16" t="inlineStr"/>
      <c r="F38" s="16" t="inlineStr"/>
      <c r="G38" s="16" t="inlineStr"/>
      <c r="H38" s="16" t="inlineStr"/>
    </row>
    <row r="39">
      <c r="A39" s="16" t="inlineStr"/>
      <c r="B39" s="16" t="inlineStr"/>
      <c r="C39" s="16" t="inlineStr"/>
      <c r="D39" s="16" t="inlineStr"/>
      <c r="E39" s="16" t="inlineStr"/>
      <c r="F39" s="16" t="inlineStr"/>
      <c r="G39" s="16" t="inlineStr"/>
      <c r="H39" s="16" t="inlineStr"/>
    </row>
    <row r="40">
      <c r="A40" s="16" t="inlineStr"/>
      <c r="B40" s="16" t="inlineStr"/>
      <c r="C40" s="16" t="inlineStr"/>
      <c r="D40" s="16" t="inlineStr"/>
      <c r="E40" s="16" t="inlineStr"/>
      <c r="F40" s="16" t="inlineStr"/>
      <c r="G40" s="16" t="inlineStr"/>
      <c r="H40" s="16" t="inlineStr"/>
    </row>
    <row r="41">
      <c r="A41" s="16" t="inlineStr"/>
      <c r="B41" s="16" t="inlineStr"/>
      <c r="C41" s="16" t="inlineStr"/>
      <c r="D41" s="16" t="inlineStr"/>
      <c r="E41" s="16" t="inlineStr"/>
      <c r="F41" s="16" t="inlineStr"/>
      <c r="G41" s="16" t="inlineStr"/>
      <c r="H41" s="16" t="inlineStr"/>
    </row>
    <row r="42">
      <c r="A42" s="16" t="inlineStr"/>
      <c r="B42" s="16" t="inlineStr"/>
      <c r="C42" s="16" t="inlineStr"/>
      <c r="D42" s="16" t="inlineStr"/>
      <c r="E42" s="16" t="inlineStr"/>
      <c r="F42" s="16" t="inlineStr"/>
      <c r="G42" s="16" t="inlineStr"/>
      <c r="H42" s="16" t="inlineStr"/>
    </row>
    <row r="43">
      <c r="A43" s="16" t="inlineStr"/>
      <c r="B43" s="16" t="inlineStr"/>
      <c r="C43" s="16" t="inlineStr"/>
      <c r="D43" s="16" t="inlineStr"/>
      <c r="E43" s="16" t="inlineStr"/>
      <c r="F43" s="16" t="inlineStr"/>
      <c r="G43" s="16" t="inlineStr"/>
      <c r="H43" s="16" t="inlineStr"/>
    </row>
    <row r="44">
      <c r="A44" s="16" t="inlineStr"/>
      <c r="B44" s="16" t="inlineStr"/>
      <c r="C44" s="16" t="inlineStr"/>
      <c r="D44" s="16" t="inlineStr"/>
      <c r="E44" s="16" t="inlineStr"/>
      <c r="F44" s="16" t="inlineStr"/>
      <c r="G44" s="16" t="inlineStr"/>
      <c r="H44" s="16" t="inlineStr"/>
    </row>
    <row r="45">
      <c r="A45" s="16" t="inlineStr"/>
      <c r="B45" s="16" t="inlineStr"/>
      <c r="C45" s="16" t="inlineStr"/>
      <c r="D45" s="16" t="inlineStr"/>
      <c r="E45" s="16" t="inlineStr"/>
      <c r="F45" s="16" t="inlineStr"/>
      <c r="G45" s="16" t="inlineStr"/>
      <c r="H45" s="16" t="inlineStr"/>
    </row>
    <row r="46">
      <c r="A46" s="16" t="inlineStr"/>
      <c r="B46" s="16" t="inlineStr"/>
      <c r="C46" s="16" t="inlineStr"/>
      <c r="D46" s="16" t="inlineStr"/>
      <c r="E46" s="16" t="inlineStr"/>
      <c r="F46" s="16" t="inlineStr"/>
      <c r="G46" s="16" t="inlineStr"/>
      <c r="H46" s="16" t="inlineStr"/>
    </row>
    <row r="47">
      <c r="A47" s="16" t="inlineStr"/>
      <c r="B47" s="16" t="inlineStr"/>
      <c r="C47" s="16" t="inlineStr"/>
      <c r="D47" s="16" t="inlineStr"/>
      <c r="E47" s="16" t="inlineStr"/>
      <c r="F47" s="16" t="inlineStr"/>
      <c r="G47" s="16" t="inlineStr"/>
      <c r="H47" s="16" t="inlineStr"/>
    </row>
    <row r="48">
      <c r="A48" s="16" t="inlineStr"/>
      <c r="B48" s="16" t="inlineStr"/>
      <c r="C48" s="16" t="inlineStr"/>
      <c r="D48" s="16" t="inlineStr"/>
      <c r="E48" s="16" t="inlineStr"/>
      <c r="F48" s="16" t="inlineStr"/>
      <c r="G48" s="16" t="inlineStr"/>
      <c r="H48" s="16" t="inlineStr"/>
    </row>
    <row r="49">
      <c r="A49" s="16" t="inlineStr"/>
      <c r="B49" s="16" t="inlineStr"/>
      <c r="C49" s="16" t="inlineStr"/>
      <c r="D49" s="16" t="inlineStr"/>
      <c r="E49" s="16" t="inlineStr"/>
      <c r="F49" s="16" t="inlineStr"/>
      <c r="G49" s="16" t="inlineStr"/>
      <c r="H49" s="16" t="inlineStr"/>
    </row>
    <row r="50">
      <c r="A50" s="16" t="inlineStr"/>
      <c r="B50" s="16" t="inlineStr"/>
      <c r="C50" s="16" t="inlineStr"/>
      <c r="D50" s="16" t="inlineStr"/>
      <c r="E50" s="16" t="inlineStr"/>
      <c r="F50" s="16" t="inlineStr"/>
      <c r="G50" s="16" t="inlineStr"/>
      <c r="H50" s="16" t="inlineStr"/>
    </row>
    <row r="51">
      <c r="A51" s="16" t="inlineStr"/>
      <c r="B51" s="16" t="inlineStr"/>
      <c r="C51" s="16" t="inlineStr"/>
      <c r="D51" s="16" t="inlineStr"/>
      <c r="E51" s="16" t="inlineStr"/>
      <c r="F51" s="16" t="inlineStr"/>
      <c r="G51" s="16" t="inlineStr"/>
      <c r="H51" s="16" t="inlineStr"/>
    </row>
    <row r="52">
      <c r="A52" s="16" t="inlineStr"/>
      <c r="B52" s="16" t="inlineStr"/>
      <c r="C52" s="16" t="inlineStr"/>
      <c r="D52" s="16" t="inlineStr"/>
      <c r="E52" s="16" t="inlineStr"/>
      <c r="F52" s="16" t="inlineStr"/>
      <c r="G52" s="16" t="inlineStr"/>
      <c r="H52" s="16" t="inlineStr"/>
    </row>
    <row r="53">
      <c r="A53" s="16" t="inlineStr"/>
      <c r="B53" s="16" t="inlineStr"/>
      <c r="C53" s="16" t="inlineStr"/>
      <c r="D53" s="16" t="inlineStr"/>
      <c r="E53" s="16" t="inlineStr"/>
      <c r="F53" s="16" t="inlineStr"/>
      <c r="G53" s="16" t="inlineStr"/>
      <c r="H53" s="16" t="inlineStr"/>
    </row>
    <row r="54">
      <c r="A54" s="16" t="inlineStr"/>
      <c r="B54" s="16" t="inlineStr"/>
      <c r="C54" s="16" t="inlineStr"/>
      <c r="D54" s="16" t="inlineStr"/>
      <c r="E54" s="16" t="inlineStr"/>
      <c r="F54" s="16" t="inlineStr"/>
      <c r="G54" s="16" t="inlineStr"/>
      <c r="H54" s="16" t="inlineStr"/>
    </row>
    <row r="55">
      <c r="A55" s="16" t="inlineStr"/>
      <c r="B55" s="16" t="inlineStr"/>
      <c r="C55" s="16" t="inlineStr"/>
      <c r="D55" s="16" t="inlineStr"/>
      <c r="E55" s="16" t="inlineStr"/>
      <c r="F55" s="16" t="inlineStr"/>
      <c r="G55" s="16" t="inlineStr"/>
      <c r="H55" s="16" t="inlineStr"/>
    </row>
    <row r="56">
      <c r="A56" s="16" t="inlineStr"/>
      <c r="B56" s="16" t="inlineStr"/>
      <c r="C56" s="16" t="inlineStr"/>
      <c r="D56" s="16" t="inlineStr"/>
      <c r="E56" s="16" t="inlineStr"/>
      <c r="F56" s="16" t="inlineStr"/>
      <c r="G56" s="16" t="inlineStr"/>
      <c r="H56" s="16" t="inlineStr"/>
    </row>
    <row r="59">
      <c r="A59" s="13" t="inlineStr">
        <is>
          <t>Total Gaps:</t>
        </is>
      </c>
      <c r="B59" s="20">
        <f>COUNTA(A7:A56)</f>
        <v/>
      </c>
      <c r="C59" t="inlineStr">
        <is>
          <t>Critical:</t>
        </is>
      </c>
      <c r="D59" s="20">
        <f>COUNTIF(D7:D56,"Critical")</f>
        <v/>
      </c>
      <c r="E59" t="inlineStr">
        <is>
          <t>High:</t>
        </is>
      </c>
      <c r="F59" s="20">
        <f>COUNTIF(D7:D56,"High")</f>
        <v/>
      </c>
    </row>
  </sheetData>
  <mergeCells count="3">
    <mergeCell ref="A3:H3"/>
    <mergeCell ref="A2:H2"/>
    <mergeCell ref="A1:H1"/>
  </mergeCells>
  <dataValidations count="3">
    <dataValidation sqref="B7:B56" showDropDown="0" showInputMessage="0" showErrorMessage="0" allowBlank="1" type="list">
      <formula1>"PIR Process,Root Cause Analysis,Lessons Learned,Control Improvements,Trend Analysis"</formula1>
    </dataValidation>
    <dataValidation sqref="D7:D56" showDropDown="0" showInputMessage="0" showErrorMessage="0" allowBlank="1" type="list">
      <formula1>"Critical,High,Medium,Low"</formula1>
    </dataValidation>
    <dataValidation sqref="H7:H56" showDropDown="0" showInputMessage="0" showErrorMessage="0" allowBlank="1" type="list">
      <formula1>"Open,In_Progress,Closed,Accepted"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21" t="inlineStr">
        <is>
          <t>EVIDENCE REGISTER</t>
        </is>
      </c>
    </row>
    <row r="2">
      <c r="A2" s="22" t="inlineStr">
        <is>
          <t>ISO/IEC 27001:2022 - Control A.5.27: Learning from Information Security Incidents</t>
        </is>
      </c>
    </row>
    <row r="3">
      <c r="A3" s="6" t="n"/>
      <c r="B3" s="6" t="n"/>
      <c r="C3" s="6" t="n"/>
      <c r="D3" s="6" t="n"/>
      <c r="E3" s="6" t="n"/>
      <c r="F3" s="6" t="n"/>
      <c r="G3" s="6" t="n"/>
      <c r="H3" s="6" t="n"/>
    </row>
    <row r="4">
      <c r="A4" s="23" t="inlineStr">
        <is>
          <t>Evidence ID</t>
        </is>
      </c>
      <c r="B4" s="23" t="inlineStr">
        <is>
          <t>Evidence Type</t>
        </is>
      </c>
      <c r="C4" s="23" t="inlineStr">
        <is>
          <t>Description</t>
        </is>
      </c>
      <c r="D4" s="23" t="inlineStr">
        <is>
          <t>Related Control / Section</t>
        </is>
      </c>
      <c r="E4" s="23" t="inlineStr">
        <is>
          <t>Collection Date (DD.MM.YYYY)</t>
        </is>
      </c>
      <c r="F4" s="23" t="inlineStr">
        <is>
          <t>Storage Location / Reference</t>
        </is>
      </c>
      <c r="G4" s="23" t="inlineStr">
        <is>
          <t>Collected By</t>
        </is>
      </c>
      <c r="H4" s="23" t="inlineStr">
        <is>
          <t>Status</t>
        </is>
      </c>
    </row>
    <row r="5">
      <c r="A5" s="15" t="inlineStr">
        <is>
          <t>EV-001</t>
        </is>
      </c>
      <c r="B5" s="15" t="inlineStr">
        <is>
          <t>Document</t>
        </is>
      </c>
      <c r="C5" s="15" t="inlineStr">
        <is>
          <t>Sample evidence entry — replace with actual evidence</t>
        </is>
      </c>
      <c r="D5" s="15" t="inlineStr">
        <is>
          <t>All Controls</t>
        </is>
      </c>
      <c r="E5" s="15" t="inlineStr">
        <is>
          <t>01.01.2026</t>
        </is>
      </c>
      <c r="F5" s="15" t="inlineStr">
        <is>
          <t>SharePoint/ISMS/Evidence/</t>
        </is>
      </c>
      <c r="G5" s="15" t="inlineStr">
        <is>
          <t>ISMS Team</t>
        </is>
      </c>
      <c r="H5" s="15" t="inlineStr">
        <is>
          <t>Active</t>
        </is>
      </c>
    </row>
    <row r="6">
      <c r="A6" s="24" t="n"/>
      <c r="B6" s="24" t="n"/>
      <c r="C6" s="24" t="n"/>
      <c r="D6" s="24" t="n"/>
      <c r="E6" s="24" t="n"/>
      <c r="F6" s="24" t="n"/>
      <c r="G6" s="24" t="n"/>
      <c r="H6" s="24" t="n"/>
    </row>
    <row r="7">
      <c r="A7" s="24" t="n"/>
      <c r="B7" s="24" t="n"/>
      <c r="C7" s="24" t="n"/>
      <c r="D7" s="24" t="n"/>
      <c r="E7" s="24" t="n"/>
      <c r="F7" s="24" t="n"/>
      <c r="G7" s="24" t="n"/>
      <c r="H7" s="24" t="n"/>
    </row>
    <row r="8">
      <c r="A8" s="24" t="n"/>
      <c r="B8" s="24" t="n"/>
      <c r="C8" s="24" t="n"/>
      <c r="D8" s="24" t="n"/>
      <c r="E8" s="24" t="n"/>
      <c r="F8" s="24" t="n"/>
      <c r="G8" s="24" t="n"/>
      <c r="H8" s="24" t="n"/>
    </row>
    <row r="9">
      <c r="A9" s="24" t="n"/>
      <c r="B9" s="24" t="n"/>
      <c r="C9" s="24" t="n"/>
      <c r="D9" s="24" t="n"/>
      <c r="E9" s="24" t="n"/>
      <c r="F9" s="24" t="n"/>
      <c r="G9" s="24" t="n"/>
      <c r="H9" s="24" t="n"/>
    </row>
    <row r="10">
      <c r="A10" s="24" t="n"/>
      <c r="B10" s="24" t="n"/>
      <c r="C10" s="24" t="n"/>
      <c r="D10" s="24" t="n"/>
      <c r="E10" s="24" t="n"/>
      <c r="F10" s="24" t="n"/>
      <c r="G10" s="24" t="n"/>
      <c r="H10" s="24" t="n"/>
    </row>
    <row r="11">
      <c r="A11" s="24" t="n"/>
      <c r="B11" s="24" t="n"/>
      <c r="C11" s="24" t="n"/>
      <c r="D11" s="24" t="n"/>
      <c r="E11" s="24" t="n"/>
      <c r="F11" s="24" t="n"/>
      <c r="G11" s="24" t="n"/>
      <c r="H11" s="24" t="n"/>
    </row>
    <row r="12">
      <c r="A12" s="24" t="n"/>
      <c r="B12" s="24" t="n"/>
      <c r="C12" s="24" t="n"/>
      <c r="D12" s="24" t="n"/>
      <c r="E12" s="24" t="n"/>
      <c r="F12" s="24" t="n"/>
      <c r="G12" s="24" t="n"/>
      <c r="H12" s="24" t="n"/>
    </row>
    <row r="13">
      <c r="A13" s="24" t="n"/>
      <c r="B13" s="24" t="n"/>
      <c r="C13" s="24" t="n"/>
      <c r="D13" s="24" t="n"/>
      <c r="E13" s="24" t="n"/>
      <c r="F13" s="24" t="n"/>
      <c r="G13" s="24" t="n"/>
      <c r="H13" s="24" t="n"/>
    </row>
    <row r="14">
      <c r="A14" s="24" t="n"/>
      <c r="B14" s="24" t="n"/>
      <c r="C14" s="24" t="n"/>
      <c r="D14" s="24" t="n"/>
      <c r="E14" s="24" t="n"/>
      <c r="F14" s="24" t="n"/>
      <c r="G14" s="24" t="n"/>
      <c r="H14" s="24" t="n"/>
    </row>
    <row r="15">
      <c r="A15" s="24" t="n"/>
      <c r="B15" s="24" t="n"/>
      <c r="C15" s="24" t="n"/>
      <c r="D15" s="24" t="n"/>
      <c r="E15" s="24" t="n"/>
      <c r="F15" s="24" t="n"/>
      <c r="G15" s="24" t="n"/>
      <c r="H15" s="24" t="n"/>
    </row>
    <row r="16">
      <c r="A16" s="24" t="n"/>
      <c r="B16" s="24" t="n"/>
      <c r="C16" s="24" t="n"/>
      <c r="D16" s="24" t="n"/>
      <c r="E16" s="24" t="n"/>
      <c r="F16" s="24" t="n"/>
      <c r="G16" s="24" t="n"/>
      <c r="H16" s="24" t="n"/>
    </row>
    <row r="17">
      <c r="A17" s="24" t="n"/>
      <c r="B17" s="24" t="n"/>
      <c r="C17" s="24" t="n"/>
      <c r="D17" s="24" t="n"/>
      <c r="E17" s="24" t="n"/>
      <c r="F17" s="24" t="n"/>
      <c r="G17" s="24" t="n"/>
      <c r="H17" s="24" t="n"/>
    </row>
    <row r="18">
      <c r="A18" s="24" t="n"/>
      <c r="B18" s="24" t="n"/>
      <c r="C18" s="24" t="n"/>
      <c r="D18" s="24" t="n"/>
      <c r="E18" s="24" t="n"/>
      <c r="F18" s="24" t="n"/>
      <c r="G18" s="24" t="n"/>
      <c r="H18" s="24" t="n"/>
    </row>
    <row r="19">
      <c r="A19" s="24" t="n"/>
      <c r="B19" s="24" t="n"/>
      <c r="C19" s="24" t="n"/>
      <c r="D19" s="24" t="n"/>
      <c r="E19" s="24" t="n"/>
      <c r="F19" s="24" t="n"/>
      <c r="G19" s="24" t="n"/>
      <c r="H19" s="24" t="n"/>
    </row>
    <row r="20">
      <c r="A20" s="24" t="n"/>
      <c r="B20" s="24" t="n"/>
      <c r="C20" s="24" t="n"/>
      <c r="D20" s="24" t="n"/>
      <c r="E20" s="24" t="n"/>
      <c r="F20" s="24" t="n"/>
      <c r="G20" s="24" t="n"/>
      <c r="H20" s="24" t="n"/>
    </row>
    <row r="21">
      <c r="A21" s="24" t="n"/>
      <c r="B21" s="24" t="n"/>
      <c r="C21" s="24" t="n"/>
      <c r="D21" s="24" t="n"/>
      <c r="E21" s="24" t="n"/>
      <c r="F21" s="24" t="n"/>
      <c r="G21" s="24" t="n"/>
      <c r="H21" s="24" t="n"/>
    </row>
    <row r="22">
      <c r="A22" s="24" t="n"/>
      <c r="B22" s="24" t="n"/>
      <c r="C22" s="24" t="n"/>
      <c r="D22" s="24" t="n"/>
      <c r="E22" s="24" t="n"/>
      <c r="F22" s="24" t="n"/>
      <c r="G22" s="24" t="n"/>
      <c r="H22" s="24" t="n"/>
    </row>
    <row r="23">
      <c r="A23" s="24" t="n"/>
      <c r="B23" s="24" t="n"/>
      <c r="C23" s="24" t="n"/>
      <c r="D23" s="24" t="n"/>
      <c r="E23" s="24" t="n"/>
      <c r="F23" s="24" t="n"/>
      <c r="G23" s="24" t="n"/>
      <c r="H23" s="24" t="n"/>
    </row>
    <row r="24">
      <c r="A24" s="24" t="n"/>
      <c r="B24" s="24" t="n"/>
      <c r="C24" s="24" t="n"/>
      <c r="D24" s="24" t="n"/>
      <c r="E24" s="24" t="n"/>
      <c r="F24" s="24" t="n"/>
      <c r="G24" s="24" t="n"/>
      <c r="H24" s="24" t="n"/>
    </row>
    <row r="25">
      <c r="A25" s="24" t="n"/>
      <c r="B25" s="24" t="n"/>
      <c r="C25" s="24" t="n"/>
      <c r="D25" s="24" t="n"/>
      <c r="E25" s="24" t="n"/>
      <c r="F25" s="24" t="n"/>
      <c r="G25" s="24" t="n"/>
      <c r="H25" s="24" t="n"/>
    </row>
    <row r="26">
      <c r="A26" s="24" t="n"/>
      <c r="B26" s="24" t="n"/>
      <c r="C26" s="24" t="n"/>
      <c r="D26" s="24" t="n"/>
      <c r="E26" s="24" t="n"/>
      <c r="F26" s="24" t="n"/>
      <c r="G26" s="24" t="n"/>
      <c r="H26" s="24" t="n"/>
    </row>
    <row r="27">
      <c r="A27" s="24" t="n"/>
      <c r="B27" s="24" t="n"/>
      <c r="C27" s="24" t="n"/>
      <c r="D27" s="24" t="n"/>
      <c r="E27" s="24" t="n"/>
      <c r="F27" s="24" t="n"/>
      <c r="G27" s="24" t="n"/>
      <c r="H27" s="24" t="n"/>
    </row>
    <row r="28">
      <c r="A28" s="24" t="n"/>
      <c r="B28" s="24" t="n"/>
      <c r="C28" s="24" t="n"/>
      <c r="D28" s="24" t="n"/>
      <c r="E28" s="24" t="n"/>
      <c r="F28" s="24" t="n"/>
      <c r="G28" s="24" t="n"/>
      <c r="H28" s="24" t="n"/>
    </row>
    <row r="29">
      <c r="A29" s="24" t="n"/>
      <c r="B29" s="24" t="n"/>
      <c r="C29" s="24" t="n"/>
      <c r="D29" s="24" t="n"/>
      <c r="E29" s="24" t="n"/>
      <c r="F29" s="24" t="n"/>
      <c r="G29" s="24" t="n"/>
      <c r="H29" s="24" t="n"/>
    </row>
    <row r="30">
      <c r="A30" s="24" t="n"/>
      <c r="B30" s="24" t="n"/>
      <c r="C30" s="24" t="n"/>
      <c r="D30" s="24" t="n"/>
      <c r="E30" s="24" t="n"/>
      <c r="F30" s="24" t="n"/>
      <c r="G30" s="24" t="n"/>
      <c r="H30" s="24" t="n"/>
    </row>
    <row r="31">
      <c r="A31" s="24" t="n"/>
      <c r="B31" s="24" t="n"/>
      <c r="C31" s="24" t="n"/>
      <c r="D31" s="24" t="n"/>
      <c r="E31" s="24" t="n"/>
      <c r="F31" s="24" t="n"/>
      <c r="G31" s="24" t="n"/>
      <c r="H31" s="24" t="n"/>
    </row>
    <row r="32">
      <c r="A32" s="24" t="n"/>
      <c r="B32" s="24" t="n"/>
      <c r="C32" s="24" t="n"/>
      <c r="D32" s="24" t="n"/>
      <c r="E32" s="24" t="n"/>
      <c r="F32" s="24" t="n"/>
      <c r="G32" s="24" t="n"/>
      <c r="H32" s="24" t="n"/>
    </row>
    <row r="33">
      <c r="A33" s="24" t="n"/>
      <c r="B33" s="24" t="n"/>
      <c r="C33" s="24" t="n"/>
      <c r="D33" s="24" t="n"/>
      <c r="E33" s="24" t="n"/>
      <c r="F33" s="24" t="n"/>
      <c r="G33" s="24" t="n"/>
      <c r="H33" s="24" t="n"/>
    </row>
    <row r="34">
      <c r="A34" s="24" t="n"/>
      <c r="B34" s="24" t="n"/>
      <c r="C34" s="24" t="n"/>
      <c r="D34" s="24" t="n"/>
      <c r="E34" s="24" t="n"/>
      <c r="F34" s="24" t="n"/>
      <c r="G34" s="24" t="n"/>
      <c r="H34" s="24" t="n"/>
    </row>
    <row r="35">
      <c r="A35" s="24" t="n"/>
      <c r="B35" s="24" t="n"/>
      <c r="C35" s="24" t="n"/>
      <c r="D35" s="24" t="n"/>
      <c r="E35" s="24" t="n"/>
      <c r="F35" s="24" t="n"/>
      <c r="G35" s="24" t="n"/>
      <c r="H35" s="24" t="n"/>
    </row>
    <row r="36">
      <c r="A36" s="24" t="n"/>
      <c r="B36" s="24" t="n"/>
      <c r="C36" s="24" t="n"/>
      <c r="D36" s="24" t="n"/>
      <c r="E36" s="24" t="n"/>
      <c r="F36" s="24" t="n"/>
      <c r="G36" s="24" t="n"/>
      <c r="H36" s="24" t="n"/>
    </row>
    <row r="37">
      <c r="A37" s="24" t="n"/>
      <c r="B37" s="24" t="n"/>
      <c r="C37" s="24" t="n"/>
      <c r="D37" s="24" t="n"/>
      <c r="E37" s="24" t="n"/>
      <c r="F37" s="24" t="n"/>
      <c r="G37" s="24" t="n"/>
      <c r="H37" s="24" t="n"/>
    </row>
    <row r="38">
      <c r="A38" s="24" t="n"/>
      <c r="B38" s="24" t="n"/>
      <c r="C38" s="24" t="n"/>
      <c r="D38" s="24" t="n"/>
      <c r="E38" s="24" t="n"/>
      <c r="F38" s="24" t="n"/>
      <c r="G38" s="24" t="n"/>
      <c r="H38" s="24" t="n"/>
    </row>
    <row r="39">
      <c r="A39" s="24" t="n"/>
      <c r="B39" s="24" t="n"/>
      <c r="C39" s="24" t="n"/>
      <c r="D39" s="24" t="n"/>
      <c r="E39" s="24" t="n"/>
      <c r="F39" s="24" t="n"/>
      <c r="G39" s="24" t="n"/>
      <c r="H39" s="24" t="n"/>
    </row>
    <row r="40">
      <c r="A40" s="24" t="n"/>
      <c r="B40" s="24" t="n"/>
      <c r="C40" s="24" t="n"/>
      <c r="D40" s="24" t="n"/>
      <c r="E40" s="24" t="n"/>
      <c r="F40" s="24" t="n"/>
      <c r="G40" s="24" t="n"/>
      <c r="H40" s="24" t="n"/>
    </row>
    <row r="41">
      <c r="A41" s="24" t="n"/>
      <c r="B41" s="24" t="n"/>
      <c r="C41" s="24" t="n"/>
      <c r="D41" s="24" t="n"/>
      <c r="E41" s="24" t="n"/>
      <c r="F41" s="24" t="n"/>
      <c r="G41" s="24" t="n"/>
      <c r="H41" s="24" t="n"/>
    </row>
    <row r="42">
      <c r="A42" s="24" t="n"/>
      <c r="B42" s="24" t="n"/>
      <c r="C42" s="24" t="n"/>
      <c r="D42" s="24" t="n"/>
      <c r="E42" s="24" t="n"/>
      <c r="F42" s="24" t="n"/>
      <c r="G42" s="24" t="n"/>
      <c r="H42" s="24" t="n"/>
    </row>
    <row r="43">
      <c r="A43" s="24" t="n"/>
      <c r="B43" s="24" t="n"/>
      <c r="C43" s="24" t="n"/>
      <c r="D43" s="24" t="n"/>
      <c r="E43" s="24" t="n"/>
      <c r="F43" s="24" t="n"/>
      <c r="G43" s="24" t="n"/>
      <c r="H43" s="24" t="n"/>
    </row>
    <row r="44">
      <c r="A44" s="24" t="n"/>
      <c r="B44" s="24" t="n"/>
      <c r="C44" s="24" t="n"/>
      <c r="D44" s="24" t="n"/>
      <c r="E44" s="24" t="n"/>
      <c r="F44" s="24" t="n"/>
      <c r="G44" s="24" t="n"/>
      <c r="H44" s="24" t="n"/>
    </row>
    <row r="45">
      <c r="A45" s="24" t="n"/>
      <c r="B45" s="24" t="n"/>
      <c r="C45" s="24" t="n"/>
      <c r="D45" s="24" t="n"/>
      <c r="E45" s="24" t="n"/>
      <c r="F45" s="24" t="n"/>
      <c r="G45" s="24" t="n"/>
      <c r="H45" s="24" t="n"/>
    </row>
    <row r="46">
      <c r="A46" s="24" t="n"/>
      <c r="B46" s="24" t="n"/>
      <c r="C46" s="24" t="n"/>
      <c r="D46" s="24" t="n"/>
      <c r="E46" s="24" t="n"/>
      <c r="F46" s="24" t="n"/>
      <c r="G46" s="24" t="n"/>
      <c r="H46" s="24" t="n"/>
    </row>
    <row r="47">
      <c r="A47" s="24" t="n"/>
      <c r="B47" s="24" t="n"/>
      <c r="C47" s="24" t="n"/>
      <c r="D47" s="24" t="n"/>
      <c r="E47" s="24" t="n"/>
      <c r="F47" s="24" t="n"/>
      <c r="G47" s="24" t="n"/>
      <c r="H47" s="24" t="n"/>
    </row>
    <row r="48">
      <c r="A48" s="24" t="n"/>
      <c r="B48" s="24" t="n"/>
      <c r="C48" s="24" t="n"/>
      <c r="D48" s="24" t="n"/>
      <c r="E48" s="24" t="n"/>
      <c r="F48" s="24" t="n"/>
      <c r="G48" s="24" t="n"/>
      <c r="H48" s="24" t="n"/>
    </row>
    <row r="49">
      <c r="A49" s="24" t="n"/>
      <c r="B49" s="24" t="n"/>
      <c r="C49" s="24" t="n"/>
      <c r="D49" s="24" t="n"/>
      <c r="E49" s="24" t="n"/>
      <c r="F49" s="24" t="n"/>
      <c r="G49" s="24" t="n"/>
      <c r="H49" s="24" t="n"/>
    </row>
    <row r="50">
      <c r="A50" s="24" t="n"/>
      <c r="B50" s="24" t="n"/>
      <c r="C50" s="24" t="n"/>
      <c r="D50" s="24" t="n"/>
      <c r="E50" s="24" t="n"/>
      <c r="F50" s="24" t="n"/>
      <c r="G50" s="24" t="n"/>
      <c r="H50" s="24" t="n"/>
    </row>
    <row r="51">
      <c r="A51" s="24" t="n"/>
      <c r="B51" s="24" t="n"/>
      <c r="C51" s="24" t="n"/>
      <c r="D51" s="24" t="n"/>
      <c r="E51" s="24" t="n"/>
      <c r="F51" s="24" t="n"/>
      <c r="G51" s="24" t="n"/>
      <c r="H51" s="24" t="n"/>
    </row>
    <row r="52">
      <c r="A52" s="24" t="n"/>
      <c r="B52" s="24" t="n"/>
      <c r="C52" s="24" t="n"/>
      <c r="D52" s="24" t="n"/>
      <c r="E52" s="24" t="n"/>
      <c r="F52" s="24" t="n"/>
      <c r="G52" s="24" t="n"/>
      <c r="H52" s="24" t="n"/>
    </row>
    <row r="53">
      <c r="A53" s="24" t="n"/>
      <c r="B53" s="24" t="n"/>
      <c r="C53" s="24" t="n"/>
      <c r="D53" s="24" t="n"/>
      <c r="E53" s="24" t="n"/>
      <c r="F53" s="24" t="n"/>
      <c r="G53" s="24" t="n"/>
      <c r="H53" s="24" t="n"/>
    </row>
    <row r="54">
      <c r="A54" s="24" t="n"/>
      <c r="B54" s="24" t="n"/>
      <c r="C54" s="24" t="n"/>
      <c r="D54" s="24" t="n"/>
      <c r="E54" s="24" t="n"/>
      <c r="F54" s="24" t="n"/>
      <c r="G54" s="24" t="n"/>
      <c r="H54" s="24" t="n"/>
    </row>
    <row r="55">
      <c r="A55" s="24" t="n"/>
      <c r="B55" s="24" t="n"/>
      <c r="C55" s="24" t="n"/>
      <c r="D55" s="24" t="n"/>
      <c r="E55" s="24" t="n"/>
      <c r="F55" s="24" t="n"/>
      <c r="G55" s="24" t="n"/>
      <c r="H55" s="24" t="n"/>
    </row>
    <row r="56">
      <c r="A56" s="24" t="n"/>
      <c r="B56" s="24" t="n"/>
      <c r="C56" s="24" t="n"/>
      <c r="D56" s="24" t="n"/>
      <c r="E56" s="24" t="n"/>
      <c r="F56" s="24" t="n"/>
      <c r="G56" s="24" t="n"/>
      <c r="H56" s="24" t="n"/>
    </row>
    <row r="57">
      <c r="A57" s="24" t="n"/>
      <c r="B57" s="24" t="n"/>
      <c r="C57" s="24" t="n"/>
      <c r="D57" s="24" t="n"/>
      <c r="E57" s="24" t="n"/>
      <c r="F57" s="24" t="n"/>
      <c r="G57" s="24" t="n"/>
      <c r="H57" s="24" t="n"/>
    </row>
    <row r="58">
      <c r="A58" s="24" t="n"/>
      <c r="B58" s="24" t="n"/>
      <c r="C58" s="24" t="n"/>
      <c r="D58" s="24" t="n"/>
      <c r="E58" s="24" t="n"/>
      <c r="F58" s="24" t="n"/>
      <c r="G58" s="24" t="n"/>
      <c r="H58" s="24" t="n"/>
    </row>
    <row r="59">
      <c r="A59" s="24" t="n"/>
      <c r="B59" s="24" t="n"/>
      <c r="C59" s="24" t="n"/>
      <c r="D59" s="24" t="n"/>
      <c r="E59" s="24" t="n"/>
      <c r="F59" s="24" t="n"/>
      <c r="G59" s="24" t="n"/>
      <c r="H59" s="24" t="n"/>
    </row>
    <row r="60">
      <c r="A60" s="24" t="n"/>
      <c r="B60" s="24" t="n"/>
      <c r="C60" s="24" t="n"/>
      <c r="D60" s="24" t="n"/>
      <c r="E60" s="24" t="n"/>
      <c r="F60" s="24" t="n"/>
      <c r="G60" s="24" t="n"/>
      <c r="H60" s="24" t="n"/>
    </row>
    <row r="61">
      <c r="A61" s="24" t="n"/>
      <c r="B61" s="24" t="n"/>
      <c r="C61" s="24" t="n"/>
      <c r="D61" s="24" t="n"/>
      <c r="E61" s="24" t="n"/>
      <c r="F61" s="24" t="n"/>
      <c r="G61" s="24" t="n"/>
      <c r="H61" s="24" t="n"/>
    </row>
    <row r="62">
      <c r="A62" s="24" t="n"/>
      <c r="B62" s="24" t="n"/>
      <c r="C62" s="24" t="n"/>
      <c r="D62" s="24" t="n"/>
      <c r="E62" s="24" t="n"/>
      <c r="F62" s="24" t="n"/>
      <c r="G62" s="24" t="n"/>
      <c r="H62" s="24" t="n"/>
    </row>
    <row r="63">
      <c r="A63" s="24" t="n"/>
      <c r="B63" s="24" t="n"/>
      <c r="C63" s="24" t="n"/>
      <c r="D63" s="24" t="n"/>
      <c r="E63" s="24" t="n"/>
      <c r="F63" s="24" t="n"/>
      <c r="G63" s="24" t="n"/>
      <c r="H63" s="24" t="n"/>
    </row>
    <row r="64">
      <c r="A64" s="24" t="n"/>
      <c r="B64" s="24" t="n"/>
      <c r="C64" s="24" t="n"/>
      <c r="D64" s="24" t="n"/>
      <c r="E64" s="24" t="n"/>
      <c r="F64" s="24" t="n"/>
      <c r="G64" s="24" t="n"/>
      <c r="H64" s="24" t="n"/>
    </row>
    <row r="65">
      <c r="A65" s="24" t="n"/>
      <c r="B65" s="24" t="n"/>
      <c r="C65" s="24" t="n"/>
      <c r="D65" s="24" t="n"/>
      <c r="E65" s="24" t="n"/>
      <c r="F65" s="24" t="n"/>
      <c r="G65" s="24" t="n"/>
      <c r="H65" s="24" t="n"/>
    </row>
    <row r="66">
      <c r="A66" s="24" t="n"/>
      <c r="B66" s="24" t="n"/>
      <c r="C66" s="24" t="n"/>
      <c r="D66" s="24" t="n"/>
      <c r="E66" s="24" t="n"/>
      <c r="F66" s="24" t="n"/>
      <c r="G66" s="24" t="n"/>
      <c r="H66" s="24" t="n"/>
    </row>
    <row r="67">
      <c r="A67" s="24" t="n"/>
      <c r="B67" s="24" t="n"/>
      <c r="C67" s="24" t="n"/>
      <c r="D67" s="24" t="n"/>
      <c r="E67" s="24" t="n"/>
      <c r="F67" s="24" t="n"/>
      <c r="G67" s="24" t="n"/>
      <c r="H67" s="24" t="n"/>
    </row>
    <row r="68">
      <c r="A68" s="24" t="n"/>
      <c r="B68" s="24" t="n"/>
      <c r="C68" s="24" t="n"/>
      <c r="D68" s="24" t="n"/>
      <c r="E68" s="24" t="n"/>
      <c r="F68" s="24" t="n"/>
      <c r="G68" s="24" t="n"/>
      <c r="H68" s="24" t="n"/>
    </row>
    <row r="69">
      <c r="A69" s="24" t="n"/>
      <c r="B69" s="24" t="n"/>
      <c r="C69" s="24" t="n"/>
      <c r="D69" s="24" t="n"/>
      <c r="E69" s="24" t="n"/>
      <c r="F69" s="24" t="n"/>
      <c r="G69" s="24" t="n"/>
      <c r="H69" s="24" t="n"/>
    </row>
    <row r="70">
      <c r="A70" s="24" t="n"/>
      <c r="B70" s="24" t="n"/>
      <c r="C70" s="24" t="n"/>
      <c r="D70" s="24" t="n"/>
      <c r="E70" s="24" t="n"/>
      <c r="F70" s="24" t="n"/>
      <c r="G70" s="24" t="n"/>
      <c r="H70" s="24" t="n"/>
    </row>
    <row r="71">
      <c r="A71" s="24" t="n"/>
      <c r="B71" s="24" t="n"/>
      <c r="C71" s="24" t="n"/>
      <c r="D71" s="24" t="n"/>
      <c r="E71" s="24" t="n"/>
      <c r="F71" s="24" t="n"/>
      <c r="G71" s="24" t="n"/>
      <c r="H71" s="24" t="n"/>
    </row>
    <row r="72">
      <c r="A72" s="24" t="n"/>
      <c r="B72" s="24" t="n"/>
      <c r="C72" s="24" t="n"/>
      <c r="D72" s="24" t="n"/>
      <c r="E72" s="24" t="n"/>
      <c r="F72" s="24" t="n"/>
      <c r="G72" s="24" t="n"/>
      <c r="H72" s="24" t="n"/>
    </row>
    <row r="73">
      <c r="A73" s="24" t="n"/>
      <c r="B73" s="24" t="n"/>
      <c r="C73" s="24" t="n"/>
      <c r="D73" s="24" t="n"/>
      <c r="E73" s="24" t="n"/>
      <c r="F73" s="24" t="n"/>
      <c r="G73" s="24" t="n"/>
      <c r="H73" s="24" t="n"/>
    </row>
    <row r="74">
      <c r="A74" s="24" t="n"/>
      <c r="B74" s="24" t="n"/>
      <c r="C74" s="24" t="n"/>
      <c r="D74" s="24" t="n"/>
      <c r="E74" s="24" t="n"/>
      <c r="F74" s="24" t="n"/>
      <c r="G74" s="24" t="n"/>
      <c r="H74" s="24" t="n"/>
    </row>
    <row r="75">
      <c r="A75" s="24" t="n"/>
      <c r="B75" s="24" t="n"/>
      <c r="C75" s="24" t="n"/>
      <c r="D75" s="24" t="n"/>
      <c r="E75" s="24" t="n"/>
      <c r="F75" s="24" t="n"/>
      <c r="G75" s="24" t="n"/>
      <c r="H75" s="24" t="n"/>
    </row>
    <row r="76">
      <c r="A76" s="24" t="n"/>
      <c r="B76" s="24" t="n"/>
      <c r="C76" s="24" t="n"/>
      <c r="D76" s="24" t="n"/>
      <c r="E76" s="24" t="n"/>
      <c r="F76" s="24" t="n"/>
      <c r="G76" s="24" t="n"/>
      <c r="H76" s="24" t="n"/>
    </row>
    <row r="77">
      <c r="A77" s="24" t="n"/>
      <c r="B77" s="24" t="n"/>
      <c r="C77" s="24" t="n"/>
      <c r="D77" s="24" t="n"/>
      <c r="E77" s="24" t="n"/>
      <c r="F77" s="24" t="n"/>
      <c r="G77" s="24" t="n"/>
      <c r="H77" s="24" t="n"/>
    </row>
    <row r="78">
      <c r="A78" s="24" t="n"/>
      <c r="B78" s="24" t="n"/>
      <c r="C78" s="24" t="n"/>
      <c r="D78" s="24" t="n"/>
      <c r="E78" s="24" t="n"/>
      <c r="F78" s="24" t="n"/>
      <c r="G78" s="24" t="n"/>
      <c r="H78" s="24" t="n"/>
    </row>
    <row r="79">
      <c r="A79" s="24" t="n"/>
      <c r="B79" s="24" t="n"/>
      <c r="C79" s="24" t="n"/>
      <c r="D79" s="24" t="n"/>
      <c r="E79" s="24" t="n"/>
      <c r="F79" s="24" t="n"/>
      <c r="G79" s="24" t="n"/>
      <c r="H79" s="24" t="n"/>
    </row>
    <row r="80">
      <c r="A80" s="24" t="n"/>
      <c r="B80" s="24" t="n"/>
      <c r="C80" s="24" t="n"/>
      <c r="D80" s="24" t="n"/>
      <c r="E80" s="24" t="n"/>
      <c r="F80" s="24" t="n"/>
      <c r="G80" s="24" t="n"/>
      <c r="H80" s="24" t="n"/>
    </row>
    <row r="81">
      <c r="A81" s="24" t="n"/>
      <c r="B81" s="24" t="n"/>
      <c r="C81" s="24" t="n"/>
      <c r="D81" s="24" t="n"/>
      <c r="E81" s="24" t="n"/>
      <c r="F81" s="24" t="n"/>
      <c r="G81" s="24" t="n"/>
      <c r="H81" s="24" t="n"/>
    </row>
    <row r="82">
      <c r="A82" s="24" t="n"/>
      <c r="B82" s="24" t="n"/>
      <c r="C82" s="24" t="n"/>
      <c r="D82" s="24" t="n"/>
      <c r="E82" s="24" t="n"/>
      <c r="F82" s="24" t="n"/>
      <c r="G82" s="24" t="n"/>
      <c r="H82" s="24" t="n"/>
    </row>
    <row r="83">
      <c r="A83" s="24" t="n"/>
      <c r="B83" s="24" t="n"/>
      <c r="C83" s="24" t="n"/>
      <c r="D83" s="24" t="n"/>
      <c r="E83" s="24" t="n"/>
      <c r="F83" s="24" t="n"/>
      <c r="G83" s="24" t="n"/>
      <c r="H83" s="24" t="n"/>
    </row>
    <row r="84">
      <c r="A84" s="24" t="n"/>
      <c r="B84" s="24" t="n"/>
      <c r="C84" s="24" t="n"/>
      <c r="D84" s="24" t="n"/>
      <c r="E84" s="24" t="n"/>
      <c r="F84" s="24" t="n"/>
      <c r="G84" s="24" t="n"/>
      <c r="H84" s="24" t="n"/>
    </row>
    <row r="85">
      <c r="A85" s="24" t="n"/>
      <c r="B85" s="24" t="n"/>
      <c r="C85" s="24" t="n"/>
      <c r="D85" s="24" t="n"/>
      <c r="E85" s="24" t="n"/>
      <c r="F85" s="24" t="n"/>
      <c r="G85" s="24" t="n"/>
      <c r="H85" s="24" t="n"/>
    </row>
    <row r="86">
      <c r="A86" s="24" t="n"/>
      <c r="B86" s="24" t="n"/>
      <c r="C86" s="24" t="n"/>
      <c r="D86" s="24" t="n"/>
      <c r="E86" s="24" t="n"/>
      <c r="F86" s="24" t="n"/>
      <c r="G86" s="24" t="n"/>
      <c r="H86" s="24" t="n"/>
    </row>
    <row r="87">
      <c r="A87" s="24" t="n"/>
      <c r="B87" s="24" t="n"/>
      <c r="C87" s="24" t="n"/>
      <c r="D87" s="24" t="n"/>
      <c r="E87" s="24" t="n"/>
      <c r="F87" s="24" t="n"/>
      <c r="G87" s="24" t="n"/>
      <c r="H87" s="24" t="n"/>
    </row>
    <row r="88">
      <c r="A88" s="24" t="n"/>
      <c r="B88" s="24" t="n"/>
      <c r="C88" s="24" t="n"/>
      <c r="D88" s="24" t="n"/>
      <c r="E88" s="24" t="n"/>
      <c r="F88" s="24" t="n"/>
      <c r="G88" s="24" t="n"/>
      <c r="H88" s="24" t="n"/>
    </row>
    <row r="89">
      <c r="A89" s="24" t="n"/>
      <c r="B89" s="24" t="n"/>
      <c r="C89" s="24" t="n"/>
      <c r="D89" s="24" t="n"/>
      <c r="E89" s="24" t="n"/>
      <c r="F89" s="24" t="n"/>
      <c r="G89" s="24" t="n"/>
      <c r="H89" s="24" t="n"/>
    </row>
    <row r="90">
      <c r="A90" s="24" t="n"/>
      <c r="B90" s="24" t="n"/>
      <c r="C90" s="24" t="n"/>
      <c r="D90" s="24" t="n"/>
      <c r="E90" s="24" t="n"/>
      <c r="F90" s="24" t="n"/>
      <c r="G90" s="24" t="n"/>
      <c r="H90" s="24" t="n"/>
    </row>
    <row r="91">
      <c r="A91" s="24" t="n"/>
      <c r="B91" s="24" t="n"/>
      <c r="C91" s="24" t="n"/>
      <c r="D91" s="24" t="n"/>
      <c r="E91" s="24" t="n"/>
      <c r="F91" s="24" t="n"/>
      <c r="G91" s="24" t="n"/>
      <c r="H91" s="24" t="n"/>
    </row>
    <row r="92">
      <c r="A92" s="24" t="n"/>
      <c r="B92" s="24" t="n"/>
      <c r="C92" s="24" t="n"/>
      <c r="D92" s="24" t="n"/>
      <c r="E92" s="24" t="n"/>
      <c r="F92" s="24" t="n"/>
      <c r="G92" s="24" t="n"/>
      <c r="H92" s="24" t="n"/>
    </row>
    <row r="93">
      <c r="A93" s="24" t="n"/>
      <c r="B93" s="24" t="n"/>
      <c r="C93" s="24" t="n"/>
      <c r="D93" s="24" t="n"/>
      <c r="E93" s="24" t="n"/>
      <c r="F93" s="24" t="n"/>
      <c r="G93" s="24" t="n"/>
      <c r="H93" s="24" t="n"/>
    </row>
    <row r="94">
      <c r="A94" s="24" t="n"/>
      <c r="B94" s="24" t="n"/>
      <c r="C94" s="24" t="n"/>
      <c r="D94" s="24" t="n"/>
      <c r="E94" s="24" t="n"/>
      <c r="F94" s="24" t="n"/>
      <c r="G94" s="24" t="n"/>
      <c r="H94" s="24" t="n"/>
    </row>
    <row r="95">
      <c r="A95" s="24" t="n"/>
      <c r="B95" s="24" t="n"/>
      <c r="C95" s="24" t="n"/>
      <c r="D95" s="24" t="n"/>
      <c r="E95" s="24" t="n"/>
      <c r="F95" s="24" t="n"/>
      <c r="G95" s="24" t="n"/>
      <c r="H95" s="24" t="n"/>
    </row>
    <row r="96">
      <c r="A96" s="24" t="n"/>
      <c r="B96" s="24" t="n"/>
      <c r="C96" s="24" t="n"/>
      <c r="D96" s="24" t="n"/>
      <c r="E96" s="24" t="n"/>
      <c r="F96" s="24" t="n"/>
      <c r="G96" s="24" t="n"/>
      <c r="H96" s="24" t="n"/>
    </row>
    <row r="97">
      <c r="A97" s="24" t="n"/>
      <c r="B97" s="24" t="n"/>
      <c r="C97" s="24" t="n"/>
      <c r="D97" s="24" t="n"/>
      <c r="E97" s="24" t="n"/>
      <c r="F97" s="24" t="n"/>
      <c r="G97" s="24" t="n"/>
      <c r="H97" s="24" t="n"/>
    </row>
    <row r="98">
      <c r="A98" s="24" t="n"/>
      <c r="B98" s="24" t="n"/>
      <c r="C98" s="24" t="n"/>
      <c r="D98" s="24" t="n"/>
      <c r="E98" s="24" t="n"/>
      <c r="F98" s="24" t="n"/>
      <c r="G98" s="24" t="n"/>
      <c r="H98" s="24" t="n"/>
    </row>
    <row r="99">
      <c r="A99" s="24" t="n"/>
      <c r="B99" s="24" t="n"/>
      <c r="C99" s="24" t="n"/>
      <c r="D99" s="24" t="n"/>
      <c r="E99" s="24" t="n"/>
      <c r="F99" s="24" t="n"/>
      <c r="G99" s="24" t="n"/>
      <c r="H99" s="24" t="n"/>
    </row>
    <row r="100">
      <c r="A100" s="24" t="n"/>
      <c r="B100" s="24" t="n"/>
      <c r="C100" s="24" t="n"/>
      <c r="D100" s="24" t="n"/>
      <c r="E100" s="24" t="n"/>
      <c r="F100" s="24" t="n"/>
      <c r="G100" s="24" t="n"/>
      <c r="H100" s="24" t="n"/>
    </row>
    <row r="101">
      <c r="A101" s="24" t="n"/>
      <c r="B101" s="24" t="n"/>
      <c r="C101" s="24" t="n"/>
      <c r="D101" s="24" t="n"/>
      <c r="E101" s="24" t="n"/>
      <c r="F101" s="24" t="n"/>
      <c r="G101" s="24" t="n"/>
      <c r="H101" s="24" t="n"/>
    </row>
    <row r="102">
      <c r="A102" s="24" t="n"/>
      <c r="B102" s="24" t="n"/>
      <c r="C102" s="24" t="n"/>
      <c r="D102" s="24" t="n"/>
      <c r="E102" s="24" t="n"/>
      <c r="F102" s="24" t="n"/>
      <c r="G102" s="24" t="n"/>
      <c r="H102" s="24" t="n"/>
    </row>
    <row r="103">
      <c r="A103" s="24" t="n"/>
      <c r="B103" s="24" t="n"/>
      <c r="C103" s="24" t="n"/>
      <c r="D103" s="24" t="n"/>
      <c r="E103" s="24" t="n"/>
      <c r="F103" s="24" t="n"/>
      <c r="G103" s="24" t="n"/>
      <c r="H103" s="24" t="n"/>
    </row>
    <row r="104">
      <c r="A104" s="24" t="n"/>
      <c r="B104" s="24" t="n"/>
      <c r="C104" s="24" t="n"/>
      <c r="D104" s="24" t="n"/>
      <c r="E104" s="24" t="n"/>
      <c r="F104" s="24" t="n"/>
      <c r="G104" s="24" t="n"/>
      <c r="H104" s="24" t="n"/>
    </row>
    <row r="105">
      <c r="A105" s="24" t="n"/>
      <c r="B105" s="24" t="n"/>
      <c r="C105" s="24" t="n"/>
      <c r="D105" s="24" t="n"/>
      <c r="E105" s="24" t="n"/>
      <c r="F105" s="24" t="n"/>
      <c r="G105" s="24" t="n"/>
      <c r="H105" s="24"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32" customWidth="1" min="1" max="1"/>
    <col width="14" customWidth="1" min="2" max="2"/>
    <col width="14" customWidth="1" min="3" max="3"/>
    <col width="14" customWidth="1" min="4" max="4"/>
    <col width="12" customWidth="1" min="5" max="5"/>
    <col width="10" customWidth="1" min="6" max="6"/>
    <col width="14" customWidth="1" min="7" max="7"/>
  </cols>
  <sheetData>
    <row r="1" ht="35" customHeight="1">
      <c r="A1" s="21" t="inlineStr">
        <is>
          <t>Learning &amp; Continuous Improvement — SUMMARY DASHBOARD</t>
        </is>
      </c>
      <c r="B1" s="6" t="n"/>
      <c r="C1" s="6" t="n"/>
      <c r="D1" s="6" t="n"/>
      <c r="E1" s="6" t="n"/>
      <c r="F1" s="6" t="n"/>
      <c r="G1" s="6" t="n"/>
    </row>
    <row r="2">
      <c r="A2" s="25" t="inlineStr">
        <is>
          <t>ISO/IEC 27001:2022 - Control A.5.27: Learning from Information Security Incidents</t>
        </is>
      </c>
      <c r="B2" s="6" t="n"/>
      <c r="C2" s="6" t="n"/>
      <c r="D2" s="6" t="n"/>
      <c r="E2" s="6" t="n"/>
      <c r="F2" s="6" t="n"/>
      <c r="G2" s="6" t="n"/>
    </row>
    <row r="3">
      <c r="A3" s="26" t="inlineStr">
        <is>
          <t>COMPLIANCE ASSESSMENT SUMMARY</t>
        </is>
      </c>
      <c r="B3" s="6" t="n"/>
      <c r="C3" s="6" t="n"/>
      <c r="D3" s="6" t="n"/>
      <c r="E3" s="6" t="n"/>
      <c r="F3" s="6" t="n"/>
      <c r="G3" s="6" t="n"/>
    </row>
    <row r="4" ht="30" customHeight="1">
      <c r="A4" s="27" t="inlineStr">
        <is>
          <t>Assessment Area</t>
        </is>
      </c>
      <c r="B4" s="27" t="inlineStr">
        <is>
          <t>Records</t>
        </is>
      </c>
      <c r="C4" s="27" t="inlineStr">
        <is>
          <t>Completed</t>
        </is>
      </c>
      <c r="D4" s="27" t="inlineStr">
        <is>
          <t>In Progress</t>
        </is>
      </c>
      <c r="E4" s="27" t="inlineStr">
        <is>
          <t>Not Done</t>
        </is>
      </c>
      <c r="F4" s="27" t="inlineStr">
        <is>
          <t>Target</t>
        </is>
      </c>
      <c r="G4" s="27" t="inlineStr">
        <is>
          <t>Completion %</t>
        </is>
      </c>
    </row>
    <row r="5">
      <c r="A5" s="28" t="inlineStr">
        <is>
          <t>PIR Process</t>
        </is>
      </c>
      <c r="B5" s="28">
        <f>COUNTA('PIR Process'!A6:A100)</f>
        <v/>
      </c>
      <c r="C5" s="28">
        <f>COUNTIF('PIR Process'!E5:E100,"Completed")</f>
        <v/>
      </c>
      <c r="D5" s="28">
        <f>COUNTIF('PIR Process'!E5:E100,"Pending")</f>
        <v/>
      </c>
      <c r="E5" s="28">
        <f>COUNTIF('PIR Process'!E5:E100,"Overdue")</f>
        <v/>
      </c>
      <c r="F5" s="28" t="inlineStr">
        <is>
          <t>95%</t>
        </is>
      </c>
      <c r="G5" s="29">
        <f>IFERROR(C5/(C5+D5+E5)*100,0)</f>
        <v/>
      </c>
    </row>
    <row r="6">
      <c r="A6" s="28" t="inlineStr">
        <is>
          <t>Root Cause Analysis</t>
        </is>
      </c>
      <c r="B6" s="28">
        <f>COUNTA('Root Cause Analysis'!A6:A100)</f>
        <v/>
      </c>
      <c r="C6" s="28">
        <f>COUNTIF('Root Cause Analysis'!C5:C100,"Completed")</f>
        <v/>
      </c>
      <c r="D6" s="28">
        <f>COUNTIF('Root Cause Analysis'!C5:C100,"In_Progress")</f>
        <v/>
      </c>
      <c r="E6" s="28">
        <f>COUNTIF('Root Cause Analysis'!C5:C100,"Not_Performed")</f>
        <v/>
      </c>
      <c r="F6" s="28" t="inlineStr">
        <is>
          <t>90%</t>
        </is>
      </c>
      <c r="G6" s="29">
        <f>IFERROR(C6/(C6+D6+E6)*100,0)</f>
        <v/>
      </c>
    </row>
    <row r="7">
      <c r="A7" s="28" t="inlineStr">
        <is>
          <t>Lessons Learned</t>
        </is>
      </c>
      <c r="B7" s="28">
        <f>COUNTA('Lessons Learned'!A6:A100)</f>
        <v/>
      </c>
      <c r="C7" s="28">
        <f>COUNTIF('Lessons Learned'!F5:F100,"Yes")</f>
        <v/>
      </c>
      <c r="D7" s="28">
        <f>COUNTIF('Lessons Learned'!F5:F100,"N/A")</f>
        <v/>
      </c>
      <c r="E7" s="28">
        <f>COUNTIF('Lessons Learned'!F5:F100,"No")</f>
        <v/>
      </c>
      <c r="F7" s="28" t="inlineStr">
        <is>
          <t>85%</t>
        </is>
      </c>
      <c r="G7" s="29">
        <f>IFERROR(C7/(C7+D7+E7)*100,0)</f>
        <v/>
      </c>
    </row>
    <row r="8">
      <c r="A8" s="28" t="inlineStr">
        <is>
          <t>Control Improvements</t>
        </is>
      </c>
      <c r="B8" s="28">
        <f>COUNTA('Control Improvements'!A6:A100)</f>
        <v/>
      </c>
      <c r="C8" s="28">
        <f>COUNTIF('Control Improvements'!G5:G100,"Completed")</f>
        <v/>
      </c>
      <c r="D8" s="28">
        <f>COUNTIF('Control Improvements'!G5:G100,"In_Progress")+COUNTIF('Control Improvements'!G5:G100,"Open")</f>
        <v/>
      </c>
      <c r="E8" s="28">
        <f>COUNTIF('Control Improvements'!G5:G100,"Blocked")+COUNTIF('Control Improvements'!G5:G100,"Cancelled")</f>
        <v/>
      </c>
      <c r="F8" s="28" t="inlineStr">
        <is>
          <t>85%</t>
        </is>
      </c>
      <c r="G8" s="29">
        <f>IFERROR(C8/(C8+D8+E8)*100,0)</f>
        <v/>
      </c>
    </row>
    <row r="9">
      <c r="A9" s="28" t="inlineStr">
        <is>
          <t>Trend Analysis</t>
        </is>
      </c>
      <c r="B9" s="28">
        <f>COUNTA('Trend Analysis'!A6:A100)</f>
        <v/>
      </c>
      <c r="C9" s="28">
        <f>COUNTIF('Trend Analysis'!E5:E100,"Yes")</f>
        <v/>
      </c>
      <c r="D9" s="28">
        <f>COUNTIF('Trend Analysis'!E5:E100,"At_Risk")</f>
        <v/>
      </c>
      <c r="E9" s="28">
        <f>COUNTIF('Trend Analysis'!E5:E100,"No")</f>
        <v/>
      </c>
      <c r="F9" s="28" t="inlineStr">
        <is>
          <t>80%</t>
        </is>
      </c>
      <c r="G9" s="29">
        <f>IFERROR(C9/(C9+D9+E9)*100,0)</f>
        <v/>
      </c>
    </row>
    <row r="10">
      <c r="A10" s="30" t="inlineStr">
        <is>
          <t>TOTAL</t>
        </is>
      </c>
      <c r="B10" s="30">
        <f>SUM(B5:B9)</f>
        <v/>
      </c>
      <c r="C10" s="30">
        <f>SUM(C5:C9)</f>
        <v/>
      </c>
      <c r="D10" s="30">
        <f>SUM(D5:D9)</f>
        <v/>
      </c>
      <c r="E10" s="30">
        <f>SUM(E5:E9)</f>
        <v/>
      </c>
      <c r="F10" s="30" t="inlineStr">
        <is>
          <t>—</t>
        </is>
      </c>
      <c r="G10" s="31">
        <f>IFERROR(AVERAGE(G5:G9),0)</f>
        <v/>
      </c>
    </row>
    <row r="12">
      <c r="A12" s="26" t="inlineStr">
        <is>
          <t>LEARNING PROGRAMME METRICS</t>
        </is>
      </c>
      <c r="B12" s="6" t="n"/>
      <c r="C12" s="6" t="n"/>
      <c r="D12" s="6" t="n"/>
      <c r="E12" s="6" t="n"/>
      <c r="F12" s="6" t="n"/>
      <c r="G12" s="6" t="n"/>
    </row>
    <row r="13">
      <c r="A13" s="32" t="inlineStr">
        <is>
          <t>Metric</t>
        </is>
      </c>
      <c r="B13" s="32" t="inlineStr">
        <is>
          <t>Value</t>
        </is>
      </c>
      <c r="C13" s="32" t="inlineStr">
        <is>
          <t>Target</t>
        </is>
      </c>
    </row>
    <row r="14">
      <c r="A14" s="28" t="inlineStr">
        <is>
          <t>PIR Completion Rate (%)</t>
        </is>
      </c>
      <c r="B14" s="28">
        <f>'PIR Process'!D72</f>
        <v/>
      </c>
      <c r="C14" s="28" t="inlineStr">
        <is>
          <t>≥95%</t>
        </is>
      </c>
    </row>
    <row r="15">
      <c r="A15" s="28" t="inlineStr">
        <is>
          <t>RCA Completion Rate (%)</t>
        </is>
      </c>
      <c r="B15" s="28">
        <f>'Root Cause Analysis'!D70</f>
        <v/>
      </c>
      <c r="C15" s="28" t="inlineStr">
        <is>
          <t>≥90%</t>
        </is>
      </c>
    </row>
    <row r="16">
      <c r="A16" s="28" t="inlineStr">
        <is>
          <t>Lessons Learned Action Rate (%)</t>
        </is>
      </c>
      <c r="B16" s="28">
        <f>'Lessons Learned'!D82</f>
        <v/>
      </c>
      <c r="C16" s="28" t="inlineStr">
        <is>
          <t>≥85%</t>
        </is>
      </c>
    </row>
    <row r="17">
      <c r="A17" s="28" t="inlineStr">
        <is>
          <t>Control Improvement Closure Rate (%)</t>
        </is>
      </c>
      <c r="B17" s="28">
        <f>'Control Improvements'!D63</f>
        <v/>
      </c>
      <c r="C17" s="28" t="inlineStr">
        <is>
          <t>≥80%</t>
        </is>
      </c>
    </row>
    <row r="19">
      <c r="A19" s="33" t="inlineStr">
        <is>
          <t>CRITICAL FINDINGS</t>
        </is>
      </c>
      <c r="B19" s="6" t="n"/>
      <c r="C19" s="6" t="n"/>
      <c r="D19" s="6" t="n"/>
      <c r="E19" s="6" t="n"/>
      <c r="F19" s="6" t="n"/>
      <c r="G19" s="6" t="n"/>
    </row>
    <row r="20">
      <c r="A20" s="32" t="inlineStr">
        <is>
          <t>Critical Finding</t>
        </is>
      </c>
      <c r="B20" s="32" t="inlineStr">
        <is>
          <t>Status</t>
        </is>
      </c>
      <c r="C20" s="32" t="inlineStr">
        <is>
          <t>Severity</t>
        </is>
      </c>
    </row>
    <row r="21">
      <c r="A21" s="34" t="inlineStr">
        <is>
          <t>PIR completion &lt;70%</t>
        </is>
      </c>
      <c r="B21" s="34">
        <f>IF(G5&lt;70,"[!] Below Target","[OK]")</f>
        <v/>
      </c>
      <c r="C21" s="34" t="inlineStr">
        <is>
          <t>Critical</t>
        </is>
      </c>
    </row>
    <row r="22">
      <c r="A22" s="34" t="inlineStr">
        <is>
          <t>RCA completion &lt;70%</t>
        </is>
      </c>
      <c r="B22" s="34">
        <f>IF(G6&lt;70,"[!] Below Target","[OK]")</f>
        <v/>
      </c>
      <c r="C22" s="34" t="inlineStr">
        <is>
          <t>Critical</t>
        </is>
      </c>
    </row>
    <row r="23">
      <c r="A23" s="35" t="inlineStr">
        <is>
          <t>Lessons learned actioned &lt;70%</t>
        </is>
      </c>
      <c r="B23" s="35">
        <f>IF(G7&lt;70,"[!] Below Target","[OK]")</f>
        <v/>
      </c>
      <c r="C23" s="35" t="inlineStr">
        <is>
          <t>High</t>
        </is>
      </c>
    </row>
    <row r="24">
      <c r="A24" s="35" t="inlineStr">
        <is>
          <t>Control improvements &lt;70%</t>
        </is>
      </c>
      <c r="B24" s="35">
        <f>IF(G8&lt;70,"[!] Below Target","[OK]")</f>
        <v/>
      </c>
      <c r="C24" s="35" t="inlineStr">
        <is>
          <t>High</t>
        </is>
      </c>
    </row>
    <row r="25">
      <c r="A25" s="35" t="inlineStr">
        <is>
          <t>Trend analysis KPIs &lt;70%</t>
        </is>
      </c>
      <c r="B25" s="35">
        <f>IF(G9&lt;70,"[!] Below Target","[OK]")</f>
        <v/>
      </c>
      <c r="C25" s="35" t="inlineStr">
        <is>
          <t>High</t>
        </is>
      </c>
    </row>
    <row r="26">
      <c r="A26" s="34" t="inlineStr">
        <is>
          <t>Overall learning rate &lt;70%</t>
        </is>
      </c>
      <c r="B26" s="34">
        <f>IF(G10&lt;70,"[!] Below Target","[OK]")</f>
        <v/>
      </c>
      <c r="C26" s="34" t="inlineStr">
        <is>
          <t>Critical</t>
        </is>
      </c>
    </row>
  </sheetData>
  <mergeCells count="5">
    <mergeCell ref="A1:G1"/>
    <mergeCell ref="A3:G3"/>
    <mergeCell ref="A12:G12"/>
    <mergeCell ref="A2:G2"/>
    <mergeCell ref="A19:G1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1" t="inlineStr">
        <is>
          <t>ASSESSMENT APPROVAL AND SIGN-OFF</t>
        </is>
      </c>
      <c r="B1" s="6" t="n"/>
      <c r="C1" s="6" t="n"/>
      <c r="D1" s="6" t="n"/>
      <c r="E1" s="6" t="n"/>
    </row>
    <row r="2">
      <c r="A2" s="36" t="inlineStr">
        <is>
          <t>ISO/IEC 27001:2022 - Control A.5.27: Learning from Information Security Incidents</t>
        </is>
      </c>
      <c r="B2" s="6" t="n"/>
      <c r="C2" s="6" t="n"/>
      <c r="D2" s="6" t="n"/>
      <c r="E2" s="6" t="n"/>
    </row>
    <row r="3">
      <c r="A3" s="37" t="inlineStr">
        <is>
          <t>ASSESSMENT SUMMARY</t>
        </is>
      </c>
      <c r="B3" s="6" t="n"/>
      <c r="C3" s="6" t="n"/>
      <c r="D3" s="6" t="n"/>
      <c r="E3" s="6" t="n"/>
    </row>
    <row r="4">
      <c r="A4" s="3" t="inlineStr">
        <is>
          <t>Document:</t>
        </is>
      </c>
      <c r="B4" s="6" t="inlineStr">
        <is>
          <t>ISMS-IMP-A.5.24-28.S5 - Learning &amp; Continuous Improvement</t>
        </is>
      </c>
      <c r="C4" s="6" t="n"/>
      <c r="D4" s="6" t="n"/>
      <c r="E4" s="6" t="n"/>
    </row>
    <row r="5">
      <c r="A5" s="3" t="inlineStr">
        <is>
          <t>Assessment Period:</t>
        </is>
      </c>
      <c r="B5" s="38" t="inlineStr"/>
      <c r="C5" s="6" t="n"/>
      <c r="D5" s="6" t="n"/>
      <c r="E5" s="6" t="n"/>
    </row>
    <row r="6">
      <c r="A6" s="3" t="inlineStr">
        <is>
          <t>Overall Compliance Rating:</t>
        </is>
      </c>
      <c r="B6" s="39">
        <f>IFERROR(AVERAGE('Summary Dashboard'!G5:G9),"")</f>
        <v/>
      </c>
      <c r="C6" s="6" t="n"/>
      <c r="D6" s="6" t="n"/>
      <c r="E6" s="6" t="n"/>
    </row>
    <row r="7">
      <c r="A7" s="3" t="inlineStr">
        <is>
          <t>Assessment Status:</t>
        </is>
      </c>
      <c r="B7" s="38" t="inlineStr"/>
      <c r="C7" s="6" t="n"/>
      <c r="D7" s="6" t="n"/>
      <c r="E7" s="6" t="n"/>
    </row>
    <row r="8">
      <c r="A8" s="3" t="inlineStr">
        <is>
          <t>Assessed By:</t>
        </is>
      </c>
      <c r="B8" s="38" t="inlineStr"/>
      <c r="C8" s="6" t="n"/>
      <c r="D8" s="6" t="n"/>
      <c r="E8" s="6" t="n"/>
    </row>
    <row r="11">
      <c r="A11" s="37" t="inlineStr">
        <is>
          <t>COMPLETED BY (ASSESSOR)</t>
        </is>
      </c>
      <c r="B11" s="6" t="n"/>
      <c r="C11" s="6" t="n"/>
      <c r="D11" s="6" t="n"/>
      <c r="E11" s="6" t="n"/>
    </row>
    <row r="12">
      <c r="A12" s="3" t="inlineStr">
        <is>
          <t>Name:</t>
        </is>
      </c>
      <c r="B12" s="38" t="n"/>
      <c r="C12" s="6" t="n"/>
      <c r="D12" s="6" t="n"/>
      <c r="E12" s="6" t="n"/>
    </row>
    <row r="13">
      <c r="A13" s="3" t="inlineStr">
        <is>
          <t>Title:</t>
        </is>
      </c>
      <c r="B13" s="38" t="n"/>
      <c r="C13" s="6" t="n"/>
      <c r="D13" s="6" t="n"/>
      <c r="E13" s="6" t="n"/>
    </row>
    <row r="14">
      <c r="A14" s="3" t="inlineStr">
        <is>
          <t>Date:</t>
        </is>
      </c>
      <c r="B14" s="38" t="n"/>
      <c r="C14" s="6" t="n"/>
      <c r="D14" s="6" t="n"/>
      <c r="E14" s="6" t="n"/>
    </row>
    <row r="15">
      <c r="A15" s="3" t="inlineStr">
        <is>
          <t>Signature:</t>
        </is>
      </c>
      <c r="B15" s="38" t="n"/>
      <c r="C15" s="6" t="n"/>
      <c r="D15" s="6" t="n"/>
      <c r="E15" s="6" t="n"/>
    </row>
    <row r="16">
      <c r="A16" s="3" t="inlineStr">
        <is>
          <t>Comments:</t>
        </is>
      </c>
      <c r="B16" s="38" t="n"/>
      <c r="C16" s="6" t="n"/>
      <c r="D16" s="6" t="n"/>
      <c r="E16" s="6" t="n"/>
    </row>
    <row r="18">
      <c r="A18" s="37" t="inlineStr">
        <is>
          <t>REVIEWED BY (INFORMATION SECURITY OFFICER)</t>
        </is>
      </c>
      <c r="B18" s="6" t="n"/>
      <c r="C18" s="6" t="n"/>
      <c r="D18" s="6" t="n"/>
      <c r="E18" s="6" t="n"/>
    </row>
    <row r="19">
      <c r="A19" s="3" t="inlineStr">
        <is>
          <t>Name:</t>
        </is>
      </c>
      <c r="B19" s="38" t="n"/>
      <c r="C19" s="6" t="n"/>
      <c r="D19" s="6" t="n"/>
      <c r="E19" s="6" t="n"/>
    </row>
    <row r="20">
      <c r="A20" s="3" t="inlineStr">
        <is>
          <t>Title:</t>
        </is>
      </c>
      <c r="B20" s="38" t="n"/>
      <c r="C20" s="6" t="n"/>
      <c r="D20" s="6" t="n"/>
      <c r="E20" s="6" t="n"/>
    </row>
    <row r="21">
      <c r="A21" s="3" t="inlineStr">
        <is>
          <t>Date:</t>
        </is>
      </c>
      <c r="B21" s="38" t="n"/>
      <c r="C21" s="6" t="n"/>
      <c r="D21" s="6" t="n"/>
      <c r="E21" s="6" t="n"/>
    </row>
    <row r="22">
      <c r="A22" s="3" t="inlineStr">
        <is>
          <t>Signature:</t>
        </is>
      </c>
      <c r="B22" s="38" t="n"/>
      <c r="C22" s="6" t="n"/>
      <c r="D22" s="6" t="n"/>
      <c r="E22" s="6" t="n"/>
    </row>
    <row r="23">
      <c r="A23" s="3" t="inlineStr">
        <is>
          <t>Comments:</t>
        </is>
      </c>
      <c r="B23" s="38" t="n"/>
      <c r="C23" s="6" t="n"/>
      <c r="D23" s="6" t="n"/>
      <c r="E23" s="6" t="n"/>
    </row>
    <row r="25">
      <c r="A25" s="40" t="inlineStr">
        <is>
          <t>APPROVED BY (CISO)</t>
        </is>
      </c>
      <c r="B25" s="6" t="n"/>
      <c r="C25" s="6" t="n"/>
      <c r="D25" s="6" t="n"/>
      <c r="E25" s="6" t="n"/>
    </row>
    <row r="26">
      <c r="A26" s="3" t="inlineStr">
        <is>
          <t>Name:</t>
        </is>
      </c>
      <c r="B26" s="38" t="n"/>
      <c r="C26" s="6" t="n"/>
      <c r="D26" s="6" t="n"/>
      <c r="E26" s="6" t="n"/>
    </row>
    <row r="27">
      <c r="A27" s="3" t="inlineStr">
        <is>
          <t>Title:</t>
        </is>
      </c>
      <c r="B27" s="38" t="n"/>
      <c r="C27" s="6" t="n"/>
      <c r="D27" s="6" t="n"/>
      <c r="E27" s="6" t="n"/>
    </row>
    <row r="28">
      <c r="A28" s="3" t="inlineStr">
        <is>
          <t>Date:</t>
        </is>
      </c>
      <c r="B28" s="38" t="n"/>
      <c r="C28" s="6" t="n"/>
      <c r="D28" s="6" t="n"/>
      <c r="E28" s="6" t="n"/>
    </row>
    <row r="29">
      <c r="A29" s="3" t="inlineStr">
        <is>
          <t>Signature:</t>
        </is>
      </c>
      <c r="B29" s="38" t="n"/>
      <c r="C29" s="6" t="n"/>
      <c r="D29" s="6" t="n"/>
      <c r="E29" s="6" t="n"/>
    </row>
    <row r="30">
      <c r="A30" s="3" t="inlineStr">
        <is>
          <t>Comments:</t>
        </is>
      </c>
      <c r="B30" s="38" t="n"/>
      <c r="C30" s="6" t="n"/>
      <c r="D30" s="6" t="n"/>
      <c r="E30" s="6" t="n"/>
    </row>
    <row r="32">
      <c r="A32" s="3" t="inlineStr">
        <is>
          <t>FINAL DECISION:</t>
        </is>
      </c>
      <c r="B32" s="38" t="n"/>
      <c r="C32" s="6" t="n"/>
      <c r="D32" s="6" t="n"/>
      <c r="E32" s="6" t="n"/>
    </row>
    <row r="35">
      <c r="A35" s="37" t="inlineStr">
        <is>
          <t>NEXT REVIEW DETAILS</t>
        </is>
      </c>
      <c r="B35" s="6" t="n"/>
      <c r="C35" s="6" t="n"/>
      <c r="D35" s="6" t="n"/>
      <c r="E35" s="6" t="n"/>
    </row>
    <row r="36">
      <c r="A36" s="3" t="inlineStr">
        <is>
          <t>Next Review Date:</t>
        </is>
      </c>
      <c r="B36" s="38" t="n"/>
      <c r="C36" s="6" t="n"/>
      <c r="D36" s="6" t="n"/>
      <c r="E36" s="6" t="n"/>
    </row>
    <row r="37">
      <c r="A37" s="3" t="inlineStr">
        <is>
          <t>Review Responsible:</t>
        </is>
      </c>
      <c r="B37" s="38" t="n"/>
      <c r="C37" s="6" t="n"/>
      <c r="D37" s="6" t="n"/>
      <c r="E37" s="6" t="n"/>
    </row>
    <row r="38">
      <c r="A38" s="3" t="inlineStr">
        <is>
          <t>Special Considerations:</t>
        </is>
      </c>
      <c r="B38" s="38"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ISMS-IMP-A.5.24-28.S5 — Learning &amp; Continuous Improvement</dc:title>
  <dc:description xmlns:dc="http://purl.org/dc/elements/1.1/">ISMS Implementation Workbook — ISMS-IMP-A.5.24-28.S5</dc:description>
  <dc:subject xmlns:dc="http://purl.org/dc/elements/1.1/">ISO/IEC 27001:2022 — Control A.5.27: Learning from Information Security Incidents</dc:subject>
  <dcterms:created xmlns:dcterms="http://purl.org/dc/terms/" xmlns:xsi="http://www.w3.org/2001/XMLSchema-instance" xsi:type="dcterms:W3CDTF">2026-03-01T09:50:22Z</dcterms:created>
  <dcterms:modified xmlns:dcterms="http://purl.org/dc/terms/" xmlns:xsi="http://www.w3.org/2001/XMLSchema-instance" xsi:type="dcterms:W3CDTF">2026-03-01T09:50:22Z</dcterms:modified>
</cp:coreProperties>
</file>