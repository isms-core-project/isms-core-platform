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Security Assessment" sheetId="3" state="visible" r:id="rId3"/>
    <sheet xmlns:r="http://schemas.openxmlformats.org/officeDocument/2006/relationships" name="Storage Assessment" sheetId="4" state="visible" r:id="rId4"/>
    <sheet xmlns:r="http://schemas.openxmlformats.org/officeDocument/2006/relationships" name="Integration Assessment" sheetId="5" state="visible" r:id="rId5"/>
    <sheet xmlns:r="http://schemas.openxmlformats.org/officeDocument/2006/relationships" name="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1" borderId="1" pivotButton="0" quotePrefix="0" xfId="0"/>
    <xf numFmtId="0" fontId="14" fillId="11" borderId="1" applyAlignment="1" pivotButton="0" quotePrefix="0" xfId="0">
      <alignment horizontal="center" vertical="center"/>
    </xf>
    <xf numFmtId="0" fontId="0" fillId="11"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ISMS-IMP-A.5.17.3  -  Password System Assessment
ISO/IEC 27001:2022 - Control A.5.17: Authentication Information</t>
        </is>
      </c>
    </row>
    <row r="3">
      <c r="A3" s="2" t="inlineStr">
        <is>
          <t>Document Information</t>
        </is>
      </c>
    </row>
    <row r="4">
      <c r="A4" s="3" t="inlineStr">
        <is>
          <t>Document ID</t>
        </is>
      </c>
      <c r="B4" t="inlineStr">
        <is>
          <t>ISMS-IMP-A.5.17.3</t>
        </is>
      </c>
    </row>
    <row r="5">
      <c r="A5" s="3" t="inlineStr">
        <is>
          <t>Workbook Title</t>
        </is>
      </c>
      <c r="B5" t="inlineStr">
        <is>
          <t>Password System Assessment</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System Inventory — list all systems processing authentication credentials.</t>
        </is>
      </c>
    </row>
    <row r="14">
      <c r="A14" t="inlineStr">
        <is>
          <t>2. Complete Security Assessment — evaluate password policy enforcement per system.</t>
        </is>
      </c>
    </row>
    <row r="15">
      <c r="A15" t="inlineStr">
        <is>
          <t>3. Complete Storage Assessment — verify passwords are stored using approved hashing (bcrypt, Argon2).</t>
        </is>
      </c>
    </row>
    <row r="16">
      <c r="A16" t="inlineStr">
        <is>
          <t>4. Complete Integration Assessment — assess SSO and identity provider integrations.</t>
        </is>
      </c>
    </row>
    <row r="17">
      <c r="A17" t="inlineStr">
        <is>
          <t>5. Complete Gap Analysis — identify systems with weak or non-compliant authentication controls.</t>
        </is>
      </c>
    </row>
    <row r="18">
      <c r="A18" t="inlineStr">
        <is>
          <t>6. Maintain the Evidence Register with system configuration exports and test results.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12" customWidth="1" min="4" max="4"/>
    <col width="12" customWidth="1" min="5" max="5"/>
    <col width="22" customWidth="1" min="6" max="6"/>
    <col width="14" customWidth="1" min="7" max="7"/>
    <col width="14" customWidth="1" min="8" max="8"/>
    <col width="18" customWidth="1" min="9" max="9"/>
    <col width="12" customWidth="1" min="10" max="10"/>
  </cols>
  <sheetData>
    <row r="1" ht="35" customHeight="1">
      <c r="A1" s="11" t="inlineStr">
        <is>
          <t>AUTHENTICATION SYSTEM INVENTORY</t>
        </is>
      </c>
    </row>
    <row r="2">
      <c r="A2" s="12" t="inlineStr">
        <is>
          <t>ISO/IEC 27001:2022 - Control A.5.17: Authentication Information | Inventory all systems handling authentication credentials</t>
        </is>
      </c>
    </row>
    <row r="3">
      <c r="A3" s="13" t="inlineStr">
        <is>
          <t>System Name</t>
        </is>
      </c>
      <c r="B3" s="13" t="inlineStr">
        <is>
          <t>System Type</t>
        </is>
      </c>
      <c r="C3" s="13" t="inlineStr">
        <is>
          <t>Vendor</t>
        </is>
      </c>
      <c r="D3" s="13" t="inlineStr">
        <is>
          <t>Version</t>
        </is>
      </c>
      <c r="E3" s="13" t="inlineStr">
        <is>
          <t>User Count</t>
        </is>
      </c>
      <c r="F3" s="13" t="inlineStr">
        <is>
          <t>Auth Method</t>
        </is>
      </c>
      <c r="G3" s="13" t="inlineStr">
        <is>
          <t>SSO Integrated</t>
        </is>
      </c>
      <c r="H3" s="13" t="inlineStr">
        <is>
          <t>MFA Enabled</t>
        </is>
      </c>
      <c r="I3" s="13" t="inlineStr">
        <is>
          <t>Owner</t>
        </is>
      </c>
      <c r="J3" s="13" t="inlineStr">
        <is>
          <t>Criticality</t>
        </is>
      </c>
    </row>
    <row r="4">
      <c r="A4" s="14" t="inlineStr">
        <is>
          <t>Active Directory</t>
        </is>
      </c>
      <c r="B4" s="14" t="inlineStr">
        <is>
          <t>Identity Provider</t>
        </is>
      </c>
      <c r="C4" s="14" t="inlineStr">
        <is>
          <t>Microsoft</t>
        </is>
      </c>
      <c r="D4" s="14" t="inlineStr"/>
      <c r="E4" s="14" t="inlineStr"/>
      <c r="F4" s="14" t="inlineStr">
        <is>
          <t>Password + Kerberos</t>
        </is>
      </c>
      <c r="G4" s="14" t="inlineStr"/>
      <c r="H4" s="14" t="inlineStr"/>
      <c r="I4" s="14" t="inlineStr"/>
      <c r="J4" s="14" t="inlineStr"/>
    </row>
    <row r="5">
      <c r="A5" s="15" t="inlineStr"/>
      <c r="B5" s="15" t="inlineStr"/>
      <c r="C5" s="15" t="inlineStr"/>
      <c r="D5" s="15" t="inlineStr"/>
      <c r="E5" s="15" t="inlineStr"/>
      <c r="F5" s="15" t="inlineStr"/>
      <c r="G5" s="15" t="inlineStr"/>
      <c r="H5" s="15" t="inlineStr"/>
      <c r="I5" s="15" t="inlineStr"/>
      <c r="J5" s="15" t="inlineStr"/>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sheetData>
  <mergeCells count="2">
    <mergeCell ref="A1:J1"/>
    <mergeCell ref="A2:J2"/>
  </mergeCells>
  <dataValidations count="4">
    <dataValidation sqref="B4:B54" showDropDown="0" showInputMessage="0" showErrorMessage="0" allowBlank="1" type="list">
      <formula1>"Identity Provider,Cloud Identity,Cloud Application,Cloud Infrastructure,Network Access,Business Application,Development,Data Store,Other"</formula1>
    </dataValidation>
    <dataValidation sqref="G4:G54" showDropDown="0" showInputMessage="0" showErrorMessage="0" allowBlank="1" type="list">
      <formula1>"Yes,No,Partial,N/A"</formula1>
    </dataValidation>
    <dataValidation sqref="H4:H54" showDropDown="0" showInputMessage="0" showErrorMessage="0" allowBlank="1" type="list">
      <formula1>"Yes,No,Partial,N/A"</formula1>
    </dataValidation>
    <dataValidation sqref="J4:J54"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0" customWidth="1" min="1" max="1"/>
    <col width="18" customWidth="1" min="2" max="2"/>
    <col width="28" customWidth="1" min="3" max="3"/>
    <col width="28" customWidth="1" min="4" max="4"/>
    <col width="25" customWidth="1" min="5" max="5"/>
    <col width="14" customWidth="1" min="6" max="6"/>
    <col width="28" customWidth="1" min="7" max="7"/>
    <col width="10" customWidth="1" min="8" max="8"/>
    <col width="22" customWidth="1" min="9" max="9"/>
  </cols>
  <sheetData>
    <row r="1" ht="35" customHeight="1">
      <c r="A1" s="11" t="inlineStr">
        <is>
          <t>AUTHENTICATION SYSTEM SECURITY ASSESSMENT</t>
        </is>
      </c>
    </row>
    <row r="2">
      <c r="A2" s="12" t="inlineStr">
        <is>
          <t>ISO/IEC 27001:2022 - Control A.5.17: Authentication Information | Assess security controls per system against policy requirements</t>
        </is>
      </c>
    </row>
    <row r="3">
      <c r="A3" s="13" t="inlineStr">
        <is>
          <t>System Name</t>
        </is>
      </c>
      <c r="B3" s="13" t="inlineStr">
        <is>
          <t>Control Area</t>
        </is>
      </c>
      <c r="C3" s="13" t="inlineStr">
        <is>
          <t>Requirement</t>
        </is>
      </c>
      <c r="D3" s="13" t="inlineStr">
        <is>
          <t>Expected State</t>
        </is>
      </c>
      <c r="E3" s="13" t="inlineStr">
        <is>
          <t>Actual State</t>
        </is>
      </c>
      <c r="F3" s="13" t="inlineStr">
        <is>
          <t>Status</t>
        </is>
      </c>
      <c r="G3" s="13" t="inlineStr">
        <is>
          <t>Gap Description</t>
        </is>
      </c>
      <c r="H3" s="13" t="inlineStr">
        <is>
          <t>Priority</t>
        </is>
      </c>
      <c r="I3" s="13" t="inlineStr">
        <is>
          <t>Notes</t>
        </is>
      </c>
    </row>
    <row r="4">
      <c r="A4" s="14" t="inlineStr">
        <is>
          <t>Active Directory</t>
        </is>
      </c>
      <c r="B4" s="14" t="inlineStr">
        <is>
          <t>Password Policy</t>
        </is>
      </c>
      <c r="C4" s="14" t="inlineStr">
        <is>
          <t>Min 12 characters enforced</t>
        </is>
      </c>
      <c r="D4" s="14" t="inlineStr">
        <is>
          <t>GPO setting enabled</t>
        </is>
      </c>
      <c r="E4" s="14" t="inlineStr"/>
      <c r="F4" s="14" t="inlineStr"/>
      <c r="G4" s="14" t="inlineStr"/>
      <c r="H4" s="14" t="inlineStr"/>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2">
    <dataValidation sqref="F4:F54" showDropDown="0" showInputMessage="0" showErrorMessage="0" allowBlank="1" type="list">
      <formula1>"Compliant,Partial,Non-Compliant,N/A"</formula1>
    </dataValidation>
    <dataValidation sqref="H4:H54"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18" customWidth="1" min="5" max="5"/>
    <col width="18" customWidth="1" min="6" max="6"/>
    <col width="14" customWidth="1" min="7" max="7"/>
    <col width="28" customWidth="1" min="8" max="8"/>
  </cols>
  <sheetData>
    <row r="1" ht="35" customHeight="1">
      <c r="A1" s="11" t="inlineStr">
        <is>
          <t>PASSWORD STORAGE SECURITY ASSESSMENT</t>
        </is>
      </c>
    </row>
    <row r="2">
      <c r="A2" s="12" t="inlineStr">
        <is>
          <t>ISO/IEC 27001:2022 - Control A.5.17: Authentication Information | Review password storage mechanisms and hashing algorithms</t>
        </is>
      </c>
    </row>
    <row r="3">
      <c r="A3" s="13" t="inlineStr">
        <is>
          <t>System/Application</t>
        </is>
      </c>
      <c r="B3" s="13" t="inlineStr">
        <is>
          <t>Storage Mechanism</t>
        </is>
      </c>
      <c r="C3" s="13" t="inlineStr">
        <is>
          <t>Hashing Algorithm</t>
        </is>
      </c>
      <c r="D3" s="13" t="inlineStr">
        <is>
          <t>Salting</t>
        </is>
      </c>
      <c r="E3" s="13" t="inlineStr">
        <is>
          <t>Key Protection</t>
        </is>
      </c>
      <c r="F3" s="13" t="inlineStr">
        <is>
          <t>Encryption at Rest</t>
        </is>
      </c>
      <c r="G3" s="13" t="inlineStr">
        <is>
          <t>Status</t>
        </is>
      </c>
      <c r="H3" s="13" t="inlineStr">
        <is>
          <t>Notes</t>
        </is>
      </c>
    </row>
    <row r="4">
      <c r="A4" s="14" t="inlineStr">
        <is>
          <t>Active Directory</t>
        </is>
      </c>
      <c r="B4" s="14" t="inlineStr">
        <is>
          <t>NTDS.dit database</t>
        </is>
      </c>
      <c r="C4" s="14" t="inlineStr">
        <is>
          <t>NT Hash (MD4) + Kerberos</t>
        </is>
      </c>
      <c r="D4" s="14" t="inlineStr">
        <is>
          <t>No (legacy)</t>
        </is>
      </c>
      <c r="E4" s="14" t="inlineStr">
        <is>
          <t>DPAPI/TPM</t>
        </is>
      </c>
      <c r="F4" s="14" t="inlineStr">
        <is>
          <t>BitLocker</t>
        </is>
      </c>
      <c r="G4" s="14" t="inlineStr"/>
      <c r="H4" s="14" t="inlineStr"/>
    </row>
    <row r="5">
      <c r="A5" s="15" t="inlineStr"/>
      <c r="B5" s="15" t="inlineStr"/>
      <c r="C5" s="15" t="inlineStr"/>
      <c r="D5" s="15" t="inlineStr"/>
      <c r="E5" s="15" t="inlineStr"/>
      <c r="F5" s="15" t="inlineStr"/>
      <c r="G5" s="15" t="inlineStr"/>
      <c r="H5" s="15" t="inlineStr"/>
    </row>
    <row r="6">
      <c r="A6" s="15" t="inlineStr"/>
      <c r="B6" s="15" t="inlineStr"/>
      <c r="C6" s="15" t="inlineStr"/>
      <c r="D6" s="15" t="inlineStr"/>
      <c r="E6" s="15" t="inlineStr"/>
      <c r="F6" s="15" t="inlineStr"/>
      <c r="G6" s="15" t="inlineStr"/>
      <c r="H6" s="15" t="inlineStr"/>
    </row>
    <row r="7">
      <c r="A7" s="15" t="inlineStr"/>
      <c r="B7" s="15" t="inlineStr"/>
      <c r="C7" s="15" t="inlineStr"/>
      <c r="D7" s="15" t="inlineStr"/>
      <c r="E7" s="15" t="inlineStr"/>
      <c r="F7" s="15" t="inlineStr"/>
      <c r="G7" s="15" t="inlineStr"/>
      <c r="H7" s="15" t="inlineStr"/>
    </row>
    <row r="8">
      <c r="A8" s="15" t="inlineStr"/>
      <c r="B8" s="15" t="inlineStr"/>
      <c r="C8" s="15" t="inlineStr"/>
      <c r="D8" s="15" t="inlineStr"/>
      <c r="E8" s="15" t="inlineStr"/>
      <c r="F8" s="15" t="inlineStr"/>
      <c r="G8" s="15" t="inlineStr"/>
      <c r="H8" s="15" t="inlineStr"/>
    </row>
    <row r="9">
      <c r="A9" s="15" t="inlineStr"/>
      <c r="B9" s="15" t="inlineStr"/>
      <c r="C9" s="15" t="inlineStr"/>
      <c r="D9" s="15" t="inlineStr"/>
      <c r="E9" s="15" t="inlineStr"/>
      <c r="F9" s="15" t="inlineStr"/>
      <c r="G9" s="15" t="inlineStr"/>
      <c r="H9" s="15" t="inlineStr"/>
    </row>
    <row r="10">
      <c r="A10" s="15" t="inlineStr"/>
      <c r="B10" s="15" t="inlineStr"/>
      <c r="C10" s="15" t="inlineStr"/>
      <c r="D10" s="15" t="inlineStr"/>
      <c r="E10" s="15" t="inlineStr"/>
      <c r="F10" s="15" t="inlineStr"/>
      <c r="G10" s="15" t="inlineStr"/>
      <c r="H10" s="15" t="inlineStr"/>
    </row>
    <row r="11">
      <c r="A11" s="15" t="inlineStr"/>
      <c r="B11" s="15" t="inlineStr"/>
      <c r="C11" s="15" t="inlineStr"/>
      <c r="D11" s="15" t="inlineStr"/>
      <c r="E11" s="15" t="inlineStr"/>
      <c r="F11" s="15" t="inlineStr"/>
      <c r="G11" s="15" t="inlineStr"/>
      <c r="H11" s="15" t="inlineStr"/>
    </row>
    <row r="12">
      <c r="A12" s="15" t="inlineStr"/>
      <c r="B12" s="15" t="inlineStr"/>
      <c r="C12" s="15" t="inlineStr"/>
      <c r="D12" s="15" t="inlineStr"/>
      <c r="E12" s="15" t="inlineStr"/>
      <c r="F12" s="15" t="inlineStr"/>
      <c r="G12" s="15" t="inlineStr"/>
      <c r="H12" s="15" t="inlineStr"/>
    </row>
    <row r="13">
      <c r="A13" s="15" t="inlineStr"/>
      <c r="B13" s="15" t="inlineStr"/>
      <c r="C13" s="15" t="inlineStr"/>
      <c r="D13" s="15" t="inlineStr"/>
      <c r="E13" s="15" t="inlineStr"/>
      <c r="F13" s="15" t="inlineStr"/>
      <c r="G13" s="15" t="inlineStr"/>
      <c r="H13" s="15" t="inlineStr"/>
    </row>
    <row r="14">
      <c r="A14" s="15" t="inlineStr"/>
      <c r="B14" s="15" t="inlineStr"/>
      <c r="C14" s="15" t="inlineStr"/>
      <c r="D14" s="15" t="inlineStr"/>
      <c r="E14" s="15" t="inlineStr"/>
      <c r="F14" s="15" t="inlineStr"/>
      <c r="G14" s="15" t="inlineStr"/>
      <c r="H14" s="15" t="inlineStr"/>
    </row>
    <row r="15">
      <c r="A15" s="15" t="inlineStr"/>
      <c r="B15" s="15" t="inlineStr"/>
      <c r="C15" s="15" t="inlineStr"/>
      <c r="D15" s="15" t="inlineStr"/>
      <c r="E15" s="15" t="inlineStr"/>
      <c r="F15" s="15" t="inlineStr"/>
      <c r="G15" s="15" t="inlineStr"/>
      <c r="H15" s="15" t="inlineStr"/>
    </row>
    <row r="16">
      <c r="A16" s="15" t="inlineStr"/>
      <c r="B16" s="15" t="inlineStr"/>
      <c r="C16" s="15" t="inlineStr"/>
      <c r="D16" s="15" t="inlineStr"/>
      <c r="E16" s="15" t="inlineStr"/>
      <c r="F16" s="15" t="inlineStr"/>
      <c r="G16" s="15" t="inlineStr"/>
      <c r="H16" s="15" t="inlineStr"/>
    </row>
    <row r="17">
      <c r="A17" s="15" t="inlineStr"/>
      <c r="B17" s="15" t="inlineStr"/>
      <c r="C17" s="15" t="inlineStr"/>
      <c r="D17" s="15" t="inlineStr"/>
      <c r="E17" s="15" t="inlineStr"/>
      <c r="F17" s="15" t="inlineStr"/>
      <c r="G17" s="15" t="inlineStr"/>
      <c r="H17" s="15" t="inlineStr"/>
    </row>
    <row r="18">
      <c r="A18" s="15" t="inlineStr"/>
      <c r="B18" s="15" t="inlineStr"/>
      <c r="C18" s="15" t="inlineStr"/>
      <c r="D18" s="15" t="inlineStr"/>
      <c r="E18" s="15" t="inlineStr"/>
      <c r="F18" s="15" t="inlineStr"/>
      <c r="G18" s="15" t="inlineStr"/>
      <c r="H18" s="15" t="inlineStr"/>
    </row>
    <row r="19">
      <c r="A19" s="15" t="inlineStr"/>
      <c r="B19" s="15" t="inlineStr"/>
      <c r="C19" s="15" t="inlineStr"/>
      <c r="D19" s="15" t="inlineStr"/>
      <c r="E19" s="15" t="inlineStr"/>
      <c r="F19" s="15" t="inlineStr"/>
      <c r="G19" s="15" t="inlineStr"/>
      <c r="H19" s="15" t="inlineStr"/>
    </row>
    <row r="20">
      <c r="A20" s="15" t="inlineStr"/>
      <c r="B20" s="15" t="inlineStr"/>
      <c r="C20" s="15" t="inlineStr"/>
      <c r="D20" s="15" t="inlineStr"/>
      <c r="E20" s="15" t="inlineStr"/>
      <c r="F20" s="15" t="inlineStr"/>
      <c r="G20" s="15" t="inlineStr"/>
      <c r="H20" s="15" t="inlineStr"/>
    </row>
    <row r="21">
      <c r="A21" s="15" t="inlineStr"/>
      <c r="B21" s="15" t="inlineStr"/>
      <c r="C21" s="15" t="inlineStr"/>
      <c r="D21" s="15" t="inlineStr"/>
      <c r="E21" s="15" t="inlineStr"/>
      <c r="F21" s="15" t="inlineStr"/>
      <c r="G21" s="15" t="inlineStr"/>
      <c r="H21" s="15" t="inlineStr"/>
    </row>
    <row r="22">
      <c r="A22" s="15" t="inlineStr"/>
      <c r="B22" s="15" t="inlineStr"/>
      <c r="C22" s="15" t="inlineStr"/>
      <c r="D22" s="15" t="inlineStr"/>
      <c r="E22" s="15" t="inlineStr"/>
      <c r="F22" s="15" t="inlineStr"/>
      <c r="G22" s="15" t="inlineStr"/>
      <c r="H22" s="15" t="inlineStr"/>
    </row>
    <row r="23">
      <c r="A23" s="15" t="inlineStr"/>
      <c r="B23" s="15" t="inlineStr"/>
      <c r="C23" s="15" t="inlineStr"/>
      <c r="D23" s="15" t="inlineStr"/>
      <c r="E23" s="15" t="inlineStr"/>
      <c r="F23" s="15" t="inlineStr"/>
      <c r="G23" s="15" t="inlineStr"/>
      <c r="H23" s="15" t="inlineStr"/>
    </row>
    <row r="24">
      <c r="A24" s="15" t="inlineStr"/>
      <c r="B24" s="15" t="inlineStr"/>
      <c r="C24" s="15" t="inlineStr"/>
      <c r="D24" s="15" t="inlineStr"/>
      <c r="E24" s="15" t="inlineStr"/>
      <c r="F24" s="15" t="inlineStr"/>
      <c r="G24" s="15" t="inlineStr"/>
      <c r="H24" s="15" t="inlineStr"/>
    </row>
    <row r="25">
      <c r="A25" s="15" t="inlineStr"/>
      <c r="B25" s="15" t="inlineStr"/>
      <c r="C25" s="15" t="inlineStr"/>
      <c r="D25" s="15" t="inlineStr"/>
      <c r="E25" s="15" t="inlineStr"/>
      <c r="F25" s="15" t="inlineStr"/>
      <c r="G25" s="15" t="inlineStr"/>
      <c r="H25" s="15" t="inlineStr"/>
    </row>
    <row r="26">
      <c r="A26" s="15" t="inlineStr"/>
      <c r="B26" s="15" t="inlineStr"/>
      <c r="C26" s="15" t="inlineStr"/>
      <c r="D26" s="15" t="inlineStr"/>
      <c r="E26" s="15" t="inlineStr"/>
      <c r="F26" s="15" t="inlineStr"/>
      <c r="G26" s="15" t="inlineStr"/>
      <c r="H26" s="15" t="inlineStr"/>
    </row>
    <row r="27">
      <c r="A27" s="15" t="inlineStr"/>
      <c r="B27" s="15" t="inlineStr"/>
      <c r="C27" s="15" t="inlineStr"/>
      <c r="D27" s="15" t="inlineStr"/>
      <c r="E27" s="15" t="inlineStr"/>
      <c r="F27" s="15" t="inlineStr"/>
      <c r="G27" s="15" t="inlineStr"/>
      <c r="H27" s="15" t="inlineStr"/>
    </row>
    <row r="28">
      <c r="A28" s="15" t="inlineStr"/>
      <c r="B28" s="15" t="inlineStr"/>
      <c r="C28" s="15" t="inlineStr"/>
      <c r="D28" s="15" t="inlineStr"/>
      <c r="E28" s="15" t="inlineStr"/>
      <c r="F28" s="15" t="inlineStr"/>
      <c r="G28" s="15" t="inlineStr"/>
      <c r="H28" s="15" t="inlineStr"/>
    </row>
    <row r="29">
      <c r="A29" s="15" t="inlineStr"/>
      <c r="B29" s="15" t="inlineStr"/>
      <c r="C29" s="15" t="inlineStr"/>
      <c r="D29" s="15" t="inlineStr"/>
      <c r="E29" s="15" t="inlineStr"/>
      <c r="F29" s="15" t="inlineStr"/>
      <c r="G29" s="15" t="inlineStr"/>
      <c r="H29" s="15" t="inlineStr"/>
    </row>
    <row r="30">
      <c r="A30" s="15" t="inlineStr"/>
      <c r="B30" s="15" t="inlineStr"/>
      <c r="C30" s="15" t="inlineStr"/>
      <c r="D30" s="15" t="inlineStr"/>
      <c r="E30" s="15" t="inlineStr"/>
      <c r="F30" s="15" t="inlineStr"/>
      <c r="G30" s="15" t="inlineStr"/>
      <c r="H30" s="15" t="inlineStr"/>
    </row>
    <row r="31">
      <c r="A31" s="15" t="inlineStr"/>
      <c r="B31" s="15" t="inlineStr"/>
      <c r="C31" s="15" t="inlineStr"/>
      <c r="D31" s="15" t="inlineStr"/>
      <c r="E31" s="15" t="inlineStr"/>
      <c r="F31" s="15" t="inlineStr"/>
      <c r="G31" s="15" t="inlineStr"/>
      <c r="H31" s="15" t="inlineStr"/>
    </row>
    <row r="32">
      <c r="A32" s="15" t="inlineStr"/>
      <c r="B32" s="15" t="inlineStr"/>
      <c r="C32" s="15" t="inlineStr"/>
      <c r="D32" s="15" t="inlineStr"/>
      <c r="E32" s="15" t="inlineStr"/>
      <c r="F32" s="15" t="inlineStr"/>
      <c r="G32" s="15" t="inlineStr"/>
      <c r="H32" s="15" t="inlineStr"/>
    </row>
    <row r="33">
      <c r="A33" s="15" t="inlineStr"/>
      <c r="B33" s="15" t="inlineStr"/>
      <c r="C33" s="15" t="inlineStr"/>
      <c r="D33" s="15" t="inlineStr"/>
      <c r="E33" s="15" t="inlineStr"/>
      <c r="F33" s="15" t="inlineStr"/>
      <c r="G33" s="15" t="inlineStr"/>
      <c r="H33" s="15" t="inlineStr"/>
    </row>
    <row r="34">
      <c r="A34" s="15" t="inlineStr"/>
      <c r="B34" s="15" t="inlineStr"/>
      <c r="C34" s="15" t="inlineStr"/>
      <c r="D34" s="15" t="inlineStr"/>
      <c r="E34" s="15" t="inlineStr"/>
      <c r="F34" s="15" t="inlineStr"/>
      <c r="G34" s="15" t="inlineStr"/>
      <c r="H34" s="15" t="inlineStr"/>
    </row>
    <row r="35">
      <c r="A35" s="15" t="inlineStr"/>
      <c r="B35" s="15" t="inlineStr"/>
      <c r="C35" s="15" t="inlineStr"/>
      <c r="D35" s="15" t="inlineStr"/>
      <c r="E35" s="15" t="inlineStr"/>
      <c r="F35" s="15" t="inlineStr"/>
      <c r="G35" s="15" t="inlineStr"/>
      <c r="H35" s="15" t="inlineStr"/>
    </row>
    <row r="36">
      <c r="A36" s="15" t="inlineStr"/>
      <c r="B36" s="15" t="inlineStr"/>
      <c r="C36" s="15" t="inlineStr"/>
      <c r="D36" s="15" t="inlineStr"/>
      <c r="E36" s="15" t="inlineStr"/>
      <c r="F36" s="15" t="inlineStr"/>
      <c r="G36" s="15" t="inlineStr"/>
      <c r="H36" s="15" t="inlineStr"/>
    </row>
    <row r="37">
      <c r="A37" s="15" t="inlineStr"/>
      <c r="B37" s="15" t="inlineStr"/>
      <c r="C37" s="15" t="inlineStr"/>
      <c r="D37" s="15" t="inlineStr"/>
      <c r="E37" s="15" t="inlineStr"/>
      <c r="F37" s="15" t="inlineStr"/>
      <c r="G37" s="15" t="inlineStr"/>
      <c r="H37" s="15" t="inlineStr"/>
    </row>
    <row r="38">
      <c r="A38" s="15" t="inlineStr"/>
      <c r="B38" s="15" t="inlineStr"/>
      <c r="C38" s="15" t="inlineStr"/>
      <c r="D38" s="15" t="inlineStr"/>
      <c r="E38" s="15" t="inlineStr"/>
      <c r="F38" s="15" t="inlineStr"/>
      <c r="G38" s="15" t="inlineStr"/>
      <c r="H38" s="15" t="inlineStr"/>
    </row>
    <row r="39">
      <c r="A39" s="15" t="inlineStr"/>
      <c r="B39" s="15" t="inlineStr"/>
      <c r="C39" s="15" t="inlineStr"/>
      <c r="D39" s="15" t="inlineStr"/>
      <c r="E39" s="15" t="inlineStr"/>
      <c r="F39" s="15" t="inlineStr"/>
      <c r="G39" s="15" t="inlineStr"/>
      <c r="H39" s="15" t="inlineStr"/>
    </row>
    <row r="40">
      <c r="A40" s="15" t="inlineStr"/>
      <c r="B40" s="15" t="inlineStr"/>
      <c r="C40" s="15" t="inlineStr"/>
      <c r="D40" s="15" t="inlineStr"/>
      <c r="E40" s="15" t="inlineStr"/>
      <c r="F40" s="15" t="inlineStr"/>
      <c r="G40" s="15" t="inlineStr"/>
      <c r="H40" s="15" t="inlineStr"/>
    </row>
    <row r="41">
      <c r="A41" s="15" t="inlineStr"/>
      <c r="B41" s="15" t="inlineStr"/>
      <c r="C41" s="15" t="inlineStr"/>
      <c r="D41" s="15" t="inlineStr"/>
      <c r="E41" s="15" t="inlineStr"/>
      <c r="F41" s="15" t="inlineStr"/>
      <c r="G41" s="15" t="inlineStr"/>
      <c r="H41" s="15" t="inlineStr"/>
    </row>
    <row r="42">
      <c r="A42" s="15" t="inlineStr"/>
      <c r="B42" s="15" t="inlineStr"/>
      <c r="C42" s="15" t="inlineStr"/>
      <c r="D42" s="15" t="inlineStr"/>
      <c r="E42" s="15" t="inlineStr"/>
      <c r="F42" s="15" t="inlineStr"/>
      <c r="G42" s="15" t="inlineStr"/>
      <c r="H42" s="15" t="inlineStr"/>
    </row>
    <row r="43">
      <c r="A43" s="15" t="inlineStr"/>
      <c r="B43" s="15" t="inlineStr"/>
      <c r="C43" s="15" t="inlineStr"/>
      <c r="D43" s="15" t="inlineStr"/>
      <c r="E43" s="15" t="inlineStr"/>
      <c r="F43" s="15" t="inlineStr"/>
      <c r="G43" s="15" t="inlineStr"/>
      <c r="H43" s="15" t="inlineStr"/>
    </row>
    <row r="44">
      <c r="A44" s="15" t="inlineStr"/>
      <c r="B44" s="15" t="inlineStr"/>
      <c r="C44" s="15" t="inlineStr"/>
      <c r="D44" s="15" t="inlineStr"/>
      <c r="E44" s="15" t="inlineStr"/>
      <c r="F44" s="15" t="inlineStr"/>
      <c r="G44" s="15" t="inlineStr"/>
      <c r="H44" s="15" t="inlineStr"/>
    </row>
    <row r="45">
      <c r="A45" s="15" t="inlineStr"/>
      <c r="B45" s="15" t="inlineStr"/>
      <c r="C45" s="15" t="inlineStr"/>
      <c r="D45" s="15" t="inlineStr"/>
      <c r="E45" s="15" t="inlineStr"/>
      <c r="F45" s="15" t="inlineStr"/>
      <c r="G45" s="15" t="inlineStr"/>
      <c r="H45" s="15" t="inlineStr"/>
    </row>
    <row r="46">
      <c r="A46" s="15" t="inlineStr"/>
      <c r="B46" s="15" t="inlineStr"/>
      <c r="C46" s="15" t="inlineStr"/>
      <c r="D46" s="15" t="inlineStr"/>
      <c r="E46" s="15" t="inlineStr"/>
      <c r="F46" s="15" t="inlineStr"/>
      <c r="G46" s="15" t="inlineStr"/>
      <c r="H46" s="15" t="inlineStr"/>
    </row>
    <row r="47">
      <c r="A47" s="15" t="inlineStr"/>
      <c r="B47" s="15" t="inlineStr"/>
      <c r="C47" s="15" t="inlineStr"/>
      <c r="D47" s="15" t="inlineStr"/>
      <c r="E47" s="15" t="inlineStr"/>
      <c r="F47" s="15" t="inlineStr"/>
      <c r="G47" s="15" t="inlineStr"/>
      <c r="H47" s="15" t="inlineStr"/>
    </row>
    <row r="48">
      <c r="A48" s="15" t="inlineStr"/>
      <c r="B48" s="15" t="inlineStr"/>
      <c r="C48" s="15" t="inlineStr"/>
      <c r="D48" s="15" t="inlineStr"/>
      <c r="E48" s="15" t="inlineStr"/>
      <c r="F48" s="15" t="inlineStr"/>
      <c r="G48" s="15" t="inlineStr"/>
      <c r="H48" s="15" t="inlineStr"/>
    </row>
    <row r="49">
      <c r="A49" s="15" t="inlineStr"/>
      <c r="B49" s="15" t="inlineStr"/>
      <c r="C49" s="15" t="inlineStr"/>
      <c r="D49" s="15" t="inlineStr"/>
      <c r="E49" s="15" t="inlineStr"/>
      <c r="F49" s="15" t="inlineStr"/>
      <c r="G49" s="15" t="inlineStr"/>
      <c r="H49" s="15" t="inlineStr"/>
    </row>
    <row r="50">
      <c r="A50" s="15" t="inlineStr"/>
      <c r="B50" s="15" t="inlineStr"/>
      <c r="C50" s="15" t="inlineStr"/>
      <c r="D50" s="15" t="inlineStr"/>
      <c r="E50" s="15" t="inlineStr"/>
      <c r="F50" s="15" t="inlineStr"/>
      <c r="G50" s="15" t="inlineStr"/>
      <c r="H50" s="15" t="inlineStr"/>
    </row>
    <row r="51">
      <c r="A51" s="15" t="inlineStr"/>
      <c r="B51" s="15" t="inlineStr"/>
      <c r="C51" s="15" t="inlineStr"/>
      <c r="D51" s="15" t="inlineStr"/>
      <c r="E51" s="15" t="inlineStr"/>
      <c r="F51" s="15" t="inlineStr"/>
      <c r="G51" s="15" t="inlineStr"/>
      <c r="H51" s="15" t="inlineStr"/>
    </row>
    <row r="52">
      <c r="A52" s="15" t="inlineStr"/>
      <c r="B52" s="15" t="inlineStr"/>
      <c r="C52" s="15" t="inlineStr"/>
      <c r="D52" s="15" t="inlineStr"/>
      <c r="E52" s="15" t="inlineStr"/>
      <c r="F52" s="15" t="inlineStr"/>
      <c r="G52" s="15" t="inlineStr"/>
      <c r="H52" s="15" t="inlineStr"/>
    </row>
    <row r="53">
      <c r="A53" s="15" t="inlineStr"/>
      <c r="B53" s="15" t="inlineStr"/>
      <c r="C53" s="15" t="inlineStr"/>
      <c r="D53" s="15" t="inlineStr"/>
      <c r="E53" s="15" t="inlineStr"/>
      <c r="F53" s="15" t="inlineStr"/>
      <c r="G53" s="15" t="inlineStr"/>
      <c r="H53" s="15" t="inlineStr"/>
    </row>
    <row r="54">
      <c r="A54" s="15" t="inlineStr"/>
      <c r="B54" s="15" t="inlineStr"/>
      <c r="C54" s="15" t="inlineStr"/>
      <c r="D54" s="15" t="inlineStr"/>
      <c r="E54" s="15" t="inlineStr"/>
      <c r="F54" s="15" t="inlineStr"/>
      <c r="G54" s="15" t="inlineStr"/>
      <c r="H54" s="15" t="inlineStr"/>
    </row>
  </sheetData>
  <mergeCells count="2">
    <mergeCell ref="A2:H2"/>
    <mergeCell ref="A1:H1"/>
  </mergeCells>
  <dataValidations count="2">
    <dataValidation sqref="G4:G54" showDropDown="0" showInputMessage="0" showErrorMessage="0" allowBlank="1" type="list">
      <formula1>"Compliant,Partial,Non-Compliant,N/A"</formula1>
    </dataValidation>
    <dataValidation sqref="C4:C54" showDropDown="0" showInputMessage="0" showErrorMessage="0" allowBlank="1" type="list">
      <formula1>"bcrypt,Argon2id,PBKDF2-SHA256,scrypt,SHA-256 (not recommended),MD5 (non-compliant),Plaintext (critical),Unknown,N/A"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6" customWidth="1" min="6" max="6"/>
    <col width="14" customWidth="1" min="7" max="7"/>
    <col width="14" customWidth="1" min="8" max="8"/>
    <col width="28" customWidth="1" min="9" max="9"/>
  </cols>
  <sheetData>
    <row r="1" ht="35" customHeight="1">
      <c r="A1" s="11" t="inlineStr">
        <is>
          <t>SSO AND FEDERATION INTEGRATION ASSESSMENT</t>
        </is>
      </c>
    </row>
    <row r="2">
      <c r="A2" s="12" t="inlineStr">
        <is>
          <t>ISO/IEC 27001:2022 - Control A.5.17: Authentication Information | Assess SSO and federation integration for each application</t>
        </is>
      </c>
    </row>
    <row r="3">
      <c r="A3" s="13" t="inlineStr">
        <is>
          <t>Application</t>
        </is>
      </c>
      <c r="B3" s="13" t="inlineStr">
        <is>
          <t>SSO Protocol</t>
        </is>
      </c>
      <c r="C3" s="13" t="inlineStr">
        <is>
          <t>Identity Provider</t>
        </is>
      </c>
      <c r="D3" s="13" t="inlineStr">
        <is>
          <t>MFA Pass-through</t>
        </is>
      </c>
      <c r="E3" s="13" t="inlineStr">
        <is>
          <t>Session Timeout</t>
        </is>
      </c>
      <c r="F3" s="13" t="inlineStr">
        <is>
          <t>Token Encryption</t>
        </is>
      </c>
      <c r="G3" s="13" t="inlineStr">
        <is>
          <t>Provisioning</t>
        </is>
      </c>
      <c r="H3" s="13" t="inlineStr">
        <is>
          <t>Status</t>
        </is>
      </c>
      <c r="I3" s="13" t="inlineStr">
        <is>
          <t>Notes</t>
        </is>
      </c>
    </row>
    <row r="4">
      <c r="A4" s="14" t="inlineStr">
        <is>
          <t>Microsoft 365</t>
        </is>
      </c>
      <c r="B4" s="14" t="inlineStr">
        <is>
          <t>OIDC/WS-Fed</t>
        </is>
      </c>
      <c r="C4" s="14" t="inlineStr">
        <is>
          <t>Microsoft Entra ID</t>
        </is>
      </c>
      <c r="D4" s="14" t="inlineStr">
        <is>
          <t>Yes</t>
        </is>
      </c>
      <c r="E4" s="14" t="inlineStr">
        <is>
          <t>Configurable</t>
        </is>
      </c>
      <c r="F4" s="14" t="inlineStr">
        <is>
          <t>Yes</t>
        </is>
      </c>
      <c r="G4" s="14" t="inlineStr">
        <is>
          <t>Automated</t>
        </is>
      </c>
      <c r="H4" s="14" t="inlineStr"/>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4">
    <dataValidation sqref="B4:B54" showDropDown="0" showInputMessage="0" showErrorMessage="0" allowBlank="1" type="list">
      <formula1>"SAML 2.0,OIDC,WS-Federation,OAuth 2.0,Local Auth,None"</formula1>
    </dataValidation>
    <dataValidation sqref="D4:D54" showDropDown="0" showInputMessage="0" showErrorMessage="0" allowBlank="1" type="list">
      <formula1>"Yes,No,Partial,N/A"</formula1>
    </dataValidation>
    <dataValidation sqref="G4:G54" showDropDown="0" showInputMessage="0" showErrorMessage="0" allowBlank="1" type="list">
      <formula1>"Automated,SCIM,API,Manual,None"</formula1>
    </dataValidation>
    <dataValidation sqref="H4:H54" showDropDown="0" showInputMessage="0" showErrorMessage="0" allowBlank="1"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5" customWidth="1" min="5" max="5"/>
    <col width="18" customWidth="1" min="6" max="6"/>
    <col width="14" customWidth="1" min="7" max="7"/>
    <col width="14" customWidth="1" min="8" max="8"/>
    <col width="25" customWidth="1" min="9" max="9"/>
  </cols>
  <sheetData>
    <row r="1" ht="35" customHeight="1">
      <c r="A1" s="11" t="inlineStr">
        <is>
          <t>GAP ANALYSIS AND REMEDIATION TRACKING</t>
        </is>
      </c>
    </row>
    <row r="2">
      <c r="A2" s="12" t="inlineStr">
        <is>
          <t>ISO/IEC 27001:2022 - Control A.5.17: Authentication Information | Track identified gaps and remediation actions</t>
        </is>
      </c>
    </row>
    <row r="3">
      <c r="A3" s="13" t="inlineStr">
        <is>
          <t>Gap ID</t>
        </is>
      </c>
      <c r="B3" s="13" t="inlineStr">
        <is>
          <t>System/Area</t>
        </is>
      </c>
      <c r="C3" s="13" t="inlineStr">
        <is>
          <t>Gap Description</t>
        </is>
      </c>
      <c r="D3" s="13" t="inlineStr">
        <is>
          <t>Risk Level</t>
        </is>
      </c>
      <c r="E3" s="13" t="inlineStr">
        <is>
          <t>Remediation Plan</t>
        </is>
      </c>
      <c r="F3" s="13" t="inlineStr">
        <is>
          <t>Owner</t>
        </is>
      </c>
      <c r="G3" s="13" t="inlineStr">
        <is>
          <t>Target Date</t>
        </is>
      </c>
      <c r="H3" s="13" t="inlineStr">
        <is>
          <t>Status</t>
        </is>
      </c>
      <c r="I3" s="13" t="inlineStr">
        <is>
          <t>Notes</t>
        </is>
      </c>
    </row>
    <row r="4">
      <c r="A4" s="14" t="inlineStr">
        <is>
          <t>GAP-517-001</t>
        </is>
      </c>
      <c r="B4" s="14" t="inlineStr">
        <is>
          <t>System/Area</t>
        </is>
      </c>
      <c r="C4" s="14" t="inlineStr">
        <is>
          <t>Gap description here</t>
        </is>
      </c>
      <c r="D4" s="14" t="inlineStr">
        <is>
          <t>High</t>
        </is>
      </c>
      <c r="E4" s="14" t="inlineStr">
        <is>
          <t>Remediation plan</t>
        </is>
      </c>
      <c r="F4" s="14" t="inlineStr">
        <is>
          <t>Owner</t>
        </is>
      </c>
      <c r="G4" s="14" t="inlineStr">
        <is>
          <t>DD.MM.YYYY</t>
        </is>
      </c>
      <c r="H4" s="14" t="inlineStr">
        <is>
          <t>Open</t>
        </is>
      </c>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2">
    <dataValidation sqref="D4:D54" showDropDown="0" showInputMessage="0" showErrorMessage="0" allowBlank="1" type="list">
      <formula1>"Critical,High,Medium,Low"</formula1>
    </dataValidation>
    <dataValidation sqref="H4:H54" showDropDown="0" showInputMessage="0" showErrorMessage="0" allowBlank="1" type="list">
      <formula1>"Open,In Progress,Remediated,Verified,Risk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PASSWORD SYSTEM ASSESSMENT — SUMMARY DASHBOARD</t>
        </is>
      </c>
      <c r="B1" s="6" t="n"/>
      <c r="C1" s="6" t="n"/>
      <c r="D1" s="6" t="n"/>
      <c r="E1" s="6" t="n"/>
      <c r="F1" s="6" t="n"/>
      <c r="G1" s="6" t="n"/>
    </row>
    <row r="2">
      <c r="A2" s="23" t="inlineStr">
        <is>
          <t>ISO/IEC 27001:2022 — Control A.5.17: Authentication Information | System Security Assessment</t>
        </is>
      </c>
    </row>
    <row r="4" ht="20" customHeight="1">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System Inventory</t>
        </is>
      </c>
      <c r="B6" s="27">
        <f>COUNTA('System Inventory'!A5:A54)</f>
        <v/>
      </c>
      <c r="C6" s="27">
        <f>COUNTIF('System Inventory'!H5:H54,"Yes")</f>
        <v/>
      </c>
      <c r="D6" s="27">
        <f>COUNTIF('System Inventory'!H5:H54,"Partial")</f>
        <v/>
      </c>
      <c r="E6" s="27">
        <f>COUNTIF('System Inventory'!H5:H54,"No")</f>
        <v/>
      </c>
      <c r="F6" s="27">
        <f>COUNTIF('System Inventory'!H5:H54,"N/A")</f>
        <v/>
      </c>
      <c r="G6" s="28">
        <f>IF((B6-F6)=0,0,C6/(B6-F6))</f>
        <v/>
      </c>
    </row>
    <row r="7">
      <c r="A7" s="26" t="inlineStr">
        <is>
          <t>Security Assessment</t>
        </is>
      </c>
      <c r="B7" s="27">
        <f>COUNTA('Security Assessment'!A5:A54)</f>
        <v/>
      </c>
      <c r="C7" s="27">
        <f>COUNTIF('Security Assessment'!F5:F54,"Compliant")</f>
        <v/>
      </c>
      <c r="D7" s="27">
        <f>COUNTIF('Security Assessment'!F5:F54,"Partial")</f>
        <v/>
      </c>
      <c r="E7" s="27">
        <f>COUNTIF('Security Assessment'!F5:F54,"Non-Compliant")</f>
        <v/>
      </c>
      <c r="F7" s="27">
        <f>COUNTIF('Security Assessment'!F5:F54,"N/A")</f>
        <v/>
      </c>
      <c r="G7" s="28">
        <f>IF((B7-F7)=0,0,C7/(B7-F7))</f>
        <v/>
      </c>
    </row>
    <row r="8">
      <c r="A8" s="26" t="inlineStr">
        <is>
          <t>Storage Assessment</t>
        </is>
      </c>
      <c r="B8" s="27">
        <f>COUNTA('Storage Assessment'!A5:A54)</f>
        <v/>
      </c>
      <c r="C8" s="27">
        <f>COUNTIF('Storage Assessment'!G5:G54,"Compliant")</f>
        <v/>
      </c>
      <c r="D8" s="27">
        <f>COUNTIF('Storage Assessment'!G5:G54,"Partial")</f>
        <v/>
      </c>
      <c r="E8" s="27">
        <f>COUNTIF('Storage Assessment'!G5:G54,"Non-Compliant")</f>
        <v/>
      </c>
      <c r="F8" s="27">
        <f>COUNTIF('Storage Assessment'!G5:G54,"N/A")</f>
        <v/>
      </c>
      <c r="G8" s="28">
        <f>IF((B8-F8)=0,0,C8/(B8-F8))</f>
        <v/>
      </c>
    </row>
    <row r="9">
      <c r="A9" s="26" t="inlineStr">
        <is>
          <t>Integration Assessment</t>
        </is>
      </c>
      <c r="B9" s="27">
        <f>COUNTA('Integration Assessment'!A5:A54)</f>
        <v/>
      </c>
      <c r="C9" s="27">
        <f>COUNTIF('Integration Assessment'!H5:H54,"Compliant")</f>
        <v/>
      </c>
      <c r="D9" s="27">
        <f>COUNTIF('Integration Assessment'!H5:H54,"Partial")</f>
        <v/>
      </c>
      <c r="E9" s="27">
        <f>COUNTIF('Integration Assessment'!H5:H54,"Non-Compliant")</f>
        <v/>
      </c>
      <c r="F9" s="27">
        <f>COUNTIF('Integration Assessment'!H5:H54,"N/A")</f>
        <v/>
      </c>
      <c r="G9" s="28">
        <f>IF((B9-F9)=0,0,C9/(B9-F9))</f>
        <v/>
      </c>
    </row>
    <row r="10">
      <c r="A10" s="26" t="inlineStr">
        <is>
          <t>Gap Analysis</t>
        </is>
      </c>
      <c r="B10" s="27">
        <f>COUNTA('Gap Analysis'!A5:A54)</f>
        <v/>
      </c>
      <c r="C10" s="27">
        <f>COUNTIF('Gap Analysis'!H5:H54,"Remediated")+COUNTIF('Gap Analysis'!H5:H54,"Verified")</f>
        <v/>
      </c>
      <c r="D10" s="27">
        <f>COUNTIF('Gap Analysis'!H5:H54,"In Progress")</f>
        <v/>
      </c>
      <c r="E10" s="27">
        <f>COUNTIF('Gap Analysis'!H5:H54,"Open")</f>
        <v/>
      </c>
      <c r="F10" s="27">
        <f>COUNTIF('Gap Analysis'!H5:H54,"Risk Accepted")</f>
        <v/>
      </c>
      <c r="G10" s="28">
        <f>IF((B10-F10)=0,0,C10/(B10-F10))</f>
        <v/>
      </c>
    </row>
    <row r="11">
      <c r="A11" s="29" t="inlineStr">
        <is>
          <t>TOTAL</t>
        </is>
      </c>
      <c r="B11" s="30">
        <f>SUM(B6:B10)</f>
        <v/>
      </c>
      <c r="C11" s="30">
        <f>SUM(C6:C10)</f>
        <v/>
      </c>
      <c r="D11" s="30">
        <f>SUM(D6:D10)</f>
        <v/>
      </c>
      <c r="E11" s="30">
        <f>SUM(E6:E10)</f>
        <v/>
      </c>
      <c r="F11" s="30">
        <f>SUM(F6:F10)</f>
        <v/>
      </c>
      <c r="G11" s="31">
        <f>IF((B11-F11)=0,0,C11/(B11-F11))</f>
        <v/>
      </c>
    </row>
    <row r="13" ht="20" customHeight="1">
      <c r="A13" s="24" t="inlineStr">
        <is>
          <t>TABLE 2: KEY PERFORMANCE INDICATORS</t>
        </is>
      </c>
      <c r="B13" s="6" t="n"/>
      <c r="C13" s="6" t="n"/>
      <c r="D13" s="6" t="n"/>
      <c r="E13" s="6" t="n"/>
      <c r="F13" s="6" t="n"/>
      <c r="G13" s="6" t="n"/>
    </row>
    <row r="14">
      <c r="A14" s="30" t="inlineStr">
        <is>
          <t>Metric</t>
        </is>
      </c>
      <c r="B14" s="30" t="inlineStr">
        <is>
          <t>Value</t>
        </is>
      </c>
      <c r="C14" s="30" t="n"/>
      <c r="D14" s="30" t="n"/>
      <c r="E14" s="30" t="n"/>
      <c r="F14" s="30" t="n"/>
      <c r="G14" s="30" t="n"/>
    </row>
    <row r="15">
      <c r="A15" s="26" t="inlineStr">
        <is>
          <t>Total Auth Systems Inventoried</t>
        </is>
      </c>
      <c r="B15" s="27">
        <f>COUNTA('System Inventory'!A5:A54)</f>
        <v/>
      </c>
      <c r="C15" s="6" t="n"/>
      <c r="D15" s="6" t="n"/>
      <c r="E15" s="6" t="n"/>
      <c r="F15" s="6" t="n"/>
      <c r="G15" s="6" t="n"/>
    </row>
    <row r="16">
      <c r="A16" s="26" t="inlineStr">
        <is>
          <t>Critical/High Criticality Systems</t>
        </is>
      </c>
      <c r="B16" s="27">
        <f>COUNTIF('System Inventory'!J5:J54,"Critical")+COUNTIF('System Inventory'!J5:J54,"High")</f>
        <v/>
      </c>
      <c r="C16" s="6" t="n"/>
      <c r="D16" s="6" t="n"/>
      <c r="E16" s="6" t="n"/>
      <c r="F16" s="6" t="n"/>
      <c r="G16" s="6" t="n"/>
    </row>
    <row r="17">
      <c r="A17" s="26" t="inlineStr">
        <is>
          <t>Systems with MFA Enabled</t>
        </is>
      </c>
      <c r="B17" s="27">
        <f>COUNTIF('System Inventory'!H5:H54,"Yes")</f>
        <v/>
      </c>
      <c r="C17" s="6" t="n"/>
      <c r="D17" s="6" t="n"/>
      <c r="E17" s="6" t="n"/>
      <c r="F17" s="6" t="n"/>
      <c r="G17" s="6" t="n"/>
    </row>
    <row r="18">
      <c r="A18" s="26" t="inlineStr">
        <is>
          <t>Systems Without MFA</t>
        </is>
      </c>
      <c r="B18" s="27">
        <f>COUNTIF('System Inventory'!H5:H54,"No")</f>
        <v/>
      </c>
      <c r="C18" s="6" t="n"/>
      <c r="D18" s="6" t="n"/>
      <c r="E18" s="6" t="n"/>
      <c r="F18" s="6" t="n"/>
      <c r="G18" s="6" t="n"/>
    </row>
    <row r="19">
      <c r="A19" s="26" t="inlineStr">
        <is>
          <t>Systems with SSO Integrated</t>
        </is>
      </c>
      <c r="B19" s="27">
        <f>COUNTIF('System Inventory'!G5:G54,"Yes")</f>
        <v/>
      </c>
      <c r="C19" s="6" t="n"/>
      <c r="D19" s="6" t="n"/>
      <c r="E19" s="6" t="n"/>
      <c r="F19" s="6" t="n"/>
      <c r="G19" s="6" t="n"/>
    </row>
    <row r="20">
      <c r="A20" s="26" t="inlineStr">
        <is>
          <t>Security Assessment: Compliant Controls</t>
        </is>
      </c>
      <c r="B20" s="27">
        <f>COUNTIF('Security Assessment'!F5:F54,"Compliant")</f>
        <v/>
      </c>
      <c r="C20" s="6" t="n"/>
      <c r="D20" s="6" t="n"/>
      <c r="E20" s="6" t="n"/>
      <c r="F20" s="6" t="n"/>
      <c r="G20" s="6" t="n"/>
    </row>
    <row r="21">
      <c r="A21" s="26" t="inlineStr">
        <is>
          <t>Security Assessment: Non-Compliant Controls</t>
        </is>
      </c>
      <c r="B21" s="27">
        <f>COUNTIF('Security Assessment'!F5:F54,"Non-Compliant")</f>
        <v/>
      </c>
      <c r="C21" s="6" t="n"/>
      <c r="D21" s="6" t="n"/>
      <c r="E21" s="6" t="n"/>
      <c r="F21" s="6" t="n"/>
      <c r="G21" s="6" t="n"/>
    </row>
    <row r="22">
      <c r="A22" s="26" t="inlineStr">
        <is>
          <t>Security Assessment: Critical Priority Gaps</t>
        </is>
      </c>
      <c r="B22" s="27">
        <f>COUNTIF('Security Assessment'!H5:H54,"Critical")</f>
        <v/>
      </c>
      <c r="C22" s="6" t="n"/>
      <c r="D22" s="6" t="n"/>
      <c r="E22" s="6" t="n"/>
      <c r="F22" s="6" t="n"/>
      <c r="G22" s="6" t="n"/>
    </row>
    <row r="23">
      <c r="A23" s="26" t="inlineStr">
        <is>
          <t>Password Storage: Compliant Systems</t>
        </is>
      </c>
      <c r="B23" s="27">
        <f>COUNTIF('Storage Assessment'!G5:G54,"Compliant")</f>
        <v/>
      </c>
      <c r="C23" s="6" t="n"/>
      <c r="D23" s="6" t="n"/>
      <c r="E23" s="6" t="n"/>
      <c r="F23" s="6" t="n"/>
      <c r="G23" s="6" t="n"/>
    </row>
    <row r="24">
      <c r="A24" s="26" t="inlineStr">
        <is>
          <t>Password Storage: Non-Compliant Systems</t>
        </is>
      </c>
      <c r="B24" s="27">
        <f>COUNTIF('Storage Assessment'!G5:G54,"Non-Compliant")</f>
        <v/>
      </c>
      <c r="C24" s="6" t="n"/>
      <c r="D24" s="6" t="n"/>
      <c r="E24" s="6" t="n"/>
      <c r="F24" s="6" t="n"/>
      <c r="G24" s="6" t="n"/>
    </row>
    <row r="25">
      <c r="A25" s="26" t="inlineStr">
        <is>
          <t>Weak/Non-Compliant Hashing Detected</t>
        </is>
      </c>
      <c r="B25" s="27">
        <f>COUNTIF('Storage Assessment'!C5:C54,"MD5 (non-compliant)")+COUNTIF('Storage Assessment'!C5:C54,"Plaintext (critical)")</f>
        <v/>
      </c>
      <c r="C25" s="6" t="n"/>
      <c r="D25" s="6" t="n"/>
      <c r="E25" s="6" t="n"/>
      <c r="F25" s="6" t="n"/>
      <c r="G25" s="6" t="n"/>
    </row>
    <row r="26">
      <c r="A26" s="26" t="inlineStr">
        <is>
          <t>Integration Assessment: Compliant</t>
        </is>
      </c>
      <c r="B26" s="27">
        <f>COUNTIF('Integration Assessment'!H5:H54,"Compliant")</f>
        <v/>
      </c>
      <c r="C26" s="6" t="n"/>
      <c r="D26" s="6" t="n"/>
      <c r="E26" s="6" t="n"/>
      <c r="F26" s="6" t="n"/>
      <c r="G26" s="6" t="n"/>
    </row>
    <row r="27">
      <c r="A27" s="26" t="inlineStr">
        <is>
          <t>Integration Assessment: Non-Compliant</t>
        </is>
      </c>
      <c r="B27" s="27">
        <f>COUNTIF('Integration Assessment'!H5:H54,"Non-Compliant")</f>
        <v/>
      </c>
      <c r="C27" s="6" t="n"/>
      <c r="D27" s="6" t="n"/>
      <c r="E27" s="6" t="n"/>
      <c r="F27" s="6" t="n"/>
      <c r="G27" s="6" t="n"/>
    </row>
    <row r="28">
      <c r="A28" s="26" t="inlineStr">
        <is>
          <t>Total Gaps Identified</t>
        </is>
      </c>
      <c r="B28" s="27">
        <f>COUNTA('Gap Analysis'!A5:A54)</f>
        <v/>
      </c>
      <c r="C28" s="6" t="n"/>
      <c r="D28" s="6" t="n"/>
      <c r="E28" s="6" t="n"/>
      <c r="F28" s="6" t="n"/>
      <c r="G28" s="6" t="n"/>
    </row>
    <row r="29">
      <c r="A29" s="26" t="inlineStr">
        <is>
          <t>Open / Unresolved Gaps</t>
        </is>
      </c>
      <c r="B29" s="27">
        <f>COUNTIF('Gap Analysis'!H5:H54,"Open")</f>
        <v/>
      </c>
      <c r="C29" s="6" t="n"/>
      <c r="D29" s="6" t="n"/>
      <c r="E29" s="6" t="n"/>
      <c r="F29" s="6" t="n"/>
      <c r="G29" s="6" t="n"/>
    </row>
    <row r="30">
      <c r="A30" s="26" t="inlineStr">
        <is>
          <t>Critical Severity Gaps</t>
        </is>
      </c>
      <c r="B30" s="27">
        <f>COUNTIF('Gap Analysis'!D5:D54,"Critical")</f>
        <v/>
      </c>
      <c r="C30" s="6" t="n"/>
      <c r="D30" s="6" t="n"/>
      <c r="E30" s="6" t="n"/>
      <c r="F30" s="6" t="n"/>
      <c r="G30" s="6" t="n"/>
    </row>
    <row r="31">
      <c r="A31" s="26" t="inlineStr">
        <is>
          <t>Gaps Remediated or Verified</t>
        </is>
      </c>
      <c r="B31" s="27">
        <f>COUNTIF('Gap Analysis'!H5:H54,"Remediated")+COUNTIF('Gap Analysis'!H5:H54,"Verified")</f>
        <v/>
      </c>
      <c r="C31" s="6" t="n"/>
      <c r="D31" s="6" t="n"/>
      <c r="E31" s="6" t="n"/>
      <c r="F31" s="6" t="n"/>
      <c r="G31" s="6" t="n"/>
    </row>
    <row r="32">
      <c r="A32" s="6" t="n"/>
      <c r="B32" s="6" t="n"/>
      <c r="C32" s="6" t="n"/>
      <c r="D32" s="6" t="n"/>
      <c r="E32" s="6" t="n"/>
      <c r="F32" s="6" t="n"/>
      <c r="G32" s="6" t="n"/>
    </row>
    <row r="33">
      <c r="A33" s="6" t="n"/>
      <c r="B33" s="6" t="n"/>
      <c r="C33" s="6" t="n"/>
      <c r="D33" s="6" t="n"/>
      <c r="E33" s="6" t="n"/>
      <c r="F33" s="6" t="n"/>
      <c r="G33" s="6" t="n"/>
    </row>
    <row r="35" ht="20" customHeight="1">
      <c r="A35" s="32" t="inlineStr">
        <is>
          <t>TABLE 3: CRITICAL FINDINGS REQUIRING IMMEDIATE ATTENTION</t>
        </is>
      </c>
      <c r="B35" s="6" t="n"/>
      <c r="C35" s="6" t="n"/>
      <c r="D35" s="6" t="n"/>
      <c r="E35" s="6" t="n"/>
      <c r="F35" s="6" t="n"/>
      <c r="G35" s="6" t="n"/>
    </row>
    <row r="36">
      <c r="A36" s="30" t="inlineStr">
        <is>
          <t>Category</t>
        </is>
      </c>
      <c r="B36" s="30" t="inlineStr">
        <is>
          <t>Finding</t>
        </is>
      </c>
      <c r="C36" s="30" t="inlineStr">
        <is>
          <t>Count</t>
        </is>
      </c>
      <c r="D36" s="30" t="inlineStr">
        <is>
          <t>Severity</t>
        </is>
      </c>
      <c r="E36" s="30" t="inlineStr">
        <is>
          <t>Action Required</t>
        </is>
      </c>
      <c r="F36" s="30" t="n"/>
      <c r="G36" s="30" t="n"/>
    </row>
    <row r="37">
      <c r="A37" s="33" t="inlineStr">
        <is>
          <t>System Inventory</t>
        </is>
      </c>
      <c r="B37" s="33" t="inlineStr">
        <is>
          <t>Auth systems without MFA enabled</t>
        </is>
      </c>
      <c r="C37" s="34">
        <f>COUNTIF('System Inventory'!H5:H54,"No")</f>
        <v/>
      </c>
      <c r="D37" s="33" t="inlineStr">
        <is>
          <t>Critical</t>
        </is>
      </c>
      <c r="E37" s="33" t="inlineStr">
        <is>
          <t>Immediate</t>
        </is>
      </c>
      <c r="F37" s="33" t="n"/>
      <c r="G37" s="33" t="n"/>
    </row>
    <row r="38">
      <c r="A38" s="33" t="inlineStr">
        <is>
          <t>System Inventory</t>
        </is>
      </c>
      <c r="B38" s="33" t="inlineStr">
        <is>
          <t>Critical criticality systems identified</t>
        </is>
      </c>
      <c r="C38" s="34">
        <f>COUNTIF('System Inventory'!J5:J54,"Critical")</f>
        <v/>
      </c>
      <c r="D38" s="33" t="inlineStr">
        <is>
          <t>Critical</t>
        </is>
      </c>
      <c r="E38" s="33" t="inlineStr">
        <is>
          <t>Immediate</t>
        </is>
      </c>
      <c r="F38" s="33" t="n"/>
      <c r="G38" s="33" t="n"/>
    </row>
    <row r="39">
      <c r="A39" s="33" t="inlineStr">
        <is>
          <t>Security Assessment</t>
        </is>
      </c>
      <c r="B39" s="33" t="inlineStr">
        <is>
          <t>Non-compliant security controls</t>
        </is>
      </c>
      <c r="C39" s="34">
        <f>COUNTIF('Security Assessment'!F5:F54,"Non-Compliant")</f>
        <v/>
      </c>
      <c r="D39" s="33" t="inlineStr">
        <is>
          <t>Critical</t>
        </is>
      </c>
      <c r="E39" s="33" t="inlineStr">
        <is>
          <t>Immediate</t>
        </is>
      </c>
      <c r="F39" s="33" t="n"/>
      <c r="G39" s="33" t="n"/>
    </row>
    <row r="40">
      <c r="A40" s="33" t="inlineStr">
        <is>
          <t>Security Assessment</t>
        </is>
      </c>
      <c r="B40" s="33" t="inlineStr">
        <is>
          <t>Critical priority security gaps</t>
        </is>
      </c>
      <c r="C40" s="34">
        <f>COUNTIF('Security Assessment'!H5:H54,"Critical")</f>
        <v/>
      </c>
      <c r="D40" s="33" t="inlineStr">
        <is>
          <t>Critical</t>
        </is>
      </c>
      <c r="E40" s="33" t="inlineStr">
        <is>
          <t>Immediate</t>
        </is>
      </c>
      <c r="F40" s="33" t="n"/>
      <c r="G40" s="33" t="n"/>
    </row>
    <row r="41">
      <c r="A41" s="33" t="inlineStr">
        <is>
          <t>Storage Assessment</t>
        </is>
      </c>
      <c r="B41" s="33" t="inlineStr">
        <is>
          <t>Non-compliant password storage systems</t>
        </is>
      </c>
      <c r="C41" s="34">
        <f>COUNTIF('Storage Assessment'!G5:G54,"Non-Compliant")</f>
        <v/>
      </c>
      <c r="D41" s="33" t="inlineStr">
        <is>
          <t>Critical</t>
        </is>
      </c>
      <c r="E41" s="33" t="inlineStr">
        <is>
          <t>Immediate</t>
        </is>
      </c>
      <c r="F41" s="33" t="n"/>
      <c r="G41" s="33" t="n"/>
    </row>
    <row r="42">
      <c r="A42" s="33" t="inlineStr">
        <is>
          <t>Storage Assessment</t>
        </is>
      </c>
      <c r="B42" s="33" t="inlineStr">
        <is>
          <t>Weak or non-compliant hashing algorithms detected</t>
        </is>
      </c>
      <c r="C42" s="34">
        <f>COUNTIF('Storage Assessment'!C5:C54,"MD5 (non-compliant)")+COUNTIF('Storage Assessment'!C5:C54,"Plaintext (critical)")</f>
        <v/>
      </c>
      <c r="D42" s="33" t="inlineStr">
        <is>
          <t>Critical</t>
        </is>
      </c>
      <c r="E42" s="33" t="inlineStr">
        <is>
          <t>Immediate</t>
        </is>
      </c>
      <c r="F42" s="33" t="n"/>
      <c r="G42" s="33" t="n"/>
    </row>
    <row r="43">
      <c r="A43" s="33" t="inlineStr">
        <is>
          <t>Integration Assessment</t>
        </is>
      </c>
      <c r="B43" s="33" t="inlineStr">
        <is>
          <t>Non-compliant SSO/federation integrations</t>
        </is>
      </c>
      <c r="C43" s="34">
        <f>COUNTIF('Integration Assessment'!H5:H54,"Non-Compliant")</f>
        <v/>
      </c>
      <c r="D43" s="33" t="inlineStr">
        <is>
          <t>High</t>
        </is>
      </c>
      <c r="E43" s="33" t="inlineStr">
        <is>
          <t>Urgent</t>
        </is>
      </c>
      <c r="F43" s="33" t="n"/>
      <c r="G43" s="33" t="n"/>
    </row>
    <row r="44">
      <c r="A44" s="33" t="inlineStr">
        <is>
          <t>Gap Analysis</t>
        </is>
      </c>
      <c r="B44" s="33" t="inlineStr">
        <is>
          <t>Open unresolved gaps</t>
        </is>
      </c>
      <c r="C44" s="34">
        <f>COUNTIF('Gap Analysis'!H5:H54,"Open")</f>
        <v/>
      </c>
      <c r="D44" s="33" t="inlineStr">
        <is>
          <t>High</t>
        </is>
      </c>
      <c r="E44" s="33" t="inlineStr">
        <is>
          <t>Urgent</t>
        </is>
      </c>
      <c r="F44" s="33" t="n"/>
      <c r="G44" s="33" t="n"/>
    </row>
    <row r="45">
      <c r="A45" s="33" t="inlineStr">
        <is>
          <t>Gap Analysis</t>
        </is>
      </c>
      <c r="B45" s="33" t="inlineStr">
        <is>
          <t>Critical severity unresolved gaps</t>
        </is>
      </c>
      <c r="C45" s="34">
        <f>COUNTIF('Gap Analysis'!D5:D54,"Critical")</f>
        <v/>
      </c>
      <c r="D45" s="33" t="inlineStr">
        <is>
          <t>Critical</t>
        </is>
      </c>
      <c r="E45" s="33" t="inlineStr">
        <is>
          <t>Immediate</t>
        </is>
      </c>
      <c r="F45" s="33" t="n"/>
      <c r="G45" s="33" t="n"/>
    </row>
    <row r="46">
      <c r="A46" s="35" t="n"/>
      <c r="B46" s="35" t="n"/>
      <c r="C46" s="35" t="n"/>
      <c r="D46" s="35" t="n"/>
      <c r="E46" s="35" t="n"/>
      <c r="F46" s="35" t="n"/>
      <c r="G46" s="35" t="n"/>
    </row>
    <row r="47">
      <c r="A47" s="35" t="n"/>
      <c r="B47" s="35" t="n"/>
      <c r="C47" s="35" t="n"/>
      <c r="D47" s="35" t="n"/>
      <c r="E47" s="35" t="n"/>
      <c r="F47" s="35" t="n"/>
      <c r="G47" s="35" t="n"/>
    </row>
  </sheetData>
  <mergeCells count="5">
    <mergeCell ref="A13:G13"/>
    <mergeCell ref="A1:G1"/>
    <mergeCell ref="A35:G35"/>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2" t="inlineStr">
        <is>
          <t>PASSWORD SYSTEM ASSESSMENT APPROVAL AND SIGN-OFF</t>
        </is>
      </c>
      <c r="B1" s="6" t="n"/>
      <c r="C1" s="6" t="n"/>
      <c r="D1" s="6" t="n"/>
      <c r="E1" s="6" t="n"/>
    </row>
    <row r="2">
      <c r="A2" s="36" t="inlineStr">
        <is>
          <t>ISO/IEC 27001:2022 - Control A.5.17: Authentication Information</t>
        </is>
      </c>
      <c r="B2" s="6" t="n"/>
      <c r="C2" s="6" t="n"/>
      <c r="D2" s="6" t="n"/>
      <c r="E2" s="6" t="n"/>
    </row>
    <row r="3">
      <c r="A3" s="37" t="inlineStr">
        <is>
          <t>ASSESSMENT SUMMARY</t>
        </is>
      </c>
      <c r="B3" s="6" t="n"/>
      <c r="C3" s="6" t="n"/>
      <c r="D3" s="6" t="n"/>
      <c r="E3" s="6" t="n"/>
    </row>
    <row r="4">
      <c r="A4" s="38" t="inlineStr">
        <is>
          <t>Document:</t>
        </is>
      </c>
      <c r="B4" s="35" t="inlineStr">
        <is>
          <t>ISMS-IMP-A.5.17.3 - Password System Assessment</t>
        </is>
      </c>
      <c r="C4" s="6" t="n"/>
      <c r="D4" s="6" t="n"/>
      <c r="E4" s="6" t="n"/>
    </row>
    <row r="5">
      <c r="A5" s="38" t="inlineStr">
        <is>
          <t>Control Reference:</t>
        </is>
      </c>
      <c r="B5" s="35" t="inlineStr">
        <is>
          <t>A.5.17</t>
        </is>
      </c>
      <c r="C5" s="6" t="n"/>
      <c r="D5" s="6" t="n"/>
      <c r="E5" s="6" t="n"/>
    </row>
    <row r="6">
      <c r="A6" s="38" t="inlineStr">
        <is>
          <t>Overall Compliance Rating:</t>
        </is>
      </c>
      <c r="B6" s="39">
        <f>IFERROR(AVERAGE('Summary Dashboard'!G6:G10),"")</f>
        <v/>
      </c>
      <c r="C6" s="6" t="n"/>
      <c r="D6" s="6" t="n"/>
      <c r="E6" s="6" t="n"/>
    </row>
    <row r="7">
      <c r="A7" s="38" t="inlineStr">
        <is>
          <t>Assessment Status:</t>
        </is>
      </c>
      <c r="B7" s="35" t="inlineStr"/>
      <c r="C7" s="6" t="n"/>
      <c r="D7" s="6" t="n"/>
      <c r="E7" s="6" t="n"/>
    </row>
    <row r="8">
      <c r="A8" s="38" t="inlineStr">
        <is>
          <t>Assessed By:</t>
        </is>
      </c>
      <c r="B8" s="35" t="inlineStr"/>
      <c r="C8" s="6" t="n"/>
      <c r="D8" s="6" t="n"/>
      <c r="E8" s="6" t="n"/>
    </row>
    <row r="10">
      <c r="A10" s="37" t="inlineStr">
        <is>
          <t>COMPLETED BY (ASSESSOR)</t>
        </is>
      </c>
      <c r="B10" s="6" t="n"/>
      <c r="C10" s="6" t="n"/>
      <c r="D10" s="6" t="n"/>
      <c r="E10" s="6" t="n"/>
    </row>
    <row r="11">
      <c r="A11" s="38" t="inlineStr">
        <is>
          <t>Name:</t>
        </is>
      </c>
      <c r="B11" s="35" t="n"/>
      <c r="C11" s="6" t="n"/>
      <c r="D11" s="6" t="n"/>
      <c r="E11" s="6" t="n"/>
    </row>
    <row r="12">
      <c r="A12" s="38" t="inlineStr">
        <is>
          <t>Title:</t>
        </is>
      </c>
      <c r="B12" s="35" t="n"/>
      <c r="C12" s="6" t="n"/>
      <c r="D12" s="6" t="n"/>
      <c r="E12" s="6" t="n"/>
    </row>
    <row r="13">
      <c r="A13" s="38" t="inlineStr">
        <is>
          <t>Date:</t>
        </is>
      </c>
      <c r="B13" s="35" t="n"/>
      <c r="C13" s="6" t="n"/>
      <c r="D13" s="6" t="n"/>
      <c r="E13" s="6" t="n"/>
    </row>
    <row r="14">
      <c r="A14" s="38" t="inlineStr">
        <is>
          <t>Signature:</t>
        </is>
      </c>
      <c r="B14" s="35" t="n"/>
      <c r="C14" s="6" t="n"/>
      <c r="D14" s="6" t="n"/>
      <c r="E14" s="6" t="n"/>
    </row>
    <row r="15">
      <c r="A15" s="38" t="inlineStr">
        <is>
          <t>Comments:</t>
        </is>
      </c>
      <c r="B15" s="35" t="n"/>
      <c r="C15" s="6" t="n"/>
      <c r="D15" s="6" t="n"/>
      <c r="E15" s="6" t="n"/>
    </row>
    <row r="17">
      <c r="A17" s="37" t="inlineStr">
        <is>
          <t>REVIEWED BY (INFORMATION SECURITY OFFICER)</t>
        </is>
      </c>
      <c r="B17" s="6" t="n"/>
      <c r="C17" s="6" t="n"/>
      <c r="D17" s="6" t="n"/>
      <c r="E17" s="6" t="n"/>
    </row>
    <row r="18">
      <c r="A18" s="38" t="inlineStr">
        <is>
          <t>Name:</t>
        </is>
      </c>
      <c r="B18" s="35" t="n"/>
      <c r="C18" s="6" t="n"/>
      <c r="D18" s="6" t="n"/>
      <c r="E18" s="6" t="n"/>
    </row>
    <row r="19">
      <c r="A19" s="38" t="inlineStr">
        <is>
          <t>Title:</t>
        </is>
      </c>
      <c r="B19" s="35" t="n"/>
      <c r="C19" s="6" t="n"/>
      <c r="D19" s="6" t="n"/>
      <c r="E19" s="6" t="n"/>
    </row>
    <row r="20">
      <c r="A20" s="38" t="inlineStr">
        <is>
          <t>Date:</t>
        </is>
      </c>
      <c r="B20" s="35" t="n"/>
      <c r="C20" s="6" t="n"/>
      <c r="D20" s="6" t="n"/>
      <c r="E20" s="6" t="n"/>
    </row>
    <row r="21">
      <c r="A21" s="38" t="inlineStr">
        <is>
          <t>Signature:</t>
        </is>
      </c>
      <c r="B21" s="35" t="n"/>
      <c r="C21" s="6" t="n"/>
      <c r="D21" s="6" t="n"/>
      <c r="E21" s="6" t="n"/>
    </row>
    <row r="22">
      <c r="A22" s="38" t="inlineStr">
        <is>
          <t>Comments:</t>
        </is>
      </c>
      <c r="B22" s="35" t="n"/>
      <c r="C22" s="6" t="n"/>
      <c r="D22" s="6" t="n"/>
      <c r="E22" s="6" t="n"/>
    </row>
    <row r="24">
      <c r="A24" s="24" t="inlineStr">
        <is>
          <t>APPROVED BY (CISO)</t>
        </is>
      </c>
      <c r="B24" s="6" t="n"/>
      <c r="C24" s="6" t="n"/>
      <c r="D24" s="6" t="n"/>
      <c r="E24" s="6" t="n"/>
    </row>
    <row r="25">
      <c r="A25" s="38" t="inlineStr">
        <is>
          <t>Name:</t>
        </is>
      </c>
      <c r="B25" s="35" t="n"/>
      <c r="C25" s="6" t="n"/>
      <c r="D25" s="6" t="n"/>
      <c r="E25" s="6" t="n"/>
    </row>
    <row r="26">
      <c r="A26" s="38" t="inlineStr">
        <is>
          <t>Title:</t>
        </is>
      </c>
      <c r="B26" s="35" t="n"/>
      <c r="C26" s="6" t="n"/>
      <c r="D26" s="6" t="n"/>
      <c r="E26" s="6" t="n"/>
    </row>
    <row r="27">
      <c r="A27" s="38" t="inlineStr">
        <is>
          <t>Date:</t>
        </is>
      </c>
      <c r="B27" s="35" t="n"/>
      <c r="C27" s="6" t="n"/>
      <c r="D27" s="6" t="n"/>
      <c r="E27" s="6" t="n"/>
    </row>
    <row r="28">
      <c r="A28" s="38" t="inlineStr">
        <is>
          <t>Signature:</t>
        </is>
      </c>
      <c r="B28" s="35" t="n"/>
      <c r="C28" s="6" t="n"/>
      <c r="D28" s="6" t="n"/>
      <c r="E28" s="6" t="n"/>
    </row>
    <row r="29">
      <c r="A29" s="38" t="inlineStr">
        <is>
          <t>Comments:</t>
        </is>
      </c>
      <c r="B29" s="35" t="n"/>
      <c r="C29" s="6" t="n"/>
      <c r="D29" s="6" t="n"/>
      <c r="E29" s="6" t="n"/>
    </row>
    <row r="31">
      <c r="A31" s="38" t="inlineStr">
        <is>
          <t>FINAL DECISION:</t>
        </is>
      </c>
      <c r="B31" s="35" t="n"/>
      <c r="C31" s="6" t="n"/>
      <c r="D31" s="6" t="n"/>
      <c r="E31" s="6" t="n"/>
    </row>
    <row r="34">
      <c r="A34" s="37" t="inlineStr">
        <is>
          <t>NEXT REVIEW DETAILS</t>
        </is>
      </c>
      <c r="B34" s="6" t="n"/>
      <c r="C34" s="6" t="n"/>
      <c r="D34" s="6" t="n"/>
      <c r="E34" s="6" t="n"/>
    </row>
    <row r="35">
      <c r="A35" s="38" t="inlineStr">
        <is>
          <t>Next Review Date:</t>
        </is>
      </c>
      <c r="B35" s="35" t="n"/>
      <c r="C35" s="6" t="n"/>
      <c r="D35" s="6" t="n"/>
      <c r="E35" s="6" t="n"/>
    </row>
    <row r="36">
      <c r="A36" s="38" t="inlineStr">
        <is>
          <t>Review Responsible:</t>
        </is>
      </c>
      <c r="B36" s="35" t="n"/>
      <c r="C36" s="6" t="n"/>
      <c r="D36" s="6" t="n"/>
      <c r="E36" s="6" t="n"/>
    </row>
    <row r="37">
      <c r="A37" s="38" t="inlineStr">
        <is>
          <t>Special Considerations:</t>
        </is>
      </c>
      <c r="B37" s="35"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ISMS-IMP-A.5.17.3 — Password System Assessment</dc:title>
  <dc:description xmlns:dc="http://purl.org/dc/elements/1.1/">ISMS Implementation Workbook — ISMS-IMP-A.5.17.3</dc:description>
  <dc:subject xmlns:dc="http://purl.org/dc/elements/1.1/">ISO/IEC 27001:2022 — Control A.5.17: Authentication Information</dc:subject>
  <dcterms:created xmlns:dcterms="http://purl.org/dc/terms/" xmlns:xsi="http://www.w3.org/2001/XMLSchema-instance" xsi:type="dcterms:W3CDTF">2026-03-07T11:27:24Z</dcterms:created>
  <dcterms:modified xmlns:dcterms="http://purl.org/dc/terms/" xmlns:xsi="http://www.w3.org/2001/XMLSchema-instance" xsi:type="dcterms:W3CDTF">2026-03-07T11:27:25Z</dcterms:modified>
</cp:coreProperties>
</file>