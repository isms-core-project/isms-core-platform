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llocation Process" sheetId="2" state="visible" r:id="rId2"/>
    <sheet xmlns:r="http://schemas.openxmlformats.org/officeDocument/2006/relationships" name="Change Management" sheetId="3" state="visible" r:id="rId3"/>
    <sheet xmlns:r="http://schemas.openxmlformats.org/officeDocument/2006/relationships" name="Recovery Process" sheetId="4" state="visible" r:id="rId4"/>
    <sheet xmlns:r="http://schemas.openxmlformats.org/officeDocument/2006/relationships" name="Revocation Process" sheetId="5" state="visible" r:id="rId5"/>
    <sheet xmlns:r="http://schemas.openxmlformats.org/officeDocument/2006/relationships" name="Audit Log Requirements"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color rgb="00003366"/>
      <sz val="10"/>
    </font>
    <font>
      <name val="Calibri"/>
      <b val="1"/>
      <color rgb="00FFFFFF"/>
      <sz val="11"/>
    </font>
    <font>
      <name val="Calibri"/>
      <sz val="11"/>
    </font>
    <font>
      <name val="Calibri"/>
      <i val="1"/>
      <sz val="10"/>
    </font>
    <font>
      <name val="Calibri"/>
      <b val="1"/>
      <color rgb="00FFFFFF"/>
      <sz val="10"/>
    </font>
    <font>
      <name val="Calibri"/>
      <sz val="10"/>
    </font>
    <font>
      <b val="1"/>
      <color rgb="00FFFFFF"/>
      <sz val="14"/>
    </font>
    <font>
      <b val="1"/>
      <color rgb="00FFFFFF"/>
      <sz val="11"/>
    </font>
    <font>
      <b val="1"/>
      <color rgb="00000000"/>
    </font>
    <font>
      <color rgb="00000000"/>
    </font>
    <font>
      <b val="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4472C4"/>
        <bgColor rgb="004472C4"/>
      </patternFill>
    </fill>
    <fill>
      <patternFill patternType="solid">
        <fgColor rgb="00FFFFCC"/>
        <bgColor rgb="00FFFFCC"/>
      </patternFill>
    </fill>
    <fill>
      <patternFill patternType="solid">
        <fgColor rgb="00F2F2F2"/>
        <bgColor rgb="00F2F2F2"/>
      </patternFill>
    </fill>
    <fill>
      <patternFill patternType="solid">
        <fgColor rgb="00D9D9D9"/>
        <bgColor rgb="00D9D9D9"/>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center" vertical="center" wrapText="1"/>
    </xf>
    <xf numFmtId="0" fontId="6" fillId="9" borderId="1" applyAlignment="1" pivotButton="0" quotePrefix="0" xfId="0">
      <alignment horizontal="center" vertical="center" wrapText="1"/>
    </xf>
    <xf numFmtId="0" fontId="7" fillId="0" borderId="1" applyAlignment="1" pivotButton="0" quotePrefix="0" xfId="0">
      <alignment horizontal="left" vertical="center" wrapText="1"/>
    </xf>
    <xf numFmtId="0" fontId="7" fillId="10" borderId="1" applyAlignment="1" pivotButton="0" quotePrefix="0" xfId="0">
      <alignment horizontal="left" vertical="center" wrapText="1"/>
    </xf>
    <xf numFmtId="0" fontId="1" fillId="8" borderId="1" applyAlignment="1" pivotButton="0" quotePrefix="0" xfId="0">
      <alignment horizontal="center" vertical="center"/>
    </xf>
    <xf numFmtId="0" fontId="8" fillId="0" borderId="1" applyAlignment="1" pivotButton="0" quotePrefix="0" xfId="0">
      <alignment horizontal="left" vertical="center"/>
    </xf>
    <xf numFmtId="0" fontId="9" fillId="8" borderId="1" applyAlignment="1" pivotButton="0" quotePrefix="0" xfId="0">
      <alignment horizontal="center" vertical="center" wrapText="1"/>
    </xf>
    <xf numFmtId="0" fontId="10" fillId="11" borderId="1" applyAlignment="1" pivotButton="0" quotePrefix="0" xfId="0">
      <alignment horizontal="center" vertical="center" wrapText="1"/>
    </xf>
    <xf numFmtId="0" fontId="10" fillId="11" borderId="1" applyAlignment="1" pivotButton="0" quotePrefix="0" xfId="0">
      <alignment horizontal="left" vertical="center" wrapText="1"/>
    </xf>
    <xf numFmtId="0" fontId="0" fillId="10" borderId="1" applyAlignment="1" pivotButton="0" quotePrefix="0" xfId="0">
      <alignment horizontal="center" vertical="center" wrapText="1"/>
    </xf>
    <xf numFmtId="0" fontId="0" fillId="10" borderId="1" applyAlignment="1" pivotButton="0" quotePrefix="0" xfId="0">
      <alignment horizontal="left" vertical="center" wrapText="1"/>
    </xf>
    <xf numFmtId="0" fontId="11" fillId="8" borderId="1" applyAlignment="1" pivotButton="0" quotePrefix="0" xfId="0">
      <alignment horizontal="center" vertical="center" wrapText="1"/>
    </xf>
    <xf numFmtId="0" fontId="5" fillId="0" borderId="0" applyAlignment="1" pivotButton="0" quotePrefix="0" xfId="0">
      <alignment horizontal="left" vertical="center"/>
    </xf>
    <xf numFmtId="0" fontId="12" fillId="8" borderId="1" pivotButton="0" quotePrefix="0" xfId="0"/>
    <xf numFmtId="0" fontId="13" fillId="12" borderId="1" applyAlignment="1" pivotButton="0" quotePrefix="0" xfId="0">
      <alignment horizontal="center" vertical="center" wrapText="1"/>
    </xf>
    <xf numFmtId="0" fontId="14" fillId="0" borderId="1" applyAlignment="1" pivotButton="0" quotePrefix="0" xfId="0">
      <alignment horizontal="left" vertical="center"/>
    </xf>
    <xf numFmtId="0" fontId="14" fillId="0" borderId="1" applyAlignment="1" pivotButton="0" quotePrefix="0" xfId="0">
      <alignment horizontal="center" vertical="center"/>
    </xf>
    <xf numFmtId="164" fontId="14" fillId="0" borderId="1" applyAlignment="1" pivotButton="0" quotePrefix="0" xfId="0">
      <alignment horizontal="center" vertical="center"/>
    </xf>
    <xf numFmtId="0" fontId="13" fillId="12" borderId="1" applyAlignment="1" pivotButton="0" quotePrefix="0" xfId="0">
      <alignment horizontal="left" vertical="center"/>
    </xf>
    <xf numFmtId="0" fontId="13" fillId="12" borderId="1" applyAlignment="1" pivotButton="0" quotePrefix="0" xfId="0">
      <alignment horizontal="center" vertical="center"/>
    </xf>
    <xf numFmtId="164" fontId="13" fillId="12" borderId="1" applyAlignment="1" pivotButton="0" quotePrefix="0" xfId="0">
      <alignment horizontal="center" vertical="center"/>
    </xf>
    <xf numFmtId="0" fontId="12" fillId="13" borderId="1" pivotButton="0" quotePrefix="0" xfId="0"/>
    <xf numFmtId="0" fontId="14" fillId="10" borderId="1" pivotButton="0" quotePrefix="0" xfId="0"/>
    <xf numFmtId="0" fontId="14" fillId="10" borderId="1" applyAlignment="1" pivotButton="0" quotePrefix="0" xfId="0">
      <alignment horizontal="center" vertical="center"/>
    </xf>
    <xf numFmtId="0" fontId="0" fillId="10" borderId="1" pivotButton="0" quotePrefix="0" xfId="0"/>
    <xf numFmtId="0" fontId="5" fillId="0" borderId="1" applyAlignment="1" pivotButton="0" quotePrefix="0" xfId="0">
      <alignment horizontal="center" vertical="center"/>
    </xf>
    <xf numFmtId="0" fontId="12" fillId="9" borderId="1" pivotButton="0" quotePrefix="0" xfId="0"/>
    <xf numFmtId="0" fontId="15" fillId="0" borderId="1" pivotButton="0" quotePrefix="0" xfId="0"/>
    <xf numFmtId="164" fontId="0" fillId="1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ISMS-IMP-A.5.17.2  -  Credential Lifecycle Management
ISO/IEC 27001:2022 - Control A.5.17: Authentication Information</t>
        </is>
      </c>
    </row>
    <row r="3">
      <c r="A3" s="2" t="inlineStr">
        <is>
          <t>Document Information</t>
        </is>
      </c>
    </row>
    <row r="4">
      <c r="A4" s="3" t="inlineStr">
        <is>
          <t>Document ID</t>
        </is>
      </c>
      <c r="B4" t="inlineStr">
        <is>
          <t>ISMS-IMP-A.5.17.2</t>
        </is>
      </c>
    </row>
    <row r="5">
      <c r="A5" s="3" t="inlineStr">
        <is>
          <t>Workbook Title</t>
        </is>
      </c>
      <c r="B5" t="inlineStr">
        <is>
          <t>Credential Lifecycle Management</t>
        </is>
      </c>
    </row>
    <row r="6">
      <c r="A6" s="3" t="inlineStr">
        <is>
          <t>Control Reference</t>
        </is>
      </c>
      <c r="B6" t="inlineStr">
        <is>
          <t>ISO/IEC 27001:2022 - Control A.5.17: Authentication Information</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Allocation Process — assess how credentials are provisioned to users and systems.</t>
        </is>
      </c>
    </row>
    <row r="14">
      <c r="A14" t="inlineStr">
        <is>
          <t>2. Complete Change Management — evaluate password change triggers and procedures.</t>
        </is>
      </c>
    </row>
    <row r="15">
      <c r="A15" t="inlineStr">
        <is>
          <t>3. Complete Recovery Process — assess credential reset and recovery procedures for security risks.</t>
        </is>
      </c>
    </row>
    <row r="16">
      <c r="A16" t="inlineStr">
        <is>
          <t>4. Complete Revocation Process — evaluate timeliness and completeness of credential revocation.</t>
        </is>
      </c>
    </row>
    <row r="17">
      <c r="A17" t="inlineStr">
        <is>
          <t>5. Complete Audit Log Requirements — assess logging of credential lifecycle events.</t>
        </is>
      </c>
    </row>
    <row r="18">
      <c r="A18" t="inlineStr">
        <is>
          <t>6. Maintain the Evidence Register with process documentation and audit samples.</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0" customWidth="1" min="1" max="1"/>
    <col width="40" customWidth="1" min="2" max="2"/>
    <col width="18" customWidth="1" min="3" max="3"/>
    <col width="28" customWidth="1" min="4" max="4"/>
    <col width="15" customWidth="1" min="5" max="5"/>
    <col width="18" customWidth="1" min="6" max="6"/>
    <col width="14" customWidth="1" min="7" max="7"/>
    <col width="25" customWidth="1" min="8" max="8"/>
  </cols>
  <sheetData>
    <row r="1" ht="35" customHeight="1">
      <c r="A1" s="11" t="inlineStr">
        <is>
          <t>CREDENTIAL ALLOCATION PROCESS</t>
        </is>
      </c>
    </row>
    <row r="2">
      <c r="A2" s="12" t="inlineStr">
        <is>
          <t>ISO/IEC 27001:2022 - Control A.5.17: Authentication Information | Document the process for issuing new credentials to users</t>
        </is>
      </c>
    </row>
    <row r="3">
      <c r="A3" s="13" t="inlineStr">
        <is>
          <t>Process Step</t>
        </is>
      </c>
      <c r="B3" s="13" t="inlineStr">
        <is>
          <t>Description</t>
        </is>
      </c>
      <c r="C3" s="13" t="inlineStr">
        <is>
          <t>Responsible Role</t>
        </is>
      </c>
      <c r="D3" s="13" t="inlineStr">
        <is>
          <t>Verification Required</t>
        </is>
      </c>
      <c r="E3" s="13" t="inlineStr">
        <is>
          <t>SLA</t>
        </is>
      </c>
      <c r="F3" s="13" t="inlineStr">
        <is>
          <t>System/Tool</t>
        </is>
      </c>
      <c r="G3" s="13" t="inlineStr">
        <is>
          <t>Status</t>
        </is>
      </c>
      <c r="H3" s="13" t="inlineStr">
        <is>
          <t>Notes</t>
        </is>
      </c>
    </row>
    <row r="4">
      <c r="A4" s="14" t="inlineStr">
        <is>
          <t>1. Access Request</t>
        </is>
      </c>
      <c r="B4" s="14" t="inlineStr">
        <is>
          <t>User/manager submits access request via approved channel</t>
        </is>
      </c>
      <c r="C4" s="14" t="inlineStr">
        <is>
          <t>Requestor</t>
        </is>
      </c>
      <c r="D4" s="14" t="inlineStr">
        <is>
          <t>Manager approval</t>
        </is>
      </c>
      <c r="E4" s="14" t="inlineStr">
        <is>
          <t>Same day</t>
        </is>
      </c>
      <c r="F4" s="14" t="inlineStr">
        <is>
          <t>ServiceNow/ITSM</t>
        </is>
      </c>
      <c r="G4" s="15" t="inlineStr"/>
      <c r="H4" s="15" t="inlineStr"/>
    </row>
    <row r="5">
      <c r="A5" s="14" t="inlineStr">
        <is>
          <t>2. Identity Verification</t>
        </is>
      </c>
      <c r="B5" s="14" t="inlineStr">
        <is>
          <t>Verify user identity before credential issuance</t>
        </is>
      </c>
      <c r="C5" s="14" t="inlineStr">
        <is>
          <t>IT/HR</t>
        </is>
      </c>
      <c r="D5" s="14" t="inlineStr">
        <is>
          <t>Photo ID, employment verification</t>
        </is>
      </c>
      <c r="E5" s="14" t="inlineStr">
        <is>
          <t>Same day</t>
        </is>
      </c>
      <c r="F5" s="14" t="inlineStr">
        <is>
          <t>HR System</t>
        </is>
      </c>
      <c r="G5" s="15" t="inlineStr"/>
      <c r="H5" s="15" t="inlineStr"/>
    </row>
    <row r="6">
      <c r="A6" s="14" t="inlineStr">
        <is>
          <t>3. Authorisation Check</t>
        </is>
      </c>
      <c r="B6" s="14" t="inlineStr">
        <is>
          <t>Verify user is authorised for requested access</t>
        </is>
      </c>
      <c r="C6" s="14" t="inlineStr">
        <is>
          <t>System Owner</t>
        </is>
      </c>
      <c r="D6" s="14" t="inlineStr">
        <is>
          <t>Role-based access approval</t>
        </is>
      </c>
      <c r="E6" s="14" t="inlineStr">
        <is>
          <t>1 business day</t>
        </is>
      </c>
      <c r="F6" s="14" t="inlineStr">
        <is>
          <t>IAM System</t>
        </is>
      </c>
      <c r="G6" s="15" t="inlineStr"/>
      <c r="H6" s="15" t="inlineStr"/>
    </row>
    <row r="7">
      <c r="A7" s="14" t="inlineStr">
        <is>
          <t>4. Account Creation</t>
        </is>
      </c>
      <c r="B7" s="14" t="inlineStr">
        <is>
          <t>Create user account in target system</t>
        </is>
      </c>
      <c r="C7" s="14" t="inlineStr">
        <is>
          <t>IT Operations</t>
        </is>
      </c>
      <c r="D7" s="14" t="inlineStr">
        <is>
          <t>Naming convention compliance</t>
        </is>
      </c>
      <c r="E7" s="14" t="inlineStr">
        <is>
          <t>Same day</t>
        </is>
      </c>
      <c r="F7" s="14" t="inlineStr">
        <is>
          <t>Active Directory</t>
        </is>
      </c>
      <c r="G7" s="15" t="inlineStr"/>
      <c r="H7" s="15" t="inlineStr"/>
    </row>
    <row r="8">
      <c r="A8" s="14" t="inlineStr">
        <is>
          <t>5. Initial Password</t>
        </is>
      </c>
      <c r="B8" s="14" t="inlineStr">
        <is>
          <t>Generate temporary password meeting policy</t>
        </is>
      </c>
      <c r="C8" s="14" t="inlineStr">
        <is>
          <t>Automated/IT</t>
        </is>
      </c>
      <c r="D8" s="14" t="inlineStr">
        <is>
          <t>Complexity requirements</t>
        </is>
      </c>
      <c r="E8" s="14" t="inlineStr">
        <is>
          <t>Immediate</t>
        </is>
      </c>
      <c r="F8" s="14" t="inlineStr">
        <is>
          <t>Password Generator</t>
        </is>
      </c>
      <c r="G8" s="15" t="inlineStr"/>
      <c r="H8" s="15" t="inlineStr"/>
    </row>
    <row r="9">
      <c r="A9" s="14" t="inlineStr">
        <is>
          <t>6. Secure Delivery</t>
        </is>
      </c>
      <c r="B9" s="14" t="inlineStr">
        <is>
          <t>Transmit initial credentials via secure channel</t>
        </is>
      </c>
      <c r="C9" s="14" t="inlineStr">
        <is>
          <t>IT Operations</t>
        </is>
      </c>
      <c r="D9" s="14" t="inlineStr">
        <is>
          <t>Encrypted transmission</t>
        </is>
      </c>
      <c r="E9" s="14" t="inlineStr">
        <is>
          <t>Same day</t>
        </is>
      </c>
      <c r="F9" s="14" t="inlineStr">
        <is>
          <t>Secure Email/Portal</t>
        </is>
      </c>
      <c r="G9" s="15" t="inlineStr"/>
      <c r="H9" s="15" t="inlineStr"/>
    </row>
    <row r="10">
      <c r="A10" s="14" t="inlineStr">
        <is>
          <t>7. MFA Enrolment</t>
        </is>
      </c>
      <c r="B10" s="14" t="inlineStr">
        <is>
          <t>Enrol user in required MFA methods</t>
        </is>
      </c>
      <c r="C10" s="14" t="inlineStr">
        <is>
          <t>User/IT Support</t>
        </is>
      </c>
      <c r="D10" s="14" t="inlineStr">
        <is>
          <t>MFA device registered</t>
        </is>
      </c>
      <c r="E10" s="14" t="inlineStr">
        <is>
          <t>Within 24 hours</t>
        </is>
      </c>
      <c r="F10" s="14" t="inlineStr">
        <is>
          <t>MFA System</t>
        </is>
      </c>
      <c r="G10" s="15" t="inlineStr"/>
      <c r="H10" s="15" t="inlineStr"/>
    </row>
    <row r="11">
      <c r="A11" s="14" t="inlineStr">
        <is>
          <t>8. First Login</t>
        </is>
      </c>
      <c r="B11" s="14" t="inlineStr">
        <is>
          <t>User changes temporary password on first login</t>
        </is>
      </c>
      <c r="C11" s="14" t="inlineStr">
        <is>
          <t>User</t>
        </is>
      </c>
      <c r="D11" s="14" t="inlineStr">
        <is>
          <t>Password changed successfully</t>
        </is>
      </c>
      <c r="E11" s="14" t="inlineStr">
        <is>
          <t>Within 24 hours</t>
        </is>
      </c>
      <c r="F11" s="14" t="inlineStr">
        <is>
          <t>Target System</t>
        </is>
      </c>
      <c r="G11" s="15" t="inlineStr"/>
      <c r="H11" s="15" t="inlineStr"/>
    </row>
    <row r="12">
      <c r="A12" s="14" t="inlineStr">
        <is>
          <t>9. Confirmation</t>
        </is>
      </c>
      <c r="B12" s="14" t="inlineStr">
        <is>
          <t>Confirm successful access and close request</t>
        </is>
      </c>
      <c r="C12" s="14" t="inlineStr">
        <is>
          <t>Requestor</t>
        </is>
      </c>
      <c r="D12" s="14" t="inlineStr">
        <is>
          <t>User confirms access</t>
        </is>
      </c>
      <c r="E12" s="14" t="inlineStr">
        <is>
          <t>Within 48 hours</t>
        </is>
      </c>
      <c r="F12" s="14" t="inlineStr">
        <is>
          <t>ServiceNow/ITSM</t>
        </is>
      </c>
      <c r="G12" s="15" t="inlineStr"/>
      <c r="H12" s="15" t="inlineStr"/>
    </row>
    <row r="13">
      <c r="A13" s="14" t="inlineStr">
        <is>
          <t>10. Documentation</t>
        </is>
      </c>
      <c r="B13" s="14" t="inlineStr">
        <is>
          <t>Record credential allocation event</t>
        </is>
      </c>
      <c r="C13" s="14" t="inlineStr">
        <is>
          <t>System</t>
        </is>
      </c>
      <c r="D13" s="14" t="inlineStr">
        <is>
          <t>Audit log entry</t>
        </is>
      </c>
      <c r="E13" s="14" t="inlineStr">
        <is>
          <t>Immediate</t>
        </is>
      </c>
      <c r="F13" s="14" t="inlineStr">
        <is>
          <t>SIEM/Audit Log</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5" customWidth="1" min="4" max="4"/>
    <col width="15" customWidth="1" min="5" max="5"/>
    <col width="22" customWidth="1" min="6" max="6"/>
    <col width="14" customWidth="1" min="7" max="7"/>
    <col width="25" customWidth="1" min="8" max="8"/>
  </cols>
  <sheetData>
    <row r="1" ht="35" customHeight="1">
      <c r="A1" s="11" t="inlineStr">
        <is>
          <t>CREDENTIAL CHANGE MANAGEMENT</t>
        </is>
      </c>
    </row>
    <row r="2">
      <c r="A2" s="12" t="inlineStr">
        <is>
          <t>ISO/IEC 27001:2022 - Control A.5.17: Authentication Information | Manage credential changes including rotations and resets</t>
        </is>
      </c>
    </row>
    <row r="3">
      <c r="A3" s="13" t="inlineStr">
        <is>
          <t>Change Type</t>
        </is>
      </c>
      <c r="B3" s="13" t="inlineStr">
        <is>
          <t>Trigger</t>
        </is>
      </c>
      <c r="C3" s="13" t="inlineStr">
        <is>
          <t>Process Steps</t>
        </is>
      </c>
      <c r="D3" s="13" t="inlineStr">
        <is>
          <t>Verification</t>
        </is>
      </c>
      <c r="E3" s="13" t="inlineStr">
        <is>
          <t>SLA</t>
        </is>
      </c>
      <c r="F3" s="13" t="inlineStr">
        <is>
          <t>Notification</t>
        </is>
      </c>
      <c r="G3" s="13" t="inlineStr">
        <is>
          <t>Status</t>
        </is>
      </c>
      <c r="H3" s="13" t="inlineStr">
        <is>
          <t>Notes</t>
        </is>
      </c>
    </row>
    <row r="4">
      <c r="A4" s="14" t="inlineStr">
        <is>
          <t>User-Initiated Change</t>
        </is>
      </c>
      <c r="B4" s="14" t="inlineStr">
        <is>
          <t>User requests password change</t>
        </is>
      </c>
      <c r="C4" s="14" t="inlineStr">
        <is>
          <t>1. Authenticate, 2. Enter new password, 3. Confirm</t>
        </is>
      </c>
      <c r="D4" s="14" t="inlineStr">
        <is>
          <t>Current password verified</t>
        </is>
      </c>
      <c r="E4" s="14" t="inlineStr">
        <is>
          <t>Immediate</t>
        </is>
      </c>
      <c r="F4" s="14" t="inlineStr">
        <is>
          <t>Email confirmation</t>
        </is>
      </c>
      <c r="G4" s="15" t="inlineStr"/>
      <c r="H4" s="15" t="inlineStr"/>
    </row>
    <row r="5">
      <c r="A5" s="14" t="inlineStr">
        <is>
          <t>Scheduled Rotation</t>
        </is>
      </c>
      <c r="B5" s="14" t="inlineStr">
        <is>
          <t>Password expiration reached</t>
        </is>
      </c>
      <c r="C5" s="14" t="inlineStr">
        <is>
          <t>1. Prompt at login, 2. Enter new password, 3. Confirm</t>
        </is>
      </c>
      <c r="D5" s="14" t="inlineStr">
        <is>
          <t>Current password verified</t>
        </is>
      </c>
      <c r="E5" s="14" t="inlineStr">
        <is>
          <t>Before expiry</t>
        </is>
      </c>
      <c r="F5" s="14" t="inlineStr">
        <is>
          <t>7-day advance warning</t>
        </is>
      </c>
      <c r="G5" s="15" t="inlineStr"/>
      <c r="H5" s="15" t="inlineStr"/>
    </row>
    <row r="6">
      <c r="A6" s="14" t="inlineStr">
        <is>
          <t>Administrative Reset</t>
        </is>
      </c>
      <c r="B6" s="14" t="inlineStr">
        <is>
          <t>User requests reset via helpdesk</t>
        </is>
      </c>
      <c r="C6" s="14" t="inlineStr">
        <is>
          <t>1. Identity verification, 2. Generate temp password, 3. Secure delivery</t>
        </is>
      </c>
      <c r="D6" s="14" t="inlineStr">
        <is>
          <t>Security questions/callback</t>
        </is>
      </c>
      <c r="E6" s="14" t="inlineStr">
        <is>
          <t>15 minutes</t>
        </is>
      </c>
      <c r="F6" s="14" t="inlineStr">
        <is>
          <t>Email to user</t>
        </is>
      </c>
      <c r="G6" s="15" t="inlineStr"/>
      <c r="H6" s="15" t="inlineStr"/>
    </row>
    <row r="7">
      <c r="A7" s="14" t="inlineStr">
        <is>
          <t>Security Incident</t>
        </is>
      </c>
      <c r="B7" s="14" t="inlineStr">
        <is>
          <t>Suspected credential compromise</t>
        </is>
      </c>
      <c r="C7" s="14" t="inlineStr">
        <is>
          <t>1. Force immediate change, 2. Terminate sessions, 3. Investigate</t>
        </is>
      </c>
      <c r="D7" s="14" t="inlineStr">
        <is>
          <t>Admin authorisation</t>
        </is>
      </c>
      <c r="E7" s="14" t="inlineStr">
        <is>
          <t>Immediate</t>
        </is>
      </c>
      <c r="F7" s="14" t="inlineStr">
        <is>
          <t>User + security team</t>
        </is>
      </c>
      <c r="G7" s="15" t="inlineStr"/>
      <c r="H7" s="15" t="inlineStr"/>
    </row>
    <row r="8">
      <c r="A8" s="14" t="inlineStr">
        <is>
          <t>Role Change</t>
        </is>
      </c>
      <c r="B8" s="14" t="inlineStr">
        <is>
          <t>User changes job role/department</t>
        </is>
      </c>
      <c r="C8" s="14" t="inlineStr">
        <is>
          <t>1. Review access, 2. Revoke old, 3. Grant new</t>
        </is>
      </c>
      <c r="D8" s="14" t="inlineStr">
        <is>
          <t>Manager approval</t>
        </is>
      </c>
      <c r="E8" s="14" t="inlineStr">
        <is>
          <t>1 business day</t>
        </is>
      </c>
      <c r="F8" s="14" t="inlineStr">
        <is>
          <t>User + managers</t>
        </is>
      </c>
      <c r="G8" s="15" t="inlineStr"/>
      <c r="H8" s="15" t="inlineStr"/>
    </row>
    <row r="9">
      <c r="A9" s="14" t="inlineStr">
        <is>
          <t>MFA Device Change</t>
        </is>
      </c>
      <c r="B9" s="14" t="inlineStr">
        <is>
          <t>User changes MFA device</t>
        </is>
      </c>
      <c r="C9" s="14" t="inlineStr">
        <is>
          <t>1. Identity verification, 2. Remove old device, 3. Enrol new</t>
        </is>
      </c>
      <c r="D9" s="14" t="inlineStr">
        <is>
          <t>In-person or secure callback</t>
        </is>
      </c>
      <c r="E9" s="14" t="inlineStr">
        <is>
          <t>Same day</t>
        </is>
      </c>
      <c r="F9" s="14" t="inlineStr">
        <is>
          <t>Email confirmation</t>
        </is>
      </c>
      <c r="G9" s="15" t="inlineStr"/>
      <c r="H9" s="15" t="inlineStr"/>
    </row>
    <row r="10">
      <c r="A10" s="14" t="inlineStr">
        <is>
          <t>Token Refresh</t>
        </is>
      </c>
      <c r="B10" s="14" t="inlineStr">
        <is>
          <t>API key/service account rotation</t>
        </is>
      </c>
      <c r="C10" s="14" t="inlineStr">
        <is>
          <t>1. Generate new key, 2. Update applications, 3. Revoke old</t>
        </is>
      </c>
      <c r="D10" s="14" t="inlineStr">
        <is>
          <t>Change approval</t>
        </is>
      </c>
      <c r="E10" s="14" t="inlineStr">
        <is>
          <t>Scheduled window</t>
        </is>
      </c>
      <c r="F10" s="14" t="inlineStr">
        <is>
          <t>Application owners</t>
        </is>
      </c>
      <c r="G10" s="15" t="inlineStr"/>
      <c r="H10" s="15" t="inlineStr"/>
    </row>
    <row r="11">
      <c r="A11" s="14" t="inlineStr">
        <is>
          <t>Certificate Renewal</t>
        </is>
      </c>
      <c r="B11" s="14" t="inlineStr">
        <is>
          <t>Certificate approaching expiry</t>
        </is>
      </c>
      <c r="C11" s="14" t="inlineStr">
        <is>
          <t>1. Generate CSR, 2. Issue cert, 3. Deploy, 4. Verify</t>
        </is>
      </c>
      <c r="D11" s="14" t="inlineStr">
        <is>
          <t>Auto or manual trigger</t>
        </is>
      </c>
      <c r="E11" s="14" t="inlineStr">
        <is>
          <t>7 days before expiry</t>
        </is>
      </c>
      <c r="F11" s="14" t="inlineStr">
        <is>
          <t>System owners</t>
        </is>
      </c>
      <c r="G11" s="15" t="inlineStr"/>
      <c r="H11" s="15" t="inlineStr"/>
    </row>
    <row r="12">
      <c r="A12" s="14" t="inlineStr">
        <is>
          <t>Emergency Access</t>
        </is>
      </c>
      <c r="B12" s="14" t="inlineStr">
        <is>
          <t>Break-glass credential use</t>
        </is>
      </c>
      <c r="C12" s="14" t="inlineStr">
        <is>
          <t>1. Record justification, 2. Grant access, 3. Audit review</t>
        </is>
      </c>
      <c r="D12" s="14" t="inlineStr">
        <is>
          <t>Dual authorisation</t>
        </is>
      </c>
      <c r="E12" s="14" t="inlineStr">
        <is>
          <t>Immediate</t>
        </is>
      </c>
      <c r="F12" s="14" t="inlineStr">
        <is>
          <t>Security team</t>
        </is>
      </c>
      <c r="G12" s="15" t="inlineStr"/>
      <c r="H12" s="15" t="inlineStr"/>
    </row>
  </sheetData>
  <mergeCells count="2">
    <mergeCell ref="A2:H2"/>
    <mergeCell ref="A1:H1"/>
  </mergeCells>
  <dataValidations count="1">
    <dataValidation sqref="G4:G18" showDropDown="0" showInputMessage="0" showErrorMessage="0" allowBlank="1" type="list">
      <formula1>"Implemented,In Progress,Planned,Gap"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showGridLines="0" workbookViewId="0">
      <pane ySplit="3" topLeftCell="A4" activePane="bottomLeft" state="frozen"/>
      <selection pane="bottomLeft" activeCell="A1" sqref="A1"/>
    </sheetView>
  </sheetViews>
  <sheetFormatPr baseColWidth="8" defaultRowHeight="15"/>
  <cols>
    <col width="22" customWidth="1" min="1" max="1"/>
    <col width="30" customWidth="1" min="2" max="2"/>
    <col width="45" customWidth="1" min="3" max="3"/>
    <col width="22" customWidth="1" min="4" max="4"/>
    <col width="35" customWidth="1" min="5" max="5"/>
    <col width="12" customWidth="1" min="6" max="6"/>
    <col width="14" customWidth="1" min="7" max="7"/>
    <col width="25" customWidth="1" min="8" max="8"/>
  </cols>
  <sheetData>
    <row r="1" ht="35" customHeight="1">
      <c r="A1" s="11" t="inlineStr">
        <is>
          <t>CREDENTIAL RECOVERY PROCESSES</t>
        </is>
      </c>
    </row>
    <row r="2">
      <c r="A2" s="12" t="inlineStr">
        <is>
          <t>ISO/IEC 27001:2022 - Control A.5.17: Authentication Information | Define recovery methods for lost or inaccessible credentials</t>
        </is>
      </c>
    </row>
    <row r="3">
      <c r="A3" s="13" t="inlineStr">
        <is>
          <t>Recovery Method</t>
        </is>
      </c>
      <c r="B3" s="13" t="inlineStr">
        <is>
          <t>Use Case</t>
        </is>
      </c>
      <c r="C3" s="13" t="inlineStr">
        <is>
          <t>Process Steps</t>
        </is>
      </c>
      <c r="D3" s="13" t="inlineStr">
        <is>
          <t>Identity Verification</t>
        </is>
      </c>
      <c r="E3" s="13" t="inlineStr">
        <is>
          <t>Security Controls</t>
        </is>
      </c>
      <c r="F3" s="13" t="inlineStr">
        <is>
          <t>SLA</t>
        </is>
      </c>
      <c r="G3" s="13" t="inlineStr">
        <is>
          <t>Status</t>
        </is>
      </c>
      <c r="H3" s="13" t="inlineStr">
        <is>
          <t>Notes</t>
        </is>
      </c>
    </row>
    <row r="4">
      <c r="A4" s="14" t="inlineStr">
        <is>
          <t>Self-Service Email</t>
        </is>
      </c>
      <c r="B4" s="14" t="inlineStr">
        <is>
          <t>User forgets password, has email access</t>
        </is>
      </c>
      <c r="C4" s="14" t="inlineStr">
        <is>
          <t>1. Request reset, 2. Click email link, 3. Set new password</t>
        </is>
      </c>
      <c r="D4" s="14" t="inlineStr">
        <is>
          <t>Email ownership</t>
        </is>
      </c>
      <c r="E4" s="14" t="inlineStr">
        <is>
          <t>Time-limited token (15 min), single use</t>
        </is>
      </c>
      <c r="F4" s="14" t="inlineStr">
        <is>
          <t>Immediate</t>
        </is>
      </c>
      <c r="G4" s="15" t="inlineStr"/>
      <c r="H4" s="15" t="inlineStr"/>
    </row>
    <row r="5">
      <c r="A5" s="14" t="inlineStr">
        <is>
          <t>Self-Service SMS</t>
        </is>
      </c>
      <c r="B5" s="14" t="inlineStr">
        <is>
          <t>User forgets password, has phone access</t>
        </is>
      </c>
      <c r="C5" s="14" t="inlineStr">
        <is>
          <t>1. Request reset, 2. Enter SMS code, 3. Set new password</t>
        </is>
      </c>
      <c r="D5" s="14" t="inlineStr">
        <is>
          <t>Phone ownership</t>
        </is>
      </c>
      <c r="E5" s="14" t="inlineStr">
        <is>
          <t>Time-limited code (10 min), rate limited</t>
        </is>
      </c>
      <c r="F5" s="14" t="inlineStr">
        <is>
          <t>Immediate</t>
        </is>
      </c>
      <c r="G5" s="15" t="inlineStr"/>
      <c r="H5" s="15" t="inlineStr"/>
    </row>
    <row r="6">
      <c r="A6" s="14" t="inlineStr">
        <is>
          <t>Security Questions</t>
        </is>
      </c>
      <c r="B6" s="14" t="inlineStr">
        <is>
          <t>Backup recovery method</t>
        </is>
      </c>
      <c r="C6" s="14" t="inlineStr">
        <is>
          <t>1. Answer questions, 2. Verify answers, 3. Reset password</t>
        </is>
      </c>
      <c r="D6" s="14" t="inlineStr">
        <is>
          <t>Knowledge-based</t>
        </is>
      </c>
      <c r="E6" s="14" t="inlineStr">
        <is>
          <t>Limited attempts, lockout after failures</t>
        </is>
      </c>
      <c r="F6" s="14" t="inlineStr">
        <is>
          <t>Immediate</t>
        </is>
      </c>
      <c r="G6" s="15" t="inlineStr"/>
      <c r="H6" s="15" t="inlineStr"/>
    </row>
    <row r="7">
      <c r="A7" s="14" t="inlineStr">
        <is>
          <t>MFA Recovery Codes</t>
        </is>
      </c>
      <c r="B7" s="14" t="inlineStr">
        <is>
          <t>User loses MFA device</t>
        </is>
      </c>
      <c r="C7" s="14" t="inlineStr">
        <is>
          <t>1. Enter recovery code, 2. Access account, 3. Re-enrol MFA</t>
        </is>
      </c>
      <c r="D7" s="14" t="inlineStr">
        <is>
          <t>Recovery code possession</t>
        </is>
      </c>
      <c r="E7" s="14" t="inlineStr">
        <is>
          <t>Single-use codes, secure storage reminder</t>
        </is>
      </c>
      <c r="F7" s="14" t="inlineStr">
        <is>
          <t>Immediate</t>
        </is>
      </c>
      <c r="G7" s="15" t="inlineStr"/>
      <c r="H7" s="15" t="inlineStr"/>
    </row>
    <row r="8">
      <c r="A8" s="14" t="inlineStr">
        <is>
          <t>Helpdesk Assisted</t>
        </is>
      </c>
      <c r="B8" s="14" t="inlineStr">
        <is>
          <t>User cannot self-recover</t>
        </is>
      </c>
      <c r="C8" s="14" t="inlineStr">
        <is>
          <t>1. Call helpdesk, 2. Identity verification, 3. Temp password issued</t>
        </is>
      </c>
      <c r="D8" s="14" t="inlineStr">
        <is>
          <t>Photo ID + security questions</t>
        </is>
      </c>
      <c r="E8" s="14" t="inlineStr">
        <is>
          <t>Callback verification, temp password expires</t>
        </is>
      </c>
      <c r="F8" s="14" t="inlineStr">
        <is>
          <t>15 minutes</t>
        </is>
      </c>
      <c r="G8" s="15" t="inlineStr"/>
      <c r="H8" s="15" t="inlineStr"/>
    </row>
    <row r="9">
      <c r="A9" s="14" t="inlineStr">
        <is>
          <t>Manager Verification</t>
        </is>
      </c>
      <c r="B9" s="14" t="inlineStr">
        <is>
          <t>High-security accounts</t>
        </is>
      </c>
      <c r="C9" s="14" t="inlineStr">
        <is>
          <t>1. Manager confirms identity, 2. IT resets, 3. Secure delivery</t>
        </is>
      </c>
      <c r="D9" s="14" t="inlineStr">
        <is>
          <t>Manager attestation</t>
        </is>
      </c>
      <c r="E9" s="14" t="inlineStr">
        <is>
          <t>Out-of-band confirmation required</t>
        </is>
      </c>
      <c r="F9" s="14" t="inlineStr">
        <is>
          <t>1 hour</t>
        </is>
      </c>
      <c r="G9" s="15" t="inlineStr"/>
      <c r="H9" s="15" t="inlineStr"/>
    </row>
    <row r="10">
      <c r="A10" s="14" t="inlineStr">
        <is>
          <t>In-Person Recovery</t>
        </is>
      </c>
      <c r="B10" s="14" t="inlineStr">
        <is>
          <t>Highest security accounts</t>
        </is>
      </c>
      <c r="C10" s="14" t="inlineStr">
        <is>
          <t>1. Visit IT in person, 2. Photo ID check, 3. Reset performed</t>
        </is>
      </c>
      <c r="D10" s="14" t="inlineStr">
        <is>
          <t>Physical ID verification</t>
        </is>
      </c>
      <c r="E10" s="14" t="inlineStr">
        <is>
          <t>No remote recovery allowed</t>
        </is>
      </c>
      <c r="F10" s="14" t="inlineStr">
        <is>
          <t>Same day</t>
        </is>
      </c>
      <c r="G10" s="15" t="inlineStr"/>
      <c r="H10" s="15" t="inlineStr"/>
    </row>
    <row r="11">
      <c r="A11" s="14" t="inlineStr">
        <is>
          <t>Privileged Account</t>
        </is>
      </c>
      <c r="B11" s="14" t="inlineStr">
        <is>
          <t>Admin/service account recovery</t>
        </is>
      </c>
      <c r="C11" s="14" t="inlineStr">
        <is>
          <t>1. Dual authorisation, 2. Break-glass procedure, 3. Full audit</t>
        </is>
      </c>
      <c r="D11" s="14" t="inlineStr">
        <is>
          <t>Dual control required</t>
        </is>
      </c>
      <c r="E11" s="14" t="inlineStr">
        <is>
          <t>Emergency access procedure, immediate review</t>
        </is>
      </c>
      <c r="F11" s="14" t="inlineStr">
        <is>
          <t>15 minutes</t>
        </is>
      </c>
      <c r="G11" s="15" t="inlineStr"/>
      <c r="H11" s="15" t="inlineStr"/>
    </row>
  </sheetData>
  <mergeCells count="2">
    <mergeCell ref="A2:H2"/>
    <mergeCell ref="A1:H1"/>
  </mergeCells>
  <dataValidations count="1">
    <dataValidation sqref="G4:G17" showDropDown="0" showInputMessage="0" showErrorMessage="0" allowBlank="1" type="list">
      <formula1>"Implemented,In Progress,Planned,Gap"</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showGridLines="0" workbookViewId="0">
      <pane ySplit="3" topLeftCell="A4" activePane="bottomLeft" state="frozen"/>
      <selection pane="bottomLeft" activeCell="A1" sqref="A1"/>
    </sheetView>
  </sheetViews>
  <sheetFormatPr baseColWidth="8" defaultRowHeight="15"/>
  <cols>
    <col width="22" customWidth="1" min="1" max="1"/>
    <col width="22" customWidth="1" min="2" max="2"/>
    <col width="45" customWidth="1" min="3" max="3"/>
    <col width="25" customWidth="1" min="4" max="4"/>
    <col width="30" customWidth="1" min="5" max="5"/>
    <col width="20" customWidth="1" min="6" max="6"/>
    <col width="14" customWidth="1" min="7" max="7"/>
    <col width="25" customWidth="1" min="8" max="8"/>
  </cols>
  <sheetData>
    <row r="1" ht="35" customHeight="1">
      <c r="A1" s="11" t="inlineStr">
        <is>
          <t>CREDENTIAL REVOCATION PROCESS</t>
        </is>
      </c>
    </row>
    <row r="2">
      <c r="A2" s="12" t="inlineStr">
        <is>
          <t>ISO/IEC 27001:2022 - Control A.5.17: Authentication Information | Define revocation triggers, SLAs, and responsible parties</t>
        </is>
      </c>
    </row>
    <row r="3">
      <c r="A3" s="13" t="inlineStr">
        <is>
          <t>Revocation Trigger</t>
        </is>
      </c>
      <c r="B3" s="13" t="inlineStr">
        <is>
          <t>SLA Requirement</t>
        </is>
      </c>
      <c r="C3" s="13" t="inlineStr">
        <is>
          <t>Actions Required</t>
        </is>
      </c>
      <c r="D3" s="13" t="inlineStr">
        <is>
          <t>Verification</t>
        </is>
      </c>
      <c r="E3" s="13" t="inlineStr">
        <is>
          <t>Systems Affected</t>
        </is>
      </c>
      <c r="F3" s="13" t="inlineStr">
        <is>
          <t>Responsible</t>
        </is>
      </c>
      <c r="G3" s="13" t="inlineStr">
        <is>
          <t>Status</t>
        </is>
      </c>
      <c r="H3" s="13" t="inlineStr">
        <is>
          <t>Notes</t>
        </is>
      </c>
    </row>
    <row r="4">
      <c r="A4" s="14" t="inlineStr">
        <is>
          <t>Voluntary Resignation</t>
        </is>
      </c>
      <c r="B4" s="14" t="inlineStr">
        <is>
          <t>Last day of employment</t>
        </is>
      </c>
      <c r="C4" s="14" t="inlineStr">
        <is>
          <t>Disable account, revoke all access, terminate sessions</t>
        </is>
      </c>
      <c r="D4" s="14" t="inlineStr">
        <is>
          <t>HR notification received</t>
        </is>
      </c>
      <c r="E4" s="14" t="inlineStr">
        <is>
          <t>AD, Email, VPN, Apps, Cloud</t>
        </is>
      </c>
      <c r="F4" s="14" t="inlineStr">
        <is>
          <t>IT Operations</t>
        </is>
      </c>
      <c r="G4" s="15" t="inlineStr"/>
      <c r="H4" s="15" t="inlineStr"/>
    </row>
    <row r="5">
      <c r="A5" s="14" t="inlineStr">
        <is>
          <t>Involuntary Termination</t>
        </is>
      </c>
      <c r="B5" s="14" t="inlineStr">
        <is>
          <t>Immediate (same hour)</t>
        </is>
      </c>
      <c r="C5" s="14" t="inlineStr">
        <is>
          <t>Immediate disable, revoke all, terminate sessions, collect devices</t>
        </is>
      </c>
      <c r="D5" s="14" t="inlineStr">
        <is>
          <t>HR/Legal notification</t>
        </is>
      </c>
      <c r="E5" s="14" t="inlineStr">
        <is>
          <t>All systems</t>
        </is>
      </c>
      <c r="F5" s="14" t="inlineStr">
        <is>
          <t>IT Operations + Security</t>
        </is>
      </c>
      <c r="G5" s="15" t="inlineStr"/>
      <c r="H5" s="15" t="inlineStr"/>
    </row>
    <row r="6">
      <c r="A6" s="14" t="inlineStr">
        <is>
          <t>Contract End</t>
        </is>
      </c>
      <c r="B6" s="14" t="inlineStr">
        <is>
          <t>Contract end date</t>
        </is>
      </c>
      <c r="C6" s="14" t="inlineStr">
        <is>
          <t>Disable account, revoke access, archive data</t>
        </is>
      </c>
      <c r="D6" s="14" t="inlineStr">
        <is>
          <t>Contract manager notification</t>
        </is>
      </c>
      <c r="E6" s="14" t="inlineStr">
        <is>
          <t>All contractor-accessed systems</t>
        </is>
      </c>
      <c r="F6" s="14" t="inlineStr">
        <is>
          <t>IT Operations</t>
        </is>
      </c>
      <c r="G6" s="15" t="inlineStr"/>
      <c r="H6" s="15" t="inlineStr"/>
    </row>
    <row r="7">
      <c r="A7" s="14" t="inlineStr">
        <is>
          <t>Extended Leave</t>
        </is>
      </c>
      <c r="B7" s="14" t="inlineStr">
        <is>
          <t>Start of leave</t>
        </is>
      </c>
      <c r="C7" s="14" t="inlineStr">
        <is>
          <t>Disable account (not delete), preserve access config</t>
        </is>
      </c>
      <c r="D7" s="14" t="inlineStr">
        <is>
          <t>HR notification</t>
        </is>
      </c>
      <c r="E7" s="14" t="inlineStr">
        <is>
          <t>Interactive login systems</t>
        </is>
      </c>
      <c r="F7" s="14" t="inlineStr">
        <is>
          <t>IT Operations</t>
        </is>
      </c>
      <c r="G7" s="15" t="inlineStr"/>
      <c r="H7" s="15" t="inlineStr"/>
    </row>
    <row r="8">
      <c r="A8" s="14" t="inlineStr">
        <is>
          <t>Role Change</t>
        </is>
      </c>
      <c r="B8" s="14" t="inlineStr">
        <is>
          <t>Effective date of change</t>
        </is>
      </c>
      <c r="C8" s="14" t="inlineStr">
        <is>
          <t>Revoke old access, grant new access per new role</t>
        </is>
      </c>
      <c r="D8" s="14" t="inlineStr">
        <is>
          <t>Manager approval</t>
        </is>
      </c>
      <c r="E8" s="14" t="inlineStr">
        <is>
          <t>Role-specific systems</t>
        </is>
      </c>
      <c r="F8" s="14" t="inlineStr">
        <is>
          <t>IT Operations</t>
        </is>
      </c>
      <c r="G8" s="15" t="inlineStr"/>
      <c r="H8" s="15" t="inlineStr"/>
    </row>
    <row r="9">
      <c r="A9" s="14" t="inlineStr">
        <is>
          <t>Security Incident</t>
        </is>
      </c>
      <c r="B9" s="14" t="inlineStr">
        <is>
          <t>Immediate</t>
        </is>
      </c>
      <c r="C9" s="14" t="inlineStr">
        <is>
          <t>Disable account, terminate sessions, preserve for investigation</t>
        </is>
      </c>
      <c r="D9" s="14" t="inlineStr">
        <is>
          <t>Security team authorisation</t>
        </is>
      </c>
      <c r="E9" s="14" t="inlineStr">
        <is>
          <t>All systems</t>
        </is>
      </c>
      <c r="F9" s="14" t="inlineStr">
        <is>
          <t>Security Team</t>
        </is>
      </c>
      <c r="G9" s="15" t="inlineStr"/>
      <c r="H9" s="15" t="inlineStr"/>
    </row>
    <row r="10">
      <c r="A10" s="14" t="inlineStr">
        <is>
          <t>Policy Violation</t>
        </is>
      </c>
      <c r="B10" s="14" t="inlineStr">
        <is>
          <t>Per investigation outcome</t>
        </is>
      </c>
      <c r="C10" s="14" t="inlineStr">
        <is>
          <t>Suspend or revoke based on severity</t>
        </is>
      </c>
      <c r="D10" s="14" t="inlineStr">
        <is>
          <t>HR/Legal/Security decision</t>
        </is>
      </c>
      <c r="E10" s="14" t="inlineStr">
        <is>
          <t>Relevant systems</t>
        </is>
      </c>
      <c r="F10" s="14" t="inlineStr">
        <is>
          <t>Security Team</t>
        </is>
      </c>
      <c r="G10" s="15" t="inlineStr"/>
      <c r="H10" s="15" t="inlineStr"/>
    </row>
    <row r="11">
      <c r="A11" s="14" t="inlineStr">
        <is>
          <t>Account Inactivity</t>
        </is>
      </c>
      <c r="B11" s="14" t="inlineStr">
        <is>
          <t>After defined period (90 days)</t>
        </is>
      </c>
      <c r="C11" s="14" t="inlineStr">
        <is>
          <t>Disable account, notify manager</t>
        </is>
      </c>
      <c r="D11" s="14" t="inlineStr">
        <is>
          <t>Automated detection</t>
        </is>
      </c>
      <c r="E11" s="14" t="inlineStr">
        <is>
          <t>All systems</t>
        </is>
      </c>
      <c r="F11" s="14" t="inlineStr">
        <is>
          <t>Automated + IT</t>
        </is>
      </c>
      <c r="G11" s="15" t="inlineStr"/>
      <c r="H11" s="15" t="inlineStr"/>
    </row>
    <row r="12">
      <c r="A12" s="14" t="inlineStr">
        <is>
          <t>Credential Compromise</t>
        </is>
      </c>
      <c r="B12" s="14" t="inlineStr">
        <is>
          <t>Immediate</t>
        </is>
      </c>
      <c r="C12" s="14" t="inlineStr">
        <is>
          <t>Revoke credential, force reset, audit access</t>
        </is>
      </c>
      <c r="D12" s="14" t="inlineStr">
        <is>
          <t>Security team determination</t>
        </is>
      </c>
      <c r="E12" s="14" t="inlineStr">
        <is>
          <t>Affected credential scope</t>
        </is>
      </c>
      <c r="F12" s="14" t="inlineStr">
        <is>
          <t>Security Team</t>
        </is>
      </c>
      <c r="G12" s="15" t="inlineStr"/>
      <c r="H12" s="15" t="inlineStr"/>
    </row>
    <row r="13">
      <c r="A13" s="14" t="inlineStr">
        <is>
          <t>Device Loss/Theft</t>
        </is>
      </c>
      <c r="B13" s="14" t="inlineStr">
        <is>
          <t>Immediate</t>
        </is>
      </c>
      <c r="C13" s="14" t="inlineStr">
        <is>
          <t>Revoke device certificates, remote wipe, force password change</t>
        </is>
      </c>
      <c r="D13" s="14" t="inlineStr">
        <is>
          <t>User/manager report</t>
        </is>
      </c>
      <c r="E13" s="14" t="inlineStr">
        <is>
          <t>Device-bound credentials</t>
        </is>
      </c>
      <c r="F13" s="14" t="inlineStr">
        <is>
          <t>IT Operations</t>
        </is>
      </c>
      <c r="G13" s="15" t="inlineStr"/>
      <c r="H13" s="15" t="inlineStr"/>
    </row>
  </sheetData>
  <mergeCells count="2">
    <mergeCell ref="A2:H2"/>
    <mergeCell ref="A1:H1"/>
  </mergeCells>
  <dataValidations count="1">
    <dataValidation sqref="G4:G19" showDropDown="0" showInputMessage="0" showErrorMessage="0" allowBlank="1" type="list">
      <formula1>"Implemented,In Progress,Planned,Gap"</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22" customWidth="1" min="1" max="1"/>
    <col width="40" customWidth="1" min="2" max="2"/>
    <col width="18" customWidth="1" min="3" max="3"/>
    <col width="20" customWidth="1" min="4" max="4"/>
    <col width="20" customWidth="1" min="5" max="5"/>
    <col width="14" customWidth="1" min="6" max="6"/>
    <col width="25" customWidth="1" min="7" max="7"/>
  </cols>
  <sheetData>
    <row r="1" ht="35" customHeight="1">
      <c r="A1" s="11" t="inlineStr">
        <is>
          <t>AUTHENTICATION AUDIT LOG REQUIREMENTS</t>
        </is>
      </c>
    </row>
    <row r="2">
      <c r="A2" s="12" t="inlineStr">
        <is>
          <t>ISO/IEC 27001:2022 - Control A.5.17: Authentication Information | Define authentication event logging requirements and retention</t>
        </is>
      </c>
    </row>
    <row r="3">
      <c r="A3" s="13" t="inlineStr">
        <is>
          <t>Event Type</t>
        </is>
      </c>
      <c r="B3" s="13" t="inlineStr">
        <is>
          <t>Details to Log</t>
        </is>
      </c>
      <c r="C3" s="13" t="inlineStr">
        <is>
          <t>Retention Period</t>
        </is>
      </c>
      <c r="D3" s="13" t="inlineStr">
        <is>
          <t>Alerting Required</t>
        </is>
      </c>
      <c r="E3" s="13" t="inlineStr">
        <is>
          <t>Review Frequency</t>
        </is>
      </c>
      <c r="F3" s="13" t="inlineStr">
        <is>
          <t>Status</t>
        </is>
      </c>
      <c r="G3" s="13" t="inlineStr">
        <is>
          <t>Notes</t>
        </is>
      </c>
    </row>
    <row r="4">
      <c r="A4" s="14" t="inlineStr">
        <is>
          <t>Successful Login</t>
        </is>
      </c>
      <c r="B4" s="14" t="inlineStr">
        <is>
          <t>User, timestamp, source IP, device, MFA method</t>
        </is>
      </c>
      <c r="C4" s="14" t="inlineStr">
        <is>
          <t>1 year minimum</t>
        </is>
      </c>
      <c r="D4" s="14" t="inlineStr">
        <is>
          <t>No (baseline)</t>
        </is>
      </c>
      <c r="E4" s="14" t="inlineStr">
        <is>
          <t>Monthly sampling</t>
        </is>
      </c>
      <c r="F4" s="15" t="inlineStr"/>
      <c r="G4" s="15" t="inlineStr"/>
    </row>
    <row r="5">
      <c r="A5" s="14" t="inlineStr">
        <is>
          <t>Failed Login</t>
        </is>
      </c>
      <c r="B5" s="14" t="inlineStr">
        <is>
          <t>User, timestamp, source IP, failure reason</t>
        </is>
      </c>
      <c r="C5" s="14" t="inlineStr">
        <is>
          <t>1 year minimum</t>
        </is>
      </c>
      <c r="D5" s="14" t="inlineStr">
        <is>
          <t>Yes (threshold)</t>
        </is>
      </c>
      <c r="E5" s="14" t="inlineStr">
        <is>
          <t>Real-time monitoring</t>
        </is>
      </c>
      <c r="F5" s="15" t="inlineStr"/>
      <c r="G5" s="15" t="inlineStr"/>
    </row>
    <row r="6">
      <c r="A6" s="14" t="inlineStr">
        <is>
          <t>Account Lockout</t>
        </is>
      </c>
      <c r="B6" s="14" t="inlineStr">
        <is>
          <t>User, timestamp, source IP, lockout reason</t>
        </is>
      </c>
      <c r="C6" s="14" t="inlineStr">
        <is>
          <t>1 year minimum</t>
        </is>
      </c>
      <c r="D6" s="14" t="inlineStr">
        <is>
          <t>Yes (immediate)</t>
        </is>
      </c>
      <c r="E6" s="14" t="inlineStr">
        <is>
          <t>Real-time monitoring</t>
        </is>
      </c>
      <c r="F6" s="15" t="inlineStr"/>
      <c r="G6" s="15" t="inlineStr"/>
    </row>
    <row r="7">
      <c r="A7" s="14" t="inlineStr">
        <is>
          <t>Password Change</t>
        </is>
      </c>
      <c r="B7" s="14" t="inlineStr">
        <is>
          <t>User, timestamp, change type (user/admin)</t>
        </is>
      </c>
      <c r="C7" s="14" t="inlineStr">
        <is>
          <t>1 year minimum</t>
        </is>
      </c>
      <c r="D7" s="14" t="inlineStr">
        <is>
          <t>Admin changes only</t>
        </is>
      </c>
      <c r="E7" s="14" t="inlineStr">
        <is>
          <t>Weekly review</t>
        </is>
      </c>
      <c r="F7" s="15" t="inlineStr"/>
      <c r="G7" s="15" t="inlineStr"/>
    </row>
    <row r="8">
      <c r="A8" s="14" t="inlineStr">
        <is>
          <t>Password Reset</t>
        </is>
      </c>
      <c r="B8" s="14" t="inlineStr">
        <is>
          <t>User, timestamp, reset method, requester</t>
        </is>
      </c>
      <c r="C8" s="14" t="inlineStr">
        <is>
          <t>1 year minimum</t>
        </is>
      </c>
      <c r="D8" s="14" t="inlineStr">
        <is>
          <t>Yes (admin resets)</t>
        </is>
      </c>
      <c r="E8" s="14" t="inlineStr">
        <is>
          <t>Daily review</t>
        </is>
      </c>
      <c r="F8" s="15" t="inlineStr"/>
      <c r="G8" s="15" t="inlineStr"/>
    </row>
    <row r="9">
      <c r="A9" s="14" t="inlineStr">
        <is>
          <t>MFA Enrolment</t>
        </is>
      </c>
      <c r="B9" s="14" t="inlineStr">
        <is>
          <t>User, timestamp, MFA type, device info</t>
        </is>
      </c>
      <c r="C9" s="14" t="inlineStr">
        <is>
          <t>1 year minimum</t>
        </is>
      </c>
      <c r="D9" s="14" t="inlineStr">
        <is>
          <t>Yes</t>
        </is>
      </c>
      <c r="E9" s="14" t="inlineStr">
        <is>
          <t>Weekly review</t>
        </is>
      </c>
      <c r="F9" s="15" t="inlineStr"/>
      <c r="G9" s="15" t="inlineStr"/>
    </row>
    <row r="10">
      <c r="A10" s="14" t="inlineStr">
        <is>
          <t>MFA Failure</t>
        </is>
      </c>
      <c r="B10" s="14" t="inlineStr">
        <is>
          <t>User, timestamp, failure reason</t>
        </is>
      </c>
      <c r="C10" s="14" t="inlineStr">
        <is>
          <t>1 year minimum</t>
        </is>
      </c>
      <c r="D10" s="14" t="inlineStr">
        <is>
          <t>Yes (threshold)</t>
        </is>
      </c>
      <c r="E10" s="14" t="inlineStr">
        <is>
          <t>Real-time monitoring</t>
        </is>
      </c>
      <c r="F10" s="15" t="inlineStr"/>
      <c r="G10" s="15" t="inlineStr"/>
    </row>
    <row r="11">
      <c r="A11" s="14" t="inlineStr">
        <is>
          <t>Session Start/End</t>
        </is>
      </c>
      <c r="B11" s="14" t="inlineStr">
        <is>
          <t>User, timestamp, duration, source IP</t>
        </is>
      </c>
      <c r="C11" s="14" t="inlineStr">
        <is>
          <t>1 year minimum</t>
        </is>
      </c>
      <c r="D11" s="14" t="inlineStr">
        <is>
          <t>Anomalies only</t>
        </is>
      </c>
      <c r="E11" s="14" t="inlineStr">
        <is>
          <t>Monthly review</t>
        </is>
      </c>
      <c r="F11" s="15" t="inlineStr"/>
      <c r="G11" s="15" t="inlineStr"/>
    </row>
    <row r="12">
      <c r="A12" s="14" t="inlineStr">
        <is>
          <t>Privilege Escalation</t>
        </is>
      </c>
      <c r="B12" s="14" t="inlineStr">
        <is>
          <t>User, timestamp, privilege granted, grantor</t>
        </is>
      </c>
      <c r="C12" s="14" t="inlineStr">
        <is>
          <t>2 years minimum</t>
        </is>
      </c>
      <c r="D12" s="14" t="inlineStr">
        <is>
          <t>Yes (immediate)</t>
        </is>
      </c>
      <c r="E12" s="14" t="inlineStr">
        <is>
          <t>Real-time monitoring</t>
        </is>
      </c>
      <c r="F12" s="15" t="inlineStr"/>
      <c r="G12" s="15" t="inlineStr"/>
    </row>
    <row r="13">
      <c r="A13" s="14" t="inlineStr">
        <is>
          <t>Account Creation</t>
        </is>
      </c>
      <c r="B13" s="14" t="inlineStr">
        <is>
          <t>New user, timestamp, creator, initial access</t>
        </is>
      </c>
      <c r="C13" s="14" t="inlineStr">
        <is>
          <t>2 years minimum</t>
        </is>
      </c>
      <c r="D13" s="14" t="inlineStr">
        <is>
          <t>Yes</t>
        </is>
      </c>
      <c r="E13" s="14" t="inlineStr">
        <is>
          <t>Daily review</t>
        </is>
      </c>
      <c r="F13" s="15" t="inlineStr"/>
      <c r="G13" s="15" t="inlineStr"/>
    </row>
    <row r="14">
      <c r="A14" s="14" t="inlineStr">
        <is>
          <t>Account Deletion</t>
        </is>
      </c>
      <c r="B14" s="14" t="inlineStr">
        <is>
          <t>User, timestamp, deleter, reason</t>
        </is>
      </c>
      <c r="C14" s="14" t="inlineStr">
        <is>
          <t>2 years minimum</t>
        </is>
      </c>
      <c r="D14" s="14" t="inlineStr">
        <is>
          <t>Yes</t>
        </is>
      </c>
      <c r="E14" s="14" t="inlineStr">
        <is>
          <t>Daily review</t>
        </is>
      </c>
      <c r="F14" s="15" t="inlineStr"/>
      <c r="G14" s="15" t="inlineStr"/>
    </row>
    <row r="15">
      <c r="A15" s="14" t="inlineStr">
        <is>
          <t>Access Revocation</t>
        </is>
      </c>
      <c r="B15" s="14" t="inlineStr">
        <is>
          <t>User, timestamp, revoker, access revoked</t>
        </is>
      </c>
      <c r="C15" s="14" t="inlineStr">
        <is>
          <t>2 years minimum</t>
        </is>
      </c>
      <c r="D15" s="14" t="inlineStr">
        <is>
          <t>Yes</t>
        </is>
      </c>
      <c r="E15" s="14" t="inlineStr">
        <is>
          <t>Daily review</t>
        </is>
      </c>
      <c r="F15" s="15" t="inlineStr"/>
      <c r="G15" s="15" t="inlineStr"/>
    </row>
    <row r="16">
      <c r="A16" s="14" t="inlineStr">
        <is>
          <t>Service Account Access</t>
        </is>
      </c>
      <c r="B16" s="14" t="inlineStr">
        <is>
          <t>Account, timestamp, action, target system</t>
        </is>
      </c>
      <c r="C16" s="14" t="inlineStr">
        <is>
          <t>2 years minimum</t>
        </is>
      </c>
      <c r="D16" s="14" t="inlineStr">
        <is>
          <t>Anomalies</t>
        </is>
      </c>
      <c r="E16" s="14" t="inlineStr">
        <is>
          <t>Weekly review</t>
        </is>
      </c>
      <c r="F16" s="15" t="inlineStr"/>
      <c r="G16" s="15" t="inlineStr"/>
    </row>
    <row r="17">
      <c r="A17" s="14" t="inlineStr">
        <is>
          <t>Emergency Access</t>
        </is>
      </c>
      <c r="B17" s="14" t="inlineStr">
        <is>
          <t>User, timestamp, justification, approver</t>
        </is>
      </c>
      <c r="C17" s="14" t="inlineStr">
        <is>
          <t>5 years minimum</t>
        </is>
      </c>
      <c r="D17" s="14" t="inlineStr">
        <is>
          <t>Yes (immediate)</t>
        </is>
      </c>
      <c r="E17" s="14" t="inlineStr">
        <is>
          <t>Same-day review</t>
        </is>
      </c>
      <c r="F17" s="15" t="inlineStr"/>
      <c r="G17" s="15" t="inlineStr"/>
    </row>
  </sheetData>
  <mergeCells count="2">
    <mergeCell ref="A2:G2"/>
    <mergeCell ref="A1:G1"/>
  </mergeCells>
  <dataValidations count="1">
    <dataValidation sqref="F4:F23" showDropDown="0" showInputMessage="0" showErrorMessage="0" allowBlank="1" type="list">
      <formula1>"Implemented,In Progress,Planned,Gap"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c r="B1" s="6" t="n"/>
      <c r="C1" s="6" t="n"/>
      <c r="D1" s="6" t="n"/>
      <c r="E1" s="6" t="n"/>
      <c r="F1" s="6" t="n"/>
      <c r="G1" s="6" t="n"/>
      <c r="H1" s="6" t="n"/>
    </row>
    <row r="2">
      <c r="A2" s="17" t="inlineStr">
        <is>
          <t>Document all evidence collected during this assessment</t>
        </is>
      </c>
      <c r="B2" s="6" t="n"/>
      <c r="C2" s="6" t="n"/>
      <c r="D2" s="6" t="n"/>
      <c r="E2" s="6" t="n"/>
      <c r="F2" s="6" t="n"/>
      <c r="G2" s="6" t="n"/>
      <c r="H2" s="6" t="n"/>
    </row>
    <row r="4">
      <c r="A4" s="18" t="inlineStr">
        <is>
          <t>Evidence ID</t>
        </is>
      </c>
      <c r="B4" s="18" t="inlineStr">
        <is>
          <t>Assessment Area</t>
        </is>
      </c>
      <c r="C4" s="18" t="inlineStr">
        <is>
          <t>Evidence Type</t>
        </is>
      </c>
      <c r="D4" s="18" t="inlineStr">
        <is>
          <t>Description</t>
        </is>
      </c>
      <c r="E4" s="18" t="inlineStr">
        <is>
          <t>Location / Path</t>
        </is>
      </c>
      <c r="F4" s="18" t="inlineStr">
        <is>
          <t>Date Collected</t>
        </is>
      </c>
      <c r="G4" s="18" t="inlineStr">
        <is>
          <t>Collected By</t>
        </is>
      </c>
      <c r="H4" s="18" t="inlineStr">
        <is>
          <t>Verification Status</t>
        </is>
      </c>
    </row>
    <row r="5">
      <c r="A5" s="19" t="inlineStr">
        <is>
          <t>EV-001</t>
        </is>
      </c>
      <c r="B5" s="20" t="inlineStr">
        <is>
          <t>Assessment Area</t>
        </is>
      </c>
      <c r="C5" s="20" t="inlineStr">
        <is>
          <t>Policy Document</t>
        </is>
      </c>
      <c r="D5" s="20" t="inlineStr">
        <is>
          <t>Example evidence description</t>
        </is>
      </c>
      <c r="E5" s="20" t="inlineStr">
        <is>
          <t>\\fileserver\policies\document.pdf</t>
        </is>
      </c>
      <c r="F5" s="20" t="inlineStr">
        <is>
          <t>15.01.2026</t>
        </is>
      </c>
      <c r="G5" s="20" t="inlineStr">
        <is>
          <t>Assessor Name</t>
        </is>
      </c>
      <c r="H5" s="20" t="inlineStr">
        <is>
          <t>✅ Verified</t>
        </is>
      </c>
    </row>
    <row r="6">
      <c r="A6" s="21" t="n"/>
      <c r="B6" s="22" t="n"/>
      <c r="C6" s="22" t="n"/>
      <c r="D6" s="22" t="n"/>
      <c r="E6" s="22" t="n"/>
      <c r="F6" s="22" t="n"/>
      <c r="G6" s="22" t="n"/>
      <c r="H6" s="22" t="n"/>
    </row>
    <row r="7">
      <c r="A7" s="21" t="n"/>
      <c r="B7" s="22" t="n"/>
      <c r="C7" s="22" t="n"/>
      <c r="D7" s="22" t="n"/>
      <c r="E7" s="22" t="n"/>
      <c r="F7" s="22" t="n"/>
      <c r="G7" s="22" t="n"/>
      <c r="H7" s="22" t="n"/>
    </row>
    <row r="8">
      <c r="A8" s="21" t="n"/>
      <c r="B8" s="22" t="n"/>
      <c r="C8" s="22" t="n"/>
      <c r="D8" s="22" t="n"/>
      <c r="E8" s="22" t="n"/>
      <c r="F8" s="22" t="n"/>
      <c r="G8" s="22" t="n"/>
      <c r="H8" s="22" t="n"/>
    </row>
    <row r="9">
      <c r="A9" s="21" t="n"/>
      <c r="B9" s="22" t="n"/>
      <c r="C9" s="22" t="n"/>
      <c r="D9" s="22" t="n"/>
      <c r="E9" s="22" t="n"/>
      <c r="F9" s="22" t="n"/>
      <c r="G9" s="22" t="n"/>
      <c r="H9" s="22" t="n"/>
    </row>
    <row r="10">
      <c r="A10" s="21" t="n"/>
      <c r="B10" s="22" t="n"/>
      <c r="C10" s="22" t="n"/>
      <c r="D10" s="22" t="n"/>
      <c r="E10" s="22" t="n"/>
      <c r="F10" s="22" t="n"/>
      <c r="G10" s="22" t="n"/>
      <c r="H10" s="22" t="n"/>
    </row>
    <row r="11">
      <c r="A11" s="21" t="n"/>
      <c r="B11" s="22" t="n"/>
      <c r="C11" s="22" t="n"/>
      <c r="D11" s="22" t="n"/>
      <c r="E11" s="22" t="n"/>
      <c r="F11" s="22" t="n"/>
      <c r="G11" s="22" t="n"/>
      <c r="H11" s="22" t="n"/>
    </row>
    <row r="12">
      <c r="A12" s="21" t="n"/>
      <c r="B12" s="22" t="n"/>
      <c r="C12" s="22" t="n"/>
      <c r="D12" s="22" t="n"/>
      <c r="E12" s="22" t="n"/>
      <c r="F12" s="22" t="n"/>
      <c r="G12" s="22" t="n"/>
      <c r="H12" s="22" t="n"/>
    </row>
    <row r="13">
      <c r="A13" s="21" t="n"/>
      <c r="B13" s="22" t="n"/>
      <c r="C13" s="22" t="n"/>
      <c r="D13" s="22" t="n"/>
      <c r="E13" s="22" t="n"/>
      <c r="F13" s="22" t="n"/>
      <c r="G13" s="22" t="n"/>
      <c r="H13" s="22" t="n"/>
    </row>
    <row r="14">
      <c r="A14" s="21" t="n"/>
      <c r="B14" s="22" t="n"/>
      <c r="C14" s="22" t="n"/>
      <c r="D14" s="22" t="n"/>
      <c r="E14" s="22" t="n"/>
      <c r="F14" s="22" t="n"/>
      <c r="G14" s="22" t="n"/>
      <c r="H14" s="22" t="n"/>
    </row>
    <row r="15">
      <c r="A15" s="21" t="n"/>
      <c r="B15" s="22" t="n"/>
      <c r="C15" s="22" t="n"/>
      <c r="D15" s="22" t="n"/>
      <c r="E15" s="22" t="n"/>
      <c r="F15" s="22" t="n"/>
      <c r="G15" s="22" t="n"/>
      <c r="H15" s="22" t="n"/>
    </row>
    <row r="16">
      <c r="A16" s="21" t="n"/>
      <c r="B16" s="22" t="n"/>
      <c r="C16" s="22" t="n"/>
      <c r="D16" s="22" t="n"/>
      <c r="E16" s="22" t="n"/>
      <c r="F16" s="22" t="n"/>
      <c r="G16" s="22" t="n"/>
      <c r="H16" s="22" t="n"/>
    </row>
    <row r="17">
      <c r="A17" s="21" t="n"/>
      <c r="B17" s="22" t="n"/>
      <c r="C17" s="22" t="n"/>
      <c r="D17" s="22" t="n"/>
      <c r="E17" s="22" t="n"/>
      <c r="F17" s="22" t="n"/>
      <c r="G17" s="22" t="n"/>
      <c r="H17" s="22" t="n"/>
    </row>
    <row r="18">
      <c r="A18" s="21" t="n"/>
      <c r="B18" s="22" t="n"/>
      <c r="C18" s="22" t="n"/>
      <c r="D18" s="22" t="n"/>
      <c r="E18" s="22" t="n"/>
      <c r="F18" s="22" t="n"/>
      <c r="G18" s="22" t="n"/>
      <c r="H18" s="22" t="n"/>
    </row>
    <row r="19">
      <c r="A19" s="21" t="n"/>
      <c r="B19" s="22" t="n"/>
      <c r="C19" s="22" t="n"/>
      <c r="D19" s="22" t="n"/>
      <c r="E19" s="22" t="n"/>
      <c r="F19" s="22" t="n"/>
      <c r="G19" s="22" t="n"/>
      <c r="H19" s="22" t="n"/>
    </row>
    <row r="20">
      <c r="A20" s="21" t="n"/>
      <c r="B20" s="22" t="n"/>
      <c r="C20" s="22" t="n"/>
      <c r="D20" s="22" t="n"/>
      <c r="E20" s="22" t="n"/>
      <c r="F20" s="22" t="n"/>
      <c r="G20" s="22" t="n"/>
      <c r="H20" s="22" t="n"/>
    </row>
    <row r="21">
      <c r="A21" s="21" t="n"/>
      <c r="B21" s="22" t="n"/>
      <c r="C21" s="22" t="n"/>
      <c r="D21" s="22" t="n"/>
      <c r="E21" s="22" t="n"/>
      <c r="F21" s="22" t="n"/>
      <c r="G21" s="22" t="n"/>
      <c r="H21" s="22" t="n"/>
    </row>
    <row r="22">
      <c r="A22" s="21" t="n"/>
      <c r="B22" s="22" t="n"/>
      <c r="C22" s="22" t="n"/>
      <c r="D22" s="22" t="n"/>
      <c r="E22" s="22" t="n"/>
      <c r="F22" s="22" t="n"/>
      <c r="G22" s="22" t="n"/>
      <c r="H22" s="22" t="n"/>
    </row>
    <row r="23">
      <c r="A23" s="21" t="n"/>
      <c r="B23" s="22" t="n"/>
      <c r="C23" s="22" t="n"/>
      <c r="D23" s="22" t="n"/>
      <c r="E23" s="22" t="n"/>
      <c r="F23" s="22" t="n"/>
      <c r="G23" s="22" t="n"/>
      <c r="H23" s="22" t="n"/>
    </row>
    <row r="24">
      <c r="A24" s="21" t="n"/>
      <c r="B24" s="22" t="n"/>
      <c r="C24" s="22" t="n"/>
      <c r="D24" s="22" t="n"/>
      <c r="E24" s="22" t="n"/>
      <c r="F24" s="22" t="n"/>
      <c r="G24" s="22" t="n"/>
      <c r="H24" s="22" t="n"/>
    </row>
    <row r="25">
      <c r="A25" s="21" t="n"/>
      <c r="B25" s="22" t="n"/>
      <c r="C25" s="22" t="n"/>
      <c r="D25" s="22" t="n"/>
      <c r="E25" s="22" t="n"/>
      <c r="F25" s="22" t="n"/>
      <c r="G25" s="22" t="n"/>
      <c r="H25" s="22" t="n"/>
    </row>
    <row r="26">
      <c r="A26" s="21" t="n"/>
      <c r="B26" s="22" t="n"/>
      <c r="C26" s="22" t="n"/>
      <c r="D26" s="22" t="n"/>
      <c r="E26" s="22" t="n"/>
      <c r="F26" s="22" t="n"/>
      <c r="G26" s="22" t="n"/>
      <c r="H26" s="22" t="n"/>
    </row>
    <row r="27">
      <c r="A27" s="21" t="n"/>
      <c r="B27" s="22" t="n"/>
      <c r="C27" s="22" t="n"/>
      <c r="D27" s="22" t="n"/>
      <c r="E27" s="22" t="n"/>
      <c r="F27" s="22" t="n"/>
      <c r="G27" s="22" t="n"/>
      <c r="H27" s="22" t="n"/>
    </row>
    <row r="28">
      <c r="A28" s="21" t="n"/>
      <c r="B28" s="22" t="n"/>
      <c r="C28" s="22" t="n"/>
      <c r="D28" s="22" t="n"/>
      <c r="E28" s="22" t="n"/>
      <c r="F28" s="22" t="n"/>
      <c r="G28" s="22" t="n"/>
      <c r="H28" s="22" t="n"/>
    </row>
    <row r="29">
      <c r="A29" s="21" t="n"/>
      <c r="B29" s="22" t="n"/>
      <c r="C29" s="22" t="n"/>
      <c r="D29" s="22" t="n"/>
      <c r="E29" s="22" t="n"/>
      <c r="F29" s="22" t="n"/>
      <c r="G29" s="22" t="n"/>
      <c r="H29" s="22" t="n"/>
    </row>
    <row r="30">
      <c r="A30" s="21" t="n"/>
      <c r="B30" s="22" t="n"/>
      <c r="C30" s="22" t="n"/>
      <c r="D30" s="22" t="n"/>
      <c r="E30" s="22" t="n"/>
      <c r="F30" s="22" t="n"/>
      <c r="G30" s="22" t="n"/>
      <c r="H30" s="22" t="n"/>
    </row>
    <row r="31">
      <c r="A31" s="21" t="n"/>
      <c r="B31" s="22" t="n"/>
      <c r="C31" s="22" t="n"/>
      <c r="D31" s="22" t="n"/>
      <c r="E31" s="22" t="n"/>
      <c r="F31" s="22" t="n"/>
      <c r="G31" s="22" t="n"/>
      <c r="H31" s="22" t="n"/>
    </row>
    <row r="32">
      <c r="A32" s="21" t="n"/>
      <c r="B32" s="22" t="n"/>
      <c r="C32" s="22" t="n"/>
      <c r="D32" s="22" t="n"/>
      <c r="E32" s="22" t="n"/>
      <c r="F32" s="22" t="n"/>
      <c r="G32" s="22" t="n"/>
      <c r="H32" s="22" t="n"/>
    </row>
    <row r="33">
      <c r="A33" s="21" t="n"/>
      <c r="B33" s="22" t="n"/>
      <c r="C33" s="22" t="n"/>
      <c r="D33" s="22" t="n"/>
      <c r="E33" s="22" t="n"/>
      <c r="F33" s="22" t="n"/>
      <c r="G33" s="22" t="n"/>
      <c r="H33" s="22" t="n"/>
    </row>
    <row r="34">
      <c r="A34" s="21" t="n"/>
      <c r="B34" s="22" t="n"/>
      <c r="C34" s="22" t="n"/>
      <c r="D34" s="22" t="n"/>
      <c r="E34" s="22" t="n"/>
      <c r="F34" s="22" t="n"/>
      <c r="G34" s="22" t="n"/>
      <c r="H34" s="22" t="n"/>
    </row>
    <row r="35">
      <c r="A35" s="21" t="n"/>
      <c r="B35" s="22" t="n"/>
      <c r="C35" s="22" t="n"/>
      <c r="D35" s="22" t="n"/>
      <c r="E35" s="22" t="n"/>
      <c r="F35" s="22" t="n"/>
      <c r="G35" s="22" t="n"/>
      <c r="H35" s="22" t="n"/>
    </row>
    <row r="36">
      <c r="A36" s="21" t="n"/>
      <c r="B36" s="22" t="n"/>
      <c r="C36" s="22" t="n"/>
      <c r="D36" s="22" t="n"/>
      <c r="E36" s="22" t="n"/>
      <c r="F36" s="22" t="n"/>
      <c r="G36" s="22" t="n"/>
      <c r="H36" s="22" t="n"/>
    </row>
    <row r="37">
      <c r="A37" s="21" t="n"/>
      <c r="B37" s="22" t="n"/>
      <c r="C37" s="22" t="n"/>
      <c r="D37" s="22" t="n"/>
      <c r="E37" s="22" t="n"/>
      <c r="F37" s="22" t="n"/>
      <c r="G37" s="22" t="n"/>
      <c r="H37" s="22" t="n"/>
    </row>
    <row r="38">
      <c r="A38" s="21" t="n"/>
      <c r="B38" s="22" t="n"/>
      <c r="C38" s="22" t="n"/>
      <c r="D38" s="22" t="n"/>
      <c r="E38" s="22" t="n"/>
      <c r="F38" s="22" t="n"/>
      <c r="G38" s="22" t="n"/>
      <c r="H38" s="22" t="n"/>
    </row>
    <row r="39">
      <c r="A39" s="21" t="n"/>
      <c r="B39" s="22" t="n"/>
      <c r="C39" s="22" t="n"/>
      <c r="D39" s="22" t="n"/>
      <c r="E39" s="22" t="n"/>
      <c r="F39" s="22" t="n"/>
      <c r="G39" s="22" t="n"/>
      <c r="H39" s="22" t="n"/>
    </row>
    <row r="40">
      <c r="A40" s="21" t="n"/>
      <c r="B40" s="22" t="n"/>
      <c r="C40" s="22" t="n"/>
      <c r="D40" s="22" t="n"/>
      <c r="E40" s="22" t="n"/>
      <c r="F40" s="22" t="n"/>
      <c r="G40" s="22" t="n"/>
      <c r="H40" s="22" t="n"/>
    </row>
    <row r="41">
      <c r="A41" s="21" t="n"/>
      <c r="B41" s="22" t="n"/>
      <c r="C41" s="22" t="n"/>
      <c r="D41" s="22" t="n"/>
      <c r="E41" s="22" t="n"/>
      <c r="F41" s="22" t="n"/>
      <c r="G41" s="22" t="n"/>
      <c r="H41" s="22" t="n"/>
    </row>
    <row r="42">
      <c r="A42" s="21" t="n"/>
      <c r="B42" s="22" t="n"/>
      <c r="C42" s="22" t="n"/>
      <c r="D42" s="22" t="n"/>
      <c r="E42" s="22" t="n"/>
      <c r="F42" s="22" t="n"/>
      <c r="G42" s="22" t="n"/>
      <c r="H42" s="22" t="n"/>
    </row>
    <row r="43">
      <c r="A43" s="21" t="n"/>
      <c r="B43" s="22" t="n"/>
      <c r="C43" s="22" t="n"/>
      <c r="D43" s="22" t="n"/>
      <c r="E43" s="22" t="n"/>
      <c r="F43" s="22" t="n"/>
      <c r="G43" s="22" t="n"/>
      <c r="H43" s="22" t="n"/>
    </row>
    <row r="44">
      <c r="A44" s="21" t="n"/>
      <c r="B44" s="22" t="n"/>
      <c r="C44" s="22" t="n"/>
      <c r="D44" s="22" t="n"/>
      <c r="E44" s="22" t="n"/>
      <c r="F44" s="22" t="n"/>
      <c r="G44" s="22" t="n"/>
      <c r="H44" s="22" t="n"/>
    </row>
    <row r="45">
      <c r="A45" s="21" t="n"/>
      <c r="B45" s="22" t="n"/>
      <c r="C45" s="22" t="n"/>
      <c r="D45" s="22" t="n"/>
      <c r="E45" s="22" t="n"/>
      <c r="F45" s="22" t="n"/>
      <c r="G45" s="22" t="n"/>
      <c r="H45" s="22" t="n"/>
    </row>
    <row r="46">
      <c r="A46" s="21" t="n"/>
      <c r="B46" s="22" t="n"/>
      <c r="C46" s="22" t="n"/>
      <c r="D46" s="22" t="n"/>
      <c r="E46" s="22" t="n"/>
      <c r="F46" s="22" t="n"/>
      <c r="G46" s="22" t="n"/>
      <c r="H46" s="22" t="n"/>
    </row>
    <row r="47">
      <c r="A47" s="21" t="n"/>
      <c r="B47" s="22" t="n"/>
      <c r="C47" s="22" t="n"/>
      <c r="D47" s="22" t="n"/>
      <c r="E47" s="22" t="n"/>
      <c r="F47" s="22" t="n"/>
      <c r="G47" s="22" t="n"/>
      <c r="H47" s="22" t="n"/>
    </row>
    <row r="48">
      <c r="A48" s="21" t="n"/>
      <c r="B48" s="22" t="n"/>
      <c r="C48" s="22" t="n"/>
      <c r="D48" s="22" t="n"/>
      <c r="E48" s="22" t="n"/>
      <c r="F48" s="22" t="n"/>
      <c r="G48" s="22" t="n"/>
      <c r="H48" s="22" t="n"/>
    </row>
    <row r="49">
      <c r="A49" s="21" t="n"/>
      <c r="B49" s="22" t="n"/>
      <c r="C49" s="22" t="n"/>
      <c r="D49" s="22" t="n"/>
      <c r="E49" s="22" t="n"/>
      <c r="F49" s="22" t="n"/>
      <c r="G49" s="22" t="n"/>
      <c r="H49" s="22" t="n"/>
    </row>
    <row r="50">
      <c r="A50" s="21" t="n"/>
      <c r="B50" s="22" t="n"/>
      <c r="C50" s="22" t="n"/>
      <c r="D50" s="22" t="n"/>
      <c r="E50" s="22" t="n"/>
      <c r="F50" s="22" t="n"/>
      <c r="G50" s="22" t="n"/>
      <c r="H50" s="22" t="n"/>
    </row>
    <row r="51">
      <c r="A51" s="21" t="n"/>
      <c r="B51" s="22" t="n"/>
      <c r="C51" s="22" t="n"/>
      <c r="D51" s="22" t="n"/>
      <c r="E51" s="22" t="n"/>
      <c r="F51" s="22" t="n"/>
      <c r="G51" s="22" t="n"/>
      <c r="H51" s="22" t="n"/>
    </row>
    <row r="52">
      <c r="A52" s="21" t="n"/>
      <c r="B52" s="22" t="n"/>
      <c r="C52" s="22" t="n"/>
      <c r="D52" s="22" t="n"/>
      <c r="E52" s="22" t="n"/>
      <c r="F52" s="22" t="n"/>
      <c r="G52" s="22" t="n"/>
      <c r="H52" s="22" t="n"/>
    </row>
    <row r="53">
      <c r="A53" s="21" t="n"/>
      <c r="B53" s="22" t="n"/>
      <c r="C53" s="22" t="n"/>
      <c r="D53" s="22" t="n"/>
      <c r="E53" s="22" t="n"/>
      <c r="F53" s="22" t="n"/>
      <c r="G53" s="22" t="n"/>
      <c r="H53" s="22" t="n"/>
    </row>
    <row r="54">
      <c r="A54" s="21" t="n"/>
      <c r="B54" s="22" t="n"/>
      <c r="C54" s="22" t="n"/>
      <c r="D54" s="22" t="n"/>
      <c r="E54" s="22" t="n"/>
      <c r="F54" s="22" t="n"/>
      <c r="G54" s="22" t="n"/>
      <c r="H54" s="22" t="n"/>
    </row>
    <row r="55">
      <c r="A55" s="21" t="n"/>
      <c r="B55" s="22" t="n"/>
      <c r="C55" s="22" t="n"/>
      <c r="D55" s="22" t="n"/>
      <c r="E55" s="22" t="n"/>
      <c r="F55" s="22" t="n"/>
      <c r="G55" s="22" t="n"/>
      <c r="H55" s="22" t="n"/>
    </row>
    <row r="56">
      <c r="A56" s="21" t="n"/>
      <c r="B56" s="22" t="n"/>
      <c r="C56" s="22" t="n"/>
      <c r="D56" s="22" t="n"/>
      <c r="E56" s="22" t="n"/>
      <c r="F56" s="22" t="n"/>
      <c r="G56" s="22" t="n"/>
      <c r="H56" s="22" t="n"/>
    </row>
    <row r="57">
      <c r="A57" s="21" t="n"/>
      <c r="B57" s="22" t="n"/>
      <c r="C57" s="22" t="n"/>
      <c r="D57" s="22" t="n"/>
      <c r="E57" s="22" t="n"/>
      <c r="F57" s="22" t="n"/>
      <c r="G57" s="22" t="n"/>
      <c r="H57" s="22" t="n"/>
    </row>
    <row r="58">
      <c r="A58" s="21" t="n"/>
      <c r="B58" s="22" t="n"/>
      <c r="C58" s="22" t="n"/>
      <c r="D58" s="22" t="n"/>
      <c r="E58" s="22" t="n"/>
      <c r="F58" s="22" t="n"/>
      <c r="G58" s="22" t="n"/>
      <c r="H58" s="22" t="n"/>
    </row>
    <row r="59">
      <c r="A59" s="21" t="n"/>
      <c r="B59" s="22" t="n"/>
      <c r="C59" s="22" t="n"/>
      <c r="D59" s="22" t="n"/>
      <c r="E59" s="22" t="n"/>
      <c r="F59" s="22" t="n"/>
      <c r="G59" s="22" t="n"/>
      <c r="H59" s="22" t="n"/>
    </row>
    <row r="60">
      <c r="A60" s="21" t="n"/>
      <c r="B60" s="22" t="n"/>
      <c r="C60" s="22" t="n"/>
      <c r="D60" s="22" t="n"/>
      <c r="E60" s="22" t="n"/>
      <c r="F60" s="22" t="n"/>
      <c r="G60" s="22" t="n"/>
      <c r="H60" s="22" t="n"/>
    </row>
    <row r="61">
      <c r="A61" s="21" t="n"/>
      <c r="B61" s="22" t="n"/>
      <c r="C61" s="22" t="n"/>
      <c r="D61" s="22" t="n"/>
      <c r="E61" s="22" t="n"/>
      <c r="F61" s="22" t="n"/>
      <c r="G61" s="22" t="n"/>
      <c r="H61" s="22" t="n"/>
    </row>
    <row r="62">
      <c r="A62" s="21" t="n"/>
      <c r="B62" s="22" t="n"/>
      <c r="C62" s="22" t="n"/>
      <c r="D62" s="22" t="n"/>
      <c r="E62" s="22" t="n"/>
      <c r="F62" s="22" t="n"/>
      <c r="G62" s="22" t="n"/>
      <c r="H62" s="22" t="n"/>
    </row>
    <row r="63">
      <c r="A63" s="21" t="n"/>
      <c r="B63" s="22" t="n"/>
      <c r="C63" s="22" t="n"/>
      <c r="D63" s="22" t="n"/>
      <c r="E63" s="22" t="n"/>
      <c r="F63" s="22" t="n"/>
      <c r="G63" s="22" t="n"/>
      <c r="H63" s="22" t="n"/>
    </row>
    <row r="64">
      <c r="A64" s="21" t="n"/>
      <c r="B64" s="22" t="n"/>
      <c r="C64" s="22" t="n"/>
      <c r="D64" s="22" t="n"/>
      <c r="E64" s="22" t="n"/>
      <c r="F64" s="22" t="n"/>
      <c r="G64" s="22" t="n"/>
      <c r="H64" s="22" t="n"/>
    </row>
    <row r="65">
      <c r="A65" s="21" t="n"/>
      <c r="B65" s="22" t="n"/>
      <c r="C65" s="22" t="n"/>
      <c r="D65" s="22" t="n"/>
      <c r="E65" s="22" t="n"/>
      <c r="F65" s="22" t="n"/>
      <c r="G65" s="22" t="n"/>
      <c r="H65" s="22" t="n"/>
    </row>
    <row r="66">
      <c r="A66" s="21" t="n"/>
      <c r="B66" s="22" t="n"/>
      <c r="C66" s="22" t="n"/>
      <c r="D66" s="22" t="n"/>
      <c r="E66" s="22" t="n"/>
      <c r="F66" s="22" t="n"/>
      <c r="G66" s="22" t="n"/>
      <c r="H66" s="22" t="n"/>
    </row>
    <row r="67">
      <c r="A67" s="21" t="n"/>
      <c r="B67" s="22" t="n"/>
      <c r="C67" s="22" t="n"/>
      <c r="D67" s="22" t="n"/>
      <c r="E67" s="22" t="n"/>
      <c r="F67" s="22" t="n"/>
      <c r="G67" s="22" t="n"/>
      <c r="H67" s="22" t="n"/>
    </row>
    <row r="68">
      <c r="A68" s="21" t="n"/>
      <c r="B68" s="22" t="n"/>
      <c r="C68" s="22" t="n"/>
      <c r="D68" s="22" t="n"/>
      <c r="E68" s="22" t="n"/>
      <c r="F68" s="22" t="n"/>
      <c r="G68" s="22" t="n"/>
      <c r="H68" s="22" t="n"/>
    </row>
    <row r="69">
      <c r="A69" s="21" t="n"/>
      <c r="B69" s="22" t="n"/>
      <c r="C69" s="22" t="n"/>
      <c r="D69" s="22" t="n"/>
      <c r="E69" s="22" t="n"/>
      <c r="F69" s="22" t="n"/>
      <c r="G69" s="22" t="n"/>
      <c r="H69" s="22" t="n"/>
    </row>
    <row r="70">
      <c r="A70" s="21" t="n"/>
      <c r="B70" s="22" t="n"/>
      <c r="C70" s="22" t="n"/>
      <c r="D70" s="22" t="n"/>
      <c r="E70" s="22" t="n"/>
      <c r="F70" s="22" t="n"/>
      <c r="G70" s="22" t="n"/>
      <c r="H70" s="22" t="n"/>
    </row>
    <row r="71">
      <c r="A71" s="21" t="n"/>
      <c r="B71" s="22" t="n"/>
      <c r="C71" s="22" t="n"/>
      <c r="D71" s="22" t="n"/>
      <c r="E71" s="22" t="n"/>
      <c r="F71" s="22" t="n"/>
      <c r="G71" s="22" t="n"/>
      <c r="H71" s="22" t="n"/>
    </row>
    <row r="72">
      <c r="A72" s="21" t="n"/>
      <c r="B72" s="22" t="n"/>
      <c r="C72" s="22" t="n"/>
      <c r="D72" s="22" t="n"/>
      <c r="E72" s="22" t="n"/>
      <c r="F72" s="22" t="n"/>
      <c r="G72" s="22" t="n"/>
      <c r="H72" s="22" t="n"/>
    </row>
    <row r="73">
      <c r="A73" s="21" t="n"/>
      <c r="B73" s="22" t="n"/>
      <c r="C73" s="22" t="n"/>
      <c r="D73" s="22" t="n"/>
      <c r="E73" s="22" t="n"/>
      <c r="F73" s="22" t="n"/>
      <c r="G73" s="22" t="n"/>
      <c r="H73" s="22" t="n"/>
    </row>
    <row r="74">
      <c r="A74" s="21" t="n"/>
      <c r="B74" s="22" t="n"/>
      <c r="C74" s="22" t="n"/>
      <c r="D74" s="22" t="n"/>
      <c r="E74" s="22" t="n"/>
      <c r="F74" s="22" t="n"/>
      <c r="G74" s="22" t="n"/>
      <c r="H74" s="22" t="n"/>
    </row>
    <row r="75">
      <c r="A75" s="21" t="n"/>
      <c r="B75" s="22" t="n"/>
      <c r="C75" s="22" t="n"/>
      <c r="D75" s="22" t="n"/>
      <c r="E75" s="22" t="n"/>
      <c r="F75" s="22" t="n"/>
      <c r="G75" s="22" t="n"/>
      <c r="H75" s="22" t="n"/>
    </row>
    <row r="76">
      <c r="A76" s="21" t="n"/>
      <c r="B76" s="22" t="n"/>
      <c r="C76" s="22" t="n"/>
      <c r="D76" s="22" t="n"/>
      <c r="E76" s="22" t="n"/>
      <c r="F76" s="22" t="n"/>
      <c r="G76" s="22" t="n"/>
      <c r="H76" s="22" t="n"/>
    </row>
    <row r="77">
      <c r="A77" s="21" t="n"/>
      <c r="B77" s="22" t="n"/>
      <c r="C77" s="22" t="n"/>
      <c r="D77" s="22" t="n"/>
      <c r="E77" s="22" t="n"/>
      <c r="F77" s="22" t="n"/>
      <c r="G77" s="22" t="n"/>
      <c r="H77" s="22" t="n"/>
    </row>
    <row r="78">
      <c r="A78" s="21" t="n"/>
      <c r="B78" s="22" t="n"/>
      <c r="C78" s="22" t="n"/>
      <c r="D78" s="22" t="n"/>
      <c r="E78" s="22" t="n"/>
      <c r="F78" s="22" t="n"/>
      <c r="G78" s="22" t="n"/>
      <c r="H78" s="22" t="n"/>
    </row>
    <row r="79">
      <c r="A79" s="21" t="n"/>
      <c r="B79" s="22" t="n"/>
      <c r="C79" s="22" t="n"/>
      <c r="D79" s="22" t="n"/>
      <c r="E79" s="22" t="n"/>
      <c r="F79" s="22" t="n"/>
      <c r="G79" s="22" t="n"/>
      <c r="H79" s="22" t="n"/>
    </row>
    <row r="80">
      <c r="A80" s="21" t="n"/>
      <c r="B80" s="22" t="n"/>
      <c r="C80" s="22" t="n"/>
      <c r="D80" s="22" t="n"/>
      <c r="E80" s="22" t="n"/>
      <c r="F80" s="22" t="n"/>
      <c r="G80" s="22" t="n"/>
      <c r="H80" s="22" t="n"/>
    </row>
    <row r="81">
      <c r="A81" s="21" t="n"/>
      <c r="B81" s="22" t="n"/>
      <c r="C81" s="22" t="n"/>
      <c r="D81" s="22" t="n"/>
      <c r="E81" s="22" t="n"/>
      <c r="F81" s="22" t="n"/>
      <c r="G81" s="22" t="n"/>
      <c r="H81" s="22" t="n"/>
    </row>
    <row r="82">
      <c r="A82" s="21" t="n"/>
      <c r="B82" s="22" t="n"/>
      <c r="C82" s="22" t="n"/>
      <c r="D82" s="22" t="n"/>
      <c r="E82" s="22" t="n"/>
      <c r="F82" s="22" t="n"/>
      <c r="G82" s="22" t="n"/>
      <c r="H82" s="22" t="n"/>
    </row>
    <row r="83">
      <c r="A83" s="21" t="n"/>
      <c r="B83" s="22" t="n"/>
      <c r="C83" s="22" t="n"/>
      <c r="D83" s="22" t="n"/>
      <c r="E83" s="22" t="n"/>
      <c r="F83" s="22" t="n"/>
      <c r="G83" s="22" t="n"/>
      <c r="H83" s="22" t="n"/>
    </row>
    <row r="84">
      <c r="A84" s="21" t="n"/>
      <c r="B84" s="22" t="n"/>
      <c r="C84" s="22" t="n"/>
      <c r="D84" s="22" t="n"/>
      <c r="E84" s="22" t="n"/>
      <c r="F84" s="22" t="n"/>
      <c r="G84" s="22" t="n"/>
      <c r="H84" s="22" t="n"/>
    </row>
    <row r="85">
      <c r="A85" s="21" t="n"/>
      <c r="B85" s="22" t="n"/>
      <c r="C85" s="22" t="n"/>
      <c r="D85" s="22" t="n"/>
      <c r="E85" s="22" t="n"/>
      <c r="F85" s="22" t="n"/>
      <c r="G85" s="22" t="n"/>
      <c r="H85" s="22" t="n"/>
    </row>
    <row r="86">
      <c r="A86" s="21" t="n"/>
      <c r="B86" s="22" t="n"/>
      <c r="C86" s="22" t="n"/>
      <c r="D86" s="22" t="n"/>
      <c r="E86" s="22" t="n"/>
      <c r="F86" s="22" t="n"/>
      <c r="G86" s="22" t="n"/>
      <c r="H86" s="22" t="n"/>
    </row>
    <row r="87">
      <c r="A87" s="21" t="n"/>
      <c r="B87" s="22" t="n"/>
      <c r="C87" s="22" t="n"/>
      <c r="D87" s="22" t="n"/>
      <c r="E87" s="22" t="n"/>
      <c r="F87" s="22" t="n"/>
      <c r="G87" s="22" t="n"/>
      <c r="H87" s="22" t="n"/>
    </row>
    <row r="88">
      <c r="A88" s="21" t="n"/>
      <c r="B88" s="22" t="n"/>
      <c r="C88" s="22" t="n"/>
      <c r="D88" s="22" t="n"/>
      <c r="E88" s="22" t="n"/>
      <c r="F88" s="22" t="n"/>
      <c r="G88" s="22" t="n"/>
      <c r="H88" s="22" t="n"/>
    </row>
    <row r="89">
      <c r="A89" s="21" t="n"/>
      <c r="B89" s="22" t="n"/>
      <c r="C89" s="22" t="n"/>
      <c r="D89" s="22" t="n"/>
      <c r="E89" s="22" t="n"/>
      <c r="F89" s="22" t="n"/>
      <c r="G89" s="22" t="n"/>
      <c r="H89" s="22" t="n"/>
    </row>
    <row r="90">
      <c r="A90" s="21" t="n"/>
      <c r="B90" s="22" t="n"/>
      <c r="C90" s="22" t="n"/>
      <c r="D90" s="22" t="n"/>
      <c r="E90" s="22" t="n"/>
      <c r="F90" s="22" t="n"/>
      <c r="G90" s="22" t="n"/>
      <c r="H90" s="22" t="n"/>
    </row>
    <row r="91">
      <c r="A91" s="21" t="n"/>
      <c r="B91" s="22" t="n"/>
      <c r="C91" s="22" t="n"/>
      <c r="D91" s="22" t="n"/>
      <c r="E91" s="22" t="n"/>
      <c r="F91" s="22" t="n"/>
      <c r="G91" s="22" t="n"/>
      <c r="H91" s="22" t="n"/>
    </row>
    <row r="92">
      <c r="A92" s="21" t="n"/>
      <c r="B92" s="22" t="n"/>
      <c r="C92" s="22" t="n"/>
      <c r="D92" s="22" t="n"/>
      <c r="E92" s="22" t="n"/>
      <c r="F92" s="22" t="n"/>
      <c r="G92" s="22" t="n"/>
      <c r="H92" s="22" t="n"/>
    </row>
    <row r="93">
      <c r="A93" s="21" t="n"/>
      <c r="B93" s="22" t="n"/>
      <c r="C93" s="22" t="n"/>
      <c r="D93" s="22" t="n"/>
      <c r="E93" s="22" t="n"/>
      <c r="F93" s="22" t="n"/>
      <c r="G93" s="22" t="n"/>
      <c r="H93" s="22" t="n"/>
    </row>
    <row r="94">
      <c r="A94" s="21" t="n"/>
      <c r="B94" s="22" t="n"/>
      <c r="C94" s="22" t="n"/>
      <c r="D94" s="22" t="n"/>
      <c r="E94" s="22" t="n"/>
      <c r="F94" s="22" t="n"/>
      <c r="G94" s="22" t="n"/>
      <c r="H94" s="22" t="n"/>
    </row>
    <row r="95">
      <c r="A95" s="21" t="n"/>
      <c r="B95" s="22" t="n"/>
      <c r="C95" s="22" t="n"/>
      <c r="D95" s="22" t="n"/>
      <c r="E95" s="22" t="n"/>
      <c r="F95" s="22" t="n"/>
      <c r="G95" s="22" t="n"/>
      <c r="H95" s="22" t="n"/>
    </row>
    <row r="96">
      <c r="A96" s="21" t="n"/>
      <c r="B96" s="22" t="n"/>
      <c r="C96" s="22" t="n"/>
      <c r="D96" s="22" t="n"/>
      <c r="E96" s="22" t="n"/>
      <c r="F96" s="22" t="n"/>
      <c r="G96" s="22" t="n"/>
      <c r="H96" s="22" t="n"/>
    </row>
    <row r="97">
      <c r="A97" s="21" t="n"/>
      <c r="B97" s="22" t="n"/>
      <c r="C97" s="22" t="n"/>
      <c r="D97" s="22" t="n"/>
      <c r="E97" s="22" t="n"/>
      <c r="F97" s="22" t="n"/>
      <c r="G97" s="22" t="n"/>
      <c r="H97" s="22" t="n"/>
    </row>
    <row r="98">
      <c r="A98" s="21" t="n"/>
      <c r="B98" s="22" t="n"/>
      <c r="C98" s="22" t="n"/>
      <c r="D98" s="22" t="n"/>
      <c r="E98" s="22" t="n"/>
      <c r="F98" s="22" t="n"/>
      <c r="G98" s="22" t="n"/>
      <c r="H98" s="22" t="n"/>
    </row>
    <row r="99">
      <c r="A99" s="21" t="n"/>
      <c r="B99" s="22" t="n"/>
      <c r="C99" s="22" t="n"/>
      <c r="D99" s="22" t="n"/>
      <c r="E99" s="22" t="n"/>
      <c r="F99" s="22" t="n"/>
      <c r="G99" s="22" t="n"/>
      <c r="H99" s="22" t="n"/>
    </row>
    <row r="100">
      <c r="A100" s="21" t="n"/>
      <c r="B100" s="22" t="n"/>
      <c r="C100" s="22" t="n"/>
      <c r="D100" s="22" t="n"/>
      <c r="E100" s="22" t="n"/>
      <c r="F100" s="22" t="n"/>
      <c r="G100" s="22" t="n"/>
      <c r="H100" s="22" t="n"/>
    </row>
    <row r="101">
      <c r="A101" s="21" t="n"/>
      <c r="B101" s="22" t="n"/>
      <c r="C101" s="22" t="n"/>
      <c r="D101" s="22" t="n"/>
      <c r="E101" s="22" t="n"/>
      <c r="F101" s="22" t="n"/>
      <c r="G101" s="22" t="n"/>
      <c r="H101" s="22" t="n"/>
    </row>
    <row r="102">
      <c r="A102" s="21" t="n"/>
      <c r="B102" s="22" t="n"/>
      <c r="C102" s="22" t="n"/>
      <c r="D102" s="22" t="n"/>
      <c r="E102" s="22" t="n"/>
      <c r="F102" s="22" t="n"/>
      <c r="G102" s="22" t="n"/>
      <c r="H102" s="22" t="n"/>
    </row>
    <row r="103">
      <c r="A103" s="21" t="n"/>
      <c r="B103" s="22" t="n"/>
      <c r="C103" s="22" t="n"/>
      <c r="D103" s="22" t="n"/>
      <c r="E103" s="22" t="n"/>
      <c r="F103" s="22" t="n"/>
      <c r="G103" s="22" t="n"/>
      <c r="H103" s="22" t="n"/>
    </row>
    <row r="104">
      <c r="A104" s="21" t="n"/>
      <c r="B104" s="22" t="n"/>
      <c r="C104" s="22" t="n"/>
      <c r="D104" s="22" t="n"/>
      <c r="E104" s="22" t="n"/>
      <c r="F104" s="22" t="n"/>
      <c r="G104" s="22" t="n"/>
      <c r="H104" s="22" t="n"/>
    </row>
    <row r="105">
      <c r="A105" s="21" t="n"/>
      <c r="B105" s="22" t="n"/>
      <c r="C105" s="22" t="n"/>
      <c r="D105" s="22" t="n"/>
      <c r="E105" s="22" t="n"/>
      <c r="F105" s="22" t="n"/>
      <c r="G105" s="22" t="n"/>
      <c r="H105" s="22"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"Policy Document,Process Record,System Screenshot,Configuration Export,Audit Log,Training Record,Test Result,Risk Assessment,Meeting Minutes,Other"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2"/>
  <sheetViews>
    <sheetView showGridLines="0" workbookViewId="0">
      <pane ySplit="3" topLeftCell="A4" activePane="bottomLeft" state="frozen"/>
      <selection pane="bottomLeft" activeCell="A1" sqref="A1"/>
    </sheetView>
  </sheetViews>
  <sheetFormatPr baseColWidth="8" defaultRowHeight="15"/>
  <cols>
    <col width="45"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3" t="inlineStr">
        <is>
          <t>CREDENTIAL LIFECYCLE MANAGEMENT — SUMMARY DASHBOARD</t>
        </is>
      </c>
      <c r="B1" s="6" t="n"/>
      <c r="C1" s="6" t="n"/>
      <c r="D1" s="6" t="n"/>
      <c r="E1" s="6" t="n"/>
      <c r="F1" s="6" t="n"/>
      <c r="G1" s="6" t="n"/>
    </row>
    <row r="2">
      <c r="A2" s="24" t="inlineStr">
        <is>
          <t>ISO/IEC 27001:2022 — Control A.5.17: Authentication Information | Credential Lifecycle Assessment</t>
        </is>
      </c>
    </row>
    <row r="4" ht="20" customHeight="1">
      <c r="A4" s="25" t="inlineStr">
        <is>
          <t>TABLE 1: ASSESSMENT AREA COMPLIANCE OVERVIEW</t>
        </is>
      </c>
      <c r="B4" s="6" t="n"/>
      <c r="C4" s="6" t="n"/>
      <c r="D4" s="6" t="n"/>
      <c r="E4" s="6" t="n"/>
      <c r="F4" s="6" t="n"/>
      <c r="G4" s="6" t="n"/>
    </row>
    <row r="5">
      <c r="A5" s="26" t="inlineStr">
        <is>
          <t>Assessment Area</t>
        </is>
      </c>
      <c r="B5" s="26" t="inlineStr">
        <is>
          <t>Total Items</t>
        </is>
      </c>
      <c r="C5" s="26" t="inlineStr">
        <is>
          <t>Compliant</t>
        </is>
      </c>
      <c r="D5" s="26" t="inlineStr">
        <is>
          <t>Partial</t>
        </is>
      </c>
      <c r="E5" s="26" t="inlineStr">
        <is>
          <t>Non-Compliant</t>
        </is>
      </c>
      <c r="F5" s="26" t="inlineStr">
        <is>
          <t>N/A</t>
        </is>
      </c>
      <c r="G5" s="26" t="inlineStr">
        <is>
          <t>Compliance %</t>
        </is>
      </c>
    </row>
    <row r="6">
      <c r="A6" s="27" t="inlineStr">
        <is>
          <t>Allocation Process</t>
        </is>
      </c>
      <c r="B6" s="28">
        <f>COUNTA('Allocation Process'!A4:A13)</f>
        <v/>
      </c>
      <c r="C6" s="28">
        <f>COUNTIF('Allocation Process'!G4:G13,"Implemented")</f>
        <v/>
      </c>
      <c r="D6" s="28">
        <f>COUNTIF('Allocation Process'!G4:G13,"In Progress")</f>
        <v/>
      </c>
      <c r="E6" s="28">
        <f>COUNTIF('Allocation Process'!G4:G13,"Gap")</f>
        <v/>
      </c>
      <c r="F6" s="28">
        <f>COUNTIF('Allocation Process'!G4:G13,"Planned")</f>
        <v/>
      </c>
      <c r="G6" s="29">
        <f>IF((B6-F6)=0,0,C6/(B6-F6))</f>
        <v/>
      </c>
    </row>
    <row r="7">
      <c r="A7" s="27" t="inlineStr">
        <is>
          <t>Change Management</t>
        </is>
      </c>
      <c r="B7" s="28">
        <f>COUNTA('Change Management'!A4:A12)</f>
        <v/>
      </c>
      <c r="C7" s="28">
        <f>COUNTIF('Change Management'!G4:G12,"Implemented")</f>
        <v/>
      </c>
      <c r="D7" s="28">
        <f>COUNTIF('Change Management'!G4:G12,"In Progress")</f>
        <v/>
      </c>
      <c r="E7" s="28">
        <f>COUNTIF('Change Management'!G4:G12,"Gap")</f>
        <v/>
      </c>
      <c r="F7" s="28">
        <f>COUNTIF('Change Management'!G4:G12,"Planned")</f>
        <v/>
      </c>
      <c r="G7" s="29">
        <f>IF((B7-F7)=0,0,C7/(B7-F7))</f>
        <v/>
      </c>
    </row>
    <row r="8">
      <c r="A8" s="27" t="inlineStr">
        <is>
          <t>Recovery Process</t>
        </is>
      </c>
      <c r="B8" s="28">
        <f>COUNTA('Recovery Process'!A4:A11)</f>
        <v/>
      </c>
      <c r="C8" s="28">
        <f>COUNTIF('Recovery Process'!G4:G11,"Implemented")</f>
        <v/>
      </c>
      <c r="D8" s="28">
        <f>COUNTIF('Recovery Process'!G4:G11,"In Progress")</f>
        <v/>
      </c>
      <c r="E8" s="28">
        <f>COUNTIF('Recovery Process'!G4:G11,"Gap")</f>
        <v/>
      </c>
      <c r="F8" s="28">
        <f>COUNTIF('Recovery Process'!G4:G11,"Planned")</f>
        <v/>
      </c>
      <c r="G8" s="29">
        <f>IF((B8-F8)=0,0,C8/(B8-F8))</f>
        <v/>
      </c>
    </row>
    <row r="9">
      <c r="A9" s="27" t="inlineStr">
        <is>
          <t>Revocation Process</t>
        </is>
      </c>
      <c r="B9" s="28">
        <f>COUNTA('Revocation Process'!A4:A13)</f>
        <v/>
      </c>
      <c r="C9" s="28">
        <f>COUNTIF('Revocation Process'!G4:G13,"Implemented")</f>
        <v/>
      </c>
      <c r="D9" s="28">
        <f>COUNTIF('Revocation Process'!G4:G13,"In Progress")</f>
        <v/>
      </c>
      <c r="E9" s="28">
        <f>COUNTIF('Revocation Process'!G4:G13,"Gap")</f>
        <v/>
      </c>
      <c r="F9" s="28">
        <f>COUNTIF('Revocation Process'!G4:G13,"Planned")</f>
        <v/>
      </c>
      <c r="G9" s="29">
        <f>IF((B9-F9)=0,0,C9/(B9-F9))</f>
        <v/>
      </c>
    </row>
    <row r="10">
      <c r="A10" s="27" t="inlineStr">
        <is>
          <t>Audit Log Requirements</t>
        </is>
      </c>
      <c r="B10" s="28">
        <f>COUNTA('Audit Log Requirements'!A4:A17)</f>
        <v/>
      </c>
      <c r="C10" s="28">
        <f>COUNTIF('Audit Log Requirements'!F4:F17,"Implemented")</f>
        <v/>
      </c>
      <c r="D10" s="28">
        <f>COUNTIF('Audit Log Requirements'!F4:F17,"In Progress")</f>
        <v/>
      </c>
      <c r="E10" s="28">
        <f>COUNTIF('Audit Log Requirements'!F4:F17,"Gap")</f>
        <v/>
      </c>
      <c r="F10" s="28">
        <f>COUNTIF('Audit Log Requirements'!F4:F17,"Planned")</f>
        <v/>
      </c>
      <c r="G10" s="29">
        <f>IF((B10-F10)=0,0,C10/(B10-F10))</f>
        <v/>
      </c>
    </row>
    <row r="11">
      <c r="A11" s="30" t="inlineStr">
        <is>
          <t>TOTAL</t>
        </is>
      </c>
      <c r="B11" s="31">
        <f>SUM(B6:B10)</f>
        <v/>
      </c>
      <c r="C11" s="31">
        <f>SUM(C6:C10)</f>
        <v/>
      </c>
      <c r="D11" s="31">
        <f>SUM(D6:D10)</f>
        <v/>
      </c>
      <c r="E11" s="31">
        <f>SUM(E6:E10)</f>
        <v/>
      </c>
      <c r="F11" s="31">
        <f>SUM(F6:F10)</f>
        <v/>
      </c>
      <c r="G11" s="32">
        <f>IF((B11-F11)=0,0,C11/(B11-F11))</f>
        <v/>
      </c>
    </row>
    <row r="13" ht="20" customHeight="1">
      <c r="A13" s="25" t="inlineStr">
        <is>
          <t>TABLE 2: KEY PERFORMANCE INDICATORS</t>
        </is>
      </c>
      <c r="B13" s="6" t="n"/>
      <c r="C13" s="6" t="n"/>
      <c r="D13" s="6" t="n"/>
      <c r="E13" s="6" t="n"/>
      <c r="F13" s="6" t="n"/>
      <c r="G13" s="6" t="n"/>
    </row>
    <row r="14">
      <c r="A14" s="31" t="inlineStr">
        <is>
          <t>Metric</t>
        </is>
      </c>
      <c r="B14" s="31" t="inlineStr">
        <is>
          <t>Value</t>
        </is>
      </c>
      <c r="C14" s="31" t="n"/>
      <c r="D14" s="31" t="n"/>
      <c r="E14" s="31" t="n"/>
      <c r="F14" s="31" t="n"/>
      <c r="G14" s="31" t="n"/>
    </row>
    <row r="15">
      <c r="A15" s="27" t="inlineStr">
        <is>
          <t>Credential Allocation: Steps Implemented</t>
        </is>
      </c>
      <c r="B15" s="28">
        <f>COUNTIF('Allocation Process'!G4:G13,"Implemented")</f>
        <v/>
      </c>
      <c r="C15" s="6" t="n"/>
      <c r="D15" s="6" t="n"/>
      <c r="E15" s="6" t="n"/>
      <c r="F15" s="6" t="n"/>
      <c r="G15" s="6" t="n"/>
    </row>
    <row r="16">
      <c r="A16" s="27" t="inlineStr">
        <is>
          <t>Credential Allocation: Steps with Gaps</t>
        </is>
      </c>
      <c r="B16" s="28">
        <f>COUNTIF('Allocation Process'!G4:G13,"Gap")</f>
        <v/>
      </c>
      <c r="C16" s="6" t="n"/>
      <c r="D16" s="6" t="n"/>
      <c r="E16" s="6" t="n"/>
      <c r="F16" s="6" t="n"/>
      <c r="G16" s="6" t="n"/>
    </row>
    <row r="17">
      <c r="A17" s="27" t="inlineStr">
        <is>
          <t>Credential Allocation: Steps In Progress</t>
        </is>
      </c>
      <c r="B17" s="28">
        <f>COUNTIF('Allocation Process'!G4:G13,"In Progress")</f>
        <v/>
      </c>
      <c r="C17" s="6" t="n"/>
      <c r="D17" s="6" t="n"/>
      <c r="E17" s="6" t="n"/>
      <c r="F17" s="6" t="n"/>
      <c r="G17" s="6" t="n"/>
    </row>
    <row r="18">
      <c r="A18" s="27" t="inlineStr">
        <is>
          <t>Change Management: Steps Implemented</t>
        </is>
      </c>
      <c r="B18" s="28">
        <f>COUNTIF('Change Management'!G4:G12,"Implemented")</f>
        <v/>
      </c>
      <c r="C18" s="6" t="n"/>
      <c r="D18" s="6" t="n"/>
      <c r="E18" s="6" t="n"/>
      <c r="F18" s="6" t="n"/>
      <c r="G18" s="6" t="n"/>
    </row>
    <row r="19">
      <c r="A19" s="27" t="inlineStr">
        <is>
          <t>Change Management: Steps with Gaps</t>
        </is>
      </c>
      <c r="B19" s="28">
        <f>COUNTIF('Change Management'!G4:G12,"Gap")</f>
        <v/>
      </c>
      <c r="C19" s="6" t="n"/>
      <c r="D19" s="6" t="n"/>
      <c r="E19" s="6" t="n"/>
      <c r="F19" s="6" t="n"/>
      <c r="G19" s="6" t="n"/>
    </row>
    <row r="20">
      <c r="A20" s="27" t="inlineStr">
        <is>
          <t>Recovery Process: Steps Implemented</t>
        </is>
      </c>
      <c r="B20" s="28">
        <f>COUNTIF('Recovery Process'!G4:G11,"Implemented")</f>
        <v/>
      </c>
      <c r="C20" s="6" t="n"/>
      <c r="D20" s="6" t="n"/>
      <c r="E20" s="6" t="n"/>
      <c r="F20" s="6" t="n"/>
      <c r="G20" s="6" t="n"/>
    </row>
    <row r="21">
      <c r="A21" s="27" t="inlineStr">
        <is>
          <t>Recovery Process: Steps with Gaps</t>
        </is>
      </c>
      <c r="B21" s="28">
        <f>COUNTIF('Recovery Process'!G4:G11,"Gap")</f>
        <v/>
      </c>
      <c r="C21" s="6" t="n"/>
      <c r="D21" s="6" t="n"/>
      <c r="E21" s="6" t="n"/>
      <c r="F21" s="6" t="n"/>
      <c r="G21" s="6" t="n"/>
    </row>
    <row r="22">
      <c r="A22" s="27" t="inlineStr">
        <is>
          <t>Revocation Process: Steps Implemented</t>
        </is>
      </c>
      <c r="B22" s="28">
        <f>COUNTIF('Revocation Process'!G4:G13,"Implemented")</f>
        <v/>
      </c>
      <c r="C22" s="6" t="n"/>
      <c r="D22" s="6" t="n"/>
      <c r="E22" s="6" t="n"/>
      <c r="F22" s="6" t="n"/>
      <c r="G22" s="6" t="n"/>
    </row>
    <row r="23">
      <c r="A23" s="27" t="inlineStr">
        <is>
          <t>Revocation Process: Steps with Gaps</t>
        </is>
      </c>
      <c r="B23" s="28">
        <f>COUNTIF('Revocation Process'!G4:G13,"Gap")</f>
        <v/>
      </c>
      <c r="C23" s="6" t="n"/>
      <c r="D23" s="6" t="n"/>
      <c r="E23" s="6" t="n"/>
      <c r="F23" s="6" t="n"/>
      <c r="G23" s="6" t="n"/>
    </row>
    <row r="24">
      <c r="A24" s="27" t="inlineStr">
        <is>
          <t>Audit Logging: Event Types Implemented</t>
        </is>
      </c>
      <c r="B24" s="28">
        <f>COUNTIF('Audit Log Requirements'!F4:F17,"Implemented")</f>
        <v/>
      </c>
      <c r="C24" s="6" t="n"/>
      <c r="D24" s="6" t="n"/>
      <c r="E24" s="6" t="n"/>
      <c r="F24" s="6" t="n"/>
      <c r="G24" s="6" t="n"/>
    </row>
    <row r="25">
      <c r="A25" s="27" t="inlineStr">
        <is>
          <t>Audit Logging: Event Types with Gaps</t>
        </is>
      </c>
      <c r="B25" s="28">
        <f>COUNTIF('Audit Log Requirements'!F4:F17,"Gap")</f>
        <v/>
      </c>
      <c r="C25" s="6" t="n"/>
      <c r="D25" s="6" t="n"/>
      <c r="E25" s="6" t="n"/>
      <c r="F25" s="6" t="n"/>
      <c r="G25" s="6" t="n"/>
    </row>
    <row r="26">
      <c r="A26" s="27" t="inlineStr">
        <is>
          <t>Audit Logging: Events Planned</t>
        </is>
      </c>
      <c r="B26" s="28">
        <f>COUNTIF('Audit Log Requirements'!F4:F17,"Planned")</f>
        <v/>
      </c>
      <c r="C26" s="6" t="n"/>
      <c r="D26" s="6" t="n"/>
      <c r="E26" s="6" t="n"/>
      <c r="F26" s="6" t="n"/>
      <c r="G26" s="6" t="n"/>
    </row>
    <row r="27">
      <c r="A27" s="27" t="inlineStr">
        <is>
          <t>Total Process Steps Assessed</t>
        </is>
      </c>
      <c r="B27" s="28">
        <f>COUNTA('Allocation Process'!A4:A13)+COUNTA('Change Management'!A4:A12)+COUNTA('Recovery Process'!A4:A11)+COUNTA('Revocation Process'!A4:A13)+COUNTA('Audit Log Requirements'!A4:A17)</f>
        <v/>
      </c>
      <c r="C27" s="6" t="n"/>
      <c r="D27" s="6" t="n"/>
      <c r="E27" s="6" t="n"/>
      <c r="F27" s="6" t="n"/>
      <c r="G27" s="6" t="n"/>
    </row>
    <row r="28">
      <c r="A28" s="27" t="inlineStr">
        <is>
          <t>Total Lifecycle Gaps Identified</t>
        </is>
      </c>
      <c r="B28" s="28">
        <f>COUNTIF('Allocation Process'!G4:G13,"Gap")+COUNTIF('Change Management'!G4:G12,"Gap")+COUNTIF('Recovery Process'!G4:G11,"Gap")+COUNTIF('Revocation Process'!G4:G13,"Gap")+COUNTIF('Audit Log Requirements'!F4:F17,"Gap")</f>
        <v/>
      </c>
      <c r="C28" s="6" t="n"/>
      <c r="D28" s="6" t="n"/>
      <c r="E28" s="6" t="n"/>
      <c r="F28" s="6" t="n"/>
      <c r="G28" s="6" t="n"/>
    </row>
    <row r="29">
      <c r="A29" s="27" t="inlineStr">
        <is>
          <t>Lifecycle Implementation Rate</t>
        </is>
      </c>
      <c r="B29" s="29">
        <f>IFERROR((COUNTIF('Allocation Process'!G4:G13,"Implemented")+COUNTIF('Change Management'!G4:G12,"Implemented")+COUNTIF('Recovery Process'!G4:G11,"Implemented")+COUNTIF('Revocation Process'!G4:G13,"Implemented")+COUNTIF('Audit Log Requirements'!F4:F17,"Implemented"))/(COUNTA('Allocation Process'!A4:A13)+COUNTA('Change Management'!A4:A12)+COUNTA('Recovery Process'!A4:A11)+COUNTA('Revocation Process'!A4:A13)+COUNTA('Audit Log Requirements'!A4:A17)),0)</f>
        <v/>
      </c>
      <c r="C29" s="6" t="n"/>
      <c r="D29" s="6" t="n"/>
      <c r="E29" s="6" t="n"/>
      <c r="F29" s="6" t="n"/>
      <c r="G29" s="6" t="n"/>
    </row>
    <row r="30">
      <c r="A30" s="6" t="n"/>
      <c r="B30" s="6" t="n"/>
      <c r="C30" s="6" t="n"/>
      <c r="D30" s="6" t="n"/>
      <c r="E30" s="6" t="n"/>
      <c r="F30" s="6" t="n"/>
      <c r="G30" s="6" t="n"/>
    </row>
    <row r="31">
      <c r="A31" s="6" t="n"/>
      <c r="B31" s="6" t="n"/>
      <c r="C31" s="6" t="n"/>
      <c r="D31" s="6" t="n"/>
      <c r="E31" s="6" t="n"/>
      <c r="F31" s="6" t="n"/>
      <c r="G31" s="6" t="n"/>
    </row>
    <row r="33" ht="20" customHeight="1">
      <c r="A33" s="33" t="inlineStr">
        <is>
          <t>TABLE 3: CRITICAL FINDINGS REQUIRING IMMEDIATE ATTENTION</t>
        </is>
      </c>
      <c r="B33" s="6" t="n"/>
      <c r="C33" s="6" t="n"/>
      <c r="D33" s="6" t="n"/>
      <c r="E33" s="6" t="n"/>
      <c r="F33" s="6" t="n"/>
      <c r="G33" s="6" t="n"/>
    </row>
    <row r="34">
      <c r="A34" s="31" t="inlineStr">
        <is>
          <t>Category</t>
        </is>
      </c>
      <c r="B34" s="31" t="inlineStr">
        <is>
          <t>Finding</t>
        </is>
      </c>
      <c r="C34" s="31" t="inlineStr">
        <is>
          <t>Count</t>
        </is>
      </c>
      <c r="D34" s="31" t="inlineStr">
        <is>
          <t>Severity</t>
        </is>
      </c>
      <c r="E34" s="31" t="inlineStr">
        <is>
          <t>Action Required</t>
        </is>
      </c>
      <c r="F34" s="31" t="n"/>
      <c r="G34" s="31" t="n"/>
    </row>
    <row r="35">
      <c r="A35" s="34" t="inlineStr">
        <is>
          <t>Credential Allocation</t>
        </is>
      </c>
      <c r="B35" s="34" t="inlineStr">
        <is>
          <t>Allocation process steps with gaps</t>
        </is>
      </c>
      <c r="C35" s="35">
        <f>COUNTIF('Allocation Process'!G4:G13,"Gap")</f>
        <v/>
      </c>
      <c r="D35" s="34" t="inlineStr">
        <is>
          <t>Critical</t>
        </is>
      </c>
      <c r="E35" s="34" t="inlineStr">
        <is>
          <t>Immediate</t>
        </is>
      </c>
      <c r="F35" s="34" t="n"/>
      <c r="G35" s="34" t="n"/>
    </row>
    <row r="36">
      <c r="A36" s="34" t="inlineStr">
        <is>
          <t>Change Management</t>
        </is>
      </c>
      <c r="B36" s="34" t="inlineStr">
        <is>
          <t>Change management steps with gaps</t>
        </is>
      </c>
      <c r="C36" s="35">
        <f>COUNTIF('Change Management'!G4:G12,"Gap")</f>
        <v/>
      </c>
      <c r="D36" s="34" t="inlineStr">
        <is>
          <t>High</t>
        </is>
      </c>
      <c r="E36" s="34" t="inlineStr">
        <is>
          <t>Urgent</t>
        </is>
      </c>
      <c r="F36" s="34" t="n"/>
      <c r="G36" s="34" t="n"/>
    </row>
    <row r="37">
      <c r="A37" s="34" t="inlineStr">
        <is>
          <t>Recovery Process</t>
        </is>
      </c>
      <c r="B37" s="34" t="inlineStr">
        <is>
          <t>Recovery process steps with gaps</t>
        </is>
      </c>
      <c r="C37" s="35">
        <f>COUNTIF('Recovery Process'!G4:G11,"Gap")</f>
        <v/>
      </c>
      <c r="D37" s="34" t="inlineStr">
        <is>
          <t>High</t>
        </is>
      </c>
      <c r="E37" s="34" t="inlineStr">
        <is>
          <t>Urgent</t>
        </is>
      </c>
      <c r="F37" s="34" t="n"/>
      <c r="G37" s="34" t="n"/>
    </row>
    <row r="38">
      <c r="A38" s="34" t="inlineStr">
        <is>
          <t>Revocation Process</t>
        </is>
      </c>
      <c r="B38" s="34" t="inlineStr">
        <is>
          <t>Revocation process steps with gaps (termination risk)</t>
        </is>
      </c>
      <c r="C38" s="35">
        <f>COUNTIF('Revocation Process'!G4:G13,"Gap")</f>
        <v/>
      </c>
      <c r="D38" s="34" t="inlineStr">
        <is>
          <t>Critical</t>
        </is>
      </c>
      <c r="E38" s="34" t="inlineStr">
        <is>
          <t>Immediate</t>
        </is>
      </c>
      <c r="F38" s="34" t="n"/>
      <c r="G38" s="34" t="n"/>
    </row>
    <row r="39">
      <c r="A39" s="34" t="inlineStr">
        <is>
          <t>Audit Logging</t>
        </is>
      </c>
      <c r="B39" s="34" t="inlineStr">
        <is>
          <t>Authentication event logging gaps</t>
        </is>
      </c>
      <c r="C39" s="35">
        <f>COUNTIF('Audit Log Requirements'!F4:F17,"Gap")</f>
        <v/>
      </c>
      <c r="D39" s="34" t="inlineStr">
        <is>
          <t>High</t>
        </is>
      </c>
      <c r="E39" s="34" t="inlineStr">
        <is>
          <t>Urgent</t>
        </is>
      </c>
      <c r="F39" s="34" t="n"/>
      <c r="G39" s="34" t="n"/>
    </row>
    <row r="40">
      <c r="A40" s="34" t="inlineStr">
        <is>
          <t>Audit Logging</t>
        </is>
      </c>
      <c r="B40" s="34" t="inlineStr">
        <is>
          <t>Audit logging events in progress (not complete)</t>
        </is>
      </c>
      <c r="C40" s="35">
        <f>COUNTIF('Audit Log Requirements'!F4:F17,"In Progress")</f>
        <v/>
      </c>
      <c r="D40" s="34" t="inlineStr">
        <is>
          <t>Medium</t>
        </is>
      </c>
      <c r="E40" s="34" t="inlineStr">
        <is>
          <t>Plan</t>
        </is>
      </c>
      <c r="F40" s="34" t="n"/>
      <c r="G40" s="34" t="n"/>
    </row>
    <row r="41">
      <c r="A41" s="36" t="n"/>
      <c r="B41" s="36" t="n"/>
      <c r="C41" s="36" t="n"/>
      <c r="D41" s="36" t="n"/>
      <c r="E41" s="36" t="n"/>
      <c r="F41" s="36" t="n"/>
      <c r="G41" s="36" t="n"/>
    </row>
    <row r="42">
      <c r="A42" s="36" t="n"/>
      <c r="B42" s="36" t="n"/>
      <c r="C42" s="36" t="n"/>
      <c r="D42" s="36" t="n"/>
      <c r="E42" s="36" t="n"/>
      <c r="F42" s="36" t="n"/>
      <c r="G42" s="36" t="n"/>
    </row>
  </sheetData>
  <mergeCells count="5">
    <mergeCell ref="A13:G13"/>
    <mergeCell ref="A1:G1"/>
    <mergeCell ref="A4:G4"/>
    <mergeCell ref="A2:G2"/>
    <mergeCell ref="A33:G3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7"/>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23" t="inlineStr">
        <is>
          <t>ASSESSMENT APPROVAL AND SIGN-OFF</t>
        </is>
      </c>
      <c r="B1" s="6" t="n"/>
      <c r="C1" s="6" t="n"/>
      <c r="D1" s="6" t="n"/>
      <c r="E1" s="6" t="n"/>
    </row>
    <row r="2">
      <c r="A2" s="37" t="inlineStr">
        <is>
          <t>ISO/IEC 27001:2022 - Control A.5.17: Authentication Information</t>
        </is>
      </c>
      <c r="B2" s="6" t="n"/>
      <c r="C2" s="6" t="n"/>
      <c r="D2" s="6" t="n"/>
      <c r="E2" s="6" t="n"/>
    </row>
    <row r="3">
      <c r="A3" s="38" t="inlineStr">
        <is>
          <t>DOCUMENT SUMMARY</t>
        </is>
      </c>
      <c r="B3" s="6" t="n"/>
      <c r="C3" s="6" t="n"/>
      <c r="D3" s="6" t="n"/>
      <c r="E3" s="6" t="n"/>
    </row>
    <row r="4">
      <c r="A4" s="39" t="inlineStr">
        <is>
          <t>Document:</t>
        </is>
      </c>
      <c r="B4" s="36" t="inlineStr">
        <is>
          <t>ISMS-IMP-A.5.17.2 - Credential Lifecycle Management</t>
        </is>
      </c>
      <c r="C4" s="6" t="n"/>
      <c r="D4" s="6" t="n"/>
      <c r="E4" s="6" t="n"/>
    </row>
    <row r="5">
      <c r="A5" s="39" t="inlineStr">
        <is>
          <t>Control Reference:</t>
        </is>
      </c>
      <c r="B5" s="36" t="inlineStr">
        <is>
          <t>A.5.17</t>
        </is>
      </c>
      <c r="C5" s="6" t="n"/>
      <c r="D5" s="6" t="n"/>
      <c r="E5" s="6" t="n"/>
    </row>
    <row r="6">
      <c r="A6" s="39" t="inlineStr">
        <is>
          <t>Overall Compliance Rating:</t>
        </is>
      </c>
      <c r="B6" s="40">
        <f>IFERROR(AVERAGE('Summary Dashboard'!G6:G10),"")</f>
        <v/>
      </c>
      <c r="C6" s="6" t="n"/>
      <c r="D6" s="6" t="n"/>
      <c r="E6" s="6" t="n"/>
    </row>
    <row r="7">
      <c r="A7" s="39" t="inlineStr">
        <is>
          <t>Version:</t>
        </is>
      </c>
      <c r="B7" s="36" t="inlineStr">
        <is>
          <t>1.0</t>
        </is>
      </c>
      <c r="C7" s="6" t="n"/>
      <c r="D7" s="6" t="n"/>
      <c r="E7" s="6" t="n"/>
    </row>
    <row r="8">
      <c r="A8" s="39" t="inlineStr">
        <is>
          <t>Classification:</t>
        </is>
      </c>
      <c r="B8" s="36" t="inlineStr">
        <is>
          <t>INTERNAL</t>
        </is>
      </c>
      <c r="C8" s="6" t="n"/>
      <c r="D8" s="6" t="n"/>
      <c r="E8" s="6" t="n"/>
    </row>
    <row r="10">
      <c r="A10" s="38" t="inlineStr">
        <is>
          <t>PREPARED BY (PROCESS OWNER)</t>
        </is>
      </c>
      <c r="B10" s="6" t="n"/>
      <c r="C10" s="6" t="n"/>
      <c r="D10" s="6" t="n"/>
      <c r="E10" s="6" t="n"/>
    </row>
    <row r="11">
      <c r="A11" s="39" t="inlineStr">
        <is>
          <t>Name:</t>
        </is>
      </c>
      <c r="B11" s="36" t="n"/>
      <c r="C11" s="6" t="n"/>
      <c r="D11" s="6" t="n"/>
      <c r="E11" s="6" t="n"/>
    </row>
    <row r="12">
      <c r="A12" s="39" t="inlineStr">
        <is>
          <t>Title:</t>
        </is>
      </c>
      <c r="B12" s="36" t="n"/>
      <c r="C12" s="6" t="n"/>
      <c r="D12" s="6" t="n"/>
      <c r="E12" s="6" t="n"/>
    </row>
    <row r="13">
      <c r="A13" s="39" t="inlineStr">
        <is>
          <t>Date:</t>
        </is>
      </c>
      <c r="B13" s="36" t="n"/>
      <c r="C13" s="6" t="n"/>
      <c r="D13" s="6" t="n"/>
      <c r="E13" s="6" t="n"/>
    </row>
    <row r="14">
      <c r="A14" s="39" t="inlineStr">
        <is>
          <t>Signature:</t>
        </is>
      </c>
      <c r="B14" s="36" t="n"/>
      <c r="C14" s="6" t="n"/>
      <c r="D14" s="6" t="n"/>
      <c r="E14" s="6" t="n"/>
    </row>
    <row r="15">
      <c r="A15" s="39" t="inlineStr">
        <is>
          <t>Comments:</t>
        </is>
      </c>
      <c r="B15" s="36" t="n"/>
      <c r="C15" s="6" t="n"/>
      <c r="D15" s="6" t="n"/>
      <c r="E15" s="6" t="n"/>
    </row>
    <row r="17">
      <c r="A17" s="38" t="inlineStr">
        <is>
          <t>REVIEWED BY (INFORMATION SECURITY OFFICER)</t>
        </is>
      </c>
      <c r="B17" s="6" t="n"/>
      <c r="C17" s="6" t="n"/>
      <c r="D17" s="6" t="n"/>
      <c r="E17" s="6" t="n"/>
    </row>
    <row r="18">
      <c r="A18" s="39" t="inlineStr">
        <is>
          <t>Name:</t>
        </is>
      </c>
      <c r="B18" s="36" t="n"/>
      <c r="C18" s="6" t="n"/>
      <c r="D18" s="6" t="n"/>
      <c r="E18" s="6" t="n"/>
    </row>
    <row r="19">
      <c r="A19" s="39" t="inlineStr">
        <is>
          <t>Title:</t>
        </is>
      </c>
      <c r="B19" s="36" t="n"/>
      <c r="C19" s="6" t="n"/>
      <c r="D19" s="6" t="n"/>
      <c r="E19" s="6" t="n"/>
    </row>
    <row r="20">
      <c r="A20" s="39" t="inlineStr">
        <is>
          <t>Date:</t>
        </is>
      </c>
      <c r="B20" s="36" t="n"/>
      <c r="C20" s="6" t="n"/>
      <c r="D20" s="6" t="n"/>
      <c r="E20" s="6" t="n"/>
    </row>
    <row r="21">
      <c r="A21" s="39" t="inlineStr">
        <is>
          <t>Signature:</t>
        </is>
      </c>
      <c r="B21" s="36" t="n"/>
      <c r="C21" s="6" t="n"/>
      <c r="D21" s="6" t="n"/>
      <c r="E21" s="6" t="n"/>
    </row>
    <row r="22">
      <c r="A22" s="39" t="inlineStr">
        <is>
          <t>Comments:</t>
        </is>
      </c>
      <c r="B22" s="36" t="n"/>
      <c r="C22" s="6" t="n"/>
      <c r="D22" s="6" t="n"/>
      <c r="E22" s="6" t="n"/>
    </row>
    <row r="24">
      <c r="A24" s="25" t="inlineStr">
        <is>
          <t>APPROVED BY (CISO)</t>
        </is>
      </c>
      <c r="B24" s="6" t="n"/>
      <c r="C24" s="6" t="n"/>
      <c r="D24" s="6" t="n"/>
      <c r="E24" s="6" t="n"/>
    </row>
    <row r="25">
      <c r="A25" s="39" t="inlineStr">
        <is>
          <t>Name:</t>
        </is>
      </c>
      <c r="B25" s="36" t="n"/>
      <c r="C25" s="6" t="n"/>
      <c r="D25" s="6" t="n"/>
      <c r="E25" s="6" t="n"/>
    </row>
    <row r="26">
      <c r="A26" s="39" t="inlineStr">
        <is>
          <t>Title:</t>
        </is>
      </c>
      <c r="B26" s="36" t="n"/>
      <c r="C26" s="6" t="n"/>
      <c r="D26" s="6" t="n"/>
      <c r="E26" s="6" t="n"/>
    </row>
    <row r="27">
      <c r="A27" s="39" t="inlineStr">
        <is>
          <t>Date:</t>
        </is>
      </c>
      <c r="B27" s="36" t="n"/>
      <c r="C27" s="6" t="n"/>
      <c r="D27" s="6" t="n"/>
      <c r="E27" s="6" t="n"/>
    </row>
    <row r="28">
      <c r="A28" s="39" t="inlineStr">
        <is>
          <t>Signature:</t>
        </is>
      </c>
      <c r="B28" s="36" t="n"/>
      <c r="C28" s="6" t="n"/>
      <c r="D28" s="6" t="n"/>
      <c r="E28" s="6" t="n"/>
    </row>
    <row r="29">
      <c r="A29" s="39" t="inlineStr">
        <is>
          <t>Comments:</t>
        </is>
      </c>
      <c r="B29" s="36" t="n"/>
      <c r="C29" s="6" t="n"/>
      <c r="D29" s="6" t="n"/>
      <c r="E29" s="6" t="n"/>
    </row>
    <row r="31">
      <c r="A31" s="39" t="inlineStr">
        <is>
          <t>FINAL DECISION:</t>
        </is>
      </c>
      <c r="B31" s="36" t="n"/>
      <c r="C31" s="6" t="n"/>
      <c r="D31" s="6" t="n"/>
      <c r="E31" s="6" t="n"/>
    </row>
    <row r="34">
      <c r="A34" s="38" t="inlineStr">
        <is>
          <t>NEXT REVIEW DETAILS</t>
        </is>
      </c>
      <c r="B34" s="6" t="n"/>
      <c r="C34" s="6" t="n"/>
      <c r="D34" s="6" t="n"/>
      <c r="E34" s="6" t="n"/>
    </row>
    <row r="35">
      <c r="A35" s="39" t="inlineStr">
        <is>
          <t>Next Review Date:</t>
        </is>
      </c>
      <c r="B35" s="36" t="n"/>
      <c r="C35" s="6" t="n"/>
      <c r="D35" s="6" t="n"/>
      <c r="E35" s="6" t="n"/>
    </row>
    <row r="36">
      <c r="A36" s="39" t="inlineStr">
        <is>
          <t>Review Responsible:</t>
        </is>
      </c>
      <c r="B36" s="36" t="n"/>
      <c r="C36" s="6" t="n"/>
      <c r="D36" s="6" t="n"/>
      <c r="E36" s="6" t="n"/>
    </row>
    <row r="37">
      <c r="A37" s="39" t="inlineStr">
        <is>
          <t>Special Considerations:</t>
        </is>
      </c>
      <c r="B37" s="36" t="n"/>
      <c r="C37" s="6" t="n"/>
      <c r="D37" s="6" t="n"/>
      <c r="E37" s="6" t="n"/>
    </row>
  </sheetData>
  <mergeCells count="31">
    <mergeCell ref="A34:E34"/>
    <mergeCell ref="A24:E24"/>
    <mergeCell ref="B6:E6"/>
    <mergeCell ref="B15:E15"/>
    <mergeCell ref="A1:E1"/>
    <mergeCell ref="B5:E5"/>
    <mergeCell ref="B20:E20"/>
    <mergeCell ref="B36:E36"/>
    <mergeCell ref="B26:E26"/>
    <mergeCell ref="B35:E35"/>
    <mergeCell ref="B4:E4"/>
    <mergeCell ref="B7:E7"/>
    <mergeCell ref="B25:E25"/>
    <mergeCell ref="B22:E22"/>
    <mergeCell ref="A3:E3"/>
    <mergeCell ref="B31:E31"/>
    <mergeCell ref="B18:E18"/>
    <mergeCell ref="B27:E27"/>
    <mergeCell ref="A2:E2"/>
    <mergeCell ref="B12:E12"/>
    <mergeCell ref="B21:E21"/>
    <mergeCell ref="B11:E11"/>
    <mergeCell ref="A17:E17"/>
    <mergeCell ref="B14:E14"/>
    <mergeCell ref="B8:E8"/>
    <mergeCell ref="A10:E10"/>
    <mergeCell ref="B13:E13"/>
    <mergeCell ref="B29:E29"/>
    <mergeCell ref="B19:E19"/>
    <mergeCell ref="B37:E37"/>
    <mergeCell ref="B28:E28"/>
  </mergeCells>
  <dataValidations count="1">
    <dataValidation sqref="B31"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ISMS-IMP-A.5.17.2 — Credential Lifecycle Management</dc:title>
  <dc:description xmlns:dc="http://purl.org/dc/elements/1.1/">ISMS Implementation Workbook — ISMS-IMP-A.5.17.2</dc:description>
  <dc:subject xmlns:dc="http://purl.org/dc/elements/1.1/">ISO/IEC 27001:2022 — Control A.5.17: Authentication Information</dc:subject>
  <dcterms:created xmlns:dcterms="http://purl.org/dc/terms/" xmlns:xsi="http://www.w3.org/2001/XMLSchema-instance" xsi:type="dcterms:W3CDTF">2026-03-10T18:48:38Z</dcterms:created>
  <dcterms:modified xmlns:dcterms="http://purl.org/dc/terms/" xmlns:xsi="http://www.w3.org/2001/XMLSchema-instance" xsi:type="dcterms:W3CDTF">2026-03-10T18:48:38Z</dcterms:modified>
</cp:coreProperties>
</file>