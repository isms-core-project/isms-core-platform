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structions &amp; Legend" sheetId="1" state="visible" r:id="rId1"/>
    <sheet xmlns:r="http://schemas.openxmlformats.org/officeDocument/2006/relationships" name="Password Policy" sheetId="2" state="visible" r:id="rId2"/>
    <sheet xmlns:r="http://schemas.openxmlformats.org/officeDocument/2006/relationships" name="MFA Requirements" sheetId="3" state="visible" r:id="rId3"/>
    <sheet xmlns:r="http://schemas.openxmlformats.org/officeDocument/2006/relationships" name="Credential Standards" sheetId="4" state="visible" r:id="rId4"/>
    <sheet xmlns:r="http://schemas.openxmlformats.org/officeDocument/2006/relationships" name="User Responsibilities" sheetId="5" state="visible" r:id="rId5"/>
    <sheet xmlns:r="http://schemas.openxmlformats.org/officeDocument/2006/relationships" name="System Requirements" sheetId="6" state="visible" r:id="rId6"/>
    <sheet xmlns:r="http://schemas.openxmlformats.org/officeDocument/2006/relationships" name="Evidence Register" sheetId="7" state="visible" r:id="rId7"/>
    <sheet xmlns:r="http://schemas.openxmlformats.org/officeDocument/2006/relationships" name="Summary Dashboard" sheetId="8" state="visible" r:id="rId8"/>
    <sheet xmlns:r="http://schemas.openxmlformats.org/officeDocument/2006/relationships" name="Approval Sign-Off" sheetId="9" state="visible" r:id="rId9"/>
  </sheets>
  <definedNames/>
  <calcPr calcId="124519" fullCalcOnLoad="1"/>
</workbook>
</file>

<file path=xl/styles.xml><?xml version="1.0" encoding="utf-8"?>
<styleSheet xmlns="http://schemas.openxmlformats.org/spreadsheetml/2006/main">
  <numFmts count="1">
    <numFmt numFmtId="164" formatCode="0.0%"/>
  </numFmts>
  <fonts count="16">
    <font>
      <name val="Calibri"/>
      <family val="2"/>
      <color theme="1"/>
      <sz val="11"/>
      <scheme val="minor"/>
    </font>
    <font>
      <name val="Calibri"/>
      <b val="1"/>
      <color rgb="00FFFFFF"/>
      <sz val="14"/>
    </font>
    <font>
      <name val="Calibri"/>
      <b val="1"/>
      <sz val="12"/>
    </font>
    <font>
      <name val="Calibri"/>
      <b val="1"/>
    </font>
    <font>
      <name val="Calibri"/>
      <b val="1"/>
      <sz val="10"/>
    </font>
    <font>
      <name val="Calibri"/>
      <i val="1"/>
      <color rgb="00003366"/>
      <sz val="10"/>
    </font>
    <font>
      <name val="Calibri"/>
      <b val="1"/>
      <color rgb="00FFFFFF"/>
      <sz val="11"/>
    </font>
    <font>
      <name val="Calibri"/>
      <sz val="11"/>
    </font>
    <font>
      <name val="Calibri"/>
      <i val="1"/>
      <sz val="10"/>
    </font>
    <font>
      <name val="Calibri"/>
      <b val="1"/>
      <color rgb="00FFFFFF"/>
      <sz val="10"/>
    </font>
    <font>
      <name val="Calibri"/>
      <sz val="10"/>
    </font>
    <font>
      <b val="1"/>
      <color rgb="00FFFFFF"/>
      <sz val="14"/>
    </font>
    <font>
      <b val="1"/>
      <color rgb="00FFFFFF"/>
      <sz val="11"/>
    </font>
    <font>
      <b val="1"/>
      <color rgb="00000000"/>
    </font>
    <font>
      <color rgb="00000000"/>
    </font>
    <font>
      <b val="1"/>
    </font>
  </fonts>
  <fills count="14">
    <fill>
      <patternFill/>
    </fill>
    <fill>
      <patternFill patternType="gray125"/>
    </fill>
    <fill>
      <patternFill patternType="solid">
        <fgColor rgb="00003366"/>
      </patternFill>
    </fill>
    <fill>
      <patternFill patternType="solid">
        <fgColor rgb="00FFFFCC"/>
      </patternFill>
    </fill>
    <fill>
      <patternFill patternType="solid">
        <fgColor rgb="00D9D9D9"/>
      </patternFill>
    </fill>
    <fill>
      <patternFill patternType="solid">
        <fgColor rgb="00C6EFCE"/>
      </patternFill>
    </fill>
    <fill>
      <patternFill patternType="solid">
        <fgColor rgb="00FFEB9C"/>
      </patternFill>
    </fill>
    <fill>
      <patternFill patternType="solid">
        <fgColor rgb="00FFC7CE"/>
      </patternFill>
    </fill>
    <fill>
      <patternFill patternType="solid">
        <fgColor rgb="00003366"/>
        <bgColor rgb="00003366"/>
      </patternFill>
    </fill>
    <fill>
      <patternFill patternType="solid">
        <fgColor rgb="004472C4"/>
        <bgColor rgb="004472C4"/>
      </patternFill>
    </fill>
    <fill>
      <patternFill patternType="solid">
        <fgColor rgb="00FFFFCC"/>
        <bgColor rgb="00FFFFCC"/>
      </patternFill>
    </fill>
    <fill>
      <patternFill patternType="solid">
        <fgColor rgb="00F2F2F2"/>
        <bgColor rgb="00F2F2F2"/>
      </patternFill>
    </fill>
    <fill>
      <patternFill patternType="solid">
        <fgColor rgb="00D9D9D9"/>
        <bgColor rgb="00D9D9D9"/>
      </patternFill>
    </fill>
    <fill>
      <patternFill patternType="solid">
        <fgColor rgb="00C00000"/>
        <bgColor rgb="00C00000"/>
      </patternFill>
    </fill>
  </fills>
  <borders count="2">
    <border>
      <left/>
      <right/>
      <top/>
      <bottom/>
      <diagonal/>
    </border>
    <border>
      <left style="thin"/>
      <right style="thin"/>
      <top style="thin"/>
      <bottom style="thin"/>
    </border>
  </borders>
  <cellStyleXfs count="1">
    <xf numFmtId="0" fontId="0" fillId="0" borderId="0"/>
  </cellStyleXfs>
  <cellXfs count="41">
    <xf numFmtId="0" fontId="0" fillId="0" borderId="0" pivotButton="0" quotePrefix="0" xfId="0"/>
    <xf numFmtId="0" fontId="1" fillId="2" borderId="0" applyAlignment="1" pivotButton="0" quotePrefix="0" xfId="0">
      <alignment horizontal="center" vertical="center" wrapText="1"/>
    </xf>
    <xf numFmtId="0" fontId="2" fillId="0" borderId="0" pivotButton="0" quotePrefix="0" xfId="0"/>
    <xf numFmtId="0" fontId="3" fillId="0" borderId="0" pivotButton="0" quotePrefix="0" xfId="0"/>
    <xf numFmtId="0" fontId="0" fillId="3" borderId="1" pivotButton="0" quotePrefix="0" xfId="0"/>
    <xf numFmtId="0" fontId="4" fillId="4" borderId="1" applyAlignment="1" pivotButton="0" quotePrefix="0" xfId="0">
      <alignment horizontal="center" vertical="center" wrapText="1"/>
    </xf>
    <xf numFmtId="0" fontId="0" fillId="0" borderId="1" pivotButton="0" quotePrefix="0" xfId="0"/>
    <xf numFmtId="0" fontId="0" fillId="5" borderId="1" applyAlignment="1" pivotButton="0" quotePrefix="0" xfId="0">
      <alignment horizontal="left" vertical="center" wrapText="1"/>
    </xf>
    <xf numFmtId="0" fontId="0" fillId="0" borderId="1" applyAlignment="1" pivotButton="0" quotePrefix="0" xfId="0">
      <alignment horizontal="left" vertical="center" wrapText="1"/>
    </xf>
    <xf numFmtId="0" fontId="0" fillId="6" borderId="1" applyAlignment="1" pivotButton="0" quotePrefix="0" xfId="0">
      <alignment horizontal="left" vertical="center" wrapText="1"/>
    </xf>
    <xf numFmtId="0" fontId="0" fillId="7" borderId="1" applyAlignment="1" pivotButton="0" quotePrefix="0" xfId="0">
      <alignment horizontal="left" vertical="center" wrapText="1"/>
    </xf>
    <xf numFmtId="0" fontId="1" fillId="8" borderId="0" applyAlignment="1" pivotButton="0" quotePrefix="0" xfId="0">
      <alignment horizontal="center" vertical="center" wrapText="1"/>
    </xf>
    <xf numFmtId="0" fontId="5" fillId="0" borderId="0" applyAlignment="1" pivotButton="0" quotePrefix="0" xfId="0">
      <alignment horizontal="center" vertical="center" wrapText="1"/>
    </xf>
    <xf numFmtId="0" fontId="6" fillId="9" borderId="1" applyAlignment="1" pivotButton="0" quotePrefix="0" xfId="0">
      <alignment horizontal="center" vertical="center" wrapText="1"/>
    </xf>
    <xf numFmtId="0" fontId="7" fillId="0" borderId="1" applyAlignment="1" pivotButton="0" quotePrefix="0" xfId="0">
      <alignment horizontal="left" vertical="center" wrapText="1"/>
    </xf>
    <xf numFmtId="0" fontId="7" fillId="10" borderId="1" applyAlignment="1" pivotButton="0" quotePrefix="0" xfId="0">
      <alignment horizontal="left" vertical="center" wrapText="1"/>
    </xf>
    <xf numFmtId="0" fontId="1" fillId="8" borderId="1" applyAlignment="1" pivotButton="0" quotePrefix="0" xfId="0">
      <alignment horizontal="center" vertical="center"/>
    </xf>
    <xf numFmtId="0" fontId="8" fillId="0" borderId="1" applyAlignment="1" pivotButton="0" quotePrefix="0" xfId="0">
      <alignment horizontal="left" vertical="center"/>
    </xf>
    <xf numFmtId="0" fontId="9" fillId="8" borderId="1" applyAlignment="1" pivotButton="0" quotePrefix="0" xfId="0">
      <alignment horizontal="center" vertical="center" wrapText="1"/>
    </xf>
    <xf numFmtId="0" fontId="10" fillId="11" borderId="1" applyAlignment="1" pivotButton="0" quotePrefix="0" xfId="0">
      <alignment horizontal="center" vertical="center" wrapText="1"/>
    </xf>
    <xf numFmtId="0" fontId="10" fillId="11" borderId="1" applyAlignment="1" pivotButton="0" quotePrefix="0" xfId="0">
      <alignment horizontal="left" vertical="center" wrapText="1"/>
    </xf>
    <xf numFmtId="0" fontId="0" fillId="10" borderId="1" applyAlignment="1" pivotButton="0" quotePrefix="0" xfId="0">
      <alignment horizontal="center" vertical="center" wrapText="1"/>
    </xf>
    <xf numFmtId="0" fontId="0" fillId="10" borderId="1" applyAlignment="1" pivotButton="0" quotePrefix="0" xfId="0">
      <alignment horizontal="left" vertical="center" wrapText="1"/>
    </xf>
    <xf numFmtId="0" fontId="11" fillId="8" borderId="1" applyAlignment="1" pivotButton="0" quotePrefix="0" xfId="0">
      <alignment horizontal="center" vertical="center" wrapText="1"/>
    </xf>
    <xf numFmtId="0" fontId="5" fillId="0" borderId="0" applyAlignment="1" pivotButton="0" quotePrefix="0" xfId="0">
      <alignment horizontal="left" vertical="center"/>
    </xf>
    <xf numFmtId="0" fontId="12" fillId="8" borderId="1" pivotButton="0" quotePrefix="0" xfId="0"/>
    <xf numFmtId="0" fontId="13" fillId="12" borderId="1" applyAlignment="1" pivotButton="0" quotePrefix="0" xfId="0">
      <alignment horizontal="center" vertical="center" wrapText="1"/>
    </xf>
    <xf numFmtId="0" fontId="14" fillId="0" borderId="1" applyAlignment="1" pivotButton="0" quotePrefix="0" xfId="0">
      <alignment horizontal="left" vertical="center"/>
    </xf>
    <xf numFmtId="0" fontId="14" fillId="0" borderId="1" applyAlignment="1" pivotButton="0" quotePrefix="0" xfId="0">
      <alignment horizontal="center" vertical="center"/>
    </xf>
    <xf numFmtId="164" fontId="14" fillId="0" borderId="1" applyAlignment="1" pivotButton="0" quotePrefix="0" xfId="0">
      <alignment horizontal="center" vertical="center"/>
    </xf>
    <xf numFmtId="0" fontId="13" fillId="12" borderId="1" applyAlignment="1" pivotButton="0" quotePrefix="0" xfId="0">
      <alignment horizontal="left" vertical="center"/>
    </xf>
    <xf numFmtId="0" fontId="13" fillId="12" borderId="1" applyAlignment="1" pivotButton="0" quotePrefix="0" xfId="0">
      <alignment horizontal="center" vertical="center"/>
    </xf>
    <xf numFmtId="164" fontId="13" fillId="12" borderId="1" applyAlignment="1" pivotButton="0" quotePrefix="0" xfId="0">
      <alignment horizontal="center" vertical="center"/>
    </xf>
    <xf numFmtId="0" fontId="12" fillId="13" borderId="1" pivotButton="0" quotePrefix="0" xfId="0"/>
    <xf numFmtId="0" fontId="14" fillId="10" borderId="1" pivotButton="0" quotePrefix="0" xfId="0"/>
    <xf numFmtId="0" fontId="14" fillId="10" borderId="1" applyAlignment="1" pivotButton="0" quotePrefix="0" xfId="0">
      <alignment horizontal="center" vertical="center"/>
    </xf>
    <xf numFmtId="0" fontId="0" fillId="10" borderId="1" pivotButton="0" quotePrefix="0" xfId="0"/>
    <xf numFmtId="0" fontId="5" fillId="0" borderId="1" applyAlignment="1" pivotButton="0" quotePrefix="0" xfId="0">
      <alignment horizontal="center" vertical="center"/>
    </xf>
    <xf numFmtId="0" fontId="12" fillId="9" borderId="1" pivotButton="0" quotePrefix="0" xfId="0"/>
    <xf numFmtId="0" fontId="15" fillId="0" borderId="1" pivotButton="0" quotePrefix="0" xfId="0"/>
    <xf numFmtId="164" fontId="0" fillId="1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26"/>
  <sheetViews>
    <sheetView showGridLines="0" workbookViewId="0">
      <pane ySplit="3" topLeftCell="A4" activePane="bottomLeft" state="frozen"/>
      <selection pane="bottomLeft" activeCell="A1" sqref="A1"/>
    </sheetView>
  </sheetViews>
  <sheetFormatPr baseColWidth="8" defaultRowHeight="15"/>
  <cols>
    <col width="28" customWidth="1" min="1" max="1"/>
    <col width="45" customWidth="1" min="2" max="2"/>
    <col width="70" customWidth="1" min="3" max="3"/>
  </cols>
  <sheetData>
    <row r="1" ht="40" customHeight="1">
      <c r="A1" s="1" t="inlineStr">
        <is>
          <t>ISMS-IMP-A.5.17.1  -  Authentication Policy and Standards
ISO/IEC 27001:2022 - Control A.5.17: Authentication Information</t>
        </is>
      </c>
    </row>
    <row r="3">
      <c r="A3" s="2" t="inlineStr">
        <is>
          <t>Document Information</t>
        </is>
      </c>
    </row>
    <row r="4">
      <c r="A4" s="3" t="inlineStr">
        <is>
          <t>Document ID</t>
        </is>
      </c>
      <c r="B4" t="inlineStr">
        <is>
          <t>ISMS-IMP-A.5.17.1</t>
        </is>
      </c>
    </row>
    <row r="5">
      <c r="A5" s="3" t="inlineStr">
        <is>
          <t>Workbook Title</t>
        </is>
      </c>
      <c r="B5" t="inlineStr">
        <is>
          <t>Authentication Policy and Standards</t>
        </is>
      </c>
    </row>
    <row r="6">
      <c r="A6" s="3" t="inlineStr">
        <is>
          <t>Control Reference</t>
        </is>
      </c>
      <c r="B6" t="inlineStr">
        <is>
          <t>ISO/IEC 27001:2022 - Control A.5.17: Authentication Information</t>
        </is>
      </c>
    </row>
    <row r="7">
      <c r="A7" s="3" t="inlineStr">
        <is>
          <t>Version</t>
        </is>
      </c>
      <c r="B7" t="inlineStr">
        <is>
          <t>1.0</t>
        </is>
      </c>
    </row>
    <row r="8">
      <c r="A8" s="3" t="inlineStr">
        <is>
          <t>Assessment Date</t>
        </is>
      </c>
      <c r="B8" s="4" t="inlineStr"/>
    </row>
    <row r="9">
      <c r="A9" s="3" t="inlineStr">
        <is>
          <t>Completed By</t>
        </is>
      </c>
      <c r="B9" s="4" t="inlineStr"/>
    </row>
    <row r="10">
      <c r="A10" s="3" t="inlineStr">
        <is>
          <t>Organisation</t>
        </is>
      </c>
      <c r="B10" s="4" t="inlineStr"/>
    </row>
    <row r="12">
      <c r="A12" s="2" t="inlineStr">
        <is>
          <t>Instructions</t>
        </is>
      </c>
    </row>
    <row r="13">
      <c r="A13" t="inlineStr">
        <is>
          <t>1. Complete Password Policy — assess password length, complexity, history, and expiry requirements.</t>
        </is>
      </c>
    </row>
    <row r="14">
      <c r="A14" t="inlineStr">
        <is>
          <t>2. Complete MFA Requirements — document MFA mandate per system tier and user type.</t>
        </is>
      </c>
    </row>
    <row r="15">
      <c r="A15" t="inlineStr">
        <is>
          <t>3. Complete Credential Standards — review credential standards for service accounts and APIs.</t>
        </is>
      </c>
    </row>
    <row r="16">
      <c r="A16" t="inlineStr">
        <is>
          <t>4. Complete User Responsibilities — assess user awareness of credential protection obligations.</t>
        </is>
      </c>
    </row>
    <row r="17">
      <c r="A17" t="inlineStr">
        <is>
          <t>5. Complete System Requirements — evaluate system enforcement of authentication controls.</t>
        </is>
      </c>
    </row>
    <row r="18">
      <c r="A18" t="inlineStr">
        <is>
          <t>6. Maintain the Evidence Register with policy documentation and system configuration exports.</t>
        </is>
      </c>
    </row>
    <row r="19">
      <c r="A19" t="inlineStr">
        <is>
          <t>7. Obtain final approval and sign-off in the Approval Sign-Off sheet.</t>
        </is>
      </c>
    </row>
    <row r="21">
      <c r="A21" s="2" t="inlineStr">
        <is>
          <t>Status Legend</t>
        </is>
      </c>
    </row>
    <row r="22">
      <c r="A22" s="5" t="inlineStr">
        <is>
          <t>Symbol</t>
        </is>
      </c>
      <c r="B22" s="5" t="inlineStr">
        <is>
          <t>Status</t>
        </is>
      </c>
      <c r="C22" s="5" t="inlineStr">
        <is>
          <t>Description</t>
        </is>
      </c>
    </row>
    <row r="23">
      <c r="A23" s="6" t="inlineStr">
        <is>
          <t>✓</t>
        </is>
      </c>
      <c r="B23" s="7" t="inlineStr">
        <is>
          <t>Compliant / Complete</t>
        </is>
      </c>
      <c r="C23" s="8" t="inlineStr">
        <is>
          <t>Requirement fully met</t>
        </is>
      </c>
    </row>
    <row r="24">
      <c r="A24" s="6" t="inlineStr">
        <is>
          <t>⚠</t>
        </is>
      </c>
      <c r="B24" s="9" t="inlineStr">
        <is>
          <t>Partial / In Progress</t>
        </is>
      </c>
      <c r="C24" s="8" t="inlineStr">
        <is>
          <t>Partially met or in progress</t>
        </is>
      </c>
    </row>
    <row r="25">
      <c r="A25" s="6" t="inlineStr">
        <is>
          <t>✗</t>
        </is>
      </c>
      <c r="B25" s="10" t="inlineStr">
        <is>
          <t>Non-Compliant / Not Started</t>
        </is>
      </c>
      <c r="C25" s="8" t="inlineStr">
        <is>
          <t>Requirement not met</t>
        </is>
      </c>
    </row>
    <row r="26">
      <c r="A26" s="6" t="inlineStr">
        <is>
          <t>—</t>
        </is>
      </c>
      <c r="B26" s="8" t="inlineStr">
        <is>
          <t>Not Applicable</t>
        </is>
      </c>
      <c r="C26" s="8" t="inlineStr">
        <is>
          <t>Not applicable to this assessment</t>
        </is>
      </c>
    </row>
  </sheetData>
  <mergeCells count="1">
    <mergeCell ref="A1:G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22"/>
  <sheetViews>
    <sheetView showGridLines="0" workbookViewId="0">
      <pane ySplit="3" topLeftCell="A4" activePane="bottomLeft" state="frozen"/>
      <selection pane="bottomLeft" activeCell="A1" sqref="A1"/>
    </sheetView>
  </sheetViews>
  <sheetFormatPr baseColWidth="8" defaultRowHeight="15"/>
  <cols>
    <col width="22" customWidth="1" min="1" max="1"/>
    <col width="40" customWidth="1" min="2" max="2"/>
    <col width="22" customWidth="1" min="3" max="3"/>
    <col width="20" customWidth="1" min="4" max="4"/>
    <col width="12" customWidth="1" min="5" max="5"/>
    <col width="30" customWidth="1" min="6" max="6"/>
    <col width="25" customWidth="1" min="7" max="7"/>
  </cols>
  <sheetData>
    <row r="1" ht="35" customHeight="1">
      <c r="A1" s="11" t="inlineStr">
        <is>
          <t>PASSWORD POLICY REQUIREMENTS</t>
        </is>
      </c>
    </row>
    <row r="2">
      <c r="A2" s="12" t="inlineStr">
        <is>
          <t>ISO/IEC 27001:2022 - Control A.5.17: Authentication Information | Define and enforce password complexity and lifecycle requirements</t>
        </is>
      </c>
    </row>
    <row r="3">
      <c r="A3" s="13" t="inlineStr">
        <is>
          <t>Requirement Category</t>
        </is>
      </c>
      <c r="B3" s="13" t="inlineStr">
        <is>
          <t>Policy Requirement</t>
        </is>
      </c>
      <c r="C3" s="13" t="inlineStr">
        <is>
          <t>Standard Value</t>
        </is>
      </c>
      <c r="D3" s="13" t="inlineStr">
        <is>
          <t>Current Setting</t>
        </is>
      </c>
      <c r="E3" s="13" t="inlineStr">
        <is>
          <t>Compliant</t>
        </is>
      </c>
      <c r="F3" s="13" t="inlineStr">
        <is>
          <t>Implementation Notes</t>
        </is>
      </c>
      <c r="G3" s="13" t="inlineStr">
        <is>
          <t>Exception Process</t>
        </is>
      </c>
    </row>
    <row r="4">
      <c r="A4" s="14" t="inlineStr">
        <is>
          <t>Minimum Length</t>
        </is>
      </c>
      <c r="B4" s="14" t="inlineStr">
        <is>
          <t>Minimum password length</t>
        </is>
      </c>
      <c r="C4" s="14" t="inlineStr">
        <is>
          <t>&gt;=12 characters</t>
        </is>
      </c>
      <c r="D4" s="15" t="inlineStr"/>
      <c r="E4" s="15" t="inlineStr"/>
      <c r="F4" s="15" t="inlineStr"/>
      <c r="G4" s="15" t="inlineStr"/>
    </row>
    <row r="5">
      <c r="A5" s="14" t="inlineStr">
        <is>
          <t>Maximum Length</t>
        </is>
      </c>
      <c r="B5" s="14" t="inlineStr">
        <is>
          <t>Maximum password length (no artificial limit)</t>
        </is>
      </c>
      <c r="C5" s="14" t="inlineStr">
        <is>
          <t>&gt;=128 characters</t>
        </is>
      </c>
      <c r="D5" s="15" t="inlineStr"/>
      <c r="E5" s="15" t="inlineStr"/>
      <c r="F5" s="15" t="inlineStr"/>
      <c r="G5" s="15" t="inlineStr"/>
    </row>
    <row r="6">
      <c r="A6" s="14" t="inlineStr">
        <is>
          <t>Complexity - Uppercase</t>
        </is>
      </c>
      <c r="B6" s="14" t="inlineStr">
        <is>
          <t>Require uppercase letters</t>
        </is>
      </c>
      <c r="C6" s="14" t="inlineStr">
        <is>
          <t>Yes</t>
        </is>
      </c>
      <c r="D6" s="15" t="inlineStr"/>
      <c r="E6" s="15" t="inlineStr"/>
      <c r="F6" s="15" t="inlineStr"/>
      <c r="G6" s="15" t="inlineStr"/>
    </row>
    <row r="7">
      <c r="A7" s="14" t="inlineStr">
        <is>
          <t>Complexity - Lowercase</t>
        </is>
      </c>
      <c r="B7" s="14" t="inlineStr">
        <is>
          <t>Require lowercase letters</t>
        </is>
      </c>
      <c r="C7" s="14" t="inlineStr">
        <is>
          <t>Yes</t>
        </is>
      </c>
      <c r="D7" s="15" t="inlineStr"/>
      <c r="E7" s="15" t="inlineStr"/>
      <c r="F7" s="15" t="inlineStr"/>
      <c r="G7" s="15" t="inlineStr"/>
    </row>
    <row r="8">
      <c r="A8" s="14" t="inlineStr">
        <is>
          <t>Complexity - Numbers</t>
        </is>
      </c>
      <c r="B8" s="14" t="inlineStr">
        <is>
          <t>Require numeric characters</t>
        </is>
      </c>
      <c r="C8" s="14" t="inlineStr">
        <is>
          <t>Yes</t>
        </is>
      </c>
      <c r="D8" s="15" t="inlineStr"/>
      <c r="E8" s="15" t="inlineStr"/>
      <c r="F8" s="15" t="inlineStr"/>
      <c r="G8" s="15" t="inlineStr"/>
    </row>
    <row r="9">
      <c r="A9" s="14" t="inlineStr">
        <is>
          <t>Complexity - Special</t>
        </is>
      </c>
      <c r="B9" s="14" t="inlineStr">
        <is>
          <t>Require special characters</t>
        </is>
      </c>
      <c r="C9" s="14" t="inlineStr">
        <is>
          <t>Yes</t>
        </is>
      </c>
      <c r="D9" s="15" t="inlineStr"/>
      <c r="E9" s="15" t="inlineStr"/>
      <c r="F9" s="15" t="inlineStr"/>
      <c r="G9" s="15" t="inlineStr"/>
    </row>
    <row r="10">
      <c r="A10" s="14" t="inlineStr">
        <is>
          <t>Password History</t>
        </is>
      </c>
      <c r="B10" s="14" t="inlineStr">
        <is>
          <t>Number of previous passwords prevented</t>
        </is>
      </c>
      <c r="C10" s="14" t="inlineStr">
        <is>
          <t>&gt;=12 passwords</t>
        </is>
      </c>
      <c r="D10" s="15" t="inlineStr"/>
      <c r="E10" s="15" t="inlineStr"/>
      <c r="F10" s="15" t="inlineStr"/>
      <c r="G10" s="15" t="inlineStr"/>
    </row>
    <row r="11">
      <c r="A11" s="14" t="inlineStr">
        <is>
          <t>Maximum Age</t>
        </is>
      </c>
      <c r="B11" s="14" t="inlineStr">
        <is>
          <t>Maximum password age before mandatory change</t>
        </is>
      </c>
      <c r="C11" s="14" t="inlineStr">
        <is>
          <t>&lt;=365 days</t>
        </is>
      </c>
      <c r="D11" s="15" t="inlineStr"/>
      <c r="E11" s="15" t="inlineStr"/>
      <c r="F11" s="15" t="inlineStr"/>
      <c r="G11" s="15" t="inlineStr"/>
    </row>
    <row r="12">
      <c r="A12" s="14" t="inlineStr">
        <is>
          <t>Minimum Age</t>
        </is>
      </c>
      <c r="B12" s="14" t="inlineStr">
        <is>
          <t>Minimum age before password can be changed</t>
        </is>
      </c>
      <c r="C12" s="14" t="inlineStr">
        <is>
          <t>&gt;=1 day</t>
        </is>
      </c>
      <c r="D12" s="15" t="inlineStr"/>
      <c r="E12" s="15" t="inlineStr"/>
      <c r="F12" s="15" t="inlineStr"/>
      <c r="G12" s="15" t="inlineStr"/>
    </row>
    <row r="13">
      <c r="A13" s="14" t="inlineStr">
        <is>
          <t>Initial Password</t>
        </is>
      </c>
      <c r="B13" s="14" t="inlineStr">
        <is>
          <t>Temporary password requirements</t>
        </is>
      </c>
      <c r="C13" s="14" t="inlineStr">
        <is>
          <t>Force change on first login</t>
        </is>
      </c>
      <c r="D13" s="15" t="inlineStr"/>
      <c r="E13" s="15" t="inlineStr"/>
      <c r="F13" s="15" t="inlineStr"/>
      <c r="G13" s="15" t="inlineStr"/>
    </row>
    <row r="14">
      <c r="A14" s="14" t="inlineStr">
        <is>
          <t>Common Passwords</t>
        </is>
      </c>
      <c r="B14" s="14" t="inlineStr">
        <is>
          <t>Block commonly used/breached passwords</t>
        </is>
      </c>
      <c r="C14" s="14" t="inlineStr">
        <is>
          <t>Yes - use blocklist</t>
        </is>
      </c>
      <c r="D14" s="15" t="inlineStr"/>
      <c r="E14" s="15" t="inlineStr"/>
      <c r="F14" s="15" t="inlineStr"/>
      <c r="G14" s="15" t="inlineStr"/>
    </row>
    <row r="15">
      <c r="A15" s="14" t="inlineStr">
        <is>
          <t>Sequential Characters</t>
        </is>
      </c>
      <c r="B15" s="14" t="inlineStr">
        <is>
          <t>Block sequential characters (abc, 123)</t>
        </is>
      </c>
      <c r="C15" s="14" t="inlineStr">
        <is>
          <t>Yes</t>
        </is>
      </c>
      <c r="D15" s="15" t="inlineStr"/>
      <c r="E15" s="15" t="inlineStr"/>
      <c r="F15" s="15" t="inlineStr"/>
      <c r="G15" s="15" t="inlineStr"/>
    </row>
    <row r="16">
      <c r="A16" s="14" t="inlineStr">
        <is>
          <t>Username in Password</t>
        </is>
      </c>
      <c r="B16" s="14" t="inlineStr">
        <is>
          <t>Block username or variations in password</t>
        </is>
      </c>
      <c r="C16" s="14" t="inlineStr">
        <is>
          <t>Yes</t>
        </is>
      </c>
      <c r="D16" s="15" t="inlineStr"/>
      <c r="E16" s="15" t="inlineStr"/>
      <c r="F16" s="15" t="inlineStr"/>
      <c r="G16" s="15" t="inlineStr"/>
    </row>
    <row r="17">
      <c r="A17" s="14" t="inlineStr">
        <is>
          <t>Dictionary Words</t>
        </is>
      </c>
      <c r="B17" s="14" t="inlineStr">
        <is>
          <t>Block dictionary words</t>
        </is>
      </c>
      <c r="C17" s="14" t="inlineStr">
        <is>
          <t>Recommended</t>
        </is>
      </c>
      <c r="D17" s="15" t="inlineStr"/>
      <c r="E17" s="15" t="inlineStr"/>
      <c r="F17" s="15" t="inlineStr"/>
      <c r="G17" s="15" t="inlineStr"/>
    </row>
    <row r="18">
      <c r="A18" s="14" t="inlineStr">
        <is>
          <t>Password Hints</t>
        </is>
      </c>
      <c r="B18" s="14" t="inlineStr">
        <is>
          <t>Disable password hints</t>
        </is>
      </c>
      <c r="C18" s="14" t="inlineStr">
        <is>
          <t>Yes</t>
        </is>
      </c>
      <c r="D18" s="15" t="inlineStr"/>
      <c r="E18" s="15" t="inlineStr"/>
      <c r="F18" s="15" t="inlineStr"/>
      <c r="G18" s="15" t="inlineStr"/>
    </row>
    <row r="19">
      <c r="A19" s="14" t="inlineStr">
        <is>
          <t>Account Lockout Threshold</t>
        </is>
      </c>
      <c r="B19" s="14" t="inlineStr">
        <is>
          <t>Failed attempts before lockout</t>
        </is>
      </c>
      <c r="C19" s="14" t="inlineStr">
        <is>
          <t>5-10 attempts</t>
        </is>
      </c>
      <c r="D19" s="15" t="inlineStr"/>
      <c r="E19" s="15" t="inlineStr"/>
      <c r="F19" s="15" t="inlineStr"/>
      <c r="G19" s="15" t="inlineStr"/>
    </row>
    <row r="20">
      <c r="A20" s="14" t="inlineStr">
        <is>
          <t>Lockout Duration</t>
        </is>
      </c>
      <c r="B20" s="14" t="inlineStr">
        <is>
          <t>Account lockout duration</t>
        </is>
      </c>
      <c r="C20" s="14" t="inlineStr">
        <is>
          <t>&gt;=15 minutes</t>
        </is>
      </c>
      <c r="D20" s="15" t="inlineStr"/>
      <c r="E20" s="15" t="inlineStr"/>
      <c r="F20" s="15" t="inlineStr"/>
      <c r="G20" s="15" t="inlineStr"/>
    </row>
    <row r="21">
      <c r="A21" s="14" t="inlineStr">
        <is>
          <t>Password Storage</t>
        </is>
      </c>
      <c r="B21" s="14" t="inlineStr">
        <is>
          <t>Secure storage algorithm</t>
        </is>
      </c>
      <c r="C21" s="14" t="inlineStr">
        <is>
          <t>bcrypt/Argon2/PBKDF2</t>
        </is>
      </c>
      <c r="D21" s="15" t="inlineStr"/>
      <c r="E21" s="15" t="inlineStr"/>
      <c r="F21" s="15" t="inlineStr"/>
      <c r="G21" s="15" t="inlineStr"/>
    </row>
    <row r="22">
      <c r="A22" s="14" t="inlineStr">
        <is>
          <t>Transmission Security</t>
        </is>
      </c>
      <c r="B22" s="14" t="inlineStr">
        <is>
          <t>Password transmission encryption</t>
        </is>
      </c>
      <c r="C22" s="14" t="inlineStr">
        <is>
          <t>TLS 1.2+ required</t>
        </is>
      </c>
      <c r="D22" s="15" t="inlineStr"/>
      <c r="E22" s="15" t="inlineStr"/>
      <c r="F22" s="15" t="inlineStr"/>
      <c r="G22" s="15" t="inlineStr"/>
    </row>
  </sheetData>
  <mergeCells count="2">
    <mergeCell ref="A2:G2"/>
    <mergeCell ref="A1:G1"/>
  </mergeCells>
  <dataValidations count="1">
    <dataValidation sqref="E4:E28" showDropDown="0" showInputMessage="0" showErrorMessage="0" allowBlank="1" type="list">
      <formula1>"Yes,No,Partial,N/A"</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7"/>
  <sheetViews>
    <sheetView showGridLines="0" workbookViewId="0">
      <pane ySplit="3" topLeftCell="A4" activePane="bottomLeft" state="frozen"/>
      <selection pane="bottomLeft" activeCell="A1" sqref="A1"/>
    </sheetView>
  </sheetViews>
  <sheetFormatPr baseColWidth="8" defaultRowHeight="15"/>
  <cols>
    <col width="30" customWidth="1" min="1" max="1"/>
    <col width="14" customWidth="1" min="2" max="2"/>
    <col width="32" customWidth="1" min="3" max="3"/>
    <col width="22" customWidth="1" min="4" max="4"/>
    <col width="16" customWidth="1" min="5" max="5"/>
    <col width="18" customWidth="1" min="6" max="6"/>
    <col width="18" customWidth="1" min="7" max="7"/>
    <col width="25" customWidth="1" min="8" max="8"/>
  </cols>
  <sheetData>
    <row r="1" ht="35" customHeight="1">
      <c r="A1" s="11" t="inlineStr">
        <is>
          <t>MULTI-FACTOR AUTHENTICATION REQUIREMENTS</t>
        </is>
      </c>
    </row>
    <row r="2">
      <c r="A2" s="12" t="inlineStr">
        <is>
          <t>ISO/IEC 27001:2022 - Control A.5.17: Authentication Information | Define MFA requirements by system and access type</t>
        </is>
      </c>
    </row>
    <row r="3">
      <c r="A3" s="13" t="inlineStr">
        <is>
          <t>System/Access Type</t>
        </is>
      </c>
      <c r="B3" s="13" t="inlineStr">
        <is>
          <t>MFA Required</t>
        </is>
      </c>
      <c r="C3" s="13" t="inlineStr">
        <is>
          <t>Approved Methods</t>
        </is>
      </c>
      <c r="D3" s="13" t="inlineStr">
        <is>
          <t>Fallback Method</t>
        </is>
      </c>
      <c r="E3" s="13" t="inlineStr">
        <is>
          <t>Current Status</t>
        </is>
      </c>
      <c r="F3" s="13" t="inlineStr">
        <is>
          <t>Implementation Date</t>
        </is>
      </c>
      <c r="G3" s="13" t="inlineStr">
        <is>
          <t>Owner</t>
        </is>
      </c>
      <c r="H3" s="13" t="inlineStr">
        <is>
          <t>Notes</t>
        </is>
      </c>
    </row>
    <row r="4">
      <c r="A4" s="14" t="inlineStr">
        <is>
          <t>VPN Remote Access</t>
        </is>
      </c>
      <c r="B4" s="14" t="inlineStr">
        <is>
          <t>MANDATORY</t>
        </is>
      </c>
      <c r="C4" s="14" t="inlineStr">
        <is>
          <t>TOTP, Push Notification, FIDO2</t>
        </is>
      </c>
      <c r="D4" s="14" t="inlineStr">
        <is>
          <t>SMS (emergency only)</t>
        </is>
      </c>
      <c r="E4" s="15" t="inlineStr"/>
      <c r="F4" s="15" t="inlineStr"/>
      <c r="G4" s="15" t="inlineStr"/>
      <c r="H4" s="15" t="inlineStr"/>
    </row>
    <row r="5">
      <c r="A5" s="14" t="inlineStr">
        <is>
          <t>Cloud Applications (M365, etc.)</t>
        </is>
      </c>
      <c r="B5" s="14" t="inlineStr">
        <is>
          <t>MANDATORY</t>
        </is>
      </c>
      <c r="C5" s="14" t="inlineStr">
        <is>
          <t>Authenticator App, FIDO2</t>
        </is>
      </c>
      <c r="D5" s="14" t="inlineStr">
        <is>
          <t>Phone call</t>
        </is>
      </c>
      <c r="E5" s="15" t="inlineStr"/>
      <c r="F5" s="15" t="inlineStr"/>
      <c r="G5" s="15" t="inlineStr"/>
      <c r="H5" s="15" t="inlineStr"/>
    </row>
    <row r="6">
      <c r="A6" s="14" t="inlineStr">
        <is>
          <t>Privileged Access (Admin)</t>
        </is>
      </c>
      <c r="B6" s="14" t="inlineStr">
        <is>
          <t>MANDATORY</t>
        </is>
      </c>
      <c r="C6" s="14" t="inlineStr">
        <is>
          <t>Hardware Token, FIDO2</t>
        </is>
      </c>
      <c r="D6" s="14" t="inlineStr">
        <is>
          <t>Authenticator App</t>
        </is>
      </c>
      <c r="E6" s="15" t="inlineStr"/>
      <c r="F6" s="15" t="inlineStr"/>
      <c r="G6" s="15" t="inlineStr"/>
      <c r="H6" s="15" t="inlineStr"/>
    </row>
    <row r="7">
      <c r="A7" s="14" t="inlineStr">
        <is>
          <t>Email (External Access)</t>
        </is>
      </c>
      <c r="B7" s="14" t="inlineStr">
        <is>
          <t>MANDATORY</t>
        </is>
      </c>
      <c r="C7" s="14" t="inlineStr">
        <is>
          <t>TOTP, Push Notification</t>
        </is>
      </c>
      <c r="D7" s="14" t="inlineStr">
        <is>
          <t>SMS</t>
        </is>
      </c>
      <c r="E7" s="15" t="inlineStr"/>
      <c r="F7" s="15" t="inlineStr"/>
      <c r="G7" s="15" t="inlineStr"/>
      <c r="H7" s="15" t="inlineStr"/>
    </row>
    <row r="8">
      <c r="A8" s="14" t="inlineStr">
        <is>
          <t>Internal Applications (Sensitive)</t>
        </is>
      </c>
      <c r="B8" s="14" t="inlineStr">
        <is>
          <t>MANDATORY</t>
        </is>
      </c>
      <c r="C8" s="14" t="inlineStr">
        <is>
          <t>Authenticator App, FIDO2</t>
        </is>
      </c>
      <c r="D8" s="14" t="inlineStr">
        <is>
          <t>SMS</t>
        </is>
      </c>
      <c r="E8" s="15" t="inlineStr"/>
      <c r="F8" s="15" t="inlineStr"/>
      <c r="G8" s="15" t="inlineStr"/>
      <c r="H8" s="15" t="inlineStr"/>
    </row>
    <row r="9">
      <c r="A9" s="14" t="inlineStr">
        <is>
          <t>Internal Applications (Standard)</t>
        </is>
      </c>
      <c r="B9" s="14" t="inlineStr">
        <is>
          <t>RECOMMENDED</t>
        </is>
      </c>
      <c r="C9" s="14" t="inlineStr">
        <is>
          <t>Authenticator App</t>
        </is>
      </c>
      <c r="D9" s="14" t="inlineStr">
        <is>
          <t>N/A</t>
        </is>
      </c>
      <c r="E9" s="15" t="inlineStr"/>
      <c r="F9" s="15" t="inlineStr"/>
      <c r="G9" s="15" t="inlineStr"/>
      <c r="H9" s="15" t="inlineStr"/>
    </row>
    <row r="10">
      <c r="A10" s="14" t="inlineStr">
        <is>
          <t>Database Access (Production)</t>
        </is>
      </c>
      <c r="B10" s="14" t="inlineStr">
        <is>
          <t>MANDATORY</t>
        </is>
      </c>
      <c r="C10" s="14" t="inlineStr">
        <is>
          <t>Hardware Token, Certificate</t>
        </is>
      </c>
      <c r="D10" s="14" t="inlineStr">
        <is>
          <t>TOTP</t>
        </is>
      </c>
      <c r="E10" s="15" t="inlineStr"/>
      <c r="F10" s="15" t="inlineStr"/>
      <c r="G10" s="15" t="inlineStr"/>
      <c r="H10" s="15" t="inlineStr"/>
    </row>
    <row r="11">
      <c r="A11" s="14" t="inlineStr">
        <is>
          <t>Source Code Repository</t>
        </is>
      </c>
      <c r="B11" s="14" t="inlineStr">
        <is>
          <t>MANDATORY</t>
        </is>
      </c>
      <c r="C11" s="14" t="inlineStr">
        <is>
          <t>TOTP, FIDO2</t>
        </is>
      </c>
      <c r="D11" s="14" t="inlineStr">
        <is>
          <t>Authenticator App</t>
        </is>
      </c>
      <c r="E11" s="15" t="inlineStr"/>
      <c r="F11" s="15" t="inlineStr"/>
      <c r="G11" s="15" t="inlineStr"/>
      <c r="H11" s="15" t="inlineStr"/>
    </row>
    <row r="12">
      <c r="A12" s="14" t="inlineStr">
        <is>
          <t>CI/CD Pipeline</t>
        </is>
      </c>
      <c r="B12" s="14" t="inlineStr">
        <is>
          <t>MANDATORY</t>
        </is>
      </c>
      <c r="C12" s="14" t="inlineStr">
        <is>
          <t>Service Account + Certificate</t>
        </is>
      </c>
      <c r="D12" s="14" t="inlineStr">
        <is>
          <t>Hardware Token</t>
        </is>
      </c>
      <c r="E12" s="15" t="inlineStr"/>
      <c r="F12" s="15" t="inlineStr"/>
      <c r="G12" s="15" t="inlineStr"/>
      <c r="H12" s="15" t="inlineStr"/>
    </row>
    <row r="13">
      <c r="A13" s="14" t="inlineStr">
        <is>
          <t>Customer Portal (Admin)</t>
        </is>
      </c>
      <c r="B13" s="14" t="inlineStr">
        <is>
          <t>MANDATORY</t>
        </is>
      </c>
      <c r="C13" s="14" t="inlineStr">
        <is>
          <t>TOTP, Push Notification</t>
        </is>
      </c>
      <c r="D13" s="14" t="inlineStr">
        <is>
          <t>SMS</t>
        </is>
      </c>
      <c r="E13" s="15" t="inlineStr"/>
      <c r="F13" s="15" t="inlineStr"/>
      <c r="G13" s="15" t="inlineStr"/>
      <c r="H13" s="15" t="inlineStr"/>
    </row>
    <row r="14">
      <c r="A14" s="14" t="inlineStr">
        <is>
          <t>Customer Portal (Users)</t>
        </is>
      </c>
      <c r="B14" s="14" t="inlineStr">
        <is>
          <t>RECOMMENDED</t>
        </is>
      </c>
      <c r="C14" s="14" t="inlineStr">
        <is>
          <t>TOTP, Email OTP</t>
        </is>
      </c>
      <c r="D14" s="14" t="inlineStr">
        <is>
          <t>Security Questions</t>
        </is>
      </c>
      <c r="E14" s="15" t="inlineStr"/>
      <c r="F14" s="15" t="inlineStr"/>
      <c r="G14" s="15" t="inlineStr"/>
      <c r="H14" s="15" t="inlineStr"/>
    </row>
    <row r="15">
      <c r="A15" s="14" t="inlineStr">
        <is>
          <t>Workstation Login</t>
        </is>
      </c>
      <c r="B15" s="14" t="inlineStr">
        <is>
          <t>CONDITIONAL</t>
        </is>
      </c>
      <c r="C15" s="14" t="inlineStr">
        <is>
          <t>Windows Hello, Smart Card</t>
        </is>
      </c>
      <c r="D15" s="14" t="inlineStr">
        <is>
          <t>Password only</t>
        </is>
      </c>
      <c r="E15" s="15" t="inlineStr"/>
      <c r="F15" s="15" t="inlineStr"/>
      <c r="G15" s="15" t="inlineStr"/>
      <c r="H15" s="15" t="inlineStr"/>
    </row>
    <row r="16">
      <c r="A16" s="14" t="inlineStr">
        <is>
          <t>Server Console Access</t>
        </is>
      </c>
      <c r="B16" s="14" t="inlineStr">
        <is>
          <t>MANDATORY</t>
        </is>
      </c>
      <c r="C16" s="14" t="inlineStr">
        <is>
          <t>Hardware Token, Certificate</t>
        </is>
      </c>
      <c r="D16" s="14" t="inlineStr">
        <is>
          <t>TOTP</t>
        </is>
      </c>
      <c r="E16" s="15" t="inlineStr"/>
      <c r="F16" s="15" t="inlineStr"/>
      <c r="G16" s="15" t="inlineStr"/>
      <c r="H16" s="15" t="inlineStr"/>
    </row>
    <row r="17">
      <c r="A17" s="14" t="inlineStr">
        <is>
          <t>Cloud Infrastructure (AWS/Azure)</t>
        </is>
      </c>
      <c r="B17" s="14" t="inlineStr">
        <is>
          <t>MANDATORY</t>
        </is>
      </c>
      <c r="C17" s="14" t="inlineStr">
        <is>
          <t>FIDO2, Hardware Token</t>
        </is>
      </c>
      <c r="D17" s="14" t="inlineStr">
        <is>
          <t>Authenticator App</t>
        </is>
      </c>
      <c r="E17" s="15" t="inlineStr"/>
      <c r="F17" s="15" t="inlineStr"/>
      <c r="G17" s="15" t="inlineStr"/>
      <c r="H17" s="15" t="inlineStr"/>
    </row>
  </sheetData>
  <mergeCells count="2">
    <mergeCell ref="A2:H2"/>
    <mergeCell ref="A1:H1"/>
  </mergeCells>
  <dataValidations count="2">
    <dataValidation sqref="B4:B23" showDropDown="0" showInputMessage="0" showErrorMessage="0" allowBlank="1" type="list">
      <formula1>"MANDATORY,RECOMMENDED,CONDITIONAL,NOT REQUIRED"</formula1>
    </dataValidation>
    <dataValidation sqref="E4:E23" showDropDown="0" showInputMessage="0" showErrorMessage="0" allowBlank="1" type="list">
      <formula1>"Implemented,In Progress,Planned,Not Started,Exception"</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14"/>
  <sheetViews>
    <sheetView showGridLines="0" workbookViewId="0">
      <pane ySplit="3" topLeftCell="A4" activePane="bottomLeft" state="frozen"/>
      <selection pane="bottomLeft" activeCell="A1" sqref="A1"/>
    </sheetView>
  </sheetViews>
  <sheetFormatPr baseColWidth="8" defaultRowHeight="15"/>
  <cols>
    <col width="22" customWidth="1" min="1" max="1"/>
    <col width="25" customWidth="1" min="2" max="2"/>
    <col width="28" customWidth="1" min="3" max="3"/>
    <col width="28" customWidth="1" min="4" max="4"/>
    <col width="20" customWidth="1" min="5" max="5"/>
    <col width="25" customWidth="1" min="6" max="6"/>
    <col width="30" customWidth="1" min="7" max="7"/>
    <col width="25" customWidth="1" min="8" max="8"/>
  </cols>
  <sheetData>
    <row r="1" ht="35" customHeight="1">
      <c r="A1" s="11" t="inlineStr">
        <is>
          <t>CREDENTIAL TYPE STANDARDS</t>
        </is>
      </c>
    </row>
    <row r="2">
      <c r="A2" s="12" t="inlineStr">
        <is>
          <t>ISO/IEC 27001:2022 - Control A.5.17: Authentication Information | Document security requirements per credential type</t>
        </is>
      </c>
    </row>
    <row r="3">
      <c r="A3" s="13" t="inlineStr">
        <is>
          <t>Credential Type</t>
        </is>
      </c>
      <c r="B3" s="13" t="inlineStr">
        <is>
          <t>Use Cases</t>
        </is>
      </c>
      <c r="C3" s="13" t="inlineStr">
        <is>
          <t>Security Requirements</t>
        </is>
      </c>
      <c r="D3" s="13" t="inlineStr">
        <is>
          <t>Storage Requirements</t>
        </is>
      </c>
      <c r="E3" s="13" t="inlineStr">
        <is>
          <t>Rotation Policy</t>
        </is>
      </c>
      <c r="F3" s="13" t="inlineStr">
        <is>
          <t>Revocation Process</t>
        </is>
      </c>
      <c r="G3" s="13" t="inlineStr">
        <is>
          <t>Approved Products</t>
        </is>
      </c>
      <c r="H3" s="13" t="inlineStr">
        <is>
          <t>Notes</t>
        </is>
      </c>
    </row>
    <row r="4">
      <c r="A4" s="14" t="inlineStr">
        <is>
          <t>User Passwords</t>
        </is>
      </c>
      <c r="B4" s="14" t="inlineStr">
        <is>
          <t>End-user authentication</t>
        </is>
      </c>
      <c r="C4" s="14" t="inlineStr">
        <is>
          <t>Min 12 chars, complexity</t>
        </is>
      </c>
      <c r="D4" s="14" t="inlineStr">
        <is>
          <t>bcrypt/Argon2, salted</t>
        </is>
      </c>
      <c r="E4" s="14" t="inlineStr">
        <is>
          <t>Annual or incident</t>
        </is>
      </c>
      <c r="F4" s="14" t="inlineStr">
        <is>
          <t>Immediate on termination</t>
        </is>
      </c>
      <c r="G4" s="14" t="inlineStr">
        <is>
          <t>N/A</t>
        </is>
      </c>
      <c r="H4" s="15" t="inlineStr"/>
    </row>
    <row r="5">
      <c r="A5" s="14" t="inlineStr">
        <is>
          <t>Service Account Passwords</t>
        </is>
      </c>
      <c r="B5" s="14" t="inlineStr">
        <is>
          <t>Application-to-application</t>
        </is>
      </c>
      <c r="C5" s="14" t="inlineStr">
        <is>
          <t>Min 24 chars, random</t>
        </is>
      </c>
      <c r="D5" s="14" t="inlineStr">
        <is>
          <t>Secrets manager (Vault)</t>
        </is>
      </c>
      <c r="E5" s="14" t="inlineStr">
        <is>
          <t>Quarterly</t>
        </is>
      </c>
      <c r="F5" s="14" t="inlineStr">
        <is>
          <t>Change on compromise</t>
        </is>
      </c>
      <c r="G5" s="14" t="inlineStr">
        <is>
          <t>HashiCorp Vault, Azure Key Vault</t>
        </is>
      </c>
      <c r="H5" s="15" t="inlineStr"/>
    </row>
    <row r="6">
      <c r="A6" s="14" t="inlineStr">
        <is>
          <t>API Keys</t>
        </is>
      </c>
      <c r="B6" s="14" t="inlineStr">
        <is>
          <t>API authentication</t>
        </is>
      </c>
      <c r="C6" s="14" t="inlineStr">
        <is>
          <t>Min 32 chars, random</t>
        </is>
      </c>
      <c r="D6" s="14" t="inlineStr">
        <is>
          <t>Secrets manager</t>
        </is>
      </c>
      <c r="E6" s="14" t="inlineStr">
        <is>
          <t>Quarterly</t>
        </is>
      </c>
      <c r="F6" s="14" t="inlineStr">
        <is>
          <t>Immediate revocation</t>
        </is>
      </c>
      <c r="G6" s="14" t="inlineStr">
        <is>
          <t>HashiCorp Vault, AWS Secrets Manager</t>
        </is>
      </c>
      <c r="H6" s="15" t="inlineStr"/>
    </row>
    <row r="7">
      <c r="A7" s="14" t="inlineStr">
        <is>
          <t>SSH Keys</t>
        </is>
      </c>
      <c r="B7" s="14" t="inlineStr">
        <is>
          <t>Server/system access</t>
        </is>
      </c>
      <c r="C7" s="14" t="inlineStr">
        <is>
          <t>RSA 4096-bit or Ed25519</t>
        </is>
      </c>
      <c r="D7" s="14" t="inlineStr">
        <is>
          <t>Encrypted key store</t>
        </is>
      </c>
      <c r="E7" s="14" t="inlineStr">
        <is>
          <t>Annual</t>
        </is>
      </c>
      <c r="F7" s="14" t="inlineStr">
        <is>
          <t>Remove from authorised_keys</t>
        </is>
      </c>
      <c r="G7" s="14" t="inlineStr">
        <is>
          <t>OpenSSH</t>
        </is>
      </c>
      <c r="H7" s="15" t="inlineStr"/>
    </row>
    <row r="8">
      <c r="A8" s="14" t="inlineStr">
        <is>
          <t>SSL/TLS Certificates</t>
        </is>
      </c>
      <c r="B8" s="14" t="inlineStr">
        <is>
          <t>Server authentication</t>
        </is>
      </c>
      <c r="C8" s="14" t="inlineStr">
        <is>
          <t>RSA 2048+ or ECC P-256+</t>
        </is>
      </c>
      <c r="D8" s="14" t="inlineStr">
        <is>
          <t>HSM or secure store</t>
        </is>
      </c>
      <c r="E8" s="14" t="inlineStr">
        <is>
          <t>Annual (max 1 year)</t>
        </is>
      </c>
      <c r="F8" s="14" t="inlineStr">
        <is>
          <t>CRL/OCSP update</t>
        </is>
      </c>
      <c r="G8" s="14" t="inlineStr">
        <is>
          <t>DigiCert, Let's Encrypt</t>
        </is>
      </c>
      <c r="H8" s="15" t="inlineStr"/>
    </row>
    <row r="9">
      <c r="A9" s="14" t="inlineStr">
        <is>
          <t>Client Certificates</t>
        </is>
      </c>
      <c r="B9" s="14" t="inlineStr">
        <is>
          <t>User/device authentication</t>
        </is>
      </c>
      <c r="C9" s="14" t="inlineStr">
        <is>
          <t>RSA 2048+ or ECC P-256+</t>
        </is>
      </c>
      <c r="D9" s="14" t="inlineStr">
        <is>
          <t>Smart card or TPM</t>
        </is>
      </c>
      <c r="E9" s="14" t="inlineStr">
        <is>
          <t>Annual</t>
        </is>
      </c>
      <c r="F9" s="14" t="inlineStr">
        <is>
          <t>CRL/OCSP update</t>
        </is>
      </c>
      <c r="G9" s="14" t="inlineStr">
        <is>
          <t>Internal PKI</t>
        </is>
      </c>
      <c r="H9" s="15" t="inlineStr"/>
    </row>
    <row r="10">
      <c r="A10" s="14" t="inlineStr">
        <is>
          <t>TOTP Seeds</t>
        </is>
      </c>
      <c r="B10" s="14" t="inlineStr">
        <is>
          <t>MFA time-based codes</t>
        </is>
      </c>
      <c r="C10" s="14" t="inlineStr">
        <is>
          <t>Min 160-bit secret</t>
        </is>
      </c>
      <c r="D10" s="14" t="inlineStr">
        <is>
          <t>Encrypted in auth system</t>
        </is>
      </c>
      <c r="E10" s="14" t="inlineStr">
        <is>
          <t>On device change</t>
        </is>
      </c>
      <c r="F10" s="14" t="inlineStr">
        <is>
          <t>Remove from account</t>
        </is>
      </c>
      <c r="G10" s="14" t="inlineStr">
        <is>
          <t>Microsoft Authenticator, Google Auth</t>
        </is>
      </c>
      <c r="H10" s="15" t="inlineStr"/>
    </row>
    <row r="11">
      <c r="A11" s="14" t="inlineStr">
        <is>
          <t>FIDO2/WebAuthn</t>
        </is>
      </c>
      <c r="B11" s="14" t="inlineStr">
        <is>
          <t>Passwordless MFA</t>
        </is>
      </c>
      <c r="C11" s="14" t="inlineStr">
        <is>
          <t>Platform authenticator</t>
        </is>
      </c>
      <c r="D11" s="14" t="inlineStr">
        <is>
          <t>Device TPM/Secure Element</t>
        </is>
      </c>
      <c r="E11" s="14" t="inlineStr">
        <is>
          <t>N/A (hardware bound)</t>
        </is>
      </c>
      <c r="F11" s="14" t="inlineStr">
        <is>
          <t>Remove registration</t>
        </is>
      </c>
      <c r="G11" s="14" t="inlineStr">
        <is>
          <t>YubiKey, Windows Hello</t>
        </is>
      </c>
      <c r="H11" s="15" t="inlineStr"/>
    </row>
    <row r="12">
      <c r="A12" s="14" t="inlineStr">
        <is>
          <t>Hardware Tokens</t>
        </is>
      </c>
      <c r="B12" s="14" t="inlineStr">
        <is>
          <t>High-security MFA</t>
        </is>
      </c>
      <c r="C12" s="14" t="inlineStr">
        <is>
          <t>FIPS 140-2 Level 2+</t>
        </is>
      </c>
      <c r="D12" s="14" t="inlineStr">
        <is>
          <t>Physical custody</t>
        </is>
      </c>
      <c r="E12" s="14" t="inlineStr">
        <is>
          <t>5 years or damage</t>
        </is>
      </c>
      <c r="F12" s="14" t="inlineStr">
        <is>
          <t>Return and deactivate</t>
        </is>
      </c>
      <c r="G12" s="14" t="inlineStr">
        <is>
          <t>YubiKey, RSA SecurID</t>
        </is>
      </c>
      <c r="H12" s="15" t="inlineStr"/>
    </row>
    <row r="13">
      <c r="A13" s="14" t="inlineStr">
        <is>
          <t>Biometric Data</t>
        </is>
      </c>
      <c r="B13" s="14" t="inlineStr">
        <is>
          <t>Local device auth</t>
        </is>
      </c>
      <c r="C13" s="14" t="inlineStr">
        <is>
          <t>On-device processing only</t>
        </is>
      </c>
      <c r="D13" s="14" t="inlineStr">
        <is>
          <t>Never stored centrally</t>
        </is>
      </c>
      <c r="E13" s="14" t="inlineStr">
        <is>
          <t>N/A</t>
        </is>
      </c>
      <c r="F13" s="14" t="inlineStr">
        <is>
          <t>Device wipe</t>
        </is>
      </c>
      <c r="G13" s="14" t="inlineStr">
        <is>
          <t>Windows Hello, Touch ID</t>
        </is>
      </c>
      <c r="H13" s="15" t="inlineStr"/>
    </row>
    <row r="14">
      <c r="A14" s="14" t="inlineStr">
        <is>
          <t>Recovery Codes</t>
        </is>
      </c>
      <c r="B14" s="14" t="inlineStr">
        <is>
          <t>MFA backup</t>
        </is>
      </c>
      <c r="C14" s="14" t="inlineStr">
        <is>
          <t>Random 8-digit codes</t>
        </is>
      </c>
      <c r="D14" s="14" t="inlineStr">
        <is>
          <t>User-managed secure storage</t>
        </is>
      </c>
      <c r="E14" s="14" t="inlineStr">
        <is>
          <t>On use or annually</t>
        </is>
      </c>
      <c r="F14" s="14" t="inlineStr">
        <is>
          <t>Regenerate</t>
        </is>
      </c>
      <c r="G14" s="14" t="inlineStr">
        <is>
          <t>N/A</t>
        </is>
      </c>
      <c r="H14" s="15" t="inlineStr"/>
    </row>
  </sheetData>
  <mergeCells count="2">
    <mergeCell ref="A2:H2"/>
    <mergeCell ref="A1:H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15"/>
  <sheetViews>
    <sheetView showGridLines="0" workbookViewId="0">
      <pane ySplit="3" topLeftCell="A4" activePane="bottomLeft" state="frozen"/>
      <selection pane="bottomLeft" activeCell="A1" sqref="A1"/>
    </sheetView>
  </sheetViews>
  <sheetFormatPr baseColWidth="8" defaultRowHeight="15"/>
  <cols>
    <col width="28" customWidth="1" min="1" max="1"/>
    <col width="45" customWidth="1" min="2" max="2"/>
    <col width="18" customWidth="1" min="3" max="3"/>
    <col width="30" customWidth="1" min="4" max="4"/>
    <col width="16" customWidth="1" min="5" max="5"/>
    <col width="25" customWidth="1" min="6" max="6"/>
  </cols>
  <sheetData>
    <row r="1" ht="35" customHeight="1">
      <c r="A1" s="11" t="inlineStr">
        <is>
          <t>USER RESPONSIBILITIES FOR AUTHENTICATION INFORMATION</t>
        </is>
      </c>
    </row>
    <row r="2">
      <c r="A2" s="12" t="inlineStr">
        <is>
          <t>ISO/IEC 27001:2022 - Control A.5.17: Authentication Information | Define user obligations for handling authentication credentials</t>
        </is>
      </c>
    </row>
    <row r="3">
      <c r="A3" s="13" t="inlineStr">
        <is>
          <t>Responsibility</t>
        </is>
      </c>
      <c r="B3" s="13" t="inlineStr">
        <is>
          <t>Description</t>
        </is>
      </c>
      <c r="C3" s="13" t="inlineStr">
        <is>
          <t>Requirement Level</t>
        </is>
      </c>
      <c r="D3" s="13" t="inlineStr">
        <is>
          <t>Enforcement Method</t>
        </is>
      </c>
      <c r="E3" s="13" t="inlineStr">
        <is>
          <t>Training Required</t>
        </is>
      </c>
      <c r="F3" s="13" t="inlineStr">
        <is>
          <t>Notes</t>
        </is>
      </c>
    </row>
    <row r="4">
      <c r="A4" s="14" t="inlineStr">
        <is>
          <t>Password Confidentiality</t>
        </is>
      </c>
      <c r="B4" s="14" t="inlineStr">
        <is>
          <t>Never share passwords with anyone including IT staff</t>
        </is>
      </c>
      <c r="C4" s="14" t="inlineStr">
        <is>
          <t>MANDATORY</t>
        </is>
      </c>
      <c r="D4" s="14" t="inlineStr">
        <is>
          <t>Policy acknowledgment, monitoring</t>
        </is>
      </c>
      <c r="E4" s="14" t="inlineStr">
        <is>
          <t>Yes</t>
        </is>
      </c>
      <c r="F4" s="15" t="inlineStr"/>
    </row>
    <row r="5">
      <c r="A5" s="14" t="inlineStr">
        <is>
          <t>Unique Passwords</t>
        </is>
      </c>
      <c r="B5" s="14" t="inlineStr">
        <is>
          <t>Use unique passwords for each system/service</t>
        </is>
      </c>
      <c r="C5" s="14" t="inlineStr">
        <is>
          <t>MANDATORY</t>
        </is>
      </c>
      <c r="D5" s="14" t="inlineStr">
        <is>
          <t>Password manager provided</t>
        </is>
      </c>
      <c r="E5" s="14" t="inlineStr">
        <is>
          <t>Yes</t>
        </is>
      </c>
      <c r="F5" s="15" t="inlineStr"/>
    </row>
    <row r="6">
      <c r="A6" s="14" t="inlineStr">
        <is>
          <t>Password Strength</t>
        </is>
      </c>
      <c r="B6" s="14" t="inlineStr">
        <is>
          <t>Create passwords meeting complexity requirements</t>
        </is>
      </c>
      <c r="C6" s="14" t="inlineStr">
        <is>
          <t>MANDATORY</t>
        </is>
      </c>
      <c r="D6" s="14" t="inlineStr">
        <is>
          <t>Technical enforcement</t>
        </is>
      </c>
      <c r="E6" s="14" t="inlineStr">
        <is>
          <t>Yes</t>
        </is>
      </c>
      <c r="F6" s="15" t="inlineStr"/>
    </row>
    <row r="7">
      <c r="A7" s="14" t="inlineStr">
        <is>
          <t>Secure Storage</t>
        </is>
      </c>
      <c r="B7" s="14" t="inlineStr">
        <is>
          <t>Never write down passwords or store in plain text</t>
        </is>
      </c>
      <c r="C7" s="14" t="inlineStr">
        <is>
          <t>MANDATORY</t>
        </is>
      </c>
      <c r="D7" s="14" t="inlineStr">
        <is>
          <t>Approved password manager</t>
        </is>
      </c>
      <c r="E7" s="14" t="inlineStr">
        <is>
          <t>Yes</t>
        </is>
      </c>
      <c r="F7" s="15" t="inlineStr"/>
    </row>
    <row r="8">
      <c r="A8" s="14" t="inlineStr">
        <is>
          <t>Compromise Reporting</t>
        </is>
      </c>
      <c r="B8" s="14" t="inlineStr">
        <is>
          <t>Immediately report suspected credential compromise</t>
        </is>
      </c>
      <c r="C8" s="14" t="inlineStr">
        <is>
          <t>MANDATORY</t>
        </is>
      </c>
      <c r="D8" s="14" t="inlineStr">
        <is>
          <t>Incident reporting process</t>
        </is>
      </c>
      <c r="E8" s="14" t="inlineStr">
        <is>
          <t>Yes</t>
        </is>
      </c>
      <c r="F8" s="15" t="inlineStr"/>
    </row>
    <row r="9">
      <c r="A9" s="14" t="inlineStr">
        <is>
          <t>MFA Device Security</t>
        </is>
      </c>
      <c r="B9" s="14" t="inlineStr">
        <is>
          <t>Protect MFA devices (phones, tokens) from unauthorised access</t>
        </is>
      </c>
      <c r="C9" s="14" t="inlineStr">
        <is>
          <t>MANDATORY</t>
        </is>
      </c>
      <c r="D9" s="14" t="inlineStr">
        <is>
          <t>Device management policy</t>
        </is>
      </c>
      <c r="E9" s="14" t="inlineStr">
        <is>
          <t>Yes</t>
        </is>
      </c>
      <c r="F9" s="15" t="inlineStr"/>
    </row>
    <row r="10">
      <c r="A10" s="14" t="inlineStr">
        <is>
          <t>Phishing Awareness</t>
        </is>
      </c>
      <c r="B10" s="14" t="inlineStr">
        <is>
          <t>Verify authenticity before entering credentials</t>
        </is>
      </c>
      <c r="C10" s="14" t="inlineStr">
        <is>
          <t>MANDATORY</t>
        </is>
      </c>
      <c r="D10" s="14" t="inlineStr">
        <is>
          <t>Security awareness training</t>
        </is>
      </c>
      <c r="E10" s="14" t="inlineStr">
        <is>
          <t>Yes</t>
        </is>
      </c>
      <c r="F10" s="15" t="inlineStr"/>
    </row>
    <row r="11">
      <c r="A11" s="14" t="inlineStr">
        <is>
          <t>Session Security</t>
        </is>
      </c>
      <c r="B11" s="14" t="inlineStr">
        <is>
          <t>Lock workstation when away, log out of shared systems</t>
        </is>
      </c>
      <c r="C11" s="14" t="inlineStr">
        <is>
          <t>MANDATORY</t>
        </is>
      </c>
      <c r="D11" s="14" t="inlineStr">
        <is>
          <t>Auto-lock policies</t>
        </is>
      </c>
      <c r="E11" s="14" t="inlineStr">
        <is>
          <t>Yes</t>
        </is>
      </c>
      <c r="F11" s="15" t="inlineStr"/>
    </row>
    <row r="12">
      <c r="A12" s="14" t="inlineStr">
        <is>
          <t>Personal Device MFA</t>
        </is>
      </c>
      <c r="B12" s="14" t="inlineStr">
        <is>
          <t>Secure personal devices used for MFA</t>
        </is>
      </c>
      <c r="C12" s="14" t="inlineStr">
        <is>
          <t>CONDITIONAL</t>
        </is>
      </c>
      <c r="D12" s="14" t="inlineStr">
        <is>
          <t>MDM for BYOD</t>
        </is>
      </c>
      <c r="E12" s="14" t="inlineStr">
        <is>
          <t>Yes</t>
        </is>
      </c>
      <c r="F12" s="15" t="inlineStr"/>
    </row>
    <row r="13">
      <c r="A13" s="14" t="inlineStr">
        <is>
          <t>Recovery Code Storage</t>
        </is>
      </c>
      <c r="B13" s="14" t="inlineStr">
        <is>
          <t>Store MFA recovery codes securely offline</t>
        </is>
      </c>
      <c r="C13" s="14" t="inlineStr">
        <is>
          <t>MANDATORY</t>
        </is>
      </c>
      <c r="D13" s="14" t="inlineStr">
        <is>
          <t>User guidance provided</t>
        </is>
      </c>
      <c r="E13" s="14" t="inlineStr">
        <is>
          <t>Yes</t>
        </is>
      </c>
      <c r="F13" s="15" t="inlineStr"/>
    </row>
    <row r="14">
      <c r="A14" s="14" t="inlineStr">
        <is>
          <t>Credential Sharing Prohibition</t>
        </is>
      </c>
      <c r="B14" s="14" t="inlineStr">
        <is>
          <t>Never use shared accounts for individual actions</t>
        </is>
      </c>
      <c r="C14" s="14" t="inlineStr">
        <is>
          <t>MANDATORY</t>
        </is>
      </c>
      <c r="D14" s="14" t="inlineStr">
        <is>
          <t>Audit logging</t>
        </is>
      </c>
      <c r="E14" s="14" t="inlineStr">
        <is>
          <t>Yes</t>
        </is>
      </c>
      <c r="F14" s="15" t="inlineStr"/>
    </row>
    <row r="15">
      <c r="A15" s="14" t="inlineStr">
        <is>
          <t>Employment Contract</t>
        </is>
      </c>
      <c r="B15" s="14" t="inlineStr">
        <is>
          <t>Acknowledge password responsibilities in contract</t>
        </is>
      </c>
      <c r="C15" s="14" t="inlineStr">
        <is>
          <t>MANDATORY</t>
        </is>
      </c>
      <c r="D15" s="14" t="inlineStr">
        <is>
          <t>HR onboarding process</t>
        </is>
      </c>
      <c r="E15" s="14" t="inlineStr">
        <is>
          <t>No</t>
        </is>
      </c>
      <c r="F15" s="15" t="inlineStr"/>
    </row>
  </sheetData>
  <mergeCells count="2">
    <mergeCell ref="A2:F2"/>
    <mergeCell ref="A1:F1"/>
  </mergeCells>
  <dataValidations count="2">
    <dataValidation sqref="C4:C21" showDropDown="0" showInputMessage="0" showErrorMessage="0" allowBlank="1" type="list">
      <formula1>"MANDATORY,RECOMMENDED,CONDITIONAL"</formula1>
    </dataValidation>
    <dataValidation sqref="E4:E21" showDropDown="0" showInputMessage="0" showErrorMessage="0" allowBlank="1" type="list">
      <formula1>"Yes,No,Completed"</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17"/>
  <sheetViews>
    <sheetView showGridLines="0" workbookViewId="0">
      <pane ySplit="3" topLeftCell="A4" activePane="bottomLeft" state="frozen"/>
      <selection pane="bottomLeft" activeCell="A1" sqref="A1"/>
    </sheetView>
  </sheetViews>
  <sheetFormatPr baseColWidth="8" defaultRowHeight="15"/>
  <cols>
    <col width="22" customWidth="1" min="1" max="1"/>
    <col width="35" customWidth="1" min="2" max="2"/>
    <col width="32" customWidth="1" min="3" max="3"/>
    <col width="25" customWidth="1" min="4" max="4"/>
    <col width="14" customWidth="1" min="5" max="5"/>
    <col width="20" customWidth="1" min="6" max="6"/>
    <col width="25" customWidth="1" min="7" max="7"/>
  </cols>
  <sheetData>
    <row r="1" ht="35" customHeight="1">
      <c r="A1" s="11" t="inlineStr">
        <is>
          <t>AUTHENTICATION SYSTEM TECHNICAL REQUIREMENTS</t>
        </is>
      </c>
    </row>
    <row r="2">
      <c r="A2" s="12" t="inlineStr">
        <is>
          <t>ISO/IEC 27001:2022 - Control A.5.17: Authentication Information | Technical requirements for authentication system implementation</t>
        </is>
      </c>
    </row>
    <row r="3">
      <c r="A3" s="13" t="inlineStr">
        <is>
          <t>Requirement Area</t>
        </is>
      </c>
      <c r="B3" s="13" t="inlineStr">
        <is>
          <t>Technical Requirement</t>
        </is>
      </c>
      <c r="C3" s="13" t="inlineStr">
        <is>
          <t>Standard/Protocol</t>
        </is>
      </c>
      <c r="D3" s="13" t="inlineStr">
        <is>
          <t>Implementation</t>
        </is>
      </c>
      <c r="E3" s="13" t="inlineStr">
        <is>
          <t>Status</t>
        </is>
      </c>
      <c r="F3" s="13" t="inlineStr">
        <is>
          <t>Evidence</t>
        </is>
      </c>
      <c r="G3" s="13" t="inlineStr">
        <is>
          <t>Notes</t>
        </is>
      </c>
    </row>
    <row r="4">
      <c r="A4" s="14" t="inlineStr">
        <is>
          <t>Password Hashing</t>
        </is>
      </c>
      <c r="B4" s="14" t="inlineStr">
        <is>
          <t>Use approved password hashing algorithms</t>
        </is>
      </c>
      <c r="C4" s="14" t="inlineStr">
        <is>
          <t>bcrypt (cost&gt;=12), Argon2id, PBKDF2</t>
        </is>
      </c>
      <c r="D4" s="15" t="inlineStr"/>
      <c r="E4" s="15" t="inlineStr"/>
      <c r="F4" s="15" t="inlineStr"/>
      <c r="G4" s="15" t="inlineStr"/>
    </row>
    <row r="5">
      <c r="A5" s="14" t="inlineStr">
        <is>
          <t>Salt Generation</t>
        </is>
      </c>
      <c r="B5" s="14" t="inlineStr">
        <is>
          <t>Unique cryptographic salt per password</t>
        </is>
      </c>
      <c r="C5" s="14" t="inlineStr">
        <is>
          <t>Min 128-bit random salt</t>
        </is>
      </c>
      <c r="D5" s="15" t="inlineStr"/>
      <c r="E5" s="15" t="inlineStr"/>
      <c r="F5" s="15" t="inlineStr"/>
      <c r="G5" s="15" t="inlineStr"/>
    </row>
    <row r="6">
      <c r="A6" s="14" t="inlineStr">
        <is>
          <t>Transmission Security</t>
        </is>
      </c>
      <c r="B6" s="14" t="inlineStr">
        <is>
          <t>Encrypt credentials in transit</t>
        </is>
      </c>
      <c r="C6" s="14" t="inlineStr">
        <is>
          <t>TLS 1.2+ only</t>
        </is>
      </c>
      <c r="D6" s="15" t="inlineStr"/>
      <c r="E6" s="15" t="inlineStr"/>
      <c r="F6" s="15" t="inlineStr"/>
      <c r="G6" s="15" t="inlineStr"/>
    </row>
    <row r="7">
      <c r="A7" s="14" t="inlineStr">
        <is>
          <t>Session Management</t>
        </is>
      </c>
      <c r="B7" s="14" t="inlineStr">
        <is>
          <t>Secure session token handling</t>
        </is>
      </c>
      <c r="C7" s="14" t="inlineStr">
        <is>
          <t>HttpOnly, Secure, SameSite cookies</t>
        </is>
      </c>
      <c r="D7" s="15" t="inlineStr"/>
      <c r="E7" s="15" t="inlineStr"/>
      <c r="F7" s="15" t="inlineStr"/>
      <c r="G7" s="15" t="inlineStr"/>
    </row>
    <row r="8">
      <c r="A8" s="14" t="inlineStr">
        <is>
          <t>Account Lockout</t>
        </is>
      </c>
      <c r="B8" s="14" t="inlineStr">
        <is>
          <t>Implement progressive lockout</t>
        </is>
      </c>
      <c r="C8" s="14" t="inlineStr">
        <is>
          <t>5-10 attempts, 15+ min lockout</t>
        </is>
      </c>
      <c r="D8" s="15" t="inlineStr"/>
      <c r="E8" s="15" t="inlineStr"/>
      <c r="F8" s="15" t="inlineStr"/>
      <c r="G8" s="15" t="inlineStr"/>
    </row>
    <row r="9">
      <c r="A9" s="14" t="inlineStr">
        <is>
          <t>Brute Force Protection</t>
        </is>
      </c>
      <c r="B9" s="14" t="inlineStr">
        <is>
          <t>Rate limiting on authentication</t>
        </is>
      </c>
      <c r="C9" s="14" t="inlineStr">
        <is>
          <t>Max 5 attempts/minute per IP</t>
        </is>
      </c>
      <c r="D9" s="15" t="inlineStr"/>
      <c r="E9" s="15" t="inlineStr"/>
      <c r="F9" s="15" t="inlineStr"/>
      <c r="G9" s="15" t="inlineStr"/>
    </row>
    <row r="10">
      <c r="A10" s="14" t="inlineStr">
        <is>
          <t>Audit Logging</t>
        </is>
      </c>
      <c r="B10" s="14" t="inlineStr">
        <is>
          <t>Log all authentication events</t>
        </is>
      </c>
      <c r="C10" s="14" t="inlineStr">
        <is>
          <t>Success, failure, lockout, unlock</t>
        </is>
      </c>
      <c r="D10" s="15" t="inlineStr"/>
      <c r="E10" s="15" t="inlineStr"/>
      <c r="F10" s="15" t="inlineStr"/>
      <c r="G10" s="15" t="inlineStr"/>
    </row>
    <row r="11">
      <c r="A11" s="14" t="inlineStr">
        <is>
          <t>Secure Recovery</t>
        </is>
      </c>
      <c r="B11" s="14" t="inlineStr">
        <is>
          <t>Secure password reset process</t>
        </is>
      </c>
      <c r="C11" s="14" t="inlineStr">
        <is>
          <t>Email verification, time-limited tokens</t>
        </is>
      </c>
      <c r="D11" s="15" t="inlineStr"/>
      <c r="E11" s="15" t="inlineStr"/>
      <c r="F11" s="15" t="inlineStr"/>
      <c r="G11" s="15" t="inlineStr"/>
    </row>
    <row r="12">
      <c r="A12" s="14" t="inlineStr">
        <is>
          <t>MFA Integration</t>
        </is>
      </c>
      <c r="B12" s="14" t="inlineStr">
        <is>
          <t>Support for MFA protocols</t>
        </is>
      </c>
      <c r="C12" s="14" t="inlineStr">
        <is>
          <t>TOTP, WebAuthn/FIDO2, Push</t>
        </is>
      </c>
      <c r="D12" s="15" t="inlineStr"/>
      <c r="E12" s="15" t="inlineStr"/>
      <c r="F12" s="15" t="inlineStr"/>
      <c r="G12" s="15" t="inlineStr"/>
    </row>
    <row r="13">
      <c r="A13" s="14" t="inlineStr">
        <is>
          <t>SSO Support</t>
        </is>
      </c>
      <c r="B13" s="14" t="inlineStr">
        <is>
          <t>Support for single sign-on</t>
        </is>
      </c>
      <c r="C13" s="14" t="inlineStr">
        <is>
          <t>SAML 2.0, OIDC, OAuth 2.0</t>
        </is>
      </c>
      <c r="D13" s="15" t="inlineStr"/>
      <c r="E13" s="15" t="inlineStr"/>
      <c r="F13" s="15" t="inlineStr"/>
      <c r="G13" s="15" t="inlineStr"/>
    </row>
    <row r="14">
      <c r="A14" s="14" t="inlineStr">
        <is>
          <t>Password Exposure Check</t>
        </is>
      </c>
      <c r="B14" s="14" t="inlineStr">
        <is>
          <t>Check against breached password databases</t>
        </is>
      </c>
      <c r="C14" s="14" t="inlineStr">
        <is>
          <t>HIBP API integration</t>
        </is>
      </c>
      <c r="D14" s="15" t="inlineStr"/>
      <c r="E14" s="15" t="inlineStr"/>
      <c r="F14" s="15" t="inlineStr"/>
      <c r="G14" s="15" t="inlineStr"/>
    </row>
    <row r="15">
      <c r="A15" s="14" t="inlineStr">
        <is>
          <t>Credential Isolation</t>
        </is>
      </c>
      <c r="B15" s="14" t="inlineStr">
        <is>
          <t>Separate credential stores by environment</t>
        </is>
      </c>
      <c r="C15" s="14" t="inlineStr">
        <is>
          <t>Prod/dev/test separation</t>
        </is>
      </c>
      <c r="D15" s="15" t="inlineStr"/>
      <c r="E15" s="15" t="inlineStr"/>
      <c r="F15" s="15" t="inlineStr"/>
      <c r="G15" s="15" t="inlineStr"/>
    </row>
    <row r="16">
      <c r="A16" s="14" t="inlineStr">
        <is>
          <t>Secrets Management</t>
        </is>
      </c>
      <c r="B16" s="14" t="inlineStr">
        <is>
          <t>Centralised secrets management</t>
        </is>
      </c>
      <c r="C16" s="14" t="inlineStr">
        <is>
          <t>HashiCorp Vault, Azure Key Vault</t>
        </is>
      </c>
      <c r="D16" s="15" t="inlineStr"/>
      <c r="E16" s="15" t="inlineStr"/>
      <c r="F16" s="15" t="inlineStr"/>
      <c r="G16" s="15" t="inlineStr"/>
    </row>
    <row r="17">
      <c r="A17" s="14" t="inlineStr">
        <is>
          <t>Certificate Management</t>
        </is>
      </c>
      <c r="B17" s="14" t="inlineStr">
        <is>
          <t>Automated certificate lifecycle</t>
        </is>
      </c>
      <c r="C17" s="14" t="inlineStr">
        <is>
          <t>ACME, internal PKI</t>
        </is>
      </c>
      <c r="D17" s="15" t="inlineStr"/>
      <c r="E17" s="15" t="inlineStr"/>
      <c r="F17" s="15" t="inlineStr"/>
      <c r="G17" s="15" t="inlineStr"/>
    </row>
  </sheetData>
  <mergeCells count="2">
    <mergeCell ref="A2:G2"/>
    <mergeCell ref="A1:G1"/>
  </mergeCells>
  <dataValidations count="1">
    <dataValidation sqref="E4:E23" showDropDown="0" showInputMessage="0" showErrorMessage="0" allowBlank="1" type="list">
      <formula1>"Implemented,In Progress,Planned,Not Started,N/A"</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105"/>
  <sheetViews>
    <sheetView showGridLines="0" workbookViewId="0">
      <pane ySplit="4" topLeftCell="A5" activePane="bottomLeft" state="frozen"/>
      <selection pane="bottomLeft" activeCell="A1" sqref="A1"/>
    </sheetView>
  </sheetViews>
  <sheetFormatPr baseColWidth="8" defaultRowHeight="15"/>
  <cols>
    <col width="15" customWidth="1" min="1" max="1"/>
    <col width="25" customWidth="1" min="2" max="2"/>
    <col width="22" customWidth="1" min="3" max="3"/>
    <col width="40" customWidth="1" min="4" max="4"/>
    <col width="45" customWidth="1" min="5" max="5"/>
    <col width="16" customWidth="1" min="6" max="6"/>
    <col width="20" customWidth="1" min="7" max="7"/>
    <col width="22" customWidth="1" min="8" max="8"/>
  </cols>
  <sheetData>
    <row r="1" ht="35" customHeight="1">
      <c r="A1" s="16" t="inlineStr">
        <is>
          <t>EVIDENCE REGISTER</t>
        </is>
      </c>
      <c r="B1" s="6" t="n"/>
      <c r="C1" s="6" t="n"/>
      <c r="D1" s="6" t="n"/>
      <c r="E1" s="6" t="n"/>
      <c r="F1" s="6" t="n"/>
      <c r="G1" s="6" t="n"/>
      <c r="H1" s="6" t="n"/>
    </row>
    <row r="2">
      <c r="A2" s="17" t="inlineStr">
        <is>
          <t>Document all evidence collected during this assessment</t>
        </is>
      </c>
      <c r="B2" s="6" t="n"/>
      <c r="C2" s="6" t="n"/>
      <c r="D2" s="6" t="n"/>
      <c r="E2" s="6" t="n"/>
      <c r="F2" s="6" t="n"/>
      <c r="G2" s="6" t="n"/>
      <c r="H2" s="6" t="n"/>
    </row>
    <row r="4">
      <c r="A4" s="18" t="inlineStr">
        <is>
          <t>Evidence ID</t>
        </is>
      </c>
      <c r="B4" s="18" t="inlineStr">
        <is>
          <t>Assessment Area</t>
        </is>
      </c>
      <c r="C4" s="18" t="inlineStr">
        <is>
          <t>Evidence Type</t>
        </is>
      </c>
      <c r="D4" s="18" t="inlineStr">
        <is>
          <t>Description</t>
        </is>
      </c>
      <c r="E4" s="18" t="inlineStr">
        <is>
          <t>Location / Path</t>
        </is>
      </c>
      <c r="F4" s="18" t="inlineStr">
        <is>
          <t>Date Collected</t>
        </is>
      </c>
      <c r="G4" s="18" t="inlineStr">
        <is>
          <t>Collected By</t>
        </is>
      </c>
      <c r="H4" s="18" t="inlineStr">
        <is>
          <t>Verification Status</t>
        </is>
      </c>
    </row>
    <row r="5">
      <c r="A5" s="19" t="inlineStr">
        <is>
          <t>EV-001</t>
        </is>
      </c>
      <c r="B5" s="20" t="inlineStr">
        <is>
          <t>Assessment Area</t>
        </is>
      </c>
      <c r="C5" s="20" t="inlineStr">
        <is>
          <t>Policy Document</t>
        </is>
      </c>
      <c r="D5" s="20" t="inlineStr">
        <is>
          <t>Example evidence description</t>
        </is>
      </c>
      <c r="E5" s="20" t="inlineStr">
        <is>
          <t>\\fileserver\policies\document.pdf</t>
        </is>
      </c>
      <c r="F5" s="20" t="inlineStr">
        <is>
          <t>15.01.2026</t>
        </is>
      </c>
      <c r="G5" s="20" t="inlineStr">
        <is>
          <t>Assessor Name</t>
        </is>
      </c>
      <c r="H5" s="20" t="inlineStr">
        <is>
          <t>✅ Verified</t>
        </is>
      </c>
    </row>
    <row r="6">
      <c r="A6" s="21" t="n"/>
      <c r="B6" s="22" t="n"/>
      <c r="C6" s="22" t="n"/>
      <c r="D6" s="22" t="n"/>
      <c r="E6" s="22" t="n"/>
      <c r="F6" s="22" t="n"/>
      <c r="G6" s="22" t="n"/>
      <c r="H6" s="22" t="n"/>
    </row>
    <row r="7">
      <c r="A7" s="21" t="n"/>
      <c r="B7" s="22" t="n"/>
      <c r="C7" s="22" t="n"/>
      <c r="D7" s="22" t="n"/>
      <c r="E7" s="22" t="n"/>
      <c r="F7" s="22" t="n"/>
      <c r="G7" s="22" t="n"/>
      <c r="H7" s="22" t="n"/>
    </row>
    <row r="8">
      <c r="A8" s="21" t="n"/>
      <c r="B8" s="22" t="n"/>
      <c r="C8" s="22" t="n"/>
      <c r="D8" s="22" t="n"/>
      <c r="E8" s="22" t="n"/>
      <c r="F8" s="22" t="n"/>
      <c r="G8" s="22" t="n"/>
      <c r="H8" s="22" t="n"/>
    </row>
    <row r="9">
      <c r="A9" s="21" t="n"/>
      <c r="B9" s="22" t="n"/>
      <c r="C9" s="22" t="n"/>
      <c r="D9" s="22" t="n"/>
      <c r="E9" s="22" t="n"/>
      <c r="F9" s="22" t="n"/>
      <c r="G9" s="22" t="n"/>
      <c r="H9" s="22" t="n"/>
    </row>
    <row r="10">
      <c r="A10" s="21" t="n"/>
      <c r="B10" s="22" t="n"/>
      <c r="C10" s="22" t="n"/>
      <c r="D10" s="22" t="n"/>
      <c r="E10" s="22" t="n"/>
      <c r="F10" s="22" t="n"/>
      <c r="G10" s="22" t="n"/>
      <c r="H10" s="22" t="n"/>
    </row>
    <row r="11">
      <c r="A11" s="21" t="n"/>
      <c r="B11" s="22" t="n"/>
      <c r="C11" s="22" t="n"/>
      <c r="D11" s="22" t="n"/>
      <c r="E11" s="22" t="n"/>
      <c r="F11" s="22" t="n"/>
      <c r="G11" s="22" t="n"/>
      <c r="H11" s="22" t="n"/>
    </row>
    <row r="12">
      <c r="A12" s="21" t="n"/>
      <c r="B12" s="22" t="n"/>
      <c r="C12" s="22" t="n"/>
      <c r="D12" s="22" t="n"/>
      <c r="E12" s="22" t="n"/>
      <c r="F12" s="22" t="n"/>
      <c r="G12" s="22" t="n"/>
      <c r="H12" s="22" t="n"/>
    </row>
    <row r="13">
      <c r="A13" s="21" t="n"/>
      <c r="B13" s="22" t="n"/>
      <c r="C13" s="22" t="n"/>
      <c r="D13" s="22" t="n"/>
      <c r="E13" s="22" t="n"/>
      <c r="F13" s="22" t="n"/>
      <c r="G13" s="22" t="n"/>
      <c r="H13" s="22" t="n"/>
    </row>
    <row r="14">
      <c r="A14" s="21" t="n"/>
      <c r="B14" s="22" t="n"/>
      <c r="C14" s="22" t="n"/>
      <c r="D14" s="22" t="n"/>
      <c r="E14" s="22" t="n"/>
      <c r="F14" s="22" t="n"/>
      <c r="G14" s="22" t="n"/>
      <c r="H14" s="22" t="n"/>
    </row>
    <row r="15">
      <c r="A15" s="21" t="n"/>
      <c r="B15" s="22" t="n"/>
      <c r="C15" s="22" t="n"/>
      <c r="D15" s="22" t="n"/>
      <c r="E15" s="22" t="n"/>
      <c r="F15" s="22" t="n"/>
      <c r="G15" s="22" t="n"/>
      <c r="H15" s="22" t="n"/>
    </row>
    <row r="16">
      <c r="A16" s="21" t="n"/>
      <c r="B16" s="22" t="n"/>
      <c r="C16" s="22" t="n"/>
      <c r="D16" s="22" t="n"/>
      <c r="E16" s="22" t="n"/>
      <c r="F16" s="22" t="n"/>
      <c r="G16" s="22" t="n"/>
      <c r="H16" s="22" t="n"/>
    </row>
    <row r="17">
      <c r="A17" s="21" t="n"/>
      <c r="B17" s="22" t="n"/>
      <c r="C17" s="22" t="n"/>
      <c r="D17" s="22" t="n"/>
      <c r="E17" s="22" t="n"/>
      <c r="F17" s="22" t="n"/>
      <c r="G17" s="22" t="n"/>
      <c r="H17" s="22" t="n"/>
    </row>
    <row r="18">
      <c r="A18" s="21" t="n"/>
      <c r="B18" s="22" t="n"/>
      <c r="C18" s="22" t="n"/>
      <c r="D18" s="22" t="n"/>
      <c r="E18" s="22" t="n"/>
      <c r="F18" s="22" t="n"/>
      <c r="G18" s="22" t="n"/>
      <c r="H18" s="22" t="n"/>
    </row>
    <row r="19">
      <c r="A19" s="21" t="n"/>
      <c r="B19" s="22" t="n"/>
      <c r="C19" s="22" t="n"/>
      <c r="D19" s="22" t="n"/>
      <c r="E19" s="22" t="n"/>
      <c r="F19" s="22" t="n"/>
      <c r="G19" s="22" t="n"/>
      <c r="H19" s="22" t="n"/>
    </row>
    <row r="20">
      <c r="A20" s="21" t="n"/>
      <c r="B20" s="22" t="n"/>
      <c r="C20" s="22" t="n"/>
      <c r="D20" s="22" t="n"/>
      <c r="E20" s="22" t="n"/>
      <c r="F20" s="22" t="n"/>
      <c r="G20" s="22" t="n"/>
      <c r="H20" s="22" t="n"/>
    </row>
    <row r="21">
      <c r="A21" s="21" t="n"/>
      <c r="B21" s="22" t="n"/>
      <c r="C21" s="22" t="n"/>
      <c r="D21" s="22" t="n"/>
      <c r="E21" s="22" t="n"/>
      <c r="F21" s="22" t="n"/>
      <c r="G21" s="22" t="n"/>
      <c r="H21" s="22" t="n"/>
    </row>
    <row r="22">
      <c r="A22" s="21" t="n"/>
      <c r="B22" s="22" t="n"/>
      <c r="C22" s="22" t="n"/>
      <c r="D22" s="22" t="n"/>
      <c r="E22" s="22" t="n"/>
      <c r="F22" s="22" t="n"/>
      <c r="G22" s="22" t="n"/>
      <c r="H22" s="22" t="n"/>
    </row>
    <row r="23">
      <c r="A23" s="21" t="n"/>
      <c r="B23" s="22" t="n"/>
      <c r="C23" s="22" t="n"/>
      <c r="D23" s="22" t="n"/>
      <c r="E23" s="22" t="n"/>
      <c r="F23" s="22" t="n"/>
      <c r="G23" s="22" t="n"/>
      <c r="H23" s="22" t="n"/>
    </row>
    <row r="24">
      <c r="A24" s="21" t="n"/>
      <c r="B24" s="22" t="n"/>
      <c r="C24" s="22" t="n"/>
      <c r="D24" s="22" t="n"/>
      <c r="E24" s="22" t="n"/>
      <c r="F24" s="22" t="n"/>
      <c r="G24" s="22" t="n"/>
      <c r="H24" s="22" t="n"/>
    </row>
    <row r="25">
      <c r="A25" s="21" t="n"/>
      <c r="B25" s="22" t="n"/>
      <c r="C25" s="22" t="n"/>
      <c r="D25" s="22" t="n"/>
      <c r="E25" s="22" t="n"/>
      <c r="F25" s="22" t="n"/>
      <c r="G25" s="22" t="n"/>
      <c r="H25" s="22" t="n"/>
    </row>
    <row r="26">
      <c r="A26" s="21" t="n"/>
      <c r="B26" s="22" t="n"/>
      <c r="C26" s="22" t="n"/>
      <c r="D26" s="22" t="n"/>
      <c r="E26" s="22" t="n"/>
      <c r="F26" s="22" t="n"/>
      <c r="G26" s="22" t="n"/>
      <c r="H26" s="22" t="n"/>
    </row>
    <row r="27">
      <c r="A27" s="21" t="n"/>
      <c r="B27" s="22" t="n"/>
      <c r="C27" s="22" t="n"/>
      <c r="D27" s="22" t="n"/>
      <c r="E27" s="22" t="n"/>
      <c r="F27" s="22" t="n"/>
      <c r="G27" s="22" t="n"/>
      <c r="H27" s="22" t="n"/>
    </row>
    <row r="28">
      <c r="A28" s="21" t="n"/>
      <c r="B28" s="22" t="n"/>
      <c r="C28" s="22" t="n"/>
      <c r="D28" s="22" t="n"/>
      <c r="E28" s="22" t="n"/>
      <c r="F28" s="22" t="n"/>
      <c r="G28" s="22" t="n"/>
      <c r="H28" s="22" t="n"/>
    </row>
    <row r="29">
      <c r="A29" s="21" t="n"/>
      <c r="B29" s="22" t="n"/>
      <c r="C29" s="22" t="n"/>
      <c r="D29" s="22" t="n"/>
      <c r="E29" s="22" t="n"/>
      <c r="F29" s="22" t="n"/>
      <c r="G29" s="22" t="n"/>
      <c r="H29" s="22" t="n"/>
    </row>
    <row r="30">
      <c r="A30" s="21" t="n"/>
      <c r="B30" s="22" t="n"/>
      <c r="C30" s="22" t="n"/>
      <c r="D30" s="22" t="n"/>
      <c r="E30" s="22" t="n"/>
      <c r="F30" s="22" t="n"/>
      <c r="G30" s="22" t="n"/>
      <c r="H30" s="22" t="n"/>
    </row>
    <row r="31">
      <c r="A31" s="21" t="n"/>
      <c r="B31" s="22" t="n"/>
      <c r="C31" s="22" t="n"/>
      <c r="D31" s="22" t="n"/>
      <c r="E31" s="22" t="n"/>
      <c r="F31" s="22" t="n"/>
      <c r="G31" s="22" t="n"/>
      <c r="H31" s="22" t="n"/>
    </row>
    <row r="32">
      <c r="A32" s="21" t="n"/>
      <c r="B32" s="22" t="n"/>
      <c r="C32" s="22" t="n"/>
      <c r="D32" s="22" t="n"/>
      <c r="E32" s="22" t="n"/>
      <c r="F32" s="22" t="n"/>
      <c r="G32" s="22" t="n"/>
      <c r="H32" s="22" t="n"/>
    </row>
    <row r="33">
      <c r="A33" s="21" t="n"/>
      <c r="B33" s="22" t="n"/>
      <c r="C33" s="22" t="n"/>
      <c r="D33" s="22" t="n"/>
      <c r="E33" s="22" t="n"/>
      <c r="F33" s="22" t="n"/>
      <c r="G33" s="22" t="n"/>
      <c r="H33" s="22" t="n"/>
    </row>
    <row r="34">
      <c r="A34" s="21" t="n"/>
      <c r="B34" s="22" t="n"/>
      <c r="C34" s="22" t="n"/>
      <c r="D34" s="22" t="n"/>
      <c r="E34" s="22" t="n"/>
      <c r="F34" s="22" t="n"/>
      <c r="G34" s="22" t="n"/>
      <c r="H34" s="22" t="n"/>
    </row>
    <row r="35">
      <c r="A35" s="21" t="n"/>
      <c r="B35" s="22" t="n"/>
      <c r="C35" s="22" t="n"/>
      <c r="D35" s="22" t="n"/>
      <c r="E35" s="22" t="n"/>
      <c r="F35" s="22" t="n"/>
      <c r="G35" s="22" t="n"/>
      <c r="H35" s="22" t="n"/>
    </row>
    <row r="36">
      <c r="A36" s="21" t="n"/>
      <c r="B36" s="22" t="n"/>
      <c r="C36" s="22" t="n"/>
      <c r="D36" s="22" t="n"/>
      <c r="E36" s="22" t="n"/>
      <c r="F36" s="22" t="n"/>
      <c r="G36" s="22" t="n"/>
      <c r="H36" s="22" t="n"/>
    </row>
    <row r="37">
      <c r="A37" s="21" t="n"/>
      <c r="B37" s="22" t="n"/>
      <c r="C37" s="22" t="n"/>
      <c r="D37" s="22" t="n"/>
      <c r="E37" s="22" t="n"/>
      <c r="F37" s="22" t="n"/>
      <c r="G37" s="22" t="n"/>
      <c r="H37" s="22" t="n"/>
    </row>
    <row r="38">
      <c r="A38" s="21" t="n"/>
      <c r="B38" s="22" t="n"/>
      <c r="C38" s="22" t="n"/>
      <c r="D38" s="22" t="n"/>
      <c r="E38" s="22" t="n"/>
      <c r="F38" s="22" t="n"/>
      <c r="G38" s="22" t="n"/>
      <c r="H38" s="22" t="n"/>
    </row>
    <row r="39">
      <c r="A39" s="21" t="n"/>
      <c r="B39" s="22" t="n"/>
      <c r="C39" s="22" t="n"/>
      <c r="D39" s="22" t="n"/>
      <c r="E39" s="22" t="n"/>
      <c r="F39" s="22" t="n"/>
      <c r="G39" s="22" t="n"/>
      <c r="H39" s="22" t="n"/>
    </row>
    <row r="40">
      <c r="A40" s="21" t="n"/>
      <c r="B40" s="22" t="n"/>
      <c r="C40" s="22" t="n"/>
      <c r="D40" s="22" t="n"/>
      <c r="E40" s="22" t="n"/>
      <c r="F40" s="22" t="n"/>
      <c r="G40" s="22" t="n"/>
      <c r="H40" s="22" t="n"/>
    </row>
    <row r="41">
      <c r="A41" s="21" t="n"/>
      <c r="B41" s="22" t="n"/>
      <c r="C41" s="22" t="n"/>
      <c r="D41" s="22" t="n"/>
      <c r="E41" s="22" t="n"/>
      <c r="F41" s="22" t="n"/>
      <c r="G41" s="22" t="n"/>
      <c r="H41" s="22" t="n"/>
    </row>
    <row r="42">
      <c r="A42" s="21" t="n"/>
      <c r="B42" s="22" t="n"/>
      <c r="C42" s="22" t="n"/>
      <c r="D42" s="22" t="n"/>
      <c r="E42" s="22" t="n"/>
      <c r="F42" s="22" t="n"/>
      <c r="G42" s="22" t="n"/>
      <c r="H42" s="22" t="n"/>
    </row>
    <row r="43">
      <c r="A43" s="21" t="n"/>
      <c r="B43" s="22" t="n"/>
      <c r="C43" s="22" t="n"/>
      <c r="D43" s="22" t="n"/>
      <c r="E43" s="22" t="n"/>
      <c r="F43" s="22" t="n"/>
      <c r="G43" s="22" t="n"/>
      <c r="H43" s="22" t="n"/>
    </row>
    <row r="44">
      <c r="A44" s="21" t="n"/>
      <c r="B44" s="22" t="n"/>
      <c r="C44" s="22" t="n"/>
      <c r="D44" s="22" t="n"/>
      <c r="E44" s="22" t="n"/>
      <c r="F44" s="22" t="n"/>
      <c r="G44" s="22" t="n"/>
      <c r="H44" s="22" t="n"/>
    </row>
    <row r="45">
      <c r="A45" s="21" t="n"/>
      <c r="B45" s="22" t="n"/>
      <c r="C45" s="22" t="n"/>
      <c r="D45" s="22" t="n"/>
      <c r="E45" s="22" t="n"/>
      <c r="F45" s="22" t="n"/>
      <c r="G45" s="22" t="n"/>
      <c r="H45" s="22" t="n"/>
    </row>
    <row r="46">
      <c r="A46" s="21" t="n"/>
      <c r="B46" s="22" t="n"/>
      <c r="C46" s="22" t="n"/>
      <c r="D46" s="22" t="n"/>
      <c r="E46" s="22" t="n"/>
      <c r="F46" s="22" t="n"/>
      <c r="G46" s="22" t="n"/>
      <c r="H46" s="22" t="n"/>
    </row>
    <row r="47">
      <c r="A47" s="21" t="n"/>
      <c r="B47" s="22" t="n"/>
      <c r="C47" s="22" t="n"/>
      <c r="D47" s="22" t="n"/>
      <c r="E47" s="22" t="n"/>
      <c r="F47" s="22" t="n"/>
      <c r="G47" s="22" t="n"/>
      <c r="H47" s="22" t="n"/>
    </row>
    <row r="48">
      <c r="A48" s="21" t="n"/>
      <c r="B48" s="22" t="n"/>
      <c r="C48" s="22" t="n"/>
      <c r="D48" s="22" t="n"/>
      <c r="E48" s="22" t="n"/>
      <c r="F48" s="22" t="n"/>
      <c r="G48" s="22" t="n"/>
      <c r="H48" s="22" t="n"/>
    </row>
    <row r="49">
      <c r="A49" s="21" t="n"/>
      <c r="B49" s="22" t="n"/>
      <c r="C49" s="22" t="n"/>
      <c r="D49" s="22" t="n"/>
      <c r="E49" s="22" t="n"/>
      <c r="F49" s="22" t="n"/>
      <c r="G49" s="22" t="n"/>
      <c r="H49" s="22" t="n"/>
    </row>
    <row r="50">
      <c r="A50" s="21" t="n"/>
      <c r="B50" s="22" t="n"/>
      <c r="C50" s="22" t="n"/>
      <c r="D50" s="22" t="n"/>
      <c r="E50" s="22" t="n"/>
      <c r="F50" s="22" t="n"/>
      <c r="G50" s="22" t="n"/>
      <c r="H50" s="22" t="n"/>
    </row>
    <row r="51">
      <c r="A51" s="21" t="n"/>
      <c r="B51" s="22" t="n"/>
      <c r="C51" s="22" t="n"/>
      <c r="D51" s="22" t="n"/>
      <c r="E51" s="22" t="n"/>
      <c r="F51" s="22" t="n"/>
      <c r="G51" s="22" t="n"/>
      <c r="H51" s="22" t="n"/>
    </row>
    <row r="52">
      <c r="A52" s="21" t="n"/>
      <c r="B52" s="22" t="n"/>
      <c r="C52" s="22" t="n"/>
      <c r="D52" s="22" t="n"/>
      <c r="E52" s="22" t="n"/>
      <c r="F52" s="22" t="n"/>
      <c r="G52" s="22" t="n"/>
      <c r="H52" s="22" t="n"/>
    </row>
    <row r="53">
      <c r="A53" s="21" t="n"/>
      <c r="B53" s="22" t="n"/>
      <c r="C53" s="22" t="n"/>
      <c r="D53" s="22" t="n"/>
      <c r="E53" s="22" t="n"/>
      <c r="F53" s="22" t="n"/>
      <c r="G53" s="22" t="n"/>
      <c r="H53" s="22" t="n"/>
    </row>
    <row r="54">
      <c r="A54" s="21" t="n"/>
      <c r="B54" s="22" t="n"/>
      <c r="C54" s="22" t="n"/>
      <c r="D54" s="22" t="n"/>
      <c r="E54" s="22" t="n"/>
      <c r="F54" s="22" t="n"/>
      <c r="G54" s="22" t="n"/>
      <c r="H54" s="22" t="n"/>
    </row>
    <row r="55">
      <c r="A55" s="21" t="n"/>
      <c r="B55" s="22" t="n"/>
      <c r="C55" s="22" t="n"/>
      <c r="D55" s="22" t="n"/>
      <c r="E55" s="22" t="n"/>
      <c r="F55" s="22" t="n"/>
      <c r="G55" s="22" t="n"/>
      <c r="H55" s="22" t="n"/>
    </row>
    <row r="56">
      <c r="A56" s="21" t="n"/>
      <c r="B56" s="22" t="n"/>
      <c r="C56" s="22" t="n"/>
      <c r="D56" s="22" t="n"/>
      <c r="E56" s="22" t="n"/>
      <c r="F56" s="22" t="n"/>
      <c r="G56" s="22" t="n"/>
      <c r="H56" s="22" t="n"/>
    </row>
    <row r="57">
      <c r="A57" s="21" t="n"/>
      <c r="B57" s="22" t="n"/>
      <c r="C57" s="22" t="n"/>
      <c r="D57" s="22" t="n"/>
      <c r="E57" s="22" t="n"/>
      <c r="F57" s="22" t="n"/>
      <c r="G57" s="22" t="n"/>
      <c r="H57" s="22" t="n"/>
    </row>
    <row r="58">
      <c r="A58" s="21" t="n"/>
      <c r="B58" s="22" t="n"/>
      <c r="C58" s="22" t="n"/>
      <c r="D58" s="22" t="n"/>
      <c r="E58" s="22" t="n"/>
      <c r="F58" s="22" t="n"/>
      <c r="G58" s="22" t="n"/>
      <c r="H58" s="22" t="n"/>
    </row>
    <row r="59">
      <c r="A59" s="21" t="n"/>
      <c r="B59" s="22" t="n"/>
      <c r="C59" s="22" t="n"/>
      <c r="D59" s="22" t="n"/>
      <c r="E59" s="22" t="n"/>
      <c r="F59" s="22" t="n"/>
      <c r="G59" s="22" t="n"/>
      <c r="H59" s="22" t="n"/>
    </row>
    <row r="60">
      <c r="A60" s="21" t="n"/>
      <c r="B60" s="22" t="n"/>
      <c r="C60" s="22" t="n"/>
      <c r="D60" s="22" t="n"/>
      <c r="E60" s="22" t="n"/>
      <c r="F60" s="22" t="n"/>
      <c r="G60" s="22" t="n"/>
      <c r="H60" s="22" t="n"/>
    </row>
    <row r="61">
      <c r="A61" s="21" t="n"/>
      <c r="B61" s="22" t="n"/>
      <c r="C61" s="22" t="n"/>
      <c r="D61" s="22" t="n"/>
      <c r="E61" s="22" t="n"/>
      <c r="F61" s="22" t="n"/>
      <c r="G61" s="22" t="n"/>
      <c r="H61" s="22" t="n"/>
    </row>
    <row r="62">
      <c r="A62" s="21" t="n"/>
      <c r="B62" s="22" t="n"/>
      <c r="C62" s="22" t="n"/>
      <c r="D62" s="22" t="n"/>
      <c r="E62" s="22" t="n"/>
      <c r="F62" s="22" t="n"/>
      <c r="G62" s="22" t="n"/>
      <c r="H62" s="22" t="n"/>
    </row>
    <row r="63">
      <c r="A63" s="21" t="n"/>
      <c r="B63" s="22" t="n"/>
      <c r="C63" s="22" t="n"/>
      <c r="D63" s="22" t="n"/>
      <c r="E63" s="22" t="n"/>
      <c r="F63" s="22" t="n"/>
      <c r="G63" s="22" t="n"/>
      <c r="H63" s="22" t="n"/>
    </row>
    <row r="64">
      <c r="A64" s="21" t="n"/>
      <c r="B64" s="22" t="n"/>
      <c r="C64" s="22" t="n"/>
      <c r="D64" s="22" t="n"/>
      <c r="E64" s="22" t="n"/>
      <c r="F64" s="22" t="n"/>
      <c r="G64" s="22" t="n"/>
      <c r="H64" s="22" t="n"/>
    </row>
    <row r="65">
      <c r="A65" s="21" t="n"/>
      <c r="B65" s="22" t="n"/>
      <c r="C65" s="22" t="n"/>
      <c r="D65" s="22" t="n"/>
      <c r="E65" s="22" t="n"/>
      <c r="F65" s="22" t="n"/>
      <c r="G65" s="22" t="n"/>
      <c r="H65" s="22" t="n"/>
    </row>
    <row r="66">
      <c r="A66" s="21" t="n"/>
      <c r="B66" s="22" t="n"/>
      <c r="C66" s="22" t="n"/>
      <c r="D66" s="22" t="n"/>
      <c r="E66" s="22" t="n"/>
      <c r="F66" s="22" t="n"/>
      <c r="G66" s="22" t="n"/>
      <c r="H66" s="22" t="n"/>
    </row>
    <row r="67">
      <c r="A67" s="21" t="n"/>
      <c r="B67" s="22" t="n"/>
      <c r="C67" s="22" t="n"/>
      <c r="D67" s="22" t="n"/>
      <c r="E67" s="22" t="n"/>
      <c r="F67" s="22" t="n"/>
      <c r="G67" s="22" t="n"/>
      <c r="H67" s="22" t="n"/>
    </row>
    <row r="68">
      <c r="A68" s="21" t="n"/>
      <c r="B68" s="22" t="n"/>
      <c r="C68" s="22" t="n"/>
      <c r="D68" s="22" t="n"/>
      <c r="E68" s="22" t="n"/>
      <c r="F68" s="22" t="n"/>
      <c r="G68" s="22" t="n"/>
      <c r="H68" s="22" t="n"/>
    </row>
    <row r="69">
      <c r="A69" s="21" t="n"/>
      <c r="B69" s="22" t="n"/>
      <c r="C69" s="22" t="n"/>
      <c r="D69" s="22" t="n"/>
      <c r="E69" s="22" t="n"/>
      <c r="F69" s="22" t="n"/>
      <c r="G69" s="22" t="n"/>
      <c r="H69" s="22" t="n"/>
    </row>
    <row r="70">
      <c r="A70" s="21" t="n"/>
      <c r="B70" s="22" t="n"/>
      <c r="C70" s="22" t="n"/>
      <c r="D70" s="22" t="n"/>
      <c r="E70" s="22" t="n"/>
      <c r="F70" s="22" t="n"/>
      <c r="G70" s="22" t="n"/>
      <c r="H70" s="22" t="n"/>
    </row>
    <row r="71">
      <c r="A71" s="21" t="n"/>
      <c r="B71" s="22" t="n"/>
      <c r="C71" s="22" t="n"/>
      <c r="D71" s="22" t="n"/>
      <c r="E71" s="22" t="n"/>
      <c r="F71" s="22" t="n"/>
      <c r="G71" s="22" t="n"/>
      <c r="H71" s="22" t="n"/>
    </row>
    <row r="72">
      <c r="A72" s="21" t="n"/>
      <c r="B72" s="22" t="n"/>
      <c r="C72" s="22" t="n"/>
      <c r="D72" s="22" t="n"/>
      <c r="E72" s="22" t="n"/>
      <c r="F72" s="22" t="n"/>
      <c r="G72" s="22" t="n"/>
      <c r="H72" s="22" t="n"/>
    </row>
    <row r="73">
      <c r="A73" s="21" t="n"/>
      <c r="B73" s="22" t="n"/>
      <c r="C73" s="22" t="n"/>
      <c r="D73" s="22" t="n"/>
      <c r="E73" s="22" t="n"/>
      <c r="F73" s="22" t="n"/>
      <c r="G73" s="22" t="n"/>
      <c r="H73" s="22" t="n"/>
    </row>
    <row r="74">
      <c r="A74" s="21" t="n"/>
      <c r="B74" s="22" t="n"/>
      <c r="C74" s="22" t="n"/>
      <c r="D74" s="22" t="n"/>
      <c r="E74" s="22" t="n"/>
      <c r="F74" s="22" t="n"/>
      <c r="G74" s="22" t="n"/>
      <c r="H74" s="22" t="n"/>
    </row>
    <row r="75">
      <c r="A75" s="21" t="n"/>
      <c r="B75" s="22" t="n"/>
      <c r="C75" s="22" t="n"/>
      <c r="D75" s="22" t="n"/>
      <c r="E75" s="22" t="n"/>
      <c r="F75" s="22" t="n"/>
      <c r="G75" s="22" t="n"/>
      <c r="H75" s="22" t="n"/>
    </row>
    <row r="76">
      <c r="A76" s="21" t="n"/>
      <c r="B76" s="22" t="n"/>
      <c r="C76" s="22" t="n"/>
      <c r="D76" s="22" t="n"/>
      <c r="E76" s="22" t="n"/>
      <c r="F76" s="22" t="n"/>
      <c r="G76" s="22" t="n"/>
      <c r="H76" s="22" t="n"/>
    </row>
    <row r="77">
      <c r="A77" s="21" t="n"/>
      <c r="B77" s="22" t="n"/>
      <c r="C77" s="22" t="n"/>
      <c r="D77" s="22" t="n"/>
      <c r="E77" s="22" t="n"/>
      <c r="F77" s="22" t="n"/>
      <c r="G77" s="22" t="n"/>
      <c r="H77" s="22" t="n"/>
    </row>
    <row r="78">
      <c r="A78" s="21" t="n"/>
      <c r="B78" s="22" t="n"/>
      <c r="C78" s="22" t="n"/>
      <c r="D78" s="22" t="n"/>
      <c r="E78" s="22" t="n"/>
      <c r="F78" s="22" t="n"/>
      <c r="G78" s="22" t="n"/>
      <c r="H78" s="22" t="n"/>
    </row>
    <row r="79">
      <c r="A79" s="21" t="n"/>
      <c r="B79" s="22" t="n"/>
      <c r="C79" s="22" t="n"/>
      <c r="D79" s="22" t="n"/>
      <c r="E79" s="22" t="n"/>
      <c r="F79" s="22" t="n"/>
      <c r="G79" s="22" t="n"/>
      <c r="H79" s="22" t="n"/>
    </row>
    <row r="80">
      <c r="A80" s="21" t="n"/>
      <c r="B80" s="22" t="n"/>
      <c r="C80" s="22" t="n"/>
      <c r="D80" s="22" t="n"/>
      <c r="E80" s="22" t="n"/>
      <c r="F80" s="22" t="n"/>
      <c r="G80" s="22" t="n"/>
      <c r="H80" s="22" t="n"/>
    </row>
    <row r="81">
      <c r="A81" s="21" t="n"/>
      <c r="B81" s="22" t="n"/>
      <c r="C81" s="22" t="n"/>
      <c r="D81" s="22" t="n"/>
      <c r="E81" s="22" t="n"/>
      <c r="F81" s="22" t="n"/>
      <c r="G81" s="22" t="n"/>
      <c r="H81" s="22" t="n"/>
    </row>
    <row r="82">
      <c r="A82" s="21" t="n"/>
      <c r="B82" s="22" t="n"/>
      <c r="C82" s="22" t="n"/>
      <c r="D82" s="22" t="n"/>
      <c r="E82" s="22" t="n"/>
      <c r="F82" s="22" t="n"/>
      <c r="G82" s="22" t="n"/>
      <c r="H82" s="22" t="n"/>
    </row>
    <row r="83">
      <c r="A83" s="21" t="n"/>
      <c r="B83" s="22" t="n"/>
      <c r="C83" s="22" t="n"/>
      <c r="D83" s="22" t="n"/>
      <c r="E83" s="22" t="n"/>
      <c r="F83" s="22" t="n"/>
      <c r="G83" s="22" t="n"/>
      <c r="H83" s="22" t="n"/>
    </row>
    <row r="84">
      <c r="A84" s="21" t="n"/>
      <c r="B84" s="22" t="n"/>
      <c r="C84" s="22" t="n"/>
      <c r="D84" s="22" t="n"/>
      <c r="E84" s="22" t="n"/>
      <c r="F84" s="22" t="n"/>
      <c r="G84" s="22" t="n"/>
      <c r="H84" s="22" t="n"/>
    </row>
    <row r="85">
      <c r="A85" s="21" t="n"/>
      <c r="B85" s="22" t="n"/>
      <c r="C85" s="22" t="n"/>
      <c r="D85" s="22" t="n"/>
      <c r="E85" s="22" t="n"/>
      <c r="F85" s="22" t="n"/>
      <c r="G85" s="22" t="n"/>
      <c r="H85" s="22" t="n"/>
    </row>
    <row r="86">
      <c r="A86" s="21" t="n"/>
      <c r="B86" s="22" t="n"/>
      <c r="C86" s="22" t="n"/>
      <c r="D86" s="22" t="n"/>
      <c r="E86" s="22" t="n"/>
      <c r="F86" s="22" t="n"/>
      <c r="G86" s="22" t="n"/>
      <c r="H86" s="22" t="n"/>
    </row>
    <row r="87">
      <c r="A87" s="21" t="n"/>
      <c r="B87" s="22" t="n"/>
      <c r="C87" s="22" t="n"/>
      <c r="D87" s="22" t="n"/>
      <c r="E87" s="22" t="n"/>
      <c r="F87" s="22" t="n"/>
      <c r="G87" s="22" t="n"/>
      <c r="H87" s="22" t="n"/>
    </row>
    <row r="88">
      <c r="A88" s="21" t="n"/>
      <c r="B88" s="22" t="n"/>
      <c r="C88" s="22" t="n"/>
      <c r="D88" s="22" t="n"/>
      <c r="E88" s="22" t="n"/>
      <c r="F88" s="22" t="n"/>
      <c r="G88" s="22" t="n"/>
      <c r="H88" s="22" t="n"/>
    </row>
    <row r="89">
      <c r="A89" s="21" t="n"/>
      <c r="B89" s="22" t="n"/>
      <c r="C89" s="22" t="n"/>
      <c r="D89" s="22" t="n"/>
      <c r="E89" s="22" t="n"/>
      <c r="F89" s="22" t="n"/>
      <c r="G89" s="22" t="n"/>
      <c r="H89" s="22" t="n"/>
    </row>
    <row r="90">
      <c r="A90" s="21" t="n"/>
      <c r="B90" s="22" t="n"/>
      <c r="C90" s="22" t="n"/>
      <c r="D90" s="22" t="n"/>
      <c r="E90" s="22" t="n"/>
      <c r="F90" s="22" t="n"/>
      <c r="G90" s="22" t="n"/>
      <c r="H90" s="22" t="n"/>
    </row>
    <row r="91">
      <c r="A91" s="21" t="n"/>
      <c r="B91" s="22" t="n"/>
      <c r="C91" s="22" t="n"/>
      <c r="D91" s="22" t="n"/>
      <c r="E91" s="22" t="n"/>
      <c r="F91" s="22" t="n"/>
      <c r="G91" s="22" t="n"/>
      <c r="H91" s="22" t="n"/>
    </row>
    <row r="92">
      <c r="A92" s="21" t="n"/>
      <c r="B92" s="22" t="n"/>
      <c r="C92" s="22" t="n"/>
      <c r="D92" s="22" t="n"/>
      <c r="E92" s="22" t="n"/>
      <c r="F92" s="22" t="n"/>
      <c r="G92" s="22" t="n"/>
      <c r="H92" s="22" t="n"/>
    </row>
    <row r="93">
      <c r="A93" s="21" t="n"/>
      <c r="B93" s="22" t="n"/>
      <c r="C93" s="22" t="n"/>
      <c r="D93" s="22" t="n"/>
      <c r="E93" s="22" t="n"/>
      <c r="F93" s="22" t="n"/>
      <c r="G93" s="22" t="n"/>
      <c r="H93" s="22" t="n"/>
    </row>
    <row r="94">
      <c r="A94" s="21" t="n"/>
      <c r="B94" s="22" t="n"/>
      <c r="C94" s="22" t="n"/>
      <c r="D94" s="22" t="n"/>
      <c r="E94" s="22" t="n"/>
      <c r="F94" s="22" t="n"/>
      <c r="G94" s="22" t="n"/>
      <c r="H94" s="22" t="n"/>
    </row>
    <row r="95">
      <c r="A95" s="21" t="n"/>
      <c r="B95" s="22" t="n"/>
      <c r="C95" s="22" t="n"/>
      <c r="D95" s="22" t="n"/>
      <c r="E95" s="22" t="n"/>
      <c r="F95" s="22" t="n"/>
      <c r="G95" s="22" t="n"/>
      <c r="H95" s="22" t="n"/>
    </row>
    <row r="96">
      <c r="A96" s="21" t="n"/>
      <c r="B96" s="22" t="n"/>
      <c r="C96" s="22" t="n"/>
      <c r="D96" s="22" t="n"/>
      <c r="E96" s="22" t="n"/>
      <c r="F96" s="22" t="n"/>
      <c r="G96" s="22" t="n"/>
      <c r="H96" s="22" t="n"/>
    </row>
    <row r="97">
      <c r="A97" s="21" t="n"/>
      <c r="B97" s="22" t="n"/>
      <c r="C97" s="22" t="n"/>
      <c r="D97" s="22" t="n"/>
      <c r="E97" s="22" t="n"/>
      <c r="F97" s="22" t="n"/>
      <c r="G97" s="22" t="n"/>
      <c r="H97" s="22" t="n"/>
    </row>
    <row r="98">
      <c r="A98" s="21" t="n"/>
      <c r="B98" s="22" t="n"/>
      <c r="C98" s="22" t="n"/>
      <c r="D98" s="22" t="n"/>
      <c r="E98" s="22" t="n"/>
      <c r="F98" s="22" t="n"/>
      <c r="G98" s="22" t="n"/>
      <c r="H98" s="22" t="n"/>
    </row>
    <row r="99">
      <c r="A99" s="21" t="n"/>
      <c r="B99" s="22" t="n"/>
      <c r="C99" s="22" t="n"/>
      <c r="D99" s="22" t="n"/>
      <c r="E99" s="22" t="n"/>
      <c r="F99" s="22" t="n"/>
      <c r="G99" s="22" t="n"/>
      <c r="H99" s="22" t="n"/>
    </row>
    <row r="100">
      <c r="A100" s="21" t="n"/>
      <c r="B100" s="22" t="n"/>
      <c r="C100" s="22" t="n"/>
      <c r="D100" s="22" t="n"/>
      <c r="E100" s="22" t="n"/>
      <c r="F100" s="22" t="n"/>
      <c r="G100" s="22" t="n"/>
      <c r="H100" s="22" t="n"/>
    </row>
    <row r="101">
      <c r="A101" s="21" t="n"/>
      <c r="B101" s="22" t="n"/>
      <c r="C101" s="22" t="n"/>
      <c r="D101" s="22" t="n"/>
      <c r="E101" s="22" t="n"/>
      <c r="F101" s="22" t="n"/>
      <c r="G101" s="22" t="n"/>
      <c r="H101" s="22" t="n"/>
    </row>
    <row r="102">
      <c r="A102" s="21" t="n"/>
      <c r="B102" s="22" t="n"/>
      <c r="C102" s="22" t="n"/>
      <c r="D102" s="22" t="n"/>
      <c r="E102" s="22" t="n"/>
      <c r="F102" s="22" t="n"/>
      <c r="G102" s="22" t="n"/>
      <c r="H102" s="22" t="n"/>
    </row>
    <row r="103">
      <c r="A103" s="21" t="n"/>
      <c r="B103" s="22" t="n"/>
      <c r="C103" s="22" t="n"/>
      <c r="D103" s="22" t="n"/>
      <c r="E103" s="22" t="n"/>
      <c r="F103" s="22" t="n"/>
      <c r="G103" s="22" t="n"/>
      <c r="H103" s="22" t="n"/>
    </row>
    <row r="104">
      <c r="A104" s="21" t="n"/>
      <c r="B104" s="22" t="n"/>
      <c r="C104" s="22" t="n"/>
      <c r="D104" s="22" t="n"/>
      <c r="E104" s="22" t="n"/>
      <c r="F104" s="22" t="n"/>
      <c r="G104" s="22" t="n"/>
      <c r="H104" s="22" t="n"/>
    </row>
    <row r="105">
      <c r="A105" s="21" t="n"/>
      <c r="B105" s="22" t="n"/>
      <c r="C105" s="22" t="n"/>
      <c r="D105" s="22" t="n"/>
      <c r="E105" s="22" t="n"/>
      <c r="F105" s="22" t="n"/>
      <c r="G105" s="22" t="n"/>
      <c r="H105" s="22" t="n"/>
    </row>
  </sheetData>
  <mergeCells count="2">
    <mergeCell ref="A2:H2"/>
    <mergeCell ref="A1:H1"/>
  </mergeCells>
  <dataValidations count="2">
    <dataValidation sqref="C5 C6 C7 C8 C9 C10 C11 C12 C13 C14 C15 C16 C17 C18 C19 C20 C21 C22 C23 C24 C25 C26 C27 C28 C29 C30 C31 C32 C33 C34 C35 C36 C37 C38 C39 C40 C41 C42 C43 C44 C45 C46 C47 C48 C49 C50 C51 C52 C53 C54 C55 C56 C57 C58 C59 C60 C61 C62 C63 C64 C65 C66 C67 C68 C69 C70 C71 C72 C73 C74 C75 C76 C77 C78 C79 C80 C81 C82 C83 C84 C85 C86 C87 C88 C89 C90 C91 C92 C93 C94 C95 C96 C97 C98 C99 C100 C101 C102 C103 C104 C105" showDropDown="0" showInputMessage="0" showErrorMessage="0" allowBlank="1" type="list">
      <formula1>"Policy Document,Process Record,System Screenshot,Configuration Export,Audit Log,Training Record,Test Result,Risk Assessment,Meeting Minutes,Other"</formula1>
    </dataValidation>
    <dataValidation sqref="H5 H6 H7 H8 H9 H10 H11 H12 H13 H14 H15 H16 H17 H18 H19 H20 H21 H22 H23 H24 H25 H26 H27 H28 H29 H30 H31 H32 H33 H34 H35 H36 H37 H38 H39 H40 H41 H42 H43 H44 H45 H46 H47 H48 H49 H50 H51 H52 H53 H54 H55 H56 H57 H58 H59 H60 H61 H62 H63 H64 H65 H66 H67 H68 H69 H70 H71 H72 H73 H74 H75 H76 H77 H78 H79 H80 H81 H82 H83 H84 H85 H86 H87 H88 H89 H90 H91 H92 H93 H94 H95 H96 H97 H98 H99 H100 H101 H102 H103 H104 H105" showDropDown="0" showInputMessage="0" showErrorMessage="0" allowBlank="1" type="list">
      <formula1>"✅ Verified,⚠️ Pending,❌ Not Verified,N/A"</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43"/>
  <sheetViews>
    <sheetView showGridLines="0" workbookViewId="0">
      <pane ySplit="3" topLeftCell="A4" activePane="bottomLeft" state="frozen"/>
      <selection pane="bottomLeft" activeCell="A1" sqref="A1"/>
    </sheetView>
  </sheetViews>
  <sheetFormatPr baseColWidth="8" defaultRowHeight="15"/>
  <cols>
    <col width="45" customWidth="1" min="1" max="1"/>
    <col width="18" customWidth="1" min="2" max="2"/>
    <col width="16" customWidth="1" min="3" max="3"/>
    <col width="18" customWidth="1" min="4" max="4"/>
    <col width="18" customWidth="1" min="5" max="5"/>
    <col width="12" customWidth="1" min="6" max="6"/>
    <col width="15" customWidth="1" min="7" max="7"/>
  </cols>
  <sheetData>
    <row r="1" ht="35" customHeight="1">
      <c r="A1" s="23" t="inlineStr">
        <is>
          <t>AUTHENTICATION POLICY AND STANDARDS — SUMMARY DASHBOARD</t>
        </is>
      </c>
      <c r="B1" s="6" t="n"/>
      <c r="C1" s="6" t="n"/>
      <c r="D1" s="6" t="n"/>
      <c r="E1" s="6" t="n"/>
      <c r="F1" s="6" t="n"/>
      <c r="G1" s="6" t="n"/>
    </row>
    <row r="2">
      <c r="A2" s="24" t="inlineStr">
        <is>
          <t>ISO/IEC 27001:2022 — Control A.5.17: Authentication Information | Policy and Standards Assessment</t>
        </is>
      </c>
    </row>
    <row r="4" ht="20" customHeight="1">
      <c r="A4" s="25" t="inlineStr">
        <is>
          <t>TABLE 1: ASSESSMENT AREA COMPLIANCE OVERVIEW</t>
        </is>
      </c>
      <c r="B4" s="6" t="n"/>
      <c r="C4" s="6" t="n"/>
      <c r="D4" s="6" t="n"/>
      <c r="E4" s="6" t="n"/>
      <c r="F4" s="6" t="n"/>
      <c r="G4" s="6" t="n"/>
    </row>
    <row r="5">
      <c r="A5" s="26" t="inlineStr">
        <is>
          <t>Assessment Area</t>
        </is>
      </c>
      <c r="B5" s="26" t="inlineStr">
        <is>
          <t>Total Items</t>
        </is>
      </c>
      <c r="C5" s="26" t="inlineStr">
        <is>
          <t>Compliant</t>
        </is>
      </c>
      <c r="D5" s="26" t="inlineStr">
        <is>
          <t>Partial</t>
        </is>
      </c>
      <c r="E5" s="26" t="inlineStr">
        <is>
          <t>Non-Compliant</t>
        </is>
      </c>
      <c r="F5" s="26" t="inlineStr">
        <is>
          <t>N/A</t>
        </is>
      </c>
      <c r="G5" s="26" t="inlineStr">
        <is>
          <t>Compliance %</t>
        </is>
      </c>
    </row>
    <row r="6">
      <c r="A6" s="27" t="inlineStr">
        <is>
          <t>Password Policy</t>
        </is>
      </c>
      <c r="B6" s="28">
        <f>COUNTA('Password Policy'!A4:A22)</f>
        <v/>
      </c>
      <c r="C6" s="28">
        <f>COUNTIF('Password Policy'!E4:E22,"Yes")</f>
        <v/>
      </c>
      <c r="D6" s="28">
        <f>COUNTIF('Password Policy'!E4:E22,"Partial")</f>
        <v/>
      </c>
      <c r="E6" s="28">
        <f>COUNTIF('Password Policy'!E4:E22,"No")</f>
        <v/>
      </c>
      <c r="F6" s="28">
        <f>COUNTIF('Password Policy'!E4:E22,"N/A")</f>
        <v/>
      </c>
      <c r="G6" s="29">
        <f>IF((B6-F6)=0,0,C6/(B6-F6))</f>
        <v/>
      </c>
    </row>
    <row r="7">
      <c r="A7" s="27" t="inlineStr">
        <is>
          <t>MFA Requirements</t>
        </is>
      </c>
      <c r="B7" s="28">
        <f>COUNTA('MFA Requirements'!A4:A17)</f>
        <v/>
      </c>
      <c r="C7" s="28">
        <f>COUNTIF('MFA Requirements'!E4:E17,"Implemented")</f>
        <v/>
      </c>
      <c r="D7" s="28">
        <f>COUNTIF('MFA Requirements'!E4:E17,"In Progress")</f>
        <v/>
      </c>
      <c r="E7" s="28">
        <f>COUNTIF('MFA Requirements'!E4:E17,"Not Started")</f>
        <v/>
      </c>
      <c r="F7" s="28">
        <f>COUNTIF('MFA Requirements'!E4:E17,"Exception")</f>
        <v/>
      </c>
      <c r="G7" s="29">
        <f>IF((B7-F7)=0,0,C7/(B7-F7))</f>
        <v/>
      </c>
    </row>
    <row r="8">
      <c r="A8" s="27" t="inlineStr">
        <is>
          <t>Credential Standards</t>
        </is>
      </c>
      <c r="B8" s="28">
        <f>COUNTA('Credential Standards'!A4:A14)</f>
        <v/>
      </c>
      <c r="C8" s="28" t="inlineStr">
        <is>
          <t>0</t>
        </is>
      </c>
      <c r="D8" s="28" t="inlineStr">
        <is>
          <t>0</t>
        </is>
      </c>
      <c r="E8" s="28" t="inlineStr">
        <is>
          <t>0</t>
        </is>
      </c>
      <c r="F8" s="28">
        <f>COUNTA('Credential Standards'!A4:A14)</f>
        <v/>
      </c>
      <c r="G8" s="29">
        <f>IF((B8-F8)=0,0,C8/(B8-F8))</f>
        <v/>
      </c>
    </row>
    <row r="9">
      <c r="A9" s="27" t="inlineStr">
        <is>
          <t>User Responsibilities</t>
        </is>
      </c>
      <c r="B9" s="28">
        <f>COUNTA('User Responsibilities'!A4:A15)</f>
        <v/>
      </c>
      <c r="C9" s="28">
        <f>COUNTIF('User Responsibilities'!E4:E15,"Completed")</f>
        <v/>
      </c>
      <c r="D9" s="28">
        <f>COUNTIF('User Responsibilities'!E4:E15,"Yes")</f>
        <v/>
      </c>
      <c r="E9" s="28">
        <f>COUNTIF('User Responsibilities'!E4:E15,"No")</f>
        <v/>
      </c>
      <c r="F9" s="28" t="inlineStr">
        <is>
          <t>0</t>
        </is>
      </c>
      <c r="G9" s="29">
        <f>IF((B9-F9)=0,0,C9/(B9-F9))</f>
        <v/>
      </c>
    </row>
    <row r="10">
      <c r="A10" s="27" t="inlineStr">
        <is>
          <t>System Requirements</t>
        </is>
      </c>
      <c r="B10" s="28">
        <f>COUNTA('System Requirements'!A4:A17)</f>
        <v/>
      </c>
      <c r="C10" s="28">
        <f>COUNTIF('System Requirements'!E4:E17,"Implemented")</f>
        <v/>
      </c>
      <c r="D10" s="28">
        <f>COUNTIF('System Requirements'!E4:E17,"In Progress")</f>
        <v/>
      </c>
      <c r="E10" s="28">
        <f>COUNTIF('System Requirements'!E4:E17,"Not Started")</f>
        <v/>
      </c>
      <c r="F10" s="28">
        <f>COUNTIF('System Requirements'!E4:E17,"N/A")</f>
        <v/>
      </c>
      <c r="G10" s="29">
        <f>IF((B10-F10)=0,0,C10/(B10-F10))</f>
        <v/>
      </c>
    </row>
    <row r="11">
      <c r="A11" s="30" t="inlineStr">
        <is>
          <t>TOTAL</t>
        </is>
      </c>
      <c r="B11" s="31">
        <f>SUM(B6:B10)</f>
        <v/>
      </c>
      <c r="C11" s="31">
        <f>SUM(C6:C10)</f>
        <v/>
      </c>
      <c r="D11" s="31">
        <f>SUM(D6:D10)</f>
        <v/>
      </c>
      <c r="E11" s="31">
        <f>SUM(E6:E10)</f>
        <v/>
      </c>
      <c r="F11" s="31">
        <f>SUM(F6:F10)</f>
        <v/>
      </c>
      <c r="G11" s="32">
        <f>IF((B11-F11)=0,0,C11/(B11-F11))</f>
        <v/>
      </c>
    </row>
    <row r="13" ht="20" customHeight="1">
      <c r="A13" s="25" t="inlineStr">
        <is>
          <t>TABLE 2: KEY PERFORMANCE INDICATORS</t>
        </is>
      </c>
      <c r="B13" s="6" t="n"/>
      <c r="C13" s="6" t="n"/>
      <c r="D13" s="6" t="n"/>
      <c r="E13" s="6" t="n"/>
      <c r="F13" s="6" t="n"/>
      <c r="G13" s="6" t="n"/>
    </row>
    <row r="14">
      <c r="A14" s="31" t="inlineStr">
        <is>
          <t>Metric</t>
        </is>
      </c>
      <c r="B14" s="31" t="inlineStr">
        <is>
          <t>Value</t>
        </is>
      </c>
      <c r="C14" s="31" t="n"/>
      <c r="D14" s="31" t="n"/>
      <c r="E14" s="31" t="n"/>
      <c r="F14" s="31" t="n"/>
      <c r="G14" s="31" t="n"/>
    </row>
    <row r="15">
      <c r="A15" s="27" t="inlineStr">
        <is>
          <t>Password Policy: Requirements Assessed</t>
        </is>
      </c>
      <c r="B15" s="28">
        <f>COUNTA('Password Policy'!A4:A22)</f>
        <v/>
      </c>
      <c r="C15" s="6" t="n"/>
      <c r="D15" s="6" t="n"/>
      <c r="E15" s="6" t="n"/>
      <c r="F15" s="6" t="n"/>
      <c r="G15" s="6" t="n"/>
    </row>
    <row r="16">
      <c r="A16" s="27" t="inlineStr">
        <is>
          <t>Password Policy: Requirements Compliant</t>
        </is>
      </c>
      <c r="B16" s="28">
        <f>COUNTIF('Password Policy'!E4:E22,"Yes")</f>
        <v/>
      </c>
      <c r="C16" s="6" t="n"/>
      <c r="D16" s="6" t="n"/>
      <c r="E16" s="6" t="n"/>
      <c r="F16" s="6" t="n"/>
      <c r="G16" s="6" t="n"/>
    </row>
    <row r="17">
      <c r="A17" s="27" t="inlineStr">
        <is>
          <t>Password Policy: Non-Compliant Requirements</t>
        </is>
      </c>
      <c r="B17" s="28">
        <f>COUNTIF('Password Policy'!E4:E22,"No")</f>
        <v/>
      </c>
      <c r="C17" s="6" t="n"/>
      <c r="D17" s="6" t="n"/>
      <c r="E17" s="6" t="n"/>
      <c r="F17" s="6" t="n"/>
      <c r="G17" s="6" t="n"/>
    </row>
    <row r="18">
      <c r="A18" s="27" t="inlineStr">
        <is>
          <t>Password Policy: Partially Met</t>
        </is>
      </c>
      <c r="B18" s="28">
        <f>COUNTIF('Password Policy'!E4:E22,"Partial")</f>
        <v/>
      </c>
      <c r="C18" s="6" t="n"/>
      <c r="D18" s="6" t="n"/>
      <c r="E18" s="6" t="n"/>
      <c r="F18" s="6" t="n"/>
      <c r="G18" s="6" t="n"/>
    </row>
    <row r="19">
      <c r="A19" s="27" t="inlineStr">
        <is>
          <t>MFA: Mandatory Systems Defined</t>
        </is>
      </c>
      <c r="B19" s="28">
        <f>COUNTIF('MFA Requirements'!B4:B17,"MANDATORY")</f>
        <v/>
      </c>
      <c r="C19" s="6" t="n"/>
      <c r="D19" s="6" t="n"/>
      <c r="E19" s="6" t="n"/>
      <c r="F19" s="6" t="n"/>
      <c r="G19" s="6" t="n"/>
    </row>
    <row r="20">
      <c r="A20" s="27" t="inlineStr">
        <is>
          <t>MFA: Recommended Systems Defined</t>
        </is>
      </c>
      <c r="B20" s="28">
        <f>COUNTIF('MFA Requirements'!B4:B17,"RECOMMENDED")</f>
        <v/>
      </c>
      <c r="C20" s="6" t="n"/>
      <c r="D20" s="6" t="n"/>
      <c r="E20" s="6" t="n"/>
      <c r="F20" s="6" t="n"/>
      <c r="G20" s="6" t="n"/>
    </row>
    <row r="21">
      <c r="A21" s="27" t="inlineStr">
        <is>
          <t>MFA: Systems Fully Implemented</t>
        </is>
      </c>
      <c r="B21" s="28">
        <f>COUNTIF('MFA Requirements'!E4:E17,"Implemented")</f>
        <v/>
      </c>
      <c r="C21" s="6" t="n"/>
      <c r="D21" s="6" t="n"/>
      <c r="E21" s="6" t="n"/>
      <c r="F21" s="6" t="n"/>
      <c r="G21" s="6" t="n"/>
    </row>
    <row r="22">
      <c r="A22" s="27" t="inlineStr">
        <is>
          <t>MFA: Systems Not Started</t>
        </is>
      </c>
      <c r="B22" s="28">
        <f>COUNTIF('MFA Requirements'!E4:E17,"Not Started")</f>
        <v/>
      </c>
      <c r="C22" s="6" t="n"/>
      <c r="D22" s="6" t="n"/>
      <c r="E22" s="6" t="n"/>
      <c r="F22" s="6" t="n"/>
      <c r="G22" s="6" t="n"/>
    </row>
    <row r="23">
      <c r="A23" s="27" t="inlineStr">
        <is>
          <t>MFA: Exceptions Granted</t>
        </is>
      </c>
      <c r="B23" s="28">
        <f>COUNTIF('MFA Requirements'!E4:E17,"Exception")</f>
        <v/>
      </c>
      <c r="C23" s="6" t="n"/>
      <c r="D23" s="6" t="n"/>
      <c r="E23" s="6" t="n"/>
      <c r="F23" s="6" t="n"/>
      <c r="G23" s="6" t="n"/>
    </row>
    <row r="24">
      <c r="A24" s="27" t="inlineStr">
        <is>
          <t>Credential Types Defined</t>
        </is>
      </c>
      <c r="B24" s="28">
        <f>COUNTA('Credential Standards'!A4:A14)</f>
        <v/>
      </c>
      <c r="C24" s="6" t="n"/>
      <c r="D24" s="6" t="n"/>
      <c r="E24" s="6" t="n"/>
      <c r="F24" s="6" t="n"/>
      <c r="G24" s="6" t="n"/>
    </row>
    <row r="25">
      <c r="A25" s="27" t="inlineStr">
        <is>
          <t>User Responsibilities: Training Required</t>
        </is>
      </c>
      <c r="B25" s="28">
        <f>COUNTIF('User Responsibilities'!E4:E15,"Yes")</f>
        <v/>
      </c>
      <c r="C25" s="6" t="n"/>
      <c r="D25" s="6" t="n"/>
      <c r="E25" s="6" t="n"/>
      <c r="F25" s="6" t="n"/>
      <c r="G25" s="6" t="n"/>
    </row>
    <row r="26">
      <c r="A26" s="27" t="inlineStr">
        <is>
          <t>User Responsibilities: Training Completed</t>
        </is>
      </c>
      <c r="B26" s="28">
        <f>COUNTIF('User Responsibilities'!E4:E15,"Completed")</f>
        <v/>
      </c>
      <c r="C26" s="6" t="n"/>
      <c r="D26" s="6" t="n"/>
      <c r="E26" s="6" t="n"/>
      <c r="F26" s="6" t="n"/>
      <c r="G26" s="6" t="n"/>
    </row>
    <row r="27">
      <c r="A27" s="27" t="inlineStr">
        <is>
          <t>System Requirements: Implemented</t>
        </is>
      </c>
      <c r="B27" s="28">
        <f>COUNTIF('System Requirements'!E4:E17,"Implemented")</f>
        <v/>
      </c>
      <c r="C27" s="6" t="n"/>
      <c r="D27" s="6" t="n"/>
      <c r="E27" s="6" t="n"/>
      <c r="F27" s="6" t="n"/>
      <c r="G27" s="6" t="n"/>
    </row>
    <row r="28">
      <c r="A28" s="27" t="inlineStr">
        <is>
          <t>System Requirements: In Progress</t>
        </is>
      </c>
      <c r="B28" s="28">
        <f>COUNTIF('System Requirements'!E4:E17,"In Progress")</f>
        <v/>
      </c>
      <c r="C28" s="6" t="n"/>
      <c r="D28" s="6" t="n"/>
      <c r="E28" s="6" t="n"/>
      <c r="F28" s="6" t="n"/>
      <c r="G28" s="6" t="n"/>
    </row>
    <row r="29">
      <c r="A29" s="27" t="inlineStr">
        <is>
          <t>System Requirements: Not Started</t>
        </is>
      </c>
      <c r="B29" s="28">
        <f>COUNTIF('System Requirements'!E4:E17,"Not Started")</f>
        <v/>
      </c>
      <c r="C29" s="6" t="n"/>
      <c r="D29" s="6" t="n"/>
      <c r="E29" s="6" t="n"/>
      <c r="F29" s="6" t="n"/>
      <c r="G29" s="6" t="n"/>
    </row>
    <row r="30">
      <c r="A30" s="6" t="n"/>
      <c r="B30" s="6" t="n"/>
      <c r="C30" s="6" t="n"/>
      <c r="D30" s="6" t="n"/>
      <c r="E30" s="6" t="n"/>
      <c r="F30" s="6" t="n"/>
      <c r="G30" s="6" t="n"/>
    </row>
    <row r="31">
      <c r="A31" s="6" t="n"/>
      <c r="B31" s="6" t="n"/>
      <c r="C31" s="6" t="n"/>
      <c r="D31" s="6" t="n"/>
      <c r="E31" s="6" t="n"/>
      <c r="F31" s="6" t="n"/>
      <c r="G31" s="6" t="n"/>
    </row>
    <row r="33" ht="20" customHeight="1">
      <c r="A33" s="33" t="inlineStr">
        <is>
          <t>TABLE 3: CRITICAL FINDINGS REQUIRING IMMEDIATE ATTENTION</t>
        </is>
      </c>
      <c r="B33" s="6" t="n"/>
      <c r="C33" s="6" t="n"/>
      <c r="D33" s="6" t="n"/>
      <c r="E33" s="6" t="n"/>
      <c r="F33" s="6" t="n"/>
      <c r="G33" s="6" t="n"/>
    </row>
    <row r="34">
      <c r="A34" s="31" t="inlineStr">
        <is>
          <t>Category</t>
        </is>
      </c>
      <c r="B34" s="31" t="inlineStr">
        <is>
          <t>Finding</t>
        </is>
      </c>
      <c r="C34" s="31" t="inlineStr">
        <is>
          <t>Count</t>
        </is>
      </c>
      <c r="D34" s="31" t="inlineStr">
        <is>
          <t>Severity</t>
        </is>
      </c>
      <c r="E34" s="31" t="inlineStr">
        <is>
          <t>Action Required</t>
        </is>
      </c>
      <c r="F34" s="31" t="n"/>
      <c r="G34" s="31" t="n"/>
    </row>
    <row r="35">
      <c r="A35" s="34" t="inlineStr">
        <is>
          <t>Password Policy</t>
        </is>
      </c>
      <c r="B35" s="34" t="inlineStr">
        <is>
          <t>Password requirements marked Non-Compliant</t>
        </is>
      </c>
      <c r="C35" s="35">
        <f>COUNTIF('Password Policy'!E4:E22,"No")</f>
        <v/>
      </c>
      <c r="D35" s="34" t="inlineStr">
        <is>
          <t>Critical</t>
        </is>
      </c>
      <c r="E35" s="34" t="inlineStr">
        <is>
          <t>Immediate</t>
        </is>
      </c>
      <c r="F35" s="34" t="n"/>
      <c r="G35" s="34" t="n"/>
    </row>
    <row r="36">
      <c r="A36" s="34" t="inlineStr">
        <is>
          <t>Password Policy</t>
        </is>
      </c>
      <c r="B36" s="34" t="inlineStr">
        <is>
          <t>Password requirements partially met</t>
        </is>
      </c>
      <c r="C36" s="35">
        <f>COUNTIF('Password Policy'!E4:E22,"Partial")</f>
        <v/>
      </c>
      <c r="D36" s="34" t="inlineStr">
        <is>
          <t>High</t>
        </is>
      </c>
      <c r="E36" s="34" t="inlineStr">
        <is>
          <t>Urgent</t>
        </is>
      </c>
      <c r="F36" s="34" t="n"/>
      <c r="G36" s="34" t="n"/>
    </row>
    <row r="37">
      <c r="A37" s="34" t="inlineStr">
        <is>
          <t>MFA Requirements</t>
        </is>
      </c>
      <c r="B37" s="34" t="inlineStr">
        <is>
          <t>MFA systems not yet started</t>
        </is>
      </c>
      <c r="C37" s="35">
        <f>COUNTIF('MFA Requirements'!E4:E17,"Not Started")</f>
        <v/>
      </c>
      <c r="D37" s="34" t="inlineStr">
        <is>
          <t>Critical</t>
        </is>
      </c>
      <c r="E37" s="34" t="inlineStr">
        <is>
          <t>Immediate</t>
        </is>
      </c>
      <c r="F37" s="34" t="n"/>
      <c r="G37" s="34" t="n"/>
    </row>
    <row r="38">
      <c r="A38" s="34" t="inlineStr">
        <is>
          <t>MFA Requirements</t>
        </is>
      </c>
      <c r="B38" s="34" t="inlineStr">
        <is>
          <t>MFA exceptions granted</t>
        </is>
      </c>
      <c r="C38" s="35">
        <f>COUNTIF('MFA Requirements'!E4:E17,"Exception")</f>
        <v/>
      </c>
      <c r="D38" s="34" t="inlineStr">
        <is>
          <t>High</t>
        </is>
      </c>
      <c r="E38" s="34" t="inlineStr">
        <is>
          <t>Urgent</t>
        </is>
      </c>
      <c r="F38" s="34" t="n"/>
      <c r="G38" s="34" t="n"/>
    </row>
    <row r="39">
      <c r="A39" s="34" t="inlineStr">
        <is>
          <t>System Requirements</t>
        </is>
      </c>
      <c r="B39" s="34" t="inlineStr">
        <is>
          <t>System requirements not started</t>
        </is>
      </c>
      <c r="C39" s="35">
        <f>COUNTIF('System Requirements'!E4:E17,"Not Started")</f>
        <v/>
      </c>
      <c r="D39" s="34" t="inlineStr">
        <is>
          <t>High</t>
        </is>
      </c>
      <c r="E39" s="34" t="inlineStr">
        <is>
          <t>Urgent</t>
        </is>
      </c>
      <c r="F39" s="34" t="n"/>
      <c r="G39" s="34" t="n"/>
    </row>
    <row r="40">
      <c r="A40" s="34" t="inlineStr">
        <is>
          <t>System Requirements</t>
        </is>
      </c>
      <c r="B40" s="34" t="inlineStr">
        <is>
          <t>System requirements in progress (incomplete)</t>
        </is>
      </c>
      <c r="C40" s="35">
        <f>COUNTIF('System Requirements'!E4:E17,"In Progress")</f>
        <v/>
      </c>
      <c r="D40" s="34" t="inlineStr">
        <is>
          <t>Medium</t>
        </is>
      </c>
      <c r="E40" s="34" t="inlineStr">
        <is>
          <t>Plan</t>
        </is>
      </c>
      <c r="F40" s="34" t="n"/>
      <c r="G40" s="34" t="n"/>
    </row>
    <row r="41">
      <c r="A41" s="34" t="inlineStr">
        <is>
          <t>User Responsibilities</t>
        </is>
      </c>
      <c r="B41" s="34" t="inlineStr">
        <is>
          <t>Training not completed</t>
        </is>
      </c>
      <c r="C41" s="35">
        <f>COUNTIF('User Responsibilities'!E4:E15,"No")</f>
        <v/>
      </c>
      <c r="D41" s="34" t="inlineStr">
        <is>
          <t>Medium</t>
        </is>
      </c>
      <c r="E41" s="34" t="inlineStr">
        <is>
          <t>Plan</t>
        </is>
      </c>
      <c r="F41" s="34" t="n"/>
      <c r="G41" s="34" t="n"/>
    </row>
    <row r="42">
      <c r="A42" s="36" t="n"/>
      <c r="B42" s="36" t="n"/>
      <c r="C42" s="36" t="n"/>
      <c r="D42" s="36" t="n"/>
      <c r="E42" s="36" t="n"/>
      <c r="F42" s="36" t="n"/>
      <c r="G42" s="36" t="n"/>
    </row>
    <row r="43">
      <c r="A43" s="36" t="n"/>
      <c r="B43" s="36" t="n"/>
      <c r="C43" s="36" t="n"/>
      <c r="D43" s="36" t="n"/>
      <c r="E43" s="36" t="n"/>
      <c r="F43" s="36" t="n"/>
      <c r="G43" s="36" t="n"/>
    </row>
  </sheetData>
  <mergeCells count="5">
    <mergeCell ref="A13:G13"/>
    <mergeCell ref="A1:G1"/>
    <mergeCell ref="A4:G4"/>
    <mergeCell ref="A2:G2"/>
    <mergeCell ref="A33:G33"/>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E37"/>
  <sheetViews>
    <sheetView showGridLines="0" workbookViewId="0">
      <pane ySplit="2" topLeftCell="A3" activePane="bottomLeft" state="frozen"/>
      <selection pane="bottomLeft" activeCell="A1" sqref="A1"/>
    </sheetView>
  </sheetViews>
  <sheetFormatPr baseColWidth="8" defaultRowHeight="15"/>
  <cols>
    <col width="32" customWidth="1" min="1" max="1"/>
    <col width="25" customWidth="1" min="2" max="2"/>
    <col width="20" customWidth="1" min="3" max="3"/>
    <col width="20" customWidth="1" min="4" max="4"/>
    <col width="20" customWidth="1" min="5" max="5"/>
  </cols>
  <sheetData>
    <row r="1" ht="35" customHeight="1">
      <c r="A1" s="23" t="inlineStr">
        <is>
          <t>ASSESSMENT APPROVAL AND SIGN-OFF</t>
        </is>
      </c>
      <c r="B1" s="6" t="n"/>
      <c r="C1" s="6" t="n"/>
      <c r="D1" s="6" t="n"/>
      <c r="E1" s="6" t="n"/>
    </row>
    <row r="2">
      <c r="A2" s="37" t="inlineStr">
        <is>
          <t>ISO/IEC 27001:2022 - Control A.5.17: Authentication Information</t>
        </is>
      </c>
      <c r="B2" s="6" t="n"/>
      <c r="C2" s="6" t="n"/>
      <c r="D2" s="6" t="n"/>
      <c r="E2" s="6" t="n"/>
    </row>
    <row r="3">
      <c r="A3" s="38" t="inlineStr">
        <is>
          <t>DOCUMENT SUMMARY</t>
        </is>
      </c>
      <c r="B3" s="6" t="n"/>
      <c r="C3" s="6" t="n"/>
      <c r="D3" s="6" t="n"/>
      <c r="E3" s="6" t="n"/>
    </row>
    <row r="4">
      <c r="A4" s="39" t="inlineStr">
        <is>
          <t>Document:</t>
        </is>
      </c>
      <c r="B4" s="36" t="inlineStr">
        <is>
          <t>ISMS-IMP-A.5.17.1 - Authentication Policy and Standards</t>
        </is>
      </c>
      <c r="C4" s="6" t="n"/>
      <c r="D4" s="6" t="n"/>
      <c r="E4" s="6" t="n"/>
    </row>
    <row r="5">
      <c r="A5" s="39" t="inlineStr">
        <is>
          <t>Control Reference:</t>
        </is>
      </c>
      <c r="B5" s="36" t="inlineStr">
        <is>
          <t>A.5.17</t>
        </is>
      </c>
      <c r="C5" s="6" t="n"/>
      <c r="D5" s="6" t="n"/>
      <c r="E5" s="6" t="n"/>
    </row>
    <row r="6">
      <c r="A6" s="39" t="inlineStr">
        <is>
          <t>Overall Compliance Rating:</t>
        </is>
      </c>
      <c r="B6" s="40">
        <f>IFERROR(AVERAGE('Summary Dashboard'!G6:G10),"")</f>
        <v/>
      </c>
      <c r="C6" s="6" t="n"/>
      <c r="D6" s="6" t="n"/>
      <c r="E6" s="6" t="n"/>
    </row>
    <row r="7">
      <c r="A7" s="39" t="inlineStr">
        <is>
          <t>Version:</t>
        </is>
      </c>
      <c r="B7" s="36" t="inlineStr">
        <is>
          <t>1.0</t>
        </is>
      </c>
      <c r="C7" s="6" t="n"/>
      <c r="D7" s="6" t="n"/>
      <c r="E7" s="6" t="n"/>
    </row>
    <row r="8">
      <c r="A8" s="39" t="inlineStr">
        <is>
          <t>Classification:</t>
        </is>
      </c>
      <c r="B8" s="36" t="inlineStr">
        <is>
          <t>INTERNAL</t>
        </is>
      </c>
      <c r="C8" s="6" t="n"/>
      <c r="D8" s="6" t="n"/>
      <c r="E8" s="6" t="n"/>
    </row>
    <row r="10">
      <c r="A10" s="38" t="inlineStr">
        <is>
          <t>PREPARED BY (POLICY OWNER)</t>
        </is>
      </c>
      <c r="B10" s="6" t="n"/>
      <c r="C10" s="6" t="n"/>
      <c r="D10" s="6" t="n"/>
      <c r="E10" s="6" t="n"/>
    </row>
    <row r="11">
      <c r="A11" s="39" t="inlineStr">
        <is>
          <t>Name:</t>
        </is>
      </c>
      <c r="B11" s="36" t="n"/>
      <c r="C11" s="6" t="n"/>
      <c r="D11" s="6" t="n"/>
      <c r="E11" s="6" t="n"/>
    </row>
    <row r="12">
      <c r="A12" s="39" t="inlineStr">
        <is>
          <t>Title:</t>
        </is>
      </c>
      <c r="B12" s="36" t="n"/>
      <c r="C12" s="6" t="n"/>
      <c r="D12" s="6" t="n"/>
      <c r="E12" s="6" t="n"/>
    </row>
    <row r="13">
      <c r="A13" s="39" t="inlineStr">
        <is>
          <t>Date:</t>
        </is>
      </c>
      <c r="B13" s="36" t="n"/>
      <c r="C13" s="6" t="n"/>
      <c r="D13" s="6" t="n"/>
      <c r="E13" s="6" t="n"/>
    </row>
    <row r="14">
      <c r="A14" s="39" t="inlineStr">
        <is>
          <t>Signature:</t>
        </is>
      </c>
      <c r="B14" s="36" t="n"/>
      <c r="C14" s="6" t="n"/>
      <c r="D14" s="6" t="n"/>
      <c r="E14" s="6" t="n"/>
    </row>
    <row r="15">
      <c r="A15" s="39" t="inlineStr">
        <is>
          <t>Comments:</t>
        </is>
      </c>
      <c r="B15" s="36" t="n"/>
      <c r="C15" s="6" t="n"/>
      <c r="D15" s="6" t="n"/>
      <c r="E15" s="6" t="n"/>
    </row>
    <row r="17">
      <c r="A17" s="38" t="inlineStr">
        <is>
          <t>REVIEWED BY (INFORMATION SECURITY OFFICER)</t>
        </is>
      </c>
      <c r="B17" s="6" t="n"/>
      <c r="C17" s="6" t="n"/>
      <c r="D17" s="6" t="n"/>
      <c r="E17" s="6" t="n"/>
    </row>
    <row r="18">
      <c r="A18" s="39" t="inlineStr">
        <is>
          <t>Name:</t>
        </is>
      </c>
      <c r="B18" s="36" t="n"/>
      <c r="C18" s="6" t="n"/>
      <c r="D18" s="6" t="n"/>
      <c r="E18" s="6" t="n"/>
    </row>
    <row r="19">
      <c r="A19" s="39" t="inlineStr">
        <is>
          <t>Title:</t>
        </is>
      </c>
      <c r="B19" s="36" t="n"/>
      <c r="C19" s="6" t="n"/>
      <c r="D19" s="6" t="n"/>
      <c r="E19" s="6" t="n"/>
    </row>
    <row r="20">
      <c r="A20" s="39" t="inlineStr">
        <is>
          <t>Date:</t>
        </is>
      </c>
      <c r="B20" s="36" t="n"/>
      <c r="C20" s="6" t="n"/>
      <c r="D20" s="6" t="n"/>
      <c r="E20" s="6" t="n"/>
    </row>
    <row r="21">
      <c r="A21" s="39" t="inlineStr">
        <is>
          <t>Signature:</t>
        </is>
      </c>
      <c r="B21" s="36" t="n"/>
      <c r="C21" s="6" t="n"/>
      <c r="D21" s="6" t="n"/>
      <c r="E21" s="6" t="n"/>
    </row>
    <row r="22">
      <c r="A22" s="39" t="inlineStr">
        <is>
          <t>Comments:</t>
        </is>
      </c>
      <c r="B22" s="36" t="n"/>
      <c r="C22" s="6" t="n"/>
      <c r="D22" s="6" t="n"/>
      <c r="E22" s="6" t="n"/>
    </row>
    <row r="24">
      <c r="A24" s="25" t="inlineStr">
        <is>
          <t>APPROVED BY (CISO)</t>
        </is>
      </c>
      <c r="B24" s="6" t="n"/>
      <c r="C24" s="6" t="n"/>
      <c r="D24" s="6" t="n"/>
      <c r="E24" s="6" t="n"/>
    </row>
    <row r="25">
      <c r="A25" s="39" t="inlineStr">
        <is>
          <t>Name:</t>
        </is>
      </c>
      <c r="B25" s="36" t="n"/>
      <c r="C25" s="6" t="n"/>
      <c r="D25" s="6" t="n"/>
      <c r="E25" s="6" t="n"/>
    </row>
    <row r="26">
      <c r="A26" s="39" t="inlineStr">
        <is>
          <t>Title:</t>
        </is>
      </c>
      <c r="B26" s="36" t="n"/>
      <c r="C26" s="6" t="n"/>
      <c r="D26" s="6" t="n"/>
      <c r="E26" s="6" t="n"/>
    </row>
    <row r="27">
      <c r="A27" s="39" t="inlineStr">
        <is>
          <t>Date:</t>
        </is>
      </c>
      <c r="B27" s="36" t="n"/>
      <c r="C27" s="6" t="n"/>
      <c r="D27" s="6" t="n"/>
      <c r="E27" s="6" t="n"/>
    </row>
    <row r="28">
      <c r="A28" s="39" t="inlineStr">
        <is>
          <t>Signature:</t>
        </is>
      </c>
      <c r="B28" s="36" t="n"/>
      <c r="C28" s="6" t="n"/>
      <c r="D28" s="6" t="n"/>
      <c r="E28" s="6" t="n"/>
    </row>
    <row r="29">
      <c r="A29" s="39" t="inlineStr">
        <is>
          <t>Comments:</t>
        </is>
      </c>
      <c r="B29" s="36" t="n"/>
      <c r="C29" s="6" t="n"/>
      <c r="D29" s="6" t="n"/>
      <c r="E29" s="6" t="n"/>
    </row>
    <row r="31">
      <c r="A31" s="39" t="inlineStr">
        <is>
          <t>FINAL DECISION:</t>
        </is>
      </c>
      <c r="B31" s="36" t="n"/>
      <c r="C31" s="6" t="n"/>
      <c r="D31" s="6" t="n"/>
      <c r="E31" s="6" t="n"/>
    </row>
    <row r="34">
      <c r="A34" s="38" t="inlineStr">
        <is>
          <t>NEXT REVIEW DETAILS</t>
        </is>
      </c>
      <c r="B34" s="6" t="n"/>
      <c r="C34" s="6" t="n"/>
      <c r="D34" s="6" t="n"/>
      <c r="E34" s="6" t="n"/>
    </row>
    <row r="35">
      <c r="A35" s="39" t="inlineStr">
        <is>
          <t>Next Review Date:</t>
        </is>
      </c>
      <c r="B35" s="36" t="n"/>
      <c r="C35" s="6" t="n"/>
      <c r="D35" s="6" t="n"/>
      <c r="E35" s="6" t="n"/>
    </row>
    <row r="36">
      <c r="A36" s="39" t="inlineStr">
        <is>
          <t>Review Responsible:</t>
        </is>
      </c>
      <c r="B36" s="36" t="n"/>
      <c r="C36" s="6" t="n"/>
      <c r="D36" s="6" t="n"/>
      <c r="E36" s="6" t="n"/>
    </row>
    <row r="37">
      <c r="A37" s="39" t="inlineStr">
        <is>
          <t>Special Considerations:</t>
        </is>
      </c>
      <c r="B37" s="36" t="n"/>
      <c r="C37" s="6" t="n"/>
      <c r="D37" s="6" t="n"/>
      <c r="E37" s="6" t="n"/>
    </row>
  </sheetData>
  <mergeCells count="31">
    <mergeCell ref="A34:E34"/>
    <mergeCell ref="A24:E24"/>
    <mergeCell ref="B6:E6"/>
    <mergeCell ref="B15:E15"/>
    <mergeCell ref="A1:E1"/>
    <mergeCell ref="B5:E5"/>
    <mergeCell ref="B20:E20"/>
    <mergeCell ref="B36:E36"/>
    <mergeCell ref="B26:E26"/>
    <mergeCell ref="B35:E35"/>
    <mergeCell ref="B4:E4"/>
    <mergeCell ref="B7:E7"/>
    <mergeCell ref="B25:E25"/>
    <mergeCell ref="B22:E22"/>
    <mergeCell ref="A3:E3"/>
    <mergeCell ref="B31:E31"/>
    <mergeCell ref="B18:E18"/>
    <mergeCell ref="B27:E27"/>
    <mergeCell ref="A2:E2"/>
    <mergeCell ref="B12:E12"/>
    <mergeCell ref="B21:E21"/>
    <mergeCell ref="B11:E11"/>
    <mergeCell ref="A17:E17"/>
    <mergeCell ref="B14:E14"/>
    <mergeCell ref="B8:E8"/>
    <mergeCell ref="A10:E10"/>
    <mergeCell ref="B13:E13"/>
    <mergeCell ref="B29:E29"/>
    <mergeCell ref="B19:E19"/>
    <mergeCell ref="B37:E37"/>
    <mergeCell ref="B28:E28"/>
  </mergeCells>
  <dataValidations count="1">
    <dataValidation sqref="B31" showDropDown="0" showInputMessage="0" showErrorMessage="0" allowBlank="1" type="list">
      <formula1>"Approved,Approved with Conditions,Rejected,Deferred"</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ISMS Core Contributors</dc:creator>
  <dc:title xmlns:dc="http://purl.org/dc/elements/1.1/">ISMS-IMP-A.5.17.1 — Authentication Policy and Standards</dc:title>
  <dc:description xmlns:dc="http://purl.org/dc/elements/1.1/">ISMS Implementation Workbook — ISMS-IMP-A.5.17.1</dc:description>
  <dc:subject xmlns:dc="http://purl.org/dc/elements/1.1/">ISO/IEC 27001:2022 — Control A.5.17: Authentication Information</dc:subject>
  <dcterms:created xmlns:dcterms="http://purl.org/dc/terms/" xmlns:xsi="http://www.w3.org/2001/XMLSchema-instance" xsi:type="dcterms:W3CDTF">2026-03-01T16:57:17Z</dcterms:created>
  <dcterms:modified xmlns:dcterms="http://purl.org/dc/terms/" xmlns:xsi="http://www.w3.org/2001/XMLSchema-instance" xsi:type="dcterms:W3CDTF">2026-03-01T16:57:17Z</dcterms:modified>
</cp:coreProperties>
</file>