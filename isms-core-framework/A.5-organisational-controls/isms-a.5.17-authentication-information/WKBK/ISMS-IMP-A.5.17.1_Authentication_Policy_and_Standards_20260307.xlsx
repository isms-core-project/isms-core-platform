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Password Policy" sheetId="2" state="visible" r:id="rId2"/>
    <sheet xmlns:r="http://schemas.openxmlformats.org/officeDocument/2006/relationships" name="MFA Requirements" sheetId="3" state="visible" r:id="rId3"/>
    <sheet xmlns:r="http://schemas.openxmlformats.org/officeDocument/2006/relationships" name="Credential Standards" sheetId="4" state="visible" r:id="rId4"/>
    <sheet xmlns:r="http://schemas.openxmlformats.org/officeDocument/2006/relationships" name="User Responsibilities" sheetId="5" state="visible" r:id="rId5"/>
    <sheet xmlns:r="http://schemas.openxmlformats.org/officeDocument/2006/relationships" name="System Requirements"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b val="1"/>
      <color rgb="00FFFFFF"/>
      <sz val="11"/>
    </font>
    <font>
      <name val="Calibri"/>
      <sz val="11"/>
    </font>
    <font>
      <name val="Calibri"/>
      <i val="1"/>
      <sz val="10"/>
    </font>
    <font>
      <name val="Calibri"/>
      <b val="1"/>
      <color rgb="00FFFFFF"/>
      <sz val="10"/>
    </font>
    <font>
      <name val="Calibri"/>
      <sz val="10"/>
    </font>
    <font>
      <b val="1"/>
      <color rgb="00FFFFFF"/>
      <sz val="14"/>
    </font>
    <font>
      <b val="1"/>
      <color rgb="00FFFFFF"/>
      <sz val="11"/>
    </font>
    <font>
      <b val="1"/>
      <color rgb="00000000"/>
    </font>
    <font>
      <color rgb="00000000"/>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F2F2F2"/>
        <bgColor rgb="00F2F2F2"/>
      </patternFill>
    </fill>
    <fill>
      <patternFill patternType="solid">
        <fgColor rgb="00D9D9D9"/>
        <bgColor rgb="00D9D9D9"/>
      </patternFill>
    </fill>
    <fill>
      <patternFill patternType="solid">
        <fgColor rgb="00C00000"/>
        <bgColor rgb="00C00000"/>
      </patternFill>
    </fill>
  </fills>
  <borders count="2">
    <border>
      <left/>
      <right/>
      <top/>
      <bottom/>
      <diagonal/>
    </border>
    <border>
      <left style="thin"/>
      <right style="thin"/>
      <top style="thin"/>
      <bottom style="thin"/>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center" vertical="center" wrapText="1"/>
    </xf>
    <xf numFmtId="0" fontId="6" fillId="9" borderId="1" applyAlignment="1" pivotButton="0" quotePrefix="0" xfId="0">
      <alignment horizontal="center" vertical="center" wrapText="1"/>
    </xf>
    <xf numFmtId="0" fontId="7" fillId="0" borderId="1" applyAlignment="1" pivotButton="0" quotePrefix="0" xfId="0">
      <alignment horizontal="left" vertical="center" wrapText="1"/>
    </xf>
    <xf numFmtId="0" fontId="7" fillId="10" borderId="1" applyAlignment="1" pivotButton="0" quotePrefix="0" xfId="0">
      <alignment horizontal="left" vertical="center" wrapText="1"/>
    </xf>
    <xf numFmtId="0" fontId="1" fillId="8" borderId="1" applyAlignment="1" pivotButton="0" quotePrefix="0" xfId="0">
      <alignment horizontal="center" vertical="center"/>
    </xf>
    <xf numFmtId="0" fontId="8" fillId="0" borderId="1" applyAlignment="1" pivotButton="0" quotePrefix="0" xfId="0">
      <alignment horizontal="left" vertical="center"/>
    </xf>
    <xf numFmtId="0" fontId="9" fillId="8" borderId="1" applyAlignment="1" pivotButton="0" quotePrefix="0" xfId="0">
      <alignment horizontal="center" vertical="center" wrapText="1"/>
    </xf>
    <xf numFmtId="0" fontId="10" fillId="11" borderId="1" applyAlignment="1" pivotButton="0" quotePrefix="0" xfId="0">
      <alignment horizontal="center" vertical="center" wrapText="1"/>
    </xf>
    <xf numFmtId="0" fontId="10" fillId="11" borderId="1" applyAlignment="1" pivotButton="0" quotePrefix="0" xfId="0">
      <alignment horizontal="left" vertical="center" wrapText="1"/>
    </xf>
    <xf numFmtId="0" fontId="0" fillId="10" borderId="1" applyAlignment="1" pivotButton="0" quotePrefix="0" xfId="0">
      <alignment horizontal="center" vertical="center" wrapText="1"/>
    </xf>
    <xf numFmtId="0" fontId="0" fillId="10" borderId="1" applyAlignment="1" pivotButton="0" quotePrefix="0" xfId="0">
      <alignment horizontal="left" vertical="center" wrapText="1"/>
    </xf>
    <xf numFmtId="0" fontId="11" fillId="8" borderId="1" applyAlignment="1" pivotButton="0" quotePrefix="0" xfId="0">
      <alignment horizontal="center" vertical="center" wrapText="1"/>
    </xf>
    <xf numFmtId="0" fontId="5" fillId="0" borderId="0" applyAlignment="1" pivotButton="0" quotePrefix="0" xfId="0">
      <alignment horizontal="left" vertical="center"/>
    </xf>
    <xf numFmtId="0" fontId="12" fillId="8" borderId="1" pivotButton="0" quotePrefix="0" xfId="0"/>
    <xf numFmtId="0" fontId="13" fillId="12" borderId="1" applyAlignment="1" pivotButton="0" quotePrefix="0" xfId="0">
      <alignment horizontal="center" vertical="center" wrapText="1"/>
    </xf>
    <xf numFmtId="0" fontId="14" fillId="0" borderId="1" applyAlignment="1" pivotButton="0" quotePrefix="0" xfId="0">
      <alignment horizontal="left" vertical="center"/>
    </xf>
    <xf numFmtId="0" fontId="14" fillId="0" borderId="1" applyAlignment="1" pivotButton="0" quotePrefix="0" xfId="0">
      <alignment horizontal="center" vertical="center"/>
    </xf>
    <xf numFmtId="164" fontId="14" fillId="0" borderId="1" applyAlignment="1" pivotButton="0" quotePrefix="0" xfId="0">
      <alignment horizontal="center" vertical="center"/>
    </xf>
    <xf numFmtId="0" fontId="13" fillId="12" borderId="1" applyAlignment="1" pivotButton="0" quotePrefix="0" xfId="0">
      <alignment horizontal="left" vertical="center"/>
    </xf>
    <xf numFmtId="0" fontId="13" fillId="12" borderId="1" applyAlignment="1" pivotButton="0" quotePrefix="0" xfId="0">
      <alignment horizontal="center" vertical="center"/>
    </xf>
    <xf numFmtId="164" fontId="13" fillId="12" borderId="1" applyAlignment="1" pivotButton="0" quotePrefix="0" xfId="0">
      <alignment horizontal="center" vertical="center"/>
    </xf>
    <xf numFmtId="0" fontId="12" fillId="13" borderId="1" pivotButton="0" quotePrefix="0" xfId="0"/>
    <xf numFmtId="0" fontId="14" fillId="10" borderId="1" pivotButton="0" quotePrefix="0" xfId="0"/>
    <xf numFmtId="0" fontId="14" fillId="10" borderId="1" applyAlignment="1" pivotButton="0" quotePrefix="0" xfId="0">
      <alignment horizontal="center" vertical="center"/>
    </xf>
    <xf numFmtId="0" fontId="0" fillId="10" borderId="1" pivotButton="0" quotePrefix="0" xfId="0"/>
    <xf numFmtId="0" fontId="5" fillId="0" borderId="1" applyAlignment="1" pivotButton="0" quotePrefix="0" xfId="0">
      <alignment horizontal="center" vertical="center"/>
    </xf>
    <xf numFmtId="0" fontId="12" fillId="9" borderId="1" pivotButton="0" quotePrefix="0" xfId="0"/>
    <xf numFmtId="0" fontId="15" fillId="0" borderId="1" pivotButton="0" quotePrefix="0" xfId="0"/>
    <xf numFmtId="164" fontId="0" fillId="1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ISMS-IMP-A.5.17.1  -  Authentication Policy and Standards
ISO/IEC 27001:2022 - Control A.5.17: Authentication Information</t>
        </is>
      </c>
    </row>
    <row r="3">
      <c r="A3" s="2" t="inlineStr">
        <is>
          <t>Document Information</t>
        </is>
      </c>
    </row>
    <row r="4">
      <c r="A4" s="3" t="inlineStr">
        <is>
          <t>Document ID</t>
        </is>
      </c>
      <c r="B4" t="inlineStr">
        <is>
          <t>ISMS-IMP-A.5.17.1</t>
        </is>
      </c>
    </row>
    <row r="5">
      <c r="A5" s="3" t="inlineStr">
        <is>
          <t>Workbook Title</t>
        </is>
      </c>
      <c r="B5" t="inlineStr">
        <is>
          <t>Authentication Policy and Standards</t>
        </is>
      </c>
    </row>
    <row r="6">
      <c r="A6" s="3" t="inlineStr">
        <is>
          <t>Control Reference</t>
        </is>
      </c>
      <c r="B6" t="inlineStr">
        <is>
          <t>ISO/IEC 27001:2022 - Control A.5.17: Authentication Information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Password Policy — assess password length, complexity, history, and expiry requirements.</t>
        </is>
      </c>
    </row>
    <row r="14">
      <c r="A14" t="inlineStr">
        <is>
          <t>2. Complete MFA Requirements — document MFA mandate per system tier and user type.</t>
        </is>
      </c>
    </row>
    <row r="15">
      <c r="A15" t="inlineStr">
        <is>
          <t>3. Complete Credential Standards — review credential standards for service accounts and APIs.</t>
        </is>
      </c>
    </row>
    <row r="16">
      <c r="A16" t="inlineStr">
        <is>
          <t>4. Complete User Responsibilities — assess user awareness of credential protection obligations.</t>
        </is>
      </c>
    </row>
    <row r="17">
      <c r="A17" t="inlineStr">
        <is>
          <t>5. Complete System Requirements — evaluate system enforcement of authentication controls.</t>
        </is>
      </c>
    </row>
    <row r="18">
      <c r="A18" t="inlineStr">
        <is>
          <t>6. Maintain the Evidence Register with policy documentation and system configuration exports.</t>
        </is>
      </c>
    </row>
    <row r="19">
      <c r="A19" t="inlineStr">
        <is>
          <t>7. Obtain final approval and sign-off in the Approval Sign-Off sheet.</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
  <sheetViews>
    <sheetView showGridLines="0" workbookViewId="0">
      <pane ySplit="3" topLeftCell="A4" activePane="bottomLeft" state="frozen"/>
      <selection pane="bottomLeft" activeCell="A1" sqref="A1"/>
    </sheetView>
  </sheetViews>
  <sheetFormatPr baseColWidth="8" defaultRowHeight="15"/>
  <cols>
    <col width="22" customWidth="1" min="1" max="1"/>
    <col width="40" customWidth="1" min="2" max="2"/>
    <col width="22" customWidth="1" min="3" max="3"/>
    <col width="20" customWidth="1" min="4" max="4"/>
    <col width="12" customWidth="1" min="5" max="5"/>
    <col width="30" customWidth="1" min="6" max="6"/>
    <col width="25" customWidth="1" min="7" max="7"/>
  </cols>
  <sheetData>
    <row r="1" ht="35" customHeight="1">
      <c r="A1" s="11" t="inlineStr">
        <is>
          <t>PASSWORD POLICY REQUIREMENTS</t>
        </is>
      </c>
    </row>
    <row r="2">
      <c r="A2" s="12" t="inlineStr">
        <is>
          <t>ISO/IEC 27001:2022 - Control A.5.17: Authentication Information | Define and enforce password complexity and lifecycle requirements</t>
        </is>
      </c>
    </row>
    <row r="3">
      <c r="A3" s="13" t="inlineStr">
        <is>
          <t>Requirement Category</t>
        </is>
      </c>
      <c r="B3" s="13" t="inlineStr">
        <is>
          <t>Policy Requirement</t>
        </is>
      </c>
      <c r="C3" s="13" t="inlineStr">
        <is>
          <t>Standard Value</t>
        </is>
      </c>
      <c r="D3" s="13" t="inlineStr">
        <is>
          <t>Current Setting</t>
        </is>
      </c>
      <c r="E3" s="13" t="inlineStr">
        <is>
          <t>Compliant</t>
        </is>
      </c>
      <c r="F3" s="13" t="inlineStr">
        <is>
          <t>Implementation Notes</t>
        </is>
      </c>
      <c r="G3" s="13" t="inlineStr">
        <is>
          <t>Exception Process</t>
        </is>
      </c>
    </row>
    <row r="4">
      <c r="A4" s="14" t="inlineStr">
        <is>
          <t>Minimum Length</t>
        </is>
      </c>
      <c r="B4" s="14" t="inlineStr">
        <is>
          <t>Minimum password length</t>
        </is>
      </c>
      <c r="C4" s="14" t="inlineStr">
        <is>
          <t>&gt;=12 characters</t>
        </is>
      </c>
      <c r="D4" s="15" t="inlineStr"/>
      <c r="E4" s="15" t="inlineStr"/>
      <c r="F4" s="15" t="inlineStr"/>
      <c r="G4" s="15" t="inlineStr"/>
    </row>
    <row r="5">
      <c r="A5" s="14" t="inlineStr">
        <is>
          <t>Maximum Length</t>
        </is>
      </c>
      <c r="B5" s="14" t="inlineStr">
        <is>
          <t>Maximum password length (no artificial limit)</t>
        </is>
      </c>
      <c r="C5" s="14" t="inlineStr">
        <is>
          <t>&gt;=128 characters</t>
        </is>
      </c>
      <c r="D5" s="15" t="inlineStr"/>
      <c r="E5" s="15" t="inlineStr"/>
      <c r="F5" s="15" t="inlineStr"/>
      <c r="G5" s="15" t="inlineStr"/>
    </row>
    <row r="6">
      <c r="A6" s="14" t="inlineStr">
        <is>
          <t>Complexity - Uppercase</t>
        </is>
      </c>
      <c r="B6" s="14" t="inlineStr">
        <is>
          <t>Require uppercase letters</t>
        </is>
      </c>
      <c r="C6" s="14" t="inlineStr">
        <is>
          <t>Yes</t>
        </is>
      </c>
      <c r="D6" s="15" t="inlineStr"/>
      <c r="E6" s="15" t="inlineStr"/>
      <c r="F6" s="15" t="inlineStr"/>
      <c r="G6" s="15" t="inlineStr"/>
    </row>
    <row r="7">
      <c r="A7" s="14" t="inlineStr">
        <is>
          <t>Complexity - Lowercase</t>
        </is>
      </c>
      <c r="B7" s="14" t="inlineStr">
        <is>
          <t>Require lowercase letters</t>
        </is>
      </c>
      <c r="C7" s="14" t="inlineStr">
        <is>
          <t>Yes</t>
        </is>
      </c>
      <c r="D7" s="15" t="inlineStr"/>
      <c r="E7" s="15" t="inlineStr"/>
      <c r="F7" s="15" t="inlineStr"/>
      <c r="G7" s="15" t="inlineStr"/>
    </row>
    <row r="8">
      <c r="A8" s="14" t="inlineStr">
        <is>
          <t>Complexity - Numbers</t>
        </is>
      </c>
      <c r="B8" s="14" t="inlineStr">
        <is>
          <t>Require numeric characters</t>
        </is>
      </c>
      <c r="C8" s="14" t="inlineStr">
        <is>
          <t>Yes</t>
        </is>
      </c>
      <c r="D8" s="15" t="inlineStr"/>
      <c r="E8" s="15" t="inlineStr"/>
      <c r="F8" s="15" t="inlineStr"/>
      <c r="G8" s="15" t="inlineStr"/>
    </row>
    <row r="9">
      <c r="A9" s="14" t="inlineStr">
        <is>
          <t>Complexity - Special</t>
        </is>
      </c>
      <c r="B9" s="14" t="inlineStr">
        <is>
          <t>Require special characters</t>
        </is>
      </c>
      <c r="C9" s="14" t="inlineStr">
        <is>
          <t>Yes</t>
        </is>
      </c>
      <c r="D9" s="15" t="inlineStr"/>
      <c r="E9" s="15" t="inlineStr"/>
      <c r="F9" s="15" t="inlineStr"/>
      <c r="G9" s="15" t="inlineStr"/>
    </row>
    <row r="10">
      <c r="A10" s="14" t="inlineStr">
        <is>
          <t>Password History</t>
        </is>
      </c>
      <c r="B10" s="14" t="inlineStr">
        <is>
          <t>Number of previous passwords prevented</t>
        </is>
      </c>
      <c r="C10" s="14" t="inlineStr">
        <is>
          <t>&gt;=12 passwords</t>
        </is>
      </c>
      <c r="D10" s="15" t="inlineStr"/>
      <c r="E10" s="15" t="inlineStr"/>
      <c r="F10" s="15" t="inlineStr"/>
      <c r="G10" s="15" t="inlineStr"/>
    </row>
    <row r="11">
      <c r="A11" s="14" t="inlineStr">
        <is>
          <t>Maximum Age</t>
        </is>
      </c>
      <c r="B11" s="14" t="inlineStr">
        <is>
          <t>Maximum password age before mandatory change</t>
        </is>
      </c>
      <c r="C11" s="14" t="inlineStr">
        <is>
          <t>&lt;=365 days</t>
        </is>
      </c>
      <c r="D11" s="15" t="inlineStr"/>
      <c r="E11" s="15" t="inlineStr"/>
      <c r="F11" s="15" t="inlineStr"/>
      <c r="G11" s="15" t="inlineStr"/>
    </row>
    <row r="12">
      <c r="A12" s="14" t="inlineStr">
        <is>
          <t>Minimum Age</t>
        </is>
      </c>
      <c r="B12" s="14" t="inlineStr">
        <is>
          <t>Minimum age before password can be changed</t>
        </is>
      </c>
      <c r="C12" s="14" t="inlineStr">
        <is>
          <t>&gt;=1 day</t>
        </is>
      </c>
      <c r="D12" s="15" t="inlineStr"/>
      <c r="E12" s="15" t="inlineStr"/>
      <c r="F12" s="15" t="inlineStr"/>
      <c r="G12" s="15" t="inlineStr"/>
    </row>
    <row r="13">
      <c r="A13" s="14" t="inlineStr">
        <is>
          <t>Initial Password</t>
        </is>
      </c>
      <c r="B13" s="14" t="inlineStr">
        <is>
          <t>Temporary password requirements</t>
        </is>
      </c>
      <c r="C13" s="14" t="inlineStr">
        <is>
          <t>Force change on first login</t>
        </is>
      </c>
      <c r="D13" s="15" t="inlineStr"/>
      <c r="E13" s="15" t="inlineStr"/>
      <c r="F13" s="15" t="inlineStr"/>
      <c r="G13" s="15" t="inlineStr"/>
    </row>
    <row r="14">
      <c r="A14" s="14" t="inlineStr">
        <is>
          <t>Common Passwords</t>
        </is>
      </c>
      <c r="B14" s="14" t="inlineStr">
        <is>
          <t>Block commonly used/breached passwords</t>
        </is>
      </c>
      <c r="C14" s="14" t="inlineStr">
        <is>
          <t>Yes - use blocklist</t>
        </is>
      </c>
      <c r="D14" s="15" t="inlineStr"/>
      <c r="E14" s="15" t="inlineStr"/>
      <c r="F14" s="15" t="inlineStr"/>
      <c r="G14" s="15" t="inlineStr"/>
    </row>
    <row r="15">
      <c r="A15" s="14" t="inlineStr">
        <is>
          <t>Sequential Characters</t>
        </is>
      </c>
      <c r="B15" s="14" t="inlineStr">
        <is>
          <t>Block sequential characters (abc, 123)</t>
        </is>
      </c>
      <c r="C15" s="14" t="inlineStr">
        <is>
          <t>Yes</t>
        </is>
      </c>
      <c r="D15" s="15" t="inlineStr"/>
      <c r="E15" s="15" t="inlineStr"/>
      <c r="F15" s="15" t="inlineStr"/>
      <c r="G15" s="15" t="inlineStr"/>
    </row>
    <row r="16">
      <c r="A16" s="14" t="inlineStr">
        <is>
          <t>Username in Password</t>
        </is>
      </c>
      <c r="B16" s="14" t="inlineStr">
        <is>
          <t>Block username or variations in password</t>
        </is>
      </c>
      <c r="C16" s="14" t="inlineStr">
        <is>
          <t>Yes</t>
        </is>
      </c>
      <c r="D16" s="15" t="inlineStr"/>
      <c r="E16" s="15" t="inlineStr"/>
      <c r="F16" s="15" t="inlineStr"/>
      <c r="G16" s="15" t="inlineStr"/>
    </row>
    <row r="17">
      <c r="A17" s="14" t="inlineStr">
        <is>
          <t>Dictionary Words</t>
        </is>
      </c>
      <c r="B17" s="14" t="inlineStr">
        <is>
          <t>Block dictionary words</t>
        </is>
      </c>
      <c r="C17" s="14" t="inlineStr">
        <is>
          <t>Recommended</t>
        </is>
      </c>
      <c r="D17" s="15" t="inlineStr"/>
      <c r="E17" s="15" t="inlineStr"/>
      <c r="F17" s="15" t="inlineStr"/>
      <c r="G17" s="15" t="inlineStr"/>
    </row>
    <row r="18">
      <c r="A18" s="14" t="inlineStr">
        <is>
          <t>Password Hints</t>
        </is>
      </c>
      <c r="B18" s="14" t="inlineStr">
        <is>
          <t>Disable password hints</t>
        </is>
      </c>
      <c r="C18" s="14" t="inlineStr">
        <is>
          <t>Yes</t>
        </is>
      </c>
      <c r="D18" s="15" t="inlineStr"/>
      <c r="E18" s="15" t="inlineStr"/>
      <c r="F18" s="15" t="inlineStr"/>
      <c r="G18" s="15" t="inlineStr"/>
    </row>
    <row r="19">
      <c r="A19" s="14" t="inlineStr">
        <is>
          <t>Account Lockout Threshold</t>
        </is>
      </c>
      <c r="B19" s="14" t="inlineStr">
        <is>
          <t>Failed attempts before lockout</t>
        </is>
      </c>
      <c r="C19" s="14" t="inlineStr">
        <is>
          <t>5-10 attempts</t>
        </is>
      </c>
      <c r="D19" s="15" t="inlineStr"/>
      <c r="E19" s="15" t="inlineStr"/>
      <c r="F19" s="15" t="inlineStr"/>
      <c r="G19" s="15" t="inlineStr"/>
    </row>
    <row r="20">
      <c r="A20" s="14" t="inlineStr">
        <is>
          <t>Lockout Duration</t>
        </is>
      </c>
      <c r="B20" s="14" t="inlineStr">
        <is>
          <t>Account lockout duration</t>
        </is>
      </c>
      <c r="C20" s="14" t="inlineStr">
        <is>
          <t>&gt;=15 minutes</t>
        </is>
      </c>
      <c r="D20" s="15" t="inlineStr"/>
      <c r="E20" s="15" t="inlineStr"/>
      <c r="F20" s="15" t="inlineStr"/>
      <c r="G20" s="15" t="inlineStr"/>
    </row>
    <row r="21">
      <c r="A21" s="14" t="inlineStr">
        <is>
          <t>Password Storage</t>
        </is>
      </c>
      <c r="B21" s="14" t="inlineStr">
        <is>
          <t>Secure storage algorithm</t>
        </is>
      </c>
      <c r="C21" s="14" t="inlineStr">
        <is>
          <t>bcrypt/Argon2/PBKDF2</t>
        </is>
      </c>
      <c r="D21" s="15" t="inlineStr"/>
      <c r="E21" s="15" t="inlineStr"/>
      <c r="F21" s="15" t="inlineStr"/>
      <c r="G21" s="15" t="inlineStr"/>
    </row>
    <row r="22">
      <c r="A22" s="14" t="inlineStr">
        <is>
          <t>Transmission Security</t>
        </is>
      </c>
      <c r="B22" s="14" t="inlineStr">
        <is>
          <t>Password transmission encryption</t>
        </is>
      </c>
      <c r="C22" s="14" t="inlineStr">
        <is>
          <t>TLS 1.2+ required</t>
        </is>
      </c>
      <c r="D22" s="15" t="inlineStr"/>
      <c r="E22" s="15" t="inlineStr"/>
      <c r="F22" s="15" t="inlineStr"/>
      <c r="G22" s="15" t="inlineStr"/>
    </row>
  </sheetData>
  <mergeCells count="2">
    <mergeCell ref="A2:G2"/>
    <mergeCell ref="A1:G1"/>
  </mergeCells>
  <dataValidations count="1">
    <dataValidation sqref="E4:E28" showDropDown="0" showInputMessage="0" showErrorMessage="0" allowBlank="1" type="list">
      <formula1>"Yes,No,Partial,N/A"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showGridLines="0" workbookViewId="0">
      <pane ySplit="3" topLeftCell="A4" activePane="bottomLeft" state="frozen"/>
      <selection pane="bottomLeft" activeCell="A1" sqref="A1"/>
    </sheetView>
  </sheetViews>
  <sheetFormatPr baseColWidth="8" defaultRowHeight="15"/>
  <cols>
    <col width="30" customWidth="1" min="1" max="1"/>
    <col width="14" customWidth="1" min="2" max="2"/>
    <col width="32" customWidth="1" min="3" max="3"/>
    <col width="22" customWidth="1" min="4" max="4"/>
    <col width="16" customWidth="1" min="5" max="5"/>
    <col width="18" customWidth="1" min="6" max="6"/>
    <col width="18" customWidth="1" min="7" max="7"/>
    <col width="25" customWidth="1" min="8" max="8"/>
  </cols>
  <sheetData>
    <row r="1" ht="35" customHeight="1">
      <c r="A1" s="11" t="inlineStr">
        <is>
          <t>MULTI-FACTOR AUTHENTICATION REQUIREMENTS</t>
        </is>
      </c>
    </row>
    <row r="2">
      <c r="A2" s="12" t="inlineStr">
        <is>
          <t>ISO/IEC 27001:2022 - Control A.5.17: Authentication Information | Define MFA requirements by system and access type</t>
        </is>
      </c>
    </row>
    <row r="3">
      <c r="A3" s="13" t="inlineStr">
        <is>
          <t>System/Access Type</t>
        </is>
      </c>
      <c r="B3" s="13" t="inlineStr">
        <is>
          <t>MFA Required</t>
        </is>
      </c>
      <c r="C3" s="13" t="inlineStr">
        <is>
          <t>Approved Methods</t>
        </is>
      </c>
      <c r="D3" s="13" t="inlineStr">
        <is>
          <t>Fallback Method</t>
        </is>
      </c>
      <c r="E3" s="13" t="inlineStr">
        <is>
          <t>Current Status</t>
        </is>
      </c>
      <c r="F3" s="13" t="inlineStr">
        <is>
          <t>Implementation Date</t>
        </is>
      </c>
      <c r="G3" s="13" t="inlineStr">
        <is>
          <t>Owner</t>
        </is>
      </c>
      <c r="H3" s="13" t="inlineStr">
        <is>
          <t>Notes</t>
        </is>
      </c>
    </row>
    <row r="4">
      <c r="A4" s="14" t="inlineStr">
        <is>
          <t>VPN Remote Access</t>
        </is>
      </c>
      <c r="B4" s="14" t="inlineStr">
        <is>
          <t>MANDATORY</t>
        </is>
      </c>
      <c r="C4" s="14" t="inlineStr">
        <is>
          <t>TOTP, Push Notification, FIDO2</t>
        </is>
      </c>
      <c r="D4" s="14" t="inlineStr">
        <is>
          <t>SMS (emergency only)</t>
        </is>
      </c>
      <c r="E4" s="15" t="inlineStr"/>
      <c r="F4" s="15" t="inlineStr"/>
      <c r="G4" s="15" t="inlineStr"/>
      <c r="H4" s="15" t="inlineStr"/>
    </row>
    <row r="5">
      <c r="A5" s="14" t="inlineStr">
        <is>
          <t>Cloud Applications (M365, etc.)</t>
        </is>
      </c>
      <c r="B5" s="14" t="inlineStr">
        <is>
          <t>MANDATORY</t>
        </is>
      </c>
      <c r="C5" s="14" t="inlineStr">
        <is>
          <t>Authenticator App, FIDO2</t>
        </is>
      </c>
      <c r="D5" s="14" t="inlineStr">
        <is>
          <t>Phone call</t>
        </is>
      </c>
      <c r="E5" s="15" t="inlineStr"/>
      <c r="F5" s="15" t="inlineStr"/>
      <c r="G5" s="15" t="inlineStr"/>
      <c r="H5" s="15" t="inlineStr"/>
    </row>
    <row r="6">
      <c r="A6" s="14" t="inlineStr">
        <is>
          <t>Privileged Access (Admin)</t>
        </is>
      </c>
      <c r="B6" s="14" t="inlineStr">
        <is>
          <t>MANDATORY</t>
        </is>
      </c>
      <c r="C6" s="14" t="inlineStr">
        <is>
          <t>Hardware Token, FIDO2</t>
        </is>
      </c>
      <c r="D6" s="14" t="inlineStr">
        <is>
          <t>Authenticator App</t>
        </is>
      </c>
      <c r="E6" s="15" t="inlineStr"/>
      <c r="F6" s="15" t="inlineStr"/>
      <c r="G6" s="15" t="inlineStr"/>
      <c r="H6" s="15" t="inlineStr"/>
    </row>
    <row r="7">
      <c r="A7" s="14" t="inlineStr">
        <is>
          <t>Email (External Access)</t>
        </is>
      </c>
      <c r="B7" s="14" t="inlineStr">
        <is>
          <t>MANDATORY</t>
        </is>
      </c>
      <c r="C7" s="14" t="inlineStr">
        <is>
          <t>TOTP, Push Notification</t>
        </is>
      </c>
      <c r="D7" s="14" t="inlineStr">
        <is>
          <t>SMS</t>
        </is>
      </c>
      <c r="E7" s="15" t="inlineStr"/>
      <c r="F7" s="15" t="inlineStr"/>
      <c r="G7" s="15" t="inlineStr"/>
      <c r="H7" s="15" t="inlineStr"/>
    </row>
    <row r="8">
      <c r="A8" s="14" t="inlineStr">
        <is>
          <t>Internal Applications (Sensitive)</t>
        </is>
      </c>
      <c r="B8" s="14" t="inlineStr">
        <is>
          <t>MANDATORY</t>
        </is>
      </c>
      <c r="C8" s="14" t="inlineStr">
        <is>
          <t>Authenticator App, FIDO2</t>
        </is>
      </c>
      <c r="D8" s="14" t="inlineStr">
        <is>
          <t>SMS</t>
        </is>
      </c>
      <c r="E8" s="15" t="inlineStr"/>
      <c r="F8" s="15" t="inlineStr"/>
      <c r="G8" s="15" t="inlineStr"/>
      <c r="H8" s="15" t="inlineStr"/>
    </row>
    <row r="9">
      <c r="A9" s="14" t="inlineStr">
        <is>
          <t>Internal Applications (Standard)</t>
        </is>
      </c>
      <c r="B9" s="14" t="inlineStr">
        <is>
          <t>RECOMMENDED</t>
        </is>
      </c>
      <c r="C9" s="14" t="inlineStr">
        <is>
          <t>Authenticator App</t>
        </is>
      </c>
      <c r="D9" s="14" t="inlineStr">
        <is>
          <t>N/A</t>
        </is>
      </c>
      <c r="E9" s="15" t="inlineStr"/>
      <c r="F9" s="15" t="inlineStr"/>
      <c r="G9" s="15" t="inlineStr"/>
      <c r="H9" s="15" t="inlineStr"/>
    </row>
    <row r="10">
      <c r="A10" s="14" t="inlineStr">
        <is>
          <t>Database Access (Production)</t>
        </is>
      </c>
      <c r="B10" s="14" t="inlineStr">
        <is>
          <t>MANDATORY</t>
        </is>
      </c>
      <c r="C10" s="14" t="inlineStr">
        <is>
          <t>Hardware Token, Certificate</t>
        </is>
      </c>
      <c r="D10" s="14" t="inlineStr">
        <is>
          <t>TOTP</t>
        </is>
      </c>
      <c r="E10" s="15" t="inlineStr"/>
      <c r="F10" s="15" t="inlineStr"/>
      <c r="G10" s="15" t="inlineStr"/>
      <c r="H10" s="15" t="inlineStr"/>
    </row>
    <row r="11">
      <c r="A11" s="14" t="inlineStr">
        <is>
          <t>Source Code Repository</t>
        </is>
      </c>
      <c r="B11" s="14" t="inlineStr">
        <is>
          <t>MANDATORY</t>
        </is>
      </c>
      <c r="C11" s="14" t="inlineStr">
        <is>
          <t>TOTP, FIDO2</t>
        </is>
      </c>
      <c r="D11" s="14" t="inlineStr">
        <is>
          <t>Authenticator App</t>
        </is>
      </c>
      <c r="E11" s="15" t="inlineStr"/>
      <c r="F11" s="15" t="inlineStr"/>
      <c r="G11" s="15" t="inlineStr"/>
      <c r="H11" s="15" t="inlineStr"/>
    </row>
    <row r="12">
      <c r="A12" s="14" t="inlineStr">
        <is>
          <t>CI/CD Pipeline</t>
        </is>
      </c>
      <c r="B12" s="14" t="inlineStr">
        <is>
          <t>MANDATORY</t>
        </is>
      </c>
      <c r="C12" s="14" t="inlineStr">
        <is>
          <t>Service Account + Certificate</t>
        </is>
      </c>
      <c r="D12" s="14" t="inlineStr">
        <is>
          <t>Hardware Token</t>
        </is>
      </c>
      <c r="E12" s="15" t="inlineStr"/>
      <c r="F12" s="15" t="inlineStr"/>
      <c r="G12" s="15" t="inlineStr"/>
      <c r="H12" s="15" t="inlineStr"/>
    </row>
    <row r="13">
      <c r="A13" s="14" t="inlineStr">
        <is>
          <t>Customer Portal (Admin)</t>
        </is>
      </c>
      <c r="B13" s="14" t="inlineStr">
        <is>
          <t>MANDATORY</t>
        </is>
      </c>
      <c r="C13" s="14" t="inlineStr">
        <is>
          <t>TOTP, Push Notification</t>
        </is>
      </c>
      <c r="D13" s="14" t="inlineStr">
        <is>
          <t>SMS</t>
        </is>
      </c>
      <c r="E13" s="15" t="inlineStr"/>
      <c r="F13" s="15" t="inlineStr"/>
      <c r="G13" s="15" t="inlineStr"/>
      <c r="H13" s="15" t="inlineStr"/>
    </row>
    <row r="14">
      <c r="A14" s="14" t="inlineStr">
        <is>
          <t>Customer Portal (Users)</t>
        </is>
      </c>
      <c r="B14" s="14" t="inlineStr">
        <is>
          <t>RECOMMENDED</t>
        </is>
      </c>
      <c r="C14" s="14" t="inlineStr">
        <is>
          <t>TOTP, Email OTP</t>
        </is>
      </c>
      <c r="D14" s="14" t="inlineStr">
        <is>
          <t>Security Questions</t>
        </is>
      </c>
      <c r="E14" s="15" t="inlineStr"/>
      <c r="F14" s="15" t="inlineStr"/>
      <c r="G14" s="15" t="inlineStr"/>
      <c r="H14" s="15" t="inlineStr"/>
    </row>
    <row r="15">
      <c r="A15" s="14" t="inlineStr">
        <is>
          <t>Workstation Login</t>
        </is>
      </c>
      <c r="B15" s="14" t="inlineStr">
        <is>
          <t>CONDITIONAL</t>
        </is>
      </c>
      <c r="C15" s="14" t="inlineStr">
        <is>
          <t>Windows Hello, Smart Card</t>
        </is>
      </c>
      <c r="D15" s="14" t="inlineStr">
        <is>
          <t>Password only</t>
        </is>
      </c>
      <c r="E15" s="15" t="inlineStr"/>
      <c r="F15" s="15" t="inlineStr"/>
      <c r="G15" s="15" t="inlineStr"/>
      <c r="H15" s="15" t="inlineStr"/>
    </row>
    <row r="16">
      <c r="A16" s="14" t="inlineStr">
        <is>
          <t>Server Console Access</t>
        </is>
      </c>
      <c r="B16" s="14" t="inlineStr">
        <is>
          <t>MANDATORY</t>
        </is>
      </c>
      <c r="C16" s="14" t="inlineStr">
        <is>
          <t>Hardware Token, Certificate</t>
        </is>
      </c>
      <c r="D16" s="14" t="inlineStr">
        <is>
          <t>TOTP</t>
        </is>
      </c>
      <c r="E16" s="15" t="inlineStr"/>
      <c r="F16" s="15" t="inlineStr"/>
      <c r="G16" s="15" t="inlineStr"/>
      <c r="H16" s="15" t="inlineStr"/>
    </row>
    <row r="17">
      <c r="A17" s="14" t="inlineStr">
        <is>
          <t>Cloud Infrastructure (AWS/Azure)</t>
        </is>
      </c>
      <c r="B17" s="14" t="inlineStr">
        <is>
          <t>MANDATORY</t>
        </is>
      </c>
      <c r="C17" s="14" t="inlineStr">
        <is>
          <t>FIDO2, Hardware Token</t>
        </is>
      </c>
      <c r="D17" s="14" t="inlineStr">
        <is>
          <t>Authenticator App</t>
        </is>
      </c>
      <c r="E17" s="15" t="inlineStr"/>
      <c r="F17" s="15" t="inlineStr"/>
      <c r="G17" s="15" t="inlineStr"/>
      <c r="H17" s="15" t="inlineStr"/>
    </row>
  </sheetData>
  <mergeCells count="2">
    <mergeCell ref="A2:H2"/>
    <mergeCell ref="A1:H1"/>
  </mergeCells>
  <dataValidations count="2">
    <dataValidation sqref="B4:B23" showDropDown="0" showInputMessage="0" showErrorMessage="0" allowBlank="1" type="list">
      <formula1>"MANDATORY,RECOMMENDED,CONDITIONAL,NOT REQUIRED"</formula1>
    </dataValidation>
    <dataValidation sqref="E4:E23" showDropDown="0" showInputMessage="0" showErrorMessage="0" allowBlank="1" type="list">
      <formula1>"Implemented,In Progress,Planned,Not Started,Exception"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
  <sheetViews>
    <sheetView showGridLines="0" workbookViewId="0">
      <pane ySplit="3" topLeftCell="A4" activePane="bottomLeft" state="frozen"/>
      <selection pane="bottomLeft" activeCell="A1" sqref="A1"/>
    </sheetView>
  </sheetViews>
  <sheetFormatPr baseColWidth="8" defaultRowHeight="15"/>
  <cols>
    <col width="22" customWidth="1" min="1" max="1"/>
    <col width="25" customWidth="1" min="2" max="2"/>
    <col width="28" customWidth="1" min="3" max="3"/>
    <col width="28" customWidth="1" min="4" max="4"/>
    <col width="20" customWidth="1" min="5" max="5"/>
    <col width="25" customWidth="1" min="6" max="6"/>
    <col width="30" customWidth="1" min="7" max="7"/>
    <col width="25" customWidth="1" min="8" max="8"/>
  </cols>
  <sheetData>
    <row r="1" ht="35" customHeight="1">
      <c r="A1" s="11" t="inlineStr">
        <is>
          <t>CREDENTIAL TYPE STANDARDS</t>
        </is>
      </c>
    </row>
    <row r="2">
      <c r="A2" s="12" t="inlineStr">
        <is>
          <t>ISO/IEC 27001:2022 - Control A.5.17: Authentication Information | Document security requirements per credential type</t>
        </is>
      </c>
    </row>
    <row r="3">
      <c r="A3" s="13" t="inlineStr">
        <is>
          <t>Credential Type</t>
        </is>
      </c>
      <c r="B3" s="13" t="inlineStr">
        <is>
          <t>Use Cases</t>
        </is>
      </c>
      <c r="C3" s="13" t="inlineStr">
        <is>
          <t>Security Requirements</t>
        </is>
      </c>
      <c r="D3" s="13" t="inlineStr">
        <is>
          <t>Storage Requirements</t>
        </is>
      </c>
      <c r="E3" s="13" t="inlineStr">
        <is>
          <t>Rotation Policy</t>
        </is>
      </c>
      <c r="F3" s="13" t="inlineStr">
        <is>
          <t>Revocation Process</t>
        </is>
      </c>
      <c r="G3" s="13" t="inlineStr">
        <is>
          <t>Approved Products</t>
        </is>
      </c>
      <c r="H3" s="13" t="inlineStr">
        <is>
          <t>Notes</t>
        </is>
      </c>
    </row>
    <row r="4">
      <c r="A4" s="14" t="inlineStr">
        <is>
          <t>User Passwords</t>
        </is>
      </c>
      <c r="B4" s="14" t="inlineStr">
        <is>
          <t>End-user authentication</t>
        </is>
      </c>
      <c r="C4" s="14" t="inlineStr">
        <is>
          <t>Min 12 chars, complexity</t>
        </is>
      </c>
      <c r="D4" s="14" t="inlineStr">
        <is>
          <t>bcrypt/Argon2, salted</t>
        </is>
      </c>
      <c r="E4" s="14" t="inlineStr">
        <is>
          <t>Annual or incident</t>
        </is>
      </c>
      <c r="F4" s="14" t="inlineStr">
        <is>
          <t>Immediate on termination</t>
        </is>
      </c>
      <c r="G4" s="14" t="inlineStr">
        <is>
          <t>N/A</t>
        </is>
      </c>
      <c r="H4" s="15" t="inlineStr"/>
    </row>
    <row r="5">
      <c r="A5" s="14" t="inlineStr">
        <is>
          <t>Service Account Passwords</t>
        </is>
      </c>
      <c r="B5" s="14" t="inlineStr">
        <is>
          <t>Application-to-application</t>
        </is>
      </c>
      <c r="C5" s="14" t="inlineStr">
        <is>
          <t>Min 24 chars, random</t>
        </is>
      </c>
      <c r="D5" s="14" t="inlineStr">
        <is>
          <t>Secrets manager (Vault)</t>
        </is>
      </c>
      <c r="E5" s="14" t="inlineStr">
        <is>
          <t>Quarterly</t>
        </is>
      </c>
      <c r="F5" s="14" t="inlineStr">
        <is>
          <t>Change on compromise</t>
        </is>
      </c>
      <c r="G5" s="14" t="inlineStr">
        <is>
          <t>HashiCorp Vault, Azure Key Vault</t>
        </is>
      </c>
      <c r="H5" s="15" t="inlineStr"/>
    </row>
    <row r="6">
      <c r="A6" s="14" t="inlineStr">
        <is>
          <t>API Keys</t>
        </is>
      </c>
      <c r="B6" s="14" t="inlineStr">
        <is>
          <t>API authentication</t>
        </is>
      </c>
      <c r="C6" s="14" t="inlineStr">
        <is>
          <t>Min 32 chars, random</t>
        </is>
      </c>
      <c r="D6" s="14" t="inlineStr">
        <is>
          <t>Secrets manager</t>
        </is>
      </c>
      <c r="E6" s="14" t="inlineStr">
        <is>
          <t>Quarterly</t>
        </is>
      </c>
      <c r="F6" s="14" t="inlineStr">
        <is>
          <t>Immediate revocation</t>
        </is>
      </c>
      <c r="G6" s="14" t="inlineStr">
        <is>
          <t>HashiCorp Vault, AWS Secrets Manager</t>
        </is>
      </c>
      <c r="H6" s="15" t="inlineStr"/>
    </row>
    <row r="7">
      <c r="A7" s="14" t="inlineStr">
        <is>
          <t>SSH Keys</t>
        </is>
      </c>
      <c r="B7" s="14" t="inlineStr">
        <is>
          <t>Server/system access</t>
        </is>
      </c>
      <c r="C7" s="14" t="inlineStr">
        <is>
          <t>RSA 4096-bit or Ed25519</t>
        </is>
      </c>
      <c r="D7" s="14" t="inlineStr">
        <is>
          <t>Encrypted key store</t>
        </is>
      </c>
      <c r="E7" s="14" t="inlineStr">
        <is>
          <t>Annual</t>
        </is>
      </c>
      <c r="F7" s="14" t="inlineStr">
        <is>
          <t>Remove from authorised_keys</t>
        </is>
      </c>
      <c r="G7" s="14" t="inlineStr">
        <is>
          <t>OpenSSH</t>
        </is>
      </c>
      <c r="H7" s="15" t="inlineStr"/>
    </row>
    <row r="8">
      <c r="A8" s="14" t="inlineStr">
        <is>
          <t>SSL/TLS Certificates</t>
        </is>
      </c>
      <c r="B8" s="14" t="inlineStr">
        <is>
          <t>Server authentication</t>
        </is>
      </c>
      <c r="C8" s="14" t="inlineStr">
        <is>
          <t>RSA 2048+ or ECC P-256+</t>
        </is>
      </c>
      <c r="D8" s="14" t="inlineStr">
        <is>
          <t>HSM or secure store</t>
        </is>
      </c>
      <c r="E8" s="14" t="inlineStr">
        <is>
          <t>Annual (max 1 year)</t>
        </is>
      </c>
      <c r="F8" s="14" t="inlineStr">
        <is>
          <t>CRL/OCSP update</t>
        </is>
      </c>
      <c r="G8" s="14" t="inlineStr">
        <is>
          <t>DigiCert, Let's Encrypt</t>
        </is>
      </c>
      <c r="H8" s="15" t="inlineStr"/>
    </row>
    <row r="9">
      <c r="A9" s="14" t="inlineStr">
        <is>
          <t>Client Certificates</t>
        </is>
      </c>
      <c r="B9" s="14" t="inlineStr">
        <is>
          <t>User/device authentication</t>
        </is>
      </c>
      <c r="C9" s="14" t="inlineStr">
        <is>
          <t>RSA 2048+ or ECC P-256+</t>
        </is>
      </c>
      <c r="D9" s="14" t="inlineStr">
        <is>
          <t>Smart card or TPM</t>
        </is>
      </c>
      <c r="E9" s="14" t="inlineStr">
        <is>
          <t>Annual</t>
        </is>
      </c>
      <c r="F9" s="14" t="inlineStr">
        <is>
          <t>CRL/OCSP update</t>
        </is>
      </c>
      <c r="G9" s="14" t="inlineStr">
        <is>
          <t>Internal PKI</t>
        </is>
      </c>
      <c r="H9" s="15" t="inlineStr"/>
    </row>
    <row r="10">
      <c r="A10" s="14" t="inlineStr">
        <is>
          <t>TOTP Seeds</t>
        </is>
      </c>
      <c r="B10" s="14" t="inlineStr">
        <is>
          <t>MFA time-based codes</t>
        </is>
      </c>
      <c r="C10" s="14" t="inlineStr">
        <is>
          <t>Min 160-bit secret</t>
        </is>
      </c>
      <c r="D10" s="14" t="inlineStr">
        <is>
          <t>Encrypted in auth system</t>
        </is>
      </c>
      <c r="E10" s="14" t="inlineStr">
        <is>
          <t>On device change</t>
        </is>
      </c>
      <c r="F10" s="14" t="inlineStr">
        <is>
          <t>Remove from account</t>
        </is>
      </c>
      <c r="G10" s="14" t="inlineStr">
        <is>
          <t>Microsoft Authenticator, Google Auth</t>
        </is>
      </c>
      <c r="H10" s="15" t="inlineStr"/>
    </row>
    <row r="11">
      <c r="A11" s="14" t="inlineStr">
        <is>
          <t>FIDO2/WebAuthn</t>
        </is>
      </c>
      <c r="B11" s="14" t="inlineStr">
        <is>
          <t>Passwordless MFA</t>
        </is>
      </c>
      <c r="C11" s="14" t="inlineStr">
        <is>
          <t>Platform authenticator</t>
        </is>
      </c>
      <c r="D11" s="14" t="inlineStr">
        <is>
          <t>Device TPM/Secure Element</t>
        </is>
      </c>
      <c r="E11" s="14" t="inlineStr">
        <is>
          <t>N/A (hardware bound)</t>
        </is>
      </c>
      <c r="F11" s="14" t="inlineStr">
        <is>
          <t>Remove registration</t>
        </is>
      </c>
      <c r="G11" s="14" t="inlineStr">
        <is>
          <t>YubiKey, Windows Hello</t>
        </is>
      </c>
      <c r="H11" s="15" t="inlineStr"/>
    </row>
    <row r="12">
      <c r="A12" s="14" t="inlineStr">
        <is>
          <t>Hardware Tokens</t>
        </is>
      </c>
      <c r="B12" s="14" t="inlineStr">
        <is>
          <t>High-security MFA</t>
        </is>
      </c>
      <c r="C12" s="14" t="inlineStr">
        <is>
          <t>FIPS 140-2 Level 2+</t>
        </is>
      </c>
      <c r="D12" s="14" t="inlineStr">
        <is>
          <t>Physical custody</t>
        </is>
      </c>
      <c r="E12" s="14" t="inlineStr">
        <is>
          <t>5 years or damage</t>
        </is>
      </c>
      <c r="F12" s="14" t="inlineStr">
        <is>
          <t>Return and deactivate</t>
        </is>
      </c>
      <c r="G12" s="14" t="inlineStr">
        <is>
          <t>YubiKey, RSA SecurID</t>
        </is>
      </c>
      <c r="H12" s="15" t="inlineStr"/>
    </row>
    <row r="13">
      <c r="A13" s="14" t="inlineStr">
        <is>
          <t>Biometric Data</t>
        </is>
      </c>
      <c r="B13" s="14" t="inlineStr">
        <is>
          <t>Local device auth</t>
        </is>
      </c>
      <c r="C13" s="14" t="inlineStr">
        <is>
          <t>On-device processing only</t>
        </is>
      </c>
      <c r="D13" s="14" t="inlineStr">
        <is>
          <t>Never stored centrally</t>
        </is>
      </c>
      <c r="E13" s="14" t="inlineStr">
        <is>
          <t>N/A</t>
        </is>
      </c>
      <c r="F13" s="14" t="inlineStr">
        <is>
          <t>Device wipe</t>
        </is>
      </c>
      <c r="G13" s="14" t="inlineStr">
        <is>
          <t>Windows Hello, Touch ID</t>
        </is>
      </c>
      <c r="H13" s="15" t="inlineStr"/>
    </row>
    <row r="14">
      <c r="A14" s="14" t="inlineStr">
        <is>
          <t>Recovery Codes</t>
        </is>
      </c>
      <c r="B14" s="14" t="inlineStr">
        <is>
          <t>MFA backup</t>
        </is>
      </c>
      <c r="C14" s="14" t="inlineStr">
        <is>
          <t>Random 8-digit codes</t>
        </is>
      </c>
      <c r="D14" s="14" t="inlineStr">
        <is>
          <t>User-managed secure storage</t>
        </is>
      </c>
      <c r="E14" s="14" t="inlineStr">
        <is>
          <t>On use or annually</t>
        </is>
      </c>
      <c r="F14" s="14" t="inlineStr">
        <is>
          <t>Regenerate</t>
        </is>
      </c>
      <c r="G14" s="14" t="inlineStr">
        <is>
          <t>N/A</t>
        </is>
      </c>
      <c r="H14" s="15" t="inlineStr"/>
    </row>
  </sheetData>
  <mergeCells count="2">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18" customWidth="1" min="3" max="3"/>
    <col width="30" customWidth="1" min="4" max="4"/>
    <col width="16" customWidth="1" min="5" max="5"/>
    <col width="25" customWidth="1" min="6" max="6"/>
  </cols>
  <sheetData>
    <row r="1" ht="35" customHeight="1">
      <c r="A1" s="11" t="inlineStr">
        <is>
          <t>USER RESPONSIBILITIES FOR AUTHENTICATION INFORMATION</t>
        </is>
      </c>
    </row>
    <row r="2">
      <c r="A2" s="12" t="inlineStr">
        <is>
          <t>ISO/IEC 27001:2022 - Control A.5.17: Authentication Information | Define user obligations for handling authentication credentials</t>
        </is>
      </c>
    </row>
    <row r="3">
      <c r="A3" s="13" t="inlineStr">
        <is>
          <t>Responsibility</t>
        </is>
      </c>
      <c r="B3" s="13" t="inlineStr">
        <is>
          <t>Description</t>
        </is>
      </c>
      <c r="C3" s="13" t="inlineStr">
        <is>
          <t>Requirement Level</t>
        </is>
      </c>
      <c r="D3" s="13" t="inlineStr">
        <is>
          <t>Enforcement Method</t>
        </is>
      </c>
      <c r="E3" s="13" t="inlineStr">
        <is>
          <t>Training Required</t>
        </is>
      </c>
      <c r="F3" s="13" t="inlineStr">
        <is>
          <t>Notes</t>
        </is>
      </c>
    </row>
    <row r="4">
      <c r="A4" s="14" t="inlineStr">
        <is>
          <t>Password Confidentiality</t>
        </is>
      </c>
      <c r="B4" s="14" t="inlineStr">
        <is>
          <t>Never share passwords with anyone including IT staff</t>
        </is>
      </c>
      <c r="C4" s="14" t="inlineStr">
        <is>
          <t>MANDATORY</t>
        </is>
      </c>
      <c r="D4" s="14" t="inlineStr">
        <is>
          <t>Policy acknowledgment, monitoring</t>
        </is>
      </c>
      <c r="E4" s="14" t="inlineStr">
        <is>
          <t>Yes</t>
        </is>
      </c>
      <c r="F4" s="15" t="inlineStr"/>
    </row>
    <row r="5">
      <c r="A5" s="14" t="inlineStr">
        <is>
          <t>Unique Passwords</t>
        </is>
      </c>
      <c r="B5" s="14" t="inlineStr">
        <is>
          <t>Use unique passwords for each system/service</t>
        </is>
      </c>
      <c r="C5" s="14" t="inlineStr">
        <is>
          <t>MANDATORY</t>
        </is>
      </c>
      <c r="D5" s="14" t="inlineStr">
        <is>
          <t>Password manager provided</t>
        </is>
      </c>
      <c r="E5" s="14" t="inlineStr">
        <is>
          <t>Yes</t>
        </is>
      </c>
      <c r="F5" s="15" t="inlineStr"/>
    </row>
    <row r="6">
      <c r="A6" s="14" t="inlineStr">
        <is>
          <t>Password Strength</t>
        </is>
      </c>
      <c r="B6" s="14" t="inlineStr">
        <is>
          <t>Create passwords meeting complexity requirements</t>
        </is>
      </c>
      <c r="C6" s="14" t="inlineStr">
        <is>
          <t>MANDATORY</t>
        </is>
      </c>
      <c r="D6" s="14" t="inlineStr">
        <is>
          <t>Technical enforcement</t>
        </is>
      </c>
      <c r="E6" s="14" t="inlineStr">
        <is>
          <t>Yes</t>
        </is>
      </c>
      <c r="F6" s="15" t="inlineStr"/>
    </row>
    <row r="7">
      <c r="A7" s="14" t="inlineStr">
        <is>
          <t>Secure Storage</t>
        </is>
      </c>
      <c r="B7" s="14" t="inlineStr">
        <is>
          <t>Never write down passwords or store in plain text</t>
        </is>
      </c>
      <c r="C7" s="14" t="inlineStr">
        <is>
          <t>MANDATORY</t>
        </is>
      </c>
      <c r="D7" s="14" t="inlineStr">
        <is>
          <t>Approved password manager</t>
        </is>
      </c>
      <c r="E7" s="14" t="inlineStr">
        <is>
          <t>Yes</t>
        </is>
      </c>
      <c r="F7" s="15" t="inlineStr"/>
    </row>
    <row r="8">
      <c r="A8" s="14" t="inlineStr">
        <is>
          <t>Compromise Reporting</t>
        </is>
      </c>
      <c r="B8" s="14" t="inlineStr">
        <is>
          <t>Immediately report suspected credential compromise</t>
        </is>
      </c>
      <c r="C8" s="14" t="inlineStr">
        <is>
          <t>MANDATORY</t>
        </is>
      </c>
      <c r="D8" s="14" t="inlineStr">
        <is>
          <t>Incident reporting process</t>
        </is>
      </c>
      <c r="E8" s="14" t="inlineStr">
        <is>
          <t>Yes</t>
        </is>
      </c>
      <c r="F8" s="15" t="inlineStr"/>
    </row>
    <row r="9">
      <c r="A9" s="14" t="inlineStr">
        <is>
          <t>MFA Device Security</t>
        </is>
      </c>
      <c r="B9" s="14" t="inlineStr">
        <is>
          <t>Protect MFA devices (phones, tokens) from unauthorised access</t>
        </is>
      </c>
      <c r="C9" s="14" t="inlineStr">
        <is>
          <t>MANDATORY</t>
        </is>
      </c>
      <c r="D9" s="14" t="inlineStr">
        <is>
          <t>Device management policy</t>
        </is>
      </c>
      <c r="E9" s="14" t="inlineStr">
        <is>
          <t>Yes</t>
        </is>
      </c>
      <c r="F9" s="15" t="inlineStr"/>
    </row>
    <row r="10">
      <c r="A10" s="14" t="inlineStr">
        <is>
          <t>Phishing Awareness</t>
        </is>
      </c>
      <c r="B10" s="14" t="inlineStr">
        <is>
          <t>Verify authenticity before entering credentials</t>
        </is>
      </c>
      <c r="C10" s="14" t="inlineStr">
        <is>
          <t>MANDATORY</t>
        </is>
      </c>
      <c r="D10" s="14" t="inlineStr">
        <is>
          <t>Security awareness training</t>
        </is>
      </c>
      <c r="E10" s="14" t="inlineStr">
        <is>
          <t>Yes</t>
        </is>
      </c>
      <c r="F10" s="15" t="inlineStr"/>
    </row>
    <row r="11">
      <c r="A11" s="14" t="inlineStr">
        <is>
          <t>Session Security</t>
        </is>
      </c>
      <c r="B11" s="14" t="inlineStr">
        <is>
          <t>Lock workstation when away, log out of shared systems</t>
        </is>
      </c>
      <c r="C11" s="14" t="inlineStr">
        <is>
          <t>MANDATORY</t>
        </is>
      </c>
      <c r="D11" s="14" t="inlineStr">
        <is>
          <t>Auto-lock policies</t>
        </is>
      </c>
      <c r="E11" s="14" t="inlineStr">
        <is>
          <t>Yes</t>
        </is>
      </c>
      <c r="F11" s="15" t="inlineStr"/>
    </row>
    <row r="12">
      <c r="A12" s="14" t="inlineStr">
        <is>
          <t>Personal Device MFA</t>
        </is>
      </c>
      <c r="B12" s="14" t="inlineStr">
        <is>
          <t>Secure personal devices used for MFA</t>
        </is>
      </c>
      <c r="C12" s="14" t="inlineStr">
        <is>
          <t>CONDITIONAL</t>
        </is>
      </c>
      <c r="D12" s="14" t="inlineStr">
        <is>
          <t>MDM for BYOD</t>
        </is>
      </c>
      <c r="E12" s="14" t="inlineStr">
        <is>
          <t>Yes</t>
        </is>
      </c>
      <c r="F12" s="15" t="inlineStr"/>
    </row>
    <row r="13">
      <c r="A13" s="14" t="inlineStr">
        <is>
          <t>Recovery Code Storage</t>
        </is>
      </c>
      <c r="B13" s="14" t="inlineStr">
        <is>
          <t>Store MFA recovery codes securely offline</t>
        </is>
      </c>
      <c r="C13" s="14" t="inlineStr">
        <is>
          <t>MANDATORY</t>
        </is>
      </c>
      <c r="D13" s="14" t="inlineStr">
        <is>
          <t>User guidance provided</t>
        </is>
      </c>
      <c r="E13" s="14" t="inlineStr">
        <is>
          <t>Yes</t>
        </is>
      </c>
      <c r="F13" s="15" t="inlineStr"/>
    </row>
    <row r="14">
      <c r="A14" s="14" t="inlineStr">
        <is>
          <t>Credential Sharing Prohibition</t>
        </is>
      </c>
      <c r="B14" s="14" t="inlineStr">
        <is>
          <t>Never use shared accounts for individual actions</t>
        </is>
      </c>
      <c r="C14" s="14" t="inlineStr">
        <is>
          <t>MANDATORY</t>
        </is>
      </c>
      <c r="D14" s="14" t="inlineStr">
        <is>
          <t>Audit logging</t>
        </is>
      </c>
      <c r="E14" s="14" t="inlineStr">
        <is>
          <t>Yes</t>
        </is>
      </c>
      <c r="F14" s="15" t="inlineStr"/>
    </row>
    <row r="15">
      <c r="A15" s="14" t="inlineStr">
        <is>
          <t>Employment Contract</t>
        </is>
      </c>
      <c r="B15" s="14" t="inlineStr">
        <is>
          <t>Acknowledge password responsibilities in contract</t>
        </is>
      </c>
      <c r="C15" s="14" t="inlineStr">
        <is>
          <t>MANDATORY</t>
        </is>
      </c>
      <c r="D15" s="14" t="inlineStr">
        <is>
          <t>HR onboarding process</t>
        </is>
      </c>
      <c r="E15" s="14" t="inlineStr">
        <is>
          <t>No</t>
        </is>
      </c>
      <c r="F15" s="15" t="inlineStr"/>
    </row>
  </sheetData>
  <mergeCells count="2">
    <mergeCell ref="A2:F2"/>
    <mergeCell ref="A1:F1"/>
  </mergeCells>
  <dataValidations count="2">
    <dataValidation sqref="C4:C21" showDropDown="0" showInputMessage="0" showErrorMessage="0" allowBlank="1" type="list">
      <formula1>"MANDATORY,RECOMMENDED,CONDITIONAL"</formula1>
    </dataValidation>
    <dataValidation sqref="E4:E21" showDropDown="0" showInputMessage="0" showErrorMessage="0" allowBlank="1" type="list">
      <formula1>"Yes,No,Completed"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7"/>
  <sheetViews>
    <sheetView showGridLines="0" workbookViewId="0">
      <pane ySplit="3" topLeftCell="A4" activePane="bottomLeft" state="frozen"/>
      <selection pane="bottomLeft" activeCell="A1" sqref="A1"/>
    </sheetView>
  </sheetViews>
  <sheetFormatPr baseColWidth="8" defaultRowHeight="15"/>
  <cols>
    <col width="22" customWidth="1" min="1" max="1"/>
    <col width="35" customWidth="1" min="2" max="2"/>
    <col width="32" customWidth="1" min="3" max="3"/>
    <col width="25" customWidth="1" min="4" max="4"/>
    <col width="14" customWidth="1" min="5" max="5"/>
    <col width="20" customWidth="1" min="6" max="6"/>
    <col width="25" customWidth="1" min="7" max="7"/>
  </cols>
  <sheetData>
    <row r="1" ht="35" customHeight="1">
      <c r="A1" s="11" t="inlineStr">
        <is>
          <t>AUTHENTICATION SYSTEM TECHNICAL REQUIREMENTS</t>
        </is>
      </c>
    </row>
    <row r="2">
      <c r="A2" s="12" t="inlineStr">
        <is>
          <t>ISO/IEC 27001:2022 - Control A.5.17: Authentication Information | Technical requirements for authentication system implementation</t>
        </is>
      </c>
    </row>
    <row r="3">
      <c r="A3" s="13" t="inlineStr">
        <is>
          <t>Requirement Area</t>
        </is>
      </c>
      <c r="B3" s="13" t="inlineStr">
        <is>
          <t>Technical Requirement</t>
        </is>
      </c>
      <c r="C3" s="13" t="inlineStr">
        <is>
          <t>Standard/Protocol</t>
        </is>
      </c>
      <c r="D3" s="13" t="inlineStr">
        <is>
          <t>Implementation</t>
        </is>
      </c>
      <c r="E3" s="13" t="inlineStr">
        <is>
          <t>Status</t>
        </is>
      </c>
      <c r="F3" s="13" t="inlineStr">
        <is>
          <t>Evidence</t>
        </is>
      </c>
      <c r="G3" s="13" t="inlineStr">
        <is>
          <t>Notes</t>
        </is>
      </c>
    </row>
    <row r="4">
      <c r="A4" s="14" t="inlineStr">
        <is>
          <t>Password Hashing</t>
        </is>
      </c>
      <c r="B4" s="14" t="inlineStr">
        <is>
          <t>Use approved password hashing algorithms</t>
        </is>
      </c>
      <c r="C4" s="14" t="inlineStr">
        <is>
          <t>bcrypt (cost&gt;=12), Argon2id, PBKDF2</t>
        </is>
      </c>
      <c r="D4" s="15" t="inlineStr"/>
      <c r="E4" s="15" t="inlineStr"/>
      <c r="F4" s="15" t="inlineStr"/>
      <c r="G4" s="15" t="inlineStr"/>
    </row>
    <row r="5">
      <c r="A5" s="14" t="inlineStr">
        <is>
          <t>Salt Generation</t>
        </is>
      </c>
      <c r="B5" s="14" t="inlineStr">
        <is>
          <t>Unique cryptographic salt per password</t>
        </is>
      </c>
      <c r="C5" s="14" t="inlineStr">
        <is>
          <t>Min 128-bit random salt</t>
        </is>
      </c>
      <c r="D5" s="15" t="inlineStr"/>
      <c r="E5" s="15" t="inlineStr"/>
      <c r="F5" s="15" t="inlineStr"/>
      <c r="G5" s="15" t="inlineStr"/>
    </row>
    <row r="6">
      <c r="A6" s="14" t="inlineStr">
        <is>
          <t>Transmission Security</t>
        </is>
      </c>
      <c r="B6" s="14" t="inlineStr">
        <is>
          <t>Encrypt credentials in transit</t>
        </is>
      </c>
      <c r="C6" s="14" t="inlineStr">
        <is>
          <t>TLS 1.2+ only</t>
        </is>
      </c>
      <c r="D6" s="15" t="inlineStr"/>
      <c r="E6" s="15" t="inlineStr"/>
      <c r="F6" s="15" t="inlineStr"/>
      <c r="G6" s="15" t="inlineStr"/>
    </row>
    <row r="7">
      <c r="A7" s="14" t="inlineStr">
        <is>
          <t>Session Management</t>
        </is>
      </c>
      <c r="B7" s="14" t="inlineStr">
        <is>
          <t>Secure session token handling</t>
        </is>
      </c>
      <c r="C7" s="14" t="inlineStr">
        <is>
          <t>HttpOnly, Secure, SameSite cookies</t>
        </is>
      </c>
      <c r="D7" s="15" t="inlineStr"/>
      <c r="E7" s="15" t="inlineStr"/>
      <c r="F7" s="15" t="inlineStr"/>
      <c r="G7" s="15" t="inlineStr"/>
    </row>
    <row r="8">
      <c r="A8" s="14" t="inlineStr">
        <is>
          <t>Account Lockout</t>
        </is>
      </c>
      <c r="B8" s="14" t="inlineStr">
        <is>
          <t>Implement progressive lockout</t>
        </is>
      </c>
      <c r="C8" s="14" t="inlineStr">
        <is>
          <t>5-10 attempts, 15+ min lockout</t>
        </is>
      </c>
      <c r="D8" s="15" t="inlineStr"/>
      <c r="E8" s="15" t="inlineStr"/>
      <c r="F8" s="15" t="inlineStr"/>
      <c r="G8" s="15" t="inlineStr"/>
    </row>
    <row r="9">
      <c r="A9" s="14" t="inlineStr">
        <is>
          <t>Brute Force Protection</t>
        </is>
      </c>
      <c r="B9" s="14" t="inlineStr">
        <is>
          <t>Rate limiting on authentication</t>
        </is>
      </c>
      <c r="C9" s="14" t="inlineStr">
        <is>
          <t>Max 5 attempts/minute per IP</t>
        </is>
      </c>
      <c r="D9" s="15" t="inlineStr"/>
      <c r="E9" s="15" t="inlineStr"/>
      <c r="F9" s="15" t="inlineStr"/>
      <c r="G9" s="15" t="inlineStr"/>
    </row>
    <row r="10">
      <c r="A10" s="14" t="inlineStr">
        <is>
          <t>Audit Logging</t>
        </is>
      </c>
      <c r="B10" s="14" t="inlineStr">
        <is>
          <t>Log all authentication events</t>
        </is>
      </c>
      <c r="C10" s="14" t="inlineStr">
        <is>
          <t>Success, failure, lockout, unlock</t>
        </is>
      </c>
      <c r="D10" s="15" t="inlineStr"/>
      <c r="E10" s="15" t="inlineStr"/>
      <c r="F10" s="15" t="inlineStr"/>
      <c r="G10" s="15" t="inlineStr"/>
    </row>
    <row r="11">
      <c r="A11" s="14" t="inlineStr">
        <is>
          <t>Secure Recovery</t>
        </is>
      </c>
      <c r="B11" s="14" t="inlineStr">
        <is>
          <t>Secure password reset process</t>
        </is>
      </c>
      <c r="C11" s="14" t="inlineStr">
        <is>
          <t>Email verification, time-limited tokens</t>
        </is>
      </c>
      <c r="D11" s="15" t="inlineStr"/>
      <c r="E11" s="15" t="inlineStr"/>
      <c r="F11" s="15" t="inlineStr"/>
      <c r="G11" s="15" t="inlineStr"/>
    </row>
    <row r="12">
      <c r="A12" s="14" t="inlineStr">
        <is>
          <t>MFA Integration</t>
        </is>
      </c>
      <c r="B12" s="14" t="inlineStr">
        <is>
          <t>Support for MFA protocols</t>
        </is>
      </c>
      <c r="C12" s="14" t="inlineStr">
        <is>
          <t>TOTP, WebAuthn/FIDO2, Push</t>
        </is>
      </c>
      <c r="D12" s="15" t="inlineStr"/>
      <c r="E12" s="15" t="inlineStr"/>
      <c r="F12" s="15" t="inlineStr"/>
      <c r="G12" s="15" t="inlineStr"/>
    </row>
    <row r="13">
      <c r="A13" s="14" t="inlineStr">
        <is>
          <t>SSO Support</t>
        </is>
      </c>
      <c r="B13" s="14" t="inlineStr">
        <is>
          <t>Support for single sign-on</t>
        </is>
      </c>
      <c r="C13" s="14" t="inlineStr">
        <is>
          <t>SAML 2.0, OIDC, OAuth 2.0</t>
        </is>
      </c>
      <c r="D13" s="15" t="inlineStr"/>
      <c r="E13" s="15" t="inlineStr"/>
      <c r="F13" s="15" t="inlineStr"/>
      <c r="G13" s="15" t="inlineStr"/>
    </row>
    <row r="14">
      <c r="A14" s="14" t="inlineStr">
        <is>
          <t>Password Exposure Check</t>
        </is>
      </c>
      <c r="B14" s="14" t="inlineStr">
        <is>
          <t>Check against breached password databases</t>
        </is>
      </c>
      <c r="C14" s="14" t="inlineStr">
        <is>
          <t>HIBP API integration</t>
        </is>
      </c>
      <c r="D14" s="15" t="inlineStr"/>
      <c r="E14" s="15" t="inlineStr"/>
      <c r="F14" s="15" t="inlineStr"/>
      <c r="G14" s="15" t="inlineStr"/>
    </row>
    <row r="15">
      <c r="A15" s="14" t="inlineStr">
        <is>
          <t>Credential Isolation</t>
        </is>
      </c>
      <c r="B15" s="14" t="inlineStr">
        <is>
          <t>Separate credential stores by environment</t>
        </is>
      </c>
      <c r="C15" s="14" t="inlineStr">
        <is>
          <t>Prod/dev/test separation</t>
        </is>
      </c>
      <c r="D15" s="15" t="inlineStr"/>
      <c r="E15" s="15" t="inlineStr"/>
      <c r="F15" s="15" t="inlineStr"/>
      <c r="G15" s="15" t="inlineStr"/>
    </row>
    <row r="16">
      <c r="A16" s="14" t="inlineStr">
        <is>
          <t>Secrets Management</t>
        </is>
      </c>
      <c r="B16" s="14" t="inlineStr">
        <is>
          <t>Centralised secrets management</t>
        </is>
      </c>
      <c r="C16" s="14" t="inlineStr">
        <is>
          <t>HashiCorp Vault, Azure Key Vault</t>
        </is>
      </c>
      <c r="D16" s="15" t="inlineStr"/>
      <c r="E16" s="15" t="inlineStr"/>
      <c r="F16" s="15" t="inlineStr"/>
      <c r="G16" s="15" t="inlineStr"/>
    </row>
    <row r="17">
      <c r="A17" s="14" t="inlineStr">
        <is>
          <t>Certificate Management</t>
        </is>
      </c>
      <c r="B17" s="14" t="inlineStr">
        <is>
          <t>Automated certificate lifecycle</t>
        </is>
      </c>
      <c r="C17" s="14" t="inlineStr">
        <is>
          <t>ACME, internal PKI</t>
        </is>
      </c>
      <c r="D17" s="15" t="inlineStr"/>
      <c r="E17" s="15" t="inlineStr"/>
      <c r="F17" s="15" t="inlineStr"/>
      <c r="G17" s="15" t="inlineStr"/>
    </row>
  </sheetData>
  <mergeCells count="2">
    <mergeCell ref="A2:G2"/>
    <mergeCell ref="A1:G1"/>
  </mergeCells>
  <dataValidations count="1">
    <dataValidation sqref="E4:E23" showDropDown="0" showInputMessage="0" showErrorMessage="0" allowBlank="1" type="list">
      <formula1>"Implemented,In Progress,Planned,Not Started,N/A"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6" t="inlineStr">
        <is>
          <t>EVIDENCE REGISTER</t>
        </is>
      </c>
      <c r="B1" s="6" t="n"/>
      <c r="C1" s="6" t="n"/>
      <c r="D1" s="6" t="n"/>
      <c r="E1" s="6" t="n"/>
      <c r="F1" s="6" t="n"/>
      <c r="G1" s="6" t="n"/>
      <c r="H1" s="6" t="n"/>
    </row>
    <row r="2">
      <c r="A2" s="17" t="inlineStr">
        <is>
          <t>Document all evidence collected during this assessment</t>
        </is>
      </c>
      <c r="B2" s="6" t="n"/>
      <c r="C2" s="6" t="n"/>
      <c r="D2" s="6" t="n"/>
      <c r="E2" s="6" t="n"/>
      <c r="F2" s="6" t="n"/>
      <c r="G2" s="6" t="n"/>
      <c r="H2" s="6" t="n"/>
    </row>
    <row r="4">
      <c r="A4" s="18" t="inlineStr">
        <is>
          <t>Evidence ID</t>
        </is>
      </c>
      <c r="B4" s="18" t="inlineStr">
        <is>
          <t>Assessment Area</t>
        </is>
      </c>
      <c r="C4" s="18" t="inlineStr">
        <is>
          <t>Evidence Type</t>
        </is>
      </c>
      <c r="D4" s="18" t="inlineStr">
        <is>
          <t>Description</t>
        </is>
      </c>
      <c r="E4" s="18" t="inlineStr">
        <is>
          <t>Location / Path</t>
        </is>
      </c>
      <c r="F4" s="18" t="inlineStr">
        <is>
          <t>Date Collected</t>
        </is>
      </c>
      <c r="G4" s="18" t="inlineStr">
        <is>
          <t>Collected By</t>
        </is>
      </c>
      <c r="H4" s="18" t="inlineStr">
        <is>
          <t>Verification Status</t>
        </is>
      </c>
    </row>
    <row r="5">
      <c r="A5" s="19" t="inlineStr">
        <is>
          <t>EV-001</t>
        </is>
      </c>
      <c r="B5" s="20" t="inlineStr">
        <is>
          <t>Assessment Area</t>
        </is>
      </c>
      <c r="C5" s="20" t="inlineStr">
        <is>
          <t>Policy Document</t>
        </is>
      </c>
      <c r="D5" s="20" t="inlineStr">
        <is>
          <t>Example evidence description</t>
        </is>
      </c>
      <c r="E5" s="20" t="inlineStr">
        <is>
          <t>\\fileserver\policies\document.pdf</t>
        </is>
      </c>
      <c r="F5" s="20" t="inlineStr">
        <is>
          <t>15.01.2026</t>
        </is>
      </c>
      <c r="G5" s="20" t="inlineStr">
        <is>
          <t>Assessor Name</t>
        </is>
      </c>
      <c r="H5" s="20" t="inlineStr">
        <is>
          <t>✅ Verified</t>
        </is>
      </c>
    </row>
    <row r="6">
      <c r="A6" s="21" t="n"/>
      <c r="B6" s="22" t="n"/>
      <c r="C6" s="22" t="n"/>
      <c r="D6" s="22" t="n"/>
      <c r="E6" s="22" t="n"/>
      <c r="F6" s="22" t="n"/>
      <c r="G6" s="22" t="n"/>
      <c r="H6" s="22" t="n"/>
    </row>
    <row r="7">
      <c r="A7" s="21" t="n"/>
      <c r="B7" s="22" t="n"/>
      <c r="C7" s="22" t="n"/>
      <c r="D7" s="22" t="n"/>
      <c r="E7" s="22" t="n"/>
      <c r="F7" s="22" t="n"/>
      <c r="G7" s="22" t="n"/>
      <c r="H7" s="22" t="n"/>
    </row>
    <row r="8">
      <c r="A8" s="21" t="n"/>
      <c r="B8" s="22" t="n"/>
      <c r="C8" s="22" t="n"/>
      <c r="D8" s="22" t="n"/>
      <c r="E8" s="22" t="n"/>
      <c r="F8" s="22" t="n"/>
      <c r="G8" s="22" t="n"/>
      <c r="H8" s="22" t="n"/>
    </row>
    <row r="9">
      <c r="A9" s="21" t="n"/>
      <c r="B9" s="22" t="n"/>
      <c r="C9" s="22" t="n"/>
      <c r="D9" s="22" t="n"/>
      <c r="E9" s="22" t="n"/>
      <c r="F9" s="22" t="n"/>
      <c r="G9" s="22" t="n"/>
      <c r="H9" s="22" t="n"/>
    </row>
    <row r="10">
      <c r="A10" s="21" t="n"/>
      <c r="B10" s="22" t="n"/>
      <c r="C10" s="22" t="n"/>
      <c r="D10" s="22" t="n"/>
      <c r="E10" s="22" t="n"/>
      <c r="F10" s="22" t="n"/>
      <c r="G10" s="22" t="n"/>
      <c r="H10" s="22" t="n"/>
    </row>
    <row r="11">
      <c r="A11" s="21" t="n"/>
      <c r="B11" s="22" t="n"/>
      <c r="C11" s="22" t="n"/>
      <c r="D11" s="22" t="n"/>
      <c r="E11" s="22" t="n"/>
      <c r="F11" s="22" t="n"/>
      <c r="G11" s="22" t="n"/>
      <c r="H11" s="22" t="n"/>
    </row>
    <row r="12">
      <c r="A12" s="21" t="n"/>
      <c r="B12" s="22" t="n"/>
      <c r="C12" s="22" t="n"/>
      <c r="D12" s="22" t="n"/>
      <c r="E12" s="22" t="n"/>
      <c r="F12" s="22" t="n"/>
      <c r="G12" s="22" t="n"/>
      <c r="H12" s="22" t="n"/>
    </row>
    <row r="13">
      <c r="A13" s="21" t="n"/>
      <c r="B13" s="22" t="n"/>
      <c r="C13" s="22" t="n"/>
      <c r="D13" s="22" t="n"/>
      <c r="E13" s="22" t="n"/>
      <c r="F13" s="22" t="n"/>
      <c r="G13" s="22" t="n"/>
      <c r="H13" s="22" t="n"/>
    </row>
    <row r="14">
      <c r="A14" s="21" t="n"/>
      <c r="B14" s="22" t="n"/>
      <c r="C14" s="22" t="n"/>
      <c r="D14" s="22" t="n"/>
      <c r="E14" s="22" t="n"/>
      <c r="F14" s="22" t="n"/>
      <c r="G14" s="22" t="n"/>
      <c r="H14" s="22" t="n"/>
    </row>
    <row r="15">
      <c r="A15" s="21" t="n"/>
      <c r="B15" s="22" t="n"/>
      <c r="C15" s="22" t="n"/>
      <c r="D15" s="22" t="n"/>
      <c r="E15" s="22" t="n"/>
      <c r="F15" s="22" t="n"/>
      <c r="G15" s="22" t="n"/>
      <c r="H15" s="22" t="n"/>
    </row>
    <row r="16">
      <c r="A16" s="21" t="n"/>
      <c r="B16" s="22" t="n"/>
      <c r="C16" s="22" t="n"/>
      <c r="D16" s="22" t="n"/>
      <c r="E16" s="22" t="n"/>
      <c r="F16" s="22" t="n"/>
      <c r="G16" s="22" t="n"/>
      <c r="H16" s="22" t="n"/>
    </row>
    <row r="17">
      <c r="A17" s="21" t="n"/>
      <c r="B17" s="22" t="n"/>
      <c r="C17" s="22" t="n"/>
      <c r="D17" s="22" t="n"/>
      <c r="E17" s="22" t="n"/>
      <c r="F17" s="22" t="n"/>
      <c r="G17" s="22" t="n"/>
      <c r="H17" s="22" t="n"/>
    </row>
    <row r="18">
      <c r="A18" s="21" t="n"/>
      <c r="B18" s="22" t="n"/>
      <c r="C18" s="22" t="n"/>
      <c r="D18" s="22" t="n"/>
      <c r="E18" s="22" t="n"/>
      <c r="F18" s="22" t="n"/>
      <c r="G18" s="22" t="n"/>
      <c r="H18" s="22" t="n"/>
    </row>
    <row r="19">
      <c r="A19" s="21" t="n"/>
      <c r="B19" s="22" t="n"/>
      <c r="C19" s="22" t="n"/>
      <c r="D19" s="22" t="n"/>
      <c r="E19" s="22" t="n"/>
      <c r="F19" s="22" t="n"/>
      <c r="G19" s="22" t="n"/>
      <c r="H19" s="22" t="n"/>
    </row>
    <row r="20">
      <c r="A20" s="21" t="n"/>
      <c r="B20" s="22" t="n"/>
      <c r="C20" s="22" t="n"/>
      <c r="D20" s="22" t="n"/>
      <c r="E20" s="22" t="n"/>
      <c r="F20" s="22" t="n"/>
      <c r="G20" s="22" t="n"/>
      <c r="H20" s="22" t="n"/>
    </row>
    <row r="21">
      <c r="A21" s="21" t="n"/>
      <c r="B21" s="22" t="n"/>
      <c r="C21" s="22" t="n"/>
      <c r="D21" s="22" t="n"/>
      <c r="E21" s="22" t="n"/>
      <c r="F21" s="22" t="n"/>
      <c r="G21" s="22" t="n"/>
      <c r="H21" s="22" t="n"/>
    </row>
    <row r="22">
      <c r="A22" s="21" t="n"/>
      <c r="B22" s="22" t="n"/>
      <c r="C22" s="22" t="n"/>
      <c r="D22" s="22" t="n"/>
      <c r="E22" s="22" t="n"/>
      <c r="F22" s="22" t="n"/>
      <c r="G22" s="22" t="n"/>
      <c r="H22" s="22" t="n"/>
    </row>
    <row r="23">
      <c r="A23" s="21" t="n"/>
      <c r="B23" s="22" t="n"/>
      <c r="C23" s="22" t="n"/>
      <c r="D23" s="22" t="n"/>
      <c r="E23" s="22" t="n"/>
      <c r="F23" s="22" t="n"/>
      <c r="G23" s="22" t="n"/>
      <c r="H23" s="22" t="n"/>
    </row>
    <row r="24">
      <c r="A24" s="21" t="n"/>
      <c r="B24" s="22" t="n"/>
      <c r="C24" s="22" t="n"/>
      <c r="D24" s="22" t="n"/>
      <c r="E24" s="22" t="n"/>
      <c r="F24" s="22" t="n"/>
      <c r="G24" s="22" t="n"/>
      <c r="H24" s="22" t="n"/>
    </row>
    <row r="25">
      <c r="A25" s="21" t="n"/>
      <c r="B25" s="22" t="n"/>
      <c r="C25" s="22" t="n"/>
      <c r="D25" s="22" t="n"/>
      <c r="E25" s="22" t="n"/>
      <c r="F25" s="22" t="n"/>
      <c r="G25" s="22" t="n"/>
      <c r="H25" s="22" t="n"/>
    </row>
    <row r="26">
      <c r="A26" s="21" t="n"/>
      <c r="B26" s="22" t="n"/>
      <c r="C26" s="22" t="n"/>
      <c r="D26" s="22" t="n"/>
      <c r="E26" s="22" t="n"/>
      <c r="F26" s="22" t="n"/>
      <c r="G26" s="22" t="n"/>
      <c r="H26" s="22" t="n"/>
    </row>
    <row r="27">
      <c r="A27" s="21" t="n"/>
      <c r="B27" s="22" t="n"/>
      <c r="C27" s="22" t="n"/>
      <c r="D27" s="22" t="n"/>
      <c r="E27" s="22" t="n"/>
      <c r="F27" s="22" t="n"/>
      <c r="G27" s="22" t="n"/>
      <c r="H27" s="22" t="n"/>
    </row>
    <row r="28">
      <c r="A28" s="21" t="n"/>
      <c r="B28" s="22" t="n"/>
      <c r="C28" s="22" t="n"/>
      <c r="D28" s="22" t="n"/>
      <c r="E28" s="22" t="n"/>
      <c r="F28" s="22" t="n"/>
      <c r="G28" s="22" t="n"/>
      <c r="H28" s="22" t="n"/>
    </row>
    <row r="29">
      <c r="A29" s="21" t="n"/>
      <c r="B29" s="22" t="n"/>
      <c r="C29" s="22" t="n"/>
      <c r="D29" s="22" t="n"/>
      <c r="E29" s="22" t="n"/>
      <c r="F29" s="22" t="n"/>
      <c r="G29" s="22" t="n"/>
      <c r="H29" s="22" t="n"/>
    </row>
    <row r="30">
      <c r="A30" s="21" t="n"/>
      <c r="B30" s="22" t="n"/>
      <c r="C30" s="22" t="n"/>
      <c r="D30" s="22" t="n"/>
      <c r="E30" s="22" t="n"/>
      <c r="F30" s="22" t="n"/>
      <c r="G30" s="22" t="n"/>
      <c r="H30" s="22" t="n"/>
    </row>
    <row r="31">
      <c r="A31" s="21" t="n"/>
      <c r="B31" s="22" t="n"/>
      <c r="C31" s="22" t="n"/>
      <c r="D31" s="22" t="n"/>
      <c r="E31" s="22" t="n"/>
      <c r="F31" s="22" t="n"/>
      <c r="G31" s="22" t="n"/>
      <c r="H31" s="22" t="n"/>
    </row>
    <row r="32">
      <c r="A32" s="21" t="n"/>
      <c r="B32" s="22" t="n"/>
      <c r="C32" s="22" t="n"/>
      <c r="D32" s="22" t="n"/>
      <c r="E32" s="22" t="n"/>
      <c r="F32" s="22" t="n"/>
      <c r="G32" s="22" t="n"/>
      <c r="H32" s="22" t="n"/>
    </row>
    <row r="33">
      <c r="A33" s="21" t="n"/>
      <c r="B33" s="22" t="n"/>
      <c r="C33" s="22" t="n"/>
      <c r="D33" s="22" t="n"/>
      <c r="E33" s="22" t="n"/>
      <c r="F33" s="22" t="n"/>
      <c r="G33" s="22" t="n"/>
      <c r="H33" s="22" t="n"/>
    </row>
    <row r="34">
      <c r="A34" s="21" t="n"/>
      <c r="B34" s="22" t="n"/>
      <c r="C34" s="22" t="n"/>
      <c r="D34" s="22" t="n"/>
      <c r="E34" s="22" t="n"/>
      <c r="F34" s="22" t="n"/>
      <c r="G34" s="22" t="n"/>
      <c r="H34" s="22" t="n"/>
    </row>
    <row r="35">
      <c r="A35" s="21" t="n"/>
      <c r="B35" s="22" t="n"/>
      <c r="C35" s="22" t="n"/>
      <c r="D35" s="22" t="n"/>
      <c r="E35" s="22" t="n"/>
      <c r="F35" s="22" t="n"/>
      <c r="G35" s="22" t="n"/>
      <c r="H35" s="22" t="n"/>
    </row>
    <row r="36">
      <c r="A36" s="21" t="n"/>
      <c r="B36" s="22" t="n"/>
      <c r="C36" s="22" t="n"/>
      <c r="D36" s="22" t="n"/>
      <c r="E36" s="22" t="n"/>
      <c r="F36" s="22" t="n"/>
      <c r="G36" s="22" t="n"/>
      <c r="H36" s="22" t="n"/>
    </row>
    <row r="37">
      <c r="A37" s="21" t="n"/>
      <c r="B37" s="22" t="n"/>
      <c r="C37" s="22" t="n"/>
      <c r="D37" s="22" t="n"/>
      <c r="E37" s="22" t="n"/>
      <c r="F37" s="22" t="n"/>
      <c r="G37" s="22" t="n"/>
      <c r="H37" s="22" t="n"/>
    </row>
    <row r="38">
      <c r="A38" s="21" t="n"/>
      <c r="B38" s="22" t="n"/>
      <c r="C38" s="22" t="n"/>
      <c r="D38" s="22" t="n"/>
      <c r="E38" s="22" t="n"/>
      <c r="F38" s="22" t="n"/>
      <c r="G38" s="22" t="n"/>
      <c r="H38" s="22" t="n"/>
    </row>
    <row r="39">
      <c r="A39" s="21" t="n"/>
      <c r="B39" s="22" t="n"/>
      <c r="C39" s="22" t="n"/>
      <c r="D39" s="22" t="n"/>
      <c r="E39" s="22" t="n"/>
      <c r="F39" s="22" t="n"/>
      <c r="G39" s="22" t="n"/>
      <c r="H39" s="22" t="n"/>
    </row>
    <row r="40">
      <c r="A40" s="21" t="n"/>
      <c r="B40" s="22" t="n"/>
      <c r="C40" s="22" t="n"/>
      <c r="D40" s="22" t="n"/>
      <c r="E40" s="22" t="n"/>
      <c r="F40" s="22" t="n"/>
      <c r="G40" s="22" t="n"/>
      <c r="H40" s="22" t="n"/>
    </row>
    <row r="41">
      <c r="A41" s="21" t="n"/>
      <c r="B41" s="22" t="n"/>
      <c r="C41" s="22" t="n"/>
      <c r="D41" s="22" t="n"/>
      <c r="E41" s="22" t="n"/>
      <c r="F41" s="22" t="n"/>
      <c r="G41" s="22" t="n"/>
      <c r="H41" s="22" t="n"/>
    </row>
    <row r="42">
      <c r="A42" s="21" t="n"/>
      <c r="B42" s="22" t="n"/>
      <c r="C42" s="22" t="n"/>
      <c r="D42" s="22" t="n"/>
      <c r="E42" s="22" t="n"/>
      <c r="F42" s="22" t="n"/>
      <c r="G42" s="22" t="n"/>
      <c r="H42" s="22" t="n"/>
    </row>
    <row r="43">
      <c r="A43" s="21" t="n"/>
      <c r="B43" s="22" t="n"/>
      <c r="C43" s="22" t="n"/>
      <c r="D43" s="22" t="n"/>
      <c r="E43" s="22" t="n"/>
      <c r="F43" s="22" t="n"/>
      <c r="G43" s="22" t="n"/>
      <c r="H43" s="22" t="n"/>
    </row>
    <row r="44">
      <c r="A44" s="21" t="n"/>
      <c r="B44" s="22" t="n"/>
      <c r="C44" s="22" t="n"/>
      <c r="D44" s="22" t="n"/>
      <c r="E44" s="22" t="n"/>
      <c r="F44" s="22" t="n"/>
      <c r="G44" s="22" t="n"/>
      <c r="H44" s="22" t="n"/>
    </row>
    <row r="45">
      <c r="A45" s="21" t="n"/>
      <c r="B45" s="22" t="n"/>
      <c r="C45" s="22" t="n"/>
      <c r="D45" s="22" t="n"/>
      <c r="E45" s="22" t="n"/>
      <c r="F45" s="22" t="n"/>
      <c r="G45" s="22" t="n"/>
      <c r="H45" s="22" t="n"/>
    </row>
    <row r="46">
      <c r="A46" s="21" t="n"/>
      <c r="B46" s="22" t="n"/>
      <c r="C46" s="22" t="n"/>
      <c r="D46" s="22" t="n"/>
      <c r="E46" s="22" t="n"/>
      <c r="F46" s="22" t="n"/>
      <c r="G46" s="22" t="n"/>
      <c r="H46" s="22" t="n"/>
    </row>
    <row r="47">
      <c r="A47" s="21" t="n"/>
      <c r="B47" s="22" t="n"/>
      <c r="C47" s="22" t="n"/>
      <c r="D47" s="22" t="n"/>
      <c r="E47" s="22" t="n"/>
      <c r="F47" s="22" t="n"/>
      <c r="G47" s="22" t="n"/>
      <c r="H47" s="22" t="n"/>
    </row>
    <row r="48">
      <c r="A48" s="21" t="n"/>
      <c r="B48" s="22" t="n"/>
      <c r="C48" s="22" t="n"/>
      <c r="D48" s="22" t="n"/>
      <c r="E48" s="22" t="n"/>
      <c r="F48" s="22" t="n"/>
      <c r="G48" s="22" t="n"/>
      <c r="H48" s="22" t="n"/>
    </row>
    <row r="49">
      <c r="A49" s="21" t="n"/>
      <c r="B49" s="22" t="n"/>
      <c r="C49" s="22" t="n"/>
      <c r="D49" s="22" t="n"/>
      <c r="E49" s="22" t="n"/>
      <c r="F49" s="22" t="n"/>
      <c r="G49" s="22" t="n"/>
      <c r="H49" s="22" t="n"/>
    </row>
    <row r="50">
      <c r="A50" s="21" t="n"/>
      <c r="B50" s="22" t="n"/>
      <c r="C50" s="22" t="n"/>
      <c r="D50" s="22" t="n"/>
      <c r="E50" s="22" t="n"/>
      <c r="F50" s="22" t="n"/>
      <c r="G50" s="22" t="n"/>
      <c r="H50" s="22" t="n"/>
    </row>
    <row r="51">
      <c r="A51" s="21" t="n"/>
      <c r="B51" s="22" t="n"/>
      <c r="C51" s="22" t="n"/>
      <c r="D51" s="22" t="n"/>
      <c r="E51" s="22" t="n"/>
      <c r="F51" s="22" t="n"/>
      <c r="G51" s="22" t="n"/>
      <c r="H51" s="22" t="n"/>
    </row>
    <row r="52">
      <c r="A52" s="21" t="n"/>
      <c r="B52" s="22" t="n"/>
      <c r="C52" s="22" t="n"/>
      <c r="D52" s="22" t="n"/>
      <c r="E52" s="22" t="n"/>
      <c r="F52" s="22" t="n"/>
      <c r="G52" s="22" t="n"/>
      <c r="H52" s="22" t="n"/>
    </row>
    <row r="53">
      <c r="A53" s="21" t="n"/>
      <c r="B53" s="22" t="n"/>
      <c r="C53" s="22" t="n"/>
      <c r="D53" s="22" t="n"/>
      <c r="E53" s="22" t="n"/>
      <c r="F53" s="22" t="n"/>
      <c r="G53" s="22" t="n"/>
      <c r="H53" s="22" t="n"/>
    </row>
    <row r="54">
      <c r="A54" s="21" t="n"/>
      <c r="B54" s="22" t="n"/>
      <c r="C54" s="22" t="n"/>
      <c r="D54" s="22" t="n"/>
      <c r="E54" s="22" t="n"/>
      <c r="F54" s="22" t="n"/>
      <c r="G54" s="22" t="n"/>
      <c r="H54" s="22" t="n"/>
    </row>
    <row r="55">
      <c r="A55" s="21" t="n"/>
      <c r="B55" s="22" t="n"/>
      <c r="C55" s="22" t="n"/>
      <c r="D55" s="22" t="n"/>
      <c r="E55" s="22" t="n"/>
      <c r="F55" s="22" t="n"/>
      <c r="G55" s="22" t="n"/>
      <c r="H55" s="22" t="n"/>
    </row>
    <row r="56">
      <c r="A56" s="21" t="n"/>
      <c r="B56" s="22" t="n"/>
      <c r="C56" s="22" t="n"/>
      <c r="D56" s="22" t="n"/>
      <c r="E56" s="22" t="n"/>
      <c r="F56" s="22" t="n"/>
      <c r="G56" s="22" t="n"/>
      <c r="H56" s="22" t="n"/>
    </row>
    <row r="57">
      <c r="A57" s="21" t="n"/>
      <c r="B57" s="22" t="n"/>
      <c r="C57" s="22" t="n"/>
      <c r="D57" s="22" t="n"/>
      <c r="E57" s="22" t="n"/>
      <c r="F57" s="22" t="n"/>
      <c r="G57" s="22" t="n"/>
      <c r="H57" s="22" t="n"/>
    </row>
    <row r="58">
      <c r="A58" s="21" t="n"/>
      <c r="B58" s="22" t="n"/>
      <c r="C58" s="22" t="n"/>
      <c r="D58" s="22" t="n"/>
      <c r="E58" s="22" t="n"/>
      <c r="F58" s="22" t="n"/>
      <c r="G58" s="22" t="n"/>
      <c r="H58" s="22" t="n"/>
    </row>
    <row r="59">
      <c r="A59" s="21" t="n"/>
      <c r="B59" s="22" t="n"/>
      <c r="C59" s="22" t="n"/>
      <c r="D59" s="22" t="n"/>
      <c r="E59" s="22" t="n"/>
      <c r="F59" s="22" t="n"/>
      <c r="G59" s="22" t="n"/>
      <c r="H59" s="22" t="n"/>
    </row>
    <row r="60">
      <c r="A60" s="21" t="n"/>
      <c r="B60" s="22" t="n"/>
      <c r="C60" s="22" t="n"/>
      <c r="D60" s="22" t="n"/>
      <c r="E60" s="22" t="n"/>
      <c r="F60" s="22" t="n"/>
      <c r="G60" s="22" t="n"/>
      <c r="H60" s="22" t="n"/>
    </row>
    <row r="61">
      <c r="A61" s="21" t="n"/>
      <c r="B61" s="22" t="n"/>
      <c r="C61" s="22" t="n"/>
      <c r="D61" s="22" t="n"/>
      <c r="E61" s="22" t="n"/>
      <c r="F61" s="22" t="n"/>
      <c r="G61" s="22" t="n"/>
      <c r="H61" s="22" t="n"/>
    </row>
    <row r="62">
      <c r="A62" s="21" t="n"/>
      <c r="B62" s="22" t="n"/>
      <c r="C62" s="22" t="n"/>
      <c r="D62" s="22" t="n"/>
      <c r="E62" s="22" t="n"/>
      <c r="F62" s="22" t="n"/>
      <c r="G62" s="22" t="n"/>
      <c r="H62" s="22" t="n"/>
    </row>
    <row r="63">
      <c r="A63" s="21" t="n"/>
      <c r="B63" s="22" t="n"/>
      <c r="C63" s="22" t="n"/>
      <c r="D63" s="22" t="n"/>
      <c r="E63" s="22" t="n"/>
      <c r="F63" s="22" t="n"/>
      <c r="G63" s="22" t="n"/>
      <c r="H63" s="22" t="n"/>
    </row>
    <row r="64">
      <c r="A64" s="21" t="n"/>
      <c r="B64" s="22" t="n"/>
      <c r="C64" s="22" t="n"/>
      <c r="D64" s="22" t="n"/>
      <c r="E64" s="22" t="n"/>
      <c r="F64" s="22" t="n"/>
      <c r="G64" s="22" t="n"/>
      <c r="H64" s="22" t="n"/>
    </row>
    <row r="65">
      <c r="A65" s="21" t="n"/>
      <c r="B65" s="22" t="n"/>
      <c r="C65" s="22" t="n"/>
      <c r="D65" s="22" t="n"/>
      <c r="E65" s="22" t="n"/>
      <c r="F65" s="22" t="n"/>
      <c r="G65" s="22" t="n"/>
      <c r="H65" s="22" t="n"/>
    </row>
    <row r="66">
      <c r="A66" s="21" t="n"/>
      <c r="B66" s="22" t="n"/>
      <c r="C66" s="22" t="n"/>
      <c r="D66" s="22" t="n"/>
      <c r="E66" s="22" t="n"/>
      <c r="F66" s="22" t="n"/>
      <c r="G66" s="22" t="n"/>
      <c r="H66" s="22" t="n"/>
    </row>
    <row r="67">
      <c r="A67" s="21" t="n"/>
      <c r="B67" s="22" t="n"/>
      <c r="C67" s="22" t="n"/>
      <c r="D67" s="22" t="n"/>
      <c r="E67" s="22" t="n"/>
      <c r="F67" s="22" t="n"/>
      <c r="G67" s="22" t="n"/>
      <c r="H67" s="22" t="n"/>
    </row>
    <row r="68">
      <c r="A68" s="21" t="n"/>
      <c r="B68" s="22" t="n"/>
      <c r="C68" s="22" t="n"/>
      <c r="D68" s="22" t="n"/>
      <c r="E68" s="22" t="n"/>
      <c r="F68" s="22" t="n"/>
      <c r="G68" s="22" t="n"/>
      <c r="H68" s="22" t="n"/>
    </row>
    <row r="69">
      <c r="A69" s="21" t="n"/>
      <c r="B69" s="22" t="n"/>
      <c r="C69" s="22" t="n"/>
      <c r="D69" s="22" t="n"/>
      <c r="E69" s="22" t="n"/>
      <c r="F69" s="22" t="n"/>
      <c r="G69" s="22" t="n"/>
      <c r="H69" s="22" t="n"/>
    </row>
    <row r="70">
      <c r="A70" s="21" t="n"/>
      <c r="B70" s="22" t="n"/>
      <c r="C70" s="22" t="n"/>
      <c r="D70" s="22" t="n"/>
      <c r="E70" s="22" t="n"/>
      <c r="F70" s="22" t="n"/>
      <c r="G70" s="22" t="n"/>
      <c r="H70" s="22" t="n"/>
    </row>
    <row r="71">
      <c r="A71" s="21" t="n"/>
      <c r="B71" s="22" t="n"/>
      <c r="C71" s="22" t="n"/>
      <c r="D71" s="22" t="n"/>
      <c r="E71" s="22" t="n"/>
      <c r="F71" s="22" t="n"/>
      <c r="G71" s="22" t="n"/>
      <c r="H71" s="22" t="n"/>
    </row>
    <row r="72">
      <c r="A72" s="21" t="n"/>
      <c r="B72" s="22" t="n"/>
      <c r="C72" s="22" t="n"/>
      <c r="D72" s="22" t="n"/>
      <c r="E72" s="22" t="n"/>
      <c r="F72" s="22" t="n"/>
      <c r="G72" s="22" t="n"/>
      <c r="H72" s="22" t="n"/>
    </row>
    <row r="73">
      <c r="A73" s="21" t="n"/>
      <c r="B73" s="22" t="n"/>
      <c r="C73" s="22" t="n"/>
      <c r="D73" s="22" t="n"/>
      <c r="E73" s="22" t="n"/>
      <c r="F73" s="22" t="n"/>
      <c r="G73" s="22" t="n"/>
      <c r="H73" s="22" t="n"/>
    </row>
    <row r="74">
      <c r="A74" s="21" t="n"/>
      <c r="B74" s="22" t="n"/>
      <c r="C74" s="22" t="n"/>
      <c r="D74" s="22" t="n"/>
      <c r="E74" s="22" t="n"/>
      <c r="F74" s="22" t="n"/>
      <c r="G74" s="22" t="n"/>
      <c r="H74" s="22" t="n"/>
    </row>
    <row r="75">
      <c r="A75" s="21" t="n"/>
      <c r="B75" s="22" t="n"/>
      <c r="C75" s="22" t="n"/>
      <c r="D75" s="22" t="n"/>
      <c r="E75" s="22" t="n"/>
      <c r="F75" s="22" t="n"/>
      <c r="G75" s="22" t="n"/>
      <c r="H75" s="22" t="n"/>
    </row>
    <row r="76">
      <c r="A76" s="21" t="n"/>
      <c r="B76" s="22" t="n"/>
      <c r="C76" s="22" t="n"/>
      <c r="D76" s="22" t="n"/>
      <c r="E76" s="22" t="n"/>
      <c r="F76" s="22" t="n"/>
      <c r="G76" s="22" t="n"/>
      <c r="H76" s="22" t="n"/>
    </row>
    <row r="77">
      <c r="A77" s="21" t="n"/>
      <c r="B77" s="22" t="n"/>
      <c r="C77" s="22" t="n"/>
      <c r="D77" s="22" t="n"/>
      <c r="E77" s="22" t="n"/>
      <c r="F77" s="22" t="n"/>
      <c r="G77" s="22" t="n"/>
      <c r="H77" s="22" t="n"/>
    </row>
    <row r="78">
      <c r="A78" s="21" t="n"/>
      <c r="B78" s="22" t="n"/>
      <c r="C78" s="22" t="n"/>
      <c r="D78" s="22" t="n"/>
      <c r="E78" s="22" t="n"/>
      <c r="F78" s="22" t="n"/>
      <c r="G78" s="22" t="n"/>
      <c r="H78" s="22" t="n"/>
    </row>
    <row r="79">
      <c r="A79" s="21" t="n"/>
      <c r="B79" s="22" t="n"/>
      <c r="C79" s="22" t="n"/>
      <c r="D79" s="22" t="n"/>
      <c r="E79" s="22" t="n"/>
      <c r="F79" s="22" t="n"/>
      <c r="G79" s="22" t="n"/>
      <c r="H79" s="22" t="n"/>
    </row>
    <row r="80">
      <c r="A80" s="21" t="n"/>
      <c r="B80" s="22" t="n"/>
      <c r="C80" s="22" t="n"/>
      <c r="D80" s="22" t="n"/>
      <c r="E80" s="22" t="n"/>
      <c r="F80" s="22" t="n"/>
      <c r="G80" s="22" t="n"/>
      <c r="H80" s="22" t="n"/>
    </row>
    <row r="81">
      <c r="A81" s="21" t="n"/>
      <c r="B81" s="22" t="n"/>
      <c r="C81" s="22" t="n"/>
      <c r="D81" s="22" t="n"/>
      <c r="E81" s="22" t="n"/>
      <c r="F81" s="22" t="n"/>
      <c r="G81" s="22" t="n"/>
      <c r="H81" s="22" t="n"/>
    </row>
    <row r="82">
      <c r="A82" s="21" t="n"/>
      <c r="B82" s="22" t="n"/>
      <c r="C82" s="22" t="n"/>
      <c r="D82" s="22" t="n"/>
      <c r="E82" s="22" t="n"/>
      <c r="F82" s="22" t="n"/>
      <c r="G82" s="22" t="n"/>
      <c r="H82" s="22" t="n"/>
    </row>
    <row r="83">
      <c r="A83" s="21" t="n"/>
      <c r="B83" s="22" t="n"/>
      <c r="C83" s="22" t="n"/>
      <c r="D83" s="22" t="n"/>
      <c r="E83" s="22" t="n"/>
      <c r="F83" s="22" t="n"/>
      <c r="G83" s="22" t="n"/>
      <c r="H83" s="22" t="n"/>
    </row>
    <row r="84">
      <c r="A84" s="21" t="n"/>
      <c r="B84" s="22" t="n"/>
      <c r="C84" s="22" t="n"/>
      <c r="D84" s="22" t="n"/>
      <c r="E84" s="22" t="n"/>
      <c r="F84" s="22" t="n"/>
      <c r="G84" s="22" t="n"/>
      <c r="H84" s="22" t="n"/>
    </row>
    <row r="85">
      <c r="A85" s="21" t="n"/>
      <c r="B85" s="22" t="n"/>
      <c r="C85" s="22" t="n"/>
      <c r="D85" s="22" t="n"/>
      <c r="E85" s="22" t="n"/>
      <c r="F85" s="22" t="n"/>
      <c r="G85" s="22" t="n"/>
      <c r="H85" s="22" t="n"/>
    </row>
    <row r="86">
      <c r="A86" s="21" t="n"/>
      <c r="B86" s="22" t="n"/>
      <c r="C86" s="22" t="n"/>
      <c r="D86" s="22" t="n"/>
      <c r="E86" s="22" t="n"/>
      <c r="F86" s="22" t="n"/>
      <c r="G86" s="22" t="n"/>
      <c r="H86" s="22" t="n"/>
    </row>
    <row r="87">
      <c r="A87" s="21" t="n"/>
      <c r="B87" s="22" t="n"/>
      <c r="C87" s="22" t="n"/>
      <c r="D87" s="22" t="n"/>
      <c r="E87" s="22" t="n"/>
      <c r="F87" s="22" t="n"/>
      <c r="G87" s="22" t="n"/>
      <c r="H87" s="22" t="n"/>
    </row>
    <row r="88">
      <c r="A88" s="21" t="n"/>
      <c r="B88" s="22" t="n"/>
      <c r="C88" s="22" t="n"/>
      <c r="D88" s="22" t="n"/>
      <c r="E88" s="22" t="n"/>
      <c r="F88" s="22" t="n"/>
      <c r="G88" s="22" t="n"/>
      <c r="H88" s="22" t="n"/>
    </row>
    <row r="89">
      <c r="A89" s="21" t="n"/>
      <c r="B89" s="22" t="n"/>
      <c r="C89" s="22" t="n"/>
      <c r="D89" s="22" t="n"/>
      <c r="E89" s="22" t="n"/>
      <c r="F89" s="22" t="n"/>
      <c r="G89" s="22" t="n"/>
      <c r="H89" s="22" t="n"/>
    </row>
    <row r="90">
      <c r="A90" s="21" t="n"/>
      <c r="B90" s="22" t="n"/>
      <c r="C90" s="22" t="n"/>
      <c r="D90" s="22" t="n"/>
      <c r="E90" s="22" t="n"/>
      <c r="F90" s="22" t="n"/>
      <c r="G90" s="22" t="n"/>
      <c r="H90" s="22" t="n"/>
    </row>
    <row r="91">
      <c r="A91" s="21" t="n"/>
      <c r="B91" s="22" t="n"/>
      <c r="C91" s="22" t="n"/>
      <c r="D91" s="22" t="n"/>
      <c r="E91" s="22" t="n"/>
      <c r="F91" s="22" t="n"/>
      <c r="G91" s="22" t="n"/>
      <c r="H91" s="22" t="n"/>
    </row>
    <row r="92">
      <c r="A92" s="21" t="n"/>
      <c r="B92" s="22" t="n"/>
      <c r="C92" s="22" t="n"/>
      <c r="D92" s="22" t="n"/>
      <c r="E92" s="22" t="n"/>
      <c r="F92" s="22" t="n"/>
      <c r="G92" s="22" t="n"/>
      <c r="H92" s="22" t="n"/>
    </row>
    <row r="93">
      <c r="A93" s="21" t="n"/>
      <c r="B93" s="22" t="n"/>
      <c r="C93" s="22" t="n"/>
      <c r="D93" s="22" t="n"/>
      <c r="E93" s="22" t="n"/>
      <c r="F93" s="22" t="n"/>
      <c r="G93" s="22" t="n"/>
      <c r="H93" s="22" t="n"/>
    </row>
    <row r="94">
      <c r="A94" s="21" t="n"/>
      <c r="B94" s="22" t="n"/>
      <c r="C94" s="22" t="n"/>
      <c r="D94" s="22" t="n"/>
      <c r="E94" s="22" t="n"/>
      <c r="F94" s="22" t="n"/>
      <c r="G94" s="22" t="n"/>
      <c r="H94" s="22" t="n"/>
    </row>
    <row r="95">
      <c r="A95" s="21" t="n"/>
      <c r="B95" s="22" t="n"/>
      <c r="C95" s="22" t="n"/>
      <c r="D95" s="22" t="n"/>
      <c r="E95" s="22" t="n"/>
      <c r="F95" s="22" t="n"/>
      <c r="G95" s="22" t="n"/>
      <c r="H95" s="22" t="n"/>
    </row>
    <row r="96">
      <c r="A96" s="21" t="n"/>
      <c r="B96" s="22" t="n"/>
      <c r="C96" s="22" t="n"/>
      <c r="D96" s="22" t="n"/>
      <c r="E96" s="22" t="n"/>
      <c r="F96" s="22" t="n"/>
      <c r="G96" s="22" t="n"/>
      <c r="H96" s="22" t="n"/>
    </row>
    <row r="97">
      <c r="A97" s="21" t="n"/>
      <c r="B97" s="22" t="n"/>
      <c r="C97" s="22" t="n"/>
      <c r="D97" s="22" t="n"/>
      <c r="E97" s="22" t="n"/>
      <c r="F97" s="22" t="n"/>
      <c r="G97" s="22" t="n"/>
      <c r="H97" s="22" t="n"/>
    </row>
    <row r="98">
      <c r="A98" s="21" t="n"/>
      <c r="B98" s="22" t="n"/>
      <c r="C98" s="22" t="n"/>
      <c r="D98" s="22" t="n"/>
      <c r="E98" s="22" t="n"/>
      <c r="F98" s="22" t="n"/>
      <c r="G98" s="22" t="n"/>
      <c r="H98" s="22" t="n"/>
    </row>
    <row r="99">
      <c r="A99" s="21" t="n"/>
      <c r="B99" s="22" t="n"/>
      <c r="C99" s="22" t="n"/>
      <c r="D99" s="22" t="n"/>
      <c r="E99" s="22" t="n"/>
      <c r="F99" s="22" t="n"/>
      <c r="G99" s="22" t="n"/>
      <c r="H99" s="22" t="n"/>
    </row>
    <row r="100">
      <c r="A100" s="21" t="n"/>
      <c r="B100" s="22" t="n"/>
      <c r="C100" s="22" t="n"/>
      <c r="D100" s="22" t="n"/>
      <c r="E100" s="22" t="n"/>
      <c r="F100" s="22" t="n"/>
      <c r="G100" s="22" t="n"/>
      <c r="H100" s="22" t="n"/>
    </row>
    <row r="101">
      <c r="A101" s="21" t="n"/>
      <c r="B101" s="22" t="n"/>
      <c r="C101" s="22" t="n"/>
      <c r="D101" s="22" t="n"/>
      <c r="E101" s="22" t="n"/>
      <c r="F101" s="22" t="n"/>
      <c r="G101" s="22" t="n"/>
      <c r="H101" s="22" t="n"/>
    </row>
    <row r="102">
      <c r="A102" s="21" t="n"/>
      <c r="B102" s="22" t="n"/>
      <c r="C102" s="22" t="n"/>
      <c r="D102" s="22" t="n"/>
      <c r="E102" s="22" t="n"/>
      <c r="F102" s="22" t="n"/>
      <c r="G102" s="22" t="n"/>
      <c r="H102" s="22" t="n"/>
    </row>
    <row r="103">
      <c r="A103" s="21" t="n"/>
      <c r="B103" s="22" t="n"/>
      <c r="C103" s="22" t="n"/>
      <c r="D103" s="22" t="n"/>
      <c r="E103" s="22" t="n"/>
      <c r="F103" s="22" t="n"/>
      <c r="G103" s="22" t="n"/>
      <c r="H103" s="22" t="n"/>
    </row>
    <row r="104">
      <c r="A104" s="21" t="n"/>
      <c r="B104" s="22" t="n"/>
      <c r="C104" s="22" t="n"/>
      <c r="D104" s="22" t="n"/>
      <c r="E104" s="22" t="n"/>
      <c r="F104" s="22" t="n"/>
      <c r="G104" s="22" t="n"/>
      <c r="H104" s="22" t="n"/>
    </row>
    <row r="105">
      <c r="A105" s="21" t="n"/>
      <c r="B105" s="22" t="n"/>
      <c r="C105" s="22" t="n"/>
      <c r="D105" s="22" t="n"/>
      <c r="E105" s="22" t="n"/>
      <c r="F105" s="22" t="n"/>
      <c r="G105" s="22" t="n"/>
      <c r="H105" s="22"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3"/>
  <sheetViews>
    <sheetView showGridLines="0" workbookViewId="0">
      <pane ySplit="3" topLeftCell="A4" activePane="bottomLeft" state="frozen"/>
      <selection pane="bottomLeft" activeCell="A1" sqref="A1"/>
    </sheetView>
  </sheetViews>
  <sheetFormatPr baseColWidth="8" defaultRowHeight="15"/>
  <cols>
    <col width="45"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3" t="inlineStr">
        <is>
          <t>AUTHENTICATION POLICY AND STANDARDS — SUMMARY DASHBOARD</t>
        </is>
      </c>
      <c r="B1" s="6" t="n"/>
      <c r="C1" s="6" t="n"/>
      <c r="D1" s="6" t="n"/>
      <c r="E1" s="6" t="n"/>
      <c r="F1" s="6" t="n"/>
      <c r="G1" s="6" t="n"/>
    </row>
    <row r="2">
      <c r="A2" s="24" t="inlineStr">
        <is>
          <t>ISO/IEC 27001:2022 — Control A.5.17: Authentication Information | Policy and Standards Assessment</t>
        </is>
      </c>
    </row>
    <row r="4" ht="20" customHeight="1">
      <c r="A4" s="25" t="inlineStr">
        <is>
          <t>TABLE 1: ASSESSMENT AREA COMPLIANCE OVERVIEW</t>
        </is>
      </c>
      <c r="B4" s="6" t="n"/>
      <c r="C4" s="6" t="n"/>
      <c r="D4" s="6" t="n"/>
      <c r="E4" s="6" t="n"/>
      <c r="F4" s="6" t="n"/>
      <c r="G4" s="6" t="n"/>
    </row>
    <row r="5">
      <c r="A5" s="26" t="inlineStr">
        <is>
          <t>Assessment Area</t>
        </is>
      </c>
      <c r="B5" s="26" t="inlineStr">
        <is>
          <t>Total Items</t>
        </is>
      </c>
      <c r="C5" s="26" t="inlineStr">
        <is>
          <t>Compliant</t>
        </is>
      </c>
      <c r="D5" s="26" t="inlineStr">
        <is>
          <t>Partial</t>
        </is>
      </c>
      <c r="E5" s="26" t="inlineStr">
        <is>
          <t>Non-Compliant</t>
        </is>
      </c>
      <c r="F5" s="26" t="inlineStr">
        <is>
          <t>N/A</t>
        </is>
      </c>
      <c r="G5" s="26" t="inlineStr">
        <is>
          <t>Compliance %</t>
        </is>
      </c>
    </row>
    <row r="6">
      <c r="A6" s="27" t="inlineStr">
        <is>
          <t>Password Policy</t>
        </is>
      </c>
      <c r="B6" s="28">
        <f>COUNTA('Password Policy'!A4:A22)</f>
        <v/>
      </c>
      <c r="C6" s="28">
        <f>COUNTIF('Password Policy'!E4:E22,"Yes")</f>
        <v/>
      </c>
      <c r="D6" s="28">
        <f>COUNTIF('Password Policy'!E4:E22,"Partial")</f>
        <v/>
      </c>
      <c r="E6" s="28">
        <f>COUNTIF('Password Policy'!E4:E22,"No")</f>
        <v/>
      </c>
      <c r="F6" s="28">
        <f>COUNTIF('Password Policy'!E4:E22,"N/A")</f>
        <v/>
      </c>
      <c r="G6" s="29">
        <f>IF((B6-F6)=0,0,C6/(B6-F6))</f>
        <v/>
      </c>
    </row>
    <row r="7">
      <c r="A7" s="27" t="inlineStr">
        <is>
          <t>MFA Requirements</t>
        </is>
      </c>
      <c r="B7" s="28">
        <f>COUNTA('MFA Requirements'!A4:A17)</f>
        <v/>
      </c>
      <c r="C7" s="28">
        <f>COUNTIF('MFA Requirements'!E4:E17,"Implemented")</f>
        <v/>
      </c>
      <c r="D7" s="28">
        <f>COUNTIF('MFA Requirements'!E4:E17,"In Progress")</f>
        <v/>
      </c>
      <c r="E7" s="28">
        <f>COUNTIF('MFA Requirements'!E4:E17,"Not Started")</f>
        <v/>
      </c>
      <c r="F7" s="28">
        <f>COUNTIF('MFA Requirements'!E4:E17,"Exception")</f>
        <v/>
      </c>
      <c r="G7" s="29">
        <f>IF((B7-F7)=0,0,C7/(B7-F7))</f>
        <v/>
      </c>
    </row>
    <row r="8">
      <c r="A8" s="27" t="inlineStr">
        <is>
          <t>Credential Standards</t>
        </is>
      </c>
      <c r="B8" s="28">
        <f>COUNTA('Credential Standards'!A4:A14)</f>
        <v/>
      </c>
      <c r="C8" s="28" t="inlineStr">
        <is>
          <t>0</t>
        </is>
      </c>
      <c r="D8" s="28" t="inlineStr">
        <is>
          <t>0</t>
        </is>
      </c>
      <c r="E8" s="28" t="inlineStr">
        <is>
          <t>0</t>
        </is>
      </c>
      <c r="F8" s="28">
        <f>COUNTA('Credential Standards'!A4:A14)</f>
        <v/>
      </c>
      <c r="G8" s="29">
        <f>IF((B8-F8)=0,0,C8/(B8-F8))</f>
        <v/>
      </c>
    </row>
    <row r="9">
      <c r="A9" s="27" t="inlineStr">
        <is>
          <t>User Responsibilities</t>
        </is>
      </c>
      <c r="B9" s="28">
        <f>COUNTA('User Responsibilities'!A4:A15)</f>
        <v/>
      </c>
      <c r="C9" s="28">
        <f>COUNTIF('User Responsibilities'!E4:E15,"Completed")</f>
        <v/>
      </c>
      <c r="D9" s="28">
        <f>COUNTIF('User Responsibilities'!E4:E15,"Yes")</f>
        <v/>
      </c>
      <c r="E9" s="28">
        <f>COUNTIF('User Responsibilities'!E4:E15,"No")</f>
        <v/>
      </c>
      <c r="F9" s="28" t="inlineStr">
        <is>
          <t>0</t>
        </is>
      </c>
      <c r="G9" s="29">
        <f>IF((B9-F9)=0,0,C9/(B9-F9))</f>
        <v/>
      </c>
    </row>
    <row r="10">
      <c r="A10" s="27" t="inlineStr">
        <is>
          <t>System Requirements</t>
        </is>
      </c>
      <c r="B10" s="28">
        <f>COUNTA('System Requirements'!A4:A17)</f>
        <v/>
      </c>
      <c r="C10" s="28">
        <f>COUNTIF('System Requirements'!E4:E17,"Implemented")</f>
        <v/>
      </c>
      <c r="D10" s="28">
        <f>COUNTIF('System Requirements'!E4:E17,"In Progress")</f>
        <v/>
      </c>
      <c r="E10" s="28">
        <f>COUNTIF('System Requirements'!E4:E17,"Not Started")</f>
        <v/>
      </c>
      <c r="F10" s="28">
        <f>COUNTIF('System Requirements'!E4:E17,"N/A")</f>
        <v/>
      </c>
      <c r="G10" s="29">
        <f>IF((B10-F10)=0,0,C10/(B10-F10))</f>
        <v/>
      </c>
    </row>
    <row r="11">
      <c r="A11" s="30" t="inlineStr">
        <is>
          <t>TOTAL</t>
        </is>
      </c>
      <c r="B11" s="31">
        <f>SUM(B6:B10)</f>
        <v/>
      </c>
      <c r="C11" s="31">
        <f>SUM(C6:C10)</f>
        <v/>
      </c>
      <c r="D11" s="31">
        <f>SUM(D6:D10)</f>
        <v/>
      </c>
      <c r="E11" s="31">
        <f>SUM(E6:E10)</f>
        <v/>
      </c>
      <c r="F11" s="31">
        <f>SUM(F6:F10)</f>
        <v/>
      </c>
      <c r="G11" s="32">
        <f>IF((B11-F11)=0,0,C11/(B11-F11))</f>
        <v/>
      </c>
    </row>
    <row r="13" ht="20" customHeight="1">
      <c r="A13" s="25" t="inlineStr">
        <is>
          <t>TABLE 2: KEY PERFORMANCE INDICATORS</t>
        </is>
      </c>
      <c r="B13" s="6" t="n"/>
      <c r="C13" s="6" t="n"/>
      <c r="D13" s="6" t="n"/>
      <c r="E13" s="6" t="n"/>
      <c r="F13" s="6" t="n"/>
      <c r="G13" s="6" t="n"/>
    </row>
    <row r="14">
      <c r="A14" s="31" t="inlineStr">
        <is>
          <t>Metric</t>
        </is>
      </c>
      <c r="B14" s="31" t="inlineStr">
        <is>
          <t>Value</t>
        </is>
      </c>
      <c r="C14" s="31" t="n"/>
      <c r="D14" s="31" t="n"/>
      <c r="E14" s="31" t="n"/>
      <c r="F14" s="31" t="n"/>
      <c r="G14" s="31" t="n"/>
    </row>
    <row r="15">
      <c r="A15" s="27" t="inlineStr">
        <is>
          <t>Password Policy: Requirements Assessed</t>
        </is>
      </c>
      <c r="B15" s="28">
        <f>COUNTA('Password Policy'!A4:A22)</f>
        <v/>
      </c>
      <c r="C15" s="6" t="n"/>
      <c r="D15" s="6" t="n"/>
      <c r="E15" s="6" t="n"/>
      <c r="F15" s="6" t="n"/>
      <c r="G15" s="6" t="n"/>
    </row>
    <row r="16">
      <c r="A16" s="27" t="inlineStr">
        <is>
          <t>Password Policy: Requirements Compliant</t>
        </is>
      </c>
      <c r="B16" s="28">
        <f>COUNTIF('Password Policy'!E4:E22,"Yes")</f>
        <v/>
      </c>
      <c r="C16" s="6" t="n"/>
      <c r="D16" s="6" t="n"/>
      <c r="E16" s="6" t="n"/>
      <c r="F16" s="6" t="n"/>
      <c r="G16" s="6" t="n"/>
    </row>
    <row r="17">
      <c r="A17" s="27" t="inlineStr">
        <is>
          <t>Password Policy: Non-Compliant Requirements</t>
        </is>
      </c>
      <c r="B17" s="28">
        <f>COUNTIF('Password Policy'!E4:E22,"No")</f>
        <v/>
      </c>
      <c r="C17" s="6" t="n"/>
      <c r="D17" s="6" t="n"/>
      <c r="E17" s="6" t="n"/>
      <c r="F17" s="6" t="n"/>
      <c r="G17" s="6" t="n"/>
    </row>
    <row r="18">
      <c r="A18" s="27" t="inlineStr">
        <is>
          <t>Password Policy: Partially Met</t>
        </is>
      </c>
      <c r="B18" s="28">
        <f>COUNTIF('Password Policy'!E4:E22,"Partial")</f>
        <v/>
      </c>
      <c r="C18" s="6" t="n"/>
      <c r="D18" s="6" t="n"/>
      <c r="E18" s="6" t="n"/>
      <c r="F18" s="6" t="n"/>
      <c r="G18" s="6" t="n"/>
    </row>
    <row r="19">
      <c r="A19" s="27" t="inlineStr">
        <is>
          <t>MFA: Mandatory Systems Defined</t>
        </is>
      </c>
      <c r="B19" s="28">
        <f>COUNTIF('MFA Requirements'!B4:B17,"MANDATORY")</f>
        <v/>
      </c>
      <c r="C19" s="6" t="n"/>
      <c r="D19" s="6" t="n"/>
      <c r="E19" s="6" t="n"/>
      <c r="F19" s="6" t="n"/>
      <c r="G19" s="6" t="n"/>
    </row>
    <row r="20">
      <c r="A20" s="27" t="inlineStr">
        <is>
          <t>MFA: Recommended Systems Defined</t>
        </is>
      </c>
      <c r="B20" s="28">
        <f>COUNTIF('MFA Requirements'!B4:B17,"RECOMMENDED")</f>
        <v/>
      </c>
      <c r="C20" s="6" t="n"/>
      <c r="D20" s="6" t="n"/>
      <c r="E20" s="6" t="n"/>
      <c r="F20" s="6" t="n"/>
      <c r="G20" s="6" t="n"/>
    </row>
    <row r="21">
      <c r="A21" s="27" t="inlineStr">
        <is>
          <t>MFA: Systems Fully Implemented</t>
        </is>
      </c>
      <c r="B21" s="28">
        <f>COUNTIF('MFA Requirements'!E4:E17,"Implemented")</f>
        <v/>
      </c>
      <c r="C21" s="6" t="n"/>
      <c r="D21" s="6" t="n"/>
      <c r="E21" s="6" t="n"/>
      <c r="F21" s="6" t="n"/>
      <c r="G21" s="6" t="n"/>
    </row>
    <row r="22">
      <c r="A22" s="27" t="inlineStr">
        <is>
          <t>MFA: Systems Not Started</t>
        </is>
      </c>
      <c r="B22" s="28">
        <f>COUNTIF('MFA Requirements'!E4:E17,"Not Started")</f>
        <v/>
      </c>
      <c r="C22" s="6" t="n"/>
      <c r="D22" s="6" t="n"/>
      <c r="E22" s="6" t="n"/>
      <c r="F22" s="6" t="n"/>
      <c r="G22" s="6" t="n"/>
    </row>
    <row r="23">
      <c r="A23" s="27" t="inlineStr">
        <is>
          <t>MFA: Exceptions Granted</t>
        </is>
      </c>
      <c r="B23" s="28">
        <f>COUNTIF('MFA Requirements'!E4:E17,"Exception")</f>
        <v/>
      </c>
      <c r="C23" s="6" t="n"/>
      <c r="D23" s="6" t="n"/>
      <c r="E23" s="6" t="n"/>
      <c r="F23" s="6" t="n"/>
      <c r="G23" s="6" t="n"/>
    </row>
    <row r="24">
      <c r="A24" s="27" t="inlineStr">
        <is>
          <t>Credential Types Defined</t>
        </is>
      </c>
      <c r="B24" s="28">
        <f>COUNTA('Credential Standards'!A4:A14)</f>
        <v/>
      </c>
      <c r="C24" s="6" t="n"/>
      <c r="D24" s="6" t="n"/>
      <c r="E24" s="6" t="n"/>
      <c r="F24" s="6" t="n"/>
      <c r="G24" s="6" t="n"/>
    </row>
    <row r="25">
      <c r="A25" s="27" t="inlineStr">
        <is>
          <t>User Responsibilities: Training Required</t>
        </is>
      </c>
      <c r="B25" s="28">
        <f>COUNTIF('User Responsibilities'!E4:E15,"Yes")</f>
        <v/>
      </c>
      <c r="C25" s="6" t="n"/>
      <c r="D25" s="6" t="n"/>
      <c r="E25" s="6" t="n"/>
      <c r="F25" s="6" t="n"/>
      <c r="G25" s="6" t="n"/>
    </row>
    <row r="26">
      <c r="A26" s="27" t="inlineStr">
        <is>
          <t>User Responsibilities: Training Completed</t>
        </is>
      </c>
      <c r="B26" s="28">
        <f>COUNTIF('User Responsibilities'!E4:E15,"Completed")</f>
        <v/>
      </c>
      <c r="C26" s="6" t="n"/>
      <c r="D26" s="6" t="n"/>
      <c r="E26" s="6" t="n"/>
      <c r="F26" s="6" t="n"/>
      <c r="G26" s="6" t="n"/>
    </row>
    <row r="27">
      <c r="A27" s="27" t="inlineStr">
        <is>
          <t>System Requirements: Implemented</t>
        </is>
      </c>
      <c r="B27" s="28">
        <f>COUNTIF('System Requirements'!E4:E17,"Implemented")</f>
        <v/>
      </c>
      <c r="C27" s="6" t="n"/>
      <c r="D27" s="6" t="n"/>
      <c r="E27" s="6" t="n"/>
      <c r="F27" s="6" t="n"/>
      <c r="G27" s="6" t="n"/>
    </row>
    <row r="28">
      <c r="A28" s="27" t="inlineStr">
        <is>
          <t>System Requirements: In Progress</t>
        </is>
      </c>
      <c r="B28" s="28">
        <f>COUNTIF('System Requirements'!E4:E17,"In Progress")</f>
        <v/>
      </c>
      <c r="C28" s="6" t="n"/>
      <c r="D28" s="6" t="n"/>
      <c r="E28" s="6" t="n"/>
      <c r="F28" s="6" t="n"/>
      <c r="G28" s="6" t="n"/>
    </row>
    <row r="29">
      <c r="A29" s="27" t="inlineStr">
        <is>
          <t>System Requirements: Not Started</t>
        </is>
      </c>
      <c r="B29" s="28">
        <f>COUNTIF('System Requirements'!E4:E17,"Not Started")</f>
        <v/>
      </c>
      <c r="C29" s="6" t="n"/>
      <c r="D29" s="6" t="n"/>
      <c r="E29" s="6" t="n"/>
      <c r="F29" s="6" t="n"/>
      <c r="G29" s="6" t="n"/>
    </row>
    <row r="30">
      <c r="A30" s="6" t="n"/>
      <c r="B30" s="6" t="n"/>
      <c r="C30" s="6" t="n"/>
      <c r="D30" s="6" t="n"/>
      <c r="E30" s="6" t="n"/>
      <c r="F30" s="6" t="n"/>
      <c r="G30" s="6" t="n"/>
    </row>
    <row r="31">
      <c r="A31" s="6" t="n"/>
      <c r="B31" s="6" t="n"/>
      <c r="C31" s="6" t="n"/>
      <c r="D31" s="6" t="n"/>
      <c r="E31" s="6" t="n"/>
      <c r="F31" s="6" t="n"/>
      <c r="G31" s="6" t="n"/>
    </row>
    <row r="33" ht="20" customHeight="1">
      <c r="A33" s="33" t="inlineStr">
        <is>
          <t>TABLE 3: CRITICAL FINDINGS REQUIRING IMMEDIATE ATTENTION</t>
        </is>
      </c>
      <c r="B33" s="6" t="n"/>
      <c r="C33" s="6" t="n"/>
      <c r="D33" s="6" t="n"/>
      <c r="E33" s="6" t="n"/>
      <c r="F33" s="6" t="n"/>
      <c r="G33" s="6" t="n"/>
    </row>
    <row r="34">
      <c r="A34" s="31" t="inlineStr">
        <is>
          <t>Category</t>
        </is>
      </c>
      <c r="B34" s="31" t="inlineStr">
        <is>
          <t>Finding</t>
        </is>
      </c>
      <c r="C34" s="31" t="inlineStr">
        <is>
          <t>Count</t>
        </is>
      </c>
      <c r="D34" s="31" t="inlineStr">
        <is>
          <t>Severity</t>
        </is>
      </c>
      <c r="E34" s="31" t="inlineStr">
        <is>
          <t>Action Required</t>
        </is>
      </c>
      <c r="F34" s="31" t="n"/>
      <c r="G34" s="31" t="n"/>
    </row>
    <row r="35">
      <c r="A35" s="34" t="inlineStr">
        <is>
          <t>Password Policy</t>
        </is>
      </c>
      <c r="B35" s="34" t="inlineStr">
        <is>
          <t>Password requirements marked Non-Compliant</t>
        </is>
      </c>
      <c r="C35" s="35">
        <f>COUNTIF('Password Policy'!E4:E22,"No")</f>
        <v/>
      </c>
      <c r="D35" s="34" t="inlineStr">
        <is>
          <t>Critical</t>
        </is>
      </c>
      <c r="E35" s="34" t="inlineStr">
        <is>
          <t>Immediate</t>
        </is>
      </c>
      <c r="F35" s="34" t="n"/>
      <c r="G35" s="34" t="n"/>
    </row>
    <row r="36">
      <c r="A36" s="34" t="inlineStr">
        <is>
          <t>Password Policy</t>
        </is>
      </c>
      <c r="B36" s="34" t="inlineStr">
        <is>
          <t>Password requirements partially met</t>
        </is>
      </c>
      <c r="C36" s="35">
        <f>COUNTIF('Password Policy'!E4:E22,"Partial")</f>
        <v/>
      </c>
      <c r="D36" s="34" t="inlineStr">
        <is>
          <t>High</t>
        </is>
      </c>
      <c r="E36" s="34" t="inlineStr">
        <is>
          <t>Urgent</t>
        </is>
      </c>
      <c r="F36" s="34" t="n"/>
      <c r="G36" s="34" t="n"/>
    </row>
    <row r="37">
      <c r="A37" s="34" t="inlineStr">
        <is>
          <t>MFA Requirements</t>
        </is>
      </c>
      <c r="B37" s="34" t="inlineStr">
        <is>
          <t>MFA systems not yet started</t>
        </is>
      </c>
      <c r="C37" s="35">
        <f>COUNTIF('MFA Requirements'!E4:E17,"Not Started")</f>
        <v/>
      </c>
      <c r="D37" s="34" t="inlineStr">
        <is>
          <t>Critical</t>
        </is>
      </c>
      <c r="E37" s="34" t="inlineStr">
        <is>
          <t>Immediate</t>
        </is>
      </c>
      <c r="F37" s="34" t="n"/>
      <c r="G37" s="34" t="n"/>
    </row>
    <row r="38">
      <c r="A38" s="34" t="inlineStr">
        <is>
          <t>MFA Requirements</t>
        </is>
      </c>
      <c r="B38" s="34" t="inlineStr">
        <is>
          <t>MFA exceptions granted</t>
        </is>
      </c>
      <c r="C38" s="35">
        <f>COUNTIF('MFA Requirements'!E4:E17,"Exception")</f>
        <v/>
      </c>
      <c r="D38" s="34" t="inlineStr">
        <is>
          <t>High</t>
        </is>
      </c>
      <c r="E38" s="34" t="inlineStr">
        <is>
          <t>Urgent</t>
        </is>
      </c>
      <c r="F38" s="34" t="n"/>
      <c r="G38" s="34" t="n"/>
    </row>
    <row r="39">
      <c r="A39" s="34" t="inlineStr">
        <is>
          <t>System Requirements</t>
        </is>
      </c>
      <c r="B39" s="34" t="inlineStr">
        <is>
          <t>System requirements not started</t>
        </is>
      </c>
      <c r="C39" s="35">
        <f>COUNTIF('System Requirements'!E4:E17,"Not Started")</f>
        <v/>
      </c>
      <c r="D39" s="34" t="inlineStr">
        <is>
          <t>High</t>
        </is>
      </c>
      <c r="E39" s="34" t="inlineStr">
        <is>
          <t>Urgent</t>
        </is>
      </c>
      <c r="F39" s="34" t="n"/>
      <c r="G39" s="34" t="n"/>
    </row>
    <row r="40">
      <c r="A40" s="34" t="inlineStr">
        <is>
          <t>System Requirements</t>
        </is>
      </c>
      <c r="B40" s="34" t="inlineStr">
        <is>
          <t>System requirements in progress (incomplete)</t>
        </is>
      </c>
      <c r="C40" s="35">
        <f>COUNTIF('System Requirements'!E4:E17,"In Progress")</f>
        <v/>
      </c>
      <c r="D40" s="34" t="inlineStr">
        <is>
          <t>Medium</t>
        </is>
      </c>
      <c r="E40" s="34" t="inlineStr">
        <is>
          <t>Plan</t>
        </is>
      </c>
      <c r="F40" s="34" t="n"/>
      <c r="G40" s="34" t="n"/>
    </row>
    <row r="41">
      <c r="A41" s="34" t="inlineStr">
        <is>
          <t>User Responsibilities</t>
        </is>
      </c>
      <c r="B41" s="34" t="inlineStr">
        <is>
          <t>Training not completed</t>
        </is>
      </c>
      <c r="C41" s="35">
        <f>COUNTIF('User Responsibilities'!E4:E15,"No")</f>
        <v/>
      </c>
      <c r="D41" s="34" t="inlineStr">
        <is>
          <t>Medium</t>
        </is>
      </c>
      <c r="E41" s="34" t="inlineStr">
        <is>
          <t>Plan</t>
        </is>
      </c>
      <c r="F41" s="34" t="n"/>
      <c r="G41" s="34" t="n"/>
    </row>
    <row r="42">
      <c r="A42" s="36" t="n"/>
      <c r="B42" s="36" t="n"/>
      <c r="C42" s="36" t="n"/>
      <c r="D42" s="36" t="n"/>
      <c r="E42" s="36" t="n"/>
      <c r="F42" s="36" t="n"/>
      <c r="G42" s="36" t="n"/>
    </row>
    <row r="43">
      <c r="A43" s="36" t="n"/>
      <c r="B43" s="36" t="n"/>
      <c r="C43" s="36" t="n"/>
      <c r="D43" s="36" t="n"/>
      <c r="E43" s="36" t="n"/>
      <c r="F43" s="36" t="n"/>
      <c r="G43" s="36" t="n"/>
    </row>
  </sheetData>
  <mergeCells count="5">
    <mergeCell ref="A13:G13"/>
    <mergeCell ref="A1:G1"/>
    <mergeCell ref="A4:G4"/>
    <mergeCell ref="A2:G2"/>
    <mergeCell ref="A33:G3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23" t="inlineStr">
        <is>
          <t>ASSESSMENT APPROVAL AND SIGN-OFF</t>
        </is>
      </c>
      <c r="B1" s="6" t="n"/>
      <c r="C1" s="6" t="n"/>
      <c r="D1" s="6" t="n"/>
      <c r="E1" s="6" t="n"/>
    </row>
    <row r="2">
      <c r="A2" s="37" t="inlineStr">
        <is>
          <t>ISO/IEC 27001:2022 - Control A.5.17: Authentication Information</t>
        </is>
      </c>
      <c r="B2" s="6" t="n"/>
      <c r="C2" s="6" t="n"/>
      <c r="D2" s="6" t="n"/>
      <c r="E2" s="6" t="n"/>
    </row>
    <row r="3">
      <c r="A3" s="38" t="inlineStr">
        <is>
          <t>DOCUMENT SUMMARY</t>
        </is>
      </c>
      <c r="B3" s="6" t="n"/>
      <c r="C3" s="6" t="n"/>
      <c r="D3" s="6" t="n"/>
      <c r="E3" s="6" t="n"/>
    </row>
    <row r="4">
      <c r="A4" s="39" t="inlineStr">
        <is>
          <t>Document:</t>
        </is>
      </c>
      <c r="B4" s="36" t="inlineStr">
        <is>
          <t>ISMS-IMP-A.5.17.1 - Authentication Policy and Standards</t>
        </is>
      </c>
      <c r="C4" s="6" t="n"/>
      <c r="D4" s="6" t="n"/>
      <c r="E4" s="6" t="n"/>
    </row>
    <row r="5">
      <c r="A5" s="39" t="inlineStr">
        <is>
          <t>Control Reference:</t>
        </is>
      </c>
      <c r="B5" s="36" t="inlineStr">
        <is>
          <t>A.5.17</t>
        </is>
      </c>
      <c r="C5" s="6" t="n"/>
      <c r="D5" s="6" t="n"/>
      <c r="E5" s="6" t="n"/>
    </row>
    <row r="6">
      <c r="A6" s="39" t="inlineStr">
        <is>
          <t>Overall Compliance Rating:</t>
        </is>
      </c>
      <c r="B6" s="40">
        <f>IFERROR(AVERAGE('Summary Dashboard'!G6:G10),"")</f>
        <v/>
      </c>
      <c r="C6" s="6" t="n"/>
      <c r="D6" s="6" t="n"/>
      <c r="E6" s="6" t="n"/>
    </row>
    <row r="7">
      <c r="A7" s="39" t="inlineStr">
        <is>
          <t>Version:</t>
        </is>
      </c>
      <c r="B7" s="36" t="inlineStr">
        <is>
          <t>1.0</t>
        </is>
      </c>
      <c r="C7" s="6" t="n"/>
      <c r="D7" s="6" t="n"/>
      <c r="E7" s="6" t="n"/>
    </row>
    <row r="8">
      <c r="A8" s="39" t="inlineStr">
        <is>
          <t>Classification:</t>
        </is>
      </c>
      <c r="B8" s="36" t="inlineStr">
        <is>
          <t>INTERNAL</t>
        </is>
      </c>
      <c r="C8" s="6" t="n"/>
      <c r="D8" s="6" t="n"/>
      <c r="E8" s="6" t="n"/>
    </row>
    <row r="10">
      <c r="A10" s="38" t="inlineStr">
        <is>
          <t>PREPARED BY (POLICY OWNER)</t>
        </is>
      </c>
      <c r="B10" s="6" t="n"/>
      <c r="C10" s="6" t="n"/>
      <c r="D10" s="6" t="n"/>
      <c r="E10" s="6" t="n"/>
    </row>
    <row r="11">
      <c r="A11" s="39" t="inlineStr">
        <is>
          <t>Name:</t>
        </is>
      </c>
      <c r="B11" s="36" t="n"/>
      <c r="C11" s="6" t="n"/>
      <c r="D11" s="6" t="n"/>
      <c r="E11" s="6" t="n"/>
    </row>
    <row r="12">
      <c r="A12" s="39" t="inlineStr">
        <is>
          <t>Title:</t>
        </is>
      </c>
      <c r="B12" s="36" t="n"/>
      <c r="C12" s="6" t="n"/>
      <c r="D12" s="6" t="n"/>
      <c r="E12" s="6" t="n"/>
    </row>
    <row r="13">
      <c r="A13" s="39" t="inlineStr">
        <is>
          <t>Date:</t>
        </is>
      </c>
      <c r="B13" s="36" t="n"/>
      <c r="C13" s="6" t="n"/>
      <c r="D13" s="6" t="n"/>
      <c r="E13" s="6" t="n"/>
    </row>
    <row r="14">
      <c r="A14" s="39" t="inlineStr">
        <is>
          <t>Signature:</t>
        </is>
      </c>
      <c r="B14" s="36" t="n"/>
      <c r="C14" s="6" t="n"/>
      <c r="D14" s="6" t="n"/>
      <c r="E14" s="6" t="n"/>
    </row>
    <row r="15">
      <c r="A15" s="39" t="inlineStr">
        <is>
          <t>Comments:</t>
        </is>
      </c>
      <c r="B15" s="36" t="n"/>
      <c r="C15" s="6" t="n"/>
      <c r="D15" s="6" t="n"/>
      <c r="E15" s="6" t="n"/>
    </row>
    <row r="17">
      <c r="A17" s="38" t="inlineStr">
        <is>
          <t>REVIEWED BY (INFORMATION SECURITY OFFICER)</t>
        </is>
      </c>
      <c r="B17" s="6" t="n"/>
      <c r="C17" s="6" t="n"/>
      <c r="D17" s="6" t="n"/>
      <c r="E17" s="6" t="n"/>
    </row>
    <row r="18">
      <c r="A18" s="39" t="inlineStr">
        <is>
          <t>Name:</t>
        </is>
      </c>
      <c r="B18" s="36" t="n"/>
      <c r="C18" s="6" t="n"/>
      <c r="D18" s="6" t="n"/>
      <c r="E18" s="6" t="n"/>
    </row>
    <row r="19">
      <c r="A19" s="39" t="inlineStr">
        <is>
          <t>Title:</t>
        </is>
      </c>
      <c r="B19" s="36" t="n"/>
      <c r="C19" s="6" t="n"/>
      <c r="D19" s="6" t="n"/>
      <c r="E19" s="6" t="n"/>
    </row>
    <row r="20">
      <c r="A20" s="39" t="inlineStr">
        <is>
          <t>Date:</t>
        </is>
      </c>
      <c r="B20" s="36" t="n"/>
      <c r="C20" s="6" t="n"/>
      <c r="D20" s="6" t="n"/>
      <c r="E20" s="6" t="n"/>
    </row>
    <row r="21">
      <c r="A21" s="39" t="inlineStr">
        <is>
          <t>Signature:</t>
        </is>
      </c>
      <c r="B21" s="36" t="n"/>
      <c r="C21" s="6" t="n"/>
      <c r="D21" s="6" t="n"/>
      <c r="E21" s="6" t="n"/>
    </row>
    <row r="22">
      <c r="A22" s="39" t="inlineStr">
        <is>
          <t>Comments:</t>
        </is>
      </c>
      <c r="B22" s="36" t="n"/>
      <c r="C22" s="6" t="n"/>
      <c r="D22" s="6" t="n"/>
      <c r="E22" s="6" t="n"/>
    </row>
    <row r="24">
      <c r="A24" s="25" t="inlineStr">
        <is>
          <t>APPROVED BY (CISO)</t>
        </is>
      </c>
      <c r="B24" s="6" t="n"/>
      <c r="C24" s="6" t="n"/>
      <c r="D24" s="6" t="n"/>
      <c r="E24" s="6" t="n"/>
    </row>
    <row r="25">
      <c r="A25" s="39" t="inlineStr">
        <is>
          <t>Name:</t>
        </is>
      </c>
      <c r="B25" s="36" t="n"/>
      <c r="C25" s="6" t="n"/>
      <c r="D25" s="6" t="n"/>
      <c r="E25" s="6" t="n"/>
    </row>
    <row r="26">
      <c r="A26" s="39" t="inlineStr">
        <is>
          <t>Title:</t>
        </is>
      </c>
      <c r="B26" s="36" t="n"/>
      <c r="C26" s="6" t="n"/>
      <c r="D26" s="6" t="n"/>
      <c r="E26" s="6" t="n"/>
    </row>
    <row r="27">
      <c r="A27" s="39" t="inlineStr">
        <is>
          <t>Date:</t>
        </is>
      </c>
      <c r="B27" s="36" t="n"/>
      <c r="C27" s="6" t="n"/>
      <c r="D27" s="6" t="n"/>
      <c r="E27" s="6" t="n"/>
    </row>
    <row r="28">
      <c r="A28" s="39" t="inlineStr">
        <is>
          <t>Signature:</t>
        </is>
      </c>
      <c r="B28" s="36" t="n"/>
      <c r="C28" s="6" t="n"/>
      <c r="D28" s="6" t="n"/>
      <c r="E28" s="6" t="n"/>
    </row>
    <row r="29">
      <c r="A29" s="39" t="inlineStr">
        <is>
          <t>Comments:</t>
        </is>
      </c>
      <c r="B29" s="36" t="n"/>
      <c r="C29" s="6" t="n"/>
      <c r="D29" s="6" t="n"/>
      <c r="E29" s="6" t="n"/>
    </row>
    <row r="31">
      <c r="A31" s="39" t="inlineStr">
        <is>
          <t>FINAL DECISION:</t>
        </is>
      </c>
      <c r="B31" s="36" t="n"/>
      <c r="C31" s="6" t="n"/>
      <c r="D31" s="6" t="n"/>
      <c r="E31" s="6" t="n"/>
    </row>
    <row r="34">
      <c r="A34" s="38" t="inlineStr">
        <is>
          <t>NEXT REVIEW DETAILS</t>
        </is>
      </c>
      <c r="B34" s="6" t="n"/>
      <c r="C34" s="6" t="n"/>
      <c r="D34" s="6" t="n"/>
      <c r="E34" s="6" t="n"/>
    </row>
    <row r="35">
      <c r="A35" s="39" t="inlineStr">
        <is>
          <t>Next Review Date:</t>
        </is>
      </c>
      <c r="B35" s="36" t="n"/>
      <c r="C35" s="6" t="n"/>
      <c r="D35" s="6" t="n"/>
      <c r="E35" s="6" t="n"/>
    </row>
    <row r="36">
      <c r="A36" s="39" t="inlineStr">
        <is>
          <t>Review Responsible:</t>
        </is>
      </c>
      <c r="B36" s="36" t="n"/>
      <c r="C36" s="6" t="n"/>
      <c r="D36" s="6" t="n"/>
      <c r="E36" s="6" t="n"/>
    </row>
    <row r="37">
      <c r="A37" s="39" t="inlineStr">
        <is>
          <t>Special Considerations:</t>
        </is>
      </c>
      <c r="B37" s="36" t="n"/>
      <c r="C37" s="6" t="n"/>
      <c r="D37" s="6" t="n"/>
      <c r="E37" s="6" t="n"/>
    </row>
  </sheetData>
  <mergeCells count="31">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A2:E2"/>
    <mergeCell ref="B12:E12"/>
    <mergeCell ref="B21:E21"/>
    <mergeCell ref="B11:E11"/>
    <mergeCell ref="A17:E17"/>
    <mergeCell ref="B14:E14"/>
    <mergeCell ref="B8:E8"/>
    <mergeCell ref="A10:E10"/>
    <mergeCell ref="B13:E13"/>
    <mergeCell ref="B29:E29"/>
    <mergeCell ref="B19:E19"/>
    <mergeCell ref="B37:E37"/>
    <mergeCell ref="B28:E28"/>
  </mergeCells>
  <dataValidations count="1">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ISMS-IMP-A.5.17.1 — Authentication Policy and Standards</dc:title>
  <dc:description xmlns:dc="http://purl.org/dc/elements/1.1/">ISMS Implementation Workbook — ISMS-IMP-A.5.17.1</dc:description>
  <dc:subject xmlns:dc="http://purl.org/dc/elements/1.1/">ISO/IEC 27001:2022 — Control A.5.17: Authentication Information</dc:subject>
  <dcterms:created xmlns:dcterms="http://purl.org/dc/terms/" xmlns:xsi="http://www.w3.org/2001/XMLSchema-instance" xsi:type="dcterms:W3CDTF">2026-03-07T11:27:24Z</dcterms:created>
  <dcterms:modified xmlns:dcterms="http://purl.org/dc/terms/" xmlns:xsi="http://www.w3.org/2001/XMLSchema-instance" xsi:type="dcterms:W3CDTF">2026-03-07T11:27:24Z</dcterms:modified>
</cp:coreProperties>
</file>