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Matrix" sheetId="2" state="visible" r:id="rId2"/>
    <sheet xmlns:r="http://schemas.openxmlformats.org/officeDocument/2006/relationships" name="Role Assignments" sheetId="3" state="visible" r:id="rId3"/>
    <sheet xmlns:r="http://schemas.openxmlformats.org/officeDocument/2006/relationships" name="Group Memberships" sheetId="4" state="visible" r:id="rId4"/>
    <sheet xmlns:r="http://schemas.openxmlformats.org/officeDocument/2006/relationships" name="Privileged Access" sheetId="5" state="visible" r:id="rId5"/>
    <sheet xmlns:r="http://schemas.openxmlformats.org/officeDocument/2006/relationships" name="Access Documentation" sheetId="6" state="visible" r:id="rId6"/>
    <sheet xmlns:r="http://schemas.openxmlformats.org/officeDocument/2006/relationships" name="Coverage Analysi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color rgb="00FF0000"/>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10" fillId="10" borderId="1" pivotButton="0" quotePrefix="0" xfId="0"/>
    <xf numFmtId="0" fontId="0" fillId="11" borderId="1" applyAlignment="1" pivotButton="0" quotePrefix="0" xfId="0">
      <alignment vertical="center"/>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applyAlignment="1" pivotButton="0" quotePrefix="0" xfId="0">
      <alignment horizontal="left"/>
    </xf>
    <xf numFmtId="0" fontId="13" fillId="9" borderId="1" applyAlignment="1" pivotButton="0" quotePrefix="0" xfId="0">
      <alignment horizontal="center"/>
    </xf>
    <xf numFmtId="164" fontId="13" fillId="9" borderId="1" applyAlignment="1" pivotButton="0" quotePrefix="0" xfId="0">
      <alignment horizontal="center"/>
    </xf>
    <xf numFmtId="0" fontId="12" fillId="8" borderId="1" pivotButton="0" quotePrefix="0" xfId="0"/>
    <xf numFmtId="0" fontId="12" fillId="12" borderId="1" pivotButton="0" quotePrefix="0" xfId="0"/>
    <xf numFmtId="0" fontId="14" fillId="11" borderId="1" pivotButton="0" quotePrefix="0" xfId="0"/>
    <xf numFmtId="0" fontId="14" fillId="11"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ISMS-IMP-A.5.15-16-18.S2  -  Access Rights Matrix Assessment
ISO/IEC 27001:2022 - Control A.5.18: Access Rights</t>
        </is>
      </c>
    </row>
    <row r="3">
      <c r="A3" s="2" t="inlineStr">
        <is>
          <t>Document Information</t>
        </is>
      </c>
    </row>
    <row r="4">
      <c r="A4" s="3" t="inlineStr">
        <is>
          <t>Document ID</t>
        </is>
      </c>
      <c r="B4" t="inlineStr">
        <is>
          <t>ISMS-IMP-A.5.15-16-18.S2</t>
        </is>
      </c>
    </row>
    <row r="5">
      <c r="A5" s="3" t="inlineStr">
        <is>
          <t>Workbook Title</t>
        </is>
      </c>
      <c r="B5" t="inlineStr">
        <is>
          <t>Access Rights Matrix Assessment</t>
        </is>
      </c>
    </row>
    <row r="6">
      <c r="A6" s="3" t="inlineStr">
        <is>
          <t>Control Reference</t>
        </is>
      </c>
      <c r="B6" t="inlineStr">
        <is>
          <t>ISO/IEC 27001:2022 - Control A.5.18: Access Rights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Access Matrix sheet mapping all users to systems with access levels.</t>
        </is>
      </c>
    </row>
    <row r="15">
      <c r="A15" t="inlineStr">
        <is>
          <t>3. Complete the Role Assignments sheet documenting RBAC role-to-user mappings.</t>
        </is>
      </c>
    </row>
    <row r="16">
      <c r="A16" t="inlineStr">
        <is>
          <t>4. Complete the Group Memberships sheet with all group membership details.</t>
        </is>
      </c>
    </row>
    <row r="17">
      <c r="A17" t="inlineStr">
        <is>
          <t>5. Complete the Privileged Access sheet tracking admin and elevated-rights accounts.</t>
        </is>
      </c>
    </row>
    <row r="18">
      <c r="A18" t="inlineStr">
        <is>
          <t>6. Complete the Access Documentation sheet verifying business justification records.</t>
        </is>
      </c>
    </row>
    <row r="19">
      <c r="A19" t="inlineStr">
        <is>
          <t>7. Review the Coverage Analysis sheet for system-level access statistics.</t>
        </is>
      </c>
    </row>
    <row r="20">
      <c r="A20" t="inlineStr">
        <is>
          <t>8. Complete the Gap Analysis sheet with all non-compliance findings.</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30" customWidth="1" min="5" max="5"/>
    <col width="15" customWidth="1" min="6" max="6"/>
    <col width="15" customWidth="1" min="7" max="7"/>
    <col width="12" customWidth="1" min="8" max="8"/>
    <col width="18" customWidth="1" min="9" max="9"/>
    <col width="12" customWidth="1" min="10" max="10"/>
    <col width="15" customWidth="1" min="11" max="11"/>
  </cols>
  <sheetData>
    <row r="1" ht="35" customHeight="1">
      <c r="A1" s="11" t="inlineStr">
        <is>
          <t>ACCESS RIGHTS MATRIX - USER X SYSTEM MAPPING</t>
        </is>
      </c>
    </row>
    <row r="2">
      <c r="A2" s="12" t="inlineStr">
        <is>
          <t>Assessment Date: 10.03.2026</t>
        </is>
      </c>
    </row>
    <row r="3">
      <c r="A3" s="12" t="inlineStr">
        <is>
          <t>Access Mappings: 150</t>
        </is>
      </c>
    </row>
    <row r="5">
      <c r="A5" s="13" t="inlineStr">
        <is>
          <t>User ID</t>
        </is>
      </c>
      <c r="B5" s="13" t="inlineStr">
        <is>
          <t>Username</t>
        </is>
      </c>
      <c r="C5" s="13" t="inlineStr">
        <is>
          <t>Full Name</t>
        </is>
      </c>
      <c r="D5" s="13" t="inlineStr">
        <is>
          <t>Department</t>
        </is>
      </c>
      <c r="E5" s="13" t="inlineStr">
        <is>
          <t>System/Application</t>
        </is>
      </c>
      <c r="F5" s="13" t="inlineStr">
        <is>
          <t>Access Level</t>
        </is>
      </c>
      <c r="G5" s="13" t="inlineStr">
        <is>
          <t>Access Type</t>
        </is>
      </c>
      <c r="H5" s="13" t="inlineStr">
        <is>
          <t>Granted Date</t>
        </is>
      </c>
      <c r="I5" s="13" t="inlineStr">
        <is>
          <t>Granted By</t>
        </is>
      </c>
      <c r="J5" s="13" t="inlineStr">
        <is>
          <t>Last Used</t>
        </is>
      </c>
      <c r="K5" s="13" t="inlineStr">
        <is>
          <t>Status</t>
        </is>
      </c>
    </row>
    <row r="6">
      <c r="A6" s="14" t="inlineStr">
        <is>
          <t>USR-0001</t>
        </is>
      </c>
      <c r="B6" s="14" t="inlineStr">
        <is>
          <t>jsmith</t>
        </is>
      </c>
      <c r="C6" s="14" t="inlineStr">
        <is>
          <t>John Smith</t>
        </is>
      </c>
      <c r="D6" s="14" t="inlineStr">
        <is>
          <t>IT</t>
        </is>
      </c>
      <c r="E6" s="14" t="inlineStr">
        <is>
          <t>Active Directory</t>
        </is>
      </c>
      <c r="F6" s="14" t="inlineStr">
        <is>
          <t>Read/Write</t>
        </is>
      </c>
      <c r="G6" s="14" t="inlineStr">
        <is>
          <t>Role-Based</t>
        </is>
      </c>
      <c r="H6" s="14" t="inlineStr">
        <is>
          <t>01.01.2024</t>
        </is>
      </c>
      <c r="I6" s="14" t="inlineStr">
        <is>
          <t>IT Manager</t>
        </is>
      </c>
      <c r="J6" s="14" t="inlineStr">
        <is>
          <t>28.02.2026</t>
        </is>
      </c>
      <c r="K6" s="14" t="inlineStr">
        <is>
          <t>Active</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15" customWidth="1" min="6" max="6"/>
    <col width="18" customWidth="1" min="7" max="7"/>
    <col width="12" customWidth="1" min="8" max="8"/>
  </cols>
  <sheetData>
    <row r="1" ht="35" customHeight="1">
      <c r="A1" s="11" t="inlineStr">
        <is>
          <t>ROLE ASSIGNMENTS - RBAC IMPLEMENTATION</t>
        </is>
      </c>
    </row>
    <row r="2">
      <c r="A2" s="12" t="inlineStr">
        <is>
          <t>Assessment Date: 10.03.2026</t>
        </is>
      </c>
    </row>
    <row r="3">
      <c r="A3" s="12" t="inlineStr">
        <is>
          <t>Users with Roles: 80</t>
        </is>
      </c>
    </row>
    <row r="5">
      <c r="A5" s="13" t="inlineStr">
        <is>
          <t>User ID</t>
        </is>
      </c>
      <c r="B5" s="13" t="inlineStr">
        <is>
          <t>Username</t>
        </is>
      </c>
      <c r="C5" s="13" t="inlineStr">
        <is>
          <t>Full Name</t>
        </is>
      </c>
      <c r="D5" s="13" t="inlineStr">
        <is>
          <t>Department</t>
        </is>
      </c>
      <c r="E5" s="13" t="inlineStr">
        <is>
          <t>Assigned Role</t>
        </is>
      </c>
      <c r="F5" s="13" t="inlineStr">
        <is>
          <t>Assignment Date</t>
        </is>
      </c>
      <c r="G5" s="13" t="inlineStr">
        <is>
          <t>Assignment Type</t>
        </is>
      </c>
      <c r="H5" s="13" t="inlineStr">
        <is>
          <t>Status</t>
        </is>
      </c>
    </row>
    <row r="6">
      <c r="A6" s="14" t="inlineStr">
        <is>
          <t>USR-0001</t>
        </is>
      </c>
      <c r="B6" s="14" t="inlineStr">
        <is>
          <t>jsmith</t>
        </is>
      </c>
      <c r="C6" s="14" t="inlineStr">
        <is>
          <t>John Smith</t>
        </is>
      </c>
      <c r="D6" s="14" t="inlineStr">
        <is>
          <t>IT</t>
        </is>
      </c>
      <c r="E6" s="14" t="inlineStr">
        <is>
          <t>IT Standard User</t>
        </is>
      </c>
      <c r="F6" s="14" t="inlineStr">
        <is>
          <t>01.01.2024</t>
        </is>
      </c>
      <c r="G6" s="14" t="inlineStr">
        <is>
          <t>Automatic</t>
        </is>
      </c>
      <c r="H6" s="14" t="inlineStr">
        <is>
          <t>Active</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35" customWidth="1" min="1" max="1"/>
    <col width="15" customWidth="1" min="2" max="2"/>
    <col width="40" customWidth="1" min="3" max="3"/>
    <col width="18" customWidth="1" min="4" max="4"/>
    <col width="15" customWidth="1" min="5" max="5"/>
    <col width="15" customWidth="1" min="6" max="6"/>
    <col width="15" customWidth="1" min="7" max="7"/>
    <col width="15" customWidth="1" min="8" max="8"/>
    <col width="18" customWidth="1" min="9" max="9"/>
    <col width="12" customWidth="1" min="10" max="10"/>
  </cols>
  <sheetData>
    <row r="1" ht="35" customHeight="1">
      <c r="A1" s="11" t="inlineStr">
        <is>
          <t>GROUP MEMBERSHIP DETAILS</t>
        </is>
      </c>
    </row>
    <row r="2">
      <c r="A2" s="12" t="inlineStr">
        <is>
          <t>Assessment Date: 10.03.2026</t>
        </is>
      </c>
    </row>
    <row r="4">
      <c r="A4" s="13" t="inlineStr">
        <is>
          <t>Group Name</t>
        </is>
      </c>
      <c r="B4" s="13" t="inlineStr">
        <is>
          <t>Group Type</t>
        </is>
      </c>
      <c r="C4" s="13" t="inlineStr">
        <is>
          <t>Purpose</t>
        </is>
      </c>
      <c r="D4" s="13" t="inlineStr">
        <is>
          <t>Owner</t>
        </is>
      </c>
      <c r="E4" s="13" t="inlineStr">
        <is>
          <t>Member Count</t>
        </is>
      </c>
      <c r="F4" s="13" t="inlineStr">
        <is>
          <t>Created Date</t>
        </is>
      </c>
      <c r="G4" s="13" t="inlineStr">
        <is>
          <t>Last Modified</t>
        </is>
      </c>
      <c r="H4" s="13" t="inlineStr">
        <is>
          <t>Nested Groups</t>
        </is>
      </c>
      <c r="I4" s="13" t="inlineStr">
        <is>
          <t>Review Frequency</t>
        </is>
      </c>
      <c r="J4" s="13" t="inlineStr">
        <is>
          <t>Status</t>
        </is>
      </c>
    </row>
    <row r="5">
      <c r="A5" s="14" t="inlineStr">
        <is>
          <t>SEC-IT-Read</t>
        </is>
      </c>
      <c r="B5" s="14" t="inlineStr">
        <is>
          <t>Security</t>
        </is>
      </c>
      <c r="C5" s="14" t="inlineStr">
        <is>
          <t>Security group for IT read access</t>
        </is>
      </c>
      <c r="D5" s="14" t="inlineStr">
        <is>
          <t>IT Manager</t>
        </is>
      </c>
      <c r="E5" s="14" t="n">
        <v>25</v>
      </c>
      <c r="F5" s="14" t="inlineStr">
        <is>
          <t>01.01.2023</t>
        </is>
      </c>
      <c r="G5" s="14" t="inlineStr">
        <is>
          <t>01.02.2026</t>
        </is>
      </c>
      <c r="H5" s="14" t="inlineStr">
        <is>
          <t>No</t>
        </is>
      </c>
      <c r="I5" s="14" t="inlineStr">
        <is>
          <t>Quarterly</t>
        </is>
      </c>
      <c r="J5" s="14" t="inlineStr">
        <is>
          <t>Active</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20" customWidth="1" min="6" max="6"/>
    <col width="12" customWidth="1" min="7" max="7"/>
    <col width="35" customWidth="1" min="8" max="8"/>
    <col width="18" customWidth="1" min="9" max="9"/>
    <col width="12" customWidth="1" min="10" max="10"/>
    <col width="18" customWidth="1" min="11" max="11"/>
  </cols>
  <sheetData>
    <row r="1" ht="35" customHeight="1">
      <c r="A1" s="11" t="inlineStr">
        <is>
          <t>PRIVILEGED ACCESS TRACKING - ADMIN &amp; ELEVATED RIGHTS</t>
        </is>
      </c>
    </row>
    <row r="2">
      <c r="A2" s="12" t="inlineStr">
        <is>
          <t>Assessment Date: 10.03.2026</t>
        </is>
      </c>
    </row>
    <row r="3">
      <c r="A3" s="16" t="inlineStr">
        <is>
          <t>Privileged Users: 25</t>
        </is>
      </c>
    </row>
    <row r="5">
      <c r="A5" s="13" t="inlineStr">
        <is>
          <t>User ID</t>
        </is>
      </c>
      <c r="B5" s="13" t="inlineStr">
        <is>
          <t>Username</t>
        </is>
      </c>
      <c r="C5" s="13" t="inlineStr">
        <is>
          <t>Full Name</t>
        </is>
      </c>
      <c r="D5" s="13" t="inlineStr">
        <is>
          <t>Department</t>
        </is>
      </c>
      <c r="E5" s="13" t="inlineStr">
        <is>
          <t>System</t>
        </is>
      </c>
      <c r="F5" s="13" t="inlineStr">
        <is>
          <t>Privilege Level</t>
        </is>
      </c>
      <c r="G5" s="13" t="inlineStr">
        <is>
          <t>Granted Date</t>
        </is>
      </c>
      <c r="H5" s="13" t="inlineStr">
        <is>
          <t>Business Justification</t>
        </is>
      </c>
      <c r="I5" s="13" t="inlineStr">
        <is>
          <t>Approved By</t>
        </is>
      </c>
      <c r="J5" s="13" t="inlineStr">
        <is>
          <t>Last Review</t>
        </is>
      </c>
      <c r="K5" s="13" t="inlineStr">
        <is>
          <t>Status</t>
        </is>
      </c>
    </row>
    <row r="6">
      <c r="A6" s="14" t="inlineStr">
        <is>
          <t>USR-0010</t>
        </is>
      </c>
      <c r="B6" s="14" t="inlineStr">
        <is>
          <t>aadmin</t>
        </is>
      </c>
      <c r="C6" s="14" t="inlineStr">
        <is>
          <t>Alice Admin</t>
        </is>
      </c>
      <c r="D6" s="14" t="inlineStr">
        <is>
          <t>IT</t>
        </is>
      </c>
      <c r="E6" s="14" t="inlineStr">
        <is>
          <t>Active Directory</t>
        </is>
      </c>
      <c r="F6" s="14" t="inlineStr">
        <is>
          <t>Domain Admin</t>
        </is>
      </c>
      <c r="G6" s="14" t="inlineStr">
        <is>
          <t>01.06.2023</t>
        </is>
      </c>
      <c r="H6" s="14" t="inlineStr">
        <is>
          <t>IT infrastructure management</t>
        </is>
      </c>
      <c r="I6" s="14" t="inlineStr">
        <is>
          <t>IT Manager</t>
        </is>
      </c>
      <c r="J6" s="14" t="inlineStr">
        <is>
          <t>01.12.2025</t>
        </is>
      </c>
      <c r="K6" s="14" t="inlineStr">
        <is>
          <t>Compliant</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30" customWidth="1" min="3" max="3"/>
    <col width="15" customWidth="1" min="4" max="4"/>
    <col width="12" customWidth="1" min="5" max="5"/>
    <col width="50" customWidth="1" min="6" max="6"/>
    <col width="18" customWidth="1" min="7" max="7"/>
    <col width="15" customWidth="1" min="8" max="8"/>
    <col width="20" customWidth="1" min="9" max="9"/>
    <col width="15" customWidth="1" min="10" max="10"/>
  </cols>
  <sheetData>
    <row r="1" ht="35" customHeight="1">
      <c r="A1" s="11" t="inlineStr">
        <is>
          <t>ACCESS DOCUMENTATION COMPLETENESS - BUSINESS JUSTIFICATION</t>
        </is>
      </c>
    </row>
    <row r="2">
      <c r="A2" s="12" t="inlineStr">
        <is>
          <t>Assessment Date: 10.03.2026</t>
        </is>
      </c>
    </row>
    <row r="4">
      <c r="A4" s="13" t="inlineStr">
        <is>
          <t>Access ID</t>
        </is>
      </c>
      <c r="B4" s="13" t="inlineStr">
        <is>
          <t>Username</t>
        </is>
      </c>
      <c r="C4" s="13" t="inlineStr">
        <is>
          <t>System</t>
        </is>
      </c>
      <c r="D4" s="13" t="inlineStr">
        <is>
          <t>Access Level</t>
        </is>
      </c>
      <c r="E4" s="13" t="inlineStr">
        <is>
          <t>Granted Date</t>
        </is>
      </c>
      <c r="F4" s="13" t="inlineStr">
        <is>
          <t>Business Justification</t>
        </is>
      </c>
      <c r="G4" s="13" t="inlineStr">
        <is>
          <t>Approver</t>
        </is>
      </c>
      <c r="H4" s="13" t="inlineStr">
        <is>
          <t>Approval Date</t>
        </is>
      </c>
      <c r="I4" s="13" t="inlineStr">
        <is>
          <t>Documentation Quality</t>
        </is>
      </c>
      <c r="J4" s="13" t="inlineStr">
        <is>
          <t>Status</t>
        </is>
      </c>
    </row>
    <row r="5">
      <c r="A5" s="14" t="inlineStr">
        <is>
          <t>ACC-10001</t>
        </is>
      </c>
      <c r="B5" s="14" t="inlineStr">
        <is>
          <t>jsmith</t>
        </is>
      </c>
      <c r="C5" s="14" t="inlineStr">
        <is>
          <t>Active Directory</t>
        </is>
      </c>
      <c r="D5" s="14" t="inlineStr">
        <is>
          <t>Read/Write</t>
        </is>
      </c>
      <c r="E5" s="14" t="inlineStr">
        <is>
          <t>01.01.2024</t>
        </is>
      </c>
      <c r="F5" s="14" t="inlineStr">
        <is>
          <t>New hire — requires AD access for IT role</t>
        </is>
      </c>
      <c r="G5" s="14" t="inlineStr">
        <is>
          <t>Manager</t>
        </is>
      </c>
      <c r="H5" s="14" t="inlineStr">
        <is>
          <t>02.01.2024</t>
        </is>
      </c>
      <c r="I5" s="14" t="inlineStr">
        <is>
          <t>Complete</t>
        </is>
      </c>
      <c r="J5" s="14" t="inlineStr">
        <is>
          <t>Compliant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30" customWidth="1" min="1" max="1"/>
    <col width="15" customWidth="1" min="2" max="2"/>
    <col width="12" customWidth="1" min="3" max="3"/>
    <col width="15" customWidth="1" min="4" max="4"/>
    <col width="15" customWidth="1" min="5" max="5"/>
    <col width="15" customWidth="1" min="6" max="6"/>
    <col width="18" customWidth="1" min="7" max="7"/>
    <col width="18" customWidth="1" min="8" max="8"/>
  </cols>
  <sheetData>
    <row r="1" ht="35" customHeight="1">
      <c r="A1" s="11" t="inlineStr">
        <is>
          <t>COVERAGE ANALYSIS - SYSTEM-LEVEL ACCESS STATISTICS</t>
        </is>
      </c>
    </row>
    <row r="2">
      <c r="A2" s="12" t="inlineStr">
        <is>
          <t>Assessment Date: 10.03.2026</t>
        </is>
      </c>
    </row>
    <row r="4">
      <c r="A4" s="13" t="inlineStr">
        <is>
          <t>System/Application</t>
        </is>
      </c>
      <c r="B4" s="13" t="inlineStr">
        <is>
          <t>Criticality</t>
        </is>
      </c>
      <c r="C4" s="13" t="inlineStr">
        <is>
          <t>Total Users</t>
        </is>
      </c>
      <c r="D4" s="13" t="inlineStr">
        <is>
          <t>Read Access</t>
        </is>
      </c>
      <c r="E4" s="13" t="inlineStr">
        <is>
          <t>Write Access</t>
        </is>
      </c>
      <c r="F4" s="13" t="inlineStr">
        <is>
          <t>Admin Access</t>
        </is>
      </c>
      <c r="G4" s="13" t="inlineStr">
        <is>
          <t>RBAC Adoption</t>
        </is>
      </c>
      <c r="H4" s="13" t="inlineStr">
        <is>
          <t>Review Frequency</t>
        </is>
      </c>
    </row>
    <row r="5">
      <c r="A5" s="14" t="inlineStr">
        <is>
          <t>Active Directory</t>
        </is>
      </c>
      <c r="B5" s="14" t="inlineStr">
        <is>
          <t>Critical</t>
        </is>
      </c>
      <c r="C5" s="14" t="n">
        <v>150</v>
      </c>
      <c r="D5" s="14" t="n">
        <v>100</v>
      </c>
      <c r="E5" s="14" t="n">
        <v>40</v>
      </c>
      <c r="F5" s="14" t="n">
        <v>10</v>
      </c>
      <c r="G5" s="14" t="inlineStr">
        <is>
          <t>95%</t>
        </is>
      </c>
      <c r="H5" s="14" t="inlineStr">
        <is>
          <t>Quarterly</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5" customWidth="1" min="3" max="3"/>
    <col width="12" customWidth="1" min="4" max="4"/>
    <col width="15" customWidth="1" min="5" max="5"/>
    <col width="40" customWidth="1" min="6" max="6"/>
    <col width="40" customWidth="1" min="7" max="7"/>
    <col width="18" customWidth="1" min="8" max="8"/>
    <col width="12" customWidth="1" min="9" max="9"/>
    <col width="15" customWidth="1" min="10" max="10"/>
  </cols>
  <sheetData>
    <row r="1" ht="35" customHeight="1">
      <c r="A1" s="11" t="inlineStr">
        <is>
          <t>GAP ANALYSIS - ACCESS RIGHTS NON-COMPLIANCE</t>
        </is>
      </c>
    </row>
    <row r="2">
      <c r="A2" s="12" t="inlineStr">
        <is>
          <t>Assessment Date: 10.03.2026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Documentation</t>
        </is>
      </c>
      <c r="C5" s="14" t="inlineStr">
        <is>
          <t>15 access grants missing business justification</t>
        </is>
      </c>
      <c r="D5" s="14" t="inlineStr">
        <is>
          <t>Medium</t>
        </is>
      </c>
      <c r="E5" s="14" t="inlineStr">
        <is>
          <t>15 users</t>
        </is>
      </c>
      <c r="F5" s="14" t="inlineStr">
        <is>
          <t>Manual provisioning without ticketing system</t>
        </is>
      </c>
      <c r="G5" s="14" t="inlineStr">
        <is>
          <t>Implement access request workflow</t>
        </is>
      </c>
      <c r="H5" s="14" t="inlineStr">
        <is>
          <t>Security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7" t="inlineStr">
        <is>
          <t>EVIDENCE REGISTER</t>
        </is>
      </c>
    </row>
    <row r="2">
      <c r="A2" s="18" t="inlineStr">
        <is>
          <t>ISO/IEC 27001:2022 Annex A - Control A.5.18: Access Rights</t>
        </is>
      </c>
    </row>
    <row r="3">
      <c r="A3" s="6" t="n"/>
    </row>
    <row r="4">
      <c r="A4" s="19" t="inlineStr">
        <is>
          <t>Evidence ID</t>
        </is>
      </c>
      <c r="B4" s="19" t="inlineStr">
        <is>
          <t>Evidence Type</t>
        </is>
      </c>
      <c r="C4" s="19" t="inlineStr">
        <is>
          <t>Description</t>
        </is>
      </c>
      <c r="D4" s="19" t="inlineStr">
        <is>
          <t>Related Control / Section</t>
        </is>
      </c>
      <c r="E4" s="19" t="inlineStr">
        <is>
          <t>Collection Date (DD.MM.YYYY)</t>
        </is>
      </c>
      <c r="F4" s="19" t="inlineStr">
        <is>
          <t>Storage Location / Reference</t>
        </is>
      </c>
      <c r="G4" s="19" t="inlineStr">
        <is>
          <t>Collected By</t>
        </is>
      </c>
      <c r="H4" s="19"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17" t="inlineStr">
        <is>
          <t>ACCESS RIGHTS MATRIX — SUMMARY DASHBOARD</t>
        </is>
      </c>
      <c r="B1" s="6" t="n"/>
      <c r="C1" s="6" t="n"/>
      <c r="D1" s="6" t="n"/>
      <c r="E1" s="6" t="n"/>
      <c r="F1" s="6" t="n"/>
      <c r="G1" s="6" t="n"/>
    </row>
    <row r="2">
      <c r="A2" s="22" t="inlineStr">
        <is>
          <t>ISO/IEC 27001:2022 — Control A.5.18: Access Rights</t>
        </is>
      </c>
    </row>
    <row r="4">
      <c r="A4" s="23" t="inlineStr">
        <is>
          <t>TABLE 1: ASSESSMENT AREA COMPLIANCE OVERVIEW</t>
        </is>
      </c>
    </row>
    <row r="5">
      <c r="A5" s="24" t="inlineStr">
        <is>
          <t>Assessment Area</t>
        </is>
      </c>
      <c r="B5" s="24" t="inlineStr">
        <is>
          <t>Total Items</t>
        </is>
      </c>
      <c r="C5" s="24" t="inlineStr">
        <is>
          <t>Compliant</t>
        </is>
      </c>
      <c r="D5" s="24" t="inlineStr">
        <is>
          <t>Partial / Warning</t>
        </is>
      </c>
      <c r="E5" s="24" t="inlineStr">
        <is>
          <t>Non-Compliant</t>
        </is>
      </c>
      <c r="F5" s="24" t="inlineStr">
        <is>
          <t>N/A</t>
        </is>
      </c>
      <c r="G5" s="24" t="inlineStr">
        <is>
          <t>Compliance %</t>
        </is>
      </c>
    </row>
    <row r="6">
      <c r="A6" s="25" t="inlineStr">
        <is>
          <t>Access Matrix</t>
        </is>
      </c>
      <c r="B6" s="26">
        <f>COUNTA('Access Matrix'!A6:A56)</f>
        <v/>
      </c>
      <c r="C6" s="26">
        <f>COUNTIF('Access Matrix'!K6:K56,"Active")+COUNTIF('Access Matrix'!K6:K56,"Recently Used")</f>
        <v/>
      </c>
      <c r="D6" s="26" t="n">
        <v>0</v>
      </c>
      <c r="E6" s="26">
        <f>COUNTIF('Access Matrix'!K6:K56,"Inactive")+COUNTIF('Access Matrix'!K6:K56,"Never Used")</f>
        <v/>
      </c>
      <c r="F6" s="26" t="n">
        <v>0</v>
      </c>
      <c r="G6" s="27">
        <f>IF((B6-F6)=0,0,C6/(B6-F6))</f>
        <v/>
      </c>
    </row>
    <row r="7">
      <c r="A7" s="25" t="inlineStr">
        <is>
          <t>Privileged Access</t>
        </is>
      </c>
      <c r="B7" s="26">
        <f>COUNTA('Privileged Access'!A6:A56)</f>
        <v/>
      </c>
      <c r="C7" s="26">
        <f>COUNTIF('Privileged Access'!K6:K56,"Compliant")</f>
        <v/>
      </c>
      <c r="D7" s="26">
        <f>COUNTIF('Privileged Access'!K6:K56,"Review Required")</f>
        <v/>
      </c>
      <c r="E7" s="26">
        <f>COUNTIF('Privileged Access'!K6:K56,"Non-Compliant")</f>
        <v/>
      </c>
      <c r="F7" s="26" t="n">
        <v>0</v>
      </c>
      <c r="G7" s="27">
        <f>IF((B7-F7)=0,0,C7/(B7-F7))</f>
        <v/>
      </c>
    </row>
    <row r="8">
      <c r="A8" s="25" t="inlineStr">
        <is>
          <t>Access Documentation</t>
        </is>
      </c>
      <c r="B8" s="26">
        <f>COUNTA('Access Documentation'!A5:A55)</f>
        <v/>
      </c>
      <c r="C8" s="26">
        <f>COUNTIF('Access Documentation'!J5:J55,"Compliant")</f>
        <v/>
      </c>
      <c r="D8" s="26" t="n">
        <v>0</v>
      </c>
      <c r="E8" s="26">
        <f>COUNTIF('Access Documentation'!J5:J55,"Non-Compliant")</f>
        <v/>
      </c>
      <c r="F8" s="26" t="n">
        <v>0</v>
      </c>
      <c r="G8" s="27">
        <f>IF((B8-F8)=0,0,C8/(B8-F8))</f>
        <v/>
      </c>
    </row>
    <row r="9">
      <c r="A9" s="25" t="inlineStr">
        <is>
          <t>Role Assignments</t>
        </is>
      </c>
      <c r="B9" s="26">
        <f>COUNTA('Role Assignments'!A6:A56)</f>
        <v/>
      </c>
      <c r="C9" s="26">
        <f>COUNTIF('Role Assignments'!H6:H56,"Active")</f>
        <v/>
      </c>
      <c r="D9" s="26" t="n">
        <v>0</v>
      </c>
      <c r="E9" s="26">
        <f>COUNTIF('Role Assignments'!H6:H56,"Terminated")+COUNTIF('Role Assignments'!H6:H56,"Inactive")</f>
        <v/>
      </c>
      <c r="F9" s="26" t="n">
        <v>0</v>
      </c>
      <c r="G9" s="27">
        <f>IF((B9-F9)=0,0,C9/(B9-F9))</f>
        <v/>
      </c>
    </row>
    <row r="10">
      <c r="A10" s="25" t="inlineStr">
        <is>
          <t>Gap Analysis</t>
        </is>
      </c>
      <c r="B10" s="26">
        <f>COUNTA('Gap Analysis'!A6:A55)</f>
        <v/>
      </c>
      <c r="C10" s="26">
        <f>COUNTIF('Gap Analysis'!J6:J55,"Resolved")</f>
        <v/>
      </c>
      <c r="D10" s="26">
        <f>COUNTIF('Gap Analysis'!J6:J55,"In Progress")</f>
        <v/>
      </c>
      <c r="E10" s="26">
        <f>COUNTIF('Gap Analysis'!J6:J55,"Open")</f>
        <v/>
      </c>
      <c r="F10" s="26" t="n">
        <v>0</v>
      </c>
      <c r="G10" s="27">
        <f>IF((B10-F10)=0,0,C10/(B10-F10))</f>
        <v/>
      </c>
    </row>
    <row r="11">
      <c r="A11" s="28" t="inlineStr">
        <is>
          <t>TOTAL</t>
        </is>
      </c>
      <c r="B11" s="29">
        <f>SUM(B6:B10)</f>
        <v/>
      </c>
      <c r="C11" s="29">
        <f>SUM(C6:C10)</f>
        <v/>
      </c>
      <c r="D11" s="29">
        <f>SUM(D6:D10)</f>
        <v/>
      </c>
      <c r="E11" s="29">
        <f>SUM(E6:E10)</f>
        <v/>
      </c>
      <c r="F11" s="29">
        <f>SUM(F6:F10)</f>
        <v/>
      </c>
      <c r="G11" s="30">
        <f>IF((B11-F11)=0,0,C11/(B11-F11))</f>
        <v/>
      </c>
    </row>
    <row r="13">
      <c r="A13" s="31" t="inlineStr">
        <is>
          <t>TABLE 2: KEY METRICS</t>
        </is>
      </c>
    </row>
    <row r="14">
      <c r="A14" s="29" t="inlineStr">
        <is>
          <t>Metric</t>
        </is>
      </c>
      <c r="B14" s="29" t="inlineStr">
        <is>
          <t>Value</t>
        </is>
      </c>
      <c r="C14" s="29" t="n"/>
      <c r="D14" s="29" t="n"/>
      <c r="E14" s="29" t="n"/>
      <c r="F14" s="29" t="n"/>
      <c r="G14" s="29" t="n"/>
    </row>
    <row r="15">
      <c r="A15" s="25" t="inlineStr">
        <is>
          <t>Total Access Mappings</t>
        </is>
      </c>
      <c r="B15" s="26">
        <f>COUNTA('Access Matrix'!A6:A56)</f>
        <v/>
      </c>
      <c r="C15" s="6" t="n"/>
      <c r="D15" s="6" t="n"/>
      <c r="E15" s="6" t="n"/>
      <c r="F15" s="6" t="n"/>
      <c r="G15" s="6" t="n"/>
    </row>
    <row r="16">
      <c r="A16" s="25" t="inlineStr">
        <is>
          <t>Active Access Assignments</t>
        </is>
      </c>
      <c r="B16" s="26">
        <f>COUNTIF('Access Matrix'!K6:K56,"Active")</f>
        <v/>
      </c>
      <c r="C16" s="6" t="n"/>
      <c r="D16" s="6" t="n"/>
      <c r="E16" s="6" t="n"/>
      <c r="F16" s="6" t="n"/>
      <c r="G16" s="6" t="n"/>
    </row>
    <row r="17">
      <c r="A17" s="25" t="inlineStr">
        <is>
          <t>Inactive / Unused Access (Review Required)</t>
        </is>
      </c>
      <c r="B17" s="26">
        <f>COUNTIF('Access Matrix'!K6:K56,"Inactive")+COUNTIF('Access Matrix'!K6:K56,"Never Used")</f>
        <v/>
      </c>
      <c r="C17" s="6" t="n"/>
      <c r="D17" s="6" t="n"/>
      <c r="E17" s="6" t="n"/>
      <c r="F17" s="6" t="n"/>
      <c r="G17" s="6" t="n"/>
    </row>
    <row r="18">
      <c r="A18" s="25" t="inlineStr">
        <is>
          <t>Total Privileged Access Users</t>
        </is>
      </c>
      <c r="B18" s="26">
        <f>COUNTA('Privileged Access'!A6:A56)</f>
        <v/>
      </c>
      <c r="C18" s="6" t="n"/>
      <c r="D18" s="6" t="n"/>
      <c r="E18" s="6" t="n"/>
      <c r="F18" s="6" t="n"/>
      <c r="G18" s="6" t="n"/>
    </row>
    <row r="19">
      <c r="A19" s="25" t="inlineStr">
        <is>
          <t>Privileged Access Compliant</t>
        </is>
      </c>
      <c r="B19" s="26">
        <f>COUNTIF('Privileged Access'!K6:K56,"Compliant")</f>
        <v/>
      </c>
      <c r="C19" s="6" t="n"/>
      <c r="D19" s="6" t="n"/>
      <c r="E19" s="6" t="n"/>
      <c r="F19" s="6" t="n"/>
      <c r="G19" s="6" t="n"/>
    </row>
    <row r="20">
      <c r="A20" s="25" t="inlineStr">
        <is>
          <t>Privileged Access Needing Review</t>
        </is>
      </c>
      <c r="B20" s="26">
        <f>COUNTIF('Privileged Access'!K6:K56,"Review Required")</f>
        <v/>
      </c>
      <c r="C20" s="6" t="n"/>
      <c r="D20" s="6" t="n"/>
      <c r="E20" s="6" t="n"/>
      <c r="F20" s="6" t="n"/>
      <c r="G20" s="6" t="n"/>
    </row>
    <row r="21">
      <c r="A21" s="25" t="inlineStr">
        <is>
          <t>Access Documentation Complete</t>
        </is>
      </c>
      <c r="B21" s="26">
        <f>COUNTIF('Access Documentation'!J5:J160,"Compliant")</f>
        <v/>
      </c>
      <c r="C21" s="6" t="n"/>
      <c r="D21" s="6" t="n"/>
      <c r="E21" s="6" t="n"/>
      <c r="F21" s="6" t="n"/>
      <c r="G21" s="6" t="n"/>
    </row>
    <row r="22">
      <c r="A22" s="25" t="inlineStr">
        <is>
          <t>Access Without Documentation</t>
        </is>
      </c>
      <c r="B22" s="26">
        <f>COUNTIF('Access Documentation'!J5:J160,"Non-Compliant")</f>
        <v/>
      </c>
      <c r="C22" s="6" t="n"/>
      <c r="D22" s="6" t="n"/>
      <c r="E22" s="6" t="n"/>
      <c r="F22" s="6" t="n"/>
      <c r="G22" s="6" t="n"/>
    </row>
    <row r="23">
      <c r="A23" s="25" t="inlineStr">
        <is>
          <t>RBAC User Count</t>
        </is>
      </c>
      <c r="B23" s="26">
        <f>COUNTA('Role Assignments'!A6:A56)</f>
        <v/>
      </c>
      <c r="C23" s="6" t="n"/>
      <c r="D23" s="6" t="n"/>
      <c r="E23" s="6" t="n"/>
      <c r="F23" s="6" t="n"/>
      <c r="G23" s="6" t="n"/>
    </row>
    <row r="24">
      <c r="A24" s="25" t="inlineStr">
        <is>
          <t>Role Assignments Active</t>
        </is>
      </c>
      <c r="B24" s="26">
        <f>COUNTIF('Role Assignments'!H6:H56,"Active")</f>
        <v/>
      </c>
      <c r="C24" s="6" t="n"/>
      <c r="D24" s="6" t="n"/>
      <c r="E24" s="6" t="n"/>
      <c r="F24" s="6" t="n"/>
      <c r="G24" s="6" t="n"/>
    </row>
    <row r="25">
      <c r="A25" s="25" t="inlineStr">
        <is>
          <t>Open Access Rights Gaps</t>
        </is>
      </c>
      <c r="B25" s="26">
        <f>COUNTIF('Gap Analysis'!J6:J55,"Open")</f>
        <v/>
      </c>
      <c r="C25" s="6" t="n"/>
      <c r="D25" s="6" t="n"/>
      <c r="E25" s="6" t="n"/>
      <c r="F25" s="6" t="n"/>
      <c r="G25" s="6" t="n"/>
    </row>
    <row r="26">
      <c r="A26" s="25" t="inlineStr">
        <is>
          <t>Systems with Access Coverage</t>
        </is>
      </c>
      <c r="B26" s="26">
        <f>COUNTA('Coverage Analysis'!A5:A20)</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2" t="inlineStr">
        <is>
          <t>TABLE 3: CRITICAL FINDINGS REQUIRING IMMEDIATE ATTENTION</t>
        </is>
      </c>
    </row>
    <row r="31">
      <c r="A31" s="29" t="inlineStr">
        <is>
          <t>Category</t>
        </is>
      </c>
      <c r="B31" s="29" t="inlineStr">
        <is>
          <t>Finding</t>
        </is>
      </c>
      <c r="C31" s="29" t="inlineStr">
        <is>
          <t>Count</t>
        </is>
      </c>
      <c r="D31" s="29" t="inlineStr">
        <is>
          <t>Severity</t>
        </is>
      </c>
      <c r="E31" s="29" t="inlineStr">
        <is>
          <t>Action Required</t>
        </is>
      </c>
      <c r="F31" s="29" t="n"/>
      <c r="G31" s="29" t="n"/>
    </row>
    <row r="32">
      <c r="A32" s="33" t="inlineStr">
        <is>
          <t>Privileged Access</t>
        </is>
      </c>
      <c r="B32" s="33" t="inlineStr">
        <is>
          <t>Non-compliant privileged access records</t>
        </is>
      </c>
      <c r="C32" s="34">
        <f>COUNTIF('Privileged Access'!K6:K56,"Non-Compliant")</f>
        <v/>
      </c>
      <c r="D32" s="33" t="inlineStr">
        <is>
          <t>Critical</t>
        </is>
      </c>
      <c r="E32" s="33" t="inlineStr">
        <is>
          <t>Immediate</t>
        </is>
      </c>
      <c r="F32" s="33" t="n"/>
      <c r="G32" s="33" t="n"/>
    </row>
    <row r="33">
      <c r="A33" s="33" t="inlineStr">
        <is>
          <t>Privileged Access</t>
        </is>
      </c>
      <c r="B33" s="33" t="inlineStr">
        <is>
          <t>Privileged access needing review</t>
        </is>
      </c>
      <c r="C33" s="34">
        <f>COUNTIF('Privileged Access'!K6:K56,"Review Required")</f>
        <v/>
      </c>
      <c r="D33" s="33" t="inlineStr">
        <is>
          <t>High</t>
        </is>
      </c>
      <c r="E33" s="33" t="inlineStr">
        <is>
          <t>Urgent</t>
        </is>
      </c>
      <c r="F33" s="33" t="n"/>
      <c r="G33" s="33" t="n"/>
    </row>
    <row r="34">
      <c r="A34" s="33" t="inlineStr">
        <is>
          <t>Access Documentation</t>
        </is>
      </c>
      <c r="B34" s="33" t="inlineStr">
        <is>
          <t>Access without business justification</t>
        </is>
      </c>
      <c r="C34" s="34">
        <f>COUNTIF('Access Documentation'!J5:J160,"Non-Compliant")</f>
        <v/>
      </c>
      <c r="D34" s="33" t="inlineStr">
        <is>
          <t>High</t>
        </is>
      </c>
      <c r="E34" s="33" t="inlineStr">
        <is>
          <t>Urgent</t>
        </is>
      </c>
      <c r="F34" s="33" t="n"/>
      <c r="G34" s="33" t="n"/>
    </row>
    <row r="35">
      <c r="A35" s="33" t="inlineStr">
        <is>
          <t>Access Matrix</t>
        </is>
      </c>
      <c r="B35" s="33" t="inlineStr">
        <is>
          <t>Inactive access (potential orphaned rights)</t>
        </is>
      </c>
      <c r="C35" s="34">
        <f>COUNTIF('Access Matrix'!K6:K56,"Inactive")</f>
        <v/>
      </c>
      <c r="D35" s="33" t="inlineStr">
        <is>
          <t>High</t>
        </is>
      </c>
      <c r="E35" s="33" t="inlineStr">
        <is>
          <t>Urgent</t>
        </is>
      </c>
      <c r="F35" s="33" t="n"/>
      <c r="G35" s="33" t="n"/>
    </row>
    <row r="36">
      <c r="A36" s="33" t="inlineStr">
        <is>
          <t>Access Matrix</t>
        </is>
      </c>
      <c r="B36" s="33" t="inlineStr">
        <is>
          <t>Access never used (provisioned but inactive)</t>
        </is>
      </c>
      <c r="C36" s="34">
        <f>COUNTIF('Access Matrix'!K6:K56,"Never Used")</f>
        <v/>
      </c>
      <c r="D36" s="33" t="inlineStr">
        <is>
          <t>Medium</t>
        </is>
      </c>
      <c r="E36" s="33" t="inlineStr">
        <is>
          <t>Plan</t>
        </is>
      </c>
      <c r="F36" s="33" t="n"/>
      <c r="G36" s="33" t="n"/>
    </row>
    <row r="37">
      <c r="A37" s="33" t="inlineStr">
        <is>
          <t>Role Management</t>
        </is>
      </c>
      <c r="B37" s="33" t="inlineStr">
        <is>
          <t>Terminated / inactive role assignments</t>
        </is>
      </c>
      <c r="C37" s="34">
        <f>COUNTIF('Role Assignments'!H6:H56,"Terminated")+COUNTIF('Role Assignments'!H6:H56,"Inactive")</f>
        <v/>
      </c>
      <c r="D37" s="33" t="inlineStr">
        <is>
          <t>High</t>
        </is>
      </c>
      <c r="E37" s="33" t="inlineStr">
        <is>
          <t>Urgent</t>
        </is>
      </c>
      <c r="F37" s="33" t="n"/>
      <c r="G37" s="33" t="n"/>
    </row>
    <row r="38">
      <c r="A38" s="33" t="inlineStr">
        <is>
          <t>Gap Analysis</t>
        </is>
      </c>
      <c r="B38" s="33" t="inlineStr">
        <is>
          <t>High-risk open access gaps</t>
        </is>
      </c>
      <c r="C38" s="34">
        <f>COUNTIF('Gap Analysis'!D6:D55,"High")</f>
        <v/>
      </c>
      <c r="D38" s="33" t="inlineStr">
        <is>
          <t>Critical</t>
        </is>
      </c>
      <c r="E38" s="33" t="inlineStr">
        <is>
          <t>Immediate</t>
        </is>
      </c>
      <c r="F38" s="33" t="n"/>
      <c r="G38" s="33" t="n"/>
    </row>
    <row r="39">
      <c r="A39" s="33" t="inlineStr">
        <is>
          <t>Gap Analysis</t>
        </is>
      </c>
      <c r="B39" s="33" t="inlineStr">
        <is>
          <t>Total open access gaps</t>
        </is>
      </c>
      <c r="C39" s="34">
        <f>COUNTIF('Gap Analysis'!J6:J55,"Open")</f>
        <v/>
      </c>
      <c r="D39" s="33" t="inlineStr">
        <is>
          <t>High</t>
        </is>
      </c>
      <c r="E39" s="33" t="inlineStr">
        <is>
          <t>Urgent</t>
        </is>
      </c>
      <c r="F39" s="33" t="n"/>
      <c r="G39" s="33"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5" t="inlineStr">
        <is>
          <t>ASSESSMENT APPROVAL AND SIGN-OFF</t>
        </is>
      </c>
      <c r="B1" s="6" t="n"/>
      <c r="C1" s="6" t="n"/>
      <c r="D1" s="6" t="n"/>
      <c r="E1" s="6" t="n"/>
    </row>
    <row r="2">
      <c r="A2" s="36" t="inlineStr">
        <is>
          <t>ISO/IEC 27001:2022 - Control A.5.18: Access Rights</t>
        </is>
      </c>
      <c r="B2" s="6" t="n"/>
      <c r="C2" s="6" t="n"/>
      <c r="D2" s="6" t="n"/>
      <c r="E2" s="6" t="n"/>
    </row>
    <row r="3">
      <c r="A3" s="37" t="inlineStr">
        <is>
          <t>ASSESSMENT SUMMARY</t>
        </is>
      </c>
      <c r="B3" s="6" t="n"/>
      <c r="C3" s="6" t="n"/>
      <c r="D3" s="6" t="n"/>
      <c r="E3" s="6" t="n"/>
    </row>
    <row r="4">
      <c r="A4" s="3" t="inlineStr">
        <is>
          <t>Document:</t>
        </is>
      </c>
      <c r="B4" s="6" t="inlineStr">
        <is>
          <t>ISMS-IMP-A.5.15-16-18.S2 - Access Rights Matrix Assessment</t>
        </is>
      </c>
      <c r="C4" s="6" t="n"/>
      <c r="D4" s="6" t="n"/>
      <c r="E4" s="6" t="n"/>
    </row>
    <row r="5">
      <c r="A5" s="3" t="inlineStr">
        <is>
          <t>Assessment Period:</t>
        </is>
      </c>
      <c r="B5" s="15" t="inlineStr"/>
      <c r="C5" s="6" t="n"/>
      <c r="D5" s="6" t="n"/>
      <c r="E5" s="6" t="n"/>
    </row>
    <row r="6">
      <c r="A6" s="3" t="inlineStr">
        <is>
          <t>Overall Compliance Rating:</t>
        </is>
      </c>
      <c r="B6" s="38">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7"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7"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1"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7"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ISMS-IMP-A.5.15-16-18.S2 — Access Rights Matrix Assessment</dc:title>
  <dc:description xmlns:dc="http://purl.org/dc/elements/1.1/">ISMS Implementation Workbook — ISMS-IMP-A.5.15-16-18.S2</dc:description>
  <dc:subject xmlns:dc="http://purl.org/dc/elements/1.1/">ISO/IEC 27001:2022 — Control A.5.18: Access Rights</dc:subject>
  <dcterms:created xmlns:dcterms="http://purl.org/dc/terms/" xmlns:xsi="http://www.w3.org/2001/XMLSchema-instance" xsi:type="dcterms:W3CDTF">2026-03-10T18:48:37Z</dcterms:created>
  <dcterms:modified xmlns:dcterms="http://purl.org/dc/terms/" xmlns:xsi="http://www.w3.org/2001/XMLSchema-instance" xsi:type="dcterms:W3CDTF">2026-03-10T18:48:37Z</dcterms:modified>
</cp:coreProperties>
</file>