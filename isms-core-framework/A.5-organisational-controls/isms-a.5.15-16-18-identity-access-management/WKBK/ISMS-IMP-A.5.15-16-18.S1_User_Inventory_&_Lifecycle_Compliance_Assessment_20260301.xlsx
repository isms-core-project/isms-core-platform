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ser Inventory" sheetId="2" state="visible" r:id="rId2"/>
    <sheet xmlns:r="http://schemas.openxmlformats.org/officeDocument/2006/relationships" name="Employee Lifecycle" sheetId="3" state="visible" r:id="rId3"/>
    <sheet xmlns:r="http://schemas.openxmlformats.org/officeDocument/2006/relationships" name="Contractor Lifecycle" sheetId="4" state="visible" r:id="rId4"/>
    <sheet xmlns:r="http://schemas.openxmlformats.org/officeDocument/2006/relationships" name="Service Accounts" sheetId="5" state="visible" r:id="rId5"/>
    <sheet xmlns:r="http://schemas.openxmlformats.org/officeDocument/2006/relationships" name="Orphaned Accounts" sheetId="6" state="visible" r:id="rId6"/>
    <sheet xmlns:r="http://schemas.openxmlformats.org/officeDocument/2006/relationships" name="Lifecycle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name val="Calibri"/>
      <b val="1"/>
      <color rgb="00FFFFFF"/>
      <sz val="11"/>
    </font>
    <font>
      <b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000000"/>
      <sz val="10"/>
    </font>
    <font>
      <name val="Calibri"/>
      <color rgb="00000000"/>
      <sz val="1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8" borderId="1" applyAlignment="1" pivotButton="0" quotePrefix="0" xfId="0">
      <alignment horizontal="center" vertical="center" wrapText="1"/>
    </xf>
    <xf numFmtId="0" fontId="8" fillId="0" borderId="0"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10" fillId="0" borderId="0" pivotButton="0" quotePrefix="0" xfId="0"/>
    <xf numFmtId="0" fontId="1" fillId="8" borderId="1" applyAlignment="1" pivotButton="0" quotePrefix="0" xfId="0">
      <alignment horizontal="center" vertical="center"/>
    </xf>
    <xf numFmtId="0" fontId="11" fillId="0" borderId="1" applyAlignment="1" pivotButton="0" quotePrefix="0" xfId="0">
      <alignment horizontal="center" vertical="center"/>
    </xf>
    <xf numFmtId="0" fontId="12" fillId="8" borderId="1" applyAlignment="1" pivotButton="0" quotePrefix="0" xfId="0">
      <alignment horizontal="center" vertical="center" wrapText="1"/>
    </xf>
    <xf numFmtId="0" fontId="13" fillId="10" borderId="1" pivotButton="0" quotePrefix="0" xfId="0"/>
    <xf numFmtId="0" fontId="0" fillId="11" borderId="1" applyAlignment="1" pivotButton="0" quotePrefix="0" xfId="0">
      <alignment vertical="center"/>
    </xf>
    <xf numFmtId="0" fontId="14" fillId="0" borderId="0" applyAlignment="1" pivotButton="0" quotePrefix="0" xfId="0">
      <alignment horizontal="left" vertical="center"/>
    </xf>
    <xf numFmtId="0" fontId="7" fillId="8" borderId="1" applyAlignment="1" pivotButton="0" quotePrefix="0" xfId="0">
      <alignment horizontal="left" vertical="center"/>
    </xf>
    <xf numFmtId="0" fontId="15" fillId="9" borderId="1" applyAlignment="1" pivotButton="0" quotePrefix="0" xfId="0">
      <alignment horizontal="center" vertical="center" wrapText="1"/>
    </xf>
    <xf numFmtId="0" fontId="16" fillId="0" borderId="1" pivotButton="0" quotePrefix="0" xfId="0"/>
    <xf numFmtId="0" fontId="16" fillId="0" borderId="1" applyAlignment="1" pivotButton="0" quotePrefix="0" xfId="0">
      <alignment horizontal="center"/>
    </xf>
    <xf numFmtId="164" fontId="16" fillId="0" borderId="1" applyAlignment="1" pivotButton="0" quotePrefix="0" xfId="0">
      <alignment horizontal="center"/>
    </xf>
    <xf numFmtId="0" fontId="15" fillId="9" borderId="1" applyAlignment="1" pivotButton="0" quotePrefix="0" xfId="0">
      <alignment horizontal="left"/>
    </xf>
    <xf numFmtId="0" fontId="15" fillId="9" borderId="1" applyAlignment="1" pivotButton="0" quotePrefix="0" xfId="0">
      <alignment horizontal="center"/>
    </xf>
    <xf numFmtId="164" fontId="15" fillId="9" borderId="1" applyAlignment="1" pivotButton="0" quotePrefix="0" xfId="0">
      <alignment horizontal="center"/>
    </xf>
    <xf numFmtId="0" fontId="7" fillId="8" borderId="1" pivotButton="0" quotePrefix="0" xfId="0"/>
    <xf numFmtId="0" fontId="7" fillId="14" borderId="1" pivotButton="0" quotePrefix="0" xfId="0"/>
    <xf numFmtId="0" fontId="16" fillId="11" borderId="1" pivotButton="0" quotePrefix="0" xfId="0"/>
    <xf numFmtId="0" fontId="16" fillId="11" borderId="1" applyAlignment="1" pivotButton="0" quotePrefix="0" xfId="0">
      <alignment horizontal="center"/>
    </xf>
    <xf numFmtId="0" fontId="14" fillId="0" borderId="1" applyAlignment="1" pivotButton="0" quotePrefix="0" xfId="0">
      <alignment horizontal="center" vertical="center"/>
    </xf>
    <xf numFmtId="0" fontId="7"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ISMS-IMP-A.5.15-16-18.S1  -  User Inventory &amp; Lifecycle Compliance Assessment
ISO/IEC 27001:2022 - Control A.5.16: Identity Management</t>
        </is>
      </c>
    </row>
    <row r="3">
      <c r="A3" s="2" t="inlineStr">
        <is>
          <t>Document Information</t>
        </is>
      </c>
    </row>
    <row r="4">
      <c r="A4" s="3" t="inlineStr">
        <is>
          <t>Document ID</t>
        </is>
      </c>
      <c r="B4" t="inlineStr">
        <is>
          <t>ISMS-IMP-A.5.15-16-18.S1</t>
        </is>
      </c>
    </row>
    <row r="5">
      <c r="A5" s="3" t="inlineStr">
        <is>
          <t>Workbook Title</t>
        </is>
      </c>
      <c r="B5" t="inlineStr">
        <is>
          <t>User Inventory &amp; Lifecycle Compliance Assessment</t>
        </is>
      </c>
    </row>
    <row r="6">
      <c r="A6" s="3" t="inlineStr">
        <is>
          <t>Control Reference</t>
        </is>
      </c>
      <c r="B6" t="inlineStr">
        <is>
          <t>ISO/IEC 27001:2022 - Control A.5.16: Identity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User Inventory sheet with all identities across all systems.</t>
        </is>
      </c>
    </row>
    <row r="15">
      <c r="A15" t="inlineStr">
        <is>
          <t>3. Complete the Employee Lifecycle sheet with joiner/leaver provisioning events.</t>
        </is>
      </c>
    </row>
    <row r="16">
      <c r="A16" t="inlineStr">
        <is>
          <t>4. Complete the Contractor Lifecycle sheet with contractor time-bound access records.</t>
        </is>
      </c>
    </row>
    <row r="17">
      <c r="A17" t="inlineStr">
        <is>
          <t>5. Complete the Service Accounts sheet with all non-human account details.</t>
        </is>
      </c>
    </row>
    <row r="18">
      <c r="A18" t="inlineStr">
        <is>
          <t>6. Complete the Orphaned Accounts sheet with detection and remediation tracking.</t>
        </is>
      </c>
    </row>
    <row r="19">
      <c r="A19" t="inlineStr">
        <is>
          <t>7. Review the Lifecycle Metrics sheet for SLA compliance summary.</t>
        </is>
      </c>
    </row>
    <row r="20">
      <c r="A20" t="inlineStr">
        <is>
          <t>8. Complete the Gap Analysis sheet with all non-compliance findings.</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
  <sheetViews>
    <sheetView showGridLines="0" workbookViewId="0">
      <pane ySplit="5" topLeftCell="A6" activePane="bottomLeft" state="frozen"/>
      <selection pane="bottomLeft" activeCell="A1" sqref="A1"/>
    </sheetView>
  </sheetViews>
  <sheetFormatPr baseColWidth="8" defaultRowHeight="15"/>
  <cols>
    <col width="10" customWidth="1" min="1" max="1"/>
    <col width="20" customWidth="1" min="2" max="2"/>
    <col width="20" customWidth="1" min="3" max="3"/>
    <col width="30" customWidth="1" min="4" max="4"/>
    <col width="15" customWidth="1" min="5" max="5"/>
    <col width="15" customWidth="1" min="6" max="6"/>
    <col width="25" customWidth="1" min="7" max="7"/>
    <col width="20" customWidth="1" min="8" max="8"/>
    <col width="12" customWidth="1" min="9" max="9"/>
    <col width="15" customWidth="1" min="10" max="10"/>
    <col width="12" customWidth="1" min="11" max="11"/>
    <col width="12" customWidth="1" min="12" max="12"/>
    <col width="12" customWidth="1" min="13" max="13"/>
    <col width="30" customWidth="1" min="14" max="14"/>
  </cols>
  <sheetData>
    <row r="1" ht="35" customHeight="1">
      <c r="A1" s="11" t="inlineStr">
        <is>
          <t>USER INVENTORY - ALL IDENTITY SYSTEMS</t>
        </is>
      </c>
    </row>
    <row r="2">
      <c r="A2" s="12" t="inlineStr">
        <is>
          <t>Assessment Date: 01.03.2026</t>
        </is>
      </c>
    </row>
    <row r="3">
      <c r="A3" s="12" t="inlineStr">
        <is>
          <t>Total Users: 100</t>
        </is>
      </c>
    </row>
    <row r="5">
      <c r="A5" s="13" t="inlineStr">
        <is>
          <t>User ID</t>
        </is>
      </c>
      <c r="B5" s="13" t="inlineStr">
        <is>
          <t>Username</t>
        </is>
      </c>
      <c r="C5" s="13" t="inlineStr">
        <is>
          <t>Full Name</t>
        </is>
      </c>
      <c r="D5" s="13" t="inlineStr">
        <is>
          <t>Email</t>
        </is>
      </c>
      <c r="E5" s="13" t="inlineStr">
        <is>
          <t>User Type</t>
        </is>
      </c>
      <c r="F5" s="13" t="inlineStr">
        <is>
          <t>Department</t>
        </is>
      </c>
      <c r="G5" s="13" t="inlineStr">
        <is>
          <t>Job Title</t>
        </is>
      </c>
      <c r="H5" s="13" t="inlineStr">
        <is>
          <t>Manager</t>
        </is>
      </c>
      <c r="I5" s="13" t="inlineStr">
        <is>
          <t>Hire Date</t>
        </is>
      </c>
      <c r="J5" s="13" t="inlineStr">
        <is>
          <t>Termination Date</t>
        </is>
      </c>
      <c r="K5" s="13" t="inlineStr">
        <is>
          <t>Status</t>
        </is>
      </c>
      <c r="L5" s="13" t="inlineStr">
        <is>
          <t>Last Login</t>
        </is>
      </c>
      <c r="M5" s="13" t="inlineStr">
        <is>
          <t>Account Created</t>
        </is>
      </c>
      <c r="N5" s="13" t="inlineStr">
        <is>
          <t>Comments</t>
        </is>
      </c>
    </row>
    <row r="6">
      <c r="A6" s="14" t="inlineStr">
        <is>
          <t>USR-0001</t>
        </is>
      </c>
      <c r="B6" s="14" t="inlineStr">
        <is>
          <t>jsmith</t>
        </is>
      </c>
      <c r="C6" s="14" t="inlineStr">
        <is>
          <t>John Smith</t>
        </is>
      </c>
      <c r="D6" s="14" t="inlineStr">
        <is>
          <t>j.smith@example.com</t>
        </is>
      </c>
      <c r="E6" s="14" t="inlineStr">
        <is>
          <t>Employee</t>
        </is>
      </c>
      <c r="F6" s="14" t="inlineStr">
        <is>
          <t>IT</t>
        </is>
      </c>
      <c r="G6" s="14" t="inlineStr">
        <is>
          <t>System Administrator</t>
        </is>
      </c>
      <c r="H6" s="14" t="inlineStr">
        <is>
          <t>M. Johnson</t>
        </is>
      </c>
      <c r="I6" s="14" t="inlineStr">
        <is>
          <t>01.01.2024</t>
        </is>
      </c>
      <c r="J6" s="14" t="inlineStr"/>
      <c r="K6" s="14" t="inlineStr">
        <is>
          <t>Active</t>
        </is>
      </c>
      <c r="L6" s="14" t="inlineStr">
        <is>
          <t>28.02.2026</t>
        </is>
      </c>
      <c r="M6" s="14" t="inlineStr">
        <is>
          <t>01.01.2024</t>
        </is>
      </c>
      <c r="N6" s="14" t="inlineStr"/>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row r="56">
      <c r="A56" s="15" t="n"/>
      <c r="B56" s="15" t="n"/>
      <c r="C56" s="15" t="n"/>
      <c r="D56" s="15" t="n"/>
      <c r="E56" s="15" t="n"/>
      <c r="F56" s="15" t="n"/>
      <c r="G56" s="15" t="n"/>
      <c r="H56" s="15" t="n"/>
      <c r="I56" s="15" t="n"/>
      <c r="J56" s="15" t="n"/>
      <c r="K56" s="15" t="n"/>
      <c r="L56" s="15" t="n"/>
      <c r="M56" s="15" t="n"/>
      <c r="N56" s="15" t="n"/>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showGridLines="0" workbookViewId="0">
      <pane ySplit="6" topLeftCell="A7" activePane="bottomLeft" state="frozen"/>
      <selection pane="bottomLeft" activeCell="A1" sqref="A1"/>
    </sheetView>
  </sheetViews>
  <sheetFormatPr baseColWidth="8" defaultRowHeight="15"/>
  <cols>
    <col width="10" customWidth="1" min="1" max="1"/>
    <col width="20" customWidth="1" min="2" max="2"/>
    <col width="20" customWidth="1" min="3" max="3"/>
    <col width="15" customWidth="1" min="4" max="4"/>
    <col width="15" customWidth="1" min="5" max="5"/>
    <col width="18" customWidth="1" min="6" max="6"/>
    <col width="15" customWidth="1" min="7" max="7"/>
    <col width="12" customWidth="1" min="8" max="8"/>
    <col width="18" customWidth="1" min="9" max="9"/>
    <col width="35" customWidth="1" min="10" max="10"/>
  </cols>
  <sheetData>
    <row r="1" ht="35" customHeight="1">
      <c r="A1" s="11" t="inlineStr">
        <is>
          <t>EMPLOYEE LIFECYCLE COMPLIANCE - JOINER &amp; LEAVER EVENTS</t>
        </is>
      </c>
    </row>
    <row r="2">
      <c r="A2" s="12" t="inlineStr">
        <is>
          <t>Assessment Period: 01.03.2026</t>
        </is>
      </c>
    </row>
    <row r="3">
      <c r="A3" s="12" t="inlineStr">
        <is>
          <t>Employees Assessed: 0</t>
        </is>
      </c>
    </row>
    <row r="5">
      <c r="A5" s="16" t="inlineStr">
        <is>
          <t>JOINER EVENTS - Provisioning Compliance</t>
        </is>
      </c>
    </row>
    <row r="6">
      <c r="A6" s="13" t="inlineStr">
        <is>
          <t>User ID</t>
        </is>
      </c>
      <c r="B6" s="13" t="inlineStr">
        <is>
          <t>Username</t>
        </is>
      </c>
      <c r="C6" s="13" t="inlineStr">
        <is>
          <t>Full Name</t>
        </is>
      </c>
      <c r="D6" s="13" t="inlineStr">
        <is>
          <t>Department</t>
        </is>
      </c>
      <c r="E6" s="13" t="inlineStr">
        <is>
          <t>Hire Date</t>
        </is>
      </c>
      <c r="F6" s="13" t="inlineStr">
        <is>
          <t>Provision Date</t>
        </is>
      </c>
      <c r="G6" s="13" t="inlineStr">
        <is>
          <t>Days to Provision</t>
        </is>
      </c>
      <c r="H6" s="13" t="inlineStr">
        <is>
          <t>SLA (Days)</t>
        </is>
      </c>
      <c r="I6" s="13" t="inlineStr">
        <is>
          <t>Compliance Status</t>
        </is>
      </c>
      <c r="J6" s="13" t="inlineStr">
        <is>
          <t>Notes</t>
        </is>
      </c>
    </row>
    <row r="7">
      <c r="A7" s="14" t="inlineStr">
        <is>
          <t>USR-0001</t>
        </is>
      </c>
      <c r="B7" s="14" t="inlineStr">
        <is>
          <t>jsmith</t>
        </is>
      </c>
      <c r="C7" s="14" t="inlineStr">
        <is>
          <t>John Smith</t>
        </is>
      </c>
      <c r="D7" s="14" t="inlineStr">
        <is>
          <t>IT</t>
        </is>
      </c>
      <c r="E7" s="14" t="inlineStr">
        <is>
          <t>15.01.2024</t>
        </is>
      </c>
      <c r="F7" s="14" t="inlineStr">
        <is>
          <t>16.01.2024</t>
        </is>
      </c>
      <c r="G7" s="14" t="n">
        <v>1</v>
      </c>
      <c r="H7" s="14" t="n">
        <v>2</v>
      </c>
      <c r="I7" s="14" t="inlineStr">
        <is>
          <t>Compliant</t>
        </is>
      </c>
      <c r="J7" s="14" t="inlineStr"/>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6" t="inlineStr">
        <is>
          <t>LEAVER EVENTS - Deprovisioning Compliance</t>
        </is>
      </c>
    </row>
    <row r="34">
      <c r="A34" s="13" t="inlineStr">
        <is>
          <t>User ID</t>
        </is>
      </c>
      <c r="B34" s="13" t="inlineStr">
        <is>
          <t>Username</t>
        </is>
      </c>
      <c r="C34" s="13" t="inlineStr">
        <is>
          <t>Full Name</t>
        </is>
      </c>
      <c r="D34" s="13" t="inlineStr">
        <is>
          <t>Department</t>
        </is>
      </c>
      <c r="E34" s="13" t="inlineStr">
        <is>
          <t>Termination Date</t>
        </is>
      </c>
      <c r="F34" s="13" t="inlineStr">
        <is>
          <t>Disable Date</t>
        </is>
      </c>
      <c r="G34" s="13" t="inlineStr">
        <is>
          <t>Hours to Disable</t>
        </is>
      </c>
      <c r="H34" s="13" t="inlineStr">
        <is>
          <t>SLA (Hours)</t>
        </is>
      </c>
      <c r="I34" s="13" t="inlineStr">
        <is>
          <t>Compliance Status</t>
        </is>
      </c>
      <c r="J34" s="13" t="inlineStr">
        <is>
          <t>Notes</t>
        </is>
      </c>
    </row>
    <row r="35">
      <c r="A35" s="14" t="inlineStr">
        <is>
          <t>USR-0002</t>
        </is>
      </c>
      <c r="B35" s="14" t="inlineStr">
        <is>
          <t>pmartin</t>
        </is>
      </c>
      <c r="C35" s="14" t="inlineStr">
        <is>
          <t>Paul Martin</t>
        </is>
      </c>
      <c r="D35" s="14" t="inlineStr">
        <is>
          <t>Finance</t>
        </is>
      </c>
      <c r="E35" s="14" t="inlineStr">
        <is>
          <t>15.12.2023</t>
        </is>
      </c>
      <c r="F35" s="14" t="inlineStr">
        <is>
          <t>15.12.2023 08:30</t>
        </is>
      </c>
      <c r="G35" s="14" t="n">
        <v>2</v>
      </c>
      <c r="H35" s="14" t="n">
        <v>4</v>
      </c>
      <c r="I35" s="14" t="inlineStr">
        <is>
          <t>Compliant</t>
        </is>
      </c>
      <c r="J35" s="14" t="inlineStr"/>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sheetData>
  <mergeCells count="3">
    <mergeCell ref="A1:J1"/>
    <mergeCell ref="A33:J33"/>
    <mergeCell ref="A5:J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22" customWidth="1" min="2" max="2"/>
    <col width="20" customWidth="1" min="3" max="3"/>
    <col width="15" customWidth="1" min="4" max="4"/>
    <col width="20" customWidth="1" min="5" max="5"/>
    <col width="15" customWidth="1" min="6" max="6"/>
    <col width="15" customWidth="1" min="7" max="7"/>
    <col width="15" customWidth="1" min="8" max="8"/>
    <col width="15" customWidth="1" min="9" max="9"/>
    <col width="15" customWidth="1" min="10" max="10"/>
    <col width="15" customWidth="1" min="11" max="11"/>
  </cols>
  <sheetData>
    <row r="1" ht="35" customHeight="1">
      <c r="A1" s="11" t="inlineStr">
        <is>
          <t>CONTRACTOR LIFECYCLE - TIME-BOUND ACCESS COMPLIANCE</t>
        </is>
      </c>
    </row>
    <row r="2">
      <c r="A2" s="12" t="inlineStr">
        <is>
          <t>Assessment Date: 01.03.2026</t>
        </is>
      </c>
    </row>
    <row r="3">
      <c r="A3" s="12" t="inlineStr">
        <is>
          <t>Contractors Assessed: 0</t>
        </is>
      </c>
    </row>
    <row r="5">
      <c r="A5" s="13" t="inlineStr">
        <is>
          <t>User ID</t>
        </is>
      </c>
      <c r="B5" s="13" t="inlineStr">
        <is>
          <t>Username</t>
        </is>
      </c>
      <c r="C5" s="13" t="inlineStr">
        <is>
          <t>Full Name</t>
        </is>
      </c>
      <c r="D5" s="13" t="inlineStr">
        <is>
          <t>Department</t>
        </is>
      </c>
      <c r="E5" s="13" t="inlineStr">
        <is>
          <t>Sponsor</t>
        </is>
      </c>
      <c r="F5" s="13" t="inlineStr">
        <is>
          <t>Contract Start</t>
        </is>
      </c>
      <c r="G5" s="13" t="inlineStr">
        <is>
          <t>Contract End</t>
        </is>
      </c>
      <c r="H5" s="13" t="inlineStr">
        <is>
          <t>Access Expiry</t>
        </is>
      </c>
      <c r="I5" s="13" t="inlineStr">
        <is>
          <t>Days Remaining</t>
        </is>
      </c>
      <c r="J5" s="13" t="inlineStr">
        <is>
          <t>Status</t>
        </is>
      </c>
      <c r="K5" s="13" t="inlineStr">
        <is>
          <t>Compliance</t>
        </is>
      </c>
    </row>
    <row r="6">
      <c r="A6" s="14" t="inlineStr">
        <is>
          <t>USR-0050</t>
        </is>
      </c>
      <c r="B6" s="14" t="inlineStr">
        <is>
          <t>c.jones</t>
        </is>
      </c>
      <c r="C6" s="14" t="inlineStr">
        <is>
          <t>Carol Jones</t>
        </is>
      </c>
      <c r="D6" s="14" t="inlineStr">
        <is>
          <t>IT</t>
        </is>
      </c>
      <c r="E6" s="14" t="inlineStr">
        <is>
          <t>M. Wilson</t>
        </is>
      </c>
      <c r="F6" s="14" t="inlineStr">
        <is>
          <t>01.01.2025</t>
        </is>
      </c>
      <c r="G6" s="14" t="inlineStr">
        <is>
          <t>31.12.2026</t>
        </is>
      </c>
      <c r="H6" s="14" t="inlineStr">
        <is>
          <t>31.12.2026</t>
        </is>
      </c>
      <c r="I6" s="14" t="n">
        <v>365</v>
      </c>
      <c r="J6" s="14" t="inlineStr">
        <is>
          <t>Active</t>
        </is>
      </c>
      <c r="K6" s="14" t="inlineStr">
        <is>
          <t>Compliant</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30" customWidth="1" min="2" max="2"/>
    <col width="25" customWidth="1" min="3" max="3"/>
    <col width="20" customWidth="1" min="4" max="4"/>
    <col width="15" customWidth="1" min="5" max="5"/>
    <col width="15" customWidth="1" min="6" max="6"/>
    <col width="15" customWidth="1" min="7" max="7"/>
    <col width="12" customWidth="1" min="8" max="8"/>
    <col width="18" customWidth="1" min="9" max="9"/>
    <col width="12" customWidth="1" min="10" max="10"/>
  </cols>
  <sheetData>
    <row r="1" ht="35" customHeight="1">
      <c r="A1" s="11" t="inlineStr">
        <is>
          <t>SERVICE ACCOUNT INVENTORY - NON-HUMAN ACCOUNTS</t>
        </is>
      </c>
    </row>
    <row r="2">
      <c r="A2" s="12" t="inlineStr">
        <is>
          <t>Assessment Date: 01.03.2026</t>
        </is>
      </c>
    </row>
    <row r="3">
      <c r="A3" s="12" t="inlineStr">
        <is>
          <t>Service Accounts: 0</t>
        </is>
      </c>
    </row>
    <row r="5">
      <c r="A5" s="13" t="inlineStr">
        <is>
          <t>Account ID</t>
        </is>
      </c>
      <c r="B5" s="13" t="inlineStr">
        <is>
          <t>Account Name</t>
        </is>
      </c>
      <c r="C5" s="13" t="inlineStr">
        <is>
          <t>Purpose</t>
        </is>
      </c>
      <c r="D5" s="13" t="inlineStr">
        <is>
          <t>Owner</t>
        </is>
      </c>
      <c r="E5" s="13" t="inlineStr">
        <is>
          <t>Department</t>
        </is>
      </c>
      <c r="F5" s="13" t="inlineStr">
        <is>
          <t>Created Date</t>
        </is>
      </c>
      <c r="G5" s="13" t="inlineStr">
        <is>
          <t>Last Used</t>
        </is>
      </c>
      <c r="H5" s="13" t="inlineStr">
        <is>
          <t>Privileged</t>
        </is>
      </c>
      <c r="I5" s="13" t="inlineStr">
        <is>
          <t>Password Rotation</t>
        </is>
      </c>
      <c r="J5" s="13" t="inlineStr">
        <is>
          <t>Status</t>
        </is>
      </c>
    </row>
    <row r="6">
      <c r="A6" s="14" t="inlineStr">
        <is>
          <t>SVC-001</t>
        </is>
      </c>
      <c r="B6" s="14" t="inlineStr">
        <is>
          <t>svc-backup</t>
        </is>
      </c>
      <c r="C6" s="14" t="inlineStr">
        <is>
          <t>Automated Backup</t>
        </is>
      </c>
      <c r="D6" s="14" t="inlineStr">
        <is>
          <t>IT Manager</t>
        </is>
      </c>
      <c r="E6" s="14" t="inlineStr">
        <is>
          <t>IT</t>
        </is>
      </c>
      <c r="F6" s="14" t="inlineStr">
        <is>
          <t>01.01.2023</t>
        </is>
      </c>
      <c r="G6" s="14" t="inlineStr">
        <is>
          <t>28.02.2026</t>
        </is>
      </c>
      <c r="H6" s="14" t="inlineStr">
        <is>
          <t>No</t>
        </is>
      </c>
      <c r="I6" s="14" t="inlineStr">
        <is>
          <t>90 Days</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20" customWidth="1" min="2" max="2"/>
    <col width="20" customWidth="1" min="3" max="3"/>
    <col width="15" customWidth="1" min="4" max="4"/>
    <col width="15" customWidth="1" min="5" max="5"/>
    <col width="15" customWidth="1" min="6" max="6"/>
    <col width="12" customWidth="1" min="7" max="7"/>
    <col width="40" customWidth="1" min="8" max="8"/>
    <col width="15" customWidth="1" min="9" max="9"/>
    <col width="18" customWidth="1" min="10" max="10"/>
    <col width="30" customWidth="1" min="11" max="11"/>
  </cols>
  <sheetData>
    <row r="1" ht="35" customHeight="1">
      <c r="A1" s="11" t="inlineStr">
        <is>
          <t>ORPHANED ACCOUNT DETECTION &amp; REMEDIATION</t>
        </is>
      </c>
    </row>
    <row r="2">
      <c r="A2" s="12" t="inlineStr">
        <is>
          <t>Detection Date: 01.03.2026</t>
        </is>
      </c>
    </row>
    <row r="3">
      <c r="A3" s="17" t="inlineStr">
        <is>
          <t>Orphaned Accounts Found: 0</t>
        </is>
      </c>
    </row>
    <row r="5">
      <c r="A5" s="13" t="inlineStr">
        <is>
          <t>User ID</t>
        </is>
      </c>
      <c r="B5" s="13" t="inlineStr">
        <is>
          <t>Username</t>
        </is>
      </c>
      <c r="C5" s="13" t="inlineStr">
        <is>
          <t>Full Name</t>
        </is>
      </c>
      <c r="D5" s="13" t="inlineStr">
        <is>
          <t>User Type</t>
        </is>
      </c>
      <c r="E5" s="13" t="inlineStr">
        <is>
          <t>Department</t>
        </is>
      </c>
      <c r="F5" s="13" t="inlineStr">
        <is>
          <t>Last Login</t>
        </is>
      </c>
      <c r="G5" s="13" t="inlineStr">
        <is>
          <t>Status</t>
        </is>
      </c>
      <c r="H5" s="13" t="inlineStr">
        <is>
          <t>Orphan Reason</t>
        </is>
      </c>
      <c r="I5" s="13" t="inlineStr">
        <is>
          <t>Detected Date</t>
        </is>
      </c>
      <c r="J5" s="13" t="inlineStr">
        <is>
          <t>Remediation Status</t>
        </is>
      </c>
      <c r="K5" s="13" t="inlineStr">
        <is>
          <t>Notes</t>
        </is>
      </c>
    </row>
    <row r="6">
      <c r="A6" s="14" t="inlineStr">
        <is>
          <t>USR-0099</t>
        </is>
      </c>
      <c r="B6" s="14" t="inlineStr">
        <is>
          <t>t.davis</t>
        </is>
      </c>
      <c r="C6" s="14" t="inlineStr">
        <is>
          <t>Tom Davis</t>
        </is>
      </c>
      <c r="D6" s="14" t="inlineStr">
        <is>
          <t>Employee</t>
        </is>
      </c>
      <c r="E6" s="14" t="inlineStr">
        <is>
          <t>Finance</t>
        </is>
      </c>
      <c r="F6" s="14" t="inlineStr">
        <is>
          <t>Never</t>
        </is>
      </c>
      <c r="G6" s="14" t="inlineStr">
        <is>
          <t>Disabled</t>
        </is>
      </c>
      <c r="H6" s="14" t="inlineStr">
        <is>
          <t>Disabled account with no termination record</t>
        </is>
      </c>
      <c r="I6" s="14" t="inlineStr">
        <is>
          <t>01.03.2026</t>
        </is>
      </c>
      <c r="J6" s="14" t="inlineStr">
        <is>
          <t>Open</t>
        </is>
      </c>
      <c r="K6" s="14" t="inlineStr"/>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5" customWidth="1" min="1" max="1"/>
    <col width="15" customWidth="1" min="2" max="2"/>
    <col width="15" customWidth="1" min="3" max="3"/>
    <col width="18" customWidth="1" min="4" max="4"/>
    <col width="10" customWidth="1" min="5" max="5"/>
    <col width="50" customWidth="1" min="6" max="6"/>
  </cols>
  <sheetData>
    <row r="1" ht="35" customHeight="1">
      <c r="A1" s="11" t="inlineStr">
        <is>
          <t>IDENTITY LIFECYCLE COMPLIANCE METRICS - A.5.16</t>
        </is>
      </c>
    </row>
    <row r="2">
      <c r="A2" s="12" t="inlineStr">
        <is>
          <t>Assessment Period: 01.03.2026</t>
        </is>
      </c>
    </row>
    <row r="4">
      <c r="A4" s="18"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9" t="inlineStr">
        <is>
          <t>Provisioning On-Time Rate</t>
        </is>
      </c>
      <c r="B6" s="19" t="inlineStr">
        <is>
          <t>≥95%</t>
        </is>
      </c>
      <c r="C6" s="19" t="inlineStr">
        <is>
          <t>92%</t>
        </is>
      </c>
      <c r="D6" s="20" t="inlineStr">
        <is>
          <t>Warning</t>
        </is>
      </c>
      <c r="E6" s="19" t="inlineStr">
        <is>
          <t>-3%</t>
        </is>
      </c>
      <c r="F6" s="19" t="inlineStr">
        <is>
          <t>3 late provisioning instances</t>
        </is>
      </c>
    </row>
    <row r="7">
      <c r="A7" s="19" t="inlineStr">
        <is>
          <t>Deprovisioning On-Time Rate</t>
        </is>
      </c>
      <c r="B7" s="19" t="inlineStr">
        <is>
          <t>≥98%</t>
        </is>
      </c>
      <c r="C7" s="19" t="inlineStr">
        <is>
          <t>96%</t>
        </is>
      </c>
      <c r="D7" s="20" t="inlineStr">
        <is>
          <t>Warning</t>
        </is>
      </c>
      <c r="E7" s="19" t="inlineStr">
        <is>
          <t>-2%</t>
        </is>
      </c>
      <c r="F7" s="19" t="inlineStr">
        <is>
          <t>2 late deprovisioning instances</t>
        </is>
      </c>
    </row>
    <row r="8">
      <c r="A8" s="19" t="inlineStr">
        <is>
          <t>Orphaned Account Count</t>
        </is>
      </c>
      <c r="B8" s="19" t="inlineStr">
        <is>
          <t>≤1%</t>
        </is>
      </c>
      <c r="C8" s="19" t="inlineStr">
        <is>
          <t>1.5%</t>
        </is>
      </c>
      <c r="D8" s="21" t="inlineStr">
        <is>
          <t>Non-Compliant</t>
        </is>
      </c>
      <c r="E8" s="19" t="inlineStr">
        <is>
          <t>+0.5%</t>
        </is>
      </c>
      <c r="F8" s="19" t="inlineStr">
        <is>
          <t>15 orphaned accounts detected</t>
        </is>
      </c>
    </row>
    <row r="9">
      <c r="A9" s="19" t="inlineStr">
        <is>
          <t>Service Account Documentation</t>
        </is>
      </c>
      <c r="B9" s="19" t="inlineStr">
        <is>
          <t>100%</t>
        </is>
      </c>
      <c r="C9" s="19" t="inlineStr">
        <is>
          <t>95%</t>
        </is>
      </c>
      <c r="D9" s="20" t="inlineStr">
        <is>
          <t>Warning</t>
        </is>
      </c>
      <c r="E9" s="19" t="inlineStr">
        <is>
          <t>-5%</t>
        </is>
      </c>
      <c r="F9" s="19" t="inlineStr">
        <is>
          <t>1 account missing owner</t>
        </is>
      </c>
    </row>
    <row r="10">
      <c r="A10" s="19" t="inlineStr">
        <is>
          <t>Contractor Access Compliance</t>
        </is>
      </c>
      <c r="B10" s="19" t="inlineStr">
        <is>
          <t>100%</t>
        </is>
      </c>
      <c r="C10" s="19" t="inlineStr">
        <is>
          <t>90%</t>
        </is>
      </c>
      <c r="D10" s="20" t="inlineStr">
        <is>
          <t>Warning</t>
        </is>
      </c>
      <c r="E10" s="19" t="inlineStr">
        <is>
          <t>-10%</t>
        </is>
      </c>
      <c r="F10" s="19" t="inlineStr">
        <is>
          <t>3 expired contractor accounts</t>
        </is>
      </c>
    </row>
    <row r="12">
      <c r="A12" s="18" t="inlineStr">
        <is>
          <t>Overall A.5.16 Compliance Score</t>
        </is>
      </c>
    </row>
    <row r="13">
      <c r="A13" t="inlineStr">
        <is>
          <t>Score Calculation</t>
        </is>
      </c>
      <c r="B13" t="inlineStr">
        <is>
          <t>(Provisioning + Deprovisioning + Orphaned Account Management) / 3</t>
        </is>
      </c>
    </row>
    <row r="14">
      <c r="A14" t="inlineStr">
        <is>
          <t>Overall Score</t>
        </is>
      </c>
      <c r="B14" s="22" t="inlineStr">
        <is>
          <t>82%</t>
        </is>
      </c>
    </row>
    <row r="15">
      <c r="A15" t="inlineStr">
        <is>
          <t>Maturity Level</t>
        </is>
      </c>
      <c r="B15" s="20"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0" customWidth="1" min="3" max="3"/>
    <col width="12" customWidth="1" min="4" max="4"/>
    <col width="15" customWidth="1" min="5" max="5"/>
    <col width="30" customWidth="1" min="6" max="6"/>
    <col width="40" customWidth="1" min="7" max="7"/>
    <col width="18" customWidth="1" min="8" max="8"/>
    <col width="12" customWidth="1" min="9" max="9"/>
    <col width="15" customWidth="1" min="10" max="10"/>
  </cols>
  <sheetData>
    <row r="1" ht="35" customHeight="1">
      <c r="A1" s="11" t="inlineStr">
        <is>
          <t>GAP ANALYSIS - NON-COMPLIANCE FINDINGS</t>
        </is>
      </c>
    </row>
    <row r="2">
      <c r="A2" s="12" t="inlineStr">
        <is>
          <t>Assessment Date: 01.03.2026</t>
        </is>
      </c>
    </row>
    <row r="4">
      <c r="A4" s="13" t="inlineStr">
        <is>
          <t>Gap ID</t>
        </is>
      </c>
      <c r="B4" s="13" t="inlineStr">
        <is>
          <t>Category</t>
        </is>
      </c>
      <c r="C4" s="13" t="inlineStr">
        <is>
          <t>Description</t>
        </is>
      </c>
      <c r="D4" s="13" t="inlineStr">
        <is>
          <t>Risk Level</t>
        </is>
      </c>
      <c r="E4" s="13" t="inlineStr">
        <is>
          <t>Affected Users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Provisioning</t>
        </is>
      </c>
      <c r="C5" s="14" t="inlineStr">
        <is>
          <t>3 users provisioned after hire date</t>
        </is>
      </c>
      <c r="D5" s="14" t="inlineStr">
        <is>
          <t>Medium</t>
        </is>
      </c>
      <c r="E5" s="14" t="inlineStr">
        <is>
          <t>3</t>
        </is>
      </c>
      <c r="F5" s="14" t="inlineStr">
        <is>
          <t>Manual provisioning delays</t>
        </is>
      </c>
      <c r="G5" s="14" t="inlineStr">
        <is>
          <t>Automate provisioning via HR system</t>
        </is>
      </c>
      <c r="H5" s="14" t="inlineStr">
        <is>
          <t>IAM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A.5.16: Identity Management</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USER INVENTORY &amp; LIFECYCLE — SUMMARY DASHBOARD</t>
        </is>
      </c>
      <c r="B1" s="6" t="n"/>
      <c r="C1" s="6" t="n"/>
      <c r="D1" s="6" t="n"/>
      <c r="E1" s="6" t="n"/>
      <c r="F1" s="6" t="n"/>
      <c r="G1" s="6" t="n"/>
    </row>
    <row r="2">
      <c r="A2" s="28" t="inlineStr">
        <is>
          <t>ISO/IEC 27001:2022 — Control A.5.16: Identity Management</t>
        </is>
      </c>
    </row>
    <row r="4">
      <c r="A4" s="29" t="inlineStr">
        <is>
          <t>TABLE 1: ASSESSMENT AREA COMPLIANCE OVERVIEW</t>
        </is>
      </c>
    </row>
    <row r="5">
      <c r="A5" s="30" t="inlineStr">
        <is>
          <t>Assessment Area</t>
        </is>
      </c>
      <c r="B5" s="30" t="inlineStr">
        <is>
          <t>Total Items</t>
        </is>
      </c>
      <c r="C5" s="30" t="inlineStr">
        <is>
          <t>Compliant</t>
        </is>
      </c>
      <c r="D5" s="30" t="inlineStr">
        <is>
          <t>Partial / Warning</t>
        </is>
      </c>
      <c r="E5" s="30" t="inlineStr">
        <is>
          <t>Non-Compliant</t>
        </is>
      </c>
      <c r="F5" s="30" t="inlineStr">
        <is>
          <t>N/A</t>
        </is>
      </c>
      <c r="G5" s="30" t="inlineStr">
        <is>
          <t>Compliance %</t>
        </is>
      </c>
    </row>
    <row r="6">
      <c r="A6" s="31" t="inlineStr">
        <is>
          <t>Employee Lifecycle</t>
        </is>
      </c>
      <c r="B6" s="32">
        <f>COUNTA('Employee Lifecycle'!A7:A106)</f>
        <v/>
      </c>
      <c r="C6" s="32">
        <f>COUNTIF('Employee Lifecycle'!I7:I106,"Compliant")</f>
        <v/>
      </c>
      <c r="D6" s="32" t="n">
        <v>0</v>
      </c>
      <c r="E6" s="32">
        <f>COUNTIF('Employee Lifecycle'!I7:I106,"Non-Compliant")</f>
        <v/>
      </c>
      <c r="F6" s="32" t="n">
        <v>0</v>
      </c>
      <c r="G6" s="33">
        <f>IF((B6-F6)=0,0,C6/(B6-F6))</f>
        <v/>
      </c>
    </row>
    <row r="7">
      <c r="A7" s="31" t="inlineStr">
        <is>
          <t>Contractor Lifecycle</t>
        </is>
      </c>
      <c r="B7" s="32">
        <f>COUNTA('Contractor Lifecycle'!A6:A56)</f>
        <v/>
      </c>
      <c r="C7" s="32">
        <f>COUNTIF('Contractor Lifecycle'!K6:K56,"Compliant")</f>
        <v/>
      </c>
      <c r="D7" s="32">
        <f>COUNTIF('Contractor Lifecycle'!K6:K56,"Warning")</f>
        <v/>
      </c>
      <c r="E7" s="32">
        <f>COUNTIF('Contractor Lifecycle'!K6:K56,"Non-Compliant")</f>
        <v/>
      </c>
      <c r="F7" s="32" t="n">
        <v>0</v>
      </c>
      <c r="G7" s="33">
        <f>IF((B7-F7)=0,0,C7/(B7-F7))</f>
        <v/>
      </c>
    </row>
    <row r="8">
      <c r="A8" s="31" t="inlineStr">
        <is>
          <t>Service Accounts</t>
        </is>
      </c>
      <c r="B8" s="32">
        <f>COUNTA('Service Accounts'!A6:A56)</f>
        <v/>
      </c>
      <c r="C8" s="32">
        <f>COUNTIF('Service Accounts'!J6:J56,"Active")</f>
        <v/>
      </c>
      <c r="D8" s="32" t="n">
        <v>0</v>
      </c>
      <c r="E8" s="32">
        <f>COUNTIF('Service Accounts'!J6:J56,"Disabled")</f>
        <v/>
      </c>
      <c r="F8" s="32" t="n">
        <v>0</v>
      </c>
      <c r="G8" s="33">
        <f>IF((B8-F8)=0,0,C8/(B8-F8))</f>
        <v/>
      </c>
    </row>
    <row r="9">
      <c r="A9" s="31" t="inlineStr">
        <is>
          <t>Orphaned Accounts</t>
        </is>
      </c>
      <c r="B9" s="32">
        <f>COUNTA('Orphaned Accounts'!A6:A56)</f>
        <v/>
      </c>
      <c r="C9" s="32">
        <f>COUNTIF('Orphaned Accounts'!J6:J56,"Remediated")+COUNTIF('Orphaned Accounts'!J6:J56,"Closed")</f>
        <v/>
      </c>
      <c r="D9" s="32">
        <f>COUNTIF('Orphaned Accounts'!J6:J56,"In Progress")</f>
        <v/>
      </c>
      <c r="E9" s="32">
        <f>COUNTIF('Orphaned Accounts'!J6:J56,"Open")</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Users in Inventory</t>
        </is>
      </c>
      <c r="B15" s="32">
        <f>COUNTA('User Inventory'!A6:A56)</f>
        <v/>
      </c>
      <c r="C15" s="6" t="n"/>
      <c r="D15" s="6" t="n"/>
      <c r="E15" s="6" t="n"/>
      <c r="F15" s="6" t="n"/>
      <c r="G15" s="6" t="n"/>
    </row>
    <row r="16">
      <c r="A16" s="31" t="inlineStr">
        <is>
          <t>Active User Accounts</t>
        </is>
      </c>
      <c r="B16" s="32">
        <f>COUNTIF('User Inventory'!K6:K56,"Active")</f>
        <v/>
      </c>
      <c r="C16" s="6" t="n"/>
      <c r="D16" s="6" t="n"/>
      <c r="E16" s="6" t="n"/>
      <c r="F16" s="6" t="n"/>
      <c r="G16" s="6" t="n"/>
    </row>
    <row r="17">
      <c r="A17" s="31" t="inlineStr">
        <is>
          <t>Disabled Accounts</t>
        </is>
      </c>
      <c r="B17" s="32">
        <f>COUNTIF('User Inventory'!K6:K56,"Disabled")</f>
        <v/>
      </c>
      <c r="C17" s="6" t="n"/>
      <c r="D17" s="6" t="n"/>
      <c r="E17" s="6" t="n"/>
      <c r="F17" s="6" t="n"/>
      <c r="G17" s="6" t="n"/>
    </row>
    <row r="18">
      <c r="A18" s="31" t="inlineStr">
        <is>
          <t>Orphaned Accounts Detected</t>
        </is>
      </c>
      <c r="B18" s="32">
        <f>COUNTA('Orphaned Accounts'!A6:A56)</f>
        <v/>
      </c>
      <c r="C18" s="6" t="n"/>
      <c r="D18" s="6" t="n"/>
      <c r="E18" s="6" t="n"/>
      <c r="F18" s="6" t="n"/>
      <c r="G18" s="6" t="n"/>
    </row>
    <row r="19">
      <c r="A19" s="31" t="inlineStr">
        <is>
          <t>Orphaned Accounts Remediated</t>
        </is>
      </c>
      <c r="B19" s="32">
        <f>COUNTIF('Orphaned Accounts'!J6:J56,"Remediated")+COUNTIF('Orphaned Accounts'!J6:J56,"Closed")</f>
        <v/>
      </c>
      <c r="C19" s="6" t="n"/>
      <c r="D19" s="6" t="n"/>
      <c r="E19" s="6" t="n"/>
      <c r="F19" s="6" t="n"/>
      <c r="G19" s="6" t="n"/>
    </row>
    <row r="20">
      <c r="A20" s="31" t="inlineStr">
        <is>
          <t>Joiner On-Time Provisioning Rate</t>
        </is>
      </c>
      <c r="B20" s="33">
        <f>IFERROR(COUNTIF('Employee Lifecycle'!I7:I32,"Compliant")/COUNTA('Employee Lifecycle'!A7:A32),0)</f>
        <v/>
      </c>
      <c r="C20" s="6" t="n"/>
      <c r="D20" s="6" t="n"/>
      <c r="E20" s="6" t="n"/>
      <c r="F20" s="6" t="n"/>
      <c r="G20" s="6" t="n"/>
    </row>
    <row r="21">
      <c r="A21" s="31" t="inlineStr">
        <is>
          <t>Leaver On-Time Deprovisioning Rate</t>
        </is>
      </c>
      <c r="B21" s="33">
        <f>IFERROR(COUNTIF('Employee Lifecycle'!I35:I60,"Compliant")/COUNTA('Employee Lifecycle'!A35:A60),0)</f>
        <v/>
      </c>
      <c r="C21" s="6" t="n"/>
      <c r="D21" s="6" t="n"/>
      <c r="E21" s="6" t="n"/>
      <c r="F21" s="6" t="n"/>
      <c r="G21" s="6" t="n"/>
    </row>
    <row r="22">
      <c r="A22" s="31" t="inlineStr">
        <is>
          <t>Contractor Compliance Rate</t>
        </is>
      </c>
      <c r="B22" s="33">
        <f>IFERROR(COUNTIF('Contractor Lifecycle'!K6:K56,"Compliant")/COUNTA('Contractor Lifecycle'!A6:A56),0)</f>
        <v/>
      </c>
      <c r="C22" s="6" t="n"/>
      <c r="D22" s="6" t="n"/>
      <c r="E22" s="6" t="n"/>
      <c r="F22" s="6" t="n"/>
      <c r="G22" s="6" t="n"/>
    </row>
    <row r="23">
      <c r="A23" s="31" t="inlineStr">
        <is>
          <t>Expired Contractor Accounts</t>
        </is>
      </c>
      <c r="B23" s="32">
        <f>COUNTIF('Contractor Lifecycle'!K6:K56,"Non-Compliant")</f>
        <v/>
      </c>
      <c r="C23" s="6" t="n"/>
      <c r="D23" s="6" t="n"/>
      <c r="E23" s="6" t="n"/>
      <c r="F23" s="6" t="n"/>
      <c r="G23" s="6" t="n"/>
    </row>
    <row r="24">
      <c r="A24" s="31" t="inlineStr">
        <is>
          <t>Service Accounts with Valid Owner</t>
        </is>
      </c>
      <c r="B24" s="32">
        <f>COUNTIF('Service Accounts'!J6:J56,"Active")</f>
        <v/>
      </c>
      <c r="C24" s="6" t="n"/>
      <c r="D24" s="6" t="n"/>
      <c r="E24" s="6" t="n"/>
      <c r="F24" s="6" t="n"/>
      <c r="G24" s="6" t="n"/>
    </row>
    <row r="25">
      <c r="A25" s="31" t="inlineStr">
        <is>
          <t>Open Lifecycle Gaps</t>
        </is>
      </c>
      <c r="B25" s="32">
        <f>COUNTIF('Gap Analysis'!J6:J55,"Open")</f>
        <v/>
      </c>
      <c r="C25" s="6" t="n"/>
      <c r="D25" s="6" t="n"/>
      <c r="E25" s="6" t="n"/>
      <c r="F25" s="6" t="n"/>
      <c r="G25" s="6" t="n"/>
    </row>
    <row r="26">
      <c r="A26" s="31" t="inlineStr">
        <is>
          <t>Gaps In Progress</t>
        </is>
      </c>
      <c r="B26" s="32">
        <f>COUNTIF('Gap Analysis'!J6:J55,"In Progress")</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Identity Lifecycle</t>
        </is>
      </c>
      <c r="B32" s="39" t="inlineStr">
        <is>
          <t>Orphaned accounts pending remediation</t>
        </is>
      </c>
      <c r="C32" s="40">
        <f>COUNTIF('Orphaned Accounts'!J6:J56,"Open")</f>
        <v/>
      </c>
      <c r="D32" s="39" t="inlineStr">
        <is>
          <t>Critical</t>
        </is>
      </c>
      <c r="E32" s="39" t="inlineStr">
        <is>
          <t>Immediate</t>
        </is>
      </c>
      <c r="F32" s="39" t="n"/>
      <c r="G32" s="39" t="n"/>
    </row>
    <row r="33">
      <c r="A33" s="39" t="inlineStr">
        <is>
          <t>Identity Lifecycle</t>
        </is>
      </c>
      <c r="B33" s="39" t="inlineStr">
        <is>
          <t>Non-compliant lifecycle events (employees)</t>
        </is>
      </c>
      <c r="C33" s="40">
        <f>COUNTIF('Employee Lifecycle'!I7:I106,"Non-Compliant")</f>
        <v/>
      </c>
      <c r="D33" s="39" t="inlineStr">
        <is>
          <t>Critical</t>
        </is>
      </c>
      <c r="E33" s="39" t="inlineStr">
        <is>
          <t>Immediate</t>
        </is>
      </c>
      <c r="F33" s="39" t="n"/>
      <c r="G33" s="39" t="n"/>
    </row>
    <row r="34">
      <c r="A34" s="39" t="inlineStr">
        <is>
          <t>Contractor Management</t>
        </is>
      </c>
      <c r="B34" s="39" t="inlineStr">
        <is>
          <t>Expired contractor accounts still active</t>
        </is>
      </c>
      <c r="C34" s="40">
        <f>COUNTIF('Contractor Lifecycle'!K6:K56,"Non-Compliant")</f>
        <v/>
      </c>
      <c r="D34" s="39" t="inlineStr">
        <is>
          <t>High</t>
        </is>
      </c>
      <c r="E34" s="39" t="inlineStr">
        <is>
          <t>Urgent</t>
        </is>
      </c>
      <c r="F34" s="39" t="n"/>
      <c r="G34" s="39" t="n"/>
    </row>
    <row r="35">
      <c r="A35" s="39" t="inlineStr">
        <is>
          <t>Contractor Management</t>
        </is>
      </c>
      <c r="B35" s="39" t="inlineStr">
        <is>
          <t>Contractors expiring — access review required</t>
        </is>
      </c>
      <c r="C35" s="40">
        <f>COUNTIF('Contractor Lifecycle'!K6:K56,"Warning")</f>
        <v/>
      </c>
      <c r="D35" s="39" t="inlineStr">
        <is>
          <t>High</t>
        </is>
      </c>
      <c r="E35" s="39" t="inlineStr">
        <is>
          <t>Urgent</t>
        </is>
      </c>
      <c r="F35" s="39" t="n"/>
      <c r="G35" s="39" t="n"/>
    </row>
    <row r="36">
      <c r="A36" s="39" t="inlineStr">
        <is>
          <t>Service Accounts</t>
        </is>
      </c>
      <c r="B36" s="39" t="inlineStr">
        <is>
          <t>Disabled service accounts (ownership risk)</t>
        </is>
      </c>
      <c r="C36" s="40">
        <f>COUNTIF('Service Accounts'!J6:J56,"Disabled")</f>
        <v/>
      </c>
      <c r="D36" s="39" t="inlineStr">
        <is>
          <t>Medium</t>
        </is>
      </c>
      <c r="E36" s="39" t="inlineStr">
        <is>
          <t>Plan</t>
        </is>
      </c>
      <c r="F36" s="39" t="n"/>
      <c r="G36" s="39" t="n"/>
    </row>
    <row r="37">
      <c r="A37" s="39" t="inlineStr">
        <is>
          <t>Gap Analysis</t>
        </is>
      </c>
      <c r="B37" s="39" t="inlineStr">
        <is>
          <t>High-risk open gaps</t>
        </is>
      </c>
      <c r="C37" s="40">
        <f>COUNTIF('Gap Analysis'!D6:D55,"High")</f>
        <v/>
      </c>
      <c r="D37" s="39" t="inlineStr">
        <is>
          <t>Critical</t>
        </is>
      </c>
      <c r="E37" s="39" t="inlineStr">
        <is>
          <t>Immediate</t>
        </is>
      </c>
      <c r="F37" s="39" t="n"/>
      <c r="G37" s="39" t="n"/>
    </row>
    <row r="38">
      <c r="A38" s="39" t="inlineStr">
        <is>
          <t>Gap Analysis</t>
        </is>
      </c>
      <c r="B38" s="39" t="inlineStr">
        <is>
          <t>Total open gaps requiring remediation</t>
        </is>
      </c>
      <c r="C38" s="40">
        <f>COUNTIF('Gap Analysis'!J6:J55,"Open")</f>
        <v/>
      </c>
      <c r="D38" s="39" t="inlineStr">
        <is>
          <t>High</t>
        </is>
      </c>
      <c r="E38" s="39" t="inlineStr">
        <is>
          <t>Urgent</t>
        </is>
      </c>
      <c r="F38" s="39" t="n"/>
      <c r="G38" s="39" t="n"/>
    </row>
    <row r="39">
      <c r="A39" s="39" t="inlineStr">
        <is>
          <t>Identity Lifecycle</t>
        </is>
      </c>
      <c r="B39" s="39" t="inlineStr">
        <is>
          <t>Orphaned accounts in progress (not yet resolved)</t>
        </is>
      </c>
      <c r="C39" s="40">
        <f>COUNTIF('Orphaned Accounts'!J6:J56,"In Progress")</f>
        <v/>
      </c>
      <c r="D39" s="39" t="inlineStr">
        <is>
          <t>Medium</t>
        </is>
      </c>
      <c r="E39" s="39" t="inlineStr">
        <is>
          <t>Plan</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A.5.16: Identity Management</t>
        </is>
      </c>
      <c r="B2" s="6" t="n"/>
      <c r="C2" s="6" t="n"/>
      <c r="D2" s="6" t="n"/>
      <c r="E2" s="6" t="n"/>
    </row>
    <row r="3">
      <c r="A3" s="42" t="inlineStr">
        <is>
          <t>ASSESSMENT SUMMARY</t>
        </is>
      </c>
      <c r="B3" s="6" t="n"/>
      <c r="C3" s="6" t="n"/>
      <c r="D3" s="6" t="n"/>
      <c r="E3" s="6" t="n"/>
    </row>
    <row r="4">
      <c r="A4" s="3" t="inlineStr">
        <is>
          <t>Document:</t>
        </is>
      </c>
      <c r="B4" s="6" t="inlineStr">
        <is>
          <t>ISMS-IMP-A.5.15-16-18.S1 - User Inventory &amp; Lifecycle Compliance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ISMS-IMP-A.5.15-16-18.S1 — User Inventory &amp; Lifecycle Compliance Assessment</dc:title>
  <dc:description xmlns:dc="http://purl.org/dc/elements/1.1/">ISMS Implementation Workbook — ISMS-IMP-A.5.15-16-18.S1</dc:description>
  <dc:subject xmlns:dc="http://purl.org/dc/elements/1.1/">ISO/IEC 27001:2022 — Control A.5.16: Identity Management</dc:subject>
  <dcterms:created xmlns:dcterms="http://purl.org/dc/terms/" xmlns:xsi="http://www.w3.org/2001/XMLSchema-instance" xsi:type="dcterms:W3CDTF">2026-03-01T09:50:19Z</dcterms:created>
  <dcterms:modified xmlns:dcterms="http://purl.org/dc/terms/" xmlns:xsi="http://www.w3.org/2001/XMLSchema-instance" xsi:type="dcterms:W3CDTF">2026-03-01T09:50:19Z</dcterms:modified>
</cp:coreProperties>
</file>