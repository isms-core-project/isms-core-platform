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view Schedule" sheetId="2" state="visible" r:id="rId2"/>
    <sheet xmlns:r="http://schemas.openxmlformats.org/officeDocument/2006/relationships" name="Review Completion" sheetId="3" state="visible" r:id="rId3"/>
    <sheet xmlns:r="http://schemas.openxmlformats.org/officeDocument/2006/relationships" name="Review Findings" sheetId="4" state="visible" r:id="rId4"/>
    <sheet xmlns:r="http://schemas.openxmlformats.org/officeDocument/2006/relationships" name="Overdue Reviews" sheetId="5" state="visible" r:id="rId5"/>
    <sheet xmlns:r="http://schemas.openxmlformats.org/officeDocument/2006/relationships" name="Reviewer Performance" sheetId="6" state="visible" r:id="rId6"/>
    <sheet xmlns:r="http://schemas.openxmlformats.org/officeDocument/2006/relationships" name="Review Metric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b val="1"/>
      <i val="1"/>
      <color rgb="00FF0000"/>
    </font>
    <font>
      <name val="Calibri"/>
      <sz val="10"/>
    </font>
    <font>
      <b val="1"/>
      <sz val="14"/>
    </font>
    <font>
      <name val="Calibri"/>
      <i val="1"/>
      <sz val="10"/>
    </font>
    <font>
      <name val="Calibri"/>
      <b val="1"/>
      <color rgb="00FFFFFF"/>
      <sz val="10"/>
    </font>
    <font>
      <name val="Calibri"/>
      <i val="1"/>
      <color rgb="00808080"/>
      <sz val="10"/>
    </font>
    <font>
      <name val="Calibri"/>
      <i val="1"/>
      <color rgb="00003366"/>
      <sz val="10"/>
    </font>
    <font>
      <name val="Calibri"/>
      <b val="1"/>
      <color rgb="00FFFFFF"/>
      <sz val="11"/>
    </font>
    <font>
      <name val="Calibri"/>
      <b val="1"/>
      <color rgb="00000000"/>
      <sz val="10"/>
    </font>
    <font>
      <name val="Calibri"/>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0" borderId="0"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9" fillId="0" borderId="0" pivotButton="0" quotePrefix="0" xfId="0"/>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12" fillId="10" borderId="1" pivotButton="0" quotePrefix="0" xfId="0"/>
    <xf numFmtId="0" fontId="0" fillId="11" borderId="1" applyAlignment="1" pivotButton="0" quotePrefix="0" xfId="0">
      <alignment vertical="center"/>
    </xf>
    <xf numFmtId="0" fontId="13" fillId="0" borderId="0" applyAlignment="1" pivotButton="0" quotePrefix="0" xfId="0">
      <alignment horizontal="left" vertical="center"/>
    </xf>
    <xf numFmtId="0" fontId="14" fillId="8" borderId="1" applyAlignment="1" pivotButton="0" quotePrefix="0" xfId="0">
      <alignment horizontal="left" vertical="center"/>
    </xf>
    <xf numFmtId="0" fontId="15" fillId="9" borderId="1" applyAlignment="1" pivotButton="0" quotePrefix="0" xfId="0">
      <alignment horizontal="center" vertical="center" wrapText="1"/>
    </xf>
    <xf numFmtId="0" fontId="16" fillId="0" borderId="1" pivotButton="0" quotePrefix="0" xfId="0"/>
    <xf numFmtId="0" fontId="16" fillId="0" borderId="1" applyAlignment="1" pivotButton="0" quotePrefix="0" xfId="0">
      <alignment horizontal="center"/>
    </xf>
    <xf numFmtId="164" fontId="16" fillId="0" borderId="1" applyAlignment="1" pivotButton="0" quotePrefix="0" xfId="0">
      <alignment horizontal="center"/>
    </xf>
    <xf numFmtId="0" fontId="15" fillId="9" borderId="1" applyAlignment="1" pivotButton="0" quotePrefix="0" xfId="0">
      <alignment horizontal="left"/>
    </xf>
    <xf numFmtId="0" fontId="15" fillId="9" borderId="1" applyAlignment="1" pivotButton="0" quotePrefix="0" xfId="0">
      <alignment horizontal="center"/>
    </xf>
    <xf numFmtId="164" fontId="15" fillId="9" borderId="1" applyAlignment="1" pivotButton="0" quotePrefix="0" xfId="0">
      <alignment horizontal="center"/>
    </xf>
    <xf numFmtId="0" fontId="14" fillId="8" borderId="1" pivotButton="0" quotePrefix="0" xfId="0"/>
    <xf numFmtId="0" fontId="14" fillId="15" borderId="1" pivotButton="0" quotePrefix="0" xfId="0"/>
    <xf numFmtId="0" fontId="16" fillId="11" borderId="1" pivotButton="0" quotePrefix="0" xfId="0"/>
    <xf numFmtId="0" fontId="16" fillId="11" borderId="1" applyAlignment="1" pivotButton="0" quotePrefix="0" xfId="0">
      <alignment horizontal="center"/>
    </xf>
    <xf numFmtId="0" fontId="13" fillId="0" borderId="1" applyAlignment="1" pivotButton="0" quotePrefix="0" xfId="0">
      <alignment horizontal="center" vertical="center"/>
    </xf>
    <xf numFmtId="0" fontId="14" fillId="16"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ISMS-IMP-A.5.15-16-18.S3  -  Access Review Results Assessment
ISO/IEC 27001:2022 - Control A.5.15 &amp; A.5.18: Access Control &amp; Access Rights</t>
        </is>
      </c>
    </row>
    <row r="3">
      <c r="A3" s="2" t="inlineStr">
        <is>
          <t>Document Information</t>
        </is>
      </c>
    </row>
    <row r="4">
      <c r="A4" s="3" t="inlineStr">
        <is>
          <t>Document ID</t>
        </is>
      </c>
      <c r="B4" t="inlineStr">
        <is>
          <t>ISMS-IMP-A.5.15-16-18.S3</t>
        </is>
      </c>
    </row>
    <row r="5">
      <c r="A5" s="3" t="inlineStr">
        <is>
          <t>Workbook Title</t>
        </is>
      </c>
      <c r="B5" t="inlineStr">
        <is>
          <t>Access Review Results Assessment</t>
        </is>
      </c>
    </row>
    <row r="6">
      <c r="A6" s="3" t="inlineStr">
        <is>
          <t>Control Reference</t>
        </is>
      </c>
      <c r="B6" t="inlineStr">
        <is>
          <t>ISO/IEC 27001:2022 - Control A.5.15 &amp; A.5.18: Access Control &amp; Access Rights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Open this workbook and review the sheet tabs to understand the assessment scope.</t>
        </is>
      </c>
    </row>
    <row r="14">
      <c r="A14" t="inlineStr">
        <is>
          <t>2. Complete the Assessment Date and Prepared By fields in the Document Information table above.</t>
        </is>
      </c>
    </row>
    <row r="15">
      <c r="A15" t="inlineStr">
        <is>
          <t>3. Navigate to each data sheet and review the pre-populated sample data.</t>
        </is>
      </c>
    </row>
    <row r="16">
      <c r="A16" t="inlineStr">
        <is>
          <t>4. Replace sample data with actual organisation data for your environment.</t>
        </is>
      </c>
    </row>
    <row r="17">
      <c r="A17" t="inlineStr">
        <is>
          <t>5. Use the dropdown lists in each sheet for consistent status and category values.</t>
        </is>
      </c>
    </row>
    <row r="18">
      <c r="A18" t="inlineStr">
        <is>
          <t>6. Document all gaps and findings in the Gap Analysis sheet.</t>
        </is>
      </c>
    </row>
    <row r="19">
      <c r="A19" t="inlineStr">
        <is>
          <t>7. Collect supporting evidence and record references in the Evidence Register.</t>
        </is>
      </c>
    </row>
    <row r="20">
      <c r="A20" t="inlineStr">
        <is>
          <t>8. Obtain required approvals via the Approval Sign-Off sheet before submission.</t>
        </is>
      </c>
    </row>
    <row r="21">
      <c r="A21" t="inlineStr">
        <is>
          <t>9. Store the completed workbook in the designated ISMS evidence repository.</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30" customWidth="1" min="2" max="2"/>
    <col width="12" customWidth="1" min="3" max="3"/>
    <col width="15" customWidth="1" min="4" max="4"/>
    <col width="15" customWidth="1" min="5" max="5"/>
    <col width="20" customWidth="1" min="6" max="6"/>
    <col width="22" customWidth="1" min="7" max="7"/>
    <col width="12" customWidth="1" min="8" max="8"/>
    <col width="12" customWidth="1" min="9" max="9"/>
    <col width="15" customWidth="1" min="10" max="10"/>
  </cols>
  <sheetData>
    <row r="1" ht="35" customHeight="1">
      <c r="A1" s="11" t="inlineStr">
        <is>
          <t>ACCESS REVIEW SCHEDULE - 2026 ANNUAL CALENDAR</t>
        </is>
      </c>
    </row>
    <row r="2">
      <c r="A2" s="12" t="inlineStr">
        <is>
          <t>Schedule Generated: 01.03.2026</t>
        </is>
      </c>
    </row>
    <row r="3">
      <c r="A3" s="12" t="inlineStr">
        <is>
          <t>Scheduled Reviews: 80</t>
        </is>
      </c>
    </row>
    <row r="5">
      <c r="A5" s="13" t="inlineStr">
        <is>
          <t>Review ID</t>
        </is>
      </c>
      <c r="B5" s="13" t="inlineStr">
        <is>
          <t>System/Application</t>
        </is>
      </c>
      <c r="C5" s="13" t="inlineStr">
        <is>
          <t>Criticality</t>
        </is>
      </c>
      <c r="D5" s="13" t="inlineStr">
        <is>
          <t>Review Period</t>
        </is>
      </c>
      <c r="E5" s="13" t="inlineStr">
        <is>
          <t>Frequency</t>
        </is>
      </c>
      <c r="F5" s="13" t="inlineStr">
        <is>
          <t>Reviewer</t>
        </is>
      </c>
      <c r="G5" s="13" t="inlineStr">
        <is>
          <t>Reviewer Role</t>
        </is>
      </c>
      <c r="H5" s="13" t="inlineStr">
        <is>
          <t>Due Date</t>
        </is>
      </c>
      <c r="I5" s="13" t="inlineStr">
        <is>
          <t>Est. Users</t>
        </is>
      </c>
      <c r="J5" s="13" t="inlineStr">
        <is>
          <t>Status</t>
        </is>
      </c>
    </row>
    <row r="6">
      <c r="A6" s="14" t="inlineStr">
        <is>
          <t>REV-001</t>
        </is>
      </c>
      <c r="B6" s="14" t="inlineStr">
        <is>
          <t>Active Directory</t>
        </is>
      </c>
      <c r="C6" s="14" t="inlineStr">
        <is>
          <t>Critical</t>
        </is>
      </c>
      <c r="D6" s="14" t="inlineStr">
        <is>
          <t>Q1 2026</t>
        </is>
      </c>
      <c r="E6" s="14" t="inlineStr">
        <is>
          <t>Quarterly</t>
        </is>
      </c>
      <c r="F6" s="14" t="inlineStr">
        <is>
          <t>J. Smith</t>
        </is>
      </c>
      <c r="G6" s="14" t="inlineStr">
        <is>
          <t>IT Manager</t>
        </is>
      </c>
      <c r="H6" s="14" t="inlineStr">
        <is>
          <t>31.03.2026</t>
        </is>
      </c>
      <c r="I6" s="14" t="n">
        <v>150</v>
      </c>
      <c r="J6" s="14" t="inlineStr">
        <is>
          <t>Scheduled</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5" customWidth="1" min="3" max="3"/>
    <col width="20" customWidth="1" min="4" max="4"/>
    <col width="12" customWidth="1" min="5" max="5"/>
    <col width="12" customWidth="1" min="6" max="6"/>
    <col width="15" customWidth="1" min="7" max="7"/>
    <col width="15" customWidth="1" min="8" max="8"/>
    <col width="15" customWidth="1" min="9" max="9"/>
    <col width="15" customWidth="1" min="10" max="10"/>
    <col width="15" customWidth="1" min="11" max="11"/>
    <col width="15" customWidth="1" min="12" max="12"/>
  </cols>
  <sheetData>
    <row r="1" ht="35" customHeight="1">
      <c r="A1" s="11" t="inlineStr">
        <is>
          <t>REVIEW COMPLETION TRACKING - EXECUTION STATUS</t>
        </is>
      </c>
    </row>
    <row r="2">
      <c r="A2" s="12" t="inlineStr">
        <is>
          <t>Assessment Date: 01.03.2026</t>
        </is>
      </c>
    </row>
    <row r="4">
      <c r="A4" s="13" t="inlineStr">
        <is>
          <t>Review ID</t>
        </is>
      </c>
      <c r="B4" s="13" t="inlineStr">
        <is>
          <t>System</t>
        </is>
      </c>
      <c r="C4" s="13" t="inlineStr">
        <is>
          <t>Review Period</t>
        </is>
      </c>
      <c r="D4" s="13" t="inlineStr">
        <is>
          <t>Reviewer</t>
        </is>
      </c>
      <c r="E4" s="13" t="inlineStr">
        <is>
          <t>Due Date</t>
        </is>
      </c>
      <c r="F4" s="13" t="inlineStr">
        <is>
          <t>Start Date</t>
        </is>
      </c>
      <c r="G4" s="13" t="inlineStr">
        <is>
          <t>Completion Date</t>
        </is>
      </c>
      <c r="H4" s="13" t="inlineStr">
        <is>
          <t>Days to Complete</t>
        </is>
      </c>
      <c r="I4" s="13" t="inlineStr">
        <is>
          <t>Users Reviewed</t>
        </is>
      </c>
      <c r="J4" s="13" t="inlineStr">
        <is>
          <t>Access Confirmed</t>
        </is>
      </c>
      <c r="K4" s="13" t="inlineStr">
        <is>
          <t>Access Removed</t>
        </is>
      </c>
      <c r="L4" s="13" t="inlineStr">
        <is>
          <t>Status</t>
        </is>
      </c>
    </row>
    <row r="5">
      <c r="A5" s="14" t="inlineStr">
        <is>
          <t>REV-001</t>
        </is>
      </c>
      <c r="B5" s="14" t="inlineStr">
        <is>
          <t>Active Directory</t>
        </is>
      </c>
      <c r="C5" s="14" t="inlineStr">
        <is>
          <t>Q1 2026</t>
        </is>
      </c>
      <c r="D5" s="14" t="inlineStr">
        <is>
          <t>J. Smith</t>
        </is>
      </c>
      <c r="E5" s="14" t="inlineStr">
        <is>
          <t>31.03.2026</t>
        </is>
      </c>
      <c r="F5" s="14" t="inlineStr">
        <is>
          <t>10.03.2026</t>
        </is>
      </c>
      <c r="G5" s="14" t="inlineStr">
        <is>
          <t>25.03.2026</t>
        </is>
      </c>
      <c r="H5" s="14" t="n">
        <v>15</v>
      </c>
      <c r="I5" s="14" t="n">
        <v>150</v>
      </c>
      <c r="J5" s="14" t="n">
        <v>135</v>
      </c>
      <c r="K5" s="14" t="n">
        <v>15</v>
      </c>
      <c r="L5" s="14" t="inlineStr">
        <is>
          <t>Completed</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2" customWidth="1" min="1" max="1"/>
    <col width="12" customWidth="1" min="2" max="2"/>
    <col width="20" customWidth="1" min="3" max="3"/>
    <col width="15" customWidth="1" min="4" max="4"/>
    <col width="15" customWidth="1" min="5" max="5"/>
    <col width="20" customWidth="1" min="6" max="6"/>
    <col width="45" customWidth="1" min="7" max="7"/>
    <col width="10" customWidth="1" min="8" max="8"/>
    <col width="15" customWidth="1" min="9" max="9"/>
    <col width="18" customWidth="1" min="10" max="10"/>
    <col width="15" customWidth="1" min="11" max="11"/>
  </cols>
  <sheetData>
    <row r="1" ht="35" customHeight="1">
      <c r="A1" s="11" t="inlineStr">
        <is>
          <t>REVIEW FINDINGS - DETAILED ACTIONS</t>
        </is>
      </c>
    </row>
    <row r="2">
      <c r="A2" s="12" t="inlineStr">
        <is>
          <t>Assessment Date: 01.03.2026</t>
        </is>
      </c>
    </row>
    <row r="3">
      <c r="A3" s="12" t="inlineStr">
        <is>
          <t>Total Findings: 60</t>
        </is>
      </c>
    </row>
    <row r="5">
      <c r="A5" s="13" t="inlineStr">
        <is>
          <t>Finding ID</t>
        </is>
      </c>
      <c r="B5" s="13" t="inlineStr">
        <is>
          <t>Review ID</t>
        </is>
      </c>
      <c r="C5" s="13" t="inlineStr">
        <is>
          <t>System</t>
        </is>
      </c>
      <c r="D5" s="13" t="inlineStr">
        <is>
          <t>Username</t>
        </is>
      </c>
      <c r="E5" s="13" t="inlineStr">
        <is>
          <t>Access Level</t>
        </is>
      </c>
      <c r="F5" s="13" t="inlineStr">
        <is>
          <t>Action</t>
        </is>
      </c>
      <c r="G5" s="13" t="inlineStr">
        <is>
          <t>Reason</t>
        </is>
      </c>
      <c r="H5" s="13" t="inlineStr">
        <is>
          <t>Priority</t>
        </is>
      </c>
      <c r="I5" s="13" t="inlineStr">
        <is>
          <t>Completion Date</t>
        </is>
      </c>
      <c r="J5" s="13" t="inlineStr">
        <is>
          <t>Days to Remediate</t>
        </is>
      </c>
      <c r="K5" s="13" t="inlineStr">
        <is>
          <t>Status</t>
        </is>
      </c>
    </row>
    <row r="6">
      <c r="A6" s="14" t="inlineStr">
        <is>
          <t>FIND-001</t>
        </is>
      </c>
      <c r="B6" s="14" t="inlineStr">
        <is>
          <t>REV-001</t>
        </is>
      </c>
      <c r="C6" s="14" t="inlineStr">
        <is>
          <t>Active Directory</t>
        </is>
      </c>
      <c r="D6" s="14" t="inlineStr">
        <is>
          <t>jsmith</t>
        </is>
      </c>
      <c r="E6" s="14" t="inlineStr">
        <is>
          <t>Read/Write</t>
        </is>
      </c>
      <c r="F6" s="14" t="inlineStr">
        <is>
          <t>Confirm</t>
        </is>
      </c>
      <c r="G6" s="14" t="inlineStr">
        <is>
          <t>Correct access for role</t>
        </is>
      </c>
      <c r="H6" s="14" t="inlineStr">
        <is>
          <t>Low</t>
        </is>
      </c>
      <c r="I6" s="14" t="inlineStr">
        <is>
          <t>25.03.2026</t>
        </is>
      </c>
      <c r="J6" s="14" t="n">
        <v>3</v>
      </c>
      <c r="K6" s="14" t="inlineStr">
        <is>
          <t>Completed</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28" customWidth="1" min="2" max="2"/>
    <col width="12" customWidth="1" min="3" max="3"/>
    <col width="20" customWidth="1" min="4" max="4"/>
    <col width="12" customWidth="1" min="5" max="5"/>
    <col width="15" customWidth="1" min="6" max="6"/>
    <col width="20" customWidth="1" min="7" max="7"/>
    <col width="15" customWidth="1" min="8" max="8"/>
    <col width="30" customWidth="1" min="9" max="9"/>
    <col width="12" customWidth="1" min="10" max="10"/>
  </cols>
  <sheetData>
    <row r="1" ht="35" customHeight="1">
      <c r="A1" s="11" t="inlineStr">
        <is>
          <t>OVERDUE REVIEWS - ESCALATION REQUIRED</t>
        </is>
      </c>
    </row>
    <row r="2">
      <c r="A2" s="16" t="inlineStr">
        <is>
          <t>Assessment Date: 01.03.2026</t>
        </is>
      </c>
    </row>
    <row r="3">
      <c r="A3" s="16" t="inlineStr">
        <is>
          <t>Overdue Reviews: 0</t>
        </is>
      </c>
    </row>
    <row r="5">
      <c r="A5" s="13" t="inlineStr">
        <is>
          <t>Review ID</t>
        </is>
      </c>
      <c r="B5" s="13" t="inlineStr">
        <is>
          <t>System</t>
        </is>
      </c>
      <c r="C5" s="13" t="inlineStr">
        <is>
          <t>Criticality</t>
        </is>
      </c>
      <c r="D5" s="13" t="inlineStr">
        <is>
          <t>Reviewer</t>
        </is>
      </c>
      <c r="E5" s="13" t="inlineStr">
        <is>
          <t>Due Date</t>
        </is>
      </c>
      <c r="F5" s="13" t="inlineStr">
        <is>
          <t>Days Overdue</t>
        </is>
      </c>
      <c r="G5" s="13" t="inlineStr">
        <is>
          <t>Escalation Level</t>
        </is>
      </c>
      <c r="H5" s="13" t="inlineStr">
        <is>
          <t>Escalation Date</t>
        </is>
      </c>
      <c r="I5" s="13" t="inlineStr">
        <is>
          <t>Escalated To</t>
        </is>
      </c>
      <c r="J5" s="13" t="inlineStr">
        <is>
          <t>Status</t>
        </is>
      </c>
    </row>
    <row r="6">
      <c r="A6" s="14" t="inlineStr">
        <is>
          <t>REV-010</t>
        </is>
      </c>
      <c r="B6" s="14" t="inlineStr">
        <is>
          <t>CRM System</t>
        </is>
      </c>
      <c r="C6" s="14" t="inlineStr">
        <is>
          <t>High</t>
        </is>
      </c>
      <c r="D6" s="14" t="inlineStr">
        <is>
          <t>P. Jones</t>
        </is>
      </c>
      <c r="E6" s="14" t="inlineStr">
        <is>
          <t>31.01.2026</t>
        </is>
      </c>
      <c r="F6" s="14" t="n">
        <v>28</v>
      </c>
      <c r="G6" s="14" t="inlineStr">
        <is>
          <t>Level 2: Manager</t>
        </is>
      </c>
      <c r="H6" s="14" t="inlineStr">
        <is>
          <t>01.02.2026</t>
        </is>
      </c>
      <c r="I6" s="14" t="inlineStr">
        <is>
          <t>P. Jones + Manager</t>
        </is>
      </c>
      <c r="J6" s="14" t="inlineStr">
        <is>
          <t>Overdue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0" customWidth="1" min="1" max="1"/>
    <col width="22" customWidth="1" min="2" max="2"/>
    <col width="15" customWidth="1" min="3" max="3"/>
    <col width="15" customWidth="1" min="4" max="4"/>
    <col width="12" customWidth="1" min="5" max="5"/>
    <col width="12" customWidth="1" min="6" max="6"/>
    <col width="18" customWidth="1" min="7" max="7"/>
    <col width="20" customWidth="1" min="8" max="8"/>
    <col width="20" customWidth="1" min="9" max="9"/>
    <col width="15" customWidth="1" min="10" max="10"/>
  </cols>
  <sheetData>
    <row r="1" ht="35" customHeight="1">
      <c r="A1" s="11" t="inlineStr">
        <is>
          <t>REVIEWER PERFORMANCE METRICS - RESPONSIVENESS</t>
        </is>
      </c>
    </row>
    <row r="2">
      <c r="A2" s="12" t="inlineStr">
        <is>
          <t>Assessment Period: 01.03.2026</t>
        </is>
      </c>
    </row>
    <row r="4">
      <c r="A4" s="13" t="inlineStr">
        <is>
          <t>Reviewer Name</t>
        </is>
      </c>
      <c r="B4" s="13" t="inlineStr">
        <is>
          <t>Role</t>
        </is>
      </c>
      <c r="C4" s="13" t="inlineStr">
        <is>
          <t>Department</t>
        </is>
      </c>
      <c r="D4" s="13" t="inlineStr">
        <is>
          <t>Total Reviews</t>
        </is>
      </c>
      <c r="E4" s="13" t="inlineStr">
        <is>
          <t>Completed</t>
        </is>
      </c>
      <c r="F4" s="13" t="inlineStr">
        <is>
          <t>Overdue</t>
        </is>
      </c>
      <c r="G4" s="13" t="inlineStr">
        <is>
          <t>Completion Rate</t>
        </is>
      </c>
      <c r="H4" s="13" t="inlineStr">
        <is>
          <t>Avg Days to Complete</t>
        </is>
      </c>
      <c r="I4" s="13" t="inlineStr">
        <is>
          <t>Performance</t>
        </is>
      </c>
      <c r="J4" s="13" t="inlineStr">
        <is>
          <t>Status</t>
        </is>
      </c>
    </row>
    <row r="5">
      <c r="A5" s="14" t="inlineStr">
        <is>
          <t>John Smith</t>
        </is>
      </c>
      <c r="B5" s="14" t="inlineStr">
        <is>
          <t>IT Manager</t>
        </is>
      </c>
      <c r="C5" s="14" t="inlineStr">
        <is>
          <t>IT</t>
        </is>
      </c>
      <c r="D5" s="14" t="n">
        <v>8</v>
      </c>
      <c r="E5" s="14" t="n">
        <v>7</v>
      </c>
      <c r="F5" s="14" t="n">
        <v>1</v>
      </c>
      <c r="G5" s="14" t="inlineStr">
        <is>
          <t>88%</t>
        </is>
      </c>
      <c r="H5" s="14" t="n">
        <v>7</v>
      </c>
      <c r="I5" s="14" t="inlineStr">
        <is>
          <t>Good</t>
        </is>
      </c>
      <c r="J5" s="14" t="inlineStr">
        <is>
          <t>Compliant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0" customWidth="1" min="1" max="1"/>
    <col width="15" customWidth="1" min="2" max="2"/>
    <col width="15" customWidth="1" min="3" max="3"/>
    <col width="18" customWidth="1" min="4" max="4"/>
    <col width="10" customWidth="1" min="5" max="5"/>
    <col width="50" customWidth="1" min="6" max="6"/>
  </cols>
  <sheetData>
    <row r="1" ht="35" customHeight="1">
      <c r="A1" s="11" t="inlineStr">
        <is>
          <t>ACCESS REVIEW COMPLIANCE METRICS - KPIS</t>
        </is>
      </c>
    </row>
    <row r="2">
      <c r="A2" s="12" t="inlineStr">
        <is>
          <t>Assessment Period: 01.03.2026</t>
        </is>
      </c>
    </row>
    <row r="4">
      <c r="A4" s="17" t="inlineStr">
        <is>
          <t>Key Performance Indicators (KPIs)</t>
        </is>
      </c>
    </row>
    <row r="5">
      <c r="A5" s="13" t="inlineStr">
        <is>
          <t>Metric</t>
        </is>
      </c>
      <c r="B5" s="13" t="inlineStr">
        <is>
          <t>Target</t>
        </is>
      </c>
      <c r="C5" s="13" t="inlineStr">
        <is>
          <t>Actual</t>
        </is>
      </c>
      <c r="D5" s="13" t="inlineStr">
        <is>
          <t>Status</t>
        </is>
      </c>
      <c r="E5" s="13" t="inlineStr">
        <is>
          <t>Gap</t>
        </is>
      </c>
      <c r="F5" s="13" t="inlineStr">
        <is>
          <t>Comments</t>
        </is>
      </c>
    </row>
    <row r="6">
      <c r="A6" s="18" t="inlineStr">
        <is>
          <t>Review Completion Rate</t>
        </is>
      </c>
      <c r="B6" s="18" t="inlineStr">
        <is>
          <t>≥95%</t>
        </is>
      </c>
      <c r="C6" s="18" t="inlineStr">
        <is>
          <t>87%</t>
        </is>
      </c>
      <c r="D6" s="19" t="inlineStr">
        <is>
          <t>Warning</t>
        </is>
      </c>
      <c r="E6" s="18" t="inlineStr">
        <is>
          <t>-8%</t>
        </is>
      </c>
      <c r="F6" s="18" t="inlineStr">
        <is>
          <t>12 reviews overdue</t>
        </is>
      </c>
    </row>
    <row r="7">
      <c r="A7" s="18" t="inlineStr">
        <is>
          <t>On-Time Completion</t>
        </is>
      </c>
      <c r="B7" s="18" t="inlineStr">
        <is>
          <t>≥90%</t>
        </is>
      </c>
      <c r="C7" s="18" t="inlineStr">
        <is>
          <t>83%</t>
        </is>
      </c>
      <c r="D7" s="19" t="inlineStr">
        <is>
          <t>Warning</t>
        </is>
      </c>
      <c r="E7" s="18" t="inlineStr">
        <is>
          <t>-7%</t>
        </is>
      </c>
      <c r="F7" s="18" t="inlineStr">
        <is>
          <t>Reviews completed late</t>
        </is>
      </c>
    </row>
    <row r="8">
      <c r="A8" s="18" t="inlineStr">
        <is>
          <t>Finding Remediation Rate</t>
        </is>
      </c>
      <c r="B8" s="18" t="inlineStr">
        <is>
          <t>≥95%</t>
        </is>
      </c>
      <c r="C8" s="18" t="inlineStr">
        <is>
          <t>78%</t>
        </is>
      </c>
      <c r="D8" s="20" t="inlineStr">
        <is>
          <t>Non-Compliant</t>
        </is>
      </c>
      <c r="E8" s="18" t="inlineStr">
        <is>
          <t>-17%</t>
        </is>
      </c>
      <c r="F8" s="18" t="inlineStr">
        <is>
          <t>18 findings pending</t>
        </is>
      </c>
    </row>
    <row r="9">
      <c r="A9" s="18" t="inlineStr">
        <is>
          <t>Reviewer Response Rate</t>
        </is>
      </c>
      <c r="B9" s="18" t="inlineStr">
        <is>
          <t>100%</t>
        </is>
      </c>
      <c r="C9" s="18" t="inlineStr">
        <is>
          <t>92%</t>
        </is>
      </c>
      <c r="D9" s="19" t="inlineStr">
        <is>
          <t>Warning</t>
        </is>
      </c>
      <c r="E9" s="18" t="inlineStr">
        <is>
          <t>-8%</t>
        </is>
      </c>
      <c r="F9" s="18" t="inlineStr">
        <is>
          <t>3 unresponsive reviewers</t>
        </is>
      </c>
    </row>
    <row r="10">
      <c r="A10" s="18" t="inlineStr">
        <is>
          <t>Access Removal Rate</t>
        </is>
      </c>
      <c r="B10" s="18" t="inlineStr">
        <is>
          <t>8-15%</t>
        </is>
      </c>
      <c r="C10" s="18" t="inlineStr">
        <is>
          <t>12%</t>
        </is>
      </c>
      <c r="D10" s="21" t="inlineStr">
        <is>
          <t>Compliant</t>
        </is>
      </c>
      <c r="E10" s="18" t="inlineStr">
        <is>
          <t>0%</t>
        </is>
      </c>
      <c r="F10" s="18" t="inlineStr">
        <is>
          <t>Within expected range</t>
        </is>
      </c>
    </row>
    <row r="12">
      <c r="A12" s="17" t="inlineStr">
        <is>
          <t>Overall Access Review Compliance Score</t>
        </is>
      </c>
    </row>
    <row r="13">
      <c r="A13" t="inlineStr">
        <is>
          <t>Score Calculation</t>
        </is>
      </c>
      <c r="B13" t="inlineStr">
        <is>
          <t>(Completion Rate + Remediation Rate + Reviewer Response) / 3</t>
        </is>
      </c>
    </row>
    <row r="14">
      <c r="A14" t="inlineStr">
        <is>
          <t>Overall Score</t>
        </is>
      </c>
      <c r="B14" s="22" t="inlineStr">
        <is>
          <t>86%</t>
        </is>
      </c>
    </row>
    <row r="15">
      <c r="A15" t="inlineStr">
        <is>
          <t>Maturity Level</t>
        </is>
      </c>
      <c r="B15" s="19" t="inlineStr">
        <is>
          <t>Managed (80-89%)</t>
        </is>
      </c>
    </row>
  </sheetData>
  <mergeCells count="3">
    <mergeCell ref="A1:F1"/>
    <mergeCell ref="A12:F12"/>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15" customWidth="1" min="5" max="5"/>
    <col width="40" customWidth="1" min="6" max="6"/>
    <col width="40" customWidth="1" min="7" max="7"/>
    <col width="18" customWidth="1" min="8" max="8"/>
    <col width="12" customWidth="1" min="9" max="9"/>
    <col width="15" customWidth="1" min="10" max="10"/>
  </cols>
  <sheetData>
    <row r="1" ht="35" customHeight="1">
      <c r="A1" s="11" t="inlineStr">
        <is>
          <t>GAP ANALYSIS - REVIEW PROCESS NON-COMPLIANCE</t>
        </is>
      </c>
    </row>
    <row r="2">
      <c r="A2" s="12" t="inlineStr">
        <is>
          <t>Assessment Date: 01.03.2026</t>
        </is>
      </c>
    </row>
    <row r="4">
      <c r="A4" s="13" t="inlineStr">
        <is>
          <t>Gap ID</t>
        </is>
      </c>
      <c r="B4" s="13" t="inlineStr">
        <is>
          <t>Category</t>
        </is>
      </c>
      <c r="C4" s="13" t="inlineStr">
        <is>
          <t>Description</t>
        </is>
      </c>
      <c r="D4" s="13" t="inlineStr">
        <is>
          <t>Risk Level</t>
        </is>
      </c>
      <c r="E4" s="13" t="inlineStr">
        <is>
          <t>Affected Items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Review Completion</t>
        </is>
      </c>
      <c r="C5" s="14" t="inlineStr">
        <is>
          <t>12 reviews past due date</t>
        </is>
      </c>
      <c r="D5" s="14" t="inlineStr">
        <is>
          <t>High</t>
        </is>
      </c>
      <c r="E5" s="14" t="inlineStr">
        <is>
          <t>12 reviews</t>
        </is>
      </c>
      <c r="F5" s="14" t="inlineStr">
        <is>
          <t>Unresponsive reviewers, lack of follow-up</t>
        </is>
      </c>
      <c r="G5" s="14" t="inlineStr">
        <is>
          <t>Implement automated escalation workflow</t>
        </is>
      </c>
      <c r="H5" s="14" t="inlineStr">
        <is>
          <t>Security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3" t="inlineStr">
        <is>
          <t>EVIDENCE REGISTER</t>
        </is>
      </c>
    </row>
    <row r="2">
      <c r="A2" s="24" t="inlineStr">
        <is>
          <t>ISO/IEC 27001:2022 Annex A - Control A.5.15 &amp; A.5.18: Access Control &amp; Access Rights</t>
        </is>
      </c>
    </row>
    <row r="3">
      <c r="A3" s="6" t="n"/>
    </row>
    <row r="4">
      <c r="A4" s="25" t="inlineStr">
        <is>
          <t>Evidence ID</t>
        </is>
      </c>
      <c r="B4" s="25" t="inlineStr">
        <is>
          <t>Evidence Type</t>
        </is>
      </c>
      <c r="C4" s="25" t="inlineStr">
        <is>
          <t>Description</t>
        </is>
      </c>
      <c r="D4" s="25" t="inlineStr">
        <is>
          <t>Related Control / Section</t>
        </is>
      </c>
      <c r="E4" s="25" t="inlineStr">
        <is>
          <t>Collection Date (DD.MM.YYYY)</t>
        </is>
      </c>
      <c r="F4" s="25" t="inlineStr">
        <is>
          <t>Storage Location / Reference</t>
        </is>
      </c>
      <c r="G4" s="25" t="inlineStr">
        <is>
          <t>Collected By</t>
        </is>
      </c>
      <c r="H4" s="25"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23" t="inlineStr">
        <is>
          <t>ACCESS REVIEW RESULTS — SUMMARY DASHBOARD</t>
        </is>
      </c>
      <c r="B1" s="6" t="n"/>
      <c r="C1" s="6" t="n"/>
      <c r="D1" s="6" t="n"/>
      <c r="E1" s="6" t="n"/>
      <c r="F1" s="6" t="n"/>
      <c r="G1" s="6" t="n"/>
    </row>
    <row r="2">
      <c r="A2" s="28" t="inlineStr">
        <is>
          <t>ISO/IEC 27001:2022 — Controls A.5.15 &amp; A.5.18: Access Control &amp; Access Rights</t>
        </is>
      </c>
    </row>
    <row r="4">
      <c r="A4" s="29" t="inlineStr">
        <is>
          <t>TABLE 1: ASSESSMENT AREA COMPLIANCE OVERVIEW</t>
        </is>
      </c>
    </row>
    <row r="5">
      <c r="A5" s="30" t="inlineStr">
        <is>
          <t>Assessment Area</t>
        </is>
      </c>
      <c r="B5" s="30" t="inlineStr">
        <is>
          <t>Total Items</t>
        </is>
      </c>
      <c r="C5" s="30" t="inlineStr">
        <is>
          <t>Compliant / Completed</t>
        </is>
      </c>
      <c r="D5" s="30" t="inlineStr">
        <is>
          <t>Partial / Scheduled</t>
        </is>
      </c>
      <c r="E5" s="30" t="inlineStr">
        <is>
          <t>Non-Compliant / Overdue</t>
        </is>
      </c>
      <c r="F5" s="30" t="inlineStr">
        <is>
          <t>N/A</t>
        </is>
      </c>
      <c r="G5" s="30" t="inlineStr">
        <is>
          <t>Compliance %</t>
        </is>
      </c>
    </row>
    <row r="6">
      <c r="A6" s="31" t="inlineStr">
        <is>
          <t>Review Schedule</t>
        </is>
      </c>
      <c r="B6" s="32">
        <f>COUNTA('Review Schedule'!A6:A56)</f>
        <v/>
      </c>
      <c r="C6" s="32">
        <f>COUNTIF('Review Schedule'!J6:J56,"Completed")</f>
        <v/>
      </c>
      <c r="D6" s="32">
        <f>COUNTIF('Review Schedule'!J6:J56,"Scheduled")</f>
        <v/>
      </c>
      <c r="E6" s="32">
        <f>COUNTIF('Review Schedule'!J6:J56,"Overdue")</f>
        <v/>
      </c>
      <c r="F6" s="32" t="n">
        <v>0</v>
      </c>
      <c r="G6" s="33">
        <f>IF((B6-F6)=0,0,C6/(B6-F6))</f>
        <v/>
      </c>
    </row>
    <row r="7">
      <c r="A7" s="31" t="inlineStr">
        <is>
          <t>Review Findings</t>
        </is>
      </c>
      <c r="B7" s="32">
        <f>COUNTA('Review Findings'!A6:A56)</f>
        <v/>
      </c>
      <c r="C7" s="32">
        <f>COUNTIF('Review Findings'!K6:K56,"Completed")</f>
        <v/>
      </c>
      <c r="D7" s="32">
        <f>COUNTIF('Review Findings'!K6:K56,"In Progress")</f>
        <v/>
      </c>
      <c r="E7" s="32">
        <f>COUNTIF('Review Findings'!K6:K56,"Overdue")</f>
        <v/>
      </c>
      <c r="F7" s="32" t="n">
        <v>0</v>
      </c>
      <c r="G7" s="33">
        <f>IF((B7-F7)=0,0,C7/(B7-F7))</f>
        <v/>
      </c>
    </row>
    <row r="8">
      <c r="A8" s="31" t="inlineStr">
        <is>
          <t>Overdue Reviews</t>
        </is>
      </c>
      <c r="B8" s="32">
        <f>COUNTA('Overdue Reviews'!A6:A56)</f>
        <v/>
      </c>
      <c r="C8" s="32" t="n">
        <v>0</v>
      </c>
      <c r="D8" s="32" t="n">
        <v>0</v>
      </c>
      <c r="E8" s="32">
        <f>COUNTA('Overdue Reviews'!A6:A56)</f>
        <v/>
      </c>
      <c r="F8" s="32" t="n">
        <v>0</v>
      </c>
      <c r="G8" s="33">
        <f>IF(B8=0,0,1-(E8/B8))</f>
        <v/>
      </c>
    </row>
    <row r="9">
      <c r="A9" s="31" t="inlineStr">
        <is>
          <t>Reviewer Performance</t>
        </is>
      </c>
      <c r="B9" s="32">
        <f>COUNTA('Reviewer Performance'!A5:A55)</f>
        <v/>
      </c>
      <c r="C9" s="32">
        <f>COUNTIF('Reviewer Performance'!I5:I55,"Excellent")+COUNTIF('Reviewer Performance'!I5:I55,"Good")</f>
        <v/>
      </c>
      <c r="D9" s="32" t="n">
        <v>0</v>
      </c>
      <c r="E9" s="32">
        <f>COUNTIF('Reviewer Performance'!I5:I55,"Needs Improvement")</f>
        <v/>
      </c>
      <c r="F9" s="32" t="n">
        <v>0</v>
      </c>
      <c r="G9" s="33">
        <f>IF((B9-F9)=0,0,C9/(B9-F9))</f>
        <v/>
      </c>
    </row>
    <row r="10">
      <c r="A10" s="31" t="inlineStr">
        <is>
          <t>Gap Analysis</t>
        </is>
      </c>
      <c r="B10" s="32">
        <f>COUNTA('Gap Analysis'!A6:A55)</f>
        <v/>
      </c>
      <c r="C10" s="32">
        <f>COUNTIF('Gap Analysis'!J6:J55,"Resolved")</f>
        <v/>
      </c>
      <c r="D10" s="32">
        <f>COUNTIF('Gap Analysis'!J6:J55,"In Progress")</f>
        <v/>
      </c>
      <c r="E10" s="32">
        <f>COUNTIF('Gap Analysis'!J6:J55,"Open")</f>
        <v/>
      </c>
      <c r="F10" s="32" t="n">
        <v>0</v>
      </c>
      <c r="G10" s="33">
        <f>IF((B10-F10)=0,0,C10/(B10-F10))</f>
        <v/>
      </c>
    </row>
    <row r="11">
      <c r="A11" s="34" t="inlineStr">
        <is>
          <t>TOTAL</t>
        </is>
      </c>
      <c r="B11" s="35">
        <f>SUM(B6:B10)</f>
        <v/>
      </c>
      <c r="C11" s="35">
        <f>SUM(C6:C10)</f>
        <v/>
      </c>
      <c r="D11" s="35">
        <f>SUM(D6:D10)</f>
        <v/>
      </c>
      <c r="E11" s="35">
        <f>SUM(E6:E10)</f>
        <v/>
      </c>
      <c r="F11" s="35">
        <f>SUM(F6:F10)</f>
        <v/>
      </c>
      <c r="G11" s="36">
        <f>IF((B11-F11)=0,0,C11/(B11-F11))</f>
        <v/>
      </c>
    </row>
    <row r="13">
      <c r="A13" s="37" t="inlineStr">
        <is>
          <t>TABLE 2: KEY METRICS</t>
        </is>
      </c>
    </row>
    <row r="14">
      <c r="A14" s="35" t="inlineStr">
        <is>
          <t>Metric</t>
        </is>
      </c>
      <c r="B14" s="35" t="inlineStr">
        <is>
          <t>Value</t>
        </is>
      </c>
      <c r="C14" s="35" t="n"/>
      <c r="D14" s="35" t="n"/>
      <c r="E14" s="35" t="n"/>
      <c r="F14" s="35" t="n"/>
      <c r="G14" s="35" t="n"/>
    </row>
    <row r="15">
      <c r="A15" s="31" t="inlineStr">
        <is>
          <t>Total Reviews Scheduled</t>
        </is>
      </c>
      <c r="B15" s="32">
        <f>COUNTA('Review Schedule'!A6:A56)</f>
        <v/>
      </c>
      <c r="C15" s="6" t="n"/>
      <c r="D15" s="6" t="n"/>
      <c r="E15" s="6" t="n"/>
      <c r="F15" s="6" t="n"/>
      <c r="G15" s="6" t="n"/>
    </row>
    <row r="16">
      <c r="A16" s="31" t="inlineStr">
        <is>
          <t>Reviews Completed</t>
        </is>
      </c>
      <c r="B16" s="32">
        <f>COUNTIF('Review Schedule'!J6:J56,"Completed")</f>
        <v/>
      </c>
      <c r="C16" s="6" t="n"/>
      <c r="D16" s="6" t="n"/>
      <c r="E16" s="6" t="n"/>
      <c r="F16" s="6" t="n"/>
      <c r="G16" s="6" t="n"/>
    </row>
    <row r="17">
      <c r="A17" s="31" t="inlineStr">
        <is>
          <t>Reviews Overdue</t>
        </is>
      </c>
      <c r="B17" s="32">
        <f>COUNTIF('Review Schedule'!J6:J56,"Overdue")</f>
        <v/>
      </c>
      <c r="C17" s="6" t="n"/>
      <c r="D17" s="6" t="n"/>
      <c r="E17" s="6" t="n"/>
      <c r="F17" s="6" t="n"/>
      <c r="G17" s="6" t="n"/>
    </row>
    <row r="18">
      <c r="A18" s="31" t="inlineStr">
        <is>
          <t>Total Review Findings</t>
        </is>
      </c>
      <c r="B18" s="32">
        <f>COUNTA('Review Findings'!A6:A56)</f>
        <v/>
      </c>
      <c r="C18" s="6" t="n"/>
      <c r="D18" s="6" t="n"/>
      <c r="E18" s="6" t="n"/>
      <c r="F18" s="6" t="n"/>
      <c r="G18" s="6" t="n"/>
    </row>
    <row r="19">
      <c r="A19" s="31" t="inlineStr">
        <is>
          <t>Findings Completed</t>
        </is>
      </c>
      <c r="B19" s="32">
        <f>COUNTIF('Review Findings'!K6:K56,"Completed")</f>
        <v/>
      </c>
      <c r="C19" s="6" t="n"/>
      <c r="D19" s="6" t="n"/>
      <c r="E19" s="6" t="n"/>
      <c r="F19" s="6" t="n"/>
      <c r="G19" s="6" t="n"/>
    </row>
    <row r="20">
      <c r="A20" s="31" t="inlineStr">
        <is>
          <t>Findings In Progress</t>
        </is>
      </c>
      <c r="B20" s="32">
        <f>COUNTIF('Review Findings'!K6:K56,"In Progress")</f>
        <v/>
      </c>
      <c r="C20" s="6" t="n"/>
      <c r="D20" s="6" t="n"/>
      <c r="E20" s="6" t="n"/>
      <c r="F20" s="6" t="n"/>
      <c r="G20" s="6" t="n"/>
    </row>
    <row r="21">
      <c r="A21" s="31" t="inlineStr">
        <is>
          <t>Overdue Findings</t>
        </is>
      </c>
      <c r="B21" s="32">
        <f>COUNTIF('Review Findings'!K6:K56,"Overdue")</f>
        <v/>
      </c>
      <c r="C21" s="6" t="n"/>
      <c r="D21" s="6" t="n"/>
      <c r="E21" s="6" t="n"/>
      <c r="F21" s="6" t="n"/>
      <c r="G21" s="6" t="n"/>
    </row>
    <row r="22">
      <c r="A22" s="31" t="inlineStr">
        <is>
          <t>Overdue Reviews (Escalated)</t>
        </is>
      </c>
      <c r="B22" s="32">
        <f>COUNTA('Overdue Reviews'!A6:A56)</f>
        <v/>
      </c>
      <c r="C22" s="6" t="n"/>
      <c r="D22" s="6" t="n"/>
      <c r="E22" s="6" t="n"/>
      <c r="F22" s="6" t="n"/>
      <c r="G22" s="6" t="n"/>
    </row>
    <row r="23">
      <c r="A23" s="31" t="inlineStr">
        <is>
          <t>Total Reviewers</t>
        </is>
      </c>
      <c r="B23" s="32">
        <f>COUNTA('Reviewer Performance'!A5:A55)</f>
        <v/>
      </c>
      <c r="C23" s="6" t="n"/>
      <c r="D23" s="6" t="n"/>
      <c r="E23" s="6" t="n"/>
      <c r="F23" s="6" t="n"/>
      <c r="G23" s="6" t="n"/>
    </row>
    <row r="24">
      <c r="A24" s="31" t="inlineStr">
        <is>
          <t>High-Performing Reviewers</t>
        </is>
      </c>
      <c r="B24" s="32">
        <f>COUNTIF('Reviewer Performance'!I5:I55,"Excellent")</f>
        <v/>
      </c>
      <c r="C24" s="6" t="n"/>
      <c r="D24" s="6" t="n"/>
      <c r="E24" s="6" t="n"/>
      <c r="F24" s="6" t="n"/>
      <c r="G24" s="6" t="n"/>
    </row>
    <row r="25">
      <c r="A25" s="31" t="inlineStr">
        <is>
          <t>Reviewers Needing Improvement</t>
        </is>
      </c>
      <c r="B25" s="32">
        <f>COUNTIF('Reviewer Performance'!I5:I55,"Needs Improvement")</f>
        <v/>
      </c>
      <c r="C25" s="6" t="n"/>
      <c r="D25" s="6" t="n"/>
      <c r="E25" s="6" t="n"/>
      <c r="F25" s="6" t="n"/>
      <c r="G25" s="6" t="n"/>
    </row>
    <row r="26">
      <c r="A26" s="31" t="inlineStr">
        <is>
          <t>Open Review Gaps</t>
        </is>
      </c>
      <c r="B26" s="32">
        <f>COUNTIF('Gap Analysis'!J6:J55,"Open")</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 REQUIRING IMMEDIATE ATTENTION</t>
        </is>
      </c>
    </row>
    <row r="31">
      <c r="A31" s="35" t="inlineStr">
        <is>
          <t>Category</t>
        </is>
      </c>
      <c r="B31" s="35" t="inlineStr">
        <is>
          <t>Finding</t>
        </is>
      </c>
      <c r="C31" s="35" t="inlineStr">
        <is>
          <t>Count</t>
        </is>
      </c>
      <c r="D31" s="35" t="inlineStr">
        <is>
          <t>Severity</t>
        </is>
      </c>
      <c r="E31" s="35" t="inlineStr">
        <is>
          <t>Action Required</t>
        </is>
      </c>
      <c r="F31" s="35" t="n"/>
      <c r="G31" s="35" t="n"/>
    </row>
    <row r="32">
      <c r="A32" s="39" t="inlineStr">
        <is>
          <t>Access Reviews</t>
        </is>
      </c>
      <c r="B32" s="39" t="inlineStr">
        <is>
          <t>Overdue scheduled reviews</t>
        </is>
      </c>
      <c r="C32" s="40">
        <f>COUNTIF('Review Schedule'!J6:J56,"Overdue")</f>
        <v/>
      </c>
      <c r="D32" s="39" t="inlineStr">
        <is>
          <t>Critical</t>
        </is>
      </c>
      <c r="E32" s="39" t="inlineStr">
        <is>
          <t>Immediate</t>
        </is>
      </c>
      <c r="F32" s="39" t="n"/>
      <c r="G32" s="39" t="n"/>
    </row>
    <row r="33">
      <c r="A33" s="39" t="inlineStr">
        <is>
          <t>Review Findings</t>
        </is>
      </c>
      <c r="B33" s="39" t="inlineStr">
        <is>
          <t>Overdue review findings (not actioned)</t>
        </is>
      </c>
      <c r="C33" s="40">
        <f>COUNTIF('Review Findings'!K6:K56,"Overdue")</f>
        <v/>
      </c>
      <c r="D33" s="39" t="inlineStr">
        <is>
          <t>Critical</t>
        </is>
      </c>
      <c r="E33" s="39" t="inlineStr">
        <is>
          <t>Immediate</t>
        </is>
      </c>
      <c r="F33" s="39" t="n"/>
      <c r="G33" s="39" t="n"/>
    </row>
    <row r="34">
      <c r="A34" s="39" t="inlineStr">
        <is>
          <t>Review Escalation</t>
        </is>
      </c>
      <c r="B34" s="39" t="inlineStr">
        <is>
          <t>Escalated overdue reviews</t>
        </is>
      </c>
      <c r="C34" s="40">
        <f>COUNTA('Overdue Reviews'!A6:A56)</f>
        <v/>
      </c>
      <c r="D34" s="39" t="inlineStr">
        <is>
          <t>High</t>
        </is>
      </c>
      <c r="E34" s="39" t="inlineStr">
        <is>
          <t>Urgent</t>
        </is>
      </c>
      <c r="F34" s="39" t="n"/>
      <c r="G34" s="39" t="n"/>
    </row>
    <row r="35">
      <c r="A35" s="39" t="inlineStr">
        <is>
          <t>Reviewer Performance</t>
        </is>
      </c>
      <c r="B35" s="39" t="inlineStr">
        <is>
          <t>Reviewers needing performance improvement</t>
        </is>
      </c>
      <c r="C35" s="40">
        <f>COUNTIF('Reviewer Performance'!I5:I55,"Needs Improvement")</f>
        <v/>
      </c>
      <c r="D35" s="39" t="inlineStr">
        <is>
          <t>Medium</t>
        </is>
      </c>
      <c r="E35" s="39" t="inlineStr">
        <is>
          <t>Plan</t>
        </is>
      </c>
      <c r="F35" s="39" t="n"/>
      <c r="G35" s="39" t="n"/>
    </row>
    <row r="36">
      <c r="A36" s="39" t="inlineStr">
        <is>
          <t>Access Reviews</t>
        </is>
      </c>
      <c r="B36" s="39" t="inlineStr">
        <is>
          <t>Reviews still scheduled (backlog)</t>
        </is>
      </c>
      <c r="C36" s="40">
        <f>COUNTIF('Review Schedule'!J6:J56,"Scheduled")</f>
        <v/>
      </c>
      <c r="D36" s="39" t="inlineStr">
        <is>
          <t>Medium</t>
        </is>
      </c>
      <c r="E36" s="39" t="inlineStr">
        <is>
          <t>Plan</t>
        </is>
      </c>
      <c r="F36" s="39" t="n"/>
      <c r="G36" s="39" t="n"/>
    </row>
    <row r="37">
      <c r="A37" s="39" t="inlineStr">
        <is>
          <t>Review Findings</t>
        </is>
      </c>
      <c r="B37" s="39" t="inlineStr">
        <is>
          <t>Findings in progress (not yet completed)</t>
        </is>
      </c>
      <c r="C37" s="40">
        <f>COUNTIF('Review Findings'!K6:K56,"In Progress")</f>
        <v/>
      </c>
      <c r="D37" s="39" t="inlineStr">
        <is>
          <t>Medium</t>
        </is>
      </c>
      <c r="E37" s="39" t="inlineStr">
        <is>
          <t>Plan</t>
        </is>
      </c>
      <c r="F37" s="39" t="n"/>
      <c r="G37" s="39" t="n"/>
    </row>
    <row r="38">
      <c r="A38" s="39" t="inlineStr">
        <is>
          <t>Gap Analysis</t>
        </is>
      </c>
      <c r="B38" s="39" t="inlineStr">
        <is>
          <t>High-risk review gaps</t>
        </is>
      </c>
      <c r="C38" s="40">
        <f>COUNTIF('Gap Analysis'!D6:D55,"High")</f>
        <v/>
      </c>
      <c r="D38" s="39" t="inlineStr">
        <is>
          <t>High</t>
        </is>
      </c>
      <c r="E38" s="39" t="inlineStr">
        <is>
          <t>Urgent</t>
        </is>
      </c>
      <c r="F38" s="39" t="n"/>
      <c r="G38" s="39" t="n"/>
    </row>
    <row r="39">
      <c r="A39" s="39" t="inlineStr">
        <is>
          <t>Gap Analysis</t>
        </is>
      </c>
      <c r="B39" s="39" t="inlineStr">
        <is>
          <t>Total open review gaps</t>
        </is>
      </c>
      <c r="C39" s="40">
        <f>COUNTIF('Gap Analysis'!J6:J55,"Open")</f>
        <v/>
      </c>
      <c r="D39" s="39" t="inlineStr">
        <is>
          <t>High</t>
        </is>
      </c>
      <c r="E39" s="39" t="inlineStr">
        <is>
          <t>Urgent</t>
        </is>
      </c>
      <c r="F39" s="39" t="n"/>
      <c r="G39" s="39"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41" t="inlineStr">
        <is>
          <t>ISO/IEC 27001:2022 - Control A.5.15 &amp; A.5.18: Access Control &amp; Access Rights</t>
        </is>
      </c>
      <c r="B2" s="6" t="n"/>
      <c r="C2" s="6" t="n"/>
      <c r="D2" s="6" t="n"/>
      <c r="E2" s="6" t="n"/>
    </row>
    <row r="3">
      <c r="A3" s="42" t="inlineStr">
        <is>
          <t>ASSESSMENT SUMMARY</t>
        </is>
      </c>
      <c r="B3" s="6" t="n"/>
      <c r="C3" s="6" t="n"/>
      <c r="D3" s="6" t="n"/>
      <c r="E3" s="6" t="n"/>
    </row>
    <row r="4">
      <c r="A4" s="3" t="inlineStr">
        <is>
          <t>Document:</t>
        </is>
      </c>
      <c r="B4" s="6" t="inlineStr">
        <is>
          <t>ISMS-IMP-A.5.15-16-18.S3 - Access Review Results Assessment</t>
        </is>
      </c>
      <c r="C4" s="6" t="n"/>
      <c r="D4" s="6" t="n"/>
      <c r="E4" s="6" t="n"/>
    </row>
    <row r="5">
      <c r="A5" s="3" t="inlineStr">
        <is>
          <t>Assessment Period:</t>
        </is>
      </c>
      <c r="B5" s="15" t="inlineStr"/>
      <c r="C5" s="6" t="n"/>
      <c r="D5" s="6" t="n"/>
      <c r="E5" s="6" t="n"/>
    </row>
    <row r="6">
      <c r="A6" s="3" t="inlineStr">
        <is>
          <t>Overall Compliance Rating:</t>
        </is>
      </c>
      <c r="B6" s="43">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42"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42"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42"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ISMS-IMP-A.5.15-16-18.S3 — Access Review Results Assessment</dc:title>
  <dc:description xmlns:dc="http://purl.org/dc/elements/1.1/">ISMS Implementation Workbook — ISMS-IMP-A.5.15-16-18.S3</dc:description>
  <dc:subject xmlns:dc="http://purl.org/dc/elements/1.1/">ISO/IEC 27001:2022 — Control A.5.15 &amp; A.5.18: Access Control &amp; Access Rights</dc:subject>
  <dcterms:created xmlns:dcterms="http://purl.org/dc/terms/" xmlns:xsi="http://www.w3.org/2001/XMLSchema-instance" xsi:type="dcterms:W3CDTF">2026-03-01T09:50:20Z</dcterms:created>
  <dcterms:modified xmlns:dcterms="http://purl.org/dc/terms/" xmlns:xsi="http://www.w3.org/2001/XMLSchema-instance" xsi:type="dcterms:W3CDTF">2026-03-01T09:50:20Z</dcterms:modified>
</cp:coreProperties>
</file>