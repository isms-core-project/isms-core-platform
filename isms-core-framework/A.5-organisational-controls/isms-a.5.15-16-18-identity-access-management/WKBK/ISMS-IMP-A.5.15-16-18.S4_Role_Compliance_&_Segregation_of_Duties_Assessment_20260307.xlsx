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ole Catalog" sheetId="2" state="visible" r:id="rId2"/>
    <sheet xmlns:r="http://schemas.openxmlformats.org/officeDocument/2006/relationships" name="Role Assignments" sheetId="3" state="visible" r:id="rId3"/>
    <sheet xmlns:r="http://schemas.openxmlformats.org/officeDocument/2006/relationships" name="Direct Access Users" sheetId="4" state="visible" r:id="rId4"/>
    <sheet xmlns:r="http://schemas.openxmlformats.org/officeDocument/2006/relationships" name="SoD Matrix" sheetId="5" state="visible" r:id="rId5"/>
    <sheet xmlns:r="http://schemas.openxmlformats.org/officeDocument/2006/relationships" name="SoD Violations" sheetId="6" state="visible" r:id="rId6"/>
    <sheet xmlns:r="http://schemas.openxmlformats.org/officeDocument/2006/relationships" name="RBAC Metric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b val="1"/>
      <i val="1"/>
      <color rgb="00FF6600"/>
    </font>
    <font>
      <b val="1"/>
      <i val="1"/>
      <color rgb="00FF0000"/>
    </font>
    <font>
      <name val="Calibri"/>
      <sz val="10"/>
    </font>
    <font>
      <b val="1"/>
      <sz val="14"/>
    </font>
    <font>
      <name val="Calibri"/>
      <i val="1"/>
      <sz val="10"/>
    </font>
    <font>
      <name val="Calibri"/>
      <b val="1"/>
      <color rgb="00FFFFFF"/>
      <sz val="10"/>
    </font>
    <font>
      <name val="Calibri"/>
      <i val="1"/>
      <color rgb="00808080"/>
      <sz val="10"/>
    </font>
    <font>
      <name val="Calibri"/>
      <i val="1"/>
      <color rgb="00003366"/>
      <sz val="10"/>
    </font>
    <font>
      <name val="Calibri"/>
      <b val="1"/>
      <color rgb="00FFFFFF"/>
      <sz val="11"/>
    </font>
    <font>
      <name val="Calibri"/>
      <b val="1"/>
      <color rgb="00000000"/>
      <sz val="10"/>
    </font>
    <font>
      <name val="Calibri"/>
      <color rgb="00000000"/>
      <sz val="10"/>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0" borderId="0" pivotButton="0" quotePrefix="0" xfId="0"/>
    <xf numFmtId="0" fontId="8" fillId="0" borderId="0"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10" fillId="0" borderId="0" pivotButton="0" quotePrefix="0" xfId="0"/>
    <xf numFmtId="0" fontId="1" fillId="8" borderId="1" applyAlignment="1" pivotButton="0" quotePrefix="0" xfId="0">
      <alignment horizontal="center" vertical="center"/>
    </xf>
    <xf numFmtId="0" fontId="11" fillId="0" borderId="1" applyAlignment="1" pivotButton="0" quotePrefix="0" xfId="0">
      <alignment horizontal="center" vertical="center"/>
    </xf>
    <xf numFmtId="0" fontId="12" fillId="8" borderId="1" applyAlignment="1" pivotButton="0" quotePrefix="0" xfId="0">
      <alignment horizontal="center" vertical="center" wrapText="1"/>
    </xf>
    <xf numFmtId="0" fontId="13" fillId="10" borderId="1" pivotButton="0" quotePrefix="0" xfId="0"/>
    <xf numFmtId="0" fontId="0" fillId="11" borderId="1" applyAlignment="1" pivotButton="0" quotePrefix="0" xfId="0">
      <alignment vertical="center"/>
    </xf>
    <xf numFmtId="0" fontId="14" fillId="0" borderId="0" applyAlignment="1" pivotButton="0" quotePrefix="0" xfId="0">
      <alignment horizontal="left" vertical="center"/>
    </xf>
    <xf numFmtId="0" fontId="15" fillId="8" borderId="1" applyAlignment="1" pivotButton="0" quotePrefix="0" xfId="0">
      <alignment horizontal="left" vertical="center"/>
    </xf>
    <xf numFmtId="0" fontId="16" fillId="9" borderId="1" applyAlignment="1" pivotButton="0" quotePrefix="0" xfId="0">
      <alignment horizontal="center" vertical="center" wrapText="1"/>
    </xf>
    <xf numFmtId="0" fontId="17" fillId="0" borderId="1" pivotButton="0" quotePrefix="0" xfId="0"/>
    <xf numFmtId="0" fontId="17" fillId="0" borderId="1" applyAlignment="1" pivotButton="0" quotePrefix="0" xfId="0">
      <alignment horizontal="center"/>
    </xf>
    <xf numFmtId="164" fontId="17" fillId="0" borderId="1" applyAlignment="1" pivotButton="0" quotePrefix="0" xfId="0">
      <alignment horizontal="center"/>
    </xf>
    <xf numFmtId="0" fontId="16" fillId="9" borderId="1" applyAlignment="1" pivotButton="0" quotePrefix="0" xfId="0">
      <alignment horizontal="left"/>
    </xf>
    <xf numFmtId="0" fontId="16" fillId="9" borderId="1" applyAlignment="1" pivotButton="0" quotePrefix="0" xfId="0">
      <alignment horizontal="center"/>
    </xf>
    <xf numFmtId="164" fontId="16" fillId="9" borderId="1" applyAlignment="1" pivotButton="0" quotePrefix="0" xfId="0">
      <alignment horizontal="center"/>
    </xf>
    <xf numFmtId="0" fontId="15" fillId="8" borderId="1" pivotButton="0" quotePrefix="0" xfId="0"/>
    <xf numFmtId="0" fontId="15" fillId="14" borderId="1" pivotButton="0" quotePrefix="0" xfId="0"/>
    <xf numFmtId="0" fontId="17" fillId="11" borderId="1" pivotButton="0" quotePrefix="0" xfId="0"/>
    <xf numFmtId="0" fontId="17" fillId="11" borderId="1" applyAlignment="1" pivotButton="0" quotePrefix="0" xfId="0">
      <alignment horizontal="center"/>
    </xf>
    <xf numFmtId="0" fontId="14" fillId="0" borderId="1" applyAlignment="1" pivotButton="0" quotePrefix="0" xfId="0">
      <alignment horizontal="center" vertical="center"/>
    </xf>
    <xf numFmtId="0" fontId="15" fillId="1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ISMS-IMP-A.5.15-16-18.S4  -  Role Compliance &amp; Segregation of Duties Assessment
ISO/IEC 27001:2022 - Control A.5.15 &amp; A.5.18: Access Control &amp; Access Rights (RBAC/SoD)</t>
        </is>
      </c>
    </row>
    <row r="3">
      <c r="A3" s="2" t="inlineStr">
        <is>
          <t>Document Information</t>
        </is>
      </c>
    </row>
    <row r="4">
      <c r="A4" s="3" t="inlineStr">
        <is>
          <t>Document ID</t>
        </is>
      </c>
      <c r="B4" t="inlineStr">
        <is>
          <t>ISMS-IMP-A.5.15-16-18.S4</t>
        </is>
      </c>
    </row>
    <row r="5">
      <c r="A5" s="3" t="inlineStr">
        <is>
          <t>Workbook Title</t>
        </is>
      </c>
      <c r="B5" t="inlineStr">
        <is>
          <t>Role Compliance &amp; Segregation of Duties Assessment</t>
        </is>
      </c>
    </row>
    <row r="6">
      <c r="A6" s="3" t="inlineStr">
        <is>
          <t>Control Reference</t>
        </is>
      </c>
      <c r="B6" t="inlineStr">
        <is>
          <t>ISO/IEC 27001:2022 - Control A.5.15 &amp; A.5.18: Access Control &amp; Access Rights (RBAC/SoD)</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Open this workbook and review the sheet tabs to understand the assessment scope.</t>
        </is>
      </c>
    </row>
    <row r="14">
      <c r="A14" t="inlineStr">
        <is>
          <t>2. Complete the Assessment Date and Prepared By fields in the Document Information table above.</t>
        </is>
      </c>
    </row>
    <row r="15">
      <c r="A15" t="inlineStr">
        <is>
          <t>3. Navigate to each data sheet and review the pre-populated sample data.</t>
        </is>
      </c>
    </row>
    <row r="16">
      <c r="A16" t="inlineStr">
        <is>
          <t>4. Replace sample data with actual organisation data for your environment.</t>
        </is>
      </c>
    </row>
    <row r="17">
      <c r="A17" t="inlineStr">
        <is>
          <t>5. Use the dropdown lists in each sheet for consistent status and category values.</t>
        </is>
      </c>
    </row>
    <row r="18">
      <c r="A18" t="inlineStr">
        <is>
          <t>6. Document all gaps and findings in the Gap Analysis sheet.</t>
        </is>
      </c>
    </row>
    <row r="19">
      <c r="A19" t="inlineStr">
        <is>
          <t>7. Collect supporting evidence and record references in the Evidence Register.</t>
        </is>
      </c>
    </row>
    <row r="20">
      <c r="A20" t="inlineStr">
        <is>
          <t>8. Obtain required approvals via the Approval Sign-Off sheet before submission.</t>
        </is>
      </c>
    </row>
    <row r="21">
      <c r="A21" t="inlineStr">
        <is>
          <t>9. Store the completed workbook in the designated ISMS evidence repository.</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25" customWidth="1" min="2" max="2"/>
    <col width="15" customWidth="1" min="3" max="3"/>
    <col width="40" customWidth="1" min="4" max="4"/>
    <col width="40" customWidth="1" min="5" max="5"/>
    <col width="12" customWidth="1" min="6" max="6"/>
    <col width="12" customWidth="1" min="7" max="7"/>
    <col width="12" customWidth="1" min="8" max="8"/>
    <col width="20" customWidth="1" min="9" max="9"/>
    <col width="12" customWidth="1" min="10" max="10"/>
  </cols>
  <sheetData>
    <row r="1" ht="35" customHeight="1">
      <c r="A1" s="11" t="inlineStr">
        <is>
          <t>ROLE CATALOG - RBAC ROLE DEFINITIONS</t>
        </is>
      </c>
    </row>
    <row r="2">
      <c r="A2" s="12" t="inlineStr">
        <is>
          <t>Catalog Date: 07.03.2026</t>
        </is>
      </c>
    </row>
    <row r="3">
      <c r="A3" s="12" t="inlineStr">
        <is>
          <t>Total Roles: 30</t>
        </is>
      </c>
    </row>
    <row r="5">
      <c r="A5" s="13" t="inlineStr">
        <is>
          <t>Role ID</t>
        </is>
      </c>
      <c r="B5" s="13" t="inlineStr">
        <is>
          <t>Role Name</t>
        </is>
      </c>
      <c r="C5" s="13" t="inlineStr">
        <is>
          <t>Department</t>
        </is>
      </c>
      <c r="D5" s="13" t="inlineStr">
        <is>
          <t>Description</t>
        </is>
      </c>
      <c r="E5" s="13" t="inlineStr">
        <is>
          <t>Systems/Access</t>
        </is>
      </c>
      <c r="F5" s="13" t="inlineStr">
        <is>
          <t>User Count</t>
        </is>
      </c>
      <c r="G5" s="13" t="inlineStr">
        <is>
          <t>Privileged</t>
        </is>
      </c>
      <c r="H5" s="13" t="inlineStr">
        <is>
          <t>Last Review</t>
        </is>
      </c>
      <c r="I5" s="13" t="inlineStr">
        <is>
          <t>Owner</t>
        </is>
      </c>
      <c r="J5" s="13" t="inlineStr">
        <is>
          <t>Status</t>
        </is>
      </c>
    </row>
    <row r="6">
      <c r="A6" s="14" t="inlineStr">
        <is>
          <t>ROLE-001</t>
        </is>
      </c>
      <c r="B6" s="14" t="inlineStr">
        <is>
          <t>IT Standard User</t>
        </is>
      </c>
      <c r="C6" s="14" t="inlineStr">
        <is>
          <t>IT</t>
        </is>
      </c>
      <c r="D6" s="14" t="inlineStr">
        <is>
          <t>Standard read/write access for IT personnel</t>
        </is>
      </c>
      <c r="E6" s="14" t="inlineStr">
        <is>
          <t>Active Directory, Email, Intranet</t>
        </is>
      </c>
      <c r="F6" s="14" t="n">
        <v>45</v>
      </c>
      <c r="G6" s="14" t="inlineStr">
        <is>
          <t>No</t>
        </is>
      </c>
      <c r="H6" s="14" t="inlineStr">
        <is>
          <t>01.01.2026</t>
        </is>
      </c>
      <c r="I6" s="14" t="inlineStr">
        <is>
          <t>IT Manager</t>
        </is>
      </c>
      <c r="J6" s="14" t="inlineStr">
        <is>
          <t>Active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5" customWidth="1" min="5" max="5"/>
    <col width="15" customWidth="1" min="6" max="6"/>
    <col width="18" customWidth="1" min="7" max="7"/>
    <col width="18" customWidth="1" min="8" max="8"/>
    <col width="20" customWidth="1" min="9" max="9"/>
    <col width="12" customWidth="1" min="10" max="10"/>
  </cols>
  <sheetData>
    <row r="1" ht="35" customHeight="1">
      <c r="A1" s="11" t="inlineStr">
        <is>
          <t>ROLE ASSIGNMENTS - USER TO ROLE MAPPINGS</t>
        </is>
      </c>
    </row>
    <row r="2">
      <c r="A2" s="12" t="inlineStr">
        <is>
          <t>Assessment Date: 07.03.2026</t>
        </is>
      </c>
    </row>
    <row r="3">
      <c r="A3" s="12" t="inlineStr">
        <is>
          <t>Users with Roles: 80</t>
        </is>
      </c>
    </row>
    <row r="5">
      <c r="A5" s="13" t="inlineStr">
        <is>
          <t>User ID</t>
        </is>
      </c>
      <c r="B5" s="13" t="inlineStr">
        <is>
          <t>Username</t>
        </is>
      </c>
      <c r="C5" s="13" t="inlineStr">
        <is>
          <t>Full Name</t>
        </is>
      </c>
      <c r="D5" s="13" t="inlineStr">
        <is>
          <t>Department</t>
        </is>
      </c>
      <c r="E5" s="13" t="inlineStr">
        <is>
          <t>Assigned Role</t>
        </is>
      </c>
      <c r="F5" s="13" t="inlineStr">
        <is>
          <t>Assignment Date</t>
        </is>
      </c>
      <c r="G5" s="13" t="inlineStr">
        <is>
          <t>Assignment Type</t>
        </is>
      </c>
      <c r="H5" s="13" t="inlineStr">
        <is>
          <t>Role Appropriate</t>
        </is>
      </c>
      <c r="I5" s="13" t="inlineStr">
        <is>
          <t>Verified By</t>
        </is>
      </c>
      <c r="J5" s="13" t="inlineStr">
        <is>
          <t>Status</t>
        </is>
      </c>
    </row>
    <row r="6">
      <c r="A6" s="14" t="inlineStr">
        <is>
          <t>USR-0001</t>
        </is>
      </c>
      <c r="B6" s="14" t="inlineStr">
        <is>
          <t>jsmith</t>
        </is>
      </c>
      <c r="C6" s="14" t="inlineStr">
        <is>
          <t>John Smith</t>
        </is>
      </c>
      <c r="D6" s="14" t="inlineStr">
        <is>
          <t>IT</t>
        </is>
      </c>
      <c r="E6" s="14" t="inlineStr">
        <is>
          <t>IT Standard User</t>
        </is>
      </c>
      <c r="F6" s="14" t="inlineStr">
        <is>
          <t>01.01.2024</t>
        </is>
      </c>
      <c r="G6" s="14" t="inlineStr">
        <is>
          <t>Automatic</t>
        </is>
      </c>
      <c r="H6" s="14" t="inlineStr">
        <is>
          <t>Yes</t>
        </is>
      </c>
      <c r="I6" s="14" t="inlineStr">
        <is>
          <t>IT Manager</t>
        </is>
      </c>
      <c r="J6" s="14" t="inlineStr">
        <is>
          <t>Active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0" customWidth="1" min="5" max="5"/>
    <col width="15" customWidth="1" min="6" max="6"/>
    <col width="12" customWidth="1" min="7" max="7"/>
    <col width="40" customWidth="1" min="8" max="8"/>
    <col width="35" customWidth="1" min="9" max="9"/>
    <col width="18" customWidth="1" min="10" max="10"/>
  </cols>
  <sheetData>
    <row r="1" ht="35" customHeight="1">
      <c r="A1" s="11" t="inlineStr">
        <is>
          <t>DIRECT ACCESS USERS - NON-RBAC ACCESS</t>
        </is>
      </c>
    </row>
    <row r="2">
      <c r="A2" s="16" t="inlineStr">
        <is>
          <t>Assessment Date: 07.03.2026</t>
        </is>
      </c>
    </row>
    <row r="3">
      <c r="A3" s="16" t="inlineStr">
        <is>
          <t>Direct Access Users: 20</t>
        </is>
      </c>
    </row>
    <row r="5">
      <c r="A5" s="13" t="inlineStr">
        <is>
          <t>User ID</t>
        </is>
      </c>
      <c r="B5" s="13" t="inlineStr">
        <is>
          <t>Username</t>
        </is>
      </c>
      <c r="C5" s="13" t="inlineStr">
        <is>
          <t>Full Name</t>
        </is>
      </c>
      <c r="D5" s="13" t="inlineStr">
        <is>
          <t>Department</t>
        </is>
      </c>
      <c r="E5" s="13" t="inlineStr">
        <is>
          <t>System</t>
        </is>
      </c>
      <c r="F5" s="13" t="inlineStr">
        <is>
          <t>Access Level</t>
        </is>
      </c>
      <c r="G5" s="13" t="inlineStr">
        <is>
          <t>Granted Date</t>
        </is>
      </c>
      <c r="H5" s="13" t="inlineStr">
        <is>
          <t>Justification</t>
        </is>
      </c>
      <c r="I5" s="13" t="inlineStr">
        <is>
          <t>Migration Plan</t>
        </is>
      </c>
      <c r="J5" s="13" t="inlineStr">
        <is>
          <t>Status</t>
        </is>
      </c>
    </row>
    <row r="6">
      <c r="A6" s="14" t="inlineStr">
        <is>
          <t>USR-0020</t>
        </is>
      </c>
      <c r="B6" s="14" t="inlineStr">
        <is>
          <t>ldavis</t>
        </is>
      </c>
      <c r="C6" s="14" t="inlineStr">
        <is>
          <t>Linda Davis</t>
        </is>
      </c>
      <c r="D6" s="14" t="inlineStr">
        <is>
          <t>Finance</t>
        </is>
      </c>
      <c r="E6" s="14" t="inlineStr">
        <is>
          <t>Finance System</t>
        </is>
      </c>
      <c r="F6" s="14" t="inlineStr">
        <is>
          <t>Admin</t>
        </is>
      </c>
      <c r="G6" s="14" t="inlineStr">
        <is>
          <t>15.06.2022</t>
        </is>
      </c>
      <c r="H6" s="14" t="inlineStr">
        <is>
          <t>Legacy access before RBAC implementation</t>
        </is>
      </c>
      <c r="I6" s="14" t="inlineStr">
        <is>
          <t>Migrate to FINANCE-ADMIN role by Q2 2026</t>
        </is>
      </c>
      <c r="J6" s="14" t="inlineStr">
        <is>
          <t>Non-Compliant</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showGridLines="0" workbookViewId="0">
      <pane ySplit="5" topLeftCell="A6" activePane="bottomLeft" state="frozen"/>
      <selection pane="bottomLeft" activeCell="A1" sqref="A1"/>
    </sheetView>
  </sheetViews>
  <sheetFormatPr baseColWidth="8" defaultRowHeight="15"/>
  <cols>
    <col width="12" customWidth="1" min="1" max="1"/>
    <col width="22" customWidth="1" min="2" max="2"/>
    <col width="22" customWidth="1" min="3" max="3"/>
    <col width="12" customWidth="1" min="4" max="4"/>
    <col width="45" customWidth="1" min="5" max="5"/>
    <col width="45" customWidth="1" min="6" max="6"/>
    <col width="50" customWidth="1" min="7" max="7"/>
    <col width="12" customWidth="1" min="8" max="8"/>
  </cols>
  <sheetData>
    <row r="1" ht="35" customHeight="1">
      <c r="A1" s="11" t="inlineStr">
        <is>
          <t>SEGREGATION OF DUTIES MATRIX - CONFLICTING ROLE COMBINATIONS</t>
        </is>
      </c>
    </row>
    <row r="2">
      <c r="A2" s="12" t="inlineStr">
        <is>
          <t>SoD Matrix Date: 07.03.2026</t>
        </is>
      </c>
    </row>
    <row r="3">
      <c r="A3" s="12" t="inlineStr">
        <is>
          <t>Defined SoD Conflicts: 6</t>
        </is>
      </c>
    </row>
    <row r="5">
      <c r="A5" s="13" t="inlineStr">
        <is>
          <t>Conflict ID</t>
        </is>
      </c>
      <c r="B5" s="13" t="inlineStr">
        <is>
          <t>Role A</t>
        </is>
      </c>
      <c r="C5" s="13" t="inlineStr">
        <is>
          <t>Role B</t>
        </is>
      </c>
      <c r="D5" s="13" t="inlineStr">
        <is>
          <t>Risk Level</t>
        </is>
      </c>
      <c r="E5" s="13" t="inlineStr">
        <is>
          <t>Description</t>
        </is>
      </c>
      <c r="F5" s="13" t="inlineStr">
        <is>
          <t>Rationale</t>
        </is>
      </c>
      <c r="G5" s="13" t="inlineStr">
        <is>
          <t>Compensating Controls</t>
        </is>
      </c>
      <c r="H5" s="13" t="inlineStr">
        <is>
          <t>Status</t>
        </is>
      </c>
    </row>
    <row r="6">
      <c r="A6" s="14" t="inlineStr">
        <is>
          <t>SOD-001</t>
        </is>
      </c>
      <c r="B6" s="14" t="inlineStr">
        <is>
          <t>IT Admin</t>
        </is>
      </c>
      <c r="C6" s="14" t="inlineStr">
        <is>
          <t>Finance Approver</t>
        </is>
      </c>
      <c r="D6" s="14" t="inlineStr">
        <is>
          <t>High</t>
        </is>
      </c>
      <c r="E6" s="14" t="inlineStr">
        <is>
          <t>IT Admin can approve own financial transactions</t>
        </is>
      </c>
      <c r="F6" s="14" t="inlineStr">
        <is>
          <t>Separation of financial approval from IT administration</t>
        </is>
      </c>
      <c r="G6" s="14" t="inlineStr">
        <is>
          <t>Dual approval required</t>
        </is>
      </c>
      <c r="H6" s="14" t="inlineStr">
        <is>
          <t>Active</t>
        </is>
      </c>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2" customWidth="1" min="1" max="1"/>
    <col width="10" customWidth="1" min="2" max="2"/>
    <col width="18" customWidth="1" min="3" max="3"/>
    <col width="12" customWidth="1" min="4" max="4"/>
    <col width="22" customWidth="1" min="5" max="5"/>
    <col width="22" customWidth="1" min="6" max="6"/>
    <col width="12" customWidth="1" min="7" max="7"/>
    <col width="15" customWidth="1" min="8" max="8"/>
    <col width="45" customWidth="1" min="9" max="9"/>
    <col width="12" customWidth="1" min="10" max="10"/>
    <col width="22" customWidth="1" min="11" max="11"/>
  </cols>
  <sheetData>
    <row r="1" ht="35" customHeight="1">
      <c r="A1" s="11" t="inlineStr">
        <is>
          <t>SOD VIOLATIONS - DETECTED CONFLICTING ROLE ASSIGNMENTS</t>
        </is>
      </c>
    </row>
    <row r="2">
      <c r="A2" s="17" t="inlineStr">
        <is>
          <t>Detection Date: 07.03.2026</t>
        </is>
      </c>
    </row>
    <row r="3">
      <c r="A3" s="17" t="inlineStr">
        <is>
          <t>Violations Detected: 5</t>
        </is>
      </c>
    </row>
    <row r="5">
      <c r="A5" s="13" t="inlineStr">
        <is>
          <t>Violation ID</t>
        </is>
      </c>
      <c r="B5" s="13" t="inlineStr">
        <is>
          <t>User ID</t>
        </is>
      </c>
      <c r="C5" s="13" t="inlineStr">
        <is>
          <t>Username</t>
        </is>
      </c>
      <c r="D5" s="13" t="inlineStr">
        <is>
          <t>Conflict ID</t>
        </is>
      </c>
      <c r="E5" s="13" t="inlineStr">
        <is>
          <t>Role A</t>
        </is>
      </c>
      <c r="F5" s="13" t="inlineStr">
        <is>
          <t>Role B</t>
        </is>
      </c>
      <c r="G5" s="13" t="inlineStr">
        <is>
          <t>Risk Level</t>
        </is>
      </c>
      <c r="H5" s="13" t="inlineStr">
        <is>
          <t>Detected Date</t>
        </is>
      </c>
      <c r="I5" s="13" t="inlineStr">
        <is>
          <t>Remediation Plan</t>
        </is>
      </c>
      <c r="J5" s="13" t="inlineStr">
        <is>
          <t>Due Date</t>
        </is>
      </c>
      <c r="K5" s="13" t="inlineStr">
        <is>
          <t>Status</t>
        </is>
      </c>
    </row>
    <row r="6">
      <c r="A6" s="14" t="inlineStr">
        <is>
          <t>VIO-1000</t>
        </is>
      </c>
      <c r="B6" s="14" t="inlineStr">
        <is>
          <t>USR-0005</t>
        </is>
      </c>
      <c r="C6" s="14" t="inlineStr">
        <is>
          <t>mwilson</t>
        </is>
      </c>
      <c r="D6" s="14" t="inlineStr">
        <is>
          <t>SOD-001</t>
        </is>
      </c>
      <c r="E6" s="14" t="inlineStr">
        <is>
          <t>IT Admin</t>
        </is>
      </c>
      <c r="F6" s="14" t="inlineStr">
        <is>
          <t>Finance Approver</t>
        </is>
      </c>
      <c r="G6" s="14" t="inlineStr">
        <is>
          <t>High</t>
        </is>
      </c>
      <c r="H6" s="14" t="inlineStr">
        <is>
          <t>01.03.2026</t>
        </is>
      </c>
      <c r="I6" s="14" t="inlineStr">
        <is>
          <t>Remove Finance Approver role from user</t>
        </is>
      </c>
      <c r="J6" s="14" t="inlineStr">
        <is>
          <t>15.03.2026</t>
        </is>
      </c>
      <c r="K6" s="14" t="inlineStr">
        <is>
          <t>Open</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0" customWidth="1" min="1" max="1"/>
    <col width="15" customWidth="1" min="2" max="2"/>
    <col width="15" customWidth="1" min="3" max="3"/>
    <col width="18" customWidth="1" min="4" max="4"/>
    <col width="10" customWidth="1" min="5" max="5"/>
    <col width="55" customWidth="1" min="6" max="6"/>
  </cols>
  <sheetData>
    <row r="1" ht="35" customHeight="1">
      <c r="A1" s="11" t="inlineStr">
        <is>
          <t>RBAC ADOPTION METRICS &amp; KPIS</t>
        </is>
      </c>
    </row>
    <row r="2">
      <c r="A2" s="12" t="inlineStr">
        <is>
          <t>Assessment Period: 07.03.2026</t>
        </is>
      </c>
    </row>
    <row r="4">
      <c r="A4" s="18" t="inlineStr">
        <is>
          <t>Key Performance Indicators (KPIs)</t>
        </is>
      </c>
    </row>
    <row r="5">
      <c r="A5" s="13" t="inlineStr">
        <is>
          <t>Metric</t>
        </is>
      </c>
      <c r="B5" s="13" t="inlineStr">
        <is>
          <t>Target</t>
        </is>
      </c>
      <c r="C5" s="13" t="inlineStr">
        <is>
          <t>Actual</t>
        </is>
      </c>
      <c r="D5" s="13" t="inlineStr">
        <is>
          <t>Status</t>
        </is>
      </c>
      <c r="E5" s="13" t="inlineStr">
        <is>
          <t>Gap</t>
        </is>
      </c>
      <c r="F5" s="13" t="inlineStr">
        <is>
          <t>Comments</t>
        </is>
      </c>
    </row>
    <row r="6">
      <c r="A6" s="19" t="inlineStr">
        <is>
          <t>RBAC Adoption Rate</t>
        </is>
      </c>
      <c r="B6" s="19" t="inlineStr">
        <is>
          <t>≥80%</t>
        </is>
      </c>
      <c r="C6" s="19" t="inlineStr">
        <is>
          <t>80%</t>
        </is>
      </c>
      <c r="D6" s="20" t="inlineStr">
        <is>
          <t>Compliant</t>
        </is>
      </c>
      <c r="E6" s="19" t="inlineStr">
        <is>
          <t>0%</t>
        </is>
      </c>
      <c r="F6" s="19" t="inlineStr">
        <is>
          <t>80 users with roles, 20 with direct access</t>
        </is>
      </c>
    </row>
    <row r="7">
      <c r="A7" s="19" t="inlineStr">
        <is>
          <t>Role Coverage</t>
        </is>
      </c>
      <c r="B7" s="19" t="inlineStr">
        <is>
          <t>100%</t>
        </is>
      </c>
      <c r="C7" s="19" t="inlineStr">
        <is>
          <t>100%</t>
        </is>
      </c>
      <c r="D7" s="20" t="inlineStr">
        <is>
          <t>Compliant</t>
        </is>
      </c>
      <c r="E7" s="19" t="inlineStr">
        <is>
          <t>0%</t>
        </is>
      </c>
      <c r="F7" s="19" t="inlineStr">
        <is>
          <t>All departments have defined roles</t>
        </is>
      </c>
    </row>
    <row r="8">
      <c r="A8" s="19" t="inlineStr">
        <is>
          <t>Role Assignment Accuracy</t>
        </is>
      </c>
      <c r="B8" s="19" t="inlineStr">
        <is>
          <t>≥95%</t>
        </is>
      </c>
      <c r="C8" s="19" t="inlineStr">
        <is>
          <t>90%</t>
        </is>
      </c>
      <c r="D8" s="21" t="inlineStr">
        <is>
          <t>Warning</t>
        </is>
      </c>
      <c r="E8" s="19" t="inlineStr">
        <is>
          <t>-5%</t>
        </is>
      </c>
      <c r="F8" s="19" t="inlineStr">
        <is>
          <t>8 role assignments need review</t>
        </is>
      </c>
    </row>
    <row r="9">
      <c r="A9" s="19" t="inlineStr">
        <is>
          <t>SoD Compliance</t>
        </is>
      </c>
      <c r="B9" s="19" t="inlineStr">
        <is>
          <t>100%</t>
        </is>
      </c>
      <c r="C9" s="19" t="inlineStr">
        <is>
          <t>95%</t>
        </is>
      </c>
      <c r="D9" s="21" t="inlineStr">
        <is>
          <t>Warning</t>
        </is>
      </c>
      <c r="E9" s="19" t="inlineStr">
        <is>
          <t>-5%</t>
        </is>
      </c>
      <c r="F9" s="19" t="inlineStr">
        <is>
          <t>5 SoD violations detected</t>
        </is>
      </c>
    </row>
    <row r="10">
      <c r="A10" s="19" t="inlineStr">
        <is>
          <t>Privileged Role Usage</t>
        </is>
      </c>
      <c r="B10" s="19" t="inlineStr">
        <is>
          <t>≤10%</t>
        </is>
      </c>
      <c r="C10" s="19" t="inlineStr">
        <is>
          <t>12%</t>
        </is>
      </c>
      <c r="D10" s="21" t="inlineStr">
        <is>
          <t>Warning</t>
        </is>
      </c>
      <c r="E10" s="19" t="inlineStr">
        <is>
          <t>+2%</t>
        </is>
      </c>
      <c r="F10" s="19" t="inlineStr">
        <is>
          <t>Slightly higher than target</t>
        </is>
      </c>
    </row>
    <row r="12">
      <c r="A12" s="18" t="inlineStr">
        <is>
          <t>Overall RBAC &amp; SoD Compliance Score</t>
        </is>
      </c>
    </row>
    <row r="13">
      <c r="A13" t="inlineStr">
        <is>
          <t>Score Calculation</t>
        </is>
      </c>
      <c r="B13" t="inlineStr">
        <is>
          <t>(RBAC Adoption + SoD Compliance + Role Accuracy) / 3</t>
        </is>
      </c>
    </row>
    <row r="14">
      <c r="A14" t="inlineStr">
        <is>
          <t>Overall Score</t>
        </is>
      </c>
      <c r="B14" s="22" t="inlineStr">
        <is>
          <t>88%</t>
        </is>
      </c>
    </row>
    <row r="15">
      <c r="A15" t="inlineStr">
        <is>
          <t>Maturity Level</t>
        </is>
      </c>
      <c r="B15" s="21" t="inlineStr">
        <is>
          <t>Managed (80-89%)</t>
        </is>
      </c>
    </row>
  </sheetData>
  <mergeCells count="3">
    <mergeCell ref="A1:F1"/>
    <mergeCell ref="A12:F12"/>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40" customWidth="1" min="3" max="3"/>
    <col width="12" customWidth="1" min="4" max="4"/>
    <col width="15" customWidth="1" min="5" max="5"/>
    <col width="40" customWidth="1" min="6" max="6"/>
    <col width="50" customWidth="1" min="7" max="7"/>
    <col width="20" customWidth="1" min="8" max="8"/>
    <col width="12" customWidth="1" min="9" max="9"/>
    <col width="15" customWidth="1" min="10" max="10"/>
  </cols>
  <sheetData>
    <row r="1" ht="35" customHeight="1">
      <c r="A1" s="11" t="inlineStr">
        <is>
          <t>GAP ANALYSIS - RBAC &amp; SOD NON-COMPLIANCE</t>
        </is>
      </c>
    </row>
    <row r="2">
      <c r="A2" s="12" t="inlineStr">
        <is>
          <t>Assessment Date: 07.03.2026</t>
        </is>
      </c>
    </row>
    <row r="4">
      <c r="A4" s="13" t="inlineStr">
        <is>
          <t>Gap ID</t>
        </is>
      </c>
      <c r="B4" s="13" t="inlineStr">
        <is>
          <t>Category</t>
        </is>
      </c>
      <c r="C4" s="13" t="inlineStr">
        <is>
          <t>Description</t>
        </is>
      </c>
      <c r="D4" s="13" t="inlineStr">
        <is>
          <t>Risk Level</t>
        </is>
      </c>
      <c r="E4" s="13" t="inlineStr">
        <is>
          <t>Affected Items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RBAC Adoption</t>
        </is>
      </c>
      <c r="C5" s="14" t="inlineStr">
        <is>
          <t>20 users with direct access (non-RBAC)</t>
        </is>
      </c>
      <c r="D5" s="14" t="inlineStr">
        <is>
          <t>Medium</t>
        </is>
      </c>
      <c r="E5" s="14" t="inlineStr">
        <is>
          <t>20 users</t>
        </is>
      </c>
      <c r="F5" s="14" t="inlineStr">
        <is>
          <t>Legacy access before RBAC implementation</t>
        </is>
      </c>
      <c r="G5" s="14" t="inlineStr">
        <is>
          <t>Migrate users to appropriate roles by Q2 2026</t>
        </is>
      </c>
      <c r="H5" s="14" t="inlineStr">
        <is>
          <t>IAM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3" t="inlineStr">
        <is>
          <t>EVIDENCE REGISTER</t>
        </is>
      </c>
    </row>
    <row r="2">
      <c r="A2" s="24" t="inlineStr">
        <is>
          <t>ISO/IEC 27001:2022 Annex A - Control A.5.15 &amp; A.5.18: Access Control &amp; Access Rights (RBAC/SoD)</t>
        </is>
      </c>
    </row>
    <row r="3">
      <c r="A3" s="6" t="n"/>
    </row>
    <row r="4">
      <c r="A4" s="25" t="inlineStr">
        <is>
          <t>Evidence ID</t>
        </is>
      </c>
      <c r="B4" s="25" t="inlineStr">
        <is>
          <t>Evidence Type</t>
        </is>
      </c>
      <c r="C4" s="25" t="inlineStr">
        <is>
          <t>Description</t>
        </is>
      </c>
      <c r="D4" s="25" t="inlineStr">
        <is>
          <t>Related Control / Section</t>
        </is>
      </c>
      <c r="E4" s="25" t="inlineStr">
        <is>
          <t>Collection Date (DD.MM.YYYY)</t>
        </is>
      </c>
      <c r="F4" s="25" t="inlineStr">
        <is>
          <t>Storage Location / Reference</t>
        </is>
      </c>
      <c r="G4" s="25" t="inlineStr">
        <is>
          <t>Collected By</t>
        </is>
      </c>
      <c r="H4" s="25"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23" t="inlineStr">
        <is>
          <t>ROLE &amp; SOD COMPLIANCE — SUMMARY DASHBOARD</t>
        </is>
      </c>
      <c r="B1" s="6" t="n"/>
      <c r="C1" s="6" t="n"/>
      <c r="D1" s="6" t="n"/>
      <c r="E1" s="6" t="n"/>
      <c r="F1" s="6" t="n"/>
      <c r="G1" s="6" t="n"/>
    </row>
    <row r="2">
      <c r="A2" s="28" t="inlineStr">
        <is>
          <t>ISO/IEC 27001:2022 — Controls A.5.15 &amp; A.5.18: Access Control &amp; Access Rights</t>
        </is>
      </c>
    </row>
    <row r="4">
      <c r="A4" s="29" t="inlineStr">
        <is>
          <t>TABLE 1: ASSESSMENT AREA COMPLIANCE OVERVIEW</t>
        </is>
      </c>
    </row>
    <row r="5">
      <c r="A5" s="30" t="inlineStr">
        <is>
          <t>Assessment Area</t>
        </is>
      </c>
      <c r="B5" s="30" t="inlineStr">
        <is>
          <t>Total Items</t>
        </is>
      </c>
      <c r="C5" s="30" t="inlineStr">
        <is>
          <t>Compliant / Active</t>
        </is>
      </c>
      <c r="D5" s="30" t="inlineStr">
        <is>
          <t>Partial / Under Review</t>
        </is>
      </c>
      <c r="E5" s="30" t="inlineStr">
        <is>
          <t>Non-Compliant / Inappropriate</t>
        </is>
      </c>
      <c r="F5" s="30" t="inlineStr">
        <is>
          <t>N/A</t>
        </is>
      </c>
      <c r="G5" s="30" t="inlineStr">
        <is>
          <t>Compliance %</t>
        </is>
      </c>
    </row>
    <row r="6">
      <c r="A6" s="31" t="inlineStr">
        <is>
          <t>Role Catalog</t>
        </is>
      </c>
      <c r="B6" s="32">
        <f>COUNTA('Role Catalog'!A6:A56)</f>
        <v/>
      </c>
      <c r="C6" s="32">
        <f>COUNTA('Role Catalog'!A6:A56)</f>
        <v/>
      </c>
      <c r="D6" s="32" t="n">
        <v>0</v>
      </c>
      <c r="E6" s="32" t="n">
        <v>0</v>
      </c>
      <c r="F6" s="32" t="n">
        <v>0</v>
      </c>
      <c r="G6" s="33">
        <f>IF(B6=0,0,1)</f>
        <v/>
      </c>
    </row>
    <row r="7">
      <c r="A7" s="31" t="inlineStr">
        <is>
          <t>Role Assignments</t>
        </is>
      </c>
      <c r="B7" s="32">
        <f>COUNTA('Role Assignments'!A6:A56)</f>
        <v/>
      </c>
      <c r="C7" s="32">
        <f>COUNTIF('Role Assignments'!H6:H56,"Yes")</f>
        <v/>
      </c>
      <c r="D7" s="32">
        <f>COUNTIF('Role Assignments'!H6:H56,"Needs Review")</f>
        <v/>
      </c>
      <c r="E7" s="32">
        <f>COUNTIF('Role Assignments'!H6:H56,"No")</f>
        <v/>
      </c>
      <c r="F7" s="32" t="n">
        <v>0</v>
      </c>
      <c r="G7" s="33">
        <f>IF((B7-F7)=0,0,C7/(B7-F7))</f>
        <v/>
      </c>
    </row>
    <row r="8">
      <c r="A8" s="31" t="inlineStr">
        <is>
          <t>Direct Access Users</t>
        </is>
      </c>
      <c r="B8" s="32">
        <f>COUNTA('Direct Access Users'!A6:A56)</f>
        <v/>
      </c>
      <c r="C8" s="32" t="n">
        <v>0</v>
      </c>
      <c r="D8" s="32" t="n">
        <v>0</v>
      </c>
      <c r="E8" s="32">
        <f>COUNTA('Direct Access Users'!A6:A56)</f>
        <v/>
      </c>
      <c r="F8" s="32" t="n">
        <v>0</v>
      </c>
      <c r="G8" s="33">
        <f>IF(B8=0,1,0)</f>
        <v/>
      </c>
    </row>
    <row r="9">
      <c r="A9" s="31" t="inlineStr">
        <is>
          <t>SoD Violations</t>
        </is>
      </c>
      <c r="B9" s="32">
        <f>COUNTA('SoD Violations'!A6:A56)</f>
        <v/>
      </c>
      <c r="C9" s="32">
        <f>COUNTIF('SoD Violations'!K6:K56,"Remediation In Progress")+COUNTIF('SoD Violations'!K6:K56,"Accepted")</f>
        <v/>
      </c>
      <c r="D9" s="32" t="n">
        <v>0</v>
      </c>
      <c r="E9" s="32">
        <f>COUNTIF('SoD Violations'!K6:K56,"Open")</f>
        <v/>
      </c>
      <c r="F9" s="32" t="n">
        <v>0</v>
      </c>
      <c r="G9" s="33">
        <f>IF((B9-F9)=0,0,C9/(B9-F9))</f>
        <v/>
      </c>
    </row>
    <row r="10">
      <c r="A10" s="31" t="inlineStr">
        <is>
          <t>Gap Analysis</t>
        </is>
      </c>
      <c r="B10" s="32">
        <f>COUNTA('Gap Analysis'!A6:A55)</f>
        <v/>
      </c>
      <c r="C10" s="32">
        <f>COUNTIF('Gap Analysis'!J6:J55,"Resolved")</f>
        <v/>
      </c>
      <c r="D10" s="32">
        <f>COUNTIF('Gap Analysis'!J6:J55,"In Progress")</f>
        <v/>
      </c>
      <c r="E10" s="32">
        <f>COUNTIF('Gap Analysis'!J6:J55,"Open")</f>
        <v/>
      </c>
      <c r="F10" s="32" t="n">
        <v>0</v>
      </c>
      <c r="G10" s="33">
        <f>IF((B10-F10)=0,0,C10/(B10-F10))</f>
        <v/>
      </c>
    </row>
    <row r="11">
      <c r="A11" s="34" t="inlineStr">
        <is>
          <t>TOTAL</t>
        </is>
      </c>
      <c r="B11" s="35">
        <f>SUM(B6:B10)</f>
        <v/>
      </c>
      <c r="C11" s="35">
        <f>SUM(C6:C10)</f>
        <v/>
      </c>
      <c r="D11" s="35">
        <f>SUM(D6:D10)</f>
        <v/>
      </c>
      <c r="E11" s="35">
        <f>SUM(E6:E10)</f>
        <v/>
      </c>
      <c r="F11" s="35">
        <f>SUM(F6:F10)</f>
        <v/>
      </c>
      <c r="G11" s="36">
        <f>IF((B11-F11)=0,0,C11/(B11-F11))</f>
        <v/>
      </c>
    </row>
    <row r="13">
      <c r="A13" s="37" t="inlineStr">
        <is>
          <t>TABLE 2: KEY METRICS</t>
        </is>
      </c>
    </row>
    <row r="14">
      <c r="A14" s="35" t="inlineStr">
        <is>
          <t>Metric</t>
        </is>
      </c>
      <c r="B14" s="35" t="inlineStr">
        <is>
          <t>Value</t>
        </is>
      </c>
      <c r="C14" s="35" t="n"/>
      <c r="D14" s="35" t="n"/>
      <c r="E14" s="35" t="n"/>
      <c r="F14" s="35" t="n"/>
      <c r="G14" s="35" t="n"/>
    </row>
    <row r="15">
      <c r="A15" s="31" t="inlineStr">
        <is>
          <t>Total Roles Defined</t>
        </is>
      </c>
      <c r="B15" s="32">
        <f>COUNTA('Role Catalog'!A6:A56)</f>
        <v/>
      </c>
      <c r="C15" s="6" t="n"/>
      <c r="D15" s="6" t="n"/>
      <c r="E15" s="6" t="n"/>
      <c r="F15" s="6" t="n"/>
      <c r="G15" s="6" t="n"/>
    </row>
    <row r="16">
      <c r="A16" s="31" t="inlineStr">
        <is>
          <t>Total Users Assessed</t>
        </is>
      </c>
      <c r="B16" s="32">
        <f>COUNTA('Role Assignments'!A6:A56)</f>
        <v/>
      </c>
      <c r="C16" s="6" t="n"/>
      <c r="D16" s="6" t="n"/>
      <c r="E16" s="6" t="n"/>
      <c r="F16" s="6" t="n"/>
      <c r="G16" s="6" t="n"/>
    </row>
    <row r="17">
      <c r="A17" s="31" t="inlineStr">
        <is>
          <t>Roles Appropriately Assigned</t>
        </is>
      </c>
      <c r="B17" s="32">
        <f>COUNTIF('Role Assignments'!H6:H56,"Yes")</f>
        <v/>
      </c>
      <c r="C17" s="6" t="n"/>
      <c r="D17" s="6" t="n"/>
      <c r="E17" s="6" t="n"/>
      <c r="F17" s="6" t="n"/>
      <c r="G17" s="6" t="n"/>
    </row>
    <row r="18">
      <c r="A18" s="31" t="inlineStr">
        <is>
          <t>Roles Needing Review</t>
        </is>
      </c>
      <c r="B18" s="32">
        <f>COUNTIF('Role Assignments'!H6:H56,"Needs Review")</f>
        <v/>
      </c>
      <c r="C18" s="6" t="n"/>
      <c r="D18" s="6" t="n"/>
      <c r="E18" s="6" t="n"/>
      <c r="F18" s="6" t="n"/>
      <c r="G18" s="6" t="n"/>
    </row>
    <row r="19">
      <c r="A19" s="31" t="inlineStr">
        <is>
          <t>Inappropriate Role Assignments</t>
        </is>
      </c>
      <c r="B19" s="32">
        <f>COUNTIF('Role Assignments'!H6:H56,"No")</f>
        <v/>
      </c>
      <c r="C19" s="6" t="n"/>
      <c r="D19" s="6" t="n"/>
      <c r="E19" s="6" t="n"/>
      <c r="F19" s="6" t="n"/>
      <c r="G19" s="6" t="n"/>
    </row>
    <row r="20">
      <c r="A20" s="31" t="inlineStr">
        <is>
          <t>Non-RBAC (Direct Access) Users</t>
        </is>
      </c>
      <c r="B20" s="32">
        <f>COUNTA('Direct Access Users'!A6:A56)</f>
        <v/>
      </c>
      <c r="C20" s="6" t="n"/>
      <c r="D20" s="6" t="n"/>
      <c r="E20" s="6" t="n"/>
      <c r="F20" s="6" t="n"/>
      <c r="G20" s="6" t="n"/>
    </row>
    <row r="21">
      <c r="A21" s="31" t="inlineStr">
        <is>
          <t>SoD Conflicts Defined</t>
        </is>
      </c>
      <c r="B21" s="32">
        <f>COUNTA('SoD Matrix'!A6:A15)</f>
        <v/>
      </c>
      <c r="C21" s="6" t="n"/>
      <c r="D21" s="6" t="n"/>
      <c r="E21" s="6" t="n"/>
      <c r="F21" s="6" t="n"/>
      <c r="G21" s="6" t="n"/>
    </row>
    <row r="22">
      <c r="A22" s="31" t="inlineStr">
        <is>
          <t>SoD Violations Detected</t>
        </is>
      </c>
      <c r="B22" s="32">
        <f>COUNTA('SoD Violations'!A6:A56)</f>
        <v/>
      </c>
      <c r="C22" s="6" t="n"/>
      <c r="D22" s="6" t="n"/>
      <c r="E22" s="6" t="n"/>
      <c r="F22" s="6" t="n"/>
      <c r="G22" s="6" t="n"/>
    </row>
    <row r="23">
      <c r="A23" s="31" t="inlineStr">
        <is>
          <t>SoD Violations Open</t>
        </is>
      </c>
      <c r="B23" s="32">
        <f>COUNTIF('SoD Violations'!K6:K56,"Open")</f>
        <v/>
      </c>
      <c r="C23" s="6" t="n"/>
      <c r="D23" s="6" t="n"/>
      <c r="E23" s="6" t="n"/>
      <c r="F23" s="6" t="n"/>
      <c r="G23" s="6" t="n"/>
    </row>
    <row r="24">
      <c r="A24" s="31" t="inlineStr">
        <is>
          <t>SoD Violations Remediated</t>
        </is>
      </c>
      <c r="B24" s="32">
        <f>COUNTIF('SoD Violations'!K6:K56,"Remediation In Progress")+COUNTIF('SoD Violations'!K6:K56,"Accepted")</f>
        <v/>
      </c>
      <c r="C24" s="6" t="n"/>
      <c r="D24" s="6" t="n"/>
      <c r="E24" s="6" t="n"/>
      <c r="F24" s="6" t="n"/>
      <c r="G24" s="6" t="n"/>
    </row>
    <row r="25">
      <c r="A25" s="31" t="inlineStr">
        <is>
          <t>Open RBAC Gaps</t>
        </is>
      </c>
      <c r="B25" s="32">
        <f>COUNTIF('Gap Analysis'!J6:J55,"Open")</f>
        <v/>
      </c>
      <c r="C25" s="6" t="n"/>
      <c r="D25" s="6" t="n"/>
      <c r="E25" s="6" t="n"/>
      <c r="F25" s="6" t="n"/>
      <c r="G25" s="6" t="n"/>
    </row>
    <row r="26">
      <c r="A26" s="31" t="inlineStr">
        <is>
          <t>RBAC Adoption Rate</t>
        </is>
      </c>
      <c r="B26" s="33">
        <f>IFERROR(COUNTA('Role Assignments'!A6:A56)/(COUNTA('Role Assignments'!A6:A56)+COUNTA('Direct Access Users'!A6:A56)),0)</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 REQUIRING IMMEDIATE ATTENTION</t>
        </is>
      </c>
    </row>
    <row r="31">
      <c r="A31" s="35" t="inlineStr">
        <is>
          <t>Category</t>
        </is>
      </c>
      <c r="B31" s="35" t="inlineStr">
        <is>
          <t>Finding</t>
        </is>
      </c>
      <c r="C31" s="35" t="inlineStr">
        <is>
          <t>Count</t>
        </is>
      </c>
      <c r="D31" s="35" t="inlineStr">
        <is>
          <t>Severity</t>
        </is>
      </c>
      <c r="E31" s="35" t="inlineStr">
        <is>
          <t>Action Required</t>
        </is>
      </c>
      <c r="F31" s="35" t="n"/>
      <c r="G31" s="35" t="n"/>
    </row>
    <row r="32">
      <c r="A32" s="39" t="inlineStr">
        <is>
          <t>Segregation of Duties</t>
        </is>
      </c>
      <c r="B32" s="39" t="inlineStr">
        <is>
          <t>Open SoD violations (unresolved)</t>
        </is>
      </c>
      <c r="C32" s="40">
        <f>COUNTIF('SoD Violations'!K6:K56,"Open")</f>
        <v/>
      </c>
      <c r="D32" s="39" t="inlineStr">
        <is>
          <t>Critical</t>
        </is>
      </c>
      <c r="E32" s="39" t="inlineStr">
        <is>
          <t>Immediate</t>
        </is>
      </c>
      <c r="F32" s="39" t="n"/>
      <c r="G32" s="39" t="n"/>
    </row>
    <row r="33">
      <c r="A33" s="39" t="inlineStr">
        <is>
          <t>RBAC Compliance</t>
        </is>
      </c>
      <c r="B33" s="39" t="inlineStr">
        <is>
          <t>Users with inappropriate role assignments</t>
        </is>
      </c>
      <c r="C33" s="40">
        <f>COUNTIF('Role Assignments'!H6:H56,"No")</f>
        <v/>
      </c>
      <c r="D33" s="39" t="inlineStr">
        <is>
          <t>Critical</t>
        </is>
      </c>
      <c r="E33" s="39" t="inlineStr">
        <is>
          <t>Immediate</t>
        </is>
      </c>
      <c r="F33" s="39" t="n"/>
      <c r="G33" s="39" t="n"/>
    </row>
    <row r="34">
      <c r="A34" s="39" t="inlineStr">
        <is>
          <t>Access Control</t>
        </is>
      </c>
      <c r="B34" s="39" t="inlineStr">
        <is>
          <t>Non-RBAC users (direct access, not role-based)</t>
        </is>
      </c>
      <c r="C34" s="40">
        <f>COUNTA('Direct Access Users'!A6:A56)</f>
        <v/>
      </c>
      <c r="D34" s="39" t="inlineStr">
        <is>
          <t>High</t>
        </is>
      </c>
      <c r="E34" s="39" t="inlineStr">
        <is>
          <t>Urgent</t>
        </is>
      </c>
      <c r="F34" s="39" t="n"/>
      <c r="G34" s="39" t="n"/>
    </row>
    <row r="35">
      <c r="A35" s="39" t="inlineStr">
        <is>
          <t>RBAC Compliance</t>
        </is>
      </c>
      <c r="B35" s="39" t="inlineStr">
        <is>
          <t>Role assignments needing review</t>
        </is>
      </c>
      <c r="C35" s="40">
        <f>COUNTIF('Role Assignments'!H6:H56,"Needs Review")</f>
        <v/>
      </c>
      <c r="D35" s="39" t="inlineStr">
        <is>
          <t>High</t>
        </is>
      </c>
      <c r="E35" s="39" t="inlineStr">
        <is>
          <t>Urgent</t>
        </is>
      </c>
      <c r="F35" s="39" t="n"/>
      <c r="G35" s="39" t="n"/>
    </row>
    <row r="36">
      <c r="A36" s="39" t="inlineStr">
        <is>
          <t>Segregation of Duties</t>
        </is>
      </c>
      <c r="B36" s="39" t="inlineStr">
        <is>
          <t>SoD violations in remediation</t>
        </is>
      </c>
      <c r="C36" s="40">
        <f>COUNTIF('SoD Violations'!K6:K56,"Remediation In Progress")</f>
        <v/>
      </c>
      <c r="D36" s="39" t="inlineStr">
        <is>
          <t>Medium</t>
        </is>
      </c>
      <c r="E36" s="39" t="inlineStr">
        <is>
          <t>Plan</t>
        </is>
      </c>
      <c r="F36" s="39" t="n"/>
      <c r="G36" s="39" t="n"/>
    </row>
    <row r="37">
      <c r="A37" s="39" t="inlineStr">
        <is>
          <t>Gap Analysis</t>
        </is>
      </c>
      <c r="B37" s="39" t="inlineStr">
        <is>
          <t>High-risk RBAC gaps</t>
        </is>
      </c>
      <c r="C37" s="40">
        <f>COUNTIF('Gap Analysis'!D6:D55,"High")</f>
        <v/>
      </c>
      <c r="D37" s="39" t="inlineStr">
        <is>
          <t>Critical</t>
        </is>
      </c>
      <c r="E37" s="39" t="inlineStr">
        <is>
          <t>Immediate</t>
        </is>
      </c>
      <c r="F37" s="39" t="n"/>
      <c r="G37" s="39" t="n"/>
    </row>
    <row r="38">
      <c r="A38" s="39" t="inlineStr">
        <is>
          <t>Gap Analysis</t>
        </is>
      </c>
      <c r="B38" s="39" t="inlineStr">
        <is>
          <t>Open RBAC/SoD gaps</t>
        </is>
      </c>
      <c r="C38" s="40">
        <f>COUNTIF('Gap Analysis'!J6:J55,"Open")</f>
        <v/>
      </c>
      <c r="D38" s="39" t="inlineStr">
        <is>
          <t>High</t>
        </is>
      </c>
      <c r="E38" s="39" t="inlineStr">
        <is>
          <t>Urgent</t>
        </is>
      </c>
      <c r="F38" s="39" t="n"/>
      <c r="G38" s="39" t="n"/>
    </row>
    <row r="39">
      <c r="A39" s="39" t="inlineStr">
        <is>
          <t>Access Control</t>
        </is>
      </c>
      <c r="B39" s="39" t="inlineStr">
        <is>
          <t>SoD conflicts defined vs. violations ratio</t>
        </is>
      </c>
      <c r="C39" s="40">
        <f>IFERROR(COUNTA('SoD Violations'!A6:A56)/COUNTA('SoD Matrix'!A6:A15),0)</f>
        <v/>
      </c>
      <c r="D39" s="39" t="inlineStr">
        <is>
          <t>Medium</t>
        </is>
      </c>
      <c r="E39" s="39" t="inlineStr">
        <is>
          <t>Plan</t>
        </is>
      </c>
      <c r="F39" s="39" t="n"/>
      <c r="G39" s="39"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A.5.15 &amp; A.5.18: Access Control &amp; Access Rights (RBAC/SoD)</t>
        </is>
      </c>
      <c r="B2" s="6" t="n"/>
      <c r="C2" s="6" t="n"/>
      <c r="D2" s="6" t="n"/>
      <c r="E2" s="6" t="n"/>
    </row>
    <row r="3">
      <c r="A3" s="42" t="inlineStr">
        <is>
          <t>ASSESSMENT SUMMARY</t>
        </is>
      </c>
      <c r="B3" s="6" t="n"/>
      <c r="C3" s="6" t="n"/>
      <c r="D3" s="6" t="n"/>
      <c r="E3" s="6" t="n"/>
    </row>
    <row r="4">
      <c r="A4" s="3" t="inlineStr">
        <is>
          <t>Document:</t>
        </is>
      </c>
      <c r="B4" s="6" t="inlineStr">
        <is>
          <t>ISMS-IMP-A.5.15-16-18.S4 - Role Compliance &amp; Segregation of Duties Assessment</t>
        </is>
      </c>
      <c r="C4" s="6" t="n"/>
      <c r="D4" s="6" t="n"/>
      <c r="E4" s="6" t="n"/>
    </row>
    <row r="5">
      <c r="A5" s="3" t="inlineStr">
        <is>
          <t>Assessment Period:</t>
        </is>
      </c>
      <c r="B5" s="15" t="inlineStr"/>
      <c r="C5" s="6" t="n"/>
      <c r="D5" s="6" t="n"/>
      <c r="E5" s="6" t="n"/>
    </row>
    <row r="6">
      <c r="A6" s="3" t="inlineStr">
        <is>
          <t>Overall Compliance Rating:</t>
        </is>
      </c>
      <c r="B6" s="43">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42"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42"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42"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ISMS-IMP-A.5.15-16-18.S4 — Role Compliance &amp; Segregation of Duties Assessment</dc:title>
  <dc:description xmlns:dc="http://purl.org/dc/elements/1.1/">ISMS Implementation Workbook — ISMS-IMP-A.5.15-16-18.S4</dc:description>
  <dc:subject xmlns:dc="http://purl.org/dc/elements/1.1/">ISO/IEC 27001:2022 — Control A.5.15 &amp; A.5.18: Access Control &amp; Access Rights (RBAC/SoD)</dc:subject>
  <dcterms:created xmlns:dcterms="http://purl.org/dc/terms/" xmlns:xsi="http://www.w3.org/2001/XMLSchema-instance" xsi:type="dcterms:W3CDTF">2026-03-07T11:27:23Z</dcterms:created>
  <dcterms:modified xmlns:dcterms="http://purl.org/dc/terms/" xmlns:xsi="http://www.w3.org/2001/XMLSchema-instance" xsi:type="dcterms:W3CDTF">2026-03-07T11:27:24Z</dcterms:modified>
</cp:coreProperties>
</file>