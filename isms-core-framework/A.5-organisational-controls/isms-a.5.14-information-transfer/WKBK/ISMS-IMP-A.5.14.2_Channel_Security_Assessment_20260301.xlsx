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mail Assessment" sheetId="2" state="visible" r:id="rId2"/>
    <sheet xmlns:r="http://schemas.openxmlformats.org/officeDocument/2006/relationships" name="Cloud Services" sheetId="3" state="visible" r:id="rId3"/>
    <sheet xmlns:r="http://schemas.openxmlformats.org/officeDocument/2006/relationships" name="File Transfer" sheetId="4" state="visible" r:id="rId4"/>
    <sheet xmlns:r="http://schemas.openxmlformats.org/officeDocument/2006/relationships" name="Physical Channels" sheetId="5" state="visible" r:id="rId5"/>
    <sheet xmlns:r="http://schemas.openxmlformats.org/officeDocument/2006/relationships" name="Risk Assessmen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2" borderId="1" pivotButton="0" quotePrefix="0" xfId="0"/>
    <xf numFmtId="0" fontId="11" fillId="12" borderId="1" applyAlignment="1" pivotButton="0" quotePrefix="0" xfId="0">
      <alignment horizontal="center"/>
    </xf>
    <xf numFmtId="164" fontId="11" fillId="12" borderId="1" applyAlignment="1" pivotButton="0" quotePrefix="0" xfId="0">
      <alignment horizontal="center"/>
    </xf>
    <xf numFmtId="0" fontId="6" fillId="13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ISMS-IMP-A.5.14.2  -  Channel Security Assessment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ISMS-IMP-A.5.14.2</t>
        </is>
      </c>
    </row>
    <row r="5">
      <c r="A5" s="3" t="inlineStr">
        <is>
          <t>Workbook Title</t>
        </is>
      </c>
      <c r="B5" t="inlineStr">
        <is>
          <t>Channel Security Assessment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Email Assessment — evaluate encryption, DLP controls, and acceptable use for email.</t>
        </is>
      </c>
    </row>
    <row r="14">
      <c r="A14" t="inlineStr">
        <is>
          <t>2. Complete Cloud Services — assess approved cloud storage and collaboration tool controls.</t>
        </is>
      </c>
    </row>
    <row r="15">
      <c r="A15" t="inlineStr">
        <is>
          <t>3. Complete File Transfer — evaluate SFTP, FTPS, and managed file transfer (MFT) controls.</t>
        </is>
      </c>
    </row>
    <row r="16">
      <c r="A16" t="inlineStr">
        <is>
          <t>4. Complete Physical Channels — assess physical media, courier, and postal transfer controls.</t>
        </is>
      </c>
    </row>
    <row r="17">
      <c r="A17" t="inlineStr">
        <is>
          <t>5. Complete Risk Assessment — identify and score uncontrolled or high-risk transfer channels.</t>
        </is>
      </c>
    </row>
    <row r="18">
      <c r="A18" t="inlineStr">
        <is>
          <t>6. Maintain the Evidence Register with channel security assessments and test results.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0" customWidth="1" min="4" max="4"/>
    <col width="15" customWidth="1" min="5" max="5"/>
    <col width="20" customWidth="1" min="6" max="6"/>
    <col width="30" customWidth="1" min="7" max="7"/>
    <col width="30" customWidth="1" min="8" max="8"/>
    <col width="12" customWidth="1" min="9" max="9"/>
  </cols>
  <sheetData>
    <row r="1">
      <c r="A1" s="11" t="inlineStr">
        <is>
          <t>EMAIL SECURITY ASSESSMENT</t>
        </is>
      </c>
    </row>
    <row r="2">
      <c r="A2" s="12" t="inlineStr">
        <is>
          <t>Assess email security controls covering transport encryption, message authentication (SPF/DKIM/DMARC), DLP, anti-malware, and access control.</t>
        </is>
      </c>
    </row>
    <row r="3">
      <c r="A3" s="13" t="inlineStr">
        <is>
          <t>Control Area</t>
        </is>
      </c>
      <c r="B3" s="13" t="inlineStr">
        <is>
          <t>Security Requirement</t>
        </is>
      </c>
      <c r="C3" s="13" t="inlineStr">
        <is>
          <t>Expected Configuration</t>
        </is>
      </c>
      <c r="D3" s="13" t="inlineStr">
        <is>
          <t>Actual 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 Description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Transport Encryption</t>
        </is>
      </c>
      <c r="B4" s="14" t="inlineStr">
        <is>
          <t>TLS enforcement for all email</t>
        </is>
      </c>
      <c r="C4" s="14" t="inlineStr">
        <is>
          <t>TLS 1.2+ required, opportunistic TLS for external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Transport Encryption</t>
        </is>
      </c>
      <c r="B5" s="14" t="inlineStr">
        <is>
          <t>DANE/MTA-STS configured</t>
        </is>
      </c>
      <c r="C5" s="14" t="inlineStr">
        <is>
          <t>MTA-STS policy published, DANE if supported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Message Encryption</t>
        </is>
      </c>
      <c r="B6" s="14" t="inlineStr">
        <is>
          <t>S/MIME or PGP available</t>
        </is>
      </c>
      <c r="C6" s="14" t="inlineStr">
        <is>
          <t>S/MIME certificates issued to all users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Message Encryption</t>
        </is>
      </c>
      <c r="B7" s="14" t="inlineStr">
        <is>
          <t>Automatic encryption for sensitive</t>
        </is>
      </c>
      <c r="C7" s="14" t="inlineStr">
        <is>
          <t>DLP rules trigger encryption for CONFIDENTIAL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Authentication</t>
        </is>
      </c>
      <c r="B8" s="14" t="inlineStr">
        <is>
          <t>SPF record configured</t>
        </is>
      </c>
      <c r="C8" s="14" t="inlineStr">
        <is>
          <t>SPF -all or ~all published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Authentication</t>
        </is>
      </c>
      <c r="B9" s="14" t="inlineStr">
        <is>
          <t>DKIM signing enabled</t>
        </is>
      </c>
      <c r="C9" s="14" t="inlineStr">
        <is>
          <t>DKIM 2048-bit keys, selector rotation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Authentication</t>
        </is>
      </c>
      <c r="B10" s="14" t="inlineStr">
        <is>
          <t>DMARC policy enforced</t>
        </is>
      </c>
      <c r="C10" s="14" t="inlineStr">
        <is>
          <t>DMARC p=reject for primary domain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Anti-Malware</t>
        </is>
      </c>
      <c r="B11" s="14" t="inlineStr">
        <is>
          <t>Attachment scanning</t>
        </is>
      </c>
      <c r="C11" s="14" t="inlineStr">
        <is>
          <t>All attachments scanned, macros blocked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Anti-Malware</t>
        </is>
      </c>
      <c r="B12" s="14" t="inlineStr">
        <is>
          <t>URL rewriting/sandboxing</t>
        </is>
      </c>
      <c r="C12" s="14" t="inlineStr">
        <is>
          <t>Malicious URLs blocked, sandboxing enabled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Data Loss Prevention</t>
        </is>
      </c>
      <c r="B13" s="14" t="inlineStr">
        <is>
          <t>DLP policies active</t>
        </is>
      </c>
      <c r="C13" s="14" t="inlineStr">
        <is>
          <t>Classification-based rules enforced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Data Loss Prevention</t>
        </is>
      </c>
      <c r="B14" s="14" t="inlineStr">
        <is>
          <t>External forwarding controls</t>
        </is>
      </c>
      <c r="C14" s="14" t="inlineStr">
        <is>
          <t>Auto-forward to external blocked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Logging &amp; Monitoring</t>
        </is>
      </c>
      <c r="B15" s="14" t="inlineStr">
        <is>
          <t>Message tracking enabled</t>
        </is>
      </c>
      <c r="C15" s="14" t="inlineStr">
        <is>
          <t>90-day retention for message traces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Logging &amp; Monitoring</t>
        </is>
      </c>
      <c r="B16" s="14" t="inlineStr">
        <is>
          <t>Audit logging active</t>
        </is>
      </c>
      <c r="C16" s="14" t="inlineStr">
        <is>
          <t>Admin and mailbox audit logs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Access Control</t>
        </is>
      </c>
      <c r="B17" s="14" t="inlineStr">
        <is>
          <t>MFA enforced</t>
        </is>
      </c>
      <c r="C17" s="14" t="inlineStr">
        <is>
          <t>All accounts require MFA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Access Control</t>
        </is>
      </c>
      <c r="B18" s="14" t="inlineStr">
        <is>
          <t>Conditional Access policies</t>
        </is>
      </c>
      <c r="C18" s="14" t="inlineStr">
        <is>
          <t>Location/device-based restrictions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</sheetData>
  <mergeCells count="2">
    <mergeCell ref="A1:I1"/>
    <mergeCell ref="A2:I2"/>
  </mergeCells>
  <dataValidations count="2">
    <dataValidation sqref="E4:E24" showDropDown="0" showInputMessage="1" showErrorMessage="0" allowBlank="1" type="list">
      <formula1>"Compliant,Partial,Non-Compliant,N/A"</formula1>
    </dataValidation>
    <dataValidation sqref="I4:I24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CLOUD SERVICES SECURITY ASSESSMENT</t>
        </is>
      </c>
    </row>
    <row r="2">
      <c r="A2" s="12" t="inlineStr">
        <is>
          <t>Assess security controls for cloud storage and collaboration services including encryption, access control, DLP, and external sharing restrictions.</t>
        </is>
      </c>
    </row>
    <row r="3">
      <c r="A3" s="13" t="inlineStr">
        <is>
          <t>Service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SharePoint/OneDrive</t>
        </is>
      </c>
      <c r="B4" s="14" t="inlineStr">
        <is>
          <t>Encryption at Rest</t>
        </is>
      </c>
      <c r="C4" s="14" t="inlineStr">
        <is>
          <t>AES-256 encryption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SharePoint/OneDrive</t>
        </is>
      </c>
      <c r="B5" s="14" t="inlineStr">
        <is>
          <t>Encryption in Transit</t>
        </is>
      </c>
      <c r="C5" s="14" t="inlineStr">
        <is>
          <t>TLS 1.2+ enforced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SharePoint/OneDrive</t>
        </is>
      </c>
      <c r="B6" s="14" t="inlineStr">
        <is>
          <t>Access Control</t>
        </is>
      </c>
      <c r="C6" s="14" t="inlineStr">
        <is>
          <t>Sensitivity labels applied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SharePoint/OneDrive</t>
        </is>
      </c>
      <c r="B7" s="14" t="inlineStr">
        <is>
          <t>External Sharing</t>
        </is>
      </c>
      <c r="C7" s="14" t="inlineStr">
        <is>
          <t>Restricted to approved domains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SharePoint/OneDrive</t>
        </is>
      </c>
      <c r="B8" s="14" t="inlineStr">
        <is>
          <t>Audit Logging</t>
        </is>
      </c>
      <c r="C8" s="14" t="inlineStr">
        <is>
          <t>Unified audit log enabled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Teams</t>
        </is>
      </c>
      <c r="B9" s="14" t="inlineStr">
        <is>
          <t>Guest Access</t>
        </is>
      </c>
      <c r="C9" s="14" t="inlineStr">
        <is>
          <t>Guest access policy defined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Teams</t>
        </is>
      </c>
      <c r="B10" s="14" t="inlineStr">
        <is>
          <t>File Sharing</t>
        </is>
      </c>
      <c r="C10" s="14" t="inlineStr">
        <is>
          <t>External file sharing restricted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Teams</t>
        </is>
      </c>
      <c r="B11" s="14" t="inlineStr">
        <is>
          <t>Data Retention</t>
        </is>
      </c>
      <c r="C11" s="14" t="inlineStr">
        <is>
          <t>Retention policies applied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Box/Dropbox</t>
        </is>
      </c>
      <c r="B12" s="14" t="inlineStr">
        <is>
          <t>SSO Integration</t>
        </is>
      </c>
      <c r="C12" s="14" t="inlineStr">
        <is>
          <t>SAML SSO configured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Box/Dropbox</t>
        </is>
      </c>
      <c r="B13" s="14" t="inlineStr">
        <is>
          <t>DLP Integration</t>
        </is>
      </c>
      <c r="C13" s="14" t="inlineStr">
        <is>
          <t>CASB or native DLP active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Box/Dropbox</t>
        </is>
      </c>
      <c r="B14" s="14" t="inlineStr">
        <is>
          <t>Device Trust</t>
        </is>
      </c>
      <c r="C14" s="14" t="inlineStr">
        <is>
          <t>Only managed devices allowed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AWS S3</t>
        </is>
      </c>
      <c r="B15" s="14" t="inlineStr">
        <is>
          <t>Bucket Encryption</t>
        </is>
      </c>
      <c r="C15" s="14" t="inlineStr">
        <is>
          <t>Server-side encryption (SSE-S3/KMS)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AWS S3</t>
        </is>
      </c>
      <c r="B16" s="14" t="inlineStr">
        <is>
          <t>Access Logging</t>
        </is>
      </c>
      <c r="C16" s="14" t="inlineStr">
        <is>
          <t>S3 access logging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AWS S3</t>
        </is>
      </c>
      <c r="B17" s="14" t="inlineStr">
        <is>
          <t>Public Access Block</t>
        </is>
      </c>
      <c r="C17" s="14" t="inlineStr">
        <is>
          <t>Public access blocked by default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Azure Blob</t>
        </is>
      </c>
      <c r="B18" s="14" t="inlineStr">
        <is>
          <t>Encryption</t>
        </is>
      </c>
      <c r="C18" s="14" t="inlineStr">
        <is>
          <t>Storage service encryption enabled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Azure Blob</t>
        </is>
      </c>
      <c r="B19" s="14" t="inlineStr">
        <is>
          <t>Network Security</t>
        </is>
      </c>
      <c r="C19" s="14" t="inlineStr">
        <is>
          <t>Private endpoints or service endpoints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Google Drive</t>
        </is>
      </c>
      <c r="B20" s="14" t="inlineStr">
        <is>
          <t>Sharing Settings</t>
        </is>
      </c>
      <c r="C20" s="14" t="inlineStr">
        <is>
          <t>External sharing restrictions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  <row r="21">
      <c r="A21" s="14" t="inlineStr">
        <is>
          <t>Google Drive</t>
        </is>
      </c>
      <c r="B21" s="14" t="inlineStr">
        <is>
          <t>DLP</t>
        </is>
      </c>
      <c r="C21" s="14" t="inlineStr">
        <is>
          <t>Google Workspace DLP rules active</t>
        </is>
      </c>
      <c r="D21" s="15" t="inlineStr"/>
      <c r="E21" s="15" t="inlineStr"/>
      <c r="F21" s="15" t="inlineStr"/>
      <c r="G21" s="15" t="inlineStr"/>
      <c r="H21" s="15" t="inlineStr"/>
      <c r="I21" s="15" t="inlineStr"/>
    </row>
  </sheetData>
  <mergeCells count="2">
    <mergeCell ref="A1:I1"/>
    <mergeCell ref="A2:I2"/>
  </mergeCells>
  <dataValidations count="2">
    <dataValidation sqref="E4:E27" showDropDown="0" showInputMessage="1" showErrorMessage="0" allowBlank="1" type="list">
      <formula1>"Compliant,Partial,Non-Compliant,N/A"</formula1>
    </dataValidation>
    <dataValidation sqref="I4:I27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FILE TRANSFER SYSTEMS SECURITY ASSESSMENT</t>
        </is>
      </c>
    </row>
    <row r="2">
      <c r="A2" s="12" t="inlineStr">
        <is>
          <t>Assess security of SFTP servers, managed file transfer platforms, API gateways, and legacy FTP systems for encryption, authentication, and audit trail controls.</t>
        </is>
      </c>
    </row>
    <row r="3">
      <c r="A3" s="13" t="inlineStr">
        <is>
          <t>System Type</t>
        </is>
      </c>
      <c r="B3" s="13" t="inlineStr">
        <is>
          <t>Control</t>
        </is>
      </c>
      <c r="C3" s="13" t="inlineStr">
        <is>
          <t>Requirement</t>
        </is>
      </c>
      <c r="D3" s="13" t="inlineStr">
        <is>
          <t>Current State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SFTP Server</t>
        </is>
      </c>
      <c r="B4" s="14" t="inlineStr">
        <is>
          <t>Protocol Version</t>
        </is>
      </c>
      <c r="C4" s="14" t="inlineStr">
        <is>
          <t>SSH 2.0 only, deprecated algorithms disabled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SFTP Server</t>
        </is>
      </c>
      <c r="B5" s="14" t="inlineStr">
        <is>
          <t>Authentication</t>
        </is>
      </c>
      <c r="C5" s="14" t="inlineStr">
        <is>
          <t>Key-based auth required, password disabled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SFTP Server</t>
        </is>
      </c>
      <c r="B6" s="14" t="inlineStr">
        <is>
          <t>Access Control</t>
        </is>
      </c>
      <c r="C6" s="14" t="inlineStr">
        <is>
          <t>Chroot jails per user/group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SFTP Server</t>
        </is>
      </c>
      <c r="B7" s="14" t="inlineStr">
        <is>
          <t>Logging</t>
        </is>
      </c>
      <c r="C7" s="14" t="inlineStr">
        <is>
          <t>All transfers logged with user/file/timestamp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SFTP Server</t>
        </is>
      </c>
      <c r="B8" s="14" t="inlineStr">
        <is>
          <t>Encryption</t>
        </is>
      </c>
      <c r="C8" s="14" t="inlineStr">
        <is>
          <t>AES-256-CTR or AES-256-GCM ciphers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MFT Platform</t>
        </is>
      </c>
      <c r="B9" s="14" t="inlineStr">
        <is>
          <t>Encryption at Rest</t>
        </is>
      </c>
      <c r="C9" s="14" t="inlineStr">
        <is>
          <t>Files encrypted with AES-256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MFT Platform</t>
        </is>
      </c>
      <c r="B10" s="14" t="inlineStr">
        <is>
          <t>Encryption in Transit</t>
        </is>
      </c>
      <c r="C10" s="14" t="inlineStr">
        <is>
          <t>TLS 1.2+ or SSH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MFT Platform</t>
        </is>
      </c>
      <c r="B11" s="14" t="inlineStr">
        <is>
          <t>Workflow Automation</t>
        </is>
      </c>
      <c r="C11" s="14" t="inlineStr">
        <is>
          <t>Automated routing based on classification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MFT Platform</t>
        </is>
      </c>
      <c r="B12" s="14" t="inlineStr">
        <is>
          <t>Non-Repudiation</t>
        </is>
      </c>
      <c r="C12" s="14" t="inlineStr">
        <is>
          <t>Digital signatures for transfers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MFT Platform</t>
        </is>
      </c>
      <c r="B13" s="14" t="inlineStr">
        <is>
          <t>Audit Trail</t>
        </is>
      </c>
      <c r="C13" s="14" t="inlineStr">
        <is>
          <t>Complete audit trail with retention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API Gateway</t>
        </is>
      </c>
      <c r="B14" s="14" t="inlineStr">
        <is>
          <t>Authentication</t>
        </is>
      </c>
      <c r="C14" s="14" t="inlineStr">
        <is>
          <t>OAuth 2.0 / mTLS configured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API Gateway</t>
        </is>
      </c>
      <c r="B15" s="14" t="inlineStr">
        <is>
          <t>Rate Limiting</t>
        </is>
      </c>
      <c r="C15" s="14" t="inlineStr">
        <is>
          <t>Rate limits per client enforced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API Gateway</t>
        </is>
      </c>
      <c r="B16" s="14" t="inlineStr">
        <is>
          <t>Input Validation</t>
        </is>
      </c>
      <c r="C16" s="14" t="inlineStr">
        <is>
          <t>Schema validation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API Gateway</t>
        </is>
      </c>
      <c r="B17" s="14" t="inlineStr">
        <is>
          <t>Logging</t>
        </is>
      </c>
      <c r="C17" s="14" t="inlineStr">
        <is>
          <t>All requests logged to SIEM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Legacy FTP</t>
        </is>
      </c>
      <c r="B18" s="14" t="inlineStr">
        <is>
          <t>Encryption</t>
        </is>
      </c>
      <c r="C18" s="14" t="inlineStr">
        <is>
          <t>FTPS (explicit) or FTP over VPN only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Legacy FTP</t>
        </is>
      </c>
      <c r="B19" s="14" t="inlineStr">
        <is>
          <t>Network Isolation</t>
        </is>
      </c>
      <c r="C19" s="14" t="inlineStr">
        <is>
          <t>FTP servers in isolated VLAN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Legacy FTP</t>
        </is>
      </c>
      <c r="B20" s="14" t="inlineStr">
        <is>
          <t>Deprecation Plan</t>
        </is>
      </c>
      <c r="C20" s="14" t="inlineStr">
        <is>
          <t>Migration timeline to secure alternatives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PHYSICAL TRANSFER CHANNELS SECURITY ASSESSMENT</t>
        </is>
      </c>
    </row>
    <row r="2">
      <c r="A2" s="12" t="inlineStr">
        <is>
          <t>Assess security of physical transfer channels including USB/removable media, courier services, internal mail, backup media, and print/fax systems.</t>
        </is>
      </c>
    </row>
    <row r="3">
      <c r="A3" s="13" t="inlineStr">
        <is>
          <t>Channel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Current Practice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USB/Removable Media</t>
        </is>
      </c>
      <c r="B4" s="14" t="inlineStr">
        <is>
          <t>Device Encryption</t>
        </is>
      </c>
      <c r="C4" s="14" t="inlineStr">
        <is>
          <t>Hardware encrypted USB only (FIPS 140-2)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USB/Removable Media</t>
        </is>
      </c>
      <c r="B5" s="14" t="inlineStr">
        <is>
          <t>Device Management</t>
        </is>
      </c>
      <c r="C5" s="14" t="inlineStr">
        <is>
          <t>Approved device list enforced via DLP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USB/Removable Media</t>
        </is>
      </c>
      <c r="B6" s="14" t="inlineStr">
        <is>
          <t>Malware Scanning</t>
        </is>
      </c>
      <c r="C6" s="14" t="inlineStr">
        <is>
          <t>Auto-scan on insertion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USB/Removable Media</t>
        </is>
      </c>
      <c r="B7" s="14" t="inlineStr">
        <is>
          <t>Logging</t>
        </is>
      </c>
      <c r="C7" s="14" t="inlineStr">
        <is>
          <t>All USB connections logged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Courier Services</t>
        </is>
      </c>
      <c r="B8" s="14" t="inlineStr">
        <is>
          <t>Approved Vendors</t>
        </is>
      </c>
      <c r="C8" s="14" t="inlineStr">
        <is>
          <t>Vetted courier list maintained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Courier Services</t>
        </is>
      </c>
      <c r="B9" s="14" t="inlineStr">
        <is>
          <t>Tracking</t>
        </is>
      </c>
      <c r="C9" s="14" t="inlineStr">
        <is>
          <t>Real-time shipment tracking required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Courier Services</t>
        </is>
      </c>
      <c r="B10" s="14" t="inlineStr">
        <is>
          <t>Packaging Standards</t>
        </is>
      </c>
      <c r="C10" s="14" t="inlineStr">
        <is>
          <t>Tamper-evident packaging for CONFIDENTIAL+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Courier Services</t>
        </is>
      </c>
      <c r="B11" s="14" t="inlineStr">
        <is>
          <t>Chain of Custody</t>
        </is>
      </c>
      <c r="C11" s="14" t="inlineStr">
        <is>
          <t>Documented handoff procedures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Internal Mail</t>
        </is>
      </c>
      <c r="B12" s="14" t="inlineStr">
        <is>
          <t>Envelope Security</t>
        </is>
      </c>
      <c r="C12" s="14" t="inlineStr">
        <is>
          <t>Sealed envelopes for INTERNAL+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Internal Mail</t>
        </is>
      </c>
      <c r="B13" s="14" t="inlineStr">
        <is>
          <t>Delivery Confirmation</t>
        </is>
      </c>
      <c r="C13" s="14" t="inlineStr">
        <is>
          <t>Signature required for CONFIDENTIAL+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Backup Media</t>
        </is>
      </c>
      <c r="B14" s="14" t="inlineStr">
        <is>
          <t>Encryption</t>
        </is>
      </c>
      <c r="C14" s="14" t="inlineStr">
        <is>
          <t>All backup tapes encrypted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Backup Media</t>
        </is>
      </c>
      <c r="B15" s="14" t="inlineStr">
        <is>
          <t>Inventory Tracking</t>
        </is>
      </c>
      <c r="C15" s="14" t="inlineStr">
        <is>
          <t>Barcode tracking system active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Backup Media</t>
        </is>
      </c>
      <c r="B16" s="14" t="inlineStr">
        <is>
          <t>Secure Storage</t>
        </is>
      </c>
      <c r="C16" s="14" t="inlineStr">
        <is>
          <t>Fireproof, access-controlled vault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Backup Media</t>
        </is>
      </c>
      <c r="B17" s="14" t="inlineStr">
        <is>
          <t>Transport</t>
        </is>
      </c>
      <c r="C17" s="14" t="inlineStr">
        <is>
          <t>Secure courier for offsite rotation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Print/Fax</t>
        </is>
      </c>
      <c r="B18" s="14" t="inlineStr">
        <is>
          <t>Secure Print</t>
        </is>
      </c>
      <c r="C18" s="14" t="inlineStr">
        <is>
          <t>PIN release for CONFIDENTIAL+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Print/Fax</t>
        </is>
      </c>
      <c r="B19" s="14" t="inlineStr">
        <is>
          <t>Fax Transmission</t>
        </is>
      </c>
      <c r="C19" s="14" t="inlineStr">
        <is>
          <t>Encrypted fax or fax-to-email only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Print/Fax</t>
        </is>
      </c>
      <c r="B20" s="14" t="inlineStr">
        <is>
          <t>Shredding</t>
        </is>
      </c>
      <c r="C20" s="14" t="inlineStr">
        <is>
          <t>Cross-cut shredding for INTERNAL+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2" customWidth="1" min="4" max="4"/>
    <col width="14" customWidth="1" min="5" max="5"/>
    <col width="25" customWidth="1" min="6" max="6"/>
    <col width="18" customWidth="1" min="7" max="7"/>
    <col width="14" customWidth="1" min="8" max="8"/>
    <col width="12" customWidth="1" min="9" max="9"/>
    <col width="18" customWidth="1" min="10" max="10"/>
  </cols>
  <sheetData>
    <row r="1">
      <c r="A1" s="11" t="inlineStr">
        <is>
          <t>TRANSFER CHANNEL RISK ASSESSMENT</t>
        </is>
      </c>
    </row>
    <row r="2">
      <c r="A2" s="12" t="inlineStr">
        <is>
          <t>Assess risk scenarios for each transfer channel including likelihood, impact, inherent risk, control effectiveness, residual risk, and treatment decisions.</t>
        </is>
      </c>
    </row>
    <row r="3">
      <c r="A3" s="13" t="inlineStr">
        <is>
          <t>Channel</t>
        </is>
      </c>
      <c r="B3" s="13" t="inlineStr">
        <is>
          <t>Threat Scenario</t>
        </is>
      </c>
      <c r="C3" s="13" t="inlineStr">
        <is>
          <t>Likelihood</t>
        </is>
      </c>
      <c r="D3" s="13" t="inlineStr">
        <is>
          <t>Impact</t>
        </is>
      </c>
      <c r="E3" s="13" t="inlineStr">
        <is>
          <t>Inherent Risk</t>
        </is>
      </c>
      <c r="F3" s="13" t="inlineStr">
        <is>
          <t>Current Controls</t>
        </is>
      </c>
      <c r="G3" s="13" t="inlineStr">
        <is>
          <t>Control Effectiveness</t>
        </is>
      </c>
      <c r="H3" s="13" t="inlineStr">
        <is>
          <t>Residual Risk</t>
        </is>
      </c>
      <c r="I3" s="13" t="inlineStr">
        <is>
          <t>Treatment</t>
        </is>
      </c>
      <c r="J3" s="13" t="inlineStr">
        <is>
          <t>Owner</t>
        </is>
      </c>
    </row>
    <row r="4">
      <c r="A4" s="14" t="inlineStr">
        <is>
          <t>Corporate Email</t>
        </is>
      </c>
      <c r="B4" s="14" t="inlineStr">
        <is>
          <t>Data interception in transit</t>
        </is>
      </c>
      <c r="C4" s="15" t="inlineStr"/>
      <c r="D4" s="15" t="inlineStr"/>
      <c r="E4" s="15" t="inlineStr"/>
      <c r="F4" s="14" t="inlineStr">
        <is>
          <t>TLS, S/MIME available</t>
        </is>
      </c>
      <c r="G4" s="15" t="inlineStr"/>
      <c r="H4" s="15" t="inlineStr"/>
      <c r="I4" s="15" t="inlineStr"/>
      <c r="J4" s="15" t="inlineStr"/>
    </row>
    <row r="5">
      <c r="A5" s="14" t="inlineStr">
        <is>
          <t>Corporate Email</t>
        </is>
      </c>
      <c r="B5" s="14" t="inlineStr">
        <is>
          <t>Malware distribution via attachment</t>
        </is>
      </c>
      <c r="C5" s="15" t="inlineStr"/>
      <c r="D5" s="15" t="inlineStr"/>
      <c r="E5" s="15" t="inlineStr"/>
      <c r="F5" s="14" t="inlineStr">
        <is>
          <t>ATP scanning, sandbox</t>
        </is>
      </c>
      <c r="G5" s="15" t="inlineStr"/>
      <c r="H5" s="15" t="inlineStr"/>
      <c r="I5" s="15" t="inlineStr"/>
      <c r="J5" s="15" t="inlineStr"/>
    </row>
    <row r="6">
      <c r="A6" s="14" t="inlineStr">
        <is>
          <t>Corporate Email</t>
        </is>
      </c>
      <c r="B6" s="14" t="inlineStr">
        <is>
          <t>Accidental disclosure to wrong recipient</t>
        </is>
      </c>
      <c r="C6" s="15" t="inlineStr"/>
      <c r="D6" s="15" t="inlineStr"/>
      <c r="E6" s="15" t="inlineStr"/>
      <c r="F6" s="14" t="inlineStr">
        <is>
          <t>DLP, address book</t>
        </is>
      </c>
      <c r="G6" s="15" t="inlineStr"/>
      <c r="H6" s="15" t="inlineStr"/>
      <c r="I6" s="15" t="inlineStr"/>
      <c r="J6" s="15" t="inlineStr"/>
    </row>
    <row r="7">
      <c r="A7" s="14" t="inlineStr">
        <is>
          <t>Cloud Storage</t>
        </is>
      </c>
      <c r="B7" s="14" t="inlineStr">
        <is>
          <t>Unauthorised external sharing</t>
        </is>
      </c>
      <c r="C7" s="15" t="inlineStr"/>
      <c r="D7" s="15" t="inlineStr"/>
      <c r="E7" s="15" t="inlineStr"/>
      <c r="F7" s="14" t="inlineStr">
        <is>
          <t>Sharing policies, DLP</t>
        </is>
      </c>
      <c r="G7" s="15" t="inlineStr"/>
      <c r="H7" s="15" t="inlineStr"/>
      <c r="I7" s="15" t="inlineStr"/>
      <c r="J7" s="15" t="inlineStr"/>
    </row>
    <row r="8">
      <c r="A8" s="14" t="inlineStr">
        <is>
          <t>Cloud Storage</t>
        </is>
      </c>
      <c r="B8" s="14" t="inlineStr">
        <is>
          <t>Data breach at provider</t>
        </is>
      </c>
      <c r="C8" s="15" t="inlineStr"/>
      <c r="D8" s="15" t="inlineStr"/>
      <c r="E8" s="15" t="inlineStr"/>
      <c r="F8" s="14" t="inlineStr">
        <is>
          <t>Encryption at rest</t>
        </is>
      </c>
      <c r="G8" s="15" t="inlineStr"/>
      <c r="H8" s="15" t="inlineStr"/>
      <c r="I8" s="15" t="inlineStr"/>
      <c r="J8" s="15" t="inlineStr"/>
    </row>
    <row r="9">
      <c r="A9" s="14" t="inlineStr">
        <is>
          <t>SFTP Server</t>
        </is>
      </c>
      <c r="B9" s="14" t="inlineStr">
        <is>
          <t>Brute force attack on credentials</t>
        </is>
      </c>
      <c r="C9" s="15" t="inlineStr"/>
      <c r="D9" s="15" t="inlineStr"/>
      <c r="E9" s="15" t="inlineStr"/>
      <c r="F9" s="14" t="inlineStr">
        <is>
          <t>Key-based auth, lockout</t>
        </is>
      </c>
      <c r="G9" s="15" t="inlineStr"/>
      <c r="H9" s="15" t="inlineStr"/>
      <c r="I9" s="15" t="inlineStr"/>
      <c r="J9" s="15" t="inlineStr"/>
    </row>
    <row r="10">
      <c r="A10" s="14" t="inlineStr">
        <is>
          <t>SFTP Server</t>
        </is>
      </c>
      <c r="B10" s="14" t="inlineStr">
        <is>
          <t>Data exfiltration by insider</t>
        </is>
      </c>
      <c r="C10" s="15" t="inlineStr"/>
      <c r="D10" s="15" t="inlineStr"/>
      <c r="E10" s="15" t="inlineStr"/>
      <c r="F10" s="14" t="inlineStr">
        <is>
          <t>Logging, access reviews</t>
        </is>
      </c>
      <c r="G10" s="15" t="inlineStr"/>
      <c r="H10" s="15" t="inlineStr"/>
      <c r="I10" s="15" t="inlineStr"/>
      <c r="J10" s="15" t="inlineStr"/>
    </row>
    <row r="11">
      <c r="A11" s="14" t="inlineStr">
        <is>
          <t>USB/Removable Media</t>
        </is>
      </c>
      <c r="B11" s="14" t="inlineStr">
        <is>
          <t>Loss or theft of media</t>
        </is>
      </c>
      <c r="C11" s="15" t="inlineStr"/>
      <c r="D11" s="15" t="inlineStr"/>
      <c r="E11" s="15" t="inlineStr"/>
      <c r="F11" s="14" t="inlineStr">
        <is>
          <t>Device encryption</t>
        </is>
      </c>
      <c r="G11" s="15" t="inlineStr"/>
      <c r="H11" s="15" t="inlineStr"/>
      <c r="I11" s="15" t="inlineStr"/>
      <c r="J11" s="15" t="inlineStr"/>
    </row>
    <row r="12">
      <c r="A12" s="14" t="inlineStr">
        <is>
          <t>USB/Removable Media</t>
        </is>
      </c>
      <c r="B12" s="14" t="inlineStr">
        <is>
          <t>Malware introduction</t>
        </is>
      </c>
      <c r="C12" s="15" t="inlineStr"/>
      <c r="D12" s="15" t="inlineStr"/>
      <c r="E12" s="15" t="inlineStr"/>
      <c r="F12" s="14" t="inlineStr">
        <is>
          <t>Endpoint protection</t>
        </is>
      </c>
      <c r="G12" s="15" t="inlineStr"/>
      <c r="H12" s="15" t="inlineStr"/>
      <c r="I12" s="15" t="inlineStr"/>
      <c r="J12" s="15" t="inlineStr"/>
    </row>
    <row r="13">
      <c r="A13" s="14" t="inlineStr">
        <is>
          <t>Courier Services</t>
        </is>
      </c>
      <c r="B13" s="14" t="inlineStr">
        <is>
          <t>Package interception</t>
        </is>
      </c>
      <c r="C13" s="15" t="inlineStr"/>
      <c r="D13" s="15" t="inlineStr"/>
      <c r="E13" s="15" t="inlineStr"/>
      <c r="F13" s="14" t="inlineStr">
        <is>
          <t>Tamper-evident packaging</t>
        </is>
      </c>
      <c r="G13" s="15" t="inlineStr"/>
      <c r="H13" s="15" t="inlineStr"/>
      <c r="I13" s="15" t="inlineStr"/>
      <c r="J13" s="15" t="inlineStr"/>
    </row>
    <row r="14">
      <c r="A14" s="14" t="inlineStr">
        <is>
          <t>Courier Services</t>
        </is>
      </c>
      <c r="B14" s="14" t="inlineStr">
        <is>
          <t>Delivery to wrong recipient</t>
        </is>
      </c>
      <c r="C14" s="15" t="inlineStr"/>
      <c r="D14" s="15" t="inlineStr"/>
      <c r="E14" s="15" t="inlineStr"/>
      <c r="F14" s="14" t="inlineStr">
        <is>
          <t>Signature verification</t>
        </is>
      </c>
      <c r="G14" s="15" t="inlineStr"/>
      <c r="H14" s="15" t="inlineStr"/>
      <c r="I14" s="15" t="inlineStr"/>
      <c r="J14" s="15" t="inlineStr"/>
    </row>
    <row r="15">
      <c r="A15" s="14" t="inlineStr">
        <is>
          <t>API Gateway</t>
        </is>
      </c>
      <c r="B15" s="14" t="inlineStr">
        <is>
          <t>API key compromise</t>
        </is>
      </c>
      <c r="C15" s="15" t="inlineStr"/>
      <c r="D15" s="15" t="inlineStr"/>
      <c r="E15" s="15" t="inlineStr"/>
      <c r="F15" s="14" t="inlineStr">
        <is>
          <t>Key rotation, mTLS</t>
        </is>
      </c>
      <c r="G15" s="15" t="inlineStr"/>
      <c r="H15" s="15" t="inlineStr"/>
      <c r="I15" s="15" t="inlineStr"/>
      <c r="J15" s="15" t="inlineStr"/>
    </row>
    <row r="16">
      <c r="A16" s="14" t="inlineStr">
        <is>
          <t>Verbal/Phone</t>
        </is>
      </c>
      <c r="B16" s="14" t="inlineStr">
        <is>
          <t>Eavesdropping</t>
        </is>
      </c>
      <c r="C16" s="15" t="inlineStr"/>
      <c r="D16" s="15" t="inlineStr"/>
      <c r="E16" s="15" t="inlineStr"/>
      <c r="F16" s="14" t="inlineStr">
        <is>
          <t>Secure rooms, awareness</t>
        </is>
      </c>
      <c r="G16" s="15" t="inlineStr"/>
      <c r="H16" s="15" t="inlineStr"/>
      <c r="I16" s="15" t="inlineStr"/>
      <c r="J16" s="15" t="inlineStr"/>
    </row>
    <row r="17">
      <c r="A17" s="14" t="inlineStr">
        <is>
          <t>Fax</t>
        </is>
      </c>
      <c r="B17" s="14" t="inlineStr">
        <is>
          <t>Transmission interception</t>
        </is>
      </c>
      <c r="C17" s="15" t="inlineStr"/>
      <c r="D17" s="15" t="inlineStr"/>
      <c r="E17" s="15" t="inlineStr"/>
      <c r="F17" s="14" t="inlineStr">
        <is>
          <t>Encrypted fax</t>
        </is>
      </c>
      <c r="G17" s="15" t="inlineStr"/>
      <c r="H17" s="15" t="inlineStr"/>
      <c r="I17" s="15" t="inlineStr"/>
      <c r="J17" s="15" t="inlineStr"/>
    </row>
  </sheetData>
  <mergeCells count="2">
    <mergeCell ref="A1:J1"/>
    <mergeCell ref="A2:J2"/>
  </mergeCells>
  <dataValidations count="6">
    <dataValidation sqref="C4:C23" showDropDown="0" showInputMessage="1" showErrorMessage="0" allowBlank="1" type="list">
      <formula1>"Rare,Unlikely,Possible,Likely,Almost Certain"</formula1>
    </dataValidation>
    <dataValidation sqref="D4:D23" showDropDown="0" showInputMessage="1" showErrorMessage="0" allowBlank="1" type="list">
      <formula1>"Negligible,Minor,Moderate,Major,Severe"</formula1>
    </dataValidation>
    <dataValidation sqref="E4:E23" showDropDown="0" showInputMessage="1" showErrorMessage="0" allowBlank="1" type="list">
      <formula1>"Low,Medium,High,Critical"</formula1>
    </dataValidation>
    <dataValidation sqref="G4:G23" showDropDown="0" showInputMessage="1" showErrorMessage="0" allowBlank="1" type="list">
      <formula1>"Effective,Partially Effective,Ineffective,Not Assessed"</formula1>
    </dataValidation>
    <dataValidation sqref="H4:H23" showDropDown="0" showInputMessage="1" showErrorMessage="0" allowBlank="1" type="list">
      <formula1>"Low,Medium,High,Critical"</formula1>
    </dataValidation>
    <dataValidation sqref="I4:I23" showDropDown="0" showInputMessage="1" showErrorMessage="0" allowBlank="1" type="list">
      <formula1>"Accept,Mitigate,Transfer,Avoid"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2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Assessment</t>
        </is>
      </c>
      <c r="E4" s="18" t="inlineStr">
        <is>
          <t>File Location</t>
        </is>
      </c>
      <c r="F4" s="18" t="inlineStr">
        <is>
          <t>Collection Date</t>
        </is>
      </c>
      <c r="G4" s="18" t="inlineStr">
        <is>
          <t>Collected By</t>
        </is>
      </c>
      <c r="H4" s="18" t="inlineStr">
        <is>
          <t>Status</t>
        </is>
      </c>
    </row>
    <row r="5">
      <c r="A5" s="19" t="inlineStr">
        <is>
          <t>EV-514-CSA-001</t>
        </is>
      </c>
      <c r="B5" s="19" t="inlineStr">
        <is>
          <t>Configuration Export</t>
        </is>
      </c>
      <c r="C5" s="19" t="inlineStr">
        <is>
          <t>Email transport rules and encryption settings</t>
        </is>
      </c>
      <c r="D5" s="19" t="inlineStr">
        <is>
          <t>Email Assessment</t>
        </is>
      </c>
      <c r="E5" s="19" t="inlineStr"/>
      <c r="F5" s="19" t="inlineStr"/>
      <c r="G5" s="19" t="inlineStr"/>
      <c r="H5" s="19" t="inlineStr">
        <is>
          <t>Collected</t>
        </is>
      </c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"Configuration Export,Screenshot,Audit Report,Policy Document,Certificate,Test Report,Other"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6" t="inlineStr">
        <is>
          <t>CHANNEL SECURITY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Email, Cloud, File Transfer, Physical and Risk Assessment</t>
        </is>
      </c>
    </row>
    <row r="4" ht="20" customHeight="1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Email Assessment</t>
        </is>
      </c>
      <c r="B6" s="24">
        <f>COUNTA('Email Assessment'!D4:D50)</f>
        <v/>
      </c>
      <c r="C6" s="24">
        <f>COUNTIF('Email Assessment'!E4:E50,"Compliant")</f>
        <v/>
      </c>
      <c r="D6" s="24">
        <f>COUNTIF('Email Assessment'!E4:E50,"Partial")</f>
        <v/>
      </c>
      <c r="E6" s="24">
        <f>COUNTIF('Email Assessment'!E4:E50,"Non-Compliant")</f>
        <v/>
      </c>
      <c r="F6" s="24">
        <f>COUNTIF('Email Assessment'!E4:E50,"N/A")</f>
        <v/>
      </c>
      <c r="G6" s="25">
        <f>IFERROR(IF((B6-F6)=0,0,C6/(B6-F6)),"")</f>
        <v/>
      </c>
    </row>
    <row r="7">
      <c r="A7" s="23" t="inlineStr">
        <is>
          <t>Cloud Services</t>
        </is>
      </c>
      <c r="B7" s="24">
        <f>COUNTA('Cloud Services'!D4:D50)</f>
        <v/>
      </c>
      <c r="C7" s="24">
        <f>COUNTIF('Cloud Services'!E4:E50,"Compliant")</f>
        <v/>
      </c>
      <c r="D7" s="24">
        <f>COUNTIF('Cloud Services'!E4:E50,"Partial")</f>
        <v/>
      </c>
      <c r="E7" s="24">
        <f>COUNTIF('Cloud Services'!E4:E50,"Non-Compliant")</f>
        <v/>
      </c>
      <c r="F7" s="24">
        <f>COUNTIF('Cloud Services'!E4:E50,"N/A")</f>
        <v/>
      </c>
      <c r="G7" s="25">
        <f>IFERROR(IF((B7-F7)=0,0,C7/(B7-F7)),"")</f>
        <v/>
      </c>
    </row>
    <row r="8">
      <c r="A8" s="23" t="inlineStr">
        <is>
          <t>File Transfer</t>
        </is>
      </c>
      <c r="B8" s="24">
        <f>COUNTA('File Transfer'!D4:D50)</f>
        <v/>
      </c>
      <c r="C8" s="24">
        <f>COUNTIF('File Transfer'!E4:E50,"Compliant")</f>
        <v/>
      </c>
      <c r="D8" s="24">
        <f>COUNTIF('File Transfer'!E4:E50,"Partial")</f>
        <v/>
      </c>
      <c r="E8" s="24">
        <f>COUNTIF('File Transfer'!E4:E50,"Non-Compliant")</f>
        <v/>
      </c>
      <c r="F8" s="24">
        <f>COUNTIF('File Transfer'!E4:E50,"N/A")</f>
        <v/>
      </c>
      <c r="G8" s="25">
        <f>IFERROR(IF((B8-F8)=0,0,C8/(B8-F8)),"")</f>
        <v/>
      </c>
    </row>
    <row r="9">
      <c r="A9" s="23" t="inlineStr">
        <is>
          <t>Physical Channels</t>
        </is>
      </c>
      <c r="B9" s="24">
        <f>COUNTA('Physical Channels'!D4:D50)</f>
        <v/>
      </c>
      <c r="C9" s="24">
        <f>COUNTIF('Physical Channels'!E4:E50,"Compliant")</f>
        <v/>
      </c>
      <c r="D9" s="24">
        <f>COUNTIF('Physical Channels'!E4:E50,"Partial")</f>
        <v/>
      </c>
      <c r="E9" s="24">
        <f>COUNTIF('Physical Channels'!E4:E50,"Non-Compliant")</f>
        <v/>
      </c>
      <c r="F9" s="24">
        <f>COUNTIF('Physical Channels'!E4:E50,"N/A")</f>
        <v/>
      </c>
      <c r="G9" s="25">
        <f>IFERROR(IF((B9-F9)=0,0,C9/(B9-F9)),"")</f>
        <v/>
      </c>
    </row>
    <row r="10">
      <c r="A10" s="23" t="inlineStr">
        <is>
          <t>Risk Assessment</t>
        </is>
      </c>
      <c r="B10" s="24">
        <f>COUNTA('Risk Assessment'!B4:B50)</f>
        <v/>
      </c>
      <c r="C10" s="24">
        <f>COUNTIF('Risk Assessment'!E4:E50,"Low")</f>
        <v/>
      </c>
      <c r="D10" s="24">
        <f>COUNTIF('Risk Assessment'!E4:E50,"Medium")+COUNTIF('Risk Assessment'!E4:E50,"High")</f>
        <v/>
      </c>
      <c r="E10" s="24">
        <f>COUNTIF('Risk Assessment'!E4:E50,"Critical")</f>
        <v/>
      </c>
      <c r="F10" s="24" t="inlineStr">
        <is>
          <t>0</t>
        </is>
      </c>
      <c r="G10" s="25">
        <f>IFERROR(IF((B10-F10)=0,0,C10/(B10-F10)),"")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IFERROR(IF((B11-F11)=0,0,C11/(B11-F11)),"")</f>
        <v/>
      </c>
    </row>
    <row r="13" ht="20" customHeight="1">
      <c r="A13" s="21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23" t="inlineStr">
        <is>
          <t>Email Controls Assessed</t>
        </is>
      </c>
      <c r="B15" s="24">
        <f>COUNTA('Email Assessment'!D4:D50)</f>
        <v/>
      </c>
      <c r="C15" s="6" t="n"/>
      <c r="D15" s="6" t="n"/>
      <c r="E15" s="6" t="n"/>
      <c r="F15" s="6" t="n"/>
      <c r="G15" s="6" t="n"/>
    </row>
    <row r="16">
      <c r="A16" s="23" t="inlineStr">
        <is>
          <t>Email Controls Compliant</t>
        </is>
      </c>
      <c r="B16" s="24">
        <f>COUNTIF('Email Assessment'!E4:E50,"Compliant")</f>
        <v/>
      </c>
      <c r="C16" s="6" t="n"/>
      <c r="D16" s="6" t="n"/>
      <c r="E16" s="6" t="n"/>
      <c r="F16" s="6" t="n"/>
      <c r="G16" s="6" t="n"/>
    </row>
    <row r="17">
      <c r="A17" s="23" t="inlineStr">
        <is>
          <t>Email Critical Priority Gaps</t>
        </is>
      </c>
      <c r="B17" s="24">
        <f>COUNTIF('Email Assessment'!I4:I50,"Critical")</f>
        <v/>
      </c>
      <c r="C17" s="6" t="n"/>
      <c r="D17" s="6" t="n"/>
      <c r="E17" s="6" t="n"/>
      <c r="F17" s="6" t="n"/>
      <c r="G17" s="6" t="n"/>
    </row>
    <row r="18">
      <c r="A18" s="23" t="inlineStr">
        <is>
          <t>Cloud Services Controls Compliant</t>
        </is>
      </c>
      <c r="B18" s="24">
        <f>COUNTIF('Cloud Services'!E4:E50,"Compliant")</f>
        <v/>
      </c>
      <c r="C18" s="6" t="n"/>
      <c r="D18" s="6" t="n"/>
      <c r="E18" s="6" t="n"/>
      <c r="F18" s="6" t="n"/>
      <c r="G18" s="6" t="n"/>
    </row>
    <row r="19">
      <c r="A19" s="23" t="inlineStr">
        <is>
          <t>Cloud Services Non-Compliant Controls</t>
        </is>
      </c>
      <c r="B19" s="24">
        <f>COUNTIF('Cloud Services'!E4:E50,"Non-Compliant")</f>
        <v/>
      </c>
      <c r="C19" s="6" t="n"/>
      <c r="D19" s="6" t="n"/>
      <c r="E19" s="6" t="n"/>
      <c r="F19" s="6" t="n"/>
      <c r="G19" s="6" t="n"/>
    </row>
    <row r="20">
      <c r="A20" s="23" t="inlineStr">
        <is>
          <t>File Transfer Controls Compliant</t>
        </is>
      </c>
      <c r="B20" s="24">
        <f>COUNTIF('File Transfer'!E4:E50,"Compliant")</f>
        <v/>
      </c>
      <c r="C20" s="6" t="n"/>
      <c r="D20" s="6" t="n"/>
      <c r="E20" s="6" t="n"/>
      <c r="F20" s="6" t="n"/>
      <c r="G20" s="6" t="n"/>
    </row>
    <row r="21">
      <c r="A21" s="23" t="inlineStr">
        <is>
          <t>Physical Channels Compliant</t>
        </is>
      </c>
      <c r="B21" s="24">
        <f>COUNTIF('Physical Channels'!E4:E50,"Compliant")</f>
        <v/>
      </c>
      <c r="C21" s="6" t="n"/>
      <c r="D21" s="6" t="n"/>
      <c r="E21" s="6" t="n"/>
      <c r="F21" s="6" t="n"/>
      <c r="G21" s="6" t="n"/>
    </row>
    <row r="22">
      <c r="A22" s="23" t="inlineStr">
        <is>
          <t>Risk Scenarios Assessed</t>
        </is>
      </c>
      <c r="B22" s="24">
        <f>COUNTA('Risk Assessment'!B4:B50)</f>
        <v/>
      </c>
      <c r="C22" s="6" t="n"/>
      <c r="D22" s="6" t="n"/>
      <c r="E22" s="6" t="n"/>
      <c r="F22" s="6" t="n"/>
      <c r="G22" s="6" t="n"/>
    </row>
    <row r="23">
      <c r="A23" s="23" t="inlineStr">
        <is>
          <t>Critical Inherent Risks</t>
        </is>
      </c>
      <c r="B23" s="24">
        <f>COUNTIF('Risk Assessment'!E4:E50,"Critical")</f>
        <v/>
      </c>
      <c r="C23" s="6" t="n"/>
      <c r="D23" s="6" t="n"/>
      <c r="E23" s="6" t="n"/>
      <c r="F23" s="6" t="n"/>
      <c r="G23" s="6" t="n"/>
    </row>
    <row r="24">
      <c r="A24" s="23" t="inlineStr">
        <is>
          <t>High/Critical Residual Risks</t>
        </is>
      </c>
      <c r="B24" s="24">
        <f>COUNTIF('Risk Assessment'!H4:H50,"High")+COUNTIF('Risk Assessment'!H4:H50,"Critical")</f>
        <v/>
      </c>
      <c r="C24" s="6" t="n"/>
      <c r="D24" s="6" t="n"/>
      <c r="E24" s="6" t="n"/>
      <c r="F24" s="6" t="n"/>
      <c r="G24" s="6" t="n"/>
    </row>
    <row r="25">
      <c r="A25" s="23" t="inlineStr">
        <is>
          <t>Ineffective Controls Identified</t>
        </is>
      </c>
      <c r="B25" s="24">
        <f>COUNTIF('Risk Assessment'!G4:G50,"Ineffective")</f>
        <v/>
      </c>
      <c r="C25" s="6" t="n"/>
      <c r="D25" s="6" t="n"/>
      <c r="E25" s="6" t="n"/>
      <c r="F25" s="6" t="n"/>
      <c r="G25" s="6" t="n"/>
    </row>
    <row r="26">
      <c r="A26" s="23" t="inlineStr">
        <is>
          <t>Risks with Accept Treatment</t>
        </is>
      </c>
      <c r="B26" s="24">
        <f>COUNTIF('Risk Assessment'!I4:I50,"Accept")</f>
        <v/>
      </c>
      <c r="C26" s="6" t="n"/>
      <c r="D26" s="6" t="n"/>
      <c r="E26" s="6" t="n"/>
      <c r="F26" s="6" t="n"/>
      <c r="G26" s="6" t="n"/>
    </row>
    <row r="27">
      <c r="A27" s="23" t="inlineStr">
        <is>
          <t>Total High/Critical Priority Gaps (All Channels)</t>
        </is>
      </c>
      <c r="B27" s="24">
        <f>COUNTIF('Email Assessment'!I4:I50,"Critical")+COUNTIF('Email Assessment'!I4:I50,"High")+COUNTIF('Cloud Services'!I4:I50,"Critical")+COUNTIF('Cloud Services'!I4:I50,"High")+COUNTIF('File Transfer'!I4:I50,"Critical")+COUNTIF('File Transfer'!I4:I50,"High")+COUNTIF('Physical Channels'!I4:I50,"Critical")+COUNTIF('Physical Channels'!I4:I50,"High")</f>
        <v/>
      </c>
      <c r="C27" s="6" t="n"/>
      <c r="D27" s="6" t="n"/>
      <c r="E27" s="6" t="n"/>
      <c r="F27" s="6" t="n"/>
      <c r="G27" s="6" t="n"/>
    </row>
    <row r="28">
      <c r="A28" s="23" t="inlineStr">
        <is>
          <t>Evidence Items Collected</t>
        </is>
      </c>
      <c r="B28" s="24">
        <f>COUNTA('Evidence Register'!A6:A105)</f>
        <v/>
      </c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2" ht="20" customHeight="1">
      <c r="A32" s="29" t="inlineStr">
        <is>
          <t>TABLE 3: CRITICAL FINDINGS REQUIRING IMMEDIATE ATTENTION</t>
        </is>
      </c>
      <c r="B32" s="6" t="n"/>
      <c r="C32" s="6" t="n"/>
      <c r="D32" s="6" t="n"/>
      <c r="E32" s="6" t="n"/>
      <c r="F32" s="6" t="n"/>
      <c r="G32" s="6" t="n"/>
    </row>
    <row r="33">
      <c r="A33" s="27" t="inlineStr">
        <is>
          <t>Category</t>
        </is>
      </c>
      <c r="B33" s="27" t="inlineStr">
        <is>
          <t>Finding</t>
        </is>
      </c>
      <c r="C33" s="27" t="inlineStr">
        <is>
          <t>Count</t>
        </is>
      </c>
      <c r="D33" s="27" t="inlineStr">
        <is>
          <t>Severity</t>
        </is>
      </c>
      <c r="E33" s="27" t="inlineStr">
        <is>
          <t>Action Required</t>
        </is>
      </c>
      <c r="F33" s="27" t="n"/>
      <c r="G33" s="27" t="n"/>
    </row>
    <row r="34">
      <c r="A34" s="30" t="inlineStr">
        <is>
          <t>Email Security</t>
        </is>
      </c>
      <c r="B34" s="30" t="inlineStr">
        <is>
          <t>Email controls Non-Compliant</t>
        </is>
      </c>
      <c r="C34" s="31">
        <f>COUNTIF('Email Assessment'!E4:E50,"Non-Compliant")</f>
        <v/>
      </c>
      <c r="D34" s="30" t="inlineStr">
        <is>
          <t>Critical</t>
        </is>
      </c>
      <c r="E34" s="30" t="inlineStr">
        <is>
          <t>Immediate</t>
        </is>
      </c>
      <c r="F34" s="30" t="n"/>
      <c r="G34" s="30" t="n"/>
    </row>
    <row r="35">
      <c r="A35" s="30" t="inlineStr">
        <is>
          <t>Email Security</t>
        </is>
      </c>
      <c r="B35" s="30" t="inlineStr">
        <is>
          <t>Email critical priority gaps</t>
        </is>
      </c>
      <c r="C35" s="31">
        <f>COUNTIF('Email Assessment'!I4:I50,"Critical")</f>
        <v/>
      </c>
      <c r="D35" s="30" t="inlineStr">
        <is>
          <t>Critical</t>
        </is>
      </c>
      <c r="E35" s="30" t="inlineStr">
        <is>
          <t>Immediate</t>
        </is>
      </c>
      <c r="F35" s="30" t="n"/>
      <c r="G35" s="30" t="n"/>
    </row>
    <row r="36">
      <c r="A36" s="30" t="inlineStr">
        <is>
          <t>Cloud Services</t>
        </is>
      </c>
      <c r="B36" s="30" t="inlineStr">
        <is>
          <t>Cloud controls Non-Compliant</t>
        </is>
      </c>
      <c r="C36" s="31">
        <f>COUNTIF('Cloud Services'!E4:E50,"Non-Compliant")</f>
        <v/>
      </c>
      <c r="D36" s="30" t="inlineStr">
        <is>
          <t>Critical</t>
        </is>
      </c>
      <c r="E36" s="30" t="inlineStr">
        <is>
          <t>Immediate</t>
        </is>
      </c>
      <c r="F36" s="30" t="n"/>
      <c r="G36" s="30" t="n"/>
    </row>
    <row r="37">
      <c r="A37" s="30" t="inlineStr">
        <is>
          <t>Cloud Services</t>
        </is>
      </c>
      <c r="B37" s="30" t="inlineStr">
        <is>
          <t>Cloud critical priority gaps</t>
        </is>
      </c>
      <c r="C37" s="31">
        <f>COUNTIF('Cloud Services'!I4:I50,"Critical")</f>
        <v/>
      </c>
      <c r="D37" s="30" t="inlineStr">
        <is>
          <t>Critical</t>
        </is>
      </c>
      <c r="E37" s="30" t="inlineStr">
        <is>
          <t>Immediate</t>
        </is>
      </c>
      <c r="F37" s="30" t="n"/>
      <c r="G37" s="30" t="n"/>
    </row>
    <row r="38">
      <c r="A38" s="30" t="inlineStr">
        <is>
          <t>File Transfer</t>
        </is>
      </c>
      <c r="B38" s="30" t="inlineStr">
        <is>
          <t>File transfer controls Non-Compliant</t>
        </is>
      </c>
      <c r="C38" s="31">
        <f>COUNTIF('File Transfer'!E4:E50,"Non-Compliant")</f>
        <v/>
      </c>
      <c r="D38" s="30" t="inlineStr">
        <is>
          <t>High</t>
        </is>
      </c>
      <c r="E38" s="30" t="inlineStr">
        <is>
          <t>Urgent</t>
        </is>
      </c>
      <c r="F38" s="30" t="n"/>
      <c r="G38" s="30" t="n"/>
    </row>
    <row r="39">
      <c r="A39" s="30" t="inlineStr">
        <is>
          <t>Physical Channels</t>
        </is>
      </c>
      <c r="B39" s="30" t="inlineStr">
        <is>
          <t>Physical channel controls Non-Compliant</t>
        </is>
      </c>
      <c r="C39" s="31">
        <f>COUNTIF('Physical Channels'!E4:E50,"Non-Compliant")</f>
        <v/>
      </c>
      <c r="D39" s="30" t="inlineStr">
        <is>
          <t>High</t>
        </is>
      </c>
      <c r="E39" s="30" t="inlineStr">
        <is>
          <t>Urgent</t>
        </is>
      </c>
      <c r="F39" s="30" t="n"/>
      <c r="G39" s="30" t="n"/>
    </row>
    <row r="40">
      <c r="A40" s="30" t="inlineStr">
        <is>
          <t>Risk Assessment</t>
        </is>
      </c>
      <c r="B40" s="30" t="inlineStr">
        <is>
          <t>Critical inherent risks identified</t>
        </is>
      </c>
      <c r="C40" s="31">
        <f>COUNTIF('Risk Assessment'!E4:E50,"Critical")</f>
        <v/>
      </c>
      <c r="D40" s="30" t="inlineStr">
        <is>
          <t>Critical</t>
        </is>
      </c>
      <c r="E40" s="30" t="inlineStr">
        <is>
          <t>Immediate</t>
        </is>
      </c>
      <c r="F40" s="30" t="n"/>
      <c r="G40" s="30" t="n"/>
    </row>
    <row r="41">
      <c r="A41" s="30" t="inlineStr">
        <is>
          <t>Risk Assessment</t>
        </is>
      </c>
      <c r="B41" s="30" t="inlineStr">
        <is>
          <t>High/Critical residual risks</t>
        </is>
      </c>
      <c r="C41" s="31">
        <f>COUNTIF('Risk Assessment'!H4:H50,"High")+COUNTIF('Risk Assessment'!H4:H50,"Critical")</f>
        <v/>
      </c>
      <c r="D41" s="30" t="inlineStr">
        <is>
          <t>High</t>
        </is>
      </c>
      <c r="E41" s="30" t="inlineStr">
        <is>
          <t>Urgent</t>
        </is>
      </c>
      <c r="F41" s="30" t="n"/>
      <c r="G41" s="30" t="n"/>
    </row>
    <row r="42">
      <c r="A42" s="30" t="inlineStr">
        <is>
          <t>Risk Assessment</t>
        </is>
      </c>
      <c r="B42" s="30" t="inlineStr">
        <is>
          <t>Ineffective controls in risk register</t>
        </is>
      </c>
      <c r="C42" s="31">
        <f>COUNTIF('Risk Assessment'!G4:G50,"Ineffective")</f>
        <v/>
      </c>
      <c r="D42" s="30" t="inlineStr">
        <is>
          <t>High</t>
        </is>
      </c>
      <c r="E42" s="30" t="inlineStr">
        <is>
          <t>Urgent</t>
        </is>
      </c>
      <c r="F42" s="30" t="n"/>
      <c r="G42" s="30" t="n"/>
    </row>
    <row r="43">
      <c r="A43" s="30" t="inlineStr">
        <is>
          <t>All Channels</t>
        </is>
      </c>
      <c r="B43" s="30" t="inlineStr">
        <is>
          <t>Total critical priority gaps across all channels</t>
        </is>
      </c>
      <c r="C43" s="31">
        <f>COUNTIF('Email Assessment'!I4:I50,"Critical")+COUNTIF('Cloud Services'!I4:I50,"Critical")+COUNTIF('File Transfer'!I4:I50,"Critical")+COUNTIF('Physical Channels'!I4:I50,"Critical")</f>
        <v/>
      </c>
      <c r="D43" s="30" t="inlineStr">
        <is>
          <t>Critical</t>
        </is>
      </c>
      <c r="E43" s="30" t="inlineStr">
        <is>
          <t>Immediate</t>
        </is>
      </c>
      <c r="F43" s="30" t="n"/>
      <c r="G43" s="30" t="n"/>
    </row>
    <row r="44">
      <c r="A44" s="32" t="n"/>
      <c r="B44" s="32" t="n"/>
      <c r="C44" s="32" t="n"/>
      <c r="D44" s="32" t="n"/>
      <c r="E44" s="32" t="n"/>
      <c r="F44" s="32" t="n"/>
      <c r="G44" s="32" t="n"/>
    </row>
    <row r="45">
      <c r="A45" s="32" t="n"/>
      <c r="B45" s="32" t="n"/>
      <c r="C45" s="32" t="n"/>
      <c r="D45" s="32" t="n"/>
      <c r="E45" s="32" t="n"/>
      <c r="F45" s="32" t="n"/>
      <c r="G45" s="32" t="n"/>
    </row>
  </sheetData>
  <mergeCells count="5">
    <mergeCell ref="A32:G32"/>
    <mergeCell ref="A13:G13"/>
    <mergeCell ref="A1:G1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3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4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ISMS-IMP-A.5.14.2 - Channel Security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32" t="inlineStr"/>
      <c r="C5" s="6" t="n"/>
      <c r="D5" s="6" t="n"/>
      <c r="E5" s="6" t="n"/>
    </row>
    <row r="6">
      <c r="A6" s="3" t="inlineStr">
        <is>
          <t>Overall Compliance Rating:</t>
        </is>
      </c>
      <c r="B6" s="35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2" t="inlineStr"/>
      <c r="C7" s="6" t="n"/>
      <c r="D7" s="6" t="n"/>
      <c r="E7" s="6" t="n"/>
    </row>
    <row r="8">
      <c r="A8" s="3" t="inlineStr">
        <is>
          <t>Assessed By:</t>
        </is>
      </c>
      <c r="B8" s="32" t="inlineStr"/>
      <c r="C8" s="6" t="n"/>
      <c r="D8" s="6" t="n"/>
      <c r="E8" s="6" t="n"/>
    </row>
    <row r="11">
      <c r="A11" s="34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2" t="n"/>
      <c r="C12" s="6" t="n"/>
      <c r="D12" s="6" t="n"/>
      <c r="E12" s="6" t="n"/>
    </row>
    <row r="13">
      <c r="A13" s="3" t="inlineStr">
        <is>
          <t>Title:</t>
        </is>
      </c>
      <c r="B13" s="32" t="n"/>
      <c r="C13" s="6" t="n"/>
      <c r="D13" s="6" t="n"/>
      <c r="E13" s="6" t="n"/>
    </row>
    <row r="14">
      <c r="A14" s="3" t="inlineStr">
        <is>
          <t>Date:</t>
        </is>
      </c>
      <c r="B14" s="32" t="n"/>
      <c r="C14" s="6" t="n"/>
      <c r="D14" s="6" t="n"/>
      <c r="E14" s="6" t="n"/>
    </row>
    <row r="15">
      <c r="A15" s="3" t="inlineStr">
        <is>
          <t>Signature:</t>
        </is>
      </c>
      <c r="B15" s="32" t="n"/>
      <c r="C15" s="6" t="n"/>
      <c r="D15" s="6" t="n"/>
      <c r="E15" s="6" t="n"/>
    </row>
    <row r="16">
      <c r="A16" s="3" t="inlineStr">
        <is>
          <t>Comments:</t>
        </is>
      </c>
      <c r="B16" s="32" t="n"/>
      <c r="C16" s="6" t="n"/>
      <c r="D16" s="6" t="n"/>
      <c r="E16" s="6" t="n"/>
    </row>
    <row r="18">
      <c r="A18" s="3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2" t="n"/>
      <c r="C19" s="6" t="n"/>
      <c r="D19" s="6" t="n"/>
      <c r="E19" s="6" t="n"/>
    </row>
    <row r="20">
      <c r="A20" s="3" t="inlineStr">
        <is>
          <t>Title:</t>
        </is>
      </c>
      <c r="B20" s="32" t="n"/>
      <c r="C20" s="6" t="n"/>
      <c r="D20" s="6" t="n"/>
      <c r="E20" s="6" t="n"/>
    </row>
    <row r="21">
      <c r="A21" s="3" t="inlineStr">
        <is>
          <t>Date:</t>
        </is>
      </c>
      <c r="B21" s="32" t="n"/>
      <c r="C21" s="6" t="n"/>
      <c r="D21" s="6" t="n"/>
      <c r="E21" s="6" t="n"/>
    </row>
    <row r="22">
      <c r="A22" s="3" t="inlineStr">
        <is>
          <t>Signature:</t>
        </is>
      </c>
      <c r="B22" s="32" t="n"/>
      <c r="C22" s="6" t="n"/>
      <c r="D22" s="6" t="n"/>
      <c r="E22" s="6" t="n"/>
    </row>
    <row r="23">
      <c r="A23" s="3" t="inlineStr">
        <is>
          <t>Comments:</t>
        </is>
      </c>
      <c r="B23" s="32" t="n"/>
      <c r="C23" s="6" t="n"/>
      <c r="D23" s="6" t="n"/>
      <c r="E23" s="6" t="n"/>
    </row>
    <row r="25">
      <c r="A25" s="21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2" t="n"/>
      <c r="C26" s="6" t="n"/>
      <c r="D26" s="6" t="n"/>
      <c r="E26" s="6" t="n"/>
    </row>
    <row r="27">
      <c r="A27" s="3" t="inlineStr">
        <is>
          <t>Title:</t>
        </is>
      </c>
      <c r="B27" s="32" t="n"/>
      <c r="C27" s="6" t="n"/>
      <c r="D27" s="6" t="n"/>
      <c r="E27" s="6" t="n"/>
    </row>
    <row r="28">
      <c r="A28" s="3" t="inlineStr">
        <is>
          <t>Date:</t>
        </is>
      </c>
      <c r="B28" s="32" t="n"/>
      <c r="C28" s="6" t="n"/>
      <c r="D28" s="6" t="n"/>
      <c r="E28" s="6" t="n"/>
    </row>
    <row r="29">
      <c r="A29" s="3" t="inlineStr">
        <is>
          <t>Signature:</t>
        </is>
      </c>
      <c r="B29" s="32" t="n"/>
      <c r="C29" s="6" t="n"/>
      <c r="D29" s="6" t="n"/>
      <c r="E29" s="6" t="n"/>
    </row>
    <row r="30">
      <c r="A30" s="3" t="inlineStr">
        <is>
          <t>Comments:</t>
        </is>
      </c>
      <c r="B30" s="32" t="n"/>
      <c r="C30" s="6" t="n"/>
      <c r="D30" s="6" t="n"/>
      <c r="E30" s="6" t="n"/>
    </row>
    <row r="32">
      <c r="A32" s="3" t="inlineStr">
        <is>
          <t>FINAL DECISION:</t>
        </is>
      </c>
      <c r="B32" s="32" t="n"/>
      <c r="C32" s="6" t="n"/>
      <c r="D32" s="6" t="n"/>
      <c r="E32" s="6" t="n"/>
    </row>
    <row r="35">
      <c r="A35" s="34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2" t="n"/>
      <c r="C36" s="6" t="n"/>
      <c r="D36" s="6" t="n"/>
      <c r="E36" s="6" t="n"/>
    </row>
    <row r="37">
      <c r="A37" s="3" t="inlineStr">
        <is>
          <t>Review Responsible:</t>
        </is>
      </c>
      <c r="B37" s="32" t="n"/>
      <c r="C37" s="6" t="n"/>
      <c r="D37" s="6" t="n"/>
      <c r="E37" s="6" t="n"/>
    </row>
    <row r="38">
      <c r="A38" s="3" t="inlineStr">
        <is>
          <t>Special Considerations:</t>
        </is>
      </c>
      <c r="B38" s="32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ISMS-IMP-A.5.14.2 — Channel Security Assessment</dc:title>
  <dc:description xmlns:dc="http://purl.org/dc/elements/1.1/">ISMS Implementation Workbook — ISMS-IMP-A.5.14.2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2026-03-01T16:57:15Z</dcterms:created>
  <dcterms:modified xmlns:dcterms="http://purl.org/dc/terms/" xmlns:xsi="http://www.w3.org/2001/XMLSchema-instance" xsi:type="dcterms:W3CDTF">2026-03-01T16:57:15Z</dcterms:modified>
</cp:coreProperties>
</file>