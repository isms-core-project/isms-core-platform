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ansfer Policy" sheetId="2" state="visible" r:id="rId2"/>
    <sheet xmlns:r="http://schemas.openxmlformats.org/officeDocument/2006/relationships" name="Transfer Methods" sheetId="3" state="visible" r:id="rId3"/>
    <sheet xmlns:r="http://schemas.openxmlformats.org/officeDocument/2006/relationships" name="Electronic Transfer" sheetId="4" state="visible" r:id="rId4"/>
    <sheet xmlns:r="http://schemas.openxmlformats.org/officeDocument/2006/relationships" name="Physical Transfer" sheetId="5" state="visible" r:id="rId5"/>
    <sheet xmlns:r="http://schemas.openxmlformats.org/officeDocument/2006/relationships" name="Verbal Transfer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b val="1"/>
      <color rgb="00000000"/>
    </font>
    <font>
      <name val="Calibri"/>
      <color rgb="00000000"/>
    </font>
  </fonts>
  <fills count="1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6" fillId="8" borderId="1" pivotButton="0" quotePrefix="0" xfId="0"/>
    <xf numFmtId="0" fontId="11" fillId="15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5" borderId="1" pivotButton="0" quotePrefix="0" xfId="0"/>
    <xf numFmtId="0" fontId="11" fillId="15" borderId="1" applyAlignment="1" pivotButton="0" quotePrefix="0" xfId="0">
      <alignment horizontal="center"/>
    </xf>
    <xf numFmtId="164" fontId="11" fillId="15" borderId="1" applyAlignment="1" pivotButton="0" quotePrefix="0" xfId="0">
      <alignment horizontal="center"/>
    </xf>
    <xf numFmtId="0" fontId="6" fillId="16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0" fillId="1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9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ISMS-IMP-A.5.14.1  -  Transfer Rules and Procedures
ISO/IEC 27001:2022 - Control A.5.14: Information Transfer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ISMS-IMP-A.5.14.1</t>
        </is>
      </c>
    </row>
    <row r="5">
      <c r="A5" s="3" t="inlineStr">
        <is>
          <t>Workbook Title</t>
        </is>
      </c>
      <c r="B5" t="inlineStr">
        <is>
          <t>Transfer Rules and Procedures</t>
        </is>
      </c>
    </row>
    <row r="6">
      <c r="A6" s="3" t="inlineStr">
        <is>
          <t>Control Reference</t>
        </is>
      </c>
      <c r="B6" t="inlineStr">
        <is>
          <t>ISO/IEC 27001:2022 - Control A.5.14: Information Transfer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Transfer Policy — assess the information transfer policy against ISO 27001:2022 A.5.14 requirements.</t>
        </is>
      </c>
    </row>
    <row r="14">
      <c r="A14" t="inlineStr">
        <is>
          <t>2. Complete Transfer Methods — document all approved transfer channels and their security requirements.</t>
        </is>
      </c>
    </row>
    <row r="15">
      <c r="A15" t="inlineStr">
        <is>
          <t>3. Complete Electronic Transfer — assess controls for email, file sharing, and API transfers.</t>
        </is>
      </c>
    </row>
    <row r="16">
      <c r="A16" t="inlineStr">
        <is>
          <t>4. Complete Physical Transfer — assess controls for courier, removable media, and postal transfers.</t>
        </is>
      </c>
    </row>
    <row r="17">
      <c r="A17" t="inlineStr">
        <is>
          <t>5. Complete Verbal Transfer — assess controls for verbal and telephone information disclosure.</t>
        </is>
      </c>
    </row>
    <row r="18">
      <c r="A18" t="inlineStr">
        <is>
          <t>6. Maintain the Evidence Register with policy documentation and control evidence.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25" customWidth="1" min="4" max="4"/>
    <col width="18" customWidth="1" min="5" max="5"/>
    <col width="15" customWidth="1" min="6" max="6"/>
  </cols>
  <sheetData>
    <row r="1">
      <c r="A1" s="11" t="inlineStr">
        <is>
          <t>INFORMATION TRANSFER POLICY ELEMENTS</t>
        </is>
      </c>
    </row>
    <row r="2">
      <c r="A2" s="12" t="inlineStr">
        <is>
          <t>Define overarching policy elements governing information transfer across all channels and classification levels.</t>
        </is>
      </c>
    </row>
    <row r="3">
      <c r="A3" s="13" t="inlineStr">
        <is>
          <t>Policy Element</t>
        </is>
      </c>
      <c r="B3" s="13" t="inlineStr">
        <is>
          <t>Description</t>
        </is>
      </c>
      <c r="C3" s="13" t="inlineStr">
        <is>
          <t>Requirement</t>
        </is>
      </c>
      <c r="D3" s="13" t="inlineStr">
        <is>
          <t>Owner</t>
        </is>
      </c>
      <c r="E3" s="13" t="inlineStr">
        <is>
          <t>Review Frequency</t>
        </is>
      </c>
      <c r="F3" s="13" t="inlineStr">
        <is>
          <t>Status</t>
        </is>
      </c>
    </row>
    <row r="4">
      <c r="A4" s="14" t="inlineStr">
        <is>
          <t>Scope Definition</t>
        </is>
      </c>
      <c r="B4" s="14" t="inlineStr">
        <is>
          <t>Define what information transfer means in organisational context</t>
        </is>
      </c>
      <c r="C4" s="14" t="inlineStr">
        <is>
          <t>MANDATORY</t>
        </is>
      </c>
      <c r="D4" s="15" t="inlineStr"/>
      <c r="E4" s="14" t="inlineStr">
        <is>
          <t>Annual</t>
        </is>
      </c>
      <c r="F4" s="15" t="inlineStr"/>
    </row>
    <row r="5">
      <c r="A5" s="14" t="inlineStr">
        <is>
          <t>Classification Alignment</t>
        </is>
      </c>
      <c r="B5" s="14" t="inlineStr">
        <is>
          <t>Transfer methods must align with information classification</t>
        </is>
      </c>
      <c r="C5" s="14" t="inlineStr">
        <is>
          <t>MANDATORY</t>
        </is>
      </c>
      <c r="D5" s="15" t="inlineStr"/>
      <c r="E5" s="14" t="inlineStr">
        <is>
          <t>Annual</t>
        </is>
      </c>
      <c r="F5" s="15" t="inlineStr"/>
    </row>
    <row r="6">
      <c r="A6" s="14" t="inlineStr">
        <is>
          <t>Encryption Standards</t>
        </is>
      </c>
      <c r="B6" s="14" t="inlineStr">
        <is>
          <t>Minimum encryption requirements for transfer by classification</t>
        </is>
      </c>
      <c r="C6" s="14" t="inlineStr">
        <is>
          <t>MANDATORY</t>
        </is>
      </c>
      <c r="D6" s="15" t="inlineStr"/>
      <c r="E6" s="14" t="inlineStr">
        <is>
          <t>Annual</t>
        </is>
      </c>
      <c r="F6" s="15" t="inlineStr"/>
    </row>
    <row r="7">
      <c r="A7" s="14" t="inlineStr">
        <is>
          <t>Authentication Requirements</t>
        </is>
      </c>
      <c r="B7" s="14" t="inlineStr">
        <is>
          <t>Recipient verification before transfer</t>
        </is>
      </c>
      <c r="C7" s="14" t="inlineStr">
        <is>
          <t>MANDATORY</t>
        </is>
      </c>
      <c r="D7" s="15" t="inlineStr"/>
      <c r="E7" s="14" t="inlineStr">
        <is>
          <t>Annual</t>
        </is>
      </c>
      <c r="F7" s="15" t="inlineStr"/>
    </row>
    <row r="8">
      <c r="A8" s="14" t="inlineStr">
        <is>
          <t>Authorisation Process</t>
        </is>
      </c>
      <c r="B8" s="14" t="inlineStr">
        <is>
          <t>Approval workflow for transfers above certain thresholds</t>
        </is>
      </c>
      <c r="C8" s="14" t="inlineStr">
        <is>
          <t>MANDATORY</t>
        </is>
      </c>
      <c r="D8" s="15" t="inlineStr"/>
      <c r="E8" s="14" t="inlineStr">
        <is>
          <t>Annual</t>
        </is>
      </c>
      <c r="F8" s="15" t="inlineStr"/>
    </row>
    <row r="9">
      <c r="A9" s="14" t="inlineStr">
        <is>
          <t>Chain of Custody</t>
        </is>
      </c>
      <c r="B9" s="14" t="inlineStr">
        <is>
          <t>Tracking requirements for information in transit</t>
        </is>
      </c>
      <c r="C9" s="14" t="inlineStr">
        <is>
          <t>RECOMMENDED</t>
        </is>
      </c>
      <c r="D9" s="15" t="inlineStr"/>
      <c r="E9" s="14" t="inlineStr">
        <is>
          <t>Annual</t>
        </is>
      </c>
      <c r="F9" s="15" t="inlineStr"/>
    </row>
    <row r="10">
      <c r="A10" s="14" t="inlineStr">
        <is>
          <t>Third-Party Requirements</t>
        </is>
      </c>
      <c r="B10" s="14" t="inlineStr">
        <is>
          <t>Standards for transfers to/from external parties</t>
        </is>
      </c>
      <c r="C10" s="14" t="inlineStr">
        <is>
          <t>MANDATORY</t>
        </is>
      </c>
      <c r="D10" s="15" t="inlineStr"/>
      <c r="E10" s="14" t="inlineStr">
        <is>
          <t>Annual</t>
        </is>
      </c>
      <c r="F10" s="15" t="inlineStr"/>
    </row>
    <row r="11">
      <c r="A11" s="14" t="inlineStr">
        <is>
          <t>Incident Reporting</t>
        </is>
      </c>
      <c r="B11" s="14" t="inlineStr">
        <is>
          <t>Process for reporting transfer security incidents</t>
        </is>
      </c>
      <c r="C11" s="14" t="inlineStr">
        <is>
          <t>MANDATORY</t>
        </is>
      </c>
      <c r="D11" s="15" t="inlineStr"/>
      <c r="E11" s="14" t="inlineStr">
        <is>
          <t>Annual</t>
        </is>
      </c>
      <c r="F11" s="15" t="inlineStr"/>
    </row>
    <row r="12">
      <c r="A12" s="14" t="inlineStr">
        <is>
          <t>Retention of Transfer Records</t>
        </is>
      </c>
      <c r="B12" s="14" t="inlineStr">
        <is>
          <t>How long transfer logs must be retained</t>
        </is>
      </c>
      <c r="C12" s="14" t="inlineStr">
        <is>
          <t>MANDATORY</t>
        </is>
      </c>
      <c r="D12" s="15" t="inlineStr"/>
      <c r="E12" s="14" t="inlineStr">
        <is>
          <t>Annual</t>
        </is>
      </c>
      <c r="F12" s="15" t="inlineStr"/>
    </row>
    <row r="13">
      <c r="A13" s="14" t="inlineStr">
        <is>
          <t>User Awareness</t>
        </is>
      </c>
      <c r="B13" s="14" t="inlineStr">
        <is>
          <t>Training requirements for secure transfer practices</t>
        </is>
      </c>
      <c r="C13" s="14" t="inlineStr">
        <is>
          <t>MANDATORY</t>
        </is>
      </c>
      <c r="D13" s="15" t="inlineStr"/>
      <c r="E13" s="14" t="inlineStr">
        <is>
          <t>Annual</t>
        </is>
      </c>
      <c r="F13" s="15" t="inlineStr"/>
    </row>
  </sheetData>
  <mergeCells count="2">
    <mergeCell ref="A2:F2"/>
    <mergeCell ref="A1:F1"/>
  </mergeCells>
  <dataValidations count="1">
    <dataValidation sqref="F4:F13" showDropDown="0" showInputMessage="1" showErrorMessage="0" allowBlank="1" type="list">
      <formula1>"Draft,Under Review,Approved,Needs Update"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2" customWidth="1" min="5" max="5"/>
    <col width="30" customWidth="1" min="6" max="6"/>
    <col width="18" customWidth="1" min="7" max="7"/>
    <col width="30" customWidth="1" min="8" max="8"/>
  </cols>
  <sheetData>
    <row r="1">
      <c r="A1" s="11" t="inlineStr">
        <is>
          <t>ACCEPTABLE TRANSFER METHODS BY CLASSIFICATION LEVEL</t>
        </is>
      </c>
    </row>
    <row r="3">
      <c r="A3" s="13" t="inlineStr">
        <is>
          <t>Transfer Method</t>
        </is>
      </c>
      <c r="B3" s="16" t="inlineStr">
        <is>
          <t>PUBLIC</t>
        </is>
      </c>
      <c r="C3" s="17" t="inlineStr">
        <is>
          <t>INTERNAL</t>
        </is>
      </c>
      <c r="D3" s="18" t="inlineStr">
        <is>
          <t>CONFIDENTIAL</t>
        </is>
      </c>
      <c r="E3" s="19" t="inlineStr">
        <is>
          <t>RESTRICTED</t>
        </is>
      </c>
      <c r="F3" s="13" t="inlineStr">
        <is>
          <t>Conditions</t>
        </is>
      </c>
      <c r="G3" s="13" t="inlineStr">
        <is>
          <t>Approval Required</t>
        </is>
      </c>
      <c r="H3" s="13" t="inlineStr">
        <is>
          <t>Notes</t>
        </is>
      </c>
    </row>
    <row r="4">
      <c r="A4" s="14" t="inlineStr">
        <is>
          <t>Corporate Email (encrypted)</t>
        </is>
      </c>
      <c r="B4" s="20" t="inlineStr">
        <is>
          <t>Allowed</t>
        </is>
      </c>
      <c r="C4" s="20" t="inlineStr">
        <is>
          <t>Allowed</t>
        </is>
      </c>
      <c r="D4" s="20" t="inlineStr">
        <is>
          <t>Allowed</t>
        </is>
      </c>
      <c r="E4" s="21" t="inlineStr">
        <is>
          <t>Not Allowed</t>
        </is>
      </c>
      <c r="F4" s="14" t="inlineStr">
        <is>
          <t>TLS required</t>
        </is>
      </c>
      <c r="G4" s="22" t="inlineStr">
        <is>
          <t>No</t>
        </is>
      </c>
      <c r="H4" s="14" t="inlineStr"/>
    </row>
    <row r="5">
      <c r="A5" s="14" t="inlineStr">
        <is>
          <t>Corporate Email (unencrypted)</t>
        </is>
      </c>
      <c r="B5" s="20" t="inlineStr">
        <is>
          <t>Allowed</t>
        </is>
      </c>
      <c r="C5" s="23" t="inlineStr">
        <is>
          <t>Conditional</t>
        </is>
      </c>
      <c r="D5" s="21" t="inlineStr">
        <is>
          <t>Not Allowed</t>
        </is>
      </c>
      <c r="E5" s="21" t="inlineStr">
        <is>
          <t>Not Allowed</t>
        </is>
      </c>
      <c r="F5" s="14" t="inlineStr">
        <is>
          <t>Internal only</t>
        </is>
      </c>
      <c r="G5" s="22" t="inlineStr">
        <is>
          <t>No</t>
        </is>
      </c>
      <c r="H5" s="14" t="inlineStr"/>
    </row>
    <row r="6">
      <c r="A6" s="14" t="inlineStr">
        <is>
          <t>Personal Email</t>
        </is>
      </c>
      <c r="B6" s="23" t="inlineStr">
        <is>
          <t>Conditional</t>
        </is>
      </c>
      <c r="C6" s="21" t="inlineStr">
        <is>
          <t>Not Allowed</t>
        </is>
      </c>
      <c r="D6" s="21" t="inlineStr">
        <is>
          <t>Not Allowed</t>
        </is>
      </c>
      <c r="E6" s="21" t="inlineStr">
        <is>
          <t>Not Allowed</t>
        </is>
      </c>
      <c r="F6" s="14" t="inlineStr">
        <is>
          <t>Emergency only</t>
        </is>
      </c>
      <c r="G6" s="22" t="inlineStr">
        <is>
          <t>Yes</t>
        </is>
      </c>
      <c r="H6" s="14" t="inlineStr"/>
    </row>
    <row r="7">
      <c r="A7" s="14" t="inlineStr">
        <is>
          <t>Approved Cloud Storage</t>
        </is>
      </c>
      <c r="B7" s="20" t="inlineStr">
        <is>
          <t>Allowed</t>
        </is>
      </c>
      <c r="C7" s="20" t="inlineStr">
        <is>
          <t>Allowed</t>
        </is>
      </c>
      <c r="D7" s="20" t="inlineStr">
        <is>
          <t>Allowed</t>
        </is>
      </c>
      <c r="E7" s="23" t="inlineStr">
        <is>
          <t>Conditional</t>
        </is>
      </c>
      <c r="F7" s="14" t="inlineStr">
        <is>
          <t>Encrypted, access controlled</t>
        </is>
      </c>
      <c r="G7" s="22" t="inlineStr">
        <is>
          <t>Varies</t>
        </is>
      </c>
      <c r="H7" s="14" t="inlineStr"/>
    </row>
    <row r="8">
      <c r="A8" s="14" t="inlineStr">
        <is>
          <t>Public Cloud Storage</t>
        </is>
      </c>
      <c r="B8" s="20" t="inlineStr">
        <is>
          <t>Allowed</t>
        </is>
      </c>
      <c r="C8" s="21" t="inlineStr">
        <is>
          <t>Not Allowed</t>
        </is>
      </c>
      <c r="D8" s="21" t="inlineStr">
        <is>
          <t>Not Allowed</t>
        </is>
      </c>
      <c r="E8" s="21" t="inlineStr">
        <is>
          <t>Not Allowed</t>
        </is>
      </c>
      <c r="F8" s="14" t="inlineStr">
        <is>
          <t>Non-sensitive only</t>
        </is>
      </c>
      <c r="G8" s="22" t="inlineStr">
        <is>
          <t>No</t>
        </is>
      </c>
      <c r="H8" s="14" t="inlineStr"/>
    </row>
    <row r="9">
      <c r="A9" s="14" t="inlineStr">
        <is>
          <t>SFTP/SCP</t>
        </is>
      </c>
      <c r="B9" s="20" t="inlineStr">
        <is>
          <t>Allowed</t>
        </is>
      </c>
      <c r="C9" s="20" t="inlineStr">
        <is>
          <t>Allowed</t>
        </is>
      </c>
      <c r="D9" s="20" t="inlineStr">
        <is>
          <t>Allowed</t>
        </is>
      </c>
      <c r="E9" s="20" t="inlineStr">
        <is>
          <t>Allowed</t>
        </is>
      </c>
      <c r="F9" s="14" t="inlineStr">
        <is>
          <t>Key-based auth</t>
        </is>
      </c>
      <c r="G9" s="22" t="inlineStr">
        <is>
          <t>No</t>
        </is>
      </c>
      <c r="H9" s="14" t="inlineStr"/>
    </row>
    <row r="10">
      <c r="A10" s="14" t="inlineStr">
        <is>
          <t>FTP (unencrypted)</t>
        </is>
      </c>
      <c r="B10" s="23" t="inlineStr">
        <is>
          <t>Conditional</t>
        </is>
      </c>
      <c r="C10" s="21" t="inlineStr">
        <is>
          <t>Not Allowed</t>
        </is>
      </c>
      <c r="D10" s="21" t="inlineStr">
        <is>
          <t>Not Allowed</t>
        </is>
      </c>
      <c r="E10" s="21" t="inlineStr">
        <is>
          <t>Not Allowed</t>
        </is>
      </c>
      <c r="F10" s="14" t="inlineStr">
        <is>
          <t>Isolated networks</t>
        </is>
      </c>
      <c r="G10" s="22" t="inlineStr">
        <is>
          <t>Yes</t>
        </is>
      </c>
      <c r="H10" s="14" t="inlineStr"/>
    </row>
    <row r="11">
      <c r="A11" s="14" t="inlineStr">
        <is>
          <t>USB/Removable Media</t>
        </is>
      </c>
      <c r="B11" s="23" t="inlineStr">
        <is>
          <t>Conditional</t>
        </is>
      </c>
      <c r="C11" s="23" t="inlineStr">
        <is>
          <t>Conditional</t>
        </is>
      </c>
      <c r="D11" s="23" t="inlineStr">
        <is>
          <t>Conditional</t>
        </is>
      </c>
      <c r="E11" s="21" t="inlineStr">
        <is>
          <t>Not Allowed</t>
        </is>
      </c>
      <c r="F11" s="14" t="inlineStr">
        <is>
          <t>Encrypted media only</t>
        </is>
      </c>
      <c r="G11" s="22" t="inlineStr">
        <is>
          <t>Yes</t>
        </is>
      </c>
      <c r="H11" s="14" t="inlineStr"/>
    </row>
    <row r="12">
      <c r="A12" s="14" t="inlineStr">
        <is>
          <t>Physical Courier</t>
        </is>
      </c>
      <c r="B12" s="20" t="inlineStr">
        <is>
          <t>Allowed</t>
        </is>
      </c>
      <c r="C12" s="20" t="inlineStr">
        <is>
          <t>Allowed</t>
        </is>
      </c>
      <c r="D12" s="20" t="inlineStr">
        <is>
          <t>Allowed</t>
        </is>
      </c>
      <c r="E12" s="20" t="inlineStr">
        <is>
          <t>Allowed</t>
        </is>
      </c>
      <c r="F12" s="14" t="inlineStr">
        <is>
          <t>Tamper-evident packaging</t>
        </is>
      </c>
      <c r="G12" s="22" t="inlineStr">
        <is>
          <t>Varies</t>
        </is>
      </c>
      <c r="H12" s="14" t="inlineStr"/>
    </row>
    <row r="13">
      <c r="A13" s="14" t="inlineStr">
        <is>
          <t>Internal Mail</t>
        </is>
      </c>
      <c r="B13" s="20" t="inlineStr">
        <is>
          <t>Allowed</t>
        </is>
      </c>
      <c r="C13" s="20" t="inlineStr">
        <is>
          <t>Allowed</t>
        </is>
      </c>
      <c r="D13" s="23" t="inlineStr">
        <is>
          <t>Conditional</t>
        </is>
      </c>
      <c r="E13" s="21" t="inlineStr">
        <is>
          <t>Not Allowed</t>
        </is>
      </c>
      <c r="F13" s="14" t="inlineStr">
        <is>
          <t>Sealed envelopes</t>
        </is>
      </c>
      <c r="G13" s="22" t="inlineStr">
        <is>
          <t>No</t>
        </is>
      </c>
      <c r="H13" s="14" t="inlineStr"/>
    </row>
    <row r="14">
      <c r="A14" s="14" t="inlineStr">
        <is>
          <t>Video Conference</t>
        </is>
      </c>
      <c r="B14" s="20" t="inlineStr">
        <is>
          <t>Allowed</t>
        </is>
      </c>
      <c r="C14" s="20" t="inlineStr">
        <is>
          <t>Allowed</t>
        </is>
      </c>
      <c r="D14" s="23" t="inlineStr">
        <is>
          <t>Conditional</t>
        </is>
      </c>
      <c r="E14" s="23" t="inlineStr">
        <is>
          <t>Conditional</t>
        </is>
      </c>
      <c r="F14" s="14" t="inlineStr">
        <is>
          <t>Approved platforms</t>
        </is>
      </c>
      <c r="G14" s="22" t="inlineStr">
        <is>
          <t>No</t>
        </is>
      </c>
      <c r="H14" s="14" t="inlineStr"/>
    </row>
    <row r="15">
      <c r="A15" s="14" t="inlineStr">
        <is>
          <t>Telephone</t>
        </is>
      </c>
      <c r="B15" s="20" t="inlineStr">
        <is>
          <t>Allowed</t>
        </is>
      </c>
      <c r="C15" s="20" t="inlineStr">
        <is>
          <t>Allowed</t>
        </is>
      </c>
      <c r="D15" s="23" t="inlineStr">
        <is>
          <t>Conditional</t>
        </is>
      </c>
      <c r="E15" s="21" t="inlineStr">
        <is>
          <t>Not Allowed</t>
        </is>
      </c>
      <c r="F15" s="14" t="inlineStr">
        <is>
          <t>Verify recipient</t>
        </is>
      </c>
      <c r="G15" s="22" t="inlineStr">
        <is>
          <t>No</t>
        </is>
      </c>
      <c r="H15" s="14" t="inlineStr"/>
    </row>
    <row r="16">
      <c r="A16" s="14" t="inlineStr">
        <is>
          <t>Instant Messaging (approved)</t>
        </is>
      </c>
      <c r="B16" s="20" t="inlineStr">
        <is>
          <t>Allowed</t>
        </is>
      </c>
      <c r="C16" s="20" t="inlineStr">
        <is>
          <t>Allowed</t>
        </is>
      </c>
      <c r="D16" s="23" t="inlineStr">
        <is>
          <t>Conditional</t>
        </is>
      </c>
      <c r="E16" s="21" t="inlineStr">
        <is>
          <t>Not Allowed</t>
        </is>
      </c>
      <c r="F16" s="14" t="inlineStr">
        <is>
          <t>Corporate tools only</t>
        </is>
      </c>
      <c r="G16" s="22" t="inlineStr">
        <is>
          <t>No</t>
        </is>
      </c>
      <c r="H16" s="14" t="inlineStr"/>
    </row>
    <row r="17">
      <c r="A17" s="14" t="inlineStr">
        <is>
          <t>Instant Messaging (public)</t>
        </is>
      </c>
      <c r="B17" s="23" t="inlineStr">
        <is>
          <t>Conditional</t>
        </is>
      </c>
      <c r="C17" s="21" t="inlineStr">
        <is>
          <t>Not Allowed</t>
        </is>
      </c>
      <c r="D17" s="21" t="inlineStr">
        <is>
          <t>Not Allowed</t>
        </is>
      </c>
      <c r="E17" s="21" t="inlineStr">
        <is>
          <t>Not Allowed</t>
        </is>
      </c>
      <c r="F17" s="14" t="inlineStr">
        <is>
          <t>Non-business</t>
        </is>
      </c>
      <c r="G17" s="22" t="inlineStr">
        <is>
          <t>Yes</t>
        </is>
      </c>
      <c r="H17" s="14" t="inlineStr"/>
    </row>
    <row r="18">
      <c r="A18" s="14" t="inlineStr">
        <is>
          <t>API/Web Services</t>
        </is>
      </c>
      <c r="B18" s="20" t="inlineStr">
        <is>
          <t>Allowed</t>
        </is>
      </c>
      <c r="C18" s="20" t="inlineStr">
        <is>
          <t>Allowed</t>
        </is>
      </c>
      <c r="D18" s="20" t="inlineStr">
        <is>
          <t>Allowed</t>
        </is>
      </c>
      <c r="E18" s="23" t="inlineStr">
        <is>
          <t>Conditional</t>
        </is>
      </c>
      <c r="F18" s="14" t="inlineStr">
        <is>
          <t>mTLS, OAuth2</t>
        </is>
      </c>
      <c r="G18" s="22" t="inlineStr">
        <is>
          <t>Technical Review</t>
        </is>
      </c>
      <c r="H18" s="14" t="inlineStr"/>
    </row>
  </sheetData>
  <mergeCells count="1">
    <mergeCell ref="A1:H1"/>
  </mergeCells>
  <dataValidations count="2">
    <dataValidation sqref="B4:E29" showDropDown="0" showInputMessage="1" showErrorMessage="0" allowBlank="1" type="list">
      <formula1>"Allowed,Conditional,Not Allowed"</formula1>
    </dataValidation>
    <dataValidation sqref="G4:G29" showDropDown="0" showInputMessage="1" showErrorMessage="0" allowBlank="1" type="list">
      <formula1>"Yes,No,Varies,Technical 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5" customWidth="1" min="3" max="3"/>
    <col width="22" customWidth="1" min="4" max="4"/>
    <col width="20" customWidth="1" min="5" max="5"/>
    <col width="18" customWidth="1" min="6" max="6"/>
    <col width="15" customWidth="1" min="7" max="7"/>
    <col width="30" customWidth="1" min="8" max="8"/>
  </cols>
  <sheetData>
    <row r="1">
      <c r="A1" s="11" t="inlineStr">
        <is>
          <t>ELECTRONIC TRANSFER RULES AND CONTROLS</t>
        </is>
      </c>
    </row>
    <row r="2">
      <c r="A2" s="12" t="inlineStr">
        <is>
          <t>Document approved electronic transfer channels with encryption requirements, authentication controls, and DLP integration status.</t>
        </is>
      </c>
    </row>
    <row r="3">
      <c r="A3" s="13" t="inlineStr">
        <is>
          <t>Channel</t>
        </is>
      </c>
      <c r="B3" s="13" t="inlineStr">
        <is>
          <t>Security Controls</t>
        </is>
      </c>
      <c r="C3" s="13" t="inlineStr">
        <is>
          <t>Encryption Requirement</t>
        </is>
      </c>
      <c r="D3" s="13" t="inlineStr">
        <is>
          <t>Authentication</t>
        </is>
      </c>
      <c r="E3" s="13" t="inlineStr">
        <is>
          <t>Logging</t>
        </is>
      </c>
      <c r="F3" s="13" t="inlineStr">
        <is>
          <t>Max Classification</t>
        </is>
      </c>
      <c r="G3" s="13" t="inlineStr">
        <is>
          <t>DLP Integration</t>
        </is>
      </c>
      <c r="H3" s="13" t="inlineStr">
        <is>
          <t>Notes</t>
        </is>
      </c>
    </row>
    <row r="4">
      <c r="A4" s="14" t="inlineStr">
        <is>
          <t>Corporate Email - Internal</t>
        </is>
      </c>
      <c r="B4" s="14" t="inlineStr">
        <is>
          <t>Exchange Online, Microsoft 365</t>
        </is>
      </c>
      <c r="C4" s="14" t="inlineStr">
        <is>
          <t>TLS 1.2+ in transit</t>
        </is>
      </c>
      <c r="D4" s="14" t="inlineStr">
        <is>
          <t>Microsoft Entra ID (formerly Azure AD) SSO</t>
        </is>
      </c>
      <c r="E4" s="14" t="inlineStr">
        <is>
          <t>Exchange Audit Logs</t>
        </is>
      </c>
      <c r="F4" s="14" t="inlineStr">
        <is>
          <t>CONFIDENTIAL</t>
        </is>
      </c>
      <c r="G4" s="14" t="inlineStr">
        <is>
          <t>Yes</t>
        </is>
      </c>
      <c r="H4" s="15" t="inlineStr"/>
    </row>
    <row r="5">
      <c r="A5" s="14" t="inlineStr">
        <is>
          <t>Corporate Email - External</t>
        </is>
      </c>
      <c r="B5" s="14" t="inlineStr">
        <is>
          <t>Exchange Online + S/MIME</t>
        </is>
      </c>
      <c r="C5" s="14" t="inlineStr">
        <is>
          <t>S/MIME or TLS 1.2+</t>
        </is>
      </c>
      <c r="D5" s="14" t="inlineStr">
        <is>
          <t>Microsoft Entra ID (formerly Azure AD) + MFA</t>
        </is>
      </c>
      <c r="E5" s="14" t="inlineStr">
        <is>
          <t>Exchange Audit Logs</t>
        </is>
      </c>
      <c r="F5" s="14" t="inlineStr">
        <is>
          <t>CONFIDENTIAL</t>
        </is>
      </c>
      <c r="G5" s="14" t="inlineStr">
        <is>
          <t>Yes</t>
        </is>
      </c>
      <c r="H5" s="15" t="inlineStr"/>
    </row>
    <row r="6">
      <c r="A6" s="14" t="inlineStr">
        <is>
          <t>SharePoint/OneDrive</t>
        </is>
      </c>
      <c r="B6" s="14" t="inlineStr">
        <is>
          <t>Microsoft 365, Sensitivity Labels</t>
        </is>
      </c>
      <c r="C6" s="14" t="inlineStr">
        <is>
          <t>AES-256 at rest, TLS in transit</t>
        </is>
      </c>
      <c r="D6" s="14" t="inlineStr">
        <is>
          <t>Microsoft Entra ID (formerly Azure AD) + MFA</t>
        </is>
      </c>
      <c r="E6" s="14" t="inlineStr">
        <is>
          <t>Unified Audit Log</t>
        </is>
      </c>
      <c r="F6" s="14" t="inlineStr">
        <is>
          <t>CONFIDENTIAL</t>
        </is>
      </c>
      <c r="G6" s="14" t="inlineStr">
        <is>
          <t>Yes</t>
        </is>
      </c>
      <c r="H6" s="15" t="inlineStr"/>
    </row>
    <row r="7">
      <c r="A7" s="14" t="inlineStr">
        <is>
          <t>Teams File Sharing</t>
        </is>
      </c>
      <c r="B7" s="14" t="inlineStr">
        <is>
          <t>Microsoft Teams</t>
        </is>
      </c>
      <c r="C7" s="14" t="inlineStr">
        <is>
          <t>AES-256, TLS 1.2+</t>
        </is>
      </c>
      <c r="D7" s="14" t="inlineStr">
        <is>
          <t>Microsoft Entra ID (formerly Azure AD) + MFA</t>
        </is>
      </c>
      <c r="E7" s="14" t="inlineStr">
        <is>
          <t>Teams Audit</t>
        </is>
      </c>
      <c r="F7" s="14" t="inlineStr">
        <is>
          <t>INTERNAL</t>
        </is>
      </c>
      <c r="G7" s="14" t="inlineStr">
        <is>
          <t>Yes</t>
        </is>
      </c>
      <c r="H7" s="15" t="inlineStr"/>
    </row>
    <row r="8">
      <c r="A8" s="14" t="inlineStr">
        <is>
          <t>SFTP Server</t>
        </is>
      </c>
      <c r="B8" s="14" t="inlineStr">
        <is>
          <t>OpenSSH, key-based auth</t>
        </is>
      </c>
      <c r="C8" s="14" t="inlineStr">
        <is>
          <t>AES-256-CTR</t>
        </is>
      </c>
      <c r="D8" s="14" t="inlineStr">
        <is>
          <t>SSH Keys + IP allowlist</t>
        </is>
      </c>
      <c r="E8" s="14" t="inlineStr">
        <is>
          <t>SFTP Logs</t>
        </is>
      </c>
      <c r="F8" s="14" t="inlineStr">
        <is>
          <t>RESTRICTED</t>
        </is>
      </c>
      <c r="G8" s="14" t="inlineStr">
        <is>
          <t>Manual</t>
        </is>
      </c>
      <c r="H8" s="15" t="inlineStr"/>
    </row>
    <row r="9">
      <c r="A9" s="14" t="inlineStr">
        <is>
          <t>Approved API Gateway</t>
        </is>
      </c>
      <c r="B9" s="14" t="inlineStr">
        <is>
          <t>Kong/Apigee with mTLS</t>
        </is>
      </c>
      <c r="C9" s="14" t="inlineStr">
        <is>
          <t>TLS 1.3, mTLS</t>
        </is>
      </c>
      <c r="D9" s="14" t="inlineStr">
        <is>
          <t>OAuth 2.0 + API Keys</t>
        </is>
      </c>
      <c r="E9" s="14" t="inlineStr">
        <is>
          <t>API Gateway Logs</t>
        </is>
      </c>
      <c r="F9" s="14" t="inlineStr">
        <is>
          <t>RESTRICTED</t>
        </is>
      </c>
      <c r="G9" s="14" t="inlineStr">
        <is>
          <t>Custom</t>
        </is>
      </c>
      <c r="H9" s="15" t="inlineStr"/>
    </row>
    <row r="10">
      <c r="A10" s="14" t="inlineStr">
        <is>
          <t>Managed File Transfer (MFT)</t>
        </is>
      </c>
      <c r="B10" s="14" t="inlineStr">
        <is>
          <t>GoAnywhere/Axway</t>
        </is>
      </c>
      <c r="C10" s="14" t="inlineStr">
        <is>
          <t>AES-256, TLS 1.2+</t>
        </is>
      </c>
      <c r="D10" s="14" t="inlineStr">
        <is>
          <t>SSO + MFA</t>
        </is>
      </c>
      <c r="E10" s="14" t="inlineStr">
        <is>
          <t>MFT Audit Trail</t>
        </is>
      </c>
      <c r="F10" s="14" t="inlineStr">
        <is>
          <t>RESTRICTED</t>
        </is>
      </c>
      <c r="G10" s="14" t="inlineStr">
        <is>
          <t>Yes</t>
        </is>
      </c>
      <c r="H10" s="15" t="inlineStr"/>
    </row>
    <row r="11">
      <c r="A11" s="14" t="inlineStr">
        <is>
          <t>VPN Site-to-Site</t>
        </is>
      </c>
      <c r="B11" s="14" t="inlineStr">
        <is>
          <t>IPSec/IKEv2</t>
        </is>
      </c>
      <c r="C11" s="14" t="inlineStr">
        <is>
          <t>AES-256-GCM</t>
        </is>
      </c>
      <c r="D11" s="14" t="inlineStr">
        <is>
          <t>Certificate + PSK</t>
        </is>
      </c>
      <c r="E11" s="14" t="inlineStr">
        <is>
          <t>VPN Logs</t>
        </is>
      </c>
      <c r="F11" s="14" t="inlineStr">
        <is>
          <t>RESTRICTED</t>
        </is>
      </c>
      <c r="G11" s="14" t="inlineStr">
        <is>
          <t>N/A</t>
        </is>
      </c>
      <c r="H11" s="15" t="inlineStr"/>
    </row>
  </sheetData>
  <mergeCells count="2">
    <mergeCell ref="A2:H2"/>
    <mergeCell ref="A1:H1"/>
  </mergeCells>
  <dataValidations count="2">
    <dataValidation sqref="F4:F17" showDropDown="0" showInputMessage="1" showErrorMessage="0" allowBlank="1" type="list">
      <formula1>"PUBLIC,INTERNAL,CONFIDENTIAL,RESTRICTED"</formula1>
    </dataValidation>
    <dataValidation sqref="G4:G17" showDropDown="0" showInputMessage="1" showErrorMessage="0" allowBlank="1" type="list">
      <formula1>"Yes,No,Manual,Custom,N/A"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25" customWidth="1" min="4" max="4"/>
    <col width="28" customWidth="1" min="5" max="5"/>
    <col width="18" customWidth="1" min="6" max="6"/>
    <col width="25" customWidth="1" min="7" max="7"/>
    <col width="30" customWidth="1" min="8" max="8"/>
  </cols>
  <sheetData>
    <row r="1">
      <c r="A1" s="11" t="inlineStr">
        <is>
          <t>PHYSICAL TRANSFER PROCEDURES AND CONTROLS</t>
        </is>
      </c>
    </row>
    <row r="2">
      <c r="A2" s="12" t="inlineStr">
        <is>
          <t>Document procedures and controls for physical transfer of information assets including packaging, custody chain, and recipient verification requirements.</t>
        </is>
      </c>
    </row>
    <row r="3">
      <c r="A3" s="13" t="inlineStr">
        <is>
          <t>Transfer Type</t>
        </is>
      </c>
      <c r="B3" s="13" t="inlineStr">
        <is>
          <t>Packaging Requirements</t>
        </is>
      </c>
      <c r="C3" s="13" t="inlineStr">
        <is>
          <t>Courier/Transport</t>
        </is>
      </c>
      <c r="D3" s="13" t="inlineStr">
        <is>
          <t>Chain of Custody</t>
        </is>
      </c>
      <c r="E3" s="13" t="inlineStr">
        <is>
          <t>Recipient Verification</t>
        </is>
      </c>
      <c r="F3" s="13" t="inlineStr">
        <is>
          <t>Max Classification</t>
        </is>
      </c>
      <c r="G3" s="13" t="inlineStr">
        <is>
          <t>Environmental Protection</t>
        </is>
      </c>
      <c r="H3" s="13" t="inlineStr">
        <is>
          <t>Notes</t>
        </is>
      </c>
    </row>
    <row r="4">
      <c r="A4" s="14" t="inlineStr">
        <is>
          <t>Encrypted USB Drive</t>
        </is>
      </c>
      <c r="B4" s="14" t="inlineStr">
        <is>
          <t>Tamper-evident bag</t>
        </is>
      </c>
      <c r="C4" s="14" t="inlineStr">
        <is>
          <t>Hand delivery or approved courier</t>
        </is>
      </c>
      <c r="D4" s="14" t="inlineStr">
        <is>
          <t>Transfer log required</t>
        </is>
      </c>
      <c r="E4" s="14" t="inlineStr">
        <is>
          <t>ID verification + signature</t>
        </is>
      </c>
      <c r="F4" s="14" t="inlineStr">
        <is>
          <t>CONFIDENTIAL</t>
        </is>
      </c>
      <c r="G4" s="14" t="inlineStr">
        <is>
          <t>Static protection</t>
        </is>
      </c>
      <c r="H4" s="15" t="inlineStr"/>
    </row>
    <row r="5">
      <c r="A5" s="14" t="inlineStr">
        <is>
          <t>External Hard Drive</t>
        </is>
      </c>
      <c r="B5" s="14" t="inlineStr">
        <is>
          <t>Padded, tamper-evident case</t>
        </is>
      </c>
      <c r="C5" s="14" t="inlineStr">
        <is>
          <t>Approved courier with tracking</t>
        </is>
      </c>
      <c r="D5" s="14" t="inlineStr">
        <is>
          <t>Full chain of custody log</t>
        </is>
      </c>
      <c r="E5" s="14" t="inlineStr">
        <is>
          <t>ID verification + signature</t>
        </is>
      </c>
      <c r="F5" s="14" t="inlineStr">
        <is>
          <t>CONFIDENTIAL</t>
        </is>
      </c>
      <c r="G5" s="14" t="inlineStr">
        <is>
          <t>Static + shock protection</t>
        </is>
      </c>
      <c r="H5" s="15" t="inlineStr"/>
    </row>
    <row r="6">
      <c r="A6" s="14" t="inlineStr">
        <is>
          <t>Printed Documents</t>
        </is>
      </c>
      <c r="B6" s="14" t="inlineStr">
        <is>
          <t>Sealed envelope/package</t>
        </is>
      </c>
      <c r="C6" s="14" t="inlineStr">
        <is>
          <t>Internal mail or courier</t>
        </is>
      </c>
      <c r="D6" s="14" t="inlineStr">
        <is>
          <t>Receipt confirmation</t>
        </is>
      </c>
      <c r="E6" s="14" t="inlineStr">
        <is>
          <t>Addressee verification</t>
        </is>
      </c>
      <c r="F6" s="14" t="inlineStr">
        <is>
          <t>INTERNAL</t>
        </is>
      </c>
      <c r="G6" s="14" t="inlineStr">
        <is>
          <t>Waterproof packaging</t>
        </is>
      </c>
      <c r="H6" s="15" t="inlineStr"/>
    </row>
    <row r="7">
      <c r="A7" s="14" t="inlineStr">
        <is>
          <t>Classified Documents</t>
        </is>
      </c>
      <c r="B7" s="14" t="inlineStr">
        <is>
          <t>Double-sealed, opaque packaging</t>
        </is>
      </c>
      <c r="C7" s="14" t="inlineStr">
        <is>
          <t>Approved secure courier</t>
        </is>
      </c>
      <c r="D7" s="14" t="inlineStr">
        <is>
          <t>Continuous chain of custody</t>
        </is>
      </c>
      <c r="E7" s="14" t="inlineStr">
        <is>
          <t>Photo ID + signature + witness</t>
        </is>
      </c>
      <c r="F7" s="14" t="inlineStr">
        <is>
          <t>RESTRICTED</t>
        </is>
      </c>
      <c r="G7" s="14" t="inlineStr">
        <is>
          <t>Full environmental protection</t>
        </is>
      </c>
      <c r="H7" s="15" t="inlineStr"/>
    </row>
    <row r="8">
      <c r="A8" s="14" t="inlineStr">
        <is>
          <t>Backup Tapes</t>
        </is>
      </c>
      <c r="B8" s="14" t="inlineStr">
        <is>
          <t>Protective case, sealed</t>
        </is>
      </c>
      <c r="C8" s="14" t="inlineStr">
        <is>
          <t>Secure transport service</t>
        </is>
      </c>
      <c r="D8" s="14" t="inlineStr">
        <is>
          <t>Barcode tracking</t>
        </is>
      </c>
      <c r="E8" s="14" t="inlineStr">
        <is>
          <t>Authorised recipient list</t>
        </is>
      </c>
      <c r="F8" s="14" t="inlineStr">
        <is>
          <t>RESTRICTED</t>
        </is>
      </c>
      <c r="G8" s="14" t="inlineStr">
        <is>
          <t>Temperature controlled</t>
        </is>
      </c>
      <c r="H8" s="15" t="inlineStr"/>
    </row>
    <row r="9">
      <c r="A9" s="14" t="inlineStr">
        <is>
          <t>Mobile Devices</t>
        </is>
      </c>
      <c r="B9" s="14" t="inlineStr">
        <is>
          <t>Original or protective packaging</t>
        </is>
      </c>
      <c r="C9" s="14" t="inlineStr">
        <is>
          <t>Hand delivery preferred</t>
        </is>
      </c>
      <c r="D9" s="14" t="inlineStr">
        <is>
          <t>Asset tracking log</t>
        </is>
      </c>
      <c r="E9" s="14" t="inlineStr">
        <is>
          <t>Employee ID verification</t>
        </is>
      </c>
      <c r="F9" s="14" t="inlineStr">
        <is>
          <t>CONFIDENTIAL</t>
        </is>
      </c>
      <c r="G9" s="14" t="inlineStr">
        <is>
          <t>Impact protection</t>
        </is>
      </c>
      <c r="H9" s="15" t="inlineStr"/>
    </row>
    <row r="10">
      <c r="A10" s="14" t="inlineStr">
        <is>
          <t>Hardware for Disposal</t>
        </is>
      </c>
      <c r="B10" s="14" t="inlineStr">
        <is>
          <t>Secure container</t>
        </is>
      </c>
      <c r="C10" s="14" t="inlineStr">
        <is>
          <t>Certified disposal vendor</t>
        </is>
      </c>
      <c r="D10" s="14" t="inlineStr">
        <is>
          <t>Destruction certificate</t>
        </is>
      </c>
      <c r="E10" s="14" t="inlineStr">
        <is>
          <t>Vendor certification</t>
        </is>
      </c>
      <c r="F10" s="14" t="inlineStr">
        <is>
          <t>RESTRICTED</t>
        </is>
      </c>
      <c r="G10" s="14" t="inlineStr">
        <is>
          <t>Secure transport</t>
        </is>
      </c>
      <c r="H10" s="15" t="inlineStr"/>
    </row>
  </sheetData>
  <mergeCells count="2">
    <mergeCell ref="A2:H2"/>
    <mergeCell ref="A1:H1"/>
  </mergeCells>
  <dataValidations count="1">
    <dataValidation sqref="F4:F16" showDropDown="0" showInputMessage="1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8" customWidth="1" min="3" max="3"/>
    <col width="28" customWidth="1" min="4" max="4"/>
    <col width="18" customWidth="1" min="5" max="5"/>
    <col width="28" customWidth="1" min="6" max="6"/>
    <col width="30" customWidth="1" min="7" max="7"/>
  </cols>
  <sheetData>
    <row r="1">
      <c r="A1" s="11" t="inlineStr">
        <is>
          <t>VERBAL TRANSFER PROTOCOLS</t>
        </is>
      </c>
    </row>
    <row r="2">
      <c r="A2" s="12" t="inlineStr">
        <is>
          <t>Define protocols for verbal transfer of information including security precautions, participant verification, and classification limits for each communication type.</t>
        </is>
      </c>
    </row>
    <row r="3">
      <c r="A3" s="13" t="inlineStr">
        <is>
          <t>Communication Type</t>
        </is>
      </c>
      <c r="B3" s="13" t="inlineStr">
        <is>
          <t>Security Precautions</t>
        </is>
      </c>
      <c r="C3" s="13" t="inlineStr">
        <is>
          <t>Participant Verification</t>
        </is>
      </c>
      <c r="D3" s="13" t="inlineStr">
        <is>
          <t>Recording Policy</t>
        </is>
      </c>
      <c r="E3" s="13" t="inlineStr">
        <is>
          <t>Max Classification</t>
        </is>
      </c>
      <c r="F3" s="13" t="inlineStr">
        <is>
          <t>Follow-up Documentation</t>
        </is>
      </c>
      <c r="G3" s="13" t="inlineStr">
        <is>
          <t>Notes</t>
        </is>
      </c>
    </row>
    <row r="4">
      <c r="A4" s="14" t="inlineStr">
        <is>
          <t>In-Person Meeting (internal)</t>
        </is>
      </c>
      <c r="B4" s="14" t="inlineStr">
        <is>
          <t>Secure meeting room, no unauthorised persons</t>
        </is>
      </c>
      <c r="C4" s="14" t="inlineStr">
        <is>
          <t>Badge/employee verification</t>
        </is>
      </c>
      <c r="D4" s="14" t="inlineStr">
        <is>
          <t>No recording without consent</t>
        </is>
      </c>
      <c r="E4" s="14" t="inlineStr">
        <is>
          <t>CONFIDENTIAL</t>
        </is>
      </c>
      <c r="F4" s="14" t="inlineStr">
        <is>
          <t>Meeting minutes if needed</t>
        </is>
      </c>
      <c r="G4" s="15" t="inlineStr"/>
    </row>
    <row r="5">
      <c r="A5" s="14" t="inlineStr">
        <is>
          <t>In-Person Meeting (external)</t>
        </is>
      </c>
      <c r="B5" s="14" t="inlineStr">
        <is>
          <t>Visitor registration, escort required</t>
        </is>
      </c>
      <c r="C5" s="14" t="inlineStr">
        <is>
          <t>ID verification, NDA check</t>
        </is>
      </c>
      <c r="D5" s="14" t="inlineStr">
        <is>
          <t>Recording requires approval</t>
        </is>
      </c>
      <c r="E5" s="14" t="inlineStr">
        <is>
          <t>INTERNAL</t>
        </is>
      </c>
      <c r="F5" s="14" t="inlineStr">
        <is>
          <t>Summary + attendee list</t>
        </is>
      </c>
      <c r="G5" s="15" t="inlineStr"/>
    </row>
    <row r="6">
      <c r="A6" s="14" t="inlineStr">
        <is>
          <t>Video Conference (internal)</t>
        </is>
      </c>
      <c r="B6" s="14" t="inlineStr">
        <is>
          <t>Approved platform (Teams/Zoom)</t>
        </is>
      </c>
      <c r="C6" s="14" t="inlineStr">
        <is>
          <t>Microsoft Entra ID (formerly Azure AD) authentication</t>
        </is>
      </c>
      <c r="D6" s="14" t="inlineStr">
        <is>
          <t>Recording notification required</t>
        </is>
      </c>
      <c r="E6" s="14" t="inlineStr">
        <is>
          <t>CONFIDENTIAL</t>
        </is>
      </c>
      <c r="F6" s="14" t="inlineStr">
        <is>
          <t>Auto-transcription available</t>
        </is>
      </c>
      <c r="G6" s="15" t="inlineStr"/>
    </row>
    <row r="7">
      <c r="A7" s="14" t="inlineStr">
        <is>
          <t>Video Conference (external)</t>
        </is>
      </c>
      <c r="B7" s="14" t="inlineStr">
        <is>
          <t>Lobby/waiting room enabled</t>
        </is>
      </c>
      <c r="C7" s="14" t="inlineStr">
        <is>
          <t>Host verification of attendees</t>
        </is>
      </c>
      <c r="D7" s="14" t="inlineStr">
        <is>
          <t>Explicit consent required</t>
        </is>
      </c>
      <c r="E7" s="14" t="inlineStr">
        <is>
          <t>INTERNAL</t>
        </is>
      </c>
      <c r="F7" s="14" t="inlineStr">
        <is>
          <t>Host controls recording</t>
        </is>
      </c>
      <c r="G7" s="15" t="inlineStr"/>
    </row>
    <row r="8">
      <c r="A8" s="14" t="inlineStr">
        <is>
          <t>Phone Call (internal)</t>
        </is>
      </c>
      <c r="B8" s="14" t="inlineStr">
        <is>
          <t>Corporate phone system</t>
        </is>
      </c>
      <c r="C8" s="14" t="inlineStr">
        <is>
          <t>Caller ID verification</t>
        </is>
      </c>
      <c r="D8" s="14" t="inlineStr">
        <is>
          <t>Generally not recorded</t>
        </is>
      </c>
      <c r="E8" s="14" t="inlineStr">
        <is>
          <t>INTERNAL</t>
        </is>
      </c>
      <c r="F8" s="14" t="inlineStr">
        <is>
          <t>Notes if sensitive</t>
        </is>
      </c>
      <c r="G8" s="15" t="inlineStr"/>
    </row>
    <row r="9">
      <c r="A9" s="14" t="inlineStr">
        <is>
          <t>Phone Call (external)</t>
        </is>
      </c>
      <c r="B9" s="14" t="inlineStr">
        <is>
          <t>Verify callback number if sensitive</t>
        </is>
      </c>
      <c r="C9" s="14" t="inlineStr">
        <is>
          <t>Ask security questions</t>
        </is>
      </c>
      <c r="D9" s="14" t="inlineStr">
        <is>
          <t>Inform if recorded</t>
        </is>
      </c>
      <c r="E9" s="14" t="inlineStr">
        <is>
          <t>PUBLIC</t>
        </is>
      </c>
      <c r="F9" s="14" t="inlineStr">
        <is>
          <t>Document key points</t>
        </is>
      </c>
      <c r="G9" s="15" t="inlineStr"/>
    </row>
    <row r="10">
      <c r="A10" s="14" t="inlineStr">
        <is>
          <t>Voicemail</t>
        </is>
      </c>
      <c r="B10" s="14" t="inlineStr">
        <is>
          <t>PIN-protected access</t>
        </is>
      </c>
      <c r="C10" s="14" t="inlineStr">
        <is>
          <t>N/A</t>
        </is>
      </c>
      <c r="D10" s="14" t="inlineStr">
        <is>
          <t>Limited retention period</t>
        </is>
      </c>
      <c r="E10" s="14" t="inlineStr">
        <is>
          <t>PUBLIC</t>
        </is>
      </c>
      <c r="F10" s="14" t="inlineStr">
        <is>
          <t>Transcription if available</t>
        </is>
      </c>
      <c r="G10" s="15" t="inlineStr"/>
    </row>
    <row r="11">
      <c r="A11" s="14" t="inlineStr">
        <is>
          <t>Presentation/Training</t>
        </is>
      </c>
      <c r="B11" s="14" t="inlineStr">
        <is>
          <t>Room access control</t>
        </is>
      </c>
      <c r="C11" s="14" t="inlineStr">
        <is>
          <t>Attendee list required</t>
        </is>
      </c>
      <c r="D11" s="14" t="inlineStr">
        <is>
          <t>Prior approval needed</t>
        </is>
      </c>
      <c r="E11" s="14" t="inlineStr">
        <is>
          <t>INTERNAL</t>
        </is>
      </c>
      <c r="F11" s="14" t="inlineStr">
        <is>
          <t>Presentation materials archived</t>
        </is>
      </c>
      <c r="G11" s="15" t="inlineStr"/>
    </row>
  </sheetData>
  <mergeCells count="2">
    <mergeCell ref="A2:G2"/>
    <mergeCell ref="A1:G1"/>
  </mergeCells>
  <dataValidations count="1">
    <dataValidation sqref="E4:E17" showDropDown="0" showInputMessage="1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25" customWidth="1" min="4" max="4"/>
    <col width="35" customWidth="1" min="5" max="5"/>
    <col width="16" customWidth="1" min="6" max="6"/>
    <col width="20" customWidth="1" min="7" max="7"/>
    <col width="14" customWidth="1" min="8" max="8"/>
  </cols>
  <sheetData>
    <row r="1" ht="35" customHeight="1">
      <c r="A1" s="24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5" t="inlineStr">
        <is>
          <t>Document all supporting evidence for audit traceability and compliance verification.</t>
        </is>
      </c>
    </row>
    <row r="4">
      <c r="A4" s="26" t="inlineStr">
        <is>
          <t>Evidence ID</t>
        </is>
      </c>
      <c r="B4" s="26" t="inlineStr">
        <is>
          <t>Evidence Type</t>
        </is>
      </c>
      <c r="C4" s="26" t="inlineStr">
        <is>
          <t>Description</t>
        </is>
      </c>
      <c r="D4" s="26" t="inlineStr">
        <is>
          <t>Related Sheet / Item</t>
        </is>
      </c>
      <c r="E4" s="26" t="inlineStr">
        <is>
          <t>File Location</t>
        </is>
      </c>
      <c r="F4" s="26" t="inlineStr">
        <is>
          <t>Collection Date</t>
        </is>
      </c>
      <c r="G4" s="26" t="inlineStr">
        <is>
          <t>Collected By</t>
        </is>
      </c>
      <c r="H4" s="26" t="inlineStr">
        <is>
          <t>Status</t>
        </is>
      </c>
    </row>
    <row r="5">
      <c r="A5" s="27" t="inlineStr">
        <is>
          <t>EV-514-001</t>
        </is>
      </c>
      <c r="B5" s="27" t="inlineStr">
        <is>
          <t>Policy Document</t>
        </is>
      </c>
      <c r="C5" s="27" t="inlineStr">
        <is>
          <t>Information Transfer Policy reviewed and approved</t>
        </is>
      </c>
      <c r="D5" s="27" t="inlineStr">
        <is>
          <t>Transfer Policy</t>
        </is>
      </c>
      <c r="E5" s="27" t="inlineStr"/>
      <c r="F5" s="27" t="inlineStr"/>
      <c r="G5" s="27" t="inlineStr"/>
      <c r="H5" s="27" t="inlineStr">
        <is>
          <t>Collected</t>
        </is>
      </c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</row>
    <row r="9">
      <c r="A9" s="28" t="n"/>
      <c r="B9" s="28" t="n"/>
      <c r="C9" s="28" t="n"/>
      <c r="D9" s="28" t="n"/>
      <c r="E9" s="28" t="n"/>
      <c r="F9" s="28" t="n"/>
      <c r="G9" s="28" t="n"/>
      <c r="H9" s="28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</row>
    <row r="11">
      <c r="A11" s="28" t="n"/>
      <c r="B11" s="28" t="n"/>
      <c r="C11" s="28" t="n"/>
      <c r="D11" s="28" t="n"/>
      <c r="E11" s="28" t="n"/>
      <c r="F11" s="28" t="n"/>
      <c r="G11" s="28" t="n"/>
      <c r="H11" s="28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</row>
    <row r="21">
      <c r="A21" s="28" t="n"/>
      <c r="B21" s="28" t="n"/>
      <c r="C21" s="28" t="n"/>
      <c r="D21" s="28" t="n"/>
      <c r="E21" s="28" t="n"/>
      <c r="F21" s="28" t="n"/>
      <c r="G21" s="28" t="n"/>
      <c r="H21" s="28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</row>
    <row r="27">
      <c r="A27" s="28" t="n"/>
      <c r="B27" s="28" t="n"/>
      <c r="C27" s="28" t="n"/>
      <c r="D27" s="28" t="n"/>
      <c r="E27" s="28" t="n"/>
      <c r="F27" s="28" t="n"/>
      <c r="G27" s="28" t="n"/>
      <c r="H27" s="28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</row>
    <row r="39">
      <c r="A39" s="28" t="n"/>
      <c r="B39" s="28" t="n"/>
      <c r="C39" s="28" t="n"/>
      <c r="D39" s="28" t="n"/>
      <c r="E39" s="28" t="n"/>
      <c r="F39" s="28" t="n"/>
      <c r="G39" s="28" t="n"/>
      <c r="H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</row>
    <row r="49">
      <c r="A49" s="28" t="n"/>
      <c r="B49" s="28" t="n"/>
      <c r="C49" s="28" t="n"/>
      <c r="D49" s="28" t="n"/>
      <c r="E49" s="28" t="n"/>
      <c r="F49" s="28" t="n"/>
      <c r="G49" s="28" t="n"/>
      <c r="H49" s="28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</row>
    <row r="51">
      <c r="A51" s="28" t="n"/>
      <c r="B51" s="28" t="n"/>
      <c r="C51" s="28" t="n"/>
      <c r="D51" s="28" t="n"/>
      <c r="E51" s="28" t="n"/>
      <c r="F51" s="28" t="n"/>
      <c r="G51" s="28" t="n"/>
      <c r="H51" s="28" t="n"/>
    </row>
    <row r="52">
      <c r="A52" s="28" t="n"/>
      <c r="B52" s="28" t="n"/>
      <c r="C52" s="28" t="n"/>
      <c r="D52" s="28" t="n"/>
      <c r="E52" s="28" t="n"/>
      <c r="F52" s="28" t="n"/>
      <c r="G52" s="28" t="n"/>
      <c r="H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</row>
    <row r="54">
      <c r="A54" s="28" t="n"/>
      <c r="B54" s="28" t="n"/>
      <c r="C54" s="28" t="n"/>
      <c r="D54" s="28" t="n"/>
      <c r="E54" s="28" t="n"/>
      <c r="F54" s="28" t="n"/>
      <c r="G54" s="28" t="n"/>
      <c r="H54" s="28" t="n"/>
    </row>
    <row r="55">
      <c r="A55" s="28" t="n"/>
      <c r="B55" s="28" t="n"/>
      <c r="C55" s="28" t="n"/>
      <c r="D55" s="28" t="n"/>
      <c r="E55" s="28" t="n"/>
      <c r="F55" s="28" t="n"/>
      <c r="G55" s="28" t="n"/>
      <c r="H55" s="28" t="n"/>
    </row>
    <row r="56">
      <c r="A56" s="28" t="n"/>
      <c r="B56" s="28" t="n"/>
      <c r="C56" s="28" t="n"/>
      <c r="D56" s="28" t="n"/>
      <c r="E56" s="28" t="n"/>
      <c r="F56" s="28" t="n"/>
      <c r="G56" s="28" t="n"/>
      <c r="H56" s="28" t="n"/>
    </row>
    <row r="57">
      <c r="A57" s="28" t="n"/>
      <c r="B57" s="28" t="n"/>
      <c r="C57" s="28" t="n"/>
      <c r="D57" s="28" t="n"/>
      <c r="E57" s="28" t="n"/>
      <c r="F57" s="28" t="n"/>
      <c r="G57" s="28" t="n"/>
      <c r="H57" s="28" t="n"/>
    </row>
    <row r="58">
      <c r="A58" s="28" t="n"/>
      <c r="B58" s="28" t="n"/>
      <c r="C58" s="28" t="n"/>
      <c r="D58" s="28" t="n"/>
      <c r="E58" s="28" t="n"/>
      <c r="F58" s="28" t="n"/>
      <c r="G58" s="28" t="n"/>
      <c r="H58" s="28" t="n"/>
    </row>
    <row r="59">
      <c r="A59" s="28" t="n"/>
      <c r="B59" s="28" t="n"/>
      <c r="C59" s="28" t="n"/>
      <c r="D59" s="28" t="n"/>
      <c r="E59" s="28" t="n"/>
      <c r="F59" s="28" t="n"/>
      <c r="G59" s="28" t="n"/>
      <c r="H59" s="28" t="n"/>
    </row>
    <row r="60">
      <c r="A60" s="28" t="n"/>
      <c r="B60" s="28" t="n"/>
      <c r="C60" s="28" t="n"/>
      <c r="D60" s="28" t="n"/>
      <c r="E60" s="28" t="n"/>
      <c r="F60" s="28" t="n"/>
      <c r="G60" s="28" t="n"/>
      <c r="H60" s="28" t="n"/>
    </row>
    <row r="61">
      <c r="A61" s="28" t="n"/>
      <c r="B61" s="28" t="n"/>
      <c r="C61" s="28" t="n"/>
      <c r="D61" s="28" t="n"/>
      <c r="E61" s="28" t="n"/>
      <c r="F61" s="28" t="n"/>
      <c r="G61" s="28" t="n"/>
      <c r="H61" s="28" t="n"/>
    </row>
    <row r="62">
      <c r="A62" s="28" t="n"/>
      <c r="B62" s="28" t="n"/>
      <c r="C62" s="28" t="n"/>
      <c r="D62" s="28" t="n"/>
      <c r="E62" s="28" t="n"/>
      <c r="F62" s="28" t="n"/>
      <c r="G62" s="28" t="n"/>
      <c r="H62" s="28" t="n"/>
    </row>
    <row r="63">
      <c r="A63" s="28" t="n"/>
      <c r="B63" s="28" t="n"/>
      <c r="C63" s="28" t="n"/>
      <c r="D63" s="28" t="n"/>
      <c r="E63" s="28" t="n"/>
      <c r="F63" s="28" t="n"/>
      <c r="G63" s="28" t="n"/>
      <c r="H63" s="28" t="n"/>
    </row>
    <row r="64">
      <c r="A64" s="28" t="n"/>
      <c r="B64" s="28" t="n"/>
      <c r="C64" s="28" t="n"/>
      <c r="D64" s="28" t="n"/>
      <c r="E64" s="28" t="n"/>
      <c r="F64" s="28" t="n"/>
      <c r="G64" s="28" t="n"/>
      <c r="H64" s="28" t="n"/>
    </row>
    <row r="65">
      <c r="A65" s="28" t="n"/>
      <c r="B65" s="28" t="n"/>
      <c r="C65" s="28" t="n"/>
      <c r="D65" s="28" t="n"/>
      <c r="E65" s="28" t="n"/>
      <c r="F65" s="28" t="n"/>
      <c r="G65" s="28" t="n"/>
      <c r="H65" s="28" t="n"/>
    </row>
    <row r="66">
      <c r="A66" s="28" t="n"/>
      <c r="B66" s="28" t="n"/>
      <c r="C66" s="28" t="n"/>
      <c r="D66" s="28" t="n"/>
      <c r="E66" s="28" t="n"/>
      <c r="F66" s="28" t="n"/>
      <c r="G66" s="28" t="n"/>
      <c r="H66" s="28" t="n"/>
    </row>
    <row r="67">
      <c r="A67" s="28" t="n"/>
      <c r="B67" s="28" t="n"/>
      <c r="C67" s="28" t="n"/>
      <c r="D67" s="28" t="n"/>
      <c r="E67" s="28" t="n"/>
      <c r="F67" s="28" t="n"/>
      <c r="G67" s="28" t="n"/>
      <c r="H67" s="28" t="n"/>
    </row>
    <row r="68">
      <c r="A68" s="28" t="n"/>
      <c r="B68" s="28" t="n"/>
      <c r="C68" s="28" t="n"/>
      <c r="D68" s="28" t="n"/>
      <c r="E68" s="28" t="n"/>
      <c r="F68" s="28" t="n"/>
      <c r="G68" s="28" t="n"/>
      <c r="H68" s="28" t="n"/>
    </row>
    <row r="69">
      <c r="A69" s="28" t="n"/>
      <c r="B69" s="28" t="n"/>
      <c r="C69" s="28" t="n"/>
      <c r="D69" s="28" t="n"/>
      <c r="E69" s="28" t="n"/>
      <c r="F69" s="28" t="n"/>
      <c r="G69" s="28" t="n"/>
      <c r="H69" s="28" t="n"/>
    </row>
    <row r="70">
      <c r="A70" s="28" t="n"/>
      <c r="B70" s="28" t="n"/>
      <c r="C70" s="28" t="n"/>
      <c r="D70" s="28" t="n"/>
      <c r="E70" s="28" t="n"/>
      <c r="F70" s="28" t="n"/>
      <c r="G70" s="28" t="n"/>
      <c r="H70" s="28" t="n"/>
    </row>
    <row r="71">
      <c r="A71" s="28" t="n"/>
      <c r="B71" s="28" t="n"/>
      <c r="C71" s="28" t="n"/>
      <c r="D71" s="28" t="n"/>
      <c r="E71" s="28" t="n"/>
      <c r="F71" s="28" t="n"/>
      <c r="G71" s="28" t="n"/>
      <c r="H71" s="28" t="n"/>
    </row>
    <row r="72">
      <c r="A72" s="28" t="n"/>
      <c r="B72" s="28" t="n"/>
      <c r="C72" s="28" t="n"/>
      <c r="D72" s="28" t="n"/>
      <c r="E72" s="28" t="n"/>
      <c r="F72" s="28" t="n"/>
      <c r="G72" s="28" t="n"/>
      <c r="H72" s="28" t="n"/>
    </row>
    <row r="73">
      <c r="A73" s="28" t="n"/>
      <c r="B73" s="28" t="n"/>
      <c r="C73" s="28" t="n"/>
      <c r="D73" s="28" t="n"/>
      <c r="E73" s="28" t="n"/>
      <c r="F73" s="28" t="n"/>
      <c r="G73" s="28" t="n"/>
      <c r="H73" s="28" t="n"/>
    </row>
    <row r="74">
      <c r="A74" s="28" t="n"/>
      <c r="B74" s="28" t="n"/>
      <c r="C74" s="28" t="n"/>
      <c r="D74" s="28" t="n"/>
      <c r="E74" s="28" t="n"/>
      <c r="F74" s="28" t="n"/>
      <c r="G74" s="28" t="n"/>
      <c r="H74" s="28" t="n"/>
    </row>
    <row r="75">
      <c r="A75" s="28" t="n"/>
      <c r="B75" s="28" t="n"/>
      <c r="C75" s="28" t="n"/>
      <c r="D75" s="28" t="n"/>
      <c r="E75" s="28" t="n"/>
      <c r="F75" s="28" t="n"/>
      <c r="G75" s="28" t="n"/>
      <c r="H75" s="28" t="n"/>
    </row>
    <row r="76">
      <c r="A76" s="28" t="n"/>
      <c r="B76" s="28" t="n"/>
      <c r="C76" s="28" t="n"/>
      <c r="D76" s="28" t="n"/>
      <c r="E76" s="28" t="n"/>
      <c r="F76" s="28" t="n"/>
      <c r="G76" s="28" t="n"/>
      <c r="H76" s="28" t="n"/>
    </row>
    <row r="77">
      <c r="A77" s="28" t="n"/>
      <c r="B77" s="28" t="n"/>
      <c r="C77" s="28" t="n"/>
      <c r="D77" s="28" t="n"/>
      <c r="E77" s="28" t="n"/>
      <c r="F77" s="28" t="n"/>
      <c r="G77" s="28" t="n"/>
      <c r="H77" s="28" t="n"/>
    </row>
    <row r="78">
      <c r="A78" s="28" t="n"/>
      <c r="B78" s="28" t="n"/>
      <c r="C78" s="28" t="n"/>
      <c r="D78" s="28" t="n"/>
      <c r="E78" s="28" t="n"/>
      <c r="F78" s="28" t="n"/>
      <c r="G78" s="28" t="n"/>
      <c r="H78" s="28" t="n"/>
    </row>
    <row r="79">
      <c r="A79" s="28" t="n"/>
      <c r="B79" s="28" t="n"/>
      <c r="C79" s="28" t="n"/>
      <c r="D79" s="28" t="n"/>
      <c r="E79" s="28" t="n"/>
      <c r="F79" s="28" t="n"/>
      <c r="G79" s="28" t="n"/>
      <c r="H79" s="28" t="n"/>
    </row>
    <row r="80">
      <c r="A80" s="28" t="n"/>
      <c r="B80" s="28" t="n"/>
      <c r="C80" s="28" t="n"/>
      <c r="D80" s="28" t="n"/>
      <c r="E80" s="28" t="n"/>
      <c r="F80" s="28" t="n"/>
      <c r="G80" s="28" t="n"/>
      <c r="H80" s="28" t="n"/>
    </row>
    <row r="81">
      <c r="A81" s="28" t="n"/>
      <c r="B81" s="28" t="n"/>
      <c r="C81" s="28" t="n"/>
      <c r="D81" s="28" t="n"/>
      <c r="E81" s="28" t="n"/>
      <c r="F81" s="28" t="n"/>
      <c r="G81" s="28" t="n"/>
      <c r="H81" s="28" t="n"/>
    </row>
    <row r="82">
      <c r="A82" s="28" t="n"/>
      <c r="B82" s="28" t="n"/>
      <c r="C82" s="28" t="n"/>
      <c r="D82" s="28" t="n"/>
      <c r="E82" s="28" t="n"/>
      <c r="F82" s="28" t="n"/>
      <c r="G82" s="28" t="n"/>
      <c r="H82" s="28" t="n"/>
    </row>
    <row r="83">
      <c r="A83" s="28" t="n"/>
      <c r="B83" s="28" t="n"/>
      <c r="C83" s="28" t="n"/>
      <c r="D83" s="28" t="n"/>
      <c r="E83" s="28" t="n"/>
      <c r="F83" s="28" t="n"/>
      <c r="G83" s="28" t="n"/>
      <c r="H83" s="28" t="n"/>
    </row>
    <row r="84">
      <c r="A84" s="28" t="n"/>
      <c r="B84" s="28" t="n"/>
      <c r="C84" s="28" t="n"/>
      <c r="D84" s="28" t="n"/>
      <c r="E84" s="28" t="n"/>
      <c r="F84" s="28" t="n"/>
      <c r="G84" s="28" t="n"/>
      <c r="H84" s="28" t="n"/>
    </row>
    <row r="85">
      <c r="A85" s="28" t="n"/>
      <c r="B85" s="28" t="n"/>
      <c r="C85" s="28" t="n"/>
      <c r="D85" s="28" t="n"/>
      <c r="E85" s="28" t="n"/>
      <c r="F85" s="28" t="n"/>
      <c r="G85" s="28" t="n"/>
      <c r="H85" s="28" t="n"/>
    </row>
    <row r="86">
      <c r="A86" s="28" t="n"/>
      <c r="B86" s="28" t="n"/>
      <c r="C86" s="28" t="n"/>
      <c r="D86" s="28" t="n"/>
      <c r="E86" s="28" t="n"/>
      <c r="F86" s="28" t="n"/>
      <c r="G86" s="28" t="n"/>
      <c r="H86" s="28" t="n"/>
    </row>
    <row r="87">
      <c r="A87" s="28" t="n"/>
      <c r="B87" s="28" t="n"/>
      <c r="C87" s="28" t="n"/>
      <c r="D87" s="28" t="n"/>
      <c r="E87" s="28" t="n"/>
      <c r="F87" s="28" t="n"/>
      <c r="G87" s="28" t="n"/>
      <c r="H87" s="28" t="n"/>
    </row>
    <row r="88">
      <c r="A88" s="28" t="n"/>
      <c r="B88" s="28" t="n"/>
      <c r="C88" s="28" t="n"/>
      <c r="D88" s="28" t="n"/>
      <c r="E88" s="28" t="n"/>
      <c r="F88" s="28" t="n"/>
      <c r="G88" s="28" t="n"/>
      <c r="H88" s="28" t="n"/>
    </row>
    <row r="89">
      <c r="A89" s="28" t="n"/>
      <c r="B89" s="28" t="n"/>
      <c r="C89" s="28" t="n"/>
      <c r="D89" s="28" t="n"/>
      <c r="E89" s="28" t="n"/>
      <c r="F89" s="28" t="n"/>
      <c r="G89" s="28" t="n"/>
      <c r="H89" s="28" t="n"/>
    </row>
    <row r="90">
      <c r="A90" s="28" t="n"/>
      <c r="B90" s="28" t="n"/>
      <c r="C90" s="28" t="n"/>
      <c r="D90" s="28" t="n"/>
      <c r="E90" s="28" t="n"/>
      <c r="F90" s="28" t="n"/>
      <c r="G90" s="28" t="n"/>
      <c r="H90" s="28" t="n"/>
    </row>
    <row r="91">
      <c r="A91" s="28" t="n"/>
      <c r="B91" s="28" t="n"/>
      <c r="C91" s="28" t="n"/>
      <c r="D91" s="28" t="n"/>
      <c r="E91" s="28" t="n"/>
      <c r="F91" s="28" t="n"/>
      <c r="G91" s="28" t="n"/>
      <c r="H91" s="28" t="n"/>
    </row>
    <row r="92">
      <c r="A92" s="28" t="n"/>
      <c r="B92" s="28" t="n"/>
      <c r="C92" s="28" t="n"/>
      <c r="D92" s="28" t="n"/>
      <c r="E92" s="28" t="n"/>
      <c r="F92" s="28" t="n"/>
      <c r="G92" s="28" t="n"/>
      <c r="H92" s="28" t="n"/>
    </row>
    <row r="93">
      <c r="A93" s="28" t="n"/>
      <c r="B93" s="28" t="n"/>
      <c r="C93" s="28" t="n"/>
      <c r="D93" s="28" t="n"/>
      <c r="E93" s="28" t="n"/>
      <c r="F93" s="28" t="n"/>
      <c r="G93" s="28" t="n"/>
      <c r="H93" s="28" t="n"/>
    </row>
    <row r="94">
      <c r="A94" s="28" t="n"/>
      <c r="B94" s="28" t="n"/>
      <c r="C94" s="28" t="n"/>
      <c r="D94" s="28" t="n"/>
      <c r="E94" s="28" t="n"/>
      <c r="F94" s="28" t="n"/>
      <c r="G94" s="28" t="n"/>
      <c r="H94" s="28" t="n"/>
    </row>
    <row r="95">
      <c r="A95" s="28" t="n"/>
      <c r="B95" s="28" t="n"/>
      <c r="C95" s="28" t="n"/>
      <c r="D95" s="28" t="n"/>
      <c r="E95" s="28" t="n"/>
      <c r="F95" s="28" t="n"/>
      <c r="G95" s="28" t="n"/>
      <c r="H95" s="28" t="n"/>
    </row>
    <row r="96">
      <c r="A96" s="28" t="n"/>
      <c r="B96" s="28" t="n"/>
      <c r="C96" s="28" t="n"/>
      <c r="D96" s="28" t="n"/>
      <c r="E96" s="28" t="n"/>
      <c r="F96" s="28" t="n"/>
      <c r="G96" s="28" t="n"/>
      <c r="H96" s="28" t="n"/>
    </row>
    <row r="97">
      <c r="A97" s="28" t="n"/>
      <c r="B97" s="28" t="n"/>
      <c r="C97" s="28" t="n"/>
      <c r="D97" s="28" t="n"/>
      <c r="E97" s="28" t="n"/>
      <c r="F97" s="28" t="n"/>
      <c r="G97" s="28" t="n"/>
      <c r="H97" s="28" t="n"/>
    </row>
    <row r="98">
      <c r="A98" s="28" t="n"/>
      <c r="B98" s="28" t="n"/>
      <c r="C98" s="28" t="n"/>
      <c r="D98" s="28" t="n"/>
      <c r="E98" s="28" t="n"/>
      <c r="F98" s="28" t="n"/>
      <c r="G98" s="28" t="n"/>
      <c r="H98" s="28" t="n"/>
    </row>
    <row r="99">
      <c r="A99" s="28" t="n"/>
      <c r="B99" s="28" t="n"/>
      <c r="C99" s="28" t="n"/>
      <c r="D99" s="28" t="n"/>
      <c r="E99" s="28" t="n"/>
      <c r="F99" s="28" t="n"/>
      <c r="G99" s="28" t="n"/>
      <c r="H99" s="28" t="n"/>
    </row>
    <row r="100">
      <c r="A100" s="28" t="n"/>
      <c r="B100" s="28" t="n"/>
      <c r="C100" s="28" t="n"/>
      <c r="D100" s="28" t="n"/>
      <c r="E100" s="28" t="n"/>
      <c r="F100" s="28" t="n"/>
      <c r="G100" s="28" t="n"/>
      <c r="H100" s="28" t="n"/>
    </row>
    <row r="101">
      <c r="A101" s="28" t="n"/>
      <c r="B101" s="28" t="n"/>
      <c r="C101" s="28" t="n"/>
      <c r="D101" s="28" t="n"/>
      <c r="E101" s="28" t="n"/>
      <c r="F101" s="28" t="n"/>
      <c r="G101" s="28" t="n"/>
      <c r="H101" s="28" t="n"/>
    </row>
    <row r="102">
      <c r="A102" s="28" t="n"/>
      <c r="B102" s="28" t="n"/>
      <c r="C102" s="28" t="n"/>
      <c r="D102" s="28" t="n"/>
      <c r="E102" s="28" t="n"/>
      <c r="F102" s="28" t="n"/>
      <c r="G102" s="28" t="n"/>
      <c r="H102" s="28" t="n"/>
    </row>
    <row r="103">
      <c r="A103" s="28" t="n"/>
      <c r="B103" s="28" t="n"/>
      <c r="C103" s="28" t="n"/>
      <c r="D103" s="28" t="n"/>
      <c r="E103" s="28" t="n"/>
      <c r="F103" s="28" t="n"/>
      <c r="G103" s="28" t="n"/>
      <c r="H103" s="28" t="n"/>
    </row>
    <row r="104">
      <c r="A104" s="28" t="n"/>
      <c r="B104" s="28" t="n"/>
      <c r="C104" s="28" t="n"/>
      <c r="D104" s="28" t="n"/>
      <c r="E104" s="28" t="n"/>
      <c r="F104" s="28" t="n"/>
      <c r="G104" s="28" t="n"/>
      <c r="H104" s="28" t="n"/>
    </row>
    <row r="105">
      <c r="A105" s="28" t="n"/>
      <c r="B105" s="28" t="n"/>
      <c r="C105" s="28" t="n"/>
      <c r="D105" s="28" t="n"/>
      <c r="E105" s="28" t="n"/>
      <c r="F105" s="28" t="n"/>
      <c r="G105" s="28" t="n"/>
      <c r="H105" s="28" t="n"/>
    </row>
  </sheetData>
  <mergeCells count="2">
    <mergeCell ref="A2:H2"/>
    <mergeCell ref="A1:H1"/>
  </mergeCells>
  <dataValidations count="2">
    <dataValidation sqref="H6:H105" showDropDown="0" showInputMessage="1" showErrorMessage="0" allowBlank="1" type="list">
      <formula1>"Pending,Collected,Verified,Expired,N/A"</formula1>
    </dataValidation>
    <dataValidation sqref="B6:B105" showDropDown="0" showInputMessage="1" showErrorMessage="0" allowBlank="1" type="list">
      <formula1>"Policy Document,Procedure Document,Configuration Export,Audit Log Sample,Training Record,Screenshot,Agreement,Other"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4" t="inlineStr">
        <is>
          <t>TRANSFER RULES AND PROCEDURES — SUMMARY DASHBOARD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ISO/IEC 27001:2022 — Control A.5.14: Information Transfer | Transfer Rules, Procedures and Channel Controls</t>
        </is>
      </c>
    </row>
    <row r="4" ht="20" customHeight="1">
      <c r="A4" s="29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30" t="inlineStr">
        <is>
          <t>Assessment Area</t>
        </is>
      </c>
      <c r="B5" s="30" t="inlineStr">
        <is>
          <t>Total Items</t>
        </is>
      </c>
      <c r="C5" s="30" t="inlineStr">
        <is>
          <t>Compliant</t>
        </is>
      </c>
      <c r="D5" s="30" t="inlineStr">
        <is>
          <t>Partial</t>
        </is>
      </c>
      <c r="E5" s="30" t="inlineStr">
        <is>
          <t>Non-Compliant</t>
        </is>
      </c>
      <c r="F5" s="30" t="inlineStr">
        <is>
          <t>N/A</t>
        </is>
      </c>
      <c r="G5" s="30" t="inlineStr">
        <is>
          <t>Compliance %</t>
        </is>
      </c>
    </row>
    <row r="6">
      <c r="A6" s="31" t="inlineStr">
        <is>
          <t>Transfer Policy</t>
        </is>
      </c>
      <c r="B6" s="32">
        <f>COUNTA('Transfer Policy'!A4:A13)</f>
        <v/>
      </c>
      <c r="C6" s="32">
        <f>COUNTIF('Transfer Policy'!F4:F13,"Approved")</f>
        <v/>
      </c>
      <c r="D6" s="32">
        <f>COUNTIF('Transfer Policy'!F4:F13,"Under Review")</f>
        <v/>
      </c>
      <c r="E6" s="32">
        <f>COUNTIF('Transfer Policy'!F4:F13,"Draft")+COUNTIF('Transfer Policy'!F4:F13,"Needs Update")</f>
        <v/>
      </c>
      <c r="F6" s="32">
        <f>COUNTIF('Transfer Policy'!F4:F13,"")</f>
        <v/>
      </c>
      <c r="G6" s="33">
        <f>IFERROR(IF((B6-F6)=0,0,C6/(B6-F6)),"")</f>
        <v/>
      </c>
    </row>
    <row r="7">
      <c r="A7" s="34" t="inlineStr">
        <is>
          <t>TOTAL</t>
        </is>
      </c>
      <c r="B7" s="35">
        <f>SUM(B6:B6)</f>
        <v/>
      </c>
      <c r="C7" s="35">
        <f>SUM(C6:C6)</f>
        <v/>
      </c>
      <c r="D7" s="35">
        <f>SUM(D6:D6)</f>
        <v/>
      </c>
      <c r="E7" s="35">
        <f>SUM(E6:E6)</f>
        <v/>
      </c>
      <c r="F7" s="35">
        <f>SUM(F6:F6)</f>
        <v/>
      </c>
      <c r="G7" s="36">
        <f>IFERROR(IF((B7-F7)=0,0,C7/(B7-F7)),"")</f>
        <v/>
      </c>
    </row>
    <row r="9" ht="20" customHeight="1">
      <c r="A9" s="29" t="inlineStr">
        <is>
          <t>TABLE 2: KEY METRICS</t>
        </is>
      </c>
      <c r="B9" s="6" t="n"/>
      <c r="C9" s="6" t="n"/>
      <c r="D9" s="6" t="n"/>
      <c r="E9" s="6" t="n"/>
      <c r="F9" s="6" t="n"/>
      <c r="G9" s="6" t="n"/>
    </row>
    <row r="10">
      <c r="A10" s="35" t="inlineStr">
        <is>
          <t>Metric</t>
        </is>
      </c>
      <c r="B10" s="35" t="inlineStr">
        <is>
          <t>Value</t>
        </is>
      </c>
      <c r="C10" s="35" t="n"/>
      <c r="D10" s="35" t="n"/>
      <c r="E10" s="35" t="n"/>
      <c r="F10" s="35" t="n"/>
      <c r="G10" s="35" t="n"/>
    </row>
    <row r="11">
      <c r="A11" s="31" t="inlineStr">
        <is>
          <t>Transfer Policy Elements Approved</t>
        </is>
      </c>
      <c r="B11" s="32">
        <f>COUNTIF('Transfer Policy'!F4:F13,"Approved")</f>
        <v/>
      </c>
      <c r="C11" s="6" t="n"/>
      <c r="D11" s="6" t="n"/>
      <c r="E11" s="6" t="n"/>
      <c r="F11" s="6" t="n"/>
      <c r="G11" s="6" t="n"/>
    </row>
    <row r="12">
      <c r="A12" s="31" t="inlineStr">
        <is>
          <t>Policy Elements Needing Update</t>
        </is>
      </c>
      <c r="B12" s="32">
        <f>COUNTIF('Transfer Policy'!F4:F13,"Needs Update")+COUNTIF('Transfer Policy'!F4:F13,"Draft")</f>
        <v/>
      </c>
      <c r="C12" s="6" t="n"/>
      <c r="D12" s="6" t="n"/>
      <c r="E12" s="6" t="n"/>
      <c r="F12" s="6" t="n"/>
      <c r="G12" s="6" t="n"/>
    </row>
    <row r="13">
      <c r="A13" s="31" t="inlineStr">
        <is>
          <t>Transfer Methods — RESTRICTED Channels Allowed/Conditional</t>
        </is>
      </c>
      <c r="B13" s="32">
        <f>COUNTIF('Transfer Methods'!E4:E18,"Allowed")+COUNTIF('Transfer Methods'!E4:E18,"Conditional")</f>
        <v/>
      </c>
      <c r="C13" s="6" t="n"/>
      <c r="D13" s="6" t="n"/>
      <c r="E13" s="6" t="n"/>
      <c r="F13" s="6" t="n"/>
      <c r="G13" s="6" t="n"/>
    </row>
    <row r="14">
      <c r="A14" s="31" t="inlineStr">
        <is>
          <t>Transfer Methods Requiring Approval</t>
        </is>
      </c>
      <c r="B14" s="32">
        <f>COUNTIF('Transfer Methods'!G4:G18,"Yes")</f>
        <v/>
      </c>
      <c r="C14" s="6" t="n"/>
      <c r="D14" s="6" t="n"/>
      <c r="E14" s="6" t="n"/>
      <c r="F14" s="6" t="n"/>
      <c r="G14" s="6" t="n"/>
    </row>
    <row r="15">
      <c r="A15" s="31" t="inlineStr">
        <is>
          <t>Methods Not Allowed for RESTRICTED Data</t>
        </is>
      </c>
      <c r="B15" s="32">
        <f>COUNTIF('Transfer Methods'!E4:E18,"Not Allowed")</f>
        <v/>
      </c>
      <c r="C15" s="6" t="n"/>
      <c r="D15" s="6" t="n"/>
      <c r="E15" s="6" t="n"/>
      <c r="F15" s="6" t="n"/>
      <c r="G15" s="6" t="n"/>
    </row>
    <row r="16">
      <c r="A16" s="31" t="inlineStr">
        <is>
          <t>Electronic Channels Supporting RESTRICTED Data</t>
        </is>
      </c>
      <c r="B16" s="32">
        <f>COUNTIF('Electronic Transfer'!F4:F11,"RESTRICTED")</f>
        <v/>
      </c>
      <c r="C16" s="6" t="n"/>
      <c r="D16" s="6" t="n"/>
      <c r="E16" s="6" t="n"/>
      <c r="F16" s="6" t="n"/>
      <c r="G16" s="6" t="n"/>
    </row>
    <row r="17">
      <c r="A17" s="31" t="inlineStr">
        <is>
          <t>Electronic Channels with DLP Integration</t>
        </is>
      </c>
      <c r="B17" s="32">
        <f>COUNTIF('Electronic Transfer'!G4:G11,"Yes")+COUNTIF('Electronic Transfer'!G4:G11,"Custom")</f>
        <v/>
      </c>
      <c r="C17" s="6" t="n"/>
      <c r="D17" s="6" t="n"/>
      <c r="E17" s="6" t="n"/>
      <c r="F17" s="6" t="n"/>
      <c r="G17" s="6" t="n"/>
    </row>
    <row r="18">
      <c r="A18" s="31" t="inlineStr">
        <is>
          <t>Physical Transfer Types Documented</t>
        </is>
      </c>
      <c r="B18" s="32">
        <f>COUNTA('Physical Transfer'!A4:A10)</f>
        <v/>
      </c>
      <c r="C18" s="6" t="n"/>
      <c r="D18" s="6" t="n"/>
      <c r="E18" s="6" t="n"/>
      <c r="F18" s="6" t="n"/>
      <c r="G18" s="6" t="n"/>
    </row>
    <row r="19">
      <c r="A19" s="31" t="inlineStr">
        <is>
          <t>Verbal Protocols Documented</t>
        </is>
      </c>
      <c r="B19" s="32">
        <f>COUNTA('Verbal Transfer'!A4:A11)</f>
        <v/>
      </c>
      <c r="C19" s="6" t="n"/>
      <c r="D19" s="6" t="n"/>
      <c r="E19" s="6" t="n"/>
      <c r="F19" s="6" t="n"/>
      <c r="G19" s="6" t="n"/>
    </row>
    <row r="20">
      <c r="A20" s="31" t="inlineStr">
        <is>
          <t>Evidence Items Collected</t>
        </is>
      </c>
      <c r="B20" s="32">
        <f>COUNTA('Evidence Register'!A6:A105)</f>
        <v/>
      </c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4" ht="20" customHeight="1">
      <c r="A24" s="37" t="inlineStr">
        <is>
          <t>TABLE 3: CRITICAL FINDINGS REQUIRING IMMEDIATE ATTENTION</t>
        </is>
      </c>
      <c r="B24" s="6" t="n"/>
      <c r="C24" s="6" t="n"/>
      <c r="D24" s="6" t="n"/>
      <c r="E24" s="6" t="n"/>
      <c r="F24" s="6" t="n"/>
      <c r="G24" s="6" t="n"/>
    </row>
    <row r="25">
      <c r="A25" s="35" t="inlineStr">
        <is>
          <t>Category</t>
        </is>
      </c>
      <c r="B25" s="35" t="inlineStr">
        <is>
          <t>Finding</t>
        </is>
      </c>
      <c r="C25" s="35" t="inlineStr">
        <is>
          <t>Count</t>
        </is>
      </c>
      <c r="D25" s="35" t="inlineStr">
        <is>
          <t>Severity</t>
        </is>
      </c>
      <c r="E25" s="35" t="inlineStr">
        <is>
          <t>Action Required</t>
        </is>
      </c>
      <c r="F25" s="35" t="n"/>
      <c r="G25" s="35" t="n"/>
    </row>
    <row r="26">
      <c r="A26" s="38" t="inlineStr">
        <is>
          <t>Transfer Policy</t>
        </is>
      </c>
      <c r="B26" s="38" t="inlineStr">
        <is>
          <t>Policy elements not approved (Draft or Needs Update)</t>
        </is>
      </c>
      <c r="C26" s="39">
        <f>COUNTIF('Transfer Policy'!F4:F13,"Draft")+COUNTIF('Transfer Policy'!F4:F13,"Needs Update")</f>
        <v/>
      </c>
      <c r="D26" s="38" t="inlineStr">
        <is>
          <t>High</t>
        </is>
      </c>
      <c r="E26" s="38" t="inlineStr">
        <is>
          <t>Urgent</t>
        </is>
      </c>
      <c r="F26" s="38" t="n"/>
      <c r="G26" s="38" t="n"/>
    </row>
    <row r="27">
      <c r="A27" s="38" t="inlineStr">
        <is>
          <t>Transfer Policy</t>
        </is>
      </c>
      <c r="B27" s="38" t="inlineStr">
        <is>
          <t>Policy elements still under review</t>
        </is>
      </c>
      <c r="C27" s="39">
        <f>COUNTIF('Transfer Policy'!F4:F13,"Under Review")</f>
        <v/>
      </c>
      <c r="D27" s="38" t="inlineStr">
        <is>
          <t>Medium</t>
        </is>
      </c>
      <c r="E27" s="38" t="inlineStr">
        <is>
          <t>Plan</t>
        </is>
      </c>
      <c r="F27" s="38" t="n"/>
      <c r="G27" s="38" t="n"/>
    </row>
    <row r="28">
      <c r="A28" s="38" t="inlineStr">
        <is>
          <t>Transfer Methods</t>
        </is>
      </c>
      <c r="B28" s="38" t="inlineStr">
        <is>
          <t>RESTRICTED data — conditional transfer methods (unapproved risk)</t>
        </is>
      </c>
      <c r="C28" s="39">
        <f>COUNTIF('Transfer Methods'!E4:E18,"Conditional")</f>
        <v/>
      </c>
      <c r="D28" s="38" t="inlineStr">
        <is>
          <t>High</t>
        </is>
      </c>
      <c r="E28" s="38" t="inlineStr">
        <is>
          <t>Urgent</t>
        </is>
      </c>
      <c r="F28" s="38" t="n"/>
      <c r="G28" s="38" t="n"/>
    </row>
    <row r="29">
      <c r="A29" s="38" t="inlineStr">
        <is>
          <t>Transfer Methods</t>
        </is>
      </c>
      <c r="B29" s="38" t="inlineStr">
        <is>
          <t>Transfer methods requiring approval not yet tracked</t>
        </is>
      </c>
      <c r="C29" s="39">
        <f>COUNTIF('Transfer Methods'!G4:G18,"Yes")</f>
        <v/>
      </c>
      <c r="D29" s="38" t="inlineStr">
        <is>
          <t>Medium</t>
        </is>
      </c>
      <c r="E29" s="38" t="inlineStr">
        <is>
          <t>Plan</t>
        </is>
      </c>
      <c r="F29" s="38" t="n"/>
      <c r="G29" s="38" t="n"/>
    </row>
    <row r="30">
      <c r="A30" s="38" t="inlineStr">
        <is>
          <t>Electronic Transfer</t>
        </is>
      </c>
      <c r="B30" s="38" t="inlineStr">
        <is>
          <t>Electronic channels without DLP integration</t>
        </is>
      </c>
      <c r="C30" s="39">
        <f>COUNTIF('Electronic Transfer'!G4:G11,"No")</f>
        <v/>
      </c>
      <c r="D30" s="38" t="inlineStr">
        <is>
          <t>High</t>
        </is>
      </c>
      <c r="E30" s="38" t="inlineStr">
        <is>
          <t>Urgent</t>
        </is>
      </c>
      <c r="F30" s="38" t="n"/>
      <c r="G30" s="38" t="n"/>
    </row>
    <row r="31">
      <c r="A31" s="38" t="inlineStr">
        <is>
          <t>Physical Transfer</t>
        </is>
      </c>
      <c r="B31" s="38" t="inlineStr">
        <is>
          <t>Physical transfer types without documented notes/controls</t>
        </is>
      </c>
      <c r="C31" s="39">
        <f>COUNTBLANK('Physical Transfer'!H4:H10)</f>
        <v/>
      </c>
      <c r="D31" s="38" t="inlineStr">
        <is>
          <t>Medium</t>
        </is>
      </c>
      <c r="E31" s="38" t="inlineStr">
        <is>
          <t>Plan</t>
        </is>
      </c>
      <c r="F31" s="38" t="n"/>
      <c r="G31" s="38" t="n"/>
    </row>
    <row r="32">
      <c r="A32" s="38" t="inlineStr">
        <is>
          <t>Verbal Transfer</t>
        </is>
      </c>
      <c r="B32" s="38" t="inlineStr">
        <is>
          <t>Verbal protocols without documented notes</t>
        </is>
      </c>
      <c r="C32" s="39">
        <f>COUNTBLANK('Verbal Transfer'!G4:G11)</f>
        <v/>
      </c>
      <c r="D32" s="38" t="inlineStr">
        <is>
          <t>Low</t>
        </is>
      </c>
      <c r="E32" s="38" t="inlineStr">
        <is>
          <t>Monitor</t>
        </is>
      </c>
      <c r="F32" s="38" t="n"/>
      <c r="G32" s="38" t="n"/>
    </row>
    <row r="33">
      <c r="A33" s="38" t="inlineStr">
        <is>
          <t>Evidence Register</t>
        </is>
      </c>
      <c r="B33" s="38" t="inlineStr">
        <is>
          <t>No evidence collected (evidence register empty)</t>
        </is>
      </c>
      <c r="C33" s="39">
        <f>IF(COUNTA('Evidence Register'!A6:A105)=0,1,0)</f>
        <v/>
      </c>
      <c r="D33" s="38" t="inlineStr">
        <is>
          <t>Low</t>
        </is>
      </c>
      <c r="E33" s="38" t="inlineStr">
        <is>
          <t>Monitor</t>
        </is>
      </c>
      <c r="F33" s="38" t="n"/>
      <c r="G33" s="38" t="n"/>
    </row>
    <row r="34">
      <c r="A34" s="40" t="n"/>
      <c r="B34" s="40" t="n"/>
      <c r="C34" s="40" t="n"/>
      <c r="D34" s="40" t="n"/>
      <c r="E34" s="40" t="n"/>
      <c r="F34" s="40" t="n"/>
      <c r="G34" s="40" t="n"/>
    </row>
    <row r="35">
      <c r="A35" s="40" t="n"/>
      <c r="B35" s="40" t="n"/>
      <c r="C35" s="40" t="n"/>
      <c r="D35" s="40" t="n"/>
      <c r="E35" s="40" t="n"/>
      <c r="F35" s="40" t="n"/>
      <c r="G35" s="40" t="n"/>
    </row>
  </sheetData>
  <mergeCells count="5">
    <mergeCell ref="A1:G1"/>
    <mergeCell ref="A9:G9"/>
    <mergeCell ref="A4:G4"/>
    <mergeCell ref="A24:G2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24" t="inlineStr">
        <is>
          <t>ASSESSMENT APPROVAL AND SIGN-OFF</t>
        </is>
      </c>
      <c r="B1" s="6" t="n"/>
      <c r="C1" s="6" t="n"/>
      <c r="D1" s="6" t="n"/>
      <c r="E1" s="6" t="n"/>
    </row>
    <row r="2">
      <c r="A2" s="41" t="inlineStr">
        <is>
          <t>ISO/IEC 27001:2022 - Control A.5.14: Information Transfer</t>
        </is>
      </c>
      <c r="B2" s="6" t="n"/>
      <c r="C2" s="6" t="n"/>
      <c r="D2" s="6" t="n"/>
      <c r="E2" s="6" t="n"/>
    </row>
    <row r="3">
      <c r="A3" s="4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ISMS-IMP-A.5.14.1 - Transfer Rules and Procedures</t>
        </is>
      </c>
      <c r="C4" s="6" t="n"/>
      <c r="D4" s="6" t="n"/>
      <c r="E4" s="6" t="n"/>
    </row>
    <row r="5">
      <c r="A5" s="3" t="inlineStr">
        <is>
          <t>Assessment Period:</t>
        </is>
      </c>
      <c r="B5" s="40" t="inlineStr"/>
      <c r="C5" s="6" t="n"/>
      <c r="D5" s="6" t="n"/>
      <c r="E5" s="6" t="n"/>
    </row>
    <row r="6">
      <c r="A6" s="3" t="inlineStr">
        <is>
          <t>Overall Compliance Rating:</t>
        </is>
      </c>
      <c r="B6" s="43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40" t="inlineStr"/>
      <c r="C7" s="6" t="n"/>
      <c r="D7" s="6" t="n"/>
      <c r="E7" s="6" t="n"/>
    </row>
    <row r="8">
      <c r="A8" s="3" t="inlineStr">
        <is>
          <t>Assessed By:</t>
        </is>
      </c>
      <c r="B8" s="40" t="inlineStr"/>
      <c r="C8" s="6" t="n"/>
      <c r="D8" s="6" t="n"/>
      <c r="E8" s="6" t="n"/>
    </row>
    <row r="11">
      <c r="A11" s="42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40" t="n"/>
      <c r="C12" s="6" t="n"/>
      <c r="D12" s="6" t="n"/>
      <c r="E12" s="6" t="n"/>
    </row>
    <row r="13">
      <c r="A13" s="3" t="inlineStr">
        <is>
          <t>Title:</t>
        </is>
      </c>
      <c r="B13" s="40" t="n"/>
      <c r="C13" s="6" t="n"/>
      <c r="D13" s="6" t="n"/>
      <c r="E13" s="6" t="n"/>
    </row>
    <row r="14">
      <c r="A14" s="3" t="inlineStr">
        <is>
          <t>Date:</t>
        </is>
      </c>
      <c r="B14" s="40" t="n"/>
      <c r="C14" s="6" t="n"/>
      <c r="D14" s="6" t="n"/>
      <c r="E14" s="6" t="n"/>
    </row>
    <row r="15">
      <c r="A15" s="3" t="inlineStr">
        <is>
          <t>Signature:</t>
        </is>
      </c>
      <c r="B15" s="40" t="n"/>
      <c r="C15" s="6" t="n"/>
      <c r="D15" s="6" t="n"/>
      <c r="E15" s="6" t="n"/>
    </row>
    <row r="16">
      <c r="A16" s="3" t="inlineStr">
        <is>
          <t>Comments:</t>
        </is>
      </c>
      <c r="B16" s="40" t="n"/>
      <c r="C16" s="6" t="n"/>
      <c r="D16" s="6" t="n"/>
      <c r="E16" s="6" t="n"/>
    </row>
    <row r="18">
      <c r="A18" s="42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40" t="n"/>
      <c r="C19" s="6" t="n"/>
      <c r="D19" s="6" t="n"/>
      <c r="E19" s="6" t="n"/>
    </row>
    <row r="20">
      <c r="A20" s="3" t="inlineStr">
        <is>
          <t>Title:</t>
        </is>
      </c>
      <c r="B20" s="40" t="n"/>
      <c r="C20" s="6" t="n"/>
      <c r="D20" s="6" t="n"/>
      <c r="E20" s="6" t="n"/>
    </row>
    <row r="21">
      <c r="A21" s="3" t="inlineStr">
        <is>
          <t>Date:</t>
        </is>
      </c>
      <c r="B21" s="40" t="n"/>
      <c r="C21" s="6" t="n"/>
      <c r="D21" s="6" t="n"/>
      <c r="E21" s="6" t="n"/>
    </row>
    <row r="22">
      <c r="A22" s="3" t="inlineStr">
        <is>
          <t>Signature:</t>
        </is>
      </c>
      <c r="B22" s="40" t="n"/>
      <c r="C22" s="6" t="n"/>
      <c r="D22" s="6" t="n"/>
      <c r="E22" s="6" t="n"/>
    </row>
    <row r="23">
      <c r="A23" s="3" t="inlineStr">
        <is>
          <t>Comments:</t>
        </is>
      </c>
      <c r="B23" s="40" t="n"/>
      <c r="C23" s="6" t="n"/>
      <c r="D23" s="6" t="n"/>
      <c r="E23" s="6" t="n"/>
    </row>
    <row r="25">
      <c r="A25" s="29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40" t="n"/>
      <c r="C26" s="6" t="n"/>
      <c r="D26" s="6" t="n"/>
      <c r="E26" s="6" t="n"/>
    </row>
    <row r="27">
      <c r="A27" s="3" t="inlineStr">
        <is>
          <t>Title:</t>
        </is>
      </c>
      <c r="B27" s="40" t="n"/>
      <c r="C27" s="6" t="n"/>
      <c r="D27" s="6" t="n"/>
      <c r="E27" s="6" t="n"/>
    </row>
    <row r="28">
      <c r="A28" s="3" t="inlineStr">
        <is>
          <t>Date:</t>
        </is>
      </c>
      <c r="B28" s="40" t="n"/>
      <c r="C28" s="6" t="n"/>
      <c r="D28" s="6" t="n"/>
      <c r="E28" s="6" t="n"/>
    </row>
    <row r="29">
      <c r="A29" s="3" t="inlineStr">
        <is>
          <t>Signature:</t>
        </is>
      </c>
      <c r="B29" s="40" t="n"/>
      <c r="C29" s="6" t="n"/>
      <c r="D29" s="6" t="n"/>
      <c r="E29" s="6" t="n"/>
    </row>
    <row r="30">
      <c r="A30" s="3" t="inlineStr">
        <is>
          <t>Comments:</t>
        </is>
      </c>
      <c r="B30" s="40" t="n"/>
      <c r="C30" s="6" t="n"/>
      <c r="D30" s="6" t="n"/>
      <c r="E30" s="6" t="n"/>
    </row>
    <row r="32">
      <c r="A32" s="3" t="inlineStr">
        <is>
          <t>FINAL DECISION:</t>
        </is>
      </c>
      <c r="B32" s="40" t="n"/>
      <c r="C32" s="6" t="n"/>
      <c r="D32" s="6" t="n"/>
      <c r="E32" s="6" t="n"/>
    </row>
    <row r="35">
      <c r="A35" s="42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40" t="n"/>
      <c r="C36" s="6" t="n"/>
      <c r="D36" s="6" t="n"/>
      <c r="E36" s="6" t="n"/>
    </row>
    <row r="37">
      <c r="A37" s="3" t="inlineStr">
        <is>
          <t>Review Responsible:</t>
        </is>
      </c>
      <c r="B37" s="40" t="n"/>
      <c r="C37" s="6" t="n"/>
      <c r="D37" s="6" t="n"/>
      <c r="E37" s="6" t="n"/>
    </row>
    <row r="38">
      <c r="A38" s="3" t="inlineStr">
        <is>
          <t>Special Considerations:</t>
        </is>
      </c>
      <c r="B38" s="40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ISMS-IMP-A.5.14.1 — Transfer Rules and Procedures</dc:title>
  <dc:description xmlns:dc="http://purl.org/dc/elements/1.1/">ISMS Implementation Workbook — ISMS-IMP-A.5.14.1</dc:description>
  <dc:subject xmlns:dc="http://purl.org/dc/elements/1.1/">ISO/IEC 27001:2022 — Control A.5.14: Information Transfer</dc:subject>
  <dcterms:created xmlns:dcterms="http://purl.org/dc/terms/" xmlns:xsi="http://www.w3.org/2001/XMLSchema-instance" xsi:type="dcterms:W3CDTF">2026-03-01T16:57:15Z</dcterms:created>
  <dcterms:modified xmlns:dcterms="http://purl.org/dc/terms/" xmlns:xsi="http://www.w3.org/2001/XMLSchema-instance" xsi:type="dcterms:W3CDTF">2026-03-01T16:57:15Z</dcterms:modified>
</cp:coreProperties>
</file>