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Agreement Requirements" sheetId="3" state="visible" r:id="rId3"/>
    <sheet xmlns:r="http://schemas.openxmlformats.org/officeDocument/2006/relationships" name="Third Party Assessment" sheetId="4" state="visible" r:id="rId4"/>
    <sheet xmlns:r="http://schemas.openxmlformats.org/officeDocument/2006/relationships" name="Review Schedule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color rgb="00003366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2" fillId="12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164" fontId="12" fillId="12" borderId="1" applyAlignment="1" pivotButton="0" quotePrefix="0" xfId="0">
      <alignment horizontal="center"/>
    </xf>
    <xf numFmtId="0" fontId="6" fillId="13" borderId="1" pivotButton="0" quotePrefix="0" xfId="0"/>
    <xf numFmtId="0" fontId="13" fillId="11" borderId="1" pivotButton="0" quotePrefix="0" xfId="0"/>
    <xf numFmtId="0" fontId="13" fillId="11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ISMS-IMP-A.5.14.3  -  Transfer Agreements Register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ISMS-IMP-A.5.14.3</t>
        </is>
      </c>
    </row>
    <row r="5">
      <c r="A5" s="3" t="inlineStr">
        <is>
          <t>Workbook Title</t>
        </is>
      </c>
      <c r="B5" t="inlineStr">
        <is>
          <t>Transfer Agreements Register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Agreement Register — list all information transfer agreements (NDAs, DPAs, data sharing agreements).</t>
        </is>
      </c>
    </row>
    <row r="14">
      <c r="A14" t="inlineStr">
        <is>
          <t>2. Complete Agreement Requirements — verify each agreement contains required ISO 27001:2022 clauses.</t>
        </is>
      </c>
    </row>
    <row r="15">
      <c r="A15" t="inlineStr">
        <is>
          <t>3. Complete Third Party Assessment — assess third parties’ information transfer security posture.</t>
        </is>
      </c>
    </row>
    <row r="16">
      <c r="A16" t="inlineStr">
        <is>
          <t>4. Complete Review Schedule — document agreement review dates and assign review owners.</t>
        </is>
      </c>
    </row>
    <row r="17">
      <c r="A17" t="inlineStr">
        <is>
          <t>5. Maintain the Evidence Register with signed agreements and review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25" customWidth="1" min="12" max="12"/>
  </cols>
  <sheetData>
    <row r="1">
      <c r="A1" s="11" t="inlineStr">
        <is>
          <t>INFORMATION TRANSFER AGREEMENTS REGISTER</t>
        </is>
      </c>
    </row>
    <row r="2">
      <c r="A2" s="12" t="inlineStr">
        <is>
          <t>Register all information transfer agreements with third parties including DSAs, DPAs, ISAs, and MOUs. Track status, classification, and review dates.</t>
        </is>
      </c>
    </row>
    <row r="3">
      <c r="A3" s="13" t="inlineStr">
        <is>
          <t>Agreement ID</t>
        </is>
      </c>
      <c r="B3" s="13" t="inlineStr">
        <is>
          <t>Agreement Type</t>
        </is>
      </c>
      <c r="C3" s="13" t="inlineStr">
        <is>
          <t>Third Party</t>
        </is>
      </c>
      <c r="D3" s="13" t="inlineStr">
        <is>
          <t>Purpose/Scope</t>
        </is>
      </c>
      <c r="E3" s="13" t="inlineStr">
        <is>
          <t>Data Classification</t>
        </is>
      </c>
      <c r="F3" s="13" t="inlineStr">
        <is>
          <t>Transfer Direction</t>
        </is>
      </c>
      <c r="G3" s="13" t="inlineStr">
        <is>
          <t>Effective Date</t>
        </is>
      </c>
      <c r="H3" s="13" t="inlineStr">
        <is>
          <t>Expiry Date</t>
        </is>
      </c>
      <c r="I3" s="13" t="inlineStr">
        <is>
          <t>Review Date</t>
        </is>
      </c>
      <c r="J3" s="13" t="inlineStr">
        <is>
          <t>Owner</t>
        </is>
      </c>
      <c r="K3" s="13" t="inlineStr">
        <is>
          <t>Status</t>
        </is>
      </c>
      <c r="L3" s="13" t="inlineStr">
        <is>
          <t>Notes</t>
        </is>
      </c>
    </row>
    <row r="4">
      <c r="A4" s="14" t="inlineStr">
        <is>
          <t>AGR-001</t>
        </is>
      </c>
      <c r="B4" s="14" t="inlineStr">
        <is>
          <t>DSA</t>
        </is>
      </c>
      <c r="C4" s="14" t="inlineStr">
        <is>
          <t>Example Partner Ltd</t>
        </is>
      </c>
      <c r="D4" s="14" t="inlineStr">
        <is>
          <t>Customer analytics data sharing</t>
        </is>
      </c>
      <c r="E4" s="14" t="inlineStr">
        <is>
          <t>CONFIDENTIAL</t>
        </is>
      </c>
      <c r="F4" s="14" t="inlineStr">
        <is>
          <t>Bi-directional</t>
        </is>
      </c>
      <c r="G4" s="14" t="inlineStr">
        <is>
          <t>2024-01-01</t>
        </is>
      </c>
      <c r="H4" s="14" t="inlineStr">
        <is>
          <t>2025-12-31</t>
        </is>
      </c>
      <c r="I4" s="14" t="inlineStr">
        <is>
          <t>2025-06-30</t>
        </is>
      </c>
      <c r="J4" s="14" t="inlineStr">
        <is>
          <t>Information Security Manager</t>
        </is>
      </c>
      <c r="K4" s="14" t="inlineStr">
        <is>
          <t>Active</t>
        </is>
      </c>
      <c r="L4" s="14" t="inlineStr">
        <is>
          <t>Annual review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B5:B54" showDropDown="0" showInputMessage="1" showErrorMessage="0" allowBlank="1" type="list">
      <formula1>"DSA,ISA,MOU,DPA,SCC,NDA,Other"</formula1>
    </dataValidation>
    <dataValidation sqref="E5:E54" showDropDown="0" showInputMessage="1" showErrorMessage="0" allowBlank="1" type="list">
      <formula1>"PUBLIC,INTERNAL,CONFIDENTIAL,RESTRICTED"</formula1>
    </dataValidation>
    <dataValidation sqref="F5:F54" showDropDown="0" showInputMessage="1" showErrorMessage="0" allowBlank="1" type="list">
      <formula1>"Inbound,Outbound,Bi-directional"</formula1>
    </dataValidation>
    <dataValidation sqref="K5:K54" showDropDown="0" showInputMessage="1" showErrorMessage="0" allowBlank="1" type="list">
      <formula1>"Draft,Under Review,Active,Expiring Soon,Expired,Terminated"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30" customWidth="1" min="4" max="4"/>
    <col width="20" customWidth="1" min="5" max="5"/>
    <col width="18" customWidth="1" min="6" max="6"/>
    <col width="25" customWidth="1" min="7" max="7"/>
  </cols>
  <sheetData>
    <row r="1">
      <c r="A1" s="11" t="inlineStr">
        <is>
          <t>STANDARD AGREEMENT REQUIREMENTS AND CLAUSES</t>
        </is>
      </c>
    </row>
    <row r="2">
      <c r="A2" s="12" t="inlineStr">
        <is>
          <t>Standard clauses and requirements that must be included in transfer agreements based on ISO 27001:2022 A.5.14 and applicable data protection law.</t>
        </is>
      </c>
    </row>
    <row r="3">
      <c r="A3" s="13" t="inlineStr">
        <is>
          <t>Requirement Category</t>
        </is>
      </c>
      <c r="B3" s="13" t="inlineStr">
        <is>
          <t>Clause/Requirement</t>
        </is>
      </c>
      <c r="C3" s="13" t="inlineStr">
        <is>
          <t>Mandatory For</t>
        </is>
      </c>
      <c r="D3" s="13" t="inlineStr">
        <is>
          <t>Rationale</t>
        </is>
      </c>
      <c r="E3" s="13" t="inlineStr">
        <is>
          <t>Template Reference</t>
        </is>
      </c>
      <c r="F3" s="13" t="inlineStr">
        <is>
          <t>Applicability</t>
        </is>
      </c>
      <c r="G3" s="13" t="inlineStr">
        <is>
          <t>Notes</t>
        </is>
      </c>
    </row>
    <row r="4">
      <c r="A4" s="16" t="inlineStr">
        <is>
          <t>Data Protection</t>
        </is>
      </c>
      <c r="B4" s="16" t="inlineStr">
        <is>
          <t>Data classification handling requirements</t>
        </is>
      </c>
      <c r="C4" s="16" t="inlineStr">
        <is>
          <t>All agreements</t>
        </is>
      </c>
      <c r="D4" s="16" t="inlineStr">
        <is>
          <t>Ensure appropriate protection levels</t>
        </is>
      </c>
      <c r="E4" s="16" t="inlineStr">
        <is>
          <t>ISMS-TEMP-001 §4.1</t>
        </is>
      </c>
      <c r="F4" s="16" t="inlineStr">
        <is>
          <t>CONFIDENTIAL+</t>
        </is>
      </c>
      <c r="G4" s="17" t="inlineStr"/>
    </row>
    <row r="5">
      <c r="A5" s="16" t="inlineStr">
        <is>
          <t>Data Protection</t>
        </is>
      </c>
      <c r="B5" s="16" t="inlineStr">
        <is>
          <t>Encryption requirements (at rest and in transit)</t>
        </is>
      </c>
      <c r="C5" s="16" t="inlineStr">
        <is>
          <t>DSA, ISA, DPA</t>
        </is>
      </c>
      <c r="D5" s="16" t="inlineStr">
        <is>
          <t>Protect data confidentiality</t>
        </is>
      </c>
      <c r="E5" s="16" t="inlineStr">
        <is>
          <t>ISMS-TEMP-001 §4.2</t>
        </is>
      </c>
      <c r="F5" s="16" t="inlineStr">
        <is>
          <t>INTERNAL+</t>
        </is>
      </c>
      <c r="G5" s="17" t="inlineStr"/>
    </row>
    <row r="6">
      <c r="A6" s="16" t="inlineStr">
        <is>
          <t>Data Protection</t>
        </is>
      </c>
      <c r="B6" s="16" t="inlineStr">
        <is>
          <t>Data retention and deletion obligations</t>
        </is>
      </c>
      <c r="C6" s="16" t="inlineStr">
        <is>
          <t>DSA, DPA</t>
        </is>
      </c>
      <c r="D6" s="16" t="inlineStr">
        <is>
          <t>Minimize data exposure</t>
        </is>
      </c>
      <c r="E6" s="16" t="inlineStr">
        <is>
          <t>ISMS-TEMP-001 §4.3</t>
        </is>
      </c>
      <c r="F6" s="16" t="inlineStr">
        <is>
          <t>All</t>
        </is>
      </c>
      <c r="G6" s="17" t="inlineStr"/>
    </row>
    <row r="7">
      <c r="A7" s="16" t="inlineStr">
        <is>
          <t>Access Control</t>
        </is>
      </c>
      <c r="B7" s="16" t="inlineStr">
        <is>
          <t>Authorised user/system identification</t>
        </is>
      </c>
      <c r="C7" s="16" t="inlineStr">
        <is>
          <t>ISA, DSA</t>
        </is>
      </c>
      <c r="D7" s="16" t="inlineStr">
        <is>
          <t>Limit access to authorised parties</t>
        </is>
      </c>
      <c r="E7" s="16" t="inlineStr">
        <is>
          <t>ISMS-TEMP-001 §5.1</t>
        </is>
      </c>
      <c r="F7" s="16" t="inlineStr">
        <is>
          <t>All</t>
        </is>
      </c>
      <c r="G7" s="17" t="inlineStr"/>
    </row>
    <row r="8">
      <c r="A8" s="16" t="inlineStr">
        <is>
          <t>Access Control</t>
        </is>
      </c>
      <c r="B8" s="16" t="inlineStr">
        <is>
          <t>Authentication requirements</t>
        </is>
      </c>
      <c r="C8" s="16" t="inlineStr">
        <is>
          <t>ISA</t>
        </is>
      </c>
      <c r="D8" s="16" t="inlineStr">
        <is>
          <t>Verify identity of connecting systems</t>
        </is>
      </c>
      <c r="E8" s="16" t="inlineStr">
        <is>
          <t>ISMS-TEMP-001 §5.2</t>
        </is>
      </c>
      <c r="F8" s="16" t="inlineStr">
        <is>
          <t>All</t>
        </is>
      </c>
      <c r="G8" s="17" t="inlineStr"/>
    </row>
    <row r="9">
      <c r="A9" s="16" t="inlineStr">
        <is>
          <t>Access Control</t>
        </is>
      </c>
      <c r="B9" s="16" t="inlineStr">
        <is>
          <t>Access logging and audit trail</t>
        </is>
      </c>
      <c r="C9" s="16" t="inlineStr">
        <is>
          <t>All agreements</t>
        </is>
      </c>
      <c r="D9" s="16" t="inlineStr">
        <is>
          <t>Enable incident investigation</t>
        </is>
      </c>
      <c r="E9" s="16" t="inlineStr">
        <is>
          <t>ISMS-TEMP-001 §5.3</t>
        </is>
      </c>
      <c r="F9" s="16" t="inlineStr">
        <is>
          <t>INTERNAL+</t>
        </is>
      </c>
      <c r="G9" s="17" t="inlineStr"/>
    </row>
    <row r="10">
      <c r="A10" s="16" t="inlineStr">
        <is>
          <t>Incident Response</t>
        </is>
      </c>
      <c r="B10" s="16" t="inlineStr">
        <is>
          <t>Security incident notification requirements</t>
        </is>
      </c>
      <c r="C10" s="16" t="inlineStr">
        <is>
          <t>All agreements</t>
        </is>
      </c>
      <c r="D10" s="16" t="inlineStr">
        <is>
          <t>Timely breach notification</t>
        </is>
      </c>
      <c r="E10" s="16" t="inlineStr">
        <is>
          <t>ISMS-TEMP-001 §6.1</t>
        </is>
      </c>
      <c r="F10" s="16" t="inlineStr">
        <is>
          <t>All</t>
        </is>
      </c>
      <c r="G10" s="17" t="inlineStr"/>
    </row>
    <row r="11">
      <c r="A11" s="16" t="inlineStr">
        <is>
          <t>Incident Response</t>
        </is>
      </c>
      <c r="B11" s="16" t="inlineStr">
        <is>
          <t>Incident response coordination procedures</t>
        </is>
      </c>
      <c r="C11" s="16" t="inlineStr">
        <is>
          <t>ISA, DSA</t>
        </is>
      </c>
      <c r="D11" s="16" t="inlineStr">
        <is>
          <t>Coordinated response</t>
        </is>
      </c>
      <c r="E11" s="16" t="inlineStr">
        <is>
          <t>ISMS-TEMP-001 §6.2</t>
        </is>
      </c>
      <c r="F11" s="16" t="inlineStr">
        <is>
          <t>CONFIDENTIAL+</t>
        </is>
      </c>
      <c r="G11" s="17" t="inlineStr"/>
    </row>
    <row r="12">
      <c r="A12" s="16" t="inlineStr">
        <is>
          <t>Compliance</t>
        </is>
      </c>
      <c r="B12" s="16" t="inlineStr">
        <is>
          <t>Right to audit clause</t>
        </is>
      </c>
      <c r="C12" s="16" t="inlineStr">
        <is>
          <t>DPA, DSA</t>
        </is>
      </c>
      <c r="D12" s="16" t="inlineStr">
        <is>
          <t>Verify compliance</t>
        </is>
      </c>
      <c r="E12" s="16" t="inlineStr">
        <is>
          <t>ISMS-TEMP-001 §7.1</t>
        </is>
      </c>
      <c r="F12" s="16" t="inlineStr">
        <is>
          <t>CONFIDENTIAL+</t>
        </is>
      </c>
      <c r="G12" s="17" t="inlineStr"/>
    </row>
    <row r="13">
      <c r="A13" s="16" t="inlineStr">
        <is>
          <t>Compliance</t>
        </is>
      </c>
      <c r="B13" s="16" t="inlineStr">
        <is>
          <t>Certification requirements (ISO 27001, SOC 2)</t>
        </is>
      </c>
      <c r="C13" s="16" t="inlineStr">
        <is>
          <t>DPA, ISA</t>
        </is>
      </c>
      <c r="D13" s="16" t="inlineStr">
        <is>
          <t>Baseline security assurance</t>
        </is>
      </c>
      <c r="E13" s="16" t="inlineStr">
        <is>
          <t>ISMS-TEMP-001 §7.2</t>
        </is>
      </c>
      <c r="F13" s="16" t="inlineStr">
        <is>
          <t>INTERNAL+</t>
        </is>
      </c>
      <c r="G13" s="17" t="inlineStr"/>
    </row>
    <row r="14">
      <c r="A14" s="16" t="inlineStr">
        <is>
          <t>Compliance</t>
        </is>
      </c>
      <c r="B14" s="16" t="inlineStr">
        <is>
          <t>Regulatory compliance obligations</t>
        </is>
      </c>
      <c r="C14" s="16" t="inlineStr">
        <is>
          <t>DPA, SCC</t>
        </is>
      </c>
      <c r="D14" s="16" t="inlineStr">
        <is>
          <t>Legal compliance</t>
        </is>
      </c>
      <c r="E14" s="16" t="inlineStr">
        <is>
          <t>ISMS-TEMP-001 §7.3</t>
        </is>
      </c>
      <c r="F14" s="16" t="inlineStr">
        <is>
          <t>All</t>
        </is>
      </c>
      <c r="G14" s="17" t="inlineStr"/>
    </row>
    <row r="15">
      <c r="A15" s="16" t="inlineStr">
        <is>
          <t>Liability</t>
        </is>
      </c>
      <c r="B15" s="16" t="inlineStr">
        <is>
          <t>Liability and indemnification clauses</t>
        </is>
      </c>
      <c r="C15" s="16" t="inlineStr">
        <is>
          <t>All agreements</t>
        </is>
      </c>
      <c r="D15" s="16" t="inlineStr">
        <is>
          <t>Risk allocation</t>
        </is>
      </c>
      <c r="E15" s="16" t="inlineStr">
        <is>
          <t>ISMS-TEMP-001 §8.1</t>
        </is>
      </c>
      <c r="F15" s="16" t="inlineStr">
        <is>
          <t>All</t>
        </is>
      </c>
      <c r="G15" s="17" t="inlineStr"/>
    </row>
    <row r="16">
      <c r="A16" s="16" t="inlineStr">
        <is>
          <t>Liability</t>
        </is>
      </c>
      <c r="B16" s="16" t="inlineStr">
        <is>
          <t>Insurance requirements</t>
        </is>
      </c>
      <c r="C16" s="16" t="inlineStr">
        <is>
          <t>DSA, DPA</t>
        </is>
      </c>
      <c r="D16" s="16" t="inlineStr">
        <is>
          <t>Financial protection</t>
        </is>
      </c>
      <c r="E16" s="16" t="inlineStr">
        <is>
          <t>ISMS-TEMP-001 §8.2</t>
        </is>
      </c>
      <c r="F16" s="16" t="inlineStr">
        <is>
          <t>CONFIDENTIAL+</t>
        </is>
      </c>
      <c r="G16" s="17" t="inlineStr"/>
    </row>
    <row r="17">
      <c r="A17" s="16" t="inlineStr">
        <is>
          <t>Termination</t>
        </is>
      </c>
      <c r="B17" s="16" t="inlineStr">
        <is>
          <t>Data return/destruction on termination</t>
        </is>
      </c>
      <c r="C17" s="16" t="inlineStr">
        <is>
          <t>All agreements</t>
        </is>
      </c>
      <c r="D17" s="16" t="inlineStr">
        <is>
          <t>Prevent data retention post-contract</t>
        </is>
      </c>
      <c r="E17" s="16" t="inlineStr">
        <is>
          <t>ISMS-TEMP-001 §9.1</t>
        </is>
      </c>
      <c r="F17" s="16" t="inlineStr">
        <is>
          <t>All</t>
        </is>
      </c>
      <c r="G17" s="17" t="inlineStr"/>
    </row>
    <row r="18">
      <c r="A18" s="16" t="inlineStr">
        <is>
          <t>Termination</t>
        </is>
      </c>
      <c r="B18" s="16" t="inlineStr">
        <is>
          <t>Transition assistance obligations</t>
        </is>
      </c>
      <c r="C18" s="16" t="inlineStr">
        <is>
          <t>DPA, ISA</t>
        </is>
      </c>
      <c r="D18" s="16" t="inlineStr">
        <is>
          <t>Business continuity</t>
        </is>
      </c>
      <c r="E18" s="16" t="inlineStr">
        <is>
          <t>ISMS-TEMP-001 §9.2</t>
        </is>
      </c>
      <c r="F18" s="16" t="inlineStr">
        <is>
          <t>CONFIDENTIAL+</t>
        </is>
      </c>
      <c r="G18" s="17" t="inlineStr"/>
    </row>
    <row r="19">
      <c r="A19" s="16" t="inlineStr">
        <is>
          <t>Sub-Processing</t>
        </is>
      </c>
      <c r="B19" s="16" t="inlineStr">
        <is>
          <t>Sub-processor approval requirements</t>
        </is>
      </c>
      <c r="C19" s="16" t="inlineStr">
        <is>
          <t>DPA</t>
        </is>
      </c>
      <c r="D19" s="16" t="inlineStr">
        <is>
          <t>GDPR compliance</t>
        </is>
      </c>
      <c r="E19" s="16" t="inlineStr">
        <is>
          <t>ISMS-TEMP-001 §10.1</t>
        </is>
      </c>
      <c r="F19" s="16" t="inlineStr">
        <is>
          <t>All</t>
        </is>
      </c>
      <c r="G19" s="17" t="inlineStr"/>
    </row>
    <row r="20">
      <c r="A20" s="16" t="inlineStr">
        <is>
          <t>Sub-Processing</t>
        </is>
      </c>
      <c r="B20" s="16" t="inlineStr">
        <is>
          <t>Sub-processor security requirements</t>
        </is>
      </c>
      <c r="C20" s="16" t="inlineStr">
        <is>
          <t>DPA</t>
        </is>
      </c>
      <c r="D20" s="16" t="inlineStr">
        <is>
          <t>Maintain security chain</t>
        </is>
      </c>
      <c r="E20" s="16" t="inlineStr">
        <is>
          <t>ISMS-TEMP-001 §10.2</t>
        </is>
      </c>
      <c r="F20" s="16" t="inlineStr">
        <is>
          <t>INTERNAL+</t>
        </is>
      </c>
      <c r="G20" s="17" t="inlineStr"/>
    </row>
    <row r="21">
      <c r="A21" s="16" t="inlineStr">
        <is>
          <t>Transfer Mechanisms</t>
        </is>
      </c>
      <c r="B21" s="16" t="inlineStr">
        <is>
          <t>Legal basis for international transfers</t>
        </is>
      </c>
      <c r="C21" s="16" t="inlineStr">
        <is>
          <t>SCC, DSA</t>
        </is>
      </c>
      <c r="D21" s="16" t="inlineStr">
        <is>
          <t>Cross-border compliance</t>
        </is>
      </c>
      <c r="E21" s="16" t="inlineStr">
        <is>
          <t>ISMS-TEMP-001 §11.1</t>
        </is>
      </c>
      <c r="F21" s="16" t="inlineStr">
        <is>
          <t>All</t>
        </is>
      </c>
      <c r="G21" s="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5" customWidth="1" min="5" max="5"/>
    <col width="20" customWidth="1" min="6" max="6"/>
    <col width="18" customWidth="1" min="7" max="7"/>
    <col width="14" customWidth="1" min="8" max="8"/>
    <col width="16" customWidth="1" min="9" max="9"/>
    <col width="25" customWidth="1" min="10" max="10"/>
  </cols>
  <sheetData>
    <row r="1">
      <c r="A1" s="11" t="inlineStr">
        <is>
          <t>THIRD PARTY SECURITY ASSESSMENT</t>
        </is>
      </c>
    </row>
    <row r="2">
      <c r="A2" s="12" t="inlineStr">
        <is>
          <t>Assess the security posture of third parties with active transfer agreements including certifications, assessments, and risk ratings.</t>
        </is>
      </c>
    </row>
    <row r="3">
      <c r="A3" s="13" t="inlineStr">
        <is>
          <t>Third Party</t>
        </is>
      </c>
      <c r="B3" s="13" t="inlineStr">
        <is>
          <t>Agreement ID</t>
        </is>
      </c>
      <c r="C3" s="13" t="inlineStr">
        <is>
          <t>Assessment Date</t>
        </is>
      </c>
      <c r="D3" s="13" t="inlineStr">
        <is>
          <t>ISO 27001 Certified</t>
        </is>
      </c>
      <c r="E3" s="13" t="inlineStr">
        <is>
          <t>SOC 2 Report</t>
        </is>
      </c>
      <c r="F3" s="13" t="inlineStr">
        <is>
          <t>Security Questionnaire</t>
        </is>
      </c>
      <c r="G3" s="13" t="inlineStr">
        <is>
          <t>Penetration Test</t>
        </is>
      </c>
      <c r="H3" s="13" t="inlineStr">
        <is>
          <t>Risk Rating</t>
        </is>
      </c>
      <c r="I3" s="13" t="inlineStr">
        <is>
          <t>Next Assessment</t>
        </is>
      </c>
      <c r="J3" s="13" t="inlineStr">
        <is>
          <t>Notes</t>
        </is>
      </c>
    </row>
    <row r="4">
      <c r="A4" s="14" t="inlineStr">
        <is>
          <t>Example Partner Ltd</t>
        </is>
      </c>
      <c r="B4" s="14" t="inlineStr">
        <is>
          <t>AGR-001</t>
        </is>
      </c>
      <c r="C4" s="14" t="inlineStr">
        <is>
          <t>2024-06-01</t>
        </is>
      </c>
      <c r="D4" s="14" t="inlineStr">
        <is>
          <t>Yes</t>
        </is>
      </c>
      <c r="E4" s="14" t="inlineStr">
        <is>
          <t>Type II</t>
        </is>
      </c>
      <c r="F4" s="14" t="inlineStr">
        <is>
          <t>Completed</t>
        </is>
      </c>
      <c r="G4" s="14" t="inlineStr">
        <is>
          <t>Current (&lt;12mo)</t>
        </is>
      </c>
      <c r="H4" s="14" t="inlineStr">
        <is>
          <t>Low</t>
        </is>
      </c>
      <c r="I4" s="14" t="inlineStr">
        <is>
          <t>2025-06-01</t>
        </is>
      </c>
      <c r="J4" s="14" t="inlineStr">
        <is>
          <t>Annual review 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5">
    <dataValidation sqref="D5:D54" showDropDown="0" showInputMessage="1" showErrorMessage="0" allowBlank="1" type="list">
      <formula1>"Yes,No,In Progress,N/A"</formula1>
    </dataValidation>
    <dataValidation sqref="E5:E54" showDropDown="0" showInputMessage="1" showErrorMessage="0" allowBlank="1" type="list">
      <formula1>"Type I,Type II,Not Available,N/A"</formula1>
    </dataValidation>
    <dataValidation sqref="F5:F54" showDropDown="0" showInputMessage="1" showErrorMessage="0" allowBlank="1" type="list">
      <formula1>"Completed,Pending,Not Required"</formula1>
    </dataValidation>
    <dataValidation sqref="G5:G54" showDropDown="0" showInputMessage="1" showErrorMessage="0" allowBlank="1" type="list">
      <formula1>"Current (&lt;12mo),Expired,Not Available,N/A"</formula1>
    </dataValidation>
    <dataValidation sqref="H5:H54" showDropDown="0" showInputMessage="1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30" customWidth="1" min="9" max="9"/>
  </cols>
  <sheetData>
    <row r="1">
      <c r="A1" s="11" t="inlineStr">
        <is>
          <t>AGREEMENT REVIEW AND RENEWAL SCHEDULE</t>
        </is>
      </c>
    </row>
    <row r="2">
      <c r="A2" s="12" t="inlineStr">
        <is>
          <t>Track review and renewal schedule for all transfer agreements including review status, assigned reviewer, and action required on completion.</t>
        </is>
      </c>
    </row>
    <row r="3">
      <c r="A3" s="13" t="inlineStr">
        <is>
          <t>Agreement ID</t>
        </is>
      </c>
      <c r="B3" s="13" t="inlineStr">
        <is>
          <t>Third Party</t>
        </is>
      </c>
      <c r="C3" s="13" t="inlineStr">
        <is>
          <t>Last Review Date</t>
        </is>
      </c>
      <c r="D3" s="13" t="inlineStr">
        <is>
          <t>Next Review Date</t>
        </is>
      </c>
      <c r="E3" s="13" t="inlineStr">
        <is>
          <t>Review Type</t>
        </is>
      </c>
      <c r="F3" s="13" t="inlineStr">
        <is>
          <t>Reviewer</t>
        </is>
      </c>
      <c r="G3" s="13" t="inlineStr">
        <is>
          <t>Review Status</t>
        </is>
      </c>
      <c r="H3" s="13" t="inlineStr">
        <is>
          <t>Action Required</t>
        </is>
      </c>
      <c r="I3" s="13" t="inlineStr">
        <is>
          <t>Notes</t>
        </is>
      </c>
    </row>
    <row r="4">
      <c r="A4" s="14" t="inlineStr">
        <is>
          <t>AGR-001</t>
        </is>
      </c>
      <c r="B4" s="14" t="inlineStr">
        <is>
          <t>Example Partner Ltd</t>
        </is>
      </c>
      <c r="C4" s="14" t="inlineStr">
        <is>
          <t>2024-01-15</t>
        </is>
      </c>
      <c r="D4" s="14" t="inlineStr">
        <is>
          <t>2025-01-15</t>
        </is>
      </c>
      <c r="E4" s="14" t="inlineStr">
        <is>
          <t>Annual</t>
        </is>
      </c>
      <c r="F4" s="14" t="inlineStr">
        <is>
          <t>Information Security Manager</t>
        </is>
      </c>
      <c r="G4" s="14" t="inlineStr">
        <is>
          <t>Completed</t>
        </is>
      </c>
      <c r="H4" s="14" t="inlineStr">
        <is>
          <t>None</t>
        </is>
      </c>
      <c r="I4" s="14" t="inlineStr">
        <is>
          <t>Reviewed; no changes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5:E54" showDropDown="0" showInputMessage="1" showErrorMessage="0" allowBlank="1" type="list">
      <formula1>"Annual,Semi-Annual,Quarterly,Ad-hoc,Renewal"</formula1>
    </dataValidation>
    <dataValidation sqref="G5:G54" showDropDown="0" showInputMessage="1" showErrorMessage="0" allowBlank="1" type="list">
      <formula1>"Scheduled,In Progress,Completed,Overdue"</formula1>
    </dataValidation>
    <dataValidation sqref="H5:H54" showDropDown="0" showInputMessage="1" showErrorMessage="0" allowBlank="1" type="list">
      <formula1>"None,Update Clauses,Renegotiate,Terminate,Renew"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0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Document all supporting evidence for audit traceability and compliance verification.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Related Agreement</t>
        </is>
      </c>
      <c r="E4" s="20" t="inlineStr">
        <is>
          <t>File Location</t>
        </is>
      </c>
      <c r="F4" s="20" t="inlineStr">
        <is>
          <t>Collection Date</t>
        </is>
      </c>
      <c r="G4" s="20" t="inlineStr">
        <is>
          <t>Collected By</t>
        </is>
      </c>
      <c r="H4" s="20" t="inlineStr">
        <is>
          <t>Status</t>
        </is>
      </c>
    </row>
    <row r="5">
      <c r="A5" s="21" t="inlineStr">
        <is>
          <t>EV-514-AGR-001</t>
        </is>
      </c>
      <c r="B5" s="21" t="inlineStr">
        <is>
          <t>Signed Agreement</t>
        </is>
      </c>
      <c r="C5" s="21" t="inlineStr">
        <is>
          <t>Executed DSA with Example Partner</t>
        </is>
      </c>
      <c r="D5" s="21" t="inlineStr">
        <is>
          <t>AGR-001</t>
        </is>
      </c>
      <c r="E5" s="21" t="inlineStr"/>
      <c r="F5" s="21" t="inlineStr"/>
      <c r="G5" s="21" t="inlineStr"/>
      <c r="H5" s="21" t="inlineStr">
        <is>
          <t>Collected</t>
        </is>
      </c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"Signed Agreement,Security Certificate,SOC 2 Report,Audit Report,Legal Review,Review Record,Assessment,Other"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TRANSFER AGREEMENTS REGISTER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Third Party Transfer Agreements Portfolio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Agreement Inventory</t>
        </is>
      </c>
      <c r="B6" s="26">
        <f>COUNTA('Agreement Register'!C5:C54)</f>
        <v/>
      </c>
      <c r="C6" s="26">
        <f>COUNTIF('Agreement Register'!K5:K54,"Active")</f>
        <v/>
      </c>
      <c r="D6" s="26">
        <f>COUNTIF('Agreement Register'!K5:K54,"Expiring Soon")+COUNTIF('Agreement Register'!K5:K54,"Under Review")</f>
        <v/>
      </c>
      <c r="E6" s="26">
        <f>COUNTIF('Agreement Register'!K5:K54,"Draft")+COUNTIF('Agreement Register'!K5:K54,"Expired")+COUNTIF('Agreement Register'!K5:K54,"Terminated")</f>
        <v/>
      </c>
      <c r="F6" s="26" t="inlineStr">
        <is>
          <t>0</t>
        </is>
      </c>
      <c r="G6" s="27">
        <f>IFERROR(IF((B6-F6)=0,0,C6/(B6-F6)),"")</f>
        <v/>
      </c>
    </row>
    <row r="7">
      <c r="A7" s="25" t="inlineStr">
        <is>
          <t>Third Party Security</t>
        </is>
      </c>
      <c r="B7" s="26">
        <f>COUNTA('Third Party Assessment'!A5:A54)</f>
        <v/>
      </c>
      <c r="C7" s="26">
        <f>COUNTIF('Third Party Assessment'!H5:H54,"Low")</f>
        <v/>
      </c>
      <c r="D7" s="26">
        <f>COUNTIF('Third Party Assessment'!H5:H54,"Medium")</f>
        <v/>
      </c>
      <c r="E7" s="26">
        <f>COUNTIF('Third Party Assessment'!H5:H54,"High")+COUNTIF('Third Party Assessment'!H5:H54,"Critical")</f>
        <v/>
      </c>
      <c r="F7" s="26" t="inlineStr">
        <is>
          <t>0</t>
        </is>
      </c>
      <c r="G7" s="27">
        <f>IFERROR(IF((B7-F7)=0,0,C7/(B7-F7)),"")</f>
        <v/>
      </c>
    </row>
    <row r="8">
      <c r="A8" s="25" t="inlineStr">
        <is>
          <t>Review Schedule</t>
        </is>
      </c>
      <c r="B8" s="26">
        <f>COUNTA('Review Schedule'!A5:A54)</f>
        <v/>
      </c>
      <c r="C8" s="26">
        <f>COUNTIF('Review Schedule'!G5:G54,"Completed")</f>
        <v/>
      </c>
      <c r="D8" s="26">
        <f>COUNTIF('Review Schedule'!G5:G54,"Scheduled")+COUNTIF('Review Schedule'!G5:G54,"In Progress")</f>
        <v/>
      </c>
      <c r="E8" s="26">
        <f>COUNTIF('Review Schedule'!G5:G54,"Overdue")</f>
        <v/>
      </c>
      <c r="F8" s="26" t="inlineStr">
        <is>
          <t>0</t>
        </is>
      </c>
      <c r="G8" s="27">
        <f>IFERROR(IF((B8-F8)=0,0,C8/(B8-F8)),"")</f>
        <v/>
      </c>
    </row>
    <row r="9">
      <c r="A9" s="28" t="inlineStr">
        <is>
          <t>TOTAL</t>
        </is>
      </c>
      <c r="B9" s="29">
        <f>SUM(B6:B8)</f>
        <v/>
      </c>
      <c r="C9" s="29">
        <f>SUM(C6:C8)</f>
        <v/>
      </c>
      <c r="D9" s="29">
        <f>SUM(D6:D8)</f>
        <v/>
      </c>
      <c r="E9" s="29">
        <f>SUM(E6:E8)</f>
        <v/>
      </c>
      <c r="F9" s="29">
        <f>SUM(F6:F8)</f>
        <v/>
      </c>
      <c r="G9" s="30">
        <f>IFERROR(IF((B9-F9)=0,0,C9/(B9-F9)),"")</f>
        <v/>
      </c>
    </row>
    <row r="11" ht="20" customHeight="1">
      <c r="A11" s="23" t="inlineStr">
        <is>
          <t>TABLE 2: KEY METRICS</t>
        </is>
      </c>
      <c r="B11" s="6" t="n"/>
      <c r="C11" s="6" t="n"/>
      <c r="D11" s="6" t="n"/>
      <c r="E11" s="6" t="n"/>
      <c r="F11" s="6" t="n"/>
      <c r="G11" s="6" t="n"/>
    </row>
    <row r="12">
      <c r="A12" s="29" t="inlineStr">
        <is>
          <t>Metric</t>
        </is>
      </c>
      <c r="B12" s="29" t="inlineStr">
        <is>
          <t>Value</t>
        </is>
      </c>
      <c r="C12" s="29" t="n"/>
      <c r="D12" s="29" t="n"/>
      <c r="E12" s="29" t="n"/>
      <c r="F12" s="29" t="n"/>
      <c r="G12" s="29" t="n"/>
    </row>
    <row r="13">
      <c r="A13" s="25" t="inlineStr">
        <is>
          <t>Total Agreements Registered</t>
        </is>
      </c>
      <c r="B13" s="26">
        <f>COUNTA('Agreement Register'!C5:C54)</f>
        <v/>
      </c>
      <c r="C13" s="6" t="n"/>
      <c r="D13" s="6" t="n"/>
      <c r="E13" s="6" t="n"/>
      <c r="F13" s="6" t="n"/>
      <c r="G13" s="6" t="n"/>
    </row>
    <row r="14">
      <c r="A14" s="25" t="inlineStr">
        <is>
          <t>Active Agreements</t>
        </is>
      </c>
      <c r="B14" s="26">
        <f>COUNTIF('Agreement Register'!K5:K54,"Active")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Agreements Expiring Soon</t>
        </is>
      </c>
      <c r="B15" s="26">
        <f>COUNTIF('Agreement Register'!K5:K54,"Expiring Soon")</f>
        <v/>
      </c>
      <c r="C15" s="6" t="n"/>
      <c r="D15" s="6" t="n"/>
      <c r="E15" s="6" t="n"/>
      <c r="F15" s="6" t="n"/>
      <c r="G15" s="6" t="n"/>
    </row>
    <row r="16">
      <c r="A16" s="25" t="inlineStr">
        <is>
          <t>Expired or Terminated Agreements</t>
        </is>
      </c>
      <c r="B16" s="26">
        <f>COUNTIF('Agreement Register'!K5:K54,"Expired")+COUNTIF('Agreement Register'!K5:K54,"Terminated")</f>
        <v/>
      </c>
      <c r="C16" s="6" t="n"/>
      <c r="D16" s="6" t="n"/>
      <c r="E16" s="6" t="n"/>
      <c r="F16" s="6" t="n"/>
      <c r="G16" s="6" t="n"/>
    </row>
    <row r="17">
      <c r="A17" s="25" t="inlineStr">
        <is>
          <t>DSA / DPA Agreements</t>
        </is>
      </c>
      <c r="B17" s="26">
        <f>COUNTIF('Agreement Register'!B5:B54,"DSA")+COUNTIF('Agreement Register'!B5:B54,"DPA")</f>
        <v/>
      </c>
      <c r="C17" s="6" t="n"/>
      <c r="D17" s="6" t="n"/>
      <c r="E17" s="6" t="n"/>
      <c r="F17" s="6" t="n"/>
      <c r="G17" s="6" t="n"/>
    </row>
    <row r="18">
      <c r="A18" s="25" t="inlineStr">
        <is>
          <t>CONFIDENTIAL/RESTRICTED Transfer Agreements</t>
        </is>
      </c>
      <c r="B18" s="26">
        <f>COUNTIF('Agreement Register'!E5:E54,"CONFIDENTIAL")+COUNTIF('Agreement Register'!E5:E54,"RESTRICTED")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Partners with ISO 27001 Certification</t>
        </is>
      </c>
      <c r="B19" s="26">
        <f>COUNTIF('Third Party Assessment'!D5:D54,"Yes")</f>
        <v/>
      </c>
      <c r="C19" s="6" t="n"/>
      <c r="D19" s="6" t="n"/>
      <c r="E19" s="6" t="n"/>
      <c r="F19" s="6" t="n"/>
      <c r="G19" s="6" t="n"/>
    </row>
    <row r="20">
      <c r="A20" s="25" t="inlineStr">
        <is>
          <t>Partners with SOC 2 Report</t>
        </is>
      </c>
      <c r="B20" s="26">
        <f>COUNTIF('Third Party Assessment'!E5:E54,"Type I")+COUNTIF('Third Party Assessment'!E5:E54,"Type II")</f>
        <v/>
      </c>
      <c r="C20" s="6" t="n"/>
      <c r="D20" s="6" t="n"/>
      <c r="E20" s="6" t="n"/>
      <c r="F20" s="6" t="n"/>
      <c r="G20" s="6" t="n"/>
    </row>
    <row r="21">
      <c r="A21" s="25" t="inlineStr">
        <is>
          <t>High/Critical Risk Partners</t>
        </is>
      </c>
      <c r="B21" s="26">
        <f>COUNTIF('Third Party Assessment'!H5:H54,"High")+COUNTIF('Third Party Assessment'!H5:H54,"Critical")</f>
        <v/>
      </c>
      <c r="C21" s="6" t="n"/>
      <c r="D21" s="6" t="n"/>
      <c r="E21" s="6" t="n"/>
      <c r="F21" s="6" t="n"/>
      <c r="G21" s="6" t="n"/>
    </row>
    <row r="22">
      <c r="A22" s="25" t="inlineStr">
        <is>
          <t>Reviews Overdue</t>
        </is>
      </c>
      <c r="B22" s="26">
        <f>COUNTIF('Review Schedule'!G5:G54,"Overdue")</f>
        <v/>
      </c>
      <c r="C22" s="6" t="n"/>
      <c r="D22" s="6" t="n"/>
      <c r="E22" s="6" t="n"/>
      <c r="F22" s="6" t="n"/>
      <c r="G22" s="6" t="n"/>
    </row>
    <row r="23">
      <c r="A23" s="25" t="inlineStr">
        <is>
          <t>Reviews Completed</t>
        </is>
      </c>
      <c r="B23" s="26">
        <f>COUNTIF('Review Schedule'!G5:G54,"Completed")</f>
        <v/>
      </c>
      <c r="C23" s="6" t="n"/>
      <c r="D23" s="6" t="n"/>
      <c r="E23" s="6" t="n"/>
      <c r="F23" s="6" t="n"/>
      <c r="G23" s="6" t="n"/>
    </row>
    <row r="24">
      <c r="A24" s="25" t="inlineStr">
        <is>
          <t>Agreements Requiring Renegotiation/Termination</t>
        </is>
      </c>
      <c r="B24" s="26">
        <f>COUNTIF('Review Schedule'!H5:H54,"Renegotiate")+COUNTIF('Review Schedule'!H5:H54,"Terminate")</f>
        <v/>
      </c>
      <c r="C24" s="6" t="n"/>
      <c r="D24" s="6" t="n"/>
      <c r="E24" s="6" t="n"/>
      <c r="F24" s="6" t="n"/>
      <c r="G24" s="6" t="n"/>
    </row>
    <row r="25">
      <c r="A25" s="25" t="inlineStr">
        <is>
          <t>Evidence Items Collected</t>
        </is>
      </c>
      <c r="B25" s="26">
        <f>COUNTA('Evidence Register'!A6:A105)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 ht="20" customHeight="1">
      <c r="A29" s="31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2" t="inlineStr">
        <is>
          <t>Agreement Inventory</t>
        </is>
      </c>
      <c r="B31" s="32" t="inlineStr">
        <is>
          <t>Expired agreements still on register</t>
        </is>
      </c>
      <c r="C31" s="33">
        <f>COUNTIF('Agreement Register'!K5:K54,"Expired")</f>
        <v/>
      </c>
      <c r="D31" s="32" t="inlineStr">
        <is>
          <t>Critical</t>
        </is>
      </c>
      <c r="E31" s="32" t="inlineStr">
        <is>
          <t>Immediate</t>
        </is>
      </c>
      <c r="F31" s="32" t="n"/>
      <c r="G31" s="32" t="n"/>
    </row>
    <row r="32">
      <c r="A32" s="32" t="inlineStr">
        <is>
          <t>Agreement Inventory</t>
        </is>
      </c>
      <c r="B32" s="32" t="inlineStr">
        <is>
          <t>Agreements expiring soon without renewal action</t>
        </is>
      </c>
      <c r="C32" s="33">
        <f>COUNTIF('Agreement Register'!K5:K54,"Expiring Soon")</f>
        <v/>
      </c>
      <c r="D32" s="32" t="inlineStr">
        <is>
          <t>High</t>
        </is>
      </c>
      <c r="E32" s="32" t="inlineStr">
        <is>
          <t>Urgent</t>
        </is>
      </c>
      <c r="F32" s="32" t="n"/>
      <c r="G32" s="32" t="n"/>
    </row>
    <row r="33">
      <c r="A33" s="32" t="inlineStr">
        <is>
          <t>Third Party Security</t>
        </is>
      </c>
      <c r="B33" s="32" t="inlineStr">
        <is>
          <t>High/Critical risk transfer partners</t>
        </is>
      </c>
      <c r="C33" s="33">
        <f>COUNTIF('Third Party Assessment'!H5:H54,"High")+COUNTIF('Third Party Assessment'!H5:H54,"Critical")</f>
        <v/>
      </c>
      <c r="D33" s="32" t="inlineStr">
        <is>
          <t>Critical</t>
        </is>
      </c>
      <c r="E33" s="32" t="inlineStr">
        <is>
          <t>Immediate</t>
        </is>
      </c>
      <c r="F33" s="32" t="n"/>
      <c r="G33" s="32" t="n"/>
    </row>
    <row r="34">
      <c r="A34" s="32" t="inlineStr">
        <is>
          <t>Third Party Security</t>
        </is>
      </c>
      <c r="B34" s="32" t="inlineStr">
        <is>
          <t>Partners without ISO 27001 or SOC 2 assurance</t>
        </is>
      </c>
      <c r="C34" s="33">
        <f>COUNTA('Third Party Assessment'!A5:A54)-COUNTIF('Third Party Assessment'!D5:D54,"Yes")-COUNTIF('Third Party Assessment'!E5:E54,"Type I")-COUNTIF('Third Party Assessment'!E5:E54,"Type II")</f>
        <v/>
      </c>
      <c r="D34" s="32" t="inlineStr">
        <is>
          <t>High</t>
        </is>
      </c>
      <c r="E34" s="32" t="inlineStr">
        <is>
          <t>Urgent</t>
        </is>
      </c>
      <c r="F34" s="32" t="n"/>
      <c r="G34" s="32" t="n"/>
    </row>
    <row r="35">
      <c r="A35" s="32" t="inlineStr">
        <is>
          <t>Review Schedule</t>
        </is>
      </c>
      <c r="B35" s="32" t="inlineStr">
        <is>
          <t>Overdue agreement reviews</t>
        </is>
      </c>
      <c r="C35" s="33">
        <f>COUNTIF('Review Schedule'!G5:G54,"Overdue")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Review Schedule</t>
        </is>
      </c>
      <c r="B36" s="32" t="inlineStr">
        <is>
          <t>Agreements requiring renegotiation</t>
        </is>
      </c>
      <c r="C36" s="33">
        <f>COUNTIF('Review Schedule'!H5:H54,"Renegotiate")</f>
        <v/>
      </c>
      <c r="D36" s="32" t="inlineStr">
        <is>
          <t>High</t>
        </is>
      </c>
      <c r="E36" s="32" t="inlineStr">
        <is>
          <t>Urgent</t>
        </is>
      </c>
      <c r="F36" s="32" t="n"/>
      <c r="G36" s="32" t="n"/>
    </row>
    <row r="37">
      <c r="A37" s="32" t="inlineStr">
        <is>
          <t>Review Schedule</t>
        </is>
      </c>
      <c r="B37" s="32" t="inlineStr">
        <is>
          <t>Agreements requiring termination</t>
        </is>
      </c>
      <c r="C37" s="33">
        <f>COUNTIF('Review Schedule'!H5:H54,"Terminate")</f>
        <v/>
      </c>
      <c r="D37" s="32" t="inlineStr">
        <is>
          <t>High</t>
        </is>
      </c>
      <c r="E37" s="32" t="inlineStr">
        <is>
          <t>Urgent</t>
        </is>
      </c>
      <c r="F37" s="32" t="n"/>
      <c r="G37" s="32" t="n"/>
    </row>
    <row r="38">
      <c r="A38" s="32" t="inlineStr">
        <is>
          <t>Agreement Inventory</t>
        </is>
      </c>
      <c r="B38" s="32" t="inlineStr">
        <is>
          <t>Terminated agreements still registered</t>
        </is>
      </c>
      <c r="C38" s="33">
        <f>COUNTIF('Agreement Register'!K5:K54,"Terminated")</f>
        <v/>
      </c>
      <c r="D38" s="32" t="inlineStr">
        <is>
          <t>Medium</t>
        </is>
      </c>
      <c r="E38" s="32" t="inlineStr">
        <is>
          <t>Plan</t>
        </is>
      </c>
      <c r="F38" s="32" t="n"/>
      <c r="G38" s="32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</sheetData>
  <mergeCells count="5">
    <mergeCell ref="A1:G1"/>
    <mergeCell ref="A4:G4"/>
    <mergeCell ref="A2:G2"/>
    <mergeCell ref="A29:G2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8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ISMS-IMP-A.5.14.3 - Transfer Agreements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2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ISMS-IMP-A.5.14.3 — Transfer Agreements Register</dc:title>
  <dc:description xmlns:dc="http://purl.org/dc/elements/1.1/">ISMS Implementation Workbook — ISMS-IMP-A.5.14.3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2026-03-10T18:48:36Z</dcterms:created>
  <dcterms:modified xmlns:dcterms="http://purl.org/dc/terms/" xmlns:xsi="http://www.w3.org/2001/XMLSchema-instance" xsi:type="dcterms:W3CDTF">2026-03-10T18:48:36Z</dcterms:modified>
</cp:coreProperties>
</file>