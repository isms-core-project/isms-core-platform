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greement Register" sheetId="2" state="visible" r:id="rId2"/>
    <sheet xmlns:r="http://schemas.openxmlformats.org/officeDocument/2006/relationships" name="Agreement Requirements" sheetId="3" state="visible" r:id="rId3"/>
    <sheet xmlns:r="http://schemas.openxmlformats.org/officeDocument/2006/relationships" name="Third Party Assessment" sheetId="4" state="visible" r:id="rId4"/>
    <sheet xmlns:r="http://schemas.openxmlformats.org/officeDocument/2006/relationships" name="Review Schedule" sheetId="5" state="visible" r:id="rId5"/>
    <sheet xmlns:r="http://schemas.openxmlformats.org/officeDocument/2006/relationships" name="Evidence Register" sheetId="6" state="visible" r:id="rId6"/>
    <sheet xmlns:r="http://schemas.openxmlformats.org/officeDocument/2006/relationships" name="Summary Dashboard" sheetId="7" state="visible" r:id="rId7"/>
    <sheet xmlns:r="http://schemas.openxmlformats.org/officeDocument/2006/relationships" name="Approval Sign-Of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color rgb="00003366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b val="1"/>
      <color rgb="00000000"/>
    </font>
    <font>
      <name val="Calibri"/>
      <color rgb="0000000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8" fillId="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1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left" vertical="center" wrapText="1"/>
    </xf>
    <xf numFmtId="0" fontId="0" fillId="11" borderId="1" applyAlignment="1" pivotButton="0" quotePrefix="0" xfId="0">
      <alignment horizontal="left" vertical="center" wrapText="1"/>
    </xf>
    <xf numFmtId="0" fontId="6" fillId="8" borderId="1" pivotButton="0" quotePrefix="0" xfId="0"/>
    <xf numFmtId="0" fontId="12" fillId="12" borderId="1" applyAlignment="1" pivotButton="0" quotePrefix="0" xfId="0">
      <alignment horizontal="center" vertical="center" wrapText="1"/>
    </xf>
    <xf numFmtId="0" fontId="13" fillId="0" borderId="1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2" fillId="12" borderId="1" pivotButton="0" quotePrefix="0" xfId="0"/>
    <xf numFmtId="0" fontId="12" fillId="12" borderId="1" applyAlignment="1" pivotButton="0" quotePrefix="0" xfId="0">
      <alignment horizontal="center"/>
    </xf>
    <xf numFmtId="164" fontId="12" fillId="12" borderId="1" applyAlignment="1" pivotButton="0" quotePrefix="0" xfId="0">
      <alignment horizontal="center"/>
    </xf>
    <xf numFmtId="0" fontId="6" fillId="13" borderId="1" pivotButton="0" quotePrefix="0" xfId="0"/>
    <xf numFmtId="0" fontId="13" fillId="11" borderId="1" pivotButton="0" quotePrefix="0" xfId="0"/>
    <xf numFmtId="0" fontId="13" fillId="11" borderId="1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6" fillId="9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ISMS-IMP-A.5.14.3  -  Transfer Agreements Register
ISO/IEC 27001:2022 - Control A.5.14: Information Transfer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ISMS-IMP-A.5.14.3</t>
        </is>
      </c>
    </row>
    <row r="5">
      <c r="A5" s="3" t="inlineStr">
        <is>
          <t>Workbook Title</t>
        </is>
      </c>
      <c r="B5" t="inlineStr">
        <is>
          <t>Transfer Agreements Register</t>
        </is>
      </c>
    </row>
    <row r="6">
      <c r="A6" s="3" t="inlineStr">
        <is>
          <t>Control Reference</t>
        </is>
      </c>
      <c r="B6" t="inlineStr">
        <is>
          <t>ISO/IEC 27001:2022 - Control A.5.14: Information Transfer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Agreement Register — list all information transfer agreements (NDAs, DPAs, data sharing agreements).</t>
        </is>
      </c>
    </row>
    <row r="14">
      <c r="A14" t="inlineStr">
        <is>
          <t>2. Complete Agreement Requirements — verify each agreement contains required ISO 27001:2022 clauses.</t>
        </is>
      </c>
    </row>
    <row r="15">
      <c r="A15" t="inlineStr">
        <is>
          <t>3. Complete Third Party Assessment — assess third parties’ information transfer security posture.</t>
        </is>
      </c>
    </row>
    <row r="16">
      <c r="A16" t="inlineStr">
        <is>
          <t>4. Complete Review Schedule — document agreement review dates and assign review owners.</t>
        </is>
      </c>
    </row>
    <row r="17">
      <c r="A17" t="inlineStr">
        <is>
          <t>5. Maintain the Evidence Register with signed agreements and review records.</t>
        </is>
      </c>
    </row>
    <row r="18">
      <c r="A18" t="inlineStr">
        <is>
          <t>6. Obtain final approval and sign-off in the Approval Sign-Off sheet.</t>
        </is>
      </c>
    </row>
    <row r="20">
      <c r="A20" s="2" t="inlineStr">
        <is>
          <t>Status Legend</t>
        </is>
      </c>
    </row>
    <row r="21">
      <c r="A21" s="5" t="inlineStr">
        <is>
          <t>Symbol</t>
        </is>
      </c>
      <c r="B21" s="5" t="inlineStr">
        <is>
          <t>Status</t>
        </is>
      </c>
      <c r="C21" s="5" t="inlineStr">
        <is>
          <t>Description</t>
        </is>
      </c>
    </row>
    <row r="22">
      <c r="A22" s="6" t="inlineStr">
        <is>
          <t>✓</t>
        </is>
      </c>
      <c r="B22" s="7" t="inlineStr">
        <is>
          <t>Compliant / Complete</t>
        </is>
      </c>
      <c r="C22" s="8" t="inlineStr">
        <is>
          <t>Requirement fully met</t>
        </is>
      </c>
    </row>
    <row r="23">
      <c r="A23" s="6" t="inlineStr">
        <is>
          <t>⚠</t>
        </is>
      </c>
      <c r="B23" s="9" t="inlineStr">
        <is>
          <t>Partial / In Progress</t>
        </is>
      </c>
      <c r="C23" s="8" t="inlineStr">
        <is>
          <t>Partially met or in progress</t>
        </is>
      </c>
    </row>
    <row r="24">
      <c r="A24" s="6" t="inlineStr">
        <is>
          <t>✗</t>
        </is>
      </c>
      <c r="B24" s="10" t="inlineStr">
        <is>
          <t>Non-Compliant / Not Started</t>
        </is>
      </c>
      <c r="C24" s="8" t="inlineStr">
        <is>
          <t>Requirement not met</t>
        </is>
      </c>
    </row>
    <row r="25">
      <c r="A25" s="6" t="inlineStr">
        <is>
          <t>—</t>
        </is>
      </c>
      <c r="B25" s="8" t="inlineStr">
        <is>
          <t>Not Applicable</t>
        </is>
      </c>
      <c r="C25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2" customWidth="1" min="3" max="3"/>
    <col width="30" customWidth="1" min="4" max="4"/>
    <col width="18" customWidth="1" min="5" max="5"/>
    <col width="16" customWidth="1" min="6" max="6"/>
    <col width="14" customWidth="1" min="7" max="7"/>
    <col width="14" customWidth="1" min="8" max="8"/>
    <col width="14" customWidth="1" min="9" max="9"/>
    <col width="18" customWidth="1" min="10" max="10"/>
    <col width="14" customWidth="1" min="11" max="11"/>
    <col width="25" customWidth="1" min="12" max="12"/>
  </cols>
  <sheetData>
    <row r="1">
      <c r="A1" s="11" t="inlineStr">
        <is>
          <t>INFORMATION TRANSFER AGREEMENTS REGISTER</t>
        </is>
      </c>
    </row>
    <row r="2">
      <c r="A2" s="12" t="inlineStr">
        <is>
          <t>Register all information transfer agreements with third parties including DSAs, DPAs, ISAs, and MOUs. Track status, classification, and review dates.</t>
        </is>
      </c>
    </row>
    <row r="3">
      <c r="A3" s="13" t="inlineStr">
        <is>
          <t>Agreement ID</t>
        </is>
      </c>
      <c r="B3" s="13" t="inlineStr">
        <is>
          <t>Agreement Type</t>
        </is>
      </c>
      <c r="C3" s="13" t="inlineStr">
        <is>
          <t>Third Party</t>
        </is>
      </c>
      <c r="D3" s="13" t="inlineStr">
        <is>
          <t>Purpose/Scope</t>
        </is>
      </c>
      <c r="E3" s="13" t="inlineStr">
        <is>
          <t>Data Classification</t>
        </is>
      </c>
      <c r="F3" s="13" t="inlineStr">
        <is>
          <t>Transfer Direction</t>
        </is>
      </c>
      <c r="G3" s="13" t="inlineStr">
        <is>
          <t>Effective Date</t>
        </is>
      </c>
      <c r="H3" s="13" t="inlineStr">
        <is>
          <t>Expiry Date</t>
        </is>
      </c>
      <c r="I3" s="13" t="inlineStr">
        <is>
          <t>Review Date</t>
        </is>
      </c>
      <c r="J3" s="13" t="inlineStr">
        <is>
          <t>Owner</t>
        </is>
      </c>
      <c r="K3" s="13" t="inlineStr">
        <is>
          <t>Status</t>
        </is>
      </c>
      <c r="L3" s="13" t="inlineStr">
        <is>
          <t>Notes</t>
        </is>
      </c>
    </row>
    <row r="4">
      <c r="A4" s="14" t="inlineStr">
        <is>
          <t>AGR-001</t>
        </is>
      </c>
      <c r="B4" s="14" t="inlineStr">
        <is>
          <t>DSA</t>
        </is>
      </c>
      <c r="C4" s="14" t="inlineStr">
        <is>
          <t>Example Partner Ltd</t>
        </is>
      </c>
      <c r="D4" s="14" t="inlineStr">
        <is>
          <t>Customer analytics data sharing</t>
        </is>
      </c>
      <c r="E4" s="14" t="inlineStr">
        <is>
          <t>CONFIDENTIAL</t>
        </is>
      </c>
      <c r="F4" s="14" t="inlineStr">
        <is>
          <t>Bi-directional</t>
        </is>
      </c>
      <c r="G4" s="14" t="inlineStr">
        <is>
          <t>2024-01-01</t>
        </is>
      </c>
      <c r="H4" s="14" t="inlineStr">
        <is>
          <t>2025-12-31</t>
        </is>
      </c>
      <c r="I4" s="14" t="inlineStr">
        <is>
          <t>2025-06-30</t>
        </is>
      </c>
      <c r="J4" s="14" t="inlineStr">
        <is>
          <t>Information Security Manager</t>
        </is>
      </c>
      <c r="K4" s="14" t="inlineStr">
        <is>
          <t>Active</t>
        </is>
      </c>
      <c r="L4" s="14" t="inlineStr">
        <is>
          <t>Annual review required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</sheetData>
  <mergeCells count="2">
    <mergeCell ref="A2:L2"/>
    <mergeCell ref="A1:L1"/>
  </mergeCells>
  <dataValidations count="4">
    <dataValidation sqref="B5:B54" showDropDown="0" showInputMessage="1" showErrorMessage="0" allowBlank="1" type="list">
      <formula1>"DSA,ISA,MOU,DPA,SCC,NDA,Other"</formula1>
    </dataValidation>
    <dataValidation sqref="E5:E54" showDropDown="0" showInputMessage="1" showErrorMessage="0" allowBlank="1" type="list">
      <formula1>"PUBLIC,INTERNAL,CONFIDENTIAL,RESTRICTED"</formula1>
    </dataValidation>
    <dataValidation sqref="F5:F54" showDropDown="0" showInputMessage="1" showErrorMessage="0" allowBlank="1" type="list">
      <formula1>"Inbound,Outbound,Bi-directional"</formula1>
    </dataValidation>
    <dataValidation sqref="K5:K54" showDropDown="0" showInputMessage="1" showErrorMessage="0" allowBlank="1" type="list">
      <formula1>"Draft,Under Review,Active,Expiring Soon,Expired,Terminated"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8" customWidth="1" min="3" max="3"/>
    <col width="30" customWidth="1" min="4" max="4"/>
    <col width="20" customWidth="1" min="5" max="5"/>
    <col width="18" customWidth="1" min="6" max="6"/>
    <col width="25" customWidth="1" min="7" max="7"/>
  </cols>
  <sheetData>
    <row r="1">
      <c r="A1" s="11" t="inlineStr">
        <is>
          <t>STANDARD AGREEMENT REQUIREMENTS AND CLAUSES</t>
        </is>
      </c>
    </row>
    <row r="2">
      <c r="A2" s="12" t="inlineStr">
        <is>
          <t>Standard clauses and requirements that must be included in transfer agreements based on ISO 27001:2022 A.5.14 and applicable data protection law.</t>
        </is>
      </c>
    </row>
    <row r="3">
      <c r="A3" s="13" t="inlineStr">
        <is>
          <t>Requirement Category</t>
        </is>
      </c>
      <c r="B3" s="13" t="inlineStr">
        <is>
          <t>Clause/Requirement</t>
        </is>
      </c>
      <c r="C3" s="13" t="inlineStr">
        <is>
          <t>Mandatory For</t>
        </is>
      </c>
      <c r="D3" s="13" t="inlineStr">
        <is>
          <t>Rationale</t>
        </is>
      </c>
      <c r="E3" s="13" t="inlineStr">
        <is>
          <t>Template Reference</t>
        </is>
      </c>
      <c r="F3" s="13" t="inlineStr">
        <is>
          <t>Applicability</t>
        </is>
      </c>
      <c r="G3" s="13" t="inlineStr">
        <is>
          <t>Notes</t>
        </is>
      </c>
    </row>
    <row r="4">
      <c r="A4" s="16" t="inlineStr">
        <is>
          <t>Data Protection</t>
        </is>
      </c>
      <c r="B4" s="16" t="inlineStr">
        <is>
          <t>Data classification handling requirements</t>
        </is>
      </c>
      <c r="C4" s="16" t="inlineStr">
        <is>
          <t>All agreements</t>
        </is>
      </c>
      <c r="D4" s="16" t="inlineStr">
        <is>
          <t>Ensure appropriate protection levels</t>
        </is>
      </c>
      <c r="E4" s="16" t="inlineStr">
        <is>
          <t>ISMS-TEMP-001 §4.1</t>
        </is>
      </c>
      <c r="F4" s="16" t="inlineStr">
        <is>
          <t>CONFIDENTIAL+</t>
        </is>
      </c>
      <c r="G4" s="17" t="inlineStr"/>
    </row>
    <row r="5">
      <c r="A5" s="16" t="inlineStr">
        <is>
          <t>Data Protection</t>
        </is>
      </c>
      <c r="B5" s="16" t="inlineStr">
        <is>
          <t>Encryption requirements (at rest and in transit)</t>
        </is>
      </c>
      <c r="C5" s="16" t="inlineStr">
        <is>
          <t>DSA, ISA, DPA</t>
        </is>
      </c>
      <c r="D5" s="16" t="inlineStr">
        <is>
          <t>Protect data confidentiality</t>
        </is>
      </c>
      <c r="E5" s="16" t="inlineStr">
        <is>
          <t>ISMS-TEMP-001 §4.2</t>
        </is>
      </c>
      <c r="F5" s="16" t="inlineStr">
        <is>
          <t>INTERNAL+</t>
        </is>
      </c>
      <c r="G5" s="17" t="inlineStr"/>
    </row>
    <row r="6">
      <c r="A6" s="16" t="inlineStr">
        <is>
          <t>Data Protection</t>
        </is>
      </c>
      <c r="B6" s="16" t="inlineStr">
        <is>
          <t>Data retention and deletion obligations</t>
        </is>
      </c>
      <c r="C6" s="16" t="inlineStr">
        <is>
          <t>DSA, DPA</t>
        </is>
      </c>
      <c r="D6" s="16" t="inlineStr">
        <is>
          <t>Minimize data exposure</t>
        </is>
      </c>
      <c r="E6" s="16" t="inlineStr">
        <is>
          <t>ISMS-TEMP-001 §4.3</t>
        </is>
      </c>
      <c r="F6" s="16" t="inlineStr">
        <is>
          <t>All</t>
        </is>
      </c>
      <c r="G6" s="17" t="inlineStr"/>
    </row>
    <row r="7">
      <c r="A7" s="16" t="inlineStr">
        <is>
          <t>Access Control</t>
        </is>
      </c>
      <c r="B7" s="16" t="inlineStr">
        <is>
          <t>Authorised user/system identification</t>
        </is>
      </c>
      <c r="C7" s="16" t="inlineStr">
        <is>
          <t>ISA, DSA</t>
        </is>
      </c>
      <c r="D7" s="16" t="inlineStr">
        <is>
          <t>Limit access to authorised parties</t>
        </is>
      </c>
      <c r="E7" s="16" t="inlineStr">
        <is>
          <t>ISMS-TEMP-001 §5.1</t>
        </is>
      </c>
      <c r="F7" s="16" t="inlineStr">
        <is>
          <t>All</t>
        </is>
      </c>
      <c r="G7" s="17" t="inlineStr"/>
    </row>
    <row r="8">
      <c r="A8" s="16" t="inlineStr">
        <is>
          <t>Access Control</t>
        </is>
      </c>
      <c r="B8" s="16" t="inlineStr">
        <is>
          <t>Authentication requirements</t>
        </is>
      </c>
      <c r="C8" s="16" t="inlineStr">
        <is>
          <t>ISA</t>
        </is>
      </c>
      <c r="D8" s="16" t="inlineStr">
        <is>
          <t>Verify identity of connecting systems</t>
        </is>
      </c>
      <c r="E8" s="16" t="inlineStr">
        <is>
          <t>ISMS-TEMP-001 §5.2</t>
        </is>
      </c>
      <c r="F8" s="16" t="inlineStr">
        <is>
          <t>All</t>
        </is>
      </c>
      <c r="G8" s="17" t="inlineStr"/>
    </row>
    <row r="9">
      <c r="A9" s="16" t="inlineStr">
        <is>
          <t>Access Control</t>
        </is>
      </c>
      <c r="B9" s="16" t="inlineStr">
        <is>
          <t>Access logging and audit trail</t>
        </is>
      </c>
      <c r="C9" s="16" t="inlineStr">
        <is>
          <t>All agreements</t>
        </is>
      </c>
      <c r="D9" s="16" t="inlineStr">
        <is>
          <t>Enable incident investigation</t>
        </is>
      </c>
      <c r="E9" s="16" t="inlineStr">
        <is>
          <t>ISMS-TEMP-001 §5.3</t>
        </is>
      </c>
      <c r="F9" s="16" t="inlineStr">
        <is>
          <t>INTERNAL+</t>
        </is>
      </c>
      <c r="G9" s="17" t="inlineStr"/>
    </row>
    <row r="10">
      <c r="A10" s="16" t="inlineStr">
        <is>
          <t>Incident Response</t>
        </is>
      </c>
      <c r="B10" s="16" t="inlineStr">
        <is>
          <t>Security incident notification requirements</t>
        </is>
      </c>
      <c r="C10" s="16" t="inlineStr">
        <is>
          <t>All agreements</t>
        </is>
      </c>
      <c r="D10" s="16" t="inlineStr">
        <is>
          <t>Timely breach notification</t>
        </is>
      </c>
      <c r="E10" s="16" t="inlineStr">
        <is>
          <t>ISMS-TEMP-001 §6.1</t>
        </is>
      </c>
      <c r="F10" s="16" t="inlineStr">
        <is>
          <t>All</t>
        </is>
      </c>
      <c r="G10" s="17" t="inlineStr"/>
    </row>
    <row r="11">
      <c r="A11" s="16" t="inlineStr">
        <is>
          <t>Incident Response</t>
        </is>
      </c>
      <c r="B11" s="16" t="inlineStr">
        <is>
          <t>Incident response coordination procedures</t>
        </is>
      </c>
      <c r="C11" s="16" t="inlineStr">
        <is>
          <t>ISA, DSA</t>
        </is>
      </c>
      <c r="D11" s="16" t="inlineStr">
        <is>
          <t>Coordinated response</t>
        </is>
      </c>
      <c r="E11" s="16" t="inlineStr">
        <is>
          <t>ISMS-TEMP-001 §6.2</t>
        </is>
      </c>
      <c r="F11" s="16" t="inlineStr">
        <is>
          <t>CONFIDENTIAL+</t>
        </is>
      </c>
      <c r="G11" s="17" t="inlineStr"/>
    </row>
    <row r="12">
      <c r="A12" s="16" t="inlineStr">
        <is>
          <t>Compliance</t>
        </is>
      </c>
      <c r="B12" s="16" t="inlineStr">
        <is>
          <t>Right to audit clause</t>
        </is>
      </c>
      <c r="C12" s="16" t="inlineStr">
        <is>
          <t>DPA, DSA</t>
        </is>
      </c>
      <c r="D12" s="16" t="inlineStr">
        <is>
          <t>Verify compliance</t>
        </is>
      </c>
      <c r="E12" s="16" t="inlineStr">
        <is>
          <t>ISMS-TEMP-001 §7.1</t>
        </is>
      </c>
      <c r="F12" s="16" t="inlineStr">
        <is>
          <t>CONFIDENTIAL+</t>
        </is>
      </c>
      <c r="G12" s="17" t="inlineStr"/>
    </row>
    <row r="13">
      <c r="A13" s="16" t="inlineStr">
        <is>
          <t>Compliance</t>
        </is>
      </c>
      <c r="B13" s="16" t="inlineStr">
        <is>
          <t>Certification requirements (ISO 27001, SOC 2)</t>
        </is>
      </c>
      <c r="C13" s="16" t="inlineStr">
        <is>
          <t>DPA, ISA</t>
        </is>
      </c>
      <c r="D13" s="16" t="inlineStr">
        <is>
          <t>Baseline security assurance</t>
        </is>
      </c>
      <c r="E13" s="16" t="inlineStr">
        <is>
          <t>ISMS-TEMP-001 §7.2</t>
        </is>
      </c>
      <c r="F13" s="16" t="inlineStr">
        <is>
          <t>INTERNAL+</t>
        </is>
      </c>
      <c r="G13" s="17" t="inlineStr"/>
    </row>
    <row r="14">
      <c r="A14" s="16" t="inlineStr">
        <is>
          <t>Compliance</t>
        </is>
      </c>
      <c r="B14" s="16" t="inlineStr">
        <is>
          <t>Regulatory compliance obligations</t>
        </is>
      </c>
      <c r="C14" s="16" t="inlineStr">
        <is>
          <t>DPA, SCC</t>
        </is>
      </c>
      <c r="D14" s="16" t="inlineStr">
        <is>
          <t>Legal compliance</t>
        </is>
      </c>
      <c r="E14" s="16" t="inlineStr">
        <is>
          <t>ISMS-TEMP-001 §7.3</t>
        </is>
      </c>
      <c r="F14" s="16" t="inlineStr">
        <is>
          <t>All</t>
        </is>
      </c>
      <c r="G14" s="17" t="inlineStr"/>
    </row>
    <row r="15">
      <c r="A15" s="16" t="inlineStr">
        <is>
          <t>Liability</t>
        </is>
      </c>
      <c r="B15" s="16" t="inlineStr">
        <is>
          <t>Liability and indemnification clauses</t>
        </is>
      </c>
      <c r="C15" s="16" t="inlineStr">
        <is>
          <t>All agreements</t>
        </is>
      </c>
      <c r="D15" s="16" t="inlineStr">
        <is>
          <t>Risk allocation</t>
        </is>
      </c>
      <c r="E15" s="16" t="inlineStr">
        <is>
          <t>ISMS-TEMP-001 §8.1</t>
        </is>
      </c>
      <c r="F15" s="16" t="inlineStr">
        <is>
          <t>All</t>
        </is>
      </c>
      <c r="G15" s="17" t="inlineStr"/>
    </row>
    <row r="16">
      <c r="A16" s="16" t="inlineStr">
        <is>
          <t>Liability</t>
        </is>
      </c>
      <c r="B16" s="16" t="inlineStr">
        <is>
          <t>Insurance requirements</t>
        </is>
      </c>
      <c r="C16" s="16" t="inlineStr">
        <is>
          <t>DSA, DPA</t>
        </is>
      </c>
      <c r="D16" s="16" t="inlineStr">
        <is>
          <t>Financial protection</t>
        </is>
      </c>
      <c r="E16" s="16" t="inlineStr">
        <is>
          <t>ISMS-TEMP-001 §8.2</t>
        </is>
      </c>
      <c r="F16" s="16" t="inlineStr">
        <is>
          <t>CONFIDENTIAL+</t>
        </is>
      </c>
      <c r="G16" s="17" t="inlineStr"/>
    </row>
    <row r="17">
      <c r="A17" s="16" t="inlineStr">
        <is>
          <t>Termination</t>
        </is>
      </c>
      <c r="B17" s="16" t="inlineStr">
        <is>
          <t>Data return/destruction on termination</t>
        </is>
      </c>
      <c r="C17" s="16" t="inlineStr">
        <is>
          <t>All agreements</t>
        </is>
      </c>
      <c r="D17" s="16" t="inlineStr">
        <is>
          <t>Prevent data retention post-contract</t>
        </is>
      </c>
      <c r="E17" s="16" t="inlineStr">
        <is>
          <t>ISMS-TEMP-001 §9.1</t>
        </is>
      </c>
      <c r="F17" s="16" t="inlineStr">
        <is>
          <t>All</t>
        </is>
      </c>
      <c r="G17" s="17" t="inlineStr"/>
    </row>
    <row r="18">
      <c r="A18" s="16" t="inlineStr">
        <is>
          <t>Termination</t>
        </is>
      </c>
      <c r="B18" s="16" t="inlineStr">
        <is>
          <t>Transition assistance obligations</t>
        </is>
      </c>
      <c r="C18" s="16" t="inlineStr">
        <is>
          <t>DPA, ISA</t>
        </is>
      </c>
      <c r="D18" s="16" t="inlineStr">
        <is>
          <t>Business continuity</t>
        </is>
      </c>
      <c r="E18" s="16" t="inlineStr">
        <is>
          <t>ISMS-TEMP-001 §9.2</t>
        </is>
      </c>
      <c r="F18" s="16" t="inlineStr">
        <is>
          <t>CONFIDENTIAL+</t>
        </is>
      </c>
      <c r="G18" s="17" t="inlineStr"/>
    </row>
    <row r="19">
      <c r="A19" s="16" t="inlineStr">
        <is>
          <t>Sub-Processing</t>
        </is>
      </c>
      <c r="B19" s="16" t="inlineStr">
        <is>
          <t>Sub-processor approval requirements</t>
        </is>
      </c>
      <c r="C19" s="16" t="inlineStr">
        <is>
          <t>DPA</t>
        </is>
      </c>
      <c r="D19" s="16" t="inlineStr">
        <is>
          <t>GDPR compliance</t>
        </is>
      </c>
      <c r="E19" s="16" t="inlineStr">
        <is>
          <t>ISMS-TEMP-001 §10.1</t>
        </is>
      </c>
      <c r="F19" s="16" t="inlineStr">
        <is>
          <t>All</t>
        </is>
      </c>
      <c r="G19" s="17" t="inlineStr"/>
    </row>
    <row r="20">
      <c r="A20" s="16" t="inlineStr">
        <is>
          <t>Sub-Processing</t>
        </is>
      </c>
      <c r="B20" s="16" t="inlineStr">
        <is>
          <t>Sub-processor security requirements</t>
        </is>
      </c>
      <c r="C20" s="16" t="inlineStr">
        <is>
          <t>DPA</t>
        </is>
      </c>
      <c r="D20" s="16" t="inlineStr">
        <is>
          <t>Maintain security chain</t>
        </is>
      </c>
      <c r="E20" s="16" t="inlineStr">
        <is>
          <t>ISMS-TEMP-001 §10.2</t>
        </is>
      </c>
      <c r="F20" s="16" t="inlineStr">
        <is>
          <t>INTERNAL+</t>
        </is>
      </c>
      <c r="G20" s="17" t="inlineStr"/>
    </row>
    <row r="21">
      <c r="A21" s="16" t="inlineStr">
        <is>
          <t>Transfer Mechanisms</t>
        </is>
      </c>
      <c r="B21" s="16" t="inlineStr">
        <is>
          <t>Legal basis for international transfers</t>
        </is>
      </c>
      <c r="C21" s="16" t="inlineStr">
        <is>
          <t>SCC, DSA</t>
        </is>
      </c>
      <c r="D21" s="16" t="inlineStr">
        <is>
          <t>Cross-border compliance</t>
        </is>
      </c>
      <c r="E21" s="16" t="inlineStr">
        <is>
          <t>ISMS-TEMP-001 §11.1</t>
        </is>
      </c>
      <c r="F21" s="16" t="inlineStr">
        <is>
          <t>All</t>
        </is>
      </c>
      <c r="G21" s="17" t="inlineStr"/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5" customWidth="1" min="5" max="5"/>
    <col width="20" customWidth="1" min="6" max="6"/>
    <col width="18" customWidth="1" min="7" max="7"/>
    <col width="14" customWidth="1" min="8" max="8"/>
    <col width="16" customWidth="1" min="9" max="9"/>
    <col width="25" customWidth="1" min="10" max="10"/>
  </cols>
  <sheetData>
    <row r="1">
      <c r="A1" s="11" t="inlineStr">
        <is>
          <t>THIRD PARTY SECURITY ASSESSMENT</t>
        </is>
      </c>
    </row>
    <row r="2">
      <c r="A2" s="12" t="inlineStr">
        <is>
          <t>Assess the security posture of third parties with active transfer agreements including certifications, assessments, and risk ratings.</t>
        </is>
      </c>
    </row>
    <row r="3">
      <c r="A3" s="13" t="inlineStr">
        <is>
          <t>Third Party</t>
        </is>
      </c>
      <c r="B3" s="13" t="inlineStr">
        <is>
          <t>Agreement ID</t>
        </is>
      </c>
      <c r="C3" s="13" t="inlineStr">
        <is>
          <t>Assessment Date</t>
        </is>
      </c>
      <c r="D3" s="13" t="inlineStr">
        <is>
          <t>ISO 27001 Certified</t>
        </is>
      </c>
      <c r="E3" s="13" t="inlineStr">
        <is>
          <t>SOC 2 Report</t>
        </is>
      </c>
      <c r="F3" s="13" t="inlineStr">
        <is>
          <t>Security Questionnaire</t>
        </is>
      </c>
      <c r="G3" s="13" t="inlineStr">
        <is>
          <t>Penetration Test</t>
        </is>
      </c>
      <c r="H3" s="13" t="inlineStr">
        <is>
          <t>Risk Rating</t>
        </is>
      </c>
      <c r="I3" s="13" t="inlineStr">
        <is>
          <t>Next Assessment</t>
        </is>
      </c>
      <c r="J3" s="13" t="inlineStr">
        <is>
          <t>Notes</t>
        </is>
      </c>
    </row>
    <row r="4">
      <c r="A4" s="14" t="inlineStr">
        <is>
          <t>Example Partner Ltd</t>
        </is>
      </c>
      <c r="B4" s="14" t="inlineStr">
        <is>
          <t>AGR-001</t>
        </is>
      </c>
      <c r="C4" s="14" t="inlineStr">
        <is>
          <t>2024-06-01</t>
        </is>
      </c>
      <c r="D4" s="14" t="inlineStr">
        <is>
          <t>Yes</t>
        </is>
      </c>
      <c r="E4" s="14" t="inlineStr">
        <is>
          <t>Type II</t>
        </is>
      </c>
      <c r="F4" s="14" t="inlineStr">
        <is>
          <t>Completed</t>
        </is>
      </c>
      <c r="G4" s="14" t="inlineStr">
        <is>
          <t>Current (&lt;12mo)</t>
        </is>
      </c>
      <c r="H4" s="14" t="inlineStr">
        <is>
          <t>Low</t>
        </is>
      </c>
      <c r="I4" s="14" t="inlineStr">
        <is>
          <t>2025-06-01</t>
        </is>
      </c>
      <c r="J4" s="14" t="inlineStr">
        <is>
          <t>Annual review completed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</sheetData>
  <mergeCells count="2">
    <mergeCell ref="A1:J1"/>
    <mergeCell ref="A2:J2"/>
  </mergeCells>
  <dataValidations count="5">
    <dataValidation sqref="D5:D54" showDropDown="0" showInputMessage="1" showErrorMessage="0" allowBlank="1" type="list">
      <formula1>"Yes,No,In Progress,N/A"</formula1>
    </dataValidation>
    <dataValidation sqref="E5:E54" showDropDown="0" showInputMessage="1" showErrorMessage="0" allowBlank="1" type="list">
      <formula1>"Type I,Type II,Not Available,N/A"</formula1>
    </dataValidation>
    <dataValidation sqref="F5:F54" showDropDown="0" showInputMessage="1" showErrorMessage="0" allowBlank="1" type="list">
      <formula1>"Completed,Pending,Not Required"</formula1>
    </dataValidation>
    <dataValidation sqref="G5:G54" showDropDown="0" showInputMessage="1" showErrorMessage="0" allowBlank="1" type="list">
      <formula1>"Current (&lt;12mo),Expired,Not Available,N/A"</formula1>
    </dataValidation>
    <dataValidation sqref="H5:H54" showDropDown="0" showInputMessage="1" showErrorMessage="0" allowBlank="1" type="list">
      <formula1>"Low,Medium,High,Critical"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4" customWidth="1" min="5" max="5"/>
    <col width="20" customWidth="1" min="6" max="6"/>
    <col width="14" customWidth="1" min="7" max="7"/>
    <col width="18" customWidth="1" min="8" max="8"/>
    <col width="30" customWidth="1" min="9" max="9"/>
  </cols>
  <sheetData>
    <row r="1">
      <c r="A1" s="11" t="inlineStr">
        <is>
          <t>AGREEMENT REVIEW AND RENEWAL SCHEDULE</t>
        </is>
      </c>
    </row>
    <row r="2">
      <c r="A2" s="12" t="inlineStr">
        <is>
          <t>Track review and renewal schedule for all transfer agreements including review status, assigned reviewer, and action required on completion.</t>
        </is>
      </c>
    </row>
    <row r="3">
      <c r="A3" s="13" t="inlineStr">
        <is>
          <t>Agreement ID</t>
        </is>
      </c>
      <c r="B3" s="13" t="inlineStr">
        <is>
          <t>Third Party</t>
        </is>
      </c>
      <c r="C3" s="13" t="inlineStr">
        <is>
          <t>Last Review Date</t>
        </is>
      </c>
      <c r="D3" s="13" t="inlineStr">
        <is>
          <t>Next Review Date</t>
        </is>
      </c>
      <c r="E3" s="13" t="inlineStr">
        <is>
          <t>Review Type</t>
        </is>
      </c>
      <c r="F3" s="13" t="inlineStr">
        <is>
          <t>Reviewer</t>
        </is>
      </c>
      <c r="G3" s="13" t="inlineStr">
        <is>
          <t>Review Status</t>
        </is>
      </c>
      <c r="H3" s="13" t="inlineStr">
        <is>
          <t>Action Required</t>
        </is>
      </c>
      <c r="I3" s="13" t="inlineStr">
        <is>
          <t>Notes</t>
        </is>
      </c>
    </row>
    <row r="4">
      <c r="A4" s="14" t="inlineStr">
        <is>
          <t>AGR-001</t>
        </is>
      </c>
      <c r="B4" s="14" t="inlineStr">
        <is>
          <t>Example Partner Ltd</t>
        </is>
      </c>
      <c r="C4" s="14" t="inlineStr">
        <is>
          <t>2024-01-15</t>
        </is>
      </c>
      <c r="D4" s="14" t="inlineStr">
        <is>
          <t>2025-01-15</t>
        </is>
      </c>
      <c r="E4" s="14" t="inlineStr">
        <is>
          <t>Annual</t>
        </is>
      </c>
      <c r="F4" s="14" t="inlineStr">
        <is>
          <t>Information Security Manager</t>
        </is>
      </c>
      <c r="G4" s="14" t="inlineStr">
        <is>
          <t>Completed</t>
        </is>
      </c>
      <c r="H4" s="14" t="inlineStr">
        <is>
          <t>None</t>
        </is>
      </c>
      <c r="I4" s="14" t="inlineStr">
        <is>
          <t>Reviewed; no changes required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</row>
  </sheetData>
  <mergeCells count="2">
    <mergeCell ref="A1:I1"/>
    <mergeCell ref="A2:I2"/>
  </mergeCells>
  <dataValidations count="3">
    <dataValidation sqref="E5:E54" showDropDown="0" showInputMessage="1" showErrorMessage="0" allowBlank="1" type="list">
      <formula1>"Annual,Semi-Annual,Quarterly,Ad-hoc,Renewal"</formula1>
    </dataValidation>
    <dataValidation sqref="G5:G54" showDropDown="0" showInputMessage="1" showErrorMessage="0" allowBlank="1" type="list">
      <formula1>"Scheduled,In Progress,Completed,Overdue"</formula1>
    </dataValidation>
    <dataValidation sqref="H5:H54" showDropDown="0" showInputMessage="1" showErrorMessage="0" allowBlank="1" type="list">
      <formula1>"None,Update Clauses,Renegotiate,Terminate,Renew"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8" customWidth="1" min="3" max="3"/>
    <col width="20" customWidth="1" min="4" max="4"/>
    <col width="35" customWidth="1" min="5" max="5"/>
    <col width="16" customWidth="1" min="6" max="6"/>
    <col width="20" customWidth="1" min="7" max="7"/>
    <col width="14" customWidth="1" min="8" max="8"/>
  </cols>
  <sheetData>
    <row r="1" ht="35" customHeight="1">
      <c r="A1" s="18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19" t="inlineStr">
        <is>
          <t>Document all supporting evidence for audit traceability and compliance verification.</t>
        </is>
      </c>
    </row>
    <row r="4">
      <c r="A4" s="20" t="inlineStr">
        <is>
          <t>Evidence ID</t>
        </is>
      </c>
      <c r="B4" s="20" t="inlineStr">
        <is>
          <t>Evidence Type</t>
        </is>
      </c>
      <c r="C4" s="20" t="inlineStr">
        <is>
          <t>Description</t>
        </is>
      </c>
      <c r="D4" s="20" t="inlineStr">
        <is>
          <t>Related Agreement</t>
        </is>
      </c>
      <c r="E4" s="20" t="inlineStr">
        <is>
          <t>File Location</t>
        </is>
      </c>
      <c r="F4" s="20" t="inlineStr">
        <is>
          <t>Collection Date</t>
        </is>
      </c>
      <c r="G4" s="20" t="inlineStr">
        <is>
          <t>Collected By</t>
        </is>
      </c>
      <c r="H4" s="20" t="inlineStr">
        <is>
          <t>Status</t>
        </is>
      </c>
    </row>
    <row r="5">
      <c r="A5" s="21" t="inlineStr">
        <is>
          <t>EV-514-AGR-001</t>
        </is>
      </c>
      <c r="B5" s="21" t="inlineStr">
        <is>
          <t>Signed Agreement</t>
        </is>
      </c>
      <c r="C5" s="21" t="inlineStr">
        <is>
          <t>Executed DSA with Example Partner</t>
        </is>
      </c>
      <c r="D5" s="21" t="inlineStr">
        <is>
          <t>AGR-001</t>
        </is>
      </c>
      <c r="E5" s="21" t="inlineStr"/>
      <c r="F5" s="21" t="inlineStr"/>
      <c r="G5" s="21" t="inlineStr"/>
      <c r="H5" s="21" t="inlineStr">
        <is>
          <t>Collected</t>
        </is>
      </c>
    </row>
    <row r="6">
      <c r="A6" s="22" t="n"/>
      <c r="B6" s="22" t="n"/>
      <c r="C6" s="22" t="n"/>
      <c r="D6" s="22" t="n"/>
      <c r="E6" s="22" t="n"/>
      <c r="F6" s="22" t="n"/>
      <c r="G6" s="22" t="n"/>
      <c r="H6" s="22" t="n"/>
    </row>
    <row r="7">
      <c r="A7" s="22" t="n"/>
      <c r="B7" s="22" t="n"/>
      <c r="C7" s="22" t="n"/>
      <c r="D7" s="22" t="n"/>
      <c r="E7" s="22" t="n"/>
      <c r="F7" s="22" t="n"/>
      <c r="G7" s="22" t="n"/>
      <c r="H7" s="22" t="n"/>
    </row>
    <row r="8">
      <c r="A8" s="22" t="n"/>
      <c r="B8" s="22" t="n"/>
      <c r="C8" s="22" t="n"/>
      <c r="D8" s="22" t="n"/>
      <c r="E8" s="22" t="n"/>
      <c r="F8" s="22" t="n"/>
      <c r="G8" s="22" t="n"/>
      <c r="H8" s="22" t="n"/>
    </row>
    <row r="9">
      <c r="A9" s="22" t="n"/>
      <c r="B9" s="22" t="n"/>
      <c r="C9" s="22" t="n"/>
      <c r="D9" s="22" t="n"/>
      <c r="E9" s="22" t="n"/>
      <c r="F9" s="22" t="n"/>
      <c r="G9" s="22" t="n"/>
      <c r="H9" s="22" t="n"/>
    </row>
    <row r="10">
      <c r="A10" s="22" t="n"/>
      <c r="B10" s="22" t="n"/>
      <c r="C10" s="22" t="n"/>
      <c r="D10" s="22" t="n"/>
      <c r="E10" s="22" t="n"/>
      <c r="F10" s="22" t="n"/>
      <c r="G10" s="22" t="n"/>
      <c r="H10" s="22" t="n"/>
    </row>
    <row r="11">
      <c r="A11" s="22" t="n"/>
      <c r="B11" s="22" t="n"/>
      <c r="C11" s="22" t="n"/>
      <c r="D11" s="22" t="n"/>
      <c r="E11" s="22" t="n"/>
      <c r="F11" s="22" t="n"/>
      <c r="G11" s="22" t="n"/>
      <c r="H11" s="22" t="n"/>
    </row>
    <row r="12">
      <c r="A12" s="22" t="n"/>
      <c r="B12" s="22" t="n"/>
      <c r="C12" s="22" t="n"/>
      <c r="D12" s="22" t="n"/>
      <c r="E12" s="22" t="n"/>
      <c r="F12" s="22" t="n"/>
      <c r="G12" s="22" t="n"/>
      <c r="H12" s="22" t="n"/>
    </row>
    <row r="13">
      <c r="A13" s="22" t="n"/>
      <c r="B13" s="22" t="n"/>
      <c r="C13" s="22" t="n"/>
      <c r="D13" s="22" t="n"/>
      <c r="E13" s="22" t="n"/>
      <c r="F13" s="22" t="n"/>
      <c r="G13" s="22" t="n"/>
      <c r="H13" s="22" t="n"/>
    </row>
    <row r="14">
      <c r="A14" s="22" t="n"/>
      <c r="B14" s="22" t="n"/>
      <c r="C14" s="22" t="n"/>
      <c r="D14" s="22" t="n"/>
      <c r="E14" s="22" t="n"/>
      <c r="F14" s="22" t="n"/>
      <c r="G14" s="22" t="n"/>
      <c r="H14" s="22" t="n"/>
    </row>
    <row r="15">
      <c r="A15" s="22" t="n"/>
      <c r="B15" s="22" t="n"/>
      <c r="C15" s="22" t="n"/>
      <c r="D15" s="22" t="n"/>
      <c r="E15" s="22" t="n"/>
      <c r="F15" s="22" t="n"/>
      <c r="G15" s="22" t="n"/>
      <c r="H15" s="22" t="n"/>
    </row>
    <row r="16">
      <c r="A16" s="22" t="n"/>
      <c r="B16" s="22" t="n"/>
      <c r="C16" s="22" t="n"/>
      <c r="D16" s="22" t="n"/>
      <c r="E16" s="22" t="n"/>
      <c r="F16" s="22" t="n"/>
      <c r="G16" s="22" t="n"/>
      <c r="H16" s="22" t="n"/>
    </row>
    <row r="17">
      <c r="A17" s="22" t="n"/>
      <c r="B17" s="22" t="n"/>
      <c r="C17" s="22" t="n"/>
      <c r="D17" s="22" t="n"/>
      <c r="E17" s="22" t="n"/>
      <c r="F17" s="22" t="n"/>
      <c r="G17" s="22" t="n"/>
      <c r="H17" s="22" t="n"/>
    </row>
    <row r="18">
      <c r="A18" s="22" t="n"/>
      <c r="B18" s="22" t="n"/>
      <c r="C18" s="22" t="n"/>
      <c r="D18" s="22" t="n"/>
      <c r="E18" s="22" t="n"/>
      <c r="F18" s="22" t="n"/>
      <c r="G18" s="22" t="n"/>
      <c r="H18" s="22" t="n"/>
    </row>
    <row r="19">
      <c r="A19" s="22" t="n"/>
      <c r="B19" s="22" t="n"/>
      <c r="C19" s="22" t="n"/>
      <c r="D19" s="22" t="n"/>
      <c r="E19" s="22" t="n"/>
      <c r="F19" s="22" t="n"/>
      <c r="G19" s="22" t="n"/>
      <c r="H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</row>
    <row r="31">
      <c r="A31" s="22" t="n"/>
      <c r="B31" s="22" t="n"/>
      <c r="C31" s="22" t="n"/>
      <c r="D31" s="22" t="n"/>
      <c r="E31" s="22" t="n"/>
      <c r="F31" s="22" t="n"/>
      <c r="G31" s="22" t="n"/>
      <c r="H31" s="22" t="n"/>
    </row>
    <row r="32">
      <c r="A32" s="22" t="n"/>
      <c r="B32" s="22" t="n"/>
      <c r="C32" s="22" t="n"/>
      <c r="D32" s="22" t="n"/>
      <c r="E32" s="22" t="n"/>
      <c r="F32" s="22" t="n"/>
      <c r="G32" s="22" t="n"/>
      <c r="H32" s="22" t="n"/>
    </row>
    <row r="33">
      <c r="A33" s="22" t="n"/>
      <c r="B33" s="22" t="n"/>
      <c r="C33" s="22" t="n"/>
      <c r="D33" s="22" t="n"/>
      <c r="E33" s="22" t="n"/>
      <c r="F33" s="22" t="n"/>
      <c r="G33" s="22" t="n"/>
      <c r="H33" s="22" t="n"/>
    </row>
    <row r="34">
      <c r="A34" s="22" t="n"/>
      <c r="B34" s="22" t="n"/>
      <c r="C34" s="22" t="n"/>
      <c r="D34" s="22" t="n"/>
      <c r="E34" s="22" t="n"/>
      <c r="F34" s="22" t="n"/>
      <c r="G34" s="22" t="n"/>
      <c r="H34" s="22" t="n"/>
    </row>
    <row r="35">
      <c r="A35" s="22" t="n"/>
      <c r="B35" s="22" t="n"/>
      <c r="C35" s="22" t="n"/>
      <c r="D35" s="22" t="n"/>
      <c r="E35" s="22" t="n"/>
      <c r="F35" s="22" t="n"/>
      <c r="G35" s="22" t="n"/>
      <c r="H35" s="22" t="n"/>
    </row>
    <row r="36">
      <c r="A36" s="22" t="n"/>
      <c r="B36" s="22" t="n"/>
      <c r="C36" s="22" t="n"/>
      <c r="D36" s="22" t="n"/>
      <c r="E36" s="22" t="n"/>
      <c r="F36" s="22" t="n"/>
      <c r="G36" s="22" t="n"/>
      <c r="H36" s="22" t="n"/>
    </row>
    <row r="37">
      <c r="A37" s="22" t="n"/>
      <c r="B37" s="22" t="n"/>
      <c r="C37" s="22" t="n"/>
      <c r="D37" s="22" t="n"/>
      <c r="E37" s="22" t="n"/>
      <c r="F37" s="22" t="n"/>
      <c r="G37" s="22" t="n"/>
      <c r="H37" s="22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</row>
    <row r="41">
      <c r="A41" s="22" t="n"/>
      <c r="B41" s="22" t="n"/>
      <c r="C41" s="22" t="n"/>
      <c r="D41" s="22" t="n"/>
      <c r="E41" s="22" t="n"/>
      <c r="F41" s="22" t="n"/>
      <c r="G41" s="22" t="n"/>
      <c r="H41" s="22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</row>
    <row r="47">
      <c r="A47" s="22" t="n"/>
      <c r="B47" s="22" t="n"/>
      <c r="C47" s="22" t="n"/>
      <c r="D47" s="22" t="n"/>
      <c r="E47" s="22" t="n"/>
      <c r="F47" s="22" t="n"/>
      <c r="G47" s="22" t="n"/>
      <c r="H47" s="22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</row>
    <row r="49">
      <c r="A49" s="22" t="n"/>
      <c r="B49" s="22" t="n"/>
      <c r="C49" s="22" t="n"/>
      <c r="D49" s="22" t="n"/>
      <c r="E49" s="22" t="n"/>
      <c r="F49" s="22" t="n"/>
      <c r="G49" s="22" t="n"/>
      <c r="H49" s="22" t="n"/>
    </row>
    <row r="50">
      <c r="A50" s="22" t="n"/>
      <c r="B50" s="22" t="n"/>
      <c r="C50" s="22" t="n"/>
      <c r="D50" s="22" t="n"/>
      <c r="E50" s="22" t="n"/>
      <c r="F50" s="22" t="n"/>
      <c r="G50" s="22" t="n"/>
      <c r="H50" s="22" t="n"/>
    </row>
    <row r="51">
      <c r="A51" s="22" t="n"/>
      <c r="B51" s="22" t="n"/>
      <c r="C51" s="22" t="n"/>
      <c r="D51" s="22" t="n"/>
      <c r="E51" s="22" t="n"/>
      <c r="F51" s="22" t="n"/>
      <c r="G51" s="22" t="n"/>
      <c r="H51" s="22" t="n"/>
    </row>
    <row r="52">
      <c r="A52" s="22" t="n"/>
      <c r="B52" s="22" t="n"/>
      <c r="C52" s="22" t="n"/>
      <c r="D52" s="22" t="n"/>
      <c r="E52" s="22" t="n"/>
      <c r="F52" s="22" t="n"/>
      <c r="G52" s="22" t="n"/>
      <c r="H52" s="22" t="n"/>
    </row>
    <row r="53">
      <c r="A53" s="22" t="n"/>
      <c r="B53" s="22" t="n"/>
      <c r="C53" s="22" t="n"/>
      <c r="D53" s="22" t="n"/>
      <c r="E53" s="22" t="n"/>
      <c r="F53" s="22" t="n"/>
      <c r="G53" s="22" t="n"/>
      <c r="H53" s="22" t="n"/>
    </row>
    <row r="54">
      <c r="A54" s="22" t="n"/>
      <c r="B54" s="22" t="n"/>
      <c r="C54" s="22" t="n"/>
      <c r="D54" s="22" t="n"/>
      <c r="E54" s="22" t="n"/>
      <c r="F54" s="22" t="n"/>
      <c r="G54" s="22" t="n"/>
      <c r="H54" s="22" t="n"/>
    </row>
    <row r="55">
      <c r="A55" s="22" t="n"/>
      <c r="B55" s="22" t="n"/>
      <c r="C55" s="22" t="n"/>
      <c r="D55" s="22" t="n"/>
      <c r="E55" s="22" t="n"/>
      <c r="F55" s="22" t="n"/>
      <c r="G55" s="22" t="n"/>
      <c r="H55" s="22" t="n"/>
    </row>
    <row r="56">
      <c r="A56" s="22" t="n"/>
      <c r="B56" s="22" t="n"/>
      <c r="C56" s="22" t="n"/>
      <c r="D56" s="22" t="n"/>
      <c r="E56" s="22" t="n"/>
      <c r="F56" s="22" t="n"/>
      <c r="G56" s="22" t="n"/>
      <c r="H56" s="22" t="n"/>
    </row>
    <row r="57">
      <c r="A57" s="22" t="n"/>
      <c r="B57" s="22" t="n"/>
      <c r="C57" s="22" t="n"/>
      <c r="D57" s="22" t="n"/>
      <c r="E57" s="22" t="n"/>
      <c r="F57" s="22" t="n"/>
      <c r="G57" s="22" t="n"/>
      <c r="H57" s="22" t="n"/>
    </row>
    <row r="58">
      <c r="A58" s="22" t="n"/>
      <c r="B58" s="22" t="n"/>
      <c r="C58" s="22" t="n"/>
      <c r="D58" s="22" t="n"/>
      <c r="E58" s="22" t="n"/>
      <c r="F58" s="22" t="n"/>
      <c r="G58" s="22" t="n"/>
      <c r="H58" s="22" t="n"/>
    </row>
    <row r="59">
      <c r="A59" s="22" t="n"/>
      <c r="B59" s="22" t="n"/>
      <c r="C59" s="22" t="n"/>
      <c r="D59" s="22" t="n"/>
      <c r="E59" s="22" t="n"/>
      <c r="F59" s="22" t="n"/>
      <c r="G59" s="22" t="n"/>
      <c r="H59" s="22" t="n"/>
    </row>
    <row r="60">
      <c r="A60" s="22" t="n"/>
      <c r="B60" s="22" t="n"/>
      <c r="C60" s="22" t="n"/>
      <c r="D60" s="22" t="n"/>
      <c r="E60" s="22" t="n"/>
      <c r="F60" s="22" t="n"/>
      <c r="G60" s="22" t="n"/>
      <c r="H60" s="22" t="n"/>
    </row>
    <row r="61">
      <c r="A61" s="22" t="n"/>
      <c r="B61" s="22" t="n"/>
      <c r="C61" s="22" t="n"/>
      <c r="D61" s="22" t="n"/>
      <c r="E61" s="22" t="n"/>
      <c r="F61" s="22" t="n"/>
      <c r="G61" s="22" t="n"/>
      <c r="H61" s="22" t="n"/>
    </row>
    <row r="62">
      <c r="A62" s="22" t="n"/>
      <c r="B62" s="22" t="n"/>
      <c r="C62" s="22" t="n"/>
      <c r="D62" s="22" t="n"/>
      <c r="E62" s="22" t="n"/>
      <c r="F62" s="22" t="n"/>
      <c r="G62" s="22" t="n"/>
      <c r="H62" s="22" t="n"/>
    </row>
    <row r="63">
      <c r="A63" s="22" t="n"/>
      <c r="B63" s="22" t="n"/>
      <c r="C63" s="22" t="n"/>
      <c r="D63" s="22" t="n"/>
      <c r="E63" s="22" t="n"/>
      <c r="F63" s="22" t="n"/>
      <c r="G63" s="22" t="n"/>
      <c r="H63" s="22" t="n"/>
    </row>
    <row r="64">
      <c r="A64" s="22" t="n"/>
      <c r="B64" s="22" t="n"/>
      <c r="C64" s="22" t="n"/>
      <c r="D64" s="22" t="n"/>
      <c r="E64" s="22" t="n"/>
      <c r="F64" s="22" t="n"/>
      <c r="G64" s="22" t="n"/>
      <c r="H64" s="22" t="n"/>
    </row>
    <row r="65">
      <c r="A65" s="22" t="n"/>
      <c r="B65" s="22" t="n"/>
      <c r="C65" s="22" t="n"/>
      <c r="D65" s="22" t="n"/>
      <c r="E65" s="22" t="n"/>
      <c r="F65" s="22" t="n"/>
      <c r="G65" s="22" t="n"/>
      <c r="H65" s="22" t="n"/>
    </row>
    <row r="66">
      <c r="A66" s="22" t="n"/>
      <c r="B66" s="22" t="n"/>
      <c r="C66" s="22" t="n"/>
      <c r="D66" s="22" t="n"/>
      <c r="E66" s="22" t="n"/>
      <c r="F66" s="22" t="n"/>
      <c r="G66" s="22" t="n"/>
      <c r="H66" s="22" t="n"/>
    </row>
    <row r="67">
      <c r="A67" s="22" t="n"/>
      <c r="B67" s="22" t="n"/>
      <c r="C67" s="22" t="n"/>
      <c r="D67" s="22" t="n"/>
      <c r="E67" s="22" t="n"/>
      <c r="F67" s="22" t="n"/>
      <c r="G67" s="22" t="n"/>
      <c r="H67" s="22" t="n"/>
    </row>
    <row r="68">
      <c r="A68" s="22" t="n"/>
      <c r="B68" s="22" t="n"/>
      <c r="C68" s="22" t="n"/>
      <c r="D68" s="22" t="n"/>
      <c r="E68" s="22" t="n"/>
      <c r="F68" s="22" t="n"/>
      <c r="G68" s="22" t="n"/>
      <c r="H68" s="22" t="n"/>
    </row>
    <row r="69">
      <c r="A69" s="22" t="n"/>
      <c r="B69" s="22" t="n"/>
      <c r="C69" s="22" t="n"/>
      <c r="D69" s="22" t="n"/>
      <c r="E69" s="22" t="n"/>
      <c r="F69" s="22" t="n"/>
      <c r="G69" s="22" t="n"/>
      <c r="H69" s="22" t="n"/>
    </row>
    <row r="70">
      <c r="A70" s="22" t="n"/>
      <c r="B70" s="22" t="n"/>
      <c r="C70" s="22" t="n"/>
      <c r="D70" s="22" t="n"/>
      <c r="E70" s="22" t="n"/>
      <c r="F70" s="22" t="n"/>
      <c r="G70" s="22" t="n"/>
      <c r="H70" s="22" t="n"/>
    </row>
    <row r="71">
      <c r="A71" s="22" t="n"/>
      <c r="B71" s="22" t="n"/>
      <c r="C71" s="22" t="n"/>
      <c r="D71" s="22" t="n"/>
      <c r="E71" s="22" t="n"/>
      <c r="F71" s="22" t="n"/>
      <c r="G71" s="22" t="n"/>
      <c r="H71" s="22" t="n"/>
    </row>
    <row r="72">
      <c r="A72" s="22" t="n"/>
      <c r="B72" s="22" t="n"/>
      <c r="C72" s="22" t="n"/>
      <c r="D72" s="22" t="n"/>
      <c r="E72" s="22" t="n"/>
      <c r="F72" s="22" t="n"/>
      <c r="G72" s="22" t="n"/>
      <c r="H72" s="22" t="n"/>
    </row>
    <row r="73">
      <c r="A73" s="22" t="n"/>
      <c r="B73" s="22" t="n"/>
      <c r="C73" s="22" t="n"/>
      <c r="D73" s="22" t="n"/>
      <c r="E73" s="22" t="n"/>
      <c r="F73" s="22" t="n"/>
      <c r="G73" s="22" t="n"/>
      <c r="H73" s="22" t="n"/>
    </row>
    <row r="74">
      <c r="A74" s="22" t="n"/>
      <c r="B74" s="22" t="n"/>
      <c r="C74" s="22" t="n"/>
      <c r="D74" s="22" t="n"/>
      <c r="E74" s="22" t="n"/>
      <c r="F74" s="22" t="n"/>
      <c r="G74" s="22" t="n"/>
      <c r="H74" s="22" t="n"/>
    </row>
    <row r="75">
      <c r="A75" s="22" t="n"/>
      <c r="B75" s="22" t="n"/>
      <c r="C75" s="22" t="n"/>
      <c r="D75" s="22" t="n"/>
      <c r="E75" s="22" t="n"/>
      <c r="F75" s="22" t="n"/>
      <c r="G75" s="22" t="n"/>
      <c r="H75" s="22" t="n"/>
    </row>
    <row r="76">
      <c r="A76" s="22" t="n"/>
      <c r="B76" s="22" t="n"/>
      <c r="C76" s="22" t="n"/>
      <c r="D76" s="22" t="n"/>
      <c r="E76" s="22" t="n"/>
      <c r="F76" s="22" t="n"/>
      <c r="G76" s="22" t="n"/>
      <c r="H76" s="22" t="n"/>
    </row>
    <row r="77">
      <c r="A77" s="22" t="n"/>
      <c r="B77" s="22" t="n"/>
      <c r="C77" s="22" t="n"/>
      <c r="D77" s="22" t="n"/>
      <c r="E77" s="22" t="n"/>
      <c r="F77" s="22" t="n"/>
      <c r="G77" s="22" t="n"/>
      <c r="H77" s="22" t="n"/>
    </row>
    <row r="78">
      <c r="A78" s="22" t="n"/>
      <c r="B78" s="22" t="n"/>
      <c r="C78" s="22" t="n"/>
      <c r="D78" s="22" t="n"/>
      <c r="E78" s="22" t="n"/>
      <c r="F78" s="22" t="n"/>
      <c r="G78" s="22" t="n"/>
      <c r="H78" s="22" t="n"/>
    </row>
    <row r="79">
      <c r="A79" s="22" t="n"/>
      <c r="B79" s="22" t="n"/>
      <c r="C79" s="22" t="n"/>
      <c r="D79" s="22" t="n"/>
      <c r="E79" s="22" t="n"/>
      <c r="F79" s="22" t="n"/>
      <c r="G79" s="22" t="n"/>
      <c r="H79" s="22" t="n"/>
    </row>
    <row r="80">
      <c r="A80" s="22" t="n"/>
      <c r="B80" s="22" t="n"/>
      <c r="C80" s="22" t="n"/>
      <c r="D80" s="22" t="n"/>
      <c r="E80" s="22" t="n"/>
      <c r="F80" s="22" t="n"/>
      <c r="G80" s="22" t="n"/>
      <c r="H80" s="22" t="n"/>
    </row>
    <row r="81">
      <c r="A81" s="22" t="n"/>
      <c r="B81" s="22" t="n"/>
      <c r="C81" s="22" t="n"/>
      <c r="D81" s="22" t="n"/>
      <c r="E81" s="22" t="n"/>
      <c r="F81" s="22" t="n"/>
      <c r="G81" s="22" t="n"/>
      <c r="H81" s="22" t="n"/>
    </row>
    <row r="82">
      <c r="A82" s="22" t="n"/>
      <c r="B82" s="22" t="n"/>
      <c r="C82" s="22" t="n"/>
      <c r="D82" s="22" t="n"/>
      <c r="E82" s="22" t="n"/>
      <c r="F82" s="22" t="n"/>
      <c r="G82" s="22" t="n"/>
      <c r="H82" s="22" t="n"/>
    </row>
    <row r="83">
      <c r="A83" s="22" t="n"/>
      <c r="B83" s="22" t="n"/>
      <c r="C83" s="22" t="n"/>
      <c r="D83" s="22" t="n"/>
      <c r="E83" s="22" t="n"/>
      <c r="F83" s="22" t="n"/>
      <c r="G83" s="22" t="n"/>
      <c r="H83" s="22" t="n"/>
    </row>
    <row r="84">
      <c r="A84" s="22" t="n"/>
      <c r="B84" s="22" t="n"/>
      <c r="C84" s="22" t="n"/>
      <c r="D84" s="22" t="n"/>
      <c r="E84" s="22" t="n"/>
      <c r="F84" s="22" t="n"/>
      <c r="G84" s="22" t="n"/>
      <c r="H84" s="22" t="n"/>
    </row>
    <row r="85">
      <c r="A85" s="22" t="n"/>
      <c r="B85" s="22" t="n"/>
      <c r="C85" s="22" t="n"/>
      <c r="D85" s="22" t="n"/>
      <c r="E85" s="22" t="n"/>
      <c r="F85" s="22" t="n"/>
      <c r="G85" s="22" t="n"/>
      <c r="H85" s="22" t="n"/>
    </row>
    <row r="86">
      <c r="A86" s="22" t="n"/>
      <c r="B86" s="22" t="n"/>
      <c r="C86" s="22" t="n"/>
      <c r="D86" s="22" t="n"/>
      <c r="E86" s="22" t="n"/>
      <c r="F86" s="22" t="n"/>
      <c r="G86" s="22" t="n"/>
      <c r="H86" s="22" t="n"/>
    </row>
    <row r="87">
      <c r="A87" s="22" t="n"/>
      <c r="B87" s="22" t="n"/>
      <c r="C87" s="22" t="n"/>
      <c r="D87" s="22" t="n"/>
      <c r="E87" s="22" t="n"/>
      <c r="F87" s="22" t="n"/>
      <c r="G87" s="22" t="n"/>
      <c r="H87" s="22" t="n"/>
    </row>
    <row r="88">
      <c r="A88" s="22" t="n"/>
      <c r="B88" s="22" t="n"/>
      <c r="C88" s="22" t="n"/>
      <c r="D88" s="22" t="n"/>
      <c r="E88" s="22" t="n"/>
      <c r="F88" s="22" t="n"/>
      <c r="G88" s="22" t="n"/>
      <c r="H88" s="22" t="n"/>
    </row>
    <row r="89">
      <c r="A89" s="22" t="n"/>
      <c r="B89" s="22" t="n"/>
      <c r="C89" s="22" t="n"/>
      <c r="D89" s="22" t="n"/>
      <c r="E89" s="22" t="n"/>
      <c r="F89" s="22" t="n"/>
      <c r="G89" s="22" t="n"/>
      <c r="H89" s="22" t="n"/>
    </row>
    <row r="90">
      <c r="A90" s="22" t="n"/>
      <c r="B90" s="22" t="n"/>
      <c r="C90" s="22" t="n"/>
      <c r="D90" s="22" t="n"/>
      <c r="E90" s="22" t="n"/>
      <c r="F90" s="22" t="n"/>
      <c r="G90" s="22" t="n"/>
      <c r="H90" s="22" t="n"/>
    </row>
    <row r="91">
      <c r="A91" s="22" t="n"/>
      <c r="B91" s="22" t="n"/>
      <c r="C91" s="22" t="n"/>
      <c r="D91" s="22" t="n"/>
      <c r="E91" s="22" t="n"/>
      <c r="F91" s="22" t="n"/>
      <c r="G91" s="22" t="n"/>
      <c r="H91" s="22" t="n"/>
    </row>
    <row r="92">
      <c r="A92" s="22" t="n"/>
      <c r="B92" s="22" t="n"/>
      <c r="C92" s="22" t="n"/>
      <c r="D92" s="22" t="n"/>
      <c r="E92" s="22" t="n"/>
      <c r="F92" s="22" t="n"/>
      <c r="G92" s="22" t="n"/>
      <c r="H92" s="22" t="n"/>
    </row>
    <row r="93">
      <c r="A93" s="22" t="n"/>
      <c r="B93" s="22" t="n"/>
      <c r="C93" s="22" t="n"/>
      <c r="D93" s="22" t="n"/>
      <c r="E93" s="22" t="n"/>
      <c r="F93" s="22" t="n"/>
      <c r="G93" s="22" t="n"/>
      <c r="H93" s="22" t="n"/>
    </row>
    <row r="94">
      <c r="A94" s="22" t="n"/>
      <c r="B94" s="22" t="n"/>
      <c r="C94" s="22" t="n"/>
      <c r="D94" s="22" t="n"/>
      <c r="E94" s="22" t="n"/>
      <c r="F94" s="22" t="n"/>
      <c r="G94" s="22" t="n"/>
      <c r="H94" s="22" t="n"/>
    </row>
    <row r="95">
      <c r="A95" s="22" t="n"/>
      <c r="B95" s="22" t="n"/>
      <c r="C95" s="22" t="n"/>
      <c r="D95" s="22" t="n"/>
      <c r="E95" s="22" t="n"/>
      <c r="F95" s="22" t="n"/>
      <c r="G95" s="22" t="n"/>
      <c r="H95" s="22" t="n"/>
    </row>
    <row r="96">
      <c r="A96" s="22" t="n"/>
      <c r="B96" s="22" t="n"/>
      <c r="C96" s="22" t="n"/>
      <c r="D96" s="22" t="n"/>
      <c r="E96" s="22" t="n"/>
      <c r="F96" s="22" t="n"/>
      <c r="G96" s="22" t="n"/>
      <c r="H96" s="22" t="n"/>
    </row>
    <row r="97">
      <c r="A97" s="22" t="n"/>
      <c r="B97" s="22" t="n"/>
      <c r="C97" s="22" t="n"/>
      <c r="D97" s="22" t="n"/>
      <c r="E97" s="22" t="n"/>
      <c r="F97" s="22" t="n"/>
      <c r="G97" s="22" t="n"/>
      <c r="H97" s="22" t="n"/>
    </row>
    <row r="98">
      <c r="A98" s="22" t="n"/>
      <c r="B98" s="22" t="n"/>
      <c r="C98" s="22" t="n"/>
      <c r="D98" s="22" t="n"/>
      <c r="E98" s="22" t="n"/>
      <c r="F98" s="22" t="n"/>
      <c r="G98" s="22" t="n"/>
      <c r="H98" s="22" t="n"/>
    </row>
    <row r="99">
      <c r="A99" s="22" t="n"/>
      <c r="B99" s="22" t="n"/>
      <c r="C99" s="22" t="n"/>
      <c r="D99" s="22" t="n"/>
      <c r="E99" s="22" t="n"/>
      <c r="F99" s="22" t="n"/>
      <c r="G99" s="22" t="n"/>
      <c r="H99" s="22" t="n"/>
    </row>
    <row r="100">
      <c r="A100" s="22" t="n"/>
      <c r="B100" s="22" t="n"/>
      <c r="C100" s="22" t="n"/>
      <c r="D100" s="22" t="n"/>
      <c r="E100" s="22" t="n"/>
      <c r="F100" s="22" t="n"/>
      <c r="G100" s="22" t="n"/>
      <c r="H100" s="22" t="n"/>
    </row>
    <row r="101">
      <c r="A101" s="22" t="n"/>
      <c r="B101" s="22" t="n"/>
      <c r="C101" s="22" t="n"/>
      <c r="D101" s="22" t="n"/>
      <c r="E101" s="22" t="n"/>
      <c r="F101" s="22" t="n"/>
      <c r="G101" s="22" t="n"/>
      <c r="H101" s="22" t="n"/>
    </row>
    <row r="102">
      <c r="A102" s="22" t="n"/>
      <c r="B102" s="22" t="n"/>
      <c r="C102" s="22" t="n"/>
      <c r="D102" s="22" t="n"/>
      <c r="E102" s="22" t="n"/>
      <c r="F102" s="22" t="n"/>
      <c r="G102" s="22" t="n"/>
      <c r="H102" s="22" t="n"/>
    </row>
    <row r="103">
      <c r="A103" s="22" t="n"/>
      <c r="B103" s="22" t="n"/>
      <c r="C103" s="22" t="n"/>
      <c r="D103" s="22" t="n"/>
      <c r="E103" s="22" t="n"/>
      <c r="F103" s="22" t="n"/>
      <c r="G103" s="22" t="n"/>
      <c r="H103" s="22" t="n"/>
    </row>
    <row r="104">
      <c r="A104" s="22" t="n"/>
      <c r="B104" s="22" t="n"/>
      <c r="C104" s="22" t="n"/>
      <c r="D104" s="22" t="n"/>
      <c r="E104" s="22" t="n"/>
      <c r="F104" s="22" t="n"/>
      <c r="G104" s="22" t="n"/>
      <c r="H104" s="22" t="n"/>
    </row>
    <row r="105">
      <c r="A105" s="22" t="n"/>
      <c r="B105" s="22" t="n"/>
      <c r="C105" s="22" t="n"/>
      <c r="D105" s="22" t="n"/>
      <c r="E105" s="22" t="n"/>
      <c r="F105" s="22" t="n"/>
      <c r="G105" s="22" t="n"/>
      <c r="H105" s="22" t="n"/>
    </row>
  </sheetData>
  <mergeCells count="2">
    <mergeCell ref="A2:H2"/>
    <mergeCell ref="A1:H1"/>
  </mergeCells>
  <dataValidations count="2">
    <dataValidation sqref="H6:H105" showDropDown="0" showInputMessage="1" showErrorMessage="0" allowBlank="1" type="list">
      <formula1>"Pending,Collected,Verified,Expired,N/A"</formula1>
    </dataValidation>
    <dataValidation sqref="B6:B105" showDropDown="0" showInputMessage="1" showErrorMessage="0" allowBlank="1" type="list">
      <formula1>"Signed Agreement,Security Certificate,SOC 2 Report,Audit Report,Legal Review,Review Record,Assessment,Other"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8" t="inlineStr">
        <is>
          <t>TRANSFER AGREEMENTS REGISTER — SUMMARY DASHBOARD</t>
        </is>
      </c>
      <c r="B1" s="6" t="n"/>
      <c r="C1" s="6" t="n"/>
      <c r="D1" s="6" t="n"/>
      <c r="E1" s="6" t="n"/>
      <c r="F1" s="6" t="n"/>
      <c r="G1" s="6" t="n"/>
    </row>
    <row r="2">
      <c r="A2" s="12" t="inlineStr">
        <is>
          <t>ISO/IEC 27001:2022 — Control A.5.14: Information Transfer | Third Party Transfer Agreements Portfolio</t>
        </is>
      </c>
    </row>
    <row r="4" ht="20" customHeight="1">
      <c r="A4" s="23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4" t="inlineStr">
        <is>
          <t>Assessment Area</t>
        </is>
      </c>
      <c r="B5" s="24" t="inlineStr">
        <is>
          <t>Total Items</t>
        </is>
      </c>
      <c r="C5" s="24" t="inlineStr">
        <is>
          <t>Compliant</t>
        </is>
      </c>
      <c r="D5" s="24" t="inlineStr">
        <is>
          <t>Partial</t>
        </is>
      </c>
      <c r="E5" s="24" t="inlineStr">
        <is>
          <t>Non-Compliant</t>
        </is>
      </c>
      <c r="F5" s="24" t="inlineStr">
        <is>
          <t>N/A</t>
        </is>
      </c>
      <c r="G5" s="24" t="inlineStr">
        <is>
          <t>Compliance %</t>
        </is>
      </c>
    </row>
    <row r="6">
      <c r="A6" s="25" t="inlineStr">
        <is>
          <t>Agreement Inventory</t>
        </is>
      </c>
      <c r="B6" s="26">
        <f>COUNTA('Agreement Register'!C5:C54)</f>
        <v/>
      </c>
      <c r="C6" s="26">
        <f>COUNTIF('Agreement Register'!K5:K54,"Active")</f>
        <v/>
      </c>
      <c r="D6" s="26">
        <f>COUNTIF('Agreement Register'!K5:K54,"Expiring Soon")+COUNTIF('Agreement Register'!K5:K54,"Under Review")</f>
        <v/>
      </c>
      <c r="E6" s="26">
        <f>COUNTIF('Agreement Register'!K5:K54,"Draft")+COUNTIF('Agreement Register'!K5:K54,"Expired")+COUNTIF('Agreement Register'!K5:K54,"Terminated")</f>
        <v/>
      </c>
      <c r="F6" s="26" t="inlineStr">
        <is>
          <t>0</t>
        </is>
      </c>
      <c r="G6" s="27">
        <f>IFERROR(IF((B6-F6)=0,0,C6/(B6-F6)),"")</f>
        <v/>
      </c>
    </row>
    <row r="7">
      <c r="A7" s="25" t="inlineStr">
        <is>
          <t>Third Party Security</t>
        </is>
      </c>
      <c r="B7" s="26">
        <f>COUNTA('Third Party Assessment'!A5:A54)</f>
        <v/>
      </c>
      <c r="C7" s="26">
        <f>COUNTIF('Third Party Assessment'!H5:H54,"Low")</f>
        <v/>
      </c>
      <c r="D7" s="26">
        <f>COUNTIF('Third Party Assessment'!H5:H54,"Medium")</f>
        <v/>
      </c>
      <c r="E7" s="26">
        <f>COUNTIF('Third Party Assessment'!H5:H54,"High")+COUNTIF('Third Party Assessment'!H5:H54,"Critical")</f>
        <v/>
      </c>
      <c r="F7" s="26" t="inlineStr">
        <is>
          <t>0</t>
        </is>
      </c>
      <c r="G7" s="27">
        <f>IFERROR(IF((B7-F7)=0,0,C7/(B7-F7)),"")</f>
        <v/>
      </c>
    </row>
    <row r="8">
      <c r="A8" s="25" t="inlineStr">
        <is>
          <t>Review Schedule</t>
        </is>
      </c>
      <c r="B8" s="26">
        <f>COUNTA('Review Schedule'!A5:A54)</f>
        <v/>
      </c>
      <c r="C8" s="26">
        <f>COUNTIF('Review Schedule'!G5:G54,"Completed")</f>
        <v/>
      </c>
      <c r="D8" s="26">
        <f>COUNTIF('Review Schedule'!G5:G54,"Scheduled")+COUNTIF('Review Schedule'!G5:G54,"In Progress")</f>
        <v/>
      </c>
      <c r="E8" s="26">
        <f>COUNTIF('Review Schedule'!G5:G54,"Overdue")</f>
        <v/>
      </c>
      <c r="F8" s="26" t="inlineStr">
        <is>
          <t>0</t>
        </is>
      </c>
      <c r="G8" s="27">
        <f>IFERROR(IF((B8-F8)=0,0,C8/(B8-F8)),"")</f>
        <v/>
      </c>
    </row>
    <row r="9">
      <c r="A9" s="28" t="inlineStr">
        <is>
          <t>TOTAL</t>
        </is>
      </c>
      <c r="B9" s="29">
        <f>SUM(B6:B8)</f>
        <v/>
      </c>
      <c r="C9" s="29">
        <f>SUM(C6:C8)</f>
        <v/>
      </c>
      <c r="D9" s="29">
        <f>SUM(D6:D8)</f>
        <v/>
      </c>
      <c r="E9" s="29">
        <f>SUM(E6:E8)</f>
        <v/>
      </c>
      <c r="F9" s="29">
        <f>SUM(F6:F8)</f>
        <v/>
      </c>
      <c r="G9" s="30">
        <f>IFERROR(IF((B9-F9)=0,0,C9/(B9-F9)),"")</f>
        <v/>
      </c>
    </row>
    <row r="11" ht="20" customHeight="1">
      <c r="A11" s="23" t="inlineStr">
        <is>
          <t>TABLE 2: KEY METRICS</t>
        </is>
      </c>
      <c r="B11" s="6" t="n"/>
      <c r="C11" s="6" t="n"/>
      <c r="D11" s="6" t="n"/>
      <c r="E11" s="6" t="n"/>
      <c r="F11" s="6" t="n"/>
      <c r="G11" s="6" t="n"/>
    </row>
    <row r="12">
      <c r="A12" s="29" t="inlineStr">
        <is>
          <t>Metric</t>
        </is>
      </c>
      <c r="B12" s="29" t="inlineStr">
        <is>
          <t>Value</t>
        </is>
      </c>
      <c r="C12" s="29" t="n"/>
      <c r="D12" s="29" t="n"/>
      <c r="E12" s="29" t="n"/>
      <c r="F12" s="29" t="n"/>
      <c r="G12" s="29" t="n"/>
    </row>
    <row r="13">
      <c r="A13" s="25" t="inlineStr">
        <is>
          <t>Total Agreements Registered</t>
        </is>
      </c>
      <c r="B13" s="26">
        <f>COUNTA('Agreement Register'!C5:C54)</f>
        <v/>
      </c>
      <c r="C13" s="6" t="n"/>
      <c r="D13" s="6" t="n"/>
      <c r="E13" s="6" t="n"/>
      <c r="F13" s="6" t="n"/>
      <c r="G13" s="6" t="n"/>
    </row>
    <row r="14">
      <c r="A14" s="25" t="inlineStr">
        <is>
          <t>Active Agreements</t>
        </is>
      </c>
      <c r="B14" s="26">
        <f>COUNTIF('Agreement Register'!K5:K54,"Active")</f>
        <v/>
      </c>
      <c r="C14" s="6" t="n"/>
      <c r="D14" s="6" t="n"/>
      <c r="E14" s="6" t="n"/>
      <c r="F14" s="6" t="n"/>
      <c r="G14" s="6" t="n"/>
    </row>
    <row r="15">
      <c r="A15" s="25" t="inlineStr">
        <is>
          <t>Agreements Expiring Soon</t>
        </is>
      </c>
      <c r="B15" s="26">
        <f>COUNTIF('Agreement Register'!K5:K54,"Expiring Soon")</f>
        <v/>
      </c>
      <c r="C15" s="6" t="n"/>
      <c r="D15" s="6" t="n"/>
      <c r="E15" s="6" t="n"/>
      <c r="F15" s="6" t="n"/>
      <c r="G15" s="6" t="n"/>
    </row>
    <row r="16">
      <c r="A16" s="25" t="inlineStr">
        <is>
          <t>Expired or Terminated Agreements</t>
        </is>
      </c>
      <c r="B16" s="26">
        <f>COUNTIF('Agreement Register'!K5:K54,"Expired")+COUNTIF('Agreement Register'!K5:K54,"Terminated")</f>
        <v/>
      </c>
      <c r="C16" s="6" t="n"/>
      <c r="D16" s="6" t="n"/>
      <c r="E16" s="6" t="n"/>
      <c r="F16" s="6" t="n"/>
      <c r="G16" s="6" t="n"/>
    </row>
    <row r="17">
      <c r="A17" s="25" t="inlineStr">
        <is>
          <t>DSA / DPA Agreements</t>
        </is>
      </c>
      <c r="B17" s="26">
        <f>COUNTIF('Agreement Register'!B5:B54,"DSA")+COUNTIF('Agreement Register'!B5:B54,"DPA")</f>
        <v/>
      </c>
      <c r="C17" s="6" t="n"/>
      <c r="D17" s="6" t="n"/>
      <c r="E17" s="6" t="n"/>
      <c r="F17" s="6" t="n"/>
      <c r="G17" s="6" t="n"/>
    </row>
    <row r="18">
      <c r="A18" s="25" t="inlineStr">
        <is>
          <t>CONFIDENTIAL/RESTRICTED Transfer Agreements</t>
        </is>
      </c>
      <c r="B18" s="26">
        <f>COUNTIF('Agreement Register'!E5:E54,"CONFIDENTIAL")+COUNTIF('Agreement Register'!E5:E54,"RESTRICTED")</f>
        <v/>
      </c>
      <c r="C18" s="6" t="n"/>
      <c r="D18" s="6" t="n"/>
      <c r="E18" s="6" t="n"/>
      <c r="F18" s="6" t="n"/>
      <c r="G18" s="6" t="n"/>
    </row>
    <row r="19">
      <c r="A19" s="25" t="inlineStr">
        <is>
          <t>Partners with ISO 27001 Certification</t>
        </is>
      </c>
      <c r="B19" s="26">
        <f>COUNTIF('Third Party Assessment'!D5:D54,"Yes")</f>
        <v/>
      </c>
      <c r="C19" s="6" t="n"/>
      <c r="D19" s="6" t="n"/>
      <c r="E19" s="6" t="n"/>
      <c r="F19" s="6" t="n"/>
      <c r="G19" s="6" t="n"/>
    </row>
    <row r="20">
      <c r="A20" s="25" t="inlineStr">
        <is>
          <t>Partners with SOC 2 Report</t>
        </is>
      </c>
      <c r="B20" s="26">
        <f>COUNTIF('Third Party Assessment'!E5:E54,"Type I")+COUNTIF('Third Party Assessment'!E5:E54,"Type II")</f>
        <v/>
      </c>
      <c r="C20" s="6" t="n"/>
      <c r="D20" s="6" t="n"/>
      <c r="E20" s="6" t="n"/>
      <c r="F20" s="6" t="n"/>
      <c r="G20" s="6" t="n"/>
    </row>
    <row r="21">
      <c r="A21" s="25" t="inlineStr">
        <is>
          <t>High/Critical Risk Partners</t>
        </is>
      </c>
      <c r="B21" s="26">
        <f>COUNTIF('Third Party Assessment'!H5:H54,"High")+COUNTIF('Third Party Assessment'!H5:H54,"Critical")</f>
        <v/>
      </c>
      <c r="C21" s="6" t="n"/>
      <c r="D21" s="6" t="n"/>
      <c r="E21" s="6" t="n"/>
      <c r="F21" s="6" t="n"/>
      <c r="G21" s="6" t="n"/>
    </row>
    <row r="22">
      <c r="A22" s="25" t="inlineStr">
        <is>
          <t>Reviews Overdue</t>
        </is>
      </c>
      <c r="B22" s="26">
        <f>COUNTIF('Review Schedule'!G5:G54,"Overdue")</f>
        <v/>
      </c>
      <c r="C22" s="6" t="n"/>
      <c r="D22" s="6" t="n"/>
      <c r="E22" s="6" t="n"/>
      <c r="F22" s="6" t="n"/>
      <c r="G22" s="6" t="n"/>
    </row>
    <row r="23">
      <c r="A23" s="25" t="inlineStr">
        <is>
          <t>Reviews Completed</t>
        </is>
      </c>
      <c r="B23" s="26">
        <f>COUNTIF('Review Schedule'!G5:G54,"Completed")</f>
        <v/>
      </c>
      <c r="C23" s="6" t="n"/>
      <c r="D23" s="6" t="n"/>
      <c r="E23" s="6" t="n"/>
      <c r="F23" s="6" t="n"/>
      <c r="G23" s="6" t="n"/>
    </row>
    <row r="24">
      <c r="A24" s="25" t="inlineStr">
        <is>
          <t>Agreements Requiring Renegotiation/Termination</t>
        </is>
      </c>
      <c r="B24" s="26">
        <f>COUNTIF('Review Schedule'!H5:H54,"Renegotiate")+COUNTIF('Review Schedule'!H5:H54,"Terminate")</f>
        <v/>
      </c>
      <c r="C24" s="6" t="n"/>
      <c r="D24" s="6" t="n"/>
      <c r="E24" s="6" t="n"/>
      <c r="F24" s="6" t="n"/>
      <c r="G24" s="6" t="n"/>
    </row>
    <row r="25">
      <c r="A25" s="25" t="inlineStr">
        <is>
          <t>Evidence Items Collected</t>
        </is>
      </c>
      <c r="B25" s="26">
        <f>COUNTA('Evidence Register'!A6:A105)</f>
        <v/>
      </c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9" ht="20" customHeight="1">
      <c r="A29" s="31" t="inlineStr">
        <is>
          <t>TABLE 3: CRITICAL FINDINGS REQUIRING IMMEDIATE ATTENTION</t>
        </is>
      </c>
      <c r="B29" s="6" t="n"/>
      <c r="C29" s="6" t="n"/>
      <c r="D29" s="6" t="n"/>
      <c r="E29" s="6" t="n"/>
      <c r="F29" s="6" t="n"/>
      <c r="G29" s="6" t="n"/>
    </row>
    <row r="30">
      <c r="A30" s="29" t="inlineStr">
        <is>
          <t>Category</t>
        </is>
      </c>
      <c r="B30" s="29" t="inlineStr">
        <is>
          <t>Finding</t>
        </is>
      </c>
      <c r="C30" s="29" t="inlineStr">
        <is>
          <t>Count</t>
        </is>
      </c>
      <c r="D30" s="29" t="inlineStr">
        <is>
          <t>Severity</t>
        </is>
      </c>
      <c r="E30" s="29" t="inlineStr">
        <is>
          <t>Action Required</t>
        </is>
      </c>
      <c r="F30" s="29" t="n"/>
      <c r="G30" s="29" t="n"/>
    </row>
    <row r="31">
      <c r="A31" s="32" t="inlineStr">
        <is>
          <t>Agreement Inventory</t>
        </is>
      </c>
      <c r="B31" s="32" t="inlineStr">
        <is>
          <t>Expired agreements still on register</t>
        </is>
      </c>
      <c r="C31" s="33">
        <f>COUNTIF('Agreement Register'!K5:K54,"Expired")</f>
        <v/>
      </c>
      <c r="D31" s="32" t="inlineStr">
        <is>
          <t>Critical</t>
        </is>
      </c>
      <c r="E31" s="32" t="inlineStr">
        <is>
          <t>Immediate</t>
        </is>
      </c>
      <c r="F31" s="32" t="n"/>
      <c r="G31" s="32" t="n"/>
    </row>
    <row r="32">
      <c r="A32" s="32" t="inlineStr">
        <is>
          <t>Agreement Inventory</t>
        </is>
      </c>
      <c r="B32" s="32" t="inlineStr">
        <is>
          <t>Agreements expiring soon without renewal action</t>
        </is>
      </c>
      <c r="C32" s="33">
        <f>COUNTIF('Agreement Register'!K5:K54,"Expiring Soon")</f>
        <v/>
      </c>
      <c r="D32" s="32" t="inlineStr">
        <is>
          <t>High</t>
        </is>
      </c>
      <c r="E32" s="32" t="inlineStr">
        <is>
          <t>Urgent</t>
        </is>
      </c>
      <c r="F32" s="32" t="n"/>
      <c r="G32" s="32" t="n"/>
    </row>
    <row r="33">
      <c r="A33" s="32" t="inlineStr">
        <is>
          <t>Third Party Security</t>
        </is>
      </c>
      <c r="B33" s="32" t="inlineStr">
        <is>
          <t>High/Critical risk transfer partners</t>
        </is>
      </c>
      <c r="C33" s="33">
        <f>COUNTIF('Third Party Assessment'!H5:H54,"High")+COUNTIF('Third Party Assessment'!H5:H54,"Critical")</f>
        <v/>
      </c>
      <c r="D33" s="32" t="inlineStr">
        <is>
          <t>Critical</t>
        </is>
      </c>
      <c r="E33" s="32" t="inlineStr">
        <is>
          <t>Immediate</t>
        </is>
      </c>
      <c r="F33" s="32" t="n"/>
      <c r="G33" s="32" t="n"/>
    </row>
    <row r="34">
      <c r="A34" s="32" t="inlineStr">
        <is>
          <t>Third Party Security</t>
        </is>
      </c>
      <c r="B34" s="32" t="inlineStr">
        <is>
          <t>Partners without ISO 27001 or SOC 2 assurance</t>
        </is>
      </c>
      <c r="C34" s="33">
        <f>COUNTA('Third Party Assessment'!A5:A54)-COUNTIF('Third Party Assessment'!D5:D54,"Yes")-COUNTIF('Third Party Assessment'!E5:E54,"Type I")-COUNTIF('Third Party Assessment'!E5:E54,"Type II")</f>
        <v/>
      </c>
      <c r="D34" s="32" t="inlineStr">
        <is>
          <t>High</t>
        </is>
      </c>
      <c r="E34" s="32" t="inlineStr">
        <is>
          <t>Urgent</t>
        </is>
      </c>
      <c r="F34" s="32" t="n"/>
      <c r="G34" s="32" t="n"/>
    </row>
    <row r="35">
      <c r="A35" s="32" t="inlineStr">
        <is>
          <t>Review Schedule</t>
        </is>
      </c>
      <c r="B35" s="32" t="inlineStr">
        <is>
          <t>Overdue agreement reviews</t>
        </is>
      </c>
      <c r="C35" s="33">
        <f>COUNTIF('Review Schedule'!G5:G54,"Overdue")</f>
        <v/>
      </c>
      <c r="D35" s="32" t="inlineStr">
        <is>
          <t>Critical</t>
        </is>
      </c>
      <c r="E35" s="32" t="inlineStr">
        <is>
          <t>Immediate</t>
        </is>
      </c>
      <c r="F35" s="32" t="n"/>
      <c r="G35" s="32" t="n"/>
    </row>
    <row r="36">
      <c r="A36" s="32" t="inlineStr">
        <is>
          <t>Review Schedule</t>
        </is>
      </c>
      <c r="B36" s="32" t="inlineStr">
        <is>
          <t>Agreements requiring renegotiation</t>
        </is>
      </c>
      <c r="C36" s="33">
        <f>COUNTIF('Review Schedule'!H5:H54,"Renegotiate")</f>
        <v/>
      </c>
      <c r="D36" s="32" t="inlineStr">
        <is>
          <t>High</t>
        </is>
      </c>
      <c r="E36" s="32" t="inlineStr">
        <is>
          <t>Urgent</t>
        </is>
      </c>
      <c r="F36" s="32" t="n"/>
      <c r="G36" s="32" t="n"/>
    </row>
    <row r="37">
      <c r="A37" s="32" t="inlineStr">
        <is>
          <t>Review Schedule</t>
        </is>
      </c>
      <c r="B37" s="32" t="inlineStr">
        <is>
          <t>Agreements requiring termination</t>
        </is>
      </c>
      <c r="C37" s="33">
        <f>COUNTIF('Review Schedule'!H5:H54,"Terminate")</f>
        <v/>
      </c>
      <c r="D37" s="32" t="inlineStr">
        <is>
          <t>High</t>
        </is>
      </c>
      <c r="E37" s="32" t="inlineStr">
        <is>
          <t>Urgent</t>
        </is>
      </c>
      <c r="F37" s="32" t="n"/>
      <c r="G37" s="32" t="n"/>
    </row>
    <row r="38">
      <c r="A38" s="32" t="inlineStr">
        <is>
          <t>Agreement Inventory</t>
        </is>
      </c>
      <c r="B38" s="32" t="inlineStr">
        <is>
          <t>Terminated agreements still registered</t>
        </is>
      </c>
      <c r="C38" s="33">
        <f>COUNTIF('Agreement Register'!K5:K54,"Terminated")</f>
        <v/>
      </c>
      <c r="D38" s="32" t="inlineStr">
        <is>
          <t>Medium</t>
        </is>
      </c>
      <c r="E38" s="32" t="inlineStr">
        <is>
          <t>Plan</t>
        </is>
      </c>
      <c r="F38" s="32" t="n"/>
      <c r="G38" s="32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</sheetData>
  <mergeCells count="5">
    <mergeCell ref="A1:G1"/>
    <mergeCell ref="A4:G4"/>
    <mergeCell ref="A2:G2"/>
    <mergeCell ref="A29:G29"/>
    <mergeCell ref="A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8" t="inlineStr">
        <is>
          <t>ASSESSMENT APPROVAL AND SIGN-OFF</t>
        </is>
      </c>
      <c r="B1" s="6" t="n"/>
      <c r="C1" s="6" t="n"/>
      <c r="D1" s="6" t="n"/>
      <c r="E1" s="6" t="n"/>
    </row>
    <row r="2">
      <c r="A2" s="34" t="inlineStr">
        <is>
          <t>ISO/IEC 27001:2022 - Control A.5.14: Information Transfer</t>
        </is>
      </c>
      <c r="B2" s="6" t="n"/>
      <c r="C2" s="6" t="n"/>
      <c r="D2" s="6" t="n"/>
      <c r="E2" s="6" t="n"/>
    </row>
    <row r="3">
      <c r="A3" s="3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ISMS-IMP-A.5.14.3 - Transfer Agreements Register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6">
        <f>IFERROR(AVERAGE('Summary Dashboard'!G6:G8),"")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23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ISMS-IMP-A.5.14.3 — Transfer Agreements Register</dc:title>
  <dc:description xmlns:dc="http://purl.org/dc/elements/1.1/">ISMS Implementation Workbook — ISMS-IMP-A.5.14.3</dc:description>
  <dc:subject xmlns:dc="http://purl.org/dc/elements/1.1/">ISO/IEC 27001:2022 — Control A.5.14: Information Transfer</dc:subject>
  <dcterms:created xmlns:dcterms="http://purl.org/dc/terms/" xmlns:xsi="http://www.w3.org/2001/XMLSchema-instance" xsi:type="dcterms:W3CDTF">2026-03-01T11:11:36Z</dcterms:created>
  <dcterms:modified xmlns:dcterms="http://purl.org/dc/terms/" xmlns:xsi="http://www.w3.org/2001/XMLSchema-instance" xsi:type="dcterms:W3CDTF">2026-03-01T11:11:36Z</dcterms:modified>
</cp:coreProperties>
</file>