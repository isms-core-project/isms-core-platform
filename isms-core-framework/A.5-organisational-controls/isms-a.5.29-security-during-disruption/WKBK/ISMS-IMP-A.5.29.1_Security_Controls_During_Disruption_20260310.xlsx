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ecurity Control Inventory" sheetId="2" state="visible" r:id="rId2"/>
    <sheet xmlns:r="http://schemas.openxmlformats.org/officeDocument/2006/relationships" name="Minimum Baseline" sheetId="3" state="visible" r:id="rId3"/>
    <sheet xmlns:r="http://schemas.openxmlformats.org/officeDocument/2006/relationships" name="Security Posture Levels" sheetId="4" state="visible" r:id="rId4"/>
    <sheet xmlns:r="http://schemas.openxmlformats.org/officeDocument/2006/relationships" name="Compensating Controls" sheetId="5" state="visible" r:id="rId5"/>
    <sheet xmlns:r="http://schemas.openxmlformats.org/officeDocument/2006/relationships" name="BCDR Security Review"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sz val="10"/>
    </font>
    <font>
      <name val="Calibri"/>
      <b val="1"/>
      <color rgb="00FFFFFF"/>
      <sz val="10"/>
    </font>
    <font>
      <name val="Calibri"/>
      <sz val="10"/>
    </font>
    <font>
      <b val="1"/>
      <color rgb="00FFFFFF"/>
      <sz val="14"/>
    </font>
    <font>
      <b val="1"/>
      <color rgb="00FFFFFF"/>
      <sz val="11"/>
    </font>
    <font>
      <b val="1"/>
      <color rgb="00000000"/>
    </font>
    <font>
      <color rgb="00000000"/>
    </font>
    <font>
      <name val="Calibri"/>
      <b val="1"/>
      <color rgb="00FFFFFF"/>
      <sz val="11"/>
    </font>
    <font>
      <name val="Calibri"/>
      <b val="1"/>
      <color rgb="00000000"/>
      <sz val="10"/>
    </font>
    <font>
      <name val="Calibri"/>
      <b val="1"/>
      <color rgb="00000000"/>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pivotButton="0" quotePrefix="0" xfId="0"/>
    <xf numFmtId="0" fontId="0" fillId="10" borderId="1" applyAlignment="1" pivotButton="0" quotePrefix="0" xfId="0">
      <alignment horizontal="left" vertical="center" wrapText="1"/>
    </xf>
    <xf numFmtId="0" fontId="0" fillId="11" borderId="1" pivotButton="0" quotePrefix="0" xfId="0"/>
    <xf numFmtId="0" fontId="0" fillId="11" borderId="1" applyAlignment="1" pivotButton="0" quotePrefix="0" xfId="0">
      <alignment horizontal="left" vertical="center" wrapText="1"/>
    </xf>
    <xf numFmtId="0" fontId="0" fillId="10" borderId="1" applyAlignment="1" pivotButton="0" quotePrefix="0" xfId="0">
      <alignment vertical="center" wrapText="1"/>
    </xf>
    <xf numFmtId="0" fontId="0" fillId="0" borderId="1" applyAlignment="1" pivotButton="0" quotePrefix="0" xfId="0">
      <alignment vertical="center" wrapText="1"/>
    </xf>
    <xf numFmtId="0" fontId="1" fillId="8" borderId="1" applyAlignment="1" pivotButton="0" quotePrefix="0" xfId="0">
      <alignment horizontal="center" vertical="center"/>
    </xf>
    <xf numFmtId="0" fontId="6" fillId="0" borderId="1" applyAlignment="1" pivotButton="0" quotePrefix="0" xfId="0">
      <alignment horizontal="left" vertical="center"/>
    </xf>
    <xf numFmtId="0" fontId="7" fillId="8"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9" fillId="8" borderId="1" applyAlignment="1" pivotButton="0" quotePrefix="0" xfId="0">
      <alignment horizontal="center" vertical="center" wrapText="1"/>
    </xf>
    <xf numFmtId="0" fontId="10" fillId="8" borderId="1" pivotButton="0" quotePrefix="0" xfId="0"/>
    <xf numFmtId="0" fontId="11" fillId="9" borderId="1" applyAlignment="1" pivotButton="0" quotePrefix="0" xfId="0">
      <alignment horizontal="center" vertical="center" wrapText="1"/>
    </xf>
    <xf numFmtId="0" fontId="12" fillId="0" borderId="1" pivotButton="0" quotePrefix="0" xfId="0"/>
    <xf numFmtId="0" fontId="12" fillId="0" borderId="1" applyAlignment="1" pivotButton="0" quotePrefix="0" xfId="0">
      <alignment horizontal="center"/>
    </xf>
    <xf numFmtId="164" fontId="12" fillId="0" borderId="1" applyAlignment="1" pivotButton="0" quotePrefix="0" xfId="0">
      <alignment horizontal="center"/>
    </xf>
    <xf numFmtId="0" fontId="11" fillId="9" borderId="1" pivotButton="0" quotePrefix="0" xfId="0"/>
    <xf numFmtId="0" fontId="11" fillId="9" borderId="1" applyAlignment="1" pivotButton="0" quotePrefix="0" xfId="0">
      <alignment horizontal="center"/>
    </xf>
    <xf numFmtId="164" fontId="11" fillId="9" borderId="1" applyAlignment="1" pivotButton="0" quotePrefix="0" xfId="0">
      <alignment horizontal="center"/>
    </xf>
    <xf numFmtId="0" fontId="10" fillId="12" borderId="1" pivotButton="0" quotePrefix="0" xfId="0"/>
    <xf numFmtId="0" fontId="12" fillId="11" borderId="1" pivotButton="0" quotePrefix="0" xfId="0"/>
    <xf numFmtId="0" fontId="12" fillId="11" borderId="1" applyAlignment="1" pivotButton="0" quotePrefix="0" xfId="0">
      <alignment horizontal="center"/>
    </xf>
    <xf numFmtId="0" fontId="5" fillId="0" borderId="1" applyAlignment="1" pivotButton="0" quotePrefix="0" xfId="0">
      <alignment horizontal="center" vertical="center"/>
    </xf>
    <xf numFmtId="0" fontId="13" fillId="13" borderId="1" applyAlignment="1" pivotButton="0" quotePrefix="0" xfId="0">
      <alignment horizontal="center" vertical="center"/>
    </xf>
    <xf numFmtId="0" fontId="14" fillId="0" borderId="1" pivotButton="0" quotePrefix="0" xfId="0"/>
    <xf numFmtId="164" fontId="0" fillId="0" borderId="1" pivotButton="0" quotePrefix="0" xfId="0"/>
    <xf numFmtId="0" fontId="14" fillId="9" borderId="1" applyAlignment="1" pivotButton="0" quotePrefix="0" xfId="0">
      <alignment horizontal="center" vertical="center" wrapText="1"/>
    </xf>
    <xf numFmtId="0" fontId="8" fillId="11" borderId="1" pivotButton="0" quotePrefix="0" xfId="0"/>
    <xf numFmtId="0" fontId="15" fillId="0" borderId="1" pivotButton="0" quotePrefix="0" xfId="0"/>
    <xf numFmtId="0" fontId="8" fillId="11" borderId="1" applyAlignment="1" pivotButton="0" quotePrefix="0" xfId="0">
      <alignment horizontal="center" vertical="center"/>
    </xf>
    <xf numFmtId="0" fontId="14"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ISMS-IMP-A.5.29.1  -  Security Controls During Disruption
ISO/IEC 27001:2022 - Control A.5.29: Information Security During Disruption</t>
        </is>
      </c>
    </row>
    <row r="3">
      <c r="A3" s="2" t="inlineStr">
        <is>
          <t>Document Information</t>
        </is>
      </c>
    </row>
    <row r="4">
      <c r="A4" s="3" t="inlineStr">
        <is>
          <t>Document ID</t>
        </is>
      </c>
      <c r="B4" t="inlineStr">
        <is>
          <t>ISMS-IMP-A.5.29.1</t>
        </is>
      </c>
    </row>
    <row r="5">
      <c r="A5" s="3" t="inlineStr">
        <is>
          <t>Workbook Title</t>
        </is>
      </c>
      <c r="B5" t="inlineStr">
        <is>
          <t>Security Controls During Disruption</t>
        </is>
      </c>
    </row>
    <row r="6">
      <c r="A6" s="3" t="inlineStr">
        <is>
          <t>Control Reference</t>
        </is>
      </c>
      <c r="B6" t="inlineStr">
        <is>
          <t>ISO/IEC 27001:2022 - Control A.5.29: Information Security During Disruption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Security Control Inventory — list all security controls and their disruption resilience status.</t>
        </is>
      </c>
    </row>
    <row r="14">
      <c r="A14" t="inlineStr">
        <is>
          <t>2. Complete Minimum Baseline — define the minimum acceptable security posture during disruption.</t>
        </is>
      </c>
    </row>
    <row r="15">
      <c r="A15" t="inlineStr">
        <is>
          <t>3. Complete Security Posture Levels — document security controls available at each degradation level.</t>
        </is>
      </c>
    </row>
    <row r="16">
      <c r="A16" t="inlineStr">
        <is>
          <t>4. Complete Compensating Controls — identify alternative controls when primary controls are unavailable.</t>
        </is>
      </c>
    </row>
    <row r="17">
      <c r="A17" t="inlineStr">
        <is>
          <t>5. Complete BCDR Security Review — assess how the BCP/DR plan addresses security continuity.</t>
        </is>
      </c>
    </row>
    <row r="18">
      <c r="A18" t="inlineStr">
        <is>
          <t>6. Maintain the Evidence Register with BCP/DR documentation and test results.</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3"/>
  <sheetViews>
    <sheetView showGridLines="0" workbookViewId="0">
      <pane ySplit="3" topLeftCell="A4" activePane="bottomLeft" state="frozen"/>
      <selection pane="bottomLeft" activeCell="A1" sqref="A1"/>
    </sheetView>
  </sheetViews>
  <sheetFormatPr baseColWidth="8" defaultRowHeight="15"/>
  <cols>
    <col width="15" customWidth="1" min="1" max="1"/>
    <col width="35" customWidth="1" min="2" max="2"/>
    <col width="20" customWidth="1" min="3" max="3"/>
    <col width="15" customWidth="1" min="4" max="4"/>
    <col width="15" customWidth="1" min="5" max="5"/>
    <col width="22" customWidth="1" min="6" max="6"/>
    <col width="15" customWidth="1" min="7" max="7"/>
    <col width="18" customWidth="1" min="8" max="8"/>
    <col width="25" customWidth="1" min="9" max="9"/>
    <col width="16" customWidth="1" min="10" max="10"/>
    <col width="40" customWidth="1" min="11" max="11"/>
  </cols>
  <sheetData>
    <row r="1" ht="35" customHeight="1">
      <c r="A1" s="11" t="inlineStr">
        <is>
          <t>SECURITY CONTROL INVENTORY</t>
        </is>
      </c>
    </row>
    <row r="2">
      <c r="A2" s="12" t="inlineStr">
        <is>
          <t>Inventory of all security controls with their disruption classification and recovery priority</t>
        </is>
      </c>
    </row>
    <row r="3">
      <c r="A3" s="13" t="inlineStr">
        <is>
          <t>Control_ID</t>
        </is>
      </c>
      <c r="B3" s="13" t="inlineStr">
        <is>
          <t>Control_Name</t>
        </is>
      </c>
      <c r="C3" s="13" t="inlineStr">
        <is>
          <t>Control_Category</t>
        </is>
      </c>
      <c r="D3" s="13" t="inlineStr">
        <is>
          <t>ISO_Reference</t>
        </is>
      </c>
      <c r="E3" s="13" t="inlineStr">
        <is>
          <t>Normal_Status</t>
        </is>
      </c>
      <c r="F3" s="13" t="inlineStr">
        <is>
          <t>Disruption_Classification</t>
        </is>
      </c>
      <c r="G3" s="13" t="inlineStr">
        <is>
          <t>Recovery_Priority</t>
        </is>
      </c>
      <c r="H3" s="13" t="inlineStr">
        <is>
          <t>Compensating_Control_ID</t>
        </is>
      </c>
      <c r="I3" s="13" t="inlineStr">
        <is>
          <t>Owner</t>
        </is>
      </c>
      <c r="J3" s="13" t="inlineStr">
        <is>
          <t>Last_Review_Date</t>
        </is>
      </c>
      <c r="K3" s="13" t="inlineStr">
        <is>
          <t>Notes</t>
        </is>
      </c>
    </row>
    <row r="4">
      <c r="A4" s="14" t="inlineStr">
        <is>
          <t>SC-001</t>
        </is>
      </c>
      <c r="B4" s="14" t="inlineStr">
        <is>
          <t>Multi-Factor Authentication</t>
        </is>
      </c>
      <c r="C4" s="14" t="inlineStr">
        <is>
          <t>Access Control</t>
        </is>
      </c>
      <c r="D4" s="14" t="inlineStr">
        <is>
          <t>A.8.5</t>
        </is>
      </c>
      <c r="E4" s="14" t="inlineStr">
        <is>
          <t>Operational</t>
        </is>
      </c>
      <c r="F4" s="14" t="inlineStr">
        <is>
          <t>Degradable</t>
        </is>
      </c>
      <c r="G4" s="14" t="inlineStr">
        <is>
          <t>Critical</t>
        </is>
      </c>
    </row>
    <row r="5">
      <c r="A5" s="14" t="inlineStr">
        <is>
          <t>SC-002</t>
        </is>
      </c>
      <c r="B5" s="14" t="inlineStr">
        <is>
          <t>Role-Based Access Control</t>
        </is>
      </c>
      <c r="C5" s="14" t="inlineStr">
        <is>
          <t>Access Control</t>
        </is>
      </c>
      <c r="D5" s="14" t="inlineStr">
        <is>
          <t>A.5.15</t>
        </is>
      </c>
      <c r="E5" s="14" t="inlineStr">
        <is>
          <t>Operational</t>
        </is>
      </c>
      <c r="F5" s="14" t="inlineStr">
        <is>
          <t>Non-Negotiable</t>
        </is>
      </c>
      <c r="G5" s="14" t="inlineStr">
        <is>
          <t>Critical</t>
        </is>
      </c>
    </row>
    <row r="6">
      <c r="A6" s="14" t="inlineStr">
        <is>
          <t>SC-003</t>
        </is>
      </c>
      <c r="B6" s="14" t="inlineStr">
        <is>
          <t>Privileged Access Management</t>
        </is>
      </c>
      <c r="C6" s="14" t="inlineStr">
        <is>
          <t>Access Control</t>
        </is>
      </c>
      <c r="D6" s="14" t="inlineStr">
        <is>
          <t>A.8.2</t>
        </is>
      </c>
      <c r="E6" s="14" t="inlineStr">
        <is>
          <t>Operational</t>
        </is>
      </c>
      <c r="F6" s="14" t="inlineStr">
        <is>
          <t>Non-Negotiable</t>
        </is>
      </c>
      <c r="G6" s="14" t="inlineStr">
        <is>
          <t>Critical</t>
        </is>
      </c>
    </row>
    <row r="7">
      <c r="A7" s="14" t="inlineStr">
        <is>
          <t>SC-004</t>
        </is>
      </c>
      <c r="B7" s="14" t="inlineStr">
        <is>
          <t>Data Encryption at Rest</t>
        </is>
      </c>
      <c r="C7" s="14" t="inlineStr">
        <is>
          <t>Data Encryption</t>
        </is>
      </c>
      <c r="D7" s="14" t="inlineStr">
        <is>
          <t>A.8.24</t>
        </is>
      </c>
      <c r="E7" s="14" t="inlineStr">
        <is>
          <t>Operational</t>
        </is>
      </c>
      <c r="F7" s="14" t="inlineStr">
        <is>
          <t>Non-Negotiable</t>
        </is>
      </c>
      <c r="G7" s="14" t="inlineStr">
        <is>
          <t>Critical</t>
        </is>
      </c>
    </row>
    <row r="8">
      <c r="A8" s="14" t="inlineStr">
        <is>
          <t>SC-005</t>
        </is>
      </c>
      <c r="B8" s="14" t="inlineStr">
        <is>
          <t>TLS for Data in Transit</t>
        </is>
      </c>
      <c r="C8" s="14" t="inlineStr">
        <is>
          <t>Data Encryption</t>
        </is>
      </c>
      <c r="D8" s="14" t="inlineStr">
        <is>
          <t>A.8.24</t>
        </is>
      </c>
      <c r="E8" s="14" t="inlineStr">
        <is>
          <t>Operational</t>
        </is>
      </c>
      <c r="F8" s="14" t="inlineStr">
        <is>
          <t>Non-Negotiable</t>
        </is>
      </c>
      <c r="G8" s="14" t="inlineStr">
        <is>
          <t>Critical</t>
        </is>
      </c>
    </row>
    <row r="9">
      <c r="A9" s="14" t="inlineStr">
        <is>
          <t>SC-006</t>
        </is>
      </c>
      <c r="B9" s="14" t="inlineStr">
        <is>
          <t>Security Event Logging</t>
        </is>
      </c>
      <c r="C9" s="14" t="inlineStr">
        <is>
          <t>Logging</t>
        </is>
      </c>
      <c r="D9" s="14" t="inlineStr">
        <is>
          <t>A.8.15</t>
        </is>
      </c>
      <c r="E9" s="14" t="inlineStr">
        <is>
          <t>Operational</t>
        </is>
      </c>
      <c r="F9" s="14" t="inlineStr">
        <is>
          <t>Non-Negotiable</t>
        </is>
      </c>
      <c r="G9" s="14" t="inlineStr">
        <is>
          <t>Critical</t>
        </is>
      </c>
    </row>
    <row r="10">
      <c r="A10" s="14" t="inlineStr">
        <is>
          <t>SC-007</t>
        </is>
      </c>
      <c r="B10" s="14" t="inlineStr">
        <is>
          <t>SIEM Correlation</t>
        </is>
      </c>
      <c r="C10" s="14" t="inlineStr">
        <is>
          <t>Logging</t>
        </is>
      </c>
      <c r="D10" s="14" t="inlineStr">
        <is>
          <t>A.8.16</t>
        </is>
      </c>
      <c r="E10" s="14" t="inlineStr">
        <is>
          <t>Operational</t>
        </is>
      </c>
      <c r="F10" s="14" t="inlineStr">
        <is>
          <t>Degradable</t>
        </is>
      </c>
      <c r="G10" s="14" t="inlineStr">
        <is>
          <t>High</t>
        </is>
      </c>
    </row>
    <row r="11">
      <c r="A11" s="14" t="inlineStr">
        <is>
          <t>SC-008</t>
        </is>
      </c>
      <c r="B11" s="14" t="inlineStr">
        <is>
          <t>Firewall Protection</t>
        </is>
      </c>
      <c r="C11" s="14" t="inlineStr">
        <is>
          <t>Network Security</t>
        </is>
      </c>
      <c r="D11" s="14" t="inlineStr">
        <is>
          <t>A.8.20</t>
        </is>
      </c>
      <c r="E11" s="14" t="inlineStr">
        <is>
          <t>Operational</t>
        </is>
      </c>
      <c r="F11" s="14" t="inlineStr">
        <is>
          <t>Non-Negotiable</t>
        </is>
      </c>
      <c r="G11" s="14" t="inlineStr">
        <is>
          <t>Critical</t>
        </is>
      </c>
    </row>
    <row r="12">
      <c r="A12" s="14" t="inlineStr">
        <is>
          <t>SC-009</t>
        </is>
      </c>
      <c r="B12" s="14" t="inlineStr">
        <is>
          <t>Network Segmentation</t>
        </is>
      </c>
      <c r="C12" s="14" t="inlineStr">
        <is>
          <t>Network Security</t>
        </is>
      </c>
      <c r="D12" s="14" t="inlineStr">
        <is>
          <t>A.8.22</t>
        </is>
      </c>
      <c r="E12" s="14" t="inlineStr">
        <is>
          <t>Operational</t>
        </is>
      </c>
      <c r="F12" s="14" t="inlineStr">
        <is>
          <t>Non-Negotiable</t>
        </is>
      </c>
      <c r="G12" s="14" t="inlineStr">
        <is>
          <t>Critical</t>
        </is>
      </c>
    </row>
    <row r="13">
      <c r="A13" s="15" t="inlineStr">
        <is>
          <t>SC-010</t>
        </is>
      </c>
      <c r="B13" s="15" t="inlineStr">
        <is>
          <t>Endpoint Detection &amp; Response</t>
        </is>
      </c>
      <c r="C13" s="15" t="inlineStr">
        <is>
          <t>Endpoint Security</t>
        </is>
      </c>
      <c r="D13" s="15" t="inlineStr">
        <is>
          <t>A.8.7</t>
        </is>
      </c>
      <c r="E13" s="15" t="inlineStr">
        <is>
          <t>Operational</t>
        </is>
      </c>
      <c r="F13" s="15" t="inlineStr">
        <is>
          <t>Degradable</t>
        </is>
      </c>
      <c r="G13" s="15" t="inlineStr">
        <is>
          <t>High</t>
        </is>
      </c>
      <c r="H13" s="15" t="inlineStr">
        <is>
          <t>CC-004</t>
        </is>
      </c>
      <c r="I13" s="15" t="inlineStr">
        <is>
          <t>IT Security Manager</t>
        </is>
      </c>
      <c r="J13" s="15" t="inlineStr">
        <is>
          <t>23.02.2026</t>
        </is>
      </c>
      <c r="K13" s="15" t="inlineStr">
        <is>
          <t>Monitor for anomalies during recovery</t>
        </is>
      </c>
    </row>
    <row r="14">
      <c r="A14" s="16" t="n"/>
      <c r="B14" s="17" t="n"/>
      <c r="C14" s="17" t="n"/>
      <c r="D14" s="17" t="n"/>
      <c r="E14" s="17" t="n"/>
      <c r="F14" s="17" t="n"/>
      <c r="G14" s="17" t="n"/>
      <c r="H14" s="17" t="n"/>
      <c r="I14" s="17" t="n"/>
      <c r="J14" s="17" t="n"/>
      <c r="K14" s="17" t="n"/>
    </row>
    <row r="15">
      <c r="A15" s="16" t="n"/>
      <c r="B15" s="17" t="n"/>
      <c r="C15" s="17" t="n"/>
      <c r="D15" s="17" t="n"/>
      <c r="E15" s="17" t="n"/>
      <c r="F15" s="17" t="n"/>
      <c r="G15" s="17" t="n"/>
      <c r="H15" s="17" t="n"/>
      <c r="I15" s="17" t="n"/>
      <c r="J15" s="17" t="n"/>
      <c r="K15" s="17" t="n"/>
    </row>
    <row r="16">
      <c r="A16" s="16" t="n"/>
      <c r="B16" s="17" t="n"/>
      <c r="C16" s="17" t="n"/>
      <c r="D16" s="17" t="n"/>
      <c r="E16" s="17" t="n"/>
      <c r="F16" s="17" t="n"/>
      <c r="G16" s="17" t="n"/>
      <c r="H16" s="17" t="n"/>
      <c r="I16" s="17" t="n"/>
      <c r="J16" s="17" t="n"/>
      <c r="K16" s="17" t="n"/>
    </row>
    <row r="17">
      <c r="A17" s="16" t="n"/>
      <c r="B17" s="17" t="n"/>
      <c r="C17" s="17" t="n"/>
      <c r="D17" s="17" t="n"/>
      <c r="E17" s="17" t="n"/>
      <c r="F17" s="17" t="n"/>
      <c r="G17" s="17" t="n"/>
      <c r="H17" s="17" t="n"/>
      <c r="I17" s="17" t="n"/>
      <c r="J17" s="17" t="n"/>
      <c r="K17" s="17" t="n"/>
    </row>
    <row r="18">
      <c r="A18" s="16" t="n"/>
      <c r="B18" s="17" t="n"/>
      <c r="C18" s="17" t="n"/>
      <c r="D18" s="17" t="n"/>
      <c r="E18" s="17" t="n"/>
      <c r="F18" s="17" t="n"/>
      <c r="G18" s="17" t="n"/>
      <c r="H18" s="17" t="n"/>
      <c r="I18" s="17" t="n"/>
      <c r="J18" s="17" t="n"/>
      <c r="K18" s="17" t="n"/>
    </row>
    <row r="19">
      <c r="A19" s="16" t="n"/>
      <c r="B19" s="17" t="n"/>
      <c r="C19" s="17" t="n"/>
      <c r="D19" s="17" t="n"/>
      <c r="E19" s="17" t="n"/>
      <c r="F19" s="17" t="n"/>
      <c r="G19" s="17" t="n"/>
      <c r="H19" s="17" t="n"/>
      <c r="I19" s="17" t="n"/>
      <c r="J19" s="17" t="n"/>
      <c r="K19" s="17" t="n"/>
    </row>
    <row r="20">
      <c r="A20" s="16" t="n"/>
      <c r="B20" s="17" t="n"/>
      <c r="C20" s="17" t="n"/>
      <c r="D20" s="17" t="n"/>
      <c r="E20" s="17" t="n"/>
      <c r="F20" s="17" t="n"/>
      <c r="G20" s="17" t="n"/>
      <c r="H20" s="17" t="n"/>
      <c r="I20" s="17" t="n"/>
      <c r="J20" s="17" t="n"/>
      <c r="K20" s="17" t="n"/>
    </row>
    <row r="21">
      <c r="A21" s="16" t="n"/>
      <c r="B21" s="17" t="n"/>
      <c r="C21" s="17" t="n"/>
      <c r="D21" s="17" t="n"/>
      <c r="E21" s="17" t="n"/>
      <c r="F21" s="17" t="n"/>
      <c r="G21" s="17" t="n"/>
      <c r="H21" s="17" t="n"/>
      <c r="I21" s="17" t="n"/>
      <c r="J21" s="17" t="n"/>
      <c r="K21" s="17" t="n"/>
    </row>
    <row r="22">
      <c r="A22" s="16" t="n"/>
      <c r="B22" s="17" t="n"/>
      <c r="C22" s="17" t="n"/>
      <c r="D22" s="17" t="n"/>
      <c r="E22" s="17" t="n"/>
      <c r="F22" s="17" t="n"/>
      <c r="G22" s="17" t="n"/>
      <c r="H22" s="17" t="n"/>
      <c r="I22" s="17" t="n"/>
      <c r="J22" s="17" t="n"/>
      <c r="K22" s="17" t="n"/>
    </row>
    <row r="23">
      <c r="A23" s="16" t="n"/>
      <c r="B23" s="17" t="n"/>
      <c r="C23" s="17" t="n"/>
      <c r="D23" s="17" t="n"/>
      <c r="E23" s="17" t="n"/>
      <c r="F23" s="17" t="n"/>
      <c r="G23" s="17" t="n"/>
      <c r="H23" s="17" t="n"/>
      <c r="I23" s="17" t="n"/>
      <c r="J23" s="17" t="n"/>
      <c r="K23" s="17" t="n"/>
    </row>
    <row r="24">
      <c r="A24" s="16" t="n"/>
      <c r="B24" s="17" t="n"/>
      <c r="C24" s="17" t="n"/>
      <c r="D24" s="17" t="n"/>
      <c r="E24" s="17" t="n"/>
      <c r="F24" s="17" t="n"/>
      <c r="G24" s="17" t="n"/>
      <c r="H24" s="17" t="n"/>
      <c r="I24" s="17" t="n"/>
      <c r="J24" s="17" t="n"/>
      <c r="K24" s="17" t="n"/>
    </row>
    <row r="25">
      <c r="A25" s="16" t="n"/>
      <c r="B25" s="17" t="n"/>
      <c r="C25" s="17" t="n"/>
      <c r="D25" s="17" t="n"/>
      <c r="E25" s="17" t="n"/>
      <c r="F25" s="17" t="n"/>
      <c r="G25" s="17" t="n"/>
      <c r="H25" s="17" t="n"/>
      <c r="I25" s="17" t="n"/>
      <c r="J25" s="17" t="n"/>
      <c r="K25" s="17" t="n"/>
    </row>
    <row r="26">
      <c r="A26" s="16" t="n"/>
      <c r="B26" s="17" t="n"/>
      <c r="C26" s="17" t="n"/>
      <c r="D26" s="17" t="n"/>
      <c r="E26" s="17" t="n"/>
      <c r="F26" s="17" t="n"/>
      <c r="G26" s="17" t="n"/>
      <c r="H26" s="17" t="n"/>
      <c r="I26" s="17" t="n"/>
      <c r="J26" s="17" t="n"/>
      <c r="K26" s="17" t="n"/>
    </row>
    <row r="27">
      <c r="A27" s="16" t="n"/>
      <c r="B27" s="17" t="n"/>
      <c r="C27" s="17" t="n"/>
      <c r="D27" s="17" t="n"/>
      <c r="E27" s="17" t="n"/>
      <c r="F27" s="17" t="n"/>
      <c r="G27" s="17" t="n"/>
      <c r="H27" s="17" t="n"/>
      <c r="I27" s="17" t="n"/>
      <c r="J27" s="17" t="n"/>
      <c r="K27" s="17" t="n"/>
    </row>
    <row r="28">
      <c r="A28" s="16" t="n"/>
      <c r="B28" s="17" t="n"/>
      <c r="C28" s="17" t="n"/>
      <c r="D28" s="17" t="n"/>
      <c r="E28" s="17" t="n"/>
      <c r="F28" s="17" t="n"/>
      <c r="G28" s="17" t="n"/>
      <c r="H28" s="17" t="n"/>
      <c r="I28" s="17" t="n"/>
      <c r="J28" s="17" t="n"/>
      <c r="K28" s="17" t="n"/>
    </row>
    <row r="29">
      <c r="A29" s="16" t="n"/>
      <c r="B29" s="17" t="n"/>
      <c r="C29" s="17" t="n"/>
      <c r="D29" s="17" t="n"/>
      <c r="E29" s="17" t="n"/>
      <c r="F29" s="17" t="n"/>
      <c r="G29" s="17" t="n"/>
      <c r="H29" s="17" t="n"/>
      <c r="I29" s="17" t="n"/>
      <c r="J29" s="17" t="n"/>
      <c r="K29" s="17" t="n"/>
    </row>
    <row r="30">
      <c r="A30" s="16" t="n"/>
      <c r="B30" s="17" t="n"/>
      <c r="C30" s="17" t="n"/>
      <c r="D30" s="17" t="n"/>
      <c r="E30" s="17" t="n"/>
      <c r="F30" s="17" t="n"/>
      <c r="G30" s="17" t="n"/>
      <c r="H30" s="17" t="n"/>
      <c r="I30" s="17" t="n"/>
      <c r="J30" s="17" t="n"/>
      <c r="K30" s="17" t="n"/>
    </row>
    <row r="31">
      <c r="A31" s="16" t="n"/>
      <c r="B31" s="17" t="n"/>
      <c r="C31" s="17" t="n"/>
      <c r="D31" s="17" t="n"/>
      <c r="E31" s="17" t="n"/>
      <c r="F31" s="17" t="n"/>
      <c r="G31" s="17" t="n"/>
      <c r="H31" s="17" t="n"/>
      <c r="I31" s="17" t="n"/>
      <c r="J31" s="17" t="n"/>
      <c r="K31" s="17" t="n"/>
    </row>
    <row r="32">
      <c r="A32" s="16" t="n"/>
      <c r="B32" s="17" t="n"/>
      <c r="C32" s="17" t="n"/>
      <c r="D32" s="17" t="n"/>
      <c r="E32" s="17" t="n"/>
      <c r="F32" s="17" t="n"/>
      <c r="G32" s="17" t="n"/>
      <c r="H32" s="17" t="n"/>
      <c r="I32" s="17" t="n"/>
      <c r="J32" s="17" t="n"/>
      <c r="K32" s="17" t="n"/>
    </row>
    <row r="33">
      <c r="A33" s="16" t="n"/>
      <c r="B33" s="17" t="n"/>
      <c r="C33" s="17" t="n"/>
      <c r="D33" s="17" t="n"/>
      <c r="E33" s="17" t="n"/>
      <c r="F33" s="17" t="n"/>
      <c r="G33" s="17" t="n"/>
      <c r="H33" s="17" t="n"/>
      <c r="I33" s="17" t="n"/>
      <c r="J33" s="17" t="n"/>
      <c r="K33" s="17" t="n"/>
    </row>
    <row r="34">
      <c r="A34" s="16" t="n"/>
      <c r="B34" s="17" t="n"/>
      <c r="C34" s="17" t="n"/>
      <c r="D34" s="17" t="n"/>
      <c r="E34" s="17" t="n"/>
      <c r="F34" s="17" t="n"/>
      <c r="G34" s="17" t="n"/>
      <c r="H34" s="17" t="n"/>
      <c r="I34" s="17" t="n"/>
      <c r="J34" s="17" t="n"/>
      <c r="K34" s="17" t="n"/>
    </row>
    <row r="35">
      <c r="A35" s="16" t="n"/>
      <c r="B35" s="17" t="n"/>
      <c r="C35" s="17" t="n"/>
      <c r="D35" s="17" t="n"/>
      <c r="E35" s="17" t="n"/>
      <c r="F35" s="17" t="n"/>
      <c r="G35" s="17" t="n"/>
      <c r="H35" s="17" t="n"/>
      <c r="I35" s="17" t="n"/>
      <c r="J35" s="17" t="n"/>
      <c r="K35" s="17" t="n"/>
    </row>
    <row r="36">
      <c r="A36" s="16" t="n"/>
      <c r="B36" s="17" t="n"/>
      <c r="C36" s="17" t="n"/>
      <c r="D36" s="17" t="n"/>
      <c r="E36" s="17" t="n"/>
      <c r="F36" s="17" t="n"/>
      <c r="G36" s="17" t="n"/>
      <c r="H36" s="17" t="n"/>
      <c r="I36" s="17" t="n"/>
      <c r="J36" s="17" t="n"/>
      <c r="K36" s="17" t="n"/>
    </row>
    <row r="37">
      <c r="A37" s="16" t="n"/>
      <c r="B37" s="17" t="n"/>
      <c r="C37" s="17" t="n"/>
      <c r="D37" s="17" t="n"/>
      <c r="E37" s="17" t="n"/>
      <c r="F37" s="17" t="n"/>
      <c r="G37" s="17" t="n"/>
      <c r="H37" s="17" t="n"/>
      <c r="I37" s="17" t="n"/>
      <c r="J37" s="17" t="n"/>
      <c r="K37" s="17" t="n"/>
    </row>
    <row r="38">
      <c r="A38" s="16" t="n"/>
      <c r="B38" s="17" t="n"/>
      <c r="C38" s="17" t="n"/>
      <c r="D38" s="17" t="n"/>
      <c r="E38" s="17" t="n"/>
      <c r="F38" s="17" t="n"/>
      <c r="G38" s="17" t="n"/>
      <c r="H38" s="17" t="n"/>
      <c r="I38" s="17" t="n"/>
      <c r="J38" s="17" t="n"/>
      <c r="K38" s="17" t="n"/>
    </row>
    <row r="39">
      <c r="A39" s="16" t="n"/>
      <c r="B39" s="17" t="n"/>
      <c r="C39" s="17" t="n"/>
      <c r="D39" s="17" t="n"/>
      <c r="E39" s="17" t="n"/>
      <c r="F39" s="17" t="n"/>
      <c r="G39" s="17" t="n"/>
      <c r="H39" s="17" t="n"/>
      <c r="I39" s="17" t="n"/>
      <c r="J39" s="17" t="n"/>
      <c r="K39" s="17" t="n"/>
    </row>
    <row r="40">
      <c r="A40" s="16" t="n"/>
      <c r="B40" s="17" t="n"/>
      <c r="C40" s="17" t="n"/>
      <c r="D40" s="17" t="n"/>
      <c r="E40" s="17" t="n"/>
      <c r="F40" s="17" t="n"/>
      <c r="G40" s="17" t="n"/>
      <c r="H40" s="17" t="n"/>
      <c r="I40" s="17" t="n"/>
      <c r="J40" s="17" t="n"/>
      <c r="K40" s="17" t="n"/>
    </row>
    <row r="41">
      <c r="A41" s="16" t="n"/>
      <c r="B41" s="17" t="n"/>
      <c r="C41" s="17" t="n"/>
      <c r="D41" s="17" t="n"/>
      <c r="E41" s="17" t="n"/>
      <c r="F41" s="17" t="n"/>
      <c r="G41" s="17" t="n"/>
      <c r="H41" s="17" t="n"/>
      <c r="I41" s="17" t="n"/>
      <c r="J41" s="17" t="n"/>
      <c r="K41" s="17" t="n"/>
    </row>
    <row r="42">
      <c r="A42" s="16" t="n"/>
      <c r="B42" s="17" t="n"/>
      <c r="C42" s="17" t="n"/>
      <c r="D42" s="17" t="n"/>
      <c r="E42" s="17" t="n"/>
      <c r="F42" s="17" t="n"/>
      <c r="G42" s="17" t="n"/>
      <c r="H42" s="17" t="n"/>
      <c r="I42" s="17" t="n"/>
      <c r="J42" s="17" t="n"/>
      <c r="K42" s="17" t="n"/>
    </row>
    <row r="43">
      <c r="A43" s="16" t="n"/>
      <c r="B43" s="17" t="n"/>
      <c r="C43" s="17" t="n"/>
      <c r="D43" s="17" t="n"/>
      <c r="E43" s="17" t="n"/>
      <c r="F43" s="17" t="n"/>
      <c r="G43" s="17" t="n"/>
      <c r="H43" s="17" t="n"/>
      <c r="I43" s="17" t="n"/>
      <c r="J43" s="17" t="n"/>
      <c r="K43" s="17" t="n"/>
    </row>
    <row r="44">
      <c r="A44" s="16" t="n"/>
      <c r="B44" s="17" t="n"/>
      <c r="C44" s="17" t="n"/>
      <c r="D44" s="17" t="n"/>
      <c r="E44" s="17" t="n"/>
      <c r="F44" s="17" t="n"/>
      <c r="G44" s="17" t="n"/>
      <c r="H44" s="17" t="n"/>
      <c r="I44" s="17" t="n"/>
      <c r="J44" s="17" t="n"/>
      <c r="K44" s="17" t="n"/>
    </row>
    <row r="45">
      <c r="A45" s="16" t="n"/>
      <c r="B45" s="17" t="n"/>
      <c r="C45" s="17" t="n"/>
      <c r="D45" s="17" t="n"/>
      <c r="E45" s="17" t="n"/>
      <c r="F45" s="17" t="n"/>
      <c r="G45" s="17" t="n"/>
      <c r="H45" s="17" t="n"/>
      <c r="I45" s="17" t="n"/>
      <c r="J45" s="17" t="n"/>
      <c r="K45" s="17" t="n"/>
    </row>
    <row r="46">
      <c r="A46" s="16" t="n"/>
      <c r="B46" s="17" t="n"/>
      <c r="C46" s="17" t="n"/>
      <c r="D46" s="17" t="n"/>
      <c r="E46" s="17" t="n"/>
      <c r="F46" s="17" t="n"/>
      <c r="G46" s="17" t="n"/>
      <c r="H46" s="17" t="n"/>
      <c r="I46" s="17" t="n"/>
      <c r="J46" s="17" t="n"/>
      <c r="K46" s="17" t="n"/>
    </row>
    <row r="47">
      <c r="A47" s="16" t="n"/>
      <c r="B47" s="17" t="n"/>
      <c r="C47" s="17" t="n"/>
      <c r="D47" s="17" t="n"/>
      <c r="E47" s="17" t="n"/>
      <c r="F47" s="17" t="n"/>
      <c r="G47" s="17" t="n"/>
      <c r="H47" s="17" t="n"/>
      <c r="I47" s="17" t="n"/>
      <c r="J47" s="17" t="n"/>
      <c r="K47" s="17" t="n"/>
    </row>
    <row r="48">
      <c r="A48" s="16" t="n"/>
      <c r="B48" s="17" t="n"/>
      <c r="C48" s="17" t="n"/>
      <c r="D48" s="17" t="n"/>
      <c r="E48" s="17" t="n"/>
      <c r="F48" s="17" t="n"/>
      <c r="G48" s="17" t="n"/>
      <c r="H48" s="17" t="n"/>
      <c r="I48" s="17" t="n"/>
      <c r="J48" s="17" t="n"/>
      <c r="K48" s="17" t="n"/>
    </row>
    <row r="49">
      <c r="A49" s="16" t="n"/>
      <c r="B49" s="17" t="n"/>
      <c r="C49" s="17" t="n"/>
      <c r="D49" s="17" t="n"/>
      <c r="E49" s="17" t="n"/>
      <c r="F49" s="17" t="n"/>
      <c r="G49" s="17" t="n"/>
      <c r="H49" s="17" t="n"/>
      <c r="I49" s="17" t="n"/>
      <c r="J49" s="17" t="n"/>
      <c r="K49" s="17" t="n"/>
    </row>
    <row r="50">
      <c r="A50" s="16" t="n"/>
      <c r="B50" s="17" t="n"/>
      <c r="C50" s="17" t="n"/>
      <c r="D50" s="17" t="n"/>
      <c r="E50" s="17" t="n"/>
      <c r="F50" s="17" t="n"/>
      <c r="G50" s="17" t="n"/>
      <c r="H50" s="17" t="n"/>
      <c r="I50" s="17" t="n"/>
      <c r="J50" s="17" t="n"/>
      <c r="K50" s="17" t="n"/>
    </row>
    <row r="51">
      <c r="A51" s="16" t="n"/>
      <c r="B51" s="17" t="n"/>
      <c r="C51" s="17" t="n"/>
      <c r="D51" s="17" t="n"/>
      <c r="E51" s="17" t="n"/>
      <c r="F51" s="17" t="n"/>
      <c r="G51" s="17" t="n"/>
      <c r="H51" s="17" t="n"/>
      <c r="I51" s="17" t="n"/>
      <c r="J51" s="17" t="n"/>
      <c r="K51" s="17" t="n"/>
    </row>
    <row r="52">
      <c r="A52" s="16" t="n"/>
      <c r="B52" s="17" t="n"/>
      <c r="C52" s="17" t="n"/>
      <c r="D52" s="17" t="n"/>
      <c r="E52" s="17" t="n"/>
      <c r="F52" s="17" t="n"/>
      <c r="G52" s="17" t="n"/>
      <c r="H52" s="17" t="n"/>
      <c r="I52" s="17" t="n"/>
      <c r="J52" s="17" t="n"/>
      <c r="K52" s="17" t="n"/>
    </row>
    <row r="53">
      <c r="A53" s="16" t="n"/>
      <c r="B53" s="17" t="n"/>
      <c r="C53" s="17" t="n"/>
      <c r="D53" s="17" t="n"/>
      <c r="E53" s="17" t="n"/>
      <c r="F53" s="17" t="n"/>
      <c r="G53" s="17" t="n"/>
      <c r="H53" s="17" t="n"/>
      <c r="I53" s="17" t="n"/>
      <c r="J53" s="17" t="n"/>
      <c r="K53" s="17" t="n"/>
    </row>
    <row r="54">
      <c r="A54" s="16" t="n"/>
      <c r="B54" s="17" t="n"/>
      <c r="C54" s="17" t="n"/>
      <c r="D54" s="17" t="n"/>
      <c r="E54" s="17" t="n"/>
      <c r="F54" s="17" t="n"/>
      <c r="G54" s="17" t="n"/>
      <c r="H54" s="17" t="n"/>
      <c r="I54" s="17" t="n"/>
      <c r="J54" s="17" t="n"/>
      <c r="K54" s="17" t="n"/>
    </row>
    <row r="55">
      <c r="A55" s="16" t="n"/>
      <c r="B55" s="17" t="n"/>
      <c r="C55" s="17" t="n"/>
      <c r="D55" s="17" t="n"/>
      <c r="E55" s="17" t="n"/>
      <c r="F55" s="17" t="n"/>
      <c r="G55" s="17" t="n"/>
      <c r="H55" s="17" t="n"/>
      <c r="I55" s="17" t="n"/>
      <c r="J55" s="17" t="n"/>
      <c r="K55" s="17" t="n"/>
    </row>
    <row r="56">
      <c r="A56" s="16" t="n"/>
      <c r="B56" s="17" t="n"/>
      <c r="C56" s="17" t="n"/>
      <c r="D56" s="17" t="n"/>
      <c r="E56" s="17" t="n"/>
      <c r="F56" s="17" t="n"/>
      <c r="G56" s="17" t="n"/>
      <c r="H56" s="17" t="n"/>
      <c r="I56" s="17" t="n"/>
      <c r="J56" s="17" t="n"/>
      <c r="K56" s="17" t="n"/>
    </row>
    <row r="57">
      <c r="A57" s="16" t="n"/>
      <c r="B57" s="17" t="n"/>
      <c r="C57" s="17" t="n"/>
      <c r="D57" s="17" t="n"/>
      <c r="E57" s="17" t="n"/>
      <c r="F57" s="17" t="n"/>
      <c r="G57" s="17" t="n"/>
      <c r="H57" s="17" t="n"/>
      <c r="I57" s="17" t="n"/>
      <c r="J57" s="17" t="n"/>
      <c r="K57" s="17" t="n"/>
    </row>
    <row r="58">
      <c r="A58" s="16" t="n"/>
      <c r="B58" s="17" t="n"/>
      <c r="C58" s="17" t="n"/>
      <c r="D58" s="17" t="n"/>
      <c r="E58" s="17" t="n"/>
      <c r="F58" s="17" t="n"/>
      <c r="G58" s="17" t="n"/>
      <c r="H58" s="17" t="n"/>
      <c r="I58" s="17" t="n"/>
      <c r="J58" s="17" t="n"/>
      <c r="K58" s="17" t="n"/>
    </row>
    <row r="59">
      <c r="A59" s="16" t="n"/>
      <c r="B59" s="17" t="n"/>
      <c r="C59" s="17" t="n"/>
      <c r="D59" s="17" t="n"/>
      <c r="E59" s="17" t="n"/>
      <c r="F59" s="17" t="n"/>
      <c r="G59" s="17" t="n"/>
      <c r="H59" s="17" t="n"/>
      <c r="I59" s="17" t="n"/>
      <c r="J59" s="17" t="n"/>
      <c r="K59" s="17" t="n"/>
    </row>
    <row r="60">
      <c r="A60" s="16" t="n"/>
      <c r="B60" s="17" t="n"/>
      <c r="C60" s="17" t="n"/>
      <c r="D60" s="17" t="n"/>
      <c r="E60" s="17" t="n"/>
      <c r="F60" s="17" t="n"/>
      <c r="G60" s="17" t="n"/>
      <c r="H60" s="17" t="n"/>
      <c r="I60" s="17" t="n"/>
      <c r="J60" s="17" t="n"/>
      <c r="K60" s="17" t="n"/>
    </row>
    <row r="61">
      <c r="A61" s="16" t="n"/>
      <c r="B61" s="17" t="n"/>
      <c r="C61" s="17" t="n"/>
      <c r="D61" s="17" t="n"/>
      <c r="E61" s="17" t="n"/>
      <c r="F61" s="17" t="n"/>
      <c r="G61" s="17" t="n"/>
      <c r="H61" s="17" t="n"/>
      <c r="I61" s="17" t="n"/>
      <c r="J61" s="17" t="n"/>
      <c r="K61" s="17" t="n"/>
    </row>
    <row r="62">
      <c r="A62" s="16" t="n"/>
      <c r="B62" s="17" t="n"/>
      <c r="C62" s="17" t="n"/>
      <c r="D62" s="17" t="n"/>
      <c r="E62" s="17" t="n"/>
      <c r="F62" s="17" t="n"/>
      <c r="G62" s="17" t="n"/>
      <c r="H62" s="17" t="n"/>
      <c r="I62" s="17" t="n"/>
      <c r="J62" s="17" t="n"/>
      <c r="K62" s="17" t="n"/>
    </row>
    <row r="63">
      <c r="A63" s="16" t="n"/>
      <c r="B63" s="17" t="n"/>
      <c r="C63" s="17" t="n"/>
      <c r="D63" s="17" t="n"/>
      <c r="E63" s="17" t="n"/>
      <c r="F63" s="17" t="n"/>
      <c r="G63" s="17" t="n"/>
      <c r="H63" s="17" t="n"/>
      <c r="I63" s="17" t="n"/>
      <c r="J63" s="17" t="n"/>
      <c r="K63" s="17" t="n"/>
    </row>
  </sheetData>
  <mergeCells count="2">
    <mergeCell ref="A2:K2"/>
    <mergeCell ref="A1:K1"/>
  </mergeCells>
  <dataValidations count="4">
    <dataValidation sqref="C14 C15 C16 C17 C18 C19 C20 C21 C22 C23 C24 C25 C26 C27 C28 C29 C30 C31 C32 C33 C34 C35 C36 C37 C38 C39 C40 C41 C42 C43 C44 C45 C46 C47 C48 C49 C50 C51 C52 C53 C54 C55 C56 C57 C58 C59 C60 C61 C62 C63" showDropDown="0" showInputMessage="0" showErrorMessage="0" allowBlank="0" type="list">
      <formula1>"Access Control,Data Encryption,Logging,Network Security,Backup Protection,Endpoint Security,Physical Security,Other"</formula1>
    </dataValidation>
    <dataValidation sqref="E14 E15 E16 E17 E18 E19 E20 E21 E22 E23 E24 E25 E26 E27 E28 E29 E30 E31 E32 E33 E34 E35 E36 E37 E38 E39 E40 E41 E42 E43 E44 E45 E46 E47 E48 E49 E50 E51 E52 E53 E54 E55 E56 E57 E58 E59 E60 E61 E62 E63" showDropDown="0" showInputMessage="0" showErrorMessage="0" allowBlank="0" type="list">
      <formula1>"Operational,Partial,Not Applicable"</formula1>
    </dataValidation>
    <dataValidation sqref="F14 F15 F16 F17 F18 F19 F20 F21 F22 F23 F24 F25 F26 F27 F28 F29 F30 F31 F32 F33 F34 F35 F36 F37 F38 F39 F40 F41 F42 F43 F44 F45 F46 F47 F48 F49 F50 F51 F52 F53 F54 F55 F56 F57 F58 F59 F60 F61 F62 F63" showDropDown="0" showInputMessage="0" showErrorMessage="0" allowBlank="0" type="list">
      <formula1>"Non-Negotiable,Degradable,Deferrable,Not Applicable"</formula1>
    </dataValidation>
    <dataValidation sqref="G14 G15 G16 G17 G18 G19 G20 G21 G22 G23 G24 G25 G26 G27 G28 G29 G30 G31 G32 G33 G34 G35 G36 G37 G38 G39 G40 G41 G42 G43 G44 G45 G46 G47 G48 G49 G50 G51 G52 G53 G54 G55 G56 G57 G58 G59 G60 G61 G62 G63" showDropDown="0" showInputMessage="0" showErrorMessage="0" allowBlank="0"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9"/>
  <sheetViews>
    <sheetView showGridLines="0" workbookViewId="0">
      <pane ySplit="3" topLeftCell="A4" activePane="bottomLeft" state="frozen"/>
      <selection pane="bottomLeft" activeCell="A1" sqref="A1"/>
    </sheetView>
  </sheetViews>
  <sheetFormatPr baseColWidth="8" defaultRowHeight="15"/>
  <cols>
    <col width="15" customWidth="1" min="1" max="1"/>
    <col width="35" customWidth="1" min="2" max="2"/>
    <col width="20" customWidth="1" min="3" max="3"/>
    <col width="45" customWidth="1" min="4" max="4"/>
    <col width="45" customWidth="1" min="5" max="5"/>
    <col width="45" customWidth="1" min="6" max="6"/>
    <col width="15" customWidth="1" min="7" max="7"/>
    <col width="25" customWidth="1" min="8" max="8"/>
    <col width="16" customWidth="1" min="9" max="9"/>
  </cols>
  <sheetData>
    <row r="1" ht="35" customHeight="1">
      <c r="A1" s="11" t="inlineStr">
        <is>
          <t>MINIMUM SECURITY BASELINE</t>
        </is>
      </c>
    </row>
    <row r="2">
      <c r="A2" s="12" t="inlineStr">
        <is>
          <t>Non-negotiable security controls that must be maintained at all times during any disruption</t>
        </is>
      </c>
    </row>
    <row r="3">
      <c r="A3" s="13" t="inlineStr">
        <is>
          <t>Control_ID</t>
        </is>
      </c>
      <c r="B3" s="13" t="inlineStr">
        <is>
          <t>Control_Name</t>
        </is>
      </c>
      <c r="C3" s="13" t="inlineStr">
        <is>
          <t>Category</t>
        </is>
      </c>
      <c r="D3" s="13" t="inlineStr">
        <is>
          <t>Minimum_Requirement</t>
        </is>
      </c>
      <c r="E3" s="13" t="inlineStr">
        <is>
          <t>Rationale</t>
        </is>
      </c>
      <c r="F3" s="13" t="inlineStr">
        <is>
          <t>Never_Acceptable_Actions</t>
        </is>
      </c>
      <c r="G3" s="13" t="inlineStr">
        <is>
          <t>Approval_Status</t>
        </is>
      </c>
      <c r="H3" s="13" t="inlineStr">
        <is>
          <t>Approved_By</t>
        </is>
      </c>
      <c r="I3" s="13" t="inlineStr">
        <is>
          <t>Approval_Date</t>
        </is>
      </c>
    </row>
    <row r="4">
      <c r="A4" s="18" t="inlineStr">
        <is>
          <t>SC-002</t>
        </is>
      </c>
      <c r="B4" s="18" t="inlineStr">
        <is>
          <t>Role-Based Access Control</t>
        </is>
      </c>
      <c r="C4" s="18" t="inlineStr">
        <is>
          <t>Access Control</t>
        </is>
      </c>
      <c r="D4" s="18" t="inlineStr">
        <is>
          <t>Authentication required for all system access</t>
        </is>
      </c>
      <c r="E4" s="18" t="inlineStr">
        <is>
          <t>Prevents unauthorised access during chaos</t>
        </is>
      </c>
      <c r="F4" s="18" t="inlineStr">
        <is>
          <t>Removal of authentication requirements</t>
        </is>
      </c>
      <c r="G4" s="14" t="n"/>
      <c r="H4" s="14" t="n"/>
      <c r="I4" s="14" t="n"/>
    </row>
    <row r="5">
      <c r="A5" s="18" t="inlineStr">
        <is>
          <t>SC-004</t>
        </is>
      </c>
      <c r="B5" s="18" t="inlineStr">
        <is>
          <t>Data Encryption at Rest</t>
        </is>
      </c>
      <c r="C5" s="18" t="inlineStr">
        <is>
          <t>Data Encryption</t>
        </is>
      </c>
      <c r="D5" s="18" t="inlineStr">
        <is>
          <t>Encryption at rest for confidential+ data</t>
        </is>
      </c>
      <c r="E5" s="18" t="inlineStr">
        <is>
          <t>Data remains protected if media lost</t>
        </is>
      </c>
      <c r="F5" s="18" t="inlineStr">
        <is>
          <t>Decryption of data without re-encryption</t>
        </is>
      </c>
      <c r="G5" s="14" t="n"/>
      <c r="H5" s="14" t="n"/>
      <c r="I5" s="14" t="n"/>
    </row>
    <row r="6">
      <c r="A6" s="18" t="inlineStr">
        <is>
          <t>SC-006</t>
        </is>
      </c>
      <c r="B6" s="18" t="inlineStr">
        <is>
          <t>Security Event Logging</t>
        </is>
      </c>
      <c r="C6" s="18" t="inlineStr">
        <is>
          <t>Logging</t>
        </is>
      </c>
      <c r="D6" s="18" t="inlineStr">
        <is>
          <t>Critical system logging continues</t>
        </is>
      </c>
      <c r="E6" s="18" t="inlineStr">
        <is>
          <t>Audit trail for post-incident investigation</t>
        </is>
      </c>
      <c r="F6" s="18" t="inlineStr">
        <is>
          <t>Disabled logging on critical systems</t>
        </is>
      </c>
      <c r="G6" s="14" t="n"/>
      <c r="H6" s="14" t="n"/>
      <c r="I6" s="14" t="n"/>
    </row>
    <row r="7">
      <c r="A7" s="18" t="inlineStr">
        <is>
          <t>SC-008</t>
        </is>
      </c>
      <c r="B7" s="18" t="inlineStr">
        <is>
          <t>Firewall Protection</t>
        </is>
      </c>
      <c r="C7" s="18" t="inlineStr">
        <is>
          <t>Network Security</t>
        </is>
      </c>
      <c r="D7" s="18" t="inlineStr">
        <is>
          <t>Critical network boundaries maintained</t>
        </is>
      </c>
      <c r="E7" s="18" t="inlineStr">
        <is>
          <t>Prevents lateral movement during recovery</t>
        </is>
      </c>
      <c r="F7" s="18" t="inlineStr">
        <is>
          <t>Disabling of network security controls</t>
        </is>
      </c>
      <c r="G7" s="14" t="n"/>
      <c r="H7" s="14" t="n"/>
      <c r="I7" s="14" t="n"/>
    </row>
    <row r="8">
      <c r="A8" s="18" t="inlineStr">
        <is>
          <t>SC-011</t>
        </is>
      </c>
      <c r="B8" s="18" t="inlineStr">
        <is>
          <t>Backup Encryption</t>
        </is>
      </c>
      <c r="C8" s="18" t="inlineStr">
        <is>
          <t>Backup Protection</t>
        </is>
      </c>
      <c r="D8" s="18" t="inlineStr">
        <is>
          <t>Backups remain encrypted and access-controlled</t>
        </is>
      </c>
      <c r="E8" s="18" t="inlineStr">
        <is>
          <t>Prevents backup compromise for data theft</t>
        </is>
      </c>
      <c r="F8" s="18" t="inlineStr">
        <is>
          <t>Sharing of privileged credentials without accountability</t>
        </is>
      </c>
      <c r="G8" s="14" t="n"/>
      <c r="H8" s="14" t="n"/>
      <c r="I8" s="14" t="n"/>
    </row>
    <row r="9">
      <c r="A9" s="15" t="inlineStr">
        <is>
          <t>SC-012</t>
        </is>
      </c>
      <c r="B9" s="15" t="inlineStr">
        <is>
          <t>Endpoint Detection &amp; Response</t>
        </is>
      </c>
      <c r="C9" s="15" t="inlineStr">
        <is>
          <t>Endpoint Security</t>
        </is>
      </c>
      <c r="D9" s="15" t="inlineStr">
        <is>
          <t>EDR must remain active on all critical servers</t>
        </is>
      </c>
      <c r="E9" s="15" t="inlineStr">
        <is>
          <t>Enables detection of threats exploiting disruption window</t>
        </is>
      </c>
      <c r="F9" s="15" t="inlineStr">
        <is>
          <t>Disabling EDR without written CISO approval</t>
        </is>
      </c>
      <c r="G9" s="15" t="inlineStr">
        <is>
          <t>Pending</t>
        </is>
      </c>
      <c r="H9" s="15" t="inlineStr">
        <is>
          <t>CISO</t>
        </is>
      </c>
      <c r="I9" s="15" t="inlineStr">
        <is>
          <t>23.02.2026</t>
        </is>
      </c>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row r="56">
      <c r="A56" s="16" t="n"/>
      <c r="B56" s="16" t="n"/>
      <c r="C56" s="16" t="n"/>
      <c r="D56" s="16" t="n"/>
      <c r="E56" s="16" t="n"/>
      <c r="F56" s="16" t="n"/>
      <c r="G56" s="16" t="n"/>
      <c r="H56" s="16" t="n"/>
      <c r="I56" s="16" t="n"/>
    </row>
    <row r="57">
      <c r="A57" s="16" t="n"/>
      <c r="B57" s="16" t="n"/>
      <c r="C57" s="16" t="n"/>
      <c r="D57" s="16" t="n"/>
      <c r="E57" s="16" t="n"/>
      <c r="F57" s="16" t="n"/>
      <c r="G57" s="16" t="n"/>
      <c r="H57" s="16" t="n"/>
      <c r="I57" s="16" t="n"/>
    </row>
    <row r="58">
      <c r="A58" s="16" t="n"/>
      <c r="B58" s="16" t="n"/>
      <c r="C58" s="16" t="n"/>
      <c r="D58" s="16" t="n"/>
      <c r="E58" s="16" t="n"/>
      <c r="F58" s="16" t="n"/>
      <c r="G58" s="16" t="n"/>
      <c r="H58" s="16" t="n"/>
      <c r="I58" s="16" t="n"/>
    </row>
    <row r="59">
      <c r="A59" s="16" t="n"/>
      <c r="B59" s="16" t="n"/>
      <c r="C59" s="16" t="n"/>
      <c r="D59" s="16" t="n"/>
      <c r="E59" s="16" t="n"/>
      <c r="F59" s="16" t="n"/>
      <c r="G59" s="16" t="n"/>
      <c r="H59" s="16" t="n"/>
      <c r="I59" s="16" t="n"/>
    </row>
  </sheetData>
  <mergeCells count="2">
    <mergeCell ref="A1:I1"/>
    <mergeCell ref="A2:I2"/>
  </mergeCells>
  <dataValidations count="1">
    <dataValidation sqref="G10 G11 G12 G13 G14 G15 G16 G17 G18 G19 G20 G21 G22 G23 G24 G25 G26 G27 G28 G29 G30 G31 G32 G33 G34 G35 G36 G37 G38 G39 G40 G41 G42 G43 G44 G45 G46 G47 G48 G49 G50 G51 G52 G53 G54 G55 G56 G57 G58 G59" showDropDown="0" showInputMessage="0" showErrorMessage="0" allowBlank="0" type="list">
      <formula1>"Pending,Approved,Rejected"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5" customWidth="1" min="1" max="1"/>
    <col width="40" customWidth="1" min="2" max="2"/>
    <col width="40" customWidth="1" min="3" max="3"/>
    <col width="35" customWidth="1" min="4" max="4"/>
    <col width="35" customWidth="1" min="5" max="5"/>
    <col width="25" customWidth="1" min="6" max="6"/>
    <col width="30" customWidth="1" min="7" max="7"/>
    <col width="35" customWidth="1" min="8" max="8"/>
    <col width="40" customWidth="1" min="9" max="9"/>
  </cols>
  <sheetData>
    <row r="1" ht="35" customHeight="1">
      <c r="A1" s="11" t="inlineStr">
        <is>
          <t>SECURITY POSTURE LEVELS</t>
        </is>
      </c>
    </row>
    <row r="3">
      <c r="A3" s="13" t="inlineStr">
        <is>
          <t>Posture_Level</t>
        </is>
      </c>
      <c r="B3" s="13" t="inlineStr">
        <is>
          <t>Description</t>
        </is>
      </c>
      <c r="C3" s="13" t="inlineStr">
        <is>
          <t>Trigger_Conditions</t>
        </is>
      </c>
      <c r="D3" s="13" t="inlineStr">
        <is>
          <t>Control_Status</t>
        </is>
      </c>
      <c r="E3" s="13" t="inlineStr">
        <is>
          <t>Monitoring_Enhancement</t>
        </is>
      </c>
      <c r="F3" s="13" t="inlineStr">
        <is>
          <t>Transition_To</t>
        </is>
      </c>
      <c r="G3" s="13" t="inlineStr">
        <is>
          <t>Transition_Authority</t>
        </is>
      </c>
      <c r="H3" s="13" t="inlineStr">
        <is>
          <t>Documentation_Required</t>
        </is>
      </c>
      <c r="I3" s="13" t="inlineStr">
        <is>
          <t>Example_Scenario</t>
        </is>
      </c>
    </row>
    <row r="4">
      <c r="A4" s="19" t="inlineStr">
        <is>
          <t>Normal</t>
        </is>
      </c>
      <c r="B4" s="19" t="inlineStr">
        <is>
          <t>Full security controls operational</t>
        </is>
      </c>
      <c r="C4" s="19" t="inlineStr">
        <is>
          <t>No disruption</t>
        </is>
      </c>
      <c r="D4" s="19" t="inlineStr">
        <is>
          <t>All controls at 100%</t>
        </is>
      </c>
      <c r="E4" s="19" t="inlineStr">
        <is>
          <t>Standard monitoring</t>
        </is>
      </c>
      <c r="F4" s="19" t="inlineStr">
        <is>
          <t>Elevated</t>
        </is>
      </c>
      <c r="G4" s="19" t="inlineStr">
        <is>
          <t>N/A (default state)</t>
        </is>
      </c>
      <c r="H4" s="19" t="inlineStr">
        <is>
          <t>None</t>
        </is>
      </c>
      <c r="I4" s="19" t="inlineStr">
        <is>
          <t>Day-to-day operations</t>
        </is>
      </c>
    </row>
    <row r="5">
      <c r="A5" s="19" t="inlineStr">
        <is>
          <t>Elevated</t>
        </is>
      </c>
      <c r="B5" s="19" t="inlineStr">
        <is>
          <t>Enhanced monitoring, accelerated patching</t>
        </is>
      </c>
      <c r="C5" s="19" t="inlineStr">
        <is>
          <t>Minor disruption detected</t>
        </is>
      </c>
      <c r="D5" s="19" t="inlineStr">
        <is>
          <t>All controls operational, enhanced vigilance</t>
        </is>
      </c>
      <c r="E5" s="19" t="inlineStr">
        <is>
          <t>Increased log review frequency, lowered alert thresholds</t>
        </is>
      </c>
      <c r="F5" s="19" t="inlineStr">
        <is>
          <t>Normal, Degraded</t>
        </is>
      </c>
      <c r="G5" s="19" t="inlineStr">
        <is>
          <t>CISO or Security Team Lead</t>
        </is>
      </c>
      <c r="H5" s="19" t="inlineStr">
        <is>
          <t>Incident ticket</t>
        </is>
      </c>
      <c r="I5" s="19" t="inlineStr">
        <is>
          <t>Single system failure, minor security incident</t>
        </is>
      </c>
    </row>
    <row r="6">
      <c r="A6" s="19" t="inlineStr">
        <is>
          <t>Degraded</t>
        </is>
      </c>
      <c r="B6" s="19" t="inlineStr">
        <is>
          <t>Core controls maintained, non-critical deferred</t>
        </is>
      </c>
      <c r="C6" s="19" t="inlineStr">
        <is>
          <t>Moderate disruption</t>
        </is>
      </c>
      <c r="D6" s="19" t="inlineStr">
        <is>
          <t>Essential controls only, some relaxations</t>
        </is>
      </c>
      <c r="E6" s="19" t="inlineStr">
        <is>
          <t>24/7 security monitoring, external threat intel</t>
        </is>
      </c>
      <c r="F6" s="19" t="inlineStr">
        <is>
          <t>Elevated, Emergency</t>
        </is>
      </c>
      <c r="G6" s="19" t="inlineStr">
        <is>
          <t>CISO + CIO</t>
        </is>
      </c>
      <c r="H6" s="19" t="inlineStr">
        <is>
          <t>Formal notification to Executive Management</t>
        </is>
      </c>
      <c r="I6" s="19" t="inlineStr">
        <is>
          <t>Data centre failover, regional outage</t>
        </is>
      </c>
    </row>
    <row r="7">
      <c r="A7" s="19" t="inlineStr">
        <is>
          <t>Emergency</t>
        </is>
      </c>
      <c r="B7" s="19" t="inlineStr">
        <is>
          <t>Minimum baseline only, survival mode</t>
        </is>
      </c>
      <c r="C7" s="19" t="inlineStr">
        <is>
          <t>Severe disruption</t>
        </is>
      </c>
      <c r="D7" s="19" t="inlineStr">
        <is>
          <t>Minimum baseline controls only</t>
        </is>
      </c>
      <c r="E7" s="19" t="inlineStr">
        <is>
          <t>Real-time monitoring of critical systems, threat hunting</t>
        </is>
      </c>
      <c r="F7" s="19" t="inlineStr">
        <is>
          <t>Degraded, Recovery</t>
        </is>
      </c>
      <c r="G7" s="19" t="inlineStr">
        <is>
          <t>Executive Management (CEO or delegate)</t>
        </is>
      </c>
      <c r="H7" s="19" t="inlineStr">
        <is>
          <t>Emergency declaration document</t>
        </is>
      </c>
      <c r="I7" s="19" t="inlineStr">
        <is>
          <t>Multiple site disaster, major cyber attack</t>
        </is>
      </c>
    </row>
    <row r="8">
      <c r="A8" s="19" t="inlineStr">
        <is>
          <t>Recovery</t>
        </is>
      </c>
      <c r="B8" s="19" t="inlineStr">
        <is>
          <t>Gradual restoration with security validation</t>
        </is>
      </c>
      <c r="C8" s="19" t="inlineStr">
        <is>
          <t>Returning to normal</t>
        </is>
      </c>
      <c r="D8" s="19" t="inlineStr">
        <is>
          <t>Phased control restoration</t>
        </is>
      </c>
      <c r="E8" s="19" t="inlineStr">
        <is>
          <t>Validation monitoring, anomaly detection</t>
        </is>
      </c>
      <c r="F8" s="19" t="inlineStr">
        <is>
          <t>Degraded, Normal</t>
        </is>
      </c>
      <c r="G8" s="19" t="inlineStr">
        <is>
          <t>CISO approval for each phase</t>
        </is>
      </c>
      <c r="H8" s="19" t="inlineStr">
        <is>
          <t>Phase completion checklist</t>
        </is>
      </c>
      <c r="I8" s="19" t="inlineStr">
        <is>
          <t>Post-disaster recovery phase</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9"/>
  <sheetViews>
    <sheetView showGridLines="0" workbookViewId="0">
      <pane ySplit="3" topLeftCell="A4" activePane="bottomLeft" state="frozen"/>
      <selection pane="bottomLeft" activeCell="A1" sqref="A1"/>
    </sheetView>
  </sheetViews>
  <sheetFormatPr baseColWidth="8" defaultRowHeight="15"/>
  <cols>
    <col width="15" customWidth="1" min="1" max="1"/>
    <col width="18" customWidth="1" min="2" max="2"/>
    <col width="30" customWidth="1" min="3" max="3"/>
    <col width="45" customWidth="1" min="4" max="4"/>
    <col width="15" customWidth="1" min="5" max="5"/>
    <col width="40" customWidth="1" min="6" max="6"/>
    <col width="35" customWidth="1" min="7" max="7"/>
    <col width="20" customWidth="1" min="8" max="8"/>
    <col width="15" customWidth="1" min="9" max="9"/>
    <col width="16" customWidth="1" min="10" max="10"/>
    <col width="40" customWidth="1" min="11" max="11"/>
  </cols>
  <sheetData>
    <row r="1" ht="35" customHeight="1">
      <c r="A1" s="11" t="inlineStr">
        <is>
          <t>COMPENSATING CONTROLS</t>
        </is>
      </c>
    </row>
    <row r="2">
      <c r="A2" s="12" t="inlineStr">
        <is>
          <t>Alternative security measures to apply when primary controls cannot be maintained during disruption</t>
        </is>
      </c>
    </row>
    <row r="3">
      <c r="A3" s="13" t="inlineStr">
        <is>
          <t>Compensating_ID</t>
        </is>
      </c>
      <c r="B3" s="13" t="inlineStr">
        <is>
          <t>Primary_Control_ID</t>
        </is>
      </c>
      <c r="C3" s="13" t="inlineStr">
        <is>
          <t>Primary_Control_Name</t>
        </is>
      </c>
      <c r="D3" s="13" t="inlineStr">
        <is>
          <t>Compensating_Measure</t>
        </is>
      </c>
      <c r="E3" s="13" t="inlineStr">
        <is>
          <t>Effectiveness</t>
        </is>
      </c>
      <c r="F3" s="13" t="inlineStr">
        <is>
          <t>Implementation_Requirements</t>
        </is>
      </c>
      <c r="G3" s="13" t="inlineStr">
        <is>
          <t>Activation_Trigger</t>
        </is>
      </c>
      <c r="H3" s="13" t="inlineStr">
        <is>
          <t>Duration_Limit</t>
        </is>
      </c>
      <c r="I3" s="13" t="inlineStr">
        <is>
          <t>Test_Status</t>
        </is>
      </c>
      <c r="J3" s="13" t="inlineStr">
        <is>
          <t>Last_Test_Date</t>
        </is>
      </c>
      <c r="K3" s="13" t="inlineStr">
        <is>
          <t>Test_Results</t>
        </is>
      </c>
    </row>
    <row r="4">
      <c r="A4" s="14" t="inlineStr">
        <is>
          <t>CC-001</t>
        </is>
      </c>
      <c r="B4" s="14" t="inlineStr">
        <is>
          <t>SC-001</t>
        </is>
      </c>
      <c r="C4" s="14" t="inlineStr">
        <is>
          <t>Multi-Factor Authentication</t>
        </is>
      </c>
      <c r="D4" s="18" t="inlineStr">
        <is>
          <t>Enhanced logging, session limits, IP restrictions</t>
        </is>
      </c>
      <c r="E4" s="14" t="inlineStr">
        <is>
          <t>Partial</t>
        </is>
      </c>
      <c r="F4" s="18" t="inlineStr">
        <is>
          <t>SOC to enable enhanced monitoring, IT to apply session limits</t>
        </is>
      </c>
      <c r="G4" s="18" t="inlineStr">
        <is>
          <t>MFA infrastructure unavailable</t>
        </is>
      </c>
      <c r="H4" s="14" t="inlineStr">
        <is>
          <t>72 hours</t>
        </is>
      </c>
      <c r="I4" s="14" t="inlineStr">
        <is>
          <t>Tested</t>
        </is>
      </c>
      <c r="J4" s="14" t="inlineStr"/>
      <c r="K4" s="18" t="inlineStr">
        <is>
          <t>Effective during Q3 drill</t>
        </is>
      </c>
    </row>
    <row r="5">
      <c r="A5" s="14" t="inlineStr">
        <is>
          <t>CC-002</t>
        </is>
      </c>
      <c r="B5" s="14" t="inlineStr">
        <is>
          <t>SC-007</t>
        </is>
      </c>
      <c r="C5" s="14" t="inlineStr">
        <is>
          <t>SIEM Correlation</t>
        </is>
      </c>
      <c r="D5" s="18" t="inlineStr">
        <is>
          <t>Manual log review for critical systems</t>
        </is>
      </c>
      <c r="E5" s="14" t="inlineStr">
        <is>
          <t>Partial</t>
        </is>
      </c>
      <c r="F5" s="18" t="inlineStr">
        <is>
          <t>Security team manual review every 4 hours</t>
        </is>
      </c>
      <c r="G5" s="18" t="inlineStr">
        <is>
          <t>SIEM platform unavailable</t>
        </is>
      </c>
      <c r="H5" s="14" t="inlineStr">
        <is>
          <t>48 hours</t>
        </is>
      </c>
      <c r="I5" s="14" t="inlineStr">
        <is>
          <t>Tested</t>
        </is>
      </c>
      <c r="J5" s="14" t="inlineStr"/>
      <c r="K5" s="18" t="inlineStr">
        <is>
          <t>Functional but resource-intensive</t>
        </is>
      </c>
    </row>
    <row r="6">
      <c r="A6" s="14" t="inlineStr">
        <is>
          <t>CC-003</t>
        </is>
      </c>
      <c r="B6" s="14" t="inlineStr">
        <is>
          <t>SC-010</t>
        </is>
      </c>
      <c r="C6" s="14" t="inlineStr">
        <is>
          <t>IDS/IPS</t>
        </is>
      </c>
      <c r="D6" s="18" t="inlineStr">
        <is>
          <t>Enhanced firewall logging, manual traffic analysis</t>
        </is>
      </c>
      <c r="E6" s="14" t="inlineStr">
        <is>
          <t>Partial</t>
        </is>
      </c>
      <c r="F6" s="18" t="inlineStr">
        <is>
          <t>Network team to review firewall logs hourly</t>
        </is>
      </c>
      <c r="G6" s="18" t="inlineStr">
        <is>
          <t>IDS/IPS system failure</t>
        </is>
      </c>
      <c r="H6" s="14" t="inlineStr">
        <is>
          <t>24 hours</t>
        </is>
      </c>
      <c r="I6" s="14" t="inlineStr">
        <is>
          <t>Tested</t>
        </is>
      </c>
      <c r="J6" s="14" t="inlineStr"/>
      <c r="K6" s="18" t="inlineStr">
        <is>
          <t>Acceptable for short duration</t>
        </is>
      </c>
    </row>
    <row r="7">
      <c r="A7" s="14" t="inlineStr">
        <is>
          <t>CC-004</t>
        </is>
      </c>
      <c r="B7" s="14" t="inlineStr">
        <is>
          <t>SC-012</t>
        </is>
      </c>
      <c r="C7" s="14" t="inlineStr">
        <is>
          <t>EDR</t>
        </is>
      </c>
      <c r="D7" s="18" t="inlineStr">
        <is>
          <t>Increased antimalware scans, manual endpoint review</t>
        </is>
      </c>
      <c r="E7" s="14" t="inlineStr">
        <is>
          <t>Partial</t>
        </is>
      </c>
      <c r="F7" s="18" t="inlineStr">
        <is>
          <t>IT to run full scans twice daily</t>
        </is>
      </c>
      <c r="G7" s="18" t="inlineStr">
        <is>
          <t>EDR platform unavailable</t>
        </is>
      </c>
      <c r="H7" s="14" t="inlineStr">
        <is>
          <t>48 hours</t>
        </is>
      </c>
      <c r="I7" s="14" t="inlineStr">
        <is>
          <t>Untested</t>
        </is>
      </c>
      <c r="J7" s="14" t="inlineStr"/>
      <c r="K7" s="18" t="inlineStr"/>
    </row>
    <row r="8">
      <c r="A8" s="14" t="inlineStr">
        <is>
          <t>CC-005</t>
        </is>
      </c>
      <c r="B8" s="14" t="inlineStr">
        <is>
          <t>SC-014</t>
        </is>
      </c>
      <c r="C8" s="14" t="inlineStr">
        <is>
          <t>Patch Management</t>
        </is>
      </c>
      <c r="D8" s="18" t="inlineStr">
        <is>
          <t>Critical patches only, manual review process</t>
        </is>
      </c>
      <c r="E8" s="14" t="inlineStr">
        <is>
          <t>Partial</t>
        </is>
      </c>
      <c r="F8" s="18" t="inlineStr">
        <is>
          <t>Security team manual patch review</t>
        </is>
      </c>
      <c r="G8" s="18" t="inlineStr">
        <is>
          <t>Patch management system unavailable</t>
        </is>
      </c>
      <c r="H8" s="14" t="inlineStr">
        <is>
          <t>30 days for non-critical</t>
        </is>
      </c>
      <c r="I8" s="14" t="inlineStr">
        <is>
          <t>Tested</t>
        </is>
      </c>
      <c r="J8" s="14" t="inlineStr"/>
      <c r="K8" s="18" t="inlineStr">
        <is>
          <t>Used during system upgrade</t>
        </is>
      </c>
    </row>
    <row r="9">
      <c r="A9" s="15" t="inlineStr">
        <is>
          <t>CC-006</t>
        </is>
      </c>
      <c r="B9" s="15" t="inlineStr">
        <is>
          <t>SC-009</t>
        </is>
      </c>
      <c r="C9" s="15" t="inlineStr">
        <is>
          <t>Network Segmentation</t>
        </is>
      </c>
      <c r="D9" s="15" t="inlineStr">
        <is>
          <t>Enhanced firewall ACLs and manual traffic monitoring</t>
        </is>
      </c>
      <c r="E9" s="15" t="inlineStr">
        <is>
          <t>Partial</t>
        </is>
      </c>
      <c r="F9" s="15" t="inlineStr">
        <is>
          <t>Network team to apply ACL rules and review traffic logs hourly</t>
        </is>
      </c>
      <c r="G9" s="15" t="inlineStr">
        <is>
          <t>Emergency connectivity requirement</t>
        </is>
      </c>
      <c r="H9" s="15" t="inlineStr">
        <is>
          <t>24 hours</t>
        </is>
      </c>
      <c r="I9" s="15" t="inlineStr">
        <is>
          <t>Tested</t>
        </is>
      </c>
      <c r="J9" s="15" t="inlineStr">
        <is>
          <t>15.01.2026</t>
        </is>
      </c>
      <c r="K9" s="15" t="inlineStr">
        <is>
          <t>Effective for short duration outages</t>
        </is>
      </c>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5">
      <c r="A55" s="16" t="n"/>
      <c r="B55" s="16" t="n"/>
      <c r="C55" s="16" t="n"/>
      <c r="D55" s="16" t="n"/>
      <c r="E55" s="16" t="n"/>
      <c r="F55" s="16" t="n"/>
      <c r="G55" s="16" t="n"/>
      <c r="H55" s="16" t="n"/>
      <c r="I55" s="16" t="n"/>
      <c r="J55" s="16" t="n"/>
      <c r="K55" s="16" t="n"/>
    </row>
    <row r="56">
      <c r="A56" s="16" t="n"/>
      <c r="B56" s="16" t="n"/>
      <c r="C56" s="16" t="n"/>
      <c r="D56" s="16" t="n"/>
      <c r="E56" s="16" t="n"/>
      <c r="F56" s="16" t="n"/>
      <c r="G56" s="16" t="n"/>
      <c r="H56" s="16" t="n"/>
      <c r="I56" s="16" t="n"/>
      <c r="J56" s="16" t="n"/>
      <c r="K56" s="16" t="n"/>
    </row>
    <row r="57">
      <c r="A57" s="16" t="n"/>
      <c r="B57" s="16" t="n"/>
      <c r="C57" s="16" t="n"/>
      <c r="D57" s="16" t="n"/>
      <c r="E57" s="16" t="n"/>
      <c r="F57" s="16" t="n"/>
      <c r="G57" s="16" t="n"/>
      <c r="H57" s="16" t="n"/>
      <c r="I57" s="16" t="n"/>
      <c r="J57" s="16" t="n"/>
      <c r="K57" s="16" t="n"/>
    </row>
    <row r="58">
      <c r="A58" s="16" t="n"/>
      <c r="B58" s="16" t="n"/>
      <c r="C58" s="16" t="n"/>
      <c r="D58" s="16" t="n"/>
      <c r="E58" s="16" t="n"/>
      <c r="F58" s="16" t="n"/>
      <c r="G58" s="16" t="n"/>
      <c r="H58" s="16" t="n"/>
      <c r="I58" s="16" t="n"/>
      <c r="J58" s="16" t="n"/>
      <c r="K58" s="16" t="n"/>
    </row>
    <row r="59">
      <c r="A59" s="16" t="n"/>
      <c r="B59" s="16" t="n"/>
      <c r="C59" s="16" t="n"/>
      <c r="D59" s="16" t="n"/>
      <c r="E59" s="16" t="n"/>
      <c r="F59" s="16" t="n"/>
      <c r="G59" s="16" t="n"/>
      <c r="H59" s="16" t="n"/>
      <c r="I59" s="16" t="n"/>
      <c r="J59" s="16" t="n"/>
      <c r="K59" s="16" t="n"/>
    </row>
  </sheetData>
  <mergeCells count="2">
    <mergeCell ref="A2:K2"/>
    <mergeCell ref="A1:K1"/>
  </mergeCells>
  <dataValidations count="2">
    <dataValidation sqref="E4 E5 E6 E7 E8 E10 E11 E12 E13 E14 E15 E16 E17 E18 E19 E20 E21 E22 E23 E24 E25 E26 E27 E28 E29 E30 E31 E32 E33 E34 E35 E36 E37 E38 E39 E40 E41 E42 E43 E44 E45 E46 E47 E48 E49 E50 E51 E52 E53 E54 E55 E56 E57 E58 E59" showDropDown="0" showInputMessage="0" showErrorMessage="0" allowBlank="0" type="list">
      <formula1>"Full,Partial,Minimal"</formula1>
    </dataValidation>
    <dataValidation sqref="I4 I5 I6 I7 I8 I10 I11 I12 I13 I14 I15 I16 I17 I18 I19 I20 I21 I22 I23 I24 I25 I26 I27 I28 I29 I30 I31 I32 I33 I34 I35 I36 I37 I38 I39 I40 I41 I42 I43 I44 I45 I46 I47 I48 I49 I50 I51 I52 I53 I54 I55 I56 I57 I58 I59" showDropDown="0" showInputMessage="0" showErrorMessage="0" allowBlank="0" type="list">
      <formula1>"Tested,Untested,Failed"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5" customWidth="1" min="1" max="1"/>
    <col width="35" customWidth="1" min="2" max="2"/>
    <col width="20" customWidth="1" min="3" max="3"/>
    <col width="25" customWidth="1" min="4" max="4"/>
    <col width="18" customWidth="1" min="5" max="5"/>
    <col width="16" customWidth="1" min="6" max="6"/>
    <col width="18" customWidth="1" min="7" max="7"/>
    <col width="40" customWidth="1" min="8" max="8"/>
    <col width="18" customWidth="1" min="9" max="9"/>
    <col width="18" customWidth="1" min="10" max="10"/>
    <col width="16" customWidth="1" min="11" max="11"/>
  </cols>
  <sheetData>
    <row r="1" ht="35" customHeight="1">
      <c r="A1" s="11" t="inlineStr">
        <is>
          <t>BC/DR SECURITY REVIEW</t>
        </is>
      </c>
    </row>
    <row r="2">
      <c r="A2" s="12" t="inlineStr">
        <is>
          <t>Security review status of all BC/DR plans — confirms CISO approval and security section coverage</t>
        </is>
      </c>
    </row>
    <row r="3">
      <c r="A3" s="13" t="inlineStr">
        <is>
          <t>Plan_ID</t>
        </is>
      </c>
      <c r="B3" s="13" t="inlineStr">
        <is>
          <t>Plan_Name</t>
        </is>
      </c>
      <c r="C3" s="13" t="inlineStr">
        <is>
          <t>Plan_Type</t>
        </is>
      </c>
      <c r="D3" s="13" t="inlineStr">
        <is>
          <t>Plan_Owner</t>
        </is>
      </c>
      <c r="E3" s="13" t="inlineStr">
        <is>
          <t>Security_Section_Present</t>
        </is>
      </c>
      <c r="F3" s="13" t="inlineStr">
        <is>
          <t>CISO_Review_Date</t>
        </is>
      </c>
      <c r="G3" s="13" t="inlineStr">
        <is>
          <t>CISO_Approval_Status</t>
        </is>
      </c>
      <c r="H3" s="13" t="inlineStr">
        <is>
          <t>Gaps_Identified</t>
        </is>
      </c>
      <c r="I3" s="13" t="inlineStr">
        <is>
          <t>Remediation_Due_Date</t>
        </is>
      </c>
      <c r="J3" s="13" t="inlineStr">
        <is>
          <t>Remediation_Status</t>
        </is>
      </c>
      <c r="K3" s="13" t="inlineStr">
        <is>
          <t>Next_Review_Due</t>
        </is>
      </c>
    </row>
    <row r="4">
      <c r="A4" s="15" t="inlineStr">
        <is>
          <t>BCP-001</t>
        </is>
      </c>
      <c r="B4" s="15" t="inlineStr">
        <is>
          <t>Business Continuity Plan</t>
        </is>
      </c>
      <c r="C4" s="15" t="inlineStr">
        <is>
          <t>BCP</t>
        </is>
      </c>
      <c r="D4" s="15" t="inlineStr">
        <is>
          <t>CISO</t>
        </is>
      </c>
      <c r="E4" s="15" t="inlineStr">
        <is>
          <t>Yes</t>
        </is>
      </c>
      <c r="F4" s="15" t="inlineStr">
        <is>
          <t>23.02.2026</t>
        </is>
      </c>
      <c r="G4" s="15" t="inlineStr">
        <is>
          <t>Approved</t>
        </is>
      </c>
      <c r="H4" s="15" t="inlineStr">
        <is>
          <t>None identified</t>
        </is>
      </c>
      <c r="I4" s="15" t="inlineStr">
        <is>
          <t>30.06.2026</t>
        </is>
      </c>
      <c r="J4" s="15" t="inlineStr">
        <is>
          <t>Closed</t>
        </is>
      </c>
      <c r="K4" s="15" t="inlineStr">
        <is>
          <t>23.02.2027</t>
        </is>
      </c>
    </row>
    <row r="5">
      <c r="A5" s="16" t="n"/>
      <c r="B5" s="17" t="n"/>
      <c r="C5" s="17" t="n"/>
      <c r="D5" s="17" t="n"/>
      <c r="E5" s="17" t="n"/>
      <c r="F5" s="17" t="n"/>
      <c r="G5" s="17" t="n"/>
      <c r="H5" s="17" t="n"/>
      <c r="I5" s="17" t="n"/>
      <c r="J5" s="17" t="n"/>
      <c r="K5" s="17" t="n"/>
    </row>
    <row r="6">
      <c r="A6" s="16" t="n"/>
      <c r="B6" s="17" t="n"/>
      <c r="C6" s="17" t="n"/>
      <c r="D6" s="17" t="n"/>
      <c r="E6" s="17" t="n"/>
      <c r="F6" s="17" t="n"/>
      <c r="G6" s="17" t="n"/>
      <c r="H6" s="17" t="n"/>
      <c r="I6" s="17" t="n"/>
      <c r="J6" s="17" t="n"/>
      <c r="K6" s="17" t="n"/>
    </row>
    <row r="7">
      <c r="A7" s="16" t="n"/>
      <c r="B7" s="17" t="n"/>
      <c r="C7" s="17" t="n"/>
      <c r="D7" s="17" t="n"/>
      <c r="E7" s="17" t="n"/>
      <c r="F7" s="17" t="n"/>
      <c r="G7" s="17" t="n"/>
      <c r="H7" s="17" t="n"/>
      <c r="I7" s="17" t="n"/>
      <c r="J7" s="17" t="n"/>
      <c r="K7" s="17" t="n"/>
    </row>
    <row r="8">
      <c r="A8" s="16" t="n"/>
      <c r="B8" s="17" t="n"/>
      <c r="C8" s="17" t="n"/>
      <c r="D8" s="17" t="n"/>
      <c r="E8" s="17" t="n"/>
      <c r="F8" s="17" t="n"/>
      <c r="G8" s="17" t="n"/>
      <c r="H8" s="17" t="n"/>
      <c r="I8" s="17" t="n"/>
      <c r="J8" s="17" t="n"/>
      <c r="K8" s="17" t="n"/>
    </row>
    <row r="9">
      <c r="A9" s="16" t="n"/>
      <c r="B9" s="17" t="n"/>
      <c r="C9" s="17" t="n"/>
      <c r="D9" s="17" t="n"/>
      <c r="E9" s="17" t="n"/>
      <c r="F9" s="17" t="n"/>
      <c r="G9" s="17" t="n"/>
      <c r="H9" s="17" t="n"/>
      <c r="I9" s="17" t="n"/>
      <c r="J9" s="17" t="n"/>
      <c r="K9" s="17" t="n"/>
    </row>
    <row r="10">
      <c r="A10" s="16" t="n"/>
      <c r="B10" s="17" t="n"/>
      <c r="C10" s="17" t="n"/>
      <c r="D10" s="17" t="n"/>
      <c r="E10" s="17" t="n"/>
      <c r="F10" s="17" t="n"/>
      <c r="G10" s="17" t="n"/>
      <c r="H10" s="17" t="n"/>
      <c r="I10" s="17" t="n"/>
      <c r="J10" s="17" t="n"/>
      <c r="K10" s="17" t="n"/>
    </row>
    <row r="11">
      <c r="A11" s="16" t="n"/>
      <c r="B11" s="17" t="n"/>
      <c r="C11" s="17" t="n"/>
      <c r="D11" s="17" t="n"/>
      <c r="E11" s="17" t="n"/>
      <c r="F11" s="17" t="n"/>
      <c r="G11" s="17" t="n"/>
      <c r="H11" s="17" t="n"/>
      <c r="I11" s="17" t="n"/>
      <c r="J11" s="17" t="n"/>
      <c r="K11" s="17" t="n"/>
    </row>
    <row r="12">
      <c r="A12" s="16" t="n"/>
      <c r="B12" s="17" t="n"/>
      <c r="C12" s="17" t="n"/>
      <c r="D12" s="17" t="n"/>
      <c r="E12" s="17" t="n"/>
      <c r="F12" s="17" t="n"/>
      <c r="G12" s="17" t="n"/>
      <c r="H12" s="17" t="n"/>
      <c r="I12" s="17" t="n"/>
      <c r="J12" s="17" t="n"/>
      <c r="K12" s="17" t="n"/>
    </row>
    <row r="13">
      <c r="A13" s="16" t="n"/>
      <c r="B13" s="17" t="n"/>
      <c r="C13" s="17" t="n"/>
      <c r="D13" s="17" t="n"/>
      <c r="E13" s="17" t="n"/>
      <c r="F13" s="17" t="n"/>
      <c r="G13" s="17" t="n"/>
      <c r="H13" s="17" t="n"/>
      <c r="I13" s="17" t="n"/>
      <c r="J13" s="17" t="n"/>
      <c r="K13" s="17" t="n"/>
    </row>
    <row r="14">
      <c r="A14" s="16" t="n"/>
      <c r="B14" s="17" t="n"/>
      <c r="C14" s="17" t="n"/>
      <c r="D14" s="17" t="n"/>
      <c r="E14" s="17" t="n"/>
      <c r="F14" s="17" t="n"/>
      <c r="G14" s="17" t="n"/>
      <c r="H14" s="17" t="n"/>
      <c r="I14" s="17" t="n"/>
      <c r="J14" s="17" t="n"/>
      <c r="K14" s="17" t="n"/>
    </row>
    <row r="15">
      <c r="A15" s="16" t="n"/>
      <c r="B15" s="17" t="n"/>
      <c r="C15" s="17" t="n"/>
      <c r="D15" s="17" t="n"/>
      <c r="E15" s="17" t="n"/>
      <c r="F15" s="17" t="n"/>
      <c r="G15" s="17" t="n"/>
      <c r="H15" s="17" t="n"/>
      <c r="I15" s="17" t="n"/>
      <c r="J15" s="17" t="n"/>
      <c r="K15" s="17" t="n"/>
    </row>
    <row r="16">
      <c r="A16" s="16" t="n"/>
      <c r="B16" s="17" t="n"/>
      <c r="C16" s="17" t="n"/>
      <c r="D16" s="17" t="n"/>
      <c r="E16" s="17" t="n"/>
      <c r="F16" s="17" t="n"/>
      <c r="G16" s="17" t="n"/>
      <c r="H16" s="17" t="n"/>
      <c r="I16" s="17" t="n"/>
      <c r="J16" s="17" t="n"/>
      <c r="K16" s="17" t="n"/>
    </row>
    <row r="17">
      <c r="A17" s="16" t="n"/>
      <c r="B17" s="17" t="n"/>
      <c r="C17" s="17" t="n"/>
      <c r="D17" s="17" t="n"/>
      <c r="E17" s="17" t="n"/>
      <c r="F17" s="17" t="n"/>
      <c r="G17" s="17" t="n"/>
      <c r="H17" s="17" t="n"/>
      <c r="I17" s="17" t="n"/>
      <c r="J17" s="17" t="n"/>
      <c r="K17" s="17" t="n"/>
    </row>
    <row r="18">
      <c r="A18" s="16" t="n"/>
      <c r="B18" s="17" t="n"/>
      <c r="C18" s="17" t="n"/>
      <c r="D18" s="17" t="n"/>
      <c r="E18" s="17" t="n"/>
      <c r="F18" s="17" t="n"/>
      <c r="G18" s="17" t="n"/>
      <c r="H18" s="17" t="n"/>
      <c r="I18" s="17" t="n"/>
      <c r="J18" s="17" t="n"/>
      <c r="K18" s="17" t="n"/>
    </row>
    <row r="19">
      <c r="A19" s="16" t="n"/>
      <c r="B19" s="17" t="n"/>
      <c r="C19" s="17" t="n"/>
      <c r="D19" s="17" t="n"/>
      <c r="E19" s="17" t="n"/>
      <c r="F19" s="17" t="n"/>
      <c r="G19" s="17" t="n"/>
      <c r="H19" s="17" t="n"/>
      <c r="I19" s="17" t="n"/>
      <c r="J19" s="17" t="n"/>
      <c r="K19" s="17" t="n"/>
    </row>
    <row r="20">
      <c r="A20" s="16" t="n"/>
      <c r="B20" s="17" t="n"/>
      <c r="C20" s="17" t="n"/>
      <c r="D20" s="17" t="n"/>
      <c r="E20" s="17" t="n"/>
      <c r="F20" s="17" t="n"/>
      <c r="G20" s="17" t="n"/>
      <c r="H20" s="17" t="n"/>
      <c r="I20" s="17" t="n"/>
      <c r="J20" s="17" t="n"/>
      <c r="K20" s="17" t="n"/>
    </row>
    <row r="21">
      <c r="A21" s="16" t="n"/>
      <c r="B21" s="17" t="n"/>
      <c r="C21" s="17" t="n"/>
      <c r="D21" s="17" t="n"/>
      <c r="E21" s="17" t="n"/>
      <c r="F21" s="17" t="n"/>
      <c r="G21" s="17" t="n"/>
      <c r="H21" s="17" t="n"/>
      <c r="I21" s="17" t="n"/>
      <c r="J21" s="17" t="n"/>
      <c r="K21" s="17" t="n"/>
    </row>
    <row r="22">
      <c r="A22" s="16" t="n"/>
      <c r="B22" s="17" t="n"/>
      <c r="C22" s="17" t="n"/>
      <c r="D22" s="17" t="n"/>
      <c r="E22" s="17" t="n"/>
      <c r="F22" s="17" t="n"/>
      <c r="G22" s="17" t="n"/>
      <c r="H22" s="17" t="n"/>
      <c r="I22" s="17" t="n"/>
      <c r="J22" s="17" t="n"/>
      <c r="K22" s="17" t="n"/>
    </row>
    <row r="23">
      <c r="A23" s="16" t="n"/>
      <c r="B23" s="17" t="n"/>
      <c r="C23" s="17" t="n"/>
      <c r="D23" s="17" t="n"/>
      <c r="E23" s="17" t="n"/>
      <c r="F23" s="17" t="n"/>
      <c r="G23" s="17" t="n"/>
      <c r="H23" s="17" t="n"/>
      <c r="I23" s="17" t="n"/>
      <c r="J23" s="17" t="n"/>
      <c r="K23" s="17" t="n"/>
    </row>
    <row r="24">
      <c r="A24" s="16" t="n"/>
      <c r="B24" s="17" t="n"/>
      <c r="C24" s="17" t="n"/>
      <c r="D24" s="17" t="n"/>
      <c r="E24" s="17" t="n"/>
      <c r="F24" s="17" t="n"/>
      <c r="G24" s="17" t="n"/>
      <c r="H24" s="17" t="n"/>
      <c r="I24" s="17" t="n"/>
      <c r="J24" s="17" t="n"/>
      <c r="K24" s="17" t="n"/>
    </row>
    <row r="25">
      <c r="A25" s="16" t="n"/>
      <c r="B25" s="17" t="n"/>
      <c r="C25" s="17" t="n"/>
      <c r="D25" s="17" t="n"/>
      <c r="E25" s="17" t="n"/>
      <c r="F25" s="17" t="n"/>
      <c r="G25" s="17" t="n"/>
      <c r="H25" s="17" t="n"/>
      <c r="I25" s="17" t="n"/>
      <c r="J25" s="17" t="n"/>
      <c r="K25" s="17" t="n"/>
    </row>
    <row r="26">
      <c r="A26" s="16" t="n"/>
      <c r="B26" s="17" t="n"/>
      <c r="C26" s="17" t="n"/>
      <c r="D26" s="17" t="n"/>
      <c r="E26" s="17" t="n"/>
      <c r="F26" s="17" t="n"/>
      <c r="G26" s="17" t="n"/>
      <c r="H26" s="17" t="n"/>
      <c r="I26" s="17" t="n"/>
      <c r="J26" s="17" t="n"/>
      <c r="K26" s="17" t="n"/>
    </row>
    <row r="27">
      <c r="A27" s="16" t="n"/>
      <c r="B27" s="17" t="n"/>
      <c r="C27" s="17" t="n"/>
      <c r="D27" s="17" t="n"/>
      <c r="E27" s="17" t="n"/>
      <c r="F27" s="17" t="n"/>
      <c r="G27" s="17" t="n"/>
      <c r="H27" s="17" t="n"/>
      <c r="I27" s="17" t="n"/>
      <c r="J27" s="17" t="n"/>
      <c r="K27" s="17" t="n"/>
    </row>
    <row r="28">
      <c r="A28" s="16" t="n"/>
      <c r="B28" s="17" t="n"/>
      <c r="C28" s="17" t="n"/>
      <c r="D28" s="17" t="n"/>
      <c r="E28" s="17" t="n"/>
      <c r="F28" s="17" t="n"/>
      <c r="G28" s="17" t="n"/>
      <c r="H28" s="17" t="n"/>
      <c r="I28" s="17" t="n"/>
      <c r="J28" s="17" t="n"/>
      <c r="K28" s="17" t="n"/>
    </row>
    <row r="29">
      <c r="A29" s="16" t="n"/>
      <c r="B29" s="17" t="n"/>
      <c r="C29" s="17" t="n"/>
      <c r="D29" s="17" t="n"/>
      <c r="E29" s="17" t="n"/>
      <c r="F29" s="17" t="n"/>
      <c r="G29" s="17" t="n"/>
      <c r="H29" s="17" t="n"/>
      <c r="I29" s="17" t="n"/>
      <c r="J29" s="17" t="n"/>
      <c r="K29" s="17" t="n"/>
    </row>
    <row r="30">
      <c r="A30" s="16" t="n"/>
      <c r="B30" s="17" t="n"/>
      <c r="C30" s="17" t="n"/>
      <c r="D30" s="17" t="n"/>
      <c r="E30" s="17" t="n"/>
      <c r="F30" s="17" t="n"/>
      <c r="G30" s="17" t="n"/>
      <c r="H30" s="17" t="n"/>
      <c r="I30" s="17" t="n"/>
      <c r="J30" s="17" t="n"/>
      <c r="K30" s="17" t="n"/>
    </row>
    <row r="31">
      <c r="A31" s="16" t="n"/>
      <c r="B31" s="17" t="n"/>
      <c r="C31" s="17" t="n"/>
      <c r="D31" s="17" t="n"/>
      <c r="E31" s="17" t="n"/>
      <c r="F31" s="17" t="n"/>
      <c r="G31" s="17" t="n"/>
      <c r="H31" s="17" t="n"/>
      <c r="I31" s="17" t="n"/>
      <c r="J31" s="17" t="n"/>
      <c r="K31" s="17" t="n"/>
    </row>
    <row r="32">
      <c r="A32" s="16" t="n"/>
      <c r="B32" s="17" t="n"/>
      <c r="C32" s="17" t="n"/>
      <c r="D32" s="17" t="n"/>
      <c r="E32" s="17" t="n"/>
      <c r="F32" s="17" t="n"/>
      <c r="G32" s="17" t="n"/>
      <c r="H32" s="17" t="n"/>
      <c r="I32" s="17" t="n"/>
      <c r="J32" s="17" t="n"/>
      <c r="K32" s="17" t="n"/>
    </row>
    <row r="33">
      <c r="A33" s="16" t="n"/>
      <c r="B33" s="17" t="n"/>
      <c r="C33" s="17" t="n"/>
      <c r="D33" s="17" t="n"/>
      <c r="E33" s="17" t="n"/>
      <c r="F33" s="17" t="n"/>
      <c r="G33" s="17" t="n"/>
      <c r="H33" s="17" t="n"/>
      <c r="I33" s="17" t="n"/>
      <c r="J33" s="17" t="n"/>
      <c r="K33" s="17" t="n"/>
    </row>
    <row r="34">
      <c r="A34" s="16" t="n"/>
      <c r="B34" s="17" t="n"/>
      <c r="C34" s="17" t="n"/>
      <c r="D34" s="17" t="n"/>
      <c r="E34" s="17" t="n"/>
      <c r="F34" s="17" t="n"/>
      <c r="G34" s="17" t="n"/>
      <c r="H34" s="17" t="n"/>
      <c r="I34" s="17" t="n"/>
      <c r="J34" s="17" t="n"/>
      <c r="K34" s="17" t="n"/>
    </row>
    <row r="35">
      <c r="A35" s="16" t="n"/>
      <c r="B35" s="17" t="n"/>
      <c r="C35" s="17" t="n"/>
      <c r="D35" s="17" t="n"/>
      <c r="E35" s="17" t="n"/>
      <c r="F35" s="17" t="n"/>
      <c r="G35" s="17" t="n"/>
      <c r="H35" s="17" t="n"/>
      <c r="I35" s="17" t="n"/>
      <c r="J35" s="17" t="n"/>
      <c r="K35" s="17" t="n"/>
    </row>
    <row r="36">
      <c r="A36" s="16" t="n"/>
      <c r="B36" s="17" t="n"/>
      <c r="C36" s="17" t="n"/>
      <c r="D36" s="17" t="n"/>
      <c r="E36" s="17" t="n"/>
      <c r="F36" s="17" t="n"/>
      <c r="G36" s="17" t="n"/>
      <c r="H36" s="17" t="n"/>
      <c r="I36" s="17" t="n"/>
      <c r="J36" s="17" t="n"/>
      <c r="K36" s="17" t="n"/>
    </row>
    <row r="37">
      <c r="A37" s="16" t="n"/>
      <c r="B37" s="17" t="n"/>
      <c r="C37" s="17" t="n"/>
      <c r="D37" s="17" t="n"/>
      <c r="E37" s="17" t="n"/>
      <c r="F37" s="17" t="n"/>
      <c r="G37" s="17" t="n"/>
      <c r="H37" s="17" t="n"/>
      <c r="I37" s="17" t="n"/>
      <c r="J37" s="17" t="n"/>
      <c r="K37" s="17" t="n"/>
    </row>
    <row r="38">
      <c r="A38" s="16" t="n"/>
      <c r="B38" s="17" t="n"/>
      <c r="C38" s="17" t="n"/>
      <c r="D38" s="17" t="n"/>
      <c r="E38" s="17" t="n"/>
      <c r="F38" s="17" t="n"/>
      <c r="G38" s="17" t="n"/>
      <c r="H38" s="17" t="n"/>
      <c r="I38" s="17" t="n"/>
      <c r="J38" s="17" t="n"/>
      <c r="K38" s="17" t="n"/>
    </row>
    <row r="39">
      <c r="A39" s="16" t="n"/>
      <c r="B39" s="17" t="n"/>
      <c r="C39" s="17" t="n"/>
      <c r="D39" s="17" t="n"/>
      <c r="E39" s="17" t="n"/>
      <c r="F39" s="17" t="n"/>
      <c r="G39" s="17" t="n"/>
      <c r="H39" s="17" t="n"/>
      <c r="I39" s="17" t="n"/>
      <c r="J39" s="17" t="n"/>
      <c r="K39" s="17" t="n"/>
    </row>
    <row r="40">
      <c r="A40" s="16" t="n"/>
      <c r="B40" s="17" t="n"/>
      <c r="C40" s="17" t="n"/>
      <c r="D40" s="17" t="n"/>
      <c r="E40" s="17" t="n"/>
      <c r="F40" s="17" t="n"/>
      <c r="G40" s="17" t="n"/>
      <c r="H40" s="17" t="n"/>
      <c r="I40" s="17" t="n"/>
      <c r="J40" s="17" t="n"/>
      <c r="K40" s="17" t="n"/>
    </row>
    <row r="41">
      <c r="A41" s="16" t="n"/>
      <c r="B41" s="17" t="n"/>
      <c r="C41" s="17" t="n"/>
      <c r="D41" s="17" t="n"/>
      <c r="E41" s="17" t="n"/>
      <c r="F41" s="17" t="n"/>
      <c r="G41" s="17" t="n"/>
      <c r="H41" s="17" t="n"/>
      <c r="I41" s="17" t="n"/>
      <c r="J41" s="17" t="n"/>
      <c r="K41" s="17" t="n"/>
    </row>
    <row r="42">
      <c r="A42" s="16" t="n"/>
      <c r="B42" s="17" t="n"/>
      <c r="C42" s="17" t="n"/>
      <c r="D42" s="17" t="n"/>
      <c r="E42" s="17" t="n"/>
      <c r="F42" s="17" t="n"/>
      <c r="G42" s="17" t="n"/>
      <c r="H42" s="17" t="n"/>
      <c r="I42" s="17" t="n"/>
      <c r="J42" s="17" t="n"/>
      <c r="K42" s="17" t="n"/>
    </row>
    <row r="43">
      <c r="A43" s="16" t="n"/>
      <c r="B43" s="17" t="n"/>
      <c r="C43" s="17" t="n"/>
      <c r="D43" s="17" t="n"/>
      <c r="E43" s="17" t="n"/>
      <c r="F43" s="17" t="n"/>
      <c r="G43" s="17" t="n"/>
      <c r="H43" s="17" t="n"/>
      <c r="I43" s="17" t="n"/>
      <c r="J43" s="17" t="n"/>
      <c r="K43" s="17" t="n"/>
    </row>
    <row r="44">
      <c r="A44" s="16" t="n"/>
      <c r="B44" s="17" t="n"/>
      <c r="C44" s="17" t="n"/>
      <c r="D44" s="17" t="n"/>
      <c r="E44" s="17" t="n"/>
      <c r="F44" s="17" t="n"/>
      <c r="G44" s="17" t="n"/>
      <c r="H44" s="17" t="n"/>
      <c r="I44" s="17" t="n"/>
      <c r="J44" s="17" t="n"/>
      <c r="K44" s="17" t="n"/>
    </row>
    <row r="45">
      <c r="A45" s="16" t="n"/>
      <c r="B45" s="17" t="n"/>
      <c r="C45" s="17" t="n"/>
      <c r="D45" s="17" t="n"/>
      <c r="E45" s="17" t="n"/>
      <c r="F45" s="17" t="n"/>
      <c r="G45" s="17" t="n"/>
      <c r="H45" s="17" t="n"/>
      <c r="I45" s="17" t="n"/>
      <c r="J45" s="17" t="n"/>
      <c r="K45" s="17" t="n"/>
    </row>
    <row r="46">
      <c r="A46" s="16" t="n"/>
      <c r="B46" s="17" t="n"/>
      <c r="C46" s="17" t="n"/>
      <c r="D46" s="17" t="n"/>
      <c r="E46" s="17" t="n"/>
      <c r="F46" s="17" t="n"/>
      <c r="G46" s="17" t="n"/>
      <c r="H46" s="17" t="n"/>
      <c r="I46" s="17" t="n"/>
      <c r="J46" s="17" t="n"/>
      <c r="K46" s="17" t="n"/>
    </row>
    <row r="47">
      <c r="A47" s="16" t="n"/>
      <c r="B47" s="17" t="n"/>
      <c r="C47" s="17" t="n"/>
      <c r="D47" s="17" t="n"/>
      <c r="E47" s="17" t="n"/>
      <c r="F47" s="17" t="n"/>
      <c r="G47" s="17" t="n"/>
      <c r="H47" s="17" t="n"/>
      <c r="I47" s="17" t="n"/>
      <c r="J47" s="17" t="n"/>
      <c r="K47" s="17" t="n"/>
    </row>
    <row r="48">
      <c r="A48" s="16" t="n"/>
      <c r="B48" s="17" t="n"/>
      <c r="C48" s="17" t="n"/>
      <c r="D48" s="17" t="n"/>
      <c r="E48" s="17" t="n"/>
      <c r="F48" s="17" t="n"/>
      <c r="G48" s="17" t="n"/>
      <c r="H48" s="17" t="n"/>
      <c r="I48" s="17" t="n"/>
      <c r="J48" s="17" t="n"/>
      <c r="K48" s="17" t="n"/>
    </row>
    <row r="49">
      <c r="A49" s="16" t="n"/>
      <c r="B49" s="17" t="n"/>
      <c r="C49" s="17" t="n"/>
      <c r="D49" s="17" t="n"/>
      <c r="E49" s="17" t="n"/>
      <c r="F49" s="17" t="n"/>
      <c r="G49" s="17" t="n"/>
      <c r="H49" s="17" t="n"/>
      <c r="I49" s="17" t="n"/>
      <c r="J49" s="17" t="n"/>
      <c r="K49" s="17" t="n"/>
    </row>
    <row r="50">
      <c r="A50" s="16" t="n"/>
      <c r="B50" s="17" t="n"/>
      <c r="C50" s="17" t="n"/>
      <c r="D50" s="17" t="n"/>
      <c r="E50" s="17" t="n"/>
      <c r="F50" s="17" t="n"/>
      <c r="G50" s="17" t="n"/>
      <c r="H50" s="17" t="n"/>
      <c r="I50" s="17" t="n"/>
      <c r="J50" s="17" t="n"/>
      <c r="K50" s="17" t="n"/>
    </row>
    <row r="51">
      <c r="A51" s="16" t="n"/>
      <c r="B51" s="17" t="n"/>
      <c r="C51" s="17" t="n"/>
      <c r="D51" s="17" t="n"/>
      <c r="E51" s="17" t="n"/>
      <c r="F51" s="17" t="n"/>
      <c r="G51" s="17" t="n"/>
      <c r="H51" s="17" t="n"/>
      <c r="I51" s="17" t="n"/>
      <c r="J51" s="17" t="n"/>
      <c r="K51" s="17" t="n"/>
    </row>
    <row r="52">
      <c r="A52" s="16" t="n"/>
      <c r="B52" s="17" t="n"/>
      <c r="C52" s="17" t="n"/>
      <c r="D52" s="17" t="n"/>
      <c r="E52" s="17" t="n"/>
      <c r="F52" s="17" t="n"/>
      <c r="G52" s="17" t="n"/>
      <c r="H52" s="17" t="n"/>
      <c r="I52" s="17" t="n"/>
      <c r="J52" s="17" t="n"/>
      <c r="K52" s="17" t="n"/>
    </row>
    <row r="53">
      <c r="A53" s="16" t="n"/>
      <c r="B53" s="17" t="n"/>
      <c r="C53" s="17" t="n"/>
      <c r="D53" s="17" t="n"/>
      <c r="E53" s="17" t="n"/>
      <c r="F53" s="17" t="n"/>
      <c r="G53" s="17" t="n"/>
      <c r="H53" s="17" t="n"/>
      <c r="I53" s="17" t="n"/>
      <c r="J53" s="17" t="n"/>
      <c r="K53" s="17" t="n"/>
    </row>
    <row r="54">
      <c r="A54" s="16" t="n"/>
      <c r="B54" s="17" t="n"/>
      <c r="C54" s="17" t="n"/>
      <c r="D54" s="17" t="n"/>
      <c r="E54" s="17" t="n"/>
      <c r="F54" s="17" t="n"/>
      <c r="G54" s="17" t="n"/>
      <c r="H54" s="17" t="n"/>
      <c r="I54" s="17" t="n"/>
      <c r="J54" s="17" t="n"/>
      <c r="K54" s="17" t="n"/>
    </row>
  </sheetData>
  <mergeCells count="2">
    <mergeCell ref="A2:K2"/>
    <mergeCell ref="A1:K1"/>
  </mergeCells>
  <dataValidations count="4">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"BCP,DRP,Crisis Management,IT Recovery,Other"</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"Yes,No,Partial"</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"Approved,Rejected,Pending"</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"Open,In Progress,Closed"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0" t="inlineStr">
        <is>
          <t>EVIDENCE REGISTER</t>
        </is>
      </c>
      <c r="B1" s="6" t="n"/>
      <c r="C1" s="6" t="n"/>
      <c r="D1" s="6" t="n"/>
      <c r="E1" s="6" t="n"/>
      <c r="F1" s="6" t="n"/>
      <c r="G1" s="6" t="n"/>
      <c r="H1" s="6" t="n"/>
    </row>
    <row r="2">
      <c r="A2" s="21" t="inlineStr">
        <is>
          <t>Document all evidence collected during this assessment</t>
        </is>
      </c>
      <c r="B2" s="6" t="n"/>
      <c r="C2" s="6" t="n"/>
      <c r="D2" s="6" t="n"/>
      <c r="E2" s="6" t="n"/>
      <c r="F2" s="6" t="n"/>
      <c r="G2" s="6" t="n"/>
      <c r="H2" s="6" t="n"/>
    </row>
    <row r="4">
      <c r="A4" s="22" t="inlineStr">
        <is>
          <t>Evidence ID</t>
        </is>
      </c>
      <c r="B4" s="22" t="inlineStr">
        <is>
          <t>Assessment Area</t>
        </is>
      </c>
      <c r="C4" s="22" t="inlineStr">
        <is>
          <t>Evidence Type</t>
        </is>
      </c>
      <c r="D4" s="22" t="inlineStr">
        <is>
          <t>Description</t>
        </is>
      </c>
      <c r="E4" s="22" t="inlineStr">
        <is>
          <t>Location / Path</t>
        </is>
      </c>
      <c r="F4" s="22" t="inlineStr">
        <is>
          <t>Date Collected</t>
        </is>
      </c>
      <c r="G4" s="22" t="inlineStr">
        <is>
          <t>Collected By</t>
        </is>
      </c>
      <c r="H4" s="22" t="inlineStr">
        <is>
          <t>Verification Status</t>
        </is>
      </c>
    </row>
    <row r="5">
      <c r="A5" s="23" t="inlineStr">
        <is>
          <t>EV-001</t>
        </is>
      </c>
      <c r="B5" s="24" t="inlineStr">
        <is>
          <t>Assessment Area</t>
        </is>
      </c>
      <c r="C5" s="24" t="inlineStr">
        <is>
          <t>Policy Document</t>
        </is>
      </c>
      <c r="D5" s="24" t="inlineStr">
        <is>
          <t>Example evidence description</t>
        </is>
      </c>
      <c r="E5" s="24" t="inlineStr">
        <is>
          <t>\\fileserver\policies\document.pdf</t>
        </is>
      </c>
      <c r="F5" s="24" t="inlineStr">
        <is>
          <t>15.01.2026</t>
        </is>
      </c>
      <c r="G5" s="24" t="inlineStr">
        <is>
          <t>Assessor Name</t>
        </is>
      </c>
      <c r="H5" s="24" t="inlineStr">
        <is>
          <t>✅ Verified</t>
        </is>
      </c>
    </row>
    <row r="6">
      <c r="A6" s="25" t="n"/>
      <c r="B6" s="17" t="n"/>
      <c r="C6" s="17" t="n"/>
      <c r="D6" s="17" t="n"/>
      <c r="E6" s="17" t="n"/>
      <c r="F6" s="17" t="n"/>
      <c r="G6" s="17" t="n"/>
      <c r="H6" s="17" t="n"/>
    </row>
    <row r="7">
      <c r="A7" s="25" t="n"/>
      <c r="B7" s="17" t="n"/>
      <c r="C7" s="17" t="n"/>
      <c r="D7" s="17" t="n"/>
      <c r="E7" s="17" t="n"/>
      <c r="F7" s="17" t="n"/>
      <c r="G7" s="17" t="n"/>
      <c r="H7" s="17" t="n"/>
    </row>
    <row r="8">
      <c r="A8" s="25" t="n"/>
      <c r="B8" s="17" t="n"/>
      <c r="C8" s="17" t="n"/>
      <c r="D8" s="17" t="n"/>
      <c r="E8" s="17" t="n"/>
      <c r="F8" s="17" t="n"/>
      <c r="G8" s="17" t="n"/>
      <c r="H8" s="17" t="n"/>
    </row>
    <row r="9">
      <c r="A9" s="25" t="n"/>
      <c r="B9" s="17" t="n"/>
      <c r="C9" s="17" t="n"/>
      <c r="D9" s="17" t="n"/>
      <c r="E9" s="17" t="n"/>
      <c r="F9" s="17" t="n"/>
      <c r="G9" s="17" t="n"/>
      <c r="H9" s="17" t="n"/>
    </row>
    <row r="10">
      <c r="A10" s="25" t="n"/>
      <c r="B10" s="17" t="n"/>
      <c r="C10" s="17" t="n"/>
      <c r="D10" s="17" t="n"/>
      <c r="E10" s="17" t="n"/>
      <c r="F10" s="17" t="n"/>
      <c r="G10" s="17" t="n"/>
      <c r="H10" s="17" t="n"/>
    </row>
    <row r="11">
      <c r="A11" s="25" t="n"/>
      <c r="B11" s="17" t="n"/>
      <c r="C11" s="17" t="n"/>
      <c r="D11" s="17" t="n"/>
      <c r="E11" s="17" t="n"/>
      <c r="F11" s="17" t="n"/>
      <c r="G11" s="17" t="n"/>
      <c r="H11" s="17" t="n"/>
    </row>
    <row r="12">
      <c r="A12" s="25" t="n"/>
      <c r="B12" s="17" t="n"/>
      <c r="C12" s="17" t="n"/>
      <c r="D12" s="17" t="n"/>
      <c r="E12" s="17" t="n"/>
      <c r="F12" s="17" t="n"/>
      <c r="G12" s="17" t="n"/>
      <c r="H12" s="17" t="n"/>
    </row>
    <row r="13">
      <c r="A13" s="25" t="n"/>
      <c r="B13" s="17" t="n"/>
      <c r="C13" s="17" t="n"/>
      <c r="D13" s="17" t="n"/>
      <c r="E13" s="17" t="n"/>
      <c r="F13" s="17" t="n"/>
      <c r="G13" s="17" t="n"/>
      <c r="H13" s="17" t="n"/>
    </row>
    <row r="14">
      <c r="A14" s="25" t="n"/>
      <c r="B14" s="17" t="n"/>
      <c r="C14" s="17" t="n"/>
      <c r="D14" s="17" t="n"/>
      <c r="E14" s="17" t="n"/>
      <c r="F14" s="17" t="n"/>
      <c r="G14" s="17" t="n"/>
      <c r="H14" s="17" t="n"/>
    </row>
    <row r="15">
      <c r="A15" s="25" t="n"/>
      <c r="B15" s="17" t="n"/>
      <c r="C15" s="17" t="n"/>
      <c r="D15" s="17" t="n"/>
      <c r="E15" s="17" t="n"/>
      <c r="F15" s="17" t="n"/>
      <c r="G15" s="17" t="n"/>
      <c r="H15" s="17" t="n"/>
    </row>
    <row r="16">
      <c r="A16" s="25" t="n"/>
      <c r="B16" s="17" t="n"/>
      <c r="C16" s="17" t="n"/>
      <c r="D16" s="17" t="n"/>
      <c r="E16" s="17" t="n"/>
      <c r="F16" s="17" t="n"/>
      <c r="G16" s="17" t="n"/>
      <c r="H16" s="17" t="n"/>
    </row>
    <row r="17">
      <c r="A17" s="25" t="n"/>
      <c r="B17" s="17" t="n"/>
      <c r="C17" s="17" t="n"/>
      <c r="D17" s="17" t="n"/>
      <c r="E17" s="17" t="n"/>
      <c r="F17" s="17" t="n"/>
      <c r="G17" s="17" t="n"/>
      <c r="H17" s="17" t="n"/>
    </row>
    <row r="18">
      <c r="A18" s="25" t="n"/>
      <c r="B18" s="17" t="n"/>
      <c r="C18" s="17" t="n"/>
      <c r="D18" s="17" t="n"/>
      <c r="E18" s="17" t="n"/>
      <c r="F18" s="17" t="n"/>
      <c r="G18" s="17" t="n"/>
      <c r="H18" s="17" t="n"/>
    </row>
    <row r="19">
      <c r="A19" s="25" t="n"/>
      <c r="B19" s="17" t="n"/>
      <c r="C19" s="17" t="n"/>
      <c r="D19" s="17" t="n"/>
      <c r="E19" s="17" t="n"/>
      <c r="F19" s="17" t="n"/>
      <c r="G19" s="17" t="n"/>
      <c r="H19" s="17" t="n"/>
    </row>
    <row r="20">
      <c r="A20" s="25" t="n"/>
      <c r="B20" s="17" t="n"/>
      <c r="C20" s="17" t="n"/>
      <c r="D20" s="17" t="n"/>
      <c r="E20" s="17" t="n"/>
      <c r="F20" s="17" t="n"/>
      <c r="G20" s="17" t="n"/>
      <c r="H20" s="17" t="n"/>
    </row>
    <row r="21">
      <c r="A21" s="25" t="n"/>
      <c r="B21" s="17" t="n"/>
      <c r="C21" s="17" t="n"/>
      <c r="D21" s="17" t="n"/>
      <c r="E21" s="17" t="n"/>
      <c r="F21" s="17" t="n"/>
      <c r="G21" s="17" t="n"/>
      <c r="H21" s="17" t="n"/>
    </row>
    <row r="22">
      <c r="A22" s="25" t="n"/>
      <c r="B22" s="17" t="n"/>
      <c r="C22" s="17" t="n"/>
      <c r="D22" s="17" t="n"/>
      <c r="E22" s="17" t="n"/>
      <c r="F22" s="17" t="n"/>
      <c r="G22" s="17" t="n"/>
      <c r="H22" s="17" t="n"/>
    </row>
    <row r="23">
      <c r="A23" s="25" t="n"/>
      <c r="B23" s="17" t="n"/>
      <c r="C23" s="17" t="n"/>
      <c r="D23" s="17" t="n"/>
      <c r="E23" s="17" t="n"/>
      <c r="F23" s="17" t="n"/>
      <c r="G23" s="17" t="n"/>
      <c r="H23" s="17" t="n"/>
    </row>
    <row r="24">
      <c r="A24" s="25" t="n"/>
      <c r="B24" s="17" t="n"/>
      <c r="C24" s="17" t="n"/>
      <c r="D24" s="17" t="n"/>
      <c r="E24" s="17" t="n"/>
      <c r="F24" s="17" t="n"/>
      <c r="G24" s="17" t="n"/>
      <c r="H24" s="17" t="n"/>
    </row>
    <row r="25">
      <c r="A25" s="25" t="n"/>
      <c r="B25" s="17" t="n"/>
      <c r="C25" s="17" t="n"/>
      <c r="D25" s="17" t="n"/>
      <c r="E25" s="17" t="n"/>
      <c r="F25" s="17" t="n"/>
      <c r="G25" s="17" t="n"/>
      <c r="H25" s="17" t="n"/>
    </row>
    <row r="26">
      <c r="A26" s="25" t="n"/>
      <c r="B26" s="17" t="n"/>
      <c r="C26" s="17" t="n"/>
      <c r="D26" s="17" t="n"/>
      <c r="E26" s="17" t="n"/>
      <c r="F26" s="17" t="n"/>
      <c r="G26" s="17" t="n"/>
      <c r="H26" s="17" t="n"/>
    </row>
    <row r="27">
      <c r="A27" s="25" t="n"/>
      <c r="B27" s="17" t="n"/>
      <c r="C27" s="17" t="n"/>
      <c r="D27" s="17" t="n"/>
      <c r="E27" s="17" t="n"/>
      <c r="F27" s="17" t="n"/>
      <c r="G27" s="17" t="n"/>
      <c r="H27" s="17" t="n"/>
    </row>
    <row r="28">
      <c r="A28" s="25" t="n"/>
      <c r="B28" s="17" t="n"/>
      <c r="C28" s="17" t="n"/>
      <c r="D28" s="17" t="n"/>
      <c r="E28" s="17" t="n"/>
      <c r="F28" s="17" t="n"/>
      <c r="G28" s="17" t="n"/>
      <c r="H28" s="17" t="n"/>
    </row>
    <row r="29">
      <c r="A29" s="25" t="n"/>
      <c r="B29" s="17" t="n"/>
      <c r="C29" s="17" t="n"/>
      <c r="D29" s="17" t="n"/>
      <c r="E29" s="17" t="n"/>
      <c r="F29" s="17" t="n"/>
      <c r="G29" s="17" t="n"/>
      <c r="H29" s="17" t="n"/>
    </row>
    <row r="30">
      <c r="A30" s="25" t="n"/>
      <c r="B30" s="17" t="n"/>
      <c r="C30" s="17" t="n"/>
      <c r="D30" s="17" t="n"/>
      <c r="E30" s="17" t="n"/>
      <c r="F30" s="17" t="n"/>
      <c r="G30" s="17" t="n"/>
      <c r="H30" s="17" t="n"/>
    </row>
    <row r="31">
      <c r="A31" s="25" t="n"/>
      <c r="B31" s="17" t="n"/>
      <c r="C31" s="17" t="n"/>
      <c r="D31" s="17" t="n"/>
      <c r="E31" s="17" t="n"/>
      <c r="F31" s="17" t="n"/>
      <c r="G31" s="17" t="n"/>
      <c r="H31" s="17" t="n"/>
    </row>
    <row r="32">
      <c r="A32" s="25" t="n"/>
      <c r="B32" s="17" t="n"/>
      <c r="C32" s="17" t="n"/>
      <c r="D32" s="17" t="n"/>
      <c r="E32" s="17" t="n"/>
      <c r="F32" s="17" t="n"/>
      <c r="G32" s="17" t="n"/>
      <c r="H32" s="17" t="n"/>
    </row>
    <row r="33">
      <c r="A33" s="25" t="n"/>
      <c r="B33" s="17" t="n"/>
      <c r="C33" s="17" t="n"/>
      <c r="D33" s="17" t="n"/>
      <c r="E33" s="17" t="n"/>
      <c r="F33" s="17" t="n"/>
      <c r="G33" s="17" t="n"/>
      <c r="H33" s="17" t="n"/>
    </row>
    <row r="34">
      <c r="A34" s="25" t="n"/>
      <c r="B34" s="17" t="n"/>
      <c r="C34" s="17" t="n"/>
      <c r="D34" s="17" t="n"/>
      <c r="E34" s="17" t="n"/>
      <c r="F34" s="17" t="n"/>
      <c r="G34" s="17" t="n"/>
      <c r="H34" s="17" t="n"/>
    </row>
    <row r="35">
      <c r="A35" s="25" t="n"/>
      <c r="B35" s="17" t="n"/>
      <c r="C35" s="17" t="n"/>
      <c r="D35" s="17" t="n"/>
      <c r="E35" s="17" t="n"/>
      <c r="F35" s="17" t="n"/>
      <c r="G35" s="17" t="n"/>
      <c r="H35" s="17" t="n"/>
    </row>
    <row r="36">
      <c r="A36" s="25" t="n"/>
      <c r="B36" s="17" t="n"/>
      <c r="C36" s="17" t="n"/>
      <c r="D36" s="17" t="n"/>
      <c r="E36" s="17" t="n"/>
      <c r="F36" s="17" t="n"/>
      <c r="G36" s="17" t="n"/>
      <c r="H36" s="17" t="n"/>
    </row>
    <row r="37">
      <c r="A37" s="25" t="n"/>
      <c r="B37" s="17" t="n"/>
      <c r="C37" s="17" t="n"/>
      <c r="D37" s="17" t="n"/>
      <c r="E37" s="17" t="n"/>
      <c r="F37" s="17" t="n"/>
      <c r="G37" s="17" t="n"/>
      <c r="H37" s="17" t="n"/>
    </row>
    <row r="38">
      <c r="A38" s="25" t="n"/>
      <c r="B38" s="17" t="n"/>
      <c r="C38" s="17" t="n"/>
      <c r="D38" s="17" t="n"/>
      <c r="E38" s="17" t="n"/>
      <c r="F38" s="17" t="n"/>
      <c r="G38" s="17" t="n"/>
      <c r="H38" s="17" t="n"/>
    </row>
    <row r="39">
      <c r="A39" s="25" t="n"/>
      <c r="B39" s="17" t="n"/>
      <c r="C39" s="17" t="n"/>
      <c r="D39" s="17" t="n"/>
      <c r="E39" s="17" t="n"/>
      <c r="F39" s="17" t="n"/>
      <c r="G39" s="17" t="n"/>
      <c r="H39" s="17" t="n"/>
    </row>
    <row r="40">
      <c r="A40" s="25" t="n"/>
      <c r="B40" s="17" t="n"/>
      <c r="C40" s="17" t="n"/>
      <c r="D40" s="17" t="n"/>
      <c r="E40" s="17" t="n"/>
      <c r="F40" s="17" t="n"/>
      <c r="G40" s="17" t="n"/>
      <c r="H40" s="17" t="n"/>
    </row>
    <row r="41">
      <c r="A41" s="25" t="n"/>
      <c r="B41" s="17" t="n"/>
      <c r="C41" s="17" t="n"/>
      <c r="D41" s="17" t="n"/>
      <c r="E41" s="17" t="n"/>
      <c r="F41" s="17" t="n"/>
      <c r="G41" s="17" t="n"/>
      <c r="H41" s="17" t="n"/>
    </row>
    <row r="42">
      <c r="A42" s="25" t="n"/>
      <c r="B42" s="17" t="n"/>
      <c r="C42" s="17" t="n"/>
      <c r="D42" s="17" t="n"/>
      <c r="E42" s="17" t="n"/>
      <c r="F42" s="17" t="n"/>
      <c r="G42" s="17" t="n"/>
      <c r="H42" s="17" t="n"/>
    </row>
    <row r="43">
      <c r="A43" s="25" t="n"/>
      <c r="B43" s="17" t="n"/>
      <c r="C43" s="17" t="n"/>
      <c r="D43" s="17" t="n"/>
      <c r="E43" s="17" t="n"/>
      <c r="F43" s="17" t="n"/>
      <c r="G43" s="17" t="n"/>
      <c r="H43" s="17" t="n"/>
    </row>
    <row r="44">
      <c r="A44" s="25" t="n"/>
      <c r="B44" s="17" t="n"/>
      <c r="C44" s="17" t="n"/>
      <c r="D44" s="17" t="n"/>
      <c r="E44" s="17" t="n"/>
      <c r="F44" s="17" t="n"/>
      <c r="G44" s="17" t="n"/>
      <c r="H44" s="17" t="n"/>
    </row>
    <row r="45">
      <c r="A45" s="25" t="n"/>
      <c r="B45" s="17" t="n"/>
      <c r="C45" s="17" t="n"/>
      <c r="D45" s="17" t="n"/>
      <c r="E45" s="17" t="n"/>
      <c r="F45" s="17" t="n"/>
      <c r="G45" s="17" t="n"/>
      <c r="H45" s="17" t="n"/>
    </row>
    <row r="46">
      <c r="A46" s="25" t="n"/>
      <c r="B46" s="17" t="n"/>
      <c r="C46" s="17" t="n"/>
      <c r="D46" s="17" t="n"/>
      <c r="E46" s="17" t="n"/>
      <c r="F46" s="17" t="n"/>
      <c r="G46" s="17" t="n"/>
      <c r="H46" s="17" t="n"/>
    </row>
    <row r="47">
      <c r="A47" s="25" t="n"/>
      <c r="B47" s="17" t="n"/>
      <c r="C47" s="17" t="n"/>
      <c r="D47" s="17" t="n"/>
      <c r="E47" s="17" t="n"/>
      <c r="F47" s="17" t="n"/>
      <c r="G47" s="17" t="n"/>
      <c r="H47" s="17" t="n"/>
    </row>
    <row r="48">
      <c r="A48" s="25" t="n"/>
      <c r="B48" s="17" t="n"/>
      <c r="C48" s="17" t="n"/>
      <c r="D48" s="17" t="n"/>
      <c r="E48" s="17" t="n"/>
      <c r="F48" s="17" t="n"/>
      <c r="G48" s="17" t="n"/>
      <c r="H48" s="17" t="n"/>
    </row>
    <row r="49">
      <c r="A49" s="25" t="n"/>
      <c r="B49" s="17" t="n"/>
      <c r="C49" s="17" t="n"/>
      <c r="D49" s="17" t="n"/>
      <c r="E49" s="17" t="n"/>
      <c r="F49" s="17" t="n"/>
      <c r="G49" s="17" t="n"/>
      <c r="H49" s="17" t="n"/>
    </row>
    <row r="50">
      <c r="A50" s="25" t="n"/>
      <c r="B50" s="17" t="n"/>
      <c r="C50" s="17" t="n"/>
      <c r="D50" s="17" t="n"/>
      <c r="E50" s="17" t="n"/>
      <c r="F50" s="17" t="n"/>
      <c r="G50" s="17" t="n"/>
      <c r="H50" s="17" t="n"/>
    </row>
    <row r="51">
      <c r="A51" s="25" t="n"/>
      <c r="B51" s="17" t="n"/>
      <c r="C51" s="17" t="n"/>
      <c r="D51" s="17" t="n"/>
      <c r="E51" s="17" t="n"/>
      <c r="F51" s="17" t="n"/>
      <c r="G51" s="17" t="n"/>
      <c r="H51" s="17" t="n"/>
    </row>
    <row r="52">
      <c r="A52" s="25" t="n"/>
      <c r="B52" s="17" t="n"/>
      <c r="C52" s="17" t="n"/>
      <c r="D52" s="17" t="n"/>
      <c r="E52" s="17" t="n"/>
      <c r="F52" s="17" t="n"/>
      <c r="G52" s="17" t="n"/>
      <c r="H52" s="17" t="n"/>
    </row>
    <row r="53">
      <c r="A53" s="25" t="n"/>
      <c r="B53" s="17" t="n"/>
      <c r="C53" s="17" t="n"/>
      <c r="D53" s="17" t="n"/>
      <c r="E53" s="17" t="n"/>
      <c r="F53" s="17" t="n"/>
      <c r="G53" s="17" t="n"/>
      <c r="H53" s="17" t="n"/>
    </row>
    <row r="54">
      <c r="A54" s="25" t="n"/>
      <c r="B54" s="17" t="n"/>
      <c r="C54" s="17" t="n"/>
      <c r="D54" s="17" t="n"/>
      <c r="E54" s="17" t="n"/>
      <c r="F54" s="17" t="n"/>
      <c r="G54" s="17" t="n"/>
      <c r="H54" s="17" t="n"/>
    </row>
    <row r="55">
      <c r="A55" s="25" t="n"/>
      <c r="B55" s="17" t="n"/>
      <c r="C55" s="17" t="n"/>
      <c r="D55" s="17" t="n"/>
      <c r="E55" s="17" t="n"/>
      <c r="F55" s="17" t="n"/>
      <c r="G55" s="17" t="n"/>
      <c r="H55" s="17" t="n"/>
    </row>
    <row r="56">
      <c r="A56" s="25" t="n"/>
      <c r="B56" s="17" t="n"/>
      <c r="C56" s="17" t="n"/>
      <c r="D56" s="17" t="n"/>
      <c r="E56" s="17" t="n"/>
      <c r="F56" s="17" t="n"/>
      <c r="G56" s="17" t="n"/>
      <c r="H56" s="17" t="n"/>
    </row>
    <row r="57">
      <c r="A57" s="25" t="n"/>
      <c r="B57" s="17" t="n"/>
      <c r="C57" s="17" t="n"/>
      <c r="D57" s="17" t="n"/>
      <c r="E57" s="17" t="n"/>
      <c r="F57" s="17" t="n"/>
      <c r="G57" s="17" t="n"/>
      <c r="H57" s="17" t="n"/>
    </row>
    <row r="58">
      <c r="A58" s="25" t="n"/>
      <c r="B58" s="17" t="n"/>
      <c r="C58" s="17" t="n"/>
      <c r="D58" s="17" t="n"/>
      <c r="E58" s="17" t="n"/>
      <c r="F58" s="17" t="n"/>
      <c r="G58" s="17" t="n"/>
      <c r="H58" s="17" t="n"/>
    </row>
    <row r="59">
      <c r="A59" s="25" t="n"/>
      <c r="B59" s="17" t="n"/>
      <c r="C59" s="17" t="n"/>
      <c r="D59" s="17" t="n"/>
      <c r="E59" s="17" t="n"/>
      <c r="F59" s="17" t="n"/>
      <c r="G59" s="17" t="n"/>
      <c r="H59" s="17" t="n"/>
    </row>
    <row r="60">
      <c r="A60" s="25" t="n"/>
      <c r="B60" s="17" t="n"/>
      <c r="C60" s="17" t="n"/>
      <c r="D60" s="17" t="n"/>
      <c r="E60" s="17" t="n"/>
      <c r="F60" s="17" t="n"/>
      <c r="G60" s="17" t="n"/>
      <c r="H60" s="17" t="n"/>
    </row>
    <row r="61">
      <c r="A61" s="25" t="n"/>
      <c r="B61" s="17" t="n"/>
      <c r="C61" s="17" t="n"/>
      <c r="D61" s="17" t="n"/>
      <c r="E61" s="17" t="n"/>
      <c r="F61" s="17" t="n"/>
      <c r="G61" s="17" t="n"/>
      <c r="H61" s="17" t="n"/>
    </row>
    <row r="62">
      <c r="A62" s="25" t="n"/>
      <c r="B62" s="17" t="n"/>
      <c r="C62" s="17" t="n"/>
      <c r="D62" s="17" t="n"/>
      <c r="E62" s="17" t="n"/>
      <c r="F62" s="17" t="n"/>
      <c r="G62" s="17" t="n"/>
      <c r="H62" s="17" t="n"/>
    </row>
    <row r="63">
      <c r="A63" s="25" t="n"/>
      <c r="B63" s="17" t="n"/>
      <c r="C63" s="17" t="n"/>
      <c r="D63" s="17" t="n"/>
      <c r="E63" s="17" t="n"/>
      <c r="F63" s="17" t="n"/>
      <c r="G63" s="17" t="n"/>
      <c r="H63" s="17" t="n"/>
    </row>
    <row r="64">
      <c r="A64" s="25" t="n"/>
      <c r="B64" s="17" t="n"/>
      <c r="C64" s="17" t="n"/>
      <c r="D64" s="17" t="n"/>
      <c r="E64" s="17" t="n"/>
      <c r="F64" s="17" t="n"/>
      <c r="G64" s="17" t="n"/>
      <c r="H64" s="17" t="n"/>
    </row>
    <row r="65">
      <c r="A65" s="25" t="n"/>
      <c r="B65" s="17" t="n"/>
      <c r="C65" s="17" t="n"/>
      <c r="D65" s="17" t="n"/>
      <c r="E65" s="17" t="n"/>
      <c r="F65" s="17" t="n"/>
      <c r="G65" s="17" t="n"/>
      <c r="H65" s="17" t="n"/>
    </row>
    <row r="66">
      <c r="A66" s="25" t="n"/>
      <c r="B66" s="17" t="n"/>
      <c r="C66" s="17" t="n"/>
      <c r="D66" s="17" t="n"/>
      <c r="E66" s="17" t="n"/>
      <c r="F66" s="17" t="n"/>
      <c r="G66" s="17" t="n"/>
      <c r="H66" s="17" t="n"/>
    </row>
    <row r="67">
      <c r="A67" s="25" t="n"/>
      <c r="B67" s="17" t="n"/>
      <c r="C67" s="17" t="n"/>
      <c r="D67" s="17" t="n"/>
      <c r="E67" s="17" t="n"/>
      <c r="F67" s="17" t="n"/>
      <c r="G67" s="17" t="n"/>
      <c r="H67" s="17" t="n"/>
    </row>
    <row r="68">
      <c r="A68" s="25" t="n"/>
      <c r="B68" s="17" t="n"/>
      <c r="C68" s="17" t="n"/>
      <c r="D68" s="17" t="n"/>
      <c r="E68" s="17" t="n"/>
      <c r="F68" s="17" t="n"/>
      <c r="G68" s="17" t="n"/>
      <c r="H68" s="17" t="n"/>
    </row>
    <row r="69">
      <c r="A69" s="25" t="n"/>
      <c r="B69" s="17" t="n"/>
      <c r="C69" s="17" t="n"/>
      <c r="D69" s="17" t="n"/>
      <c r="E69" s="17" t="n"/>
      <c r="F69" s="17" t="n"/>
      <c r="G69" s="17" t="n"/>
      <c r="H69" s="17" t="n"/>
    </row>
    <row r="70">
      <c r="A70" s="25" t="n"/>
      <c r="B70" s="17" t="n"/>
      <c r="C70" s="17" t="n"/>
      <c r="D70" s="17" t="n"/>
      <c r="E70" s="17" t="n"/>
      <c r="F70" s="17" t="n"/>
      <c r="G70" s="17" t="n"/>
      <c r="H70" s="17" t="n"/>
    </row>
    <row r="71">
      <c r="A71" s="25" t="n"/>
      <c r="B71" s="17" t="n"/>
      <c r="C71" s="17" t="n"/>
      <c r="D71" s="17" t="n"/>
      <c r="E71" s="17" t="n"/>
      <c r="F71" s="17" t="n"/>
      <c r="G71" s="17" t="n"/>
      <c r="H71" s="17" t="n"/>
    </row>
    <row r="72">
      <c r="A72" s="25" t="n"/>
      <c r="B72" s="17" t="n"/>
      <c r="C72" s="17" t="n"/>
      <c r="D72" s="17" t="n"/>
      <c r="E72" s="17" t="n"/>
      <c r="F72" s="17" t="n"/>
      <c r="G72" s="17" t="n"/>
      <c r="H72" s="17" t="n"/>
    </row>
    <row r="73">
      <c r="A73" s="25" t="n"/>
      <c r="B73" s="17" t="n"/>
      <c r="C73" s="17" t="n"/>
      <c r="D73" s="17" t="n"/>
      <c r="E73" s="17" t="n"/>
      <c r="F73" s="17" t="n"/>
      <c r="G73" s="17" t="n"/>
      <c r="H73" s="17" t="n"/>
    </row>
    <row r="74">
      <c r="A74" s="25" t="n"/>
      <c r="B74" s="17" t="n"/>
      <c r="C74" s="17" t="n"/>
      <c r="D74" s="17" t="n"/>
      <c r="E74" s="17" t="n"/>
      <c r="F74" s="17" t="n"/>
      <c r="G74" s="17" t="n"/>
      <c r="H74" s="17" t="n"/>
    </row>
    <row r="75">
      <c r="A75" s="25" t="n"/>
      <c r="B75" s="17" t="n"/>
      <c r="C75" s="17" t="n"/>
      <c r="D75" s="17" t="n"/>
      <c r="E75" s="17" t="n"/>
      <c r="F75" s="17" t="n"/>
      <c r="G75" s="17" t="n"/>
      <c r="H75" s="17" t="n"/>
    </row>
    <row r="76">
      <c r="A76" s="25" t="n"/>
      <c r="B76" s="17" t="n"/>
      <c r="C76" s="17" t="n"/>
      <c r="D76" s="17" t="n"/>
      <c r="E76" s="17" t="n"/>
      <c r="F76" s="17" t="n"/>
      <c r="G76" s="17" t="n"/>
      <c r="H76" s="17" t="n"/>
    </row>
    <row r="77">
      <c r="A77" s="25" t="n"/>
      <c r="B77" s="17" t="n"/>
      <c r="C77" s="17" t="n"/>
      <c r="D77" s="17" t="n"/>
      <c r="E77" s="17" t="n"/>
      <c r="F77" s="17" t="n"/>
      <c r="G77" s="17" t="n"/>
      <c r="H77" s="17" t="n"/>
    </row>
    <row r="78">
      <c r="A78" s="25" t="n"/>
      <c r="B78" s="17" t="n"/>
      <c r="C78" s="17" t="n"/>
      <c r="D78" s="17" t="n"/>
      <c r="E78" s="17" t="n"/>
      <c r="F78" s="17" t="n"/>
      <c r="G78" s="17" t="n"/>
      <c r="H78" s="17" t="n"/>
    </row>
    <row r="79">
      <c r="A79" s="25" t="n"/>
      <c r="B79" s="17" t="n"/>
      <c r="C79" s="17" t="n"/>
      <c r="D79" s="17" t="n"/>
      <c r="E79" s="17" t="n"/>
      <c r="F79" s="17" t="n"/>
      <c r="G79" s="17" t="n"/>
      <c r="H79" s="17" t="n"/>
    </row>
    <row r="80">
      <c r="A80" s="25" t="n"/>
      <c r="B80" s="17" t="n"/>
      <c r="C80" s="17" t="n"/>
      <c r="D80" s="17" t="n"/>
      <c r="E80" s="17" t="n"/>
      <c r="F80" s="17" t="n"/>
      <c r="G80" s="17" t="n"/>
      <c r="H80" s="17" t="n"/>
    </row>
    <row r="81">
      <c r="A81" s="25" t="n"/>
      <c r="B81" s="17" t="n"/>
      <c r="C81" s="17" t="n"/>
      <c r="D81" s="17" t="n"/>
      <c r="E81" s="17" t="n"/>
      <c r="F81" s="17" t="n"/>
      <c r="G81" s="17" t="n"/>
      <c r="H81" s="17" t="n"/>
    </row>
    <row r="82">
      <c r="A82" s="25" t="n"/>
      <c r="B82" s="17" t="n"/>
      <c r="C82" s="17" t="n"/>
      <c r="D82" s="17" t="n"/>
      <c r="E82" s="17" t="n"/>
      <c r="F82" s="17" t="n"/>
      <c r="G82" s="17" t="n"/>
      <c r="H82" s="17" t="n"/>
    </row>
    <row r="83">
      <c r="A83" s="25" t="n"/>
      <c r="B83" s="17" t="n"/>
      <c r="C83" s="17" t="n"/>
      <c r="D83" s="17" t="n"/>
      <c r="E83" s="17" t="n"/>
      <c r="F83" s="17" t="n"/>
      <c r="G83" s="17" t="n"/>
      <c r="H83" s="17" t="n"/>
    </row>
    <row r="84">
      <c r="A84" s="25" t="n"/>
      <c r="B84" s="17" t="n"/>
      <c r="C84" s="17" t="n"/>
      <c r="D84" s="17" t="n"/>
      <c r="E84" s="17" t="n"/>
      <c r="F84" s="17" t="n"/>
      <c r="G84" s="17" t="n"/>
      <c r="H84" s="17" t="n"/>
    </row>
    <row r="85">
      <c r="A85" s="25" t="n"/>
      <c r="B85" s="17" t="n"/>
      <c r="C85" s="17" t="n"/>
      <c r="D85" s="17" t="n"/>
      <c r="E85" s="17" t="n"/>
      <c r="F85" s="17" t="n"/>
      <c r="G85" s="17" t="n"/>
      <c r="H85" s="17" t="n"/>
    </row>
    <row r="86">
      <c r="A86" s="25" t="n"/>
      <c r="B86" s="17" t="n"/>
      <c r="C86" s="17" t="n"/>
      <c r="D86" s="17" t="n"/>
      <c r="E86" s="17" t="n"/>
      <c r="F86" s="17" t="n"/>
      <c r="G86" s="17" t="n"/>
      <c r="H86" s="17" t="n"/>
    </row>
    <row r="87">
      <c r="A87" s="25" t="n"/>
      <c r="B87" s="17" t="n"/>
      <c r="C87" s="17" t="n"/>
      <c r="D87" s="17" t="n"/>
      <c r="E87" s="17" t="n"/>
      <c r="F87" s="17" t="n"/>
      <c r="G87" s="17" t="n"/>
      <c r="H87" s="17" t="n"/>
    </row>
    <row r="88">
      <c r="A88" s="25" t="n"/>
      <c r="B88" s="17" t="n"/>
      <c r="C88" s="17" t="n"/>
      <c r="D88" s="17" t="n"/>
      <c r="E88" s="17" t="n"/>
      <c r="F88" s="17" t="n"/>
      <c r="G88" s="17" t="n"/>
      <c r="H88" s="17" t="n"/>
    </row>
    <row r="89">
      <c r="A89" s="25" t="n"/>
      <c r="B89" s="17" t="n"/>
      <c r="C89" s="17" t="n"/>
      <c r="D89" s="17" t="n"/>
      <c r="E89" s="17" t="n"/>
      <c r="F89" s="17" t="n"/>
      <c r="G89" s="17" t="n"/>
      <c r="H89" s="17" t="n"/>
    </row>
    <row r="90">
      <c r="A90" s="25" t="n"/>
      <c r="B90" s="17" t="n"/>
      <c r="C90" s="17" t="n"/>
      <c r="D90" s="17" t="n"/>
      <c r="E90" s="17" t="n"/>
      <c r="F90" s="17" t="n"/>
      <c r="G90" s="17" t="n"/>
      <c r="H90" s="17" t="n"/>
    </row>
    <row r="91">
      <c r="A91" s="25" t="n"/>
      <c r="B91" s="17" t="n"/>
      <c r="C91" s="17" t="n"/>
      <c r="D91" s="17" t="n"/>
      <c r="E91" s="17" t="n"/>
      <c r="F91" s="17" t="n"/>
      <c r="G91" s="17" t="n"/>
      <c r="H91" s="17" t="n"/>
    </row>
    <row r="92">
      <c r="A92" s="25" t="n"/>
      <c r="B92" s="17" t="n"/>
      <c r="C92" s="17" t="n"/>
      <c r="D92" s="17" t="n"/>
      <c r="E92" s="17" t="n"/>
      <c r="F92" s="17" t="n"/>
      <c r="G92" s="17" t="n"/>
      <c r="H92" s="17" t="n"/>
    </row>
    <row r="93">
      <c r="A93" s="25" t="n"/>
      <c r="B93" s="17" t="n"/>
      <c r="C93" s="17" t="n"/>
      <c r="D93" s="17" t="n"/>
      <c r="E93" s="17" t="n"/>
      <c r="F93" s="17" t="n"/>
      <c r="G93" s="17" t="n"/>
      <c r="H93" s="17" t="n"/>
    </row>
    <row r="94">
      <c r="A94" s="25" t="n"/>
      <c r="B94" s="17" t="n"/>
      <c r="C94" s="17" t="n"/>
      <c r="D94" s="17" t="n"/>
      <c r="E94" s="17" t="n"/>
      <c r="F94" s="17" t="n"/>
      <c r="G94" s="17" t="n"/>
      <c r="H94" s="17" t="n"/>
    </row>
    <row r="95">
      <c r="A95" s="25" t="n"/>
      <c r="B95" s="17" t="n"/>
      <c r="C95" s="17" t="n"/>
      <c r="D95" s="17" t="n"/>
      <c r="E95" s="17" t="n"/>
      <c r="F95" s="17" t="n"/>
      <c r="G95" s="17" t="n"/>
      <c r="H95" s="17" t="n"/>
    </row>
    <row r="96">
      <c r="A96" s="25" t="n"/>
      <c r="B96" s="17" t="n"/>
      <c r="C96" s="17" t="n"/>
      <c r="D96" s="17" t="n"/>
      <c r="E96" s="17" t="n"/>
      <c r="F96" s="17" t="n"/>
      <c r="G96" s="17" t="n"/>
      <c r="H96" s="17" t="n"/>
    </row>
    <row r="97">
      <c r="A97" s="25" t="n"/>
      <c r="B97" s="17" t="n"/>
      <c r="C97" s="17" t="n"/>
      <c r="D97" s="17" t="n"/>
      <c r="E97" s="17" t="n"/>
      <c r="F97" s="17" t="n"/>
      <c r="G97" s="17" t="n"/>
      <c r="H97" s="17" t="n"/>
    </row>
    <row r="98">
      <c r="A98" s="25" t="n"/>
      <c r="B98" s="17" t="n"/>
      <c r="C98" s="17" t="n"/>
      <c r="D98" s="17" t="n"/>
      <c r="E98" s="17" t="n"/>
      <c r="F98" s="17" t="n"/>
      <c r="G98" s="17" t="n"/>
      <c r="H98" s="17" t="n"/>
    </row>
    <row r="99">
      <c r="A99" s="25" t="n"/>
      <c r="B99" s="17" t="n"/>
      <c r="C99" s="17" t="n"/>
      <c r="D99" s="17" t="n"/>
      <c r="E99" s="17" t="n"/>
      <c r="F99" s="17" t="n"/>
      <c r="G99" s="17" t="n"/>
      <c r="H99" s="17" t="n"/>
    </row>
    <row r="100">
      <c r="A100" s="25" t="n"/>
      <c r="B100" s="17" t="n"/>
      <c r="C100" s="17" t="n"/>
      <c r="D100" s="17" t="n"/>
      <c r="E100" s="17" t="n"/>
      <c r="F100" s="17" t="n"/>
      <c r="G100" s="17" t="n"/>
      <c r="H100" s="17" t="n"/>
    </row>
    <row r="101">
      <c r="A101" s="25" t="n"/>
      <c r="B101" s="17" t="n"/>
      <c r="C101" s="17" t="n"/>
      <c r="D101" s="17" t="n"/>
      <c r="E101" s="17" t="n"/>
      <c r="F101" s="17" t="n"/>
      <c r="G101" s="17" t="n"/>
      <c r="H101" s="17" t="n"/>
    </row>
    <row r="102">
      <c r="A102" s="25" t="n"/>
      <c r="B102" s="17" t="n"/>
      <c r="C102" s="17" t="n"/>
      <c r="D102" s="17" t="n"/>
      <c r="E102" s="17" t="n"/>
      <c r="F102" s="17" t="n"/>
      <c r="G102" s="17" t="n"/>
      <c r="H102" s="17" t="n"/>
    </row>
    <row r="103">
      <c r="A103" s="25" t="n"/>
      <c r="B103" s="17" t="n"/>
      <c r="C103" s="17" t="n"/>
      <c r="D103" s="17" t="n"/>
      <c r="E103" s="17" t="n"/>
      <c r="F103" s="17" t="n"/>
      <c r="G103" s="17" t="n"/>
      <c r="H103" s="17" t="n"/>
    </row>
    <row r="104">
      <c r="A104" s="25" t="n"/>
      <c r="B104" s="17" t="n"/>
      <c r="C104" s="17" t="n"/>
      <c r="D104" s="17" t="n"/>
      <c r="E104" s="17" t="n"/>
      <c r="F104" s="17" t="n"/>
      <c r="G104" s="17" t="n"/>
      <c r="H104" s="17" t="n"/>
    </row>
    <row r="105">
      <c r="A105" s="25" t="n"/>
      <c r="B105" s="17" t="n"/>
      <c r="C105" s="17" t="n"/>
      <c r="D105" s="17" t="n"/>
      <c r="E105" s="17" t="n"/>
      <c r="F105" s="17" t="n"/>
      <c r="G105" s="17" t="n"/>
      <c r="H105" s="17"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4"/>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6" t="inlineStr">
        <is>
          <t>SECURITY CONTROLS DURING DISRUPTION — SUMMARY DASHBOARD</t>
        </is>
      </c>
      <c r="B1" s="6" t="n"/>
      <c r="C1" s="6" t="n"/>
      <c r="D1" s="6" t="n"/>
      <c r="E1" s="6" t="n"/>
      <c r="F1" s="6" t="n"/>
      <c r="G1" s="6" t="n"/>
    </row>
    <row r="2">
      <c r="A2" s="12" t="inlineStr">
        <is>
          <t>ISO/IEC 27001:2022 — Control A.5.29: Information Security During Disruption</t>
        </is>
      </c>
    </row>
    <row r="4" ht="20" customHeight="1">
      <c r="A4" s="27" t="inlineStr">
        <is>
          <t>TABLE 1: ASSESSMENT AREA COMPLIANCE OVERVIEW</t>
        </is>
      </c>
      <c r="B4" s="6" t="n"/>
      <c r="C4" s="6" t="n"/>
      <c r="D4" s="6" t="n"/>
      <c r="E4" s="6" t="n"/>
      <c r="F4" s="6" t="n"/>
      <c r="G4" s="6" t="n"/>
    </row>
    <row r="5">
      <c r="A5" s="28" t="inlineStr">
        <is>
          <t>Assessment Area</t>
        </is>
      </c>
      <c r="B5" s="28" t="inlineStr">
        <is>
          <t>Total Items</t>
        </is>
      </c>
      <c r="C5" s="28" t="inlineStr">
        <is>
          <t>Compliant</t>
        </is>
      </c>
      <c r="D5" s="28" t="inlineStr">
        <is>
          <t>Partial</t>
        </is>
      </c>
      <c r="E5" s="28" t="inlineStr">
        <is>
          <t>Non-Compliant</t>
        </is>
      </c>
      <c r="F5" s="28" t="inlineStr">
        <is>
          <t>N/A</t>
        </is>
      </c>
      <c r="G5" s="28" t="inlineStr">
        <is>
          <t>Compliance %</t>
        </is>
      </c>
    </row>
    <row r="6">
      <c r="A6" s="29" t="inlineStr">
        <is>
          <t>Security Control Inventory</t>
        </is>
      </c>
      <c r="B6" s="30">
        <f>COUNTA('Security Control Inventory'!B14:B63)</f>
        <v/>
      </c>
      <c r="C6" s="30">
        <f>COUNTIF('Security Control Inventory'!E14:E63,"Operational")</f>
        <v/>
      </c>
      <c r="D6" s="30">
        <f>COUNTIF('Security Control Inventory'!E14:E63,"Partial")</f>
        <v/>
      </c>
      <c r="E6" s="30" t="n">
        <v>0</v>
      </c>
      <c r="F6" s="30">
        <f>COUNTIF('Security Control Inventory'!E14:E63,"Not Applicable")</f>
        <v/>
      </c>
      <c r="G6" s="31">
        <f>IFERROR(IF((B6-F6)=0,0,C6/(B6-F6)),"")</f>
        <v/>
      </c>
    </row>
    <row r="7">
      <c r="A7" s="29" t="inlineStr">
        <is>
          <t>Minimum Baseline</t>
        </is>
      </c>
      <c r="B7" s="30">
        <f>COUNTA('Minimum Baseline'!B10:B59)</f>
        <v/>
      </c>
      <c r="C7" s="30">
        <f>COUNTIF('Minimum Baseline'!G10:G59,"Approved")</f>
        <v/>
      </c>
      <c r="D7" s="30">
        <f>COUNTIF('Minimum Baseline'!G10:G59,"Pending")</f>
        <v/>
      </c>
      <c r="E7" s="30">
        <f>COUNTIF('Minimum Baseline'!G10:G59,"Rejected")</f>
        <v/>
      </c>
      <c r="F7" s="30" t="n">
        <v>0</v>
      </c>
      <c r="G7" s="31">
        <f>IFERROR(IF((B7-F7)=0,0,C7/(B7-F7)),"")</f>
        <v/>
      </c>
    </row>
    <row r="8">
      <c r="A8" s="29" t="inlineStr">
        <is>
          <t>BCDR Security Review</t>
        </is>
      </c>
      <c r="B8" s="30">
        <f>COUNTA('BCDR Security Review'!B5:B54)</f>
        <v/>
      </c>
      <c r="C8" s="30">
        <f>COUNTIF('BCDR Security Review'!G5:G54,"Approved")</f>
        <v/>
      </c>
      <c r="D8" s="30">
        <f>COUNTIF('BCDR Security Review'!G5:G54,"Pending")</f>
        <v/>
      </c>
      <c r="E8" s="30">
        <f>COUNTIF('BCDR Security Review'!G5:G54,"Rejected")</f>
        <v/>
      </c>
      <c r="F8" s="30" t="n">
        <v>0</v>
      </c>
      <c r="G8" s="31">
        <f>IFERROR(IF((B8-F8)=0,0,C8/(B8-F8)),"")</f>
        <v/>
      </c>
    </row>
    <row r="9">
      <c r="A9" s="32" t="inlineStr">
        <is>
          <t>TOTAL</t>
        </is>
      </c>
      <c r="B9" s="33">
        <f>SUM(B6:B8)</f>
        <v/>
      </c>
      <c r="C9" s="33">
        <f>SUM(C6:C8)</f>
        <v/>
      </c>
      <c r="D9" s="33">
        <f>SUM(D6:D8)</f>
        <v/>
      </c>
      <c r="E9" s="33">
        <f>SUM(E6:E8)</f>
        <v/>
      </c>
      <c r="F9" s="33">
        <f>SUM(F6:F8)</f>
        <v/>
      </c>
      <c r="G9" s="34">
        <f>IFERROR(IF((B9-F9)=0,0,C9/(B9-F9)),"")</f>
        <v/>
      </c>
    </row>
    <row r="11">
      <c r="A11" s="27" t="inlineStr">
        <is>
          <t>TABLE 2: KEY METRICS</t>
        </is>
      </c>
      <c r="B11" s="6" t="n"/>
      <c r="C11" s="6" t="n"/>
      <c r="D11" s="6" t="n"/>
      <c r="E11" s="6" t="n"/>
      <c r="F11" s="6" t="n"/>
      <c r="G11" s="6" t="n"/>
    </row>
    <row r="12">
      <c r="A12" s="33" t="inlineStr">
        <is>
          <t>Metric</t>
        </is>
      </c>
      <c r="B12" s="33" t="inlineStr">
        <is>
          <t>Value</t>
        </is>
      </c>
      <c r="C12" s="33" t="n"/>
      <c r="D12" s="33" t="n"/>
      <c r="E12" s="33" t="n"/>
      <c r="F12" s="33" t="n"/>
      <c r="G12" s="33" t="n"/>
    </row>
    <row r="13">
      <c r="A13" s="29" t="inlineStr">
        <is>
          <t>Total Security Controls Inventoried</t>
        </is>
      </c>
      <c r="B13" s="30">
        <f>COUNTA('Security Control Inventory'!B14:B63)</f>
        <v/>
      </c>
      <c r="C13" s="6" t="n"/>
      <c r="D13" s="6" t="n"/>
      <c r="E13" s="6" t="n"/>
      <c r="F13" s="6" t="n"/>
      <c r="G13" s="6" t="n"/>
    </row>
    <row r="14">
      <c r="A14" s="29" t="inlineStr">
        <is>
          <t>Non-Negotiable Controls (Must Maintain)</t>
        </is>
      </c>
      <c r="B14" s="30">
        <f>COUNTIF('Security Control Inventory'!F14:F63,"Non-Negotiable")</f>
        <v/>
      </c>
      <c r="C14" s="6" t="n"/>
      <c r="D14" s="6" t="n"/>
      <c r="E14" s="6" t="n"/>
      <c r="F14" s="6" t="n"/>
      <c r="G14" s="6" t="n"/>
    </row>
    <row r="15">
      <c r="A15" s="29" t="inlineStr">
        <is>
          <t>Degradable Controls</t>
        </is>
      </c>
      <c r="B15" s="30">
        <f>COUNTIF('Security Control Inventory'!F14:F63,"Degradable")</f>
        <v/>
      </c>
      <c r="C15" s="6" t="n"/>
      <c r="D15" s="6" t="n"/>
      <c r="E15" s="6" t="n"/>
      <c r="F15" s="6" t="n"/>
      <c r="G15" s="6" t="n"/>
    </row>
    <row r="16">
      <c r="A16" s="29" t="inlineStr">
        <is>
          <t>Deferrable Controls</t>
        </is>
      </c>
      <c r="B16" s="30">
        <f>COUNTIF('Security Control Inventory'!F14:F63,"Deferrable")</f>
        <v/>
      </c>
      <c r="C16" s="6" t="n"/>
      <c r="D16" s="6" t="n"/>
      <c r="E16" s="6" t="n"/>
      <c r="F16" s="6" t="n"/>
      <c r="G16" s="6" t="n"/>
    </row>
    <row r="17">
      <c r="A17" s="29" t="inlineStr">
        <is>
          <t>Critical Priority Controls</t>
        </is>
      </c>
      <c r="B17" s="30">
        <f>COUNTIF('Security Control Inventory'!G14:G63,"Critical")</f>
        <v/>
      </c>
      <c r="C17" s="6" t="n"/>
      <c r="D17" s="6" t="n"/>
      <c r="E17" s="6" t="n"/>
      <c r="F17" s="6" t="n"/>
      <c r="G17" s="6" t="n"/>
    </row>
    <row r="18">
      <c r="A18" s="29" t="inlineStr">
        <is>
          <t>High Priority Controls</t>
        </is>
      </c>
      <c r="B18" s="30">
        <f>COUNTIF('Security Control Inventory'!G14:G63,"High")</f>
        <v/>
      </c>
      <c r="C18" s="6" t="n"/>
      <c r="D18" s="6" t="n"/>
      <c r="E18" s="6" t="n"/>
      <c r="F18" s="6" t="n"/>
      <c r="G18" s="6" t="n"/>
    </row>
    <row r="19">
      <c r="A19" s="29" t="inlineStr">
        <is>
          <t>Controls Currently Operational</t>
        </is>
      </c>
      <c r="B19" s="30">
        <f>COUNTIF('Security Control Inventory'!E14:E63,"Operational")</f>
        <v/>
      </c>
      <c r="C19" s="6" t="n"/>
      <c r="D19" s="6" t="n"/>
      <c r="E19" s="6" t="n"/>
      <c r="F19" s="6" t="n"/>
      <c r="G19" s="6" t="n"/>
    </row>
    <row r="20">
      <c r="A20" s="29" t="inlineStr">
        <is>
          <t>Controls Partially Operational</t>
        </is>
      </c>
      <c r="B20" s="30">
        <f>COUNTIF('Security Control Inventory'!E14:E63,"Partial")</f>
        <v/>
      </c>
      <c r="C20" s="6" t="n"/>
      <c r="D20" s="6" t="n"/>
      <c r="E20" s="6" t="n"/>
      <c r="F20" s="6" t="n"/>
      <c r="G20" s="6" t="n"/>
    </row>
    <row r="21">
      <c r="A21" s="29" t="inlineStr">
        <is>
          <t>Baseline Controls Approved</t>
        </is>
      </c>
      <c r="B21" s="30">
        <f>COUNTIF('Minimum Baseline'!G10:G59,"Approved")</f>
        <v/>
      </c>
      <c r="C21" s="6" t="n"/>
      <c r="D21" s="6" t="n"/>
      <c r="E21" s="6" t="n"/>
      <c r="F21" s="6" t="n"/>
      <c r="G21" s="6" t="n"/>
    </row>
    <row r="22">
      <c r="A22" s="29" t="inlineStr">
        <is>
          <t>Baseline Controls Pending Approval</t>
        </is>
      </c>
      <c r="B22" s="30">
        <f>COUNTIF('Minimum Baseline'!G10:G59,"Pending")</f>
        <v/>
      </c>
      <c r="C22" s="6" t="n"/>
      <c r="D22" s="6" t="n"/>
      <c r="E22" s="6" t="n"/>
      <c r="F22" s="6" t="n"/>
      <c r="G22" s="6" t="n"/>
    </row>
    <row r="23">
      <c r="A23" s="29" t="inlineStr">
        <is>
          <t>Total Compensating Controls</t>
        </is>
      </c>
      <c r="B23" s="30">
        <f>COUNTA('Compensating Controls'!B10:B59)</f>
        <v/>
      </c>
      <c r="C23" s="6" t="n"/>
      <c r="D23" s="6" t="n"/>
      <c r="E23" s="6" t="n"/>
      <c r="F23" s="6" t="n"/>
      <c r="G23" s="6" t="n"/>
    </row>
    <row r="24">
      <c r="A24" s="29" t="inlineStr">
        <is>
          <t>Compensating Controls Tested</t>
        </is>
      </c>
      <c r="B24" s="30">
        <f>COUNTIF('Compensating Controls'!I10:I59,"Tested")</f>
        <v/>
      </c>
      <c r="C24" s="6" t="n"/>
      <c r="D24" s="6" t="n"/>
      <c r="E24" s="6" t="n"/>
      <c r="F24" s="6" t="n"/>
      <c r="G24" s="6" t="n"/>
    </row>
    <row r="25">
      <c r="A25" s="29" t="inlineStr">
        <is>
          <t>Compensating Controls Untested</t>
        </is>
      </c>
      <c r="B25" s="30">
        <f>COUNTIF('Compensating Controls'!I10:I59,"Untested")</f>
        <v/>
      </c>
      <c r="C25" s="6" t="n"/>
      <c r="D25" s="6" t="n"/>
      <c r="E25" s="6" t="n"/>
      <c r="F25" s="6" t="n"/>
      <c r="G25" s="6" t="n"/>
    </row>
    <row r="26">
      <c r="A26" s="29" t="inlineStr">
        <is>
          <t>BC/DR Plans Reviewed</t>
        </is>
      </c>
      <c r="B26" s="30">
        <f>COUNTA('BCDR Security Review'!B5:B54)</f>
        <v/>
      </c>
      <c r="C26" s="6" t="n"/>
      <c r="D26" s="6" t="n"/>
      <c r="E26" s="6" t="n"/>
      <c r="F26" s="6" t="n"/>
      <c r="G26" s="6" t="n"/>
    </row>
    <row r="27">
      <c r="A27" s="29" t="inlineStr">
        <is>
          <t>BC/DR Plans with Security Section</t>
        </is>
      </c>
      <c r="B27" s="30">
        <f>COUNTIF('BCDR Security Review'!E5:E54,"Yes")</f>
        <v/>
      </c>
      <c r="C27" s="6" t="n"/>
      <c r="D27" s="6" t="n"/>
      <c r="E27" s="6" t="n"/>
      <c r="F27" s="6" t="n"/>
      <c r="G27" s="6" t="n"/>
    </row>
    <row r="28">
      <c r="A28" s="29" t="inlineStr">
        <is>
          <t>BC/DR Plans CISO-Approved</t>
        </is>
      </c>
      <c r="B28" s="30">
        <f>COUNTIF('BCDR Security Review'!G5:G54,"Approved")</f>
        <v/>
      </c>
      <c r="C28" s="6" t="n"/>
      <c r="D28" s="6" t="n"/>
      <c r="E28" s="6" t="n"/>
      <c r="F28" s="6" t="n"/>
      <c r="G28" s="6" t="n"/>
    </row>
    <row r="29">
      <c r="A29" s="29" t="inlineStr">
        <is>
          <t>BC/DR Plans with Open Remediation</t>
        </is>
      </c>
      <c r="B29" s="30">
        <f>COUNTIF('BCDR Security Review'!J5:J54,"Open")</f>
        <v/>
      </c>
      <c r="C29" s="6" t="n"/>
      <c r="D29" s="6" t="n"/>
      <c r="E29" s="6" t="n"/>
      <c r="F29" s="6" t="n"/>
      <c r="G29" s="6" t="n"/>
    </row>
    <row r="30">
      <c r="A30" s="6" t="n"/>
      <c r="B30" s="6" t="n"/>
      <c r="C30" s="6" t="n"/>
      <c r="D30" s="6" t="n"/>
      <c r="E30" s="6" t="n"/>
      <c r="F30" s="6" t="n"/>
      <c r="G30" s="6" t="n"/>
    </row>
    <row r="31">
      <c r="A31" s="6" t="n"/>
      <c r="B31" s="6" t="n"/>
      <c r="C31" s="6" t="n"/>
      <c r="D31" s="6" t="n"/>
      <c r="E31" s="6" t="n"/>
      <c r="F31" s="6" t="n"/>
      <c r="G31" s="6" t="n"/>
    </row>
    <row r="33">
      <c r="A33" s="35" t="inlineStr">
        <is>
          <t>TABLE 3: CRITICAL FINDINGS REQUIRING IMMEDIATE ATTENTION</t>
        </is>
      </c>
      <c r="B33" s="6" t="n"/>
      <c r="C33" s="6" t="n"/>
      <c r="D33" s="6" t="n"/>
      <c r="E33" s="6" t="n"/>
      <c r="F33" s="6" t="n"/>
      <c r="G33" s="6" t="n"/>
    </row>
    <row r="34">
      <c r="A34" s="33" t="inlineStr">
        <is>
          <t>Category</t>
        </is>
      </c>
      <c r="B34" s="33" t="inlineStr">
        <is>
          <t>Finding</t>
        </is>
      </c>
      <c r="C34" s="33" t="inlineStr">
        <is>
          <t>Count</t>
        </is>
      </c>
      <c r="D34" s="33" t="inlineStr">
        <is>
          <t>Severity</t>
        </is>
      </c>
      <c r="E34" s="33" t="inlineStr">
        <is>
          <t>Action Required</t>
        </is>
      </c>
      <c r="F34" s="33" t="n"/>
      <c r="G34" s="33" t="n"/>
    </row>
    <row r="35">
      <c r="A35" s="36" t="inlineStr">
        <is>
          <t>Security Control Inventory</t>
        </is>
      </c>
      <c r="B35" s="36" t="inlineStr">
        <is>
          <t>Non-Negotiable controls not Operational</t>
        </is>
      </c>
      <c r="C35" s="37">
        <f>COUNTIFS('Security Control Inventory'!F14:F63,"Non-Negotiable",'Security Control Inventory'!E14:E63,"Partial")</f>
        <v/>
      </c>
      <c r="D35" s="36" t="inlineStr">
        <is>
          <t>Critical</t>
        </is>
      </c>
      <c r="E35" s="36" t="inlineStr">
        <is>
          <t>Immediate</t>
        </is>
      </c>
      <c r="F35" s="36" t="n"/>
      <c r="G35" s="36" t="n"/>
    </row>
    <row r="36">
      <c r="A36" s="36" t="inlineStr">
        <is>
          <t>Security Control Inventory</t>
        </is>
      </c>
      <c r="B36" s="36" t="inlineStr">
        <is>
          <t>Critical priority controls not Operational</t>
        </is>
      </c>
      <c r="C36" s="37">
        <f>COUNTIFS('Security Control Inventory'!G14:G63,"Critical",'Security Control Inventory'!E14:E63,"Partial")</f>
        <v/>
      </c>
      <c r="D36" s="36" t="inlineStr">
        <is>
          <t>Critical</t>
        </is>
      </c>
      <c r="E36" s="36" t="inlineStr">
        <is>
          <t>Immediate</t>
        </is>
      </c>
      <c r="F36" s="36" t="n"/>
      <c r="G36" s="36" t="n"/>
    </row>
    <row r="37">
      <c r="A37" s="36" t="inlineStr">
        <is>
          <t>Minimum Baseline</t>
        </is>
      </c>
      <c r="B37" s="36" t="inlineStr">
        <is>
          <t>Baseline controls not yet Approved</t>
        </is>
      </c>
      <c r="C37" s="37">
        <f>COUNTIF('Minimum Baseline'!G10:G59,"Pending")+COUNTIF('Minimum Baseline'!G10:G59,"Rejected")</f>
        <v/>
      </c>
      <c r="D37" s="36" t="inlineStr">
        <is>
          <t>Critical</t>
        </is>
      </c>
      <c r="E37" s="36" t="inlineStr">
        <is>
          <t>Immediate</t>
        </is>
      </c>
      <c r="F37" s="36" t="n"/>
      <c r="G37" s="36" t="n"/>
    </row>
    <row r="38">
      <c r="A38" s="36" t="inlineStr">
        <is>
          <t>Compensating Controls</t>
        </is>
      </c>
      <c r="B38" s="36" t="inlineStr">
        <is>
          <t>Untested compensating controls</t>
        </is>
      </c>
      <c r="C38" s="37">
        <f>COUNTIF('Compensating Controls'!I10:I59,"Untested")</f>
        <v/>
      </c>
      <c r="D38" s="36" t="inlineStr">
        <is>
          <t>High</t>
        </is>
      </c>
      <c r="E38" s="36" t="inlineStr">
        <is>
          <t>Urgent</t>
        </is>
      </c>
      <c r="F38" s="36" t="n"/>
      <c r="G38" s="36" t="n"/>
    </row>
    <row r="39">
      <c r="A39" s="36" t="inlineStr">
        <is>
          <t>Compensating Controls</t>
        </is>
      </c>
      <c r="B39" s="36" t="inlineStr">
        <is>
          <t>Failed compensating controls</t>
        </is>
      </c>
      <c r="C39" s="37">
        <f>COUNTIF('Compensating Controls'!I10:I59,"Failed")</f>
        <v/>
      </c>
      <c r="D39" s="36" t="inlineStr">
        <is>
          <t>Critical</t>
        </is>
      </c>
      <c r="E39" s="36" t="inlineStr">
        <is>
          <t>Immediate</t>
        </is>
      </c>
      <c r="F39" s="36" t="n"/>
      <c r="G39" s="36" t="n"/>
    </row>
    <row r="40">
      <c r="A40" s="36" t="inlineStr">
        <is>
          <t>BCDR Security Review</t>
        </is>
      </c>
      <c r="B40" s="36" t="inlineStr">
        <is>
          <t>BC/DR plans missing security section</t>
        </is>
      </c>
      <c r="C40" s="37">
        <f>COUNTIF('BCDR Security Review'!E5:E54,"No")</f>
        <v/>
      </c>
      <c r="D40" s="36" t="inlineStr">
        <is>
          <t>High</t>
        </is>
      </c>
      <c r="E40" s="36" t="inlineStr">
        <is>
          <t>Urgent</t>
        </is>
      </c>
      <c r="F40" s="36" t="n"/>
      <c r="G40" s="36" t="n"/>
    </row>
    <row r="41">
      <c r="A41" s="36" t="inlineStr">
        <is>
          <t>BCDR Security Review</t>
        </is>
      </c>
      <c r="B41" s="36" t="inlineStr">
        <is>
          <t>BC/DR plans not CISO-approved</t>
        </is>
      </c>
      <c r="C41" s="37">
        <f>COUNTIF('BCDR Security Review'!G5:G54,"Pending")+COUNTIF('BCDR Security Review'!G5:G54,"Rejected")</f>
        <v/>
      </c>
      <c r="D41" s="36" t="inlineStr">
        <is>
          <t>High</t>
        </is>
      </c>
      <c r="E41" s="36" t="inlineStr">
        <is>
          <t>Urgent</t>
        </is>
      </c>
      <c r="F41" s="36" t="n"/>
      <c r="G41" s="36" t="n"/>
    </row>
    <row r="42">
      <c r="A42" s="36" t="inlineStr">
        <is>
          <t>BCDR Security Review</t>
        </is>
      </c>
      <c r="B42" s="36" t="inlineStr">
        <is>
          <t>Plans with open remediation items</t>
        </is>
      </c>
      <c r="C42" s="37">
        <f>COUNTIF('BCDR Security Review'!J5:J54,"Open")</f>
        <v/>
      </c>
      <c r="D42" s="36" t="inlineStr">
        <is>
          <t>Medium</t>
        </is>
      </c>
      <c r="E42" s="36" t="inlineStr">
        <is>
          <t>Plan</t>
        </is>
      </c>
      <c r="F42" s="36" t="n"/>
      <c r="G42" s="36" t="n"/>
    </row>
    <row r="43">
      <c r="A43" s="16" t="n"/>
      <c r="B43" s="16" t="n"/>
      <c r="C43" s="16" t="n"/>
      <c r="D43" s="16" t="n"/>
      <c r="E43" s="16" t="n"/>
      <c r="F43" s="16" t="n"/>
      <c r="G43" s="16" t="n"/>
    </row>
    <row r="44">
      <c r="A44" s="16" t="n"/>
      <c r="B44" s="16" t="n"/>
      <c r="C44" s="16" t="n"/>
      <c r="D44" s="16" t="n"/>
      <c r="E44" s="16" t="n"/>
      <c r="F44" s="16" t="n"/>
      <c r="G44" s="16" t="n"/>
    </row>
  </sheetData>
  <mergeCells count="5">
    <mergeCell ref="A1:G1"/>
    <mergeCell ref="A4:G4"/>
    <mergeCell ref="A2:G2"/>
    <mergeCell ref="A33:G33"/>
    <mergeCell ref="A11:G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20" t="inlineStr">
        <is>
          <t>SECURITY CONTROLS DURING DISRUPTION — ASSESSMENT APPROVAL AND SIGN-OFF</t>
        </is>
      </c>
      <c r="B1" s="6" t="n"/>
      <c r="C1" s="6" t="n"/>
      <c r="D1" s="6" t="n"/>
      <c r="E1" s="6" t="n"/>
    </row>
    <row r="2">
      <c r="A2" s="38" t="inlineStr">
        <is>
          <t>ISO/IEC 27001:2022 - Control A.5.29: Information Security During Disruption</t>
        </is>
      </c>
      <c r="B2" s="6" t="n"/>
      <c r="C2" s="6" t="n"/>
      <c r="D2" s="6" t="n"/>
      <c r="E2" s="6" t="n"/>
    </row>
    <row r="3">
      <c r="A3" s="39" t="inlineStr">
        <is>
          <t>ASSESSMENT SUMMARY</t>
        </is>
      </c>
      <c r="B3" s="6" t="n"/>
      <c r="C3" s="6" t="n"/>
      <c r="D3" s="6" t="n"/>
      <c r="E3" s="6" t="n"/>
    </row>
    <row r="4">
      <c r="A4" s="40" t="inlineStr">
        <is>
          <t>Document:</t>
        </is>
      </c>
      <c r="B4" s="6" t="inlineStr">
        <is>
          <t>ISMS-IMP-A.5.29.1 — Security Controls During Disruption</t>
        </is>
      </c>
      <c r="C4" s="6" t="n"/>
      <c r="D4" s="6" t="n"/>
      <c r="E4" s="6" t="n"/>
    </row>
    <row r="5">
      <c r="A5" s="40" t="inlineStr">
        <is>
          <t>Assessment Period:</t>
        </is>
      </c>
      <c r="B5" s="16" t="inlineStr"/>
      <c r="C5" s="6" t="n"/>
      <c r="D5" s="6" t="n"/>
      <c r="E5" s="6" t="n"/>
    </row>
    <row r="6">
      <c r="A6" s="40" t="inlineStr">
        <is>
          <t>Overall Compliance Rating:</t>
        </is>
      </c>
      <c r="B6" s="41">
        <f>IFERROR(AVERAGE('Summary Dashboard'!G6:G8),"")</f>
        <v/>
      </c>
      <c r="C6" s="6" t="n"/>
      <c r="D6" s="6" t="n"/>
      <c r="E6" s="6" t="n"/>
    </row>
    <row r="7">
      <c r="A7" s="40" t="inlineStr">
        <is>
          <t>Assessment Status:</t>
        </is>
      </c>
      <c r="B7" s="16" t="inlineStr"/>
      <c r="C7" s="6" t="n"/>
      <c r="D7" s="6" t="n"/>
      <c r="E7" s="6" t="n"/>
    </row>
    <row r="8">
      <c r="A8" s="40" t="inlineStr">
        <is>
          <t>Assessed By:</t>
        </is>
      </c>
      <c r="B8" s="16" t="inlineStr"/>
      <c r="C8" s="6" t="n"/>
      <c r="D8" s="6" t="n"/>
      <c r="E8" s="6" t="n"/>
    </row>
    <row r="9">
      <c r="A9" s="6" t="n"/>
    </row>
    <row r="10">
      <c r="A10" s="39" t="inlineStr">
        <is>
          <t>ASSESSMENT REVIEW AND APPROVAL</t>
        </is>
      </c>
    </row>
    <row r="11">
      <c r="A11" s="42" t="inlineStr">
        <is>
          <t>Role / Function</t>
        </is>
      </c>
      <c r="B11" s="42" t="inlineStr">
        <is>
          <t>Name</t>
        </is>
      </c>
      <c r="C11" s="42" t="inlineStr">
        <is>
          <t>Signature / Initials</t>
        </is>
      </c>
      <c r="D11" s="42" t="inlineStr">
        <is>
          <t>Date (DD.MM.YYYY)</t>
        </is>
      </c>
      <c r="E11" s="42" t="inlineStr">
        <is>
          <t>Comments</t>
        </is>
      </c>
    </row>
    <row r="12">
      <c r="A12" s="43" t="inlineStr">
        <is>
          <t>Lead Assessor / Author</t>
        </is>
      </c>
      <c r="B12" s="16" t="n"/>
      <c r="C12" s="16" t="n"/>
      <c r="D12" s="16" t="n"/>
      <c r="E12" s="16" t="n"/>
    </row>
    <row r="13">
      <c r="A13" s="43" t="inlineStr">
        <is>
          <t>IT Security Manager</t>
        </is>
      </c>
      <c r="B13" s="16" t="n"/>
      <c r="C13" s="16" t="n"/>
      <c r="D13" s="16" t="n"/>
      <c r="E13" s="16" t="n"/>
    </row>
    <row r="14">
      <c r="A14" s="43" t="inlineStr">
        <is>
          <t>Reviewer (Technical / Compliance)</t>
        </is>
      </c>
      <c r="B14" s="16" t="n"/>
      <c r="C14" s="16" t="n"/>
      <c r="D14" s="16" t="n"/>
      <c r="E14" s="16" t="n"/>
    </row>
    <row r="15">
      <c r="A15" s="43" t="inlineStr">
        <is>
          <t>CISO / Final Approver</t>
        </is>
      </c>
      <c r="B15" s="16" t="n"/>
      <c r="C15" s="16" t="n"/>
      <c r="D15" s="16" t="n"/>
      <c r="E15" s="16" t="n"/>
    </row>
    <row r="16">
      <c r="A16" s="6" t="n"/>
    </row>
    <row r="17">
      <c r="A17" s="44" t="inlineStr">
        <is>
          <t>FINAL DECISION:</t>
        </is>
      </c>
      <c r="B17" s="45" t="inlineStr">
        <is>
          <t>☐ Approved     ☐ Approved with Conditions     ☐ Rejected     ☐ Deferred</t>
        </is>
      </c>
      <c r="C17" s="6" t="n"/>
      <c r="D17" s="6" t="n"/>
      <c r="E17" s="6" t="n"/>
    </row>
    <row r="18">
      <c r="A18" s="6" t="n"/>
    </row>
    <row r="19">
      <c r="A19" s="39" t="inlineStr">
        <is>
          <t>NEXT REVIEW DETAILS</t>
        </is>
      </c>
    </row>
    <row r="20">
      <c r="A20" s="46" t="inlineStr">
        <is>
          <t>Next Review Date (DD.MM.YYYY)</t>
        </is>
      </c>
      <c r="B20" s="16" t="n"/>
    </row>
    <row r="21">
      <c r="A21" s="46" t="inlineStr">
        <is>
          <t>Review Owner</t>
        </is>
      </c>
      <c r="B21" s="16"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ISMS-IMP-A.5.29.1 — Security Controls During Disruption</dc:title>
  <dc:description xmlns:dc="http://purl.org/dc/elements/1.1/">ISMS Implementation Workbook — ISMS-IMP-A.5.29.1</dc:description>
  <dc:subject xmlns:dc="http://purl.org/dc/elements/1.1/">ISO/IEC 27001:2022 — Control A.5.29: Information Security During Disruption</dc:subject>
  <dcterms:created xmlns:dcterms="http://purl.org/dc/terms/" xmlns:xsi="http://www.w3.org/2001/XMLSchema-instance" xsi:type="dcterms:W3CDTF">2026-03-10T18:48:43Z</dcterms:created>
  <dcterms:modified xmlns:dcterms="http://purl.org/dc/terms/" xmlns:xsi="http://www.w3.org/2001/XMLSchema-instance" xsi:type="dcterms:W3CDTF">2026-03-10T18:48:43Z</dcterms:modified>
</cp:coreProperties>
</file>