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gradation Scenarios" sheetId="2" state="visible" r:id="rId2"/>
    <sheet xmlns:r="http://schemas.openxmlformats.org/officeDocument/2006/relationships" name="BreakGlass Accounts" sheetId="3" state="visible" r:id="rId3"/>
    <sheet xmlns:r="http://schemas.openxmlformats.org/officeDocument/2006/relationships" name="BreakGlass Activation" sheetId="4" state="visible" r:id="rId4"/>
    <sheet xmlns:r="http://schemas.openxmlformats.org/officeDocument/2006/relationships" name="Elevated Monitoring" sheetId="5" state="visible" r:id="rId5"/>
    <sheet xmlns:r="http://schemas.openxmlformats.org/officeDocument/2006/relationships" name="Personnel Availability" sheetId="6" state="visible" r:id="rId6"/>
    <sheet xmlns:r="http://schemas.openxmlformats.org/officeDocument/2006/relationships" name="Security Debt Register"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sz val="10"/>
    </font>
    <font>
      <name val="Calibri"/>
      <b val="1"/>
      <color rgb="00FFFFFF"/>
      <sz val="10"/>
    </font>
    <font>
      <name val="Calibri"/>
      <sz val="10"/>
    </font>
    <font>
      <name val="Calibri"/>
      <b val="1"/>
      <color rgb="00FFFFFF"/>
      <sz val="11"/>
    </font>
    <font>
      <name val="Calibri"/>
      <b val="1"/>
      <color rgb="00000000"/>
      <sz val="10"/>
    </font>
    <font>
      <name val="Calibri"/>
      <color rgb="00000000"/>
      <sz val="10"/>
    </font>
    <font>
      <name val="Calibri"/>
      <b val="1"/>
      <color rgb="00000000"/>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FFFF"/>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pivotButton="0" quotePrefix="0" xfId="0"/>
    <xf numFmtId="0" fontId="0" fillId="10" borderId="1" applyAlignment="1" pivotButton="0" quotePrefix="0" xfId="0">
      <alignment vertical="center" wrapText="1"/>
    </xf>
    <xf numFmtId="0" fontId="0" fillId="10" borderId="1" applyAlignment="1" pivotButton="0" quotePrefix="0" xfId="0">
      <alignment horizontal="left" vertical="center" wrapText="1"/>
    </xf>
    <xf numFmtId="0" fontId="0" fillId="11"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9" fillId="2" borderId="1" applyAlignment="1" pivotButton="0" quotePrefix="0" xfId="0">
      <alignment horizontal="left" vertical="center"/>
    </xf>
    <xf numFmtId="0" fontId="10" fillId="4" borderId="1" applyAlignment="1" pivotButton="0" quotePrefix="0" xfId="0">
      <alignment horizontal="left" vertical="center" wrapText="1"/>
    </xf>
    <xf numFmtId="0" fontId="10" fillId="4" borderId="1" applyAlignment="1" pivotButton="0" quotePrefix="0" xfId="0">
      <alignment horizontal="center" vertical="center" wrapText="1"/>
    </xf>
    <xf numFmtId="0" fontId="11" fillId="12" borderId="1" applyAlignment="1" pivotButton="0" quotePrefix="0" xfId="0">
      <alignment horizontal="left" vertical="center"/>
    </xf>
    <xf numFmtId="0" fontId="11" fillId="12" borderId="1" applyAlignment="1" pivotButton="0" quotePrefix="0" xfId="0">
      <alignment horizontal="center" vertical="center"/>
    </xf>
    <xf numFmtId="164" fontId="11" fillId="12" borderId="1" applyAlignment="1" pivotButton="0" quotePrefix="0" xfId="0">
      <alignment horizontal="center" vertical="center"/>
    </xf>
    <xf numFmtId="0" fontId="10" fillId="4" borderId="1" applyAlignment="1" pivotButton="0" quotePrefix="0" xfId="0">
      <alignment horizontal="left" vertical="center"/>
    </xf>
    <xf numFmtId="0" fontId="10" fillId="4" borderId="1" applyAlignment="1" pivotButton="0" quotePrefix="0" xfId="0">
      <alignment horizontal="center" vertical="center"/>
    </xf>
    <xf numFmtId="164" fontId="10" fillId="4" borderId="1" applyAlignment="1" pivotButton="0" quotePrefix="0" xfId="0">
      <alignment horizontal="center" vertical="center"/>
    </xf>
    <xf numFmtId="0" fontId="0" fillId="4" borderId="1" pivotButton="0" quotePrefix="0" xfId="0"/>
    <xf numFmtId="0" fontId="0" fillId="12" borderId="1" pivotButton="0" quotePrefix="0" xfId="0"/>
    <xf numFmtId="0" fontId="9" fillId="13" borderId="1" applyAlignment="1" pivotButton="0" quotePrefix="0" xfId="0">
      <alignment horizontal="left" vertical="center"/>
    </xf>
    <xf numFmtId="0" fontId="11" fillId="3" borderId="1" applyAlignment="1" pivotButton="0" quotePrefix="0" xfId="0">
      <alignment horizontal="left" vertical="center"/>
    </xf>
    <xf numFmtId="0" fontId="11" fillId="3" borderId="1" applyAlignment="1" pivotButton="0" quotePrefix="0" xfId="0">
      <alignment horizontal="center" vertical="center" wrapText="1"/>
    </xf>
    <xf numFmtId="0" fontId="11" fillId="3" borderId="1" applyAlignment="1" pivotButton="0" quotePrefix="0" xfId="0">
      <alignment horizontal="center" vertical="center"/>
    </xf>
    <xf numFmtId="0" fontId="5" fillId="0" borderId="1" applyAlignment="1" pivotButton="0" quotePrefix="0" xfId="0">
      <alignment horizontal="center" vertical="center"/>
    </xf>
    <xf numFmtId="0" fontId="9" fillId="14" borderId="1" applyAlignment="1" pivotButton="0" quotePrefix="0" xfId="0">
      <alignment horizontal="center" vertical="center"/>
    </xf>
    <xf numFmtId="0" fontId="10" fillId="0" borderId="1" pivotButton="0" quotePrefix="0" xfId="0"/>
    <xf numFmtId="164" fontId="0" fillId="0" borderId="1" pivotButton="0" quotePrefix="0" xfId="0"/>
    <xf numFmtId="0" fontId="10" fillId="9" borderId="1" applyAlignment="1" pivotButton="0" quotePrefix="0" xfId="0">
      <alignment horizontal="center" vertical="center" wrapText="1"/>
    </xf>
    <xf numFmtId="0" fontId="8" fillId="11" borderId="1" pivotButton="0" quotePrefix="0" xfId="0"/>
    <xf numFmtId="0" fontId="12" fillId="0" borderId="1" pivotButton="0" quotePrefix="0" xfId="0"/>
    <xf numFmtId="0" fontId="8" fillId="11" borderId="1" applyAlignment="1" pivotButton="0" quotePrefix="0" xfId="0">
      <alignment horizontal="center" vertical="center"/>
    </xf>
    <xf numFmtId="0" fontId="10"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ISMS-IMP-A.5.29.2  -  Degraded Mode Security Requirements
ISO/IEC 27001:2022 - Control A.5.29: Information Security During Disruption</t>
        </is>
      </c>
    </row>
    <row r="3">
      <c r="A3" s="2" t="inlineStr">
        <is>
          <t>Document Information</t>
        </is>
      </c>
    </row>
    <row r="4">
      <c r="A4" s="3" t="inlineStr">
        <is>
          <t>Document ID</t>
        </is>
      </c>
      <c r="B4" t="inlineStr">
        <is>
          <t>ISMS-IMP-A.5.29.2</t>
        </is>
      </c>
    </row>
    <row r="5">
      <c r="A5" s="3" t="inlineStr">
        <is>
          <t>Workbook Title</t>
        </is>
      </c>
      <c r="B5" t="inlineStr">
        <is>
          <t>Degraded Mode Security Requirements</t>
        </is>
      </c>
    </row>
    <row r="6">
      <c r="A6" s="3" t="inlineStr">
        <is>
          <t>Control Reference</t>
        </is>
      </c>
      <c r="B6" t="inlineStr">
        <is>
          <t>ISO/IEC 27001:2022 - Control A.5.29: Information Security During Disruption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40" customWidth="1" min="3" max="3"/>
    <col width="25" customWidth="1" min="4" max="4"/>
    <col width="22" customWidth="1" min="5" max="5"/>
    <col width="45" customWidth="1" min="6" max="6"/>
    <col width="20" customWidth="1" min="7" max="7"/>
    <col width="35" customWidth="1" min="8" max="8"/>
    <col width="25" customWidth="1" min="9" max="9"/>
    <col width="15" customWidth="1" min="10" max="10"/>
    <col width="40" customWidth="1" min="11" max="11"/>
  </cols>
  <sheetData>
    <row r="1" ht="35" customHeight="1">
      <c r="A1" s="11" t="inlineStr">
        <is>
          <t>DEGRADATION SCENARIOS</t>
        </is>
      </c>
    </row>
    <row r="2">
      <c r="A2" s="12" t="inlineStr">
        <is>
          <t>Documented acceptable security degradations for each disruption type, with duration limits and authorisation requirements</t>
        </is>
      </c>
    </row>
    <row r="3">
      <c r="A3" s="13" t="inlineStr">
        <is>
          <t>Scenario_ID</t>
        </is>
      </c>
      <c r="B3" s="13" t="inlineStr">
        <is>
          <t>Scenario_Name</t>
        </is>
      </c>
      <c r="C3" s="13" t="inlineStr">
        <is>
          <t>Trigger_Condition</t>
        </is>
      </c>
      <c r="D3" s="13" t="inlineStr">
        <is>
          <t>Control_Affected</t>
        </is>
      </c>
      <c r="E3" s="13" t="inlineStr">
        <is>
          <t>Degradation_Type</t>
        </is>
      </c>
      <c r="F3" s="13" t="inlineStr">
        <is>
          <t>Compensating_Control</t>
        </is>
      </c>
      <c r="G3" s="13" t="inlineStr">
        <is>
          <t>Max_Duration</t>
        </is>
      </c>
      <c r="H3" s="13" t="inlineStr">
        <is>
          <t>Renewal_Process</t>
        </is>
      </c>
      <c r="I3" s="13" t="inlineStr">
        <is>
          <t>Authorisation_Required</t>
        </is>
      </c>
      <c r="J3" s="13" t="inlineStr">
        <is>
          <t>Posture_Level</t>
        </is>
      </c>
      <c r="K3" s="13" t="inlineStr">
        <is>
          <t>Never_Acceptable</t>
        </is>
      </c>
    </row>
    <row r="4">
      <c r="A4" s="14" t="inlineStr">
        <is>
          <t>DS-001</t>
        </is>
      </c>
      <c r="B4" s="14" t="inlineStr">
        <is>
          <t>MFA Infrastructure Unavailable</t>
        </is>
      </c>
      <c r="C4" s="15" t="inlineStr">
        <is>
          <t>MFA platform failure or inaccessible</t>
        </is>
      </c>
      <c r="D4" s="14" t="inlineStr">
        <is>
          <t>Multi-Factor Authentication</t>
        </is>
      </c>
      <c r="E4" s="14" t="inlineStr">
        <is>
          <t>Temporary Bypass</t>
        </is>
      </c>
      <c r="F4" s="15" t="inlineStr">
        <is>
          <t>Enhanced logging, IP restrictions, session limits, 4-hour max sessions</t>
        </is>
      </c>
      <c r="G4" s="14" t="inlineStr">
        <is>
          <t>72 hours</t>
        </is>
      </c>
      <c r="H4" s="15" t="inlineStr">
        <is>
          <t>CISO approval required for each 24h extension</t>
        </is>
      </c>
      <c r="I4" s="14" t="inlineStr">
        <is>
          <t>CISO</t>
        </is>
      </c>
      <c r="J4" s="14" t="inlineStr">
        <is>
          <t>Degraded</t>
        </is>
      </c>
      <c r="K4" s="15" t="inlineStr">
        <is>
          <t>Allowing permanent single-factor access</t>
        </is>
      </c>
    </row>
    <row r="5">
      <c r="A5" s="14" t="inlineStr">
        <is>
          <t>DS-002</t>
        </is>
      </c>
      <c r="B5" s="14" t="inlineStr">
        <is>
          <t>SIEM Platform Unavailable</t>
        </is>
      </c>
      <c r="C5" s="15" t="inlineStr">
        <is>
          <t>SIEM system failure or maintenance</t>
        </is>
      </c>
      <c r="D5" s="14" t="inlineStr">
        <is>
          <t>Security Monitoring</t>
        </is>
      </c>
      <c r="E5" s="14" t="inlineStr">
        <is>
          <t>Reduced Capability</t>
        </is>
      </c>
      <c r="F5" s="15" t="inlineStr">
        <is>
          <t>Manual log review every 4 hours for critical systems</t>
        </is>
      </c>
      <c r="G5" s="14" t="inlineStr">
        <is>
          <t>48 hours</t>
        </is>
      </c>
      <c r="H5" s="15" t="inlineStr">
        <is>
          <t>Security Manager approval for extension</t>
        </is>
      </c>
      <c r="I5" s="14" t="inlineStr">
        <is>
          <t>Security Manager</t>
        </is>
      </c>
      <c r="J5" s="14" t="inlineStr">
        <is>
          <t>Degraded</t>
        </is>
      </c>
      <c r="K5" s="15" t="inlineStr">
        <is>
          <t>No logging of security events</t>
        </is>
      </c>
    </row>
    <row r="6">
      <c r="A6" s="14" t="inlineStr">
        <is>
          <t>DS-003</t>
        </is>
      </c>
      <c r="B6" s="14" t="inlineStr">
        <is>
          <t>Network Segmentation Bypass</t>
        </is>
      </c>
      <c r="C6" s="15" t="inlineStr">
        <is>
          <t>Emergency connectivity requirement</t>
        </is>
      </c>
      <c r="D6" s="14" t="inlineStr">
        <is>
          <t>Network Segmentation</t>
        </is>
      </c>
      <c r="E6" s="14" t="inlineStr">
        <is>
          <t>Temporary Bypass</t>
        </is>
      </c>
      <c r="F6" s="15" t="inlineStr">
        <is>
          <t>Enhanced monitoring, specific ports only, time-limited</t>
        </is>
      </c>
      <c r="G6" s="14" t="inlineStr">
        <is>
          <t>24 hours</t>
        </is>
      </c>
      <c r="H6" s="15" t="inlineStr">
        <is>
          <t>CIO + CISO approval for extension</t>
        </is>
      </c>
      <c r="I6" s="14" t="inlineStr">
        <is>
          <t>CIO + CISO</t>
        </is>
      </c>
      <c r="J6" s="14" t="inlineStr">
        <is>
          <t>Emergency</t>
        </is>
      </c>
      <c r="K6" s="15" t="inlineStr">
        <is>
          <t>Permanent network flattening</t>
        </is>
      </c>
    </row>
    <row r="7">
      <c r="A7" s="14" t="inlineStr">
        <is>
          <t>DS-004</t>
        </is>
      </c>
      <c r="B7" s="14" t="inlineStr">
        <is>
          <t>Patch Management Delayed</t>
        </is>
      </c>
      <c r="C7" s="15" t="inlineStr">
        <is>
          <t>System stability during disruption</t>
        </is>
      </c>
      <c r="D7" s="14" t="inlineStr">
        <is>
          <t>Patch Management</t>
        </is>
      </c>
      <c r="E7" s="14" t="inlineStr">
        <is>
          <t>Postponed</t>
        </is>
      </c>
      <c r="F7" s="15" t="inlineStr">
        <is>
          <t>Critical patches only, manual review process</t>
        </is>
      </c>
      <c r="G7" s="14" t="inlineStr">
        <is>
          <t>30 days non-critical</t>
        </is>
      </c>
      <c r="H7" s="15" t="inlineStr">
        <is>
          <t>CISO approval for extension</t>
        </is>
      </c>
      <c r="I7" s="14" t="inlineStr">
        <is>
          <t>CISO</t>
        </is>
      </c>
      <c r="J7" s="14" t="inlineStr">
        <is>
          <t>Degraded</t>
        </is>
      </c>
      <c r="K7" s="15" t="inlineStr">
        <is>
          <t>Ignoring critical security patches</t>
        </is>
      </c>
    </row>
    <row r="8">
      <c r="A8" s="14" t="inlineStr">
        <is>
          <t>DS-005</t>
        </is>
      </c>
      <c r="B8" s="14" t="inlineStr">
        <is>
          <t>Access Review Postponed</t>
        </is>
      </c>
      <c r="C8" s="15" t="inlineStr">
        <is>
          <t>Resource constraints during disruption</t>
        </is>
      </c>
      <c r="D8" s="14" t="inlineStr">
        <is>
          <t>Access Reviews</t>
        </is>
      </c>
      <c r="E8" s="14" t="inlineStr">
        <is>
          <t>Postponed</t>
        </is>
      </c>
      <c r="F8" s="15" t="inlineStr">
        <is>
          <t>Stricter approval for new access, no new privileged access</t>
        </is>
      </c>
      <c r="G8" s="14" t="inlineStr">
        <is>
          <t>30 days</t>
        </is>
      </c>
      <c r="H8" s="15" t="inlineStr">
        <is>
          <t>Security Manager approval for extension</t>
        </is>
      </c>
      <c r="I8" s="14" t="inlineStr">
        <is>
          <t>Security Manager</t>
        </is>
      </c>
      <c r="J8" s="14" t="inlineStr">
        <is>
          <t>Elevated</t>
        </is>
      </c>
      <c r="K8" s="15" t="inlineStr">
        <is>
          <t>Granting new privileged access without review</t>
        </is>
      </c>
    </row>
    <row r="9">
      <c r="A9" s="16" t="inlineStr">
        <is>
          <t>DS-006</t>
        </is>
      </c>
      <c r="B9" s="16" t="inlineStr">
        <is>
          <t>EDR Platform Unavailable</t>
        </is>
      </c>
      <c r="C9" s="16" t="inlineStr">
        <is>
          <t>EDR/antimalware platform failure</t>
        </is>
      </c>
      <c r="D9" s="16" t="inlineStr">
        <is>
          <t>Endpoint Detection &amp; Response</t>
        </is>
      </c>
      <c r="E9" s="16" t="inlineStr">
        <is>
          <t>Reduced Capability</t>
        </is>
      </c>
      <c r="F9" s="16" t="inlineStr">
        <is>
          <t>Increased manual scans twice daily, log review hourly</t>
        </is>
      </c>
      <c r="G9" s="16" t="inlineStr">
        <is>
          <t>48 hours</t>
        </is>
      </c>
      <c r="H9" s="16" t="inlineStr">
        <is>
          <t>CISO approval required for each 24h extension</t>
        </is>
      </c>
      <c r="I9" s="16" t="inlineStr">
        <is>
          <t>CISO</t>
        </is>
      </c>
      <c r="J9" s="16" t="inlineStr">
        <is>
          <t>Degraded</t>
        </is>
      </c>
      <c r="K9" s="16" t="inlineStr">
        <is>
          <t>No endpoint security monitoring on critical servers</t>
        </is>
      </c>
    </row>
    <row r="10">
      <c r="A10" s="17" t="n"/>
      <c r="B10" s="17" t="n"/>
      <c r="C10" s="17" t="n"/>
      <c r="D10" s="17" t="n"/>
      <c r="E10" s="17" t="n"/>
      <c r="F10" s="17" t="n"/>
      <c r="G10" s="17" t="n"/>
      <c r="H10" s="17" t="n"/>
      <c r="I10" s="17" t="n"/>
      <c r="J10" s="17" t="n"/>
      <c r="K10" s="17" t="n"/>
    </row>
    <row r="11">
      <c r="A11" s="17" t="n"/>
      <c r="B11" s="17" t="n"/>
      <c r="C11" s="17" t="n"/>
      <c r="D11" s="17" t="n"/>
      <c r="E11" s="17" t="n"/>
      <c r="F11" s="17" t="n"/>
      <c r="G11" s="17" t="n"/>
      <c r="H11" s="17" t="n"/>
      <c r="I11" s="17" t="n"/>
      <c r="J11" s="17" t="n"/>
      <c r="K11" s="17" t="n"/>
    </row>
    <row r="12">
      <c r="A12" s="17" t="n"/>
      <c r="B12" s="17" t="n"/>
      <c r="C12" s="17" t="n"/>
      <c r="D12" s="17" t="n"/>
      <c r="E12" s="17" t="n"/>
      <c r="F12" s="17" t="n"/>
      <c r="G12" s="17" t="n"/>
      <c r="H12" s="17" t="n"/>
      <c r="I12" s="17" t="n"/>
      <c r="J12" s="17" t="n"/>
      <c r="K12" s="17" t="n"/>
    </row>
    <row r="13">
      <c r="A13" s="17" t="n"/>
      <c r="B13" s="17" t="n"/>
      <c r="C13" s="17" t="n"/>
      <c r="D13" s="17" t="n"/>
      <c r="E13" s="17" t="n"/>
      <c r="F13" s="17" t="n"/>
      <c r="G13" s="17" t="n"/>
      <c r="H13" s="17" t="n"/>
      <c r="I13" s="17" t="n"/>
      <c r="J13" s="17" t="n"/>
      <c r="K13" s="17" t="n"/>
    </row>
    <row r="14">
      <c r="A14" s="17" t="n"/>
      <c r="B14" s="17" t="n"/>
      <c r="C14" s="17" t="n"/>
      <c r="D14" s="17" t="n"/>
      <c r="E14" s="17" t="n"/>
      <c r="F14" s="17" t="n"/>
      <c r="G14" s="17" t="n"/>
      <c r="H14" s="17" t="n"/>
      <c r="I14" s="17" t="n"/>
      <c r="J14" s="17" t="n"/>
      <c r="K14" s="17" t="n"/>
    </row>
    <row r="15">
      <c r="A15" s="17" t="n"/>
      <c r="B15" s="17" t="n"/>
      <c r="C15" s="17" t="n"/>
      <c r="D15" s="17" t="n"/>
      <c r="E15" s="17" t="n"/>
      <c r="F15" s="17" t="n"/>
      <c r="G15" s="17" t="n"/>
      <c r="H15" s="17" t="n"/>
      <c r="I15" s="17" t="n"/>
      <c r="J15" s="17" t="n"/>
      <c r="K15" s="17" t="n"/>
    </row>
    <row r="16">
      <c r="A16" s="17" t="n"/>
      <c r="B16" s="17" t="n"/>
      <c r="C16" s="17" t="n"/>
      <c r="D16" s="17" t="n"/>
      <c r="E16" s="17" t="n"/>
      <c r="F16" s="17" t="n"/>
      <c r="G16" s="17" t="n"/>
      <c r="H16" s="17" t="n"/>
      <c r="I16" s="17" t="n"/>
      <c r="J16" s="17" t="n"/>
      <c r="K16" s="17" t="n"/>
    </row>
    <row r="17">
      <c r="A17" s="17" t="n"/>
      <c r="B17" s="17" t="n"/>
      <c r="C17" s="17" t="n"/>
      <c r="D17" s="17" t="n"/>
      <c r="E17" s="17" t="n"/>
      <c r="F17" s="17" t="n"/>
      <c r="G17" s="17" t="n"/>
      <c r="H17" s="17" t="n"/>
      <c r="I17" s="17" t="n"/>
      <c r="J17" s="17" t="n"/>
      <c r="K17" s="17" t="n"/>
    </row>
    <row r="18">
      <c r="A18" s="17" t="n"/>
      <c r="B18" s="17" t="n"/>
      <c r="C18" s="17" t="n"/>
      <c r="D18" s="17" t="n"/>
      <c r="E18" s="17" t="n"/>
      <c r="F18" s="17" t="n"/>
      <c r="G18" s="17" t="n"/>
      <c r="H18" s="17" t="n"/>
      <c r="I18" s="17" t="n"/>
      <c r="J18" s="17" t="n"/>
      <c r="K18" s="17" t="n"/>
    </row>
    <row r="19">
      <c r="A19" s="17" t="n"/>
      <c r="B19" s="17" t="n"/>
      <c r="C19" s="17" t="n"/>
      <c r="D19" s="17" t="n"/>
      <c r="E19" s="17" t="n"/>
      <c r="F19" s="17" t="n"/>
      <c r="G19" s="17" t="n"/>
      <c r="H19" s="17" t="n"/>
      <c r="I19" s="17" t="n"/>
      <c r="J19" s="17" t="n"/>
      <c r="K19" s="17" t="n"/>
    </row>
    <row r="20">
      <c r="A20" s="17" t="n"/>
      <c r="B20" s="17" t="n"/>
      <c r="C20" s="17" t="n"/>
      <c r="D20" s="17" t="n"/>
      <c r="E20" s="17" t="n"/>
      <c r="F20" s="17" t="n"/>
      <c r="G20" s="17" t="n"/>
      <c r="H20" s="17" t="n"/>
      <c r="I20" s="17" t="n"/>
      <c r="J20" s="17" t="n"/>
      <c r="K20" s="17" t="n"/>
    </row>
    <row r="21">
      <c r="A21" s="17" t="n"/>
      <c r="B21" s="17" t="n"/>
      <c r="C21" s="17" t="n"/>
      <c r="D21" s="17" t="n"/>
      <c r="E21" s="17" t="n"/>
      <c r="F21" s="17" t="n"/>
      <c r="G21" s="17" t="n"/>
      <c r="H21" s="17" t="n"/>
      <c r="I21" s="17" t="n"/>
      <c r="J21" s="17" t="n"/>
      <c r="K21" s="17" t="n"/>
    </row>
    <row r="22">
      <c r="A22" s="17" t="n"/>
      <c r="B22" s="17" t="n"/>
      <c r="C22" s="17" t="n"/>
      <c r="D22" s="17" t="n"/>
      <c r="E22" s="17" t="n"/>
      <c r="F22" s="17" t="n"/>
      <c r="G22" s="17" t="n"/>
      <c r="H22" s="17" t="n"/>
      <c r="I22" s="17" t="n"/>
      <c r="J22" s="17" t="n"/>
      <c r="K22" s="17" t="n"/>
    </row>
    <row r="23">
      <c r="A23" s="17" t="n"/>
      <c r="B23" s="17" t="n"/>
      <c r="C23" s="17" t="n"/>
      <c r="D23" s="17" t="n"/>
      <c r="E23" s="17" t="n"/>
      <c r="F23" s="17" t="n"/>
      <c r="G23" s="17" t="n"/>
      <c r="H23" s="17" t="n"/>
      <c r="I23" s="17" t="n"/>
      <c r="J23" s="17" t="n"/>
      <c r="K23" s="17" t="n"/>
    </row>
    <row r="24">
      <c r="A24" s="17" t="n"/>
      <c r="B24" s="17" t="n"/>
      <c r="C24" s="17" t="n"/>
      <c r="D24" s="17" t="n"/>
      <c r="E24" s="17" t="n"/>
      <c r="F24" s="17" t="n"/>
      <c r="G24" s="17" t="n"/>
      <c r="H24" s="17" t="n"/>
      <c r="I24" s="17" t="n"/>
      <c r="J24" s="17" t="n"/>
      <c r="K24" s="17" t="n"/>
    </row>
    <row r="25">
      <c r="A25" s="17" t="n"/>
      <c r="B25" s="17" t="n"/>
      <c r="C25" s="17" t="n"/>
      <c r="D25" s="17" t="n"/>
      <c r="E25" s="17" t="n"/>
      <c r="F25" s="17" t="n"/>
      <c r="G25" s="17" t="n"/>
      <c r="H25" s="17" t="n"/>
      <c r="I25" s="17" t="n"/>
      <c r="J25" s="17" t="n"/>
      <c r="K25" s="17" t="n"/>
    </row>
    <row r="26">
      <c r="A26" s="17" t="n"/>
      <c r="B26" s="17" t="n"/>
      <c r="C26" s="17" t="n"/>
      <c r="D26" s="17" t="n"/>
      <c r="E26" s="17" t="n"/>
      <c r="F26" s="17" t="n"/>
      <c r="G26" s="17" t="n"/>
      <c r="H26" s="17" t="n"/>
      <c r="I26" s="17" t="n"/>
      <c r="J26" s="17" t="n"/>
      <c r="K26" s="17" t="n"/>
    </row>
    <row r="27">
      <c r="A27" s="17" t="n"/>
      <c r="B27" s="17" t="n"/>
      <c r="C27" s="17" t="n"/>
      <c r="D27" s="17" t="n"/>
      <c r="E27" s="17" t="n"/>
      <c r="F27" s="17" t="n"/>
      <c r="G27" s="17" t="n"/>
      <c r="H27" s="17" t="n"/>
      <c r="I27" s="17" t="n"/>
      <c r="J27" s="17" t="n"/>
      <c r="K27" s="17" t="n"/>
    </row>
    <row r="28">
      <c r="A28" s="17" t="n"/>
      <c r="B28" s="17" t="n"/>
      <c r="C28" s="17" t="n"/>
      <c r="D28" s="17" t="n"/>
      <c r="E28" s="17" t="n"/>
      <c r="F28" s="17" t="n"/>
      <c r="G28" s="17" t="n"/>
      <c r="H28" s="17" t="n"/>
      <c r="I28" s="17" t="n"/>
      <c r="J28" s="17" t="n"/>
      <c r="K28" s="17" t="n"/>
    </row>
    <row r="29">
      <c r="A29" s="17" t="n"/>
      <c r="B29" s="17" t="n"/>
      <c r="C29" s="17" t="n"/>
      <c r="D29" s="17" t="n"/>
      <c r="E29" s="17" t="n"/>
      <c r="F29" s="17" t="n"/>
      <c r="G29" s="17" t="n"/>
      <c r="H29" s="17" t="n"/>
      <c r="I29" s="17" t="n"/>
      <c r="J29" s="17" t="n"/>
      <c r="K29" s="17" t="n"/>
    </row>
    <row r="30">
      <c r="A30" s="17" t="n"/>
      <c r="B30" s="17" t="n"/>
      <c r="C30" s="17" t="n"/>
      <c r="D30" s="17" t="n"/>
      <c r="E30" s="17" t="n"/>
      <c r="F30" s="17" t="n"/>
      <c r="G30" s="17" t="n"/>
      <c r="H30" s="17" t="n"/>
      <c r="I30" s="17" t="n"/>
      <c r="J30" s="17" t="n"/>
      <c r="K30" s="17" t="n"/>
    </row>
    <row r="31">
      <c r="A31" s="17" t="n"/>
      <c r="B31" s="17" t="n"/>
      <c r="C31" s="17" t="n"/>
      <c r="D31" s="17" t="n"/>
      <c r="E31" s="17" t="n"/>
      <c r="F31" s="17" t="n"/>
      <c r="G31" s="17" t="n"/>
      <c r="H31" s="17" t="n"/>
      <c r="I31" s="17" t="n"/>
      <c r="J31" s="17" t="n"/>
      <c r="K31" s="17" t="n"/>
    </row>
    <row r="32">
      <c r="A32" s="17" t="n"/>
      <c r="B32" s="17" t="n"/>
      <c r="C32" s="17" t="n"/>
      <c r="D32" s="17" t="n"/>
      <c r="E32" s="17" t="n"/>
      <c r="F32" s="17" t="n"/>
      <c r="G32" s="17" t="n"/>
      <c r="H32" s="17" t="n"/>
      <c r="I32" s="17" t="n"/>
      <c r="J32" s="17" t="n"/>
      <c r="K32" s="17" t="n"/>
    </row>
    <row r="33">
      <c r="A33" s="17" t="n"/>
      <c r="B33" s="17" t="n"/>
      <c r="C33" s="17" t="n"/>
      <c r="D33" s="17" t="n"/>
      <c r="E33" s="17" t="n"/>
      <c r="F33" s="17" t="n"/>
      <c r="G33" s="17" t="n"/>
      <c r="H33" s="17" t="n"/>
      <c r="I33" s="17" t="n"/>
      <c r="J33" s="17" t="n"/>
      <c r="K33" s="17" t="n"/>
    </row>
    <row r="34">
      <c r="A34" s="17" t="n"/>
      <c r="B34" s="17" t="n"/>
      <c r="C34" s="17" t="n"/>
      <c r="D34" s="17" t="n"/>
      <c r="E34" s="17" t="n"/>
      <c r="F34" s="17" t="n"/>
      <c r="G34" s="17" t="n"/>
      <c r="H34" s="17" t="n"/>
      <c r="I34" s="17" t="n"/>
      <c r="J34" s="17" t="n"/>
      <c r="K34" s="17" t="n"/>
    </row>
    <row r="35">
      <c r="A35" s="17" t="n"/>
      <c r="B35" s="17" t="n"/>
      <c r="C35" s="17" t="n"/>
      <c r="D35" s="17" t="n"/>
      <c r="E35" s="17" t="n"/>
      <c r="F35" s="17" t="n"/>
      <c r="G35" s="17" t="n"/>
      <c r="H35" s="17" t="n"/>
      <c r="I35" s="17" t="n"/>
      <c r="J35" s="17" t="n"/>
      <c r="K35" s="17" t="n"/>
    </row>
    <row r="36">
      <c r="A36" s="17" t="n"/>
      <c r="B36" s="17" t="n"/>
      <c r="C36" s="17" t="n"/>
      <c r="D36" s="17" t="n"/>
      <c r="E36" s="17" t="n"/>
      <c r="F36" s="17" t="n"/>
      <c r="G36" s="17" t="n"/>
      <c r="H36" s="17" t="n"/>
      <c r="I36" s="17" t="n"/>
      <c r="J36" s="17" t="n"/>
      <c r="K36" s="17" t="n"/>
    </row>
    <row r="37">
      <c r="A37" s="17" t="n"/>
      <c r="B37" s="17" t="n"/>
      <c r="C37" s="17" t="n"/>
      <c r="D37" s="17" t="n"/>
      <c r="E37" s="17" t="n"/>
      <c r="F37" s="17" t="n"/>
      <c r="G37" s="17" t="n"/>
      <c r="H37" s="17" t="n"/>
      <c r="I37" s="17" t="n"/>
      <c r="J37" s="17" t="n"/>
      <c r="K37" s="17" t="n"/>
    </row>
    <row r="38">
      <c r="A38" s="17" t="n"/>
      <c r="B38" s="17" t="n"/>
      <c r="C38" s="17" t="n"/>
      <c r="D38" s="17" t="n"/>
      <c r="E38" s="17" t="n"/>
      <c r="F38" s="17" t="n"/>
      <c r="G38" s="17" t="n"/>
      <c r="H38" s="17" t="n"/>
      <c r="I38" s="17" t="n"/>
      <c r="J38" s="17" t="n"/>
      <c r="K38" s="17" t="n"/>
    </row>
    <row r="39">
      <c r="A39" s="17" t="n"/>
      <c r="B39" s="17" t="n"/>
      <c r="C39" s="17" t="n"/>
      <c r="D39" s="17" t="n"/>
      <c r="E39" s="17" t="n"/>
      <c r="F39" s="17" t="n"/>
      <c r="G39" s="17" t="n"/>
      <c r="H39" s="17" t="n"/>
      <c r="I39" s="17" t="n"/>
      <c r="J39" s="17" t="n"/>
      <c r="K39" s="17" t="n"/>
    </row>
    <row r="40">
      <c r="A40" s="17" t="n"/>
      <c r="B40" s="17" t="n"/>
      <c r="C40" s="17" t="n"/>
      <c r="D40" s="17" t="n"/>
      <c r="E40" s="17" t="n"/>
      <c r="F40" s="17" t="n"/>
      <c r="G40" s="17" t="n"/>
      <c r="H40" s="17" t="n"/>
      <c r="I40" s="17" t="n"/>
      <c r="J40" s="17" t="n"/>
      <c r="K40" s="17" t="n"/>
    </row>
    <row r="41">
      <c r="A41" s="17" t="n"/>
      <c r="B41" s="17" t="n"/>
      <c r="C41" s="17" t="n"/>
      <c r="D41" s="17" t="n"/>
      <c r="E41" s="17" t="n"/>
      <c r="F41" s="17" t="n"/>
      <c r="G41" s="17" t="n"/>
      <c r="H41" s="17" t="n"/>
      <c r="I41" s="17" t="n"/>
      <c r="J41" s="17" t="n"/>
      <c r="K41" s="17" t="n"/>
    </row>
    <row r="42">
      <c r="A42" s="17" t="n"/>
      <c r="B42" s="17" t="n"/>
      <c r="C42" s="17" t="n"/>
      <c r="D42" s="17" t="n"/>
      <c r="E42" s="17" t="n"/>
      <c r="F42" s="17" t="n"/>
      <c r="G42" s="17" t="n"/>
      <c r="H42" s="17" t="n"/>
      <c r="I42" s="17" t="n"/>
      <c r="J42" s="17" t="n"/>
      <c r="K42" s="17" t="n"/>
    </row>
    <row r="43">
      <c r="A43" s="17" t="n"/>
      <c r="B43" s="17" t="n"/>
      <c r="C43" s="17" t="n"/>
      <c r="D43" s="17" t="n"/>
      <c r="E43" s="17" t="n"/>
      <c r="F43" s="17" t="n"/>
      <c r="G43" s="17" t="n"/>
      <c r="H43" s="17" t="n"/>
      <c r="I43" s="17" t="n"/>
      <c r="J43" s="17" t="n"/>
      <c r="K43" s="17" t="n"/>
    </row>
    <row r="44">
      <c r="A44" s="17" t="n"/>
      <c r="B44" s="17" t="n"/>
      <c r="C44" s="17" t="n"/>
      <c r="D44" s="17" t="n"/>
      <c r="E44" s="17" t="n"/>
      <c r="F44" s="17" t="n"/>
      <c r="G44" s="17" t="n"/>
      <c r="H44" s="17" t="n"/>
      <c r="I44" s="17" t="n"/>
      <c r="J44" s="17" t="n"/>
      <c r="K44" s="17" t="n"/>
    </row>
    <row r="45">
      <c r="A45" s="17" t="n"/>
      <c r="B45" s="17" t="n"/>
      <c r="C45" s="17" t="n"/>
      <c r="D45" s="17" t="n"/>
      <c r="E45" s="17" t="n"/>
      <c r="F45" s="17" t="n"/>
      <c r="G45" s="17" t="n"/>
      <c r="H45" s="17" t="n"/>
      <c r="I45" s="17" t="n"/>
      <c r="J45" s="17" t="n"/>
      <c r="K45" s="17" t="n"/>
    </row>
    <row r="46">
      <c r="A46" s="17" t="n"/>
      <c r="B46" s="17" t="n"/>
      <c r="C46" s="17" t="n"/>
      <c r="D46" s="17" t="n"/>
      <c r="E46" s="17" t="n"/>
      <c r="F46" s="17" t="n"/>
      <c r="G46" s="17" t="n"/>
      <c r="H46" s="17" t="n"/>
      <c r="I46" s="17" t="n"/>
      <c r="J46" s="17" t="n"/>
      <c r="K46" s="17" t="n"/>
    </row>
    <row r="47">
      <c r="A47" s="17" t="n"/>
      <c r="B47" s="17" t="n"/>
      <c r="C47" s="17" t="n"/>
      <c r="D47" s="17" t="n"/>
      <c r="E47" s="17" t="n"/>
      <c r="F47" s="17" t="n"/>
      <c r="G47" s="17" t="n"/>
      <c r="H47" s="17" t="n"/>
      <c r="I47" s="17" t="n"/>
      <c r="J47" s="17" t="n"/>
      <c r="K47" s="17" t="n"/>
    </row>
    <row r="48">
      <c r="A48" s="17" t="n"/>
      <c r="B48" s="17" t="n"/>
      <c r="C48" s="17" t="n"/>
      <c r="D48" s="17" t="n"/>
      <c r="E48" s="17" t="n"/>
      <c r="F48" s="17" t="n"/>
      <c r="G48" s="17" t="n"/>
      <c r="H48" s="17" t="n"/>
      <c r="I48" s="17" t="n"/>
      <c r="J48" s="17" t="n"/>
      <c r="K48" s="17" t="n"/>
    </row>
    <row r="49">
      <c r="A49" s="17" t="n"/>
      <c r="B49" s="17" t="n"/>
      <c r="C49" s="17" t="n"/>
      <c r="D49" s="17" t="n"/>
      <c r="E49" s="17" t="n"/>
      <c r="F49" s="17" t="n"/>
      <c r="G49" s="17" t="n"/>
      <c r="H49" s="17" t="n"/>
      <c r="I49" s="17" t="n"/>
      <c r="J49" s="17" t="n"/>
      <c r="K49" s="17" t="n"/>
    </row>
    <row r="50">
      <c r="A50" s="17" t="n"/>
      <c r="B50" s="17" t="n"/>
      <c r="C50" s="17" t="n"/>
      <c r="D50" s="17" t="n"/>
      <c r="E50" s="17" t="n"/>
      <c r="F50" s="17" t="n"/>
      <c r="G50" s="17" t="n"/>
      <c r="H50" s="17" t="n"/>
      <c r="I50" s="17" t="n"/>
      <c r="J50" s="17" t="n"/>
      <c r="K50" s="17" t="n"/>
    </row>
    <row r="51">
      <c r="A51" s="17" t="n"/>
      <c r="B51" s="17" t="n"/>
      <c r="C51" s="17" t="n"/>
      <c r="D51" s="17" t="n"/>
      <c r="E51" s="17" t="n"/>
      <c r="F51" s="17" t="n"/>
      <c r="G51" s="17" t="n"/>
      <c r="H51" s="17" t="n"/>
      <c r="I51" s="17" t="n"/>
      <c r="J51" s="17" t="n"/>
      <c r="K51" s="17" t="n"/>
    </row>
    <row r="52">
      <c r="A52" s="17" t="n"/>
      <c r="B52" s="17" t="n"/>
      <c r="C52" s="17" t="n"/>
      <c r="D52" s="17" t="n"/>
      <c r="E52" s="17" t="n"/>
      <c r="F52" s="17" t="n"/>
      <c r="G52" s="17" t="n"/>
      <c r="H52" s="17" t="n"/>
      <c r="I52" s="17" t="n"/>
      <c r="J52" s="17" t="n"/>
      <c r="K52" s="17" t="n"/>
    </row>
    <row r="53">
      <c r="A53" s="17" t="n"/>
      <c r="B53" s="17" t="n"/>
      <c r="C53" s="17" t="n"/>
      <c r="D53" s="17" t="n"/>
      <c r="E53" s="17" t="n"/>
      <c r="F53" s="17" t="n"/>
      <c r="G53" s="17" t="n"/>
      <c r="H53" s="17" t="n"/>
      <c r="I53" s="17" t="n"/>
      <c r="J53" s="17" t="n"/>
      <c r="K53" s="17" t="n"/>
    </row>
    <row r="54">
      <c r="A54" s="17" t="n"/>
      <c r="B54" s="17" t="n"/>
      <c r="C54" s="17" t="n"/>
      <c r="D54" s="17" t="n"/>
      <c r="E54" s="17" t="n"/>
      <c r="F54" s="17" t="n"/>
      <c r="G54" s="17" t="n"/>
      <c r="H54" s="17" t="n"/>
      <c r="I54" s="17" t="n"/>
      <c r="J54" s="17" t="n"/>
      <c r="K54" s="17" t="n"/>
    </row>
    <row r="55">
      <c r="A55" s="17" t="n"/>
      <c r="B55" s="17" t="n"/>
      <c r="C55" s="17" t="n"/>
      <c r="D55" s="17" t="n"/>
      <c r="E55" s="17" t="n"/>
      <c r="F55" s="17" t="n"/>
      <c r="G55" s="17" t="n"/>
      <c r="H55" s="17" t="n"/>
      <c r="I55" s="17" t="n"/>
      <c r="J55" s="17" t="n"/>
      <c r="K55" s="17" t="n"/>
    </row>
    <row r="56">
      <c r="A56" s="17" t="n"/>
      <c r="B56" s="17" t="n"/>
      <c r="C56" s="17" t="n"/>
      <c r="D56" s="17" t="n"/>
      <c r="E56" s="17" t="n"/>
      <c r="F56" s="17" t="n"/>
      <c r="G56" s="17" t="n"/>
      <c r="H56" s="17" t="n"/>
      <c r="I56" s="17" t="n"/>
      <c r="J56" s="17" t="n"/>
      <c r="K56" s="17" t="n"/>
    </row>
    <row r="57">
      <c r="A57" s="17" t="n"/>
      <c r="B57" s="17" t="n"/>
      <c r="C57" s="17" t="n"/>
      <c r="D57" s="17" t="n"/>
      <c r="E57" s="17" t="n"/>
      <c r="F57" s="17" t="n"/>
      <c r="G57" s="17" t="n"/>
      <c r="H57" s="17" t="n"/>
      <c r="I57" s="17" t="n"/>
      <c r="J57" s="17" t="n"/>
      <c r="K57" s="17" t="n"/>
    </row>
    <row r="58">
      <c r="A58" s="17" t="n"/>
      <c r="B58" s="17" t="n"/>
      <c r="C58" s="17" t="n"/>
      <c r="D58" s="17" t="n"/>
      <c r="E58" s="17" t="n"/>
      <c r="F58" s="17" t="n"/>
      <c r="G58" s="17" t="n"/>
      <c r="H58" s="17" t="n"/>
      <c r="I58" s="17" t="n"/>
      <c r="J58" s="17" t="n"/>
      <c r="K58" s="17" t="n"/>
    </row>
    <row r="59">
      <c r="A59" s="17" t="n"/>
      <c r="B59" s="17" t="n"/>
      <c r="C59" s="17" t="n"/>
      <c r="D59" s="17" t="n"/>
      <c r="E59" s="17" t="n"/>
      <c r="F59" s="17" t="n"/>
      <c r="G59" s="17" t="n"/>
      <c r="H59" s="17" t="n"/>
      <c r="I59" s="17" t="n"/>
      <c r="J59" s="17" t="n"/>
      <c r="K59" s="17" t="n"/>
    </row>
  </sheetData>
  <mergeCells count="2">
    <mergeCell ref="A2:K2"/>
    <mergeCell ref="A1:K1"/>
  </mergeCells>
  <dataValidations count="2">
    <dataValidation sqref="E4 E5 E6 E7 E8 E10 E11 E12 E13 E14 E15 E16 E17 E18 E19 E20 E21 E22 E23 E24 E25 E26 E27 E28 E29 E30 E31 E32 E33 E34 E35 E36 E37 E38 E39 E40 E41 E42 E43 E44 E45 E46 E47 E48 E49 E50 E51 E52 E53 E54 E55 E56 E57 E58 E59" showDropDown="0" showInputMessage="0" showErrorMessage="0" allowBlank="0" type="list">
      <formula1>"Temporary Bypass,Reduced Capability,Postponed,Alternative Method"</formula1>
    </dataValidation>
    <dataValidation sqref="J4 J5 J6 J7 J8 J10 J11 J12 J13 J14 J15 J16 J17 J18 J19 J20 J21 J22 J23 J24 J25 J26 J27 J28 J29 J30 J31 J32 J33 J34 J35 J36 J37 J38 J39 J40 J41 J42 J43 J44 J45 J46 J47 J48 J49 J50 J51 J52 J53 J54 J55 J56 J57 J58 J59" showDropDown="0" showInputMessage="0" showErrorMessage="0" allowBlank="0" type="list">
      <formula1>"Elevated,Degraded,Emergency"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35" customWidth="1" min="4" max="4"/>
    <col width="35" customWidth="1" min="5" max="5"/>
    <col width="30" customWidth="1" min="6" max="6"/>
    <col width="25" customWidth="1" min="7" max="7"/>
    <col width="15" customWidth="1" min="8" max="8"/>
    <col width="15" customWidth="1" min="9" max="9"/>
    <col width="15" customWidth="1" min="10" max="10"/>
    <col width="16" customWidth="1" min="11" max="11"/>
    <col width="16" customWidth="1" min="12" max="12"/>
    <col width="12" customWidth="1" min="13" max="13"/>
  </cols>
  <sheetData>
    <row r="1" ht="35" customHeight="1">
      <c r="A1" s="11" t="inlineStr">
        <is>
          <t>BREAK-GLASS ACCOUNTS</t>
        </is>
      </c>
    </row>
    <row r="2">
      <c r="A2" s="12" t="inlineStr">
        <is>
          <t>Inventory of emergency access accounts — all accounts must be Disabled when not in use</t>
        </is>
      </c>
    </row>
    <row r="3">
      <c r="A3" s="13" t="inlineStr">
        <is>
          <t>Account_ID</t>
        </is>
      </c>
      <c r="B3" s="13" t="inlineStr">
        <is>
          <t>Account_Name</t>
        </is>
      </c>
      <c r="C3" s="13" t="inlineStr">
        <is>
          <t>Account_Type</t>
        </is>
      </c>
      <c r="D3" s="13" t="inlineStr">
        <is>
          <t>Target_Systems</t>
        </is>
      </c>
      <c r="E3" s="13" t="inlineStr">
        <is>
          <t>Scope_Permissions</t>
        </is>
      </c>
      <c r="F3" s="13" t="inlineStr">
        <is>
          <t>Credential_Location</t>
        </is>
      </c>
      <c r="G3" s="13" t="inlineStr">
        <is>
          <t>Activation_Authority</t>
        </is>
      </c>
      <c r="H3" s="13" t="inlineStr">
        <is>
          <t>Two_Person_Required</t>
        </is>
      </c>
      <c r="I3" s="13" t="inlineStr">
        <is>
          <t>Default_Duration</t>
        </is>
      </c>
      <c r="J3" s="13" t="inlineStr">
        <is>
          <t>Logging_Enabled</t>
        </is>
      </c>
      <c r="K3" s="13" t="inlineStr">
        <is>
          <t>Last_Rotation_Date</t>
        </is>
      </c>
      <c r="L3" s="13" t="inlineStr">
        <is>
          <t>Last_Test_Date</t>
        </is>
      </c>
      <c r="M3" s="13" t="inlineStr">
        <is>
          <t>Status</t>
        </is>
      </c>
    </row>
    <row r="4">
      <c r="A4" s="16" t="inlineStr">
        <is>
          <t>BGA-001</t>
        </is>
      </c>
      <c r="B4" s="16" t="inlineStr">
        <is>
          <t>breakglass-admin-01</t>
        </is>
      </c>
      <c r="C4" s="16" t="inlineStr">
        <is>
          <t>Domain Admin</t>
        </is>
      </c>
      <c r="D4" s="16" t="inlineStr">
        <is>
          <t>All domain controllers</t>
        </is>
      </c>
      <c r="E4" s="16" t="inlineStr">
        <is>
          <t>Full domain admin rights</t>
        </is>
      </c>
      <c r="F4" s="16" t="inlineStr">
        <is>
          <t>CyberArk vault — Tier 0 Safe</t>
        </is>
      </c>
      <c r="G4" s="16" t="inlineStr">
        <is>
          <t>CISO + CIO dual approval</t>
        </is>
      </c>
      <c r="H4" s="16" t="inlineStr">
        <is>
          <t>Yes</t>
        </is>
      </c>
      <c r="I4" s="16" t="inlineStr">
        <is>
          <t>4 hours</t>
        </is>
      </c>
      <c r="J4" s="16" t="inlineStr">
        <is>
          <t>Verified</t>
        </is>
      </c>
      <c r="K4" s="16" t="inlineStr">
        <is>
          <t>15.01.2026</t>
        </is>
      </c>
      <c r="L4" s="16" t="inlineStr">
        <is>
          <t>01.02.2026</t>
        </is>
      </c>
      <c r="M4" s="16" t="inlineStr">
        <is>
          <t>Disabled</t>
        </is>
      </c>
    </row>
    <row r="5">
      <c r="A5" s="17" t="n"/>
      <c r="B5" s="17" t="n"/>
      <c r="C5" s="17" t="n"/>
      <c r="D5" s="17" t="n"/>
      <c r="E5" s="17" t="n"/>
      <c r="F5" s="17" t="n"/>
      <c r="G5" s="17" t="n"/>
      <c r="H5" s="17" t="n"/>
      <c r="I5" s="17" t="n"/>
      <c r="J5" s="17" t="n"/>
      <c r="K5" s="17" t="n"/>
      <c r="L5" s="17" t="n"/>
      <c r="M5" s="17" t="n"/>
    </row>
    <row r="6">
      <c r="A6" s="17" t="n"/>
      <c r="B6" s="17" t="n"/>
      <c r="C6" s="17" t="n"/>
      <c r="D6" s="17" t="n"/>
      <c r="E6" s="17" t="n"/>
      <c r="F6" s="17" t="n"/>
      <c r="G6" s="17" t="n"/>
      <c r="H6" s="17" t="n"/>
      <c r="I6" s="17" t="n"/>
      <c r="J6" s="17" t="n"/>
      <c r="K6" s="17" t="n"/>
      <c r="L6" s="17" t="n"/>
      <c r="M6" s="17" t="n"/>
    </row>
    <row r="7">
      <c r="A7" s="17" t="n"/>
      <c r="B7" s="17" t="n"/>
      <c r="C7" s="17" t="n"/>
      <c r="D7" s="17" t="n"/>
      <c r="E7" s="17" t="n"/>
      <c r="F7" s="17" t="n"/>
      <c r="G7" s="17" t="n"/>
      <c r="H7" s="17" t="n"/>
      <c r="I7" s="17" t="n"/>
      <c r="J7" s="17" t="n"/>
      <c r="K7" s="17" t="n"/>
      <c r="L7" s="17" t="n"/>
      <c r="M7" s="17" t="n"/>
    </row>
    <row r="8">
      <c r="A8" s="17" t="n"/>
      <c r="B8" s="17" t="n"/>
      <c r="C8" s="17" t="n"/>
      <c r="D8" s="17" t="n"/>
      <c r="E8" s="17" t="n"/>
      <c r="F8" s="17" t="n"/>
      <c r="G8" s="17" t="n"/>
      <c r="H8" s="17" t="n"/>
      <c r="I8" s="17" t="n"/>
      <c r="J8" s="17" t="n"/>
      <c r="K8" s="17" t="n"/>
      <c r="L8" s="17" t="n"/>
      <c r="M8" s="17" t="n"/>
    </row>
    <row r="9">
      <c r="A9" s="17" t="n"/>
      <c r="B9" s="17" t="n"/>
      <c r="C9" s="17" t="n"/>
      <c r="D9" s="17" t="n"/>
      <c r="E9" s="17" t="n"/>
      <c r="F9" s="17" t="n"/>
      <c r="G9" s="17" t="n"/>
      <c r="H9" s="17" t="n"/>
      <c r="I9" s="17" t="n"/>
      <c r="J9" s="17" t="n"/>
      <c r="K9" s="17" t="n"/>
      <c r="L9" s="17" t="n"/>
      <c r="M9" s="17" t="n"/>
    </row>
    <row r="10">
      <c r="A10" s="17" t="n"/>
      <c r="B10" s="17" t="n"/>
      <c r="C10" s="17" t="n"/>
      <c r="D10" s="17" t="n"/>
      <c r="E10" s="17" t="n"/>
      <c r="F10" s="17" t="n"/>
      <c r="G10" s="17" t="n"/>
      <c r="H10" s="17" t="n"/>
      <c r="I10" s="17" t="n"/>
      <c r="J10" s="17" t="n"/>
      <c r="K10" s="17" t="n"/>
      <c r="L10" s="17" t="n"/>
      <c r="M10" s="17" t="n"/>
    </row>
    <row r="11">
      <c r="A11" s="17" t="n"/>
      <c r="B11" s="17" t="n"/>
      <c r="C11" s="17" t="n"/>
      <c r="D11" s="17" t="n"/>
      <c r="E11" s="17" t="n"/>
      <c r="F11" s="17" t="n"/>
      <c r="G11" s="17" t="n"/>
      <c r="H11" s="17" t="n"/>
      <c r="I11" s="17" t="n"/>
      <c r="J11" s="17" t="n"/>
      <c r="K11" s="17" t="n"/>
      <c r="L11" s="17" t="n"/>
      <c r="M11" s="17" t="n"/>
    </row>
    <row r="12">
      <c r="A12" s="17" t="n"/>
      <c r="B12" s="17" t="n"/>
      <c r="C12" s="17" t="n"/>
      <c r="D12" s="17" t="n"/>
      <c r="E12" s="17" t="n"/>
      <c r="F12" s="17" t="n"/>
      <c r="G12" s="17" t="n"/>
      <c r="H12" s="17" t="n"/>
      <c r="I12" s="17" t="n"/>
      <c r="J12" s="17" t="n"/>
      <c r="K12" s="17" t="n"/>
      <c r="L12" s="17" t="n"/>
      <c r="M12" s="17" t="n"/>
    </row>
    <row r="13">
      <c r="A13" s="17" t="n"/>
      <c r="B13" s="17" t="n"/>
      <c r="C13" s="17" t="n"/>
      <c r="D13" s="17" t="n"/>
      <c r="E13" s="17" t="n"/>
      <c r="F13" s="17" t="n"/>
      <c r="G13" s="17" t="n"/>
      <c r="H13" s="17" t="n"/>
      <c r="I13" s="17" t="n"/>
      <c r="J13" s="17" t="n"/>
      <c r="K13" s="17" t="n"/>
      <c r="L13" s="17" t="n"/>
      <c r="M13" s="17" t="n"/>
    </row>
    <row r="14">
      <c r="A14" s="17" t="n"/>
      <c r="B14" s="17" t="n"/>
      <c r="C14" s="17" t="n"/>
      <c r="D14" s="17" t="n"/>
      <c r="E14" s="17" t="n"/>
      <c r="F14" s="17" t="n"/>
      <c r="G14" s="17" t="n"/>
      <c r="H14" s="17" t="n"/>
      <c r="I14" s="17" t="n"/>
      <c r="J14" s="17" t="n"/>
      <c r="K14" s="17" t="n"/>
      <c r="L14" s="17" t="n"/>
      <c r="M14" s="17" t="n"/>
    </row>
    <row r="15">
      <c r="A15" s="17" t="n"/>
      <c r="B15" s="17" t="n"/>
      <c r="C15" s="17" t="n"/>
      <c r="D15" s="17" t="n"/>
      <c r="E15" s="17" t="n"/>
      <c r="F15" s="17" t="n"/>
      <c r="G15" s="17" t="n"/>
      <c r="H15" s="17" t="n"/>
      <c r="I15" s="17" t="n"/>
      <c r="J15" s="17" t="n"/>
      <c r="K15" s="17" t="n"/>
      <c r="L15" s="17" t="n"/>
      <c r="M15" s="17" t="n"/>
    </row>
    <row r="16">
      <c r="A16" s="17" t="n"/>
      <c r="B16" s="17" t="n"/>
      <c r="C16" s="17" t="n"/>
      <c r="D16" s="17" t="n"/>
      <c r="E16" s="17" t="n"/>
      <c r="F16" s="17" t="n"/>
      <c r="G16" s="17" t="n"/>
      <c r="H16" s="17" t="n"/>
      <c r="I16" s="17" t="n"/>
      <c r="J16" s="17" t="n"/>
      <c r="K16" s="17" t="n"/>
      <c r="L16" s="17" t="n"/>
      <c r="M16" s="17" t="n"/>
    </row>
    <row r="17">
      <c r="A17" s="17" t="n"/>
      <c r="B17" s="17" t="n"/>
      <c r="C17" s="17" t="n"/>
      <c r="D17" s="17" t="n"/>
      <c r="E17" s="17" t="n"/>
      <c r="F17" s="17" t="n"/>
      <c r="G17" s="17" t="n"/>
      <c r="H17" s="17" t="n"/>
      <c r="I17" s="17" t="n"/>
      <c r="J17" s="17" t="n"/>
      <c r="K17" s="17" t="n"/>
      <c r="L17" s="17" t="n"/>
      <c r="M17" s="17" t="n"/>
    </row>
    <row r="18">
      <c r="A18" s="17" t="n"/>
      <c r="B18" s="17" t="n"/>
      <c r="C18" s="17" t="n"/>
      <c r="D18" s="17" t="n"/>
      <c r="E18" s="17" t="n"/>
      <c r="F18" s="17" t="n"/>
      <c r="G18" s="17" t="n"/>
      <c r="H18" s="17" t="n"/>
      <c r="I18" s="17" t="n"/>
      <c r="J18" s="17" t="n"/>
      <c r="K18" s="17" t="n"/>
      <c r="L18" s="17" t="n"/>
      <c r="M18" s="17" t="n"/>
    </row>
    <row r="19">
      <c r="A19" s="17" t="n"/>
      <c r="B19" s="17" t="n"/>
      <c r="C19" s="17" t="n"/>
      <c r="D19" s="17" t="n"/>
      <c r="E19" s="17" t="n"/>
      <c r="F19" s="17" t="n"/>
      <c r="G19" s="17" t="n"/>
      <c r="H19" s="17" t="n"/>
      <c r="I19" s="17" t="n"/>
      <c r="J19" s="17" t="n"/>
      <c r="K19" s="17" t="n"/>
      <c r="L19" s="17" t="n"/>
      <c r="M19" s="17" t="n"/>
    </row>
    <row r="20">
      <c r="A20" s="17" t="n"/>
      <c r="B20" s="17" t="n"/>
      <c r="C20" s="17" t="n"/>
      <c r="D20" s="17" t="n"/>
      <c r="E20" s="17" t="n"/>
      <c r="F20" s="17" t="n"/>
      <c r="G20" s="17" t="n"/>
      <c r="H20" s="17" t="n"/>
      <c r="I20" s="17" t="n"/>
      <c r="J20" s="17" t="n"/>
      <c r="K20" s="17" t="n"/>
      <c r="L20" s="17" t="n"/>
      <c r="M20" s="17" t="n"/>
    </row>
    <row r="21">
      <c r="A21" s="17" t="n"/>
      <c r="B21" s="17" t="n"/>
      <c r="C21" s="17" t="n"/>
      <c r="D21" s="17" t="n"/>
      <c r="E21" s="17" t="n"/>
      <c r="F21" s="17" t="n"/>
      <c r="G21" s="17" t="n"/>
      <c r="H21" s="17" t="n"/>
      <c r="I21" s="17" t="n"/>
      <c r="J21" s="17" t="n"/>
      <c r="K21" s="17" t="n"/>
      <c r="L21" s="17" t="n"/>
      <c r="M21" s="17" t="n"/>
    </row>
    <row r="22">
      <c r="A22" s="17" t="n"/>
      <c r="B22" s="17" t="n"/>
      <c r="C22" s="17" t="n"/>
      <c r="D22" s="17" t="n"/>
      <c r="E22" s="17" t="n"/>
      <c r="F22" s="17" t="n"/>
      <c r="G22" s="17" t="n"/>
      <c r="H22" s="17" t="n"/>
      <c r="I22" s="17" t="n"/>
      <c r="J22" s="17" t="n"/>
      <c r="K22" s="17" t="n"/>
      <c r="L22" s="17" t="n"/>
      <c r="M22" s="17" t="n"/>
    </row>
    <row r="23">
      <c r="A23" s="17" t="n"/>
      <c r="B23" s="17" t="n"/>
      <c r="C23" s="17" t="n"/>
      <c r="D23" s="17" t="n"/>
      <c r="E23" s="17" t="n"/>
      <c r="F23" s="17" t="n"/>
      <c r="G23" s="17" t="n"/>
      <c r="H23" s="17" t="n"/>
      <c r="I23" s="17" t="n"/>
      <c r="J23" s="17" t="n"/>
      <c r="K23" s="17" t="n"/>
      <c r="L23" s="17" t="n"/>
      <c r="M23" s="17" t="n"/>
    </row>
    <row r="24">
      <c r="A24" s="17" t="n"/>
      <c r="B24" s="17" t="n"/>
      <c r="C24" s="17" t="n"/>
      <c r="D24" s="17" t="n"/>
      <c r="E24" s="17" t="n"/>
      <c r="F24" s="17" t="n"/>
      <c r="G24" s="17" t="n"/>
      <c r="H24" s="17" t="n"/>
      <c r="I24" s="17" t="n"/>
      <c r="J24" s="17" t="n"/>
      <c r="K24" s="17" t="n"/>
      <c r="L24" s="17" t="n"/>
      <c r="M24" s="17" t="n"/>
    </row>
    <row r="25">
      <c r="A25" s="17" t="n"/>
      <c r="B25" s="17" t="n"/>
      <c r="C25" s="17" t="n"/>
      <c r="D25" s="17" t="n"/>
      <c r="E25" s="17" t="n"/>
      <c r="F25" s="17" t="n"/>
      <c r="G25" s="17" t="n"/>
      <c r="H25" s="17" t="n"/>
      <c r="I25" s="17" t="n"/>
      <c r="J25" s="17" t="n"/>
      <c r="K25" s="17" t="n"/>
      <c r="L25" s="17" t="n"/>
      <c r="M25" s="17" t="n"/>
    </row>
    <row r="26">
      <c r="A26" s="17" t="n"/>
      <c r="B26" s="17" t="n"/>
      <c r="C26" s="17" t="n"/>
      <c r="D26" s="17" t="n"/>
      <c r="E26" s="17" t="n"/>
      <c r="F26" s="17" t="n"/>
      <c r="G26" s="17" t="n"/>
      <c r="H26" s="17" t="n"/>
      <c r="I26" s="17" t="n"/>
      <c r="J26" s="17" t="n"/>
      <c r="K26" s="17" t="n"/>
      <c r="L26" s="17" t="n"/>
      <c r="M26" s="17" t="n"/>
    </row>
    <row r="27">
      <c r="A27" s="17" t="n"/>
      <c r="B27" s="17" t="n"/>
      <c r="C27" s="17" t="n"/>
      <c r="D27" s="17" t="n"/>
      <c r="E27" s="17" t="n"/>
      <c r="F27" s="17" t="n"/>
      <c r="G27" s="17" t="n"/>
      <c r="H27" s="17" t="n"/>
      <c r="I27" s="17" t="n"/>
      <c r="J27" s="17" t="n"/>
      <c r="K27" s="17" t="n"/>
      <c r="L27" s="17" t="n"/>
      <c r="M27" s="17" t="n"/>
    </row>
    <row r="28">
      <c r="A28" s="17" t="n"/>
      <c r="B28" s="17" t="n"/>
      <c r="C28" s="17" t="n"/>
      <c r="D28" s="17" t="n"/>
      <c r="E28" s="17" t="n"/>
      <c r="F28" s="17" t="n"/>
      <c r="G28" s="17" t="n"/>
      <c r="H28" s="17" t="n"/>
      <c r="I28" s="17" t="n"/>
      <c r="J28" s="17" t="n"/>
      <c r="K28" s="17" t="n"/>
      <c r="L28" s="17" t="n"/>
      <c r="M28" s="17" t="n"/>
    </row>
    <row r="29">
      <c r="A29" s="17" t="n"/>
      <c r="B29" s="17" t="n"/>
      <c r="C29" s="17" t="n"/>
      <c r="D29" s="17" t="n"/>
      <c r="E29" s="17" t="n"/>
      <c r="F29" s="17" t="n"/>
      <c r="G29" s="17" t="n"/>
      <c r="H29" s="17" t="n"/>
      <c r="I29" s="17" t="n"/>
      <c r="J29" s="17" t="n"/>
      <c r="K29" s="17" t="n"/>
      <c r="L29" s="17" t="n"/>
      <c r="M29" s="17" t="n"/>
    </row>
    <row r="30">
      <c r="A30" s="17" t="n"/>
      <c r="B30" s="17" t="n"/>
      <c r="C30" s="17" t="n"/>
      <c r="D30" s="17" t="n"/>
      <c r="E30" s="17" t="n"/>
      <c r="F30" s="17" t="n"/>
      <c r="G30" s="17" t="n"/>
      <c r="H30" s="17" t="n"/>
      <c r="I30" s="17" t="n"/>
      <c r="J30" s="17" t="n"/>
      <c r="K30" s="17" t="n"/>
      <c r="L30" s="17" t="n"/>
      <c r="M30" s="17" t="n"/>
    </row>
    <row r="31">
      <c r="A31" s="17" t="n"/>
      <c r="B31" s="17" t="n"/>
      <c r="C31" s="17" t="n"/>
      <c r="D31" s="17" t="n"/>
      <c r="E31" s="17" t="n"/>
      <c r="F31" s="17" t="n"/>
      <c r="G31" s="17" t="n"/>
      <c r="H31" s="17" t="n"/>
      <c r="I31" s="17" t="n"/>
      <c r="J31" s="17" t="n"/>
      <c r="K31" s="17" t="n"/>
      <c r="L31" s="17" t="n"/>
      <c r="M31" s="17" t="n"/>
    </row>
    <row r="32">
      <c r="A32" s="17" t="n"/>
      <c r="B32" s="17" t="n"/>
      <c r="C32" s="17" t="n"/>
      <c r="D32" s="17" t="n"/>
      <c r="E32" s="17" t="n"/>
      <c r="F32" s="17" t="n"/>
      <c r="G32" s="17" t="n"/>
      <c r="H32" s="17" t="n"/>
      <c r="I32" s="17" t="n"/>
      <c r="J32" s="17" t="n"/>
      <c r="K32" s="17" t="n"/>
      <c r="L32" s="17" t="n"/>
      <c r="M32" s="17" t="n"/>
    </row>
    <row r="33">
      <c r="A33" s="17" t="n"/>
      <c r="B33" s="17" t="n"/>
      <c r="C33" s="17" t="n"/>
      <c r="D33" s="17" t="n"/>
      <c r="E33" s="17" t="n"/>
      <c r="F33" s="17" t="n"/>
      <c r="G33" s="17" t="n"/>
      <c r="H33" s="17" t="n"/>
      <c r="I33" s="17" t="n"/>
      <c r="J33" s="17" t="n"/>
      <c r="K33" s="17" t="n"/>
      <c r="L33" s="17" t="n"/>
      <c r="M33" s="17" t="n"/>
    </row>
    <row r="34">
      <c r="A34" s="17" t="n"/>
      <c r="B34" s="17" t="n"/>
      <c r="C34" s="17" t="n"/>
      <c r="D34" s="17" t="n"/>
      <c r="E34" s="17" t="n"/>
      <c r="F34" s="17" t="n"/>
      <c r="G34" s="17" t="n"/>
      <c r="H34" s="17" t="n"/>
      <c r="I34" s="17" t="n"/>
      <c r="J34" s="17" t="n"/>
      <c r="K34" s="17" t="n"/>
      <c r="L34" s="17" t="n"/>
      <c r="M34" s="17" t="n"/>
    </row>
    <row r="35">
      <c r="A35" s="17" t="n"/>
      <c r="B35" s="17" t="n"/>
      <c r="C35" s="17" t="n"/>
      <c r="D35" s="17" t="n"/>
      <c r="E35" s="17" t="n"/>
      <c r="F35" s="17" t="n"/>
      <c r="G35" s="17" t="n"/>
      <c r="H35" s="17" t="n"/>
      <c r="I35" s="17" t="n"/>
      <c r="J35" s="17" t="n"/>
      <c r="K35" s="17" t="n"/>
      <c r="L35" s="17" t="n"/>
      <c r="M35" s="17" t="n"/>
    </row>
    <row r="36">
      <c r="A36" s="17" t="n"/>
      <c r="B36" s="17" t="n"/>
      <c r="C36" s="17" t="n"/>
      <c r="D36" s="17" t="n"/>
      <c r="E36" s="17" t="n"/>
      <c r="F36" s="17" t="n"/>
      <c r="G36" s="17" t="n"/>
      <c r="H36" s="17" t="n"/>
      <c r="I36" s="17" t="n"/>
      <c r="J36" s="17" t="n"/>
      <c r="K36" s="17" t="n"/>
      <c r="L36" s="17" t="n"/>
      <c r="M36" s="17" t="n"/>
    </row>
    <row r="37">
      <c r="A37" s="17" t="n"/>
      <c r="B37" s="17" t="n"/>
      <c r="C37" s="17" t="n"/>
      <c r="D37" s="17" t="n"/>
      <c r="E37" s="17" t="n"/>
      <c r="F37" s="17" t="n"/>
      <c r="G37" s="17" t="n"/>
      <c r="H37" s="17" t="n"/>
      <c r="I37" s="17" t="n"/>
      <c r="J37" s="17" t="n"/>
      <c r="K37" s="17" t="n"/>
      <c r="L37" s="17" t="n"/>
      <c r="M37" s="17" t="n"/>
    </row>
    <row r="38">
      <c r="A38" s="17" t="n"/>
      <c r="B38" s="17" t="n"/>
      <c r="C38" s="17" t="n"/>
      <c r="D38" s="17" t="n"/>
      <c r="E38" s="17" t="n"/>
      <c r="F38" s="17" t="n"/>
      <c r="G38" s="17" t="n"/>
      <c r="H38" s="17" t="n"/>
      <c r="I38" s="17" t="n"/>
      <c r="J38" s="17" t="n"/>
      <c r="K38" s="17" t="n"/>
      <c r="L38" s="17" t="n"/>
      <c r="M38" s="17" t="n"/>
    </row>
    <row r="39">
      <c r="A39" s="17" t="n"/>
      <c r="B39" s="17" t="n"/>
      <c r="C39" s="17" t="n"/>
      <c r="D39" s="17" t="n"/>
      <c r="E39" s="17" t="n"/>
      <c r="F39" s="17" t="n"/>
      <c r="G39" s="17" t="n"/>
      <c r="H39" s="17" t="n"/>
      <c r="I39" s="17" t="n"/>
      <c r="J39" s="17" t="n"/>
      <c r="K39" s="17" t="n"/>
      <c r="L39" s="17" t="n"/>
      <c r="M39" s="17" t="n"/>
    </row>
    <row r="40">
      <c r="A40" s="17" t="n"/>
      <c r="B40" s="17" t="n"/>
      <c r="C40" s="17" t="n"/>
      <c r="D40" s="17" t="n"/>
      <c r="E40" s="17" t="n"/>
      <c r="F40" s="17" t="n"/>
      <c r="G40" s="17" t="n"/>
      <c r="H40" s="17" t="n"/>
      <c r="I40" s="17" t="n"/>
      <c r="J40" s="17" t="n"/>
      <c r="K40" s="17" t="n"/>
      <c r="L40" s="17" t="n"/>
      <c r="M40" s="17" t="n"/>
    </row>
    <row r="41">
      <c r="A41" s="17" t="n"/>
      <c r="B41" s="17" t="n"/>
      <c r="C41" s="17" t="n"/>
      <c r="D41" s="17" t="n"/>
      <c r="E41" s="17" t="n"/>
      <c r="F41" s="17" t="n"/>
      <c r="G41" s="17" t="n"/>
      <c r="H41" s="17" t="n"/>
      <c r="I41" s="17" t="n"/>
      <c r="J41" s="17" t="n"/>
      <c r="K41" s="17" t="n"/>
      <c r="L41" s="17" t="n"/>
      <c r="M41" s="17" t="n"/>
    </row>
    <row r="42">
      <c r="A42" s="17" t="n"/>
      <c r="B42" s="17" t="n"/>
      <c r="C42" s="17" t="n"/>
      <c r="D42" s="17" t="n"/>
      <c r="E42" s="17" t="n"/>
      <c r="F42" s="17" t="n"/>
      <c r="G42" s="17" t="n"/>
      <c r="H42" s="17" t="n"/>
      <c r="I42" s="17" t="n"/>
      <c r="J42" s="17" t="n"/>
      <c r="K42" s="17" t="n"/>
      <c r="L42" s="17" t="n"/>
      <c r="M42" s="17" t="n"/>
    </row>
    <row r="43">
      <c r="A43" s="17" t="n"/>
      <c r="B43" s="17" t="n"/>
      <c r="C43" s="17" t="n"/>
      <c r="D43" s="17" t="n"/>
      <c r="E43" s="17" t="n"/>
      <c r="F43" s="17" t="n"/>
      <c r="G43" s="17" t="n"/>
      <c r="H43" s="17" t="n"/>
      <c r="I43" s="17" t="n"/>
      <c r="J43" s="17" t="n"/>
      <c r="K43" s="17" t="n"/>
      <c r="L43" s="17" t="n"/>
      <c r="M43" s="17" t="n"/>
    </row>
    <row r="44">
      <c r="A44" s="17" t="n"/>
      <c r="B44" s="17" t="n"/>
      <c r="C44" s="17" t="n"/>
      <c r="D44" s="17" t="n"/>
      <c r="E44" s="17" t="n"/>
      <c r="F44" s="17" t="n"/>
      <c r="G44" s="17" t="n"/>
      <c r="H44" s="17" t="n"/>
      <c r="I44" s="17" t="n"/>
      <c r="J44" s="17" t="n"/>
      <c r="K44" s="17" t="n"/>
      <c r="L44" s="17" t="n"/>
      <c r="M44" s="17" t="n"/>
    </row>
    <row r="45">
      <c r="A45" s="17" t="n"/>
      <c r="B45" s="17" t="n"/>
      <c r="C45" s="17" t="n"/>
      <c r="D45" s="17" t="n"/>
      <c r="E45" s="17" t="n"/>
      <c r="F45" s="17" t="n"/>
      <c r="G45" s="17" t="n"/>
      <c r="H45" s="17" t="n"/>
      <c r="I45" s="17" t="n"/>
      <c r="J45" s="17" t="n"/>
      <c r="K45" s="17" t="n"/>
      <c r="L45" s="17" t="n"/>
      <c r="M45" s="17" t="n"/>
    </row>
    <row r="46">
      <c r="A46" s="17" t="n"/>
      <c r="B46" s="17" t="n"/>
      <c r="C46" s="17" t="n"/>
      <c r="D46" s="17" t="n"/>
      <c r="E46" s="17" t="n"/>
      <c r="F46" s="17" t="n"/>
      <c r="G46" s="17" t="n"/>
      <c r="H46" s="17" t="n"/>
      <c r="I46" s="17" t="n"/>
      <c r="J46" s="17" t="n"/>
      <c r="K46" s="17" t="n"/>
      <c r="L46" s="17" t="n"/>
      <c r="M46" s="17" t="n"/>
    </row>
    <row r="47">
      <c r="A47" s="17" t="n"/>
      <c r="B47" s="17" t="n"/>
      <c r="C47" s="17" t="n"/>
      <c r="D47" s="17" t="n"/>
      <c r="E47" s="17" t="n"/>
      <c r="F47" s="17" t="n"/>
      <c r="G47" s="17" t="n"/>
      <c r="H47" s="17" t="n"/>
      <c r="I47" s="17" t="n"/>
      <c r="J47" s="17" t="n"/>
      <c r="K47" s="17" t="n"/>
      <c r="L47" s="17" t="n"/>
      <c r="M47" s="17" t="n"/>
    </row>
    <row r="48">
      <c r="A48" s="17" t="n"/>
      <c r="B48" s="17" t="n"/>
      <c r="C48" s="17" t="n"/>
      <c r="D48" s="17" t="n"/>
      <c r="E48" s="17" t="n"/>
      <c r="F48" s="17" t="n"/>
      <c r="G48" s="17" t="n"/>
      <c r="H48" s="17" t="n"/>
      <c r="I48" s="17" t="n"/>
      <c r="J48" s="17" t="n"/>
      <c r="K48" s="17" t="n"/>
      <c r="L48" s="17" t="n"/>
      <c r="M48" s="17" t="n"/>
    </row>
    <row r="49">
      <c r="A49" s="17" t="n"/>
      <c r="B49" s="17" t="n"/>
      <c r="C49" s="17" t="n"/>
      <c r="D49" s="17" t="n"/>
      <c r="E49" s="17" t="n"/>
      <c r="F49" s="17" t="n"/>
      <c r="G49" s="17" t="n"/>
      <c r="H49" s="17" t="n"/>
      <c r="I49" s="17" t="n"/>
      <c r="J49" s="17" t="n"/>
      <c r="K49" s="17" t="n"/>
      <c r="L49" s="17" t="n"/>
      <c r="M49" s="17" t="n"/>
    </row>
    <row r="50">
      <c r="A50" s="17" t="n"/>
      <c r="B50" s="17" t="n"/>
      <c r="C50" s="17" t="n"/>
      <c r="D50" s="17" t="n"/>
      <c r="E50" s="17" t="n"/>
      <c r="F50" s="17" t="n"/>
      <c r="G50" s="17" t="n"/>
      <c r="H50" s="17" t="n"/>
      <c r="I50" s="17" t="n"/>
      <c r="J50" s="17" t="n"/>
      <c r="K50" s="17" t="n"/>
      <c r="L50" s="17" t="n"/>
      <c r="M50" s="17" t="n"/>
    </row>
    <row r="51">
      <c r="A51" s="17" t="n"/>
      <c r="B51" s="17" t="n"/>
      <c r="C51" s="17" t="n"/>
      <c r="D51" s="17" t="n"/>
      <c r="E51" s="17" t="n"/>
      <c r="F51" s="17" t="n"/>
      <c r="G51" s="17" t="n"/>
      <c r="H51" s="17" t="n"/>
      <c r="I51" s="17" t="n"/>
      <c r="J51" s="17" t="n"/>
      <c r="K51" s="17" t="n"/>
      <c r="L51" s="17" t="n"/>
      <c r="M51" s="17" t="n"/>
    </row>
    <row r="52">
      <c r="A52" s="17" t="n"/>
      <c r="B52" s="17" t="n"/>
      <c r="C52" s="17" t="n"/>
      <c r="D52" s="17" t="n"/>
      <c r="E52" s="17" t="n"/>
      <c r="F52" s="17" t="n"/>
      <c r="G52" s="17" t="n"/>
      <c r="H52" s="17" t="n"/>
      <c r="I52" s="17" t="n"/>
      <c r="J52" s="17" t="n"/>
      <c r="K52" s="17" t="n"/>
      <c r="L52" s="17" t="n"/>
      <c r="M52" s="17" t="n"/>
    </row>
    <row r="53">
      <c r="A53" s="17" t="n"/>
      <c r="B53" s="17" t="n"/>
      <c r="C53" s="17" t="n"/>
      <c r="D53" s="17" t="n"/>
      <c r="E53" s="17" t="n"/>
      <c r="F53" s="17" t="n"/>
      <c r="G53" s="17" t="n"/>
      <c r="H53" s="17" t="n"/>
      <c r="I53" s="17" t="n"/>
      <c r="J53" s="17" t="n"/>
      <c r="K53" s="17" t="n"/>
      <c r="L53" s="17" t="n"/>
      <c r="M53" s="17" t="n"/>
    </row>
    <row r="54">
      <c r="A54" s="17" t="n"/>
      <c r="B54" s="17" t="n"/>
      <c r="C54" s="17" t="n"/>
      <c r="D54" s="17" t="n"/>
      <c r="E54" s="17" t="n"/>
      <c r="F54" s="17" t="n"/>
      <c r="G54" s="17" t="n"/>
      <c r="H54" s="17" t="n"/>
      <c r="I54" s="17" t="n"/>
      <c r="J54" s="17" t="n"/>
      <c r="K54" s="17" t="n"/>
      <c r="L54" s="17" t="n"/>
      <c r="M54" s="17" t="n"/>
    </row>
  </sheetData>
  <mergeCells count="2">
    <mergeCell ref="A2:M2"/>
    <mergeCell ref="A1:M1"/>
  </mergeCells>
  <dataValidations count="4">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"Domain Admin,System Admin,Database Admin,Network Admin,Application Admin,Other"</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"Yes,No"</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"Yes,No,Verified"</formula1>
    </dataValidation>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"Disabled,Enabled,Unknown"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25" customWidth="1" min="3" max="3"/>
    <col width="20" customWidth="1" min="4" max="4"/>
    <col width="25" customWidth="1" min="5" max="5"/>
    <col width="25" customWidth="1" min="6" max="6"/>
    <col width="25" customWidth="1" min="7" max="7"/>
    <col width="12" customWidth="1" min="8" max="8"/>
    <col width="20" customWidth="1" min="9" max="9"/>
    <col width="10" customWidth="1" min="10" max="10"/>
    <col width="20" customWidth="1" min="11" max="11"/>
    <col width="15" customWidth="1" min="12" max="12"/>
    <col width="40" customWidth="1" min="13" max="13"/>
  </cols>
  <sheetData>
    <row r="1" ht="35" customHeight="1">
      <c r="A1" s="11" t="inlineStr">
        <is>
          <t>BREAK-GLASS ACTIVATION LOG</t>
        </is>
      </c>
    </row>
    <row r="2">
      <c r="A2" s="12" t="inlineStr">
        <is>
          <t>Log of all emergency access account activations — each activation must be authorised, reviewed, and deactivated</t>
        </is>
      </c>
    </row>
    <row r="3">
      <c r="A3" s="13" t="inlineStr">
        <is>
          <t>Activation_ID</t>
        </is>
      </c>
      <c r="B3" s="13" t="inlineStr">
        <is>
          <t>Account_ID</t>
        </is>
      </c>
      <c r="C3" s="13" t="inlineStr">
        <is>
          <t>Emergency_Type</t>
        </is>
      </c>
      <c r="D3" s="13" t="inlineStr">
        <is>
          <t>Activation_DateTime</t>
        </is>
      </c>
      <c r="E3" s="13" t="inlineStr">
        <is>
          <t>Authorised_By</t>
        </is>
      </c>
      <c r="F3" s="13" t="inlineStr">
        <is>
          <t>Activated_By</t>
        </is>
      </c>
      <c r="G3" s="13" t="inlineStr">
        <is>
          <t>Second_Person</t>
        </is>
      </c>
      <c r="H3" s="13" t="inlineStr">
        <is>
          <t>CISO_Notified</t>
        </is>
      </c>
      <c r="I3" s="13" t="inlineStr">
        <is>
          <t>Expiry_DateTime</t>
        </is>
      </c>
      <c r="J3" s="13" t="inlineStr">
        <is>
          <t>Renewed</t>
        </is>
      </c>
      <c r="K3" s="13" t="inlineStr">
        <is>
          <t>Deactivation_DateTime</t>
        </is>
      </c>
      <c r="L3" s="13" t="inlineStr">
        <is>
          <t>Post_Review_Completed</t>
        </is>
      </c>
      <c r="M3" s="13" t="inlineStr">
        <is>
          <t>Issues_Found</t>
        </is>
      </c>
    </row>
    <row r="4">
      <c r="A4" s="16" t="inlineStr">
        <is>
          <t>ACT-001</t>
        </is>
      </c>
      <c r="B4" s="16" t="inlineStr">
        <is>
          <t>BGA-001</t>
        </is>
      </c>
      <c r="C4" s="16" t="inlineStr">
        <is>
          <t>Active Directory failure</t>
        </is>
      </c>
      <c r="D4" s="16" t="inlineStr">
        <is>
          <t>20.01.2026 14:30</t>
        </is>
      </c>
      <c r="E4" s="16" t="inlineStr">
        <is>
          <t>CISO — J. Smith</t>
        </is>
      </c>
      <c r="F4" s="16" t="inlineStr">
        <is>
          <t>IT Admin — K. Jones</t>
        </is>
      </c>
      <c r="G4" s="16" t="inlineStr">
        <is>
          <t>Security Lead — P. Brown</t>
        </is>
      </c>
      <c r="H4" s="16" t="inlineStr">
        <is>
          <t>Yes</t>
        </is>
      </c>
      <c r="I4" s="16" t="inlineStr">
        <is>
          <t>20.01.2026 18:30</t>
        </is>
      </c>
      <c r="J4" s="16" t="inlineStr">
        <is>
          <t>No</t>
        </is>
      </c>
      <c r="K4" s="16" t="inlineStr">
        <is>
          <t>20.01.2026 17:45</t>
        </is>
      </c>
      <c r="L4" s="16" t="inlineStr">
        <is>
          <t>Yes</t>
        </is>
      </c>
      <c r="M4" s="16" t="inlineStr">
        <is>
          <t>None</t>
        </is>
      </c>
    </row>
    <row r="5">
      <c r="A5" s="17" t="n"/>
      <c r="B5" s="17" t="n"/>
      <c r="C5" s="17" t="n"/>
      <c r="D5" s="17" t="n"/>
      <c r="E5" s="17" t="n"/>
      <c r="F5" s="17" t="n"/>
      <c r="G5" s="17" t="n"/>
      <c r="H5" s="17" t="n"/>
      <c r="I5" s="17" t="n"/>
      <c r="J5" s="17" t="n"/>
      <c r="K5" s="17" t="n"/>
      <c r="L5" s="17" t="n"/>
      <c r="M5" s="17" t="n"/>
    </row>
    <row r="6">
      <c r="A6" s="17" t="n"/>
      <c r="B6" s="17" t="n"/>
      <c r="C6" s="17" t="n"/>
      <c r="D6" s="17" t="n"/>
      <c r="E6" s="17" t="n"/>
      <c r="F6" s="17" t="n"/>
      <c r="G6" s="17" t="n"/>
      <c r="H6" s="17" t="n"/>
      <c r="I6" s="17" t="n"/>
      <c r="J6" s="17" t="n"/>
      <c r="K6" s="17" t="n"/>
      <c r="L6" s="17" t="n"/>
      <c r="M6" s="17" t="n"/>
    </row>
    <row r="7">
      <c r="A7" s="17" t="n"/>
      <c r="B7" s="17" t="n"/>
      <c r="C7" s="17" t="n"/>
      <c r="D7" s="17" t="n"/>
      <c r="E7" s="17" t="n"/>
      <c r="F7" s="17" t="n"/>
      <c r="G7" s="17" t="n"/>
      <c r="H7" s="17" t="n"/>
      <c r="I7" s="17" t="n"/>
      <c r="J7" s="17" t="n"/>
      <c r="K7" s="17" t="n"/>
      <c r="L7" s="17" t="n"/>
      <c r="M7" s="17" t="n"/>
    </row>
    <row r="8">
      <c r="A8" s="17" t="n"/>
      <c r="B8" s="17" t="n"/>
      <c r="C8" s="17" t="n"/>
      <c r="D8" s="17" t="n"/>
      <c r="E8" s="17" t="n"/>
      <c r="F8" s="17" t="n"/>
      <c r="G8" s="17" t="n"/>
      <c r="H8" s="17" t="n"/>
      <c r="I8" s="17" t="n"/>
      <c r="J8" s="17" t="n"/>
      <c r="K8" s="17" t="n"/>
      <c r="L8" s="17" t="n"/>
      <c r="M8" s="17" t="n"/>
    </row>
    <row r="9">
      <c r="A9" s="17" t="n"/>
      <c r="B9" s="17" t="n"/>
      <c r="C9" s="17" t="n"/>
      <c r="D9" s="17" t="n"/>
      <c r="E9" s="17" t="n"/>
      <c r="F9" s="17" t="n"/>
      <c r="G9" s="17" t="n"/>
      <c r="H9" s="17" t="n"/>
      <c r="I9" s="17" t="n"/>
      <c r="J9" s="17" t="n"/>
      <c r="K9" s="17" t="n"/>
      <c r="L9" s="17" t="n"/>
      <c r="M9" s="17" t="n"/>
    </row>
    <row r="10">
      <c r="A10" s="17" t="n"/>
      <c r="B10" s="17" t="n"/>
      <c r="C10" s="17" t="n"/>
      <c r="D10" s="17" t="n"/>
      <c r="E10" s="17" t="n"/>
      <c r="F10" s="17" t="n"/>
      <c r="G10" s="17" t="n"/>
      <c r="H10" s="17" t="n"/>
      <c r="I10" s="17" t="n"/>
      <c r="J10" s="17" t="n"/>
      <c r="K10" s="17" t="n"/>
      <c r="L10" s="17" t="n"/>
      <c r="M10" s="17" t="n"/>
    </row>
    <row r="11">
      <c r="A11" s="17" t="n"/>
      <c r="B11" s="17" t="n"/>
      <c r="C11" s="17" t="n"/>
      <c r="D11" s="17" t="n"/>
      <c r="E11" s="17" t="n"/>
      <c r="F11" s="17" t="n"/>
      <c r="G11" s="17" t="n"/>
      <c r="H11" s="17" t="n"/>
      <c r="I11" s="17" t="n"/>
      <c r="J11" s="17" t="n"/>
      <c r="K11" s="17" t="n"/>
      <c r="L11" s="17" t="n"/>
      <c r="M11" s="17" t="n"/>
    </row>
    <row r="12">
      <c r="A12" s="17" t="n"/>
      <c r="B12" s="17" t="n"/>
      <c r="C12" s="17" t="n"/>
      <c r="D12" s="17" t="n"/>
      <c r="E12" s="17" t="n"/>
      <c r="F12" s="17" t="n"/>
      <c r="G12" s="17" t="n"/>
      <c r="H12" s="17" t="n"/>
      <c r="I12" s="17" t="n"/>
      <c r="J12" s="17" t="n"/>
      <c r="K12" s="17" t="n"/>
      <c r="L12" s="17" t="n"/>
      <c r="M12" s="17" t="n"/>
    </row>
    <row r="13">
      <c r="A13" s="17" t="n"/>
      <c r="B13" s="17" t="n"/>
      <c r="C13" s="17" t="n"/>
      <c r="D13" s="17" t="n"/>
      <c r="E13" s="17" t="n"/>
      <c r="F13" s="17" t="n"/>
      <c r="G13" s="17" t="n"/>
      <c r="H13" s="17" t="n"/>
      <c r="I13" s="17" t="n"/>
      <c r="J13" s="17" t="n"/>
      <c r="K13" s="17" t="n"/>
      <c r="L13" s="17" t="n"/>
      <c r="M13" s="17" t="n"/>
    </row>
    <row r="14">
      <c r="A14" s="17" t="n"/>
      <c r="B14" s="17" t="n"/>
      <c r="C14" s="17" t="n"/>
      <c r="D14" s="17" t="n"/>
      <c r="E14" s="17" t="n"/>
      <c r="F14" s="17" t="n"/>
      <c r="G14" s="17" t="n"/>
      <c r="H14" s="17" t="n"/>
      <c r="I14" s="17" t="n"/>
      <c r="J14" s="17" t="n"/>
      <c r="K14" s="17" t="n"/>
      <c r="L14" s="17" t="n"/>
      <c r="M14" s="17" t="n"/>
    </row>
    <row r="15">
      <c r="A15" s="17" t="n"/>
      <c r="B15" s="17" t="n"/>
      <c r="C15" s="17" t="n"/>
      <c r="D15" s="17" t="n"/>
      <c r="E15" s="17" t="n"/>
      <c r="F15" s="17" t="n"/>
      <c r="G15" s="17" t="n"/>
      <c r="H15" s="17" t="n"/>
      <c r="I15" s="17" t="n"/>
      <c r="J15" s="17" t="n"/>
      <c r="K15" s="17" t="n"/>
      <c r="L15" s="17" t="n"/>
      <c r="M15" s="17" t="n"/>
    </row>
    <row r="16">
      <c r="A16" s="17" t="n"/>
      <c r="B16" s="17" t="n"/>
      <c r="C16" s="17" t="n"/>
      <c r="D16" s="17" t="n"/>
      <c r="E16" s="17" t="n"/>
      <c r="F16" s="17" t="n"/>
      <c r="G16" s="17" t="n"/>
      <c r="H16" s="17" t="n"/>
      <c r="I16" s="17" t="n"/>
      <c r="J16" s="17" t="n"/>
      <c r="K16" s="17" t="n"/>
      <c r="L16" s="17" t="n"/>
      <c r="M16" s="17" t="n"/>
    </row>
    <row r="17">
      <c r="A17" s="17" t="n"/>
      <c r="B17" s="17" t="n"/>
      <c r="C17" s="17" t="n"/>
      <c r="D17" s="17" t="n"/>
      <c r="E17" s="17" t="n"/>
      <c r="F17" s="17" t="n"/>
      <c r="G17" s="17" t="n"/>
      <c r="H17" s="17" t="n"/>
      <c r="I17" s="17" t="n"/>
      <c r="J17" s="17" t="n"/>
      <c r="K17" s="17" t="n"/>
      <c r="L17" s="17" t="n"/>
      <c r="M17" s="17" t="n"/>
    </row>
    <row r="18">
      <c r="A18" s="17" t="n"/>
      <c r="B18" s="17" t="n"/>
      <c r="C18" s="17" t="n"/>
      <c r="D18" s="17" t="n"/>
      <c r="E18" s="17" t="n"/>
      <c r="F18" s="17" t="n"/>
      <c r="G18" s="17" t="n"/>
      <c r="H18" s="17" t="n"/>
      <c r="I18" s="17" t="n"/>
      <c r="J18" s="17" t="n"/>
      <c r="K18" s="17" t="n"/>
      <c r="L18" s="17" t="n"/>
      <c r="M18" s="17" t="n"/>
    </row>
    <row r="19">
      <c r="A19" s="17" t="n"/>
      <c r="B19" s="17" t="n"/>
      <c r="C19" s="17" t="n"/>
      <c r="D19" s="17" t="n"/>
      <c r="E19" s="17" t="n"/>
      <c r="F19" s="17" t="n"/>
      <c r="G19" s="17" t="n"/>
      <c r="H19" s="17" t="n"/>
      <c r="I19" s="17" t="n"/>
      <c r="J19" s="17" t="n"/>
      <c r="K19" s="17" t="n"/>
      <c r="L19" s="17" t="n"/>
      <c r="M19" s="17" t="n"/>
    </row>
    <row r="20">
      <c r="A20" s="17" t="n"/>
      <c r="B20" s="17" t="n"/>
      <c r="C20" s="17" t="n"/>
      <c r="D20" s="17" t="n"/>
      <c r="E20" s="17" t="n"/>
      <c r="F20" s="17" t="n"/>
      <c r="G20" s="17" t="n"/>
      <c r="H20" s="17" t="n"/>
      <c r="I20" s="17" t="n"/>
      <c r="J20" s="17" t="n"/>
      <c r="K20" s="17" t="n"/>
      <c r="L20" s="17" t="n"/>
      <c r="M20" s="17" t="n"/>
    </row>
    <row r="21">
      <c r="A21" s="17" t="n"/>
      <c r="B21" s="17" t="n"/>
      <c r="C21" s="17" t="n"/>
      <c r="D21" s="17" t="n"/>
      <c r="E21" s="17" t="n"/>
      <c r="F21" s="17" t="n"/>
      <c r="G21" s="17" t="n"/>
      <c r="H21" s="17" t="n"/>
      <c r="I21" s="17" t="n"/>
      <c r="J21" s="17" t="n"/>
      <c r="K21" s="17" t="n"/>
      <c r="L21" s="17" t="n"/>
      <c r="M21" s="17" t="n"/>
    </row>
    <row r="22">
      <c r="A22" s="17" t="n"/>
      <c r="B22" s="17" t="n"/>
      <c r="C22" s="17" t="n"/>
      <c r="D22" s="17" t="n"/>
      <c r="E22" s="17" t="n"/>
      <c r="F22" s="17" t="n"/>
      <c r="G22" s="17" t="n"/>
      <c r="H22" s="17" t="n"/>
      <c r="I22" s="17" t="n"/>
      <c r="J22" s="17" t="n"/>
      <c r="K22" s="17" t="n"/>
      <c r="L22" s="17" t="n"/>
      <c r="M22" s="17" t="n"/>
    </row>
    <row r="23">
      <c r="A23" s="17" t="n"/>
      <c r="B23" s="17" t="n"/>
      <c r="C23" s="17" t="n"/>
      <c r="D23" s="17" t="n"/>
      <c r="E23" s="17" t="n"/>
      <c r="F23" s="17" t="n"/>
      <c r="G23" s="17" t="n"/>
      <c r="H23" s="17" t="n"/>
      <c r="I23" s="17" t="n"/>
      <c r="J23" s="17" t="n"/>
      <c r="K23" s="17" t="n"/>
      <c r="L23" s="17" t="n"/>
      <c r="M23" s="17" t="n"/>
    </row>
    <row r="24">
      <c r="A24" s="17" t="n"/>
      <c r="B24" s="17" t="n"/>
      <c r="C24" s="17" t="n"/>
      <c r="D24" s="17" t="n"/>
      <c r="E24" s="17" t="n"/>
      <c r="F24" s="17" t="n"/>
      <c r="G24" s="17" t="n"/>
      <c r="H24" s="17" t="n"/>
      <c r="I24" s="17" t="n"/>
      <c r="J24" s="17" t="n"/>
      <c r="K24" s="17" t="n"/>
      <c r="L24" s="17" t="n"/>
      <c r="M24" s="17" t="n"/>
    </row>
    <row r="25">
      <c r="A25" s="17" t="n"/>
      <c r="B25" s="17" t="n"/>
      <c r="C25" s="17" t="n"/>
      <c r="D25" s="17" t="n"/>
      <c r="E25" s="17" t="n"/>
      <c r="F25" s="17" t="n"/>
      <c r="G25" s="17" t="n"/>
      <c r="H25" s="17" t="n"/>
      <c r="I25" s="17" t="n"/>
      <c r="J25" s="17" t="n"/>
      <c r="K25" s="17" t="n"/>
      <c r="L25" s="17" t="n"/>
      <c r="M25" s="17" t="n"/>
    </row>
    <row r="26">
      <c r="A26" s="17" t="n"/>
      <c r="B26" s="17" t="n"/>
      <c r="C26" s="17" t="n"/>
      <c r="D26" s="17" t="n"/>
      <c r="E26" s="17" t="n"/>
      <c r="F26" s="17" t="n"/>
      <c r="G26" s="17" t="n"/>
      <c r="H26" s="17" t="n"/>
      <c r="I26" s="17" t="n"/>
      <c r="J26" s="17" t="n"/>
      <c r="K26" s="17" t="n"/>
      <c r="L26" s="17" t="n"/>
      <c r="M26" s="17" t="n"/>
    </row>
    <row r="27">
      <c r="A27" s="17" t="n"/>
      <c r="B27" s="17" t="n"/>
      <c r="C27" s="17" t="n"/>
      <c r="D27" s="17" t="n"/>
      <c r="E27" s="17" t="n"/>
      <c r="F27" s="17" t="n"/>
      <c r="G27" s="17" t="n"/>
      <c r="H27" s="17" t="n"/>
      <c r="I27" s="17" t="n"/>
      <c r="J27" s="17" t="n"/>
      <c r="K27" s="17" t="n"/>
      <c r="L27" s="17" t="n"/>
      <c r="M27" s="17" t="n"/>
    </row>
    <row r="28">
      <c r="A28" s="17" t="n"/>
      <c r="B28" s="17" t="n"/>
      <c r="C28" s="17" t="n"/>
      <c r="D28" s="17" t="n"/>
      <c r="E28" s="17" t="n"/>
      <c r="F28" s="17" t="n"/>
      <c r="G28" s="17" t="n"/>
      <c r="H28" s="17" t="n"/>
      <c r="I28" s="17" t="n"/>
      <c r="J28" s="17" t="n"/>
      <c r="K28" s="17" t="n"/>
      <c r="L28" s="17" t="n"/>
      <c r="M28" s="17" t="n"/>
    </row>
    <row r="29">
      <c r="A29" s="17" t="n"/>
      <c r="B29" s="17" t="n"/>
      <c r="C29" s="17" t="n"/>
      <c r="D29" s="17" t="n"/>
      <c r="E29" s="17" t="n"/>
      <c r="F29" s="17" t="n"/>
      <c r="G29" s="17" t="n"/>
      <c r="H29" s="17" t="n"/>
      <c r="I29" s="17" t="n"/>
      <c r="J29" s="17" t="n"/>
      <c r="K29" s="17" t="n"/>
      <c r="L29" s="17" t="n"/>
      <c r="M29" s="17" t="n"/>
    </row>
    <row r="30">
      <c r="A30" s="17" t="n"/>
      <c r="B30" s="17" t="n"/>
      <c r="C30" s="17" t="n"/>
      <c r="D30" s="17" t="n"/>
      <c r="E30" s="17" t="n"/>
      <c r="F30" s="17" t="n"/>
      <c r="G30" s="17" t="n"/>
      <c r="H30" s="17" t="n"/>
      <c r="I30" s="17" t="n"/>
      <c r="J30" s="17" t="n"/>
      <c r="K30" s="17" t="n"/>
      <c r="L30" s="17" t="n"/>
      <c r="M30" s="17" t="n"/>
    </row>
    <row r="31">
      <c r="A31" s="17" t="n"/>
      <c r="B31" s="17" t="n"/>
      <c r="C31" s="17" t="n"/>
      <c r="D31" s="17" t="n"/>
      <c r="E31" s="17" t="n"/>
      <c r="F31" s="17" t="n"/>
      <c r="G31" s="17" t="n"/>
      <c r="H31" s="17" t="n"/>
      <c r="I31" s="17" t="n"/>
      <c r="J31" s="17" t="n"/>
      <c r="K31" s="17" t="n"/>
      <c r="L31" s="17" t="n"/>
      <c r="M31" s="17" t="n"/>
    </row>
    <row r="32">
      <c r="A32" s="17" t="n"/>
      <c r="B32" s="17" t="n"/>
      <c r="C32" s="17" t="n"/>
      <c r="D32" s="17" t="n"/>
      <c r="E32" s="17" t="n"/>
      <c r="F32" s="17" t="n"/>
      <c r="G32" s="17" t="n"/>
      <c r="H32" s="17" t="n"/>
      <c r="I32" s="17" t="n"/>
      <c r="J32" s="17" t="n"/>
      <c r="K32" s="17" t="n"/>
      <c r="L32" s="17" t="n"/>
      <c r="M32" s="17" t="n"/>
    </row>
    <row r="33">
      <c r="A33" s="17" t="n"/>
      <c r="B33" s="17" t="n"/>
      <c r="C33" s="17" t="n"/>
      <c r="D33" s="17" t="n"/>
      <c r="E33" s="17" t="n"/>
      <c r="F33" s="17" t="n"/>
      <c r="G33" s="17" t="n"/>
      <c r="H33" s="17" t="n"/>
      <c r="I33" s="17" t="n"/>
      <c r="J33" s="17" t="n"/>
      <c r="K33" s="17" t="n"/>
      <c r="L33" s="17" t="n"/>
      <c r="M33" s="17" t="n"/>
    </row>
    <row r="34">
      <c r="A34" s="17" t="n"/>
      <c r="B34" s="17" t="n"/>
      <c r="C34" s="17" t="n"/>
      <c r="D34" s="17" t="n"/>
      <c r="E34" s="17" t="n"/>
      <c r="F34" s="17" t="n"/>
      <c r="G34" s="17" t="n"/>
      <c r="H34" s="17" t="n"/>
      <c r="I34" s="17" t="n"/>
      <c r="J34" s="17" t="n"/>
      <c r="K34" s="17" t="n"/>
      <c r="L34" s="17" t="n"/>
      <c r="M34" s="17" t="n"/>
    </row>
    <row r="35">
      <c r="A35" s="17" t="n"/>
      <c r="B35" s="17" t="n"/>
      <c r="C35" s="17" t="n"/>
      <c r="D35" s="17" t="n"/>
      <c r="E35" s="17" t="n"/>
      <c r="F35" s="17" t="n"/>
      <c r="G35" s="17" t="n"/>
      <c r="H35" s="17" t="n"/>
      <c r="I35" s="17" t="n"/>
      <c r="J35" s="17" t="n"/>
      <c r="K35" s="17" t="n"/>
      <c r="L35" s="17" t="n"/>
      <c r="M35" s="17" t="n"/>
    </row>
    <row r="36">
      <c r="A36" s="17" t="n"/>
      <c r="B36" s="17" t="n"/>
      <c r="C36" s="17" t="n"/>
      <c r="D36" s="17" t="n"/>
      <c r="E36" s="17" t="n"/>
      <c r="F36" s="17" t="n"/>
      <c r="G36" s="17" t="n"/>
      <c r="H36" s="17" t="n"/>
      <c r="I36" s="17" t="n"/>
      <c r="J36" s="17" t="n"/>
      <c r="K36" s="17" t="n"/>
      <c r="L36" s="17" t="n"/>
      <c r="M36" s="17" t="n"/>
    </row>
    <row r="37">
      <c r="A37" s="17" t="n"/>
      <c r="B37" s="17" t="n"/>
      <c r="C37" s="17" t="n"/>
      <c r="D37" s="17" t="n"/>
      <c r="E37" s="17" t="n"/>
      <c r="F37" s="17" t="n"/>
      <c r="G37" s="17" t="n"/>
      <c r="H37" s="17" t="n"/>
      <c r="I37" s="17" t="n"/>
      <c r="J37" s="17" t="n"/>
      <c r="K37" s="17" t="n"/>
      <c r="L37" s="17" t="n"/>
      <c r="M37" s="17" t="n"/>
    </row>
    <row r="38">
      <c r="A38" s="17" t="n"/>
      <c r="B38" s="17" t="n"/>
      <c r="C38" s="17" t="n"/>
      <c r="D38" s="17" t="n"/>
      <c r="E38" s="17" t="n"/>
      <c r="F38" s="17" t="n"/>
      <c r="G38" s="17" t="n"/>
      <c r="H38" s="17" t="n"/>
      <c r="I38" s="17" t="n"/>
      <c r="J38" s="17" t="n"/>
      <c r="K38" s="17" t="n"/>
      <c r="L38" s="17" t="n"/>
      <c r="M38" s="17" t="n"/>
    </row>
    <row r="39">
      <c r="A39" s="17" t="n"/>
      <c r="B39" s="17" t="n"/>
      <c r="C39" s="17" t="n"/>
      <c r="D39" s="17" t="n"/>
      <c r="E39" s="17" t="n"/>
      <c r="F39" s="17" t="n"/>
      <c r="G39" s="17" t="n"/>
      <c r="H39" s="17" t="n"/>
      <c r="I39" s="17" t="n"/>
      <c r="J39" s="17" t="n"/>
      <c r="K39" s="17" t="n"/>
      <c r="L39" s="17" t="n"/>
      <c r="M39" s="17" t="n"/>
    </row>
    <row r="40">
      <c r="A40" s="17" t="n"/>
      <c r="B40" s="17" t="n"/>
      <c r="C40" s="17" t="n"/>
      <c r="D40" s="17" t="n"/>
      <c r="E40" s="17" t="n"/>
      <c r="F40" s="17" t="n"/>
      <c r="G40" s="17" t="n"/>
      <c r="H40" s="17" t="n"/>
      <c r="I40" s="17" t="n"/>
      <c r="J40" s="17" t="n"/>
      <c r="K40" s="17" t="n"/>
      <c r="L40" s="17" t="n"/>
      <c r="M40" s="17" t="n"/>
    </row>
    <row r="41">
      <c r="A41" s="17" t="n"/>
      <c r="B41" s="17" t="n"/>
      <c r="C41" s="17" t="n"/>
      <c r="D41" s="17" t="n"/>
      <c r="E41" s="17" t="n"/>
      <c r="F41" s="17" t="n"/>
      <c r="G41" s="17" t="n"/>
      <c r="H41" s="17" t="n"/>
      <c r="I41" s="17" t="n"/>
      <c r="J41" s="17" t="n"/>
      <c r="K41" s="17" t="n"/>
      <c r="L41" s="17" t="n"/>
      <c r="M41" s="17" t="n"/>
    </row>
    <row r="42">
      <c r="A42" s="17" t="n"/>
      <c r="B42" s="17" t="n"/>
      <c r="C42" s="17" t="n"/>
      <c r="D42" s="17" t="n"/>
      <c r="E42" s="17" t="n"/>
      <c r="F42" s="17" t="n"/>
      <c r="G42" s="17" t="n"/>
      <c r="H42" s="17" t="n"/>
      <c r="I42" s="17" t="n"/>
      <c r="J42" s="17" t="n"/>
      <c r="K42" s="17" t="n"/>
      <c r="L42" s="17" t="n"/>
      <c r="M42" s="17" t="n"/>
    </row>
    <row r="43">
      <c r="A43" s="17" t="n"/>
      <c r="B43" s="17" t="n"/>
      <c r="C43" s="17" t="n"/>
      <c r="D43" s="17" t="n"/>
      <c r="E43" s="17" t="n"/>
      <c r="F43" s="17" t="n"/>
      <c r="G43" s="17" t="n"/>
      <c r="H43" s="17" t="n"/>
      <c r="I43" s="17" t="n"/>
      <c r="J43" s="17" t="n"/>
      <c r="K43" s="17" t="n"/>
      <c r="L43" s="17" t="n"/>
      <c r="M43" s="17" t="n"/>
    </row>
    <row r="44">
      <c r="A44" s="17" t="n"/>
      <c r="B44" s="17" t="n"/>
      <c r="C44" s="17" t="n"/>
      <c r="D44" s="17" t="n"/>
      <c r="E44" s="17" t="n"/>
      <c r="F44" s="17" t="n"/>
      <c r="G44" s="17" t="n"/>
      <c r="H44" s="17" t="n"/>
      <c r="I44" s="17" t="n"/>
      <c r="J44" s="17" t="n"/>
      <c r="K44" s="17" t="n"/>
      <c r="L44" s="17" t="n"/>
      <c r="M44" s="17" t="n"/>
    </row>
    <row r="45">
      <c r="A45" s="17" t="n"/>
      <c r="B45" s="17" t="n"/>
      <c r="C45" s="17" t="n"/>
      <c r="D45" s="17" t="n"/>
      <c r="E45" s="17" t="n"/>
      <c r="F45" s="17" t="n"/>
      <c r="G45" s="17" t="n"/>
      <c r="H45" s="17" t="n"/>
      <c r="I45" s="17" t="n"/>
      <c r="J45" s="17" t="n"/>
      <c r="K45" s="17" t="n"/>
      <c r="L45" s="17" t="n"/>
      <c r="M45" s="17" t="n"/>
    </row>
    <row r="46">
      <c r="A46" s="17" t="n"/>
      <c r="B46" s="17" t="n"/>
      <c r="C46" s="17" t="n"/>
      <c r="D46" s="17" t="n"/>
      <c r="E46" s="17" t="n"/>
      <c r="F46" s="17" t="n"/>
      <c r="G46" s="17" t="n"/>
      <c r="H46" s="17" t="n"/>
      <c r="I46" s="17" t="n"/>
      <c r="J46" s="17" t="n"/>
      <c r="K46" s="17" t="n"/>
      <c r="L46" s="17" t="n"/>
      <c r="M46" s="17" t="n"/>
    </row>
    <row r="47">
      <c r="A47" s="17" t="n"/>
      <c r="B47" s="17" t="n"/>
      <c r="C47" s="17" t="n"/>
      <c r="D47" s="17" t="n"/>
      <c r="E47" s="17" t="n"/>
      <c r="F47" s="17" t="n"/>
      <c r="G47" s="17" t="n"/>
      <c r="H47" s="17" t="n"/>
      <c r="I47" s="17" t="n"/>
      <c r="J47" s="17" t="n"/>
      <c r="K47" s="17" t="n"/>
      <c r="L47" s="17" t="n"/>
      <c r="M47" s="17" t="n"/>
    </row>
    <row r="48">
      <c r="A48" s="17" t="n"/>
      <c r="B48" s="17" t="n"/>
      <c r="C48" s="17" t="n"/>
      <c r="D48" s="17" t="n"/>
      <c r="E48" s="17" t="n"/>
      <c r="F48" s="17" t="n"/>
      <c r="G48" s="17" t="n"/>
      <c r="H48" s="17" t="n"/>
      <c r="I48" s="17" t="n"/>
      <c r="J48" s="17" t="n"/>
      <c r="K48" s="17" t="n"/>
      <c r="L48" s="17" t="n"/>
      <c r="M48" s="17" t="n"/>
    </row>
    <row r="49">
      <c r="A49" s="17" t="n"/>
      <c r="B49" s="17" t="n"/>
      <c r="C49" s="17" t="n"/>
      <c r="D49" s="17" t="n"/>
      <c r="E49" s="17" t="n"/>
      <c r="F49" s="17" t="n"/>
      <c r="G49" s="17" t="n"/>
      <c r="H49" s="17" t="n"/>
      <c r="I49" s="17" t="n"/>
      <c r="J49" s="17" t="n"/>
      <c r="K49" s="17" t="n"/>
      <c r="L49" s="17" t="n"/>
      <c r="M49" s="17" t="n"/>
    </row>
    <row r="50">
      <c r="A50" s="17" t="n"/>
      <c r="B50" s="17" t="n"/>
      <c r="C50" s="17" t="n"/>
      <c r="D50" s="17" t="n"/>
      <c r="E50" s="17" t="n"/>
      <c r="F50" s="17" t="n"/>
      <c r="G50" s="17" t="n"/>
      <c r="H50" s="17" t="n"/>
      <c r="I50" s="17" t="n"/>
      <c r="J50" s="17" t="n"/>
      <c r="K50" s="17" t="n"/>
      <c r="L50" s="17" t="n"/>
      <c r="M50" s="17" t="n"/>
    </row>
    <row r="51">
      <c r="A51" s="17" t="n"/>
      <c r="B51" s="17" t="n"/>
      <c r="C51" s="17" t="n"/>
      <c r="D51" s="17" t="n"/>
      <c r="E51" s="17" t="n"/>
      <c r="F51" s="17" t="n"/>
      <c r="G51" s="17" t="n"/>
      <c r="H51" s="17" t="n"/>
      <c r="I51" s="17" t="n"/>
      <c r="J51" s="17" t="n"/>
      <c r="K51" s="17" t="n"/>
      <c r="L51" s="17" t="n"/>
      <c r="M51" s="17" t="n"/>
    </row>
    <row r="52">
      <c r="A52" s="17" t="n"/>
      <c r="B52" s="17" t="n"/>
      <c r="C52" s="17" t="n"/>
      <c r="D52" s="17" t="n"/>
      <c r="E52" s="17" t="n"/>
      <c r="F52" s="17" t="n"/>
      <c r="G52" s="17" t="n"/>
      <c r="H52" s="17" t="n"/>
      <c r="I52" s="17" t="n"/>
      <c r="J52" s="17" t="n"/>
      <c r="K52" s="17" t="n"/>
      <c r="L52" s="17" t="n"/>
      <c r="M52" s="17" t="n"/>
    </row>
    <row r="53">
      <c r="A53" s="17" t="n"/>
      <c r="B53" s="17" t="n"/>
      <c r="C53" s="17" t="n"/>
      <c r="D53" s="17" t="n"/>
      <c r="E53" s="17" t="n"/>
      <c r="F53" s="17" t="n"/>
      <c r="G53" s="17" t="n"/>
      <c r="H53" s="17" t="n"/>
      <c r="I53" s="17" t="n"/>
      <c r="J53" s="17" t="n"/>
      <c r="K53" s="17" t="n"/>
      <c r="L53" s="17" t="n"/>
      <c r="M53" s="17" t="n"/>
    </row>
    <row r="54">
      <c r="A54" s="17" t="n"/>
      <c r="B54" s="17" t="n"/>
      <c r="C54" s="17" t="n"/>
      <c r="D54" s="17" t="n"/>
      <c r="E54" s="17" t="n"/>
      <c r="F54" s="17" t="n"/>
      <c r="G54" s="17" t="n"/>
      <c r="H54" s="17" t="n"/>
      <c r="I54" s="17" t="n"/>
      <c r="J54" s="17" t="n"/>
      <c r="K54" s="17" t="n"/>
      <c r="L54" s="17" t="n"/>
      <c r="M54" s="17" t="n"/>
    </row>
  </sheetData>
  <mergeCells count="2">
    <mergeCell ref="A2:M2"/>
    <mergeCell ref="A1:M1"/>
  </mergeCells>
  <dataValidations count="1">
    <dataValidation sqref="H5 H6 H7 H8 H9 H10 H11 H12 H13 H14 H15 H16 H17 H18 H19 H20 H21 H22 H23 H24 H25 H26 H27 H28 H29 H30 H31 H32 H33 H34 H35 H36 H37 H38 H39 H40 H41 H42 H43 H44 H45 H46 H47 H48 H49 H50 H51 H52 H53 H54 J5 J6 J7 J8 J9 J10 J11 J12 J13 J14 J15 J16 J17 J18 J19 J20 J21 J22 J23 J24 J25 J26 J27 J28 J29 J30 J31 J32 J33 J34 J35 J36 J37 J38 J39 J40 J41 J42 J43 J44 J45 J46 J47 J48 J49 J50 J51 J52 J53 J5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0"/>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0" customWidth="1" min="4" max="4"/>
    <col width="35" customWidth="1" min="5" max="5"/>
    <col width="15" customWidth="1" min="6" max="6"/>
    <col width="20" customWidth="1" min="7" max="7"/>
    <col width="25" customWidth="1" min="8" max="8"/>
    <col width="40" customWidth="1" min="9" max="9"/>
  </cols>
  <sheetData>
    <row r="1" ht="35" customHeight="1">
      <c r="A1" s="11" t="inlineStr">
        <is>
          <t>ELEVATED MONITORING</t>
        </is>
      </c>
    </row>
    <row r="2">
      <c r="A2" s="12" t="inlineStr">
        <is>
          <t>Enhanced monitoring requirements by security posture level — defines frequency increases and alert threshold changes</t>
        </is>
      </c>
    </row>
    <row r="3">
      <c r="A3" s="13" t="inlineStr">
        <is>
          <t>Posture_Level</t>
        </is>
      </c>
      <c r="B3" s="13" t="inlineStr">
        <is>
          <t>Monitoring_Area</t>
        </is>
      </c>
      <c r="C3" s="13" t="inlineStr">
        <is>
          <t>Normal_Frequency</t>
        </is>
      </c>
      <c r="D3" s="13" t="inlineStr">
        <is>
          <t>Enhanced_Frequency</t>
        </is>
      </c>
      <c r="E3" s="13" t="inlineStr">
        <is>
          <t>Alert_Threshold_Change</t>
        </is>
      </c>
      <c r="F3" s="13" t="inlineStr">
        <is>
          <t>Manual_Review_Required</t>
        </is>
      </c>
      <c r="G3" s="13" t="inlineStr">
        <is>
          <t>Review_Frequency</t>
        </is>
      </c>
      <c r="H3" s="13" t="inlineStr">
        <is>
          <t>Responsible_Party</t>
        </is>
      </c>
      <c r="I3" s="13" t="inlineStr">
        <is>
          <t>Implementation_Notes</t>
        </is>
      </c>
    </row>
    <row r="4">
      <c r="A4" s="14" t="inlineStr">
        <is>
          <t>Elevated</t>
        </is>
      </c>
      <c r="B4" s="14" t="inlineStr">
        <is>
          <t>Authentication Logs</t>
        </is>
      </c>
      <c r="C4" s="14" t="inlineStr">
        <is>
          <t>Hourly</t>
        </is>
      </c>
      <c r="D4" s="14" t="inlineStr">
        <is>
          <t>15 minutes</t>
        </is>
      </c>
      <c r="E4" s="15" t="inlineStr">
        <is>
          <t>Lower failed attempt threshold from 5 to 3</t>
        </is>
      </c>
      <c r="F4" s="14" t="inlineStr">
        <is>
          <t>No</t>
        </is>
      </c>
      <c r="G4" s="14" t="inlineStr"/>
      <c r="H4" s="14" t="inlineStr">
        <is>
          <t>SOC</t>
        </is>
      </c>
      <c r="I4" s="15" t="inlineStr"/>
    </row>
    <row r="5">
      <c r="A5" s="14" t="inlineStr">
        <is>
          <t>Elevated</t>
        </is>
      </c>
      <c r="B5" s="14" t="inlineStr">
        <is>
          <t>Privileged Access</t>
        </is>
      </c>
      <c r="C5" s="14" t="inlineStr">
        <is>
          <t>Daily</t>
        </is>
      </c>
      <c r="D5" s="14" t="inlineStr">
        <is>
          <t>Hourly</t>
        </is>
      </c>
      <c r="E5" s="15" t="inlineStr">
        <is>
          <t>Alert on any privileged access</t>
        </is>
      </c>
      <c r="F5" s="14" t="inlineStr">
        <is>
          <t>Yes</t>
        </is>
      </c>
      <c r="G5" s="14" t="inlineStr">
        <is>
          <t>Every 4 hours</t>
        </is>
      </c>
      <c r="H5" s="14" t="inlineStr">
        <is>
          <t>Security Team</t>
        </is>
      </c>
      <c r="I5" s="15" t="inlineStr"/>
    </row>
    <row r="6">
      <c r="A6" s="14" t="inlineStr">
        <is>
          <t>Degraded</t>
        </is>
      </c>
      <c r="B6" s="14" t="inlineStr">
        <is>
          <t>Authentication Logs</t>
        </is>
      </c>
      <c r="C6" s="14" t="inlineStr">
        <is>
          <t>15 minutes</t>
        </is>
      </c>
      <c r="D6" s="14" t="inlineStr">
        <is>
          <t>Real-time</t>
        </is>
      </c>
      <c r="E6" s="15" t="inlineStr">
        <is>
          <t>Alert on any anomaly</t>
        </is>
      </c>
      <c r="F6" s="14" t="inlineStr">
        <is>
          <t>Yes</t>
        </is>
      </c>
      <c r="G6" s="14" t="inlineStr">
        <is>
          <t>Every 2 hours</t>
        </is>
      </c>
      <c r="H6" s="14" t="inlineStr">
        <is>
          <t>SOC</t>
        </is>
      </c>
      <c r="I6" s="15" t="inlineStr">
        <is>
          <t>24/7 coverage required</t>
        </is>
      </c>
    </row>
    <row r="7">
      <c r="A7" s="14" t="inlineStr">
        <is>
          <t>Degraded</t>
        </is>
      </c>
      <c r="B7" s="14" t="inlineStr">
        <is>
          <t>Network Traffic</t>
        </is>
      </c>
      <c r="C7" s="14" t="inlineStr">
        <is>
          <t>Hourly</t>
        </is>
      </c>
      <c r="D7" s="14" t="inlineStr">
        <is>
          <t>15 minutes</t>
        </is>
      </c>
      <c r="E7" s="15" t="inlineStr">
        <is>
          <t>Alert on unusual destinations</t>
        </is>
      </c>
      <c r="F7" s="14" t="inlineStr">
        <is>
          <t>Yes</t>
        </is>
      </c>
      <c r="G7" s="14" t="inlineStr">
        <is>
          <t>Every 4 hours</t>
        </is>
      </c>
      <c r="H7" s="14" t="inlineStr">
        <is>
          <t>Network Team</t>
        </is>
      </c>
      <c r="I7" s="15" t="inlineStr">
        <is>
          <t>Focus on egress</t>
        </is>
      </c>
    </row>
    <row r="8">
      <c r="A8" s="14" t="inlineStr">
        <is>
          <t>Emergency</t>
        </is>
      </c>
      <c r="B8" s="14" t="inlineStr">
        <is>
          <t>All Critical Systems</t>
        </is>
      </c>
      <c r="C8" s="14" t="inlineStr">
        <is>
          <t>Real-time</t>
        </is>
      </c>
      <c r="D8" s="14" t="inlineStr">
        <is>
          <t>Real-time</t>
        </is>
      </c>
      <c r="E8" s="15" t="inlineStr">
        <is>
          <t>Maximum sensitivity</t>
        </is>
      </c>
      <c r="F8" s="14" t="inlineStr">
        <is>
          <t>Yes</t>
        </is>
      </c>
      <c r="G8" s="14" t="inlineStr">
        <is>
          <t>Continuous</t>
        </is>
      </c>
      <c r="H8" s="14" t="inlineStr">
        <is>
          <t>SOC + Security Team</t>
        </is>
      </c>
      <c r="I8" s="15" t="inlineStr">
        <is>
          <t>Threat hunting focus</t>
        </is>
      </c>
    </row>
    <row r="9">
      <c r="A9" s="14" t="inlineStr">
        <is>
          <t>Emergency</t>
        </is>
      </c>
      <c r="B9" s="14" t="inlineStr">
        <is>
          <t>Break-Glass Usage</t>
        </is>
      </c>
      <c r="C9" s="14" t="inlineStr">
        <is>
          <t>N/A</t>
        </is>
      </c>
      <c r="D9" s="14" t="inlineStr">
        <is>
          <t>Real-time</t>
        </is>
      </c>
      <c r="E9" s="15" t="inlineStr">
        <is>
          <t>Immediate alert on any activation</t>
        </is>
      </c>
      <c r="F9" s="14" t="inlineStr">
        <is>
          <t>Yes</t>
        </is>
      </c>
      <c r="G9" s="14" t="inlineStr">
        <is>
          <t>Continuous</t>
        </is>
      </c>
      <c r="H9" s="14" t="inlineStr">
        <is>
          <t>CISO</t>
        </is>
      </c>
      <c r="I9" s="15" t="inlineStr">
        <is>
          <t>Direct notification</t>
        </is>
      </c>
    </row>
    <row r="10">
      <c r="A10" s="16" t="inlineStr">
        <is>
          <t>Elevated</t>
        </is>
      </c>
      <c r="B10" s="16" t="inlineStr">
        <is>
          <t>File Integrity Monitoring</t>
        </is>
      </c>
      <c r="C10" s="16" t="inlineStr">
        <is>
          <t>6 hours</t>
        </is>
      </c>
      <c r="D10" s="16" t="inlineStr">
        <is>
          <t>1 hour</t>
        </is>
      </c>
      <c r="E10" s="16" t="inlineStr">
        <is>
          <t>Alert on any unexpected change to critical files</t>
        </is>
      </c>
      <c r="F10" s="16" t="inlineStr">
        <is>
          <t>Yes</t>
        </is>
      </c>
      <c r="G10" s="16" t="inlineStr">
        <is>
          <t>Every 2 hours</t>
        </is>
      </c>
      <c r="H10" s="16" t="inlineStr">
        <is>
          <t>Security Analyst</t>
        </is>
      </c>
      <c r="I10" s="16" t="inlineStr">
        <is>
          <t>Focus on /etc, system32</t>
        </is>
      </c>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row r="58">
      <c r="A58" s="17" t="n"/>
      <c r="B58" s="17" t="n"/>
      <c r="C58" s="17" t="n"/>
      <c r="D58" s="17" t="n"/>
      <c r="E58" s="17" t="n"/>
      <c r="F58" s="17" t="n"/>
      <c r="G58" s="17" t="n"/>
      <c r="H58" s="17" t="n"/>
      <c r="I58" s="17" t="n"/>
    </row>
    <row r="59">
      <c r="A59" s="17" t="n"/>
      <c r="B59" s="17" t="n"/>
      <c r="C59" s="17" t="n"/>
      <c r="D59" s="17" t="n"/>
      <c r="E59" s="17" t="n"/>
      <c r="F59" s="17" t="n"/>
      <c r="G59" s="17" t="n"/>
      <c r="H59" s="17" t="n"/>
      <c r="I59" s="17" t="n"/>
    </row>
    <row r="60">
      <c r="A60" s="17" t="n"/>
      <c r="B60" s="17" t="n"/>
      <c r="C60" s="17" t="n"/>
      <c r="D60" s="17" t="n"/>
      <c r="E60" s="17" t="n"/>
      <c r="F60" s="17" t="n"/>
      <c r="G60" s="17" t="n"/>
      <c r="H60" s="17" t="n"/>
      <c r="I60" s="17" t="n"/>
    </row>
  </sheetData>
  <mergeCells count="2">
    <mergeCell ref="A1:I1"/>
    <mergeCell ref="A2:I2"/>
  </mergeCells>
  <dataValidations count="2">
    <dataValidation sqref="A4 A5 A6 A7 A8 A9 A11 A12 A13 A14 A15 A16 A17 A18 A19 A20 A21 A22 A23 A24 A25 A26 A27 A28 A29 A30 A31 A32 A33 A34 A35 A36 A37 A38 A39 A40 A41 A42 A43 A44 A45 A46 A47 A48 A49 A50 A51 A52 A53 A54 A55 A56 A57 A58 A59 A60" showDropDown="0" showInputMessage="0" showErrorMessage="0" allowBlank="0" type="list">
      <formula1>"Elevated,Degraded,Emergency"</formula1>
    </dataValidation>
    <dataValidation sqref="F4 F5 F6 F7 F8 F9 F11 F12 F13 F14 F15 F16 F17 F18 F19 F20 F21 F22 F23 F24 F25 F26 F27 F28 F29 F30 F31 F32 F33 F34 F35 F36 F37 F38 F39 F40 F41 F42 F43 F44 F45 F46 F47 F48 F49 F50 F51 F52 F53 F54 F55 F56 F57 F58 F59 F60"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2"/>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5" customWidth="1" min="3" max="3"/>
    <col width="20" customWidth="1" min="4" max="4"/>
    <col width="30" customWidth="1" min="5" max="5"/>
    <col width="25" customWidth="1" min="6" max="6"/>
    <col width="20" customWidth="1" min="7" max="7"/>
    <col width="30" customWidth="1" min="8" max="8"/>
    <col width="25" customWidth="1" min="9" max="9"/>
    <col width="20" customWidth="1" min="10" max="10"/>
    <col width="30" customWidth="1" min="11" max="11"/>
    <col width="18" customWidth="1" min="12" max="12"/>
    <col width="16" customWidth="1" min="13" max="13"/>
    <col width="16" customWidth="1" min="14" max="14"/>
  </cols>
  <sheetData>
    <row r="1" ht="35" customHeight="1">
      <c r="A1" s="11" t="inlineStr">
        <is>
          <t>PERSONNEL AVAILABILITY</t>
        </is>
      </c>
    </row>
    <row r="2">
      <c r="A2" s="12" t="inlineStr">
        <is>
          <t>Security team succession plan — primary and backup contacts for each critical security role</t>
        </is>
      </c>
    </row>
    <row r="3">
      <c r="A3" s="13" t="inlineStr">
        <is>
          <t>Role_ID</t>
        </is>
      </c>
      <c r="B3" s="13" t="inlineStr">
        <is>
          <t>Role_Name</t>
        </is>
      </c>
      <c r="C3" s="13" t="inlineStr">
        <is>
          <t>Primary_Name</t>
        </is>
      </c>
      <c r="D3" s="13" t="inlineStr">
        <is>
          <t>Primary_Phone</t>
        </is>
      </c>
      <c r="E3" s="13" t="inlineStr">
        <is>
          <t>Primary_Email</t>
        </is>
      </c>
      <c r="F3" s="13" t="inlineStr">
        <is>
          <t>Backup1_Name</t>
        </is>
      </c>
      <c r="G3" s="13" t="inlineStr">
        <is>
          <t>Backup1_Phone</t>
        </is>
      </c>
      <c r="H3" s="13" t="inlineStr">
        <is>
          <t>Backup1_Email</t>
        </is>
      </c>
      <c r="I3" s="13" t="inlineStr">
        <is>
          <t>Backup2_Name</t>
        </is>
      </c>
      <c r="J3" s="13" t="inlineStr">
        <is>
          <t>Backup2_Phone</t>
        </is>
      </c>
      <c r="K3" s="13" t="inlineStr">
        <is>
          <t>Backup2_Email</t>
        </is>
      </c>
      <c r="L3" s="13" t="inlineStr">
        <is>
          <t>Cross_Training_Status</t>
        </is>
      </c>
      <c r="M3" s="13" t="inlineStr">
        <is>
          <t>Last_Contact_Test</t>
        </is>
      </c>
      <c r="N3" s="13" t="inlineStr">
        <is>
          <t>Last_Drill_Date</t>
        </is>
      </c>
    </row>
    <row r="4">
      <c r="A4" s="14" t="inlineStr">
        <is>
          <t>R-001</t>
        </is>
      </c>
      <c r="B4" s="14" t="inlineStr">
        <is>
          <t>CISO</t>
        </is>
      </c>
      <c r="C4" s="14" t="n"/>
      <c r="D4" s="14" t="n"/>
      <c r="E4" s="14" t="n"/>
      <c r="F4" s="14" t="n"/>
      <c r="G4" s="14" t="n"/>
      <c r="H4" s="14" t="n"/>
      <c r="I4" s="14" t="n"/>
      <c r="J4" s="14" t="n"/>
      <c r="K4" s="14" t="n"/>
      <c r="L4" s="14" t="n"/>
      <c r="M4" s="14" t="n"/>
      <c r="N4" s="14" t="n"/>
    </row>
    <row r="5">
      <c r="A5" s="14" t="inlineStr">
        <is>
          <t>R-002</t>
        </is>
      </c>
      <c r="B5" s="14" t="inlineStr">
        <is>
          <t>Security Manager</t>
        </is>
      </c>
      <c r="C5" s="14" t="n"/>
      <c r="D5" s="14" t="n"/>
      <c r="E5" s="14" t="n"/>
      <c r="F5" s="14" t="n"/>
      <c r="G5" s="14" t="n"/>
      <c r="H5" s="14" t="n"/>
      <c r="I5" s="14" t="n"/>
      <c r="J5" s="14" t="n"/>
      <c r="K5" s="14" t="n"/>
      <c r="L5" s="14" t="n"/>
      <c r="M5" s="14" t="n"/>
      <c r="N5" s="14" t="n"/>
    </row>
    <row r="6">
      <c r="A6" s="14" t="inlineStr">
        <is>
          <t>R-003</t>
        </is>
      </c>
      <c r="B6" s="14" t="inlineStr">
        <is>
          <t>Security Analyst (Lead)</t>
        </is>
      </c>
      <c r="C6" s="14" t="n"/>
      <c r="D6" s="14" t="n"/>
      <c r="E6" s="14" t="n"/>
      <c r="F6" s="14" t="n"/>
      <c r="G6" s="14" t="n"/>
      <c r="H6" s="14" t="n"/>
      <c r="I6" s="14" t="n"/>
      <c r="J6" s="14" t="n"/>
      <c r="K6" s="14" t="n"/>
      <c r="L6" s="14" t="n"/>
      <c r="M6" s="14" t="n"/>
      <c r="N6" s="14" t="n"/>
    </row>
    <row r="7">
      <c r="A7" s="14" t="inlineStr">
        <is>
          <t>R-004</t>
        </is>
      </c>
      <c r="B7" s="14" t="inlineStr">
        <is>
          <t>SOC Lead</t>
        </is>
      </c>
      <c r="C7" s="14" t="n"/>
      <c r="D7" s="14" t="n"/>
      <c r="E7" s="14" t="n"/>
      <c r="F7" s="14" t="n"/>
      <c r="G7" s="14" t="n"/>
      <c r="H7" s="14" t="n"/>
      <c r="I7" s="14" t="n"/>
      <c r="J7" s="14" t="n"/>
      <c r="K7" s="14" t="n"/>
      <c r="L7" s="14" t="n"/>
      <c r="M7" s="14" t="n"/>
      <c r="N7" s="14" t="n"/>
    </row>
    <row r="8">
      <c r="A8" s="14" t="inlineStr">
        <is>
          <t>R-005</t>
        </is>
      </c>
      <c r="B8" s="14" t="inlineStr">
        <is>
          <t>Incident Response Lead</t>
        </is>
      </c>
      <c r="C8" s="14" t="n"/>
      <c r="D8" s="14" t="n"/>
      <c r="E8" s="14" t="n"/>
      <c r="F8" s="14" t="n"/>
      <c r="G8" s="14" t="n"/>
      <c r="H8" s="14" t="n"/>
      <c r="I8" s="14" t="n"/>
      <c r="J8" s="14" t="n"/>
      <c r="K8" s="14" t="n"/>
      <c r="L8" s="14" t="n"/>
      <c r="M8" s="14" t="n"/>
      <c r="N8" s="14" t="n"/>
    </row>
    <row r="9">
      <c r="A9" s="14" t="inlineStr">
        <is>
          <t>R-006</t>
        </is>
      </c>
      <c r="B9" s="14" t="inlineStr">
        <is>
          <t>IAM Administrator</t>
        </is>
      </c>
      <c r="C9" s="14" t="n"/>
      <c r="D9" s="14" t="n"/>
      <c r="E9" s="14" t="n"/>
      <c r="F9" s="14" t="n"/>
      <c r="G9" s="14" t="n"/>
      <c r="H9" s="14" t="n"/>
      <c r="I9" s="14" t="n"/>
      <c r="J9" s="14" t="n"/>
      <c r="K9" s="14" t="n"/>
      <c r="L9" s="14" t="n"/>
      <c r="M9" s="14" t="n"/>
      <c r="N9" s="14" t="n"/>
    </row>
    <row r="10">
      <c r="A10" s="14" t="inlineStr">
        <is>
          <t>R-007</t>
        </is>
      </c>
      <c r="B10" s="14" t="inlineStr">
        <is>
          <t>Network Security Lead</t>
        </is>
      </c>
      <c r="C10" s="14" t="n"/>
      <c r="D10" s="14" t="n"/>
      <c r="E10" s="14" t="n"/>
      <c r="F10" s="14" t="n"/>
      <c r="G10" s="14" t="n"/>
      <c r="H10" s="14" t="n"/>
      <c r="I10" s="14" t="n"/>
      <c r="J10" s="14" t="n"/>
      <c r="K10" s="14" t="n"/>
      <c r="L10" s="14" t="n"/>
      <c r="M10" s="14" t="n"/>
      <c r="N10" s="14" t="n"/>
    </row>
    <row r="11">
      <c r="A11" s="14" t="inlineStr">
        <is>
          <t>R-008</t>
        </is>
      </c>
      <c r="B11" s="14" t="inlineStr">
        <is>
          <t>Security Architect</t>
        </is>
      </c>
      <c r="C11" s="14" t="n"/>
      <c r="D11" s="14" t="n"/>
      <c r="E11" s="14" t="n"/>
      <c r="F11" s="14" t="n"/>
      <c r="G11" s="14" t="n"/>
      <c r="H11" s="14" t="n"/>
      <c r="I11" s="14" t="n"/>
      <c r="J11" s="14" t="n"/>
      <c r="K11" s="14" t="n"/>
      <c r="L11" s="14" t="n"/>
      <c r="M11" s="14" t="n"/>
      <c r="N11" s="14" t="n"/>
    </row>
    <row r="12">
      <c r="A12" s="16" t="inlineStr">
        <is>
          <t>R-009</t>
        </is>
      </c>
      <c r="B12" s="16" t="inlineStr">
        <is>
          <t>Vulnerability Management Lead</t>
        </is>
      </c>
      <c r="C12" s="16" t="inlineStr">
        <is>
          <t>A. Example</t>
        </is>
      </c>
      <c r="D12" s="16" t="inlineStr">
        <is>
          <t>+41 79 000 0001</t>
        </is>
      </c>
      <c r="E12" s="16" t="inlineStr">
        <is>
          <t>a.example@organisation.ch</t>
        </is>
      </c>
      <c r="F12" s="16" t="inlineStr">
        <is>
          <t>B. Backup</t>
        </is>
      </c>
      <c r="G12" s="16" t="inlineStr">
        <is>
          <t>+41 79 000 0002</t>
        </is>
      </c>
      <c r="H12" s="16" t="inlineStr">
        <is>
          <t>b.backup@organisation.ch</t>
        </is>
      </c>
      <c r="I12" s="16" t="inlineStr">
        <is>
          <t>C. Second</t>
        </is>
      </c>
      <c r="J12" s="16" t="inlineStr">
        <is>
          <t>+41 79 000 0003</t>
        </is>
      </c>
      <c r="K12" s="16" t="inlineStr">
        <is>
          <t>c.second@organisation.ch</t>
        </is>
      </c>
      <c r="L12" s="16" t="inlineStr">
        <is>
          <t>Complete</t>
        </is>
      </c>
      <c r="M12" s="16" t="inlineStr">
        <is>
          <t>01.02.2026</t>
        </is>
      </c>
      <c r="N12" s="16" t="inlineStr">
        <is>
          <t>15.01.2026</t>
        </is>
      </c>
    </row>
    <row r="13">
      <c r="A13" s="17" t="n"/>
      <c r="B13" s="17" t="n"/>
      <c r="C13" s="17" t="n"/>
      <c r="D13" s="17" t="n"/>
      <c r="E13" s="17" t="n"/>
      <c r="F13" s="17" t="n"/>
      <c r="G13" s="17" t="n"/>
      <c r="H13" s="17" t="n"/>
      <c r="I13" s="17" t="n"/>
      <c r="J13" s="17" t="n"/>
      <c r="K13" s="17" t="n"/>
      <c r="L13" s="17" t="n"/>
      <c r="M13" s="17" t="n"/>
      <c r="N13" s="17" t="n"/>
    </row>
    <row r="14">
      <c r="A14" s="17" t="n"/>
      <c r="B14" s="17" t="n"/>
      <c r="C14" s="17" t="n"/>
      <c r="D14" s="17" t="n"/>
      <c r="E14" s="17" t="n"/>
      <c r="F14" s="17" t="n"/>
      <c r="G14" s="17" t="n"/>
      <c r="H14" s="17" t="n"/>
      <c r="I14" s="17" t="n"/>
      <c r="J14" s="17" t="n"/>
      <c r="K14" s="17" t="n"/>
      <c r="L14" s="17" t="n"/>
      <c r="M14" s="17" t="n"/>
      <c r="N14" s="17" t="n"/>
    </row>
    <row r="15">
      <c r="A15" s="17" t="n"/>
      <c r="B15" s="17" t="n"/>
      <c r="C15" s="17" t="n"/>
      <c r="D15" s="17" t="n"/>
      <c r="E15" s="17" t="n"/>
      <c r="F15" s="17" t="n"/>
      <c r="G15" s="17" t="n"/>
      <c r="H15" s="17" t="n"/>
      <c r="I15" s="17" t="n"/>
      <c r="J15" s="17" t="n"/>
      <c r="K15" s="17" t="n"/>
      <c r="L15" s="17" t="n"/>
      <c r="M15" s="17" t="n"/>
      <c r="N15" s="17" t="n"/>
    </row>
    <row r="16">
      <c r="A16" s="17" t="n"/>
      <c r="B16" s="17" t="n"/>
      <c r="C16" s="17" t="n"/>
      <c r="D16" s="17" t="n"/>
      <c r="E16" s="17" t="n"/>
      <c r="F16" s="17" t="n"/>
      <c r="G16" s="17" t="n"/>
      <c r="H16" s="17" t="n"/>
      <c r="I16" s="17" t="n"/>
      <c r="J16" s="17" t="n"/>
      <c r="K16" s="17" t="n"/>
      <c r="L16" s="17" t="n"/>
      <c r="M16" s="17" t="n"/>
      <c r="N16" s="17" t="n"/>
    </row>
    <row r="17">
      <c r="A17" s="17" t="n"/>
      <c r="B17" s="17" t="n"/>
      <c r="C17" s="17" t="n"/>
      <c r="D17" s="17" t="n"/>
      <c r="E17" s="17" t="n"/>
      <c r="F17" s="17" t="n"/>
      <c r="G17" s="17" t="n"/>
      <c r="H17" s="17" t="n"/>
      <c r="I17" s="17" t="n"/>
      <c r="J17" s="17" t="n"/>
      <c r="K17" s="17" t="n"/>
      <c r="L17" s="17" t="n"/>
      <c r="M17" s="17" t="n"/>
      <c r="N17" s="17" t="n"/>
    </row>
    <row r="18">
      <c r="A18" s="17" t="n"/>
      <c r="B18" s="17" t="n"/>
      <c r="C18" s="17" t="n"/>
      <c r="D18" s="17" t="n"/>
      <c r="E18" s="17" t="n"/>
      <c r="F18" s="17" t="n"/>
      <c r="G18" s="17" t="n"/>
      <c r="H18" s="17" t="n"/>
      <c r="I18" s="17" t="n"/>
      <c r="J18" s="17" t="n"/>
      <c r="K18" s="17" t="n"/>
      <c r="L18" s="17" t="n"/>
      <c r="M18" s="17" t="n"/>
      <c r="N18" s="17" t="n"/>
    </row>
    <row r="19">
      <c r="A19" s="17" t="n"/>
      <c r="B19" s="17" t="n"/>
      <c r="C19" s="17" t="n"/>
      <c r="D19" s="17" t="n"/>
      <c r="E19" s="17" t="n"/>
      <c r="F19" s="17" t="n"/>
      <c r="G19" s="17" t="n"/>
      <c r="H19" s="17" t="n"/>
      <c r="I19" s="17" t="n"/>
      <c r="J19" s="17" t="n"/>
      <c r="K19" s="17" t="n"/>
      <c r="L19" s="17" t="n"/>
      <c r="M19" s="17" t="n"/>
      <c r="N19" s="17" t="n"/>
    </row>
    <row r="20">
      <c r="A20" s="17" t="n"/>
      <c r="B20" s="17" t="n"/>
      <c r="C20" s="17" t="n"/>
      <c r="D20" s="17" t="n"/>
      <c r="E20" s="17" t="n"/>
      <c r="F20" s="17" t="n"/>
      <c r="G20" s="17" t="n"/>
      <c r="H20" s="17" t="n"/>
      <c r="I20" s="17" t="n"/>
      <c r="J20" s="17" t="n"/>
      <c r="K20" s="17" t="n"/>
      <c r="L20" s="17" t="n"/>
      <c r="M20" s="17" t="n"/>
      <c r="N20" s="17" t="n"/>
    </row>
    <row r="21">
      <c r="A21" s="17" t="n"/>
      <c r="B21" s="17" t="n"/>
      <c r="C21" s="17" t="n"/>
      <c r="D21" s="17" t="n"/>
      <c r="E21" s="17" t="n"/>
      <c r="F21" s="17" t="n"/>
      <c r="G21" s="17" t="n"/>
      <c r="H21" s="17" t="n"/>
      <c r="I21" s="17" t="n"/>
      <c r="J21" s="17" t="n"/>
      <c r="K21" s="17" t="n"/>
      <c r="L21" s="17" t="n"/>
      <c r="M21" s="17" t="n"/>
      <c r="N21" s="17" t="n"/>
    </row>
    <row r="22">
      <c r="A22" s="17" t="n"/>
      <c r="B22" s="17" t="n"/>
      <c r="C22" s="17" t="n"/>
      <c r="D22" s="17" t="n"/>
      <c r="E22" s="17" t="n"/>
      <c r="F22" s="17" t="n"/>
      <c r="G22" s="17" t="n"/>
      <c r="H22" s="17" t="n"/>
      <c r="I22" s="17" t="n"/>
      <c r="J22" s="17" t="n"/>
      <c r="K22" s="17" t="n"/>
      <c r="L22" s="17" t="n"/>
      <c r="M22" s="17" t="n"/>
      <c r="N22" s="17" t="n"/>
    </row>
    <row r="23">
      <c r="A23" s="17" t="n"/>
      <c r="B23" s="17" t="n"/>
      <c r="C23" s="17" t="n"/>
      <c r="D23" s="17" t="n"/>
      <c r="E23" s="17" t="n"/>
      <c r="F23" s="17" t="n"/>
      <c r="G23" s="17" t="n"/>
      <c r="H23" s="17" t="n"/>
      <c r="I23" s="17" t="n"/>
      <c r="J23" s="17" t="n"/>
      <c r="K23" s="17" t="n"/>
      <c r="L23" s="17" t="n"/>
      <c r="M23" s="17" t="n"/>
      <c r="N23" s="17" t="n"/>
    </row>
    <row r="24">
      <c r="A24" s="17" t="n"/>
      <c r="B24" s="17" t="n"/>
      <c r="C24" s="17" t="n"/>
      <c r="D24" s="17" t="n"/>
      <c r="E24" s="17" t="n"/>
      <c r="F24" s="17" t="n"/>
      <c r="G24" s="17" t="n"/>
      <c r="H24" s="17" t="n"/>
      <c r="I24" s="17" t="n"/>
      <c r="J24" s="17" t="n"/>
      <c r="K24" s="17" t="n"/>
      <c r="L24" s="17" t="n"/>
      <c r="M24" s="17" t="n"/>
      <c r="N24" s="17" t="n"/>
    </row>
    <row r="25">
      <c r="A25" s="17" t="n"/>
      <c r="B25" s="17" t="n"/>
      <c r="C25" s="17" t="n"/>
      <c r="D25" s="17" t="n"/>
      <c r="E25" s="17" t="n"/>
      <c r="F25" s="17" t="n"/>
      <c r="G25" s="17" t="n"/>
      <c r="H25" s="17" t="n"/>
      <c r="I25" s="17" t="n"/>
      <c r="J25" s="17" t="n"/>
      <c r="K25" s="17" t="n"/>
      <c r="L25" s="17" t="n"/>
      <c r="M25" s="17" t="n"/>
      <c r="N25" s="17" t="n"/>
    </row>
    <row r="26">
      <c r="A26" s="17" t="n"/>
      <c r="B26" s="17" t="n"/>
      <c r="C26" s="17" t="n"/>
      <c r="D26" s="17" t="n"/>
      <c r="E26" s="17" t="n"/>
      <c r="F26" s="17" t="n"/>
      <c r="G26" s="17" t="n"/>
      <c r="H26" s="17" t="n"/>
      <c r="I26" s="17" t="n"/>
      <c r="J26" s="17" t="n"/>
      <c r="K26" s="17" t="n"/>
      <c r="L26" s="17" t="n"/>
      <c r="M26" s="17" t="n"/>
      <c r="N26" s="17" t="n"/>
    </row>
    <row r="27">
      <c r="A27" s="17" t="n"/>
      <c r="B27" s="17" t="n"/>
      <c r="C27" s="17" t="n"/>
      <c r="D27" s="17" t="n"/>
      <c r="E27" s="17" t="n"/>
      <c r="F27" s="17" t="n"/>
      <c r="G27" s="17" t="n"/>
      <c r="H27" s="17" t="n"/>
      <c r="I27" s="17" t="n"/>
      <c r="J27" s="17" t="n"/>
      <c r="K27" s="17" t="n"/>
      <c r="L27" s="17" t="n"/>
      <c r="M27" s="17" t="n"/>
      <c r="N27" s="17" t="n"/>
    </row>
    <row r="28">
      <c r="A28" s="17" t="n"/>
      <c r="B28" s="17" t="n"/>
      <c r="C28" s="17" t="n"/>
      <c r="D28" s="17" t="n"/>
      <c r="E28" s="17" t="n"/>
      <c r="F28" s="17" t="n"/>
      <c r="G28" s="17" t="n"/>
      <c r="H28" s="17" t="n"/>
      <c r="I28" s="17" t="n"/>
      <c r="J28" s="17" t="n"/>
      <c r="K28" s="17" t="n"/>
      <c r="L28" s="17" t="n"/>
      <c r="M28" s="17" t="n"/>
      <c r="N28" s="17" t="n"/>
    </row>
    <row r="29">
      <c r="A29" s="17" t="n"/>
      <c r="B29" s="17" t="n"/>
      <c r="C29" s="17" t="n"/>
      <c r="D29" s="17" t="n"/>
      <c r="E29" s="17" t="n"/>
      <c r="F29" s="17" t="n"/>
      <c r="G29" s="17" t="n"/>
      <c r="H29" s="17" t="n"/>
      <c r="I29" s="17" t="n"/>
      <c r="J29" s="17" t="n"/>
      <c r="K29" s="17" t="n"/>
      <c r="L29" s="17" t="n"/>
      <c r="M29" s="17" t="n"/>
      <c r="N29" s="17" t="n"/>
    </row>
    <row r="30">
      <c r="A30" s="17" t="n"/>
      <c r="B30" s="17" t="n"/>
      <c r="C30" s="17" t="n"/>
      <c r="D30" s="17" t="n"/>
      <c r="E30" s="17" t="n"/>
      <c r="F30" s="17" t="n"/>
      <c r="G30" s="17" t="n"/>
      <c r="H30" s="17" t="n"/>
      <c r="I30" s="17" t="n"/>
      <c r="J30" s="17" t="n"/>
      <c r="K30" s="17" t="n"/>
      <c r="L30" s="17" t="n"/>
      <c r="M30" s="17" t="n"/>
      <c r="N30" s="17" t="n"/>
    </row>
    <row r="31">
      <c r="A31" s="17" t="n"/>
      <c r="B31" s="17" t="n"/>
      <c r="C31" s="17" t="n"/>
      <c r="D31" s="17" t="n"/>
      <c r="E31" s="17" t="n"/>
      <c r="F31" s="17" t="n"/>
      <c r="G31" s="17" t="n"/>
      <c r="H31" s="17" t="n"/>
      <c r="I31" s="17" t="n"/>
      <c r="J31" s="17" t="n"/>
      <c r="K31" s="17" t="n"/>
      <c r="L31" s="17" t="n"/>
      <c r="M31" s="17" t="n"/>
      <c r="N31" s="17" t="n"/>
    </row>
    <row r="32">
      <c r="A32" s="17" t="n"/>
      <c r="B32" s="17" t="n"/>
      <c r="C32" s="17" t="n"/>
      <c r="D32" s="17" t="n"/>
      <c r="E32" s="17" t="n"/>
      <c r="F32" s="17" t="n"/>
      <c r="G32" s="17" t="n"/>
      <c r="H32" s="17" t="n"/>
      <c r="I32" s="17" t="n"/>
      <c r="J32" s="17" t="n"/>
      <c r="K32" s="17" t="n"/>
      <c r="L32" s="17" t="n"/>
      <c r="M32" s="17" t="n"/>
      <c r="N32" s="17" t="n"/>
    </row>
    <row r="33">
      <c r="A33" s="17" t="n"/>
      <c r="B33" s="17" t="n"/>
      <c r="C33" s="17" t="n"/>
      <c r="D33" s="17" t="n"/>
      <c r="E33" s="17" t="n"/>
      <c r="F33" s="17" t="n"/>
      <c r="G33" s="17" t="n"/>
      <c r="H33" s="17" t="n"/>
      <c r="I33" s="17" t="n"/>
      <c r="J33" s="17" t="n"/>
      <c r="K33" s="17" t="n"/>
      <c r="L33" s="17" t="n"/>
      <c r="M33" s="17" t="n"/>
      <c r="N33" s="17" t="n"/>
    </row>
    <row r="34">
      <c r="A34" s="17" t="n"/>
      <c r="B34" s="17" t="n"/>
      <c r="C34" s="17" t="n"/>
      <c r="D34" s="17" t="n"/>
      <c r="E34" s="17" t="n"/>
      <c r="F34" s="17" t="n"/>
      <c r="G34" s="17" t="n"/>
      <c r="H34" s="17" t="n"/>
      <c r="I34" s="17" t="n"/>
      <c r="J34" s="17" t="n"/>
      <c r="K34" s="17" t="n"/>
      <c r="L34" s="17" t="n"/>
      <c r="M34" s="17" t="n"/>
      <c r="N34" s="17" t="n"/>
    </row>
    <row r="35">
      <c r="A35" s="17" t="n"/>
      <c r="B35" s="17" t="n"/>
      <c r="C35" s="17" t="n"/>
      <c r="D35" s="17" t="n"/>
      <c r="E35" s="17" t="n"/>
      <c r="F35" s="17" t="n"/>
      <c r="G35" s="17" t="n"/>
      <c r="H35" s="17" t="n"/>
      <c r="I35" s="17" t="n"/>
      <c r="J35" s="17" t="n"/>
      <c r="K35" s="17" t="n"/>
      <c r="L35" s="17" t="n"/>
      <c r="M35" s="17" t="n"/>
      <c r="N35" s="17" t="n"/>
    </row>
    <row r="36">
      <c r="A36" s="17" t="n"/>
      <c r="B36" s="17" t="n"/>
      <c r="C36" s="17" t="n"/>
      <c r="D36" s="17" t="n"/>
      <c r="E36" s="17" t="n"/>
      <c r="F36" s="17" t="n"/>
      <c r="G36" s="17" t="n"/>
      <c r="H36" s="17" t="n"/>
      <c r="I36" s="17" t="n"/>
      <c r="J36" s="17" t="n"/>
      <c r="K36" s="17" t="n"/>
      <c r="L36" s="17" t="n"/>
      <c r="M36" s="17" t="n"/>
      <c r="N36" s="17" t="n"/>
    </row>
    <row r="37">
      <c r="A37" s="17" t="n"/>
      <c r="B37" s="17" t="n"/>
      <c r="C37" s="17" t="n"/>
      <c r="D37" s="17" t="n"/>
      <c r="E37" s="17" t="n"/>
      <c r="F37" s="17" t="n"/>
      <c r="G37" s="17" t="n"/>
      <c r="H37" s="17" t="n"/>
      <c r="I37" s="17" t="n"/>
      <c r="J37" s="17" t="n"/>
      <c r="K37" s="17" t="n"/>
      <c r="L37" s="17" t="n"/>
      <c r="M37" s="17" t="n"/>
      <c r="N37" s="17" t="n"/>
    </row>
    <row r="38">
      <c r="A38" s="17" t="n"/>
      <c r="B38" s="17" t="n"/>
      <c r="C38" s="17" t="n"/>
      <c r="D38" s="17" t="n"/>
      <c r="E38" s="17" t="n"/>
      <c r="F38" s="17" t="n"/>
      <c r="G38" s="17" t="n"/>
      <c r="H38" s="17" t="n"/>
      <c r="I38" s="17" t="n"/>
      <c r="J38" s="17" t="n"/>
      <c r="K38" s="17" t="n"/>
      <c r="L38" s="17" t="n"/>
      <c r="M38" s="17" t="n"/>
      <c r="N38" s="17" t="n"/>
    </row>
    <row r="39">
      <c r="A39" s="17" t="n"/>
      <c r="B39" s="17" t="n"/>
      <c r="C39" s="17" t="n"/>
      <c r="D39" s="17" t="n"/>
      <c r="E39" s="17" t="n"/>
      <c r="F39" s="17" t="n"/>
      <c r="G39" s="17" t="n"/>
      <c r="H39" s="17" t="n"/>
      <c r="I39" s="17" t="n"/>
      <c r="J39" s="17" t="n"/>
      <c r="K39" s="17" t="n"/>
      <c r="L39" s="17" t="n"/>
      <c r="M39" s="17" t="n"/>
      <c r="N39" s="17" t="n"/>
    </row>
    <row r="40">
      <c r="A40" s="17" t="n"/>
      <c r="B40" s="17" t="n"/>
      <c r="C40" s="17" t="n"/>
      <c r="D40" s="17" t="n"/>
      <c r="E40" s="17" t="n"/>
      <c r="F40" s="17" t="n"/>
      <c r="G40" s="17" t="n"/>
      <c r="H40" s="17" t="n"/>
      <c r="I40" s="17" t="n"/>
      <c r="J40" s="17" t="n"/>
      <c r="K40" s="17" t="n"/>
      <c r="L40" s="17" t="n"/>
      <c r="M40" s="17" t="n"/>
      <c r="N40" s="17" t="n"/>
    </row>
    <row r="41">
      <c r="A41" s="17" t="n"/>
      <c r="B41" s="17" t="n"/>
      <c r="C41" s="17" t="n"/>
      <c r="D41" s="17" t="n"/>
      <c r="E41" s="17" t="n"/>
      <c r="F41" s="17" t="n"/>
      <c r="G41" s="17" t="n"/>
      <c r="H41" s="17" t="n"/>
      <c r="I41" s="17" t="n"/>
      <c r="J41" s="17" t="n"/>
      <c r="K41" s="17" t="n"/>
      <c r="L41" s="17" t="n"/>
      <c r="M41" s="17" t="n"/>
      <c r="N41" s="17" t="n"/>
    </row>
    <row r="42">
      <c r="A42" s="17" t="n"/>
      <c r="B42" s="17" t="n"/>
      <c r="C42" s="17" t="n"/>
      <c r="D42" s="17" t="n"/>
      <c r="E42" s="17" t="n"/>
      <c r="F42" s="17" t="n"/>
      <c r="G42" s="17" t="n"/>
      <c r="H42" s="17" t="n"/>
      <c r="I42" s="17" t="n"/>
      <c r="J42" s="17" t="n"/>
      <c r="K42" s="17" t="n"/>
      <c r="L42" s="17" t="n"/>
      <c r="M42" s="17" t="n"/>
      <c r="N42" s="17" t="n"/>
    </row>
    <row r="43">
      <c r="A43" s="17" t="n"/>
      <c r="B43" s="17" t="n"/>
      <c r="C43" s="17" t="n"/>
      <c r="D43" s="17" t="n"/>
      <c r="E43" s="17" t="n"/>
      <c r="F43" s="17" t="n"/>
      <c r="G43" s="17" t="n"/>
      <c r="H43" s="17" t="n"/>
      <c r="I43" s="17" t="n"/>
      <c r="J43" s="17" t="n"/>
      <c r="K43" s="17" t="n"/>
      <c r="L43" s="17" t="n"/>
      <c r="M43" s="17" t="n"/>
      <c r="N43" s="17" t="n"/>
    </row>
    <row r="44">
      <c r="A44" s="17" t="n"/>
      <c r="B44" s="17" t="n"/>
      <c r="C44" s="17" t="n"/>
      <c r="D44" s="17" t="n"/>
      <c r="E44" s="17" t="n"/>
      <c r="F44" s="17" t="n"/>
      <c r="G44" s="17" t="n"/>
      <c r="H44" s="17" t="n"/>
      <c r="I44" s="17" t="n"/>
      <c r="J44" s="17" t="n"/>
      <c r="K44" s="17" t="n"/>
      <c r="L44" s="17" t="n"/>
      <c r="M44" s="17" t="n"/>
      <c r="N44" s="17" t="n"/>
    </row>
    <row r="45">
      <c r="A45" s="17" t="n"/>
      <c r="B45" s="17" t="n"/>
      <c r="C45" s="17" t="n"/>
      <c r="D45" s="17" t="n"/>
      <c r="E45" s="17" t="n"/>
      <c r="F45" s="17" t="n"/>
      <c r="G45" s="17" t="n"/>
      <c r="H45" s="17" t="n"/>
      <c r="I45" s="17" t="n"/>
      <c r="J45" s="17" t="n"/>
      <c r="K45" s="17" t="n"/>
      <c r="L45" s="17" t="n"/>
      <c r="M45" s="17" t="n"/>
      <c r="N45" s="17" t="n"/>
    </row>
    <row r="46">
      <c r="A46" s="17" t="n"/>
      <c r="B46" s="17" t="n"/>
      <c r="C46" s="17" t="n"/>
      <c r="D46" s="17" t="n"/>
      <c r="E46" s="17" t="n"/>
      <c r="F46" s="17" t="n"/>
      <c r="G46" s="17" t="n"/>
      <c r="H46" s="17" t="n"/>
      <c r="I46" s="17" t="n"/>
      <c r="J46" s="17" t="n"/>
      <c r="K46" s="17" t="n"/>
      <c r="L46" s="17" t="n"/>
      <c r="M46" s="17" t="n"/>
      <c r="N46" s="17" t="n"/>
    </row>
    <row r="47">
      <c r="A47" s="17" t="n"/>
      <c r="B47" s="17" t="n"/>
      <c r="C47" s="17" t="n"/>
      <c r="D47" s="17" t="n"/>
      <c r="E47" s="17" t="n"/>
      <c r="F47" s="17" t="n"/>
      <c r="G47" s="17" t="n"/>
      <c r="H47" s="17" t="n"/>
      <c r="I47" s="17" t="n"/>
      <c r="J47" s="17" t="n"/>
      <c r="K47" s="17" t="n"/>
      <c r="L47" s="17" t="n"/>
      <c r="M47" s="17" t="n"/>
      <c r="N47" s="17" t="n"/>
    </row>
    <row r="48">
      <c r="A48" s="17" t="n"/>
      <c r="B48" s="17" t="n"/>
      <c r="C48" s="17" t="n"/>
      <c r="D48" s="17" t="n"/>
      <c r="E48" s="17" t="n"/>
      <c r="F48" s="17" t="n"/>
      <c r="G48" s="17" t="n"/>
      <c r="H48" s="17" t="n"/>
      <c r="I48" s="17" t="n"/>
      <c r="J48" s="17" t="n"/>
      <c r="K48" s="17" t="n"/>
      <c r="L48" s="17" t="n"/>
      <c r="M48" s="17" t="n"/>
      <c r="N48" s="17" t="n"/>
    </row>
    <row r="49">
      <c r="A49" s="17" t="n"/>
      <c r="B49" s="17" t="n"/>
      <c r="C49" s="17" t="n"/>
      <c r="D49" s="17" t="n"/>
      <c r="E49" s="17" t="n"/>
      <c r="F49" s="17" t="n"/>
      <c r="G49" s="17" t="n"/>
      <c r="H49" s="17" t="n"/>
      <c r="I49" s="17" t="n"/>
      <c r="J49" s="17" t="n"/>
      <c r="K49" s="17" t="n"/>
      <c r="L49" s="17" t="n"/>
      <c r="M49" s="17" t="n"/>
      <c r="N49" s="17" t="n"/>
    </row>
    <row r="50">
      <c r="A50" s="17" t="n"/>
      <c r="B50" s="17" t="n"/>
      <c r="C50" s="17" t="n"/>
      <c r="D50" s="17" t="n"/>
      <c r="E50" s="17" t="n"/>
      <c r="F50" s="17" t="n"/>
      <c r="G50" s="17" t="n"/>
      <c r="H50" s="17" t="n"/>
      <c r="I50" s="17" t="n"/>
      <c r="J50" s="17" t="n"/>
      <c r="K50" s="17" t="n"/>
      <c r="L50" s="17" t="n"/>
      <c r="M50" s="17" t="n"/>
      <c r="N50" s="17" t="n"/>
    </row>
    <row r="51">
      <c r="A51" s="17" t="n"/>
      <c r="B51" s="17" t="n"/>
      <c r="C51" s="17" t="n"/>
      <c r="D51" s="17" t="n"/>
      <c r="E51" s="17" t="n"/>
      <c r="F51" s="17" t="n"/>
      <c r="G51" s="17" t="n"/>
      <c r="H51" s="17" t="n"/>
      <c r="I51" s="17" t="n"/>
      <c r="J51" s="17" t="n"/>
      <c r="K51" s="17" t="n"/>
      <c r="L51" s="17" t="n"/>
      <c r="M51" s="17" t="n"/>
      <c r="N51" s="17" t="n"/>
    </row>
    <row r="52">
      <c r="A52" s="17" t="n"/>
      <c r="B52" s="17" t="n"/>
      <c r="C52" s="17" t="n"/>
      <c r="D52" s="17" t="n"/>
      <c r="E52" s="17" t="n"/>
      <c r="F52" s="17" t="n"/>
      <c r="G52" s="17" t="n"/>
      <c r="H52" s="17" t="n"/>
      <c r="I52" s="17" t="n"/>
      <c r="J52" s="17" t="n"/>
      <c r="K52" s="17" t="n"/>
      <c r="L52" s="17" t="n"/>
      <c r="M52" s="17" t="n"/>
      <c r="N52" s="17" t="n"/>
    </row>
    <row r="53">
      <c r="A53" s="17" t="n"/>
      <c r="B53" s="17" t="n"/>
      <c r="C53" s="17" t="n"/>
      <c r="D53" s="17" t="n"/>
      <c r="E53" s="17" t="n"/>
      <c r="F53" s="17" t="n"/>
      <c r="G53" s="17" t="n"/>
      <c r="H53" s="17" t="n"/>
      <c r="I53" s="17" t="n"/>
      <c r="J53" s="17" t="n"/>
      <c r="K53" s="17" t="n"/>
      <c r="L53" s="17" t="n"/>
      <c r="M53" s="17" t="n"/>
      <c r="N53" s="17" t="n"/>
    </row>
    <row r="54">
      <c r="A54" s="17" t="n"/>
      <c r="B54" s="17" t="n"/>
      <c r="C54" s="17" t="n"/>
      <c r="D54" s="17" t="n"/>
      <c r="E54" s="17" t="n"/>
      <c r="F54" s="17" t="n"/>
      <c r="G54" s="17" t="n"/>
      <c r="H54" s="17" t="n"/>
      <c r="I54" s="17" t="n"/>
      <c r="J54" s="17" t="n"/>
      <c r="K54" s="17" t="n"/>
      <c r="L54" s="17" t="n"/>
      <c r="M54" s="17" t="n"/>
      <c r="N54" s="17" t="n"/>
    </row>
    <row r="55">
      <c r="A55" s="17" t="n"/>
      <c r="B55" s="17" t="n"/>
      <c r="C55" s="17" t="n"/>
      <c r="D55" s="17" t="n"/>
      <c r="E55" s="17" t="n"/>
      <c r="F55" s="17" t="n"/>
      <c r="G55" s="17" t="n"/>
      <c r="H55" s="17" t="n"/>
      <c r="I55" s="17" t="n"/>
      <c r="J55" s="17" t="n"/>
      <c r="K55" s="17" t="n"/>
      <c r="L55" s="17" t="n"/>
      <c r="M55" s="17" t="n"/>
      <c r="N55" s="17" t="n"/>
    </row>
    <row r="56">
      <c r="A56" s="17" t="n"/>
      <c r="B56" s="17" t="n"/>
      <c r="C56" s="17" t="n"/>
      <c r="D56" s="17" t="n"/>
      <c r="E56" s="17" t="n"/>
      <c r="F56" s="17" t="n"/>
      <c r="G56" s="17" t="n"/>
      <c r="H56" s="17" t="n"/>
      <c r="I56" s="17" t="n"/>
      <c r="J56" s="17" t="n"/>
      <c r="K56" s="17" t="n"/>
      <c r="L56" s="17" t="n"/>
      <c r="M56" s="17" t="n"/>
      <c r="N56" s="17" t="n"/>
    </row>
    <row r="57">
      <c r="A57" s="17" t="n"/>
      <c r="B57" s="17" t="n"/>
      <c r="C57" s="17" t="n"/>
      <c r="D57" s="17" t="n"/>
      <c r="E57" s="17" t="n"/>
      <c r="F57" s="17" t="n"/>
      <c r="G57" s="17" t="n"/>
      <c r="H57" s="17" t="n"/>
      <c r="I57" s="17" t="n"/>
      <c r="J57" s="17" t="n"/>
      <c r="K57" s="17" t="n"/>
      <c r="L57" s="17" t="n"/>
      <c r="M57" s="17" t="n"/>
      <c r="N57" s="17" t="n"/>
    </row>
    <row r="58">
      <c r="A58" s="17" t="n"/>
      <c r="B58" s="17" t="n"/>
      <c r="C58" s="17" t="n"/>
      <c r="D58" s="17" t="n"/>
      <c r="E58" s="17" t="n"/>
      <c r="F58" s="17" t="n"/>
      <c r="G58" s="17" t="n"/>
      <c r="H58" s="17" t="n"/>
      <c r="I58" s="17" t="n"/>
      <c r="J58" s="17" t="n"/>
      <c r="K58" s="17" t="n"/>
      <c r="L58" s="17" t="n"/>
      <c r="M58" s="17" t="n"/>
      <c r="N58" s="17" t="n"/>
    </row>
    <row r="59">
      <c r="A59" s="17" t="n"/>
      <c r="B59" s="17" t="n"/>
      <c r="C59" s="17" t="n"/>
      <c r="D59" s="17" t="n"/>
      <c r="E59" s="17" t="n"/>
      <c r="F59" s="17" t="n"/>
      <c r="G59" s="17" t="n"/>
      <c r="H59" s="17" t="n"/>
      <c r="I59" s="17" t="n"/>
      <c r="J59" s="17" t="n"/>
      <c r="K59" s="17" t="n"/>
      <c r="L59" s="17" t="n"/>
      <c r="M59" s="17" t="n"/>
      <c r="N59" s="17" t="n"/>
    </row>
    <row r="60">
      <c r="A60" s="17" t="n"/>
      <c r="B60" s="17" t="n"/>
      <c r="C60" s="17" t="n"/>
      <c r="D60" s="17" t="n"/>
      <c r="E60" s="17" t="n"/>
      <c r="F60" s="17" t="n"/>
      <c r="G60" s="17" t="n"/>
      <c r="H60" s="17" t="n"/>
      <c r="I60" s="17" t="n"/>
      <c r="J60" s="17" t="n"/>
      <c r="K60" s="17" t="n"/>
      <c r="L60" s="17" t="n"/>
      <c r="M60" s="17" t="n"/>
      <c r="N60" s="17" t="n"/>
    </row>
    <row r="61">
      <c r="A61" s="17" t="n"/>
      <c r="B61" s="17" t="n"/>
      <c r="C61" s="17" t="n"/>
      <c r="D61" s="17" t="n"/>
      <c r="E61" s="17" t="n"/>
      <c r="F61" s="17" t="n"/>
      <c r="G61" s="17" t="n"/>
      <c r="H61" s="17" t="n"/>
      <c r="I61" s="17" t="n"/>
      <c r="J61" s="17" t="n"/>
      <c r="K61" s="17" t="n"/>
      <c r="L61" s="17" t="n"/>
      <c r="M61" s="17" t="n"/>
      <c r="N61" s="17" t="n"/>
    </row>
    <row r="62">
      <c r="A62" s="17" t="n"/>
      <c r="B62" s="17" t="n"/>
      <c r="C62" s="17" t="n"/>
      <c r="D62" s="17" t="n"/>
      <c r="E62" s="17" t="n"/>
      <c r="F62" s="17" t="n"/>
      <c r="G62" s="17" t="n"/>
      <c r="H62" s="17" t="n"/>
      <c r="I62" s="17" t="n"/>
      <c r="J62" s="17" t="n"/>
      <c r="K62" s="17" t="n"/>
      <c r="L62" s="17" t="n"/>
      <c r="M62" s="17" t="n"/>
      <c r="N62" s="17" t="n"/>
    </row>
  </sheetData>
  <mergeCells count="2">
    <mergeCell ref="A2:N2"/>
    <mergeCell ref="A1:N1"/>
  </mergeCells>
  <dataValidations count="1">
    <dataValidation sqref="L4 L5 L6 L7 L8 L9 L10 L11 L13 L14 L15 L16 L17 L18 L19 L20 L21 L22 L23 L24 L25 L26 L27 L28 L29 L30 L31 L32 L33 L34 L35 L36 L37 L38 L39 L40 L41 L42 L43 L44 L45 L46 L47 L48 L49 L50 L51 L52 L53 L54 L55 L56 L57 L58 L59 L60 L61 L62" showDropDown="0" showInputMessage="0" showErrorMessage="0" allowBlank="0" type="list">
      <formula1>"Complete,Partial,None"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45" customWidth="1" min="3" max="3"/>
    <col width="20" customWidth="1" min="4" max="4"/>
    <col width="16" customWidth="1" min="5" max="5"/>
    <col width="25" customWidth="1" min="6" max="6"/>
    <col width="45" customWidth="1" min="7" max="7"/>
    <col width="16" customWidth="1" min="8" max="8"/>
    <col width="15" customWidth="1" min="9" max="9"/>
    <col width="12" customWidth="1" min="10" max="10"/>
    <col width="15" customWidth="1" min="11" max="11"/>
    <col width="25" customWidth="1" min="12" max="12"/>
    <col width="16" customWidth="1" min="13" max="13"/>
    <col width="16" customWidth="1" min="14" max="14"/>
    <col width="30" customWidth="1" min="15" max="15"/>
  </cols>
  <sheetData>
    <row r="1" ht="35" customHeight="1">
      <c r="A1" s="11" t="inlineStr">
        <is>
          <t>SECURITY DEBT REGISTER</t>
        </is>
      </c>
    </row>
    <row r="2">
      <c r="A2" s="12" t="inlineStr">
        <is>
          <t>Tracks all security controls deferred or degraded during disruption — must be resolved within agreed timescales</t>
        </is>
      </c>
    </row>
    <row r="3">
      <c r="A3" s="13" t="inlineStr">
        <is>
          <t>Debt_ID</t>
        </is>
      </c>
      <c r="B3" s="13" t="inlineStr">
        <is>
          <t>Debt_Type</t>
        </is>
      </c>
      <c r="C3" s="13" t="inlineStr">
        <is>
          <t>Description</t>
        </is>
      </c>
      <c r="D3" s="13" t="inlineStr">
        <is>
          <t>Disruption_Reference</t>
        </is>
      </c>
      <c r="E3" s="13" t="inlineStr">
        <is>
          <t>Created_Date</t>
        </is>
      </c>
      <c r="F3" s="13" t="inlineStr">
        <is>
          <t>Owner</t>
        </is>
      </c>
      <c r="G3" s="13" t="inlineStr">
        <is>
          <t>Remediation_Plan</t>
        </is>
      </c>
      <c r="H3" s="13" t="inlineStr">
        <is>
          <t>Target_Date</t>
        </is>
      </c>
      <c r="I3" s="13" t="inlineStr">
        <is>
          <t>Status</t>
        </is>
      </c>
      <c r="J3" s="13" t="inlineStr">
        <is>
          <t>Age_Days</t>
        </is>
      </c>
      <c r="K3" s="13" t="inlineStr">
        <is>
          <t>Escalation_Required</t>
        </is>
      </c>
      <c r="L3" s="13" t="inlineStr">
        <is>
          <t>Escalated_To</t>
        </is>
      </c>
      <c r="M3" s="13" t="inlineStr">
        <is>
          <t>Escalation_Date</t>
        </is>
      </c>
      <c r="N3" s="13" t="inlineStr">
        <is>
          <t>Closure_Date</t>
        </is>
      </c>
      <c r="O3" s="13" t="inlineStr">
        <is>
          <t>Closure_Evidence</t>
        </is>
      </c>
    </row>
    <row r="4">
      <c r="A4" s="16" t="inlineStr">
        <is>
          <t>SD-001</t>
        </is>
      </c>
      <c r="B4" s="16" t="inlineStr">
        <is>
          <t>Deferred Patch</t>
        </is>
      </c>
      <c r="C4" s="16" t="inlineStr">
        <is>
          <t>Critical patches deferred during datacenter failover</t>
        </is>
      </c>
      <c r="D4" s="16" t="inlineStr">
        <is>
          <t>DS-003</t>
        </is>
      </c>
      <c r="E4" s="16" t="inlineStr">
        <is>
          <t>20.01.2026</t>
        </is>
      </c>
      <c r="F4" s="16" t="inlineStr">
        <is>
          <t>IT Security Manager</t>
        </is>
      </c>
      <c r="G4" s="16" t="inlineStr">
        <is>
          <t>Apply all deferred patches within 5 days of recovery</t>
        </is>
      </c>
      <c r="H4" s="16" t="inlineStr">
        <is>
          <t>25.01.2026</t>
        </is>
      </c>
      <c r="I4" s="16" t="inlineStr">
        <is>
          <t>Open</t>
        </is>
      </c>
      <c r="J4" s="14">
        <f>IF(E4&lt;&gt;"",TODAY()-E4,"")</f>
        <v/>
      </c>
      <c r="K4" s="14">
        <f>IF(J4&gt;30,"Yes","No")</f>
        <v/>
      </c>
      <c r="L4" s="16" t="inlineStr">
        <is>
          <t>CISO</t>
        </is>
      </c>
      <c r="M4" s="16" t="inlineStr"/>
      <c r="N4" s="16" t="inlineStr"/>
      <c r="O4" s="16" t="inlineStr"/>
    </row>
    <row r="5">
      <c r="A5" s="17" t="n"/>
      <c r="B5" s="17" t="n"/>
      <c r="C5" s="17" t="n"/>
      <c r="D5" s="17" t="n"/>
      <c r="E5" s="17" t="n"/>
      <c r="F5" s="17" t="n"/>
      <c r="G5" s="17" t="n"/>
      <c r="H5" s="17" t="n"/>
      <c r="I5" s="17" t="n"/>
      <c r="J5" s="14">
        <f>IF(E5&lt;&gt;"",TODAY()-E5,"")</f>
        <v/>
      </c>
      <c r="K5" s="14">
        <f>IF(J5&gt;30,"Yes","No")</f>
        <v/>
      </c>
      <c r="L5" s="17" t="n"/>
      <c r="M5" s="17" t="n"/>
      <c r="N5" s="17" t="n"/>
      <c r="O5" s="17" t="n"/>
    </row>
    <row r="6">
      <c r="A6" s="17" t="n"/>
      <c r="B6" s="17" t="n"/>
      <c r="C6" s="17" t="n"/>
      <c r="D6" s="17" t="n"/>
      <c r="E6" s="17" t="n"/>
      <c r="F6" s="17" t="n"/>
      <c r="G6" s="17" t="n"/>
      <c r="H6" s="17" t="n"/>
      <c r="I6" s="17" t="n"/>
      <c r="J6" s="14">
        <f>IF(E6&lt;&gt;"",TODAY()-E6,"")</f>
        <v/>
      </c>
      <c r="K6" s="14">
        <f>IF(J6&gt;30,"Yes","No")</f>
        <v/>
      </c>
      <c r="L6" s="17" t="n"/>
      <c r="M6" s="17" t="n"/>
      <c r="N6" s="17" t="n"/>
      <c r="O6" s="17" t="n"/>
    </row>
    <row r="7">
      <c r="A7" s="17" t="n"/>
      <c r="B7" s="17" t="n"/>
      <c r="C7" s="17" t="n"/>
      <c r="D7" s="17" t="n"/>
      <c r="E7" s="17" t="n"/>
      <c r="F7" s="17" t="n"/>
      <c r="G7" s="17" t="n"/>
      <c r="H7" s="17" t="n"/>
      <c r="I7" s="17" t="n"/>
      <c r="J7" s="14">
        <f>IF(E7&lt;&gt;"",TODAY()-E7,"")</f>
        <v/>
      </c>
      <c r="K7" s="14">
        <f>IF(J7&gt;30,"Yes","No")</f>
        <v/>
      </c>
      <c r="L7" s="17" t="n"/>
      <c r="M7" s="17" t="n"/>
      <c r="N7" s="17" t="n"/>
      <c r="O7" s="17" t="n"/>
    </row>
    <row r="8">
      <c r="A8" s="17" t="n"/>
      <c r="B8" s="17" t="n"/>
      <c r="C8" s="17" t="n"/>
      <c r="D8" s="17" t="n"/>
      <c r="E8" s="17" t="n"/>
      <c r="F8" s="17" t="n"/>
      <c r="G8" s="17" t="n"/>
      <c r="H8" s="17" t="n"/>
      <c r="I8" s="17" t="n"/>
      <c r="J8" s="14">
        <f>IF(E8&lt;&gt;"",TODAY()-E8,"")</f>
        <v/>
      </c>
      <c r="K8" s="14">
        <f>IF(J8&gt;30,"Yes","No")</f>
        <v/>
      </c>
      <c r="L8" s="17" t="n"/>
      <c r="M8" s="17" t="n"/>
      <c r="N8" s="17" t="n"/>
      <c r="O8" s="17" t="n"/>
    </row>
    <row r="9">
      <c r="A9" s="17" t="n"/>
      <c r="B9" s="17" t="n"/>
      <c r="C9" s="17" t="n"/>
      <c r="D9" s="17" t="n"/>
      <c r="E9" s="17" t="n"/>
      <c r="F9" s="17" t="n"/>
      <c r="G9" s="17" t="n"/>
      <c r="H9" s="17" t="n"/>
      <c r="I9" s="17" t="n"/>
      <c r="J9" s="14">
        <f>IF(E9&lt;&gt;"",TODAY()-E9,"")</f>
        <v/>
      </c>
      <c r="K9" s="14">
        <f>IF(J9&gt;30,"Yes","No")</f>
        <v/>
      </c>
      <c r="L9" s="17" t="n"/>
      <c r="M9" s="17" t="n"/>
      <c r="N9" s="17" t="n"/>
      <c r="O9" s="17" t="n"/>
    </row>
    <row r="10">
      <c r="A10" s="17" t="n"/>
      <c r="B10" s="17" t="n"/>
      <c r="C10" s="17" t="n"/>
      <c r="D10" s="17" t="n"/>
      <c r="E10" s="17" t="n"/>
      <c r="F10" s="17" t="n"/>
      <c r="G10" s="17" t="n"/>
      <c r="H10" s="17" t="n"/>
      <c r="I10" s="17" t="n"/>
      <c r="J10" s="14">
        <f>IF(E10&lt;&gt;"",TODAY()-E10,"")</f>
        <v/>
      </c>
      <c r="K10" s="14">
        <f>IF(J10&gt;30,"Yes","No")</f>
        <v/>
      </c>
      <c r="L10" s="17" t="n"/>
      <c r="M10" s="17" t="n"/>
      <c r="N10" s="17" t="n"/>
      <c r="O10" s="17" t="n"/>
    </row>
    <row r="11">
      <c r="A11" s="17" t="n"/>
      <c r="B11" s="17" t="n"/>
      <c r="C11" s="17" t="n"/>
      <c r="D11" s="17" t="n"/>
      <c r="E11" s="17" t="n"/>
      <c r="F11" s="17" t="n"/>
      <c r="G11" s="17" t="n"/>
      <c r="H11" s="17" t="n"/>
      <c r="I11" s="17" t="n"/>
      <c r="J11" s="14">
        <f>IF(E11&lt;&gt;"",TODAY()-E11,"")</f>
        <v/>
      </c>
      <c r="K11" s="14">
        <f>IF(J11&gt;30,"Yes","No")</f>
        <v/>
      </c>
      <c r="L11" s="17" t="n"/>
      <c r="M11" s="17" t="n"/>
      <c r="N11" s="17" t="n"/>
      <c r="O11" s="17" t="n"/>
    </row>
    <row r="12">
      <c r="A12" s="17" t="n"/>
      <c r="B12" s="17" t="n"/>
      <c r="C12" s="17" t="n"/>
      <c r="D12" s="17" t="n"/>
      <c r="E12" s="17" t="n"/>
      <c r="F12" s="17" t="n"/>
      <c r="G12" s="17" t="n"/>
      <c r="H12" s="17" t="n"/>
      <c r="I12" s="17" t="n"/>
      <c r="J12" s="14">
        <f>IF(E12&lt;&gt;"",TODAY()-E12,"")</f>
        <v/>
      </c>
      <c r="K12" s="14">
        <f>IF(J12&gt;30,"Yes","No")</f>
        <v/>
      </c>
      <c r="L12" s="17" t="n"/>
      <c r="M12" s="17" t="n"/>
      <c r="N12" s="17" t="n"/>
      <c r="O12" s="17" t="n"/>
    </row>
    <row r="13">
      <c r="A13" s="17" t="n"/>
      <c r="B13" s="17" t="n"/>
      <c r="C13" s="17" t="n"/>
      <c r="D13" s="17" t="n"/>
      <c r="E13" s="17" t="n"/>
      <c r="F13" s="17" t="n"/>
      <c r="G13" s="17" t="n"/>
      <c r="H13" s="17" t="n"/>
      <c r="I13" s="17" t="n"/>
      <c r="J13" s="14">
        <f>IF(E13&lt;&gt;"",TODAY()-E13,"")</f>
        <v/>
      </c>
      <c r="K13" s="14">
        <f>IF(J13&gt;30,"Yes","No")</f>
        <v/>
      </c>
      <c r="L13" s="17" t="n"/>
      <c r="M13" s="17" t="n"/>
      <c r="N13" s="17" t="n"/>
      <c r="O13" s="17" t="n"/>
    </row>
    <row r="14">
      <c r="A14" s="17" t="n"/>
      <c r="B14" s="17" t="n"/>
      <c r="C14" s="17" t="n"/>
      <c r="D14" s="17" t="n"/>
      <c r="E14" s="17" t="n"/>
      <c r="F14" s="17" t="n"/>
      <c r="G14" s="17" t="n"/>
      <c r="H14" s="17" t="n"/>
      <c r="I14" s="17" t="n"/>
      <c r="J14" s="14">
        <f>IF(E14&lt;&gt;"",TODAY()-E14,"")</f>
        <v/>
      </c>
      <c r="K14" s="14">
        <f>IF(J14&gt;30,"Yes","No")</f>
        <v/>
      </c>
      <c r="L14" s="17" t="n"/>
      <c r="M14" s="17" t="n"/>
      <c r="N14" s="17" t="n"/>
      <c r="O14" s="17" t="n"/>
    </row>
    <row r="15">
      <c r="A15" s="17" t="n"/>
      <c r="B15" s="17" t="n"/>
      <c r="C15" s="17" t="n"/>
      <c r="D15" s="17" t="n"/>
      <c r="E15" s="17" t="n"/>
      <c r="F15" s="17" t="n"/>
      <c r="G15" s="17" t="n"/>
      <c r="H15" s="17" t="n"/>
      <c r="I15" s="17" t="n"/>
      <c r="J15" s="14">
        <f>IF(E15&lt;&gt;"",TODAY()-E15,"")</f>
        <v/>
      </c>
      <c r="K15" s="14">
        <f>IF(J15&gt;30,"Yes","No")</f>
        <v/>
      </c>
      <c r="L15" s="17" t="n"/>
      <c r="M15" s="17" t="n"/>
      <c r="N15" s="17" t="n"/>
      <c r="O15" s="17" t="n"/>
    </row>
    <row r="16">
      <c r="A16" s="17" t="n"/>
      <c r="B16" s="17" t="n"/>
      <c r="C16" s="17" t="n"/>
      <c r="D16" s="17" t="n"/>
      <c r="E16" s="17" t="n"/>
      <c r="F16" s="17" t="n"/>
      <c r="G16" s="17" t="n"/>
      <c r="H16" s="17" t="n"/>
      <c r="I16" s="17" t="n"/>
      <c r="J16" s="14">
        <f>IF(E16&lt;&gt;"",TODAY()-E16,"")</f>
        <v/>
      </c>
      <c r="K16" s="14">
        <f>IF(J16&gt;30,"Yes","No")</f>
        <v/>
      </c>
      <c r="L16" s="17" t="n"/>
      <c r="M16" s="17" t="n"/>
      <c r="N16" s="17" t="n"/>
      <c r="O16" s="17" t="n"/>
    </row>
    <row r="17">
      <c r="A17" s="17" t="n"/>
      <c r="B17" s="17" t="n"/>
      <c r="C17" s="17" t="n"/>
      <c r="D17" s="17" t="n"/>
      <c r="E17" s="17" t="n"/>
      <c r="F17" s="17" t="n"/>
      <c r="G17" s="17" t="n"/>
      <c r="H17" s="17" t="n"/>
      <c r="I17" s="17" t="n"/>
      <c r="J17" s="14">
        <f>IF(E17&lt;&gt;"",TODAY()-E17,"")</f>
        <v/>
      </c>
      <c r="K17" s="14">
        <f>IF(J17&gt;30,"Yes","No")</f>
        <v/>
      </c>
      <c r="L17" s="17" t="n"/>
      <c r="M17" s="17" t="n"/>
      <c r="N17" s="17" t="n"/>
      <c r="O17" s="17" t="n"/>
    </row>
    <row r="18">
      <c r="A18" s="17" t="n"/>
      <c r="B18" s="17" t="n"/>
      <c r="C18" s="17" t="n"/>
      <c r="D18" s="17" t="n"/>
      <c r="E18" s="17" t="n"/>
      <c r="F18" s="17" t="n"/>
      <c r="G18" s="17" t="n"/>
      <c r="H18" s="17" t="n"/>
      <c r="I18" s="17" t="n"/>
      <c r="J18" s="14">
        <f>IF(E18&lt;&gt;"",TODAY()-E18,"")</f>
        <v/>
      </c>
      <c r="K18" s="14">
        <f>IF(J18&gt;30,"Yes","No")</f>
        <v/>
      </c>
      <c r="L18" s="17" t="n"/>
      <c r="M18" s="17" t="n"/>
      <c r="N18" s="17" t="n"/>
      <c r="O18" s="17" t="n"/>
    </row>
    <row r="19">
      <c r="A19" s="17" t="n"/>
      <c r="B19" s="17" t="n"/>
      <c r="C19" s="17" t="n"/>
      <c r="D19" s="17" t="n"/>
      <c r="E19" s="17" t="n"/>
      <c r="F19" s="17" t="n"/>
      <c r="G19" s="17" t="n"/>
      <c r="H19" s="17" t="n"/>
      <c r="I19" s="17" t="n"/>
      <c r="J19" s="14">
        <f>IF(E19&lt;&gt;"",TODAY()-E19,"")</f>
        <v/>
      </c>
      <c r="K19" s="14">
        <f>IF(J19&gt;30,"Yes","No")</f>
        <v/>
      </c>
      <c r="L19" s="17" t="n"/>
      <c r="M19" s="17" t="n"/>
      <c r="N19" s="17" t="n"/>
      <c r="O19" s="17" t="n"/>
    </row>
    <row r="20">
      <c r="A20" s="17" t="n"/>
      <c r="B20" s="17" t="n"/>
      <c r="C20" s="17" t="n"/>
      <c r="D20" s="17" t="n"/>
      <c r="E20" s="17" t="n"/>
      <c r="F20" s="17" t="n"/>
      <c r="G20" s="17" t="n"/>
      <c r="H20" s="17" t="n"/>
      <c r="I20" s="17" t="n"/>
      <c r="J20" s="14">
        <f>IF(E20&lt;&gt;"",TODAY()-E20,"")</f>
        <v/>
      </c>
      <c r="K20" s="14">
        <f>IF(J20&gt;30,"Yes","No")</f>
        <v/>
      </c>
      <c r="L20" s="17" t="n"/>
      <c r="M20" s="17" t="n"/>
      <c r="N20" s="17" t="n"/>
      <c r="O20" s="17" t="n"/>
    </row>
    <row r="21">
      <c r="A21" s="17" t="n"/>
      <c r="B21" s="17" t="n"/>
      <c r="C21" s="17" t="n"/>
      <c r="D21" s="17" t="n"/>
      <c r="E21" s="17" t="n"/>
      <c r="F21" s="17" t="n"/>
      <c r="G21" s="17" t="n"/>
      <c r="H21" s="17" t="n"/>
      <c r="I21" s="17" t="n"/>
      <c r="J21" s="14">
        <f>IF(E21&lt;&gt;"",TODAY()-E21,"")</f>
        <v/>
      </c>
      <c r="K21" s="14">
        <f>IF(J21&gt;30,"Yes","No")</f>
        <v/>
      </c>
      <c r="L21" s="17" t="n"/>
      <c r="M21" s="17" t="n"/>
      <c r="N21" s="17" t="n"/>
      <c r="O21" s="17" t="n"/>
    </row>
    <row r="22">
      <c r="A22" s="17" t="n"/>
      <c r="B22" s="17" t="n"/>
      <c r="C22" s="17" t="n"/>
      <c r="D22" s="17" t="n"/>
      <c r="E22" s="17" t="n"/>
      <c r="F22" s="17" t="n"/>
      <c r="G22" s="17" t="n"/>
      <c r="H22" s="17" t="n"/>
      <c r="I22" s="17" t="n"/>
      <c r="J22" s="14">
        <f>IF(E22&lt;&gt;"",TODAY()-E22,"")</f>
        <v/>
      </c>
      <c r="K22" s="14">
        <f>IF(J22&gt;30,"Yes","No")</f>
        <v/>
      </c>
      <c r="L22" s="17" t="n"/>
      <c r="M22" s="17" t="n"/>
      <c r="N22" s="17" t="n"/>
      <c r="O22" s="17" t="n"/>
    </row>
    <row r="23">
      <c r="A23" s="17" t="n"/>
      <c r="B23" s="17" t="n"/>
      <c r="C23" s="17" t="n"/>
      <c r="D23" s="17" t="n"/>
      <c r="E23" s="17" t="n"/>
      <c r="F23" s="17" t="n"/>
      <c r="G23" s="17" t="n"/>
      <c r="H23" s="17" t="n"/>
      <c r="I23" s="17" t="n"/>
      <c r="J23" s="14">
        <f>IF(E23&lt;&gt;"",TODAY()-E23,"")</f>
        <v/>
      </c>
      <c r="K23" s="14">
        <f>IF(J23&gt;30,"Yes","No")</f>
        <v/>
      </c>
      <c r="L23" s="17" t="n"/>
      <c r="M23" s="17" t="n"/>
      <c r="N23" s="17" t="n"/>
      <c r="O23" s="17" t="n"/>
    </row>
    <row r="24">
      <c r="A24" s="17" t="n"/>
      <c r="B24" s="17" t="n"/>
      <c r="C24" s="17" t="n"/>
      <c r="D24" s="17" t="n"/>
      <c r="E24" s="17" t="n"/>
      <c r="F24" s="17" t="n"/>
      <c r="G24" s="17" t="n"/>
      <c r="H24" s="17" t="n"/>
      <c r="I24" s="17" t="n"/>
      <c r="J24" s="14">
        <f>IF(E24&lt;&gt;"",TODAY()-E24,"")</f>
        <v/>
      </c>
      <c r="K24" s="14">
        <f>IF(J24&gt;30,"Yes","No")</f>
        <v/>
      </c>
      <c r="L24" s="17" t="n"/>
      <c r="M24" s="17" t="n"/>
      <c r="N24" s="17" t="n"/>
      <c r="O24" s="17" t="n"/>
    </row>
    <row r="25">
      <c r="A25" s="17" t="n"/>
      <c r="B25" s="17" t="n"/>
      <c r="C25" s="17" t="n"/>
      <c r="D25" s="17" t="n"/>
      <c r="E25" s="17" t="n"/>
      <c r="F25" s="17" t="n"/>
      <c r="G25" s="17" t="n"/>
      <c r="H25" s="17" t="n"/>
      <c r="I25" s="17" t="n"/>
      <c r="J25" s="14">
        <f>IF(E25&lt;&gt;"",TODAY()-E25,"")</f>
        <v/>
      </c>
      <c r="K25" s="14">
        <f>IF(J25&gt;30,"Yes","No")</f>
        <v/>
      </c>
      <c r="L25" s="17" t="n"/>
      <c r="M25" s="17" t="n"/>
      <c r="N25" s="17" t="n"/>
      <c r="O25" s="17" t="n"/>
    </row>
    <row r="26">
      <c r="A26" s="17" t="n"/>
      <c r="B26" s="17" t="n"/>
      <c r="C26" s="17" t="n"/>
      <c r="D26" s="17" t="n"/>
      <c r="E26" s="17" t="n"/>
      <c r="F26" s="17" t="n"/>
      <c r="G26" s="17" t="n"/>
      <c r="H26" s="17" t="n"/>
      <c r="I26" s="17" t="n"/>
      <c r="J26" s="14">
        <f>IF(E26&lt;&gt;"",TODAY()-E26,"")</f>
        <v/>
      </c>
      <c r="K26" s="14">
        <f>IF(J26&gt;30,"Yes","No")</f>
        <v/>
      </c>
      <c r="L26" s="17" t="n"/>
      <c r="M26" s="17" t="n"/>
      <c r="N26" s="17" t="n"/>
      <c r="O26" s="17" t="n"/>
    </row>
    <row r="27">
      <c r="A27" s="17" t="n"/>
      <c r="B27" s="17" t="n"/>
      <c r="C27" s="17" t="n"/>
      <c r="D27" s="17" t="n"/>
      <c r="E27" s="17" t="n"/>
      <c r="F27" s="17" t="n"/>
      <c r="G27" s="17" t="n"/>
      <c r="H27" s="17" t="n"/>
      <c r="I27" s="17" t="n"/>
      <c r="J27" s="14">
        <f>IF(E27&lt;&gt;"",TODAY()-E27,"")</f>
        <v/>
      </c>
      <c r="K27" s="14">
        <f>IF(J27&gt;30,"Yes","No")</f>
        <v/>
      </c>
      <c r="L27" s="17" t="n"/>
      <c r="M27" s="17" t="n"/>
      <c r="N27" s="17" t="n"/>
      <c r="O27" s="17" t="n"/>
    </row>
    <row r="28">
      <c r="A28" s="17" t="n"/>
      <c r="B28" s="17" t="n"/>
      <c r="C28" s="17" t="n"/>
      <c r="D28" s="17" t="n"/>
      <c r="E28" s="17" t="n"/>
      <c r="F28" s="17" t="n"/>
      <c r="G28" s="17" t="n"/>
      <c r="H28" s="17" t="n"/>
      <c r="I28" s="17" t="n"/>
      <c r="J28" s="14">
        <f>IF(E28&lt;&gt;"",TODAY()-E28,"")</f>
        <v/>
      </c>
      <c r="K28" s="14">
        <f>IF(J28&gt;30,"Yes","No")</f>
        <v/>
      </c>
      <c r="L28" s="17" t="n"/>
      <c r="M28" s="17" t="n"/>
      <c r="N28" s="17" t="n"/>
      <c r="O28" s="17" t="n"/>
    </row>
    <row r="29">
      <c r="A29" s="17" t="n"/>
      <c r="B29" s="17" t="n"/>
      <c r="C29" s="17" t="n"/>
      <c r="D29" s="17" t="n"/>
      <c r="E29" s="17" t="n"/>
      <c r="F29" s="17" t="n"/>
      <c r="G29" s="17" t="n"/>
      <c r="H29" s="17" t="n"/>
      <c r="I29" s="17" t="n"/>
      <c r="J29" s="14">
        <f>IF(E29&lt;&gt;"",TODAY()-E29,"")</f>
        <v/>
      </c>
      <c r="K29" s="14">
        <f>IF(J29&gt;30,"Yes","No")</f>
        <v/>
      </c>
      <c r="L29" s="17" t="n"/>
      <c r="M29" s="17" t="n"/>
      <c r="N29" s="17" t="n"/>
      <c r="O29" s="17" t="n"/>
    </row>
    <row r="30">
      <c r="A30" s="17" t="n"/>
      <c r="B30" s="17" t="n"/>
      <c r="C30" s="17" t="n"/>
      <c r="D30" s="17" t="n"/>
      <c r="E30" s="17" t="n"/>
      <c r="F30" s="17" t="n"/>
      <c r="G30" s="17" t="n"/>
      <c r="H30" s="17" t="n"/>
      <c r="I30" s="17" t="n"/>
      <c r="J30" s="14">
        <f>IF(E30&lt;&gt;"",TODAY()-E30,"")</f>
        <v/>
      </c>
      <c r="K30" s="14">
        <f>IF(J30&gt;30,"Yes","No")</f>
        <v/>
      </c>
      <c r="L30" s="17" t="n"/>
      <c r="M30" s="17" t="n"/>
      <c r="N30" s="17" t="n"/>
      <c r="O30" s="17" t="n"/>
    </row>
    <row r="31">
      <c r="A31" s="17" t="n"/>
      <c r="B31" s="17" t="n"/>
      <c r="C31" s="17" t="n"/>
      <c r="D31" s="17" t="n"/>
      <c r="E31" s="17" t="n"/>
      <c r="F31" s="17" t="n"/>
      <c r="G31" s="17" t="n"/>
      <c r="H31" s="17" t="n"/>
      <c r="I31" s="17" t="n"/>
      <c r="J31" s="14">
        <f>IF(E31&lt;&gt;"",TODAY()-E31,"")</f>
        <v/>
      </c>
      <c r="K31" s="14">
        <f>IF(J31&gt;30,"Yes","No")</f>
        <v/>
      </c>
      <c r="L31" s="17" t="n"/>
      <c r="M31" s="17" t="n"/>
      <c r="N31" s="17" t="n"/>
      <c r="O31" s="17" t="n"/>
    </row>
    <row r="32">
      <c r="A32" s="17" t="n"/>
      <c r="B32" s="17" t="n"/>
      <c r="C32" s="17" t="n"/>
      <c r="D32" s="17" t="n"/>
      <c r="E32" s="17" t="n"/>
      <c r="F32" s="17" t="n"/>
      <c r="G32" s="17" t="n"/>
      <c r="H32" s="17" t="n"/>
      <c r="I32" s="17" t="n"/>
      <c r="J32" s="14">
        <f>IF(E32&lt;&gt;"",TODAY()-E32,"")</f>
        <v/>
      </c>
      <c r="K32" s="14">
        <f>IF(J32&gt;30,"Yes","No")</f>
        <v/>
      </c>
      <c r="L32" s="17" t="n"/>
      <c r="M32" s="17" t="n"/>
      <c r="N32" s="17" t="n"/>
      <c r="O32" s="17" t="n"/>
    </row>
    <row r="33">
      <c r="A33" s="17" t="n"/>
      <c r="B33" s="17" t="n"/>
      <c r="C33" s="17" t="n"/>
      <c r="D33" s="17" t="n"/>
      <c r="E33" s="17" t="n"/>
      <c r="F33" s="17" t="n"/>
      <c r="G33" s="17" t="n"/>
      <c r="H33" s="17" t="n"/>
      <c r="I33" s="17" t="n"/>
      <c r="J33" s="14">
        <f>IF(E33&lt;&gt;"",TODAY()-E33,"")</f>
        <v/>
      </c>
      <c r="K33" s="14">
        <f>IF(J33&gt;30,"Yes","No")</f>
        <v/>
      </c>
      <c r="L33" s="17" t="n"/>
      <c r="M33" s="17" t="n"/>
      <c r="N33" s="17" t="n"/>
      <c r="O33" s="17" t="n"/>
    </row>
    <row r="34">
      <c r="A34" s="17" t="n"/>
      <c r="B34" s="17" t="n"/>
      <c r="C34" s="17" t="n"/>
      <c r="D34" s="17" t="n"/>
      <c r="E34" s="17" t="n"/>
      <c r="F34" s="17" t="n"/>
      <c r="G34" s="17" t="n"/>
      <c r="H34" s="17" t="n"/>
      <c r="I34" s="17" t="n"/>
      <c r="J34" s="14">
        <f>IF(E34&lt;&gt;"",TODAY()-E34,"")</f>
        <v/>
      </c>
      <c r="K34" s="14">
        <f>IF(J34&gt;30,"Yes","No")</f>
        <v/>
      </c>
      <c r="L34" s="17" t="n"/>
      <c r="M34" s="17" t="n"/>
      <c r="N34" s="17" t="n"/>
      <c r="O34" s="17" t="n"/>
    </row>
    <row r="35">
      <c r="A35" s="17" t="n"/>
      <c r="B35" s="17" t="n"/>
      <c r="C35" s="17" t="n"/>
      <c r="D35" s="17" t="n"/>
      <c r="E35" s="17" t="n"/>
      <c r="F35" s="17" t="n"/>
      <c r="G35" s="17" t="n"/>
      <c r="H35" s="17" t="n"/>
      <c r="I35" s="17" t="n"/>
      <c r="J35" s="14">
        <f>IF(E35&lt;&gt;"",TODAY()-E35,"")</f>
        <v/>
      </c>
      <c r="K35" s="14">
        <f>IF(J35&gt;30,"Yes","No")</f>
        <v/>
      </c>
      <c r="L35" s="17" t="n"/>
      <c r="M35" s="17" t="n"/>
      <c r="N35" s="17" t="n"/>
      <c r="O35" s="17" t="n"/>
    </row>
    <row r="36">
      <c r="A36" s="17" t="n"/>
      <c r="B36" s="17" t="n"/>
      <c r="C36" s="17" t="n"/>
      <c r="D36" s="17" t="n"/>
      <c r="E36" s="17" t="n"/>
      <c r="F36" s="17" t="n"/>
      <c r="G36" s="17" t="n"/>
      <c r="H36" s="17" t="n"/>
      <c r="I36" s="17" t="n"/>
      <c r="J36" s="14">
        <f>IF(E36&lt;&gt;"",TODAY()-E36,"")</f>
        <v/>
      </c>
      <c r="K36" s="14">
        <f>IF(J36&gt;30,"Yes","No")</f>
        <v/>
      </c>
      <c r="L36" s="17" t="n"/>
      <c r="M36" s="17" t="n"/>
      <c r="N36" s="17" t="n"/>
      <c r="O36" s="17" t="n"/>
    </row>
    <row r="37">
      <c r="A37" s="17" t="n"/>
      <c r="B37" s="17" t="n"/>
      <c r="C37" s="17" t="n"/>
      <c r="D37" s="17" t="n"/>
      <c r="E37" s="17" t="n"/>
      <c r="F37" s="17" t="n"/>
      <c r="G37" s="17" t="n"/>
      <c r="H37" s="17" t="n"/>
      <c r="I37" s="17" t="n"/>
      <c r="J37" s="14">
        <f>IF(E37&lt;&gt;"",TODAY()-E37,"")</f>
        <v/>
      </c>
      <c r="K37" s="14">
        <f>IF(J37&gt;30,"Yes","No")</f>
        <v/>
      </c>
      <c r="L37" s="17" t="n"/>
      <c r="M37" s="17" t="n"/>
      <c r="N37" s="17" t="n"/>
      <c r="O37" s="17" t="n"/>
    </row>
    <row r="38">
      <c r="A38" s="17" t="n"/>
      <c r="B38" s="17" t="n"/>
      <c r="C38" s="17" t="n"/>
      <c r="D38" s="17" t="n"/>
      <c r="E38" s="17" t="n"/>
      <c r="F38" s="17" t="n"/>
      <c r="G38" s="17" t="n"/>
      <c r="H38" s="17" t="n"/>
      <c r="I38" s="17" t="n"/>
      <c r="J38" s="14">
        <f>IF(E38&lt;&gt;"",TODAY()-E38,"")</f>
        <v/>
      </c>
      <c r="K38" s="14">
        <f>IF(J38&gt;30,"Yes","No")</f>
        <v/>
      </c>
      <c r="L38" s="17" t="n"/>
      <c r="M38" s="17" t="n"/>
      <c r="N38" s="17" t="n"/>
      <c r="O38" s="17" t="n"/>
    </row>
    <row r="39">
      <c r="A39" s="17" t="n"/>
      <c r="B39" s="17" t="n"/>
      <c r="C39" s="17" t="n"/>
      <c r="D39" s="17" t="n"/>
      <c r="E39" s="17" t="n"/>
      <c r="F39" s="17" t="n"/>
      <c r="G39" s="17" t="n"/>
      <c r="H39" s="17" t="n"/>
      <c r="I39" s="17" t="n"/>
      <c r="J39" s="14">
        <f>IF(E39&lt;&gt;"",TODAY()-E39,"")</f>
        <v/>
      </c>
      <c r="K39" s="14">
        <f>IF(J39&gt;30,"Yes","No")</f>
        <v/>
      </c>
      <c r="L39" s="17" t="n"/>
      <c r="M39" s="17" t="n"/>
      <c r="N39" s="17" t="n"/>
      <c r="O39" s="17" t="n"/>
    </row>
    <row r="40">
      <c r="A40" s="17" t="n"/>
      <c r="B40" s="17" t="n"/>
      <c r="C40" s="17" t="n"/>
      <c r="D40" s="17" t="n"/>
      <c r="E40" s="17" t="n"/>
      <c r="F40" s="17" t="n"/>
      <c r="G40" s="17" t="n"/>
      <c r="H40" s="17" t="n"/>
      <c r="I40" s="17" t="n"/>
      <c r="J40" s="14">
        <f>IF(E40&lt;&gt;"",TODAY()-E40,"")</f>
        <v/>
      </c>
      <c r="K40" s="14">
        <f>IF(J40&gt;30,"Yes","No")</f>
        <v/>
      </c>
      <c r="L40" s="17" t="n"/>
      <c r="M40" s="17" t="n"/>
      <c r="N40" s="17" t="n"/>
      <c r="O40" s="17" t="n"/>
    </row>
    <row r="41">
      <c r="A41" s="17" t="n"/>
      <c r="B41" s="17" t="n"/>
      <c r="C41" s="17" t="n"/>
      <c r="D41" s="17" t="n"/>
      <c r="E41" s="17" t="n"/>
      <c r="F41" s="17" t="n"/>
      <c r="G41" s="17" t="n"/>
      <c r="H41" s="17" t="n"/>
      <c r="I41" s="17" t="n"/>
      <c r="J41" s="14">
        <f>IF(E41&lt;&gt;"",TODAY()-E41,"")</f>
        <v/>
      </c>
      <c r="K41" s="14">
        <f>IF(J41&gt;30,"Yes","No")</f>
        <v/>
      </c>
      <c r="L41" s="17" t="n"/>
      <c r="M41" s="17" t="n"/>
      <c r="N41" s="17" t="n"/>
      <c r="O41" s="17" t="n"/>
    </row>
    <row r="42">
      <c r="A42" s="17" t="n"/>
      <c r="B42" s="17" t="n"/>
      <c r="C42" s="17" t="n"/>
      <c r="D42" s="17" t="n"/>
      <c r="E42" s="17" t="n"/>
      <c r="F42" s="17" t="n"/>
      <c r="G42" s="17" t="n"/>
      <c r="H42" s="17" t="n"/>
      <c r="I42" s="17" t="n"/>
      <c r="J42" s="14">
        <f>IF(E42&lt;&gt;"",TODAY()-E42,"")</f>
        <v/>
      </c>
      <c r="K42" s="14">
        <f>IF(J42&gt;30,"Yes","No")</f>
        <v/>
      </c>
      <c r="L42" s="17" t="n"/>
      <c r="M42" s="17" t="n"/>
      <c r="N42" s="17" t="n"/>
      <c r="O42" s="17" t="n"/>
    </row>
    <row r="43">
      <c r="A43" s="17" t="n"/>
      <c r="B43" s="17" t="n"/>
      <c r="C43" s="17" t="n"/>
      <c r="D43" s="17" t="n"/>
      <c r="E43" s="17" t="n"/>
      <c r="F43" s="17" t="n"/>
      <c r="G43" s="17" t="n"/>
      <c r="H43" s="17" t="n"/>
      <c r="I43" s="17" t="n"/>
      <c r="J43" s="14">
        <f>IF(E43&lt;&gt;"",TODAY()-E43,"")</f>
        <v/>
      </c>
      <c r="K43" s="14">
        <f>IF(J43&gt;30,"Yes","No")</f>
        <v/>
      </c>
      <c r="L43" s="17" t="n"/>
      <c r="M43" s="17" t="n"/>
      <c r="N43" s="17" t="n"/>
      <c r="O43" s="17" t="n"/>
    </row>
    <row r="44">
      <c r="A44" s="17" t="n"/>
      <c r="B44" s="17" t="n"/>
      <c r="C44" s="17" t="n"/>
      <c r="D44" s="17" t="n"/>
      <c r="E44" s="17" t="n"/>
      <c r="F44" s="17" t="n"/>
      <c r="G44" s="17" t="n"/>
      <c r="H44" s="17" t="n"/>
      <c r="I44" s="17" t="n"/>
      <c r="J44" s="14">
        <f>IF(E44&lt;&gt;"",TODAY()-E44,"")</f>
        <v/>
      </c>
      <c r="K44" s="14">
        <f>IF(J44&gt;30,"Yes","No")</f>
        <v/>
      </c>
      <c r="L44" s="17" t="n"/>
      <c r="M44" s="17" t="n"/>
      <c r="N44" s="17" t="n"/>
      <c r="O44" s="17" t="n"/>
    </row>
    <row r="45">
      <c r="A45" s="17" t="n"/>
      <c r="B45" s="17" t="n"/>
      <c r="C45" s="17" t="n"/>
      <c r="D45" s="17" t="n"/>
      <c r="E45" s="17" t="n"/>
      <c r="F45" s="17" t="n"/>
      <c r="G45" s="17" t="n"/>
      <c r="H45" s="17" t="n"/>
      <c r="I45" s="17" t="n"/>
      <c r="J45" s="14">
        <f>IF(E45&lt;&gt;"",TODAY()-E45,"")</f>
        <v/>
      </c>
      <c r="K45" s="14">
        <f>IF(J45&gt;30,"Yes","No")</f>
        <v/>
      </c>
      <c r="L45" s="17" t="n"/>
      <c r="M45" s="17" t="n"/>
      <c r="N45" s="17" t="n"/>
      <c r="O45" s="17" t="n"/>
    </row>
    <row r="46">
      <c r="A46" s="17" t="n"/>
      <c r="B46" s="17" t="n"/>
      <c r="C46" s="17" t="n"/>
      <c r="D46" s="17" t="n"/>
      <c r="E46" s="17" t="n"/>
      <c r="F46" s="17" t="n"/>
      <c r="G46" s="17" t="n"/>
      <c r="H46" s="17" t="n"/>
      <c r="I46" s="17" t="n"/>
      <c r="J46" s="14">
        <f>IF(E46&lt;&gt;"",TODAY()-E46,"")</f>
        <v/>
      </c>
      <c r="K46" s="14">
        <f>IF(J46&gt;30,"Yes","No")</f>
        <v/>
      </c>
      <c r="L46" s="17" t="n"/>
      <c r="M46" s="17" t="n"/>
      <c r="N46" s="17" t="n"/>
      <c r="O46" s="17" t="n"/>
    </row>
    <row r="47">
      <c r="A47" s="17" t="n"/>
      <c r="B47" s="17" t="n"/>
      <c r="C47" s="17" t="n"/>
      <c r="D47" s="17" t="n"/>
      <c r="E47" s="17" t="n"/>
      <c r="F47" s="17" t="n"/>
      <c r="G47" s="17" t="n"/>
      <c r="H47" s="17" t="n"/>
      <c r="I47" s="17" t="n"/>
      <c r="J47" s="14">
        <f>IF(E47&lt;&gt;"",TODAY()-E47,"")</f>
        <v/>
      </c>
      <c r="K47" s="14">
        <f>IF(J47&gt;30,"Yes","No")</f>
        <v/>
      </c>
      <c r="L47" s="17" t="n"/>
      <c r="M47" s="17" t="n"/>
      <c r="N47" s="17" t="n"/>
      <c r="O47" s="17" t="n"/>
    </row>
    <row r="48">
      <c r="A48" s="17" t="n"/>
      <c r="B48" s="17" t="n"/>
      <c r="C48" s="17" t="n"/>
      <c r="D48" s="17" t="n"/>
      <c r="E48" s="17" t="n"/>
      <c r="F48" s="17" t="n"/>
      <c r="G48" s="17" t="n"/>
      <c r="H48" s="17" t="n"/>
      <c r="I48" s="17" t="n"/>
      <c r="J48" s="14">
        <f>IF(E48&lt;&gt;"",TODAY()-E48,"")</f>
        <v/>
      </c>
      <c r="K48" s="14">
        <f>IF(J48&gt;30,"Yes","No")</f>
        <v/>
      </c>
      <c r="L48" s="17" t="n"/>
      <c r="M48" s="17" t="n"/>
      <c r="N48" s="17" t="n"/>
      <c r="O48" s="17" t="n"/>
    </row>
    <row r="49">
      <c r="A49" s="17" t="n"/>
      <c r="B49" s="17" t="n"/>
      <c r="C49" s="17" t="n"/>
      <c r="D49" s="17" t="n"/>
      <c r="E49" s="17" t="n"/>
      <c r="F49" s="17" t="n"/>
      <c r="G49" s="17" t="n"/>
      <c r="H49" s="17" t="n"/>
      <c r="I49" s="17" t="n"/>
      <c r="J49" s="14">
        <f>IF(E49&lt;&gt;"",TODAY()-E49,"")</f>
        <v/>
      </c>
      <c r="K49" s="14">
        <f>IF(J49&gt;30,"Yes","No")</f>
        <v/>
      </c>
      <c r="L49" s="17" t="n"/>
      <c r="M49" s="17" t="n"/>
      <c r="N49" s="17" t="n"/>
      <c r="O49" s="17" t="n"/>
    </row>
    <row r="50">
      <c r="A50" s="17" t="n"/>
      <c r="B50" s="17" t="n"/>
      <c r="C50" s="17" t="n"/>
      <c r="D50" s="17" t="n"/>
      <c r="E50" s="17" t="n"/>
      <c r="F50" s="17" t="n"/>
      <c r="G50" s="17" t="n"/>
      <c r="H50" s="17" t="n"/>
      <c r="I50" s="17" t="n"/>
      <c r="J50" s="14">
        <f>IF(E50&lt;&gt;"",TODAY()-E50,"")</f>
        <v/>
      </c>
      <c r="K50" s="14">
        <f>IF(J50&gt;30,"Yes","No")</f>
        <v/>
      </c>
      <c r="L50" s="17" t="n"/>
      <c r="M50" s="17" t="n"/>
      <c r="N50" s="17" t="n"/>
      <c r="O50" s="17" t="n"/>
    </row>
    <row r="51">
      <c r="A51" s="17" t="n"/>
      <c r="B51" s="17" t="n"/>
      <c r="C51" s="17" t="n"/>
      <c r="D51" s="17" t="n"/>
      <c r="E51" s="17" t="n"/>
      <c r="F51" s="17" t="n"/>
      <c r="G51" s="17" t="n"/>
      <c r="H51" s="17" t="n"/>
      <c r="I51" s="17" t="n"/>
      <c r="J51" s="14">
        <f>IF(E51&lt;&gt;"",TODAY()-E51,"")</f>
        <v/>
      </c>
      <c r="K51" s="14">
        <f>IF(J51&gt;30,"Yes","No")</f>
        <v/>
      </c>
      <c r="L51" s="17" t="n"/>
      <c r="M51" s="17" t="n"/>
      <c r="N51" s="17" t="n"/>
      <c r="O51" s="17" t="n"/>
    </row>
    <row r="52">
      <c r="A52" s="17" t="n"/>
      <c r="B52" s="17" t="n"/>
      <c r="C52" s="17" t="n"/>
      <c r="D52" s="17" t="n"/>
      <c r="E52" s="17" t="n"/>
      <c r="F52" s="17" t="n"/>
      <c r="G52" s="17" t="n"/>
      <c r="H52" s="17" t="n"/>
      <c r="I52" s="17" t="n"/>
      <c r="J52" s="14">
        <f>IF(E52&lt;&gt;"",TODAY()-E52,"")</f>
        <v/>
      </c>
      <c r="K52" s="14">
        <f>IF(J52&gt;30,"Yes","No")</f>
        <v/>
      </c>
      <c r="L52" s="17" t="n"/>
      <c r="M52" s="17" t="n"/>
      <c r="N52" s="17" t="n"/>
      <c r="O52" s="17" t="n"/>
    </row>
    <row r="53">
      <c r="A53" s="17" t="n"/>
      <c r="B53" s="17" t="n"/>
      <c r="C53" s="17" t="n"/>
      <c r="D53" s="17" t="n"/>
      <c r="E53" s="17" t="n"/>
      <c r="F53" s="17" t="n"/>
      <c r="G53" s="17" t="n"/>
      <c r="H53" s="17" t="n"/>
      <c r="I53" s="17" t="n"/>
      <c r="J53" s="14">
        <f>IF(E53&lt;&gt;"",TODAY()-E53,"")</f>
        <v/>
      </c>
      <c r="K53" s="14">
        <f>IF(J53&gt;30,"Yes","No")</f>
        <v/>
      </c>
      <c r="L53" s="17" t="n"/>
      <c r="M53" s="17" t="n"/>
      <c r="N53" s="17" t="n"/>
      <c r="O53" s="17" t="n"/>
    </row>
    <row r="54">
      <c r="A54" s="17" t="n"/>
      <c r="B54" s="17" t="n"/>
      <c r="C54" s="17" t="n"/>
      <c r="D54" s="17" t="n"/>
      <c r="E54" s="17" t="n"/>
      <c r="F54" s="17" t="n"/>
      <c r="G54" s="17" t="n"/>
      <c r="H54" s="17" t="n"/>
      <c r="I54" s="17" t="n"/>
      <c r="J54" s="14">
        <f>IF(E54&lt;&gt;"",TODAY()-E54,"")</f>
        <v/>
      </c>
      <c r="K54" s="14">
        <f>IF(J54&gt;30,"Yes","No")</f>
        <v/>
      </c>
      <c r="L54" s="17" t="n"/>
      <c r="M54" s="17" t="n"/>
      <c r="N54" s="17" t="n"/>
      <c r="O54" s="17" t="n"/>
    </row>
  </sheetData>
  <mergeCells count="2">
    <mergeCell ref="A1:O1"/>
    <mergeCell ref="A2:O2"/>
  </mergeCells>
  <dataValidations count="2">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"Deferred Patch,Skipped Review,Delayed Scan,Config Exception,Access Exception,Other"</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"Open,In Progress,Closed"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Assessment Area</t>
        </is>
      </c>
      <c r="C5" s="22" t="inlineStr">
        <is>
          <t>Policy Document</t>
        </is>
      </c>
      <c r="D5" s="22" t="inlineStr">
        <is>
          <t>Example evidence description</t>
        </is>
      </c>
      <c r="E5" s="22" t="inlineStr">
        <is>
          <t>\\fileserver\policies\document.pdf</t>
        </is>
      </c>
      <c r="F5" s="22" t="inlineStr">
        <is>
          <t>15.01.2026</t>
        </is>
      </c>
      <c r="G5" s="22" t="inlineStr">
        <is>
          <t>Assessor Name</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8"/>
  <sheetViews>
    <sheetView showGridLines="0" workbookViewId="0">
      <pane ySplit="2" topLeftCell="A3" activePane="bottomLeft" state="frozen"/>
      <selection pane="bottomLeft" activeCell="A1" sqref="A1"/>
    </sheetView>
  </sheetViews>
  <sheetFormatPr baseColWidth="8" defaultRowHeight="15"/>
  <cols>
    <col width="30" customWidth="1" min="1" max="1"/>
    <col width="45" customWidth="1" min="2" max="2"/>
    <col width="12" customWidth="1" min="3" max="3"/>
    <col width="12" customWidth="1" min="4" max="4"/>
    <col width="18" customWidth="1" min="5" max="5"/>
    <col width="8" customWidth="1" min="6" max="6"/>
    <col width="12" customWidth="1" min="7" max="7"/>
  </cols>
  <sheetData>
    <row r="1" ht="35" customHeight="1">
      <c r="A1" s="1" t="inlineStr">
        <is>
          <t>DEGRADED MODE SECURITY REQUIREMENTS — SUMMARY DASHBOARD</t>
        </is>
      </c>
    </row>
    <row r="2">
      <c r="A2" s="12" t="inlineStr">
        <is>
          <t>Compliance summary for degraded mode operations, break-glass procedures, and security debt management</t>
        </is>
      </c>
    </row>
    <row r="3">
      <c r="A3" s="25" t="inlineStr">
        <is>
          <t>TABLE 1: COMPLIANCE OVERVIEW</t>
        </is>
      </c>
    </row>
    <row r="4">
      <c r="A4" s="26" t="inlineStr">
        <is>
          <t>Assessment Area</t>
        </is>
      </c>
      <c r="B4" s="27" t="inlineStr">
        <is>
          <t>Total</t>
        </is>
      </c>
      <c r="C4" s="27" t="inlineStr">
        <is>
          <t>Compliant</t>
        </is>
      </c>
      <c r="D4" s="27" t="inlineStr">
        <is>
          <t>Partial</t>
        </is>
      </c>
      <c r="E4" s="27" t="inlineStr">
        <is>
          <t>Non-Compliant</t>
        </is>
      </c>
      <c r="F4" s="27" t="inlineStr">
        <is>
          <t>N/A</t>
        </is>
      </c>
      <c r="G4" s="27" t="inlineStr">
        <is>
          <t>Compliance %</t>
        </is>
      </c>
    </row>
    <row r="5">
      <c r="A5" s="28" t="inlineStr">
        <is>
          <t>BreakGlass Accounts</t>
        </is>
      </c>
      <c r="B5" s="29">
        <f>COUNTA('BreakGlass Accounts'!B5:B54)</f>
        <v/>
      </c>
      <c r="C5" s="29">
        <f>COUNTIF('BreakGlass Accounts'!M5:M54,"Disabled")</f>
        <v/>
      </c>
      <c r="D5" s="29">
        <f>COUNTIF('BreakGlass Accounts'!M5:M54,"Unknown")</f>
        <v/>
      </c>
      <c r="E5" s="29">
        <f>COUNTIF('BreakGlass Accounts'!M5:M54,"Enabled")</f>
        <v/>
      </c>
      <c r="F5" s="29" t="inlineStr">
        <is>
          <t>0</t>
        </is>
      </c>
      <c r="G5" s="30">
        <f>IFERROR(IF((B5-F5)=0,0,C5/(B5-F5)),"")</f>
        <v/>
      </c>
    </row>
    <row r="6">
      <c r="A6" s="28" t="inlineStr">
        <is>
          <t>Elevated Monitoring</t>
        </is>
      </c>
      <c r="B6" s="29">
        <f>COUNTA('Elevated Monitoring'!B11:B60)</f>
        <v/>
      </c>
      <c r="C6" s="29">
        <f>COUNTIF('Elevated Monitoring'!F11:F60,"Yes")</f>
        <v/>
      </c>
      <c r="D6" s="29" t="inlineStr">
        <is>
          <t>0</t>
        </is>
      </c>
      <c r="E6" s="29">
        <f>COUNTIF('Elevated Monitoring'!F11:F60,"No")</f>
        <v/>
      </c>
      <c r="F6" s="29" t="inlineStr">
        <is>
          <t>0</t>
        </is>
      </c>
      <c r="G6" s="30">
        <f>IFERROR(IF((B6-F6)=0,0,C6/(B6-F6)),"")</f>
        <v/>
      </c>
    </row>
    <row r="7">
      <c r="A7" s="28" t="inlineStr">
        <is>
          <t>Personnel Availability</t>
        </is>
      </c>
      <c r="B7" s="29">
        <f>COUNTA('Personnel Availability'!B13:B62)</f>
        <v/>
      </c>
      <c r="C7" s="29">
        <f>COUNTIF('Personnel Availability'!L13:L62,"Complete")</f>
        <v/>
      </c>
      <c r="D7" s="29">
        <f>COUNTIF('Personnel Availability'!L13:L62,"Partial")</f>
        <v/>
      </c>
      <c r="E7" s="29">
        <f>COUNTIF('Personnel Availability'!L13:L62,"None")</f>
        <v/>
      </c>
      <c r="F7" s="29" t="inlineStr">
        <is>
          <t>0</t>
        </is>
      </c>
      <c r="G7" s="30">
        <f>IFERROR(IF((B7-F7)=0,0,C7/(B7-F7)),"")</f>
        <v/>
      </c>
    </row>
    <row r="8">
      <c r="A8" s="28" t="inlineStr">
        <is>
          <t>Security Debt Register</t>
        </is>
      </c>
      <c r="B8" s="29">
        <f>COUNTA('Security Debt Register'!B5:B54)</f>
        <v/>
      </c>
      <c r="C8" s="29">
        <f>COUNTIF('Security Debt Register'!I5:I54,"Closed")</f>
        <v/>
      </c>
      <c r="D8" s="29">
        <f>COUNTIF('Security Debt Register'!I5:I54,"In Progress")</f>
        <v/>
      </c>
      <c r="E8" s="29">
        <f>COUNTIF('Security Debt Register'!I5:I54,"Open")</f>
        <v/>
      </c>
      <c r="F8" s="29" t="inlineStr">
        <is>
          <t>0</t>
        </is>
      </c>
      <c r="G8" s="30">
        <f>IFERROR(IF((B8-F8)=0,0,C8/(B8-F8)),"")</f>
        <v/>
      </c>
    </row>
    <row r="9">
      <c r="A9" s="31" t="inlineStr">
        <is>
          <t>TOTAL</t>
        </is>
      </c>
      <c r="B9" s="32">
        <f>SUM(B5:B8)</f>
        <v/>
      </c>
      <c r="C9" s="32">
        <f>SUM(C5:C8)</f>
        <v/>
      </c>
      <c r="D9" s="32">
        <f>SUM(D5:D8)</f>
        <v/>
      </c>
      <c r="E9" s="32">
        <f>SUM(E5:E8)</f>
        <v/>
      </c>
      <c r="F9" s="32">
        <f>SUM(F5:F8)</f>
        <v/>
      </c>
      <c r="G9" s="33">
        <f>IFERROR(IF((B9-F9)=0,0,C9/(B9-F9)),"")</f>
        <v/>
      </c>
    </row>
    <row r="10">
      <c r="A10" s="25" t="inlineStr">
        <is>
          <t>TABLE 2: KEY METRICS</t>
        </is>
      </c>
    </row>
    <row r="11">
      <c r="A11" s="31" t="inlineStr">
        <is>
          <t>Metric</t>
        </is>
      </c>
      <c r="B11" s="32" t="inlineStr">
        <is>
          <t>Value</t>
        </is>
      </c>
      <c r="C11" s="34" t="n"/>
      <c r="D11" s="34" t="n"/>
      <c r="E11" s="34" t="n"/>
      <c r="F11" s="34" t="n"/>
      <c r="G11" s="34" t="n"/>
    </row>
    <row r="12">
      <c r="A12" s="28" t="inlineStr">
        <is>
          <t>Degradation Scenarios Documented</t>
        </is>
      </c>
      <c r="B12" s="29">
        <f>COUNTA('Degradation Scenarios'!B10:B59)</f>
        <v/>
      </c>
      <c r="C12" s="35" t="n"/>
      <c r="D12" s="35" t="n"/>
      <c r="E12" s="35" t="n"/>
      <c r="F12" s="35" t="n"/>
      <c r="G12" s="35" t="n"/>
    </row>
    <row r="13">
      <c r="A13" s="28" t="inlineStr">
        <is>
          <t>Temporary Bypass Scenarios</t>
        </is>
      </c>
      <c r="B13" s="29">
        <f>COUNTIF('Degradation Scenarios'!E10:E59,"Temporary Bypass")</f>
        <v/>
      </c>
      <c r="C13" s="35" t="n"/>
      <c r="D13" s="35" t="n"/>
      <c r="E13" s="35" t="n"/>
      <c r="F13" s="35" t="n"/>
      <c r="G13" s="35" t="n"/>
    </row>
    <row r="14">
      <c r="A14" s="28" t="inlineStr">
        <is>
          <t>Emergency-Level Scenarios</t>
        </is>
      </c>
      <c r="B14" s="29">
        <f>COUNTIF('Degradation Scenarios'!J10:J59,"Emergency")</f>
        <v/>
      </c>
      <c r="C14" s="35" t="n"/>
      <c r="D14" s="35" t="n"/>
      <c r="E14" s="35" t="n"/>
      <c r="F14" s="35" t="n"/>
      <c r="G14" s="35" t="n"/>
    </row>
    <row r="15">
      <c r="A15" s="28" t="inlineStr">
        <is>
          <t>Break-Glass Accounts Inventoried</t>
        </is>
      </c>
      <c r="B15" s="29">
        <f>COUNTA('BreakGlass Accounts'!B5:B54)</f>
        <v/>
      </c>
      <c r="C15" s="35" t="n"/>
      <c r="D15" s="35" t="n"/>
      <c r="E15" s="35" t="n"/>
      <c r="F15" s="35" t="n"/>
      <c r="G15" s="35" t="n"/>
    </row>
    <row r="16">
      <c r="A16" s="28" t="inlineStr">
        <is>
          <t>Break-Glass Accounts Disabled (Safe)</t>
        </is>
      </c>
      <c r="B16" s="29">
        <f>COUNTIF('BreakGlass Accounts'!M5:M54,"Disabled")</f>
        <v/>
      </c>
      <c r="C16" s="35" t="n"/>
      <c r="D16" s="35" t="n"/>
      <c r="E16" s="35" t="n"/>
      <c r="F16" s="35" t="n"/>
      <c r="G16" s="35" t="n"/>
    </row>
    <row r="17">
      <c r="A17" s="28" t="inlineStr">
        <is>
          <t>Break-Glass Accounts Enabled</t>
        </is>
      </c>
      <c r="B17" s="29">
        <f>COUNTIF('BreakGlass Accounts'!M5:M54,"Enabled")</f>
        <v/>
      </c>
      <c r="C17" s="35" t="n"/>
      <c r="D17" s="35" t="n"/>
      <c r="E17" s="35" t="n"/>
      <c r="F17" s="35" t="n"/>
      <c r="G17" s="35" t="n"/>
    </row>
    <row r="18">
      <c r="A18" s="28" t="inlineStr">
        <is>
          <t>Accounts with Logging Verified</t>
        </is>
      </c>
      <c r="B18" s="29">
        <f>COUNTIF('BreakGlass Accounts'!J5:J54,"Verified")</f>
        <v/>
      </c>
      <c r="C18" s="35" t="n"/>
      <c r="D18" s="35" t="n"/>
      <c r="E18" s="35" t="n"/>
      <c r="F18" s="35" t="n"/>
      <c r="G18" s="35" t="n"/>
    </row>
    <row r="19">
      <c r="A19" s="28" t="inlineStr">
        <is>
          <t>Accounts Requiring 2-Person Activation</t>
        </is>
      </c>
      <c r="B19" s="29">
        <f>COUNTIF('BreakGlass Accounts'!H5:H54,"Yes")</f>
        <v/>
      </c>
      <c r="C19" s="35" t="n"/>
      <c r="D19" s="35" t="n"/>
      <c r="E19" s="35" t="n"/>
      <c r="F19" s="35" t="n"/>
      <c r="G19" s="35" t="n"/>
    </row>
    <row r="20">
      <c r="A20" s="28" t="inlineStr">
        <is>
          <t>Break-Glass Activations Recorded</t>
        </is>
      </c>
      <c r="B20" s="29">
        <f>COUNTA('BreakGlass Activation'!B5:B54)</f>
        <v/>
      </c>
      <c r="C20" s="35" t="n"/>
      <c r="D20" s="35" t="n"/>
      <c r="E20" s="35" t="n"/>
      <c r="F20" s="35" t="n"/>
      <c r="G20" s="35" t="n"/>
    </row>
    <row r="21">
      <c r="A21" s="28" t="inlineStr">
        <is>
          <t>Activations with Post-Review Complete</t>
        </is>
      </c>
      <c r="B21" s="29">
        <f>COUNTIF('BreakGlass Activation'!L5:L54,"Yes")</f>
        <v/>
      </c>
      <c r="C21" s="35" t="n"/>
      <c r="D21" s="35" t="n"/>
      <c r="E21" s="35" t="n"/>
      <c r="F21" s="35" t="n"/>
      <c r="G21" s="35" t="n"/>
    </row>
    <row r="22">
      <c r="A22" s="28" t="inlineStr">
        <is>
          <t>Personnel Roles with Full Cross-Training</t>
        </is>
      </c>
      <c r="B22" s="29">
        <f>COUNTIF('Personnel Availability'!L13:L62,"Complete")</f>
        <v/>
      </c>
      <c r="C22" s="35" t="n"/>
      <c r="D22" s="35" t="n"/>
      <c r="E22" s="35" t="n"/>
      <c r="F22" s="35" t="n"/>
      <c r="G22" s="35" t="n"/>
    </row>
    <row r="23">
      <c r="A23" s="28" t="inlineStr">
        <is>
          <t>Personnel Roles with No Cross-Training</t>
        </is>
      </c>
      <c r="B23" s="29">
        <f>COUNTIF('Personnel Availability'!L13:L62,"None")</f>
        <v/>
      </c>
      <c r="C23" s="35" t="n"/>
      <c r="D23" s="35" t="n"/>
      <c r="E23" s="35" t="n"/>
      <c r="F23" s="35" t="n"/>
      <c r="G23" s="35" t="n"/>
    </row>
    <row r="24">
      <c r="A24" s="28" t="inlineStr">
        <is>
          <t>Open Security Debt Items</t>
        </is>
      </c>
      <c r="B24" s="29">
        <f>COUNTIF('Security Debt Register'!I5:I54,"Open")</f>
        <v/>
      </c>
      <c r="C24" s="35" t="n"/>
      <c r="D24" s="35" t="n"/>
      <c r="E24" s="35" t="n"/>
      <c r="F24" s="35" t="n"/>
      <c r="G24" s="35" t="n"/>
    </row>
    <row r="25">
      <c r="A25" s="28" t="inlineStr">
        <is>
          <t>In-Progress Debt Items</t>
        </is>
      </c>
      <c r="B25" s="29">
        <f>COUNTIF('Security Debt Register'!I5:I54,"In Progress")</f>
        <v/>
      </c>
      <c r="C25" s="35" t="n"/>
      <c r="D25" s="35" t="n"/>
      <c r="E25" s="35" t="n"/>
      <c r="F25" s="35" t="n"/>
      <c r="G25" s="35" t="n"/>
    </row>
    <row r="26">
      <c r="A26" s="28" t="inlineStr">
        <is>
          <t>Closed Security Debt Items</t>
        </is>
      </c>
      <c r="B26" s="29">
        <f>COUNTIF('Security Debt Register'!I5:I54,"Closed")</f>
        <v/>
      </c>
      <c r="C26" s="35" t="n"/>
      <c r="D26" s="35" t="n"/>
      <c r="E26" s="35" t="n"/>
      <c r="F26" s="35" t="n"/>
      <c r="G26" s="35" t="n"/>
    </row>
    <row r="27">
      <c r="A27" s="35" t="n"/>
      <c r="B27" s="35" t="n"/>
      <c r="C27" s="35" t="n"/>
      <c r="D27" s="35" t="n"/>
      <c r="E27" s="35" t="n"/>
      <c r="F27" s="35" t="n"/>
      <c r="G27" s="35" t="n"/>
    </row>
    <row r="28">
      <c r="A28" s="35" t="n"/>
      <c r="B28" s="35" t="n"/>
      <c r="C28" s="35" t="n"/>
      <c r="D28" s="35" t="n"/>
      <c r="E28" s="35" t="n"/>
      <c r="F28" s="35" t="n"/>
      <c r="G28" s="35" t="n"/>
    </row>
    <row r="29">
      <c r="A29" s="36" t="inlineStr">
        <is>
          <t>TABLE 3: CRITICAL FINDINGS REQUIRING IMMEDIATE ATTENTION</t>
        </is>
      </c>
    </row>
    <row r="30">
      <c r="A30" s="31" t="inlineStr">
        <is>
          <t>Category</t>
        </is>
      </c>
      <c r="B30" s="32" t="inlineStr">
        <is>
          <t>Finding</t>
        </is>
      </c>
      <c r="C30" s="32" t="inlineStr">
        <is>
          <t>Count</t>
        </is>
      </c>
      <c r="D30" s="32" t="inlineStr">
        <is>
          <t>Severity</t>
        </is>
      </c>
      <c r="E30" s="32" t="inlineStr">
        <is>
          <t>Action Required</t>
        </is>
      </c>
      <c r="F30" s="32" t="inlineStr"/>
      <c r="G30" s="32" t="inlineStr"/>
    </row>
    <row r="31">
      <c r="A31" s="37" t="inlineStr">
        <is>
          <t>Break-Glass Accounts</t>
        </is>
      </c>
      <c r="B31" s="38" t="inlineStr">
        <is>
          <t>Emergency accounts currently Enabled (active)</t>
        </is>
      </c>
      <c r="C31" s="39">
        <f>COUNTIF('BreakGlass Accounts'!M5:M54,"Enabled")</f>
        <v/>
      </c>
      <c r="D31" s="39" t="inlineStr">
        <is>
          <t>Critical</t>
        </is>
      </c>
      <c r="E31" s="39" t="inlineStr">
        <is>
          <t>Immediate</t>
        </is>
      </c>
      <c r="F31" s="39" t="inlineStr"/>
      <c r="G31" s="39" t="inlineStr"/>
    </row>
    <row r="32">
      <c r="A32" s="37" t="inlineStr">
        <is>
          <t>Break-Glass Accounts</t>
        </is>
      </c>
      <c r="B32" s="38" t="inlineStr">
        <is>
          <t>Accounts without logging verified</t>
        </is>
      </c>
      <c r="C32" s="39">
        <f>COUNTIF('BreakGlass Accounts'!J5:J54,"No")</f>
        <v/>
      </c>
      <c r="D32" s="39" t="inlineStr">
        <is>
          <t>Critical</t>
        </is>
      </c>
      <c r="E32" s="39" t="inlineStr">
        <is>
          <t>Immediate</t>
        </is>
      </c>
      <c r="F32" s="39" t="inlineStr"/>
      <c r="G32" s="39" t="inlineStr"/>
    </row>
    <row r="33">
      <c r="A33" s="37" t="inlineStr">
        <is>
          <t>BreakGlass Activation</t>
        </is>
      </c>
      <c r="B33" s="38" t="inlineStr">
        <is>
          <t>Activations without post-review completed</t>
        </is>
      </c>
      <c r="C33" s="39">
        <f>COUNTIF('BreakGlass Activation'!L5:L54,"No")</f>
        <v/>
      </c>
      <c r="D33" s="39" t="inlineStr">
        <is>
          <t>High</t>
        </is>
      </c>
      <c r="E33" s="39" t="inlineStr">
        <is>
          <t>Urgent</t>
        </is>
      </c>
      <c r="F33" s="39" t="inlineStr"/>
      <c r="G33" s="39" t="inlineStr"/>
    </row>
    <row r="34">
      <c r="A34" s="37" t="inlineStr">
        <is>
          <t>Personnel Availability</t>
        </is>
      </c>
      <c r="B34" s="38" t="inlineStr">
        <is>
          <t>Security roles with no cross-training</t>
        </is>
      </c>
      <c r="C34" s="39">
        <f>COUNTIF('Personnel Availability'!L13:L62,"None")</f>
        <v/>
      </c>
      <c r="D34" s="39" t="inlineStr">
        <is>
          <t>High</t>
        </is>
      </c>
      <c r="E34" s="39" t="inlineStr">
        <is>
          <t>Urgent</t>
        </is>
      </c>
      <c r="F34" s="39" t="inlineStr"/>
      <c r="G34" s="39" t="inlineStr"/>
    </row>
    <row r="35">
      <c r="A35" s="37" t="inlineStr">
        <is>
          <t>Security Debt Register</t>
        </is>
      </c>
      <c r="B35" s="38" t="inlineStr">
        <is>
          <t>Open security debt items (not yet remediated)</t>
        </is>
      </c>
      <c r="C35" s="39">
        <f>COUNTIF('Security Debt Register'!I5:I54,"Open")</f>
        <v/>
      </c>
      <c r="D35" s="39" t="inlineStr">
        <is>
          <t>High</t>
        </is>
      </c>
      <c r="E35" s="39" t="inlineStr">
        <is>
          <t>Urgent</t>
        </is>
      </c>
      <c r="F35" s="39" t="inlineStr"/>
      <c r="G35" s="39" t="inlineStr"/>
    </row>
    <row r="36">
      <c r="A36" s="37" t="inlineStr">
        <is>
          <t>Degradation Scenarios</t>
        </is>
      </c>
      <c r="B36" s="38" t="inlineStr">
        <is>
          <t>Emergency-level degradation scenarios documented</t>
        </is>
      </c>
      <c r="C36" s="39">
        <f>COUNTIF('Degradation Scenarios'!J10:J59,"Emergency")</f>
        <v/>
      </c>
      <c r="D36" s="39" t="inlineStr">
        <is>
          <t>Medium</t>
        </is>
      </c>
      <c r="E36" s="39" t="inlineStr">
        <is>
          <t>Review</t>
        </is>
      </c>
      <c r="F36" s="39" t="inlineStr"/>
      <c r="G36" s="39" t="inlineStr"/>
    </row>
    <row r="37">
      <c r="A37" s="4" t="n"/>
      <c r="B37" s="4" t="n"/>
      <c r="C37" s="4" t="n"/>
      <c r="D37" s="4" t="n"/>
      <c r="E37" s="4" t="n"/>
      <c r="F37" s="4" t="n"/>
      <c r="G37" s="4" t="n"/>
    </row>
    <row r="38">
      <c r="A38" s="4" t="n"/>
      <c r="B38" s="4" t="n"/>
      <c r="C38" s="4" t="n"/>
      <c r="D38" s="4" t="n"/>
      <c r="E38" s="4" t="n"/>
      <c r="F38" s="4" t="n"/>
      <c r="G38" s="4" t="n"/>
    </row>
  </sheetData>
  <mergeCells count="5">
    <mergeCell ref="A1:G1"/>
    <mergeCell ref="A3:G3"/>
    <mergeCell ref="A2:G2"/>
    <mergeCell ref="A29:G29"/>
    <mergeCell ref="A10:G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8" t="inlineStr">
        <is>
          <t>DEGRADED MODE SECURITY REQUIREMENTS — ASSESSMENT APPROVAL AND SIGN-OFF</t>
        </is>
      </c>
      <c r="B1" s="6" t="n"/>
      <c r="C1" s="6" t="n"/>
      <c r="D1" s="6" t="n"/>
      <c r="E1" s="6" t="n"/>
    </row>
    <row r="2">
      <c r="A2" s="40" t="inlineStr">
        <is>
          <t>ISO/IEC 27001:2022 - Control A.5.29: Information Security During Disruption</t>
        </is>
      </c>
      <c r="B2" s="6" t="n"/>
      <c r="C2" s="6" t="n"/>
      <c r="D2" s="6" t="n"/>
      <c r="E2" s="6" t="n"/>
    </row>
    <row r="3">
      <c r="A3" s="41" t="inlineStr">
        <is>
          <t>ASSESSMENT SUMMARY</t>
        </is>
      </c>
      <c r="B3" s="6" t="n"/>
      <c r="C3" s="6" t="n"/>
      <c r="D3" s="6" t="n"/>
      <c r="E3" s="6" t="n"/>
    </row>
    <row r="4">
      <c r="A4" s="42" t="inlineStr">
        <is>
          <t>Document:</t>
        </is>
      </c>
      <c r="B4" s="6" t="inlineStr">
        <is>
          <t>ISMS-IMP-A.5.29.2 — Degraded Mode Security Requirements</t>
        </is>
      </c>
      <c r="C4" s="6" t="n"/>
      <c r="D4" s="6" t="n"/>
      <c r="E4" s="6" t="n"/>
    </row>
    <row r="5">
      <c r="A5" s="42" t="inlineStr">
        <is>
          <t>Assessment Period:</t>
        </is>
      </c>
      <c r="B5" s="17" t="inlineStr"/>
      <c r="C5" s="6" t="n"/>
      <c r="D5" s="6" t="n"/>
      <c r="E5" s="6" t="n"/>
    </row>
    <row r="6">
      <c r="A6" s="42" t="inlineStr">
        <is>
          <t>Overall Compliance Rating:</t>
        </is>
      </c>
      <c r="B6" s="43">
        <f>IFERROR(AVERAGE('Summary Dashboard'!G6:G8),"")</f>
        <v/>
      </c>
      <c r="C6" s="6" t="n"/>
      <c r="D6" s="6" t="n"/>
      <c r="E6" s="6" t="n"/>
    </row>
    <row r="7">
      <c r="A7" s="42" t="inlineStr">
        <is>
          <t>Assessment Status:</t>
        </is>
      </c>
      <c r="B7" s="17" t="inlineStr"/>
      <c r="C7" s="6" t="n"/>
      <c r="D7" s="6" t="n"/>
      <c r="E7" s="6" t="n"/>
    </row>
    <row r="8">
      <c r="A8" s="42" t="inlineStr">
        <is>
          <t>Assessed By:</t>
        </is>
      </c>
      <c r="B8" s="17" t="inlineStr"/>
      <c r="C8" s="6" t="n"/>
      <c r="D8" s="6" t="n"/>
      <c r="E8" s="6" t="n"/>
    </row>
    <row r="9">
      <c r="A9" s="6" t="n"/>
    </row>
    <row r="10">
      <c r="A10" s="41" t="inlineStr">
        <is>
          <t>ASSESSMENT REVIEW AND APPROVAL</t>
        </is>
      </c>
    </row>
    <row r="11">
      <c r="A11" s="44" t="inlineStr">
        <is>
          <t>Role / Function</t>
        </is>
      </c>
      <c r="B11" s="44" t="inlineStr">
        <is>
          <t>Name</t>
        </is>
      </c>
      <c r="C11" s="44" t="inlineStr">
        <is>
          <t>Signature / Initials</t>
        </is>
      </c>
      <c r="D11" s="44" t="inlineStr">
        <is>
          <t>Date (DD.MM.YYYY)</t>
        </is>
      </c>
      <c r="E11" s="44" t="inlineStr">
        <is>
          <t>Comments</t>
        </is>
      </c>
    </row>
    <row r="12">
      <c r="A12" s="45" t="inlineStr">
        <is>
          <t>Lead Assessor / Author</t>
        </is>
      </c>
      <c r="B12" s="17" t="n"/>
      <c r="C12" s="17" t="n"/>
      <c r="D12" s="17" t="n"/>
      <c r="E12" s="17" t="n"/>
    </row>
    <row r="13">
      <c r="A13" s="45" t="inlineStr">
        <is>
          <t>IT Security Manager</t>
        </is>
      </c>
      <c r="B13" s="17" t="n"/>
      <c r="C13" s="17" t="n"/>
      <c r="D13" s="17" t="n"/>
      <c r="E13" s="17" t="n"/>
    </row>
    <row r="14">
      <c r="A14" s="45" t="inlineStr">
        <is>
          <t>Reviewer (Technical / Compliance)</t>
        </is>
      </c>
      <c r="B14" s="17" t="n"/>
      <c r="C14" s="17" t="n"/>
      <c r="D14" s="17" t="n"/>
      <c r="E14" s="17" t="n"/>
    </row>
    <row r="15">
      <c r="A15" s="45" t="inlineStr">
        <is>
          <t>CISO / Final Approver</t>
        </is>
      </c>
      <c r="B15" s="17" t="n"/>
      <c r="C15" s="17" t="n"/>
      <c r="D15" s="17" t="n"/>
      <c r="E15" s="17" t="n"/>
    </row>
    <row r="16">
      <c r="A16" s="6" t="n"/>
    </row>
    <row r="17">
      <c r="A17" s="46" t="inlineStr">
        <is>
          <t>FINAL DECISION:</t>
        </is>
      </c>
      <c r="B17" s="47" t="inlineStr">
        <is>
          <t>☐ Approved     ☐ Approved with Conditions     ☐ Rejected     ☐ Deferred</t>
        </is>
      </c>
      <c r="C17" s="6" t="n"/>
      <c r="D17" s="6" t="n"/>
      <c r="E17" s="6" t="n"/>
    </row>
    <row r="18">
      <c r="A18" s="6" t="n"/>
    </row>
    <row r="19">
      <c r="A19" s="41" t="inlineStr">
        <is>
          <t>NEXT REVIEW DETAILS</t>
        </is>
      </c>
    </row>
    <row r="20">
      <c r="A20" s="48" t="inlineStr">
        <is>
          <t>Next Review Date (DD.MM.YYYY)</t>
        </is>
      </c>
      <c r="B20" s="17" t="n"/>
    </row>
    <row r="21">
      <c r="A21" s="48" t="inlineStr">
        <is>
          <t>Review Owner</t>
        </is>
      </c>
      <c r="B21" s="17"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ISMS-IMP-A.5.29.2 — Degraded Mode Security Requirements</dc:title>
  <dc:description xmlns:dc="http://purl.org/dc/elements/1.1/">ISMS Implementation Workbook — ISMS-IMP-A.5.29.2</dc:description>
  <dc:subject xmlns:dc="http://purl.org/dc/elements/1.1/">ISO/IEC 27001:2022 — Control A.5.29: Information Security During Disruption</dc:subject>
  <dcterms:created xmlns:dcterms="http://purl.org/dc/terms/" xmlns:xsi="http://www.w3.org/2001/XMLSchema-instance" xsi:type="dcterms:W3CDTF">2026-02-28T20:09:54Z</dcterms:created>
  <dcterms:modified xmlns:dcterms="http://purl.org/dc/terms/" xmlns:xsi="http://www.w3.org/2001/XMLSchema-instance" xsi:type="dcterms:W3CDTF">2026-02-28T20:09:54Z</dcterms:modified>
</cp:coreProperties>
</file>