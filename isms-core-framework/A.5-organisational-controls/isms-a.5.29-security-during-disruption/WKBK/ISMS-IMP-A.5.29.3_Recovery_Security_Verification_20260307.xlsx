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covery Checklist" sheetId="2" state="visible" r:id="rId2"/>
    <sheet xmlns:r="http://schemas.openxmlformats.org/officeDocument/2006/relationships" name="Emergency Access Closure" sheetId="3" state="visible" r:id="rId3"/>
    <sheet xmlns:r="http://schemas.openxmlformats.org/officeDocument/2006/relationships" name="Control Validation" sheetId="4" state="visible" r:id="rId4"/>
    <sheet xmlns:r="http://schemas.openxmlformats.org/officeDocument/2006/relationships" name="Anomaly Detection" sheetId="5" state="visible" r:id="rId5"/>
    <sheet xmlns:r="http://schemas.openxmlformats.org/officeDocument/2006/relationships" name="Security Debt Closure" sheetId="6" state="visible" r:id="rId6"/>
    <sheet xmlns:r="http://schemas.openxmlformats.org/officeDocument/2006/relationships" name="Lessons Learned"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sz val="10"/>
    </font>
    <font>
      <name val="Calibri"/>
      <b val="1"/>
      <color rgb="00FFFFFF"/>
      <sz val="10"/>
    </font>
    <font>
      <name val="Calibri"/>
      <sz val="10"/>
    </font>
    <font>
      <name val="Calibri"/>
      <b val="1"/>
      <color rgb="00FFFFFF"/>
      <sz val="11"/>
    </font>
    <font>
      <name val="Calibri"/>
      <b val="1"/>
      <color rgb="00000000"/>
      <sz val="10"/>
    </font>
    <font>
      <name val="Calibri"/>
      <color rgb="00000000"/>
      <sz val="10"/>
    </font>
    <font>
      <name val="Calibri"/>
      <b val="1"/>
      <color rgb="00000000"/>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FFFF"/>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pivotButton="0" quotePrefix="0" xfId="0"/>
    <xf numFmtId="0" fontId="0" fillId="10" borderId="1" applyAlignment="1" pivotButton="0" quotePrefix="0" xfId="0">
      <alignment vertical="center" wrapText="1"/>
    </xf>
    <xf numFmtId="0" fontId="0" fillId="10" borderId="1" applyAlignment="1" pivotButton="0" quotePrefix="0" xfId="0">
      <alignment horizontal="left" vertical="center"/>
    </xf>
    <xf numFmtId="0" fontId="0" fillId="10" borderId="1" applyAlignment="1" pivotButton="0" quotePrefix="0" xfId="0">
      <alignment horizontal="left" vertical="center" wrapText="1"/>
    </xf>
    <xf numFmtId="0" fontId="0" fillId="11"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9" fillId="2" borderId="1" applyAlignment="1" pivotButton="0" quotePrefix="0" xfId="0">
      <alignment horizontal="left" vertical="center"/>
    </xf>
    <xf numFmtId="0" fontId="10"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11" fillId="12" borderId="1" applyAlignment="1" pivotButton="0" quotePrefix="0" xfId="0">
      <alignment horizontal="left" vertical="center"/>
    </xf>
    <xf numFmtId="0" fontId="11" fillId="12" borderId="1" applyAlignment="1" pivotButton="0" quotePrefix="0" xfId="0">
      <alignment horizontal="center" vertical="center"/>
    </xf>
    <xf numFmtId="164" fontId="11" fillId="12" borderId="1" applyAlignment="1" pivotButton="0" quotePrefix="0" xfId="0">
      <alignment horizontal="center" vertical="center"/>
    </xf>
    <xf numFmtId="0" fontId="10" fillId="4" borderId="1" applyAlignment="1" pivotButton="0" quotePrefix="0" xfId="0">
      <alignment horizontal="left" vertical="center"/>
    </xf>
    <xf numFmtId="0" fontId="10" fillId="4" borderId="1" applyAlignment="1" pivotButton="0" quotePrefix="0" xfId="0">
      <alignment horizontal="center" vertical="center"/>
    </xf>
    <xf numFmtId="164" fontId="10" fillId="4" borderId="1" applyAlignment="1" pivotButton="0" quotePrefix="0" xfId="0">
      <alignment horizontal="center" vertical="center"/>
    </xf>
    <xf numFmtId="0" fontId="0" fillId="4" borderId="1" pivotButton="0" quotePrefix="0" xfId="0"/>
    <xf numFmtId="0" fontId="0" fillId="12" borderId="1" pivotButton="0" quotePrefix="0" xfId="0"/>
    <xf numFmtId="0" fontId="9" fillId="13" borderId="1" applyAlignment="1" pivotButton="0" quotePrefix="0" xfId="0">
      <alignment horizontal="left" vertical="center"/>
    </xf>
    <xf numFmtId="0" fontId="11" fillId="3" borderId="1" applyAlignment="1" pivotButton="0" quotePrefix="0" xfId="0">
      <alignment horizontal="left" vertical="center"/>
    </xf>
    <xf numFmtId="0" fontId="11" fillId="3" borderId="1" applyAlignment="1" pivotButton="0" quotePrefix="0" xfId="0">
      <alignment horizontal="center" vertical="center" wrapText="1"/>
    </xf>
    <xf numFmtId="0" fontId="11" fillId="3" borderId="1" applyAlignment="1" pivotButton="0" quotePrefix="0" xfId="0">
      <alignment horizontal="center" vertical="center"/>
    </xf>
    <xf numFmtId="0" fontId="5" fillId="0" borderId="1" applyAlignment="1" pivotButton="0" quotePrefix="0" xfId="0">
      <alignment horizontal="center" vertical="center"/>
    </xf>
    <xf numFmtId="0" fontId="9" fillId="14" borderId="1" applyAlignment="1" pivotButton="0" quotePrefix="0" xfId="0">
      <alignment horizontal="center" vertical="center"/>
    </xf>
    <xf numFmtId="0" fontId="10" fillId="0" borderId="1" pivotButton="0" quotePrefix="0" xfId="0"/>
    <xf numFmtId="164" fontId="0" fillId="0" borderId="1" pivotButton="0" quotePrefix="0" xfId="0"/>
    <xf numFmtId="0" fontId="10" fillId="9" borderId="1" applyAlignment="1" pivotButton="0" quotePrefix="0" xfId="0">
      <alignment horizontal="center" vertical="center" wrapText="1"/>
    </xf>
    <xf numFmtId="0" fontId="8" fillId="11" borderId="1" pivotButton="0" quotePrefix="0" xfId="0"/>
    <xf numFmtId="0" fontId="12" fillId="0" borderId="1" pivotButton="0" quotePrefix="0" xfId="0"/>
    <xf numFmtId="0" fontId="8" fillId="11" borderId="1" applyAlignment="1" pivotButton="0" quotePrefix="0" xfId="0">
      <alignment horizontal="center" vertical="center"/>
    </xf>
    <xf numFmtId="0" fontId="1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ISMS-IMP-A.5.29.3  -  Recovery Security Verification
ISO/IEC 27001:2022 - Control A.5.29: Information Security During Disruption</t>
        </is>
      </c>
    </row>
    <row r="3">
      <c r="A3" s="2" t="inlineStr">
        <is>
          <t>Document Information</t>
        </is>
      </c>
    </row>
    <row r="4">
      <c r="A4" s="3" t="inlineStr">
        <is>
          <t>Document ID</t>
        </is>
      </c>
      <c r="B4" t="inlineStr">
        <is>
          <t>ISMS-IMP-A.5.29.3</t>
        </is>
      </c>
    </row>
    <row r="5">
      <c r="A5" s="3" t="inlineStr">
        <is>
          <t>Workbook Title</t>
        </is>
      </c>
      <c r="B5" t="inlineStr">
        <is>
          <t>Recovery Security Verification</t>
        </is>
      </c>
    </row>
    <row r="6">
      <c r="A6" s="3" t="inlineStr">
        <is>
          <t>Control Reference</t>
        </is>
      </c>
      <c r="B6" t="inlineStr">
        <is>
          <t>ISO/IEC 27001:2022 - Control A.5.29: Information Security During Disruption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Recovery Checklist — verify all security controls are restored after a disruption event.</t>
        </is>
      </c>
    </row>
    <row r="14">
      <c r="A14" t="inlineStr">
        <is>
          <t>2. Complete Emergency Access Closure — confirm all breakglass accounts are deactivated post-recovery.</t>
        </is>
      </c>
    </row>
    <row r="15">
      <c r="A15" t="inlineStr">
        <is>
          <t>3. Complete Control Validation — test that restored controls function correctly.</t>
        </is>
      </c>
    </row>
    <row r="16">
      <c r="A16" t="inlineStr">
        <is>
          <t>4. Complete Anomaly Detection — review logs for suspicious activity during the disruption window.</t>
        </is>
      </c>
    </row>
    <row r="17">
      <c r="A17" t="inlineStr">
        <is>
          <t>5. Complete Security Debt Closure — remediate all security compromises accepted during degraded mode.</t>
        </is>
      </c>
    </row>
    <row r="18">
      <c r="A18" t="inlineStr">
        <is>
          <t>6. Document findings in Lessons Learned and update BCP/DR security procedures.</t>
        </is>
      </c>
    </row>
    <row r="19">
      <c r="A19" t="inlineStr">
        <is>
          <t>7. Maintain the Evidence Register with recovery test results and sign-off records.</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3"/>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45" customWidth="1" min="3" max="3"/>
    <col width="25" customWidth="1" min="4" max="4"/>
    <col width="20" customWidth="1" min="5" max="5"/>
    <col width="15" customWidth="1" min="6" max="6"/>
    <col width="16" customWidth="1" min="7" max="7"/>
    <col width="25" customWidth="1" min="8" max="8"/>
    <col width="20" customWidth="1" min="9" max="9"/>
    <col width="40" customWidth="1" min="10" max="10"/>
  </cols>
  <sheetData>
    <row r="1" ht="35" customHeight="1">
      <c r="A1" s="11" t="inlineStr">
        <is>
          <t>RECOVERY CHECKLIST</t>
        </is>
      </c>
    </row>
    <row r="2">
      <c r="A2" s="12" t="inlineStr">
        <is>
          <t>Phase-based recovery validation activities — track completion of all security checks before declaring full recovery</t>
        </is>
      </c>
    </row>
    <row r="3">
      <c r="A3" s="13" t="inlineStr">
        <is>
          <t>Checklist_ID</t>
        </is>
      </c>
      <c r="B3" s="13" t="inlineStr">
        <is>
          <t>Phase</t>
        </is>
      </c>
      <c r="C3" s="13" t="inlineStr">
        <is>
          <t>Activity</t>
        </is>
      </c>
      <c r="D3" s="13" t="inlineStr">
        <is>
          <t>Responsible_Party</t>
        </is>
      </c>
      <c r="E3" s="13" t="inlineStr">
        <is>
          <t>Target_Completion</t>
        </is>
      </c>
      <c r="F3" s="13" t="inlineStr">
        <is>
          <t>Status</t>
        </is>
      </c>
      <c r="G3" s="13" t="inlineStr">
        <is>
          <t>Completion_Date</t>
        </is>
      </c>
      <c r="H3" s="13" t="inlineStr">
        <is>
          <t>Completed_By</t>
        </is>
      </c>
      <c r="I3" s="13" t="inlineStr">
        <is>
          <t>Evidence_Reference</t>
        </is>
      </c>
      <c r="J3" s="13" t="inlineStr">
        <is>
          <t>Notes</t>
        </is>
      </c>
    </row>
    <row r="4">
      <c r="A4" s="14" t="inlineStr">
        <is>
          <t>RC-001</t>
        </is>
      </c>
      <c r="B4" s="14" t="inlineStr">
        <is>
          <t>Immediate</t>
        </is>
      </c>
      <c r="C4" s="15" t="inlineStr">
        <is>
          <t>Verify critical security controls operational</t>
        </is>
      </c>
      <c r="D4" s="14" t="inlineStr">
        <is>
          <t>Security Team</t>
        </is>
      </c>
      <c r="E4" s="14" t="inlineStr">
        <is>
          <t>Within 4 hours</t>
        </is>
      </c>
      <c r="F4" s="14" t="inlineStr"/>
      <c r="G4" s="14" t="inlineStr"/>
      <c r="H4" s="14" t="inlineStr"/>
      <c r="I4" s="14" t="inlineStr"/>
      <c r="J4" s="14" t="inlineStr"/>
    </row>
    <row r="5">
      <c r="A5" s="14" t="inlineStr">
        <is>
          <t>RC-002</t>
        </is>
      </c>
      <c r="B5" s="14" t="inlineStr">
        <is>
          <t>Immediate</t>
        </is>
      </c>
      <c r="C5" s="15" t="inlineStr">
        <is>
          <t>Disable all emergency access accounts</t>
        </is>
      </c>
      <c r="D5" s="14" t="inlineStr">
        <is>
          <t>Security Team</t>
        </is>
      </c>
      <c r="E5" s="14" t="inlineStr">
        <is>
          <t>Within 8 hours</t>
        </is>
      </c>
      <c r="F5" s="14" t="inlineStr"/>
      <c r="G5" s="14" t="inlineStr"/>
      <c r="H5" s="14" t="inlineStr"/>
      <c r="I5" s="14" t="inlineStr"/>
      <c r="J5" s="14" t="inlineStr"/>
    </row>
    <row r="6">
      <c r="A6" s="14" t="inlineStr">
        <is>
          <t>RC-003</t>
        </is>
      </c>
      <c r="B6" s="14" t="inlineStr">
        <is>
          <t>Immediate</t>
        </is>
      </c>
      <c r="C6" s="15" t="inlineStr">
        <is>
          <t>Rotate credentials for activated break-glass accounts</t>
        </is>
      </c>
      <c r="D6" s="14" t="inlineStr">
        <is>
          <t>IAM Team</t>
        </is>
      </c>
      <c r="E6" s="14" t="inlineStr">
        <is>
          <t>Within 12 hours</t>
        </is>
      </c>
      <c r="F6" s="14" t="inlineStr"/>
      <c r="G6" s="14" t="inlineStr"/>
      <c r="H6" s="14" t="inlineStr"/>
      <c r="I6" s="14" t="inlineStr"/>
      <c r="J6" s="14" t="inlineStr"/>
    </row>
    <row r="7">
      <c r="A7" s="14" t="inlineStr">
        <is>
          <t>RC-004</t>
        </is>
      </c>
      <c r="B7" s="14" t="inlineStr">
        <is>
          <t>Immediate</t>
        </is>
      </c>
      <c r="C7" s="15" t="inlineStr">
        <is>
          <t>Initial log review for anomalies during disruption</t>
        </is>
      </c>
      <c r="D7" s="14" t="inlineStr">
        <is>
          <t>SOC</t>
        </is>
      </c>
      <c r="E7" s="14" t="inlineStr">
        <is>
          <t>Within 24 hours</t>
        </is>
      </c>
      <c r="F7" s="14" t="inlineStr"/>
      <c r="G7" s="14" t="inlineStr"/>
      <c r="H7" s="14" t="inlineStr"/>
      <c r="I7" s="14" t="inlineStr"/>
      <c r="J7" s="14" t="inlineStr"/>
    </row>
    <row r="8">
      <c r="A8" s="14" t="inlineStr">
        <is>
          <t>RC-005</t>
        </is>
      </c>
      <c r="B8" s="14" t="inlineStr">
        <is>
          <t>Immediate</t>
        </is>
      </c>
      <c r="C8" s="15" t="inlineStr">
        <is>
          <t>Notify CISO of emergency access deactivation</t>
        </is>
      </c>
      <c r="D8" s="14" t="inlineStr">
        <is>
          <t>Security Team</t>
        </is>
      </c>
      <c r="E8" s="14" t="inlineStr">
        <is>
          <t>Within 24 hours</t>
        </is>
      </c>
      <c r="F8" s="14" t="inlineStr"/>
      <c r="G8" s="14" t="inlineStr"/>
      <c r="H8" s="14" t="inlineStr"/>
      <c r="I8" s="14" t="inlineStr"/>
      <c r="J8" s="14" t="inlineStr"/>
    </row>
    <row r="9">
      <c r="A9" s="14" t="inlineStr">
        <is>
          <t>RC-006</t>
        </is>
      </c>
      <c r="B9" s="14" t="inlineStr">
        <is>
          <t>Short-term</t>
        </is>
      </c>
      <c r="C9" s="15" t="inlineStr">
        <is>
          <t>Complete security control validation checklist</t>
        </is>
      </c>
      <c r="D9" s="14" t="inlineStr">
        <is>
          <t>Security Team</t>
        </is>
      </c>
      <c r="E9" s="14" t="inlineStr">
        <is>
          <t>Within 3 days</t>
        </is>
      </c>
      <c r="F9" s="14" t="inlineStr"/>
      <c r="G9" s="14" t="inlineStr"/>
      <c r="H9" s="14" t="inlineStr"/>
      <c r="I9" s="14" t="inlineStr"/>
      <c r="J9" s="14" t="inlineStr"/>
    </row>
    <row r="10">
      <c r="A10" s="14" t="inlineStr">
        <is>
          <t>RC-007</t>
        </is>
      </c>
      <c r="B10" s="14" t="inlineStr">
        <is>
          <t>Short-term</t>
        </is>
      </c>
      <c r="C10" s="15" t="inlineStr">
        <is>
          <t>Execute vulnerability scan on recovered systems</t>
        </is>
      </c>
      <c r="D10" s="14" t="inlineStr">
        <is>
          <t>Security Team</t>
        </is>
      </c>
      <c r="E10" s="14" t="inlineStr">
        <is>
          <t>Within 5 days</t>
        </is>
      </c>
      <c r="F10" s="14" t="inlineStr"/>
      <c r="G10" s="14" t="inlineStr"/>
      <c r="H10" s="14" t="inlineStr"/>
      <c r="I10" s="14" t="inlineStr"/>
      <c r="J10" s="14" t="inlineStr"/>
    </row>
    <row r="11">
      <c r="A11" s="14" t="inlineStr">
        <is>
          <t>RC-008</t>
        </is>
      </c>
      <c r="B11" s="14" t="inlineStr">
        <is>
          <t>Short-term</t>
        </is>
      </c>
      <c r="C11" s="15" t="inlineStr">
        <is>
          <t>Review access changes during disruption period</t>
        </is>
      </c>
      <c r="D11" s="14" t="inlineStr">
        <is>
          <t>Security Team</t>
        </is>
      </c>
      <c r="E11" s="14" t="inlineStr">
        <is>
          <t>Within 5 days</t>
        </is>
      </c>
      <c r="F11" s="14" t="inlineStr"/>
      <c r="G11" s="14" t="inlineStr"/>
      <c r="H11" s="14" t="inlineStr"/>
      <c r="I11" s="14" t="inlineStr"/>
      <c r="J11" s="14" t="inlineStr"/>
    </row>
    <row r="12">
      <c r="A12" s="14" t="inlineStr">
        <is>
          <t>RC-009</t>
        </is>
      </c>
      <c r="B12" s="14" t="inlineStr">
        <is>
          <t>Short-term</t>
        </is>
      </c>
      <c r="C12" s="15" t="inlineStr">
        <is>
          <t>Complete detailed log analysis for disruption period</t>
        </is>
      </c>
      <c r="D12" s="14" t="inlineStr">
        <is>
          <t>SOC</t>
        </is>
      </c>
      <c r="E12" s="14" t="inlineStr">
        <is>
          <t>Within 7 days</t>
        </is>
      </c>
      <c r="F12" s="14" t="inlineStr"/>
      <c r="G12" s="14" t="inlineStr"/>
      <c r="H12" s="14" t="inlineStr"/>
      <c r="I12" s="14" t="inlineStr"/>
      <c r="J12" s="14" t="inlineStr"/>
    </row>
    <row r="13">
      <c r="A13" s="16" t="inlineStr">
        <is>
          <t>RC-010</t>
        </is>
      </c>
      <c r="B13" s="16" t="inlineStr">
        <is>
          <t>Medium-term</t>
        </is>
      </c>
      <c r="C13" s="17" t="inlineStr">
        <is>
          <t>Conduct lessons learned review for security team</t>
        </is>
      </c>
      <c r="D13" s="16" t="inlineStr">
        <is>
          <t>CISO</t>
        </is>
      </c>
      <c r="E13" s="16" t="inlineStr">
        <is>
          <t>Within 14 days</t>
        </is>
      </c>
      <c r="F13" s="16" t="inlineStr">
        <is>
          <t>Not Started</t>
        </is>
      </c>
      <c r="G13" s="16" t="inlineStr"/>
      <c r="H13" s="16" t="inlineStr"/>
      <c r="I13" s="16" t="inlineStr"/>
      <c r="J13" s="16" t="inlineStr">
        <is>
          <t>Include all responders</t>
        </is>
      </c>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row r="55">
      <c r="A55" s="18" t="n"/>
      <c r="B55" s="18" t="n"/>
      <c r="C55" s="18" t="n"/>
      <c r="D55" s="18" t="n"/>
      <c r="E55" s="18" t="n"/>
      <c r="F55" s="18" t="n"/>
      <c r="G55" s="18" t="n"/>
      <c r="H55" s="18" t="n"/>
      <c r="I55" s="18" t="n"/>
      <c r="J55" s="18" t="n"/>
    </row>
    <row r="56">
      <c r="A56" s="18" t="n"/>
      <c r="B56" s="18" t="n"/>
      <c r="C56" s="18" t="n"/>
      <c r="D56" s="18" t="n"/>
      <c r="E56" s="18" t="n"/>
      <c r="F56" s="18" t="n"/>
      <c r="G56" s="18" t="n"/>
      <c r="H56" s="18" t="n"/>
      <c r="I56" s="18" t="n"/>
      <c r="J56" s="18" t="n"/>
    </row>
    <row r="57">
      <c r="A57" s="18" t="n"/>
      <c r="B57" s="18" t="n"/>
      <c r="C57" s="18" t="n"/>
      <c r="D57" s="18" t="n"/>
      <c r="E57" s="18" t="n"/>
      <c r="F57" s="18" t="n"/>
      <c r="G57" s="18" t="n"/>
      <c r="H57" s="18" t="n"/>
      <c r="I57" s="18" t="n"/>
      <c r="J57" s="18" t="n"/>
    </row>
    <row r="58">
      <c r="A58" s="18" t="n"/>
      <c r="B58" s="18" t="n"/>
      <c r="C58" s="18" t="n"/>
      <c r="D58" s="18" t="n"/>
      <c r="E58" s="18" t="n"/>
      <c r="F58" s="18" t="n"/>
      <c r="G58" s="18" t="n"/>
      <c r="H58" s="18" t="n"/>
      <c r="I58" s="18" t="n"/>
      <c r="J58" s="18" t="n"/>
    </row>
    <row r="59">
      <c r="A59" s="18" t="n"/>
      <c r="B59" s="18" t="n"/>
      <c r="C59" s="18" t="n"/>
      <c r="D59" s="18" t="n"/>
      <c r="E59" s="18" t="n"/>
      <c r="F59" s="18" t="n"/>
      <c r="G59" s="18" t="n"/>
      <c r="H59" s="18" t="n"/>
      <c r="I59" s="18" t="n"/>
      <c r="J59" s="18" t="n"/>
    </row>
    <row r="60">
      <c r="A60" s="18" t="n"/>
      <c r="B60" s="18" t="n"/>
      <c r="C60" s="18" t="n"/>
      <c r="D60" s="18" t="n"/>
      <c r="E60" s="18" t="n"/>
      <c r="F60" s="18" t="n"/>
      <c r="G60" s="18" t="n"/>
      <c r="H60" s="18" t="n"/>
      <c r="I60" s="18" t="n"/>
      <c r="J60" s="18" t="n"/>
    </row>
    <row r="61">
      <c r="A61" s="18" t="n"/>
      <c r="B61" s="18" t="n"/>
      <c r="C61" s="18" t="n"/>
      <c r="D61" s="18" t="n"/>
      <c r="E61" s="18" t="n"/>
      <c r="F61" s="18" t="n"/>
      <c r="G61" s="18" t="n"/>
      <c r="H61" s="18" t="n"/>
      <c r="I61" s="18" t="n"/>
      <c r="J61" s="18" t="n"/>
    </row>
    <row r="62">
      <c r="A62" s="18" t="n"/>
      <c r="B62" s="18" t="n"/>
      <c r="C62" s="18" t="n"/>
      <c r="D62" s="18" t="n"/>
      <c r="E62" s="18" t="n"/>
      <c r="F62" s="18" t="n"/>
      <c r="G62" s="18" t="n"/>
      <c r="H62" s="18" t="n"/>
      <c r="I62" s="18" t="n"/>
      <c r="J62" s="18" t="n"/>
    </row>
    <row r="63">
      <c r="A63" s="18" t="n"/>
      <c r="B63" s="18" t="n"/>
      <c r="C63" s="18" t="n"/>
      <c r="D63" s="18" t="n"/>
      <c r="E63" s="18" t="n"/>
      <c r="F63" s="18" t="n"/>
      <c r="G63" s="18" t="n"/>
      <c r="H63" s="18" t="n"/>
      <c r="I63" s="18" t="n"/>
      <c r="J63" s="18" t="n"/>
    </row>
  </sheetData>
  <mergeCells count="2">
    <mergeCell ref="A1:J1"/>
    <mergeCell ref="A2:J2"/>
  </mergeCells>
  <dataValidations count="2">
    <dataValidation sqref="B4 B5 B6 B7 B8 B9 B10 B11 B12 B14 B15 B16 B17 B18 B19 B20 B21 B22 B23 B24 B25 B26 B27 B28 B29 B30 B31 B32 B33 B34 B35 B36 B37 B38 B39 B40 B41 B42 B43 B44 B45 B46 B47 B48 B49 B50 B51 B52 B53 B54 B55 B56 B57 B58 B59 B60 B61 B62 B63" showDropDown="0" showInputMessage="0" showErrorMessage="0" allowBlank="0" type="list">
      <formula1>"Immediate,Short-term,Medium-term,Long-term"</formula1>
    </dataValidation>
    <dataValidation sqref="F4 F5 F6 F7 F8 F9 F10 F11 F12 F14 F15 F16 F17 F18 F19 F20 F21 F22 F23 F24 F25 F26 F27 F28 F29 F30 F31 F32 F33 F34 F35 F36 F37 F38 F39 F40 F41 F42 F43 F44 F45 F46 F47 F48 F49 F50 F51 F52 F53 F54 F55 F56 F57 F58 F59 F60 F61 F62 F63" showDropDown="0" showInputMessage="0" showErrorMessage="0" allowBlank="0" type="list">
      <formula1>"Not Started,In Progress,Complete,N/A"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6" customWidth="1" min="3" max="3"/>
    <col width="16" customWidth="1" min="4" max="4"/>
    <col width="25" customWidth="1" min="5" max="5"/>
    <col width="15" customWidth="1" min="6" max="6"/>
    <col width="16" customWidth="1" min="7" max="7"/>
    <col width="15" customWidth="1" min="8" max="8"/>
    <col width="16" customWidth="1" min="9" max="9"/>
    <col width="15" customWidth="1" min="10" max="10"/>
    <col width="40" customWidth="1" min="11" max="11"/>
    <col width="15" customWidth="1" min="12" max="12"/>
    <col width="15" customWidth="1" min="13" max="13"/>
  </cols>
  <sheetData>
    <row r="1" ht="35" customHeight="1">
      <c r="A1" s="11" t="inlineStr">
        <is>
          <t>EMERGENCY ACCESS CLOSURE</t>
        </is>
      </c>
    </row>
    <row r="2">
      <c r="A2" s="12" t="inlineStr">
        <is>
          <t>Verification of emergency access deactivation — all activated accounts must be closed, credentials rotated, and usage reviewed</t>
        </is>
      </c>
    </row>
    <row r="3">
      <c r="A3" s="13" t="inlineStr">
        <is>
          <t>Account_ID</t>
        </is>
      </c>
      <c r="B3" s="13" t="inlineStr">
        <is>
          <t>Account_Name</t>
        </is>
      </c>
      <c r="C3" s="13" t="inlineStr">
        <is>
          <t>Activation_Date</t>
        </is>
      </c>
      <c r="D3" s="13" t="inlineStr">
        <is>
          <t>Deactivation_Date</t>
        </is>
      </c>
      <c r="E3" s="13" t="inlineStr">
        <is>
          <t>Deactivated_By</t>
        </is>
      </c>
      <c r="F3" s="13" t="inlineStr">
        <is>
          <t>Credential_Rotated</t>
        </is>
      </c>
      <c r="G3" s="13" t="inlineStr">
        <is>
          <t>Rotation_Date</t>
        </is>
      </c>
      <c r="H3" s="13" t="inlineStr">
        <is>
          <t>Usage_Reviewed</t>
        </is>
      </c>
      <c r="I3" s="13" t="inlineStr">
        <is>
          <t>Review_Date</t>
        </is>
      </c>
      <c r="J3" s="13" t="inlineStr">
        <is>
          <t>Anomalies_Found</t>
        </is>
      </c>
      <c r="K3" s="13" t="inlineStr">
        <is>
          <t>Anomaly_Details</t>
        </is>
      </c>
      <c r="L3" s="13" t="inlineStr">
        <is>
          <t>CISO_Notified</t>
        </is>
      </c>
      <c r="M3" s="13" t="inlineStr">
        <is>
          <t>Verification_Status</t>
        </is>
      </c>
    </row>
    <row r="4">
      <c r="A4" s="17" t="inlineStr">
        <is>
          <t>BGA-001</t>
        </is>
      </c>
      <c r="B4" s="17" t="inlineStr">
        <is>
          <t>breakglass-admin-01</t>
        </is>
      </c>
      <c r="C4" s="17" t="inlineStr">
        <is>
          <t>20.01.2026</t>
        </is>
      </c>
      <c r="D4" s="17" t="inlineStr">
        <is>
          <t>20.01.2026</t>
        </is>
      </c>
      <c r="E4" s="17" t="inlineStr">
        <is>
          <t>IT Admin — K. Jones</t>
        </is>
      </c>
      <c r="F4" s="17" t="inlineStr">
        <is>
          <t>Yes</t>
        </is>
      </c>
      <c r="G4" s="17" t="inlineStr">
        <is>
          <t>21.01.2026</t>
        </is>
      </c>
      <c r="H4" s="17" t="inlineStr">
        <is>
          <t>Yes</t>
        </is>
      </c>
      <c r="I4" s="17" t="inlineStr">
        <is>
          <t>22.01.2026</t>
        </is>
      </c>
      <c r="J4" s="17" t="inlineStr">
        <is>
          <t>No</t>
        </is>
      </c>
      <c r="K4" s="17" t="inlineStr">
        <is>
          <t>None identified</t>
        </is>
      </c>
      <c r="L4" s="17" t="inlineStr">
        <is>
          <t>Yes</t>
        </is>
      </c>
      <c r="M4" s="17" t="inlineStr">
        <is>
          <t>Verified</t>
        </is>
      </c>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sheetData>
  <mergeCells count="2">
    <mergeCell ref="A2:M2"/>
    <mergeCell ref="A1:M1"/>
  </mergeCells>
  <dataValidations count="2">
    <dataValidation sqref="F5 F6 F7 F8 F9 F10 F11 F12 F13 F14 F15 F16 F17 F18 F19 F20 F21 F22 F23 F24 F25 F26 F27 F28 F29 F30 F31 F32 F33 F34 F35 F36 F37 F38 F39 F40 F41 F42 F43 F44 F45 F46 F47 F48 F49 F50 F51 F52 F53 F54 H5 H6 H7 H8 H9 H10 H11 H12 H13 H14 H15 H16 H17 H18 H19 H20 H21 H22 H23 H24 H25 H26 H27 H28 H29 H30 H31 H32 H33 H34 H35 H36 H37 H38 H39 H40 H41 H42 H43 H44 H45 H46 H47 H48 H49 H50 H51 H52 H53 H54 J5 J6 J7 J8 J9 J10 J11 J12 J13 J14 J15 J16 J17 J18 J19 J20 J21 J22 J23 J24 J25 J26 J27 J28 J29 J30 J31 J32 J33 J34 J35 J36 J37 J38 J39 J40 J41 J42 J43 J44 J45 J46 J47 J48 J49 J50 J51 J52 J53 J5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"Pending,Verified"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18" customWidth="1" min="4" max="4"/>
    <col width="18" customWidth="1" min="5" max="5"/>
    <col width="30" customWidth="1" min="6" max="6"/>
    <col width="16" customWidth="1" min="7" max="7"/>
    <col width="25" customWidth="1" min="8" max="8"/>
    <col width="40" customWidth="1" min="9" max="9"/>
    <col width="15" customWidth="1" min="10" max="10"/>
    <col width="16" customWidth="1" min="11" max="11"/>
    <col width="15" customWidth="1" min="12" max="12"/>
  </cols>
  <sheetData>
    <row r="1" ht="35" customHeight="1">
      <c r="A1" s="11" t="inlineStr">
        <is>
          <t>CONTROL VALIDATION</t>
        </is>
      </c>
    </row>
    <row r="2">
      <c r="A2" s="12" t="inlineStr">
        <is>
          <t>Validates that security controls are fully restored to pre-disruption operational status</t>
        </is>
      </c>
    </row>
    <row r="3">
      <c r="A3" s="13" t="inlineStr">
        <is>
          <t>Control_ID</t>
        </is>
      </c>
      <c r="B3" s="13" t="inlineStr">
        <is>
          <t>Control_Name</t>
        </is>
      </c>
      <c r="C3" s="13" t="inlineStr">
        <is>
          <t>Category</t>
        </is>
      </c>
      <c r="D3" s="13" t="inlineStr">
        <is>
          <t>Pre_Disruption_Status</t>
        </is>
      </c>
      <c r="E3" s="13" t="inlineStr">
        <is>
          <t>Current_Status</t>
        </is>
      </c>
      <c r="F3" s="13" t="inlineStr">
        <is>
          <t>Validation_Method</t>
        </is>
      </c>
      <c r="G3" s="13" t="inlineStr">
        <is>
          <t>Validation_Date</t>
        </is>
      </c>
      <c r="H3" s="13" t="inlineStr">
        <is>
          <t>Validated_By</t>
        </is>
      </c>
      <c r="I3" s="13" t="inlineStr">
        <is>
          <t>Gaps_Identified</t>
        </is>
      </c>
      <c r="J3" s="13" t="inlineStr">
        <is>
          <t>Remediation_Required</t>
        </is>
      </c>
      <c r="K3" s="13" t="inlineStr">
        <is>
          <t>Remediation_Date</t>
        </is>
      </c>
      <c r="L3" s="13" t="inlineStr">
        <is>
          <t>Remediation_Status</t>
        </is>
      </c>
    </row>
    <row r="4">
      <c r="A4" s="17" t="inlineStr">
        <is>
          <t>SC-001</t>
        </is>
      </c>
      <c r="B4" s="17" t="inlineStr">
        <is>
          <t>Multi-Factor Authentication</t>
        </is>
      </c>
      <c r="C4" s="17" t="inlineStr">
        <is>
          <t>Identity &amp; Access</t>
        </is>
      </c>
      <c r="D4" s="17" t="inlineStr">
        <is>
          <t>Operational</t>
        </is>
      </c>
      <c r="E4" s="17" t="inlineStr">
        <is>
          <t>Operational</t>
        </is>
      </c>
      <c r="F4" s="17" t="inlineStr">
        <is>
          <t>Live test with 3 user accounts</t>
        </is>
      </c>
      <c r="G4" s="17" t="inlineStr">
        <is>
          <t>22.01.2026</t>
        </is>
      </c>
      <c r="H4" s="17" t="inlineStr">
        <is>
          <t>Security Analyst — J. Brown</t>
        </is>
      </c>
      <c r="I4" s="17" t="inlineStr">
        <is>
          <t>None</t>
        </is>
      </c>
      <c r="J4" s="17" t="inlineStr">
        <is>
          <t>No</t>
        </is>
      </c>
      <c r="K4" s="17" t="inlineStr"/>
      <c r="L4" s="17" t="inlineStr"/>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dataValidations count="3">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"Operational,Partial,Not Operational"</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"Yes,No"</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"Open,Closed"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6" customWidth="1" min="3" max="3"/>
    <col width="20" customWidth="1" min="4" max="4"/>
    <col width="50" customWidth="1" min="5" max="5"/>
    <col width="12" customWidth="1" min="6" max="6"/>
    <col width="25" customWidth="1" min="7" max="7"/>
    <col width="20" customWidth="1" min="8" max="8"/>
    <col width="25" customWidth="1" min="9" max="9"/>
    <col width="50" customWidth="1" min="10" max="10"/>
    <col width="40" customWidth="1" min="11" max="11"/>
    <col width="10" customWidth="1" min="12" max="12"/>
    <col width="25" customWidth="1" min="13" max="13"/>
  </cols>
  <sheetData>
    <row r="1" ht="35" customHeight="1">
      <c r="A1" s="11" t="inlineStr">
        <is>
          <t>ANOMALY DETECTION</t>
        </is>
      </c>
    </row>
    <row r="2">
      <c r="A2" s="12" t="inlineStr">
        <is>
          <t>Post-disruption anomaly log — all suspicious activity detected during or after the disruption period must be investigated</t>
        </is>
      </c>
    </row>
    <row r="3">
      <c r="A3" s="13" t="inlineStr">
        <is>
          <t>Anomaly_ID</t>
        </is>
      </c>
      <c r="B3" s="13" t="inlineStr">
        <is>
          <t>Detection_Source</t>
        </is>
      </c>
      <c r="C3" s="13" t="inlineStr">
        <is>
          <t>Detection_Date</t>
        </is>
      </c>
      <c r="D3" s="13" t="inlineStr">
        <is>
          <t>Anomaly_Type</t>
        </is>
      </c>
      <c r="E3" s="13" t="inlineStr">
        <is>
          <t>Description</t>
        </is>
      </c>
      <c r="F3" s="13" t="inlineStr">
        <is>
          <t>Severity</t>
        </is>
      </c>
      <c r="G3" s="13" t="inlineStr">
        <is>
          <t>Related_Timeframe</t>
        </is>
      </c>
      <c r="H3" s="13" t="inlineStr">
        <is>
          <t>Investigation_Status</t>
        </is>
      </c>
      <c r="I3" s="13" t="inlineStr">
        <is>
          <t>Investigator</t>
        </is>
      </c>
      <c r="J3" s="13" t="inlineStr">
        <is>
          <t>Findings</t>
        </is>
      </c>
      <c r="K3" s="13" t="inlineStr">
        <is>
          <t>Actions_Taken</t>
        </is>
      </c>
      <c r="L3" s="13" t="inlineStr">
        <is>
          <t>Escalated</t>
        </is>
      </c>
      <c r="M3" s="13" t="inlineStr">
        <is>
          <t>Escalated_To</t>
        </is>
      </c>
    </row>
    <row r="4">
      <c r="A4" s="16" t="inlineStr">
        <is>
          <t>AN-001</t>
        </is>
      </c>
      <c r="B4" s="16" t="inlineStr">
        <is>
          <t>SIEM</t>
        </is>
      </c>
      <c r="C4" s="16" t="inlineStr">
        <is>
          <t>21.01.2026</t>
        </is>
      </c>
      <c r="D4" s="16" t="inlineStr">
        <is>
          <t>Authentication</t>
        </is>
      </c>
      <c r="E4" s="17" t="inlineStr">
        <is>
          <t>Multiple failed login attempts to domain admin account during recovery window</t>
        </is>
      </c>
      <c r="F4" s="16" t="inlineStr">
        <is>
          <t>High</t>
        </is>
      </c>
      <c r="G4" s="16" t="inlineStr">
        <is>
          <t>During disruption (20-21 Jan)</t>
        </is>
      </c>
      <c r="H4" s="16" t="inlineStr">
        <is>
          <t>Closed - False Positive</t>
        </is>
      </c>
      <c r="I4" s="16" t="inlineStr">
        <is>
          <t>SOC Analyst — M. Green</t>
        </is>
      </c>
      <c r="J4" s="17" t="inlineStr">
        <is>
          <t>Attributed to automated backup process — confirmed benign</t>
        </is>
      </c>
      <c r="K4" s="17" t="inlineStr">
        <is>
          <t>Backup schedule adjusted; no further action</t>
        </is>
      </c>
      <c r="L4" s="16" t="inlineStr">
        <is>
          <t>No</t>
        </is>
      </c>
      <c r="M4" s="16" t="inlineStr"/>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sheetData>
  <mergeCells count="2">
    <mergeCell ref="A2:M2"/>
    <mergeCell ref="A1:M1"/>
  </mergeCells>
  <dataValidations count="5">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"SIEM,Log Review,User Report,Automated Alert,Manual Analysis"</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"Authentication,Access,Network,Data,Configuration,Other"</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"Critical,High,Medium,Low,Informational"</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"Open,Investigating,Closed - False Positive,Closed - Confirmed"</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5" customWidth="1" min="3" max="3"/>
    <col width="16" customWidth="1" min="4" max="4"/>
    <col width="16" customWidth="1" min="5" max="5"/>
    <col width="45" customWidth="1" min="6" max="6"/>
    <col width="16" customWidth="1" min="7" max="7"/>
    <col width="25" customWidth="1" min="8" max="8"/>
    <col width="35" customWidth="1" min="9" max="9"/>
    <col width="16" customWidth="1" min="10" max="10"/>
    <col width="25" customWidth="1" min="11" max="11"/>
    <col width="15" customWidth="1" min="12" max="12"/>
    <col width="20" customWidth="1" min="13" max="13"/>
  </cols>
  <sheetData>
    <row r="1" ht="35" customHeight="1">
      <c r="A1" s="11" t="inlineStr">
        <is>
          <t>SECURITY DEBT CLOSURE</t>
        </is>
      </c>
    </row>
    <row r="2">
      <c r="A2" s="12" t="inlineStr">
        <is>
          <t>Resolution tracking for all security debt items deferred during disruption — confirms formal closure with evidence</t>
        </is>
      </c>
    </row>
    <row r="3">
      <c r="A3" s="13" t="inlineStr">
        <is>
          <t>Debt_ID</t>
        </is>
      </c>
      <c r="B3" s="13" t="inlineStr">
        <is>
          <t>Debt_Type</t>
        </is>
      </c>
      <c r="C3" s="13" t="inlineStr">
        <is>
          <t>Description</t>
        </is>
      </c>
      <c r="D3" s="13" t="inlineStr">
        <is>
          <t>Created_Date</t>
        </is>
      </c>
      <c r="E3" s="13" t="inlineStr">
        <is>
          <t>Original_Target</t>
        </is>
      </c>
      <c r="F3" s="13" t="inlineStr">
        <is>
          <t>Remediation_Action</t>
        </is>
      </c>
      <c r="G3" s="13" t="inlineStr">
        <is>
          <t>Action_Date</t>
        </is>
      </c>
      <c r="H3" s="13" t="inlineStr">
        <is>
          <t>Action_By</t>
        </is>
      </c>
      <c r="I3" s="13" t="inlineStr">
        <is>
          <t>Verification_Method</t>
        </is>
      </c>
      <c r="J3" s="13" t="inlineStr">
        <is>
          <t>Verification_Date</t>
        </is>
      </c>
      <c r="K3" s="13" t="inlineStr">
        <is>
          <t>Verified_By</t>
        </is>
      </c>
      <c r="L3" s="13" t="inlineStr">
        <is>
          <t>Closure_Status</t>
        </is>
      </c>
      <c r="M3" s="13" t="inlineStr">
        <is>
          <t>Evidence_Reference</t>
        </is>
      </c>
    </row>
    <row r="4">
      <c r="A4" s="16" t="inlineStr">
        <is>
          <t>SD-001</t>
        </is>
      </c>
      <c r="B4" s="16" t="inlineStr">
        <is>
          <t>Deferred Patch</t>
        </is>
      </c>
      <c r="C4" s="17" t="inlineStr">
        <is>
          <t>Critical patches deferred during datacenter failover — now applied</t>
        </is>
      </c>
      <c r="D4" s="16" t="inlineStr">
        <is>
          <t>20.01.2026</t>
        </is>
      </c>
      <c r="E4" s="16" t="inlineStr">
        <is>
          <t>25.01.2026</t>
        </is>
      </c>
      <c r="F4" s="17" t="inlineStr">
        <is>
          <t>Applied all 5 deferred critical patches; rebooted servers in maintenance window</t>
        </is>
      </c>
      <c r="G4" s="16" t="inlineStr">
        <is>
          <t>26.01.2026</t>
        </is>
      </c>
      <c r="H4" s="16" t="inlineStr">
        <is>
          <t>IT Security Manager</t>
        </is>
      </c>
      <c r="I4" s="17" t="inlineStr">
        <is>
          <t>Patch verification via WSUS compliance report</t>
        </is>
      </c>
      <c r="J4" s="16" t="inlineStr">
        <is>
          <t>26.01.2026</t>
        </is>
      </c>
      <c r="K4" s="16" t="inlineStr">
        <is>
          <t>Security Analyst — J. Smith</t>
        </is>
      </c>
      <c r="L4" s="16" t="inlineStr">
        <is>
          <t>Closed</t>
        </is>
      </c>
      <c r="M4" s="16" t="inlineStr">
        <is>
          <t>EV-012 — WSUS report 26.01.2026</t>
        </is>
      </c>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sheetData>
  <mergeCells count="2">
    <mergeCell ref="A2:M2"/>
    <mergeCell ref="A1:M1"/>
  </mergeCells>
  <dataValidations count="1">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"Pending,Verified,Closed"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50" customWidth="1" min="3" max="3"/>
    <col width="40" customWidth="1" min="4" max="4"/>
    <col width="40" customWidth="1" min="5" max="5"/>
    <col width="50" customWidth="1" min="6" max="6"/>
    <col width="20" customWidth="1" min="7" max="7"/>
    <col width="25" customWidth="1" min="8" max="8"/>
    <col width="16" customWidth="1" min="9" max="9"/>
    <col width="12" customWidth="1" min="10" max="10"/>
    <col width="16" customWidth="1" min="11" max="11"/>
    <col width="20" customWidth="1" min="12" max="12"/>
  </cols>
  <sheetData>
    <row r="1" ht="35" customHeight="1">
      <c r="A1" s="11" t="inlineStr">
        <is>
          <t>LESSONS LEARNED</t>
        </is>
      </c>
    </row>
    <row r="2">
      <c r="A2" s="12" t="inlineStr">
        <is>
          <t>Post-disruption review findings and improvement actions — drives continuous improvement in security resilience</t>
        </is>
      </c>
    </row>
    <row r="3">
      <c r="A3" s="13" t="inlineStr">
        <is>
          <t>Finding_ID</t>
        </is>
      </c>
      <c r="B3" s="13" t="inlineStr">
        <is>
          <t>Category</t>
        </is>
      </c>
      <c r="C3" s="13" t="inlineStr">
        <is>
          <t>Finding_Description</t>
        </is>
      </c>
      <c r="D3" s="13" t="inlineStr">
        <is>
          <t>Impact</t>
        </is>
      </c>
      <c r="E3" s="13" t="inlineStr">
        <is>
          <t>Root_Cause</t>
        </is>
      </c>
      <c r="F3" s="13" t="inlineStr">
        <is>
          <t>Recommendation</t>
        </is>
      </c>
      <c r="G3" s="13" t="inlineStr">
        <is>
          <t>Action_Type</t>
        </is>
      </c>
      <c r="H3" s="13" t="inlineStr">
        <is>
          <t>Action_Owner</t>
        </is>
      </c>
      <c r="I3" s="13" t="inlineStr">
        <is>
          <t>Target_Date</t>
        </is>
      </c>
      <c r="J3" s="13" t="inlineStr">
        <is>
          <t>Status</t>
        </is>
      </c>
      <c r="K3" s="13" t="inlineStr">
        <is>
          <t>Completion_Date</t>
        </is>
      </c>
      <c r="L3" s="13" t="inlineStr">
        <is>
          <t>Evidence_Reference</t>
        </is>
      </c>
    </row>
    <row r="4">
      <c r="A4" s="16" t="inlineStr">
        <is>
          <t>LL-001</t>
        </is>
      </c>
      <c r="B4" s="16" t="inlineStr">
        <is>
          <t>Controls</t>
        </is>
      </c>
      <c r="C4" s="17" t="inlineStr">
        <is>
          <t>MFA bypass scenario was not pre-approved with compensating controls documented</t>
        </is>
      </c>
      <c r="D4" s="17" t="inlineStr">
        <is>
          <t>Potential uncontrolled access during MFA outage</t>
        </is>
      </c>
      <c r="E4" s="17" t="inlineStr">
        <is>
          <t>No pre-approved degradation scenario existed for MFA failure</t>
        </is>
      </c>
      <c r="F4" s="17" t="inlineStr">
        <is>
          <t>Create and CISO-approve MFA failure degradation scenario with compensating controls</t>
        </is>
      </c>
      <c r="G4" s="16" t="inlineStr">
        <is>
          <t>Policy Update</t>
        </is>
      </c>
      <c r="H4" s="16" t="inlineStr">
        <is>
          <t>CISO</t>
        </is>
      </c>
      <c r="I4" s="16" t="inlineStr">
        <is>
          <t>28.02.2026</t>
        </is>
      </c>
      <c r="J4" s="16" t="inlineStr">
        <is>
          <t>Open</t>
        </is>
      </c>
      <c r="K4" s="16" t="inlineStr"/>
      <c r="L4" s="16" t="inlineStr"/>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dataValidations count="3">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"Planning,Controls,Personnel,Communication,Tools,Process,Other"</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"Policy Update,Procedure Update,Training,Tool Enhancement,Process Change"</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"Open,In Progress,Closed"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9" t="inlineStr">
        <is>
          <t>EVIDENCE REGISTER</t>
        </is>
      </c>
    </row>
    <row r="2">
      <c r="A2" s="20" t="inlineStr">
        <is>
          <t>Document all evidence collected during this assessment</t>
        </is>
      </c>
      <c r="B2" s="6" t="n"/>
      <c r="C2" s="6" t="n"/>
      <c r="D2" s="6" t="n"/>
      <c r="E2" s="6" t="n"/>
      <c r="F2" s="6" t="n"/>
      <c r="G2" s="6" t="n"/>
      <c r="H2" s="6" t="n"/>
    </row>
    <row r="4">
      <c r="A4" s="21" t="inlineStr">
        <is>
          <t>Evidence ID</t>
        </is>
      </c>
      <c r="B4" s="21" t="inlineStr">
        <is>
          <t>Assessment Area</t>
        </is>
      </c>
      <c r="C4" s="21" t="inlineStr">
        <is>
          <t>Evidence Type</t>
        </is>
      </c>
      <c r="D4" s="21" t="inlineStr">
        <is>
          <t>Description</t>
        </is>
      </c>
      <c r="E4" s="21" t="inlineStr">
        <is>
          <t>Location / Path</t>
        </is>
      </c>
      <c r="F4" s="21" t="inlineStr">
        <is>
          <t>Date Collected</t>
        </is>
      </c>
      <c r="G4" s="21" t="inlineStr">
        <is>
          <t>Collected By</t>
        </is>
      </c>
      <c r="H4" s="21" t="inlineStr">
        <is>
          <t>Verification Status</t>
        </is>
      </c>
    </row>
    <row r="5">
      <c r="A5" s="22" t="inlineStr">
        <is>
          <t>EV-001</t>
        </is>
      </c>
      <c r="B5" s="23" t="inlineStr">
        <is>
          <t>Assessment Area</t>
        </is>
      </c>
      <c r="C5" s="23" t="inlineStr">
        <is>
          <t>Policy Document</t>
        </is>
      </c>
      <c r="D5" s="23" t="inlineStr">
        <is>
          <t>Example evidence description</t>
        </is>
      </c>
      <c r="E5" s="23" t="inlineStr">
        <is>
          <t>\\fileserver\policies\document.pdf</t>
        </is>
      </c>
      <c r="F5" s="23" t="inlineStr">
        <is>
          <t>15.01.2026</t>
        </is>
      </c>
      <c r="G5" s="23" t="inlineStr">
        <is>
          <t>Assessor Name</t>
        </is>
      </c>
      <c r="H5" s="23" t="inlineStr">
        <is>
          <t>✅ Verified</t>
        </is>
      </c>
    </row>
    <row r="6">
      <c r="A6" s="24" t="n"/>
      <c r="B6" s="25" t="n"/>
      <c r="C6" s="25" t="n"/>
      <c r="D6" s="25" t="n"/>
      <c r="E6" s="25" t="n"/>
      <c r="F6" s="25" t="n"/>
      <c r="G6" s="25" t="n"/>
      <c r="H6" s="25" t="n"/>
    </row>
    <row r="7">
      <c r="A7" s="24" t="n"/>
      <c r="B7" s="25" t="n"/>
      <c r="C7" s="25" t="n"/>
      <c r="D7" s="25" t="n"/>
      <c r="E7" s="25" t="n"/>
      <c r="F7" s="25" t="n"/>
      <c r="G7" s="25" t="n"/>
      <c r="H7" s="25" t="n"/>
    </row>
    <row r="8">
      <c r="A8" s="24" t="n"/>
      <c r="B8" s="25" t="n"/>
      <c r="C8" s="25" t="n"/>
      <c r="D8" s="25" t="n"/>
      <c r="E8" s="25" t="n"/>
      <c r="F8" s="25" t="n"/>
      <c r="G8" s="25" t="n"/>
      <c r="H8" s="25" t="n"/>
    </row>
    <row r="9">
      <c r="A9" s="24" t="n"/>
      <c r="B9" s="25" t="n"/>
      <c r="C9" s="25" t="n"/>
      <c r="D9" s="25" t="n"/>
      <c r="E9" s="25" t="n"/>
      <c r="F9" s="25" t="n"/>
      <c r="G9" s="25" t="n"/>
      <c r="H9" s="25" t="n"/>
    </row>
    <row r="10">
      <c r="A10" s="24" t="n"/>
      <c r="B10" s="25" t="n"/>
      <c r="C10" s="25" t="n"/>
      <c r="D10" s="25" t="n"/>
      <c r="E10" s="25" t="n"/>
      <c r="F10" s="25" t="n"/>
      <c r="G10" s="25" t="n"/>
      <c r="H10" s="25" t="n"/>
    </row>
    <row r="11">
      <c r="A11" s="24" t="n"/>
      <c r="B11" s="25" t="n"/>
      <c r="C11" s="25" t="n"/>
      <c r="D11" s="25" t="n"/>
      <c r="E11" s="25" t="n"/>
      <c r="F11" s="25" t="n"/>
      <c r="G11" s="25" t="n"/>
      <c r="H11" s="25" t="n"/>
    </row>
    <row r="12">
      <c r="A12" s="24" t="n"/>
      <c r="B12" s="25" t="n"/>
      <c r="C12" s="25" t="n"/>
      <c r="D12" s="25" t="n"/>
      <c r="E12" s="25" t="n"/>
      <c r="F12" s="25" t="n"/>
      <c r="G12" s="25" t="n"/>
      <c r="H12" s="25" t="n"/>
    </row>
    <row r="13">
      <c r="A13" s="24" t="n"/>
      <c r="B13" s="25" t="n"/>
      <c r="C13" s="25" t="n"/>
      <c r="D13" s="25" t="n"/>
      <c r="E13" s="25" t="n"/>
      <c r="F13" s="25" t="n"/>
      <c r="G13" s="25" t="n"/>
      <c r="H13" s="25" t="n"/>
    </row>
    <row r="14">
      <c r="A14" s="24" t="n"/>
      <c r="B14" s="25" t="n"/>
      <c r="C14" s="25" t="n"/>
      <c r="D14" s="25" t="n"/>
      <c r="E14" s="25" t="n"/>
      <c r="F14" s="25" t="n"/>
      <c r="G14" s="25" t="n"/>
      <c r="H14" s="25" t="n"/>
    </row>
    <row r="15">
      <c r="A15" s="24" t="n"/>
      <c r="B15" s="25" t="n"/>
      <c r="C15" s="25" t="n"/>
      <c r="D15" s="25" t="n"/>
      <c r="E15" s="25" t="n"/>
      <c r="F15" s="25" t="n"/>
      <c r="G15" s="25" t="n"/>
      <c r="H15" s="25" t="n"/>
    </row>
    <row r="16">
      <c r="A16" s="24" t="n"/>
      <c r="B16" s="25" t="n"/>
      <c r="C16" s="25" t="n"/>
      <c r="D16" s="25" t="n"/>
      <c r="E16" s="25" t="n"/>
      <c r="F16" s="25" t="n"/>
      <c r="G16" s="25" t="n"/>
      <c r="H16" s="25" t="n"/>
    </row>
    <row r="17">
      <c r="A17" s="24" t="n"/>
      <c r="B17" s="25" t="n"/>
      <c r="C17" s="25" t="n"/>
      <c r="D17" s="25" t="n"/>
      <c r="E17" s="25" t="n"/>
      <c r="F17" s="25" t="n"/>
      <c r="G17" s="25" t="n"/>
      <c r="H17" s="25" t="n"/>
    </row>
    <row r="18">
      <c r="A18" s="24" t="n"/>
      <c r="B18" s="25" t="n"/>
      <c r="C18" s="25" t="n"/>
      <c r="D18" s="25" t="n"/>
      <c r="E18" s="25" t="n"/>
      <c r="F18" s="25" t="n"/>
      <c r="G18" s="25" t="n"/>
      <c r="H18" s="25" t="n"/>
    </row>
    <row r="19">
      <c r="A19" s="24" t="n"/>
      <c r="B19" s="25" t="n"/>
      <c r="C19" s="25" t="n"/>
      <c r="D19" s="25" t="n"/>
      <c r="E19" s="25" t="n"/>
      <c r="F19" s="25" t="n"/>
      <c r="G19" s="25" t="n"/>
      <c r="H19" s="25" t="n"/>
    </row>
    <row r="20">
      <c r="A20" s="24" t="n"/>
      <c r="B20" s="25" t="n"/>
      <c r="C20" s="25" t="n"/>
      <c r="D20" s="25" t="n"/>
      <c r="E20" s="25" t="n"/>
      <c r="F20" s="25" t="n"/>
      <c r="G20" s="25" t="n"/>
      <c r="H20" s="25" t="n"/>
    </row>
    <row r="21">
      <c r="A21" s="24" t="n"/>
      <c r="B21" s="25" t="n"/>
      <c r="C21" s="25" t="n"/>
      <c r="D21" s="25" t="n"/>
      <c r="E21" s="25" t="n"/>
      <c r="F21" s="25" t="n"/>
      <c r="G21" s="25" t="n"/>
      <c r="H21" s="25" t="n"/>
    </row>
    <row r="22">
      <c r="A22" s="24" t="n"/>
      <c r="B22" s="25" t="n"/>
      <c r="C22" s="25" t="n"/>
      <c r="D22" s="25" t="n"/>
      <c r="E22" s="25" t="n"/>
      <c r="F22" s="25" t="n"/>
      <c r="G22" s="25" t="n"/>
      <c r="H22" s="25" t="n"/>
    </row>
    <row r="23">
      <c r="A23" s="24" t="n"/>
      <c r="B23" s="25" t="n"/>
      <c r="C23" s="25" t="n"/>
      <c r="D23" s="25" t="n"/>
      <c r="E23" s="25" t="n"/>
      <c r="F23" s="25" t="n"/>
      <c r="G23" s="25" t="n"/>
      <c r="H23" s="25" t="n"/>
    </row>
    <row r="24">
      <c r="A24" s="24" t="n"/>
      <c r="B24" s="25" t="n"/>
      <c r="C24" s="25" t="n"/>
      <c r="D24" s="25" t="n"/>
      <c r="E24" s="25" t="n"/>
      <c r="F24" s="25" t="n"/>
      <c r="G24" s="25" t="n"/>
      <c r="H24" s="25" t="n"/>
    </row>
    <row r="25">
      <c r="A25" s="24" t="n"/>
      <c r="B25" s="25" t="n"/>
      <c r="C25" s="25" t="n"/>
      <c r="D25" s="25" t="n"/>
      <c r="E25" s="25" t="n"/>
      <c r="F25" s="25" t="n"/>
      <c r="G25" s="25" t="n"/>
      <c r="H25" s="25" t="n"/>
    </row>
    <row r="26">
      <c r="A26" s="24" t="n"/>
      <c r="B26" s="25" t="n"/>
      <c r="C26" s="25" t="n"/>
      <c r="D26" s="25" t="n"/>
      <c r="E26" s="25" t="n"/>
      <c r="F26" s="25" t="n"/>
      <c r="G26" s="25" t="n"/>
      <c r="H26" s="25" t="n"/>
    </row>
    <row r="27">
      <c r="A27" s="24" t="n"/>
      <c r="B27" s="25" t="n"/>
      <c r="C27" s="25" t="n"/>
      <c r="D27" s="25" t="n"/>
      <c r="E27" s="25" t="n"/>
      <c r="F27" s="25" t="n"/>
      <c r="G27" s="25" t="n"/>
      <c r="H27" s="25" t="n"/>
    </row>
    <row r="28">
      <c r="A28" s="24" t="n"/>
      <c r="B28" s="25" t="n"/>
      <c r="C28" s="25" t="n"/>
      <c r="D28" s="25" t="n"/>
      <c r="E28" s="25" t="n"/>
      <c r="F28" s="25" t="n"/>
      <c r="G28" s="25" t="n"/>
      <c r="H28" s="25" t="n"/>
    </row>
    <row r="29">
      <c r="A29" s="24" t="n"/>
      <c r="B29" s="25" t="n"/>
      <c r="C29" s="25" t="n"/>
      <c r="D29" s="25" t="n"/>
      <c r="E29" s="25" t="n"/>
      <c r="F29" s="25" t="n"/>
      <c r="G29" s="25" t="n"/>
      <c r="H29" s="25" t="n"/>
    </row>
    <row r="30">
      <c r="A30" s="24" t="n"/>
      <c r="B30" s="25" t="n"/>
      <c r="C30" s="25" t="n"/>
      <c r="D30" s="25" t="n"/>
      <c r="E30" s="25" t="n"/>
      <c r="F30" s="25" t="n"/>
      <c r="G30" s="25" t="n"/>
      <c r="H30" s="25" t="n"/>
    </row>
    <row r="31">
      <c r="A31" s="24" t="n"/>
      <c r="B31" s="25" t="n"/>
      <c r="C31" s="25" t="n"/>
      <c r="D31" s="25" t="n"/>
      <c r="E31" s="25" t="n"/>
      <c r="F31" s="25" t="n"/>
      <c r="G31" s="25" t="n"/>
      <c r="H31" s="25" t="n"/>
    </row>
    <row r="32">
      <c r="A32" s="24" t="n"/>
      <c r="B32" s="25" t="n"/>
      <c r="C32" s="25" t="n"/>
      <c r="D32" s="25" t="n"/>
      <c r="E32" s="25" t="n"/>
      <c r="F32" s="25" t="n"/>
      <c r="G32" s="25" t="n"/>
      <c r="H32" s="25" t="n"/>
    </row>
    <row r="33">
      <c r="A33" s="24" t="n"/>
      <c r="B33" s="25" t="n"/>
      <c r="C33" s="25" t="n"/>
      <c r="D33" s="25" t="n"/>
      <c r="E33" s="25" t="n"/>
      <c r="F33" s="25" t="n"/>
      <c r="G33" s="25" t="n"/>
      <c r="H33" s="25" t="n"/>
    </row>
    <row r="34">
      <c r="A34" s="24" t="n"/>
      <c r="B34" s="25" t="n"/>
      <c r="C34" s="25" t="n"/>
      <c r="D34" s="25" t="n"/>
      <c r="E34" s="25" t="n"/>
      <c r="F34" s="25" t="n"/>
      <c r="G34" s="25" t="n"/>
      <c r="H34" s="25" t="n"/>
    </row>
    <row r="35">
      <c r="A35" s="24" t="n"/>
      <c r="B35" s="25" t="n"/>
      <c r="C35" s="25" t="n"/>
      <c r="D35" s="25" t="n"/>
      <c r="E35" s="25" t="n"/>
      <c r="F35" s="25" t="n"/>
      <c r="G35" s="25" t="n"/>
      <c r="H35" s="25" t="n"/>
    </row>
    <row r="36">
      <c r="A36" s="24" t="n"/>
      <c r="B36" s="25" t="n"/>
      <c r="C36" s="25" t="n"/>
      <c r="D36" s="25" t="n"/>
      <c r="E36" s="25" t="n"/>
      <c r="F36" s="25" t="n"/>
      <c r="G36" s="25" t="n"/>
      <c r="H36" s="25" t="n"/>
    </row>
    <row r="37">
      <c r="A37" s="24" t="n"/>
      <c r="B37" s="25" t="n"/>
      <c r="C37" s="25" t="n"/>
      <c r="D37" s="25" t="n"/>
      <c r="E37" s="25" t="n"/>
      <c r="F37" s="25" t="n"/>
      <c r="G37" s="25" t="n"/>
      <c r="H37" s="25" t="n"/>
    </row>
    <row r="38">
      <c r="A38" s="24" t="n"/>
      <c r="B38" s="25" t="n"/>
      <c r="C38" s="25" t="n"/>
      <c r="D38" s="25" t="n"/>
      <c r="E38" s="25" t="n"/>
      <c r="F38" s="25" t="n"/>
      <c r="G38" s="25" t="n"/>
      <c r="H38" s="25" t="n"/>
    </row>
    <row r="39">
      <c r="A39" s="24" t="n"/>
      <c r="B39" s="25" t="n"/>
      <c r="C39" s="25" t="n"/>
      <c r="D39" s="25" t="n"/>
      <c r="E39" s="25" t="n"/>
      <c r="F39" s="25" t="n"/>
      <c r="G39" s="25" t="n"/>
      <c r="H39" s="25" t="n"/>
    </row>
    <row r="40">
      <c r="A40" s="24" t="n"/>
      <c r="B40" s="25" t="n"/>
      <c r="C40" s="25" t="n"/>
      <c r="D40" s="25" t="n"/>
      <c r="E40" s="25" t="n"/>
      <c r="F40" s="25" t="n"/>
      <c r="G40" s="25" t="n"/>
      <c r="H40" s="25" t="n"/>
    </row>
    <row r="41">
      <c r="A41" s="24" t="n"/>
      <c r="B41" s="25" t="n"/>
      <c r="C41" s="25" t="n"/>
      <c r="D41" s="25" t="n"/>
      <c r="E41" s="25" t="n"/>
      <c r="F41" s="25" t="n"/>
      <c r="G41" s="25" t="n"/>
      <c r="H41" s="25" t="n"/>
    </row>
    <row r="42">
      <c r="A42" s="24" t="n"/>
      <c r="B42" s="25" t="n"/>
      <c r="C42" s="25" t="n"/>
      <c r="D42" s="25" t="n"/>
      <c r="E42" s="25" t="n"/>
      <c r="F42" s="25" t="n"/>
      <c r="G42" s="25" t="n"/>
      <c r="H42" s="25" t="n"/>
    </row>
    <row r="43">
      <c r="A43" s="24" t="n"/>
      <c r="B43" s="25" t="n"/>
      <c r="C43" s="25" t="n"/>
      <c r="D43" s="25" t="n"/>
      <c r="E43" s="25" t="n"/>
      <c r="F43" s="25" t="n"/>
      <c r="G43" s="25" t="n"/>
      <c r="H43" s="25" t="n"/>
    </row>
    <row r="44">
      <c r="A44" s="24" t="n"/>
      <c r="B44" s="25" t="n"/>
      <c r="C44" s="25" t="n"/>
      <c r="D44" s="25" t="n"/>
      <c r="E44" s="25" t="n"/>
      <c r="F44" s="25" t="n"/>
      <c r="G44" s="25" t="n"/>
      <c r="H44" s="25" t="n"/>
    </row>
    <row r="45">
      <c r="A45" s="24" t="n"/>
      <c r="B45" s="25" t="n"/>
      <c r="C45" s="25" t="n"/>
      <c r="D45" s="25" t="n"/>
      <c r="E45" s="25" t="n"/>
      <c r="F45" s="25" t="n"/>
      <c r="G45" s="25" t="n"/>
      <c r="H45" s="25" t="n"/>
    </row>
    <row r="46">
      <c r="A46" s="24" t="n"/>
      <c r="B46" s="25" t="n"/>
      <c r="C46" s="25" t="n"/>
      <c r="D46" s="25" t="n"/>
      <c r="E46" s="25" t="n"/>
      <c r="F46" s="25" t="n"/>
      <c r="G46" s="25" t="n"/>
      <c r="H46" s="25" t="n"/>
    </row>
    <row r="47">
      <c r="A47" s="24" t="n"/>
      <c r="B47" s="25" t="n"/>
      <c r="C47" s="25" t="n"/>
      <c r="D47" s="25" t="n"/>
      <c r="E47" s="25" t="n"/>
      <c r="F47" s="25" t="n"/>
      <c r="G47" s="25" t="n"/>
      <c r="H47" s="25" t="n"/>
    </row>
    <row r="48">
      <c r="A48" s="24" t="n"/>
      <c r="B48" s="25" t="n"/>
      <c r="C48" s="25" t="n"/>
      <c r="D48" s="25" t="n"/>
      <c r="E48" s="25" t="n"/>
      <c r="F48" s="25" t="n"/>
      <c r="G48" s="25" t="n"/>
      <c r="H48" s="25" t="n"/>
    </row>
    <row r="49">
      <c r="A49" s="24" t="n"/>
      <c r="B49" s="25" t="n"/>
      <c r="C49" s="25" t="n"/>
      <c r="D49" s="25" t="n"/>
      <c r="E49" s="25" t="n"/>
      <c r="F49" s="25" t="n"/>
      <c r="G49" s="25" t="n"/>
      <c r="H49" s="25" t="n"/>
    </row>
    <row r="50">
      <c r="A50" s="24" t="n"/>
      <c r="B50" s="25" t="n"/>
      <c r="C50" s="25" t="n"/>
      <c r="D50" s="25" t="n"/>
      <c r="E50" s="25" t="n"/>
      <c r="F50" s="25" t="n"/>
      <c r="G50" s="25" t="n"/>
      <c r="H50" s="25" t="n"/>
    </row>
    <row r="51">
      <c r="A51" s="24" t="n"/>
      <c r="B51" s="25" t="n"/>
      <c r="C51" s="25" t="n"/>
      <c r="D51" s="25" t="n"/>
      <c r="E51" s="25" t="n"/>
      <c r="F51" s="25" t="n"/>
      <c r="G51" s="25" t="n"/>
      <c r="H51" s="25" t="n"/>
    </row>
    <row r="52">
      <c r="A52" s="24" t="n"/>
      <c r="B52" s="25" t="n"/>
      <c r="C52" s="25" t="n"/>
      <c r="D52" s="25" t="n"/>
      <c r="E52" s="25" t="n"/>
      <c r="F52" s="25" t="n"/>
      <c r="G52" s="25" t="n"/>
      <c r="H52" s="25" t="n"/>
    </row>
    <row r="53">
      <c r="A53" s="24" t="n"/>
      <c r="B53" s="25" t="n"/>
      <c r="C53" s="25" t="n"/>
      <c r="D53" s="25" t="n"/>
      <c r="E53" s="25" t="n"/>
      <c r="F53" s="25" t="n"/>
      <c r="G53" s="25" t="n"/>
      <c r="H53" s="25" t="n"/>
    </row>
    <row r="54">
      <c r="A54" s="24" t="n"/>
      <c r="B54" s="25" t="n"/>
      <c r="C54" s="25" t="n"/>
      <c r="D54" s="25" t="n"/>
      <c r="E54" s="25" t="n"/>
      <c r="F54" s="25" t="n"/>
      <c r="G54" s="25" t="n"/>
      <c r="H54" s="25" t="n"/>
    </row>
    <row r="55">
      <c r="A55" s="24" t="n"/>
      <c r="B55" s="25" t="n"/>
      <c r="C55" s="25" t="n"/>
      <c r="D55" s="25" t="n"/>
      <c r="E55" s="25" t="n"/>
      <c r="F55" s="25" t="n"/>
      <c r="G55" s="25" t="n"/>
      <c r="H55" s="25" t="n"/>
    </row>
    <row r="56">
      <c r="A56" s="24" t="n"/>
      <c r="B56" s="25" t="n"/>
      <c r="C56" s="25" t="n"/>
      <c r="D56" s="25" t="n"/>
      <c r="E56" s="25" t="n"/>
      <c r="F56" s="25" t="n"/>
      <c r="G56" s="25" t="n"/>
      <c r="H56" s="25" t="n"/>
    </row>
    <row r="57">
      <c r="A57" s="24" t="n"/>
      <c r="B57" s="25" t="n"/>
      <c r="C57" s="25" t="n"/>
      <c r="D57" s="25" t="n"/>
      <c r="E57" s="25" t="n"/>
      <c r="F57" s="25" t="n"/>
      <c r="G57" s="25" t="n"/>
      <c r="H57" s="25" t="n"/>
    </row>
    <row r="58">
      <c r="A58" s="24" t="n"/>
      <c r="B58" s="25" t="n"/>
      <c r="C58" s="25" t="n"/>
      <c r="D58" s="25" t="n"/>
      <c r="E58" s="25" t="n"/>
      <c r="F58" s="25" t="n"/>
      <c r="G58" s="25" t="n"/>
      <c r="H58" s="25" t="n"/>
    </row>
    <row r="59">
      <c r="A59" s="24" t="n"/>
      <c r="B59" s="25" t="n"/>
      <c r="C59" s="25" t="n"/>
      <c r="D59" s="25" t="n"/>
      <c r="E59" s="25" t="n"/>
      <c r="F59" s="25" t="n"/>
      <c r="G59" s="25" t="n"/>
      <c r="H59" s="25" t="n"/>
    </row>
    <row r="60">
      <c r="A60" s="24" t="n"/>
      <c r="B60" s="25" t="n"/>
      <c r="C60" s="25" t="n"/>
      <c r="D60" s="25" t="n"/>
      <c r="E60" s="25" t="n"/>
      <c r="F60" s="25" t="n"/>
      <c r="G60" s="25" t="n"/>
      <c r="H60" s="25" t="n"/>
    </row>
    <row r="61">
      <c r="A61" s="24" t="n"/>
      <c r="B61" s="25" t="n"/>
      <c r="C61" s="25" t="n"/>
      <c r="D61" s="25" t="n"/>
      <c r="E61" s="25" t="n"/>
      <c r="F61" s="25" t="n"/>
      <c r="G61" s="25" t="n"/>
      <c r="H61" s="25" t="n"/>
    </row>
    <row r="62">
      <c r="A62" s="24" t="n"/>
      <c r="B62" s="25" t="n"/>
      <c r="C62" s="25" t="n"/>
      <c r="D62" s="25" t="n"/>
      <c r="E62" s="25" t="n"/>
      <c r="F62" s="25" t="n"/>
      <c r="G62" s="25" t="n"/>
      <c r="H62" s="25" t="n"/>
    </row>
    <row r="63">
      <c r="A63" s="24" t="n"/>
      <c r="B63" s="25" t="n"/>
      <c r="C63" s="25" t="n"/>
      <c r="D63" s="25" t="n"/>
      <c r="E63" s="25" t="n"/>
      <c r="F63" s="25" t="n"/>
      <c r="G63" s="25" t="n"/>
      <c r="H63" s="25" t="n"/>
    </row>
    <row r="64">
      <c r="A64" s="24" t="n"/>
      <c r="B64" s="25" t="n"/>
      <c r="C64" s="25" t="n"/>
      <c r="D64" s="25" t="n"/>
      <c r="E64" s="25" t="n"/>
      <c r="F64" s="25" t="n"/>
      <c r="G64" s="25" t="n"/>
      <c r="H64" s="25" t="n"/>
    </row>
    <row r="65">
      <c r="A65" s="24" t="n"/>
      <c r="B65" s="25" t="n"/>
      <c r="C65" s="25" t="n"/>
      <c r="D65" s="25" t="n"/>
      <c r="E65" s="25" t="n"/>
      <c r="F65" s="25" t="n"/>
      <c r="G65" s="25" t="n"/>
      <c r="H65" s="25" t="n"/>
    </row>
    <row r="66">
      <c r="A66" s="24" t="n"/>
      <c r="B66" s="25" t="n"/>
      <c r="C66" s="25" t="n"/>
      <c r="D66" s="25" t="n"/>
      <c r="E66" s="25" t="n"/>
      <c r="F66" s="25" t="n"/>
      <c r="G66" s="25" t="n"/>
      <c r="H66" s="25" t="n"/>
    </row>
    <row r="67">
      <c r="A67" s="24" t="n"/>
      <c r="B67" s="25" t="n"/>
      <c r="C67" s="25" t="n"/>
      <c r="D67" s="25" t="n"/>
      <c r="E67" s="25" t="n"/>
      <c r="F67" s="25" t="n"/>
      <c r="G67" s="25" t="n"/>
      <c r="H67" s="25" t="n"/>
    </row>
    <row r="68">
      <c r="A68" s="24" t="n"/>
      <c r="B68" s="25" t="n"/>
      <c r="C68" s="25" t="n"/>
      <c r="D68" s="25" t="n"/>
      <c r="E68" s="25" t="n"/>
      <c r="F68" s="25" t="n"/>
      <c r="G68" s="25" t="n"/>
      <c r="H68" s="25" t="n"/>
    </row>
    <row r="69">
      <c r="A69" s="24" t="n"/>
      <c r="B69" s="25" t="n"/>
      <c r="C69" s="25" t="n"/>
      <c r="D69" s="25" t="n"/>
      <c r="E69" s="25" t="n"/>
      <c r="F69" s="25" t="n"/>
      <c r="G69" s="25" t="n"/>
      <c r="H69" s="25" t="n"/>
    </row>
    <row r="70">
      <c r="A70" s="24" t="n"/>
      <c r="B70" s="25" t="n"/>
      <c r="C70" s="25" t="n"/>
      <c r="D70" s="25" t="n"/>
      <c r="E70" s="25" t="n"/>
      <c r="F70" s="25" t="n"/>
      <c r="G70" s="25" t="n"/>
      <c r="H70" s="25" t="n"/>
    </row>
    <row r="71">
      <c r="A71" s="24" t="n"/>
      <c r="B71" s="25" t="n"/>
      <c r="C71" s="25" t="n"/>
      <c r="D71" s="25" t="n"/>
      <c r="E71" s="25" t="n"/>
      <c r="F71" s="25" t="n"/>
      <c r="G71" s="25" t="n"/>
      <c r="H71" s="25" t="n"/>
    </row>
    <row r="72">
      <c r="A72" s="24" t="n"/>
      <c r="B72" s="25" t="n"/>
      <c r="C72" s="25" t="n"/>
      <c r="D72" s="25" t="n"/>
      <c r="E72" s="25" t="n"/>
      <c r="F72" s="25" t="n"/>
      <c r="G72" s="25" t="n"/>
      <c r="H72" s="25" t="n"/>
    </row>
    <row r="73">
      <c r="A73" s="24" t="n"/>
      <c r="B73" s="25" t="n"/>
      <c r="C73" s="25" t="n"/>
      <c r="D73" s="25" t="n"/>
      <c r="E73" s="25" t="n"/>
      <c r="F73" s="25" t="n"/>
      <c r="G73" s="25" t="n"/>
      <c r="H73" s="25" t="n"/>
    </row>
    <row r="74">
      <c r="A74" s="24" t="n"/>
      <c r="B74" s="25" t="n"/>
      <c r="C74" s="25" t="n"/>
      <c r="D74" s="25" t="n"/>
      <c r="E74" s="25" t="n"/>
      <c r="F74" s="25" t="n"/>
      <c r="G74" s="25" t="n"/>
      <c r="H74" s="25" t="n"/>
    </row>
    <row r="75">
      <c r="A75" s="24" t="n"/>
      <c r="B75" s="25" t="n"/>
      <c r="C75" s="25" t="n"/>
      <c r="D75" s="25" t="n"/>
      <c r="E75" s="25" t="n"/>
      <c r="F75" s="25" t="n"/>
      <c r="G75" s="25" t="n"/>
      <c r="H75" s="25" t="n"/>
    </row>
    <row r="76">
      <c r="A76" s="24" t="n"/>
      <c r="B76" s="25" t="n"/>
      <c r="C76" s="25" t="n"/>
      <c r="D76" s="25" t="n"/>
      <c r="E76" s="25" t="n"/>
      <c r="F76" s="25" t="n"/>
      <c r="G76" s="25" t="n"/>
      <c r="H76" s="25" t="n"/>
    </row>
    <row r="77">
      <c r="A77" s="24" t="n"/>
      <c r="B77" s="25" t="n"/>
      <c r="C77" s="25" t="n"/>
      <c r="D77" s="25" t="n"/>
      <c r="E77" s="25" t="n"/>
      <c r="F77" s="25" t="n"/>
      <c r="G77" s="25" t="n"/>
      <c r="H77" s="25" t="n"/>
    </row>
    <row r="78">
      <c r="A78" s="24" t="n"/>
      <c r="B78" s="25" t="n"/>
      <c r="C78" s="25" t="n"/>
      <c r="D78" s="25" t="n"/>
      <c r="E78" s="25" t="n"/>
      <c r="F78" s="25" t="n"/>
      <c r="G78" s="25" t="n"/>
      <c r="H78" s="25" t="n"/>
    </row>
    <row r="79">
      <c r="A79" s="24" t="n"/>
      <c r="B79" s="25" t="n"/>
      <c r="C79" s="25" t="n"/>
      <c r="D79" s="25" t="n"/>
      <c r="E79" s="25" t="n"/>
      <c r="F79" s="25" t="n"/>
      <c r="G79" s="25" t="n"/>
      <c r="H79" s="25" t="n"/>
    </row>
    <row r="80">
      <c r="A80" s="24" t="n"/>
      <c r="B80" s="25" t="n"/>
      <c r="C80" s="25" t="n"/>
      <c r="D80" s="25" t="n"/>
      <c r="E80" s="25" t="n"/>
      <c r="F80" s="25" t="n"/>
      <c r="G80" s="25" t="n"/>
      <c r="H80" s="25" t="n"/>
    </row>
    <row r="81">
      <c r="A81" s="24" t="n"/>
      <c r="B81" s="25" t="n"/>
      <c r="C81" s="25" t="n"/>
      <c r="D81" s="25" t="n"/>
      <c r="E81" s="25" t="n"/>
      <c r="F81" s="25" t="n"/>
      <c r="G81" s="25" t="n"/>
      <c r="H81" s="25" t="n"/>
    </row>
    <row r="82">
      <c r="A82" s="24" t="n"/>
      <c r="B82" s="25" t="n"/>
      <c r="C82" s="25" t="n"/>
      <c r="D82" s="25" t="n"/>
      <c r="E82" s="25" t="n"/>
      <c r="F82" s="25" t="n"/>
      <c r="G82" s="25" t="n"/>
      <c r="H82" s="25" t="n"/>
    </row>
    <row r="83">
      <c r="A83" s="24" t="n"/>
      <c r="B83" s="25" t="n"/>
      <c r="C83" s="25" t="n"/>
      <c r="D83" s="25" t="n"/>
      <c r="E83" s="25" t="n"/>
      <c r="F83" s="25" t="n"/>
      <c r="G83" s="25" t="n"/>
      <c r="H83" s="25" t="n"/>
    </row>
    <row r="84">
      <c r="A84" s="24" t="n"/>
      <c r="B84" s="25" t="n"/>
      <c r="C84" s="25" t="n"/>
      <c r="D84" s="25" t="n"/>
      <c r="E84" s="25" t="n"/>
      <c r="F84" s="25" t="n"/>
      <c r="G84" s="25" t="n"/>
      <c r="H84" s="25" t="n"/>
    </row>
    <row r="85">
      <c r="A85" s="24" t="n"/>
      <c r="B85" s="25" t="n"/>
      <c r="C85" s="25" t="n"/>
      <c r="D85" s="25" t="n"/>
      <c r="E85" s="25" t="n"/>
      <c r="F85" s="25" t="n"/>
      <c r="G85" s="25" t="n"/>
      <c r="H85" s="25" t="n"/>
    </row>
    <row r="86">
      <c r="A86" s="24" t="n"/>
      <c r="B86" s="25" t="n"/>
      <c r="C86" s="25" t="n"/>
      <c r="D86" s="25" t="n"/>
      <c r="E86" s="25" t="n"/>
      <c r="F86" s="25" t="n"/>
      <c r="G86" s="25" t="n"/>
      <c r="H86" s="25" t="n"/>
    </row>
    <row r="87">
      <c r="A87" s="24" t="n"/>
      <c r="B87" s="25" t="n"/>
      <c r="C87" s="25" t="n"/>
      <c r="D87" s="25" t="n"/>
      <c r="E87" s="25" t="n"/>
      <c r="F87" s="25" t="n"/>
      <c r="G87" s="25" t="n"/>
      <c r="H87" s="25" t="n"/>
    </row>
    <row r="88">
      <c r="A88" s="24" t="n"/>
      <c r="B88" s="25" t="n"/>
      <c r="C88" s="25" t="n"/>
      <c r="D88" s="25" t="n"/>
      <c r="E88" s="25" t="n"/>
      <c r="F88" s="25" t="n"/>
      <c r="G88" s="25" t="n"/>
      <c r="H88" s="25" t="n"/>
    </row>
    <row r="89">
      <c r="A89" s="24" t="n"/>
      <c r="B89" s="25" t="n"/>
      <c r="C89" s="25" t="n"/>
      <c r="D89" s="25" t="n"/>
      <c r="E89" s="25" t="n"/>
      <c r="F89" s="25" t="n"/>
      <c r="G89" s="25" t="n"/>
      <c r="H89" s="25" t="n"/>
    </row>
    <row r="90">
      <c r="A90" s="24" t="n"/>
      <c r="B90" s="25" t="n"/>
      <c r="C90" s="25" t="n"/>
      <c r="D90" s="25" t="n"/>
      <c r="E90" s="25" t="n"/>
      <c r="F90" s="25" t="n"/>
      <c r="G90" s="25" t="n"/>
      <c r="H90" s="25" t="n"/>
    </row>
    <row r="91">
      <c r="A91" s="24" t="n"/>
      <c r="B91" s="25" t="n"/>
      <c r="C91" s="25" t="n"/>
      <c r="D91" s="25" t="n"/>
      <c r="E91" s="25" t="n"/>
      <c r="F91" s="25" t="n"/>
      <c r="G91" s="25" t="n"/>
      <c r="H91" s="25" t="n"/>
    </row>
    <row r="92">
      <c r="A92" s="24" t="n"/>
      <c r="B92" s="25" t="n"/>
      <c r="C92" s="25" t="n"/>
      <c r="D92" s="25" t="n"/>
      <c r="E92" s="25" t="n"/>
      <c r="F92" s="25" t="n"/>
      <c r="G92" s="25" t="n"/>
      <c r="H92" s="25" t="n"/>
    </row>
    <row r="93">
      <c r="A93" s="24" t="n"/>
      <c r="B93" s="25" t="n"/>
      <c r="C93" s="25" t="n"/>
      <c r="D93" s="25" t="n"/>
      <c r="E93" s="25" t="n"/>
      <c r="F93" s="25" t="n"/>
      <c r="G93" s="25" t="n"/>
      <c r="H93" s="25" t="n"/>
    </row>
    <row r="94">
      <c r="A94" s="24" t="n"/>
      <c r="B94" s="25" t="n"/>
      <c r="C94" s="25" t="n"/>
      <c r="D94" s="25" t="n"/>
      <c r="E94" s="25" t="n"/>
      <c r="F94" s="25" t="n"/>
      <c r="G94" s="25" t="n"/>
      <c r="H94" s="25" t="n"/>
    </row>
    <row r="95">
      <c r="A95" s="24" t="n"/>
      <c r="B95" s="25" t="n"/>
      <c r="C95" s="25" t="n"/>
      <c r="D95" s="25" t="n"/>
      <c r="E95" s="25" t="n"/>
      <c r="F95" s="25" t="n"/>
      <c r="G95" s="25" t="n"/>
      <c r="H95" s="25" t="n"/>
    </row>
    <row r="96">
      <c r="A96" s="24" t="n"/>
      <c r="B96" s="25" t="n"/>
      <c r="C96" s="25" t="n"/>
      <c r="D96" s="25" t="n"/>
      <c r="E96" s="25" t="n"/>
      <c r="F96" s="25" t="n"/>
      <c r="G96" s="25" t="n"/>
      <c r="H96" s="25" t="n"/>
    </row>
    <row r="97">
      <c r="A97" s="24" t="n"/>
      <c r="B97" s="25" t="n"/>
      <c r="C97" s="25" t="n"/>
      <c r="D97" s="25" t="n"/>
      <c r="E97" s="25" t="n"/>
      <c r="F97" s="25" t="n"/>
      <c r="G97" s="25" t="n"/>
      <c r="H97" s="25" t="n"/>
    </row>
    <row r="98">
      <c r="A98" s="24" t="n"/>
      <c r="B98" s="25" t="n"/>
      <c r="C98" s="25" t="n"/>
      <c r="D98" s="25" t="n"/>
      <c r="E98" s="25" t="n"/>
      <c r="F98" s="25" t="n"/>
      <c r="G98" s="25" t="n"/>
      <c r="H98" s="25" t="n"/>
    </row>
    <row r="99">
      <c r="A99" s="24" t="n"/>
      <c r="B99" s="25" t="n"/>
      <c r="C99" s="25" t="n"/>
      <c r="D99" s="25" t="n"/>
      <c r="E99" s="25" t="n"/>
      <c r="F99" s="25" t="n"/>
      <c r="G99" s="25" t="n"/>
      <c r="H99" s="25" t="n"/>
    </row>
    <row r="100">
      <c r="A100" s="24" t="n"/>
      <c r="B100" s="25" t="n"/>
      <c r="C100" s="25" t="n"/>
      <c r="D100" s="25" t="n"/>
      <c r="E100" s="25" t="n"/>
      <c r="F100" s="25" t="n"/>
      <c r="G100" s="25" t="n"/>
      <c r="H100" s="25" t="n"/>
    </row>
    <row r="101">
      <c r="A101" s="24" t="n"/>
      <c r="B101" s="25" t="n"/>
      <c r="C101" s="25" t="n"/>
      <c r="D101" s="25" t="n"/>
      <c r="E101" s="25" t="n"/>
      <c r="F101" s="25" t="n"/>
      <c r="G101" s="25" t="n"/>
      <c r="H101" s="25" t="n"/>
    </row>
    <row r="102">
      <c r="A102" s="24" t="n"/>
      <c r="B102" s="25" t="n"/>
      <c r="C102" s="25" t="n"/>
      <c r="D102" s="25" t="n"/>
      <c r="E102" s="25" t="n"/>
      <c r="F102" s="25" t="n"/>
      <c r="G102" s="25" t="n"/>
      <c r="H102" s="25" t="n"/>
    </row>
    <row r="103">
      <c r="A103" s="24" t="n"/>
      <c r="B103" s="25" t="n"/>
      <c r="C103" s="25" t="n"/>
      <c r="D103" s="25" t="n"/>
      <c r="E103" s="25" t="n"/>
      <c r="F103" s="25" t="n"/>
      <c r="G103" s="25" t="n"/>
      <c r="H103" s="25" t="n"/>
    </row>
    <row r="104">
      <c r="A104" s="24" t="n"/>
      <c r="B104" s="25" t="n"/>
      <c r="C104" s="25" t="n"/>
      <c r="D104" s="25" t="n"/>
      <c r="E104" s="25" t="n"/>
      <c r="F104" s="25" t="n"/>
      <c r="G104" s="25" t="n"/>
      <c r="H104" s="25" t="n"/>
    </row>
    <row r="105">
      <c r="A105" s="24" t="n"/>
      <c r="B105" s="25" t="n"/>
      <c r="C105" s="25" t="n"/>
      <c r="D105" s="25" t="n"/>
      <c r="E105" s="25" t="n"/>
      <c r="F105" s="25" t="n"/>
      <c r="G105" s="25" t="n"/>
      <c r="H105" s="2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showGridLines="0" workbookViewId="0">
      <pane ySplit="2" topLeftCell="A3" activePane="bottomLeft" state="frozen"/>
      <selection pane="bottomLeft" activeCell="A1" sqref="A1"/>
    </sheetView>
  </sheetViews>
  <sheetFormatPr baseColWidth="8" defaultRowHeight="15"/>
  <cols>
    <col width="30" customWidth="1" min="1" max="1"/>
    <col width="55" customWidth="1" min="2" max="2"/>
    <col width="12" customWidth="1" min="3" max="3"/>
    <col width="12" customWidth="1" min="4" max="4"/>
    <col width="18" customWidth="1" min="5" max="5"/>
    <col width="8" customWidth="1" min="6" max="6"/>
    <col width="12" customWidth="1" min="7" max="7"/>
  </cols>
  <sheetData>
    <row r="1" ht="35" customHeight="1">
      <c r="A1" s="1" t="inlineStr">
        <is>
          <t>RECOVERY SECURITY VERIFICATION — SUMMARY DASHBOARD</t>
        </is>
      </c>
    </row>
    <row r="2">
      <c r="A2" s="12" t="inlineStr">
        <is>
          <t>Compliance summary for security control restoration, emergency access closure, and post-disruption verification</t>
        </is>
      </c>
    </row>
    <row r="3">
      <c r="A3" s="26" t="inlineStr">
        <is>
          <t>TABLE 1: COMPLIANCE OVERVIEW</t>
        </is>
      </c>
    </row>
    <row r="4">
      <c r="A4" s="27" t="inlineStr">
        <is>
          <t>Assessment Area</t>
        </is>
      </c>
      <c r="B4" s="28" t="inlineStr">
        <is>
          <t>Total</t>
        </is>
      </c>
      <c r="C4" s="28" t="inlineStr">
        <is>
          <t>Compliant</t>
        </is>
      </c>
      <c r="D4" s="28" t="inlineStr">
        <is>
          <t>Partial</t>
        </is>
      </c>
      <c r="E4" s="28" t="inlineStr">
        <is>
          <t>Non-Compliant</t>
        </is>
      </c>
      <c r="F4" s="28" t="inlineStr">
        <is>
          <t>N/A</t>
        </is>
      </c>
      <c r="G4" s="28" t="inlineStr">
        <is>
          <t>Compliance %</t>
        </is>
      </c>
    </row>
    <row r="5">
      <c r="A5" s="29" t="inlineStr">
        <is>
          <t>Recovery Checklist</t>
        </is>
      </c>
      <c r="B5" s="30">
        <f>COUNTA('Recovery Checklist'!A4:A63)</f>
        <v/>
      </c>
      <c r="C5" s="30">
        <f>COUNTIF('Recovery Checklist'!F4:F63,"Complete")</f>
        <v/>
      </c>
      <c r="D5" s="30">
        <f>COUNTIF('Recovery Checklist'!F4:F63,"In Progress")</f>
        <v/>
      </c>
      <c r="E5" s="30">
        <f>COUNTIF('Recovery Checklist'!F4:F63,"Not Started")</f>
        <v/>
      </c>
      <c r="F5" s="30">
        <f>COUNTIF('Recovery Checklist'!F4:F63,"N/A")</f>
        <v/>
      </c>
      <c r="G5" s="31">
        <f>IFERROR(IF((B5-F5)=0,0,C5/(B5-F5)),"")</f>
        <v/>
      </c>
    </row>
    <row r="6">
      <c r="A6" s="29" t="inlineStr">
        <is>
          <t>Emergency Access Closure</t>
        </is>
      </c>
      <c r="B6" s="30">
        <f>COUNTA('Emergency Access Closure'!B5:B54)</f>
        <v/>
      </c>
      <c r="C6" s="30">
        <f>COUNTIF('Emergency Access Closure'!M5:M54,"Verified")</f>
        <v/>
      </c>
      <c r="D6" s="30" t="inlineStr">
        <is>
          <t>0</t>
        </is>
      </c>
      <c r="E6" s="30">
        <f>COUNTIF('Emergency Access Closure'!M5:M54,"Pending")</f>
        <v/>
      </c>
      <c r="F6" s="30" t="inlineStr">
        <is>
          <t>0</t>
        </is>
      </c>
      <c r="G6" s="31">
        <f>IFERROR(IF((B6-F6)=0,0,C6/(B6-F6)),"")</f>
        <v/>
      </c>
    </row>
    <row r="7">
      <c r="A7" s="29" t="inlineStr">
        <is>
          <t>Control Validation</t>
        </is>
      </c>
      <c r="B7" s="30">
        <f>COUNTA('Control Validation'!B5:B54)</f>
        <v/>
      </c>
      <c r="C7" s="30">
        <f>COUNTIF('Control Validation'!E5:E54,"Operational")</f>
        <v/>
      </c>
      <c r="D7" s="30">
        <f>COUNTIF('Control Validation'!E5:E54,"Partial")</f>
        <v/>
      </c>
      <c r="E7" s="30">
        <f>COUNTIF('Control Validation'!E5:E54,"Not Operational")</f>
        <v/>
      </c>
      <c r="F7" s="30" t="inlineStr">
        <is>
          <t>0</t>
        </is>
      </c>
      <c r="G7" s="31">
        <f>IFERROR(IF((B7-F7)=0,0,C7/(B7-F7)),"")</f>
        <v/>
      </c>
    </row>
    <row r="8">
      <c r="A8" s="29" t="inlineStr">
        <is>
          <t>Anomaly Detection</t>
        </is>
      </c>
      <c r="B8" s="30">
        <f>COUNTA('Anomaly Detection'!B5:B54)</f>
        <v/>
      </c>
      <c r="C8" s="30">
        <f>COUNTIF('Anomaly Detection'!H5:H54,"Closed - False Positive")+COUNTIF('Anomaly Detection'!H5:H54,"Closed - Confirmed")</f>
        <v/>
      </c>
      <c r="D8" s="30">
        <f>COUNTIF('Anomaly Detection'!H5:H54,"Investigating")</f>
        <v/>
      </c>
      <c r="E8" s="30">
        <f>COUNTIF('Anomaly Detection'!H5:H54,"Open")</f>
        <v/>
      </c>
      <c r="F8" s="30" t="inlineStr">
        <is>
          <t>0</t>
        </is>
      </c>
      <c r="G8" s="31">
        <f>IFERROR(IF((B8-F8)=0,0,C8/(B8-F8)),"")</f>
        <v/>
      </c>
    </row>
    <row r="9">
      <c r="A9" s="32" t="inlineStr">
        <is>
          <t>TOTAL</t>
        </is>
      </c>
      <c r="B9" s="33">
        <f>SUM(B5:B8)</f>
        <v/>
      </c>
      <c r="C9" s="33">
        <f>SUM(C5:C8)</f>
        <v/>
      </c>
      <c r="D9" s="33">
        <f>SUM(D5:D8)</f>
        <v/>
      </c>
      <c r="E9" s="33">
        <f>SUM(E5:E8)</f>
        <v/>
      </c>
      <c r="F9" s="33">
        <f>SUM(F5:F8)</f>
        <v/>
      </c>
      <c r="G9" s="34">
        <f>IFERROR(IF((B9-F9)=0,0,C9/(B9-F9)),"")</f>
        <v/>
      </c>
    </row>
    <row r="10">
      <c r="A10" s="26" t="inlineStr">
        <is>
          <t>TABLE 2: KEY METRICS</t>
        </is>
      </c>
    </row>
    <row r="11">
      <c r="A11" s="32" t="inlineStr">
        <is>
          <t>Metric</t>
        </is>
      </c>
      <c r="B11" s="33" t="inlineStr">
        <is>
          <t>Value</t>
        </is>
      </c>
      <c r="C11" s="35" t="n"/>
      <c r="D11" s="35" t="n"/>
      <c r="E11" s="35" t="n"/>
      <c r="F11" s="35" t="n"/>
      <c r="G11" s="35" t="n"/>
    </row>
    <row r="12">
      <c r="A12" s="29" t="inlineStr">
        <is>
          <t>Total Recovery Tasks</t>
        </is>
      </c>
      <c r="B12" s="30">
        <f>COUNTA('Recovery Checklist'!A4:A63)</f>
        <v/>
      </c>
      <c r="C12" s="36" t="n"/>
      <c r="D12" s="36" t="n"/>
      <c r="E12" s="36" t="n"/>
      <c r="F12" s="36" t="n"/>
      <c r="G12" s="36" t="n"/>
    </row>
    <row r="13">
      <c r="A13" s="29" t="inlineStr">
        <is>
          <t>Tasks Complete</t>
        </is>
      </c>
      <c r="B13" s="30">
        <f>COUNTIF('Recovery Checklist'!F4:F63,"Complete")</f>
        <v/>
      </c>
      <c r="C13" s="36" t="n"/>
      <c r="D13" s="36" t="n"/>
      <c r="E13" s="36" t="n"/>
      <c r="F13" s="36" t="n"/>
      <c r="G13" s="36" t="n"/>
    </row>
    <row r="14">
      <c r="A14" s="29" t="inlineStr">
        <is>
          <t>Immediate Tasks Complete</t>
        </is>
      </c>
      <c r="B14" s="30">
        <f>COUNTIFS('Recovery Checklist'!B4:B63,"Immediate",'Recovery Checklist'!F4:F63,"Complete")</f>
        <v/>
      </c>
      <c r="C14" s="36" t="n"/>
      <c r="D14" s="36" t="n"/>
      <c r="E14" s="36" t="n"/>
      <c r="F14" s="36" t="n"/>
      <c r="G14" s="36" t="n"/>
    </row>
    <row r="15">
      <c r="A15" s="29" t="inlineStr">
        <is>
          <t>Emergency Accounts Closed</t>
        </is>
      </c>
      <c r="B15" s="30">
        <f>COUNTIF('Emergency Access Closure'!M5:M54,"Verified")</f>
        <v/>
      </c>
      <c r="C15" s="36" t="n"/>
      <c r="D15" s="36" t="n"/>
      <c r="E15" s="36" t="n"/>
      <c r="F15" s="36" t="n"/>
      <c r="G15" s="36" t="n"/>
    </row>
    <row r="16">
      <c r="A16" s="29" t="inlineStr">
        <is>
          <t>Accounts Pending Closure Verification</t>
        </is>
      </c>
      <c r="B16" s="30">
        <f>COUNTIF('Emergency Access Closure'!M5:M54,"Pending")</f>
        <v/>
      </c>
      <c r="C16" s="36" t="n"/>
      <c r="D16" s="36" t="n"/>
      <c r="E16" s="36" t="n"/>
      <c r="F16" s="36" t="n"/>
      <c r="G16" s="36" t="n"/>
    </row>
    <row r="17">
      <c r="A17" s="29" t="inlineStr">
        <is>
          <t>Credentials Rotated Post-Recovery</t>
        </is>
      </c>
      <c r="B17" s="30">
        <f>COUNTIF('Emergency Access Closure'!F5:F54,"Yes")</f>
        <v/>
      </c>
      <c r="C17" s="36" t="n"/>
      <c r="D17" s="36" t="n"/>
      <c r="E17" s="36" t="n"/>
      <c r="F17" s="36" t="n"/>
      <c r="G17" s="36" t="n"/>
    </row>
    <row r="18">
      <c r="A18" s="29" t="inlineStr">
        <is>
          <t>Controls Fully Restored (Operational)</t>
        </is>
      </c>
      <c r="B18" s="30">
        <f>COUNTIF('Control Validation'!E5:E54,"Operational")</f>
        <v/>
      </c>
      <c r="C18" s="36" t="n"/>
      <c r="D18" s="36" t="n"/>
      <c r="E18" s="36" t="n"/>
      <c r="F18" s="36" t="n"/>
      <c r="G18" s="36" t="n"/>
    </row>
    <row r="19">
      <c r="A19" s="29" t="inlineStr">
        <is>
          <t>Controls Still Degraded (Partial)</t>
        </is>
      </c>
      <c r="B19" s="30">
        <f>COUNTIF('Control Validation'!E5:E54,"Partial")</f>
        <v/>
      </c>
      <c r="C19" s="36" t="n"/>
      <c r="D19" s="36" t="n"/>
      <c r="E19" s="36" t="n"/>
      <c r="F19" s="36" t="n"/>
      <c r="G19" s="36" t="n"/>
    </row>
    <row r="20">
      <c r="A20" s="29" t="inlineStr">
        <is>
          <t>Controls Not Yet Restored</t>
        </is>
      </c>
      <c r="B20" s="30">
        <f>COUNTIF('Control Validation'!E5:E54,"Not Operational")</f>
        <v/>
      </c>
      <c r="C20" s="36" t="n"/>
      <c r="D20" s="36" t="n"/>
      <c r="E20" s="36" t="n"/>
      <c r="F20" s="36" t="n"/>
      <c r="G20" s="36" t="n"/>
    </row>
    <row r="21">
      <c r="A21" s="29" t="inlineStr">
        <is>
          <t>Total Anomalies Detected</t>
        </is>
      </c>
      <c r="B21" s="30">
        <f>COUNTA('Anomaly Detection'!B5:B54)</f>
        <v/>
      </c>
      <c r="C21" s="36" t="n"/>
      <c r="D21" s="36" t="n"/>
      <c r="E21" s="36" t="n"/>
      <c r="F21" s="36" t="n"/>
      <c r="G21" s="36" t="n"/>
    </row>
    <row r="22">
      <c r="A22" s="29" t="inlineStr">
        <is>
          <t>Critical/High Severity Anomalies</t>
        </is>
      </c>
      <c r="B22" s="30">
        <f>COUNTIF('Anomaly Detection'!F5:F54,"Critical")+COUNTIF('Anomaly Detection'!F5:F54,"High")</f>
        <v/>
      </c>
      <c r="C22" s="36" t="n"/>
      <c r="D22" s="36" t="n"/>
      <c r="E22" s="36" t="n"/>
      <c r="F22" s="36" t="n"/>
      <c r="G22" s="36" t="n"/>
    </row>
    <row r="23">
      <c r="A23" s="29" t="inlineStr">
        <is>
          <t>Confirmed Anomalies (Real Incidents)</t>
        </is>
      </c>
      <c r="B23" s="30">
        <f>COUNTIF('Anomaly Detection'!H5:H54,"Closed - Confirmed")</f>
        <v/>
      </c>
      <c r="C23" s="36" t="n"/>
      <c r="D23" s="36" t="n"/>
      <c r="E23" s="36" t="n"/>
      <c r="F23" s="36" t="n"/>
      <c r="G23" s="36" t="n"/>
    </row>
    <row r="24">
      <c r="A24" s="29" t="inlineStr">
        <is>
          <t>Open Anomaly Investigations</t>
        </is>
      </c>
      <c r="B24" s="30">
        <f>COUNTIF('Anomaly Detection'!H5:H54,"Open")+COUNTIF('Anomaly Detection'!H5:H54,"Investigating")</f>
        <v/>
      </c>
      <c r="C24" s="36" t="n"/>
      <c r="D24" s="36" t="n"/>
      <c r="E24" s="36" t="n"/>
      <c r="F24" s="36" t="n"/>
      <c r="G24" s="36" t="n"/>
    </row>
    <row r="25">
      <c r="A25" s="29" t="inlineStr">
        <is>
          <t>Security Debt Fully Closed</t>
        </is>
      </c>
      <c r="B25" s="30">
        <f>COUNTIF('Security Debt Closure'!L5:L54,"Closed")</f>
        <v/>
      </c>
      <c r="C25" s="36" t="n"/>
      <c r="D25" s="36" t="n"/>
      <c r="E25" s="36" t="n"/>
      <c r="F25" s="36" t="n"/>
      <c r="G25" s="36" t="n"/>
    </row>
    <row r="26">
      <c r="A26" s="29" t="inlineStr">
        <is>
          <t>Lessons Learned Open Actions</t>
        </is>
      </c>
      <c r="B26" s="30">
        <f>COUNTIF('Lessons Learned'!J5:J54,"Open")</f>
        <v/>
      </c>
      <c r="C26" s="36" t="n"/>
      <c r="D26" s="36" t="n"/>
      <c r="E26" s="36" t="n"/>
      <c r="F26" s="36" t="n"/>
      <c r="G26" s="36" t="n"/>
    </row>
    <row r="27">
      <c r="A27" s="29" t="inlineStr">
        <is>
          <t>Lessons Learned Closed Actions</t>
        </is>
      </c>
      <c r="B27" s="30">
        <f>COUNTIF('Lessons Learned'!J5:J54,"Closed")</f>
        <v/>
      </c>
      <c r="C27" s="36" t="n"/>
      <c r="D27" s="36" t="n"/>
      <c r="E27" s="36" t="n"/>
      <c r="F27" s="36" t="n"/>
      <c r="G27" s="36" t="n"/>
    </row>
    <row r="28">
      <c r="A28" s="36" t="n"/>
      <c r="B28" s="36" t="n"/>
      <c r="C28" s="36" t="n"/>
      <c r="D28" s="36" t="n"/>
      <c r="E28" s="36" t="n"/>
      <c r="F28" s="36" t="n"/>
      <c r="G28" s="36" t="n"/>
    </row>
    <row r="29">
      <c r="A29" s="36" t="n"/>
      <c r="B29" s="36" t="n"/>
      <c r="C29" s="36" t="n"/>
      <c r="D29" s="36" t="n"/>
      <c r="E29" s="36" t="n"/>
      <c r="F29" s="36" t="n"/>
      <c r="G29" s="36" t="n"/>
    </row>
    <row r="30">
      <c r="A30" s="37" t="inlineStr">
        <is>
          <t>TABLE 3: CRITICAL FINDINGS REQUIRING IMMEDIATE ATTENTION</t>
        </is>
      </c>
    </row>
    <row r="31">
      <c r="A31" s="32" t="inlineStr">
        <is>
          <t>Category</t>
        </is>
      </c>
      <c r="B31" s="33" t="inlineStr">
        <is>
          <t>Finding</t>
        </is>
      </c>
      <c r="C31" s="33" t="inlineStr">
        <is>
          <t>Count</t>
        </is>
      </c>
      <c r="D31" s="33" t="inlineStr">
        <is>
          <t>Severity</t>
        </is>
      </c>
      <c r="E31" s="33" t="inlineStr">
        <is>
          <t>Action Required</t>
        </is>
      </c>
      <c r="F31" s="33" t="inlineStr"/>
      <c r="G31" s="33" t="inlineStr"/>
    </row>
    <row r="32">
      <c r="A32" s="38" t="inlineStr">
        <is>
          <t>Emergency Access Closure</t>
        </is>
      </c>
      <c r="B32" s="39" t="inlineStr">
        <is>
          <t>Emergency accounts pending closure verification</t>
        </is>
      </c>
      <c r="C32" s="40">
        <f>COUNTIF('Emergency Access Closure'!M5:M54,"Pending")</f>
        <v/>
      </c>
      <c r="D32" s="40" t="inlineStr">
        <is>
          <t>Critical</t>
        </is>
      </c>
      <c r="E32" s="40" t="inlineStr">
        <is>
          <t>Immediate</t>
        </is>
      </c>
      <c r="F32" s="40" t="inlineStr"/>
      <c r="G32" s="40" t="inlineStr"/>
    </row>
    <row r="33">
      <c r="A33" s="38" t="inlineStr">
        <is>
          <t>Emergency Access Closure</t>
        </is>
      </c>
      <c r="B33" s="39" t="inlineStr">
        <is>
          <t>Credentials not rotated post-activation</t>
        </is>
      </c>
      <c r="C33" s="40">
        <f>COUNTIF('Emergency Access Closure'!F5:F54,"No")</f>
        <v/>
      </c>
      <c r="D33" s="40" t="inlineStr">
        <is>
          <t>Critical</t>
        </is>
      </c>
      <c r="E33" s="40" t="inlineStr">
        <is>
          <t>Immediate</t>
        </is>
      </c>
      <c r="F33" s="40" t="inlineStr"/>
      <c r="G33" s="40" t="inlineStr"/>
    </row>
    <row r="34">
      <c r="A34" s="38" t="inlineStr">
        <is>
          <t>Control Validation</t>
        </is>
      </c>
      <c r="B34" s="39" t="inlineStr">
        <is>
          <t>Security controls still not restored post-recovery</t>
        </is>
      </c>
      <c r="C34" s="40">
        <f>COUNTIF('Control Validation'!E5:E54,"Not Operational")</f>
        <v/>
      </c>
      <c r="D34" s="40" t="inlineStr">
        <is>
          <t>Critical</t>
        </is>
      </c>
      <c r="E34" s="40" t="inlineStr">
        <is>
          <t>Immediate</t>
        </is>
      </c>
      <c r="F34" s="40" t="inlineStr"/>
      <c r="G34" s="40" t="inlineStr"/>
    </row>
    <row r="35">
      <c r="A35" s="38" t="inlineStr">
        <is>
          <t>Control Validation</t>
        </is>
      </c>
      <c r="B35" s="39" t="inlineStr">
        <is>
          <t>Controls still in partial restoration state</t>
        </is>
      </c>
      <c r="C35" s="40">
        <f>COUNTIF('Control Validation'!E5:E54,"Partial")</f>
        <v/>
      </c>
      <c r="D35" s="40" t="inlineStr">
        <is>
          <t>High</t>
        </is>
      </c>
      <c r="E35" s="40" t="inlineStr">
        <is>
          <t>Urgent</t>
        </is>
      </c>
      <c r="F35" s="40" t="inlineStr"/>
      <c r="G35" s="40" t="inlineStr"/>
    </row>
    <row r="36">
      <c r="A36" s="38" t="inlineStr">
        <is>
          <t>Anomaly Detection</t>
        </is>
      </c>
      <c r="B36" s="39" t="inlineStr">
        <is>
          <t>Critical severity anomalies requiring investigation</t>
        </is>
      </c>
      <c r="C36" s="40">
        <f>COUNTIF('Anomaly Detection'!F5:F54,"Critical")</f>
        <v/>
      </c>
      <c r="D36" s="40" t="inlineStr">
        <is>
          <t>Critical</t>
        </is>
      </c>
      <c r="E36" s="40" t="inlineStr">
        <is>
          <t>Immediate</t>
        </is>
      </c>
      <c r="F36" s="40" t="inlineStr"/>
      <c r="G36" s="40" t="inlineStr"/>
    </row>
    <row r="37">
      <c r="A37" s="38" t="inlineStr">
        <is>
          <t>Anomaly Detection</t>
        </is>
      </c>
      <c r="B37" s="39" t="inlineStr">
        <is>
          <t>High severity anomalies requiring investigation</t>
        </is>
      </c>
      <c r="C37" s="40">
        <f>COUNTIF('Anomaly Detection'!F5:F54,"High")</f>
        <v/>
      </c>
      <c r="D37" s="40" t="inlineStr">
        <is>
          <t>High</t>
        </is>
      </c>
      <c r="E37" s="40" t="inlineStr">
        <is>
          <t>Urgent</t>
        </is>
      </c>
      <c r="F37" s="40" t="inlineStr"/>
      <c r="G37" s="40" t="inlineStr"/>
    </row>
    <row r="38">
      <c r="A38" s="38" t="inlineStr">
        <is>
          <t>Anomaly Detection</t>
        </is>
      </c>
      <c r="B38" s="39" t="inlineStr">
        <is>
          <t>Open anomaly investigations (unresolved)</t>
        </is>
      </c>
      <c r="C38" s="40">
        <f>COUNTIF('Anomaly Detection'!H5:H54,"Open")+COUNTIF('Anomaly Detection'!H5:H54,"Investigating")</f>
        <v/>
      </c>
      <c r="D38" s="40" t="inlineStr">
        <is>
          <t>High</t>
        </is>
      </c>
      <c r="E38" s="40" t="inlineStr">
        <is>
          <t>Urgent</t>
        </is>
      </c>
      <c r="F38" s="40" t="inlineStr"/>
      <c r="G38" s="40" t="inlineStr"/>
    </row>
    <row r="39">
      <c r="A39" s="38" t="inlineStr">
        <is>
          <t>Security Debt Closure</t>
        </is>
      </c>
      <c r="B39" s="39" t="inlineStr">
        <is>
          <t>Security debt items still pending closure</t>
        </is>
      </c>
      <c r="C39" s="40">
        <f>COUNTIF('Security Debt Closure'!L5:L54,"Pending")</f>
        <v/>
      </c>
      <c r="D39" s="40" t="inlineStr">
        <is>
          <t>Medium</t>
        </is>
      </c>
      <c r="E39" s="40" t="inlineStr">
        <is>
          <t>Plan</t>
        </is>
      </c>
      <c r="F39" s="40" t="inlineStr"/>
      <c r="G39" s="40" t="inlineStr"/>
    </row>
    <row r="40">
      <c r="A40" s="38" t="inlineStr">
        <is>
          <t>Lessons Learned</t>
        </is>
      </c>
      <c r="B40" s="39" t="inlineStr">
        <is>
          <t>Open improvement actions not yet addressed</t>
        </is>
      </c>
      <c r="C40" s="40">
        <f>COUNTIF('Lessons Learned'!J5:J54,"Open")</f>
        <v/>
      </c>
      <c r="D40" s="40" t="inlineStr">
        <is>
          <t>Medium</t>
        </is>
      </c>
      <c r="E40" s="40" t="inlineStr">
        <is>
          <t>Plan</t>
        </is>
      </c>
      <c r="F40" s="40" t="inlineStr"/>
      <c r="G40" s="40" t="inlineStr"/>
    </row>
    <row r="41">
      <c r="A41" s="4" t="n"/>
      <c r="B41" s="4" t="n"/>
      <c r="C41" s="4" t="n"/>
      <c r="D41" s="4" t="n"/>
      <c r="E41" s="4" t="n"/>
      <c r="F41" s="4" t="n"/>
      <c r="G41" s="4" t="n"/>
    </row>
    <row r="42">
      <c r="A42" s="4" t="n"/>
      <c r="B42" s="4" t="n"/>
      <c r="C42" s="4" t="n"/>
      <c r="D42" s="4" t="n"/>
      <c r="E42" s="4" t="n"/>
      <c r="F42" s="4" t="n"/>
      <c r="G42" s="4" t="n"/>
    </row>
  </sheetData>
  <mergeCells count="5">
    <mergeCell ref="A1:G1"/>
    <mergeCell ref="A3:G3"/>
    <mergeCell ref="A30:G30"/>
    <mergeCell ref="A2:G2"/>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9" t="inlineStr">
        <is>
          <t>RECOVERY SECURITY VERIFICATION — ASSESSMENT APPROVAL AND SIGN-OFF</t>
        </is>
      </c>
      <c r="B1" s="6" t="n"/>
      <c r="C1" s="6" t="n"/>
      <c r="D1" s="6" t="n"/>
      <c r="E1" s="6" t="n"/>
    </row>
    <row r="2">
      <c r="A2" s="41" t="inlineStr">
        <is>
          <t>ISO/IEC 27001:2022 - Control A.5.29: Information Security During Disruption</t>
        </is>
      </c>
      <c r="B2" s="6" t="n"/>
      <c r="C2" s="6" t="n"/>
      <c r="D2" s="6" t="n"/>
      <c r="E2" s="6" t="n"/>
    </row>
    <row r="3">
      <c r="A3" s="42" t="inlineStr">
        <is>
          <t>ASSESSMENT SUMMARY</t>
        </is>
      </c>
      <c r="B3" s="6" t="n"/>
      <c r="C3" s="6" t="n"/>
      <c r="D3" s="6" t="n"/>
      <c r="E3" s="6" t="n"/>
    </row>
    <row r="4">
      <c r="A4" s="43" t="inlineStr">
        <is>
          <t>Document:</t>
        </is>
      </c>
      <c r="B4" s="6" t="inlineStr">
        <is>
          <t>ISMS-IMP-A.5.29.3 — Recovery Security Verification</t>
        </is>
      </c>
      <c r="C4" s="6" t="n"/>
      <c r="D4" s="6" t="n"/>
      <c r="E4" s="6" t="n"/>
    </row>
    <row r="5">
      <c r="A5" s="43" t="inlineStr">
        <is>
          <t>Assessment Period:</t>
        </is>
      </c>
      <c r="B5" s="18" t="inlineStr"/>
      <c r="C5" s="6" t="n"/>
      <c r="D5" s="6" t="n"/>
      <c r="E5" s="6" t="n"/>
    </row>
    <row r="6">
      <c r="A6" s="43" t="inlineStr">
        <is>
          <t>Overall Compliance Rating:</t>
        </is>
      </c>
      <c r="B6" s="44">
        <f>IFERROR(AVERAGE('Summary Dashboard'!G6:G8),"")</f>
        <v/>
      </c>
      <c r="C6" s="6" t="n"/>
      <c r="D6" s="6" t="n"/>
      <c r="E6" s="6" t="n"/>
    </row>
    <row r="7">
      <c r="A7" s="43" t="inlineStr">
        <is>
          <t>Assessment Status:</t>
        </is>
      </c>
      <c r="B7" s="18" t="inlineStr"/>
      <c r="C7" s="6" t="n"/>
      <c r="D7" s="6" t="n"/>
      <c r="E7" s="6" t="n"/>
    </row>
    <row r="8">
      <c r="A8" s="43" t="inlineStr">
        <is>
          <t>Assessed By:</t>
        </is>
      </c>
      <c r="B8" s="18" t="inlineStr"/>
      <c r="C8" s="6" t="n"/>
      <c r="D8" s="6" t="n"/>
      <c r="E8" s="6" t="n"/>
    </row>
    <row r="9">
      <c r="A9" s="6" t="n"/>
    </row>
    <row r="10">
      <c r="A10" s="42" t="inlineStr">
        <is>
          <t>ASSESSMENT REVIEW AND APPROVAL</t>
        </is>
      </c>
    </row>
    <row r="11">
      <c r="A11" s="45" t="inlineStr">
        <is>
          <t>Role / Function</t>
        </is>
      </c>
      <c r="B11" s="45" t="inlineStr">
        <is>
          <t>Name</t>
        </is>
      </c>
      <c r="C11" s="45" t="inlineStr">
        <is>
          <t>Signature / Initials</t>
        </is>
      </c>
      <c r="D11" s="45" t="inlineStr">
        <is>
          <t>Date (DD.MM.YYYY)</t>
        </is>
      </c>
      <c r="E11" s="45" t="inlineStr">
        <is>
          <t>Comments</t>
        </is>
      </c>
    </row>
    <row r="12">
      <c r="A12" s="46" t="inlineStr">
        <is>
          <t>Lead Assessor / Author</t>
        </is>
      </c>
      <c r="B12" s="18" t="n"/>
      <c r="C12" s="18" t="n"/>
      <c r="D12" s="18" t="n"/>
      <c r="E12" s="18" t="n"/>
    </row>
    <row r="13">
      <c r="A13" s="46" t="inlineStr">
        <is>
          <t>IT Security Manager</t>
        </is>
      </c>
      <c r="B13" s="18" t="n"/>
      <c r="C13" s="18" t="n"/>
      <c r="D13" s="18" t="n"/>
      <c r="E13" s="18" t="n"/>
    </row>
    <row r="14">
      <c r="A14" s="46" t="inlineStr">
        <is>
          <t>Reviewer (Technical / Compliance)</t>
        </is>
      </c>
      <c r="B14" s="18" t="n"/>
      <c r="C14" s="18" t="n"/>
      <c r="D14" s="18" t="n"/>
      <c r="E14" s="18" t="n"/>
    </row>
    <row r="15">
      <c r="A15" s="46" t="inlineStr">
        <is>
          <t>CISO / Final Approver</t>
        </is>
      </c>
      <c r="B15" s="18" t="n"/>
      <c r="C15" s="18" t="n"/>
      <c r="D15" s="18" t="n"/>
      <c r="E15" s="18" t="n"/>
    </row>
    <row r="16">
      <c r="A16" s="6" t="n"/>
    </row>
    <row r="17">
      <c r="A17" s="47" t="inlineStr">
        <is>
          <t>FINAL DECISION:</t>
        </is>
      </c>
      <c r="B17" s="48" t="inlineStr">
        <is>
          <t>☐ Approved     ☐ Approved with Conditions     ☐ Rejected     ☐ Deferred</t>
        </is>
      </c>
      <c r="C17" s="6" t="n"/>
      <c r="D17" s="6" t="n"/>
      <c r="E17" s="6" t="n"/>
    </row>
    <row r="18">
      <c r="A18" s="6" t="n"/>
    </row>
    <row r="19">
      <c r="A19" s="42" t="inlineStr">
        <is>
          <t>NEXT REVIEW DETAILS</t>
        </is>
      </c>
    </row>
    <row r="20">
      <c r="A20" s="49" t="inlineStr">
        <is>
          <t>Next Review Date (DD.MM.YYYY)</t>
        </is>
      </c>
      <c r="B20" s="18" t="n"/>
    </row>
    <row r="21">
      <c r="A21" s="49" t="inlineStr">
        <is>
          <t>Review Owner</t>
        </is>
      </c>
      <c r="B21" s="18"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ISMS-IMP-A.5.29.3 — Recovery Security Verification</dc:title>
  <dc:description xmlns:dc="http://purl.org/dc/elements/1.1/">ISMS Implementation Workbook — ISMS-IMP-A.5.29.3</dc:description>
  <dc:subject xmlns:dc="http://purl.org/dc/elements/1.1/">ISO/IEC 27001:2022 — Control A.5.29: Information Security During Disruption</dc:subject>
  <dcterms:created xmlns:dcterms="http://purl.org/dc/terms/" xmlns:xsi="http://www.w3.org/2001/XMLSchema-instance" xsi:type="dcterms:W3CDTF">2026-03-07T11:27:30Z</dcterms:created>
  <dcterms:modified xmlns:dcterms="http://purl.org/dc/terms/" xmlns:xsi="http://www.w3.org/2001/XMLSchema-instance" xsi:type="dcterms:W3CDTF">2026-03-07T11:27:30Z</dcterms:modified>
</cp:coreProperties>
</file>