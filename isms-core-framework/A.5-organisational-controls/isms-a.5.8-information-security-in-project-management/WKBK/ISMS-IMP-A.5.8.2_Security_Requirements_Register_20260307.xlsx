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quirements Register" sheetId="2" state="visible" r:id="rId2"/>
    <sheet xmlns:r="http://schemas.openxmlformats.org/officeDocument/2006/relationships" name="App Security Examples" sheetId="3" state="visible" r:id="rId3"/>
    <sheet xmlns:r="http://schemas.openxmlformats.org/officeDocument/2006/relationships" name="Data Protection Examples" sheetId="4" state="visible" r:id="rId4"/>
    <sheet xmlns:r="http://schemas.openxmlformats.org/officeDocument/2006/relationships" name="Access Control Examples" sheetId="5" state="visible" r:id="rId5"/>
    <sheet xmlns:r="http://schemas.openxmlformats.org/officeDocument/2006/relationships" name="Infrastructure Examples" sheetId="6" state="visible" r:id="rId6"/>
    <sheet xmlns:r="http://schemas.openxmlformats.org/officeDocument/2006/relationships" name="Third-Party Examples" sheetId="7" state="visible" r:id="rId7"/>
    <sheet xmlns:r="http://schemas.openxmlformats.org/officeDocument/2006/relationships" name="Compliance Examples" sheetId="8" state="visible" r:id="rId8"/>
    <sheet xmlns:r="http://schemas.openxmlformats.org/officeDocument/2006/relationships" name="Traceability Matrix" sheetId="9" state="visible" r:id="rId9"/>
    <sheet xmlns:r="http://schemas.openxmlformats.org/officeDocument/2006/relationships" name="Verification Checklist" sheetId="10" state="visible" r:id="rId10"/>
    <sheet xmlns:r="http://schemas.openxmlformats.org/officeDocument/2006/relationships" name="Gap Analysis" sheetId="11" state="visible" r:id="rId11"/>
    <sheet xmlns:r="http://schemas.openxmlformats.org/officeDocument/2006/relationships" name="Evidence Register" sheetId="12" state="visible" r:id="rId12"/>
    <sheet xmlns:r="http://schemas.openxmlformats.org/officeDocument/2006/relationships" name="Summary Dashboard" sheetId="13" state="visible" r:id="rId13"/>
    <sheet xmlns:r="http://schemas.openxmlformats.org/officeDocument/2006/relationships" name="Approval Sign-Off" sheetId="14" state="visible" r:id="rId14"/>
  </sheets>
  <definedNames/>
  <calcPr calcId="124519" fullCalcOnLoad="1"/>
</workbook>
</file>

<file path=xl/styles.xml><?xml version="1.0" encoding="utf-8"?>
<styleSheet xmlns="http://schemas.openxmlformats.org/spreadsheetml/2006/main">
  <numFmts count="3">
    <numFmt numFmtId="164" formatCode="DD.MM.YYYY"/>
    <numFmt numFmtId="165" formatCode="0.0"/>
    <numFmt numFmtId="166"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i val="1"/>
      <color rgb="00003366"/>
      <sz val="10"/>
    </font>
    <font>
      <name val="Calibri"/>
      <b val="1"/>
      <color rgb="00003366"/>
      <sz val="11"/>
    </font>
    <font>
      <i val="1"/>
      <color rgb="00808080"/>
    </font>
    <font>
      <name val="Calibri"/>
      <i val="1"/>
      <sz val="10"/>
    </font>
    <font>
      <name val="Calibri"/>
      <b val="1"/>
      <color rgb="00FFFFFF"/>
      <sz val="10"/>
    </font>
    <font>
      <name val="Calibri"/>
      <i val="1"/>
      <color rgb="00808080"/>
      <sz val="10"/>
    </font>
    <font>
      <name val="Calibri"/>
      <b val="1"/>
      <color rgb="00FFFFFF"/>
      <sz val="11"/>
    </font>
    <font>
      <name val="Calibri"/>
      <b val="1"/>
      <color rgb="00000000"/>
      <sz val="10"/>
    </font>
    <font>
      <name val="Calibri"/>
      <b val="1"/>
      <color rgb="00003366"/>
      <sz val="10"/>
    </font>
    <font>
      <name val="Calibri"/>
      <sz val="10"/>
    </font>
    <font>
      <name val="Calibri"/>
      <b val="1"/>
      <sz val="11"/>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0" borderId="0" applyAlignment="1" pivotButton="0" quotePrefix="0" xfId="0">
      <alignment horizontal="left" vertical="center"/>
    </xf>
    <xf numFmtId="0" fontId="7" fillId="9" borderId="1" applyAlignment="1" pivotButton="0" quotePrefix="0" xfId="0">
      <alignment horizontal="center" vertical="center" wrapText="1"/>
    </xf>
    <xf numFmtId="0" fontId="8" fillId="10" borderId="1" applyAlignment="1" pivotButton="0" quotePrefix="0" xfId="0">
      <alignment vertical="top" wrapText="1"/>
    </xf>
    <xf numFmtId="164" fontId="8" fillId="10" borderId="1" applyAlignment="1" pivotButton="0" quotePrefix="0" xfId="0">
      <alignment vertical="top" wrapText="1"/>
    </xf>
    <xf numFmtId="0" fontId="0" fillId="11" borderId="1" pivotButton="0" quotePrefix="0" xfId="0"/>
    <xf numFmtId="164" fontId="0" fillId="11" borderId="1" pivotButton="0" quotePrefix="0" xfId="0"/>
    <xf numFmtId="0" fontId="7" fillId="9" borderId="1" pivotButton="0" quotePrefix="0" xfId="0"/>
    <xf numFmtId="0" fontId="0" fillId="0" borderId="1" applyAlignment="1" pivotButton="0" quotePrefix="0" xfId="0">
      <alignment wrapText="1"/>
    </xf>
    <xf numFmtId="0" fontId="1" fillId="8" borderId="1" applyAlignment="1" pivotButton="0" quotePrefix="0" xfId="0">
      <alignment horizontal="center" vertical="center"/>
    </xf>
    <xf numFmtId="0" fontId="9" fillId="0" borderId="1" applyAlignment="1" pivotButton="0" quotePrefix="0" xfId="0">
      <alignment horizontal="center" vertical="center"/>
    </xf>
    <xf numFmtId="0" fontId="10" fillId="8" borderId="1" applyAlignment="1" pivotButton="0" quotePrefix="0" xfId="0">
      <alignment horizontal="center" vertical="center" wrapText="1"/>
    </xf>
    <xf numFmtId="0" fontId="11" fillId="10" borderId="1" pivotButton="0" quotePrefix="0" xfId="0"/>
    <xf numFmtId="0" fontId="0" fillId="11" borderId="1" applyAlignment="1" pivotButton="0" quotePrefix="0" xfId="0">
      <alignment vertical="center"/>
    </xf>
    <xf numFmtId="0" fontId="6" fillId="0" borderId="1" applyAlignment="1" pivotButton="0" quotePrefix="0" xfId="0">
      <alignment horizontal="left" vertical="center"/>
    </xf>
    <xf numFmtId="0" fontId="12" fillId="8" borderId="1" applyAlignment="1" pivotButton="0" quotePrefix="0" xfId="0">
      <alignment horizontal="center" vertical="center"/>
    </xf>
    <xf numFmtId="0" fontId="13" fillId="9" borderId="1" applyAlignment="1" pivotButton="0" quotePrefix="0" xfId="0">
      <alignment horizontal="center" vertical="center" wrapText="1"/>
    </xf>
    <xf numFmtId="0" fontId="0" fillId="11" borderId="1" applyAlignment="1" pivotButton="0" quotePrefix="0" xfId="0">
      <alignment horizontal="left" vertical="center"/>
    </xf>
    <xf numFmtId="165" fontId="0" fillId="11" borderId="1" applyAlignment="1" pivotButton="0" quotePrefix="0" xfId="0">
      <alignment horizontal="left" vertical="center"/>
    </xf>
    <xf numFmtId="0" fontId="3" fillId="9" borderId="1" applyAlignment="1" pivotButton="0" quotePrefix="0" xfId="0">
      <alignment horizontal="left" vertical="center"/>
    </xf>
    <xf numFmtId="165" fontId="3" fillId="9" borderId="1" applyAlignment="1" pivotButton="0" quotePrefix="0" xfId="0">
      <alignment horizontal="left" vertical="center"/>
    </xf>
    <xf numFmtId="0" fontId="13" fillId="9" borderId="1" applyAlignment="1" pivotButton="0" quotePrefix="0" xfId="0">
      <alignment horizontal="center" vertical="center"/>
    </xf>
    <xf numFmtId="0" fontId="12" fillId="12" borderId="1" applyAlignment="1" pivotButton="0" quotePrefix="0" xfId="0">
      <alignment horizontal="center" vertical="center"/>
    </xf>
    <xf numFmtId="0" fontId="0" fillId="13" borderId="1" applyAlignment="1" pivotButton="0" quotePrefix="0" xfId="0">
      <alignment horizontal="left" vertical="center"/>
    </xf>
    <xf numFmtId="0" fontId="0" fillId="14" borderId="1" applyAlignment="1" pivotButton="0" quotePrefix="0" xfId="0">
      <alignment horizontal="left" vertical="center"/>
    </xf>
    <xf numFmtId="0" fontId="12" fillId="15" borderId="1" applyAlignment="1" pivotButton="0" quotePrefix="0" xfId="0">
      <alignment horizontal="center" vertical="center"/>
    </xf>
    <xf numFmtId="0" fontId="14" fillId="9" borderId="1" applyAlignment="1" pivotButton="0" quotePrefix="0" xfId="0">
      <alignment horizontal="center" vertical="center" wrapText="1"/>
    </xf>
    <xf numFmtId="0" fontId="15" fillId="11" borderId="1" pivotButton="0" quotePrefix="0" xfId="0"/>
    <xf numFmtId="166" fontId="0" fillId="11" borderId="1" pivotButton="0" quotePrefix="0" xfId="0"/>
    <xf numFmtId="0" fontId="16" fillId="0" borderId="1" pivotButton="0" quotePrefix="0" xfId="0"/>
    <xf numFmtId="0" fontId="0" fillId="11" borderId="1" applyAlignment="1" pivotButton="0" quotePrefix="0" xfId="0">
      <alignment horizontal="center" vertical="center"/>
    </xf>
    <xf numFmtId="0" fontId="14"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ISMS-IMP-A.5.8.2  -  Security Requirements Register
ISO/IEC 27001:2022 - Control A.5.8: Information Security in Project Management</t>
        </is>
      </c>
    </row>
    <row r="3">
      <c r="A3" s="2" t="inlineStr">
        <is>
          <t>Document Information</t>
        </is>
      </c>
    </row>
    <row r="4">
      <c r="A4" s="3" t="inlineStr">
        <is>
          <t>Document ID</t>
        </is>
      </c>
      <c r="B4" t="inlineStr">
        <is>
          <t>ISMS-IMP-A.5.8.2</t>
        </is>
      </c>
    </row>
    <row r="5">
      <c r="A5" s="3" t="inlineStr">
        <is>
          <t>Workbook Title</t>
        </is>
      </c>
      <c r="B5" t="inlineStr">
        <is>
          <t>Security Requirements Register</t>
        </is>
      </c>
    </row>
    <row r="6">
      <c r="A6" s="3" t="inlineStr">
        <is>
          <t>Control Reference</t>
        </is>
      </c>
      <c r="B6" t="inlineStr">
        <is>
          <t>ISO/IEC 27001:2022 - Control A.5.8: Information Security in Project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example requirements in Category sheets (Sheets 3–8).</t>
        </is>
      </c>
    </row>
    <row r="14">
      <c r="A14" t="inlineStr">
        <is>
          <t>2. Document all requirements in Requirements Register (Sheet 2).</t>
        </is>
      </c>
    </row>
    <row r="15">
      <c r="A15" t="inlineStr">
        <is>
          <t>3. Assign priorities: Must Have / Should Have / Nice to Have.</t>
        </is>
      </c>
    </row>
    <row r="16">
      <c r="A16" t="inlineStr">
        <is>
          <t>4. Track implementation status through lifecycle.</t>
        </is>
      </c>
    </row>
    <row r="17">
      <c r="A17" t="inlineStr">
        <is>
          <t>5. Update Traceability Matrix linking requirements to tests.</t>
        </is>
      </c>
    </row>
    <row r="18">
      <c r="A18" t="inlineStr">
        <is>
          <t>6. Complete Verification Checklist for testing tracking.</t>
        </is>
      </c>
    </row>
    <row r="19">
      <c r="A19" t="inlineStr">
        <is>
          <t>7. Conduct Gap Analysis for unimplemented requirements.</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15" customWidth="1" min="5" max="5"/>
    <col width="40" customWidth="1" min="6" max="6"/>
    <col width="18" customWidth="1" min="7" max="7"/>
    <col width="20" customWidth="1" min="8" max="8"/>
    <col width="12" customWidth="1" min="9" max="9"/>
    <col width="20" customWidth="1" min="10" max="10"/>
    <col width="12" customWidth="1" min="11" max="11"/>
    <col width="40" customWidth="1" min="12" max="12"/>
    <col width="30" customWidth="1" min="13" max="13"/>
  </cols>
  <sheetData>
    <row r="1" ht="35" customHeight="1">
      <c r="A1" s="11" t="inlineStr">
        <is>
          <t>SECURITY REQUIREMENTS REGISTER</t>
        </is>
      </c>
    </row>
    <row r="2">
      <c r="A2" s="12" t="inlineStr">
        <is>
          <t>ISO/IEC 27001:2022 - Control A.5.8: Information Security in Project Management — Track security requirements from identification through to verified implementation</t>
        </is>
      </c>
    </row>
    <row r="3">
      <c r="A3" s="13" t="inlineStr">
        <is>
          <t>ID</t>
        </is>
      </c>
      <c r="B3" s="13" t="inlineStr">
        <is>
          <t>Category</t>
        </is>
      </c>
      <c r="C3" s="13" t="inlineStr">
        <is>
          <t>Requirement Statement</t>
        </is>
      </c>
      <c r="D3" s="13" t="inlineStr">
        <is>
          <t>Source</t>
        </is>
      </c>
      <c r="E3" s="13" t="inlineStr">
        <is>
          <t>Priority</t>
        </is>
      </c>
      <c r="F3" s="13" t="inlineStr">
        <is>
          <t>Acceptance Criteria</t>
        </is>
      </c>
      <c r="G3" s="13" t="inlineStr">
        <is>
          <t>Impl Status</t>
        </is>
      </c>
      <c r="H3" s="13" t="inlineStr">
        <is>
          <t>Assigned To</t>
        </is>
      </c>
      <c r="I3" s="13" t="inlineStr">
        <is>
          <t>Target Date</t>
        </is>
      </c>
      <c r="J3" s="13" t="inlineStr">
        <is>
          <t>Verification</t>
        </is>
      </c>
      <c r="K3" s="13" t="inlineStr">
        <is>
          <t>Test Status</t>
        </is>
      </c>
      <c r="L3" s="13" t="inlineStr">
        <is>
          <t>Evidence</t>
        </is>
      </c>
      <c r="M3" s="13" t="inlineStr">
        <is>
          <t>Notes</t>
        </is>
      </c>
    </row>
    <row r="4">
      <c r="A4" s="14" t="inlineStr">
        <is>
          <t>REQ-001</t>
        </is>
      </c>
      <c r="B4" s="14" t="inlineStr">
        <is>
          <t>Application Security</t>
        </is>
      </c>
      <c r="C4" s="14" t="inlineStr">
        <is>
          <t>System shall implement input validation for all user inputs using allowlist approach</t>
        </is>
      </c>
      <c r="D4" s="14" t="inlineStr">
        <is>
          <t>ISO 27001 A.8.24</t>
        </is>
      </c>
      <c r="E4" s="14" t="inlineStr">
        <is>
          <t>Must Have</t>
        </is>
      </c>
      <c r="F4" s="14" t="inlineStr">
        <is>
          <t>All inputs validated; SQL injection test passes</t>
        </is>
      </c>
      <c r="G4" s="14" t="inlineStr">
        <is>
          <t>Not Started</t>
        </is>
      </c>
      <c r="H4" s="14" t="inlineStr">
        <is>
          <t>Development Team</t>
        </is>
      </c>
      <c r="I4" s="15" t="inlineStr"/>
      <c r="J4" s="14" t="inlineStr">
        <is>
          <t>SAST</t>
        </is>
      </c>
      <c r="K4" s="14" t="inlineStr">
        <is>
          <t>Not Tested</t>
        </is>
      </c>
      <c r="L4" s="14" t="inlineStr"/>
      <c r="M4" s="14" t="inlineStr"/>
    </row>
    <row r="5">
      <c r="A5" s="16" t="n"/>
      <c r="B5" s="16" t="n"/>
      <c r="C5" s="16" t="n"/>
      <c r="D5" s="16" t="n"/>
      <c r="E5" s="16" t="n"/>
      <c r="F5" s="16" t="n"/>
      <c r="G5" s="16" t="n"/>
      <c r="H5" s="16" t="n"/>
      <c r="I5" s="17" t="n"/>
      <c r="J5" s="16" t="n"/>
      <c r="K5" s="16" t="n"/>
      <c r="L5" s="16" t="n"/>
      <c r="M5" s="16" t="n"/>
    </row>
    <row r="6">
      <c r="A6" s="16" t="n"/>
      <c r="B6" s="16" t="n"/>
      <c r="C6" s="16" t="n"/>
      <c r="D6" s="16" t="n"/>
      <c r="E6" s="16" t="n"/>
      <c r="F6" s="16" t="n"/>
      <c r="G6" s="16" t="n"/>
      <c r="H6" s="16" t="n"/>
      <c r="I6" s="17" t="n"/>
      <c r="J6" s="16" t="n"/>
      <c r="K6" s="16" t="n"/>
      <c r="L6" s="16" t="n"/>
      <c r="M6" s="16" t="n"/>
    </row>
    <row r="7">
      <c r="A7" s="16" t="n"/>
      <c r="B7" s="16" t="n"/>
      <c r="C7" s="16" t="n"/>
      <c r="D7" s="16" t="n"/>
      <c r="E7" s="16" t="n"/>
      <c r="F7" s="16" t="n"/>
      <c r="G7" s="16" t="n"/>
      <c r="H7" s="16" t="n"/>
      <c r="I7" s="17" t="n"/>
      <c r="J7" s="16" t="n"/>
      <c r="K7" s="16" t="n"/>
      <c r="L7" s="16" t="n"/>
      <c r="M7" s="16" t="n"/>
    </row>
    <row r="8">
      <c r="A8" s="16" t="n"/>
      <c r="B8" s="16" t="n"/>
      <c r="C8" s="16" t="n"/>
      <c r="D8" s="16" t="n"/>
      <c r="E8" s="16" t="n"/>
      <c r="F8" s="16" t="n"/>
      <c r="G8" s="16" t="n"/>
      <c r="H8" s="16" t="n"/>
      <c r="I8" s="17" t="n"/>
      <c r="J8" s="16" t="n"/>
      <c r="K8" s="16" t="n"/>
      <c r="L8" s="16" t="n"/>
      <c r="M8" s="16" t="n"/>
    </row>
    <row r="9">
      <c r="A9" s="16" t="n"/>
      <c r="B9" s="16" t="n"/>
      <c r="C9" s="16" t="n"/>
      <c r="D9" s="16" t="n"/>
      <c r="E9" s="16" t="n"/>
      <c r="F9" s="16" t="n"/>
      <c r="G9" s="16" t="n"/>
      <c r="H9" s="16" t="n"/>
      <c r="I9" s="17" t="n"/>
      <c r="J9" s="16" t="n"/>
      <c r="K9" s="16" t="n"/>
      <c r="L9" s="16" t="n"/>
      <c r="M9" s="16" t="n"/>
    </row>
    <row r="10">
      <c r="A10" s="16" t="n"/>
      <c r="B10" s="16" t="n"/>
      <c r="C10" s="16" t="n"/>
      <c r="D10" s="16" t="n"/>
      <c r="E10" s="16" t="n"/>
      <c r="F10" s="16" t="n"/>
      <c r="G10" s="16" t="n"/>
      <c r="H10" s="16" t="n"/>
      <c r="I10" s="17" t="n"/>
      <c r="J10" s="16" t="n"/>
      <c r="K10" s="16" t="n"/>
      <c r="L10" s="16" t="n"/>
      <c r="M10" s="16" t="n"/>
    </row>
    <row r="11">
      <c r="A11" s="16" t="n"/>
      <c r="B11" s="16" t="n"/>
      <c r="C11" s="16" t="n"/>
      <c r="D11" s="16" t="n"/>
      <c r="E11" s="16" t="n"/>
      <c r="F11" s="16" t="n"/>
      <c r="G11" s="16" t="n"/>
      <c r="H11" s="16" t="n"/>
      <c r="I11" s="17" t="n"/>
      <c r="J11" s="16" t="n"/>
      <c r="K11" s="16" t="n"/>
      <c r="L11" s="16" t="n"/>
      <c r="M11" s="16" t="n"/>
    </row>
    <row r="12">
      <c r="A12" s="16" t="n"/>
      <c r="B12" s="16" t="n"/>
      <c r="C12" s="16" t="n"/>
      <c r="D12" s="16" t="n"/>
      <c r="E12" s="16" t="n"/>
      <c r="F12" s="16" t="n"/>
      <c r="G12" s="16" t="n"/>
      <c r="H12" s="16" t="n"/>
      <c r="I12" s="17" t="n"/>
      <c r="J12" s="16" t="n"/>
      <c r="K12" s="16" t="n"/>
      <c r="L12" s="16" t="n"/>
      <c r="M12" s="16" t="n"/>
    </row>
    <row r="13">
      <c r="A13" s="16" t="n"/>
      <c r="B13" s="16" t="n"/>
      <c r="C13" s="16" t="n"/>
      <c r="D13" s="16" t="n"/>
      <c r="E13" s="16" t="n"/>
      <c r="F13" s="16" t="n"/>
      <c r="G13" s="16" t="n"/>
      <c r="H13" s="16" t="n"/>
      <c r="I13" s="17" t="n"/>
      <c r="J13" s="16" t="n"/>
      <c r="K13" s="16" t="n"/>
      <c r="L13" s="16" t="n"/>
      <c r="M13" s="16" t="n"/>
    </row>
    <row r="14">
      <c r="A14" s="16" t="n"/>
      <c r="B14" s="16" t="n"/>
      <c r="C14" s="16" t="n"/>
      <c r="D14" s="16" t="n"/>
      <c r="E14" s="16" t="n"/>
      <c r="F14" s="16" t="n"/>
      <c r="G14" s="16" t="n"/>
      <c r="H14" s="16" t="n"/>
      <c r="I14" s="17" t="n"/>
      <c r="J14" s="16" t="n"/>
      <c r="K14" s="16" t="n"/>
      <c r="L14" s="16" t="n"/>
      <c r="M14" s="16" t="n"/>
    </row>
    <row r="15">
      <c r="A15" s="16" t="n"/>
      <c r="B15" s="16" t="n"/>
      <c r="C15" s="16" t="n"/>
      <c r="D15" s="16" t="n"/>
      <c r="E15" s="16" t="n"/>
      <c r="F15" s="16" t="n"/>
      <c r="G15" s="16" t="n"/>
      <c r="H15" s="16" t="n"/>
      <c r="I15" s="17" t="n"/>
      <c r="J15" s="16" t="n"/>
      <c r="K15" s="16" t="n"/>
      <c r="L15" s="16" t="n"/>
      <c r="M15" s="16" t="n"/>
    </row>
    <row r="16">
      <c r="A16" s="16" t="n"/>
      <c r="B16" s="16" t="n"/>
      <c r="C16" s="16" t="n"/>
      <c r="D16" s="16" t="n"/>
      <c r="E16" s="16" t="n"/>
      <c r="F16" s="16" t="n"/>
      <c r="G16" s="16" t="n"/>
      <c r="H16" s="16" t="n"/>
      <c r="I16" s="17" t="n"/>
      <c r="J16" s="16" t="n"/>
      <c r="K16" s="16" t="n"/>
      <c r="L16" s="16" t="n"/>
      <c r="M16" s="16" t="n"/>
    </row>
    <row r="17">
      <c r="A17" s="16" t="n"/>
      <c r="B17" s="16" t="n"/>
      <c r="C17" s="16" t="n"/>
      <c r="D17" s="16" t="n"/>
      <c r="E17" s="16" t="n"/>
      <c r="F17" s="16" t="n"/>
      <c r="G17" s="16" t="n"/>
      <c r="H17" s="16" t="n"/>
      <c r="I17" s="17" t="n"/>
      <c r="J17" s="16" t="n"/>
      <c r="K17" s="16" t="n"/>
      <c r="L17" s="16" t="n"/>
      <c r="M17" s="16" t="n"/>
    </row>
    <row r="18">
      <c r="A18" s="16" t="n"/>
      <c r="B18" s="16" t="n"/>
      <c r="C18" s="16" t="n"/>
      <c r="D18" s="16" t="n"/>
      <c r="E18" s="16" t="n"/>
      <c r="F18" s="16" t="n"/>
      <c r="G18" s="16" t="n"/>
      <c r="H18" s="16" t="n"/>
      <c r="I18" s="17" t="n"/>
      <c r="J18" s="16" t="n"/>
      <c r="K18" s="16" t="n"/>
      <c r="L18" s="16" t="n"/>
      <c r="M18" s="16" t="n"/>
    </row>
    <row r="19">
      <c r="A19" s="16" t="n"/>
      <c r="B19" s="16" t="n"/>
      <c r="C19" s="16" t="n"/>
      <c r="D19" s="16" t="n"/>
      <c r="E19" s="16" t="n"/>
      <c r="F19" s="16" t="n"/>
      <c r="G19" s="16" t="n"/>
      <c r="H19" s="16" t="n"/>
      <c r="I19" s="17" t="n"/>
      <c r="J19" s="16" t="n"/>
      <c r="K19" s="16" t="n"/>
      <c r="L19" s="16" t="n"/>
      <c r="M19" s="16" t="n"/>
    </row>
    <row r="20">
      <c r="A20" s="16" t="n"/>
      <c r="B20" s="16" t="n"/>
      <c r="C20" s="16" t="n"/>
      <c r="D20" s="16" t="n"/>
      <c r="E20" s="16" t="n"/>
      <c r="F20" s="16" t="n"/>
      <c r="G20" s="16" t="n"/>
      <c r="H20" s="16" t="n"/>
      <c r="I20" s="17" t="n"/>
      <c r="J20" s="16" t="n"/>
      <c r="K20" s="16" t="n"/>
      <c r="L20" s="16" t="n"/>
      <c r="M20" s="16" t="n"/>
    </row>
    <row r="21">
      <c r="A21" s="16" t="n"/>
      <c r="B21" s="16" t="n"/>
      <c r="C21" s="16" t="n"/>
      <c r="D21" s="16" t="n"/>
      <c r="E21" s="16" t="n"/>
      <c r="F21" s="16" t="n"/>
      <c r="G21" s="16" t="n"/>
      <c r="H21" s="16" t="n"/>
      <c r="I21" s="17" t="n"/>
      <c r="J21" s="16" t="n"/>
      <c r="K21" s="16" t="n"/>
      <c r="L21" s="16" t="n"/>
      <c r="M21" s="16" t="n"/>
    </row>
    <row r="22">
      <c r="A22" s="16" t="n"/>
      <c r="B22" s="16" t="n"/>
      <c r="C22" s="16" t="n"/>
      <c r="D22" s="16" t="n"/>
      <c r="E22" s="16" t="n"/>
      <c r="F22" s="16" t="n"/>
      <c r="G22" s="16" t="n"/>
      <c r="H22" s="16" t="n"/>
      <c r="I22" s="17" t="n"/>
      <c r="J22" s="16" t="n"/>
      <c r="K22" s="16" t="n"/>
      <c r="L22" s="16" t="n"/>
      <c r="M22" s="16" t="n"/>
    </row>
    <row r="23">
      <c r="A23" s="16" t="n"/>
      <c r="B23" s="16" t="n"/>
      <c r="C23" s="16" t="n"/>
      <c r="D23" s="16" t="n"/>
      <c r="E23" s="16" t="n"/>
      <c r="F23" s="16" t="n"/>
      <c r="G23" s="16" t="n"/>
      <c r="H23" s="16" t="n"/>
      <c r="I23" s="17" t="n"/>
      <c r="J23" s="16" t="n"/>
      <c r="K23" s="16" t="n"/>
      <c r="L23" s="16" t="n"/>
      <c r="M23" s="16" t="n"/>
    </row>
    <row r="24">
      <c r="A24" s="16" t="n"/>
      <c r="B24" s="16" t="n"/>
      <c r="C24" s="16" t="n"/>
      <c r="D24" s="16" t="n"/>
      <c r="E24" s="16" t="n"/>
      <c r="F24" s="16" t="n"/>
      <c r="G24" s="16" t="n"/>
      <c r="H24" s="16" t="n"/>
      <c r="I24" s="17" t="n"/>
      <c r="J24" s="16" t="n"/>
      <c r="K24" s="16" t="n"/>
      <c r="L24" s="16" t="n"/>
      <c r="M24" s="16" t="n"/>
    </row>
    <row r="25">
      <c r="A25" s="16" t="n"/>
      <c r="B25" s="16" t="n"/>
      <c r="C25" s="16" t="n"/>
      <c r="D25" s="16" t="n"/>
      <c r="E25" s="16" t="n"/>
      <c r="F25" s="16" t="n"/>
      <c r="G25" s="16" t="n"/>
      <c r="H25" s="16" t="n"/>
      <c r="I25" s="17" t="n"/>
      <c r="J25" s="16" t="n"/>
      <c r="K25" s="16" t="n"/>
      <c r="L25" s="16" t="n"/>
      <c r="M25" s="16" t="n"/>
    </row>
    <row r="26">
      <c r="A26" s="16" t="n"/>
      <c r="B26" s="16" t="n"/>
      <c r="C26" s="16" t="n"/>
      <c r="D26" s="16" t="n"/>
      <c r="E26" s="16" t="n"/>
      <c r="F26" s="16" t="n"/>
      <c r="G26" s="16" t="n"/>
      <c r="H26" s="16" t="n"/>
      <c r="I26" s="17" t="n"/>
      <c r="J26" s="16" t="n"/>
      <c r="K26" s="16" t="n"/>
      <c r="L26" s="16" t="n"/>
      <c r="M26" s="16" t="n"/>
    </row>
    <row r="27">
      <c r="A27" s="16" t="n"/>
      <c r="B27" s="16" t="n"/>
      <c r="C27" s="16" t="n"/>
      <c r="D27" s="16" t="n"/>
      <c r="E27" s="16" t="n"/>
      <c r="F27" s="16" t="n"/>
      <c r="G27" s="16" t="n"/>
      <c r="H27" s="16" t="n"/>
      <c r="I27" s="17" t="n"/>
      <c r="J27" s="16" t="n"/>
      <c r="K27" s="16" t="n"/>
      <c r="L27" s="16" t="n"/>
      <c r="M27" s="16" t="n"/>
    </row>
    <row r="28">
      <c r="A28" s="16" t="n"/>
      <c r="B28" s="16" t="n"/>
      <c r="C28" s="16" t="n"/>
      <c r="D28" s="16" t="n"/>
      <c r="E28" s="16" t="n"/>
      <c r="F28" s="16" t="n"/>
      <c r="G28" s="16" t="n"/>
      <c r="H28" s="16" t="n"/>
      <c r="I28" s="17" t="n"/>
      <c r="J28" s="16" t="n"/>
      <c r="K28" s="16" t="n"/>
      <c r="L28" s="16" t="n"/>
      <c r="M28" s="16" t="n"/>
    </row>
    <row r="29">
      <c r="A29" s="16" t="n"/>
      <c r="B29" s="16" t="n"/>
      <c r="C29" s="16" t="n"/>
      <c r="D29" s="16" t="n"/>
      <c r="E29" s="16" t="n"/>
      <c r="F29" s="16" t="n"/>
      <c r="G29" s="16" t="n"/>
      <c r="H29" s="16" t="n"/>
      <c r="I29" s="17" t="n"/>
      <c r="J29" s="16" t="n"/>
      <c r="K29" s="16" t="n"/>
      <c r="L29" s="16" t="n"/>
      <c r="M29" s="16" t="n"/>
    </row>
    <row r="30">
      <c r="A30" s="16" t="n"/>
      <c r="B30" s="16" t="n"/>
      <c r="C30" s="16" t="n"/>
      <c r="D30" s="16" t="n"/>
      <c r="E30" s="16" t="n"/>
      <c r="F30" s="16" t="n"/>
      <c r="G30" s="16" t="n"/>
      <c r="H30" s="16" t="n"/>
      <c r="I30" s="17" t="n"/>
      <c r="J30" s="16" t="n"/>
      <c r="K30" s="16" t="n"/>
      <c r="L30" s="16" t="n"/>
      <c r="M30" s="16" t="n"/>
    </row>
    <row r="31">
      <c r="A31" s="16" t="n"/>
      <c r="B31" s="16" t="n"/>
      <c r="C31" s="16" t="n"/>
      <c r="D31" s="16" t="n"/>
      <c r="E31" s="16" t="n"/>
      <c r="F31" s="16" t="n"/>
      <c r="G31" s="16" t="n"/>
      <c r="H31" s="16" t="n"/>
      <c r="I31" s="17" t="n"/>
      <c r="J31" s="16" t="n"/>
      <c r="K31" s="16" t="n"/>
      <c r="L31" s="16" t="n"/>
      <c r="M31" s="16" t="n"/>
    </row>
    <row r="32">
      <c r="A32" s="16" t="n"/>
      <c r="B32" s="16" t="n"/>
      <c r="C32" s="16" t="n"/>
      <c r="D32" s="16" t="n"/>
      <c r="E32" s="16" t="n"/>
      <c r="F32" s="16" t="n"/>
      <c r="G32" s="16" t="n"/>
      <c r="H32" s="16" t="n"/>
      <c r="I32" s="17" t="n"/>
      <c r="J32" s="16" t="n"/>
      <c r="K32" s="16" t="n"/>
      <c r="L32" s="16" t="n"/>
      <c r="M32" s="16" t="n"/>
    </row>
    <row r="33">
      <c r="A33" s="16" t="n"/>
      <c r="B33" s="16" t="n"/>
      <c r="C33" s="16" t="n"/>
      <c r="D33" s="16" t="n"/>
      <c r="E33" s="16" t="n"/>
      <c r="F33" s="16" t="n"/>
      <c r="G33" s="16" t="n"/>
      <c r="H33" s="16" t="n"/>
      <c r="I33" s="17" t="n"/>
      <c r="J33" s="16" t="n"/>
      <c r="K33" s="16" t="n"/>
      <c r="L33" s="16" t="n"/>
      <c r="M33" s="16" t="n"/>
    </row>
    <row r="34">
      <c r="A34" s="16" t="n"/>
      <c r="B34" s="16" t="n"/>
      <c r="C34" s="16" t="n"/>
      <c r="D34" s="16" t="n"/>
      <c r="E34" s="16" t="n"/>
      <c r="F34" s="16" t="n"/>
      <c r="G34" s="16" t="n"/>
      <c r="H34" s="16" t="n"/>
      <c r="I34" s="17" t="n"/>
      <c r="J34" s="16" t="n"/>
      <c r="K34" s="16" t="n"/>
      <c r="L34" s="16" t="n"/>
      <c r="M34" s="16" t="n"/>
    </row>
    <row r="35">
      <c r="A35" s="16" t="n"/>
      <c r="B35" s="16" t="n"/>
      <c r="C35" s="16" t="n"/>
      <c r="D35" s="16" t="n"/>
      <c r="E35" s="16" t="n"/>
      <c r="F35" s="16" t="n"/>
      <c r="G35" s="16" t="n"/>
      <c r="H35" s="16" t="n"/>
      <c r="I35" s="17" t="n"/>
      <c r="J35" s="16" t="n"/>
      <c r="K35" s="16" t="n"/>
      <c r="L35" s="16" t="n"/>
      <c r="M35" s="16" t="n"/>
    </row>
    <row r="36">
      <c r="A36" s="16" t="n"/>
      <c r="B36" s="16" t="n"/>
      <c r="C36" s="16" t="n"/>
      <c r="D36" s="16" t="n"/>
      <c r="E36" s="16" t="n"/>
      <c r="F36" s="16" t="n"/>
      <c r="G36" s="16" t="n"/>
      <c r="H36" s="16" t="n"/>
      <c r="I36" s="17" t="n"/>
      <c r="J36" s="16" t="n"/>
      <c r="K36" s="16" t="n"/>
      <c r="L36" s="16" t="n"/>
      <c r="M36" s="16" t="n"/>
    </row>
    <row r="37">
      <c r="A37" s="16" t="n"/>
      <c r="B37" s="16" t="n"/>
      <c r="C37" s="16" t="n"/>
      <c r="D37" s="16" t="n"/>
      <c r="E37" s="16" t="n"/>
      <c r="F37" s="16" t="n"/>
      <c r="G37" s="16" t="n"/>
      <c r="H37" s="16" t="n"/>
      <c r="I37" s="17" t="n"/>
      <c r="J37" s="16" t="n"/>
      <c r="K37" s="16" t="n"/>
      <c r="L37" s="16" t="n"/>
      <c r="M37" s="16" t="n"/>
    </row>
    <row r="38">
      <c r="A38" s="16" t="n"/>
      <c r="B38" s="16" t="n"/>
      <c r="C38" s="16" t="n"/>
      <c r="D38" s="16" t="n"/>
      <c r="E38" s="16" t="n"/>
      <c r="F38" s="16" t="n"/>
      <c r="G38" s="16" t="n"/>
      <c r="H38" s="16" t="n"/>
      <c r="I38" s="17" t="n"/>
      <c r="J38" s="16" t="n"/>
      <c r="K38" s="16" t="n"/>
      <c r="L38" s="16" t="n"/>
      <c r="M38" s="16" t="n"/>
    </row>
    <row r="39">
      <c r="A39" s="16" t="n"/>
      <c r="B39" s="16" t="n"/>
      <c r="C39" s="16" t="n"/>
      <c r="D39" s="16" t="n"/>
      <c r="E39" s="16" t="n"/>
      <c r="F39" s="16" t="n"/>
      <c r="G39" s="16" t="n"/>
      <c r="H39" s="16" t="n"/>
      <c r="I39" s="17" t="n"/>
      <c r="J39" s="16" t="n"/>
      <c r="K39" s="16" t="n"/>
      <c r="L39" s="16" t="n"/>
      <c r="M39" s="16" t="n"/>
    </row>
    <row r="40">
      <c r="A40" s="16" t="n"/>
      <c r="B40" s="16" t="n"/>
      <c r="C40" s="16" t="n"/>
      <c r="D40" s="16" t="n"/>
      <c r="E40" s="16" t="n"/>
      <c r="F40" s="16" t="n"/>
      <c r="G40" s="16" t="n"/>
      <c r="H40" s="16" t="n"/>
      <c r="I40" s="17" t="n"/>
      <c r="J40" s="16" t="n"/>
      <c r="K40" s="16" t="n"/>
      <c r="L40" s="16" t="n"/>
      <c r="M40" s="16" t="n"/>
    </row>
    <row r="41">
      <c r="A41" s="16" t="n"/>
      <c r="B41" s="16" t="n"/>
      <c r="C41" s="16" t="n"/>
      <c r="D41" s="16" t="n"/>
      <c r="E41" s="16" t="n"/>
      <c r="F41" s="16" t="n"/>
      <c r="G41" s="16" t="n"/>
      <c r="H41" s="16" t="n"/>
      <c r="I41" s="17" t="n"/>
      <c r="J41" s="16" t="n"/>
      <c r="K41" s="16" t="n"/>
      <c r="L41" s="16" t="n"/>
      <c r="M41" s="16" t="n"/>
    </row>
    <row r="42">
      <c r="A42" s="16" t="n"/>
      <c r="B42" s="16" t="n"/>
      <c r="C42" s="16" t="n"/>
      <c r="D42" s="16" t="n"/>
      <c r="E42" s="16" t="n"/>
      <c r="F42" s="16" t="n"/>
      <c r="G42" s="16" t="n"/>
      <c r="H42" s="16" t="n"/>
      <c r="I42" s="17" t="n"/>
      <c r="J42" s="16" t="n"/>
      <c r="K42" s="16" t="n"/>
      <c r="L42" s="16" t="n"/>
      <c r="M42" s="16" t="n"/>
    </row>
    <row r="43">
      <c r="A43" s="16" t="n"/>
      <c r="B43" s="16" t="n"/>
      <c r="C43" s="16" t="n"/>
      <c r="D43" s="16" t="n"/>
      <c r="E43" s="16" t="n"/>
      <c r="F43" s="16" t="n"/>
      <c r="G43" s="16" t="n"/>
      <c r="H43" s="16" t="n"/>
      <c r="I43" s="17" t="n"/>
      <c r="J43" s="16" t="n"/>
      <c r="K43" s="16" t="n"/>
      <c r="L43" s="16" t="n"/>
      <c r="M43" s="16" t="n"/>
    </row>
    <row r="44">
      <c r="A44" s="16" t="n"/>
      <c r="B44" s="16" t="n"/>
      <c r="C44" s="16" t="n"/>
      <c r="D44" s="16" t="n"/>
      <c r="E44" s="16" t="n"/>
      <c r="F44" s="16" t="n"/>
      <c r="G44" s="16" t="n"/>
      <c r="H44" s="16" t="n"/>
      <c r="I44" s="17" t="n"/>
      <c r="J44" s="16" t="n"/>
      <c r="K44" s="16" t="n"/>
      <c r="L44" s="16" t="n"/>
      <c r="M44" s="16" t="n"/>
    </row>
    <row r="45">
      <c r="A45" s="16" t="n"/>
      <c r="B45" s="16" t="n"/>
      <c r="C45" s="16" t="n"/>
      <c r="D45" s="16" t="n"/>
      <c r="E45" s="16" t="n"/>
      <c r="F45" s="16" t="n"/>
      <c r="G45" s="16" t="n"/>
      <c r="H45" s="16" t="n"/>
      <c r="I45" s="17" t="n"/>
      <c r="J45" s="16" t="n"/>
      <c r="K45" s="16" t="n"/>
      <c r="L45" s="16" t="n"/>
      <c r="M45" s="16" t="n"/>
    </row>
    <row r="46">
      <c r="A46" s="16" t="n"/>
      <c r="B46" s="16" t="n"/>
      <c r="C46" s="16" t="n"/>
      <c r="D46" s="16" t="n"/>
      <c r="E46" s="16" t="n"/>
      <c r="F46" s="16" t="n"/>
      <c r="G46" s="16" t="n"/>
      <c r="H46" s="16" t="n"/>
      <c r="I46" s="17" t="n"/>
      <c r="J46" s="16" t="n"/>
      <c r="K46" s="16" t="n"/>
      <c r="L46" s="16" t="n"/>
      <c r="M46" s="16" t="n"/>
    </row>
    <row r="47">
      <c r="A47" s="16" t="n"/>
      <c r="B47" s="16" t="n"/>
      <c r="C47" s="16" t="n"/>
      <c r="D47" s="16" t="n"/>
      <c r="E47" s="16" t="n"/>
      <c r="F47" s="16" t="n"/>
      <c r="G47" s="16" t="n"/>
      <c r="H47" s="16" t="n"/>
      <c r="I47" s="17" t="n"/>
      <c r="J47" s="16" t="n"/>
      <c r="K47" s="16" t="n"/>
      <c r="L47" s="16" t="n"/>
      <c r="M47" s="16" t="n"/>
    </row>
    <row r="48">
      <c r="A48" s="16" t="n"/>
      <c r="B48" s="16" t="n"/>
      <c r="C48" s="16" t="n"/>
      <c r="D48" s="16" t="n"/>
      <c r="E48" s="16" t="n"/>
      <c r="F48" s="16" t="n"/>
      <c r="G48" s="16" t="n"/>
      <c r="H48" s="16" t="n"/>
      <c r="I48" s="17" t="n"/>
      <c r="J48" s="16" t="n"/>
      <c r="K48" s="16" t="n"/>
      <c r="L48" s="16" t="n"/>
      <c r="M48" s="16" t="n"/>
    </row>
    <row r="49">
      <c r="A49" s="16" t="n"/>
      <c r="B49" s="16" t="n"/>
      <c r="C49" s="16" t="n"/>
      <c r="D49" s="16" t="n"/>
      <c r="E49" s="16" t="n"/>
      <c r="F49" s="16" t="n"/>
      <c r="G49" s="16" t="n"/>
      <c r="H49" s="16" t="n"/>
      <c r="I49" s="17" t="n"/>
      <c r="J49" s="16" t="n"/>
      <c r="K49" s="16" t="n"/>
      <c r="L49" s="16" t="n"/>
      <c r="M49" s="16" t="n"/>
    </row>
    <row r="50">
      <c r="A50" s="16" t="n"/>
      <c r="B50" s="16" t="n"/>
      <c r="C50" s="16" t="n"/>
      <c r="D50" s="16" t="n"/>
      <c r="E50" s="16" t="n"/>
      <c r="F50" s="16" t="n"/>
      <c r="G50" s="16" t="n"/>
      <c r="H50" s="16" t="n"/>
      <c r="I50" s="17" t="n"/>
      <c r="J50" s="16" t="n"/>
      <c r="K50" s="16" t="n"/>
      <c r="L50" s="16" t="n"/>
      <c r="M50" s="16" t="n"/>
    </row>
    <row r="51">
      <c r="A51" s="16" t="n"/>
      <c r="B51" s="16" t="n"/>
      <c r="C51" s="16" t="n"/>
      <c r="D51" s="16" t="n"/>
      <c r="E51" s="16" t="n"/>
      <c r="F51" s="16" t="n"/>
      <c r="G51" s="16" t="n"/>
      <c r="H51" s="16" t="n"/>
      <c r="I51" s="17" t="n"/>
      <c r="J51" s="16" t="n"/>
      <c r="K51" s="16" t="n"/>
      <c r="L51" s="16" t="n"/>
      <c r="M51" s="16" t="n"/>
    </row>
    <row r="52">
      <c r="A52" s="16" t="n"/>
      <c r="B52" s="16" t="n"/>
      <c r="C52" s="16" t="n"/>
      <c r="D52" s="16" t="n"/>
      <c r="E52" s="16" t="n"/>
      <c r="F52" s="16" t="n"/>
      <c r="G52" s="16" t="n"/>
      <c r="H52" s="16" t="n"/>
      <c r="I52" s="17" t="n"/>
      <c r="J52" s="16" t="n"/>
      <c r="K52" s="16" t="n"/>
      <c r="L52" s="16" t="n"/>
      <c r="M52" s="16" t="n"/>
    </row>
    <row r="53">
      <c r="A53" s="16" t="n"/>
      <c r="B53" s="16" t="n"/>
      <c r="C53" s="16" t="n"/>
      <c r="D53" s="16" t="n"/>
      <c r="E53" s="16" t="n"/>
      <c r="F53" s="16" t="n"/>
      <c r="G53" s="16" t="n"/>
      <c r="H53" s="16" t="n"/>
      <c r="I53" s="17" t="n"/>
      <c r="J53" s="16" t="n"/>
      <c r="K53" s="16" t="n"/>
      <c r="L53" s="16" t="n"/>
      <c r="M53" s="16" t="n"/>
    </row>
    <row r="54">
      <c r="A54" s="16" t="n"/>
      <c r="B54" s="16" t="n"/>
      <c r="C54" s="16" t="n"/>
      <c r="D54" s="16" t="n"/>
      <c r="E54" s="16" t="n"/>
      <c r="F54" s="16" t="n"/>
      <c r="G54" s="16" t="n"/>
      <c r="H54" s="16" t="n"/>
      <c r="I54" s="17" t="n"/>
      <c r="J54" s="16" t="n"/>
      <c r="K54" s="16" t="n"/>
      <c r="L54" s="16" t="n"/>
      <c r="M54" s="16" t="n"/>
    </row>
  </sheetData>
  <mergeCells count="2">
    <mergeCell ref="A2:M2"/>
    <mergeCell ref="A1:M1"/>
  </mergeCells>
  <dataValidations count="5">
    <dataValidation sqref="B5 B6 B7 B8 B9 B10 B11 B12 B13 B14 B15 B16 B17 B18 B19 B20 B21 B22 B23 B24 B25 B26 B27 B28 B29 B30 B31 B32 B33 B34 B35 B36 B37 B38 B39 B40 B41 B42 B43 B44 B45 B46 B47 B48 B49 B50 B51 B52 B53 B54" showDropDown="0" showInputMessage="0" showErrorMessage="0" allowBlank="0" type="list">
      <formula1>"Application Security,Data Protection,Access Control &amp; Authentication,Infrastructure Security,Third-Party Security,Compliance &amp; Regulatory"</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"Must Have,Should Have,Nice to Have"</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"Not Started,In Progress,Implemented,Verified"</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"Functional Test,SAST,DAST,Penetration Test,Vulnerability Scan,Configuration Review,Code Review"</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"Not Tested,Pass,Fail,Blocked,N/A"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60" customWidth="1" min="1" max="1"/>
    <col width="50" customWidth="1" min="2" max="2"/>
    <col width="25" customWidth="1" min="3" max="3"/>
  </cols>
  <sheetData>
    <row r="1" ht="35" customHeight="1">
      <c r="A1" s="11" t="inlineStr">
        <is>
          <t>EXAMPLE REQUIREMENTS: APPLICATION SECURITY</t>
        </is>
      </c>
    </row>
    <row r="3">
      <c r="A3" s="18" t="inlineStr">
        <is>
          <t>Example Requirement</t>
        </is>
      </c>
      <c r="B3" s="18" t="inlineStr">
        <is>
          <t>Acceptance Criteria</t>
        </is>
      </c>
      <c r="C3" s="18" t="inlineStr">
        <is>
          <t>Verification Method</t>
        </is>
      </c>
    </row>
    <row r="4">
      <c r="A4" s="19" t="inlineStr">
        <is>
          <t>System shall implement input validation for all user inputs using allowlist approach</t>
        </is>
      </c>
      <c r="B4" s="19" t="inlineStr">
        <is>
          <t>All inputs validated; SQL injection test passes; XSS test passes</t>
        </is>
      </c>
      <c r="C4" s="19" t="inlineStr">
        <is>
          <t>SAST + Penetration Test</t>
        </is>
      </c>
    </row>
    <row r="5">
      <c r="A5" s="19" t="inlineStr">
        <is>
          <t>System shall enforce password complexity: minimum 12 characters, uppercase, lowercase, number, special</t>
        </is>
      </c>
      <c r="B5" s="19" t="inlineStr">
        <is>
          <t>Password policy configured; Weak password rejected</t>
        </is>
      </c>
      <c r="C5" s="19" t="inlineStr">
        <is>
          <t>Configuration Review</t>
        </is>
      </c>
    </row>
    <row r="6">
      <c r="A6" s="19" t="inlineStr">
        <is>
          <t>System shall implement session timeout after 15 minutes of inactivity</t>
        </is>
      </c>
      <c r="B6" s="19" t="inlineStr">
        <is>
          <t>Session expires after 15 min; User redirected to login</t>
        </is>
      </c>
      <c r="C6" s="19" t="inlineStr">
        <is>
          <t>Functional Test</t>
        </is>
      </c>
    </row>
    <row r="7">
      <c r="A7" s="19" t="inlineStr">
        <is>
          <t>System shall implement Role-Based Access Control (RBAC) with principle of least privilege</t>
        </is>
      </c>
      <c r="B7" s="19" t="inlineStr">
        <is>
          <t>All functions require role; Privilege escalation test fails</t>
        </is>
      </c>
      <c r="C7" s="19" t="inlineStr">
        <is>
          <t>Penetration Test</t>
        </is>
      </c>
    </row>
    <row r="8">
      <c r="A8" s="19" t="inlineStr">
        <is>
          <t>System shall encrypt all sensitive data in transit using TLS 1.2 or higher</t>
        </is>
      </c>
      <c r="B8" s="19" t="inlineStr">
        <is>
          <t>All endpoints use HTTPS; TLS 1.0/1.1 disabled</t>
        </is>
      </c>
      <c r="C8" s="19" t="inlineStr">
        <is>
          <t>Vulnerability Scan</t>
        </is>
      </c>
    </row>
    <row r="9">
      <c r="A9" s="19" t="inlineStr">
        <is>
          <t>System shall hash passwords using bcrypt with work factor &gt;=12</t>
        </is>
      </c>
      <c r="B9" s="19" t="inlineStr">
        <is>
          <t>Passwords hashed; bcrypt confirmed; Work factor &gt;=12</t>
        </is>
      </c>
      <c r="C9" s="19" t="inlineStr">
        <is>
          <t>Code Review</t>
        </is>
      </c>
    </row>
    <row r="10">
      <c r="A10" s="19" t="inlineStr">
        <is>
          <t>System shall implement proper error handling without exposing sensitive information</t>
        </is>
      </c>
      <c r="B10" s="19" t="inlineStr">
        <is>
          <t>Generic error messages; Stack traces not exposed</t>
        </is>
      </c>
      <c r="C10" s="19" t="inlineStr">
        <is>
          <t>SAST</t>
        </is>
      </c>
    </row>
    <row r="11">
      <c r="A11" s="19" t="inlineStr">
        <is>
          <t>System shall log all authentication attempts with timestamp and source IP</t>
        </is>
      </c>
      <c r="B11" s="19" t="inlineStr">
        <is>
          <t>Login events logged; Source IP recorded</t>
        </is>
      </c>
      <c r="C11" s="19" t="inlineStr">
        <is>
          <t>Configuration Review</t>
        </is>
      </c>
    </row>
    <row r="12">
      <c r="A12" s="19" t="inlineStr">
        <is>
          <t>System shall implement API rate limiting: 100 requests per minute per API key</t>
        </is>
      </c>
      <c r="B12" s="19" t="inlineStr">
        <is>
          <t>Rate limit enforced; 101st request rejected</t>
        </is>
      </c>
      <c r="C12" s="19" t="inlineStr">
        <is>
          <t>Automated Test</t>
        </is>
      </c>
    </row>
    <row r="13">
      <c r="A13" s="19" t="inlineStr">
        <is>
          <t>System shall validate and sanitise all file uploads: type check, size limit 10MB, malware scan</t>
        </is>
      </c>
      <c r="B13" s="19" t="inlineStr">
        <is>
          <t>File type validated; Malware scan performed</t>
        </is>
      </c>
      <c r="C13" s="19" t="inlineStr">
        <is>
          <t>Functional Test</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60" customWidth="1" min="1" max="1"/>
    <col width="50" customWidth="1" min="2" max="2"/>
    <col width="25" customWidth="1" min="3" max="3"/>
  </cols>
  <sheetData>
    <row r="1" ht="35" customHeight="1">
      <c r="A1" s="11" t="inlineStr">
        <is>
          <t>EXAMPLE REQUIREMENTS: DATA PROTECTION</t>
        </is>
      </c>
    </row>
    <row r="3">
      <c r="A3" s="18" t="inlineStr">
        <is>
          <t>Example Requirement</t>
        </is>
      </c>
      <c r="B3" s="18" t="inlineStr">
        <is>
          <t>Acceptance Criteria</t>
        </is>
      </c>
      <c r="C3" s="18" t="inlineStr">
        <is>
          <t>Verification Method</t>
        </is>
      </c>
    </row>
    <row r="4">
      <c r="A4" s="19" t="inlineStr">
        <is>
          <t>System shall encrypt all PII at rest using AES-256</t>
        </is>
      </c>
      <c r="B4" s="19" t="inlineStr">
        <is>
          <t>PII fields encrypted; AES-256 verified</t>
        </is>
      </c>
      <c r="C4" s="19" t="inlineStr">
        <is>
          <t>Configuration Review</t>
        </is>
      </c>
    </row>
    <row r="5">
      <c r="A5" s="19" t="inlineStr">
        <is>
          <t>System shall encrypt Restricted data in transit using TLS 1.3</t>
        </is>
      </c>
      <c r="B5" s="19" t="inlineStr">
        <is>
          <t>TLS 1.3 enabled; SSL Labs A+ rating</t>
        </is>
      </c>
      <c r="C5" s="19" t="inlineStr">
        <is>
          <t>Vulnerability Scan</t>
        </is>
      </c>
    </row>
    <row r="6">
      <c r="A6" s="19" t="inlineStr">
        <is>
          <t>System shall implement data classification labelling</t>
        </is>
      </c>
      <c r="B6" s="19" t="inlineStr">
        <is>
          <t>All datasets classified; Labels visible</t>
        </is>
      </c>
      <c r="C6" s="19" t="inlineStr">
        <is>
          <t>Data Inspection</t>
        </is>
      </c>
    </row>
    <row r="7">
      <c r="A7" s="19" t="inlineStr">
        <is>
          <t>System shall implement automated backup daily with 30-day retention</t>
        </is>
      </c>
      <c r="B7" s="19" t="inlineStr">
        <is>
          <t>Daily backups configured; 30-day retention verified</t>
        </is>
      </c>
      <c r="C7" s="19" t="inlineStr">
        <is>
          <t>Configuration Review</t>
        </is>
      </c>
    </row>
    <row r="8">
      <c r="A8" s="19" t="inlineStr">
        <is>
          <t>System shall encrypt all backups using AES-256</t>
        </is>
      </c>
      <c r="B8" s="19" t="inlineStr">
        <is>
          <t>Backup encryption enabled; AES-256 verified</t>
        </is>
      </c>
      <c r="C8" s="19" t="inlineStr">
        <is>
          <t>Configuration Review</t>
        </is>
      </c>
    </row>
    <row r="9">
      <c r="A9" s="19" t="inlineStr">
        <is>
          <t>System shall implement point-in-time recovery with 7-day window</t>
        </is>
      </c>
      <c r="B9" s="19" t="inlineStr">
        <is>
          <t>PITR configured; 7-day window available</t>
        </is>
      </c>
      <c r="C9" s="19" t="inlineStr">
        <is>
          <t>Functional Test</t>
        </is>
      </c>
    </row>
    <row r="10">
      <c r="A10" s="19" t="inlineStr">
        <is>
          <t>System shall implement data retention: Restricted 7 years, Confidential 3 years</t>
        </is>
      </c>
      <c r="B10" s="19" t="inlineStr">
        <is>
          <t>Retention policy documented; Automated deletion configured</t>
        </is>
      </c>
      <c r="C10" s="19" t="inlineStr">
        <is>
          <t>Document Review</t>
        </is>
      </c>
    </row>
    <row r="11">
      <c r="A11" s="19" t="inlineStr">
        <is>
          <t>System shall implement secure data deletion using crypto-erasure or overwriting</t>
        </is>
      </c>
      <c r="B11" s="19" t="inlineStr">
        <is>
          <t>Deletion method documented; Deleted data unrecoverable</t>
        </is>
      </c>
      <c r="C11" s="19" t="inlineStr">
        <is>
          <t>Functional Test</t>
        </is>
      </c>
    </row>
    <row r="12">
      <c r="A12" s="19" t="inlineStr">
        <is>
          <t>System shall implement data minimisation: collect only necessary data</t>
        </is>
      </c>
      <c r="B12" s="19" t="inlineStr">
        <is>
          <t>Data collection justified; Unnecessary fields not collected</t>
        </is>
      </c>
      <c r="C12" s="19" t="inlineStr">
        <is>
          <t>Document Review</t>
        </is>
      </c>
    </row>
    <row r="13">
      <c r="A13" s="19" t="inlineStr">
        <is>
          <t>System shall implement DLP controls preventing unauthorised data exfiltration</t>
        </is>
      </c>
      <c r="B13" s="19" t="inlineStr">
        <is>
          <t>DLP solution deployed; Restricted data egress blocked</t>
        </is>
      </c>
      <c r="C13" s="19" t="inlineStr">
        <is>
          <t>Configuration Review</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showGridLines="0" workbookViewId="0">
      <selection activeCell="A1" sqref="A1"/>
    </sheetView>
  </sheetViews>
  <sheetFormatPr baseColWidth="8" defaultRowHeight="15"/>
  <cols>
    <col width="60" customWidth="1" min="1" max="1"/>
    <col width="50" customWidth="1" min="2" max="2"/>
    <col width="25" customWidth="1" min="3" max="3"/>
  </cols>
  <sheetData>
    <row r="1" ht="35" customHeight="1">
      <c r="A1" s="11" t="inlineStr">
        <is>
          <t>EXAMPLE REQUIREMENTS: ACCESS CONTROL &amp; AUTHENTICATION</t>
        </is>
      </c>
    </row>
    <row r="3">
      <c r="A3" s="18" t="inlineStr">
        <is>
          <t>Example Requirement</t>
        </is>
      </c>
      <c r="B3" s="18" t="inlineStr">
        <is>
          <t>Acceptance Criteria</t>
        </is>
      </c>
      <c r="C3" s="18" t="inlineStr">
        <is>
          <t>Verification Method</t>
        </is>
      </c>
    </row>
    <row r="4">
      <c r="A4" s="19" t="inlineStr">
        <is>
          <t>System shall implement least privilege access control</t>
        </is>
      </c>
      <c r="B4" s="19" t="inlineStr">
        <is>
          <t>Users have minimum required permissions</t>
        </is>
      </c>
      <c r="C4" s="19" t="inlineStr">
        <is>
          <t>Penetration Test</t>
        </is>
      </c>
    </row>
    <row r="5">
      <c r="A5" s="19" t="inlineStr">
        <is>
          <t>System shall implement multi-factor authentication for privileged accounts</t>
        </is>
      </c>
      <c r="B5" s="19" t="inlineStr">
        <is>
          <t>Admin accounts require MFA; Password-only blocked</t>
        </is>
      </c>
      <c r="C5" s="19" t="inlineStr">
        <is>
          <t>Configuration Review</t>
        </is>
      </c>
    </row>
    <row r="6">
      <c r="A6" s="19" t="inlineStr">
        <is>
          <t>System shall implement account lifecycle management</t>
        </is>
      </c>
      <c r="B6" s="19" t="inlineStr">
        <is>
          <t>Account creation/modification/deletion documented</t>
        </is>
      </c>
      <c r="C6" s="19" t="inlineStr">
        <is>
          <t>Document Review</t>
        </is>
      </c>
    </row>
    <row r="7">
      <c r="A7" s="19" t="inlineStr">
        <is>
          <t>System shall implement privileged access management</t>
        </is>
      </c>
      <c r="B7" s="19" t="inlineStr">
        <is>
          <t>Privileged access logged and monitored</t>
        </is>
      </c>
      <c r="C7" s="19" t="inlineStr">
        <is>
          <t>Configuration Review</t>
        </is>
      </c>
    </row>
    <row r="8">
      <c r="A8" s="19" t="inlineStr">
        <is>
          <t>System shall implement password rotation policy: 90 days maximum</t>
        </is>
      </c>
      <c r="B8" s="19" t="inlineStr">
        <is>
          <t>Password rotation enforced; 90-day max verified</t>
        </is>
      </c>
      <c r="C8" s="19" t="inlineStr">
        <is>
          <t>Configuration Review</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showGridLines="0" workbookViewId="0">
      <selection activeCell="A1" sqref="A1"/>
    </sheetView>
  </sheetViews>
  <sheetFormatPr baseColWidth="8" defaultRowHeight="15"/>
  <cols>
    <col width="60" customWidth="1" min="1" max="1"/>
    <col width="50" customWidth="1" min="2" max="2"/>
    <col width="25" customWidth="1" min="3" max="3"/>
  </cols>
  <sheetData>
    <row r="1" ht="35" customHeight="1">
      <c r="A1" s="11" t="inlineStr">
        <is>
          <t>EXAMPLE REQUIREMENTS: INFRASTRUCTURE SECURITY</t>
        </is>
      </c>
    </row>
    <row r="3">
      <c r="A3" s="18" t="inlineStr">
        <is>
          <t>Example Requirement</t>
        </is>
      </c>
      <c r="B3" s="18" t="inlineStr">
        <is>
          <t>Acceptance Criteria</t>
        </is>
      </c>
      <c r="C3" s="18" t="inlineStr">
        <is>
          <t>Verification Method</t>
        </is>
      </c>
    </row>
    <row r="4">
      <c r="A4" s="19" t="inlineStr">
        <is>
          <t>System shall implement network segmentation separating prod from dev</t>
        </is>
      </c>
      <c r="B4" s="19" t="inlineStr">
        <is>
          <t>Network zones documented; Firewall enforcing segmentation</t>
        </is>
      </c>
      <c r="C4" s="19" t="inlineStr">
        <is>
          <t>Configuration Review</t>
        </is>
      </c>
    </row>
    <row r="5">
      <c r="A5" s="19" t="inlineStr">
        <is>
          <t>System shall implement firewall rules following deny-by-default</t>
        </is>
      </c>
      <c r="B5" s="19" t="inlineStr">
        <is>
          <t>Default deny configured; Only required ports open</t>
        </is>
      </c>
      <c r="C5" s="19" t="inlineStr">
        <is>
          <t>Configuration Review</t>
        </is>
      </c>
    </row>
    <row r="6">
      <c r="A6" s="19" t="inlineStr">
        <is>
          <t>System shall implement server hardening per CIS benchmarks</t>
        </is>
      </c>
      <c r="B6" s="19" t="inlineStr">
        <is>
          <t>CIS benchmark applied; Hardening verified</t>
        </is>
      </c>
      <c r="C6" s="19" t="inlineStr">
        <is>
          <t>Vulnerability Scan</t>
        </is>
      </c>
    </row>
    <row r="7">
      <c r="A7" s="19" t="inlineStr">
        <is>
          <t>System shall implement patch management: critical patches within 30 days</t>
        </is>
      </c>
      <c r="B7" s="19" t="inlineStr">
        <is>
          <t>Patch management process documented; Critical patches applied</t>
        </is>
      </c>
      <c r="C7" s="19" t="inlineStr">
        <is>
          <t>Configuration Review</t>
        </is>
      </c>
    </row>
    <row r="8">
      <c r="A8" s="19" t="inlineStr">
        <is>
          <t>System shall implement security monitoring and SIEM integration</t>
        </is>
      </c>
      <c r="B8" s="19" t="inlineStr">
        <is>
          <t>SIEM configured; Security events forwarded</t>
        </is>
      </c>
      <c r="C8" s="19" t="inlineStr">
        <is>
          <t>Configuration Review</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showGridLines="0" workbookViewId="0">
      <selection activeCell="A1" sqref="A1"/>
    </sheetView>
  </sheetViews>
  <sheetFormatPr baseColWidth="8" defaultRowHeight="15"/>
  <cols>
    <col width="60" customWidth="1" min="1" max="1"/>
    <col width="50" customWidth="1" min="2" max="2"/>
    <col width="25" customWidth="1" min="3" max="3"/>
  </cols>
  <sheetData>
    <row r="1" ht="35" customHeight="1">
      <c r="A1" s="11" t="inlineStr">
        <is>
          <t>EXAMPLE REQUIREMENTS: THIRD-PARTY SECURITY</t>
        </is>
      </c>
    </row>
    <row r="3">
      <c r="A3" s="18" t="inlineStr">
        <is>
          <t>Example Requirement</t>
        </is>
      </c>
      <c r="B3" s="18" t="inlineStr">
        <is>
          <t>Acceptance Criteria</t>
        </is>
      </c>
      <c r="C3" s="18" t="inlineStr">
        <is>
          <t>Verification Method</t>
        </is>
      </c>
    </row>
    <row r="4">
      <c r="A4" s="19" t="inlineStr">
        <is>
          <t>System shall conduct security assessment of vendors handling Restricted data</t>
        </is>
      </c>
      <c r="B4" s="19" t="inlineStr">
        <is>
          <t>Vendor security questionnaire completed; Assessment documented</t>
        </is>
      </c>
      <c r="C4" s="19" t="inlineStr">
        <is>
          <t>Document Review</t>
        </is>
      </c>
    </row>
    <row r="5">
      <c r="A5" s="19" t="inlineStr">
        <is>
          <t>System shall implement vendor contracts with security requirements</t>
        </is>
      </c>
      <c r="B5" s="19" t="inlineStr">
        <is>
          <t>Contracts include security clauses; NDA executed</t>
        </is>
      </c>
      <c r="C5" s="19" t="inlineStr">
        <is>
          <t>Document Review</t>
        </is>
      </c>
    </row>
    <row r="6">
      <c r="A6" s="19" t="inlineStr">
        <is>
          <t>System shall conduct API security assessment for third-party integrations</t>
        </is>
      </c>
      <c r="B6" s="19" t="inlineStr">
        <is>
          <t>API security review completed; Vulnerabilities remediated</t>
        </is>
      </c>
      <c r="C6" s="19" t="inlineStr">
        <is>
          <t>Penetration Test</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
  <sheetViews>
    <sheetView showGridLines="0" workbookViewId="0">
      <selection activeCell="A1" sqref="A1"/>
    </sheetView>
  </sheetViews>
  <sheetFormatPr baseColWidth="8" defaultRowHeight="15"/>
  <cols>
    <col width="60" customWidth="1" min="1" max="1"/>
    <col width="50" customWidth="1" min="2" max="2"/>
    <col width="25" customWidth="1" min="3" max="3"/>
  </cols>
  <sheetData>
    <row r="1" ht="35" customHeight="1">
      <c r="A1" s="11" t="inlineStr">
        <is>
          <t>EXAMPLE REQUIREMENTS: COMPLIANCE &amp; REGULATORY</t>
        </is>
      </c>
    </row>
    <row r="3">
      <c r="A3" s="18" t="inlineStr">
        <is>
          <t>Example Requirement</t>
        </is>
      </c>
      <c r="B3" s="18" t="inlineStr">
        <is>
          <t>Acceptance Criteria</t>
        </is>
      </c>
      <c r="C3" s="18" t="inlineStr">
        <is>
          <t>Verification Method</t>
        </is>
      </c>
    </row>
    <row r="4">
      <c r="A4" s="19" t="inlineStr">
        <is>
          <t>System shall comply with GDPR Article 32 security requirements</t>
        </is>
      </c>
      <c r="B4" s="19" t="inlineStr">
        <is>
          <t>TOMs documented; Risk assessment completed</t>
        </is>
      </c>
      <c r="C4" s="19" t="inlineStr">
        <is>
          <t>Document Review</t>
        </is>
      </c>
    </row>
    <row r="5">
      <c r="A5" s="19" t="inlineStr">
        <is>
          <t>System shall comply with nDSG data protection requirements</t>
        </is>
      </c>
      <c r="B5" s="19" t="inlineStr">
        <is>
          <t>Swiss data residency verified; DPA executed</t>
        </is>
      </c>
      <c r="C5" s="19" t="inlineStr">
        <is>
          <t>Document Review</t>
        </is>
      </c>
    </row>
    <row r="6">
      <c r="A6" s="19" t="inlineStr">
        <is>
          <t>System shall implement audit logging per ISO 27001 requirements</t>
        </is>
      </c>
      <c r="B6" s="19" t="inlineStr">
        <is>
          <t>Audit logs configured; 6-month retention</t>
        </is>
      </c>
      <c r="C6" s="19" t="inlineStr">
        <is>
          <t>Configuration Review</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12" customWidth="1" min="1" max="1"/>
    <col width="40" customWidth="1" min="2" max="2"/>
    <col width="40" customWidth="1" min="3" max="3"/>
    <col width="20" customWidth="1" min="4" max="4"/>
    <col width="15" customWidth="1" min="5" max="5"/>
    <col width="12" customWidth="1" min="6" max="6"/>
  </cols>
  <sheetData>
    <row r="1" ht="35" customHeight="1">
      <c r="A1" s="11" t="inlineStr">
        <is>
          <t>TRACEABILITY MATRIX</t>
        </is>
      </c>
    </row>
    <row r="2">
      <c r="A2" s="12" t="inlineStr">
        <is>
          <t>ISO/IEC 27001:2022 - Control A.5.8: Information Security in Project Management — Link security requirements to design, implementation and test cases</t>
        </is>
      </c>
    </row>
    <row r="3">
      <c r="A3" s="18" t="inlineStr">
        <is>
          <t>Req ID</t>
        </is>
      </c>
      <c r="B3" s="18" t="inlineStr">
        <is>
          <t>Design Artifact</t>
        </is>
      </c>
      <c r="C3" s="18" t="inlineStr">
        <is>
          <t>Implementation Reference</t>
        </is>
      </c>
      <c r="D3" s="18" t="inlineStr">
        <is>
          <t>Test Case ID</t>
        </is>
      </c>
      <c r="E3" s="18" t="inlineStr">
        <is>
          <t>Test Result</t>
        </is>
      </c>
      <c r="F3" s="18" t="inlineStr">
        <is>
          <t>Verified</t>
        </is>
      </c>
    </row>
    <row r="4">
      <c r="A4" s="14" t="inlineStr">
        <is>
          <t>REQ-001</t>
        </is>
      </c>
      <c r="B4" s="14" t="inlineStr">
        <is>
          <t>Security Architecture Doc v1.0</t>
        </is>
      </c>
      <c r="C4" s="14" t="inlineStr">
        <is>
          <t>Auth module — src/auth/login.py</t>
        </is>
      </c>
      <c r="D4" s="14" t="inlineStr">
        <is>
          <t>TC-AUTH-001</t>
        </is>
      </c>
      <c r="E4" s="14" t="inlineStr">
        <is>
          <t>Pass</t>
        </is>
      </c>
      <c r="F4" s="14" t="inlineStr">
        <is>
          <t>Yes</t>
        </is>
      </c>
    </row>
    <row r="5">
      <c r="A5" s="16" t="n"/>
      <c r="B5" s="16" t="n"/>
      <c r="C5" s="16" t="n"/>
      <c r="D5" s="16" t="n"/>
      <c r="E5" s="16" t="n"/>
      <c r="F5" s="16" t="n"/>
    </row>
    <row r="6">
      <c r="A6" s="16" t="n"/>
      <c r="B6" s="16" t="n"/>
      <c r="C6" s="16" t="n"/>
      <c r="D6" s="16" t="n"/>
      <c r="E6" s="16" t="n"/>
      <c r="F6" s="16" t="n"/>
    </row>
    <row r="7">
      <c r="A7" s="16" t="n"/>
      <c r="B7" s="16" t="n"/>
      <c r="C7" s="16" t="n"/>
      <c r="D7" s="16" t="n"/>
      <c r="E7" s="16" t="n"/>
      <c r="F7" s="16" t="n"/>
    </row>
    <row r="8">
      <c r="A8" s="16" t="n"/>
      <c r="B8" s="16" t="n"/>
      <c r="C8" s="16" t="n"/>
      <c r="D8" s="16" t="n"/>
      <c r="E8" s="16" t="n"/>
      <c r="F8" s="16" t="n"/>
    </row>
    <row r="9">
      <c r="A9" s="16" t="n"/>
      <c r="B9" s="16" t="n"/>
      <c r="C9" s="16" t="n"/>
      <c r="D9" s="16" t="n"/>
      <c r="E9" s="16" t="n"/>
      <c r="F9" s="16" t="n"/>
    </row>
    <row r="10">
      <c r="A10" s="16" t="n"/>
      <c r="B10" s="16" t="n"/>
      <c r="C10" s="16" t="n"/>
      <c r="D10" s="16" t="n"/>
      <c r="E10" s="16" t="n"/>
      <c r="F10" s="16" t="n"/>
    </row>
    <row r="11">
      <c r="A11" s="16" t="n"/>
      <c r="B11" s="16" t="n"/>
      <c r="C11" s="16" t="n"/>
      <c r="D11" s="16" t="n"/>
      <c r="E11" s="16" t="n"/>
      <c r="F11" s="16" t="n"/>
    </row>
    <row r="12">
      <c r="A12" s="16" t="n"/>
      <c r="B12" s="16" t="n"/>
      <c r="C12" s="16" t="n"/>
      <c r="D12" s="16" t="n"/>
      <c r="E12" s="16" t="n"/>
      <c r="F12" s="16" t="n"/>
    </row>
    <row r="13">
      <c r="A13" s="16" t="n"/>
      <c r="B13" s="16" t="n"/>
      <c r="C13" s="16" t="n"/>
      <c r="D13" s="16" t="n"/>
      <c r="E13" s="16" t="n"/>
      <c r="F13" s="16" t="n"/>
    </row>
    <row r="14">
      <c r="A14" s="16" t="n"/>
      <c r="B14" s="16" t="n"/>
      <c r="C14" s="16" t="n"/>
      <c r="D14" s="16" t="n"/>
      <c r="E14" s="16" t="n"/>
      <c r="F14" s="16" t="n"/>
    </row>
    <row r="15">
      <c r="A15" s="16" t="n"/>
      <c r="B15" s="16" t="n"/>
      <c r="C15" s="16" t="n"/>
      <c r="D15" s="16" t="n"/>
      <c r="E15" s="16" t="n"/>
      <c r="F15" s="16" t="n"/>
    </row>
    <row r="16">
      <c r="A16" s="16" t="n"/>
      <c r="B16" s="16" t="n"/>
      <c r="C16" s="16" t="n"/>
      <c r="D16" s="16" t="n"/>
      <c r="E16" s="16" t="n"/>
      <c r="F16" s="16" t="n"/>
    </row>
    <row r="17">
      <c r="A17" s="16" t="n"/>
      <c r="B17" s="16" t="n"/>
      <c r="C17" s="16" t="n"/>
      <c r="D17" s="16" t="n"/>
      <c r="E17" s="16" t="n"/>
      <c r="F17" s="16" t="n"/>
    </row>
    <row r="18">
      <c r="A18" s="16" t="n"/>
      <c r="B18" s="16" t="n"/>
      <c r="C18" s="16" t="n"/>
      <c r="D18" s="16" t="n"/>
      <c r="E18" s="16" t="n"/>
      <c r="F18" s="16" t="n"/>
    </row>
    <row r="19">
      <c r="A19" s="16" t="n"/>
      <c r="B19" s="16" t="n"/>
      <c r="C19" s="16" t="n"/>
      <c r="D19" s="16" t="n"/>
      <c r="E19" s="16" t="n"/>
      <c r="F19" s="16" t="n"/>
    </row>
    <row r="20">
      <c r="A20" s="16" t="n"/>
      <c r="B20" s="16" t="n"/>
      <c r="C20" s="16" t="n"/>
      <c r="D20" s="16" t="n"/>
      <c r="E20" s="16" t="n"/>
      <c r="F20" s="16" t="n"/>
    </row>
    <row r="21">
      <c r="A21" s="16" t="n"/>
      <c r="B21" s="16" t="n"/>
      <c r="C21" s="16" t="n"/>
      <c r="D21" s="16" t="n"/>
      <c r="E21" s="16" t="n"/>
      <c r="F21" s="16" t="n"/>
    </row>
    <row r="22">
      <c r="A22" s="16" t="n"/>
      <c r="B22" s="16" t="n"/>
      <c r="C22" s="16" t="n"/>
      <c r="D22" s="16" t="n"/>
      <c r="E22" s="16" t="n"/>
      <c r="F22" s="16" t="n"/>
    </row>
    <row r="23">
      <c r="A23" s="16" t="n"/>
      <c r="B23" s="16" t="n"/>
      <c r="C23" s="16" t="n"/>
      <c r="D23" s="16" t="n"/>
      <c r="E23" s="16" t="n"/>
      <c r="F23" s="16" t="n"/>
    </row>
    <row r="24">
      <c r="A24" s="16" t="n"/>
      <c r="B24" s="16" t="n"/>
      <c r="C24" s="16" t="n"/>
      <c r="D24" s="16" t="n"/>
      <c r="E24" s="16" t="n"/>
      <c r="F24" s="16" t="n"/>
    </row>
    <row r="25">
      <c r="A25" s="16" t="n"/>
      <c r="B25" s="16" t="n"/>
      <c r="C25" s="16" t="n"/>
      <c r="D25" s="16" t="n"/>
      <c r="E25" s="16" t="n"/>
      <c r="F25" s="16" t="n"/>
    </row>
    <row r="26">
      <c r="A26" s="16" t="n"/>
      <c r="B26" s="16" t="n"/>
      <c r="C26" s="16" t="n"/>
      <c r="D26" s="16" t="n"/>
      <c r="E26" s="16" t="n"/>
      <c r="F26" s="16" t="n"/>
    </row>
    <row r="27">
      <c r="A27" s="16" t="n"/>
      <c r="B27" s="16" t="n"/>
      <c r="C27" s="16" t="n"/>
      <c r="D27" s="16" t="n"/>
      <c r="E27" s="16" t="n"/>
      <c r="F27" s="16" t="n"/>
    </row>
    <row r="28">
      <c r="A28" s="16" t="n"/>
      <c r="B28" s="16" t="n"/>
      <c r="C28" s="16" t="n"/>
      <c r="D28" s="16" t="n"/>
      <c r="E28" s="16" t="n"/>
      <c r="F28" s="16" t="n"/>
    </row>
    <row r="29">
      <c r="A29" s="16" t="n"/>
      <c r="B29" s="16" t="n"/>
      <c r="C29" s="16" t="n"/>
      <c r="D29" s="16" t="n"/>
      <c r="E29" s="16" t="n"/>
      <c r="F29" s="16" t="n"/>
    </row>
    <row r="30">
      <c r="A30" s="16" t="n"/>
      <c r="B30" s="16" t="n"/>
      <c r="C30" s="16" t="n"/>
      <c r="D30" s="16" t="n"/>
      <c r="E30" s="16" t="n"/>
      <c r="F30" s="16" t="n"/>
    </row>
    <row r="31">
      <c r="A31" s="16" t="n"/>
      <c r="B31" s="16" t="n"/>
      <c r="C31" s="16" t="n"/>
      <c r="D31" s="16" t="n"/>
      <c r="E31" s="16" t="n"/>
      <c r="F31" s="16" t="n"/>
    </row>
    <row r="32">
      <c r="A32" s="16" t="n"/>
      <c r="B32" s="16" t="n"/>
      <c r="C32" s="16" t="n"/>
      <c r="D32" s="16" t="n"/>
      <c r="E32" s="16" t="n"/>
      <c r="F32" s="16" t="n"/>
    </row>
    <row r="33">
      <c r="A33" s="16" t="n"/>
      <c r="B33" s="16" t="n"/>
      <c r="C33" s="16" t="n"/>
      <c r="D33" s="16" t="n"/>
      <c r="E33" s="16" t="n"/>
      <c r="F33" s="16" t="n"/>
    </row>
    <row r="34">
      <c r="A34" s="16" t="n"/>
      <c r="B34" s="16" t="n"/>
      <c r="C34" s="16" t="n"/>
      <c r="D34" s="16" t="n"/>
      <c r="E34" s="16" t="n"/>
      <c r="F34" s="16" t="n"/>
    </row>
    <row r="35">
      <c r="A35" s="16" t="n"/>
      <c r="B35" s="16" t="n"/>
      <c r="C35" s="16" t="n"/>
      <c r="D35" s="16" t="n"/>
      <c r="E35" s="16" t="n"/>
      <c r="F35" s="16" t="n"/>
    </row>
    <row r="36">
      <c r="A36" s="16" t="n"/>
      <c r="B36" s="16" t="n"/>
      <c r="C36" s="16" t="n"/>
      <c r="D36" s="16" t="n"/>
      <c r="E36" s="16" t="n"/>
      <c r="F36" s="16" t="n"/>
    </row>
    <row r="37">
      <c r="A37" s="16" t="n"/>
      <c r="B37" s="16" t="n"/>
      <c r="C37" s="16" t="n"/>
      <c r="D37" s="16" t="n"/>
      <c r="E37" s="16" t="n"/>
      <c r="F37" s="16" t="n"/>
    </row>
    <row r="38">
      <c r="A38" s="16" t="n"/>
      <c r="B38" s="16" t="n"/>
      <c r="C38" s="16" t="n"/>
      <c r="D38" s="16" t="n"/>
      <c r="E38" s="16" t="n"/>
      <c r="F38" s="16" t="n"/>
    </row>
    <row r="39">
      <c r="A39" s="16" t="n"/>
      <c r="B39" s="16" t="n"/>
      <c r="C39" s="16" t="n"/>
      <c r="D39" s="16" t="n"/>
      <c r="E39" s="16" t="n"/>
      <c r="F39" s="16" t="n"/>
    </row>
    <row r="40">
      <c r="A40" s="16" t="n"/>
      <c r="B40" s="16" t="n"/>
      <c r="C40" s="16" t="n"/>
      <c r="D40" s="16" t="n"/>
      <c r="E40" s="16" t="n"/>
      <c r="F40" s="16" t="n"/>
    </row>
    <row r="41">
      <c r="A41" s="16" t="n"/>
      <c r="B41" s="16" t="n"/>
      <c r="C41" s="16" t="n"/>
      <c r="D41" s="16" t="n"/>
      <c r="E41" s="16" t="n"/>
      <c r="F41" s="16" t="n"/>
    </row>
    <row r="42">
      <c r="A42" s="16" t="n"/>
      <c r="B42" s="16" t="n"/>
      <c r="C42" s="16" t="n"/>
      <c r="D42" s="16" t="n"/>
      <c r="E42" s="16" t="n"/>
      <c r="F42" s="16" t="n"/>
    </row>
    <row r="43">
      <c r="A43" s="16" t="n"/>
      <c r="B43" s="16" t="n"/>
      <c r="C43" s="16" t="n"/>
      <c r="D43" s="16" t="n"/>
      <c r="E43" s="16" t="n"/>
      <c r="F43" s="16" t="n"/>
    </row>
    <row r="44">
      <c r="A44" s="16" t="n"/>
      <c r="B44" s="16" t="n"/>
      <c r="C44" s="16" t="n"/>
      <c r="D44" s="16" t="n"/>
      <c r="E44" s="16" t="n"/>
      <c r="F44" s="16" t="n"/>
    </row>
    <row r="45">
      <c r="A45" s="16" t="n"/>
      <c r="B45" s="16" t="n"/>
      <c r="C45" s="16" t="n"/>
      <c r="D45" s="16" t="n"/>
      <c r="E45" s="16" t="n"/>
      <c r="F45" s="16" t="n"/>
    </row>
    <row r="46">
      <c r="A46" s="16" t="n"/>
      <c r="B46" s="16" t="n"/>
      <c r="C46" s="16" t="n"/>
      <c r="D46" s="16" t="n"/>
      <c r="E46" s="16" t="n"/>
      <c r="F46" s="16" t="n"/>
    </row>
    <row r="47">
      <c r="A47" s="16" t="n"/>
      <c r="B47" s="16" t="n"/>
      <c r="C47" s="16" t="n"/>
      <c r="D47" s="16" t="n"/>
      <c r="E47" s="16" t="n"/>
      <c r="F47" s="16" t="n"/>
    </row>
    <row r="48">
      <c r="A48" s="16" t="n"/>
      <c r="B48" s="16" t="n"/>
      <c r="C48" s="16" t="n"/>
      <c r="D48" s="16" t="n"/>
      <c r="E48" s="16" t="n"/>
      <c r="F48" s="16" t="n"/>
    </row>
    <row r="49">
      <c r="A49" s="16" t="n"/>
      <c r="B49" s="16" t="n"/>
      <c r="C49" s="16" t="n"/>
      <c r="D49" s="16" t="n"/>
      <c r="E49" s="16" t="n"/>
      <c r="F49" s="16" t="n"/>
    </row>
    <row r="50">
      <c r="A50" s="16" t="n"/>
      <c r="B50" s="16" t="n"/>
      <c r="C50" s="16" t="n"/>
      <c r="D50" s="16" t="n"/>
      <c r="E50" s="16" t="n"/>
      <c r="F50" s="16" t="n"/>
    </row>
    <row r="51">
      <c r="A51" s="16" t="n"/>
      <c r="B51" s="16" t="n"/>
      <c r="C51" s="16" t="n"/>
      <c r="D51" s="16" t="n"/>
      <c r="E51" s="16" t="n"/>
      <c r="F51" s="16" t="n"/>
    </row>
    <row r="52">
      <c r="A52" s="16" t="n"/>
      <c r="B52" s="16" t="n"/>
      <c r="C52" s="16" t="n"/>
      <c r="D52" s="16" t="n"/>
      <c r="E52" s="16" t="n"/>
      <c r="F52" s="16" t="n"/>
    </row>
    <row r="53">
      <c r="A53" s="16" t="n"/>
      <c r="B53" s="16" t="n"/>
      <c r="C53" s="16" t="n"/>
      <c r="D53" s="16" t="n"/>
      <c r="E53" s="16" t="n"/>
      <c r="F53" s="16" t="n"/>
    </row>
    <row r="54">
      <c r="A54" s="16" t="n"/>
      <c r="B54" s="16" t="n"/>
      <c r="C54" s="16" t="n"/>
      <c r="D54" s="16" t="n"/>
      <c r="E54" s="16" t="n"/>
      <c r="F54" s="16" t="n"/>
    </row>
  </sheetData>
  <mergeCells count="2">
    <mergeCell ref="A2:F2"/>
    <mergeCell ref="A1:F1"/>
  </mergeCells>
  <dataValidations count="2">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"Pass,Fail,Blocked,N/A"</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15" customWidth="1" min="3" max="3"/>
    <col width="50" customWidth="1" min="4" max="4"/>
  </cols>
  <sheetData>
    <row r="1" ht="35" customHeight="1">
      <c r="A1" s="11" t="inlineStr">
        <is>
          <t>VERIFICATION CHECKLIST</t>
        </is>
      </c>
    </row>
    <row r="2">
      <c r="A2" s="12" t="inlineStr">
        <is>
          <t>ISO/IEC 27001:2022 - Control A.5.8: Information Security in Project Management — Track testing and verification status for each security requirement</t>
        </is>
      </c>
    </row>
    <row r="3">
      <c r="A3" s="18" t="inlineStr">
        <is>
          <t>Requirement ID</t>
        </is>
      </c>
      <c r="B3" s="18" t="inlineStr">
        <is>
          <t>Verification Method</t>
        </is>
      </c>
      <c r="C3" s="18" t="inlineStr">
        <is>
          <t>Test Status</t>
        </is>
      </c>
      <c r="D3" s="18" t="inlineStr">
        <is>
          <t>Notes</t>
        </is>
      </c>
    </row>
    <row r="4">
      <c r="A4" s="14" t="inlineStr">
        <is>
          <t>REQ-001</t>
        </is>
      </c>
      <c r="B4" s="14" t="inlineStr">
        <is>
          <t>SAST + Penetration Test</t>
        </is>
      </c>
      <c r="C4" s="14" t="inlineStr">
        <is>
          <t>Pass</t>
        </is>
      </c>
      <c r="D4" s="14" t="inlineStr">
        <is>
          <t>Input validation verified — no SQL injection</t>
        </is>
      </c>
    </row>
    <row r="5">
      <c r="A5" s="16" t="n"/>
      <c r="B5" s="16" t="n"/>
      <c r="C5" s="16" t="n"/>
      <c r="D5" s="16" t="n"/>
    </row>
    <row r="6">
      <c r="A6" s="16" t="n"/>
      <c r="B6" s="16" t="n"/>
      <c r="C6" s="16" t="n"/>
      <c r="D6" s="16" t="n"/>
    </row>
    <row r="7">
      <c r="A7" s="16" t="n"/>
      <c r="B7" s="16" t="n"/>
      <c r="C7" s="16" t="n"/>
      <c r="D7" s="16" t="n"/>
    </row>
    <row r="8">
      <c r="A8" s="16" t="n"/>
      <c r="B8" s="16" t="n"/>
      <c r="C8" s="16" t="n"/>
      <c r="D8" s="16" t="n"/>
    </row>
    <row r="9">
      <c r="A9" s="16" t="n"/>
      <c r="B9" s="16" t="n"/>
      <c r="C9" s="16" t="n"/>
      <c r="D9" s="16" t="n"/>
    </row>
    <row r="10">
      <c r="A10" s="16" t="n"/>
      <c r="B10" s="16" t="n"/>
      <c r="C10" s="16" t="n"/>
      <c r="D10" s="16" t="n"/>
    </row>
    <row r="11">
      <c r="A11" s="16" t="n"/>
      <c r="B11" s="16" t="n"/>
      <c r="C11" s="16" t="n"/>
      <c r="D11" s="16" t="n"/>
    </row>
    <row r="12">
      <c r="A12" s="16" t="n"/>
      <c r="B12" s="16" t="n"/>
      <c r="C12" s="16" t="n"/>
      <c r="D12" s="16" t="n"/>
    </row>
    <row r="13">
      <c r="A13" s="16" t="n"/>
      <c r="B13" s="16" t="n"/>
      <c r="C13" s="16" t="n"/>
      <c r="D13" s="16" t="n"/>
    </row>
    <row r="14">
      <c r="A14" s="16" t="n"/>
      <c r="B14" s="16" t="n"/>
      <c r="C14" s="16" t="n"/>
      <c r="D14" s="16" t="n"/>
    </row>
    <row r="15">
      <c r="A15" s="16" t="n"/>
      <c r="B15" s="16" t="n"/>
      <c r="C15" s="16" t="n"/>
      <c r="D15" s="16" t="n"/>
    </row>
    <row r="16">
      <c r="A16" s="16" t="n"/>
      <c r="B16" s="16" t="n"/>
      <c r="C16" s="16" t="n"/>
      <c r="D16" s="16" t="n"/>
    </row>
    <row r="17">
      <c r="A17" s="16" t="n"/>
      <c r="B17" s="16" t="n"/>
      <c r="C17" s="16" t="n"/>
      <c r="D17" s="16" t="n"/>
    </row>
    <row r="18">
      <c r="A18" s="16" t="n"/>
      <c r="B18" s="16" t="n"/>
      <c r="C18" s="16" t="n"/>
      <c r="D18" s="16" t="n"/>
    </row>
    <row r="19">
      <c r="A19" s="16" t="n"/>
      <c r="B19" s="16" t="n"/>
      <c r="C19" s="16" t="n"/>
      <c r="D19" s="16" t="n"/>
    </row>
    <row r="20">
      <c r="A20" s="16" t="n"/>
      <c r="B20" s="16" t="n"/>
      <c r="C20" s="16" t="n"/>
      <c r="D20" s="16" t="n"/>
    </row>
    <row r="21">
      <c r="A21" s="16" t="n"/>
      <c r="B21" s="16" t="n"/>
      <c r="C21" s="16" t="n"/>
      <c r="D21" s="16" t="n"/>
    </row>
    <row r="22">
      <c r="A22" s="16" t="n"/>
      <c r="B22" s="16" t="n"/>
      <c r="C22" s="16" t="n"/>
      <c r="D22" s="16" t="n"/>
    </row>
    <row r="23">
      <c r="A23" s="16" t="n"/>
      <c r="B23" s="16" t="n"/>
      <c r="C23" s="16" t="n"/>
      <c r="D23" s="16" t="n"/>
    </row>
    <row r="24">
      <c r="A24" s="16" t="n"/>
      <c r="B24" s="16" t="n"/>
      <c r="C24" s="16" t="n"/>
      <c r="D24" s="16" t="n"/>
    </row>
    <row r="25">
      <c r="A25" s="16" t="n"/>
      <c r="B25" s="16" t="n"/>
      <c r="C25" s="16" t="n"/>
      <c r="D25" s="16" t="n"/>
    </row>
    <row r="26">
      <c r="A26" s="16" t="n"/>
      <c r="B26" s="16" t="n"/>
      <c r="C26" s="16" t="n"/>
      <c r="D26" s="16" t="n"/>
    </row>
    <row r="27">
      <c r="A27" s="16" t="n"/>
      <c r="B27" s="16" t="n"/>
      <c r="C27" s="16" t="n"/>
      <c r="D27" s="16" t="n"/>
    </row>
    <row r="28">
      <c r="A28" s="16" t="n"/>
      <c r="B28" s="16" t="n"/>
      <c r="C28" s="16" t="n"/>
      <c r="D28" s="16" t="n"/>
    </row>
    <row r="29">
      <c r="A29" s="16" t="n"/>
      <c r="B29" s="16" t="n"/>
      <c r="C29" s="16" t="n"/>
      <c r="D29" s="16" t="n"/>
    </row>
    <row r="30">
      <c r="A30" s="16" t="n"/>
      <c r="B30" s="16" t="n"/>
      <c r="C30" s="16" t="n"/>
      <c r="D30" s="16" t="n"/>
    </row>
    <row r="31">
      <c r="A31" s="16" t="n"/>
      <c r="B31" s="16" t="n"/>
      <c r="C31" s="16" t="n"/>
      <c r="D31" s="16" t="n"/>
    </row>
    <row r="32">
      <c r="A32" s="16" t="n"/>
      <c r="B32" s="16" t="n"/>
      <c r="C32" s="16" t="n"/>
      <c r="D32" s="16" t="n"/>
    </row>
    <row r="33">
      <c r="A33" s="16" t="n"/>
      <c r="B33" s="16" t="n"/>
      <c r="C33" s="16" t="n"/>
      <c r="D33" s="16" t="n"/>
    </row>
    <row r="34">
      <c r="A34" s="16" t="n"/>
      <c r="B34" s="16" t="n"/>
      <c r="C34" s="16" t="n"/>
      <c r="D34" s="16" t="n"/>
    </row>
    <row r="35">
      <c r="A35" s="16" t="n"/>
      <c r="B35" s="16" t="n"/>
      <c r="C35" s="16" t="n"/>
      <c r="D35" s="16" t="n"/>
    </row>
    <row r="36">
      <c r="A36" s="16" t="n"/>
      <c r="B36" s="16" t="n"/>
      <c r="C36" s="16" t="n"/>
      <c r="D36" s="16" t="n"/>
    </row>
    <row r="37">
      <c r="A37" s="16" t="n"/>
      <c r="B37" s="16" t="n"/>
      <c r="C37" s="16" t="n"/>
      <c r="D37" s="16" t="n"/>
    </row>
    <row r="38">
      <c r="A38" s="16" t="n"/>
      <c r="B38" s="16" t="n"/>
      <c r="C38" s="16" t="n"/>
      <c r="D38" s="16" t="n"/>
    </row>
    <row r="39">
      <c r="A39" s="16" t="n"/>
      <c r="B39" s="16" t="n"/>
      <c r="C39" s="16" t="n"/>
      <c r="D39" s="16" t="n"/>
    </row>
    <row r="40">
      <c r="A40" s="16" t="n"/>
      <c r="B40" s="16" t="n"/>
      <c r="C40" s="16" t="n"/>
      <c r="D40" s="16" t="n"/>
    </row>
    <row r="41">
      <c r="A41" s="16" t="n"/>
      <c r="B41" s="16" t="n"/>
      <c r="C41" s="16" t="n"/>
      <c r="D41" s="16" t="n"/>
    </row>
    <row r="42">
      <c r="A42" s="16" t="n"/>
      <c r="B42" s="16" t="n"/>
      <c r="C42" s="16" t="n"/>
      <c r="D42" s="16" t="n"/>
    </row>
    <row r="43">
      <c r="A43" s="16" t="n"/>
      <c r="B43" s="16" t="n"/>
      <c r="C43" s="16" t="n"/>
      <c r="D43" s="16" t="n"/>
    </row>
    <row r="44">
      <c r="A44" s="16" t="n"/>
      <c r="B44" s="16" t="n"/>
      <c r="C44" s="16" t="n"/>
      <c r="D44" s="16" t="n"/>
    </row>
    <row r="45">
      <c r="A45" s="16" t="n"/>
      <c r="B45" s="16" t="n"/>
      <c r="C45" s="16" t="n"/>
      <c r="D45" s="16" t="n"/>
    </row>
    <row r="46">
      <c r="A46" s="16" t="n"/>
      <c r="B46" s="16" t="n"/>
      <c r="C46" s="16" t="n"/>
      <c r="D46" s="16" t="n"/>
    </row>
    <row r="47">
      <c r="A47" s="16" t="n"/>
      <c r="B47" s="16" t="n"/>
      <c r="C47" s="16" t="n"/>
      <c r="D47" s="16" t="n"/>
    </row>
    <row r="48">
      <c r="A48" s="16" t="n"/>
      <c r="B48" s="16" t="n"/>
      <c r="C48" s="16" t="n"/>
      <c r="D48" s="16" t="n"/>
    </row>
    <row r="49">
      <c r="A49" s="16" t="n"/>
      <c r="B49" s="16" t="n"/>
      <c r="C49" s="16" t="n"/>
      <c r="D49" s="16" t="n"/>
    </row>
    <row r="50">
      <c r="A50" s="16" t="n"/>
      <c r="B50" s="16" t="n"/>
      <c r="C50" s="16" t="n"/>
      <c r="D50" s="16" t="n"/>
    </row>
    <row r="51">
      <c r="A51" s="16" t="n"/>
      <c r="B51" s="16" t="n"/>
      <c r="C51" s="16" t="n"/>
      <c r="D51" s="16" t="n"/>
    </row>
    <row r="52">
      <c r="A52" s="16" t="n"/>
      <c r="B52" s="16" t="n"/>
      <c r="C52" s="16" t="n"/>
      <c r="D52" s="16" t="n"/>
    </row>
    <row r="53">
      <c r="A53" s="16" t="n"/>
      <c r="B53" s="16" t="n"/>
      <c r="C53" s="16" t="n"/>
      <c r="D53" s="16" t="n"/>
    </row>
    <row r="54">
      <c r="A54" s="16" t="n"/>
      <c r="B54" s="16" t="n"/>
      <c r="C54" s="16" t="n"/>
      <c r="D54" s="16" t="n"/>
    </row>
  </sheetData>
  <mergeCells count="2">
    <mergeCell ref="A1:D1"/>
    <mergeCell ref="A2:D2"/>
  </mergeCells>
  <dataValidations count="1">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"Not Tested,Pass,Fail,Blocked"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12" customWidth="1" min="1" max="1"/>
    <col width="50" customWidth="1" min="2" max="2"/>
    <col width="15" customWidth="1" min="3" max="3"/>
    <col width="50" customWidth="1" min="4" max="4"/>
    <col width="20" customWidth="1" min="5" max="5"/>
    <col width="15" customWidth="1" min="6" max="6"/>
  </cols>
  <sheetData>
    <row r="1" ht="35" customHeight="1">
      <c r="A1" s="11" t="inlineStr">
        <is>
          <t>GAP ANALYSIS</t>
        </is>
      </c>
    </row>
    <row r="2">
      <c r="A2" s="12" t="inlineStr">
        <is>
          <t>ISO/IEC 27001:2022 - Control A.5.8: Information Security in Project Management — Document and track security requirement gaps identified during assessment</t>
        </is>
      </c>
    </row>
    <row r="3">
      <c r="A3" s="18" t="inlineStr">
        <is>
          <t>Req ID</t>
        </is>
      </c>
      <c r="B3" s="18" t="inlineStr">
        <is>
          <t>Gap Description</t>
        </is>
      </c>
      <c r="C3" s="18" t="inlineStr">
        <is>
          <t>Impact</t>
        </is>
      </c>
      <c r="D3" s="18" t="inlineStr">
        <is>
          <t>Remediation Action</t>
        </is>
      </c>
      <c r="E3" s="18" t="inlineStr">
        <is>
          <t>Owner</t>
        </is>
      </c>
      <c r="F3" s="18" t="inlineStr">
        <is>
          <t>Target Date</t>
        </is>
      </c>
    </row>
    <row r="4">
      <c r="A4" s="14" t="inlineStr">
        <is>
          <t>REQ-005</t>
        </is>
      </c>
      <c r="B4" s="14" t="inlineStr">
        <is>
          <t>MFA not implemented for admin accounts — current: password only</t>
        </is>
      </c>
      <c r="C4" s="14" t="inlineStr">
        <is>
          <t>High</t>
        </is>
      </c>
      <c r="D4" s="14" t="inlineStr">
        <is>
          <t>Implement MFA using TOTP/FIDO2 for all privileged accounts</t>
        </is>
      </c>
      <c r="E4" s="14" t="inlineStr">
        <is>
          <t>IT Security Team</t>
        </is>
      </c>
      <c r="F4" s="15" t="inlineStr"/>
    </row>
    <row r="5">
      <c r="A5" s="16" t="n"/>
      <c r="B5" s="16" t="n"/>
      <c r="C5" s="16" t="n"/>
      <c r="D5" s="16" t="n"/>
      <c r="E5" s="16" t="n"/>
      <c r="F5" s="17" t="n"/>
    </row>
    <row r="6">
      <c r="A6" s="16" t="n"/>
      <c r="B6" s="16" t="n"/>
      <c r="C6" s="16" t="n"/>
      <c r="D6" s="16" t="n"/>
      <c r="E6" s="16" t="n"/>
      <c r="F6" s="17" t="n"/>
    </row>
    <row r="7">
      <c r="A7" s="16" t="n"/>
      <c r="B7" s="16" t="n"/>
      <c r="C7" s="16" t="n"/>
      <c r="D7" s="16" t="n"/>
      <c r="E7" s="16" t="n"/>
      <c r="F7" s="17" t="n"/>
    </row>
    <row r="8">
      <c r="A8" s="16" t="n"/>
      <c r="B8" s="16" t="n"/>
      <c r="C8" s="16" t="n"/>
      <c r="D8" s="16" t="n"/>
      <c r="E8" s="16" t="n"/>
      <c r="F8" s="17" t="n"/>
    </row>
    <row r="9">
      <c r="A9" s="16" t="n"/>
      <c r="B9" s="16" t="n"/>
      <c r="C9" s="16" t="n"/>
      <c r="D9" s="16" t="n"/>
      <c r="E9" s="16" t="n"/>
      <c r="F9" s="17" t="n"/>
    </row>
    <row r="10">
      <c r="A10" s="16" t="n"/>
      <c r="B10" s="16" t="n"/>
      <c r="C10" s="16" t="n"/>
      <c r="D10" s="16" t="n"/>
      <c r="E10" s="16" t="n"/>
      <c r="F10" s="17" t="n"/>
    </row>
    <row r="11">
      <c r="A11" s="16" t="n"/>
      <c r="B11" s="16" t="n"/>
      <c r="C11" s="16" t="n"/>
      <c r="D11" s="16" t="n"/>
      <c r="E11" s="16" t="n"/>
      <c r="F11" s="17" t="n"/>
    </row>
    <row r="12">
      <c r="A12" s="16" t="n"/>
      <c r="B12" s="16" t="n"/>
      <c r="C12" s="16" t="n"/>
      <c r="D12" s="16" t="n"/>
      <c r="E12" s="16" t="n"/>
      <c r="F12" s="17" t="n"/>
    </row>
    <row r="13">
      <c r="A13" s="16" t="n"/>
      <c r="B13" s="16" t="n"/>
      <c r="C13" s="16" t="n"/>
      <c r="D13" s="16" t="n"/>
      <c r="E13" s="16" t="n"/>
      <c r="F13" s="17" t="n"/>
    </row>
    <row r="14">
      <c r="A14" s="16" t="n"/>
      <c r="B14" s="16" t="n"/>
      <c r="C14" s="16" t="n"/>
      <c r="D14" s="16" t="n"/>
      <c r="E14" s="16" t="n"/>
      <c r="F14" s="17" t="n"/>
    </row>
    <row r="15">
      <c r="A15" s="16" t="n"/>
      <c r="B15" s="16" t="n"/>
      <c r="C15" s="16" t="n"/>
      <c r="D15" s="16" t="n"/>
      <c r="E15" s="16" t="n"/>
      <c r="F15" s="17" t="n"/>
    </row>
    <row r="16">
      <c r="A16" s="16" t="n"/>
      <c r="B16" s="16" t="n"/>
      <c r="C16" s="16" t="n"/>
      <c r="D16" s="16" t="n"/>
      <c r="E16" s="16" t="n"/>
      <c r="F16" s="17" t="n"/>
    </row>
    <row r="17">
      <c r="A17" s="16" t="n"/>
      <c r="B17" s="16" t="n"/>
      <c r="C17" s="16" t="n"/>
      <c r="D17" s="16" t="n"/>
      <c r="E17" s="16" t="n"/>
      <c r="F17" s="17" t="n"/>
    </row>
    <row r="18">
      <c r="A18" s="16" t="n"/>
      <c r="B18" s="16" t="n"/>
      <c r="C18" s="16" t="n"/>
      <c r="D18" s="16" t="n"/>
      <c r="E18" s="16" t="n"/>
      <c r="F18" s="17" t="n"/>
    </row>
    <row r="19">
      <c r="A19" s="16" t="n"/>
      <c r="B19" s="16" t="n"/>
      <c r="C19" s="16" t="n"/>
      <c r="D19" s="16" t="n"/>
      <c r="E19" s="16" t="n"/>
      <c r="F19" s="17" t="n"/>
    </row>
    <row r="20">
      <c r="A20" s="16" t="n"/>
      <c r="B20" s="16" t="n"/>
      <c r="C20" s="16" t="n"/>
      <c r="D20" s="16" t="n"/>
      <c r="E20" s="16" t="n"/>
      <c r="F20" s="17" t="n"/>
    </row>
    <row r="21">
      <c r="A21" s="16" t="n"/>
      <c r="B21" s="16" t="n"/>
      <c r="C21" s="16" t="n"/>
      <c r="D21" s="16" t="n"/>
      <c r="E21" s="16" t="n"/>
      <c r="F21" s="17" t="n"/>
    </row>
    <row r="22">
      <c r="A22" s="16" t="n"/>
      <c r="B22" s="16" t="n"/>
      <c r="C22" s="16" t="n"/>
      <c r="D22" s="16" t="n"/>
      <c r="E22" s="16" t="n"/>
      <c r="F22" s="17" t="n"/>
    </row>
    <row r="23">
      <c r="A23" s="16" t="n"/>
      <c r="B23" s="16" t="n"/>
      <c r="C23" s="16" t="n"/>
      <c r="D23" s="16" t="n"/>
      <c r="E23" s="16" t="n"/>
      <c r="F23" s="17" t="n"/>
    </row>
    <row r="24">
      <c r="A24" s="16" t="n"/>
      <c r="B24" s="16" t="n"/>
      <c r="C24" s="16" t="n"/>
      <c r="D24" s="16" t="n"/>
      <c r="E24" s="16" t="n"/>
      <c r="F24" s="17" t="n"/>
    </row>
    <row r="25">
      <c r="A25" s="16" t="n"/>
      <c r="B25" s="16" t="n"/>
      <c r="C25" s="16" t="n"/>
      <c r="D25" s="16" t="n"/>
      <c r="E25" s="16" t="n"/>
      <c r="F25" s="17" t="n"/>
    </row>
    <row r="26">
      <c r="A26" s="16" t="n"/>
      <c r="B26" s="16" t="n"/>
      <c r="C26" s="16" t="n"/>
      <c r="D26" s="16" t="n"/>
      <c r="E26" s="16" t="n"/>
      <c r="F26" s="17" t="n"/>
    </row>
    <row r="27">
      <c r="A27" s="16" t="n"/>
      <c r="B27" s="16" t="n"/>
      <c r="C27" s="16" t="n"/>
      <c r="D27" s="16" t="n"/>
      <c r="E27" s="16" t="n"/>
      <c r="F27" s="17" t="n"/>
    </row>
    <row r="28">
      <c r="A28" s="16" t="n"/>
      <c r="B28" s="16" t="n"/>
      <c r="C28" s="16" t="n"/>
      <c r="D28" s="16" t="n"/>
      <c r="E28" s="16" t="n"/>
      <c r="F28" s="17" t="n"/>
    </row>
    <row r="29">
      <c r="A29" s="16" t="n"/>
      <c r="B29" s="16" t="n"/>
      <c r="C29" s="16" t="n"/>
      <c r="D29" s="16" t="n"/>
      <c r="E29" s="16" t="n"/>
      <c r="F29" s="17" t="n"/>
    </row>
    <row r="30">
      <c r="A30" s="16" t="n"/>
      <c r="B30" s="16" t="n"/>
      <c r="C30" s="16" t="n"/>
      <c r="D30" s="16" t="n"/>
      <c r="E30" s="16" t="n"/>
      <c r="F30" s="17" t="n"/>
    </row>
    <row r="31">
      <c r="A31" s="16" t="n"/>
      <c r="B31" s="16" t="n"/>
      <c r="C31" s="16" t="n"/>
      <c r="D31" s="16" t="n"/>
      <c r="E31" s="16" t="n"/>
      <c r="F31" s="17" t="n"/>
    </row>
    <row r="32">
      <c r="A32" s="16" t="n"/>
      <c r="B32" s="16" t="n"/>
      <c r="C32" s="16" t="n"/>
      <c r="D32" s="16" t="n"/>
      <c r="E32" s="16" t="n"/>
      <c r="F32" s="17" t="n"/>
    </row>
    <row r="33">
      <c r="A33" s="16" t="n"/>
      <c r="B33" s="16" t="n"/>
      <c r="C33" s="16" t="n"/>
      <c r="D33" s="16" t="n"/>
      <c r="E33" s="16" t="n"/>
      <c r="F33" s="17" t="n"/>
    </row>
    <row r="34">
      <c r="A34" s="16" t="n"/>
      <c r="B34" s="16" t="n"/>
      <c r="C34" s="16" t="n"/>
      <c r="D34" s="16" t="n"/>
      <c r="E34" s="16" t="n"/>
      <c r="F34" s="17" t="n"/>
    </row>
    <row r="35">
      <c r="A35" s="16" t="n"/>
      <c r="B35" s="16" t="n"/>
      <c r="C35" s="16" t="n"/>
      <c r="D35" s="16" t="n"/>
      <c r="E35" s="16" t="n"/>
      <c r="F35" s="17" t="n"/>
    </row>
    <row r="36">
      <c r="A36" s="16" t="n"/>
      <c r="B36" s="16" t="n"/>
      <c r="C36" s="16" t="n"/>
      <c r="D36" s="16" t="n"/>
      <c r="E36" s="16" t="n"/>
      <c r="F36" s="17" t="n"/>
    </row>
    <row r="37">
      <c r="A37" s="16" t="n"/>
      <c r="B37" s="16" t="n"/>
      <c r="C37" s="16" t="n"/>
      <c r="D37" s="16" t="n"/>
      <c r="E37" s="16" t="n"/>
      <c r="F37" s="17" t="n"/>
    </row>
    <row r="38">
      <c r="A38" s="16" t="n"/>
      <c r="B38" s="16" t="n"/>
      <c r="C38" s="16" t="n"/>
      <c r="D38" s="16" t="n"/>
      <c r="E38" s="16" t="n"/>
      <c r="F38" s="17" t="n"/>
    </row>
    <row r="39">
      <c r="A39" s="16" t="n"/>
      <c r="B39" s="16" t="n"/>
      <c r="C39" s="16" t="n"/>
      <c r="D39" s="16" t="n"/>
      <c r="E39" s="16" t="n"/>
      <c r="F39" s="17" t="n"/>
    </row>
    <row r="40">
      <c r="A40" s="16" t="n"/>
      <c r="B40" s="16" t="n"/>
      <c r="C40" s="16" t="n"/>
      <c r="D40" s="16" t="n"/>
      <c r="E40" s="16" t="n"/>
      <c r="F40" s="17" t="n"/>
    </row>
    <row r="41">
      <c r="A41" s="16" t="n"/>
      <c r="B41" s="16" t="n"/>
      <c r="C41" s="16" t="n"/>
      <c r="D41" s="16" t="n"/>
      <c r="E41" s="16" t="n"/>
      <c r="F41" s="17" t="n"/>
    </row>
    <row r="42">
      <c r="A42" s="16" t="n"/>
      <c r="B42" s="16" t="n"/>
      <c r="C42" s="16" t="n"/>
      <c r="D42" s="16" t="n"/>
      <c r="E42" s="16" t="n"/>
      <c r="F42" s="17" t="n"/>
    </row>
    <row r="43">
      <c r="A43" s="16" t="n"/>
      <c r="B43" s="16" t="n"/>
      <c r="C43" s="16" t="n"/>
      <c r="D43" s="16" t="n"/>
      <c r="E43" s="16" t="n"/>
      <c r="F43" s="17" t="n"/>
    </row>
    <row r="44">
      <c r="A44" s="16" t="n"/>
      <c r="B44" s="16" t="n"/>
      <c r="C44" s="16" t="n"/>
      <c r="D44" s="16" t="n"/>
      <c r="E44" s="16" t="n"/>
      <c r="F44" s="17" t="n"/>
    </row>
    <row r="45">
      <c r="A45" s="16" t="n"/>
      <c r="B45" s="16" t="n"/>
      <c r="C45" s="16" t="n"/>
      <c r="D45" s="16" t="n"/>
      <c r="E45" s="16" t="n"/>
      <c r="F45" s="17" t="n"/>
    </row>
    <row r="46">
      <c r="A46" s="16" t="n"/>
      <c r="B46" s="16" t="n"/>
      <c r="C46" s="16" t="n"/>
      <c r="D46" s="16" t="n"/>
      <c r="E46" s="16" t="n"/>
      <c r="F46" s="17" t="n"/>
    </row>
    <row r="47">
      <c r="A47" s="16" t="n"/>
      <c r="B47" s="16" t="n"/>
      <c r="C47" s="16" t="n"/>
      <c r="D47" s="16" t="n"/>
      <c r="E47" s="16" t="n"/>
      <c r="F47" s="17" t="n"/>
    </row>
    <row r="48">
      <c r="A48" s="16" t="n"/>
      <c r="B48" s="16" t="n"/>
      <c r="C48" s="16" t="n"/>
      <c r="D48" s="16" t="n"/>
      <c r="E48" s="16" t="n"/>
      <c r="F48" s="17" t="n"/>
    </row>
    <row r="49">
      <c r="A49" s="16" t="n"/>
      <c r="B49" s="16" t="n"/>
      <c r="C49" s="16" t="n"/>
      <c r="D49" s="16" t="n"/>
      <c r="E49" s="16" t="n"/>
      <c r="F49" s="17" t="n"/>
    </row>
    <row r="50">
      <c r="A50" s="16" t="n"/>
      <c r="B50" s="16" t="n"/>
      <c r="C50" s="16" t="n"/>
      <c r="D50" s="16" t="n"/>
      <c r="E50" s="16" t="n"/>
      <c r="F50" s="17" t="n"/>
    </row>
    <row r="51">
      <c r="A51" s="16" t="n"/>
      <c r="B51" s="16" t="n"/>
      <c r="C51" s="16" t="n"/>
      <c r="D51" s="16" t="n"/>
      <c r="E51" s="16" t="n"/>
      <c r="F51" s="17" t="n"/>
    </row>
    <row r="52">
      <c r="A52" s="16" t="n"/>
      <c r="B52" s="16" t="n"/>
      <c r="C52" s="16" t="n"/>
      <c r="D52" s="16" t="n"/>
      <c r="E52" s="16" t="n"/>
      <c r="F52" s="17" t="n"/>
    </row>
    <row r="53">
      <c r="A53" s="16" t="n"/>
      <c r="B53" s="16" t="n"/>
      <c r="C53" s="16" t="n"/>
      <c r="D53" s="16" t="n"/>
      <c r="E53" s="16" t="n"/>
      <c r="F53" s="17" t="n"/>
    </row>
    <row r="54">
      <c r="A54" s="16" t="n"/>
      <c r="B54" s="16" t="n"/>
      <c r="C54" s="16" t="n"/>
      <c r="D54" s="16" t="n"/>
      <c r="E54" s="16" t="n"/>
      <c r="F54" s="17" t="n"/>
    </row>
  </sheetData>
  <mergeCells count="2">
    <mergeCell ref="A2:F2"/>
    <mergeCell ref="A1:F1"/>
  </mergeCells>
  <dataValidations count="1">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"Critical,High,Medium,Low"</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0" t="inlineStr">
        <is>
          <t>EVIDENCE REGISTER</t>
        </is>
      </c>
    </row>
    <row r="2">
      <c r="A2" s="21" t="inlineStr">
        <is>
          <t>ISO/IEC 27001:2022 - Control A.5.8: Information Security in Project Management</t>
        </is>
      </c>
    </row>
    <row r="3">
      <c r="A3" s="6" t="n"/>
      <c r="B3" s="6" t="n"/>
      <c r="C3" s="6" t="n"/>
      <c r="D3" s="6" t="n"/>
      <c r="E3" s="6" t="n"/>
      <c r="F3" s="6" t="n"/>
      <c r="G3" s="6" t="n"/>
      <c r="H3" s="6" t="n"/>
    </row>
    <row r="4">
      <c r="A4" s="22" t="inlineStr">
        <is>
          <t>Evidence ID</t>
        </is>
      </c>
      <c r="B4" s="22" t="inlineStr">
        <is>
          <t>Evidence Type</t>
        </is>
      </c>
      <c r="C4" s="22" t="inlineStr">
        <is>
          <t>Description</t>
        </is>
      </c>
      <c r="D4" s="22" t="inlineStr">
        <is>
          <t>Related Control / Section</t>
        </is>
      </c>
      <c r="E4" s="22" t="inlineStr">
        <is>
          <t>Collection Date (DD.MM.YYYY)</t>
        </is>
      </c>
      <c r="F4" s="22" t="inlineStr">
        <is>
          <t>Storage Location / Reference</t>
        </is>
      </c>
      <c r="G4" s="22" t="inlineStr">
        <is>
          <t>Collected By</t>
        </is>
      </c>
      <c r="H4" s="22" t="inlineStr">
        <is>
          <t>Status</t>
        </is>
      </c>
    </row>
    <row r="5">
      <c r="A5" s="23" t="inlineStr">
        <is>
          <t>EV-001</t>
        </is>
      </c>
      <c r="B5" s="23" t="inlineStr">
        <is>
          <t>Document</t>
        </is>
      </c>
      <c r="C5" s="23" t="inlineStr">
        <is>
          <t>Sample evidence entry — replace with actual evidence</t>
        </is>
      </c>
      <c r="D5" s="23" t="inlineStr">
        <is>
          <t>All Controls</t>
        </is>
      </c>
      <c r="E5" s="23" t="inlineStr">
        <is>
          <t>01.01.2026</t>
        </is>
      </c>
      <c r="F5" s="23" t="inlineStr">
        <is>
          <t>SharePoint/ISMS/Evidence/</t>
        </is>
      </c>
      <c r="G5" s="23" t="inlineStr">
        <is>
          <t>ISMS Team</t>
        </is>
      </c>
      <c r="H5" s="23" t="inlineStr">
        <is>
          <t>Active</t>
        </is>
      </c>
    </row>
    <row r="6">
      <c r="A6" s="24" t="n"/>
      <c r="B6" s="24" t="n"/>
      <c r="C6" s="24" t="n"/>
      <c r="D6" s="24" t="n"/>
      <c r="E6" s="24" t="n"/>
      <c r="F6" s="24" t="n"/>
      <c r="G6" s="24" t="n"/>
      <c r="H6" s="24" t="n"/>
    </row>
    <row r="7">
      <c r="A7" s="24" t="n"/>
      <c r="B7" s="24" t="n"/>
      <c r="C7" s="24" t="n"/>
      <c r="D7" s="24" t="n"/>
      <c r="E7" s="24" t="n"/>
      <c r="F7" s="24" t="n"/>
      <c r="G7" s="24" t="n"/>
      <c r="H7" s="24" t="n"/>
    </row>
    <row r="8">
      <c r="A8" s="24" t="n"/>
      <c r="B8" s="24" t="n"/>
      <c r="C8" s="24" t="n"/>
      <c r="D8" s="24" t="n"/>
      <c r="E8" s="24" t="n"/>
      <c r="F8" s="24" t="n"/>
      <c r="G8" s="24" t="n"/>
      <c r="H8" s="24" t="n"/>
    </row>
    <row r="9">
      <c r="A9" s="24" t="n"/>
      <c r="B9" s="24" t="n"/>
      <c r="C9" s="24" t="n"/>
      <c r="D9" s="24" t="n"/>
      <c r="E9" s="24" t="n"/>
      <c r="F9" s="24" t="n"/>
      <c r="G9" s="24" t="n"/>
      <c r="H9" s="24" t="n"/>
    </row>
    <row r="10">
      <c r="A10" s="24" t="n"/>
      <c r="B10" s="24" t="n"/>
      <c r="C10" s="24" t="n"/>
      <c r="D10" s="24" t="n"/>
      <c r="E10" s="24" t="n"/>
      <c r="F10" s="24" t="n"/>
      <c r="G10" s="24" t="n"/>
      <c r="H10" s="24" t="n"/>
    </row>
    <row r="11">
      <c r="A11" s="24" t="n"/>
      <c r="B11" s="24" t="n"/>
      <c r="C11" s="24" t="n"/>
      <c r="D11" s="24" t="n"/>
      <c r="E11" s="24" t="n"/>
      <c r="F11" s="24" t="n"/>
      <c r="G11" s="24" t="n"/>
      <c r="H11" s="24" t="n"/>
    </row>
    <row r="12">
      <c r="A12" s="24" t="n"/>
      <c r="B12" s="24" t="n"/>
      <c r="C12" s="24" t="n"/>
      <c r="D12" s="24" t="n"/>
      <c r="E12" s="24" t="n"/>
      <c r="F12" s="24" t="n"/>
      <c r="G12" s="24" t="n"/>
      <c r="H12" s="24" t="n"/>
    </row>
    <row r="13">
      <c r="A13" s="24" t="n"/>
      <c r="B13" s="24" t="n"/>
      <c r="C13" s="24" t="n"/>
      <c r="D13" s="24" t="n"/>
      <c r="E13" s="24" t="n"/>
      <c r="F13" s="24" t="n"/>
      <c r="G13" s="24" t="n"/>
      <c r="H13" s="24" t="n"/>
    </row>
    <row r="14">
      <c r="A14" s="24" t="n"/>
      <c r="B14" s="24" t="n"/>
      <c r="C14" s="24" t="n"/>
      <c r="D14" s="24" t="n"/>
      <c r="E14" s="24" t="n"/>
      <c r="F14" s="24" t="n"/>
      <c r="G14" s="24" t="n"/>
      <c r="H14" s="24" t="n"/>
    </row>
    <row r="15">
      <c r="A15" s="24" t="n"/>
      <c r="B15" s="24" t="n"/>
      <c r="C15" s="24" t="n"/>
      <c r="D15" s="24" t="n"/>
      <c r="E15" s="24" t="n"/>
      <c r="F15" s="24" t="n"/>
      <c r="G15" s="24" t="n"/>
      <c r="H15" s="24" t="n"/>
    </row>
    <row r="16">
      <c r="A16" s="24" t="n"/>
      <c r="B16" s="24" t="n"/>
      <c r="C16" s="24" t="n"/>
      <c r="D16" s="24" t="n"/>
      <c r="E16" s="24" t="n"/>
      <c r="F16" s="24" t="n"/>
      <c r="G16" s="24" t="n"/>
      <c r="H16" s="24" t="n"/>
    </row>
    <row r="17">
      <c r="A17" s="24" t="n"/>
      <c r="B17" s="24" t="n"/>
      <c r="C17" s="24" t="n"/>
      <c r="D17" s="24" t="n"/>
      <c r="E17" s="24" t="n"/>
      <c r="F17" s="24" t="n"/>
      <c r="G17" s="24" t="n"/>
      <c r="H17" s="24" t="n"/>
    </row>
    <row r="18">
      <c r="A18" s="24" t="n"/>
      <c r="B18" s="24" t="n"/>
      <c r="C18" s="24" t="n"/>
      <c r="D18" s="24" t="n"/>
      <c r="E18" s="24" t="n"/>
      <c r="F18" s="24" t="n"/>
      <c r="G18" s="24" t="n"/>
      <c r="H18" s="24" t="n"/>
    </row>
    <row r="19">
      <c r="A19" s="24" t="n"/>
      <c r="B19" s="24" t="n"/>
      <c r="C19" s="24" t="n"/>
      <c r="D19" s="24" t="n"/>
      <c r="E19" s="24" t="n"/>
      <c r="F19" s="24" t="n"/>
      <c r="G19" s="24" t="n"/>
      <c r="H19" s="24" t="n"/>
    </row>
    <row r="20">
      <c r="A20" s="24" t="n"/>
      <c r="B20" s="24" t="n"/>
      <c r="C20" s="24" t="n"/>
      <c r="D20" s="24" t="n"/>
      <c r="E20" s="24" t="n"/>
      <c r="F20" s="24" t="n"/>
      <c r="G20" s="24" t="n"/>
      <c r="H20" s="24" t="n"/>
    </row>
    <row r="21">
      <c r="A21" s="24" t="n"/>
      <c r="B21" s="24" t="n"/>
      <c r="C21" s="24" t="n"/>
      <c r="D21" s="24" t="n"/>
      <c r="E21" s="24" t="n"/>
      <c r="F21" s="24" t="n"/>
      <c r="G21" s="24" t="n"/>
      <c r="H21" s="24" t="n"/>
    </row>
    <row r="22">
      <c r="A22" s="24" t="n"/>
      <c r="B22" s="24" t="n"/>
      <c r="C22" s="24" t="n"/>
      <c r="D22" s="24" t="n"/>
      <c r="E22" s="24" t="n"/>
      <c r="F22" s="24" t="n"/>
      <c r="G22" s="24" t="n"/>
      <c r="H22" s="24" t="n"/>
    </row>
    <row r="23">
      <c r="A23" s="24" t="n"/>
      <c r="B23" s="24" t="n"/>
      <c r="C23" s="24" t="n"/>
      <c r="D23" s="24" t="n"/>
      <c r="E23" s="24" t="n"/>
      <c r="F23" s="24" t="n"/>
      <c r="G23" s="24" t="n"/>
      <c r="H23" s="24" t="n"/>
    </row>
    <row r="24">
      <c r="A24" s="24" t="n"/>
      <c r="B24" s="24" t="n"/>
      <c r="C24" s="24" t="n"/>
      <c r="D24" s="24" t="n"/>
      <c r="E24" s="24" t="n"/>
      <c r="F24" s="24" t="n"/>
      <c r="G24" s="24" t="n"/>
      <c r="H24" s="24" t="n"/>
    </row>
    <row r="25">
      <c r="A25" s="24" t="n"/>
      <c r="B25" s="24" t="n"/>
      <c r="C25" s="24" t="n"/>
      <c r="D25" s="24" t="n"/>
      <c r="E25" s="24" t="n"/>
      <c r="F25" s="24" t="n"/>
      <c r="G25" s="24" t="n"/>
      <c r="H25" s="24" t="n"/>
    </row>
    <row r="26">
      <c r="A26" s="24" t="n"/>
      <c r="B26" s="24" t="n"/>
      <c r="C26" s="24" t="n"/>
      <c r="D26" s="24" t="n"/>
      <c r="E26" s="24" t="n"/>
      <c r="F26" s="24" t="n"/>
      <c r="G26" s="24" t="n"/>
      <c r="H26" s="24" t="n"/>
    </row>
    <row r="27">
      <c r="A27" s="24" t="n"/>
      <c r="B27" s="24" t="n"/>
      <c r="C27" s="24" t="n"/>
      <c r="D27" s="24" t="n"/>
      <c r="E27" s="24" t="n"/>
      <c r="F27" s="24" t="n"/>
      <c r="G27" s="24" t="n"/>
      <c r="H27" s="24" t="n"/>
    </row>
    <row r="28">
      <c r="A28" s="24" t="n"/>
      <c r="B28" s="24" t="n"/>
      <c r="C28" s="24" t="n"/>
      <c r="D28" s="24" t="n"/>
      <c r="E28" s="24" t="n"/>
      <c r="F28" s="24" t="n"/>
      <c r="G28" s="24" t="n"/>
      <c r="H28" s="24" t="n"/>
    </row>
    <row r="29">
      <c r="A29" s="24" t="n"/>
      <c r="B29" s="24" t="n"/>
      <c r="C29" s="24" t="n"/>
      <c r="D29" s="24" t="n"/>
      <c r="E29" s="24" t="n"/>
      <c r="F29" s="24" t="n"/>
      <c r="G29" s="24" t="n"/>
      <c r="H29" s="24" t="n"/>
    </row>
    <row r="30">
      <c r="A30" s="24" t="n"/>
      <c r="B30" s="24" t="n"/>
      <c r="C30" s="24" t="n"/>
      <c r="D30" s="24" t="n"/>
      <c r="E30" s="24" t="n"/>
      <c r="F30" s="24" t="n"/>
      <c r="G30" s="24" t="n"/>
      <c r="H30" s="24" t="n"/>
    </row>
    <row r="31">
      <c r="A31" s="24" t="n"/>
      <c r="B31" s="24" t="n"/>
      <c r="C31" s="24" t="n"/>
      <c r="D31" s="24" t="n"/>
      <c r="E31" s="24" t="n"/>
      <c r="F31" s="24" t="n"/>
      <c r="G31" s="24" t="n"/>
      <c r="H31" s="24" t="n"/>
    </row>
    <row r="32">
      <c r="A32" s="24" t="n"/>
      <c r="B32" s="24" t="n"/>
      <c r="C32" s="24" t="n"/>
      <c r="D32" s="24" t="n"/>
      <c r="E32" s="24" t="n"/>
      <c r="F32" s="24" t="n"/>
      <c r="G32" s="24" t="n"/>
      <c r="H32" s="24" t="n"/>
    </row>
    <row r="33">
      <c r="A33" s="24" t="n"/>
      <c r="B33" s="24" t="n"/>
      <c r="C33" s="24" t="n"/>
      <c r="D33" s="24" t="n"/>
      <c r="E33" s="24" t="n"/>
      <c r="F33" s="24" t="n"/>
      <c r="G33" s="24" t="n"/>
      <c r="H33" s="24" t="n"/>
    </row>
    <row r="34">
      <c r="A34" s="24" t="n"/>
      <c r="B34" s="24" t="n"/>
      <c r="C34" s="24" t="n"/>
      <c r="D34" s="24" t="n"/>
      <c r="E34" s="24" t="n"/>
      <c r="F34" s="24" t="n"/>
      <c r="G34" s="24" t="n"/>
      <c r="H34" s="24" t="n"/>
    </row>
    <row r="35">
      <c r="A35" s="24" t="n"/>
      <c r="B35" s="24" t="n"/>
      <c r="C35" s="24" t="n"/>
      <c r="D35" s="24" t="n"/>
      <c r="E35" s="24" t="n"/>
      <c r="F35" s="24" t="n"/>
      <c r="G35" s="24" t="n"/>
      <c r="H35" s="24" t="n"/>
    </row>
    <row r="36">
      <c r="A36" s="24" t="n"/>
      <c r="B36" s="24" t="n"/>
      <c r="C36" s="24" t="n"/>
      <c r="D36" s="24" t="n"/>
      <c r="E36" s="24" t="n"/>
      <c r="F36" s="24" t="n"/>
      <c r="G36" s="24" t="n"/>
      <c r="H36" s="24" t="n"/>
    </row>
    <row r="37">
      <c r="A37" s="24" t="n"/>
      <c r="B37" s="24" t="n"/>
      <c r="C37" s="24" t="n"/>
      <c r="D37" s="24" t="n"/>
      <c r="E37" s="24" t="n"/>
      <c r="F37" s="24" t="n"/>
      <c r="G37" s="24" t="n"/>
      <c r="H37" s="24" t="n"/>
    </row>
    <row r="38">
      <c r="A38" s="24" t="n"/>
      <c r="B38" s="24" t="n"/>
      <c r="C38" s="24" t="n"/>
      <c r="D38" s="24" t="n"/>
      <c r="E38" s="24" t="n"/>
      <c r="F38" s="24" t="n"/>
      <c r="G38" s="24" t="n"/>
      <c r="H38" s="24" t="n"/>
    </row>
    <row r="39">
      <c r="A39" s="24" t="n"/>
      <c r="B39" s="24" t="n"/>
      <c r="C39" s="24" t="n"/>
      <c r="D39" s="24" t="n"/>
      <c r="E39" s="24" t="n"/>
      <c r="F39" s="24" t="n"/>
      <c r="G39" s="24" t="n"/>
      <c r="H39" s="24" t="n"/>
    </row>
    <row r="40">
      <c r="A40" s="24" t="n"/>
      <c r="B40" s="24" t="n"/>
      <c r="C40" s="24" t="n"/>
      <c r="D40" s="24" t="n"/>
      <c r="E40" s="24" t="n"/>
      <c r="F40" s="24" t="n"/>
      <c r="G40" s="24" t="n"/>
      <c r="H40" s="24" t="n"/>
    </row>
    <row r="41">
      <c r="A41" s="24" t="n"/>
      <c r="B41" s="24" t="n"/>
      <c r="C41" s="24" t="n"/>
      <c r="D41" s="24" t="n"/>
      <c r="E41" s="24" t="n"/>
      <c r="F41" s="24" t="n"/>
      <c r="G41" s="24" t="n"/>
      <c r="H41" s="24" t="n"/>
    </row>
    <row r="42">
      <c r="A42" s="24" t="n"/>
      <c r="B42" s="24" t="n"/>
      <c r="C42" s="24" t="n"/>
      <c r="D42" s="24" t="n"/>
      <c r="E42" s="24" t="n"/>
      <c r="F42" s="24" t="n"/>
      <c r="G42" s="24" t="n"/>
      <c r="H42" s="24" t="n"/>
    </row>
    <row r="43">
      <c r="A43" s="24" t="n"/>
      <c r="B43" s="24" t="n"/>
      <c r="C43" s="24" t="n"/>
      <c r="D43" s="24" t="n"/>
      <c r="E43" s="24" t="n"/>
      <c r="F43" s="24" t="n"/>
      <c r="G43" s="24" t="n"/>
      <c r="H43" s="24" t="n"/>
    </row>
    <row r="44">
      <c r="A44" s="24" t="n"/>
      <c r="B44" s="24" t="n"/>
      <c r="C44" s="24" t="n"/>
      <c r="D44" s="24" t="n"/>
      <c r="E44" s="24" t="n"/>
      <c r="F44" s="24" t="n"/>
      <c r="G44" s="24" t="n"/>
      <c r="H44" s="24" t="n"/>
    </row>
    <row r="45">
      <c r="A45" s="24" t="n"/>
      <c r="B45" s="24" t="n"/>
      <c r="C45" s="24" t="n"/>
      <c r="D45" s="24" t="n"/>
      <c r="E45" s="24" t="n"/>
      <c r="F45" s="24" t="n"/>
      <c r="G45" s="24" t="n"/>
      <c r="H45" s="24" t="n"/>
    </row>
    <row r="46">
      <c r="A46" s="24" t="n"/>
      <c r="B46" s="24" t="n"/>
      <c r="C46" s="24" t="n"/>
      <c r="D46" s="24" t="n"/>
      <c r="E46" s="24" t="n"/>
      <c r="F46" s="24" t="n"/>
      <c r="G46" s="24" t="n"/>
      <c r="H46" s="24" t="n"/>
    </row>
    <row r="47">
      <c r="A47" s="24" t="n"/>
      <c r="B47" s="24" t="n"/>
      <c r="C47" s="24" t="n"/>
      <c r="D47" s="24" t="n"/>
      <c r="E47" s="24" t="n"/>
      <c r="F47" s="24" t="n"/>
      <c r="G47" s="24" t="n"/>
      <c r="H47" s="24" t="n"/>
    </row>
    <row r="48">
      <c r="A48" s="24" t="n"/>
      <c r="B48" s="24" t="n"/>
      <c r="C48" s="24" t="n"/>
      <c r="D48" s="24" t="n"/>
      <c r="E48" s="24" t="n"/>
      <c r="F48" s="24" t="n"/>
      <c r="G48" s="24" t="n"/>
      <c r="H48" s="24" t="n"/>
    </row>
    <row r="49">
      <c r="A49" s="24" t="n"/>
      <c r="B49" s="24" t="n"/>
      <c r="C49" s="24" t="n"/>
      <c r="D49" s="24" t="n"/>
      <c r="E49" s="24" t="n"/>
      <c r="F49" s="24" t="n"/>
      <c r="G49" s="24" t="n"/>
      <c r="H49" s="24" t="n"/>
    </row>
    <row r="50">
      <c r="A50" s="24" t="n"/>
      <c r="B50" s="24" t="n"/>
      <c r="C50" s="24" t="n"/>
      <c r="D50" s="24" t="n"/>
      <c r="E50" s="24" t="n"/>
      <c r="F50" s="24" t="n"/>
      <c r="G50" s="24" t="n"/>
      <c r="H50" s="24" t="n"/>
    </row>
    <row r="51">
      <c r="A51" s="24" t="n"/>
      <c r="B51" s="24" t="n"/>
      <c r="C51" s="24" t="n"/>
      <c r="D51" s="24" t="n"/>
      <c r="E51" s="24" t="n"/>
      <c r="F51" s="24" t="n"/>
      <c r="G51" s="24" t="n"/>
      <c r="H51" s="24" t="n"/>
    </row>
    <row r="52">
      <c r="A52" s="24" t="n"/>
      <c r="B52" s="24" t="n"/>
      <c r="C52" s="24" t="n"/>
      <c r="D52" s="24" t="n"/>
      <c r="E52" s="24" t="n"/>
      <c r="F52" s="24" t="n"/>
      <c r="G52" s="24" t="n"/>
      <c r="H52" s="24" t="n"/>
    </row>
    <row r="53">
      <c r="A53" s="24" t="n"/>
      <c r="B53" s="24" t="n"/>
      <c r="C53" s="24" t="n"/>
      <c r="D53" s="24" t="n"/>
      <c r="E53" s="24" t="n"/>
      <c r="F53" s="24" t="n"/>
      <c r="G53" s="24" t="n"/>
      <c r="H53" s="24" t="n"/>
    </row>
    <row r="54">
      <c r="A54" s="24" t="n"/>
      <c r="B54" s="24" t="n"/>
      <c r="C54" s="24" t="n"/>
      <c r="D54" s="24" t="n"/>
      <c r="E54" s="24" t="n"/>
      <c r="F54" s="24" t="n"/>
      <c r="G54" s="24" t="n"/>
      <c r="H54" s="24" t="n"/>
    </row>
    <row r="55">
      <c r="A55" s="24" t="n"/>
      <c r="B55" s="24" t="n"/>
      <c r="C55" s="24" t="n"/>
      <c r="D55" s="24" t="n"/>
      <c r="E55" s="24" t="n"/>
      <c r="F55" s="24" t="n"/>
      <c r="G55" s="24" t="n"/>
      <c r="H55" s="24" t="n"/>
    </row>
    <row r="56">
      <c r="A56" s="24" t="n"/>
      <c r="B56" s="24" t="n"/>
      <c r="C56" s="24" t="n"/>
      <c r="D56" s="24" t="n"/>
      <c r="E56" s="24" t="n"/>
      <c r="F56" s="24" t="n"/>
      <c r="G56" s="24" t="n"/>
      <c r="H56" s="24" t="n"/>
    </row>
    <row r="57">
      <c r="A57" s="24" t="n"/>
      <c r="B57" s="24" t="n"/>
      <c r="C57" s="24" t="n"/>
      <c r="D57" s="24" t="n"/>
      <c r="E57" s="24" t="n"/>
      <c r="F57" s="24" t="n"/>
      <c r="G57" s="24" t="n"/>
      <c r="H57" s="24" t="n"/>
    </row>
    <row r="58">
      <c r="A58" s="24" t="n"/>
      <c r="B58" s="24" t="n"/>
      <c r="C58" s="24" t="n"/>
      <c r="D58" s="24" t="n"/>
      <c r="E58" s="24" t="n"/>
      <c r="F58" s="24" t="n"/>
      <c r="G58" s="24" t="n"/>
      <c r="H58" s="24" t="n"/>
    </row>
    <row r="59">
      <c r="A59" s="24" t="n"/>
      <c r="B59" s="24" t="n"/>
      <c r="C59" s="24" t="n"/>
      <c r="D59" s="24" t="n"/>
      <c r="E59" s="24" t="n"/>
      <c r="F59" s="24" t="n"/>
      <c r="G59" s="24" t="n"/>
      <c r="H59" s="24" t="n"/>
    </row>
    <row r="60">
      <c r="A60" s="24" t="n"/>
      <c r="B60" s="24" t="n"/>
      <c r="C60" s="24" t="n"/>
      <c r="D60" s="24" t="n"/>
      <c r="E60" s="24" t="n"/>
      <c r="F60" s="24" t="n"/>
      <c r="G60" s="24" t="n"/>
      <c r="H60" s="24" t="n"/>
    </row>
    <row r="61">
      <c r="A61" s="24" t="n"/>
      <c r="B61" s="24" t="n"/>
      <c r="C61" s="24" t="n"/>
      <c r="D61" s="24" t="n"/>
      <c r="E61" s="24" t="n"/>
      <c r="F61" s="24" t="n"/>
      <c r="G61" s="24" t="n"/>
      <c r="H61" s="24" t="n"/>
    </row>
    <row r="62">
      <c r="A62" s="24" t="n"/>
      <c r="B62" s="24" t="n"/>
      <c r="C62" s="24" t="n"/>
      <c r="D62" s="24" t="n"/>
      <c r="E62" s="24" t="n"/>
      <c r="F62" s="24" t="n"/>
      <c r="G62" s="24" t="n"/>
      <c r="H62" s="24" t="n"/>
    </row>
    <row r="63">
      <c r="A63" s="24" t="n"/>
      <c r="B63" s="24" t="n"/>
      <c r="C63" s="24" t="n"/>
      <c r="D63" s="24" t="n"/>
      <c r="E63" s="24" t="n"/>
      <c r="F63" s="24" t="n"/>
      <c r="G63" s="24" t="n"/>
      <c r="H63" s="24" t="n"/>
    </row>
    <row r="64">
      <c r="A64" s="24" t="n"/>
      <c r="B64" s="24" t="n"/>
      <c r="C64" s="24" t="n"/>
      <c r="D64" s="24" t="n"/>
      <c r="E64" s="24" t="n"/>
      <c r="F64" s="24" t="n"/>
      <c r="G64" s="24" t="n"/>
      <c r="H64" s="24" t="n"/>
    </row>
    <row r="65">
      <c r="A65" s="24" t="n"/>
      <c r="B65" s="24" t="n"/>
      <c r="C65" s="24" t="n"/>
      <c r="D65" s="24" t="n"/>
      <c r="E65" s="24" t="n"/>
      <c r="F65" s="24" t="n"/>
      <c r="G65" s="24" t="n"/>
      <c r="H65" s="24" t="n"/>
    </row>
    <row r="66">
      <c r="A66" s="24" t="n"/>
      <c r="B66" s="24" t="n"/>
      <c r="C66" s="24" t="n"/>
      <c r="D66" s="24" t="n"/>
      <c r="E66" s="24" t="n"/>
      <c r="F66" s="24" t="n"/>
      <c r="G66" s="24" t="n"/>
      <c r="H66" s="24" t="n"/>
    </row>
    <row r="67">
      <c r="A67" s="24" t="n"/>
      <c r="B67" s="24" t="n"/>
      <c r="C67" s="24" t="n"/>
      <c r="D67" s="24" t="n"/>
      <c r="E67" s="24" t="n"/>
      <c r="F67" s="24" t="n"/>
      <c r="G67" s="24" t="n"/>
      <c r="H67" s="24" t="n"/>
    </row>
    <row r="68">
      <c r="A68" s="24" t="n"/>
      <c r="B68" s="24" t="n"/>
      <c r="C68" s="24" t="n"/>
      <c r="D68" s="24" t="n"/>
      <c r="E68" s="24" t="n"/>
      <c r="F68" s="24" t="n"/>
      <c r="G68" s="24" t="n"/>
      <c r="H68" s="24" t="n"/>
    </row>
    <row r="69">
      <c r="A69" s="24" t="n"/>
      <c r="B69" s="24" t="n"/>
      <c r="C69" s="24" t="n"/>
      <c r="D69" s="24" t="n"/>
      <c r="E69" s="24" t="n"/>
      <c r="F69" s="24" t="n"/>
      <c r="G69" s="24" t="n"/>
      <c r="H69" s="24" t="n"/>
    </row>
    <row r="70">
      <c r="A70" s="24" t="n"/>
      <c r="B70" s="24" t="n"/>
      <c r="C70" s="24" t="n"/>
      <c r="D70" s="24" t="n"/>
      <c r="E70" s="24" t="n"/>
      <c r="F70" s="24" t="n"/>
      <c r="G70" s="24" t="n"/>
      <c r="H70" s="24" t="n"/>
    </row>
    <row r="71">
      <c r="A71" s="24" t="n"/>
      <c r="B71" s="24" t="n"/>
      <c r="C71" s="24" t="n"/>
      <c r="D71" s="24" t="n"/>
      <c r="E71" s="24" t="n"/>
      <c r="F71" s="24" t="n"/>
      <c r="G71" s="24" t="n"/>
      <c r="H71" s="24" t="n"/>
    </row>
    <row r="72">
      <c r="A72" s="24" t="n"/>
      <c r="B72" s="24" t="n"/>
      <c r="C72" s="24" t="n"/>
      <c r="D72" s="24" t="n"/>
      <c r="E72" s="24" t="n"/>
      <c r="F72" s="24" t="n"/>
      <c r="G72" s="24" t="n"/>
      <c r="H72" s="24" t="n"/>
    </row>
    <row r="73">
      <c r="A73" s="24" t="n"/>
      <c r="B73" s="24" t="n"/>
      <c r="C73" s="24" t="n"/>
      <c r="D73" s="24" t="n"/>
      <c r="E73" s="24" t="n"/>
      <c r="F73" s="24" t="n"/>
      <c r="G73" s="24" t="n"/>
      <c r="H73" s="24" t="n"/>
    </row>
    <row r="74">
      <c r="A74" s="24" t="n"/>
      <c r="B74" s="24" t="n"/>
      <c r="C74" s="24" t="n"/>
      <c r="D74" s="24" t="n"/>
      <c r="E74" s="24" t="n"/>
      <c r="F74" s="24" t="n"/>
      <c r="G74" s="24" t="n"/>
      <c r="H74" s="24" t="n"/>
    </row>
    <row r="75">
      <c r="A75" s="24" t="n"/>
      <c r="B75" s="24" t="n"/>
      <c r="C75" s="24" t="n"/>
      <c r="D75" s="24" t="n"/>
      <c r="E75" s="24" t="n"/>
      <c r="F75" s="24" t="n"/>
      <c r="G75" s="24" t="n"/>
      <c r="H75" s="24" t="n"/>
    </row>
    <row r="76">
      <c r="A76" s="24" t="n"/>
      <c r="B76" s="24" t="n"/>
      <c r="C76" s="24" t="n"/>
      <c r="D76" s="24" t="n"/>
      <c r="E76" s="24" t="n"/>
      <c r="F76" s="24" t="n"/>
      <c r="G76" s="24" t="n"/>
      <c r="H76" s="24" t="n"/>
    </row>
    <row r="77">
      <c r="A77" s="24" t="n"/>
      <c r="B77" s="24" t="n"/>
      <c r="C77" s="24" t="n"/>
      <c r="D77" s="24" t="n"/>
      <c r="E77" s="24" t="n"/>
      <c r="F77" s="24" t="n"/>
      <c r="G77" s="24" t="n"/>
      <c r="H77" s="24" t="n"/>
    </row>
    <row r="78">
      <c r="A78" s="24" t="n"/>
      <c r="B78" s="24" t="n"/>
      <c r="C78" s="24" t="n"/>
      <c r="D78" s="24" t="n"/>
      <c r="E78" s="24" t="n"/>
      <c r="F78" s="24" t="n"/>
      <c r="G78" s="24" t="n"/>
      <c r="H78" s="24" t="n"/>
    </row>
    <row r="79">
      <c r="A79" s="24" t="n"/>
      <c r="B79" s="24" t="n"/>
      <c r="C79" s="24" t="n"/>
      <c r="D79" s="24" t="n"/>
      <c r="E79" s="24" t="n"/>
      <c r="F79" s="24" t="n"/>
      <c r="G79" s="24" t="n"/>
      <c r="H79" s="24" t="n"/>
    </row>
    <row r="80">
      <c r="A80" s="24" t="n"/>
      <c r="B80" s="24" t="n"/>
      <c r="C80" s="24" t="n"/>
      <c r="D80" s="24" t="n"/>
      <c r="E80" s="24" t="n"/>
      <c r="F80" s="24" t="n"/>
      <c r="G80" s="24" t="n"/>
      <c r="H80" s="24" t="n"/>
    </row>
    <row r="81">
      <c r="A81" s="24" t="n"/>
      <c r="B81" s="24" t="n"/>
      <c r="C81" s="24" t="n"/>
      <c r="D81" s="24" t="n"/>
      <c r="E81" s="24" t="n"/>
      <c r="F81" s="24" t="n"/>
      <c r="G81" s="24" t="n"/>
      <c r="H81" s="24" t="n"/>
    </row>
    <row r="82">
      <c r="A82" s="24" t="n"/>
      <c r="B82" s="24" t="n"/>
      <c r="C82" s="24" t="n"/>
      <c r="D82" s="24" t="n"/>
      <c r="E82" s="24" t="n"/>
      <c r="F82" s="24" t="n"/>
      <c r="G82" s="24" t="n"/>
      <c r="H82" s="24" t="n"/>
    </row>
    <row r="83">
      <c r="A83" s="24" t="n"/>
      <c r="B83" s="24" t="n"/>
      <c r="C83" s="24" t="n"/>
      <c r="D83" s="24" t="n"/>
      <c r="E83" s="24" t="n"/>
      <c r="F83" s="24" t="n"/>
      <c r="G83" s="24" t="n"/>
      <c r="H83" s="24" t="n"/>
    </row>
    <row r="84">
      <c r="A84" s="24" t="n"/>
      <c r="B84" s="24" t="n"/>
      <c r="C84" s="24" t="n"/>
      <c r="D84" s="24" t="n"/>
      <c r="E84" s="24" t="n"/>
      <c r="F84" s="24" t="n"/>
      <c r="G84" s="24" t="n"/>
      <c r="H84" s="24" t="n"/>
    </row>
    <row r="85">
      <c r="A85" s="24" t="n"/>
      <c r="B85" s="24" t="n"/>
      <c r="C85" s="24" t="n"/>
      <c r="D85" s="24" t="n"/>
      <c r="E85" s="24" t="n"/>
      <c r="F85" s="24" t="n"/>
      <c r="G85" s="24" t="n"/>
      <c r="H85" s="24" t="n"/>
    </row>
    <row r="86">
      <c r="A86" s="24" t="n"/>
      <c r="B86" s="24" t="n"/>
      <c r="C86" s="24" t="n"/>
      <c r="D86" s="24" t="n"/>
      <c r="E86" s="24" t="n"/>
      <c r="F86" s="24" t="n"/>
      <c r="G86" s="24" t="n"/>
      <c r="H86" s="24" t="n"/>
    </row>
    <row r="87">
      <c r="A87" s="24" t="n"/>
      <c r="B87" s="24" t="n"/>
      <c r="C87" s="24" t="n"/>
      <c r="D87" s="24" t="n"/>
      <c r="E87" s="24" t="n"/>
      <c r="F87" s="24" t="n"/>
      <c r="G87" s="24" t="n"/>
      <c r="H87" s="24" t="n"/>
    </row>
    <row r="88">
      <c r="A88" s="24" t="n"/>
      <c r="B88" s="24" t="n"/>
      <c r="C88" s="24" t="n"/>
      <c r="D88" s="24" t="n"/>
      <c r="E88" s="24" t="n"/>
      <c r="F88" s="24" t="n"/>
      <c r="G88" s="24" t="n"/>
      <c r="H88" s="24" t="n"/>
    </row>
    <row r="89">
      <c r="A89" s="24" t="n"/>
      <c r="B89" s="24" t="n"/>
      <c r="C89" s="24" t="n"/>
      <c r="D89" s="24" t="n"/>
      <c r="E89" s="24" t="n"/>
      <c r="F89" s="24" t="n"/>
      <c r="G89" s="24" t="n"/>
      <c r="H89" s="24" t="n"/>
    </row>
    <row r="90">
      <c r="A90" s="24" t="n"/>
      <c r="B90" s="24" t="n"/>
      <c r="C90" s="24" t="n"/>
      <c r="D90" s="24" t="n"/>
      <c r="E90" s="24" t="n"/>
      <c r="F90" s="24" t="n"/>
      <c r="G90" s="24" t="n"/>
      <c r="H90" s="24" t="n"/>
    </row>
    <row r="91">
      <c r="A91" s="24" t="n"/>
      <c r="B91" s="24" t="n"/>
      <c r="C91" s="24" t="n"/>
      <c r="D91" s="24" t="n"/>
      <c r="E91" s="24" t="n"/>
      <c r="F91" s="24" t="n"/>
      <c r="G91" s="24" t="n"/>
      <c r="H91" s="24" t="n"/>
    </row>
    <row r="92">
      <c r="A92" s="24" t="n"/>
      <c r="B92" s="24" t="n"/>
      <c r="C92" s="24" t="n"/>
      <c r="D92" s="24" t="n"/>
      <c r="E92" s="24" t="n"/>
      <c r="F92" s="24" t="n"/>
      <c r="G92" s="24" t="n"/>
      <c r="H92" s="24" t="n"/>
    </row>
    <row r="93">
      <c r="A93" s="24" t="n"/>
      <c r="B93" s="24" t="n"/>
      <c r="C93" s="24" t="n"/>
      <c r="D93" s="24" t="n"/>
      <c r="E93" s="24" t="n"/>
      <c r="F93" s="24" t="n"/>
      <c r="G93" s="24" t="n"/>
      <c r="H93" s="24" t="n"/>
    </row>
    <row r="94">
      <c r="A94" s="24" t="n"/>
      <c r="B94" s="24" t="n"/>
      <c r="C94" s="24" t="n"/>
      <c r="D94" s="24" t="n"/>
      <c r="E94" s="24" t="n"/>
      <c r="F94" s="24" t="n"/>
      <c r="G94" s="24" t="n"/>
      <c r="H94" s="24" t="n"/>
    </row>
    <row r="95">
      <c r="A95" s="24" t="n"/>
      <c r="B95" s="24" t="n"/>
      <c r="C95" s="24" t="n"/>
      <c r="D95" s="24" t="n"/>
      <c r="E95" s="24" t="n"/>
      <c r="F95" s="24" t="n"/>
      <c r="G95" s="24" t="n"/>
      <c r="H95" s="24" t="n"/>
    </row>
    <row r="96">
      <c r="A96" s="24" t="n"/>
      <c r="B96" s="24" t="n"/>
      <c r="C96" s="24" t="n"/>
      <c r="D96" s="24" t="n"/>
      <c r="E96" s="24" t="n"/>
      <c r="F96" s="24" t="n"/>
      <c r="G96" s="24" t="n"/>
      <c r="H96" s="24" t="n"/>
    </row>
    <row r="97">
      <c r="A97" s="24" t="n"/>
      <c r="B97" s="24" t="n"/>
      <c r="C97" s="24" t="n"/>
      <c r="D97" s="24" t="n"/>
      <c r="E97" s="24" t="n"/>
      <c r="F97" s="24" t="n"/>
      <c r="G97" s="24" t="n"/>
      <c r="H97" s="24" t="n"/>
    </row>
    <row r="98">
      <c r="A98" s="24" t="n"/>
      <c r="B98" s="24" t="n"/>
      <c r="C98" s="24" t="n"/>
      <c r="D98" s="24" t="n"/>
      <c r="E98" s="24" t="n"/>
      <c r="F98" s="24" t="n"/>
      <c r="G98" s="24" t="n"/>
      <c r="H98" s="24" t="n"/>
    </row>
    <row r="99">
      <c r="A99" s="24" t="n"/>
      <c r="B99" s="24" t="n"/>
      <c r="C99" s="24" t="n"/>
      <c r="D99" s="24" t="n"/>
      <c r="E99" s="24" t="n"/>
      <c r="F99" s="24" t="n"/>
      <c r="G99" s="24" t="n"/>
      <c r="H99" s="24" t="n"/>
    </row>
    <row r="100">
      <c r="A100" s="24" t="n"/>
      <c r="B100" s="24" t="n"/>
      <c r="C100" s="24" t="n"/>
      <c r="D100" s="24" t="n"/>
      <c r="E100" s="24" t="n"/>
      <c r="F100" s="24" t="n"/>
      <c r="G100" s="24" t="n"/>
      <c r="H100" s="24" t="n"/>
    </row>
    <row r="101">
      <c r="A101" s="24" t="n"/>
      <c r="B101" s="24" t="n"/>
      <c r="C101" s="24" t="n"/>
      <c r="D101" s="24" t="n"/>
      <c r="E101" s="24" t="n"/>
      <c r="F101" s="24" t="n"/>
      <c r="G101" s="24" t="n"/>
      <c r="H101" s="24" t="n"/>
    </row>
    <row r="102">
      <c r="A102" s="24" t="n"/>
      <c r="B102" s="24" t="n"/>
      <c r="C102" s="24" t="n"/>
      <c r="D102" s="24" t="n"/>
      <c r="E102" s="24" t="n"/>
      <c r="F102" s="24" t="n"/>
      <c r="G102" s="24" t="n"/>
      <c r="H102" s="24" t="n"/>
    </row>
    <row r="103">
      <c r="A103" s="24" t="n"/>
      <c r="B103" s="24" t="n"/>
      <c r="C103" s="24" t="n"/>
      <c r="D103" s="24" t="n"/>
      <c r="E103" s="24" t="n"/>
      <c r="F103" s="24" t="n"/>
      <c r="G103" s="24" t="n"/>
      <c r="H103" s="24" t="n"/>
    </row>
    <row r="104">
      <c r="A104" s="24" t="n"/>
      <c r="B104" s="24" t="n"/>
      <c r="C104" s="24" t="n"/>
      <c r="D104" s="24" t="n"/>
      <c r="E104" s="24" t="n"/>
      <c r="F104" s="24" t="n"/>
      <c r="G104" s="24" t="n"/>
      <c r="H104" s="24" t="n"/>
    </row>
    <row r="105">
      <c r="A105" s="24" t="n"/>
      <c r="B105" s="24" t="n"/>
      <c r="C105" s="24" t="n"/>
      <c r="D105" s="24" t="n"/>
      <c r="E105" s="24" t="n"/>
      <c r="F105" s="24" t="n"/>
      <c r="G105" s="24" t="n"/>
      <c r="H105" s="24"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32" customWidth="1" min="1" max="1"/>
    <col width="18" customWidth="1" min="2" max="2"/>
    <col width="12" customWidth="1" min="3" max="3"/>
    <col width="16" customWidth="1" min="4" max="4"/>
    <col width="8" customWidth="1" min="5" max="5"/>
    <col width="10" customWidth="1" min="6" max="6"/>
    <col width="14" customWidth="1" min="7" max="7"/>
  </cols>
  <sheetData>
    <row r="1" ht="35" customHeight="1">
      <c r="A1" s="20" t="inlineStr">
        <is>
          <t>Security Requirements Register — SUMMARY DASHBOARD</t>
        </is>
      </c>
      <c r="B1" s="6" t="n"/>
      <c r="C1" s="6" t="n"/>
      <c r="D1" s="6" t="n"/>
      <c r="E1" s="6" t="n"/>
      <c r="F1" s="6" t="n"/>
      <c r="G1" s="6" t="n"/>
    </row>
    <row r="2">
      <c r="A2" s="25" t="inlineStr">
        <is>
          <t>ISO/IEC 27001:2022 - Control A.5.8: Information Security in Project Management</t>
        </is>
      </c>
      <c r="B2" s="6" t="n"/>
      <c r="C2" s="6" t="n"/>
      <c r="D2" s="6" t="n"/>
      <c r="E2" s="6" t="n"/>
      <c r="F2" s="6" t="n"/>
      <c r="G2" s="6" t="n"/>
    </row>
    <row r="3">
      <c r="A3" s="26" t="inlineStr">
        <is>
          <t>COMPLIANCE ASSESSMENT SUMMARY</t>
        </is>
      </c>
      <c r="B3" s="6" t="n"/>
      <c r="C3" s="6" t="n"/>
      <c r="D3" s="6" t="n"/>
      <c r="E3" s="6" t="n"/>
      <c r="F3" s="6" t="n"/>
      <c r="G3" s="6" t="n"/>
    </row>
    <row r="4" ht="30" customHeight="1">
      <c r="A4" s="27" t="inlineStr">
        <is>
          <t>Assessment Area</t>
        </is>
      </c>
      <c r="B4" s="27" t="inlineStr">
        <is>
          <t>Questions Answered</t>
        </is>
      </c>
      <c r="C4" s="27" t="inlineStr">
        <is>
          <t>No Gap</t>
        </is>
      </c>
      <c r="D4" s="27" t="inlineStr">
        <is>
          <t>Gap Identified</t>
        </is>
      </c>
      <c r="E4" s="27" t="inlineStr">
        <is>
          <t>N/A</t>
        </is>
      </c>
      <c r="F4" s="27" t="inlineStr">
        <is>
          <t>Target</t>
        </is>
      </c>
      <c r="G4" s="27" t="inlineStr">
        <is>
          <t>Compliance %</t>
        </is>
      </c>
    </row>
    <row r="5">
      <c r="A5" s="28" t="inlineStr">
        <is>
          <t>Requirements Register</t>
        </is>
      </c>
      <c r="B5" s="28">
        <f>COUNTA('Requirements Register'!G5:G54)</f>
        <v/>
      </c>
      <c r="C5" s="28">
        <f>COUNTIF('Requirements Register'!G5:G54,"Implemented")+COUNTIF('Requirements Register'!G5:G54,"Verified")</f>
        <v/>
      </c>
      <c r="D5" s="28">
        <f>COUNTIF('Requirements Register'!G5:G54,"Not Started")+COUNTIF('Requirements Register'!G5:G54,"In Progress")</f>
        <v/>
      </c>
      <c r="E5" s="28" t="n">
        <v>0</v>
      </c>
      <c r="F5" s="28" t="inlineStr">
        <is>
          <t>90%</t>
        </is>
      </c>
      <c r="G5" s="29">
        <f>IFERROR(C5/(C5+D5)*100,0)</f>
        <v/>
      </c>
    </row>
    <row r="6">
      <c r="A6" s="28" t="inlineStr">
        <is>
          <t>Traceability Matrix</t>
        </is>
      </c>
      <c r="B6" s="28">
        <f>COUNTA('Traceability Matrix'!F5:F54)</f>
        <v/>
      </c>
      <c r="C6" s="28">
        <f>COUNTIF('Traceability Matrix'!F5:F54,"Yes")</f>
        <v/>
      </c>
      <c r="D6" s="28">
        <f>COUNTIF('Traceability Matrix'!F5:F54,"No")</f>
        <v/>
      </c>
      <c r="E6" s="28" t="n">
        <v>0</v>
      </c>
      <c r="F6" s="28" t="inlineStr">
        <is>
          <t>85%</t>
        </is>
      </c>
      <c r="G6" s="29">
        <f>IFERROR(C6/(C6+D6)*100,0)</f>
        <v/>
      </c>
    </row>
    <row r="7">
      <c r="A7" s="28" t="inlineStr">
        <is>
          <t>Verification Checklist</t>
        </is>
      </c>
      <c r="B7" s="28">
        <f>COUNTA('Verification Checklist'!C5:C54)</f>
        <v/>
      </c>
      <c r="C7" s="28">
        <f>COUNTIF('Verification Checklist'!C5:C54,"Pass")</f>
        <v/>
      </c>
      <c r="D7" s="28">
        <f>COUNTIF('Verification Checklist'!C5:C54,"Fail")+COUNTIF('Verification Checklist'!C5:C54,"Not Tested")+COUNTIF('Verification Checklist'!C5:C54,"Blocked")</f>
        <v/>
      </c>
      <c r="E7" s="28" t="n">
        <v>0</v>
      </c>
      <c r="F7" s="28" t="inlineStr">
        <is>
          <t>90%</t>
        </is>
      </c>
      <c r="G7" s="29">
        <f>IFERROR(C7/(C7+D7)*100,0)</f>
        <v/>
      </c>
    </row>
    <row r="8">
      <c r="A8" s="30" t="inlineStr">
        <is>
          <t>TOTAL</t>
        </is>
      </c>
      <c r="B8" s="30">
        <f>SUM(B5:B7)</f>
        <v/>
      </c>
      <c r="C8" s="30">
        <f>SUM(C5:C7)</f>
        <v/>
      </c>
      <c r="D8" s="30">
        <f>SUM(D5:D7)</f>
        <v/>
      </c>
      <c r="E8" s="30">
        <f>SUM(E5:E7)</f>
        <v/>
      </c>
      <c r="F8" s="30" t="inlineStr">
        <is>
          <t>—</t>
        </is>
      </c>
      <c r="G8" s="31">
        <f>IFERROR(AVERAGE(G5:G7),0)</f>
        <v/>
      </c>
    </row>
    <row r="10">
      <c r="A10" s="26" t="inlineStr">
        <is>
          <t>REQUIREMENTS HEALTH METRICS</t>
        </is>
      </c>
      <c r="B10" s="6" t="n"/>
      <c r="C10" s="6" t="n"/>
      <c r="D10" s="6" t="n"/>
      <c r="E10" s="6" t="n"/>
      <c r="F10" s="6" t="n"/>
      <c r="G10" s="6" t="n"/>
    </row>
    <row r="11">
      <c r="A11" s="32" t="inlineStr">
        <is>
          <t>Metric</t>
        </is>
      </c>
      <c r="B11" s="32" t="inlineStr">
        <is>
          <t>Value</t>
        </is>
      </c>
      <c r="C11" s="32" t="inlineStr">
        <is>
          <t>Target</t>
        </is>
      </c>
    </row>
    <row r="12">
      <c r="A12" s="28" t="inlineStr">
        <is>
          <t>Total Requirements</t>
        </is>
      </c>
      <c r="B12" s="28">
        <f>COUNTA('Requirements Register'!A5:A54)</f>
        <v/>
      </c>
      <c r="C12" s="28" t="inlineStr">
        <is>
          <t>≥5</t>
        </is>
      </c>
    </row>
    <row r="13">
      <c r="A13" s="28" t="inlineStr">
        <is>
          <t>Implemented/Verified</t>
        </is>
      </c>
      <c r="B13" s="28">
        <f>COUNTIF('Requirements Register'!G5:G54,"Implemented")+COUNTIF('Requirements Register'!G5:G54,"Verified")</f>
        <v/>
      </c>
      <c r="C13" s="28" t="inlineStr">
        <is>
          <t>≥1</t>
        </is>
      </c>
    </row>
    <row r="14">
      <c r="A14" s="28" t="inlineStr">
        <is>
          <t>Must Have Requirements</t>
        </is>
      </c>
      <c r="B14" s="28">
        <f>COUNTIF('Requirements Register'!E5:E54,"Must Have")</f>
        <v/>
      </c>
      <c r="C14" s="28" t="inlineStr">
        <is>
          <t>≥1</t>
        </is>
      </c>
    </row>
    <row r="15">
      <c r="A15" s="28" t="inlineStr">
        <is>
          <t>Traceability Coverage (%)</t>
        </is>
      </c>
      <c r="B15" s="28">
        <f>IFERROR(COUNTIF('Traceability Matrix'!F5:F54,"Yes")/COUNTA('Traceability Matrix'!A5:A54)*100,0)</f>
        <v/>
      </c>
      <c r="C15" s="28" t="inlineStr">
        <is>
          <t>≥85%</t>
        </is>
      </c>
    </row>
    <row r="16">
      <c r="A16" s="28" t="inlineStr">
        <is>
          <t>Verification Pass Rate (%)</t>
        </is>
      </c>
      <c r="B16" s="28">
        <f>G7</f>
        <v/>
      </c>
      <c r="C16" s="28" t="inlineStr">
        <is>
          <t>≥90%</t>
        </is>
      </c>
    </row>
    <row r="17">
      <c r="A17" s="28" t="inlineStr">
        <is>
          <t>Open Gaps</t>
        </is>
      </c>
      <c r="B17" s="28">
        <f>COUNTA('Gap Analysis'!A5:A54)</f>
        <v/>
      </c>
      <c r="C17" s="28" t="inlineStr">
        <is>
          <t>0</t>
        </is>
      </c>
    </row>
    <row r="19">
      <c r="A19" s="33" t="inlineStr">
        <is>
          <t>CRITICAL FINDINGS</t>
        </is>
      </c>
      <c r="B19" s="6" t="n"/>
      <c r="C19" s="6" t="n"/>
      <c r="D19" s="6" t="n"/>
      <c r="E19" s="6" t="n"/>
      <c r="F19" s="6" t="n"/>
      <c r="G19" s="6" t="n"/>
    </row>
    <row r="20">
      <c r="A20" s="32" t="inlineStr">
        <is>
          <t>Critical Finding</t>
        </is>
      </c>
      <c r="B20" s="32" t="inlineStr">
        <is>
          <t>Status</t>
        </is>
      </c>
      <c r="C20" s="32" t="inlineStr">
        <is>
          <t>Severity</t>
        </is>
      </c>
    </row>
    <row r="21">
      <c r="A21" s="34" t="inlineStr">
        <is>
          <t>Requirements Register &lt;70%</t>
        </is>
      </c>
      <c r="B21" s="34">
        <f>IF(G5&lt;70,"[!] Below Target","[OK]")</f>
        <v/>
      </c>
      <c r="C21" s="34" t="inlineStr">
        <is>
          <t>Critical</t>
        </is>
      </c>
    </row>
    <row r="22">
      <c r="A22" s="35" t="inlineStr">
        <is>
          <t>Traceability Matrix &lt;70%</t>
        </is>
      </c>
      <c r="B22" s="35">
        <f>IF(G6&lt;70,"[!] Below Target","[OK]")</f>
        <v/>
      </c>
      <c r="C22" s="35" t="inlineStr">
        <is>
          <t>High</t>
        </is>
      </c>
    </row>
    <row r="23">
      <c r="A23" s="34" t="inlineStr">
        <is>
          <t>Verification Checklist &lt;70%</t>
        </is>
      </c>
      <c r="B23" s="34">
        <f>IF(G7&lt;70,"[!] Below Target","[OK]")</f>
        <v/>
      </c>
      <c r="C23" s="34" t="inlineStr">
        <is>
          <t>Critical</t>
        </is>
      </c>
    </row>
    <row r="24">
      <c r="A24" s="34" t="inlineStr">
        <is>
          <t>Overall compliance &lt;70%</t>
        </is>
      </c>
      <c r="B24" s="34">
        <f>IF(G8&lt;70,"[!] Below Target","[OK]")</f>
        <v/>
      </c>
      <c r="C24" s="34" t="inlineStr">
        <is>
          <t>Critical</t>
        </is>
      </c>
    </row>
    <row r="25">
      <c r="A25" s="35" t="inlineStr">
        <is>
          <t>Open Gaps &gt;10</t>
        </is>
      </c>
      <c r="B25" s="35">
        <f>IF(COUNTA('Gap Analysis'!A5:A54)&gt;10,"[!] Review Required","[OK]")</f>
        <v/>
      </c>
      <c r="C25" s="35" t="inlineStr">
        <is>
          <t>High</t>
        </is>
      </c>
    </row>
  </sheetData>
  <mergeCells count="5">
    <mergeCell ref="A1:G1"/>
    <mergeCell ref="A3:G3"/>
    <mergeCell ref="A2:G2"/>
    <mergeCell ref="A19:G19"/>
    <mergeCell ref="A10:G1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5"/>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20" t="inlineStr">
        <is>
          <t>ASSESSMENT APPROVAL AND SIGN-OFF</t>
        </is>
      </c>
      <c r="B1" s="6" t="n"/>
      <c r="C1" s="6" t="n"/>
      <c r="D1" s="6" t="n"/>
      <c r="E1" s="6" t="n"/>
    </row>
    <row r="2">
      <c r="A2" s="21" t="inlineStr">
        <is>
          <t>ISO/IEC 27001:2022 - Control A.5.8: Information Security in Project Management</t>
        </is>
      </c>
      <c r="B2" s="6" t="n"/>
      <c r="C2" s="6" t="n"/>
      <c r="D2" s="6" t="n"/>
      <c r="E2" s="6" t="n"/>
    </row>
    <row r="3">
      <c r="A3" s="36" t="inlineStr">
        <is>
          <t>ASSESSMENT REVIEW AND APPROVAL</t>
        </is>
      </c>
      <c r="B3" s="6" t="n"/>
      <c r="C3" s="6" t="n"/>
      <c r="D3" s="6" t="n"/>
      <c r="E3" s="6" t="n"/>
    </row>
    <row r="4">
      <c r="A4" s="37" t="inlineStr">
        <is>
          <t>Role / Function</t>
        </is>
      </c>
      <c r="B4" s="37" t="inlineStr">
        <is>
          <t>Name</t>
        </is>
      </c>
      <c r="C4" s="37" t="inlineStr">
        <is>
          <t>Signature / Initials</t>
        </is>
      </c>
      <c r="D4" s="37" t="inlineStr">
        <is>
          <t>Date (DD.MM.YYYY)</t>
        </is>
      </c>
      <c r="E4" s="37" t="inlineStr">
        <is>
          <t>Comments</t>
        </is>
      </c>
    </row>
    <row r="5">
      <c r="A5" s="38" t="inlineStr">
        <is>
          <t>Lead Assessor / Author</t>
        </is>
      </c>
      <c r="B5" s="16" t="n"/>
      <c r="C5" s="16" t="n"/>
      <c r="D5" s="16" t="n"/>
      <c r="E5" s="16" t="n"/>
    </row>
    <row r="6">
      <c r="A6" s="38" t="inlineStr">
        <is>
          <t>IT Security Manager</t>
        </is>
      </c>
      <c r="B6" s="39">
        <f>IFERROR(AVERAGE('Summary Dashboard'!G5:G7),"")</f>
        <v/>
      </c>
      <c r="C6" s="16" t="n"/>
      <c r="D6" s="16" t="n"/>
      <c r="E6" s="16" t="n"/>
    </row>
    <row r="7">
      <c r="A7" s="38" t="inlineStr">
        <is>
          <t>Reviewer (Technical / Compliance)</t>
        </is>
      </c>
      <c r="B7" s="16" t="n"/>
      <c r="C7" s="16" t="n"/>
      <c r="D7" s="16" t="n"/>
      <c r="E7" s="16" t="n"/>
    </row>
    <row r="8">
      <c r="A8" s="38" t="inlineStr">
        <is>
          <t>CISO / Final Approver</t>
        </is>
      </c>
      <c r="B8" s="16" t="n"/>
      <c r="C8" s="16" t="n"/>
      <c r="D8" s="16" t="n"/>
      <c r="E8" s="16" t="n"/>
    </row>
    <row r="9">
      <c r="A9" s="6" t="n"/>
      <c r="B9" s="6" t="n"/>
      <c r="C9" s="6" t="n"/>
      <c r="D9" s="6" t="n"/>
      <c r="E9" s="6" t="n"/>
    </row>
    <row r="10">
      <c r="A10" s="40" t="inlineStr">
        <is>
          <t>FINAL DECISION:</t>
        </is>
      </c>
      <c r="B10" s="16" t="n"/>
      <c r="C10" s="6" t="n"/>
      <c r="D10" s="6" t="n"/>
      <c r="E10" s="6" t="n"/>
    </row>
    <row r="11">
      <c r="A11" s="41" t="n"/>
      <c r="B11" s="6" t="n"/>
      <c r="C11" s="6" t="n"/>
      <c r="D11" s="6" t="n"/>
      <c r="E11" s="6" t="n"/>
    </row>
    <row r="12">
      <c r="A12" s="6" t="n"/>
      <c r="B12" s="6" t="n"/>
      <c r="C12" s="6" t="n"/>
      <c r="D12" s="6" t="n"/>
      <c r="E12" s="6" t="n"/>
    </row>
    <row r="13">
      <c r="A13" s="36" t="inlineStr">
        <is>
          <t>NEXT REVIEW</t>
        </is>
      </c>
      <c r="B13" s="6" t="n"/>
      <c r="C13" s="6" t="n"/>
      <c r="D13" s="6" t="n"/>
      <c r="E13" s="6" t="n"/>
    </row>
    <row r="14">
      <c r="A14" s="42" t="inlineStr">
        <is>
          <t>Next Review Date (DD.MM.YYYY)</t>
        </is>
      </c>
      <c r="B14" s="16" t="n"/>
    </row>
    <row r="15">
      <c r="A15" s="42" t="inlineStr">
        <is>
          <t>Review Owner</t>
        </is>
      </c>
      <c r="B15" s="16" t="n"/>
    </row>
  </sheetData>
  <mergeCells count="10">
    <mergeCell ref="A12:E12"/>
    <mergeCell ref="A2:E2"/>
    <mergeCell ref="A11:E11"/>
    <mergeCell ref="B15:E15"/>
    <mergeCell ref="A1:E1"/>
    <mergeCell ref="A13:E13"/>
    <mergeCell ref="B10:E10"/>
    <mergeCell ref="A9:E9"/>
    <mergeCell ref="B14:E14"/>
    <mergeCell ref="A3:E3"/>
  </mergeCells>
  <dataValidations count="1">
    <dataValidation sqref="B10"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ISMS-IMP-A.5.8.2 — Security Requirements Register</dc:title>
  <dc:description xmlns:dc="http://purl.org/dc/elements/1.1/">ISMS Implementation Workbook — ISMS-IMP-A.5.8.2</dc:description>
  <dc:subject xmlns:dc="http://purl.org/dc/elements/1.1/">ISO/IEC 27001:2022 — Control A.5.8: Information Security in Project Management</dc:subject>
  <dcterms:created xmlns:dcterms="http://purl.org/dc/terms/" xmlns:xsi="http://www.w3.org/2001/XMLSchema-instance" xsi:type="dcterms:W3CDTF">2026-03-07T11:27:46Z</dcterms:created>
  <dcterms:modified xmlns:dcterms="http://purl.org/dc/terms/" xmlns:xsi="http://www.w3.org/2001/XMLSchema-instance" xsi:type="dcterms:W3CDTF">2026-03-07T11:27:46Z</dcterms:modified>
</cp:coreProperties>
</file>