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ject Data" sheetId="2" state="visible" r:id="rId2"/>
    <sheet xmlns:r="http://schemas.openxmlformats.org/officeDocument/2006/relationships" name="Summary Dashboard" sheetId="3" state="visible" r:id="rId3"/>
    <sheet xmlns:r="http://schemas.openxmlformats.org/officeDocument/2006/relationships" name="Project Status" sheetId="4" state="visible" r:id="rId4"/>
    <sheet xmlns:r="http://schemas.openxmlformats.org/officeDocument/2006/relationships" name="Gap Analysis" sheetId="5" state="visible" r:id="rId5"/>
    <sheet xmlns:r="http://schemas.openxmlformats.org/officeDocument/2006/relationships" name="Trend Analysis" sheetId="6" state="visible" r:id="rId6"/>
    <sheet xmlns:r="http://schemas.openxmlformats.org/officeDocument/2006/relationships" name="Risk Prioritisation" sheetId="7" state="visible" r:id="rId7"/>
    <sheet xmlns:r="http://schemas.openxmlformats.org/officeDocument/2006/relationships" name="Lessons Learned" sheetId="8" state="visible" r:id="rId8"/>
    <sheet xmlns:r="http://schemas.openxmlformats.org/officeDocument/2006/relationships" name="Regulatory Compliance" sheetId="9" state="visible" r:id="rId9"/>
    <sheet xmlns:r="http://schemas.openxmlformats.org/officeDocument/2006/relationships" name="Resources &amp; Budget" sheetId="10" state="visible" r:id="rId10"/>
    <sheet xmlns:r="http://schemas.openxmlformats.org/officeDocument/2006/relationships" name="Charts"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name val="Calibri"/>
      <b val="1"/>
      <color rgb="00003366"/>
      <sz val="11"/>
    </font>
    <font>
      <i val="1"/>
      <color rgb="00808080"/>
    </font>
    <font>
      <name val="Calibri"/>
      <b val="1"/>
      <color rgb="00FFFFFF"/>
      <sz val="11"/>
    </font>
    <font>
      <name val="Calibri"/>
      <b val="1"/>
      <color rgb="00000000"/>
      <sz val="10"/>
    </font>
    <font>
      <name val="Calibri"/>
      <i val="1"/>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10" borderId="1" applyAlignment="1" pivotButton="0" quotePrefix="0" xfId="0">
      <alignment vertical="top" wrapText="1"/>
    </xf>
    <xf numFmtId="9" fontId="8" fillId="10" borderId="1" applyAlignment="1" pivotButton="0" quotePrefix="0" xfId="0">
      <alignment vertical="top" wrapText="1"/>
    </xf>
    <xf numFmtId="164" fontId="8" fillId="10" borderId="1" applyAlignment="1" pivotButton="0" quotePrefix="0" xfId="0">
      <alignment vertical="top" wrapText="1"/>
    </xf>
    <xf numFmtId="0" fontId="0" fillId="11" borderId="1" pivotButton="0" quotePrefix="0" xfId="0"/>
    <xf numFmtId="9" fontId="0" fillId="11" borderId="1" pivotButton="0" quotePrefix="0" xfId="0"/>
    <xf numFmtId="164"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wrapText="1"/>
    </xf>
    <xf numFmtId="0" fontId="0" fillId="11" borderId="1" applyAlignment="1" pivotButton="0" quotePrefix="0" xfId="0">
      <alignment horizontal="left" vertical="center"/>
    </xf>
    <xf numFmtId="165" fontId="0" fillId="11" borderId="1" applyAlignment="1" pivotButton="0" quotePrefix="0" xfId="0">
      <alignment horizontal="left" vertical="center"/>
    </xf>
    <xf numFmtId="0" fontId="3" fillId="9" borderId="1" applyAlignment="1" pivotButton="0" quotePrefix="0" xfId="0">
      <alignment horizontal="left" vertical="center"/>
    </xf>
    <xf numFmtId="165" fontId="3" fillId="9" borderId="1" applyAlignment="1" pivotButton="0" quotePrefix="0" xfId="0">
      <alignment horizontal="left" vertical="center"/>
    </xf>
    <xf numFmtId="0" fontId="10" fillId="9" borderId="1" applyAlignment="1" pivotButton="0" quotePrefix="0" xfId="0">
      <alignment horizontal="center" vertical="center"/>
    </xf>
    <xf numFmtId="0" fontId="9"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7" fillId="9" borderId="1" pivotButton="0" quotePrefix="0" xfId="0"/>
    <xf numFmtId="0" fontId="0" fillId="10" borderId="1" pivotButton="0" quotePrefix="0" xfId="0"/>
    <xf numFmtId="9" fontId="0" fillId="10" borderId="1" pivotButton="0" quotePrefix="0" xfId="0"/>
    <xf numFmtId="0" fontId="8" fillId="10" borderId="1" pivotButton="0" quotePrefix="0" xfId="0"/>
    <xf numFmtId="9" fontId="8" fillId="10" borderId="1" pivotButton="0" quotePrefix="0" xfId="0"/>
    <xf numFmtId="3" fontId="8" fillId="10" borderId="1" pivotButton="0" quotePrefix="0" xfId="0"/>
    <xf numFmtId="165" fontId="8" fillId="10" borderId="1" pivotButton="0" quotePrefix="0" xfId="0"/>
    <xf numFmtId="3" fontId="0" fillId="11" borderId="1" pivotButton="0" quotePrefix="0" xfId="0"/>
    <xf numFmtId="165" fontId="0" fillId="11" borderId="1" pivotButton="0" quotePrefix="0" xfId="0"/>
    <xf numFmtId="0" fontId="1" fillId="8" borderId="0" pivotButton="0" quotePrefix="0" xfId="0"/>
    <xf numFmtId="0" fontId="11" fillId="0" borderId="1" applyAlignment="1" pivotButton="0" quotePrefix="0" xfId="0">
      <alignment horizontal="center" vertical="center"/>
    </xf>
    <xf numFmtId="0" fontId="9" fillId="15" borderId="1" applyAlignment="1" pivotButton="0" quotePrefix="0" xfId="0">
      <alignment horizontal="center" vertical="center"/>
    </xf>
    <xf numFmtId="0" fontId="12" fillId="9" borderId="1" applyAlignment="1" pivotButton="0" quotePrefix="0" xfId="0">
      <alignment horizontal="center" vertical="center" wrapText="1"/>
    </xf>
    <xf numFmtId="0" fontId="13" fillId="11" borderId="1" pivotButton="0" quotePrefix="0" xfId="0"/>
    <xf numFmtId="0" fontId="14" fillId="0" borderId="1" pivotButton="0" quotePrefix="0" xfId="0"/>
    <xf numFmtId="0" fontId="12"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ISMS-IMP-A.5.8.3  -  Project Portfolio
ISO/IEC 27001:2022 - Control A.5.8: Information Security in Project Management</t>
        </is>
      </c>
    </row>
    <row r="3">
      <c r="A3" s="2" t="inlineStr">
        <is>
          <t>Document Information</t>
        </is>
      </c>
    </row>
    <row r="4">
      <c r="A4" s="3" t="inlineStr">
        <is>
          <t>Document ID</t>
        </is>
      </c>
      <c r="B4" t="inlineStr">
        <is>
          <t>ISMS-IMP-A.5.8.3</t>
        </is>
      </c>
    </row>
    <row r="5">
      <c r="A5" s="3" t="inlineStr">
        <is>
          <t>Workbook Title</t>
        </is>
      </c>
      <c r="B5" t="inlineStr">
        <is>
          <t>Project Portfolio</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Extract data from A.5.8.1 workbooks — populate Project Data sheet.</t>
        </is>
      </c>
    </row>
    <row r="14">
      <c r="A14" t="inlineStr">
        <is>
          <t>2. OR: Use consolidate_a58_dashboard.py for automated extraction.</t>
        </is>
      </c>
    </row>
    <row r="15">
      <c r="A15" t="inlineStr">
        <is>
          <t>3. Review Executive Summary for portfolio health status.</t>
        </is>
      </c>
    </row>
    <row r="16">
      <c r="A16" t="inlineStr">
        <is>
          <t>4. Review Gap Analysis for common security gaps.</t>
        </is>
      </c>
    </row>
    <row r="17">
      <c r="A17" t="inlineStr">
        <is>
          <t>5. Track trends quarter-over-quarter in Trend Analysis sheet.</t>
        </is>
      </c>
    </row>
    <row r="18">
      <c r="A18" t="inlineStr">
        <is>
          <t>6. Update quarterly or after major project milestones.</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20" customWidth="1" min="3" max="3"/>
    <col width="20" customWidth="1" min="4" max="4"/>
    <col width="15"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 width="12" customWidth="1" min="15" max="15"/>
    <col width="30" customWidth="1" min="16" max="16"/>
  </cols>
  <sheetData>
    <row r="1" ht="35" customHeight="1">
      <c r="A1" s="11" t="inlineStr">
        <is>
          <t>PROJECT DATA TABLE</t>
        </is>
      </c>
    </row>
    <row r="2">
      <c r="A2" s="12" t="inlineStr">
        <is>
          <t>ISO/IEC 27001:2022 - Control A.5.8: Information Security in Project Management — Consolidated project security data from A.5.8.1 lifecycle assessments</t>
        </is>
      </c>
    </row>
    <row r="3">
      <c r="A3" s="13" t="inlineStr">
        <is>
          <t>Project Name</t>
        </is>
      </c>
      <c r="B3" s="13" t="inlineStr">
        <is>
          <t>Classification</t>
        </is>
      </c>
      <c r="C3" s="13" t="inlineStr">
        <is>
          <t>PM</t>
        </is>
      </c>
      <c r="D3" s="13" t="inlineStr">
        <is>
          <t>Business Owner</t>
        </is>
      </c>
      <c r="E3" s="13" t="inlineStr">
        <is>
          <t>Phase</t>
        </is>
      </c>
      <c r="F3" s="13" t="inlineStr">
        <is>
          <t>Compliance %</t>
        </is>
      </c>
      <c r="G3" s="13" t="inlineStr">
        <is>
          <t>Initiation %</t>
        </is>
      </c>
      <c r="H3" s="13" t="inlineStr">
        <is>
          <t>Planning %</t>
        </is>
      </c>
      <c r="I3" s="13" t="inlineStr">
        <is>
          <t>Execution %</t>
        </is>
      </c>
      <c r="J3" s="13" t="inlineStr">
        <is>
          <t>Monitoring %</t>
        </is>
      </c>
      <c r="K3" s="13" t="inlineStr">
        <is>
          <t>Closure %</t>
        </is>
      </c>
      <c r="L3" s="13" t="inlineStr">
        <is>
          <t>Critical Gaps</t>
        </is>
      </c>
      <c r="M3" s="13" t="inlineStr">
        <is>
          <t>High Findings</t>
        </is>
      </c>
      <c r="N3" s="13" t="inlineStr">
        <is>
          <t>Deploy Date</t>
        </is>
      </c>
      <c r="O3" s="13" t="inlineStr">
        <is>
          <t>Last Assessment</t>
        </is>
      </c>
      <c r="P3" s="13" t="inlineStr">
        <is>
          <t>Notes</t>
        </is>
      </c>
    </row>
    <row r="4">
      <c r="A4" s="14" t="inlineStr">
        <is>
          <t>Customer Portal v2.0</t>
        </is>
      </c>
      <c r="B4" s="14" t="inlineStr">
        <is>
          <t>High</t>
        </is>
      </c>
      <c r="C4" s="14" t="inlineStr">
        <is>
          <t>Jane Smith</t>
        </is>
      </c>
      <c r="D4" s="14" t="inlineStr">
        <is>
          <t>Commercial Director</t>
        </is>
      </c>
      <c r="E4" s="14" t="inlineStr">
        <is>
          <t>Execution</t>
        </is>
      </c>
      <c r="F4" s="15" t="n">
        <v>0.72</v>
      </c>
      <c r="G4" s="15" t="n">
        <v>1</v>
      </c>
      <c r="H4" s="15" t="n">
        <v>0.88</v>
      </c>
      <c r="I4" s="15" t="n">
        <v>0.72</v>
      </c>
      <c r="J4" s="15" t="inlineStr"/>
      <c r="K4" s="15" t="inlineStr"/>
      <c r="L4" s="14" t="n">
        <v>2</v>
      </c>
      <c r="M4" s="14" t="n">
        <v>5</v>
      </c>
      <c r="N4" s="16" t="inlineStr"/>
      <c r="O4" s="16" t="inlineStr"/>
      <c r="P4" s="14" t="inlineStr">
        <is>
          <t>On track — security testing in progress</t>
        </is>
      </c>
    </row>
    <row r="5">
      <c r="A5" s="17" t="n"/>
      <c r="B5" s="17" t="n"/>
      <c r="C5" s="17" t="n"/>
      <c r="D5" s="17" t="n"/>
      <c r="E5" s="17" t="n"/>
      <c r="F5" s="18" t="n"/>
      <c r="G5" s="18" t="n"/>
      <c r="H5" s="18" t="n"/>
      <c r="I5" s="18" t="n"/>
      <c r="J5" s="18" t="n"/>
      <c r="K5" s="18" t="n"/>
      <c r="L5" s="17" t="n"/>
      <c r="M5" s="17" t="n"/>
      <c r="N5" s="19" t="n"/>
      <c r="O5" s="19" t="n"/>
      <c r="P5" s="17" t="n"/>
    </row>
    <row r="6">
      <c r="A6" s="17" t="n"/>
      <c r="B6" s="17" t="n"/>
      <c r="C6" s="17" t="n"/>
      <c r="D6" s="17" t="n"/>
      <c r="E6" s="17" t="n"/>
      <c r="F6" s="18" t="n"/>
      <c r="G6" s="18" t="n"/>
      <c r="H6" s="18" t="n"/>
      <c r="I6" s="18" t="n"/>
      <c r="J6" s="18" t="n"/>
      <c r="K6" s="18" t="n"/>
      <c r="L6" s="17" t="n"/>
      <c r="M6" s="17" t="n"/>
      <c r="N6" s="19" t="n"/>
      <c r="O6" s="19" t="n"/>
      <c r="P6" s="17" t="n"/>
    </row>
    <row r="7">
      <c r="A7" s="17" t="n"/>
      <c r="B7" s="17" t="n"/>
      <c r="C7" s="17" t="n"/>
      <c r="D7" s="17" t="n"/>
      <c r="E7" s="17" t="n"/>
      <c r="F7" s="18" t="n"/>
      <c r="G7" s="18" t="n"/>
      <c r="H7" s="18" t="n"/>
      <c r="I7" s="18" t="n"/>
      <c r="J7" s="18" t="n"/>
      <c r="K7" s="18" t="n"/>
      <c r="L7" s="17" t="n"/>
      <c r="M7" s="17" t="n"/>
      <c r="N7" s="19" t="n"/>
      <c r="O7" s="19" t="n"/>
      <c r="P7" s="17" t="n"/>
    </row>
    <row r="8">
      <c r="A8" s="17" t="n"/>
      <c r="B8" s="17" t="n"/>
      <c r="C8" s="17" t="n"/>
      <c r="D8" s="17" t="n"/>
      <c r="E8" s="17" t="n"/>
      <c r="F8" s="18" t="n"/>
      <c r="G8" s="18" t="n"/>
      <c r="H8" s="18" t="n"/>
      <c r="I8" s="18" t="n"/>
      <c r="J8" s="18" t="n"/>
      <c r="K8" s="18" t="n"/>
      <c r="L8" s="17" t="n"/>
      <c r="M8" s="17" t="n"/>
      <c r="N8" s="19" t="n"/>
      <c r="O8" s="19" t="n"/>
      <c r="P8" s="17" t="n"/>
    </row>
    <row r="9">
      <c r="A9" s="17" t="n"/>
      <c r="B9" s="17" t="n"/>
      <c r="C9" s="17" t="n"/>
      <c r="D9" s="17" t="n"/>
      <c r="E9" s="17" t="n"/>
      <c r="F9" s="18" t="n"/>
      <c r="G9" s="18" t="n"/>
      <c r="H9" s="18" t="n"/>
      <c r="I9" s="18" t="n"/>
      <c r="J9" s="18" t="n"/>
      <c r="K9" s="18" t="n"/>
      <c r="L9" s="17" t="n"/>
      <c r="M9" s="17" t="n"/>
      <c r="N9" s="19" t="n"/>
      <c r="O9" s="19" t="n"/>
      <c r="P9" s="17" t="n"/>
    </row>
    <row r="10">
      <c r="A10" s="17" t="n"/>
      <c r="B10" s="17" t="n"/>
      <c r="C10" s="17" t="n"/>
      <c r="D10" s="17" t="n"/>
      <c r="E10" s="17" t="n"/>
      <c r="F10" s="18" t="n"/>
      <c r="G10" s="18" t="n"/>
      <c r="H10" s="18" t="n"/>
      <c r="I10" s="18" t="n"/>
      <c r="J10" s="18" t="n"/>
      <c r="K10" s="18" t="n"/>
      <c r="L10" s="17" t="n"/>
      <c r="M10" s="17" t="n"/>
      <c r="N10" s="19" t="n"/>
      <c r="O10" s="19" t="n"/>
      <c r="P10" s="17" t="n"/>
    </row>
    <row r="11">
      <c r="A11" s="17" t="n"/>
      <c r="B11" s="17" t="n"/>
      <c r="C11" s="17" t="n"/>
      <c r="D11" s="17" t="n"/>
      <c r="E11" s="17" t="n"/>
      <c r="F11" s="18" t="n"/>
      <c r="G11" s="18" t="n"/>
      <c r="H11" s="18" t="n"/>
      <c r="I11" s="18" t="n"/>
      <c r="J11" s="18" t="n"/>
      <c r="K11" s="18" t="n"/>
      <c r="L11" s="17" t="n"/>
      <c r="M11" s="17" t="n"/>
      <c r="N11" s="19" t="n"/>
      <c r="O11" s="19" t="n"/>
      <c r="P11" s="17" t="n"/>
    </row>
    <row r="12">
      <c r="A12" s="17" t="n"/>
      <c r="B12" s="17" t="n"/>
      <c r="C12" s="17" t="n"/>
      <c r="D12" s="17" t="n"/>
      <c r="E12" s="17" t="n"/>
      <c r="F12" s="18" t="n"/>
      <c r="G12" s="18" t="n"/>
      <c r="H12" s="18" t="n"/>
      <c r="I12" s="18" t="n"/>
      <c r="J12" s="18" t="n"/>
      <c r="K12" s="18" t="n"/>
      <c r="L12" s="17" t="n"/>
      <c r="M12" s="17" t="n"/>
      <c r="N12" s="19" t="n"/>
      <c r="O12" s="19" t="n"/>
      <c r="P12" s="17" t="n"/>
    </row>
    <row r="13">
      <c r="A13" s="17" t="n"/>
      <c r="B13" s="17" t="n"/>
      <c r="C13" s="17" t="n"/>
      <c r="D13" s="17" t="n"/>
      <c r="E13" s="17" t="n"/>
      <c r="F13" s="18" t="n"/>
      <c r="G13" s="18" t="n"/>
      <c r="H13" s="18" t="n"/>
      <c r="I13" s="18" t="n"/>
      <c r="J13" s="18" t="n"/>
      <c r="K13" s="18" t="n"/>
      <c r="L13" s="17" t="n"/>
      <c r="M13" s="17" t="n"/>
      <c r="N13" s="19" t="n"/>
      <c r="O13" s="19" t="n"/>
      <c r="P13" s="17" t="n"/>
    </row>
    <row r="14">
      <c r="A14" s="17" t="n"/>
      <c r="B14" s="17" t="n"/>
      <c r="C14" s="17" t="n"/>
      <c r="D14" s="17" t="n"/>
      <c r="E14" s="17" t="n"/>
      <c r="F14" s="18" t="n"/>
      <c r="G14" s="18" t="n"/>
      <c r="H14" s="18" t="n"/>
      <c r="I14" s="18" t="n"/>
      <c r="J14" s="18" t="n"/>
      <c r="K14" s="18" t="n"/>
      <c r="L14" s="17" t="n"/>
      <c r="M14" s="17" t="n"/>
      <c r="N14" s="19" t="n"/>
      <c r="O14" s="19" t="n"/>
      <c r="P14" s="17" t="n"/>
    </row>
    <row r="15">
      <c r="A15" s="17" t="n"/>
      <c r="B15" s="17" t="n"/>
      <c r="C15" s="17" t="n"/>
      <c r="D15" s="17" t="n"/>
      <c r="E15" s="17" t="n"/>
      <c r="F15" s="18" t="n"/>
      <c r="G15" s="18" t="n"/>
      <c r="H15" s="18" t="n"/>
      <c r="I15" s="18" t="n"/>
      <c r="J15" s="18" t="n"/>
      <c r="K15" s="18" t="n"/>
      <c r="L15" s="17" t="n"/>
      <c r="M15" s="17" t="n"/>
      <c r="N15" s="19" t="n"/>
      <c r="O15" s="19" t="n"/>
      <c r="P15" s="17" t="n"/>
    </row>
    <row r="16">
      <c r="A16" s="17" t="n"/>
      <c r="B16" s="17" t="n"/>
      <c r="C16" s="17" t="n"/>
      <c r="D16" s="17" t="n"/>
      <c r="E16" s="17" t="n"/>
      <c r="F16" s="18" t="n"/>
      <c r="G16" s="18" t="n"/>
      <c r="H16" s="18" t="n"/>
      <c r="I16" s="18" t="n"/>
      <c r="J16" s="18" t="n"/>
      <c r="K16" s="18" t="n"/>
      <c r="L16" s="17" t="n"/>
      <c r="M16" s="17" t="n"/>
      <c r="N16" s="19" t="n"/>
      <c r="O16" s="19" t="n"/>
      <c r="P16" s="17" t="n"/>
    </row>
    <row r="17">
      <c r="A17" s="17" t="n"/>
      <c r="B17" s="17" t="n"/>
      <c r="C17" s="17" t="n"/>
      <c r="D17" s="17" t="n"/>
      <c r="E17" s="17" t="n"/>
      <c r="F17" s="18" t="n"/>
      <c r="G17" s="18" t="n"/>
      <c r="H17" s="18" t="n"/>
      <c r="I17" s="18" t="n"/>
      <c r="J17" s="18" t="n"/>
      <c r="K17" s="18" t="n"/>
      <c r="L17" s="17" t="n"/>
      <c r="M17" s="17" t="n"/>
      <c r="N17" s="19" t="n"/>
      <c r="O17" s="19" t="n"/>
      <c r="P17" s="17" t="n"/>
    </row>
    <row r="18">
      <c r="A18" s="17" t="n"/>
      <c r="B18" s="17" t="n"/>
      <c r="C18" s="17" t="n"/>
      <c r="D18" s="17" t="n"/>
      <c r="E18" s="17" t="n"/>
      <c r="F18" s="18" t="n"/>
      <c r="G18" s="18" t="n"/>
      <c r="H18" s="18" t="n"/>
      <c r="I18" s="18" t="n"/>
      <c r="J18" s="18" t="n"/>
      <c r="K18" s="18" t="n"/>
      <c r="L18" s="17" t="n"/>
      <c r="M18" s="17" t="n"/>
      <c r="N18" s="19" t="n"/>
      <c r="O18" s="19" t="n"/>
      <c r="P18" s="17" t="n"/>
    </row>
    <row r="19">
      <c r="A19" s="17" t="n"/>
      <c r="B19" s="17" t="n"/>
      <c r="C19" s="17" t="n"/>
      <c r="D19" s="17" t="n"/>
      <c r="E19" s="17" t="n"/>
      <c r="F19" s="18" t="n"/>
      <c r="G19" s="18" t="n"/>
      <c r="H19" s="18" t="n"/>
      <c r="I19" s="18" t="n"/>
      <c r="J19" s="18" t="n"/>
      <c r="K19" s="18" t="n"/>
      <c r="L19" s="17" t="n"/>
      <c r="M19" s="17" t="n"/>
      <c r="N19" s="19" t="n"/>
      <c r="O19" s="19" t="n"/>
      <c r="P19" s="17" t="n"/>
    </row>
    <row r="20">
      <c r="A20" s="17" t="n"/>
      <c r="B20" s="17" t="n"/>
      <c r="C20" s="17" t="n"/>
      <c r="D20" s="17" t="n"/>
      <c r="E20" s="17" t="n"/>
      <c r="F20" s="18" t="n"/>
      <c r="G20" s="18" t="n"/>
      <c r="H20" s="18" t="n"/>
      <c r="I20" s="18" t="n"/>
      <c r="J20" s="18" t="n"/>
      <c r="K20" s="18" t="n"/>
      <c r="L20" s="17" t="n"/>
      <c r="M20" s="17" t="n"/>
      <c r="N20" s="19" t="n"/>
      <c r="O20" s="19" t="n"/>
      <c r="P20" s="17" t="n"/>
    </row>
    <row r="21">
      <c r="A21" s="17" t="n"/>
      <c r="B21" s="17" t="n"/>
      <c r="C21" s="17" t="n"/>
      <c r="D21" s="17" t="n"/>
      <c r="E21" s="17" t="n"/>
      <c r="F21" s="18" t="n"/>
      <c r="G21" s="18" t="n"/>
      <c r="H21" s="18" t="n"/>
      <c r="I21" s="18" t="n"/>
      <c r="J21" s="18" t="n"/>
      <c r="K21" s="18" t="n"/>
      <c r="L21" s="17" t="n"/>
      <c r="M21" s="17" t="n"/>
      <c r="N21" s="19" t="n"/>
      <c r="O21" s="19" t="n"/>
      <c r="P21" s="17" t="n"/>
    </row>
    <row r="22">
      <c r="A22" s="17" t="n"/>
      <c r="B22" s="17" t="n"/>
      <c r="C22" s="17" t="n"/>
      <c r="D22" s="17" t="n"/>
      <c r="E22" s="17" t="n"/>
      <c r="F22" s="18" t="n"/>
      <c r="G22" s="18" t="n"/>
      <c r="H22" s="18" t="n"/>
      <c r="I22" s="18" t="n"/>
      <c r="J22" s="18" t="n"/>
      <c r="K22" s="18" t="n"/>
      <c r="L22" s="17" t="n"/>
      <c r="M22" s="17" t="n"/>
      <c r="N22" s="19" t="n"/>
      <c r="O22" s="19" t="n"/>
      <c r="P22" s="17" t="n"/>
    </row>
    <row r="23">
      <c r="A23" s="17" t="n"/>
      <c r="B23" s="17" t="n"/>
      <c r="C23" s="17" t="n"/>
      <c r="D23" s="17" t="n"/>
      <c r="E23" s="17" t="n"/>
      <c r="F23" s="18" t="n"/>
      <c r="G23" s="18" t="n"/>
      <c r="H23" s="18" t="n"/>
      <c r="I23" s="18" t="n"/>
      <c r="J23" s="18" t="n"/>
      <c r="K23" s="18" t="n"/>
      <c r="L23" s="17" t="n"/>
      <c r="M23" s="17" t="n"/>
      <c r="N23" s="19" t="n"/>
      <c r="O23" s="19" t="n"/>
      <c r="P23" s="17" t="n"/>
    </row>
    <row r="24">
      <c r="A24" s="17" t="n"/>
      <c r="B24" s="17" t="n"/>
      <c r="C24" s="17" t="n"/>
      <c r="D24" s="17" t="n"/>
      <c r="E24" s="17" t="n"/>
      <c r="F24" s="18" t="n"/>
      <c r="G24" s="18" t="n"/>
      <c r="H24" s="18" t="n"/>
      <c r="I24" s="18" t="n"/>
      <c r="J24" s="18" t="n"/>
      <c r="K24" s="18" t="n"/>
      <c r="L24" s="17" t="n"/>
      <c r="M24" s="17" t="n"/>
      <c r="N24" s="19" t="n"/>
      <c r="O24" s="19" t="n"/>
      <c r="P24" s="17" t="n"/>
    </row>
    <row r="25">
      <c r="A25" s="17" t="n"/>
      <c r="B25" s="17" t="n"/>
      <c r="C25" s="17" t="n"/>
      <c r="D25" s="17" t="n"/>
      <c r="E25" s="17" t="n"/>
      <c r="F25" s="18" t="n"/>
      <c r="G25" s="18" t="n"/>
      <c r="H25" s="18" t="n"/>
      <c r="I25" s="18" t="n"/>
      <c r="J25" s="18" t="n"/>
      <c r="K25" s="18" t="n"/>
      <c r="L25" s="17" t="n"/>
      <c r="M25" s="17" t="n"/>
      <c r="N25" s="19" t="n"/>
      <c r="O25" s="19" t="n"/>
      <c r="P25" s="17" t="n"/>
    </row>
    <row r="26">
      <c r="A26" s="17" t="n"/>
      <c r="B26" s="17" t="n"/>
      <c r="C26" s="17" t="n"/>
      <c r="D26" s="17" t="n"/>
      <c r="E26" s="17" t="n"/>
      <c r="F26" s="18" t="n"/>
      <c r="G26" s="18" t="n"/>
      <c r="H26" s="18" t="n"/>
      <c r="I26" s="18" t="n"/>
      <c r="J26" s="18" t="n"/>
      <c r="K26" s="18" t="n"/>
      <c r="L26" s="17" t="n"/>
      <c r="M26" s="17" t="n"/>
      <c r="N26" s="19" t="n"/>
      <c r="O26" s="19" t="n"/>
      <c r="P26" s="17" t="n"/>
    </row>
    <row r="27">
      <c r="A27" s="17" t="n"/>
      <c r="B27" s="17" t="n"/>
      <c r="C27" s="17" t="n"/>
      <c r="D27" s="17" t="n"/>
      <c r="E27" s="17" t="n"/>
      <c r="F27" s="18" t="n"/>
      <c r="G27" s="18" t="n"/>
      <c r="H27" s="18" t="n"/>
      <c r="I27" s="18" t="n"/>
      <c r="J27" s="18" t="n"/>
      <c r="K27" s="18" t="n"/>
      <c r="L27" s="17" t="n"/>
      <c r="M27" s="17" t="n"/>
      <c r="N27" s="19" t="n"/>
      <c r="O27" s="19" t="n"/>
      <c r="P27" s="17" t="n"/>
    </row>
    <row r="28">
      <c r="A28" s="17" t="n"/>
      <c r="B28" s="17" t="n"/>
      <c r="C28" s="17" t="n"/>
      <c r="D28" s="17" t="n"/>
      <c r="E28" s="17" t="n"/>
      <c r="F28" s="18" t="n"/>
      <c r="G28" s="18" t="n"/>
      <c r="H28" s="18" t="n"/>
      <c r="I28" s="18" t="n"/>
      <c r="J28" s="18" t="n"/>
      <c r="K28" s="18" t="n"/>
      <c r="L28" s="17" t="n"/>
      <c r="M28" s="17" t="n"/>
      <c r="N28" s="19" t="n"/>
      <c r="O28" s="19" t="n"/>
      <c r="P28" s="17" t="n"/>
    </row>
    <row r="29">
      <c r="A29" s="17" t="n"/>
      <c r="B29" s="17" t="n"/>
      <c r="C29" s="17" t="n"/>
      <c r="D29" s="17" t="n"/>
      <c r="E29" s="17" t="n"/>
      <c r="F29" s="18" t="n"/>
      <c r="G29" s="18" t="n"/>
      <c r="H29" s="18" t="n"/>
      <c r="I29" s="18" t="n"/>
      <c r="J29" s="18" t="n"/>
      <c r="K29" s="18" t="n"/>
      <c r="L29" s="17" t="n"/>
      <c r="M29" s="17" t="n"/>
      <c r="N29" s="19" t="n"/>
      <c r="O29" s="19" t="n"/>
      <c r="P29" s="17" t="n"/>
    </row>
    <row r="30">
      <c r="A30" s="17" t="n"/>
      <c r="B30" s="17" t="n"/>
      <c r="C30" s="17" t="n"/>
      <c r="D30" s="17" t="n"/>
      <c r="E30" s="17" t="n"/>
      <c r="F30" s="18" t="n"/>
      <c r="G30" s="18" t="n"/>
      <c r="H30" s="18" t="n"/>
      <c r="I30" s="18" t="n"/>
      <c r="J30" s="18" t="n"/>
      <c r="K30" s="18" t="n"/>
      <c r="L30" s="17" t="n"/>
      <c r="M30" s="17" t="n"/>
      <c r="N30" s="19" t="n"/>
      <c r="O30" s="19" t="n"/>
      <c r="P30" s="17" t="n"/>
    </row>
    <row r="31">
      <c r="A31" s="17" t="n"/>
      <c r="B31" s="17" t="n"/>
      <c r="C31" s="17" t="n"/>
      <c r="D31" s="17" t="n"/>
      <c r="E31" s="17" t="n"/>
      <c r="F31" s="18" t="n"/>
      <c r="G31" s="18" t="n"/>
      <c r="H31" s="18" t="n"/>
      <c r="I31" s="18" t="n"/>
      <c r="J31" s="18" t="n"/>
      <c r="K31" s="18" t="n"/>
      <c r="L31" s="17" t="n"/>
      <c r="M31" s="17" t="n"/>
      <c r="N31" s="19" t="n"/>
      <c r="O31" s="19" t="n"/>
      <c r="P31" s="17" t="n"/>
    </row>
    <row r="32">
      <c r="A32" s="17" t="n"/>
      <c r="B32" s="17" t="n"/>
      <c r="C32" s="17" t="n"/>
      <c r="D32" s="17" t="n"/>
      <c r="E32" s="17" t="n"/>
      <c r="F32" s="18" t="n"/>
      <c r="G32" s="18" t="n"/>
      <c r="H32" s="18" t="n"/>
      <c r="I32" s="18" t="n"/>
      <c r="J32" s="18" t="n"/>
      <c r="K32" s="18" t="n"/>
      <c r="L32" s="17" t="n"/>
      <c r="M32" s="17" t="n"/>
      <c r="N32" s="19" t="n"/>
      <c r="O32" s="19" t="n"/>
      <c r="P32" s="17" t="n"/>
    </row>
    <row r="33">
      <c r="A33" s="17" t="n"/>
      <c r="B33" s="17" t="n"/>
      <c r="C33" s="17" t="n"/>
      <c r="D33" s="17" t="n"/>
      <c r="E33" s="17" t="n"/>
      <c r="F33" s="18" t="n"/>
      <c r="G33" s="18" t="n"/>
      <c r="H33" s="18" t="n"/>
      <c r="I33" s="18" t="n"/>
      <c r="J33" s="18" t="n"/>
      <c r="K33" s="18" t="n"/>
      <c r="L33" s="17" t="n"/>
      <c r="M33" s="17" t="n"/>
      <c r="N33" s="19" t="n"/>
      <c r="O33" s="19" t="n"/>
      <c r="P33" s="17" t="n"/>
    </row>
    <row r="34">
      <c r="A34" s="17" t="n"/>
      <c r="B34" s="17" t="n"/>
      <c r="C34" s="17" t="n"/>
      <c r="D34" s="17" t="n"/>
      <c r="E34" s="17" t="n"/>
      <c r="F34" s="18" t="n"/>
      <c r="G34" s="18" t="n"/>
      <c r="H34" s="18" t="n"/>
      <c r="I34" s="18" t="n"/>
      <c r="J34" s="18" t="n"/>
      <c r="K34" s="18" t="n"/>
      <c r="L34" s="17" t="n"/>
      <c r="M34" s="17" t="n"/>
      <c r="N34" s="19" t="n"/>
      <c r="O34" s="19" t="n"/>
      <c r="P34" s="17" t="n"/>
    </row>
    <row r="35">
      <c r="A35" s="17" t="n"/>
      <c r="B35" s="17" t="n"/>
      <c r="C35" s="17" t="n"/>
      <c r="D35" s="17" t="n"/>
      <c r="E35" s="17" t="n"/>
      <c r="F35" s="18" t="n"/>
      <c r="G35" s="18" t="n"/>
      <c r="H35" s="18" t="n"/>
      <c r="I35" s="18" t="n"/>
      <c r="J35" s="18" t="n"/>
      <c r="K35" s="18" t="n"/>
      <c r="L35" s="17" t="n"/>
      <c r="M35" s="17" t="n"/>
      <c r="N35" s="19" t="n"/>
      <c r="O35" s="19" t="n"/>
      <c r="P35" s="17" t="n"/>
    </row>
    <row r="36">
      <c r="A36" s="17" t="n"/>
      <c r="B36" s="17" t="n"/>
      <c r="C36" s="17" t="n"/>
      <c r="D36" s="17" t="n"/>
      <c r="E36" s="17" t="n"/>
      <c r="F36" s="18" t="n"/>
      <c r="G36" s="18" t="n"/>
      <c r="H36" s="18" t="n"/>
      <c r="I36" s="18" t="n"/>
      <c r="J36" s="18" t="n"/>
      <c r="K36" s="18" t="n"/>
      <c r="L36" s="17" t="n"/>
      <c r="M36" s="17" t="n"/>
      <c r="N36" s="19" t="n"/>
      <c r="O36" s="19" t="n"/>
      <c r="P36" s="17" t="n"/>
    </row>
    <row r="37">
      <c r="A37" s="17" t="n"/>
      <c r="B37" s="17" t="n"/>
      <c r="C37" s="17" t="n"/>
      <c r="D37" s="17" t="n"/>
      <c r="E37" s="17" t="n"/>
      <c r="F37" s="18" t="n"/>
      <c r="G37" s="18" t="n"/>
      <c r="H37" s="18" t="n"/>
      <c r="I37" s="18" t="n"/>
      <c r="J37" s="18" t="n"/>
      <c r="K37" s="18" t="n"/>
      <c r="L37" s="17" t="n"/>
      <c r="M37" s="17" t="n"/>
      <c r="N37" s="19" t="n"/>
      <c r="O37" s="19" t="n"/>
      <c r="P37" s="17" t="n"/>
    </row>
    <row r="38">
      <c r="A38" s="17" t="n"/>
      <c r="B38" s="17" t="n"/>
      <c r="C38" s="17" t="n"/>
      <c r="D38" s="17" t="n"/>
      <c r="E38" s="17" t="n"/>
      <c r="F38" s="18" t="n"/>
      <c r="G38" s="18" t="n"/>
      <c r="H38" s="18" t="n"/>
      <c r="I38" s="18" t="n"/>
      <c r="J38" s="18" t="n"/>
      <c r="K38" s="18" t="n"/>
      <c r="L38" s="17" t="n"/>
      <c r="M38" s="17" t="n"/>
      <c r="N38" s="19" t="n"/>
      <c r="O38" s="19" t="n"/>
      <c r="P38" s="17" t="n"/>
    </row>
    <row r="39">
      <c r="A39" s="17" t="n"/>
      <c r="B39" s="17" t="n"/>
      <c r="C39" s="17" t="n"/>
      <c r="D39" s="17" t="n"/>
      <c r="E39" s="17" t="n"/>
      <c r="F39" s="18" t="n"/>
      <c r="G39" s="18" t="n"/>
      <c r="H39" s="18" t="n"/>
      <c r="I39" s="18" t="n"/>
      <c r="J39" s="18" t="n"/>
      <c r="K39" s="18" t="n"/>
      <c r="L39" s="17" t="n"/>
      <c r="M39" s="17" t="n"/>
      <c r="N39" s="19" t="n"/>
      <c r="O39" s="19" t="n"/>
      <c r="P39" s="17" t="n"/>
    </row>
    <row r="40">
      <c r="A40" s="17" t="n"/>
      <c r="B40" s="17" t="n"/>
      <c r="C40" s="17" t="n"/>
      <c r="D40" s="17" t="n"/>
      <c r="E40" s="17" t="n"/>
      <c r="F40" s="18" t="n"/>
      <c r="G40" s="18" t="n"/>
      <c r="H40" s="18" t="n"/>
      <c r="I40" s="18" t="n"/>
      <c r="J40" s="18" t="n"/>
      <c r="K40" s="18" t="n"/>
      <c r="L40" s="17" t="n"/>
      <c r="M40" s="17" t="n"/>
      <c r="N40" s="19" t="n"/>
      <c r="O40" s="19" t="n"/>
      <c r="P40" s="17" t="n"/>
    </row>
    <row r="41">
      <c r="A41" s="17" t="n"/>
      <c r="B41" s="17" t="n"/>
      <c r="C41" s="17" t="n"/>
      <c r="D41" s="17" t="n"/>
      <c r="E41" s="17" t="n"/>
      <c r="F41" s="18" t="n"/>
      <c r="G41" s="18" t="n"/>
      <c r="H41" s="18" t="n"/>
      <c r="I41" s="18" t="n"/>
      <c r="J41" s="18" t="n"/>
      <c r="K41" s="18" t="n"/>
      <c r="L41" s="17" t="n"/>
      <c r="M41" s="17" t="n"/>
      <c r="N41" s="19" t="n"/>
      <c r="O41" s="19" t="n"/>
      <c r="P41" s="17" t="n"/>
    </row>
    <row r="42">
      <c r="A42" s="17" t="n"/>
      <c r="B42" s="17" t="n"/>
      <c r="C42" s="17" t="n"/>
      <c r="D42" s="17" t="n"/>
      <c r="E42" s="17" t="n"/>
      <c r="F42" s="18" t="n"/>
      <c r="G42" s="18" t="n"/>
      <c r="H42" s="18" t="n"/>
      <c r="I42" s="18" t="n"/>
      <c r="J42" s="18" t="n"/>
      <c r="K42" s="18" t="n"/>
      <c r="L42" s="17" t="n"/>
      <c r="M42" s="17" t="n"/>
      <c r="N42" s="19" t="n"/>
      <c r="O42" s="19" t="n"/>
      <c r="P42" s="17" t="n"/>
    </row>
    <row r="43">
      <c r="A43" s="17" t="n"/>
      <c r="B43" s="17" t="n"/>
      <c r="C43" s="17" t="n"/>
      <c r="D43" s="17" t="n"/>
      <c r="E43" s="17" t="n"/>
      <c r="F43" s="18" t="n"/>
      <c r="G43" s="18" t="n"/>
      <c r="H43" s="18" t="n"/>
      <c r="I43" s="18" t="n"/>
      <c r="J43" s="18" t="n"/>
      <c r="K43" s="18" t="n"/>
      <c r="L43" s="17" t="n"/>
      <c r="M43" s="17" t="n"/>
      <c r="N43" s="19" t="n"/>
      <c r="O43" s="19" t="n"/>
      <c r="P43" s="17" t="n"/>
    </row>
    <row r="44">
      <c r="A44" s="17" t="n"/>
      <c r="B44" s="17" t="n"/>
      <c r="C44" s="17" t="n"/>
      <c r="D44" s="17" t="n"/>
      <c r="E44" s="17" t="n"/>
      <c r="F44" s="18" t="n"/>
      <c r="G44" s="18" t="n"/>
      <c r="H44" s="18" t="n"/>
      <c r="I44" s="18" t="n"/>
      <c r="J44" s="18" t="n"/>
      <c r="K44" s="18" t="n"/>
      <c r="L44" s="17" t="n"/>
      <c r="M44" s="17" t="n"/>
      <c r="N44" s="19" t="n"/>
      <c r="O44" s="19" t="n"/>
      <c r="P44" s="17" t="n"/>
    </row>
    <row r="45">
      <c r="A45" s="17" t="n"/>
      <c r="B45" s="17" t="n"/>
      <c r="C45" s="17" t="n"/>
      <c r="D45" s="17" t="n"/>
      <c r="E45" s="17" t="n"/>
      <c r="F45" s="18" t="n"/>
      <c r="G45" s="18" t="n"/>
      <c r="H45" s="18" t="n"/>
      <c r="I45" s="18" t="n"/>
      <c r="J45" s="18" t="n"/>
      <c r="K45" s="18" t="n"/>
      <c r="L45" s="17" t="n"/>
      <c r="M45" s="17" t="n"/>
      <c r="N45" s="19" t="n"/>
      <c r="O45" s="19" t="n"/>
      <c r="P45" s="17" t="n"/>
    </row>
    <row r="46">
      <c r="A46" s="17" t="n"/>
      <c r="B46" s="17" t="n"/>
      <c r="C46" s="17" t="n"/>
      <c r="D46" s="17" t="n"/>
      <c r="E46" s="17" t="n"/>
      <c r="F46" s="18" t="n"/>
      <c r="G46" s="18" t="n"/>
      <c r="H46" s="18" t="n"/>
      <c r="I46" s="18" t="n"/>
      <c r="J46" s="18" t="n"/>
      <c r="K46" s="18" t="n"/>
      <c r="L46" s="17" t="n"/>
      <c r="M46" s="17" t="n"/>
      <c r="N46" s="19" t="n"/>
      <c r="O46" s="19" t="n"/>
      <c r="P46" s="17" t="n"/>
    </row>
    <row r="47">
      <c r="A47" s="17" t="n"/>
      <c r="B47" s="17" t="n"/>
      <c r="C47" s="17" t="n"/>
      <c r="D47" s="17" t="n"/>
      <c r="E47" s="17" t="n"/>
      <c r="F47" s="18" t="n"/>
      <c r="G47" s="18" t="n"/>
      <c r="H47" s="18" t="n"/>
      <c r="I47" s="18" t="n"/>
      <c r="J47" s="18" t="n"/>
      <c r="K47" s="18" t="n"/>
      <c r="L47" s="17" t="n"/>
      <c r="M47" s="17" t="n"/>
      <c r="N47" s="19" t="n"/>
      <c r="O47" s="19" t="n"/>
      <c r="P47" s="17" t="n"/>
    </row>
    <row r="48">
      <c r="A48" s="17" t="n"/>
      <c r="B48" s="17" t="n"/>
      <c r="C48" s="17" t="n"/>
      <c r="D48" s="17" t="n"/>
      <c r="E48" s="17" t="n"/>
      <c r="F48" s="18" t="n"/>
      <c r="G48" s="18" t="n"/>
      <c r="H48" s="18" t="n"/>
      <c r="I48" s="18" t="n"/>
      <c r="J48" s="18" t="n"/>
      <c r="K48" s="18" t="n"/>
      <c r="L48" s="17" t="n"/>
      <c r="M48" s="17" t="n"/>
      <c r="N48" s="19" t="n"/>
      <c r="O48" s="19" t="n"/>
      <c r="P48" s="17" t="n"/>
    </row>
    <row r="49">
      <c r="A49" s="17" t="n"/>
      <c r="B49" s="17" t="n"/>
      <c r="C49" s="17" t="n"/>
      <c r="D49" s="17" t="n"/>
      <c r="E49" s="17" t="n"/>
      <c r="F49" s="18" t="n"/>
      <c r="G49" s="18" t="n"/>
      <c r="H49" s="18" t="n"/>
      <c r="I49" s="18" t="n"/>
      <c r="J49" s="18" t="n"/>
      <c r="K49" s="18" t="n"/>
      <c r="L49" s="17" t="n"/>
      <c r="M49" s="17" t="n"/>
      <c r="N49" s="19" t="n"/>
      <c r="O49" s="19" t="n"/>
      <c r="P49" s="17" t="n"/>
    </row>
    <row r="50">
      <c r="A50" s="17" t="n"/>
      <c r="B50" s="17" t="n"/>
      <c r="C50" s="17" t="n"/>
      <c r="D50" s="17" t="n"/>
      <c r="E50" s="17" t="n"/>
      <c r="F50" s="18" t="n"/>
      <c r="G50" s="18" t="n"/>
      <c r="H50" s="18" t="n"/>
      <c r="I50" s="18" t="n"/>
      <c r="J50" s="18" t="n"/>
      <c r="K50" s="18" t="n"/>
      <c r="L50" s="17" t="n"/>
      <c r="M50" s="17" t="n"/>
      <c r="N50" s="19" t="n"/>
      <c r="O50" s="19" t="n"/>
      <c r="P50" s="17" t="n"/>
    </row>
    <row r="51">
      <c r="A51" s="17" t="n"/>
      <c r="B51" s="17" t="n"/>
      <c r="C51" s="17" t="n"/>
      <c r="D51" s="17" t="n"/>
      <c r="E51" s="17" t="n"/>
      <c r="F51" s="18" t="n"/>
      <c r="G51" s="18" t="n"/>
      <c r="H51" s="18" t="n"/>
      <c r="I51" s="18" t="n"/>
      <c r="J51" s="18" t="n"/>
      <c r="K51" s="18" t="n"/>
      <c r="L51" s="17" t="n"/>
      <c r="M51" s="17" t="n"/>
      <c r="N51" s="19" t="n"/>
      <c r="O51" s="19" t="n"/>
      <c r="P51" s="17" t="n"/>
    </row>
    <row r="52">
      <c r="A52" s="17" t="n"/>
      <c r="B52" s="17" t="n"/>
      <c r="C52" s="17" t="n"/>
      <c r="D52" s="17" t="n"/>
      <c r="E52" s="17" t="n"/>
      <c r="F52" s="18" t="n"/>
      <c r="G52" s="18" t="n"/>
      <c r="H52" s="18" t="n"/>
      <c r="I52" s="18" t="n"/>
      <c r="J52" s="18" t="n"/>
      <c r="K52" s="18" t="n"/>
      <c r="L52" s="17" t="n"/>
      <c r="M52" s="17" t="n"/>
      <c r="N52" s="19" t="n"/>
      <c r="O52" s="19" t="n"/>
      <c r="P52" s="17" t="n"/>
    </row>
    <row r="53">
      <c r="A53" s="17" t="n"/>
      <c r="B53" s="17" t="n"/>
      <c r="C53" s="17" t="n"/>
      <c r="D53" s="17" t="n"/>
      <c r="E53" s="17" t="n"/>
      <c r="F53" s="18" t="n"/>
      <c r="G53" s="18" t="n"/>
      <c r="H53" s="18" t="n"/>
      <c r="I53" s="18" t="n"/>
      <c r="J53" s="18" t="n"/>
      <c r="K53" s="18" t="n"/>
      <c r="L53" s="17" t="n"/>
      <c r="M53" s="17" t="n"/>
      <c r="N53" s="19" t="n"/>
      <c r="O53" s="19" t="n"/>
      <c r="P53" s="17" t="n"/>
    </row>
    <row r="54">
      <c r="A54" s="17" t="n"/>
      <c r="B54" s="17" t="n"/>
      <c r="C54" s="17" t="n"/>
      <c r="D54" s="17" t="n"/>
      <c r="E54" s="17" t="n"/>
      <c r="F54" s="18" t="n"/>
      <c r="G54" s="18" t="n"/>
      <c r="H54" s="18" t="n"/>
      <c r="I54" s="18" t="n"/>
      <c r="J54" s="18" t="n"/>
      <c r="K54" s="18" t="n"/>
      <c r="L54" s="17" t="n"/>
      <c r="M54" s="17" t="n"/>
      <c r="N54" s="19" t="n"/>
      <c r="O54" s="19" t="n"/>
      <c r="P54" s="17" t="n"/>
    </row>
  </sheetData>
  <mergeCells count="2">
    <mergeCell ref="A1:P1"/>
    <mergeCell ref="A2:P2"/>
  </mergeCells>
  <dataValidations count="2">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"High,Medium,Low"</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"Classification,Initiation,Planning,Execution,Monitoring,Closure,Closed"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0" t="inlineStr">
        <is>
          <t>Project Portfolio — SUMMARY DASHBOARD</t>
        </is>
      </c>
      <c r="B1" s="6" t="n"/>
      <c r="C1" s="6" t="n"/>
      <c r="D1" s="6" t="n"/>
      <c r="E1" s="6" t="n"/>
      <c r="F1" s="6" t="n"/>
      <c r="G1" s="6" t="n"/>
    </row>
    <row r="2">
      <c r="A2" s="21" t="inlineStr">
        <is>
          <t>ISO/IEC 27001:2022 - Control A.5.8: Information Security in Project Management</t>
        </is>
      </c>
      <c r="B2" s="6" t="n"/>
      <c r="C2" s="6" t="n"/>
      <c r="D2" s="6" t="n"/>
      <c r="E2" s="6" t="n"/>
      <c r="F2" s="6" t="n"/>
      <c r="G2" s="6" t="n"/>
    </row>
    <row r="3">
      <c r="A3" s="22" t="inlineStr">
        <is>
          <t>COMPLIANCE ASSESSMENT SUMMARY</t>
        </is>
      </c>
      <c r="B3" s="6" t="n"/>
      <c r="C3" s="6" t="n"/>
      <c r="D3" s="6" t="n"/>
      <c r="E3" s="6" t="n"/>
      <c r="F3" s="6" t="n"/>
      <c r="G3" s="6" t="n"/>
    </row>
    <row r="4" ht="30" customHeight="1">
      <c r="A4" s="23" t="inlineStr">
        <is>
          <t>Assessment Area</t>
        </is>
      </c>
      <c r="B4" s="23" t="inlineStr">
        <is>
          <t>Questions Answered</t>
        </is>
      </c>
      <c r="C4" s="23" t="inlineStr">
        <is>
          <t>No Gap</t>
        </is>
      </c>
      <c r="D4" s="23" t="inlineStr">
        <is>
          <t>Gap Identified</t>
        </is>
      </c>
      <c r="E4" s="23" t="inlineStr">
        <is>
          <t>N/A</t>
        </is>
      </c>
      <c r="F4" s="23" t="inlineStr">
        <is>
          <t>Target</t>
        </is>
      </c>
      <c r="G4" s="23" t="inlineStr">
        <is>
          <t>Compliance %</t>
        </is>
      </c>
    </row>
    <row r="5">
      <c r="A5" s="24" t="inlineStr">
        <is>
          <t>Portfolio Compliance</t>
        </is>
      </c>
      <c r="B5" s="24">
        <f>COUNTA('Project Data'!A5:A54)</f>
        <v/>
      </c>
      <c r="C5" s="24">
        <f>COUNTIF('Project Data'!F5:F54,"&gt;=0.7")</f>
        <v/>
      </c>
      <c r="D5" s="24">
        <f>COUNTIF('Project Data'!F5:F54,"&lt;0.7")</f>
        <v/>
      </c>
      <c r="E5" s="24" t="n">
        <v>0</v>
      </c>
      <c r="F5" s="24" t="inlineStr">
        <is>
          <t>80%</t>
        </is>
      </c>
      <c r="G5" s="25">
        <f>IFERROR(C5/(C5+D5)*100,0)</f>
        <v/>
      </c>
    </row>
    <row r="6">
      <c r="A6" s="24" t="inlineStr">
        <is>
          <t>Regulatory Compliance</t>
        </is>
      </c>
      <c r="B6" s="24">
        <f>COUNTA('Regulatory Compliance'!A4:A9)</f>
        <v/>
      </c>
      <c r="C6" s="24">
        <f>COUNTIF('Regulatory Compliance'!E4:E9,"Compliant")</f>
        <v/>
      </c>
      <c r="D6" s="24">
        <f>COUNTIF('Regulatory Compliance'!E4:E9,"Non-Compliant")+COUNTIF('Regulatory Compliance'!E4:E9,"Partial")</f>
        <v/>
      </c>
      <c r="E6" s="24" t="n">
        <v>0</v>
      </c>
      <c r="F6" s="24" t="inlineStr">
        <is>
          <t>90%</t>
        </is>
      </c>
      <c r="G6" s="25">
        <f>IFERROR(C6/(C6+D6)*100,0)</f>
        <v/>
      </c>
    </row>
    <row r="7">
      <c r="A7" s="26" t="inlineStr">
        <is>
          <t>TOTAL</t>
        </is>
      </c>
      <c r="B7" s="26">
        <f>SUM(B5:B6)</f>
        <v/>
      </c>
      <c r="C7" s="26">
        <f>SUM(C5:C6)</f>
        <v/>
      </c>
      <c r="D7" s="26">
        <f>SUM(D5:D6)</f>
        <v/>
      </c>
      <c r="E7" s="26">
        <f>SUM(E5:E6)</f>
        <v/>
      </c>
      <c r="F7" s="26" t="inlineStr">
        <is>
          <t>—</t>
        </is>
      </c>
      <c r="G7" s="27">
        <f>IFERROR(AVERAGE(G5:G6),0)</f>
        <v/>
      </c>
    </row>
    <row r="9">
      <c r="A9" s="22" t="inlineStr">
        <is>
          <t>PORTFOLIO ANALYTICS</t>
        </is>
      </c>
      <c r="B9" s="6" t="n"/>
      <c r="C9" s="6" t="n"/>
      <c r="D9" s="6" t="n"/>
      <c r="E9" s="6" t="n"/>
      <c r="F9" s="6" t="n"/>
      <c r="G9" s="6" t="n"/>
    </row>
    <row r="10">
      <c r="A10" s="28" t="inlineStr">
        <is>
          <t>Metric</t>
        </is>
      </c>
      <c r="B10" s="28" t="inlineStr">
        <is>
          <t>Value</t>
        </is>
      </c>
      <c r="C10" s="28" t="inlineStr">
        <is>
          <t>Target</t>
        </is>
      </c>
    </row>
    <row r="11">
      <c r="A11" s="24" t="inlineStr">
        <is>
          <t>Total Projects</t>
        </is>
      </c>
      <c r="B11" s="24">
        <f>COUNTA('Project Data'!A5:A54)</f>
        <v/>
      </c>
      <c r="C11" s="24" t="inlineStr">
        <is>
          <t>≥1</t>
        </is>
      </c>
    </row>
    <row r="12">
      <c r="A12" s="24" t="inlineStr">
        <is>
          <t>High Risk Projects</t>
        </is>
      </c>
      <c r="B12" s="24">
        <f>COUNTIF('Project Data'!B5:B54,"High")</f>
        <v/>
      </c>
      <c r="C12" s="24" t="inlineStr">
        <is>
          <t>—</t>
        </is>
      </c>
    </row>
    <row r="13">
      <c r="A13" s="24" t="inlineStr">
        <is>
          <t>Portfolio Avg Compliance (%)</t>
        </is>
      </c>
      <c r="B13" s="24">
        <f>IFERROR(AVERAGE('Project Data'!F5:F54)*100,0)</f>
        <v/>
      </c>
      <c r="C13" s="24" t="inlineStr">
        <is>
          <t>≥70%</t>
        </is>
      </c>
    </row>
    <row r="14">
      <c r="A14" s="24" t="inlineStr">
        <is>
          <t>Projects ≥85% Compliant</t>
        </is>
      </c>
      <c r="B14" s="24">
        <f>COUNTIF('Project Data'!F5:F54,"&gt;=0.85")</f>
        <v/>
      </c>
      <c r="C14" s="24" t="inlineStr">
        <is>
          <t>—</t>
        </is>
      </c>
    </row>
    <row r="15">
      <c r="A15" s="24" t="inlineStr">
        <is>
          <t>Projects &lt;70% At Risk</t>
        </is>
      </c>
      <c r="B15" s="24">
        <f>COUNTIF('Project Data'!F5:F54,"&lt;0.7")</f>
        <v/>
      </c>
      <c r="C15" s="24" t="inlineStr">
        <is>
          <t>0</t>
        </is>
      </c>
    </row>
    <row r="16">
      <c r="A16" s="24" t="inlineStr">
        <is>
          <t>Total Critical Gaps</t>
        </is>
      </c>
      <c r="B16" s="24">
        <f>SUM('Project Data'!L5:L54)</f>
        <v/>
      </c>
      <c r="C16" s="24" t="inlineStr">
        <is>
          <t>0</t>
        </is>
      </c>
    </row>
    <row r="18">
      <c r="A18" s="29" t="inlineStr">
        <is>
          <t>CRITICAL FINDINGS</t>
        </is>
      </c>
      <c r="B18" s="6" t="n"/>
      <c r="C18" s="6" t="n"/>
      <c r="D18" s="6" t="n"/>
      <c r="E18" s="6" t="n"/>
      <c r="F18" s="6" t="n"/>
      <c r="G18" s="6" t="n"/>
    </row>
    <row r="19">
      <c r="A19" s="28" t="inlineStr">
        <is>
          <t>Critical Finding</t>
        </is>
      </c>
      <c r="B19" s="28" t="inlineStr">
        <is>
          <t>Status</t>
        </is>
      </c>
      <c r="C19" s="28" t="inlineStr">
        <is>
          <t>Severity</t>
        </is>
      </c>
    </row>
    <row r="20">
      <c r="A20" s="30" t="inlineStr">
        <is>
          <t>Portfolio Compliance &lt;70%</t>
        </is>
      </c>
      <c r="B20" s="30">
        <f>IF(G5&lt;70,"[!] Below Target","[OK]")</f>
        <v/>
      </c>
      <c r="C20" s="30" t="inlineStr">
        <is>
          <t>Critical</t>
        </is>
      </c>
    </row>
    <row r="21">
      <c r="A21" s="30" t="inlineStr">
        <is>
          <t>Regulatory Compliance &lt;80%</t>
        </is>
      </c>
      <c r="B21" s="30">
        <f>IF(G6&lt;80,"[!] Below Target","[OK]")</f>
        <v/>
      </c>
      <c r="C21" s="30" t="inlineStr">
        <is>
          <t>Critical</t>
        </is>
      </c>
    </row>
    <row r="22">
      <c r="A22" s="30" t="inlineStr">
        <is>
          <t>Overall compliance &lt;70%</t>
        </is>
      </c>
      <c r="B22" s="30">
        <f>IF(G7&lt;70,"[!] Below Target","[OK]")</f>
        <v/>
      </c>
      <c r="C22" s="30" t="inlineStr">
        <is>
          <t>Critical</t>
        </is>
      </c>
    </row>
    <row r="23">
      <c r="A23" s="31" t="inlineStr">
        <is>
          <t>High-risk projects &gt;5</t>
        </is>
      </c>
      <c r="B23" s="31">
        <f>IF(COUNTIF('Project Data'!B5:B54,"High")&gt;5,"[!] Review Required","[OK]")</f>
        <v/>
      </c>
      <c r="C23" s="31" t="inlineStr">
        <is>
          <t>High</t>
        </is>
      </c>
    </row>
    <row r="24">
      <c r="A24" s="30" t="inlineStr">
        <is>
          <t>Projects at-risk &gt;3 (&lt;70%)</t>
        </is>
      </c>
      <c r="B24" s="30">
        <f>IF(COUNTIF('Project Data'!F5:F54,"&lt;0.7")&gt;3,"[!] Review Required","[OK]")</f>
        <v/>
      </c>
      <c r="C24" s="30" t="inlineStr">
        <is>
          <t>Critical</t>
        </is>
      </c>
    </row>
  </sheetData>
  <mergeCells count="5">
    <mergeCell ref="A1:G1"/>
    <mergeCell ref="A18:G18"/>
    <mergeCell ref="A9:G9"/>
    <mergeCell ref="A3:G3"/>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2" customWidth="1" min="2" max="2"/>
    <col width="15" customWidth="1" min="3" max="3"/>
    <col width="12" customWidth="1" min="4" max="4"/>
    <col width="12" customWidth="1" min="5" max="5"/>
    <col width="12" customWidth="1" min="6" max="6"/>
    <col width="20" customWidth="1" min="7" max="7"/>
    <col width="40" customWidth="1" min="8" max="8"/>
  </cols>
  <sheetData>
    <row r="1" ht="35" customHeight="1">
      <c r="A1" s="11" t="inlineStr">
        <is>
          <t>PROJECT STATUS</t>
        </is>
      </c>
    </row>
    <row r="2">
      <c r="A2" s="12" t="inlineStr">
        <is>
          <t>ISO/IEC 27001:2022 - Control A.5.8: Information Security in Project Management — Per-project security compliance status linked from Project Data</t>
        </is>
      </c>
    </row>
    <row r="3">
      <c r="A3" s="32" t="inlineStr">
        <is>
          <t>Project</t>
        </is>
      </c>
      <c r="B3" s="32" t="inlineStr">
        <is>
          <t>Classification</t>
        </is>
      </c>
      <c r="C3" s="32" t="inlineStr">
        <is>
          <t>Phase</t>
        </is>
      </c>
      <c r="D3" s="32" t="inlineStr">
        <is>
          <t>Compliance %</t>
        </is>
      </c>
      <c r="E3" s="32" t="inlineStr">
        <is>
          <t>Critical Gaps</t>
        </is>
      </c>
      <c r="F3" s="32" t="inlineStr">
        <is>
          <t>Status</t>
        </is>
      </c>
      <c r="G3" s="32" t="inlineStr">
        <is>
          <t>Owner</t>
        </is>
      </c>
      <c r="H3" s="32" t="inlineStr">
        <is>
          <t>Notes</t>
        </is>
      </c>
    </row>
    <row r="4">
      <c r="A4" s="33">
        <f>'Project Data'!A5</f>
        <v/>
      </c>
      <c r="B4" s="33">
        <f>'Project Data'!B5</f>
        <v/>
      </c>
      <c r="C4" s="33">
        <f>'Project Data'!E5</f>
        <v/>
      </c>
      <c r="D4" s="34">
        <f>'Project Data'!F5</f>
        <v/>
      </c>
      <c r="E4" s="33">
        <f>'Project Data'!L5</f>
        <v/>
      </c>
      <c r="F4" s="33">
        <f>IF(D4&gt;=0.85,"&gt;=85%",IF(D4&lt;0.7,"&lt;70%","70-84%"))</f>
        <v/>
      </c>
      <c r="G4" s="33">
        <f>'Project Data'!C5</f>
        <v/>
      </c>
      <c r="H4" s="33">
        <f>'Project Data'!P5</f>
        <v/>
      </c>
    </row>
    <row r="5">
      <c r="A5" s="17">
        <f>'Project Data'!A6</f>
        <v/>
      </c>
      <c r="B5" s="17">
        <f>'Project Data'!B6</f>
        <v/>
      </c>
      <c r="C5" s="17">
        <f>'Project Data'!E6</f>
        <v/>
      </c>
      <c r="D5" s="18">
        <f>'Project Data'!F6</f>
        <v/>
      </c>
      <c r="E5" s="17">
        <f>'Project Data'!L6</f>
        <v/>
      </c>
      <c r="F5" s="17">
        <f>IF(D5&gt;=0.85,"&gt;=85%",IF(D5&lt;0.7,"&lt;70%","70-84%"))</f>
        <v/>
      </c>
      <c r="G5" s="17">
        <f>'Project Data'!C6</f>
        <v/>
      </c>
      <c r="H5" s="17">
        <f>'Project Data'!P6</f>
        <v/>
      </c>
    </row>
    <row r="6">
      <c r="A6" s="17">
        <f>'Project Data'!A7</f>
        <v/>
      </c>
      <c r="B6" s="17">
        <f>'Project Data'!B7</f>
        <v/>
      </c>
      <c r="C6" s="17">
        <f>'Project Data'!E7</f>
        <v/>
      </c>
      <c r="D6" s="18">
        <f>'Project Data'!F7</f>
        <v/>
      </c>
      <c r="E6" s="17">
        <f>'Project Data'!L7</f>
        <v/>
      </c>
      <c r="F6" s="17">
        <f>IF(D6&gt;=0.85,"&gt;=85%",IF(D6&lt;0.7,"&lt;70%","70-84%"))</f>
        <v/>
      </c>
      <c r="G6" s="17">
        <f>'Project Data'!C7</f>
        <v/>
      </c>
      <c r="H6" s="17">
        <f>'Project Data'!P7</f>
        <v/>
      </c>
    </row>
    <row r="7">
      <c r="A7" s="17">
        <f>'Project Data'!A8</f>
        <v/>
      </c>
      <c r="B7" s="17">
        <f>'Project Data'!B8</f>
        <v/>
      </c>
      <c r="C7" s="17">
        <f>'Project Data'!E8</f>
        <v/>
      </c>
      <c r="D7" s="18">
        <f>'Project Data'!F8</f>
        <v/>
      </c>
      <c r="E7" s="17">
        <f>'Project Data'!L8</f>
        <v/>
      </c>
      <c r="F7" s="17">
        <f>IF(D7&gt;=0.85,"&gt;=85%",IF(D7&lt;0.7,"&lt;70%","70-84%"))</f>
        <v/>
      </c>
      <c r="G7" s="17">
        <f>'Project Data'!C8</f>
        <v/>
      </c>
      <c r="H7" s="17">
        <f>'Project Data'!P8</f>
        <v/>
      </c>
    </row>
    <row r="8">
      <c r="A8" s="17">
        <f>'Project Data'!A9</f>
        <v/>
      </c>
      <c r="B8" s="17">
        <f>'Project Data'!B9</f>
        <v/>
      </c>
      <c r="C8" s="17">
        <f>'Project Data'!E9</f>
        <v/>
      </c>
      <c r="D8" s="18">
        <f>'Project Data'!F9</f>
        <v/>
      </c>
      <c r="E8" s="17">
        <f>'Project Data'!L9</f>
        <v/>
      </c>
      <c r="F8" s="17">
        <f>IF(D8&gt;=0.85,"&gt;=85%",IF(D8&lt;0.7,"&lt;70%","70-84%"))</f>
        <v/>
      </c>
      <c r="G8" s="17">
        <f>'Project Data'!C9</f>
        <v/>
      </c>
      <c r="H8" s="17">
        <f>'Project Data'!P9</f>
        <v/>
      </c>
    </row>
    <row r="9">
      <c r="A9" s="17">
        <f>'Project Data'!A10</f>
        <v/>
      </c>
      <c r="B9" s="17">
        <f>'Project Data'!B10</f>
        <v/>
      </c>
      <c r="C9" s="17">
        <f>'Project Data'!E10</f>
        <v/>
      </c>
      <c r="D9" s="18">
        <f>'Project Data'!F10</f>
        <v/>
      </c>
      <c r="E9" s="17">
        <f>'Project Data'!L10</f>
        <v/>
      </c>
      <c r="F9" s="17">
        <f>IF(D9&gt;=0.85,"&gt;=85%",IF(D9&lt;0.7,"&lt;70%","70-84%"))</f>
        <v/>
      </c>
      <c r="G9" s="17">
        <f>'Project Data'!C10</f>
        <v/>
      </c>
      <c r="H9" s="17">
        <f>'Project Data'!P10</f>
        <v/>
      </c>
    </row>
    <row r="10">
      <c r="A10" s="17">
        <f>'Project Data'!A11</f>
        <v/>
      </c>
      <c r="B10" s="17">
        <f>'Project Data'!B11</f>
        <v/>
      </c>
      <c r="C10" s="17">
        <f>'Project Data'!E11</f>
        <v/>
      </c>
      <c r="D10" s="18">
        <f>'Project Data'!F11</f>
        <v/>
      </c>
      <c r="E10" s="17">
        <f>'Project Data'!L11</f>
        <v/>
      </c>
      <c r="F10" s="17">
        <f>IF(D10&gt;=0.85,"&gt;=85%",IF(D10&lt;0.7,"&lt;70%","70-84%"))</f>
        <v/>
      </c>
      <c r="G10" s="17">
        <f>'Project Data'!C11</f>
        <v/>
      </c>
      <c r="H10" s="17">
        <f>'Project Data'!P11</f>
        <v/>
      </c>
    </row>
    <row r="11">
      <c r="A11" s="17">
        <f>'Project Data'!A12</f>
        <v/>
      </c>
      <c r="B11" s="17">
        <f>'Project Data'!B12</f>
        <v/>
      </c>
      <c r="C11" s="17">
        <f>'Project Data'!E12</f>
        <v/>
      </c>
      <c r="D11" s="18">
        <f>'Project Data'!F12</f>
        <v/>
      </c>
      <c r="E11" s="17">
        <f>'Project Data'!L12</f>
        <v/>
      </c>
      <c r="F11" s="17">
        <f>IF(D11&gt;=0.85,"&gt;=85%",IF(D11&lt;0.7,"&lt;70%","70-84%"))</f>
        <v/>
      </c>
      <c r="G11" s="17">
        <f>'Project Data'!C12</f>
        <v/>
      </c>
      <c r="H11" s="17">
        <f>'Project Data'!P12</f>
        <v/>
      </c>
    </row>
    <row r="12">
      <c r="A12" s="17">
        <f>'Project Data'!A13</f>
        <v/>
      </c>
      <c r="B12" s="17">
        <f>'Project Data'!B13</f>
        <v/>
      </c>
      <c r="C12" s="17">
        <f>'Project Data'!E13</f>
        <v/>
      </c>
      <c r="D12" s="18">
        <f>'Project Data'!F13</f>
        <v/>
      </c>
      <c r="E12" s="17">
        <f>'Project Data'!L13</f>
        <v/>
      </c>
      <c r="F12" s="17">
        <f>IF(D12&gt;=0.85,"&gt;=85%",IF(D12&lt;0.7,"&lt;70%","70-84%"))</f>
        <v/>
      </c>
      <c r="G12" s="17">
        <f>'Project Data'!C13</f>
        <v/>
      </c>
      <c r="H12" s="17">
        <f>'Project Data'!P13</f>
        <v/>
      </c>
    </row>
    <row r="13">
      <c r="A13" s="17">
        <f>'Project Data'!A14</f>
        <v/>
      </c>
      <c r="B13" s="17">
        <f>'Project Data'!B14</f>
        <v/>
      </c>
      <c r="C13" s="17">
        <f>'Project Data'!E14</f>
        <v/>
      </c>
      <c r="D13" s="18">
        <f>'Project Data'!F14</f>
        <v/>
      </c>
      <c r="E13" s="17">
        <f>'Project Data'!L14</f>
        <v/>
      </c>
      <c r="F13" s="17">
        <f>IF(D13&gt;=0.85,"&gt;=85%",IF(D13&lt;0.7,"&lt;70%","70-84%"))</f>
        <v/>
      </c>
      <c r="G13" s="17">
        <f>'Project Data'!C14</f>
        <v/>
      </c>
      <c r="H13" s="17">
        <f>'Project Data'!P14</f>
        <v/>
      </c>
    </row>
    <row r="14">
      <c r="A14" s="17">
        <f>'Project Data'!A15</f>
        <v/>
      </c>
      <c r="B14" s="17">
        <f>'Project Data'!B15</f>
        <v/>
      </c>
      <c r="C14" s="17">
        <f>'Project Data'!E15</f>
        <v/>
      </c>
      <c r="D14" s="18">
        <f>'Project Data'!F15</f>
        <v/>
      </c>
      <c r="E14" s="17">
        <f>'Project Data'!L15</f>
        <v/>
      </c>
      <c r="F14" s="17">
        <f>IF(D14&gt;=0.85,"&gt;=85%",IF(D14&lt;0.7,"&lt;70%","70-84%"))</f>
        <v/>
      </c>
      <c r="G14" s="17">
        <f>'Project Data'!C15</f>
        <v/>
      </c>
      <c r="H14" s="17">
        <f>'Project Data'!P15</f>
        <v/>
      </c>
    </row>
    <row r="15">
      <c r="A15" s="17">
        <f>'Project Data'!A16</f>
        <v/>
      </c>
      <c r="B15" s="17">
        <f>'Project Data'!B16</f>
        <v/>
      </c>
      <c r="C15" s="17">
        <f>'Project Data'!E16</f>
        <v/>
      </c>
      <c r="D15" s="18">
        <f>'Project Data'!F16</f>
        <v/>
      </c>
      <c r="E15" s="17">
        <f>'Project Data'!L16</f>
        <v/>
      </c>
      <c r="F15" s="17">
        <f>IF(D15&gt;=0.85,"&gt;=85%",IF(D15&lt;0.7,"&lt;70%","70-84%"))</f>
        <v/>
      </c>
      <c r="G15" s="17">
        <f>'Project Data'!C16</f>
        <v/>
      </c>
      <c r="H15" s="17">
        <f>'Project Data'!P16</f>
        <v/>
      </c>
    </row>
    <row r="16">
      <c r="A16" s="17">
        <f>'Project Data'!A17</f>
        <v/>
      </c>
      <c r="B16" s="17">
        <f>'Project Data'!B17</f>
        <v/>
      </c>
      <c r="C16" s="17">
        <f>'Project Data'!E17</f>
        <v/>
      </c>
      <c r="D16" s="18">
        <f>'Project Data'!F17</f>
        <v/>
      </c>
      <c r="E16" s="17">
        <f>'Project Data'!L17</f>
        <v/>
      </c>
      <c r="F16" s="17">
        <f>IF(D16&gt;=0.85,"&gt;=85%",IF(D16&lt;0.7,"&lt;70%","70-84%"))</f>
        <v/>
      </c>
      <c r="G16" s="17">
        <f>'Project Data'!C17</f>
        <v/>
      </c>
      <c r="H16" s="17">
        <f>'Project Data'!P17</f>
        <v/>
      </c>
    </row>
    <row r="17">
      <c r="A17" s="17">
        <f>'Project Data'!A18</f>
        <v/>
      </c>
      <c r="B17" s="17">
        <f>'Project Data'!B18</f>
        <v/>
      </c>
      <c r="C17" s="17">
        <f>'Project Data'!E18</f>
        <v/>
      </c>
      <c r="D17" s="18">
        <f>'Project Data'!F18</f>
        <v/>
      </c>
      <c r="E17" s="17">
        <f>'Project Data'!L18</f>
        <v/>
      </c>
      <c r="F17" s="17">
        <f>IF(D17&gt;=0.85,"&gt;=85%",IF(D17&lt;0.7,"&lt;70%","70-84%"))</f>
        <v/>
      </c>
      <c r="G17" s="17">
        <f>'Project Data'!C18</f>
        <v/>
      </c>
      <c r="H17" s="17">
        <f>'Project Data'!P18</f>
        <v/>
      </c>
    </row>
    <row r="18">
      <c r="A18" s="17">
        <f>'Project Data'!A19</f>
        <v/>
      </c>
      <c r="B18" s="17">
        <f>'Project Data'!B19</f>
        <v/>
      </c>
      <c r="C18" s="17">
        <f>'Project Data'!E19</f>
        <v/>
      </c>
      <c r="D18" s="18">
        <f>'Project Data'!F19</f>
        <v/>
      </c>
      <c r="E18" s="17">
        <f>'Project Data'!L19</f>
        <v/>
      </c>
      <c r="F18" s="17">
        <f>IF(D18&gt;=0.85,"&gt;=85%",IF(D18&lt;0.7,"&lt;70%","70-84%"))</f>
        <v/>
      </c>
      <c r="G18" s="17">
        <f>'Project Data'!C19</f>
        <v/>
      </c>
      <c r="H18" s="17">
        <f>'Project Data'!P19</f>
        <v/>
      </c>
    </row>
    <row r="19">
      <c r="A19" s="17">
        <f>'Project Data'!A20</f>
        <v/>
      </c>
      <c r="B19" s="17">
        <f>'Project Data'!B20</f>
        <v/>
      </c>
      <c r="C19" s="17">
        <f>'Project Data'!E20</f>
        <v/>
      </c>
      <c r="D19" s="18">
        <f>'Project Data'!F20</f>
        <v/>
      </c>
      <c r="E19" s="17">
        <f>'Project Data'!L20</f>
        <v/>
      </c>
      <c r="F19" s="17">
        <f>IF(D19&gt;=0.85,"&gt;=85%",IF(D19&lt;0.7,"&lt;70%","70-84%"))</f>
        <v/>
      </c>
      <c r="G19" s="17">
        <f>'Project Data'!C20</f>
        <v/>
      </c>
      <c r="H19" s="17">
        <f>'Project Data'!P20</f>
        <v/>
      </c>
    </row>
    <row r="20">
      <c r="A20" s="17">
        <f>'Project Data'!A21</f>
        <v/>
      </c>
      <c r="B20" s="17">
        <f>'Project Data'!B21</f>
        <v/>
      </c>
      <c r="C20" s="17">
        <f>'Project Data'!E21</f>
        <v/>
      </c>
      <c r="D20" s="18">
        <f>'Project Data'!F21</f>
        <v/>
      </c>
      <c r="E20" s="17">
        <f>'Project Data'!L21</f>
        <v/>
      </c>
      <c r="F20" s="17">
        <f>IF(D20&gt;=0.85,"&gt;=85%",IF(D20&lt;0.7,"&lt;70%","70-84%"))</f>
        <v/>
      </c>
      <c r="G20" s="17">
        <f>'Project Data'!C21</f>
        <v/>
      </c>
      <c r="H20" s="17">
        <f>'Project Data'!P21</f>
        <v/>
      </c>
    </row>
    <row r="21">
      <c r="A21" s="17">
        <f>'Project Data'!A22</f>
        <v/>
      </c>
      <c r="B21" s="17">
        <f>'Project Data'!B22</f>
        <v/>
      </c>
      <c r="C21" s="17">
        <f>'Project Data'!E22</f>
        <v/>
      </c>
      <c r="D21" s="18">
        <f>'Project Data'!F22</f>
        <v/>
      </c>
      <c r="E21" s="17">
        <f>'Project Data'!L22</f>
        <v/>
      </c>
      <c r="F21" s="17">
        <f>IF(D21&gt;=0.85,"&gt;=85%",IF(D21&lt;0.7,"&lt;70%","70-84%"))</f>
        <v/>
      </c>
      <c r="G21" s="17">
        <f>'Project Data'!C22</f>
        <v/>
      </c>
      <c r="H21" s="17">
        <f>'Project Data'!P22</f>
        <v/>
      </c>
    </row>
    <row r="22">
      <c r="A22" s="17">
        <f>'Project Data'!A23</f>
        <v/>
      </c>
      <c r="B22" s="17">
        <f>'Project Data'!B23</f>
        <v/>
      </c>
      <c r="C22" s="17">
        <f>'Project Data'!E23</f>
        <v/>
      </c>
      <c r="D22" s="18">
        <f>'Project Data'!F23</f>
        <v/>
      </c>
      <c r="E22" s="17">
        <f>'Project Data'!L23</f>
        <v/>
      </c>
      <c r="F22" s="17">
        <f>IF(D22&gt;=0.85,"&gt;=85%",IF(D22&lt;0.7,"&lt;70%","70-84%"))</f>
        <v/>
      </c>
      <c r="G22" s="17">
        <f>'Project Data'!C23</f>
        <v/>
      </c>
      <c r="H22" s="17">
        <f>'Project Data'!P23</f>
        <v/>
      </c>
    </row>
    <row r="23">
      <c r="A23" s="17">
        <f>'Project Data'!A24</f>
        <v/>
      </c>
      <c r="B23" s="17">
        <f>'Project Data'!B24</f>
        <v/>
      </c>
      <c r="C23" s="17">
        <f>'Project Data'!E24</f>
        <v/>
      </c>
      <c r="D23" s="18">
        <f>'Project Data'!F24</f>
        <v/>
      </c>
      <c r="E23" s="17">
        <f>'Project Data'!L24</f>
        <v/>
      </c>
      <c r="F23" s="17">
        <f>IF(D23&gt;=0.85,"&gt;=85%",IF(D23&lt;0.7,"&lt;70%","70-84%"))</f>
        <v/>
      </c>
      <c r="G23" s="17">
        <f>'Project Data'!C24</f>
        <v/>
      </c>
      <c r="H23" s="17">
        <f>'Project Data'!P24</f>
        <v/>
      </c>
    </row>
    <row r="24">
      <c r="A24" s="17">
        <f>'Project Data'!A25</f>
        <v/>
      </c>
      <c r="B24" s="17">
        <f>'Project Data'!B25</f>
        <v/>
      </c>
      <c r="C24" s="17">
        <f>'Project Data'!E25</f>
        <v/>
      </c>
      <c r="D24" s="18">
        <f>'Project Data'!F25</f>
        <v/>
      </c>
      <c r="E24" s="17">
        <f>'Project Data'!L25</f>
        <v/>
      </c>
      <c r="F24" s="17">
        <f>IF(D24&gt;=0.85,"&gt;=85%",IF(D24&lt;0.7,"&lt;70%","70-84%"))</f>
        <v/>
      </c>
      <c r="G24" s="17">
        <f>'Project Data'!C25</f>
        <v/>
      </c>
      <c r="H24" s="17">
        <f>'Project Data'!P25</f>
        <v/>
      </c>
    </row>
    <row r="25">
      <c r="A25" s="17">
        <f>'Project Data'!A26</f>
        <v/>
      </c>
      <c r="B25" s="17">
        <f>'Project Data'!B26</f>
        <v/>
      </c>
      <c r="C25" s="17">
        <f>'Project Data'!E26</f>
        <v/>
      </c>
      <c r="D25" s="18">
        <f>'Project Data'!F26</f>
        <v/>
      </c>
      <c r="E25" s="17">
        <f>'Project Data'!L26</f>
        <v/>
      </c>
      <c r="F25" s="17">
        <f>IF(D25&gt;=0.85,"&gt;=85%",IF(D25&lt;0.7,"&lt;70%","70-84%"))</f>
        <v/>
      </c>
      <c r="G25" s="17">
        <f>'Project Data'!C26</f>
        <v/>
      </c>
      <c r="H25" s="17">
        <f>'Project Data'!P26</f>
        <v/>
      </c>
    </row>
    <row r="26">
      <c r="A26" s="17">
        <f>'Project Data'!A27</f>
        <v/>
      </c>
      <c r="B26" s="17">
        <f>'Project Data'!B27</f>
        <v/>
      </c>
      <c r="C26" s="17">
        <f>'Project Data'!E27</f>
        <v/>
      </c>
      <c r="D26" s="18">
        <f>'Project Data'!F27</f>
        <v/>
      </c>
      <c r="E26" s="17">
        <f>'Project Data'!L27</f>
        <v/>
      </c>
      <c r="F26" s="17">
        <f>IF(D26&gt;=0.85,"&gt;=85%",IF(D26&lt;0.7,"&lt;70%","70-84%"))</f>
        <v/>
      </c>
      <c r="G26" s="17">
        <f>'Project Data'!C27</f>
        <v/>
      </c>
      <c r="H26" s="17">
        <f>'Project Data'!P27</f>
        <v/>
      </c>
    </row>
    <row r="27">
      <c r="A27" s="17">
        <f>'Project Data'!A28</f>
        <v/>
      </c>
      <c r="B27" s="17">
        <f>'Project Data'!B28</f>
        <v/>
      </c>
      <c r="C27" s="17">
        <f>'Project Data'!E28</f>
        <v/>
      </c>
      <c r="D27" s="18">
        <f>'Project Data'!F28</f>
        <v/>
      </c>
      <c r="E27" s="17">
        <f>'Project Data'!L28</f>
        <v/>
      </c>
      <c r="F27" s="17">
        <f>IF(D27&gt;=0.85,"&gt;=85%",IF(D27&lt;0.7,"&lt;70%","70-84%"))</f>
        <v/>
      </c>
      <c r="G27" s="17">
        <f>'Project Data'!C28</f>
        <v/>
      </c>
      <c r="H27" s="17">
        <f>'Project Data'!P28</f>
        <v/>
      </c>
    </row>
    <row r="28">
      <c r="A28" s="17">
        <f>'Project Data'!A29</f>
        <v/>
      </c>
      <c r="B28" s="17">
        <f>'Project Data'!B29</f>
        <v/>
      </c>
      <c r="C28" s="17">
        <f>'Project Data'!E29</f>
        <v/>
      </c>
      <c r="D28" s="18">
        <f>'Project Data'!F29</f>
        <v/>
      </c>
      <c r="E28" s="17">
        <f>'Project Data'!L29</f>
        <v/>
      </c>
      <c r="F28" s="17">
        <f>IF(D28&gt;=0.85,"&gt;=85%",IF(D28&lt;0.7,"&lt;70%","70-84%"))</f>
        <v/>
      </c>
      <c r="G28" s="17">
        <f>'Project Data'!C29</f>
        <v/>
      </c>
      <c r="H28" s="17">
        <f>'Project Data'!P29</f>
        <v/>
      </c>
    </row>
    <row r="29">
      <c r="A29" s="17">
        <f>'Project Data'!A30</f>
        <v/>
      </c>
      <c r="B29" s="17">
        <f>'Project Data'!B30</f>
        <v/>
      </c>
      <c r="C29" s="17">
        <f>'Project Data'!E30</f>
        <v/>
      </c>
      <c r="D29" s="18">
        <f>'Project Data'!F30</f>
        <v/>
      </c>
      <c r="E29" s="17">
        <f>'Project Data'!L30</f>
        <v/>
      </c>
      <c r="F29" s="17">
        <f>IF(D29&gt;=0.85,"&gt;=85%",IF(D29&lt;0.7,"&lt;70%","70-84%"))</f>
        <v/>
      </c>
      <c r="G29" s="17">
        <f>'Project Data'!C30</f>
        <v/>
      </c>
      <c r="H29" s="17">
        <f>'Project Data'!P30</f>
        <v/>
      </c>
    </row>
    <row r="30">
      <c r="A30" s="17">
        <f>'Project Data'!A31</f>
        <v/>
      </c>
      <c r="B30" s="17">
        <f>'Project Data'!B31</f>
        <v/>
      </c>
      <c r="C30" s="17">
        <f>'Project Data'!E31</f>
        <v/>
      </c>
      <c r="D30" s="18">
        <f>'Project Data'!F31</f>
        <v/>
      </c>
      <c r="E30" s="17">
        <f>'Project Data'!L31</f>
        <v/>
      </c>
      <c r="F30" s="17">
        <f>IF(D30&gt;=0.85,"&gt;=85%",IF(D30&lt;0.7,"&lt;70%","70-84%"))</f>
        <v/>
      </c>
      <c r="G30" s="17">
        <f>'Project Data'!C31</f>
        <v/>
      </c>
      <c r="H30" s="17">
        <f>'Project Data'!P31</f>
        <v/>
      </c>
    </row>
    <row r="31">
      <c r="A31" s="17">
        <f>'Project Data'!A32</f>
        <v/>
      </c>
      <c r="B31" s="17">
        <f>'Project Data'!B32</f>
        <v/>
      </c>
      <c r="C31" s="17">
        <f>'Project Data'!E32</f>
        <v/>
      </c>
      <c r="D31" s="18">
        <f>'Project Data'!F32</f>
        <v/>
      </c>
      <c r="E31" s="17">
        <f>'Project Data'!L32</f>
        <v/>
      </c>
      <c r="F31" s="17">
        <f>IF(D31&gt;=0.85,"&gt;=85%",IF(D31&lt;0.7,"&lt;70%","70-84%"))</f>
        <v/>
      </c>
      <c r="G31" s="17">
        <f>'Project Data'!C32</f>
        <v/>
      </c>
      <c r="H31" s="17">
        <f>'Project Data'!P32</f>
        <v/>
      </c>
    </row>
    <row r="32">
      <c r="A32" s="17">
        <f>'Project Data'!A33</f>
        <v/>
      </c>
      <c r="B32" s="17">
        <f>'Project Data'!B33</f>
        <v/>
      </c>
      <c r="C32" s="17">
        <f>'Project Data'!E33</f>
        <v/>
      </c>
      <c r="D32" s="18">
        <f>'Project Data'!F33</f>
        <v/>
      </c>
      <c r="E32" s="17">
        <f>'Project Data'!L33</f>
        <v/>
      </c>
      <c r="F32" s="17">
        <f>IF(D32&gt;=0.85,"&gt;=85%",IF(D32&lt;0.7,"&lt;70%","70-84%"))</f>
        <v/>
      </c>
      <c r="G32" s="17">
        <f>'Project Data'!C33</f>
        <v/>
      </c>
      <c r="H32" s="17">
        <f>'Project Data'!P33</f>
        <v/>
      </c>
    </row>
    <row r="33">
      <c r="A33" s="17">
        <f>'Project Data'!A34</f>
        <v/>
      </c>
      <c r="B33" s="17">
        <f>'Project Data'!B34</f>
        <v/>
      </c>
      <c r="C33" s="17">
        <f>'Project Data'!E34</f>
        <v/>
      </c>
      <c r="D33" s="18">
        <f>'Project Data'!F34</f>
        <v/>
      </c>
      <c r="E33" s="17">
        <f>'Project Data'!L34</f>
        <v/>
      </c>
      <c r="F33" s="17">
        <f>IF(D33&gt;=0.85,"&gt;=85%",IF(D33&lt;0.7,"&lt;70%","70-84%"))</f>
        <v/>
      </c>
      <c r="G33" s="17">
        <f>'Project Data'!C34</f>
        <v/>
      </c>
      <c r="H33" s="17">
        <f>'Project Data'!P34</f>
        <v/>
      </c>
    </row>
    <row r="34">
      <c r="A34" s="17">
        <f>'Project Data'!A35</f>
        <v/>
      </c>
      <c r="B34" s="17">
        <f>'Project Data'!B35</f>
        <v/>
      </c>
      <c r="C34" s="17">
        <f>'Project Data'!E35</f>
        <v/>
      </c>
      <c r="D34" s="18">
        <f>'Project Data'!F35</f>
        <v/>
      </c>
      <c r="E34" s="17">
        <f>'Project Data'!L35</f>
        <v/>
      </c>
      <c r="F34" s="17">
        <f>IF(D34&gt;=0.85,"&gt;=85%",IF(D34&lt;0.7,"&lt;70%","70-84%"))</f>
        <v/>
      </c>
      <c r="G34" s="17">
        <f>'Project Data'!C35</f>
        <v/>
      </c>
      <c r="H34" s="17">
        <f>'Project Data'!P35</f>
        <v/>
      </c>
    </row>
    <row r="35">
      <c r="A35" s="17">
        <f>'Project Data'!A36</f>
        <v/>
      </c>
      <c r="B35" s="17">
        <f>'Project Data'!B36</f>
        <v/>
      </c>
      <c r="C35" s="17">
        <f>'Project Data'!E36</f>
        <v/>
      </c>
      <c r="D35" s="18">
        <f>'Project Data'!F36</f>
        <v/>
      </c>
      <c r="E35" s="17">
        <f>'Project Data'!L36</f>
        <v/>
      </c>
      <c r="F35" s="17">
        <f>IF(D35&gt;=0.85,"&gt;=85%",IF(D35&lt;0.7,"&lt;70%","70-84%"))</f>
        <v/>
      </c>
      <c r="G35" s="17">
        <f>'Project Data'!C36</f>
        <v/>
      </c>
      <c r="H35" s="17">
        <f>'Project Data'!P36</f>
        <v/>
      </c>
    </row>
    <row r="36">
      <c r="A36" s="17">
        <f>'Project Data'!A37</f>
        <v/>
      </c>
      <c r="B36" s="17">
        <f>'Project Data'!B37</f>
        <v/>
      </c>
      <c r="C36" s="17">
        <f>'Project Data'!E37</f>
        <v/>
      </c>
      <c r="D36" s="18">
        <f>'Project Data'!F37</f>
        <v/>
      </c>
      <c r="E36" s="17">
        <f>'Project Data'!L37</f>
        <v/>
      </c>
      <c r="F36" s="17">
        <f>IF(D36&gt;=0.85,"&gt;=85%",IF(D36&lt;0.7,"&lt;70%","70-84%"))</f>
        <v/>
      </c>
      <c r="G36" s="17">
        <f>'Project Data'!C37</f>
        <v/>
      </c>
      <c r="H36" s="17">
        <f>'Project Data'!P37</f>
        <v/>
      </c>
    </row>
    <row r="37">
      <c r="A37" s="17">
        <f>'Project Data'!A38</f>
        <v/>
      </c>
      <c r="B37" s="17">
        <f>'Project Data'!B38</f>
        <v/>
      </c>
      <c r="C37" s="17">
        <f>'Project Data'!E38</f>
        <v/>
      </c>
      <c r="D37" s="18">
        <f>'Project Data'!F38</f>
        <v/>
      </c>
      <c r="E37" s="17">
        <f>'Project Data'!L38</f>
        <v/>
      </c>
      <c r="F37" s="17">
        <f>IF(D37&gt;=0.85,"&gt;=85%",IF(D37&lt;0.7,"&lt;70%","70-84%"))</f>
        <v/>
      </c>
      <c r="G37" s="17">
        <f>'Project Data'!C38</f>
        <v/>
      </c>
      <c r="H37" s="17">
        <f>'Project Data'!P38</f>
        <v/>
      </c>
    </row>
    <row r="38">
      <c r="A38" s="17">
        <f>'Project Data'!A39</f>
        <v/>
      </c>
      <c r="B38" s="17">
        <f>'Project Data'!B39</f>
        <v/>
      </c>
      <c r="C38" s="17">
        <f>'Project Data'!E39</f>
        <v/>
      </c>
      <c r="D38" s="18">
        <f>'Project Data'!F39</f>
        <v/>
      </c>
      <c r="E38" s="17">
        <f>'Project Data'!L39</f>
        <v/>
      </c>
      <c r="F38" s="17">
        <f>IF(D38&gt;=0.85,"&gt;=85%",IF(D38&lt;0.7,"&lt;70%","70-84%"))</f>
        <v/>
      </c>
      <c r="G38" s="17">
        <f>'Project Data'!C39</f>
        <v/>
      </c>
      <c r="H38" s="17">
        <f>'Project Data'!P39</f>
        <v/>
      </c>
    </row>
    <row r="39">
      <c r="A39" s="17">
        <f>'Project Data'!A40</f>
        <v/>
      </c>
      <c r="B39" s="17">
        <f>'Project Data'!B40</f>
        <v/>
      </c>
      <c r="C39" s="17">
        <f>'Project Data'!E40</f>
        <v/>
      </c>
      <c r="D39" s="18">
        <f>'Project Data'!F40</f>
        <v/>
      </c>
      <c r="E39" s="17">
        <f>'Project Data'!L40</f>
        <v/>
      </c>
      <c r="F39" s="17">
        <f>IF(D39&gt;=0.85,"&gt;=85%",IF(D39&lt;0.7,"&lt;70%","70-84%"))</f>
        <v/>
      </c>
      <c r="G39" s="17">
        <f>'Project Data'!C40</f>
        <v/>
      </c>
      <c r="H39" s="17">
        <f>'Project Data'!P40</f>
        <v/>
      </c>
    </row>
    <row r="40">
      <c r="A40" s="17">
        <f>'Project Data'!A41</f>
        <v/>
      </c>
      <c r="B40" s="17">
        <f>'Project Data'!B41</f>
        <v/>
      </c>
      <c r="C40" s="17">
        <f>'Project Data'!E41</f>
        <v/>
      </c>
      <c r="D40" s="18">
        <f>'Project Data'!F41</f>
        <v/>
      </c>
      <c r="E40" s="17">
        <f>'Project Data'!L41</f>
        <v/>
      </c>
      <c r="F40" s="17">
        <f>IF(D40&gt;=0.85,"&gt;=85%",IF(D40&lt;0.7,"&lt;70%","70-84%"))</f>
        <v/>
      </c>
      <c r="G40" s="17">
        <f>'Project Data'!C41</f>
        <v/>
      </c>
      <c r="H40" s="17">
        <f>'Project Data'!P41</f>
        <v/>
      </c>
    </row>
    <row r="41">
      <c r="A41" s="17">
        <f>'Project Data'!A42</f>
        <v/>
      </c>
      <c r="B41" s="17">
        <f>'Project Data'!B42</f>
        <v/>
      </c>
      <c r="C41" s="17">
        <f>'Project Data'!E42</f>
        <v/>
      </c>
      <c r="D41" s="18">
        <f>'Project Data'!F42</f>
        <v/>
      </c>
      <c r="E41" s="17">
        <f>'Project Data'!L42</f>
        <v/>
      </c>
      <c r="F41" s="17">
        <f>IF(D41&gt;=0.85,"&gt;=85%",IF(D41&lt;0.7,"&lt;70%","70-84%"))</f>
        <v/>
      </c>
      <c r="G41" s="17">
        <f>'Project Data'!C42</f>
        <v/>
      </c>
      <c r="H41" s="17">
        <f>'Project Data'!P42</f>
        <v/>
      </c>
    </row>
    <row r="42">
      <c r="A42" s="17">
        <f>'Project Data'!A43</f>
        <v/>
      </c>
      <c r="B42" s="17">
        <f>'Project Data'!B43</f>
        <v/>
      </c>
      <c r="C42" s="17">
        <f>'Project Data'!E43</f>
        <v/>
      </c>
      <c r="D42" s="18">
        <f>'Project Data'!F43</f>
        <v/>
      </c>
      <c r="E42" s="17">
        <f>'Project Data'!L43</f>
        <v/>
      </c>
      <c r="F42" s="17">
        <f>IF(D42&gt;=0.85,"&gt;=85%",IF(D42&lt;0.7,"&lt;70%","70-84%"))</f>
        <v/>
      </c>
      <c r="G42" s="17">
        <f>'Project Data'!C43</f>
        <v/>
      </c>
      <c r="H42" s="17">
        <f>'Project Data'!P43</f>
        <v/>
      </c>
    </row>
    <row r="43">
      <c r="A43" s="17">
        <f>'Project Data'!A44</f>
        <v/>
      </c>
      <c r="B43" s="17">
        <f>'Project Data'!B44</f>
        <v/>
      </c>
      <c r="C43" s="17">
        <f>'Project Data'!E44</f>
        <v/>
      </c>
      <c r="D43" s="18">
        <f>'Project Data'!F44</f>
        <v/>
      </c>
      <c r="E43" s="17">
        <f>'Project Data'!L44</f>
        <v/>
      </c>
      <c r="F43" s="17">
        <f>IF(D43&gt;=0.85,"&gt;=85%",IF(D43&lt;0.7,"&lt;70%","70-84%"))</f>
        <v/>
      </c>
      <c r="G43" s="17">
        <f>'Project Data'!C44</f>
        <v/>
      </c>
      <c r="H43" s="17">
        <f>'Project Data'!P44</f>
        <v/>
      </c>
    </row>
    <row r="44">
      <c r="A44" s="17">
        <f>'Project Data'!A45</f>
        <v/>
      </c>
      <c r="B44" s="17">
        <f>'Project Data'!B45</f>
        <v/>
      </c>
      <c r="C44" s="17">
        <f>'Project Data'!E45</f>
        <v/>
      </c>
      <c r="D44" s="18">
        <f>'Project Data'!F45</f>
        <v/>
      </c>
      <c r="E44" s="17">
        <f>'Project Data'!L45</f>
        <v/>
      </c>
      <c r="F44" s="17">
        <f>IF(D44&gt;=0.85,"&gt;=85%",IF(D44&lt;0.7,"&lt;70%","70-84%"))</f>
        <v/>
      </c>
      <c r="G44" s="17">
        <f>'Project Data'!C45</f>
        <v/>
      </c>
      <c r="H44" s="17">
        <f>'Project Data'!P45</f>
        <v/>
      </c>
    </row>
    <row r="45">
      <c r="A45" s="17">
        <f>'Project Data'!A46</f>
        <v/>
      </c>
      <c r="B45" s="17">
        <f>'Project Data'!B46</f>
        <v/>
      </c>
      <c r="C45" s="17">
        <f>'Project Data'!E46</f>
        <v/>
      </c>
      <c r="D45" s="18">
        <f>'Project Data'!F46</f>
        <v/>
      </c>
      <c r="E45" s="17">
        <f>'Project Data'!L46</f>
        <v/>
      </c>
      <c r="F45" s="17">
        <f>IF(D45&gt;=0.85,"&gt;=85%",IF(D45&lt;0.7,"&lt;70%","70-84%"))</f>
        <v/>
      </c>
      <c r="G45" s="17">
        <f>'Project Data'!C46</f>
        <v/>
      </c>
      <c r="H45" s="17">
        <f>'Project Data'!P46</f>
        <v/>
      </c>
    </row>
    <row r="46">
      <c r="A46" s="17">
        <f>'Project Data'!A47</f>
        <v/>
      </c>
      <c r="B46" s="17">
        <f>'Project Data'!B47</f>
        <v/>
      </c>
      <c r="C46" s="17">
        <f>'Project Data'!E47</f>
        <v/>
      </c>
      <c r="D46" s="18">
        <f>'Project Data'!F47</f>
        <v/>
      </c>
      <c r="E46" s="17">
        <f>'Project Data'!L47</f>
        <v/>
      </c>
      <c r="F46" s="17">
        <f>IF(D46&gt;=0.85,"&gt;=85%",IF(D46&lt;0.7,"&lt;70%","70-84%"))</f>
        <v/>
      </c>
      <c r="G46" s="17">
        <f>'Project Data'!C47</f>
        <v/>
      </c>
      <c r="H46" s="17">
        <f>'Project Data'!P47</f>
        <v/>
      </c>
    </row>
    <row r="47">
      <c r="A47" s="17">
        <f>'Project Data'!A48</f>
        <v/>
      </c>
      <c r="B47" s="17">
        <f>'Project Data'!B48</f>
        <v/>
      </c>
      <c r="C47" s="17">
        <f>'Project Data'!E48</f>
        <v/>
      </c>
      <c r="D47" s="18">
        <f>'Project Data'!F48</f>
        <v/>
      </c>
      <c r="E47" s="17">
        <f>'Project Data'!L48</f>
        <v/>
      </c>
      <c r="F47" s="17">
        <f>IF(D47&gt;=0.85,"&gt;=85%",IF(D47&lt;0.7,"&lt;70%","70-84%"))</f>
        <v/>
      </c>
      <c r="G47" s="17">
        <f>'Project Data'!C48</f>
        <v/>
      </c>
      <c r="H47" s="17">
        <f>'Project Data'!P48</f>
        <v/>
      </c>
    </row>
    <row r="48">
      <c r="A48" s="17">
        <f>'Project Data'!A49</f>
        <v/>
      </c>
      <c r="B48" s="17">
        <f>'Project Data'!B49</f>
        <v/>
      </c>
      <c r="C48" s="17">
        <f>'Project Data'!E49</f>
        <v/>
      </c>
      <c r="D48" s="18">
        <f>'Project Data'!F49</f>
        <v/>
      </c>
      <c r="E48" s="17">
        <f>'Project Data'!L49</f>
        <v/>
      </c>
      <c r="F48" s="17">
        <f>IF(D48&gt;=0.85,"&gt;=85%",IF(D48&lt;0.7,"&lt;70%","70-84%"))</f>
        <v/>
      </c>
      <c r="G48" s="17">
        <f>'Project Data'!C49</f>
        <v/>
      </c>
      <c r="H48" s="17">
        <f>'Project Data'!P49</f>
        <v/>
      </c>
    </row>
    <row r="49">
      <c r="A49" s="17">
        <f>'Project Data'!A50</f>
        <v/>
      </c>
      <c r="B49" s="17">
        <f>'Project Data'!B50</f>
        <v/>
      </c>
      <c r="C49" s="17">
        <f>'Project Data'!E50</f>
        <v/>
      </c>
      <c r="D49" s="18">
        <f>'Project Data'!F50</f>
        <v/>
      </c>
      <c r="E49" s="17">
        <f>'Project Data'!L50</f>
        <v/>
      </c>
      <c r="F49" s="17">
        <f>IF(D49&gt;=0.85,"&gt;=85%",IF(D49&lt;0.7,"&lt;70%","70-84%"))</f>
        <v/>
      </c>
      <c r="G49" s="17">
        <f>'Project Data'!C50</f>
        <v/>
      </c>
      <c r="H49" s="17">
        <f>'Project Data'!P50</f>
        <v/>
      </c>
    </row>
    <row r="50">
      <c r="A50" s="17">
        <f>'Project Data'!A51</f>
        <v/>
      </c>
      <c r="B50" s="17">
        <f>'Project Data'!B51</f>
        <v/>
      </c>
      <c r="C50" s="17">
        <f>'Project Data'!E51</f>
        <v/>
      </c>
      <c r="D50" s="18">
        <f>'Project Data'!F51</f>
        <v/>
      </c>
      <c r="E50" s="17">
        <f>'Project Data'!L51</f>
        <v/>
      </c>
      <c r="F50" s="17">
        <f>IF(D50&gt;=0.85,"&gt;=85%",IF(D50&lt;0.7,"&lt;70%","70-84%"))</f>
        <v/>
      </c>
      <c r="G50" s="17">
        <f>'Project Data'!C51</f>
        <v/>
      </c>
      <c r="H50" s="17">
        <f>'Project Data'!P51</f>
        <v/>
      </c>
    </row>
    <row r="51">
      <c r="A51" s="17">
        <f>'Project Data'!A52</f>
        <v/>
      </c>
      <c r="B51" s="17">
        <f>'Project Data'!B52</f>
        <v/>
      </c>
      <c r="C51" s="17">
        <f>'Project Data'!E52</f>
        <v/>
      </c>
      <c r="D51" s="18">
        <f>'Project Data'!F52</f>
        <v/>
      </c>
      <c r="E51" s="17">
        <f>'Project Data'!L52</f>
        <v/>
      </c>
      <c r="F51" s="17">
        <f>IF(D51&gt;=0.85,"&gt;=85%",IF(D51&lt;0.7,"&lt;70%","70-84%"))</f>
        <v/>
      </c>
      <c r="G51" s="17">
        <f>'Project Data'!C52</f>
        <v/>
      </c>
      <c r="H51" s="17">
        <f>'Project Data'!P52</f>
        <v/>
      </c>
    </row>
    <row r="52">
      <c r="A52" s="17">
        <f>'Project Data'!A53</f>
        <v/>
      </c>
      <c r="B52" s="17">
        <f>'Project Data'!B53</f>
        <v/>
      </c>
      <c r="C52" s="17">
        <f>'Project Data'!E53</f>
        <v/>
      </c>
      <c r="D52" s="18">
        <f>'Project Data'!F53</f>
        <v/>
      </c>
      <c r="E52" s="17">
        <f>'Project Data'!L53</f>
        <v/>
      </c>
      <c r="F52" s="17">
        <f>IF(D52&gt;=0.85,"&gt;=85%",IF(D52&lt;0.7,"&lt;70%","70-84%"))</f>
        <v/>
      </c>
      <c r="G52" s="17">
        <f>'Project Data'!C53</f>
        <v/>
      </c>
      <c r="H52" s="17">
        <f>'Project Data'!P53</f>
        <v/>
      </c>
    </row>
    <row r="53">
      <c r="A53" s="17">
        <f>'Project Data'!A54</f>
        <v/>
      </c>
      <c r="B53" s="17">
        <f>'Project Data'!B54</f>
        <v/>
      </c>
      <c r="C53" s="17">
        <f>'Project Data'!E54</f>
        <v/>
      </c>
      <c r="D53" s="18">
        <f>'Project Data'!F54</f>
        <v/>
      </c>
      <c r="E53" s="17">
        <f>'Project Data'!L54</f>
        <v/>
      </c>
      <c r="F53" s="17">
        <f>IF(D53&gt;=0.85,"&gt;=85%",IF(D53&lt;0.7,"&lt;70%","70-84%"))</f>
        <v/>
      </c>
      <c r="G53" s="17">
        <f>'Project Data'!C54</f>
        <v/>
      </c>
      <c r="H53" s="17">
        <f>'Project Data'!P54</f>
        <v/>
      </c>
    </row>
    <row r="54">
      <c r="A54" s="17">
        <f>'Project Data'!A55</f>
        <v/>
      </c>
      <c r="B54" s="17">
        <f>'Project Data'!B55</f>
        <v/>
      </c>
      <c r="C54" s="17">
        <f>'Project Data'!E55</f>
        <v/>
      </c>
      <c r="D54" s="18">
        <f>'Project Data'!F55</f>
        <v/>
      </c>
      <c r="E54" s="17">
        <f>'Project Data'!L55</f>
        <v/>
      </c>
      <c r="F54" s="17">
        <f>IF(D54&gt;=0.85,"&gt;=85%",IF(D54&lt;0.7,"&lt;70%","70-84%"))</f>
        <v/>
      </c>
      <c r="G54" s="17">
        <f>'Project Data'!C55</f>
        <v/>
      </c>
      <c r="H54" s="17">
        <f>'Project Data'!P55</f>
        <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25" customWidth="1" min="1" max="1"/>
    <col width="50" customWidth="1" min="2" max="2"/>
    <col width="12" customWidth="1" min="3" max="3"/>
    <col width="15" customWidth="1" min="4" max="4"/>
    <col width="50" customWidth="1" min="5" max="5"/>
  </cols>
  <sheetData>
    <row r="1" ht="35" customHeight="1">
      <c r="A1" s="11" t="inlineStr">
        <is>
          <t>GAP ANALYSIS</t>
        </is>
      </c>
    </row>
    <row r="2">
      <c r="A2" s="12" t="inlineStr">
        <is>
          <t>ISO/IEC 27001:2022 - Control A.5.8: Information Security in Project Management — Common security gaps identified across the project portfolio</t>
        </is>
      </c>
    </row>
    <row r="3">
      <c r="A3" s="32" t="inlineStr">
        <is>
          <t>Gap Category</t>
        </is>
      </c>
      <c r="B3" s="32" t="inlineStr">
        <is>
          <t>Description</t>
        </is>
      </c>
      <c r="C3" s="32" t="inlineStr">
        <is>
          <t>Frequency</t>
        </is>
      </c>
      <c r="D3" s="32" t="inlineStr">
        <is>
          <t>Impact</t>
        </is>
      </c>
      <c r="E3" s="32" t="inlineStr">
        <is>
          <t>Recommended Action</t>
        </is>
      </c>
    </row>
    <row r="4">
      <c r="A4" s="14" t="inlineStr">
        <is>
          <t>Access Control</t>
        </is>
      </c>
      <c r="B4" s="14" t="inlineStr">
        <is>
          <t>MFA not consistently implemented across high-risk projects</t>
        </is>
      </c>
      <c r="C4" s="14" t="n">
        <v>8</v>
      </c>
      <c r="D4" s="14" t="inlineStr">
        <is>
          <t>High</t>
        </is>
      </c>
      <c r="E4" s="14" t="inlineStr">
        <is>
          <t>Mandate MFA for all Tier 1/2 system projects via updated security gate criteria</t>
        </is>
      </c>
    </row>
    <row r="5">
      <c r="A5" s="17" t="n"/>
      <c r="B5" s="17" t="n"/>
      <c r="C5" s="17" t="n"/>
      <c r="D5" s="17" t="n"/>
      <c r="E5" s="17" t="n"/>
    </row>
    <row r="6">
      <c r="A6" s="17" t="n"/>
      <c r="B6" s="17" t="n"/>
      <c r="C6" s="17" t="n"/>
      <c r="D6" s="17" t="n"/>
      <c r="E6" s="17" t="n"/>
    </row>
    <row r="7">
      <c r="A7" s="17" t="n"/>
      <c r="B7" s="17" t="n"/>
      <c r="C7" s="17" t="n"/>
      <c r="D7" s="17" t="n"/>
      <c r="E7" s="17" t="n"/>
    </row>
    <row r="8">
      <c r="A8" s="17" t="n"/>
      <c r="B8" s="17" t="n"/>
      <c r="C8" s="17" t="n"/>
      <c r="D8" s="17" t="n"/>
      <c r="E8" s="17" t="n"/>
    </row>
    <row r="9">
      <c r="A9" s="17" t="n"/>
      <c r="B9" s="17" t="n"/>
      <c r="C9" s="17" t="n"/>
      <c r="D9" s="17" t="n"/>
      <c r="E9" s="17" t="n"/>
    </row>
    <row r="10">
      <c r="A10" s="17" t="n"/>
      <c r="B10" s="17" t="n"/>
      <c r="C10" s="17" t="n"/>
      <c r="D10" s="17" t="n"/>
      <c r="E10" s="17" t="n"/>
    </row>
    <row r="11">
      <c r="A11" s="17" t="n"/>
      <c r="B11" s="17" t="n"/>
      <c r="C11" s="17" t="n"/>
      <c r="D11" s="17" t="n"/>
      <c r="E11" s="17" t="n"/>
    </row>
    <row r="12">
      <c r="A12" s="17" t="n"/>
      <c r="B12" s="17" t="n"/>
      <c r="C12" s="17" t="n"/>
      <c r="D12" s="17" t="n"/>
      <c r="E12" s="17" t="n"/>
    </row>
    <row r="13">
      <c r="A13" s="17" t="n"/>
      <c r="B13" s="17" t="n"/>
      <c r="C13" s="17" t="n"/>
      <c r="D13" s="17" t="n"/>
      <c r="E13" s="17" t="n"/>
    </row>
    <row r="14">
      <c r="A14" s="17" t="n"/>
      <c r="B14" s="17" t="n"/>
      <c r="C14" s="17" t="n"/>
      <c r="D14" s="17" t="n"/>
      <c r="E14" s="17" t="n"/>
    </row>
    <row r="15">
      <c r="A15" s="17" t="n"/>
      <c r="B15" s="17" t="n"/>
      <c r="C15" s="17" t="n"/>
      <c r="D15" s="17" t="n"/>
      <c r="E15" s="17" t="n"/>
    </row>
    <row r="16">
      <c r="A16" s="17" t="n"/>
      <c r="B16" s="17" t="n"/>
      <c r="C16" s="17" t="n"/>
      <c r="D16" s="17" t="n"/>
      <c r="E16" s="17" t="n"/>
    </row>
    <row r="17">
      <c r="A17" s="17" t="n"/>
      <c r="B17" s="17" t="n"/>
      <c r="C17" s="17" t="n"/>
      <c r="D17" s="17" t="n"/>
      <c r="E17" s="17" t="n"/>
    </row>
    <row r="18">
      <c r="A18" s="17" t="n"/>
      <c r="B18" s="17" t="n"/>
      <c r="C18" s="17" t="n"/>
      <c r="D18" s="17" t="n"/>
      <c r="E18" s="17" t="n"/>
    </row>
    <row r="19">
      <c r="A19" s="17" t="n"/>
      <c r="B19" s="17" t="n"/>
      <c r="C19" s="17" t="n"/>
      <c r="D19" s="17" t="n"/>
      <c r="E19" s="17" t="n"/>
    </row>
    <row r="20">
      <c r="A20" s="17" t="n"/>
      <c r="B20" s="17" t="n"/>
      <c r="C20" s="17" t="n"/>
      <c r="D20" s="17" t="n"/>
      <c r="E20" s="17" t="n"/>
    </row>
    <row r="21">
      <c r="A21" s="17" t="n"/>
      <c r="B21" s="17" t="n"/>
      <c r="C21" s="17" t="n"/>
      <c r="D21" s="17" t="n"/>
      <c r="E21" s="17" t="n"/>
    </row>
    <row r="22">
      <c r="A22" s="17" t="n"/>
      <c r="B22" s="17" t="n"/>
      <c r="C22" s="17" t="n"/>
      <c r="D22" s="17" t="n"/>
      <c r="E22" s="17" t="n"/>
    </row>
    <row r="23">
      <c r="A23" s="17" t="n"/>
      <c r="B23" s="17" t="n"/>
      <c r="C23" s="17" t="n"/>
      <c r="D23" s="17" t="n"/>
      <c r="E23" s="17" t="n"/>
    </row>
    <row r="24">
      <c r="A24" s="17" t="n"/>
      <c r="B24" s="17" t="n"/>
      <c r="C24" s="17" t="n"/>
      <c r="D24" s="17" t="n"/>
      <c r="E24" s="17" t="n"/>
    </row>
    <row r="25">
      <c r="A25" s="17" t="n"/>
      <c r="B25" s="17" t="n"/>
      <c r="C25" s="17" t="n"/>
      <c r="D25" s="17" t="n"/>
      <c r="E25" s="17" t="n"/>
    </row>
    <row r="26">
      <c r="A26" s="17" t="n"/>
      <c r="B26" s="17" t="n"/>
      <c r="C26" s="17" t="n"/>
      <c r="D26" s="17" t="n"/>
      <c r="E26" s="17" t="n"/>
    </row>
    <row r="27">
      <c r="A27" s="17" t="n"/>
      <c r="B27" s="17" t="n"/>
      <c r="C27" s="17" t="n"/>
      <c r="D27" s="17" t="n"/>
      <c r="E27" s="17" t="n"/>
    </row>
    <row r="28">
      <c r="A28" s="17" t="n"/>
      <c r="B28" s="17" t="n"/>
      <c r="C28" s="17" t="n"/>
      <c r="D28" s="17" t="n"/>
      <c r="E28" s="17" t="n"/>
    </row>
    <row r="29">
      <c r="A29" s="17" t="n"/>
      <c r="B29" s="17" t="n"/>
      <c r="C29" s="17" t="n"/>
      <c r="D29" s="17" t="n"/>
      <c r="E29" s="17" t="n"/>
    </row>
    <row r="30">
      <c r="A30" s="17" t="n"/>
      <c r="B30" s="17" t="n"/>
      <c r="C30" s="17" t="n"/>
      <c r="D30" s="17" t="n"/>
      <c r="E30" s="17" t="n"/>
    </row>
    <row r="31">
      <c r="A31" s="17" t="n"/>
      <c r="B31" s="17" t="n"/>
      <c r="C31" s="17" t="n"/>
      <c r="D31" s="17" t="n"/>
      <c r="E31" s="17" t="n"/>
    </row>
    <row r="32">
      <c r="A32" s="17" t="n"/>
      <c r="B32" s="17" t="n"/>
      <c r="C32" s="17" t="n"/>
      <c r="D32" s="17" t="n"/>
      <c r="E32" s="17" t="n"/>
    </row>
    <row r="33">
      <c r="A33" s="17" t="n"/>
      <c r="B33" s="17" t="n"/>
      <c r="C33" s="17" t="n"/>
      <c r="D33" s="17" t="n"/>
      <c r="E33" s="17" t="n"/>
    </row>
    <row r="34">
      <c r="A34" s="17" t="n"/>
      <c r="B34" s="17" t="n"/>
      <c r="C34" s="17" t="n"/>
      <c r="D34" s="17" t="n"/>
      <c r="E34" s="17" t="n"/>
    </row>
    <row r="35">
      <c r="A35" s="17" t="n"/>
      <c r="B35" s="17" t="n"/>
      <c r="C35" s="17" t="n"/>
      <c r="D35" s="17" t="n"/>
      <c r="E35" s="17" t="n"/>
    </row>
    <row r="36">
      <c r="A36" s="17" t="n"/>
      <c r="B36" s="17" t="n"/>
      <c r="C36" s="17" t="n"/>
      <c r="D36" s="17" t="n"/>
      <c r="E36" s="17" t="n"/>
    </row>
    <row r="37">
      <c r="A37" s="17" t="n"/>
      <c r="B37" s="17" t="n"/>
      <c r="C37" s="17" t="n"/>
      <c r="D37" s="17" t="n"/>
      <c r="E37" s="17" t="n"/>
    </row>
    <row r="38">
      <c r="A38" s="17" t="n"/>
      <c r="B38" s="17" t="n"/>
      <c r="C38" s="17" t="n"/>
      <c r="D38" s="17" t="n"/>
      <c r="E38" s="17" t="n"/>
    </row>
    <row r="39">
      <c r="A39" s="17" t="n"/>
      <c r="B39" s="17" t="n"/>
      <c r="C39" s="17" t="n"/>
      <c r="D39" s="17" t="n"/>
      <c r="E39" s="17" t="n"/>
    </row>
    <row r="40">
      <c r="A40" s="17" t="n"/>
      <c r="B40" s="17" t="n"/>
      <c r="C40" s="17" t="n"/>
      <c r="D40" s="17" t="n"/>
      <c r="E40" s="17" t="n"/>
    </row>
    <row r="41">
      <c r="A41" s="17" t="n"/>
      <c r="B41" s="17" t="n"/>
      <c r="C41" s="17" t="n"/>
      <c r="D41" s="17" t="n"/>
      <c r="E41" s="17" t="n"/>
    </row>
    <row r="42">
      <c r="A42" s="17" t="n"/>
      <c r="B42" s="17" t="n"/>
      <c r="C42" s="17" t="n"/>
      <c r="D42" s="17" t="n"/>
      <c r="E42" s="17" t="n"/>
    </row>
    <row r="43">
      <c r="A43" s="17" t="n"/>
      <c r="B43" s="17" t="n"/>
      <c r="C43" s="17" t="n"/>
      <c r="D43" s="17" t="n"/>
      <c r="E43" s="17" t="n"/>
    </row>
    <row r="44">
      <c r="A44" s="17" t="n"/>
      <c r="B44" s="17" t="n"/>
      <c r="C44" s="17" t="n"/>
      <c r="D44" s="17" t="n"/>
      <c r="E44" s="17" t="n"/>
    </row>
    <row r="45">
      <c r="A45" s="17" t="n"/>
      <c r="B45" s="17" t="n"/>
      <c r="C45" s="17" t="n"/>
      <c r="D45" s="17" t="n"/>
      <c r="E45" s="17" t="n"/>
    </row>
    <row r="46">
      <c r="A46" s="17" t="n"/>
      <c r="B46" s="17" t="n"/>
      <c r="C46" s="17" t="n"/>
      <c r="D46" s="17" t="n"/>
      <c r="E46" s="17" t="n"/>
    </row>
    <row r="47">
      <c r="A47" s="17" t="n"/>
      <c r="B47" s="17" t="n"/>
      <c r="C47" s="17" t="n"/>
      <c r="D47" s="17" t="n"/>
      <c r="E47" s="17" t="n"/>
    </row>
    <row r="48">
      <c r="A48" s="17" t="n"/>
      <c r="B48" s="17" t="n"/>
      <c r="C48" s="17" t="n"/>
      <c r="D48" s="17" t="n"/>
      <c r="E48" s="17" t="n"/>
    </row>
    <row r="49">
      <c r="A49" s="17" t="n"/>
      <c r="B49" s="17" t="n"/>
      <c r="C49" s="17" t="n"/>
      <c r="D49" s="17" t="n"/>
      <c r="E49" s="17" t="n"/>
    </row>
    <row r="50">
      <c r="A50" s="17" t="n"/>
      <c r="B50" s="17" t="n"/>
      <c r="C50" s="17" t="n"/>
      <c r="D50" s="17" t="n"/>
      <c r="E50" s="17" t="n"/>
    </row>
    <row r="51">
      <c r="A51" s="17" t="n"/>
      <c r="B51" s="17" t="n"/>
      <c r="C51" s="17" t="n"/>
      <c r="D51" s="17" t="n"/>
      <c r="E51" s="17" t="n"/>
    </row>
    <row r="52">
      <c r="A52" s="17" t="n"/>
      <c r="B52" s="17" t="n"/>
      <c r="C52" s="17" t="n"/>
      <c r="D52" s="17" t="n"/>
      <c r="E52" s="17" t="n"/>
    </row>
    <row r="53">
      <c r="A53" s="17" t="n"/>
      <c r="B53" s="17" t="n"/>
      <c r="C53" s="17" t="n"/>
      <c r="D53" s="17" t="n"/>
      <c r="E53" s="17" t="n"/>
    </row>
    <row r="54">
      <c r="A54" s="17" t="n"/>
      <c r="B54" s="17" t="n"/>
      <c r="C54" s="17" t="n"/>
      <c r="D54" s="17" t="n"/>
      <c r="E54" s="17" t="n"/>
    </row>
  </sheetData>
  <mergeCells count="2">
    <mergeCell ref="A2:E2"/>
    <mergeCell ref="A1:E1"/>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ht="35" customHeight="1">
      <c r="A1" s="11" t="inlineStr">
        <is>
          <t>TREND ANALYSIS</t>
        </is>
      </c>
    </row>
    <row r="2">
      <c r="A2" s="12" t="inlineStr">
        <is>
          <t>ISO/IEC 27001:2022 - Control A.5.8: Information Security in Project Management — Quarter-over-quarter security compliance trends across the portfolio</t>
        </is>
      </c>
    </row>
    <row r="3">
      <c r="A3" s="32" t="inlineStr">
        <is>
          <t>Quarter</t>
        </is>
      </c>
      <c r="B3" s="32" t="inlineStr">
        <is>
          <t>Total Projects</t>
        </is>
      </c>
      <c r="C3" s="32" t="inlineStr">
        <is>
          <t>Avg Compliance %</t>
        </is>
      </c>
      <c r="D3" s="32" t="inlineStr">
        <is>
          <t>High Risk Avg</t>
        </is>
      </c>
      <c r="E3" s="32" t="inlineStr">
        <is>
          <t>Medium Risk Avg</t>
        </is>
      </c>
      <c r="F3" s="32" t="inlineStr">
        <is>
          <t>Low Risk Avg</t>
        </is>
      </c>
    </row>
    <row r="4">
      <c r="A4" s="35" t="inlineStr">
        <is>
          <t>Q1-2026</t>
        </is>
      </c>
      <c r="B4" s="35" t="n">
        <v>8</v>
      </c>
      <c r="C4" s="36" t="n">
        <v>0.71</v>
      </c>
      <c r="D4" s="36" t="n">
        <v>0.65</v>
      </c>
      <c r="E4" s="36" t="n">
        <v>0.74</v>
      </c>
      <c r="F4" s="36" t="n">
        <v>0.82</v>
      </c>
    </row>
    <row r="5">
      <c r="A5" s="17" t="n"/>
      <c r="B5" s="17" t="n"/>
      <c r="C5" s="18" t="n"/>
      <c r="D5" s="18" t="n"/>
      <c r="E5" s="18" t="n"/>
      <c r="F5" s="18" t="n"/>
    </row>
    <row r="6">
      <c r="A6" s="17" t="n"/>
      <c r="B6" s="17" t="n"/>
      <c r="C6" s="18" t="n"/>
      <c r="D6" s="18" t="n"/>
      <c r="E6" s="18" t="n"/>
      <c r="F6" s="18" t="n"/>
    </row>
    <row r="7">
      <c r="A7" s="17" t="n"/>
      <c r="B7" s="17" t="n"/>
      <c r="C7" s="18" t="n"/>
      <c r="D7" s="18" t="n"/>
      <c r="E7" s="18" t="n"/>
      <c r="F7" s="18" t="n"/>
    </row>
    <row r="8">
      <c r="A8" s="17" t="n"/>
      <c r="B8" s="17" t="n"/>
      <c r="C8" s="18" t="n"/>
      <c r="D8" s="18" t="n"/>
      <c r="E8" s="18" t="n"/>
      <c r="F8" s="18" t="n"/>
    </row>
    <row r="9">
      <c r="A9" s="17" t="n"/>
      <c r="B9" s="17" t="n"/>
      <c r="C9" s="18" t="n"/>
      <c r="D9" s="18" t="n"/>
      <c r="E9" s="18" t="n"/>
      <c r="F9" s="18" t="n"/>
    </row>
    <row r="10">
      <c r="A10" s="17" t="n"/>
      <c r="B10" s="17" t="n"/>
      <c r="C10" s="18" t="n"/>
      <c r="D10" s="18" t="n"/>
      <c r="E10" s="18" t="n"/>
      <c r="F10" s="18" t="n"/>
    </row>
    <row r="11">
      <c r="A11" s="17" t="n"/>
      <c r="B11" s="17" t="n"/>
      <c r="C11" s="18" t="n"/>
      <c r="D11" s="18" t="n"/>
      <c r="E11" s="18" t="n"/>
      <c r="F11" s="18" t="n"/>
    </row>
    <row r="12">
      <c r="A12" s="17" t="n"/>
      <c r="B12" s="17" t="n"/>
      <c r="C12" s="18" t="n"/>
      <c r="D12" s="18" t="n"/>
      <c r="E12" s="18" t="n"/>
      <c r="F12" s="18" t="n"/>
    </row>
    <row r="13">
      <c r="A13" s="17" t="n"/>
      <c r="B13" s="17" t="n"/>
      <c r="C13" s="18" t="n"/>
      <c r="D13" s="18" t="n"/>
      <c r="E13" s="18" t="n"/>
      <c r="F13" s="18" t="n"/>
    </row>
    <row r="14">
      <c r="A14" s="17" t="n"/>
      <c r="B14" s="17" t="n"/>
      <c r="C14" s="18" t="n"/>
      <c r="D14" s="18" t="n"/>
      <c r="E14" s="18" t="n"/>
      <c r="F14" s="18" t="n"/>
    </row>
    <row r="15">
      <c r="A15" s="17" t="n"/>
      <c r="B15" s="17" t="n"/>
      <c r="C15" s="18" t="n"/>
      <c r="D15" s="18" t="n"/>
      <c r="E15" s="18" t="n"/>
      <c r="F15" s="18" t="n"/>
    </row>
    <row r="16">
      <c r="A16" s="17" t="n"/>
      <c r="B16" s="17" t="n"/>
      <c r="C16" s="18" t="n"/>
      <c r="D16" s="18" t="n"/>
      <c r="E16" s="18" t="n"/>
      <c r="F16" s="18" t="n"/>
    </row>
    <row r="17">
      <c r="A17" s="17" t="n"/>
      <c r="B17" s="17" t="n"/>
      <c r="C17" s="18" t="n"/>
      <c r="D17" s="18" t="n"/>
      <c r="E17" s="18" t="n"/>
      <c r="F17" s="18" t="n"/>
    </row>
    <row r="18">
      <c r="A18" s="17" t="n"/>
      <c r="B18" s="17" t="n"/>
      <c r="C18" s="18" t="n"/>
      <c r="D18" s="18" t="n"/>
      <c r="E18" s="18" t="n"/>
      <c r="F18" s="18" t="n"/>
    </row>
    <row r="19">
      <c r="A19" s="17" t="n"/>
      <c r="B19" s="17" t="n"/>
      <c r="C19" s="18" t="n"/>
      <c r="D19" s="18" t="n"/>
      <c r="E19" s="18" t="n"/>
      <c r="F19" s="18" t="n"/>
    </row>
    <row r="20">
      <c r="A20" s="17" t="n"/>
      <c r="B20" s="17" t="n"/>
      <c r="C20" s="18" t="n"/>
      <c r="D20" s="18" t="n"/>
      <c r="E20" s="18" t="n"/>
      <c r="F20" s="18" t="n"/>
    </row>
    <row r="21">
      <c r="A21" s="17" t="n"/>
      <c r="B21" s="17" t="n"/>
      <c r="C21" s="18" t="n"/>
      <c r="D21" s="18" t="n"/>
      <c r="E21" s="18" t="n"/>
      <c r="F21" s="18" t="n"/>
    </row>
    <row r="22">
      <c r="A22" s="17" t="n"/>
      <c r="B22" s="17" t="n"/>
      <c r="C22" s="18" t="n"/>
      <c r="D22" s="18" t="n"/>
      <c r="E22" s="18" t="n"/>
      <c r="F22" s="18" t="n"/>
    </row>
    <row r="23">
      <c r="A23" s="17" t="n"/>
      <c r="B23" s="17" t="n"/>
      <c r="C23" s="18" t="n"/>
      <c r="D23" s="18" t="n"/>
      <c r="E23" s="18" t="n"/>
      <c r="F23" s="18" t="n"/>
    </row>
    <row r="24">
      <c r="A24" s="17" t="n"/>
      <c r="B24" s="17" t="n"/>
      <c r="C24" s="18" t="n"/>
      <c r="D24" s="18" t="n"/>
      <c r="E24" s="18" t="n"/>
      <c r="F24" s="18" t="n"/>
    </row>
    <row r="25">
      <c r="A25" s="17" t="n"/>
      <c r="B25" s="17" t="n"/>
      <c r="C25" s="18" t="n"/>
      <c r="D25" s="18" t="n"/>
      <c r="E25" s="18" t="n"/>
      <c r="F25" s="18" t="n"/>
    </row>
    <row r="26">
      <c r="A26" s="17" t="n"/>
      <c r="B26" s="17" t="n"/>
      <c r="C26" s="18" t="n"/>
      <c r="D26" s="18" t="n"/>
      <c r="E26" s="18" t="n"/>
      <c r="F26" s="18" t="n"/>
    </row>
    <row r="27">
      <c r="A27" s="17" t="n"/>
      <c r="B27" s="17" t="n"/>
      <c r="C27" s="18" t="n"/>
      <c r="D27" s="18" t="n"/>
      <c r="E27" s="18" t="n"/>
      <c r="F27" s="18" t="n"/>
    </row>
    <row r="28">
      <c r="A28" s="17" t="n"/>
      <c r="B28" s="17" t="n"/>
      <c r="C28" s="18" t="n"/>
      <c r="D28" s="18" t="n"/>
      <c r="E28" s="18" t="n"/>
      <c r="F28" s="18" t="n"/>
    </row>
    <row r="29">
      <c r="A29" s="17" t="n"/>
      <c r="B29" s="17" t="n"/>
      <c r="C29" s="18" t="n"/>
      <c r="D29" s="18" t="n"/>
      <c r="E29" s="18" t="n"/>
      <c r="F29" s="18" t="n"/>
    </row>
    <row r="30">
      <c r="A30" s="17" t="n"/>
      <c r="B30" s="17" t="n"/>
      <c r="C30" s="18" t="n"/>
      <c r="D30" s="18" t="n"/>
      <c r="E30" s="18" t="n"/>
      <c r="F30" s="18" t="n"/>
    </row>
    <row r="31">
      <c r="A31" s="17" t="n"/>
      <c r="B31" s="17" t="n"/>
      <c r="C31" s="18" t="n"/>
      <c r="D31" s="18" t="n"/>
      <c r="E31" s="18" t="n"/>
      <c r="F31" s="18" t="n"/>
    </row>
    <row r="32">
      <c r="A32" s="17" t="n"/>
      <c r="B32" s="17" t="n"/>
      <c r="C32" s="18" t="n"/>
      <c r="D32" s="18" t="n"/>
      <c r="E32" s="18" t="n"/>
      <c r="F32" s="18" t="n"/>
    </row>
    <row r="33">
      <c r="A33" s="17" t="n"/>
      <c r="B33" s="17" t="n"/>
      <c r="C33" s="18" t="n"/>
      <c r="D33" s="18" t="n"/>
      <c r="E33" s="18" t="n"/>
      <c r="F33" s="18" t="n"/>
    </row>
    <row r="34">
      <c r="A34" s="17" t="n"/>
      <c r="B34" s="17" t="n"/>
      <c r="C34" s="18" t="n"/>
      <c r="D34" s="18" t="n"/>
      <c r="E34" s="18" t="n"/>
      <c r="F34" s="18" t="n"/>
    </row>
    <row r="35">
      <c r="A35" s="17" t="n"/>
      <c r="B35" s="17" t="n"/>
      <c r="C35" s="18" t="n"/>
      <c r="D35" s="18" t="n"/>
      <c r="E35" s="18" t="n"/>
      <c r="F35" s="18" t="n"/>
    </row>
    <row r="36">
      <c r="A36" s="17" t="n"/>
      <c r="B36" s="17" t="n"/>
      <c r="C36" s="18" t="n"/>
      <c r="D36" s="18" t="n"/>
      <c r="E36" s="18" t="n"/>
      <c r="F36" s="18" t="n"/>
    </row>
    <row r="37">
      <c r="A37" s="17" t="n"/>
      <c r="B37" s="17" t="n"/>
      <c r="C37" s="18" t="n"/>
      <c r="D37" s="18" t="n"/>
      <c r="E37" s="18" t="n"/>
      <c r="F37" s="18" t="n"/>
    </row>
    <row r="38">
      <c r="A38" s="17" t="n"/>
      <c r="B38" s="17" t="n"/>
      <c r="C38" s="18" t="n"/>
      <c r="D38" s="18" t="n"/>
      <c r="E38" s="18" t="n"/>
      <c r="F38" s="18" t="n"/>
    </row>
    <row r="39">
      <c r="A39" s="17" t="n"/>
      <c r="B39" s="17" t="n"/>
      <c r="C39" s="18" t="n"/>
      <c r="D39" s="18" t="n"/>
      <c r="E39" s="18" t="n"/>
      <c r="F39" s="18" t="n"/>
    </row>
    <row r="40">
      <c r="A40" s="17" t="n"/>
      <c r="B40" s="17" t="n"/>
      <c r="C40" s="18" t="n"/>
      <c r="D40" s="18" t="n"/>
      <c r="E40" s="18" t="n"/>
      <c r="F40" s="18" t="n"/>
    </row>
    <row r="41">
      <c r="A41" s="17" t="n"/>
      <c r="B41" s="17" t="n"/>
      <c r="C41" s="18" t="n"/>
      <c r="D41" s="18" t="n"/>
      <c r="E41" s="18" t="n"/>
      <c r="F41" s="18" t="n"/>
    </row>
    <row r="42">
      <c r="A42" s="17" t="n"/>
      <c r="B42" s="17" t="n"/>
      <c r="C42" s="18" t="n"/>
      <c r="D42" s="18" t="n"/>
      <c r="E42" s="18" t="n"/>
      <c r="F42" s="18" t="n"/>
    </row>
    <row r="43">
      <c r="A43" s="17" t="n"/>
      <c r="B43" s="17" t="n"/>
      <c r="C43" s="18" t="n"/>
      <c r="D43" s="18" t="n"/>
      <c r="E43" s="18" t="n"/>
      <c r="F43" s="18" t="n"/>
    </row>
    <row r="44">
      <c r="A44" s="17" t="n"/>
      <c r="B44" s="17" t="n"/>
      <c r="C44" s="18" t="n"/>
      <c r="D44" s="18" t="n"/>
      <c r="E44" s="18" t="n"/>
      <c r="F44" s="18" t="n"/>
    </row>
    <row r="45">
      <c r="A45" s="17" t="n"/>
      <c r="B45" s="17" t="n"/>
      <c r="C45" s="18" t="n"/>
      <c r="D45" s="18" t="n"/>
      <c r="E45" s="18" t="n"/>
      <c r="F45" s="18" t="n"/>
    </row>
    <row r="46">
      <c r="A46" s="17" t="n"/>
      <c r="B46" s="17" t="n"/>
      <c r="C46" s="18" t="n"/>
      <c r="D46" s="18" t="n"/>
      <c r="E46" s="18" t="n"/>
      <c r="F46" s="18" t="n"/>
    </row>
    <row r="47">
      <c r="A47" s="17" t="n"/>
      <c r="B47" s="17" t="n"/>
      <c r="C47" s="18" t="n"/>
      <c r="D47" s="18" t="n"/>
      <c r="E47" s="18" t="n"/>
      <c r="F47" s="18" t="n"/>
    </row>
    <row r="48">
      <c r="A48" s="17" t="n"/>
      <c r="B48" s="17" t="n"/>
      <c r="C48" s="18" t="n"/>
      <c r="D48" s="18" t="n"/>
      <c r="E48" s="18" t="n"/>
      <c r="F48" s="18" t="n"/>
    </row>
    <row r="49">
      <c r="A49" s="17" t="n"/>
      <c r="B49" s="17" t="n"/>
      <c r="C49" s="18" t="n"/>
      <c r="D49" s="18" t="n"/>
      <c r="E49" s="18" t="n"/>
      <c r="F49" s="18" t="n"/>
    </row>
    <row r="50">
      <c r="A50" s="17" t="n"/>
      <c r="B50" s="17" t="n"/>
      <c r="C50" s="18" t="n"/>
      <c r="D50" s="18" t="n"/>
      <c r="E50" s="18" t="n"/>
      <c r="F50" s="18" t="n"/>
    </row>
    <row r="51">
      <c r="A51" s="17" t="n"/>
      <c r="B51" s="17" t="n"/>
      <c r="C51" s="18" t="n"/>
      <c r="D51" s="18" t="n"/>
      <c r="E51" s="18" t="n"/>
      <c r="F51" s="18" t="n"/>
    </row>
    <row r="52">
      <c r="A52" s="17" t="n"/>
      <c r="B52" s="17" t="n"/>
      <c r="C52" s="18" t="n"/>
      <c r="D52" s="18" t="n"/>
      <c r="E52" s="18" t="n"/>
      <c r="F52" s="18" t="n"/>
    </row>
    <row r="53">
      <c r="A53" s="17" t="n"/>
      <c r="B53" s="17" t="n"/>
      <c r="C53" s="18" t="n"/>
      <c r="D53" s="18" t="n"/>
      <c r="E53" s="18" t="n"/>
      <c r="F53" s="18" t="n"/>
    </row>
    <row r="54">
      <c r="A54" s="17" t="n"/>
      <c r="B54" s="17" t="n"/>
      <c r="C54" s="18" t="n"/>
      <c r="D54" s="18" t="n"/>
      <c r="E54" s="18" t="n"/>
      <c r="F54" s="18" t="n"/>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2" customWidth="1" min="3" max="3"/>
    <col width="12" customWidth="1" min="4" max="4"/>
    <col width="12" customWidth="1" min="5" max="5"/>
    <col width="50" customWidth="1" min="6" max="6"/>
  </cols>
  <sheetData>
    <row r="1" ht="35" customHeight="1">
      <c r="A1" s="11" t="inlineStr">
        <is>
          <t>RISK PRIORITISATION MATRIX</t>
        </is>
      </c>
    </row>
    <row r="2">
      <c r="A2" s="12" t="inlineStr">
        <is>
          <t>ISO/IEC 27001:2022 - Control A.5.8: Information Security in Project Management — Priority ranking of projects requiring security remediation action</t>
        </is>
      </c>
    </row>
    <row r="3">
      <c r="A3" s="32" t="inlineStr">
        <is>
          <t>Priority</t>
        </is>
      </c>
      <c r="B3" s="32" t="inlineStr">
        <is>
          <t>Project Name</t>
        </is>
      </c>
      <c r="C3" s="32" t="inlineStr">
        <is>
          <t>Classification</t>
        </is>
      </c>
      <c r="D3" s="32" t="inlineStr">
        <is>
          <t>Compliance %</t>
        </is>
      </c>
      <c r="E3" s="32" t="inlineStr">
        <is>
          <t>Critical Gaps</t>
        </is>
      </c>
      <c r="F3" s="32" t="inlineStr">
        <is>
          <t>Action Required</t>
        </is>
      </c>
    </row>
    <row r="4">
      <c r="A4" s="14" t="inlineStr">
        <is>
          <t>P1</t>
        </is>
      </c>
      <c r="B4" s="14" t="inlineStr">
        <is>
          <t>Customer Portal v2.0</t>
        </is>
      </c>
      <c r="C4" s="14" t="inlineStr">
        <is>
          <t>High</t>
        </is>
      </c>
      <c r="D4" s="15" t="n">
        <v>0.52</v>
      </c>
      <c r="E4" s="14" t="n">
        <v>3</v>
      </c>
      <c r="F4" s="14" t="inlineStr">
        <is>
          <t>Immediate: Schedule security gate review — 3 critical gaps open</t>
        </is>
      </c>
    </row>
    <row r="5">
      <c r="A5" s="17" t="n"/>
      <c r="B5" s="17" t="n"/>
      <c r="C5" s="17" t="n"/>
      <c r="D5" s="18" t="n"/>
      <c r="E5" s="17" t="n"/>
      <c r="F5" s="17" t="n"/>
    </row>
    <row r="6">
      <c r="A6" s="17" t="n"/>
      <c r="B6" s="17" t="n"/>
      <c r="C6" s="17" t="n"/>
      <c r="D6" s="18" t="n"/>
      <c r="E6" s="17" t="n"/>
      <c r="F6" s="17" t="n"/>
    </row>
    <row r="7">
      <c r="A7" s="17" t="n"/>
      <c r="B7" s="17" t="n"/>
      <c r="C7" s="17" t="n"/>
      <c r="D7" s="18" t="n"/>
      <c r="E7" s="17" t="n"/>
      <c r="F7" s="17" t="n"/>
    </row>
    <row r="8">
      <c r="A8" s="17" t="n"/>
      <c r="B8" s="17" t="n"/>
      <c r="C8" s="17" t="n"/>
      <c r="D8" s="18" t="n"/>
      <c r="E8" s="17" t="n"/>
      <c r="F8" s="17" t="n"/>
    </row>
    <row r="9">
      <c r="A9" s="17" t="n"/>
      <c r="B9" s="17" t="n"/>
      <c r="C9" s="17" t="n"/>
      <c r="D9" s="18" t="n"/>
      <c r="E9" s="17" t="n"/>
      <c r="F9" s="17" t="n"/>
    </row>
    <row r="10">
      <c r="A10" s="17" t="n"/>
      <c r="B10" s="17" t="n"/>
      <c r="C10" s="17" t="n"/>
      <c r="D10" s="18" t="n"/>
      <c r="E10" s="17" t="n"/>
      <c r="F10" s="17" t="n"/>
    </row>
    <row r="11">
      <c r="A11" s="17" t="n"/>
      <c r="B11" s="17" t="n"/>
      <c r="C11" s="17" t="n"/>
      <c r="D11" s="18" t="n"/>
      <c r="E11" s="17" t="n"/>
      <c r="F11" s="17" t="n"/>
    </row>
    <row r="12">
      <c r="A12" s="17" t="n"/>
      <c r="B12" s="17" t="n"/>
      <c r="C12" s="17" t="n"/>
      <c r="D12" s="18" t="n"/>
      <c r="E12" s="17" t="n"/>
      <c r="F12" s="17" t="n"/>
    </row>
    <row r="13">
      <c r="A13" s="17" t="n"/>
      <c r="B13" s="17" t="n"/>
      <c r="C13" s="17" t="n"/>
      <c r="D13" s="18" t="n"/>
      <c r="E13" s="17" t="n"/>
      <c r="F13" s="17" t="n"/>
    </row>
    <row r="14">
      <c r="A14" s="17" t="n"/>
      <c r="B14" s="17" t="n"/>
      <c r="C14" s="17" t="n"/>
      <c r="D14" s="18" t="n"/>
      <c r="E14" s="17" t="n"/>
      <c r="F14" s="17" t="n"/>
    </row>
    <row r="15">
      <c r="A15" s="17" t="n"/>
      <c r="B15" s="17" t="n"/>
      <c r="C15" s="17" t="n"/>
      <c r="D15" s="18" t="n"/>
      <c r="E15" s="17" t="n"/>
      <c r="F15" s="17" t="n"/>
    </row>
    <row r="16">
      <c r="A16" s="17" t="n"/>
      <c r="B16" s="17" t="n"/>
      <c r="C16" s="17" t="n"/>
      <c r="D16" s="18" t="n"/>
      <c r="E16" s="17" t="n"/>
      <c r="F16" s="17" t="n"/>
    </row>
    <row r="17">
      <c r="A17" s="17" t="n"/>
      <c r="B17" s="17" t="n"/>
      <c r="C17" s="17" t="n"/>
      <c r="D17" s="18" t="n"/>
      <c r="E17" s="17" t="n"/>
      <c r="F17" s="17" t="n"/>
    </row>
    <row r="18">
      <c r="A18" s="17" t="n"/>
      <c r="B18" s="17" t="n"/>
      <c r="C18" s="17" t="n"/>
      <c r="D18" s="18" t="n"/>
      <c r="E18" s="17" t="n"/>
      <c r="F18" s="17" t="n"/>
    </row>
    <row r="19">
      <c r="A19" s="17" t="n"/>
      <c r="B19" s="17" t="n"/>
      <c r="C19" s="17" t="n"/>
      <c r="D19" s="18" t="n"/>
      <c r="E19" s="17" t="n"/>
      <c r="F19" s="17" t="n"/>
    </row>
    <row r="20">
      <c r="A20" s="17" t="n"/>
      <c r="B20" s="17" t="n"/>
      <c r="C20" s="17" t="n"/>
      <c r="D20" s="18" t="n"/>
      <c r="E20" s="17" t="n"/>
      <c r="F20" s="17" t="n"/>
    </row>
    <row r="21">
      <c r="A21" s="17" t="n"/>
      <c r="B21" s="17" t="n"/>
      <c r="C21" s="17" t="n"/>
      <c r="D21" s="18" t="n"/>
      <c r="E21" s="17" t="n"/>
      <c r="F21" s="17" t="n"/>
    </row>
    <row r="22">
      <c r="A22" s="17" t="n"/>
      <c r="B22" s="17" t="n"/>
      <c r="C22" s="17" t="n"/>
      <c r="D22" s="18" t="n"/>
      <c r="E22" s="17" t="n"/>
      <c r="F22" s="17" t="n"/>
    </row>
    <row r="23">
      <c r="A23" s="17" t="n"/>
      <c r="B23" s="17" t="n"/>
      <c r="C23" s="17" t="n"/>
      <c r="D23" s="18" t="n"/>
      <c r="E23" s="17" t="n"/>
      <c r="F23" s="17" t="n"/>
    </row>
    <row r="24">
      <c r="A24" s="17" t="n"/>
      <c r="B24" s="17" t="n"/>
      <c r="C24" s="17" t="n"/>
      <c r="D24" s="18" t="n"/>
      <c r="E24" s="17" t="n"/>
      <c r="F24" s="17" t="n"/>
    </row>
    <row r="25">
      <c r="A25" s="17" t="n"/>
      <c r="B25" s="17" t="n"/>
      <c r="C25" s="17" t="n"/>
      <c r="D25" s="18" t="n"/>
      <c r="E25" s="17" t="n"/>
      <c r="F25" s="17" t="n"/>
    </row>
    <row r="26">
      <c r="A26" s="17" t="n"/>
      <c r="B26" s="17" t="n"/>
      <c r="C26" s="17" t="n"/>
      <c r="D26" s="18" t="n"/>
      <c r="E26" s="17" t="n"/>
      <c r="F26" s="17" t="n"/>
    </row>
    <row r="27">
      <c r="A27" s="17" t="n"/>
      <c r="B27" s="17" t="n"/>
      <c r="C27" s="17" t="n"/>
      <c r="D27" s="18" t="n"/>
      <c r="E27" s="17" t="n"/>
      <c r="F27" s="17" t="n"/>
    </row>
    <row r="28">
      <c r="A28" s="17" t="n"/>
      <c r="B28" s="17" t="n"/>
      <c r="C28" s="17" t="n"/>
      <c r="D28" s="18" t="n"/>
      <c r="E28" s="17" t="n"/>
      <c r="F28" s="17" t="n"/>
    </row>
    <row r="29">
      <c r="A29" s="17" t="n"/>
      <c r="B29" s="17" t="n"/>
      <c r="C29" s="17" t="n"/>
      <c r="D29" s="18" t="n"/>
      <c r="E29" s="17" t="n"/>
      <c r="F29" s="17" t="n"/>
    </row>
    <row r="30">
      <c r="A30" s="17" t="n"/>
      <c r="B30" s="17" t="n"/>
      <c r="C30" s="17" t="n"/>
      <c r="D30" s="18" t="n"/>
      <c r="E30" s="17" t="n"/>
      <c r="F30" s="17" t="n"/>
    </row>
    <row r="31">
      <c r="A31" s="17" t="n"/>
      <c r="B31" s="17" t="n"/>
      <c r="C31" s="17" t="n"/>
      <c r="D31" s="18" t="n"/>
      <c r="E31" s="17" t="n"/>
      <c r="F31" s="17" t="n"/>
    </row>
    <row r="32">
      <c r="A32" s="17" t="n"/>
      <c r="B32" s="17" t="n"/>
      <c r="C32" s="17" t="n"/>
      <c r="D32" s="18" t="n"/>
      <c r="E32" s="17" t="n"/>
      <c r="F32" s="17" t="n"/>
    </row>
    <row r="33">
      <c r="A33" s="17" t="n"/>
      <c r="B33" s="17" t="n"/>
      <c r="C33" s="17" t="n"/>
      <c r="D33" s="18" t="n"/>
      <c r="E33" s="17" t="n"/>
      <c r="F33" s="17" t="n"/>
    </row>
    <row r="34">
      <c r="A34" s="17" t="n"/>
      <c r="B34" s="17" t="n"/>
      <c r="C34" s="17" t="n"/>
      <c r="D34" s="18" t="n"/>
      <c r="E34" s="17" t="n"/>
      <c r="F34" s="17" t="n"/>
    </row>
    <row r="35">
      <c r="A35" s="17" t="n"/>
      <c r="B35" s="17" t="n"/>
      <c r="C35" s="17" t="n"/>
      <c r="D35" s="18" t="n"/>
      <c r="E35" s="17" t="n"/>
      <c r="F35" s="17" t="n"/>
    </row>
    <row r="36">
      <c r="A36" s="17" t="n"/>
      <c r="B36" s="17" t="n"/>
      <c r="C36" s="17" t="n"/>
      <c r="D36" s="18" t="n"/>
      <c r="E36" s="17" t="n"/>
      <c r="F36" s="17" t="n"/>
    </row>
    <row r="37">
      <c r="A37" s="17" t="n"/>
      <c r="B37" s="17" t="n"/>
      <c r="C37" s="17" t="n"/>
      <c r="D37" s="18" t="n"/>
      <c r="E37" s="17" t="n"/>
      <c r="F37" s="17" t="n"/>
    </row>
    <row r="38">
      <c r="A38" s="17" t="n"/>
      <c r="B38" s="17" t="n"/>
      <c r="C38" s="17" t="n"/>
      <c r="D38" s="18" t="n"/>
      <c r="E38" s="17" t="n"/>
      <c r="F38" s="17" t="n"/>
    </row>
    <row r="39">
      <c r="A39" s="17" t="n"/>
      <c r="B39" s="17" t="n"/>
      <c r="C39" s="17" t="n"/>
      <c r="D39" s="18" t="n"/>
      <c r="E39" s="17" t="n"/>
      <c r="F39" s="17" t="n"/>
    </row>
    <row r="40">
      <c r="A40" s="17" t="n"/>
      <c r="B40" s="17" t="n"/>
      <c r="C40" s="17" t="n"/>
      <c r="D40" s="18" t="n"/>
      <c r="E40" s="17" t="n"/>
      <c r="F40" s="17" t="n"/>
    </row>
    <row r="41">
      <c r="A41" s="17" t="n"/>
      <c r="B41" s="17" t="n"/>
      <c r="C41" s="17" t="n"/>
      <c r="D41" s="18" t="n"/>
      <c r="E41" s="17" t="n"/>
      <c r="F41" s="17" t="n"/>
    </row>
    <row r="42">
      <c r="A42" s="17" t="n"/>
      <c r="B42" s="17" t="n"/>
      <c r="C42" s="17" t="n"/>
      <c r="D42" s="18" t="n"/>
      <c r="E42" s="17" t="n"/>
      <c r="F42" s="17" t="n"/>
    </row>
    <row r="43">
      <c r="A43" s="17" t="n"/>
      <c r="B43" s="17" t="n"/>
      <c r="C43" s="17" t="n"/>
      <c r="D43" s="18" t="n"/>
      <c r="E43" s="17" t="n"/>
      <c r="F43" s="17" t="n"/>
    </row>
    <row r="44">
      <c r="A44" s="17" t="n"/>
      <c r="B44" s="17" t="n"/>
      <c r="C44" s="17" t="n"/>
      <c r="D44" s="18" t="n"/>
      <c r="E44" s="17" t="n"/>
      <c r="F44" s="17" t="n"/>
    </row>
    <row r="45">
      <c r="A45" s="17" t="n"/>
      <c r="B45" s="17" t="n"/>
      <c r="C45" s="17" t="n"/>
      <c r="D45" s="18" t="n"/>
      <c r="E45" s="17" t="n"/>
      <c r="F45" s="17" t="n"/>
    </row>
    <row r="46">
      <c r="A46" s="17" t="n"/>
      <c r="B46" s="17" t="n"/>
      <c r="C46" s="17" t="n"/>
      <c r="D46" s="18" t="n"/>
      <c r="E46" s="17" t="n"/>
      <c r="F46" s="17" t="n"/>
    </row>
    <row r="47">
      <c r="A47" s="17" t="n"/>
      <c r="B47" s="17" t="n"/>
      <c r="C47" s="17" t="n"/>
      <c r="D47" s="18" t="n"/>
      <c r="E47" s="17" t="n"/>
      <c r="F47" s="17" t="n"/>
    </row>
    <row r="48">
      <c r="A48" s="17" t="n"/>
      <c r="B48" s="17" t="n"/>
      <c r="C48" s="17" t="n"/>
      <c r="D48" s="18" t="n"/>
      <c r="E48" s="17" t="n"/>
      <c r="F48" s="17" t="n"/>
    </row>
    <row r="49">
      <c r="A49" s="17" t="n"/>
      <c r="B49" s="17" t="n"/>
      <c r="C49" s="17" t="n"/>
      <c r="D49" s="18" t="n"/>
      <c r="E49" s="17" t="n"/>
      <c r="F49" s="17" t="n"/>
    </row>
    <row r="50">
      <c r="A50" s="17" t="n"/>
      <c r="B50" s="17" t="n"/>
      <c r="C50" s="17" t="n"/>
      <c r="D50" s="18" t="n"/>
      <c r="E50" s="17" t="n"/>
      <c r="F50" s="17" t="n"/>
    </row>
    <row r="51">
      <c r="A51" s="17" t="n"/>
      <c r="B51" s="17" t="n"/>
      <c r="C51" s="17" t="n"/>
      <c r="D51" s="18" t="n"/>
      <c r="E51" s="17" t="n"/>
      <c r="F51" s="17" t="n"/>
    </row>
    <row r="52">
      <c r="A52" s="17" t="n"/>
      <c r="B52" s="17" t="n"/>
      <c r="C52" s="17" t="n"/>
      <c r="D52" s="18" t="n"/>
      <c r="E52" s="17" t="n"/>
      <c r="F52" s="17" t="n"/>
    </row>
    <row r="53">
      <c r="A53" s="17" t="n"/>
      <c r="B53" s="17" t="n"/>
      <c r="C53" s="17" t="n"/>
      <c r="D53" s="18" t="n"/>
      <c r="E53" s="17" t="n"/>
      <c r="F53" s="17" t="n"/>
    </row>
    <row r="54">
      <c r="A54" s="17" t="n"/>
      <c r="B54" s="17" t="n"/>
      <c r="C54" s="17" t="n"/>
      <c r="D54" s="18" t="n"/>
      <c r="E54" s="17" t="n"/>
      <c r="F54" s="17" t="n"/>
    </row>
  </sheetData>
  <mergeCells count="2">
    <mergeCell ref="A2:F2"/>
    <mergeCell ref="A1:F1"/>
  </mergeCells>
  <dataValidations count="1">
    <dataValidation sqref="A4 A5 A6 A7 A8 A9 A10 A11 A12 A13 A14 A15 A16 A17 A18 A19 A20 A21 A22 A23 A24 A25 A26 A27 A28 A29 A30 A31 A32 A33 A34 A35 A36 A37 A38 A39 A40 A41 A42 A43 A44 A45 A46 A47 A48 A49 A50 A51 A52 A53 A54" showDropDown="0" showInputMessage="0" showErrorMessage="0" allowBlank="0" type="list">
      <formula1>"P1,P2,P3,P4"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4"/>
  <sheetViews>
    <sheetView showGridLines="0" workbookViewId="0">
      <pane ySplit="3" topLeftCell="A4" activePane="bottomLeft" state="frozen"/>
      <selection pane="bottomLeft" activeCell="A1" sqref="A1"/>
    </sheetView>
  </sheetViews>
  <sheetFormatPr baseColWidth="8" defaultRowHeight="15"/>
  <cols>
    <col width="25" customWidth="1" min="1" max="1"/>
    <col width="50" customWidth="1" min="2" max="2"/>
    <col width="20" customWidth="1" min="3" max="3"/>
    <col width="50" customWidth="1" min="4" max="4"/>
  </cols>
  <sheetData>
    <row r="1" ht="35" customHeight="1">
      <c r="A1" s="11" t="inlineStr">
        <is>
          <t>LESSONS LEARNED SYNTHESIS</t>
        </is>
      </c>
    </row>
    <row r="2">
      <c r="A2" s="12" t="inlineStr">
        <is>
          <t>ISO/IEC 27001:2022 - Control A.5.8: Information Security in Project Management — Cross-project insights and recommendations for future projects</t>
        </is>
      </c>
    </row>
    <row r="3">
      <c r="A3" s="32" t="inlineStr">
        <is>
          <t>Project</t>
        </is>
      </c>
      <c r="B3" s="32" t="inlineStr">
        <is>
          <t>Lesson Learned</t>
        </is>
      </c>
      <c r="C3" s="32" t="inlineStr">
        <is>
          <t>Category</t>
        </is>
      </c>
      <c r="D3" s="32" t="inlineStr">
        <is>
          <t>Recommendation</t>
        </is>
      </c>
    </row>
    <row r="4">
      <c r="A4" s="14" t="inlineStr">
        <is>
          <t>Customer Portal v2.0</t>
        </is>
      </c>
      <c r="B4" s="14" t="inlineStr">
        <is>
          <t>Security requirements defined late — caused 3-week delay during execution phase</t>
        </is>
      </c>
      <c r="C4" s="14" t="inlineStr">
        <is>
          <t>Requirements Definition</t>
        </is>
      </c>
      <c r="D4" s="14" t="inlineStr">
        <is>
          <t>Mandate security gate at project initiation: complete requirements register before planning phase begins</t>
        </is>
      </c>
    </row>
    <row r="5">
      <c r="A5" s="17" t="n"/>
      <c r="B5" s="17" t="n"/>
      <c r="C5" s="17" t="n"/>
      <c r="D5" s="17" t="n"/>
    </row>
    <row r="6">
      <c r="A6" s="17" t="n"/>
      <c r="B6" s="17" t="n"/>
      <c r="C6" s="17" t="n"/>
      <c r="D6" s="17" t="n"/>
    </row>
    <row r="7">
      <c r="A7" s="17" t="n"/>
      <c r="B7" s="17" t="n"/>
      <c r="C7" s="17" t="n"/>
      <c r="D7" s="17" t="n"/>
    </row>
    <row r="8">
      <c r="A8" s="17" t="n"/>
      <c r="B8" s="17" t="n"/>
      <c r="C8" s="17" t="n"/>
      <c r="D8" s="17" t="n"/>
    </row>
    <row r="9">
      <c r="A9" s="17" t="n"/>
      <c r="B9" s="17" t="n"/>
      <c r="C9" s="17" t="n"/>
      <c r="D9" s="17" t="n"/>
    </row>
    <row r="10">
      <c r="A10" s="17" t="n"/>
      <c r="B10" s="17" t="n"/>
      <c r="C10" s="17" t="n"/>
      <c r="D10" s="17" t="n"/>
    </row>
    <row r="11">
      <c r="A11" s="17" t="n"/>
      <c r="B11" s="17" t="n"/>
      <c r="C11" s="17" t="n"/>
      <c r="D11" s="17" t="n"/>
    </row>
    <row r="12">
      <c r="A12" s="17" t="n"/>
      <c r="B12" s="17" t="n"/>
      <c r="C12" s="17" t="n"/>
      <c r="D12" s="17" t="n"/>
    </row>
    <row r="13">
      <c r="A13" s="17" t="n"/>
      <c r="B13" s="17" t="n"/>
      <c r="C13" s="17" t="n"/>
      <c r="D13" s="17" t="n"/>
    </row>
    <row r="14">
      <c r="A14" s="17" t="n"/>
      <c r="B14" s="17" t="n"/>
      <c r="C14" s="17" t="n"/>
      <c r="D14" s="17" t="n"/>
    </row>
    <row r="15">
      <c r="A15" s="17" t="n"/>
      <c r="B15" s="17" t="n"/>
      <c r="C15" s="17" t="n"/>
      <c r="D15" s="17" t="n"/>
    </row>
    <row r="16">
      <c r="A16" s="17" t="n"/>
      <c r="B16" s="17" t="n"/>
      <c r="C16" s="17" t="n"/>
      <c r="D16" s="17" t="n"/>
    </row>
    <row r="17">
      <c r="A17" s="17" t="n"/>
      <c r="B17" s="17" t="n"/>
      <c r="C17" s="17" t="n"/>
      <c r="D17" s="17" t="n"/>
    </row>
    <row r="18">
      <c r="A18" s="17" t="n"/>
      <c r="B18" s="17" t="n"/>
      <c r="C18" s="17" t="n"/>
      <c r="D18" s="17" t="n"/>
    </row>
    <row r="19">
      <c r="A19" s="17" t="n"/>
      <c r="B19" s="17" t="n"/>
      <c r="C19" s="17" t="n"/>
      <c r="D19" s="17" t="n"/>
    </row>
    <row r="20">
      <c r="A20" s="17" t="n"/>
      <c r="B20" s="17" t="n"/>
      <c r="C20" s="17" t="n"/>
      <c r="D20" s="17" t="n"/>
    </row>
    <row r="21">
      <c r="A21" s="17" t="n"/>
      <c r="B21" s="17" t="n"/>
      <c r="C21" s="17" t="n"/>
      <c r="D21" s="17" t="n"/>
    </row>
    <row r="22">
      <c r="A22" s="17" t="n"/>
      <c r="B22" s="17" t="n"/>
      <c r="C22" s="17" t="n"/>
      <c r="D22" s="17" t="n"/>
    </row>
    <row r="23">
      <c r="A23" s="17" t="n"/>
      <c r="B23" s="17" t="n"/>
      <c r="C23" s="17" t="n"/>
      <c r="D23" s="17" t="n"/>
    </row>
    <row r="24">
      <c r="A24" s="17" t="n"/>
      <c r="B24" s="17" t="n"/>
      <c r="C24" s="17" t="n"/>
      <c r="D24" s="17" t="n"/>
    </row>
    <row r="25">
      <c r="A25" s="17" t="n"/>
      <c r="B25" s="17" t="n"/>
      <c r="C25" s="17" t="n"/>
      <c r="D25" s="17" t="n"/>
    </row>
    <row r="26">
      <c r="A26" s="17" t="n"/>
      <c r="B26" s="17" t="n"/>
      <c r="C26" s="17" t="n"/>
      <c r="D26" s="17" t="n"/>
    </row>
    <row r="27">
      <c r="A27" s="17" t="n"/>
      <c r="B27" s="17" t="n"/>
      <c r="C27" s="17" t="n"/>
      <c r="D27" s="17" t="n"/>
    </row>
    <row r="28">
      <c r="A28" s="17" t="n"/>
      <c r="B28" s="17" t="n"/>
      <c r="C28" s="17" t="n"/>
      <c r="D28" s="17" t="n"/>
    </row>
    <row r="29">
      <c r="A29" s="17" t="n"/>
      <c r="B29" s="17" t="n"/>
      <c r="C29" s="17" t="n"/>
      <c r="D29" s="17" t="n"/>
    </row>
    <row r="30">
      <c r="A30" s="17" t="n"/>
      <c r="B30" s="17" t="n"/>
      <c r="C30" s="17" t="n"/>
      <c r="D30" s="17" t="n"/>
    </row>
    <row r="31">
      <c r="A31" s="17" t="n"/>
      <c r="B31" s="17" t="n"/>
      <c r="C31" s="17" t="n"/>
      <c r="D31" s="17" t="n"/>
    </row>
    <row r="32">
      <c r="A32" s="17" t="n"/>
      <c r="B32" s="17" t="n"/>
      <c r="C32" s="17" t="n"/>
      <c r="D32" s="17" t="n"/>
    </row>
    <row r="33">
      <c r="A33" s="17" t="n"/>
      <c r="B33" s="17" t="n"/>
      <c r="C33" s="17" t="n"/>
      <c r="D33" s="17" t="n"/>
    </row>
    <row r="34">
      <c r="A34" s="17" t="n"/>
      <c r="B34" s="17" t="n"/>
      <c r="C34" s="17" t="n"/>
      <c r="D34" s="17" t="n"/>
    </row>
    <row r="35">
      <c r="A35" s="17" t="n"/>
      <c r="B35" s="17" t="n"/>
      <c r="C35" s="17" t="n"/>
      <c r="D35" s="17" t="n"/>
    </row>
    <row r="36">
      <c r="A36" s="17" t="n"/>
      <c r="B36" s="17" t="n"/>
      <c r="C36" s="17" t="n"/>
      <c r="D36" s="17" t="n"/>
    </row>
    <row r="37">
      <c r="A37" s="17" t="n"/>
      <c r="B37" s="17" t="n"/>
      <c r="C37" s="17" t="n"/>
      <c r="D37" s="17" t="n"/>
    </row>
    <row r="38">
      <c r="A38" s="17" t="n"/>
      <c r="B38" s="17" t="n"/>
      <c r="C38" s="17" t="n"/>
      <c r="D38" s="17" t="n"/>
    </row>
    <row r="39">
      <c r="A39" s="17" t="n"/>
      <c r="B39" s="17" t="n"/>
      <c r="C39" s="17" t="n"/>
      <c r="D39" s="17" t="n"/>
    </row>
    <row r="40">
      <c r="A40" s="17" t="n"/>
      <c r="B40" s="17" t="n"/>
      <c r="C40" s="17" t="n"/>
      <c r="D40" s="17" t="n"/>
    </row>
    <row r="41">
      <c r="A41" s="17" t="n"/>
      <c r="B41" s="17" t="n"/>
      <c r="C41" s="17" t="n"/>
      <c r="D41" s="17" t="n"/>
    </row>
    <row r="42">
      <c r="A42" s="17" t="n"/>
      <c r="B42" s="17" t="n"/>
      <c r="C42" s="17" t="n"/>
      <c r="D42" s="17" t="n"/>
    </row>
    <row r="43">
      <c r="A43" s="17" t="n"/>
      <c r="B43" s="17" t="n"/>
      <c r="C43" s="17" t="n"/>
      <c r="D43" s="17" t="n"/>
    </row>
    <row r="44">
      <c r="A44" s="17" t="n"/>
      <c r="B44" s="17" t="n"/>
      <c r="C44" s="17" t="n"/>
      <c r="D44" s="17" t="n"/>
    </row>
    <row r="45">
      <c r="A45" s="17" t="n"/>
      <c r="B45" s="17" t="n"/>
      <c r="C45" s="17" t="n"/>
      <c r="D45" s="17" t="n"/>
    </row>
    <row r="46">
      <c r="A46" s="17" t="n"/>
      <c r="B46" s="17" t="n"/>
      <c r="C46" s="17" t="n"/>
      <c r="D46" s="17" t="n"/>
    </row>
    <row r="47">
      <c r="A47" s="17" t="n"/>
      <c r="B47" s="17" t="n"/>
      <c r="C47" s="17" t="n"/>
      <c r="D47" s="17" t="n"/>
    </row>
    <row r="48">
      <c r="A48" s="17" t="n"/>
      <c r="B48" s="17" t="n"/>
      <c r="C48" s="17" t="n"/>
      <c r="D48" s="17" t="n"/>
    </row>
    <row r="49">
      <c r="A49" s="17" t="n"/>
      <c r="B49" s="17" t="n"/>
      <c r="C49" s="17" t="n"/>
      <c r="D49" s="17" t="n"/>
    </row>
    <row r="50">
      <c r="A50" s="17" t="n"/>
      <c r="B50" s="17" t="n"/>
      <c r="C50" s="17" t="n"/>
      <c r="D50" s="17" t="n"/>
    </row>
    <row r="51">
      <c r="A51" s="17" t="n"/>
      <c r="B51" s="17" t="n"/>
      <c r="C51" s="17" t="n"/>
      <c r="D51" s="17" t="n"/>
    </row>
    <row r="52">
      <c r="A52" s="17" t="n"/>
      <c r="B52" s="17" t="n"/>
      <c r="C52" s="17" t="n"/>
      <c r="D52" s="17" t="n"/>
    </row>
    <row r="53">
      <c r="A53" s="17" t="n"/>
      <c r="B53" s="17" t="n"/>
      <c r="C53" s="17" t="n"/>
      <c r="D53" s="17" t="n"/>
    </row>
    <row r="54">
      <c r="A54" s="17" t="n"/>
      <c r="B54" s="17" t="n"/>
      <c r="C54" s="17" t="n"/>
      <c r="D54" s="17" t="n"/>
    </row>
  </sheetData>
  <mergeCells count="2">
    <mergeCell ref="A1:D1"/>
    <mergeCell ref="A2:D2"/>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"Security Testing,Vendor Management,Requirements Definition,Implementation,Training,Process"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showGridLines="0" workbookViewId="0">
      <pane ySplit="3" topLeftCell="A4" activePane="bottomLeft" state="frozen"/>
      <selection pane="bottomLeft" activeCell="A1" sqref="A1"/>
    </sheetView>
  </sheetViews>
  <sheetFormatPr baseColWidth="8" defaultRowHeight="15"/>
  <cols>
    <col width="25" customWidth="1" min="1" max="1"/>
    <col width="30" customWidth="1" min="2" max="2"/>
    <col width="15" customWidth="1" min="3" max="3"/>
    <col width="40" customWidth="1" min="4" max="4"/>
    <col width="15" customWidth="1" min="5" max="5"/>
  </cols>
  <sheetData>
    <row r="1" ht="35" customHeight="1">
      <c r="A1" s="11" t="inlineStr">
        <is>
          <t>REGULATORY COMPLIANCE VIEW</t>
        </is>
      </c>
    </row>
    <row r="2">
      <c r="A2" s="12" t="inlineStr">
        <is>
          <t>ISO/IEC 27001:2022 - Control A.5.8: Information Security in Project Management — Compliance status by regulation across the portfolio</t>
        </is>
      </c>
    </row>
    <row r="3">
      <c r="A3" s="32" t="inlineStr">
        <is>
          <t>Regulation</t>
        </is>
      </c>
      <c r="B3" s="32" t="inlineStr">
        <is>
          <t>Applicable Projects</t>
        </is>
      </c>
      <c r="C3" s="32" t="inlineStr">
        <is>
          <t>Compliance Rate</t>
        </is>
      </c>
      <c r="D3" s="32" t="inlineStr">
        <is>
          <t>Gaps</t>
        </is>
      </c>
      <c r="E3" s="32" t="inlineStr">
        <is>
          <t>Status</t>
        </is>
      </c>
    </row>
    <row r="4">
      <c r="A4" s="6" t="inlineStr">
        <is>
          <t>GDPR</t>
        </is>
      </c>
      <c r="B4" s="17" t="n"/>
      <c r="C4" s="18" t="n"/>
      <c r="D4" s="17" t="n"/>
      <c r="E4" s="17" t="n"/>
    </row>
    <row r="5">
      <c r="A5" s="6" t="inlineStr">
        <is>
          <t>nDSG (Swiss DPA)</t>
        </is>
      </c>
      <c r="B5" s="17" t="n"/>
      <c r="C5" s="18" t="n"/>
      <c r="D5" s="17" t="n"/>
      <c r="E5" s="17" t="n"/>
    </row>
    <row r="6">
      <c r="A6" s="6" t="inlineStr">
        <is>
          <t>PCI DSS v4.0.1</t>
        </is>
      </c>
      <c r="B6" s="17" t="n"/>
      <c r="C6" s="18" t="n"/>
      <c r="D6" s="17" t="n"/>
      <c r="E6" s="17" t="n"/>
    </row>
    <row r="7">
      <c r="A7" s="6" t="inlineStr">
        <is>
          <t>HIPAA</t>
        </is>
      </c>
      <c r="B7" s="17" t="n"/>
      <c r="C7" s="18" t="n"/>
      <c r="D7" s="17" t="n"/>
      <c r="E7" s="17" t="n"/>
    </row>
    <row r="8">
      <c r="A8" s="6" t="inlineStr">
        <is>
          <t>ISO 27001</t>
        </is>
      </c>
      <c r="B8" s="17" t="n"/>
      <c r="C8" s="18" t="n"/>
      <c r="D8" s="17" t="n"/>
      <c r="E8" s="17" t="n"/>
    </row>
    <row r="9">
      <c r="A9" s="6" t="inlineStr">
        <is>
          <t>SOC 2</t>
        </is>
      </c>
      <c r="B9" s="17" t="n"/>
      <c r="C9" s="18" t="n"/>
      <c r="D9" s="17" t="n"/>
      <c r="E9" s="17" t="n"/>
    </row>
  </sheetData>
  <mergeCells count="2">
    <mergeCell ref="A2:E2"/>
    <mergeCell ref="A1:E1"/>
  </mergeCells>
  <dataValidations count="1">
    <dataValidation sqref="E4 E5 E6 E7 E8 E9" showDropDown="0" showInputMessage="0" showErrorMessage="0" allowBlank="0" type="list">
      <formula1>"Compliant,Partial,Non-Compliant"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15" customWidth="1" min="4" max="4"/>
    <col width="15" customWidth="1" min="5" max="5"/>
  </cols>
  <sheetData>
    <row r="1" ht="35" customHeight="1">
      <c r="A1" s="11" t="inlineStr">
        <is>
          <t>RESOURCES &amp; BUDGET ANALYSIS</t>
        </is>
      </c>
    </row>
    <row r="2">
      <c r="A2" s="12" t="inlineStr">
        <is>
          <t>ISO/IEC 27001:2022 - Control A.5.8: Information Security in Project Management — Security budget allocation and resource utilisation per project</t>
        </is>
      </c>
    </row>
    <row r="3">
      <c r="A3" s="32" t="inlineStr">
        <is>
          <t>Project</t>
        </is>
      </c>
      <c r="B3" s="32" t="inlineStr">
        <is>
          <t>Security Budget (CHF)</t>
        </is>
      </c>
      <c r="C3" s="32" t="inlineStr">
        <is>
          <t>Actual Spend (CHF)</t>
        </is>
      </c>
      <c r="D3" s="32" t="inlineStr">
        <is>
          <t>% of Total Budget</t>
        </is>
      </c>
      <c r="E3" s="32" t="inlineStr">
        <is>
          <t>Resource FTE</t>
        </is>
      </c>
    </row>
    <row r="4">
      <c r="A4" s="35" t="inlineStr">
        <is>
          <t>Customer Portal v2.0</t>
        </is>
      </c>
      <c r="B4" s="37" t="n">
        <v>45000</v>
      </c>
      <c r="C4" s="37" t="n">
        <v>32500</v>
      </c>
      <c r="D4" s="36" t="n">
        <v>0.08</v>
      </c>
      <c r="E4" s="38" t="n">
        <v>1.5</v>
      </c>
    </row>
    <row r="5">
      <c r="A5" s="17" t="n"/>
      <c r="B5" s="39" t="n"/>
      <c r="C5" s="39" t="n"/>
      <c r="D5" s="18" t="n"/>
      <c r="E5" s="40" t="n"/>
    </row>
    <row r="6">
      <c r="A6" s="17" t="n"/>
      <c r="B6" s="39" t="n"/>
      <c r="C6" s="39" t="n"/>
      <c r="D6" s="18" t="n"/>
      <c r="E6" s="40" t="n"/>
    </row>
    <row r="7">
      <c r="A7" s="17" t="n"/>
      <c r="B7" s="39" t="n"/>
      <c r="C7" s="39" t="n"/>
      <c r="D7" s="18" t="n"/>
      <c r="E7" s="40" t="n"/>
    </row>
    <row r="8">
      <c r="A8" s="17" t="n"/>
      <c r="B8" s="39" t="n"/>
      <c r="C8" s="39" t="n"/>
      <c r="D8" s="18" t="n"/>
      <c r="E8" s="40" t="n"/>
    </row>
    <row r="9">
      <c r="A9" s="17" t="n"/>
      <c r="B9" s="39" t="n"/>
      <c r="C9" s="39" t="n"/>
      <c r="D9" s="18" t="n"/>
      <c r="E9" s="40" t="n"/>
    </row>
    <row r="10">
      <c r="A10" s="17" t="n"/>
      <c r="B10" s="39" t="n"/>
      <c r="C10" s="39" t="n"/>
      <c r="D10" s="18" t="n"/>
      <c r="E10" s="40" t="n"/>
    </row>
    <row r="11">
      <c r="A11" s="17" t="n"/>
      <c r="B11" s="39" t="n"/>
      <c r="C11" s="39" t="n"/>
      <c r="D11" s="18" t="n"/>
      <c r="E11" s="40" t="n"/>
    </row>
    <row r="12">
      <c r="A12" s="17" t="n"/>
      <c r="B12" s="39" t="n"/>
      <c r="C12" s="39" t="n"/>
      <c r="D12" s="18" t="n"/>
      <c r="E12" s="40" t="n"/>
    </row>
    <row r="13">
      <c r="A13" s="17" t="n"/>
      <c r="B13" s="39" t="n"/>
      <c r="C13" s="39" t="n"/>
      <c r="D13" s="18" t="n"/>
      <c r="E13" s="40" t="n"/>
    </row>
    <row r="14">
      <c r="A14" s="17" t="n"/>
      <c r="B14" s="39" t="n"/>
      <c r="C14" s="39" t="n"/>
      <c r="D14" s="18" t="n"/>
      <c r="E14" s="40" t="n"/>
    </row>
    <row r="15">
      <c r="A15" s="17" t="n"/>
      <c r="B15" s="39" t="n"/>
      <c r="C15" s="39" t="n"/>
      <c r="D15" s="18" t="n"/>
      <c r="E15" s="40" t="n"/>
    </row>
    <row r="16">
      <c r="A16" s="17" t="n"/>
      <c r="B16" s="39" t="n"/>
      <c r="C16" s="39" t="n"/>
      <c r="D16" s="18" t="n"/>
      <c r="E16" s="40" t="n"/>
    </row>
    <row r="17">
      <c r="A17" s="17" t="n"/>
      <c r="B17" s="39" t="n"/>
      <c r="C17" s="39" t="n"/>
      <c r="D17" s="18" t="n"/>
      <c r="E17" s="40" t="n"/>
    </row>
    <row r="18">
      <c r="A18" s="17" t="n"/>
      <c r="B18" s="39" t="n"/>
      <c r="C18" s="39" t="n"/>
      <c r="D18" s="18" t="n"/>
      <c r="E18" s="40" t="n"/>
    </row>
    <row r="19">
      <c r="A19" s="17" t="n"/>
      <c r="B19" s="39" t="n"/>
      <c r="C19" s="39" t="n"/>
      <c r="D19" s="18" t="n"/>
      <c r="E19" s="40" t="n"/>
    </row>
    <row r="20">
      <c r="A20" s="17" t="n"/>
      <c r="B20" s="39" t="n"/>
      <c r="C20" s="39" t="n"/>
      <c r="D20" s="18" t="n"/>
      <c r="E20" s="40" t="n"/>
    </row>
    <row r="21">
      <c r="A21" s="17" t="n"/>
      <c r="B21" s="39" t="n"/>
      <c r="C21" s="39" t="n"/>
      <c r="D21" s="18" t="n"/>
      <c r="E21" s="40" t="n"/>
    </row>
    <row r="22">
      <c r="A22" s="17" t="n"/>
      <c r="B22" s="39" t="n"/>
      <c r="C22" s="39" t="n"/>
      <c r="D22" s="18" t="n"/>
      <c r="E22" s="40" t="n"/>
    </row>
    <row r="23">
      <c r="A23" s="17" t="n"/>
      <c r="B23" s="39" t="n"/>
      <c r="C23" s="39" t="n"/>
      <c r="D23" s="18" t="n"/>
      <c r="E23" s="40" t="n"/>
    </row>
    <row r="24">
      <c r="A24" s="17" t="n"/>
      <c r="B24" s="39" t="n"/>
      <c r="C24" s="39" t="n"/>
      <c r="D24" s="18" t="n"/>
      <c r="E24" s="40" t="n"/>
    </row>
    <row r="25">
      <c r="A25" s="17" t="n"/>
      <c r="B25" s="39" t="n"/>
      <c r="C25" s="39" t="n"/>
      <c r="D25" s="18" t="n"/>
      <c r="E25" s="40" t="n"/>
    </row>
    <row r="26">
      <c r="A26" s="17" t="n"/>
      <c r="B26" s="39" t="n"/>
      <c r="C26" s="39" t="n"/>
      <c r="D26" s="18" t="n"/>
      <c r="E26" s="40" t="n"/>
    </row>
    <row r="27">
      <c r="A27" s="17" t="n"/>
      <c r="B27" s="39" t="n"/>
      <c r="C27" s="39" t="n"/>
      <c r="D27" s="18" t="n"/>
      <c r="E27" s="40" t="n"/>
    </row>
    <row r="28">
      <c r="A28" s="17" t="n"/>
      <c r="B28" s="39" t="n"/>
      <c r="C28" s="39" t="n"/>
      <c r="D28" s="18" t="n"/>
      <c r="E28" s="40" t="n"/>
    </row>
    <row r="29">
      <c r="A29" s="17" t="n"/>
      <c r="B29" s="39" t="n"/>
      <c r="C29" s="39" t="n"/>
      <c r="D29" s="18" t="n"/>
      <c r="E29" s="40" t="n"/>
    </row>
    <row r="30">
      <c r="A30" s="17" t="n"/>
      <c r="B30" s="39" t="n"/>
      <c r="C30" s="39" t="n"/>
      <c r="D30" s="18" t="n"/>
      <c r="E30" s="40" t="n"/>
    </row>
    <row r="31">
      <c r="A31" s="17" t="n"/>
      <c r="B31" s="39" t="n"/>
      <c r="C31" s="39" t="n"/>
      <c r="D31" s="18" t="n"/>
      <c r="E31" s="40" t="n"/>
    </row>
    <row r="32">
      <c r="A32" s="17" t="n"/>
      <c r="B32" s="39" t="n"/>
      <c r="C32" s="39" t="n"/>
      <c r="D32" s="18" t="n"/>
      <c r="E32" s="40" t="n"/>
    </row>
    <row r="33">
      <c r="A33" s="17" t="n"/>
      <c r="B33" s="39" t="n"/>
      <c r="C33" s="39" t="n"/>
      <c r="D33" s="18" t="n"/>
      <c r="E33" s="40" t="n"/>
    </row>
    <row r="34">
      <c r="A34" s="17" t="n"/>
      <c r="B34" s="39" t="n"/>
      <c r="C34" s="39" t="n"/>
      <c r="D34" s="18" t="n"/>
      <c r="E34" s="40" t="n"/>
    </row>
    <row r="35">
      <c r="A35" s="17" t="n"/>
      <c r="B35" s="39" t="n"/>
      <c r="C35" s="39" t="n"/>
      <c r="D35" s="18" t="n"/>
      <c r="E35" s="40" t="n"/>
    </row>
    <row r="36">
      <c r="A36" s="17" t="n"/>
      <c r="B36" s="39" t="n"/>
      <c r="C36" s="39" t="n"/>
      <c r="D36" s="18" t="n"/>
      <c r="E36" s="40" t="n"/>
    </row>
    <row r="37">
      <c r="A37" s="17" t="n"/>
      <c r="B37" s="39" t="n"/>
      <c r="C37" s="39" t="n"/>
      <c r="D37" s="18" t="n"/>
      <c r="E37" s="40" t="n"/>
    </row>
    <row r="38">
      <c r="A38" s="17" t="n"/>
      <c r="B38" s="39" t="n"/>
      <c r="C38" s="39" t="n"/>
      <c r="D38" s="18" t="n"/>
      <c r="E38" s="40" t="n"/>
    </row>
    <row r="39">
      <c r="A39" s="17" t="n"/>
      <c r="B39" s="39" t="n"/>
      <c r="C39" s="39" t="n"/>
      <c r="D39" s="18" t="n"/>
      <c r="E39" s="40" t="n"/>
    </row>
    <row r="40">
      <c r="A40" s="17" t="n"/>
      <c r="B40" s="39" t="n"/>
      <c r="C40" s="39" t="n"/>
      <c r="D40" s="18" t="n"/>
      <c r="E40" s="40" t="n"/>
    </row>
    <row r="41">
      <c r="A41" s="17" t="n"/>
      <c r="B41" s="39" t="n"/>
      <c r="C41" s="39" t="n"/>
      <c r="D41" s="18" t="n"/>
      <c r="E41" s="40" t="n"/>
    </row>
    <row r="42">
      <c r="A42" s="17" t="n"/>
      <c r="B42" s="39" t="n"/>
      <c r="C42" s="39" t="n"/>
      <c r="D42" s="18" t="n"/>
      <c r="E42" s="40" t="n"/>
    </row>
    <row r="43">
      <c r="A43" s="17" t="n"/>
      <c r="B43" s="39" t="n"/>
      <c r="C43" s="39" t="n"/>
      <c r="D43" s="18" t="n"/>
      <c r="E43" s="40" t="n"/>
    </row>
    <row r="44">
      <c r="A44" s="17" t="n"/>
      <c r="B44" s="39" t="n"/>
      <c r="C44" s="39" t="n"/>
      <c r="D44" s="18" t="n"/>
      <c r="E44" s="40" t="n"/>
    </row>
    <row r="45">
      <c r="A45" s="17" t="n"/>
      <c r="B45" s="39" t="n"/>
      <c r="C45" s="39" t="n"/>
      <c r="D45" s="18" t="n"/>
      <c r="E45" s="40" t="n"/>
    </row>
    <row r="46">
      <c r="A46" s="17" t="n"/>
      <c r="B46" s="39" t="n"/>
      <c r="C46" s="39" t="n"/>
      <c r="D46" s="18" t="n"/>
      <c r="E46" s="40" t="n"/>
    </row>
    <row r="47">
      <c r="A47" s="17" t="n"/>
      <c r="B47" s="39" t="n"/>
      <c r="C47" s="39" t="n"/>
      <c r="D47" s="18" t="n"/>
      <c r="E47" s="40" t="n"/>
    </row>
    <row r="48">
      <c r="A48" s="17" t="n"/>
      <c r="B48" s="39" t="n"/>
      <c r="C48" s="39" t="n"/>
      <c r="D48" s="18" t="n"/>
      <c r="E48" s="40" t="n"/>
    </row>
    <row r="49">
      <c r="A49" s="17" t="n"/>
      <c r="B49" s="39" t="n"/>
      <c r="C49" s="39" t="n"/>
      <c r="D49" s="18" t="n"/>
      <c r="E49" s="40" t="n"/>
    </row>
    <row r="50">
      <c r="A50" s="17" t="n"/>
      <c r="B50" s="39" t="n"/>
      <c r="C50" s="39" t="n"/>
      <c r="D50" s="18" t="n"/>
      <c r="E50" s="40" t="n"/>
    </row>
    <row r="51">
      <c r="A51" s="17" t="n"/>
      <c r="B51" s="39" t="n"/>
      <c r="C51" s="39" t="n"/>
      <c r="D51" s="18" t="n"/>
      <c r="E51" s="40" t="n"/>
    </row>
    <row r="52">
      <c r="A52" s="17" t="n"/>
      <c r="B52" s="39" t="n"/>
      <c r="C52" s="39" t="n"/>
      <c r="D52" s="18" t="n"/>
      <c r="E52" s="40" t="n"/>
    </row>
    <row r="53">
      <c r="A53" s="17" t="n"/>
      <c r="B53" s="39" t="n"/>
      <c r="C53" s="39" t="n"/>
      <c r="D53" s="18" t="n"/>
      <c r="E53" s="40" t="n"/>
    </row>
    <row r="54">
      <c r="A54" s="17" t="n"/>
      <c r="B54" s="39" t="n"/>
      <c r="C54" s="39" t="n"/>
      <c r="D54" s="18" t="n"/>
      <c r="E54" s="40" t="n"/>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60" customWidth="1" min="1" max="1"/>
  </cols>
  <sheetData>
    <row r="1" ht="35" customHeight="1">
      <c r="A1" s="11" t="inlineStr">
        <is>
          <t>VISUALISATION PLACEHOLDERS</t>
        </is>
      </c>
    </row>
    <row r="3">
      <c r="A3" s="41" t="inlineStr">
        <is>
          <t>CHART PLACEHOLDERS</t>
        </is>
      </c>
    </row>
    <row r="5">
      <c r="A5" t="inlineStr">
        <is>
          <t>Create charts in Excel based on data from other sheets:</t>
        </is>
      </c>
    </row>
    <row r="6">
      <c r="A6" t="inlineStr">
        <is>
          <t>1. Portfolio Compliance Score - Gauge chart</t>
        </is>
      </c>
    </row>
    <row r="7">
      <c r="A7" t="inlineStr">
        <is>
          <t>2. Projects by Risk Classification - Pie chart</t>
        </is>
      </c>
    </row>
    <row r="8">
      <c r="A8" t="inlineStr">
        <is>
          <t>3. Compliance Distribution - Bar chart</t>
        </is>
      </c>
    </row>
    <row r="9">
      <c r="A9" t="inlineStr">
        <is>
          <t>4. Trend Analysis - Line chart (QoQ)</t>
        </is>
      </c>
    </row>
    <row r="10">
      <c r="A10" t="inlineStr">
        <is>
          <t>5. Gap Analysis - Pareto chart</t>
        </is>
      </c>
    </row>
    <row r="11">
      <c r="A11" t="inlineStr">
        <is>
          <t>6. Budget Allocation - Stacked bar chart</t>
        </is>
      </c>
    </row>
  </sheetData>
  <mergeCells count="2">
    <mergeCell ref="A3:F3"/>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ASSESSMENT APPROVAL AND SIGN-OFF</t>
        </is>
      </c>
      <c r="B1" s="6" t="n"/>
      <c r="C1" s="6" t="n"/>
      <c r="D1" s="6" t="n"/>
      <c r="E1" s="6" t="n"/>
    </row>
    <row r="2">
      <c r="A2" s="42" t="inlineStr">
        <is>
          <t>ISO/IEC 27001:2022 - Control A.5.8: Information Security in Project Management</t>
        </is>
      </c>
      <c r="B2" s="6" t="n"/>
      <c r="C2" s="6" t="n"/>
      <c r="D2" s="6" t="n"/>
      <c r="E2" s="6" t="n"/>
    </row>
    <row r="3">
      <c r="A3" s="43" t="inlineStr">
        <is>
          <t>ASSESSMENT REVIEW AND APPROVAL</t>
        </is>
      </c>
      <c r="B3" s="6" t="n"/>
      <c r="C3" s="6" t="n"/>
      <c r="D3" s="6" t="n"/>
      <c r="E3" s="6" t="n"/>
    </row>
    <row r="4">
      <c r="A4" s="44" t="inlineStr">
        <is>
          <t>Role / Function</t>
        </is>
      </c>
      <c r="B4" s="44" t="inlineStr">
        <is>
          <t>Name</t>
        </is>
      </c>
      <c r="C4" s="44" t="inlineStr">
        <is>
          <t>Signature / Initials</t>
        </is>
      </c>
      <c r="D4" s="44" t="inlineStr">
        <is>
          <t>Date (DD.MM.YYYY)</t>
        </is>
      </c>
      <c r="E4" s="44" t="inlineStr">
        <is>
          <t>Comments</t>
        </is>
      </c>
    </row>
    <row r="5">
      <c r="A5" s="45" t="inlineStr">
        <is>
          <t>Lead Assessor / Author</t>
        </is>
      </c>
      <c r="B5" s="17" t="n"/>
      <c r="C5" s="17" t="n"/>
      <c r="D5" s="17" t="n"/>
      <c r="E5" s="17" t="n"/>
    </row>
    <row r="6">
      <c r="A6" s="45" t="inlineStr">
        <is>
          <t>IT Security Manager</t>
        </is>
      </c>
      <c r="B6" s="18">
        <f>IFERROR('Summary Dashboard'!G7,"")</f>
        <v/>
      </c>
      <c r="C6" s="17" t="n"/>
      <c r="D6" s="17" t="n"/>
      <c r="E6" s="17" t="n"/>
    </row>
    <row r="7">
      <c r="A7" s="45" t="inlineStr">
        <is>
          <t>Reviewer (Technical / Compliance)</t>
        </is>
      </c>
      <c r="B7" s="17" t="n"/>
      <c r="C7" s="17" t="n"/>
      <c r="D7" s="17" t="n"/>
      <c r="E7" s="17" t="n"/>
    </row>
    <row r="8">
      <c r="A8" s="45" t="inlineStr">
        <is>
          <t>CISO / Final Approver</t>
        </is>
      </c>
      <c r="B8" s="17" t="n"/>
      <c r="C8" s="17" t="n"/>
      <c r="D8" s="17" t="n"/>
      <c r="E8" s="17" t="n"/>
    </row>
    <row r="9">
      <c r="A9" s="6" t="n"/>
      <c r="B9" s="6" t="n"/>
      <c r="C9" s="6" t="n"/>
      <c r="D9" s="6" t="n"/>
      <c r="E9" s="6" t="n"/>
    </row>
    <row r="10">
      <c r="A10" s="46" t="inlineStr">
        <is>
          <t>FINAL DECISION:</t>
        </is>
      </c>
      <c r="B10" s="17" t="n"/>
      <c r="C10" s="6" t="n"/>
      <c r="D10" s="6" t="n"/>
      <c r="E10" s="6" t="n"/>
    </row>
    <row r="11">
      <c r="A11" s="6" t="n"/>
      <c r="B11" s="6" t="n"/>
      <c r="C11" s="6" t="n"/>
      <c r="D11" s="6" t="n"/>
      <c r="E11" s="6" t="n"/>
    </row>
    <row r="12">
      <c r="A12" s="6" t="n"/>
      <c r="B12" s="6" t="n"/>
      <c r="C12" s="6" t="n"/>
      <c r="D12" s="6" t="n"/>
      <c r="E12" s="6" t="n"/>
    </row>
    <row r="13">
      <c r="A13" s="43" t="inlineStr">
        <is>
          <t>NEXT REVIEW</t>
        </is>
      </c>
      <c r="B13" s="6" t="n"/>
      <c r="C13" s="6" t="n"/>
      <c r="D13" s="6" t="n"/>
      <c r="E13" s="6" t="n"/>
    </row>
    <row r="14">
      <c r="A14" s="47" t="inlineStr">
        <is>
          <t>Next Review Date (DD.MM.YYYY)</t>
        </is>
      </c>
      <c r="B14" s="17" t="n"/>
    </row>
    <row r="15">
      <c r="A15" s="47" t="inlineStr">
        <is>
          <t>Review Owner</t>
        </is>
      </c>
      <c r="B15" s="17"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ISMS-IMP-A.5.8.3 — Project Portfolio</dc:title>
  <dc:description xmlns:dc="http://purl.org/dc/elements/1.1/">ISMS Implementation Workbook — ISMS-IMP-A.5.8.3</dc:description>
  <dc:subject xmlns:dc="http://purl.org/dc/elements/1.1/">ISO/IEC 27001:2022 — Control A.5.8: Information Security in Project Management</dc:subject>
  <dcterms:created xmlns:dcterms="http://purl.org/dc/terms/" xmlns:xsi="http://www.w3.org/2001/XMLSchema-instance" xsi:type="dcterms:W3CDTF">2026-03-10T18:48:59Z</dcterms:created>
  <dcterms:modified xmlns:dcterms="http://purl.org/dc/terms/" xmlns:xsi="http://www.w3.org/2001/XMLSchema-instance" xsi:type="dcterms:W3CDTF">2026-03-10T18:48:59Z</dcterms:modified>
</cp:coreProperties>
</file>