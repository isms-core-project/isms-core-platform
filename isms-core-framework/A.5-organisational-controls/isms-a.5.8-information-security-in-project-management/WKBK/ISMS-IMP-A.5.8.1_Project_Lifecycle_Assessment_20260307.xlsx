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2. Project Classification" sheetId="2" state="visible" r:id="rId2"/>
    <sheet xmlns:r="http://schemas.openxmlformats.org/officeDocument/2006/relationships" name="3. Initiation Phase" sheetId="3" state="visible" r:id="rId3"/>
    <sheet xmlns:r="http://schemas.openxmlformats.org/officeDocument/2006/relationships" name="4. Planning Phase" sheetId="4" state="visible" r:id="rId4"/>
    <sheet xmlns:r="http://schemas.openxmlformats.org/officeDocument/2006/relationships" name="5. Execution Phase" sheetId="5" state="visible" r:id="rId5"/>
    <sheet xmlns:r="http://schemas.openxmlformats.org/officeDocument/2006/relationships" name="6. Monitoring Phase" sheetId="6" state="visible" r:id="rId6"/>
    <sheet xmlns:r="http://schemas.openxmlformats.org/officeDocument/2006/relationships" name="7. Closure Phase"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3">
    <numFmt numFmtId="164" formatCode="DD.MM.YYYY"/>
    <numFmt numFmtId="165" formatCode="0.0"/>
    <numFmt numFmtId="166" formatCode="0.0%"/>
  </numFmts>
  <fonts count="23">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6"/>
    </font>
    <font>
      <name val="Calibri"/>
      <i val="1"/>
      <color rgb="00003366"/>
      <sz val="10"/>
    </font>
    <font>
      <b val="1"/>
    </font>
    <font>
      <b val="1"/>
      <sz val="11"/>
    </font>
    <font>
      <name val="Calibri"/>
      <b val="1"/>
      <color rgb="00000000"/>
      <sz val="12"/>
    </font>
    <font>
      <name val="Calibri"/>
      <b val="1"/>
      <color rgb="00003366"/>
      <sz val="11"/>
    </font>
    <font>
      <b val="1"/>
      <sz val="12"/>
    </font>
    <font>
      <b val="1"/>
      <color rgb="00C00000"/>
      <sz val="14"/>
    </font>
    <font>
      <i val="1"/>
      <sz val="9"/>
    </font>
    <font>
      <i val="1"/>
      <color rgb="00808080"/>
    </font>
    <font>
      <name val="Calibri"/>
      <i val="1"/>
      <sz val="10"/>
    </font>
    <font>
      <name val="Calibri"/>
      <b val="1"/>
      <color rgb="00FFFFFF"/>
      <sz val="10"/>
    </font>
    <font>
      <name val="Calibri"/>
      <i val="1"/>
      <color rgb="00808080"/>
      <sz val="10"/>
    </font>
    <font>
      <name val="Calibri"/>
      <b val="1"/>
      <color rgb="00FFFFFF"/>
      <sz val="11"/>
    </font>
    <font>
      <name val="Calibri"/>
      <b val="1"/>
      <color rgb="00000000"/>
      <sz val="10"/>
    </font>
    <font>
      <name val="Calibri"/>
      <b val="1"/>
      <color rgb="00003366"/>
      <sz val="10"/>
    </font>
    <font>
      <name val="Calibri"/>
      <sz val="10"/>
    </font>
    <font>
      <name val="Calibri"/>
      <b val="1"/>
      <sz val="11"/>
    </font>
  </fonts>
  <fills count="16">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F2F2F2"/>
        <bgColor rgb="00F2F2F2"/>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4472C4"/>
        <bgColor rgb="004472C4"/>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5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0" applyAlignment="1" pivotButton="0" quotePrefix="0" xfId="0">
      <alignment horizontal="center" vertical="center" wrapText="1"/>
    </xf>
    <xf numFmtId="0" fontId="6" fillId="0" borderId="0" applyAlignment="1" pivotButton="0" quotePrefix="0" xfId="0">
      <alignment horizontal="left" vertical="center"/>
    </xf>
    <xf numFmtId="0" fontId="7" fillId="0" borderId="0" pivotButton="0" quotePrefix="0" xfId="0"/>
    <xf numFmtId="0" fontId="0" fillId="9" borderId="1" pivotButton="0" quotePrefix="0" xfId="0"/>
    <xf numFmtId="0" fontId="8" fillId="0" borderId="0" pivotButton="0" quotePrefix="0" xfId="0"/>
    <xf numFmtId="0" fontId="9" fillId="10" borderId="0" pivotButton="0" quotePrefix="0" xfId="0"/>
    <xf numFmtId="0" fontId="10" fillId="10" borderId="1" pivotButton="0" quotePrefix="0" xfId="0"/>
    <xf numFmtId="0" fontId="7" fillId="0" borderId="1" applyAlignment="1" pivotButton="0" quotePrefix="0" xfId="0">
      <alignment vertical="top" wrapText="1"/>
    </xf>
    <xf numFmtId="0" fontId="0" fillId="0" borderId="1" applyAlignment="1" pivotButton="0" quotePrefix="0" xfId="0">
      <alignment vertical="top" wrapText="1"/>
    </xf>
    <xf numFmtId="0" fontId="11" fillId="0" borderId="0" pivotButton="0" quotePrefix="0" xfId="0"/>
    <xf numFmtId="0" fontId="11" fillId="0" borderId="1" pivotButton="0" quotePrefix="0" xfId="0"/>
    <xf numFmtId="0" fontId="12" fillId="9" borderId="1" pivotButton="0" quotePrefix="0" xfId="0"/>
    <xf numFmtId="0" fontId="13" fillId="0" borderId="0" pivotButton="0" quotePrefix="0" xfId="0"/>
    <xf numFmtId="0" fontId="0" fillId="0" borderId="1" applyAlignment="1" pivotButton="0" quotePrefix="0" xfId="0">
      <alignment wrapText="1"/>
    </xf>
    <xf numFmtId="0" fontId="10" fillId="10" borderId="1" applyAlignment="1" pivotButton="0" quotePrefix="0" xfId="0">
      <alignment horizontal="center" vertical="center" wrapText="1"/>
    </xf>
    <xf numFmtId="0" fontId="14" fillId="11" borderId="1" applyAlignment="1" pivotButton="0" quotePrefix="0" xfId="0">
      <alignment wrapText="1"/>
    </xf>
    <xf numFmtId="0" fontId="14" fillId="11" borderId="1" pivotButton="0" quotePrefix="0" xfId="0"/>
    <xf numFmtId="164" fontId="0" fillId="11" borderId="1" pivotButton="0" quotePrefix="0" xfId="0"/>
    <xf numFmtId="0" fontId="0" fillId="11" borderId="1" pivotButton="0" quotePrefix="0" xfId="0"/>
    <xf numFmtId="0" fontId="0" fillId="9" borderId="1" applyAlignment="1" pivotButton="0" quotePrefix="0" xfId="0">
      <alignment wrapText="1"/>
    </xf>
    <xf numFmtId="164" fontId="0" fillId="9" borderId="1" pivotButton="0" quotePrefix="0" xfId="0"/>
    <xf numFmtId="0" fontId="1" fillId="8" borderId="1" applyAlignment="1" pivotButton="0" quotePrefix="0" xfId="0">
      <alignment horizontal="center" vertical="center"/>
    </xf>
    <xf numFmtId="0" fontId="15" fillId="0" borderId="1" applyAlignment="1" pivotButton="0" quotePrefix="0" xfId="0">
      <alignment horizontal="center" vertical="center"/>
    </xf>
    <xf numFmtId="0" fontId="16" fillId="8" borderId="1" applyAlignment="1" pivotButton="0" quotePrefix="0" xfId="0">
      <alignment horizontal="center" vertical="center" wrapText="1"/>
    </xf>
    <xf numFmtId="0" fontId="17" fillId="11" borderId="1" pivotButton="0" quotePrefix="0" xfId="0"/>
    <xf numFmtId="0" fontId="0" fillId="9" borderId="1" applyAlignment="1" pivotButton="0" quotePrefix="0" xfId="0">
      <alignment vertical="center"/>
    </xf>
    <xf numFmtId="0" fontId="6" fillId="0" borderId="1" applyAlignment="1" pivotButton="0" quotePrefix="0" xfId="0">
      <alignment horizontal="left" vertical="center"/>
    </xf>
    <xf numFmtId="0" fontId="18" fillId="8" borderId="1" applyAlignment="1" pivotButton="0" quotePrefix="0" xfId="0">
      <alignment horizontal="center" vertical="center"/>
    </xf>
    <xf numFmtId="0" fontId="19" fillId="10" borderId="1" applyAlignment="1" pivotButton="0" quotePrefix="0" xfId="0">
      <alignment horizontal="center" vertical="center" wrapText="1"/>
    </xf>
    <xf numFmtId="0" fontId="0" fillId="9" borderId="1" applyAlignment="1" pivotButton="0" quotePrefix="0" xfId="0">
      <alignment horizontal="left" vertical="center"/>
    </xf>
    <xf numFmtId="165" fontId="0" fillId="9" borderId="1" applyAlignment="1" pivotButton="0" quotePrefix="0" xfId="0">
      <alignment horizontal="left" vertical="center"/>
    </xf>
    <xf numFmtId="0" fontId="3" fillId="10" borderId="1" applyAlignment="1" pivotButton="0" quotePrefix="0" xfId="0">
      <alignment horizontal="left" vertical="center"/>
    </xf>
    <xf numFmtId="165" fontId="3" fillId="10" borderId="1" applyAlignment="1" pivotButton="0" quotePrefix="0" xfId="0">
      <alignment horizontal="left" vertical="center"/>
    </xf>
    <xf numFmtId="0" fontId="19" fillId="10" borderId="1" applyAlignment="1" pivotButton="0" quotePrefix="0" xfId="0">
      <alignment horizontal="center" vertical="center"/>
    </xf>
    <xf numFmtId="0" fontId="18" fillId="12" borderId="1" applyAlignment="1" pivotButton="0" quotePrefix="0" xfId="0">
      <alignment horizontal="center" vertical="center"/>
    </xf>
    <xf numFmtId="0" fontId="0" fillId="13" borderId="1" applyAlignment="1" pivotButton="0" quotePrefix="0" xfId="0">
      <alignment horizontal="left" vertical="center"/>
    </xf>
    <xf numFmtId="0" fontId="0" fillId="14" borderId="1" applyAlignment="1" pivotButton="0" quotePrefix="0" xfId="0">
      <alignment horizontal="left" vertical="center"/>
    </xf>
    <xf numFmtId="0" fontId="18" fillId="15" borderId="1" applyAlignment="1" pivotButton="0" quotePrefix="0" xfId="0">
      <alignment horizontal="center" vertical="center"/>
    </xf>
    <xf numFmtId="0" fontId="20" fillId="10" borderId="1" applyAlignment="1" pivotButton="0" quotePrefix="0" xfId="0">
      <alignment horizontal="center" vertical="center" wrapText="1"/>
    </xf>
    <xf numFmtId="0" fontId="21" fillId="9" borderId="1" pivotButton="0" quotePrefix="0" xfId="0"/>
    <xf numFmtId="166" fontId="0" fillId="9" borderId="1" pivotButton="0" quotePrefix="0" xfId="0"/>
    <xf numFmtId="0" fontId="22" fillId="0" borderId="1" pivotButton="0" quotePrefix="0" xfId="0"/>
    <xf numFmtId="0" fontId="20" fillId="9"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ISMS-IMP-A.5.8.1  -  Project Lifecycle Assessment
ISO/IEC 27001:2022 - Control A.5.8: Information Security in Project Management</t>
        </is>
      </c>
    </row>
    <row r="3">
      <c r="A3" s="2" t="inlineStr">
        <is>
          <t>Document Information</t>
        </is>
      </c>
    </row>
    <row r="4">
      <c r="A4" s="3" t="inlineStr">
        <is>
          <t>Document ID</t>
        </is>
      </c>
      <c r="B4" t="inlineStr">
        <is>
          <t>ISMS-IMP-A.5.8.1</t>
        </is>
      </c>
    </row>
    <row r="5">
      <c r="A5" s="3" t="inlineStr">
        <is>
          <t>Workbook Title</t>
        </is>
      </c>
      <c r="B5" t="inlineStr">
        <is>
          <t>Project Lifecycle Assessment</t>
        </is>
      </c>
    </row>
    <row r="6">
      <c r="A6" s="3" t="inlineStr">
        <is>
          <t>Control Reference</t>
        </is>
      </c>
      <c r="B6" t="inlineStr">
        <is>
          <t>ISO/IEC 27001:2022 - Control A.5.8: Information Security in Project Management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Sheet 2 (Project Classification) — determine risk level before starting.</t>
        </is>
      </c>
    </row>
    <row r="14">
      <c r="A14" t="inlineStr">
        <is>
          <t>2. Complete Sheets 3–7 (Phase sheets) — work through each phase sequentially.</t>
        </is>
      </c>
    </row>
    <row r="15">
      <c r="A15" t="inlineStr">
        <is>
          <t>3. Review Summary Dashboard — automated phase completion scores.</t>
        </is>
      </c>
    </row>
    <row r="16">
      <c r="A16" t="inlineStr">
        <is>
          <t>4. Complete Sheet 9 (Evidence Register) — document supporting evidence.</t>
        </is>
      </c>
    </row>
    <row r="17">
      <c r="A17" t="inlineStr">
        <is>
          <t>5. Obtain approvals in Sheet 10 (Approval Sign-Off).</t>
        </is>
      </c>
    </row>
    <row r="19">
      <c r="A19" s="2" t="inlineStr">
        <is>
          <t>Status Legend</t>
        </is>
      </c>
    </row>
    <row r="20">
      <c r="A20" s="5" t="inlineStr">
        <is>
          <t>Symbol</t>
        </is>
      </c>
      <c r="B20" s="5" t="inlineStr">
        <is>
          <t>Status</t>
        </is>
      </c>
      <c r="C20" s="5" t="inlineStr">
        <is>
          <t>Description</t>
        </is>
      </c>
    </row>
    <row r="21">
      <c r="A21" s="6" t="inlineStr">
        <is>
          <t>✓</t>
        </is>
      </c>
      <c r="B21" s="7" t="inlineStr">
        <is>
          <t>Compliant / Complete</t>
        </is>
      </c>
      <c r="C21" s="8" t="inlineStr">
        <is>
          <t>Requirement fully met</t>
        </is>
      </c>
    </row>
    <row r="22">
      <c r="A22" s="6" t="inlineStr">
        <is>
          <t>⚠</t>
        </is>
      </c>
      <c r="B22" s="9" t="inlineStr">
        <is>
          <t>Partial / In Progress</t>
        </is>
      </c>
      <c r="C22" s="8" t="inlineStr">
        <is>
          <t>Partially met or in progress</t>
        </is>
      </c>
    </row>
    <row r="23">
      <c r="A23" s="6" t="inlineStr">
        <is>
          <t>✗</t>
        </is>
      </c>
      <c r="B23" s="10" t="inlineStr">
        <is>
          <t>Non-Compliant / Not Started</t>
        </is>
      </c>
      <c r="C23" s="8" t="inlineStr">
        <is>
          <t>Requirement not met</t>
        </is>
      </c>
    </row>
    <row r="24">
      <c r="A24" s="6" t="inlineStr">
        <is>
          <t>—</t>
        </is>
      </c>
      <c r="B24" s="8" t="inlineStr">
        <is>
          <t>Not Applicable</t>
        </is>
      </c>
      <c r="C24"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5"/>
  <sheetViews>
    <sheetView showGridLines="0" workbookViewId="0">
      <selection activeCell="A1" sqref="A1"/>
    </sheetView>
  </sheetViews>
  <sheetFormatPr baseColWidth="8" defaultRowHeight="15"/>
  <cols>
    <col width="45" customWidth="1" min="1" max="1"/>
    <col width="30" customWidth="1" min="2" max="2"/>
    <col width="30" customWidth="1" min="3" max="3"/>
    <col width="25" customWidth="1" min="4" max="4"/>
    <col width="10" customWidth="1" min="5" max="5"/>
    <col width="35" customWidth="1" min="6" max="6"/>
  </cols>
  <sheetData>
    <row r="1" ht="35" customHeight="1">
      <c r="A1" s="11" t="inlineStr">
        <is>
          <t>PHASE 0: PROJECT CLASSIFICATION</t>
        </is>
      </c>
    </row>
    <row r="2">
      <c r="A2" s="12" t="inlineStr">
        <is>
          <t>ISO/IEC 27001:2022 - Control A.5.8: Information Security in Project Management — Risk-based classification using 6-factor scoring matrix</t>
        </is>
      </c>
    </row>
    <row r="3">
      <c r="A3" s="13" t="inlineStr">
        <is>
          <t>Project Name:</t>
        </is>
      </c>
      <c r="B3" s="14" t="n"/>
    </row>
    <row r="4">
      <c r="A4" s="13" t="inlineStr">
        <is>
          <t>Project Manager:</t>
        </is>
      </c>
      <c r="B4" s="14" t="n"/>
    </row>
    <row r="6">
      <c r="A6" s="15" t="inlineStr">
        <is>
          <t>CLASSIFICATION WORKSHOP (30-60 minutes)</t>
        </is>
      </c>
    </row>
    <row r="7">
      <c r="A7" t="inlineStr">
        <is>
          <t>1. Gather stakeholders: PM, Security, Business Owner, Technical Lead (5 min)</t>
        </is>
      </c>
    </row>
    <row r="8">
      <c r="A8" t="inlineStr">
        <is>
          <t>2. Review each factor below and score High/Medium/Low (20-30 min)</t>
        </is>
      </c>
    </row>
    <row r="9">
      <c r="A9" t="inlineStr">
        <is>
          <t>3. Discuss edge cases and document rationale (10-15 min)</t>
        </is>
      </c>
    </row>
    <row r="10">
      <c r="A10" t="inlineStr">
        <is>
          <t>4. Confirm final classification and next steps (5 min)</t>
        </is>
      </c>
    </row>
    <row r="12">
      <c r="A12" s="16" t="inlineStr">
        <is>
          <t>CLASSIFICATION DECISION MATRIX (6 Factors):</t>
        </is>
      </c>
    </row>
    <row r="13">
      <c r="A13" s="17" t="inlineStr">
        <is>
          <t>Factor</t>
        </is>
      </c>
      <c r="B13" s="17" t="inlineStr">
        <is>
          <t>High (3 pts)</t>
        </is>
      </c>
      <c r="C13" s="17" t="inlineStr">
        <is>
          <t>Medium (2 pts)</t>
        </is>
      </c>
      <c r="D13" s="17" t="inlineStr">
        <is>
          <t>Low (1 pt)</t>
        </is>
      </c>
      <c r="E13" s="17" t="inlineStr">
        <is>
          <t>Score</t>
        </is>
      </c>
      <c r="F13" s="17" t="inlineStr">
        <is>
          <t>Rationale</t>
        </is>
      </c>
    </row>
    <row r="14">
      <c r="A14" s="18" t="inlineStr">
        <is>
          <t>Data Sensitivity</t>
        </is>
      </c>
      <c r="B14" s="19" t="inlineStr">
        <is>
          <t>Restricted/Special Category PII</t>
        </is>
      </c>
      <c r="C14" s="19" t="inlineStr">
        <is>
          <t>Confidential/Internal PII</t>
        </is>
      </c>
      <c r="D14" s="19" t="inlineStr">
        <is>
          <t>Public/Non-sensitive</t>
        </is>
      </c>
      <c r="E14" s="14" t="n"/>
      <c r="F14" s="14" t="n"/>
    </row>
    <row r="15">
      <c r="A15" s="18" t="inlineStr">
        <is>
          <t>System Criticality</t>
        </is>
      </c>
      <c r="B15" s="19" t="inlineStr">
        <is>
          <t>Tier 1 (RTO &lt;4hr)</t>
        </is>
      </c>
      <c r="C15" s="19" t="inlineStr">
        <is>
          <t>Tier 2 (RTO 4-24hr)</t>
        </is>
      </c>
      <c r="D15" s="19" t="inlineStr">
        <is>
          <t>Tier 3+ (RTO &gt;24hr)</t>
        </is>
      </c>
      <c r="E15" s="14" t="n"/>
      <c r="F15" s="14" t="n"/>
    </row>
    <row r="16">
      <c r="A16" s="18" t="inlineStr">
        <is>
          <t>Regulatory Scope</t>
        </is>
      </c>
      <c r="B16" s="19" t="inlineStr">
        <is>
          <t>Multiple regulations (GDPR+PCI+etc)</t>
        </is>
      </c>
      <c r="C16" s="19" t="inlineStr">
        <is>
          <t>Single major regulation</t>
        </is>
      </c>
      <c r="D16" s="19" t="inlineStr">
        <is>
          <t>General compliance only</t>
        </is>
      </c>
      <c r="E16" s="14" t="n"/>
      <c r="F16" s="14" t="n"/>
    </row>
    <row r="17">
      <c r="A17" s="18" t="inlineStr">
        <is>
          <t>External Exposure</t>
        </is>
      </c>
      <c r="B17" s="19" t="inlineStr">
        <is>
          <t>Internet-facing, customer data</t>
        </is>
      </c>
      <c r="C17" s="19" t="inlineStr">
        <is>
          <t>Partner/B2B access</t>
        </is>
      </c>
      <c r="D17" s="19" t="inlineStr">
        <is>
          <t>Internal only</t>
        </is>
      </c>
      <c r="E17" s="14" t="n"/>
      <c r="F17" s="14" t="n"/>
    </row>
    <row r="18">
      <c r="A18" s="18" t="inlineStr">
        <is>
          <t>Technical Complexity</t>
        </is>
      </c>
      <c r="B18" s="19" t="inlineStr">
        <is>
          <t>New technology, high integration</t>
        </is>
      </c>
      <c r="C18" s="19" t="inlineStr">
        <is>
          <t>Moderate complexity</t>
        </is>
      </c>
      <c r="D18" s="19" t="inlineStr">
        <is>
          <t>Standard/proven stack</t>
        </is>
      </c>
      <c r="E18" s="14" t="n"/>
      <c r="F18" s="14" t="n"/>
    </row>
    <row r="19">
      <c r="A19" s="18" t="inlineStr">
        <is>
          <t>Third-Party Involvement</t>
        </is>
      </c>
      <c r="B19" s="19" t="inlineStr">
        <is>
          <t>Critical outsourced development</t>
        </is>
      </c>
      <c r="C19" s="19" t="inlineStr">
        <is>
          <t>Vendor components</t>
        </is>
      </c>
      <c r="D19" s="19" t="inlineStr">
        <is>
          <t>Internal development</t>
        </is>
      </c>
      <c r="E19" s="14" t="n"/>
      <c r="F19" s="14" t="n"/>
    </row>
    <row r="21">
      <c r="A21" s="20" t="inlineStr">
        <is>
          <t>TOTAL SCORE:</t>
        </is>
      </c>
      <c r="E21" s="21">
        <f>SUM(E14:E19)</f>
        <v/>
      </c>
    </row>
    <row r="22">
      <c r="A22" s="20" t="inlineStr">
        <is>
          <t>CALCULATED RISK LEVEL:</t>
        </is>
      </c>
      <c r="B22" s="22">
        <f>IF(E21&gt;=15,"High",IF(E21&gt;=10,"Medium","Low"))</f>
        <v/>
      </c>
    </row>
    <row r="23">
      <c r="A23" s="23" t="inlineStr">
        <is>
          <t>(High: 15-18 pts | Medium: 10-14 pts | Low: 6-9 pts)</t>
        </is>
      </c>
    </row>
    <row r="26">
      <c r="A26" s="16" t="inlineStr">
        <is>
          <t>COMMON CLASSIFICATION SCENARIOS (Reference Examples):</t>
        </is>
      </c>
    </row>
    <row r="27">
      <c r="A27" s="17" t="inlineStr">
        <is>
          <t>Scenario Description</t>
        </is>
      </c>
      <c r="B27" s="17" t="inlineStr">
        <is>
          <t>Typical Classification</t>
        </is>
      </c>
      <c r="C27" s="17" t="inlineStr">
        <is>
          <t>Key Factors</t>
        </is>
      </c>
    </row>
    <row r="28">
      <c r="A28" s="24" t="inlineStr">
        <is>
          <t>Customer-facing web portal with payment processing</t>
        </is>
      </c>
      <c r="B28" s="24" t="inlineStr">
        <is>
          <t>High</t>
        </is>
      </c>
      <c r="C28" s="24" t="inlineStr">
        <is>
          <t>External exposure + PCI DSS v4.0.1 + customer PII</t>
        </is>
      </c>
    </row>
    <row r="29">
      <c r="A29" s="24" t="inlineStr">
        <is>
          <t>Internal HR system with employee data</t>
        </is>
      </c>
      <c r="B29" s="24" t="inlineStr">
        <is>
          <t>Medium</t>
        </is>
      </c>
      <c r="C29" s="24" t="inlineStr">
        <is>
          <t>Internal PII but limited exposure</t>
        </is>
      </c>
    </row>
    <row r="30">
      <c r="A30" s="24" t="inlineStr">
        <is>
          <t>Marketing website refresh (static content)</t>
        </is>
      </c>
      <c r="B30" s="24" t="inlineStr">
        <is>
          <t>Low</t>
        </is>
      </c>
      <c r="C30" s="24" t="inlineStr">
        <is>
          <t>Public data, no integration</t>
        </is>
      </c>
    </row>
    <row r="31">
      <c r="A31" s="24" t="inlineStr">
        <is>
          <t>Cloud migration of core ERP system</t>
        </is>
      </c>
      <c r="B31" s="24" t="inlineStr">
        <is>
          <t>High</t>
        </is>
      </c>
      <c r="C31" s="24" t="inlineStr">
        <is>
          <t>Critical system + complexity + third-party</t>
        </is>
      </c>
    </row>
    <row r="32">
      <c r="A32" s="24" t="inlineStr">
        <is>
          <t>Mobile app for field service technicians</t>
        </is>
      </c>
      <c r="B32" s="24" t="inlineStr">
        <is>
          <t>Medium</t>
        </is>
      </c>
      <c r="C32" s="24" t="inlineStr">
        <is>
          <t>Internal users but external network</t>
        </is>
      </c>
    </row>
    <row r="33">
      <c r="A33" s="24" t="inlineStr">
        <is>
          <t>Data analytics dashboard (aggregated metrics)</t>
        </is>
      </c>
      <c r="B33" s="24" t="inlineStr">
        <is>
          <t>Low</t>
        </is>
      </c>
      <c r="C33" s="24" t="inlineStr">
        <is>
          <t>No PII, internal only</t>
        </is>
      </c>
    </row>
    <row r="34">
      <c r="A34" s="24" t="inlineStr">
        <is>
          <t>Third-party SaaS integration (CRM)</t>
        </is>
      </c>
      <c r="B34" s="24" t="inlineStr">
        <is>
          <t>Medium</t>
        </is>
      </c>
      <c r="C34" s="24" t="inlineStr">
        <is>
          <t>Vendor involvement + customer data subset</t>
        </is>
      </c>
    </row>
    <row r="35">
      <c r="A35" s="24" t="inlineStr">
        <is>
          <t>Legacy system decommissioning</t>
        </is>
      </c>
      <c r="B35" s="24" t="inlineStr">
        <is>
          <t>Medium</t>
        </is>
      </c>
      <c r="C35" s="24" t="inlineStr">
        <is>
          <t>Data retention + secure disposal needs</t>
        </is>
      </c>
    </row>
  </sheetData>
  <mergeCells count="5">
    <mergeCell ref="A2:F2"/>
    <mergeCell ref="A1:F1"/>
    <mergeCell ref="A6:F6"/>
    <mergeCell ref="A12:F12"/>
    <mergeCell ref="A26:F26"/>
  </mergeCells>
  <dataValidations count="1">
    <dataValidation sqref="E14 E15 E16 E17 E18 E19" showDropDown="0" showInputMessage="0" showErrorMessage="0" allowBlank="0" type="list">
      <formula1>"3,2,1"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4"/>
  <sheetViews>
    <sheetView showGridLines="0" workbookViewId="0">
      <pane ySplit="3" topLeftCell="A4" activePane="bottomLeft" state="frozen"/>
      <selection pane="bottomLeft" activeCell="A1" sqref="A1"/>
    </sheetView>
  </sheetViews>
  <sheetFormatPr baseColWidth="8" defaultRowHeight="15"/>
  <cols>
    <col width="60" customWidth="1" min="1" max="1"/>
    <col width="15" customWidth="1" min="2" max="2"/>
    <col width="15" customWidth="1" min="3" max="3"/>
    <col width="40" customWidth="1" min="4" max="4"/>
    <col width="40" customWidth="1" min="5" max="5"/>
  </cols>
  <sheetData>
    <row r="1" ht="35" customHeight="1">
      <c r="A1" s="11" t="inlineStr">
        <is>
          <t>PHASE 1: INITIATION</t>
        </is>
      </c>
    </row>
    <row r="2">
      <c r="A2" s="12" t="inlineStr">
        <is>
          <t>ISO/IEC 27001:2022 - Control A.5.8: Information Security in Project Management — Security activities and gate reviews for this project phase</t>
        </is>
      </c>
    </row>
    <row r="3">
      <c r="A3" s="25" t="inlineStr">
        <is>
          <t>Activity</t>
        </is>
      </c>
      <c r="B3" s="25" t="inlineStr">
        <is>
          <t>Status</t>
        </is>
      </c>
      <c r="C3" s="25" t="inlineStr">
        <is>
          <t>Completion Date</t>
        </is>
      </c>
      <c r="D3" s="25" t="inlineStr">
        <is>
          <t>Evidence Link</t>
        </is>
      </c>
      <c r="E3" s="25" t="inlineStr">
        <is>
          <t>Notes</t>
        </is>
      </c>
    </row>
    <row r="4">
      <c r="A4" s="26" t="inlineStr">
        <is>
          <t>Identify security stakeholders and establish communication plan</t>
        </is>
      </c>
      <c r="B4" s="27" t="inlineStr">
        <is>
          <t>Not Done</t>
        </is>
      </c>
      <c r="C4" s="28" t="n"/>
      <c r="D4" s="29" t="n"/>
      <c r="E4" s="29" t="n"/>
    </row>
    <row r="5">
      <c r="A5" s="30" t="n"/>
      <c r="B5" s="14" t="n"/>
      <c r="C5" s="31" t="n"/>
      <c r="D5" s="14" t="n"/>
      <c r="E5" s="14" t="n"/>
    </row>
    <row r="6">
      <c r="A6" s="30" t="n"/>
      <c r="B6" s="14" t="n"/>
      <c r="C6" s="31" t="n"/>
      <c r="D6" s="14" t="n"/>
      <c r="E6" s="14" t="n"/>
    </row>
    <row r="7">
      <c r="A7" s="30" t="n"/>
      <c r="B7" s="14" t="n"/>
      <c r="C7" s="31" t="n"/>
      <c r="D7" s="14" t="n"/>
      <c r="E7" s="14" t="n"/>
    </row>
    <row r="8">
      <c r="A8" s="30" t="n"/>
      <c r="B8" s="14" t="n"/>
      <c r="C8" s="31" t="n"/>
      <c r="D8" s="14" t="n"/>
      <c r="E8" s="14" t="n"/>
    </row>
    <row r="9">
      <c r="A9" s="30" t="n"/>
      <c r="B9" s="14" t="n"/>
      <c r="C9" s="31" t="n"/>
      <c r="D9" s="14" t="n"/>
      <c r="E9" s="14" t="n"/>
    </row>
    <row r="10">
      <c r="A10" s="30" t="n"/>
      <c r="B10" s="14" t="n"/>
      <c r="C10" s="31" t="n"/>
      <c r="D10" s="14" t="n"/>
      <c r="E10" s="14" t="n"/>
    </row>
    <row r="11">
      <c r="A11" s="30" t="n"/>
      <c r="B11" s="14" t="n"/>
      <c r="C11" s="31" t="n"/>
      <c r="D11" s="14" t="n"/>
      <c r="E11" s="14" t="n"/>
    </row>
    <row r="12">
      <c r="A12" s="30" t="n"/>
      <c r="B12" s="14" t="n"/>
      <c r="C12" s="31" t="n"/>
      <c r="D12" s="14" t="n"/>
      <c r="E12" s="14" t="n"/>
    </row>
    <row r="13">
      <c r="A13" s="30" t="n"/>
      <c r="B13" s="14" t="n"/>
      <c r="C13" s="31" t="n"/>
      <c r="D13" s="14" t="n"/>
      <c r="E13" s="14" t="n"/>
    </row>
    <row r="14">
      <c r="A14" s="30" t="n"/>
      <c r="B14" s="14" t="n"/>
      <c r="C14" s="31" t="n"/>
      <c r="D14" s="14" t="n"/>
      <c r="E14" s="14" t="n"/>
    </row>
    <row r="15">
      <c r="A15" s="30" t="n"/>
      <c r="B15" s="14" t="n"/>
      <c r="C15" s="31" t="n"/>
      <c r="D15" s="14" t="n"/>
      <c r="E15" s="14" t="n"/>
    </row>
    <row r="16">
      <c r="A16" s="30" t="n"/>
      <c r="B16" s="14" t="n"/>
      <c r="C16" s="31" t="n"/>
      <c r="D16" s="14" t="n"/>
      <c r="E16" s="14" t="n"/>
    </row>
    <row r="17">
      <c r="A17" s="30" t="n"/>
      <c r="B17" s="14" t="n"/>
      <c r="C17" s="31" t="n"/>
      <c r="D17" s="14" t="n"/>
      <c r="E17" s="14" t="n"/>
    </row>
    <row r="18">
      <c r="A18" s="30" t="n"/>
      <c r="B18" s="14" t="n"/>
      <c r="C18" s="31" t="n"/>
      <c r="D18" s="14" t="n"/>
      <c r="E18" s="14" t="n"/>
    </row>
    <row r="19">
      <c r="A19" s="30" t="n"/>
      <c r="B19" s="14" t="n"/>
      <c r="C19" s="31" t="n"/>
      <c r="D19" s="14" t="n"/>
      <c r="E19" s="14" t="n"/>
    </row>
    <row r="20">
      <c r="A20" s="30" t="n"/>
      <c r="B20" s="14" t="n"/>
      <c r="C20" s="31" t="n"/>
      <c r="D20" s="14" t="n"/>
      <c r="E20" s="14" t="n"/>
    </row>
    <row r="21">
      <c r="A21" s="30" t="n"/>
      <c r="B21" s="14" t="n"/>
      <c r="C21" s="31" t="n"/>
      <c r="D21" s="14" t="n"/>
      <c r="E21" s="14" t="n"/>
    </row>
    <row r="22">
      <c r="A22" s="30" t="n"/>
      <c r="B22" s="14" t="n"/>
      <c r="C22" s="31" t="n"/>
      <c r="D22" s="14" t="n"/>
      <c r="E22" s="14" t="n"/>
    </row>
    <row r="23">
      <c r="A23" s="30" t="n"/>
      <c r="B23" s="14" t="n"/>
      <c r="C23" s="31" t="n"/>
      <c r="D23" s="14" t="n"/>
      <c r="E23" s="14" t="n"/>
    </row>
    <row r="24">
      <c r="A24" s="30" t="n"/>
      <c r="B24" s="14" t="n"/>
      <c r="C24" s="31" t="n"/>
      <c r="D24" s="14" t="n"/>
      <c r="E24" s="14" t="n"/>
    </row>
    <row r="25">
      <c r="A25" s="30" t="n"/>
      <c r="B25" s="14" t="n"/>
      <c r="C25" s="31" t="n"/>
      <c r="D25" s="14" t="n"/>
      <c r="E25" s="14" t="n"/>
    </row>
    <row r="26">
      <c r="A26" s="30" t="n"/>
      <c r="B26" s="14" t="n"/>
      <c r="C26" s="31" t="n"/>
      <c r="D26" s="14" t="n"/>
      <c r="E26" s="14" t="n"/>
    </row>
    <row r="27">
      <c r="A27" s="30" t="n"/>
      <c r="B27" s="14" t="n"/>
      <c r="C27" s="31" t="n"/>
      <c r="D27" s="14" t="n"/>
      <c r="E27" s="14" t="n"/>
    </row>
    <row r="28">
      <c r="A28" s="30" t="n"/>
      <c r="B28" s="14" t="n"/>
      <c r="C28" s="31" t="n"/>
      <c r="D28" s="14" t="n"/>
      <c r="E28" s="14" t="n"/>
    </row>
    <row r="29">
      <c r="A29" s="30" t="n"/>
      <c r="B29" s="14" t="n"/>
      <c r="C29" s="31" t="n"/>
      <c r="D29" s="14" t="n"/>
      <c r="E29" s="14" t="n"/>
    </row>
    <row r="30">
      <c r="A30" s="30" t="n"/>
      <c r="B30" s="14" t="n"/>
      <c r="C30" s="31" t="n"/>
      <c r="D30" s="14" t="n"/>
      <c r="E30" s="14" t="n"/>
    </row>
    <row r="31">
      <c r="A31" s="30" t="n"/>
      <c r="B31" s="14" t="n"/>
      <c r="C31" s="31" t="n"/>
      <c r="D31" s="14" t="n"/>
      <c r="E31" s="14" t="n"/>
    </row>
    <row r="32">
      <c r="A32" s="30" t="n"/>
      <c r="B32" s="14" t="n"/>
      <c r="C32" s="31" t="n"/>
      <c r="D32" s="14" t="n"/>
      <c r="E32" s="14" t="n"/>
    </row>
    <row r="33">
      <c r="A33" s="30" t="n"/>
      <c r="B33" s="14" t="n"/>
      <c r="C33" s="31" t="n"/>
      <c r="D33" s="14" t="n"/>
      <c r="E33" s="14" t="n"/>
    </row>
    <row r="34">
      <c r="A34" s="30" t="n"/>
      <c r="B34" s="14" t="n"/>
      <c r="C34" s="31" t="n"/>
      <c r="D34" s="14" t="n"/>
      <c r="E34" s="14" t="n"/>
    </row>
    <row r="35">
      <c r="A35" s="30" t="n"/>
      <c r="B35" s="14" t="n"/>
      <c r="C35" s="31" t="n"/>
      <c r="D35" s="14" t="n"/>
      <c r="E35" s="14" t="n"/>
    </row>
    <row r="36">
      <c r="A36" s="30" t="n"/>
      <c r="B36" s="14" t="n"/>
      <c r="C36" s="31" t="n"/>
      <c r="D36" s="14" t="n"/>
      <c r="E36" s="14" t="n"/>
    </row>
    <row r="37">
      <c r="A37" s="30" t="n"/>
      <c r="B37" s="14" t="n"/>
      <c r="C37" s="31" t="n"/>
      <c r="D37" s="14" t="n"/>
      <c r="E37" s="14" t="n"/>
    </row>
    <row r="38">
      <c r="A38" s="30" t="n"/>
      <c r="B38" s="14" t="n"/>
      <c r="C38" s="31" t="n"/>
      <c r="D38" s="14" t="n"/>
      <c r="E38" s="14" t="n"/>
    </row>
    <row r="39">
      <c r="A39" s="30" t="n"/>
      <c r="B39" s="14" t="n"/>
      <c r="C39" s="31" t="n"/>
      <c r="D39" s="14" t="n"/>
      <c r="E39" s="14" t="n"/>
    </row>
    <row r="40">
      <c r="A40" s="30" t="n"/>
      <c r="B40" s="14" t="n"/>
      <c r="C40" s="31" t="n"/>
      <c r="D40" s="14" t="n"/>
      <c r="E40" s="14" t="n"/>
    </row>
    <row r="41">
      <c r="A41" s="30" t="n"/>
      <c r="B41" s="14" t="n"/>
      <c r="C41" s="31" t="n"/>
      <c r="D41" s="14" t="n"/>
      <c r="E41" s="14" t="n"/>
    </row>
    <row r="42">
      <c r="A42" s="30" t="n"/>
      <c r="B42" s="14" t="n"/>
      <c r="C42" s="31" t="n"/>
      <c r="D42" s="14" t="n"/>
      <c r="E42" s="14" t="n"/>
    </row>
    <row r="43">
      <c r="A43" s="30" t="n"/>
      <c r="B43" s="14" t="n"/>
      <c r="C43" s="31" t="n"/>
      <c r="D43" s="14" t="n"/>
      <c r="E43" s="14" t="n"/>
    </row>
    <row r="44">
      <c r="A44" s="30" t="n"/>
      <c r="B44" s="14" t="n"/>
      <c r="C44" s="31" t="n"/>
      <c r="D44" s="14" t="n"/>
      <c r="E44" s="14" t="n"/>
    </row>
    <row r="45">
      <c r="A45" s="30" t="n"/>
      <c r="B45" s="14" t="n"/>
      <c r="C45" s="31" t="n"/>
      <c r="D45" s="14" t="n"/>
      <c r="E45" s="14" t="n"/>
    </row>
    <row r="46">
      <c r="A46" s="30" t="n"/>
      <c r="B46" s="14" t="n"/>
      <c r="C46" s="31" t="n"/>
      <c r="D46" s="14" t="n"/>
      <c r="E46" s="14" t="n"/>
    </row>
    <row r="47">
      <c r="A47" s="30" t="n"/>
      <c r="B47" s="14" t="n"/>
      <c r="C47" s="31" t="n"/>
      <c r="D47" s="14" t="n"/>
      <c r="E47" s="14" t="n"/>
    </row>
    <row r="48">
      <c r="A48" s="30" t="n"/>
      <c r="B48" s="14" t="n"/>
      <c r="C48" s="31" t="n"/>
      <c r="D48" s="14" t="n"/>
      <c r="E48" s="14" t="n"/>
    </row>
    <row r="49">
      <c r="A49" s="30" t="n"/>
      <c r="B49" s="14" t="n"/>
      <c r="C49" s="31" t="n"/>
      <c r="D49" s="14" t="n"/>
      <c r="E49" s="14" t="n"/>
    </row>
    <row r="50">
      <c r="A50" s="30" t="n"/>
      <c r="B50" s="14" t="n"/>
      <c r="C50" s="31" t="n"/>
      <c r="D50" s="14" t="n"/>
      <c r="E50" s="14" t="n"/>
    </row>
    <row r="51">
      <c r="A51" s="30" t="n"/>
      <c r="B51" s="14" t="n"/>
      <c r="C51" s="31" t="n"/>
      <c r="D51" s="14" t="n"/>
      <c r="E51" s="14" t="n"/>
    </row>
    <row r="52">
      <c r="A52" s="30" t="n"/>
      <c r="B52" s="14" t="n"/>
      <c r="C52" s="31" t="n"/>
      <c r="D52" s="14" t="n"/>
      <c r="E52" s="14" t="n"/>
    </row>
    <row r="53">
      <c r="A53" s="30" t="n"/>
      <c r="B53" s="14" t="n"/>
      <c r="C53" s="31" t="n"/>
      <c r="D53" s="14" t="n"/>
      <c r="E53" s="14" t="n"/>
    </row>
    <row r="54">
      <c r="A54" s="30" t="n"/>
      <c r="B54" s="14" t="n"/>
      <c r="C54" s="31" t="n"/>
      <c r="D54" s="14" t="n"/>
      <c r="E54" s="14" t="n"/>
    </row>
  </sheetData>
  <mergeCells count="2">
    <mergeCell ref="A2:E2"/>
    <mergeCell ref="A1:E1"/>
  </mergeCells>
  <dataValidations count="1">
    <dataValidation sqref="B4 B5 B6 B7 B8 B9 B10 B11 B12 B13 B14 B15 B16 B17 B18 B19 B20 B21 B22 B23 B24 B25 B26 B27 B28 B29 B30 B31 B32 B33 B34 B35 B36 B37 B38 B39 B40 B41 B42 B43 B44 B45 B46 B47 B48 B49 B50 B51 B52 B53 B54" showDropDown="0" showInputMessage="0" showErrorMessage="0" allowBlank="0" type="list">
      <formula1>"Complete,In Progress,Incomplete,Not Done,N/A"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4"/>
  <sheetViews>
    <sheetView showGridLines="0" workbookViewId="0">
      <pane ySplit="3" topLeftCell="A4" activePane="bottomLeft" state="frozen"/>
      <selection pane="bottomLeft" activeCell="A1" sqref="A1"/>
    </sheetView>
  </sheetViews>
  <sheetFormatPr baseColWidth="8" defaultRowHeight="15"/>
  <cols>
    <col width="60" customWidth="1" min="1" max="1"/>
    <col width="15" customWidth="1" min="2" max="2"/>
    <col width="15" customWidth="1" min="3" max="3"/>
    <col width="40" customWidth="1" min="4" max="4"/>
    <col width="40" customWidth="1" min="5" max="5"/>
  </cols>
  <sheetData>
    <row r="1" ht="35" customHeight="1">
      <c r="A1" s="11" t="inlineStr">
        <is>
          <t>PHASE 2: PLANNING</t>
        </is>
      </c>
    </row>
    <row r="2">
      <c r="A2" s="12" t="inlineStr">
        <is>
          <t>ISO/IEC 27001:2022 - Control A.5.8: Information Security in Project Management — Security activities and gate reviews for this project phase</t>
        </is>
      </c>
    </row>
    <row r="3">
      <c r="A3" s="25" t="inlineStr">
        <is>
          <t>Activity</t>
        </is>
      </c>
      <c r="B3" s="25" t="inlineStr">
        <is>
          <t>Status</t>
        </is>
      </c>
      <c r="C3" s="25" t="inlineStr">
        <is>
          <t>Completion Date</t>
        </is>
      </c>
      <c r="D3" s="25" t="inlineStr">
        <is>
          <t>Evidence Link</t>
        </is>
      </c>
      <c r="E3" s="25" t="inlineStr">
        <is>
          <t>Notes</t>
        </is>
      </c>
    </row>
    <row r="4">
      <c r="A4" s="26" t="inlineStr">
        <is>
          <t>Document detailed security requirements (link to A.5.8.2 Register)</t>
        </is>
      </c>
      <c r="B4" s="27" t="inlineStr">
        <is>
          <t>Not Done</t>
        </is>
      </c>
      <c r="C4" s="28" t="n"/>
      <c r="D4" s="29" t="n"/>
      <c r="E4" s="29" t="n"/>
    </row>
    <row r="5">
      <c r="A5" s="30" t="n"/>
      <c r="B5" s="14" t="n"/>
      <c r="C5" s="31" t="n"/>
      <c r="D5" s="14" t="n"/>
      <c r="E5" s="14" t="n"/>
    </row>
    <row r="6">
      <c r="A6" s="30" t="n"/>
      <c r="B6" s="14" t="n"/>
      <c r="C6" s="31" t="n"/>
      <c r="D6" s="14" t="n"/>
      <c r="E6" s="14" t="n"/>
    </row>
    <row r="7">
      <c r="A7" s="30" t="n"/>
      <c r="B7" s="14" t="n"/>
      <c r="C7" s="31" t="n"/>
      <c r="D7" s="14" t="n"/>
      <c r="E7" s="14" t="n"/>
    </row>
    <row r="8">
      <c r="A8" s="30" t="n"/>
      <c r="B8" s="14" t="n"/>
      <c r="C8" s="31" t="n"/>
      <c r="D8" s="14" t="n"/>
      <c r="E8" s="14" t="n"/>
    </row>
    <row r="9">
      <c r="A9" s="30" t="n"/>
      <c r="B9" s="14" t="n"/>
      <c r="C9" s="31" t="n"/>
      <c r="D9" s="14" t="n"/>
      <c r="E9" s="14" t="n"/>
    </row>
    <row r="10">
      <c r="A10" s="30" t="n"/>
      <c r="B10" s="14" t="n"/>
      <c r="C10" s="31" t="n"/>
      <c r="D10" s="14" t="n"/>
      <c r="E10" s="14" t="n"/>
    </row>
    <row r="11">
      <c r="A11" s="30" t="n"/>
      <c r="B11" s="14" t="n"/>
      <c r="C11" s="31" t="n"/>
      <c r="D11" s="14" t="n"/>
      <c r="E11" s="14" t="n"/>
    </row>
    <row r="12">
      <c r="A12" s="30" t="n"/>
      <c r="B12" s="14" t="n"/>
      <c r="C12" s="31" t="n"/>
      <c r="D12" s="14" t="n"/>
      <c r="E12" s="14" t="n"/>
    </row>
    <row r="13">
      <c r="A13" s="30" t="n"/>
      <c r="B13" s="14" t="n"/>
      <c r="C13" s="31" t="n"/>
      <c r="D13" s="14" t="n"/>
      <c r="E13" s="14" t="n"/>
    </row>
    <row r="14">
      <c r="A14" s="30" t="n"/>
      <c r="B14" s="14" t="n"/>
      <c r="C14" s="31" t="n"/>
      <c r="D14" s="14" t="n"/>
      <c r="E14" s="14" t="n"/>
    </row>
    <row r="15">
      <c r="A15" s="30" t="n"/>
      <c r="B15" s="14" t="n"/>
      <c r="C15" s="31" t="n"/>
      <c r="D15" s="14" t="n"/>
      <c r="E15" s="14" t="n"/>
    </row>
    <row r="16">
      <c r="A16" s="30" t="n"/>
      <c r="B16" s="14" t="n"/>
      <c r="C16" s="31" t="n"/>
      <c r="D16" s="14" t="n"/>
      <c r="E16" s="14" t="n"/>
    </row>
    <row r="17">
      <c r="A17" s="30" t="n"/>
      <c r="B17" s="14" t="n"/>
      <c r="C17" s="31" t="n"/>
      <c r="D17" s="14" t="n"/>
      <c r="E17" s="14" t="n"/>
    </row>
    <row r="18">
      <c r="A18" s="30" t="n"/>
      <c r="B18" s="14" t="n"/>
      <c r="C18" s="31" t="n"/>
      <c r="D18" s="14" t="n"/>
      <c r="E18" s="14" t="n"/>
    </row>
    <row r="19">
      <c r="A19" s="30" t="n"/>
      <c r="B19" s="14" t="n"/>
      <c r="C19" s="31" t="n"/>
      <c r="D19" s="14" t="n"/>
      <c r="E19" s="14" t="n"/>
    </row>
    <row r="20">
      <c r="A20" s="30" t="n"/>
      <c r="B20" s="14" t="n"/>
      <c r="C20" s="31" t="n"/>
      <c r="D20" s="14" t="n"/>
      <c r="E20" s="14" t="n"/>
    </row>
    <row r="21">
      <c r="A21" s="30" t="n"/>
      <c r="B21" s="14" t="n"/>
      <c r="C21" s="31" t="n"/>
      <c r="D21" s="14" t="n"/>
      <c r="E21" s="14" t="n"/>
    </row>
    <row r="22">
      <c r="A22" s="30" t="n"/>
      <c r="B22" s="14" t="n"/>
      <c r="C22" s="31" t="n"/>
      <c r="D22" s="14" t="n"/>
      <c r="E22" s="14" t="n"/>
    </row>
    <row r="23">
      <c r="A23" s="30" t="n"/>
      <c r="B23" s="14" t="n"/>
      <c r="C23" s="31" t="n"/>
      <c r="D23" s="14" t="n"/>
      <c r="E23" s="14" t="n"/>
    </row>
    <row r="24">
      <c r="A24" s="30" t="n"/>
      <c r="B24" s="14" t="n"/>
      <c r="C24" s="31" t="n"/>
      <c r="D24" s="14" t="n"/>
      <c r="E24" s="14" t="n"/>
    </row>
    <row r="25">
      <c r="A25" s="30" t="n"/>
      <c r="B25" s="14" t="n"/>
      <c r="C25" s="31" t="n"/>
      <c r="D25" s="14" t="n"/>
      <c r="E25" s="14" t="n"/>
    </row>
    <row r="26">
      <c r="A26" s="30" t="n"/>
      <c r="B26" s="14" t="n"/>
      <c r="C26" s="31" t="n"/>
      <c r="D26" s="14" t="n"/>
      <c r="E26" s="14" t="n"/>
    </row>
    <row r="27">
      <c r="A27" s="30" t="n"/>
      <c r="B27" s="14" t="n"/>
      <c r="C27" s="31" t="n"/>
      <c r="D27" s="14" t="n"/>
      <c r="E27" s="14" t="n"/>
    </row>
    <row r="28">
      <c r="A28" s="30" t="n"/>
      <c r="B28" s="14" t="n"/>
      <c r="C28" s="31" t="n"/>
      <c r="D28" s="14" t="n"/>
      <c r="E28" s="14" t="n"/>
    </row>
    <row r="29">
      <c r="A29" s="30" t="n"/>
      <c r="B29" s="14" t="n"/>
      <c r="C29" s="31" t="n"/>
      <c r="D29" s="14" t="n"/>
      <c r="E29" s="14" t="n"/>
    </row>
    <row r="30">
      <c r="A30" s="30" t="n"/>
      <c r="B30" s="14" t="n"/>
      <c r="C30" s="31" t="n"/>
      <c r="D30" s="14" t="n"/>
      <c r="E30" s="14" t="n"/>
    </row>
    <row r="31">
      <c r="A31" s="30" t="n"/>
      <c r="B31" s="14" t="n"/>
      <c r="C31" s="31" t="n"/>
      <c r="D31" s="14" t="n"/>
      <c r="E31" s="14" t="n"/>
    </row>
    <row r="32">
      <c r="A32" s="30" t="n"/>
      <c r="B32" s="14" t="n"/>
      <c r="C32" s="31" t="n"/>
      <c r="D32" s="14" t="n"/>
      <c r="E32" s="14" t="n"/>
    </row>
    <row r="33">
      <c r="A33" s="30" t="n"/>
      <c r="B33" s="14" t="n"/>
      <c r="C33" s="31" t="n"/>
      <c r="D33" s="14" t="n"/>
      <c r="E33" s="14" t="n"/>
    </row>
    <row r="34">
      <c r="A34" s="30" t="n"/>
      <c r="B34" s="14" t="n"/>
      <c r="C34" s="31" t="n"/>
      <c r="D34" s="14" t="n"/>
      <c r="E34" s="14" t="n"/>
    </row>
    <row r="35">
      <c r="A35" s="30" t="n"/>
      <c r="B35" s="14" t="n"/>
      <c r="C35" s="31" t="n"/>
      <c r="D35" s="14" t="n"/>
      <c r="E35" s="14" t="n"/>
    </row>
    <row r="36">
      <c r="A36" s="30" t="n"/>
      <c r="B36" s="14" t="n"/>
      <c r="C36" s="31" t="n"/>
      <c r="D36" s="14" t="n"/>
      <c r="E36" s="14" t="n"/>
    </row>
    <row r="37">
      <c r="A37" s="30" t="n"/>
      <c r="B37" s="14" t="n"/>
      <c r="C37" s="31" t="n"/>
      <c r="D37" s="14" t="n"/>
      <c r="E37" s="14" t="n"/>
    </row>
    <row r="38">
      <c r="A38" s="30" t="n"/>
      <c r="B38" s="14" t="n"/>
      <c r="C38" s="31" t="n"/>
      <c r="D38" s="14" t="n"/>
      <c r="E38" s="14" t="n"/>
    </row>
    <row r="39">
      <c r="A39" s="30" t="n"/>
      <c r="B39" s="14" t="n"/>
      <c r="C39" s="31" t="n"/>
      <c r="D39" s="14" t="n"/>
      <c r="E39" s="14" t="n"/>
    </row>
    <row r="40">
      <c r="A40" s="30" t="n"/>
      <c r="B40" s="14" t="n"/>
      <c r="C40" s="31" t="n"/>
      <c r="D40" s="14" t="n"/>
      <c r="E40" s="14" t="n"/>
    </row>
    <row r="41">
      <c r="A41" s="30" t="n"/>
      <c r="B41" s="14" t="n"/>
      <c r="C41" s="31" t="n"/>
      <c r="D41" s="14" t="n"/>
      <c r="E41" s="14" t="n"/>
    </row>
    <row r="42">
      <c r="A42" s="30" t="n"/>
      <c r="B42" s="14" t="n"/>
      <c r="C42" s="31" t="n"/>
      <c r="D42" s="14" t="n"/>
      <c r="E42" s="14" t="n"/>
    </row>
    <row r="43">
      <c r="A43" s="30" t="n"/>
      <c r="B43" s="14" t="n"/>
      <c r="C43" s="31" t="n"/>
      <c r="D43" s="14" t="n"/>
      <c r="E43" s="14" t="n"/>
    </row>
    <row r="44">
      <c r="A44" s="30" t="n"/>
      <c r="B44" s="14" t="n"/>
      <c r="C44" s="31" t="n"/>
      <c r="D44" s="14" t="n"/>
      <c r="E44" s="14" t="n"/>
    </row>
    <row r="45">
      <c r="A45" s="30" t="n"/>
      <c r="B45" s="14" t="n"/>
      <c r="C45" s="31" t="n"/>
      <c r="D45" s="14" t="n"/>
      <c r="E45" s="14" t="n"/>
    </row>
    <row r="46">
      <c r="A46" s="30" t="n"/>
      <c r="B46" s="14" t="n"/>
      <c r="C46" s="31" t="n"/>
      <c r="D46" s="14" t="n"/>
      <c r="E46" s="14" t="n"/>
    </row>
    <row r="47">
      <c r="A47" s="30" t="n"/>
      <c r="B47" s="14" t="n"/>
      <c r="C47" s="31" t="n"/>
      <c r="D47" s="14" t="n"/>
      <c r="E47" s="14" t="n"/>
    </row>
    <row r="48">
      <c r="A48" s="30" t="n"/>
      <c r="B48" s="14" t="n"/>
      <c r="C48" s="31" t="n"/>
      <c r="D48" s="14" t="n"/>
      <c r="E48" s="14" t="n"/>
    </row>
    <row r="49">
      <c r="A49" s="30" t="n"/>
      <c r="B49" s="14" t="n"/>
      <c r="C49" s="31" t="n"/>
      <c r="D49" s="14" t="n"/>
      <c r="E49" s="14" t="n"/>
    </row>
    <row r="50">
      <c r="A50" s="30" t="n"/>
      <c r="B50" s="14" t="n"/>
      <c r="C50" s="31" t="n"/>
      <c r="D50" s="14" t="n"/>
      <c r="E50" s="14" t="n"/>
    </row>
    <row r="51">
      <c r="A51" s="30" t="n"/>
      <c r="B51" s="14" t="n"/>
      <c r="C51" s="31" t="n"/>
      <c r="D51" s="14" t="n"/>
      <c r="E51" s="14" t="n"/>
    </row>
    <row r="52">
      <c r="A52" s="30" t="n"/>
      <c r="B52" s="14" t="n"/>
      <c r="C52" s="31" t="n"/>
      <c r="D52" s="14" t="n"/>
      <c r="E52" s="14" t="n"/>
    </row>
    <row r="53">
      <c r="A53" s="30" t="n"/>
      <c r="B53" s="14" t="n"/>
      <c r="C53" s="31" t="n"/>
      <c r="D53" s="14" t="n"/>
      <c r="E53" s="14" t="n"/>
    </row>
    <row r="54">
      <c r="A54" s="30" t="n"/>
      <c r="B54" s="14" t="n"/>
      <c r="C54" s="31" t="n"/>
      <c r="D54" s="14" t="n"/>
      <c r="E54" s="14" t="n"/>
    </row>
  </sheetData>
  <mergeCells count="2">
    <mergeCell ref="A2:E2"/>
    <mergeCell ref="A1:E1"/>
  </mergeCells>
  <dataValidations count="1">
    <dataValidation sqref="B4 B5 B6 B7 B8 B9 B10 B11 B12 B13 B14 B15 B16 B17 B18 B19 B20 B21 B22 B23 B24 B25 B26 B27 B28 B29 B30 B31 B32 B33 B34 B35 B36 B37 B38 B39 B40 B41 B42 B43 B44 B45 B46 B47 B48 B49 B50 B51 B52 B53 B54" showDropDown="0" showInputMessage="0" showErrorMessage="0" allowBlank="0" type="list">
      <formula1>"Complete,In Progress,Incomplete,Not Done,N/A"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4"/>
  <sheetViews>
    <sheetView showGridLines="0" workbookViewId="0">
      <pane ySplit="3" topLeftCell="A4" activePane="bottomLeft" state="frozen"/>
      <selection pane="bottomLeft" activeCell="A1" sqref="A1"/>
    </sheetView>
  </sheetViews>
  <sheetFormatPr baseColWidth="8" defaultRowHeight="15"/>
  <cols>
    <col width="60" customWidth="1" min="1" max="1"/>
    <col width="15" customWidth="1" min="2" max="2"/>
    <col width="15" customWidth="1" min="3" max="3"/>
    <col width="40" customWidth="1" min="4" max="4"/>
    <col width="40" customWidth="1" min="5" max="5"/>
  </cols>
  <sheetData>
    <row r="1" ht="35" customHeight="1">
      <c r="A1" s="11" t="inlineStr">
        <is>
          <t>PHASE 3: EXECUTION</t>
        </is>
      </c>
    </row>
    <row r="2">
      <c r="A2" s="12" t="inlineStr">
        <is>
          <t>ISO/IEC 27001:2022 - Control A.5.8: Information Security in Project Management — Security activities and gate reviews for this project phase</t>
        </is>
      </c>
    </row>
    <row r="3">
      <c r="A3" s="25" t="inlineStr">
        <is>
          <t>Activity</t>
        </is>
      </c>
      <c r="B3" s="25" t="inlineStr">
        <is>
          <t>Status</t>
        </is>
      </c>
      <c r="C3" s="25" t="inlineStr">
        <is>
          <t>Completion Date</t>
        </is>
      </c>
      <c r="D3" s="25" t="inlineStr">
        <is>
          <t>Evidence Link</t>
        </is>
      </c>
      <c r="E3" s="25" t="inlineStr">
        <is>
          <t>Notes</t>
        </is>
      </c>
    </row>
    <row r="4">
      <c r="A4" s="26" t="inlineStr">
        <is>
          <t>Execute security testing per test plan (SAST, DAST, etc.)</t>
        </is>
      </c>
      <c r="B4" s="27" t="inlineStr">
        <is>
          <t>Not Done</t>
        </is>
      </c>
      <c r="C4" s="28" t="n"/>
      <c r="D4" s="29" t="n"/>
      <c r="E4" s="29" t="n"/>
    </row>
    <row r="5">
      <c r="A5" s="30" t="n"/>
      <c r="B5" s="14" t="n"/>
      <c r="C5" s="31" t="n"/>
      <c r="D5" s="14" t="n"/>
      <c r="E5" s="14" t="n"/>
    </row>
    <row r="6">
      <c r="A6" s="30" t="n"/>
      <c r="B6" s="14" t="n"/>
      <c r="C6" s="31" t="n"/>
      <c r="D6" s="14" t="n"/>
      <c r="E6" s="14" t="n"/>
    </row>
    <row r="7">
      <c r="A7" s="30" t="n"/>
      <c r="B7" s="14" t="n"/>
      <c r="C7" s="31" t="n"/>
      <c r="D7" s="14" t="n"/>
      <c r="E7" s="14" t="n"/>
    </row>
    <row r="8">
      <c r="A8" s="30" t="n"/>
      <c r="B8" s="14" t="n"/>
      <c r="C8" s="31" t="n"/>
      <c r="D8" s="14" t="n"/>
      <c r="E8" s="14" t="n"/>
    </row>
    <row r="9">
      <c r="A9" s="30" t="n"/>
      <c r="B9" s="14" t="n"/>
      <c r="C9" s="31" t="n"/>
      <c r="D9" s="14" t="n"/>
      <c r="E9" s="14" t="n"/>
    </row>
    <row r="10">
      <c r="A10" s="30" t="n"/>
      <c r="B10" s="14" t="n"/>
      <c r="C10" s="31" t="n"/>
      <c r="D10" s="14" t="n"/>
      <c r="E10" s="14" t="n"/>
    </row>
    <row r="11">
      <c r="A11" s="30" t="n"/>
      <c r="B11" s="14" t="n"/>
      <c r="C11" s="31" t="n"/>
      <c r="D11" s="14" t="n"/>
      <c r="E11" s="14" t="n"/>
    </row>
    <row r="12">
      <c r="A12" s="30" t="n"/>
      <c r="B12" s="14" t="n"/>
      <c r="C12" s="31" t="n"/>
      <c r="D12" s="14" t="n"/>
      <c r="E12" s="14" t="n"/>
    </row>
    <row r="13">
      <c r="A13" s="30" t="n"/>
      <c r="B13" s="14" t="n"/>
      <c r="C13" s="31" t="n"/>
      <c r="D13" s="14" t="n"/>
      <c r="E13" s="14" t="n"/>
    </row>
    <row r="14">
      <c r="A14" s="30" t="n"/>
      <c r="B14" s="14" t="n"/>
      <c r="C14" s="31" t="n"/>
      <c r="D14" s="14" t="n"/>
      <c r="E14" s="14" t="n"/>
    </row>
    <row r="15">
      <c r="A15" s="30" t="n"/>
      <c r="B15" s="14" t="n"/>
      <c r="C15" s="31" t="n"/>
      <c r="D15" s="14" t="n"/>
      <c r="E15" s="14" t="n"/>
    </row>
    <row r="16">
      <c r="A16" s="30" t="n"/>
      <c r="B16" s="14" t="n"/>
      <c r="C16" s="31" t="n"/>
      <c r="D16" s="14" t="n"/>
      <c r="E16" s="14" t="n"/>
    </row>
    <row r="17">
      <c r="A17" s="30" t="n"/>
      <c r="B17" s="14" t="n"/>
      <c r="C17" s="31" t="n"/>
      <c r="D17" s="14" t="n"/>
      <c r="E17" s="14" t="n"/>
    </row>
    <row r="18">
      <c r="A18" s="30" t="n"/>
      <c r="B18" s="14" t="n"/>
      <c r="C18" s="31" t="n"/>
      <c r="D18" s="14" t="n"/>
      <c r="E18" s="14" t="n"/>
    </row>
    <row r="19">
      <c r="A19" s="30" t="n"/>
      <c r="B19" s="14" t="n"/>
      <c r="C19" s="31" t="n"/>
      <c r="D19" s="14" t="n"/>
      <c r="E19" s="14" t="n"/>
    </row>
    <row r="20">
      <c r="A20" s="30" t="n"/>
      <c r="B20" s="14" t="n"/>
      <c r="C20" s="31" t="n"/>
      <c r="D20" s="14" t="n"/>
      <c r="E20" s="14" t="n"/>
    </row>
    <row r="21">
      <c r="A21" s="30" t="n"/>
      <c r="B21" s="14" t="n"/>
      <c r="C21" s="31" t="n"/>
      <c r="D21" s="14" t="n"/>
      <c r="E21" s="14" t="n"/>
    </row>
    <row r="22">
      <c r="A22" s="30" t="n"/>
      <c r="B22" s="14" t="n"/>
      <c r="C22" s="31" t="n"/>
      <c r="D22" s="14" t="n"/>
      <c r="E22" s="14" t="n"/>
    </row>
    <row r="23">
      <c r="A23" s="30" t="n"/>
      <c r="B23" s="14" t="n"/>
      <c r="C23" s="31" t="n"/>
      <c r="D23" s="14" t="n"/>
      <c r="E23" s="14" t="n"/>
    </row>
    <row r="24">
      <c r="A24" s="30" t="n"/>
      <c r="B24" s="14" t="n"/>
      <c r="C24" s="31" t="n"/>
      <c r="D24" s="14" t="n"/>
      <c r="E24" s="14" t="n"/>
    </row>
    <row r="25">
      <c r="A25" s="30" t="n"/>
      <c r="B25" s="14" t="n"/>
      <c r="C25" s="31" t="n"/>
      <c r="D25" s="14" t="n"/>
      <c r="E25" s="14" t="n"/>
    </row>
    <row r="26">
      <c r="A26" s="30" t="n"/>
      <c r="B26" s="14" t="n"/>
      <c r="C26" s="31" t="n"/>
      <c r="D26" s="14" t="n"/>
      <c r="E26" s="14" t="n"/>
    </row>
    <row r="27">
      <c r="A27" s="30" t="n"/>
      <c r="B27" s="14" t="n"/>
      <c r="C27" s="31" t="n"/>
      <c r="D27" s="14" t="n"/>
      <c r="E27" s="14" t="n"/>
    </row>
    <row r="28">
      <c r="A28" s="30" t="n"/>
      <c r="B28" s="14" t="n"/>
      <c r="C28" s="31" t="n"/>
      <c r="D28" s="14" t="n"/>
      <c r="E28" s="14" t="n"/>
    </row>
    <row r="29">
      <c r="A29" s="30" t="n"/>
      <c r="B29" s="14" t="n"/>
      <c r="C29" s="31" t="n"/>
      <c r="D29" s="14" t="n"/>
      <c r="E29" s="14" t="n"/>
    </row>
    <row r="30">
      <c r="A30" s="30" t="n"/>
      <c r="B30" s="14" t="n"/>
      <c r="C30" s="31" t="n"/>
      <c r="D30" s="14" t="n"/>
      <c r="E30" s="14" t="n"/>
    </row>
    <row r="31">
      <c r="A31" s="30" t="n"/>
      <c r="B31" s="14" t="n"/>
      <c r="C31" s="31" t="n"/>
      <c r="D31" s="14" t="n"/>
      <c r="E31" s="14" t="n"/>
    </row>
    <row r="32">
      <c r="A32" s="30" t="n"/>
      <c r="B32" s="14" t="n"/>
      <c r="C32" s="31" t="n"/>
      <c r="D32" s="14" t="n"/>
      <c r="E32" s="14" t="n"/>
    </row>
    <row r="33">
      <c r="A33" s="30" t="n"/>
      <c r="B33" s="14" t="n"/>
      <c r="C33" s="31" t="n"/>
      <c r="D33" s="14" t="n"/>
      <c r="E33" s="14" t="n"/>
    </row>
    <row r="34">
      <c r="A34" s="30" t="n"/>
      <c r="B34" s="14" t="n"/>
      <c r="C34" s="31" t="n"/>
      <c r="D34" s="14" t="n"/>
      <c r="E34" s="14" t="n"/>
    </row>
    <row r="35">
      <c r="A35" s="30" t="n"/>
      <c r="B35" s="14" t="n"/>
      <c r="C35" s="31" t="n"/>
      <c r="D35" s="14" t="n"/>
      <c r="E35" s="14" t="n"/>
    </row>
    <row r="36">
      <c r="A36" s="30" t="n"/>
      <c r="B36" s="14" t="n"/>
      <c r="C36" s="31" t="n"/>
      <c r="D36" s="14" t="n"/>
      <c r="E36" s="14" t="n"/>
    </row>
    <row r="37">
      <c r="A37" s="30" t="n"/>
      <c r="B37" s="14" t="n"/>
      <c r="C37" s="31" t="n"/>
      <c r="D37" s="14" t="n"/>
      <c r="E37" s="14" t="n"/>
    </row>
    <row r="38">
      <c r="A38" s="30" t="n"/>
      <c r="B38" s="14" t="n"/>
      <c r="C38" s="31" t="n"/>
      <c r="D38" s="14" t="n"/>
      <c r="E38" s="14" t="n"/>
    </row>
    <row r="39">
      <c r="A39" s="30" t="n"/>
      <c r="B39" s="14" t="n"/>
      <c r="C39" s="31" t="n"/>
      <c r="D39" s="14" t="n"/>
      <c r="E39" s="14" t="n"/>
    </row>
    <row r="40">
      <c r="A40" s="30" t="n"/>
      <c r="B40" s="14" t="n"/>
      <c r="C40" s="31" t="n"/>
      <c r="D40" s="14" t="n"/>
      <c r="E40" s="14" t="n"/>
    </row>
    <row r="41">
      <c r="A41" s="30" t="n"/>
      <c r="B41" s="14" t="n"/>
      <c r="C41" s="31" t="n"/>
      <c r="D41" s="14" t="n"/>
      <c r="E41" s="14" t="n"/>
    </row>
    <row r="42">
      <c r="A42" s="30" t="n"/>
      <c r="B42" s="14" t="n"/>
      <c r="C42" s="31" t="n"/>
      <c r="D42" s="14" t="n"/>
      <c r="E42" s="14" t="n"/>
    </row>
    <row r="43">
      <c r="A43" s="30" t="n"/>
      <c r="B43" s="14" t="n"/>
      <c r="C43" s="31" t="n"/>
      <c r="D43" s="14" t="n"/>
      <c r="E43" s="14" t="n"/>
    </row>
    <row r="44">
      <c r="A44" s="30" t="n"/>
      <c r="B44" s="14" t="n"/>
      <c r="C44" s="31" t="n"/>
      <c r="D44" s="14" t="n"/>
      <c r="E44" s="14" t="n"/>
    </row>
    <row r="45">
      <c r="A45" s="30" t="n"/>
      <c r="B45" s="14" t="n"/>
      <c r="C45" s="31" t="n"/>
      <c r="D45" s="14" t="n"/>
      <c r="E45" s="14" t="n"/>
    </row>
    <row r="46">
      <c r="A46" s="30" t="n"/>
      <c r="B46" s="14" t="n"/>
      <c r="C46" s="31" t="n"/>
      <c r="D46" s="14" t="n"/>
      <c r="E46" s="14" t="n"/>
    </row>
    <row r="47">
      <c r="A47" s="30" t="n"/>
      <c r="B47" s="14" t="n"/>
      <c r="C47" s="31" t="n"/>
      <c r="D47" s="14" t="n"/>
      <c r="E47" s="14" t="n"/>
    </row>
    <row r="48">
      <c r="A48" s="30" t="n"/>
      <c r="B48" s="14" t="n"/>
      <c r="C48" s="31" t="n"/>
      <c r="D48" s="14" t="n"/>
      <c r="E48" s="14" t="n"/>
    </row>
    <row r="49">
      <c r="A49" s="30" t="n"/>
      <c r="B49" s="14" t="n"/>
      <c r="C49" s="31" t="n"/>
      <c r="D49" s="14" t="n"/>
      <c r="E49" s="14" t="n"/>
    </row>
    <row r="50">
      <c r="A50" s="30" t="n"/>
      <c r="B50" s="14" t="n"/>
      <c r="C50" s="31" t="n"/>
      <c r="D50" s="14" t="n"/>
      <c r="E50" s="14" t="n"/>
    </row>
    <row r="51">
      <c r="A51" s="30" t="n"/>
      <c r="B51" s="14" t="n"/>
      <c r="C51" s="31" t="n"/>
      <c r="D51" s="14" t="n"/>
      <c r="E51" s="14" t="n"/>
    </row>
    <row r="52">
      <c r="A52" s="30" t="n"/>
      <c r="B52" s="14" t="n"/>
      <c r="C52" s="31" t="n"/>
      <c r="D52" s="14" t="n"/>
      <c r="E52" s="14" t="n"/>
    </row>
    <row r="53">
      <c r="A53" s="30" t="n"/>
      <c r="B53" s="14" t="n"/>
      <c r="C53" s="31" t="n"/>
      <c r="D53" s="14" t="n"/>
      <c r="E53" s="14" t="n"/>
    </row>
    <row r="54">
      <c r="A54" s="30" t="n"/>
      <c r="B54" s="14" t="n"/>
      <c r="C54" s="31" t="n"/>
      <c r="D54" s="14" t="n"/>
      <c r="E54" s="14" t="n"/>
    </row>
  </sheetData>
  <mergeCells count="2">
    <mergeCell ref="A2:E2"/>
    <mergeCell ref="A1:E1"/>
  </mergeCells>
  <dataValidations count="1">
    <dataValidation sqref="B4 B5 B6 B7 B8 B9 B10 B11 B12 B13 B14 B15 B16 B17 B18 B19 B20 B21 B22 B23 B24 B25 B26 B27 B28 B29 B30 B31 B32 B33 B34 B35 B36 B37 B38 B39 B40 B41 B42 B43 B44 B45 B46 B47 B48 B49 B50 B51 B52 B53 B54" showDropDown="0" showInputMessage="0" showErrorMessage="0" allowBlank="0" type="list">
      <formula1>"Complete,In Progress,Incomplete,Not Done,N/A"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4"/>
  <sheetViews>
    <sheetView showGridLines="0" workbookViewId="0">
      <pane ySplit="3" topLeftCell="A4" activePane="bottomLeft" state="frozen"/>
      <selection pane="bottomLeft" activeCell="A1" sqref="A1"/>
    </sheetView>
  </sheetViews>
  <sheetFormatPr baseColWidth="8" defaultRowHeight="15"/>
  <cols>
    <col width="60" customWidth="1" min="1" max="1"/>
    <col width="15" customWidth="1" min="2" max="2"/>
    <col width="15" customWidth="1" min="3" max="3"/>
    <col width="40" customWidth="1" min="4" max="4"/>
    <col width="40" customWidth="1" min="5" max="5"/>
  </cols>
  <sheetData>
    <row r="1" ht="35" customHeight="1">
      <c r="A1" s="11" t="inlineStr">
        <is>
          <t>PHASE 4: MONITORING</t>
        </is>
      </c>
    </row>
    <row r="2">
      <c r="A2" s="12" t="inlineStr">
        <is>
          <t>ISO/IEC 27001:2022 - Control A.5.8: Information Security in Project Management — Security activities and gate reviews for this project phase</t>
        </is>
      </c>
    </row>
    <row r="3">
      <c r="A3" s="25" t="inlineStr">
        <is>
          <t>Activity</t>
        </is>
      </c>
      <c r="B3" s="25" t="inlineStr">
        <is>
          <t>Status</t>
        </is>
      </c>
      <c r="C3" s="25" t="inlineStr">
        <is>
          <t>Completion Date</t>
        </is>
      </c>
      <c r="D3" s="25" t="inlineStr">
        <is>
          <t>Evidence Link</t>
        </is>
      </c>
      <c r="E3" s="25" t="inlineStr">
        <is>
          <t>Notes</t>
        </is>
      </c>
    </row>
    <row r="4">
      <c r="A4" s="26" t="inlineStr">
        <is>
          <t>Monitor ongoing compliance with security requirements</t>
        </is>
      </c>
      <c r="B4" s="27" t="inlineStr">
        <is>
          <t>Not Done</t>
        </is>
      </c>
      <c r="C4" s="28" t="n"/>
      <c r="D4" s="29" t="n"/>
      <c r="E4" s="29" t="n"/>
    </row>
    <row r="5">
      <c r="A5" s="30" t="n"/>
      <c r="B5" s="14" t="n"/>
      <c r="C5" s="31" t="n"/>
      <c r="D5" s="14" t="n"/>
      <c r="E5" s="14" t="n"/>
    </row>
    <row r="6">
      <c r="A6" s="30" t="n"/>
      <c r="B6" s="14" t="n"/>
      <c r="C6" s="31" t="n"/>
      <c r="D6" s="14" t="n"/>
      <c r="E6" s="14" t="n"/>
    </row>
    <row r="7">
      <c r="A7" s="30" t="n"/>
      <c r="B7" s="14" t="n"/>
      <c r="C7" s="31" t="n"/>
      <c r="D7" s="14" t="n"/>
      <c r="E7" s="14" t="n"/>
    </row>
    <row r="8">
      <c r="A8" s="30" t="n"/>
      <c r="B8" s="14" t="n"/>
      <c r="C8" s="31" t="n"/>
      <c r="D8" s="14" t="n"/>
      <c r="E8" s="14" t="n"/>
    </row>
    <row r="9">
      <c r="A9" s="30" t="n"/>
      <c r="B9" s="14" t="n"/>
      <c r="C9" s="31" t="n"/>
      <c r="D9" s="14" t="n"/>
      <c r="E9" s="14" t="n"/>
    </row>
    <row r="10">
      <c r="A10" s="30" t="n"/>
      <c r="B10" s="14" t="n"/>
      <c r="C10" s="31" t="n"/>
      <c r="D10" s="14" t="n"/>
      <c r="E10" s="14" t="n"/>
    </row>
    <row r="11">
      <c r="A11" s="30" t="n"/>
      <c r="B11" s="14" t="n"/>
      <c r="C11" s="31" t="n"/>
      <c r="D11" s="14" t="n"/>
      <c r="E11" s="14" t="n"/>
    </row>
    <row r="12">
      <c r="A12" s="30" t="n"/>
      <c r="B12" s="14" t="n"/>
      <c r="C12" s="31" t="n"/>
      <c r="D12" s="14" t="n"/>
      <c r="E12" s="14" t="n"/>
    </row>
    <row r="13">
      <c r="A13" s="30" t="n"/>
      <c r="B13" s="14" t="n"/>
      <c r="C13" s="31" t="n"/>
      <c r="D13" s="14" t="n"/>
      <c r="E13" s="14" t="n"/>
    </row>
    <row r="14">
      <c r="A14" s="30" t="n"/>
      <c r="B14" s="14" t="n"/>
      <c r="C14" s="31" t="n"/>
      <c r="D14" s="14" t="n"/>
      <c r="E14" s="14" t="n"/>
    </row>
    <row r="15">
      <c r="A15" s="30" t="n"/>
      <c r="B15" s="14" t="n"/>
      <c r="C15" s="31" t="n"/>
      <c r="D15" s="14" t="n"/>
      <c r="E15" s="14" t="n"/>
    </row>
    <row r="16">
      <c r="A16" s="30" t="n"/>
      <c r="B16" s="14" t="n"/>
      <c r="C16" s="31" t="n"/>
      <c r="D16" s="14" t="n"/>
      <c r="E16" s="14" t="n"/>
    </row>
    <row r="17">
      <c r="A17" s="30" t="n"/>
      <c r="B17" s="14" t="n"/>
      <c r="C17" s="31" t="n"/>
      <c r="D17" s="14" t="n"/>
      <c r="E17" s="14" t="n"/>
    </row>
    <row r="18">
      <c r="A18" s="30" t="n"/>
      <c r="B18" s="14" t="n"/>
      <c r="C18" s="31" t="n"/>
      <c r="D18" s="14" t="n"/>
      <c r="E18" s="14" t="n"/>
    </row>
    <row r="19">
      <c r="A19" s="30" t="n"/>
      <c r="B19" s="14" t="n"/>
      <c r="C19" s="31" t="n"/>
      <c r="D19" s="14" t="n"/>
      <c r="E19" s="14" t="n"/>
    </row>
    <row r="20">
      <c r="A20" s="30" t="n"/>
      <c r="B20" s="14" t="n"/>
      <c r="C20" s="31" t="n"/>
      <c r="D20" s="14" t="n"/>
      <c r="E20" s="14" t="n"/>
    </row>
    <row r="21">
      <c r="A21" s="30" t="n"/>
      <c r="B21" s="14" t="n"/>
      <c r="C21" s="31" t="n"/>
      <c r="D21" s="14" t="n"/>
      <c r="E21" s="14" t="n"/>
    </row>
    <row r="22">
      <c r="A22" s="30" t="n"/>
      <c r="B22" s="14" t="n"/>
      <c r="C22" s="31" t="n"/>
      <c r="D22" s="14" t="n"/>
      <c r="E22" s="14" t="n"/>
    </row>
    <row r="23">
      <c r="A23" s="30" t="n"/>
      <c r="B23" s="14" t="n"/>
      <c r="C23" s="31" t="n"/>
      <c r="D23" s="14" t="n"/>
      <c r="E23" s="14" t="n"/>
    </row>
    <row r="24">
      <c r="A24" s="30" t="n"/>
      <c r="B24" s="14" t="n"/>
      <c r="C24" s="31" t="n"/>
      <c r="D24" s="14" t="n"/>
      <c r="E24" s="14" t="n"/>
    </row>
    <row r="25">
      <c r="A25" s="30" t="n"/>
      <c r="B25" s="14" t="n"/>
      <c r="C25" s="31" t="n"/>
      <c r="D25" s="14" t="n"/>
      <c r="E25" s="14" t="n"/>
    </row>
    <row r="26">
      <c r="A26" s="30" t="n"/>
      <c r="B26" s="14" t="n"/>
      <c r="C26" s="31" t="n"/>
      <c r="D26" s="14" t="n"/>
      <c r="E26" s="14" t="n"/>
    </row>
    <row r="27">
      <c r="A27" s="30" t="n"/>
      <c r="B27" s="14" t="n"/>
      <c r="C27" s="31" t="n"/>
      <c r="D27" s="14" t="n"/>
      <c r="E27" s="14" t="n"/>
    </row>
    <row r="28">
      <c r="A28" s="30" t="n"/>
      <c r="B28" s="14" t="n"/>
      <c r="C28" s="31" t="n"/>
      <c r="D28" s="14" t="n"/>
      <c r="E28" s="14" t="n"/>
    </row>
    <row r="29">
      <c r="A29" s="30" t="n"/>
      <c r="B29" s="14" t="n"/>
      <c r="C29" s="31" t="n"/>
      <c r="D29" s="14" t="n"/>
      <c r="E29" s="14" t="n"/>
    </row>
    <row r="30">
      <c r="A30" s="30" t="n"/>
      <c r="B30" s="14" t="n"/>
      <c r="C30" s="31" t="n"/>
      <c r="D30" s="14" t="n"/>
      <c r="E30" s="14" t="n"/>
    </row>
    <row r="31">
      <c r="A31" s="30" t="n"/>
      <c r="B31" s="14" t="n"/>
      <c r="C31" s="31" t="n"/>
      <c r="D31" s="14" t="n"/>
      <c r="E31" s="14" t="n"/>
    </row>
    <row r="32">
      <c r="A32" s="30" t="n"/>
      <c r="B32" s="14" t="n"/>
      <c r="C32" s="31" t="n"/>
      <c r="D32" s="14" t="n"/>
      <c r="E32" s="14" t="n"/>
    </row>
    <row r="33">
      <c r="A33" s="30" t="n"/>
      <c r="B33" s="14" t="n"/>
      <c r="C33" s="31" t="n"/>
      <c r="D33" s="14" t="n"/>
      <c r="E33" s="14" t="n"/>
    </row>
    <row r="34">
      <c r="A34" s="30" t="n"/>
      <c r="B34" s="14" t="n"/>
      <c r="C34" s="31" t="n"/>
      <c r="D34" s="14" t="n"/>
      <c r="E34" s="14" t="n"/>
    </row>
    <row r="35">
      <c r="A35" s="30" t="n"/>
      <c r="B35" s="14" t="n"/>
      <c r="C35" s="31" t="n"/>
      <c r="D35" s="14" t="n"/>
      <c r="E35" s="14" t="n"/>
    </row>
    <row r="36">
      <c r="A36" s="30" t="n"/>
      <c r="B36" s="14" t="n"/>
      <c r="C36" s="31" t="n"/>
      <c r="D36" s="14" t="n"/>
      <c r="E36" s="14" t="n"/>
    </row>
    <row r="37">
      <c r="A37" s="30" t="n"/>
      <c r="B37" s="14" t="n"/>
      <c r="C37" s="31" t="n"/>
      <c r="D37" s="14" t="n"/>
      <c r="E37" s="14" t="n"/>
    </row>
    <row r="38">
      <c r="A38" s="30" t="n"/>
      <c r="B38" s="14" t="n"/>
      <c r="C38" s="31" t="n"/>
      <c r="D38" s="14" t="n"/>
      <c r="E38" s="14" t="n"/>
    </row>
    <row r="39">
      <c r="A39" s="30" t="n"/>
      <c r="B39" s="14" t="n"/>
      <c r="C39" s="31" t="n"/>
      <c r="D39" s="14" t="n"/>
      <c r="E39" s="14" t="n"/>
    </row>
    <row r="40">
      <c r="A40" s="30" t="n"/>
      <c r="B40" s="14" t="n"/>
      <c r="C40" s="31" t="n"/>
      <c r="D40" s="14" t="n"/>
      <c r="E40" s="14" t="n"/>
    </row>
    <row r="41">
      <c r="A41" s="30" t="n"/>
      <c r="B41" s="14" t="n"/>
      <c r="C41" s="31" t="n"/>
      <c r="D41" s="14" t="n"/>
      <c r="E41" s="14" t="n"/>
    </row>
    <row r="42">
      <c r="A42" s="30" t="n"/>
      <c r="B42" s="14" t="n"/>
      <c r="C42" s="31" t="n"/>
      <c r="D42" s="14" t="n"/>
      <c r="E42" s="14" t="n"/>
    </row>
    <row r="43">
      <c r="A43" s="30" t="n"/>
      <c r="B43" s="14" t="n"/>
      <c r="C43" s="31" t="n"/>
      <c r="D43" s="14" t="n"/>
      <c r="E43" s="14" t="n"/>
    </row>
    <row r="44">
      <c r="A44" s="30" t="n"/>
      <c r="B44" s="14" t="n"/>
      <c r="C44" s="31" t="n"/>
      <c r="D44" s="14" t="n"/>
      <c r="E44" s="14" t="n"/>
    </row>
    <row r="45">
      <c r="A45" s="30" t="n"/>
      <c r="B45" s="14" t="n"/>
      <c r="C45" s="31" t="n"/>
      <c r="D45" s="14" t="n"/>
      <c r="E45" s="14" t="n"/>
    </row>
    <row r="46">
      <c r="A46" s="30" t="n"/>
      <c r="B46" s="14" t="n"/>
      <c r="C46" s="31" t="n"/>
      <c r="D46" s="14" t="n"/>
      <c r="E46" s="14" t="n"/>
    </row>
    <row r="47">
      <c r="A47" s="30" t="n"/>
      <c r="B47" s="14" t="n"/>
      <c r="C47" s="31" t="n"/>
      <c r="D47" s="14" t="n"/>
      <c r="E47" s="14" t="n"/>
    </row>
    <row r="48">
      <c r="A48" s="30" t="n"/>
      <c r="B48" s="14" t="n"/>
      <c r="C48" s="31" t="n"/>
      <c r="D48" s="14" t="n"/>
      <c r="E48" s="14" t="n"/>
    </row>
    <row r="49">
      <c r="A49" s="30" t="n"/>
      <c r="B49" s="14" t="n"/>
      <c r="C49" s="31" t="n"/>
      <c r="D49" s="14" t="n"/>
      <c r="E49" s="14" t="n"/>
    </row>
    <row r="50">
      <c r="A50" s="30" t="n"/>
      <c r="B50" s="14" t="n"/>
      <c r="C50" s="31" t="n"/>
      <c r="D50" s="14" t="n"/>
      <c r="E50" s="14" t="n"/>
    </row>
    <row r="51">
      <c r="A51" s="30" t="n"/>
      <c r="B51" s="14" t="n"/>
      <c r="C51" s="31" t="n"/>
      <c r="D51" s="14" t="n"/>
      <c r="E51" s="14" t="n"/>
    </row>
    <row r="52">
      <c r="A52" s="30" t="n"/>
      <c r="B52" s="14" t="n"/>
      <c r="C52" s="31" t="n"/>
      <c r="D52" s="14" t="n"/>
      <c r="E52" s="14" t="n"/>
    </row>
    <row r="53">
      <c r="A53" s="30" t="n"/>
      <c r="B53" s="14" t="n"/>
      <c r="C53" s="31" t="n"/>
      <c r="D53" s="14" t="n"/>
      <c r="E53" s="14" t="n"/>
    </row>
    <row r="54">
      <c r="A54" s="30" t="n"/>
      <c r="B54" s="14" t="n"/>
      <c r="C54" s="31" t="n"/>
      <c r="D54" s="14" t="n"/>
      <c r="E54" s="14" t="n"/>
    </row>
  </sheetData>
  <mergeCells count="2">
    <mergeCell ref="A2:E2"/>
    <mergeCell ref="A1:E1"/>
  </mergeCells>
  <dataValidations count="1">
    <dataValidation sqref="B4 B5 B6 B7 B8 B9 B10 B11 B12 B13 B14 B15 B16 B17 B18 B19 B20 B21 B22 B23 B24 B25 B26 B27 B28 B29 B30 B31 B32 B33 B34 B35 B36 B37 B38 B39 B40 B41 B42 B43 B44 B45 B46 B47 B48 B49 B50 B51 B52 B53 B54" showDropDown="0" showInputMessage="0" showErrorMessage="0" allowBlank="0" type="list">
      <formula1>"Complete,In Progress,Incomplete,Not Done,N/A"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4"/>
  <sheetViews>
    <sheetView showGridLines="0" workbookViewId="0">
      <pane ySplit="3" topLeftCell="A4" activePane="bottomLeft" state="frozen"/>
      <selection pane="bottomLeft" activeCell="A1" sqref="A1"/>
    </sheetView>
  </sheetViews>
  <sheetFormatPr baseColWidth="8" defaultRowHeight="15"/>
  <cols>
    <col width="60" customWidth="1" min="1" max="1"/>
    <col width="15" customWidth="1" min="2" max="2"/>
    <col width="15" customWidth="1" min="3" max="3"/>
    <col width="40" customWidth="1" min="4" max="4"/>
    <col width="40" customWidth="1" min="5" max="5"/>
  </cols>
  <sheetData>
    <row r="1" ht="35" customHeight="1">
      <c r="A1" s="11" t="inlineStr">
        <is>
          <t>PHASE 5: CLOSURE</t>
        </is>
      </c>
    </row>
    <row r="2">
      <c r="A2" s="12" t="inlineStr">
        <is>
          <t>ISO/IEC 27001:2022 - Control A.5.8: Information Security in Project Management — Security activities and gate reviews for this project phase</t>
        </is>
      </c>
    </row>
    <row r="3">
      <c r="A3" s="25" t="inlineStr">
        <is>
          <t>Activity</t>
        </is>
      </c>
      <c r="B3" s="25" t="inlineStr">
        <is>
          <t>Status</t>
        </is>
      </c>
      <c r="C3" s="25" t="inlineStr">
        <is>
          <t>Completion Date</t>
        </is>
      </c>
      <c r="D3" s="25" t="inlineStr">
        <is>
          <t>Evidence Link</t>
        </is>
      </c>
      <c r="E3" s="25" t="inlineStr">
        <is>
          <t>Notes</t>
        </is>
      </c>
    </row>
    <row r="4">
      <c r="A4" s="26" t="inlineStr">
        <is>
          <t>Complete security handover documentation</t>
        </is>
      </c>
      <c r="B4" s="27" t="inlineStr">
        <is>
          <t>Not Done</t>
        </is>
      </c>
      <c r="C4" s="28" t="n"/>
      <c r="D4" s="29" t="n"/>
      <c r="E4" s="29" t="n"/>
    </row>
    <row r="5">
      <c r="A5" s="30" t="n"/>
      <c r="B5" s="14" t="n"/>
      <c r="C5" s="31" t="n"/>
      <c r="D5" s="14" t="n"/>
      <c r="E5" s="14" t="n"/>
    </row>
    <row r="6">
      <c r="A6" s="30" t="n"/>
      <c r="B6" s="14" t="n"/>
      <c r="C6" s="31" t="n"/>
      <c r="D6" s="14" t="n"/>
      <c r="E6" s="14" t="n"/>
    </row>
    <row r="7">
      <c r="A7" s="30" t="n"/>
      <c r="B7" s="14" t="n"/>
      <c r="C7" s="31" t="n"/>
      <c r="D7" s="14" t="n"/>
      <c r="E7" s="14" t="n"/>
    </row>
    <row r="8">
      <c r="A8" s="30" t="n"/>
      <c r="B8" s="14" t="n"/>
      <c r="C8" s="31" t="n"/>
      <c r="D8" s="14" t="n"/>
      <c r="E8" s="14" t="n"/>
    </row>
    <row r="9">
      <c r="A9" s="30" t="n"/>
      <c r="B9" s="14" t="n"/>
      <c r="C9" s="31" t="n"/>
      <c r="D9" s="14" t="n"/>
      <c r="E9" s="14" t="n"/>
    </row>
    <row r="10">
      <c r="A10" s="30" t="n"/>
      <c r="B10" s="14" t="n"/>
      <c r="C10" s="31" t="n"/>
      <c r="D10" s="14" t="n"/>
      <c r="E10" s="14" t="n"/>
    </row>
    <row r="11">
      <c r="A11" s="30" t="n"/>
      <c r="B11" s="14" t="n"/>
      <c r="C11" s="31" t="n"/>
      <c r="D11" s="14" t="n"/>
      <c r="E11" s="14" t="n"/>
    </row>
    <row r="12">
      <c r="A12" s="30" t="n"/>
      <c r="B12" s="14" t="n"/>
      <c r="C12" s="31" t="n"/>
      <c r="D12" s="14" t="n"/>
      <c r="E12" s="14" t="n"/>
    </row>
    <row r="13">
      <c r="A13" s="30" t="n"/>
      <c r="B13" s="14" t="n"/>
      <c r="C13" s="31" t="n"/>
      <c r="D13" s="14" t="n"/>
      <c r="E13" s="14" t="n"/>
    </row>
    <row r="14">
      <c r="A14" s="30" t="n"/>
      <c r="B14" s="14" t="n"/>
      <c r="C14" s="31" t="n"/>
      <c r="D14" s="14" t="n"/>
      <c r="E14" s="14" t="n"/>
    </row>
    <row r="15">
      <c r="A15" s="30" t="n"/>
      <c r="B15" s="14" t="n"/>
      <c r="C15" s="31" t="n"/>
      <c r="D15" s="14" t="n"/>
      <c r="E15" s="14" t="n"/>
    </row>
    <row r="16">
      <c r="A16" s="30" t="n"/>
      <c r="B16" s="14" t="n"/>
      <c r="C16" s="31" t="n"/>
      <c r="D16" s="14" t="n"/>
      <c r="E16" s="14" t="n"/>
    </row>
    <row r="17">
      <c r="A17" s="30" t="n"/>
      <c r="B17" s="14" t="n"/>
      <c r="C17" s="31" t="n"/>
      <c r="D17" s="14" t="n"/>
      <c r="E17" s="14" t="n"/>
    </row>
    <row r="18">
      <c r="A18" s="30" t="n"/>
      <c r="B18" s="14" t="n"/>
      <c r="C18" s="31" t="n"/>
      <c r="D18" s="14" t="n"/>
      <c r="E18" s="14" t="n"/>
    </row>
    <row r="19">
      <c r="A19" s="30" t="n"/>
      <c r="B19" s="14" t="n"/>
      <c r="C19" s="31" t="n"/>
      <c r="D19" s="14" t="n"/>
      <c r="E19" s="14" t="n"/>
    </row>
    <row r="20">
      <c r="A20" s="30" t="n"/>
      <c r="B20" s="14" t="n"/>
      <c r="C20" s="31" t="n"/>
      <c r="D20" s="14" t="n"/>
      <c r="E20" s="14" t="n"/>
    </row>
    <row r="21">
      <c r="A21" s="30" t="n"/>
      <c r="B21" s="14" t="n"/>
      <c r="C21" s="31" t="n"/>
      <c r="D21" s="14" t="n"/>
      <c r="E21" s="14" t="n"/>
    </row>
    <row r="22">
      <c r="A22" s="30" t="n"/>
      <c r="B22" s="14" t="n"/>
      <c r="C22" s="31" t="n"/>
      <c r="D22" s="14" t="n"/>
      <c r="E22" s="14" t="n"/>
    </row>
    <row r="23">
      <c r="A23" s="30" t="n"/>
      <c r="B23" s="14" t="n"/>
      <c r="C23" s="31" t="n"/>
      <c r="D23" s="14" t="n"/>
      <c r="E23" s="14" t="n"/>
    </row>
    <row r="24">
      <c r="A24" s="30" t="n"/>
      <c r="B24" s="14" t="n"/>
      <c r="C24" s="31" t="n"/>
      <c r="D24" s="14" t="n"/>
      <c r="E24" s="14" t="n"/>
    </row>
    <row r="25">
      <c r="A25" s="30" t="n"/>
      <c r="B25" s="14" t="n"/>
      <c r="C25" s="31" t="n"/>
      <c r="D25" s="14" t="n"/>
      <c r="E25" s="14" t="n"/>
    </row>
    <row r="26">
      <c r="A26" s="30" t="n"/>
      <c r="B26" s="14" t="n"/>
      <c r="C26" s="31" t="n"/>
      <c r="D26" s="14" t="n"/>
      <c r="E26" s="14" t="n"/>
    </row>
    <row r="27">
      <c r="A27" s="30" t="n"/>
      <c r="B27" s="14" t="n"/>
      <c r="C27" s="31" t="n"/>
      <c r="D27" s="14" t="n"/>
      <c r="E27" s="14" t="n"/>
    </row>
    <row r="28">
      <c r="A28" s="30" t="n"/>
      <c r="B28" s="14" t="n"/>
      <c r="C28" s="31" t="n"/>
      <c r="D28" s="14" t="n"/>
      <c r="E28" s="14" t="n"/>
    </row>
    <row r="29">
      <c r="A29" s="30" t="n"/>
      <c r="B29" s="14" t="n"/>
      <c r="C29" s="31" t="n"/>
      <c r="D29" s="14" t="n"/>
      <c r="E29" s="14" t="n"/>
    </row>
    <row r="30">
      <c r="A30" s="30" t="n"/>
      <c r="B30" s="14" t="n"/>
      <c r="C30" s="31" t="n"/>
      <c r="D30" s="14" t="n"/>
      <c r="E30" s="14" t="n"/>
    </row>
    <row r="31">
      <c r="A31" s="30" t="n"/>
      <c r="B31" s="14" t="n"/>
      <c r="C31" s="31" t="n"/>
      <c r="D31" s="14" t="n"/>
      <c r="E31" s="14" t="n"/>
    </row>
    <row r="32">
      <c r="A32" s="30" t="n"/>
      <c r="B32" s="14" t="n"/>
      <c r="C32" s="31" t="n"/>
      <c r="D32" s="14" t="n"/>
      <c r="E32" s="14" t="n"/>
    </row>
    <row r="33">
      <c r="A33" s="30" t="n"/>
      <c r="B33" s="14" t="n"/>
      <c r="C33" s="31" t="n"/>
      <c r="D33" s="14" t="n"/>
      <c r="E33" s="14" t="n"/>
    </row>
    <row r="34">
      <c r="A34" s="30" t="n"/>
      <c r="B34" s="14" t="n"/>
      <c r="C34" s="31" t="n"/>
      <c r="D34" s="14" t="n"/>
      <c r="E34" s="14" t="n"/>
    </row>
    <row r="35">
      <c r="A35" s="30" t="n"/>
      <c r="B35" s="14" t="n"/>
      <c r="C35" s="31" t="n"/>
      <c r="D35" s="14" t="n"/>
      <c r="E35" s="14" t="n"/>
    </row>
    <row r="36">
      <c r="A36" s="30" t="n"/>
      <c r="B36" s="14" t="n"/>
      <c r="C36" s="31" t="n"/>
      <c r="D36" s="14" t="n"/>
      <c r="E36" s="14" t="n"/>
    </row>
    <row r="37">
      <c r="A37" s="30" t="n"/>
      <c r="B37" s="14" t="n"/>
      <c r="C37" s="31" t="n"/>
      <c r="D37" s="14" t="n"/>
      <c r="E37" s="14" t="n"/>
    </row>
    <row r="38">
      <c r="A38" s="30" t="n"/>
      <c r="B38" s="14" t="n"/>
      <c r="C38" s="31" t="n"/>
      <c r="D38" s="14" t="n"/>
      <c r="E38" s="14" t="n"/>
    </row>
    <row r="39">
      <c r="A39" s="30" t="n"/>
      <c r="B39" s="14" t="n"/>
      <c r="C39" s="31" t="n"/>
      <c r="D39" s="14" t="n"/>
      <c r="E39" s="14" t="n"/>
    </row>
    <row r="40">
      <c r="A40" s="30" t="n"/>
      <c r="B40" s="14" t="n"/>
      <c r="C40" s="31" t="n"/>
      <c r="D40" s="14" t="n"/>
      <c r="E40" s="14" t="n"/>
    </row>
    <row r="41">
      <c r="A41" s="30" t="n"/>
      <c r="B41" s="14" t="n"/>
      <c r="C41" s="31" t="n"/>
      <c r="D41" s="14" t="n"/>
      <c r="E41" s="14" t="n"/>
    </row>
    <row r="42">
      <c r="A42" s="30" t="n"/>
      <c r="B42" s="14" t="n"/>
      <c r="C42" s="31" t="n"/>
      <c r="D42" s="14" t="n"/>
      <c r="E42" s="14" t="n"/>
    </row>
    <row r="43">
      <c r="A43" s="30" t="n"/>
      <c r="B43" s="14" t="n"/>
      <c r="C43" s="31" t="n"/>
      <c r="D43" s="14" t="n"/>
      <c r="E43" s="14" t="n"/>
    </row>
    <row r="44">
      <c r="A44" s="30" t="n"/>
      <c r="B44" s="14" t="n"/>
      <c r="C44" s="31" t="n"/>
      <c r="D44" s="14" t="n"/>
      <c r="E44" s="14" t="n"/>
    </row>
    <row r="45">
      <c r="A45" s="30" t="n"/>
      <c r="B45" s="14" t="n"/>
      <c r="C45" s="31" t="n"/>
      <c r="D45" s="14" t="n"/>
      <c r="E45" s="14" t="n"/>
    </row>
    <row r="46">
      <c r="A46" s="30" t="n"/>
      <c r="B46" s="14" t="n"/>
      <c r="C46" s="31" t="n"/>
      <c r="D46" s="14" t="n"/>
      <c r="E46" s="14" t="n"/>
    </row>
    <row r="47">
      <c r="A47" s="30" t="n"/>
      <c r="B47" s="14" t="n"/>
      <c r="C47" s="31" t="n"/>
      <c r="D47" s="14" t="n"/>
      <c r="E47" s="14" t="n"/>
    </row>
    <row r="48">
      <c r="A48" s="30" t="n"/>
      <c r="B48" s="14" t="n"/>
      <c r="C48" s="31" t="n"/>
      <c r="D48" s="14" t="n"/>
      <c r="E48" s="14" t="n"/>
    </row>
    <row r="49">
      <c r="A49" s="30" t="n"/>
      <c r="B49" s="14" t="n"/>
      <c r="C49" s="31" t="n"/>
      <c r="D49" s="14" t="n"/>
      <c r="E49" s="14" t="n"/>
    </row>
    <row r="50">
      <c r="A50" s="30" t="n"/>
      <c r="B50" s="14" t="n"/>
      <c r="C50" s="31" t="n"/>
      <c r="D50" s="14" t="n"/>
      <c r="E50" s="14" t="n"/>
    </row>
    <row r="51">
      <c r="A51" s="30" t="n"/>
      <c r="B51" s="14" t="n"/>
      <c r="C51" s="31" t="n"/>
      <c r="D51" s="14" t="n"/>
      <c r="E51" s="14" t="n"/>
    </row>
    <row r="52">
      <c r="A52" s="30" t="n"/>
      <c r="B52" s="14" t="n"/>
      <c r="C52" s="31" t="n"/>
      <c r="D52" s="14" t="n"/>
      <c r="E52" s="14" t="n"/>
    </row>
    <row r="53">
      <c r="A53" s="30" t="n"/>
      <c r="B53" s="14" t="n"/>
      <c r="C53" s="31" t="n"/>
      <c r="D53" s="14" t="n"/>
      <c r="E53" s="14" t="n"/>
    </row>
    <row r="54">
      <c r="A54" s="30" t="n"/>
      <c r="B54" s="14" t="n"/>
      <c r="C54" s="31" t="n"/>
      <c r="D54" s="14" t="n"/>
      <c r="E54" s="14" t="n"/>
    </row>
  </sheetData>
  <mergeCells count="2">
    <mergeCell ref="A2:E2"/>
    <mergeCell ref="A1:E1"/>
  </mergeCells>
  <dataValidations count="1">
    <dataValidation sqref="B4 B5 B6 B7 B8 B9 B10 B11 B12 B13 B14 B15 B16 B17 B18 B19 B20 B21 B22 B23 B24 B25 B26 B27 B28 B29 B30 B31 B32 B33 B34 B35 B36 B37 B38 B39 B40 B41 B42 B43 B44 B45 B46 B47 B48 B49 B50 B51 B52 B53 B54" showDropDown="0" showInputMessage="0" showErrorMessage="0" allowBlank="0" type="list">
      <formula1>"Complete,In Progress,Incomplete,Not Done,N/A"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32" t="inlineStr">
        <is>
          <t>EVIDENCE REGISTER</t>
        </is>
      </c>
    </row>
    <row r="2">
      <c r="A2" s="33" t="inlineStr">
        <is>
          <t>ISO/IEC 27001:2022 - Control A.5.8: Information Security in Project Management</t>
        </is>
      </c>
    </row>
    <row r="3">
      <c r="A3" s="6" t="n"/>
      <c r="B3" s="6" t="n"/>
      <c r="C3" s="6" t="n"/>
      <c r="D3" s="6" t="n"/>
      <c r="E3" s="6" t="n"/>
      <c r="F3" s="6" t="n"/>
      <c r="G3" s="6" t="n"/>
      <c r="H3" s="6" t="n"/>
    </row>
    <row r="4">
      <c r="A4" s="34" t="inlineStr">
        <is>
          <t>Evidence ID</t>
        </is>
      </c>
      <c r="B4" s="34" t="inlineStr">
        <is>
          <t>Evidence Type</t>
        </is>
      </c>
      <c r="C4" s="34" t="inlineStr">
        <is>
          <t>Description</t>
        </is>
      </c>
      <c r="D4" s="34" t="inlineStr">
        <is>
          <t>Related Control / Section</t>
        </is>
      </c>
      <c r="E4" s="34" t="inlineStr">
        <is>
          <t>Collection Date (DD.MM.YYYY)</t>
        </is>
      </c>
      <c r="F4" s="34" t="inlineStr">
        <is>
          <t>Storage Location / Reference</t>
        </is>
      </c>
      <c r="G4" s="34" t="inlineStr">
        <is>
          <t>Collected By</t>
        </is>
      </c>
      <c r="H4" s="34" t="inlineStr">
        <is>
          <t>Status</t>
        </is>
      </c>
    </row>
    <row r="5">
      <c r="A5" s="35" t="inlineStr">
        <is>
          <t>EV-001</t>
        </is>
      </c>
      <c r="B5" s="35" t="inlineStr">
        <is>
          <t>Document</t>
        </is>
      </c>
      <c r="C5" s="35" t="inlineStr">
        <is>
          <t>Sample evidence entry — replace with actual evidence</t>
        </is>
      </c>
      <c r="D5" s="35" t="inlineStr">
        <is>
          <t>All Controls</t>
        </is>
      </c>
      <c r="E5" s="35" t="inlineStr">
        <is>
          <t>01.01.2026</t>
        </is>
      </c>
      <c r="F5" s="35" t="inlineStr">
        <is>
          <t>SharePoint/ISMS/Evidence/</t>
        </is>
      </c>
      <c r="G5" s="35" t="inlineStr">
        <is>
          <t>ISMS Team</t>
        </is>
      </c>
      <c r="H5" s="35" t="inlineStr">
        <is>
          <t>Active</t>
        </is>
      </c>
    </row>
    <row r="6">
      <c r="A6" s="36" t="n"/>
      <c r="B6" s="36" t="n"/>
      <c r="C6" s="36" t="n"/>
      <c r="D6" s="36" t="n"/>
      <c r="E6" s="36" t="n"/>
      <c r="F6" s="36" t="n"/>
      <c r="G6" s="36" t="n"/>
      <c r="H6" s="36" t="n"/>
    </row>
    <row r="7">
      <c r="A7" s="36" t="n"/>
      <c r="B7" s="36" t="n"/>
      <c r="C7" s="36" t="n"/>
      <c r="D7" s="36" t="n"/>
      <c r="E7" s="36" t="n"/>
      <c r="F7" s="36" t="n"/>
      <c r="G7" s="36" t="n"/>
      <c r="H7" s="36" t="n"/>
    </row>
    <row r="8">
      <c r="A8" s="36" t="n"/>
      <c r="B8" s="36" t="n"/>
      <c r="C8" s="36" t="n"/>
      <c r="D8" s="36" t="n"/>
      <c r="E8" s="36" t="n"/>
      <c r="F8" s="36" t="n"/>
      <c r="G8" s="36" t="n"/>
      <c r="H8" s="36" t="n"/>
    </row>
    <row r="9">
      <c r="A9" s="36" t="n"/>
      <c r="B9" s="36" t="n"/>
      <c r="C9" s="36" t="n"/>
      <c r="D9" s="36" t="n"/>
      <c r="E9" s="36" t="n"/>
      <c r="F9" s="36" t="n"/>
      <c r="G9" s="36" t="n"/>
      <c r="H9" s="36" t="n"/>
    </row>
    <row r="10">
      <c r="A10" s="36" t="n"/>
      <c r="B10" s="36" t="n"/>
      <c r="C10" s="36" t="n"/>
      <c r="D10" s="36" t="n"/>
      <c r="E10" s="36" t="n"/>
      <c r="F10" s="36" t="n"/>
      <c r="G10" s="36" t="n"/>
      <c r="H10" s="36" t="n"/>
    </row>
    <row r="11">
      <c r="A11" s="36" t="n"/>
      <c r="B11" s="36" t="n"/>
      <c r="C11" s="36" t="n"/>
      <c r="D11" s="36" t="n"/>
      <c r="E11" s="36" t="n"/>
      <c r="F11" s="36" t="n"/>
      <c r="G11" s="36" t="n"/>
      <c r="H11" s="36" t="n"/>
    </row>
    <row r="12">
      <c r="A12" s="36" t="n"/>
      <c r="B12" s="36" t="n"/>
      <c r="C12" s="36" t="n"/>
      <c r="D12" s="36" t="n"/>
      <c r="E12" s="36" t="n"/>
      <c r="F12" s="36" t="n"/>
      <c r="G12" s="36" t="n"/>
      <c r="H12" s="36" t="n"/>
    </row>
    <row r="13">
      <c r="A13" s="36" t="n"/>
      <c r="B13" s="36" t="n"/>
      <c r="C13" s="36" t="n"/>
      <c r="D13" s="36" t="n"/>
      <c r="E13" s="36" t="n"/>
      <c r="F13" s="36" t="n"/>
      <c r="G13" s="36" t="n"/>
      <c r="H13" s="36" t="n"/>
    </row>
    <row r="14">
      <c r="A14" s="36" t="n"/>
      <c r="B14" s="36" t="n"/>
      <c r="C14" s="36" t="n"/>
      <c r="D14" s="36" t="n"/>
      <c r="E14" s="36" t="n"/>
      <c r="F14" s="36" t="n"/>
      <c r="G14" s="36" t="n"/>
      <c r="H14" s="36" t="n"/>
    </row>
    <row r="15">
      <c r="A15" s="36" t="n"/>
      <c r="B15" s="36" t="n"/>
      <c r="C15" s="36" t="n"/>
      <c r="D15" s="36" t="n"/>
      <c r="E15" s="36" t="n"/>
      <c r="F15" s="36" t="n"/>
      <c r="G15" s="36" t="n"/>
      <c r="H15" s="36" t="n"/>
    </row>
    <row r="16">
      <c r="A16" s="36" t="n"/>
      <c r="B16" s="36" t="n"/>
      <c r="C16" s="36" t="n"/>
      <c r="D16" s="36" t="n"/>
      <c r="E16" s="36" t="n"/>
      <c r="F16" s="36" t="n"/>
      <c r="G16" s="36" t="n"/>
      <c r="H16" s="36" t="n"/>
    </row>
    <row r="17">
      <c r="A17" s="36" t="n"/>
      <c r="B17" s="36" t="n"/>
      <c r="C17" s="36" t="n"/>
      <c r="D17" s="36" t="n"/>
      <c r="E17" s="36" t="n"/>
      <c r="F17" s="36" t="n"/>
      <c r="G17" s="36" t="n"/>
      <c r="H17" s="36" t="n"/>
    </row>
    <row r="18">
      <c r="A18" s="36" t="n"/>
      <c r="B18" s="36" t="n"/>
      <c r="C18" s="36" t="n"/>
      <c r="D18" s="36" t="n"/>
      <c r="E18" s="36" t="n"/>
      <c r="F18" s="36" t="n"/>
      <c r="G18" s="36" t="n"/>
      <c r="H18" s="36" t="n"/>
    </row>
    <row r="19">
      <c r="A19" s="36" t="n"/>
      <c r="B19" s="36" t="n"/>
      <c r="C19" s="36" t="n"/>
      <c r="D19" s="36" t="n"/>
      <c r="E19" s="36" t="n"/>
      <c r="F19" s="36" t="n"/>
      <c r="G19" s="36" t="n"/>
      <c r="H19" s="36" t="n"/>
    </row>
    <row r="20">
      <c r="A20" s="36" t="n"/>
      <c r="B20" s="36" t="n"/>
      <c r="C20" s="36" t="n"/>
      <c r="D20" s="36" t="n"/>
      <c r="E20" s="36" t="n"/>
      <c r="F20" s="36" t="n"/>
      <c r="G20" s="36" t="n"/>
      <c r="H20" s="36" t="n"/>
    </row>
    <row r="21">
      <c r="A21" s="36" t="n"/>
      <c r="B21" s="36" t="n"/>
      <c r="C21" s="36" t="n"/>
      <c r="D21" s="36" t="n"/>
      <c r="E21" s="36" t="n"/>
      <c r="F21" s="36" t="n"/>
      <c r="G21" s="36" t="n"/>
      <c r="H21" s="36" t="n"/>
    </row>
    <row r="22">
      <c r="A22" s="36" t="n"/>
      <c r="B22" s="36" t="n"/>
      <c r="C22" s="36" t="n"/>
      <c r="D22" s="36" t="n"/>
      <c r="E22" s="36" t="n"/>
      <c r="F22" s="36" t="n"/>
      <c r="G22" s="36" t="n"/>
      <c r="H22" s="36" t="n"/>
    </row>
    <row r="23">
      <c r="A23" s="36" t="n"/>
      <c r="B23" s="36" t="n"/>
      <c r="C23" s="36" t="n"/>
      <c r="D23" s="36" t="n"/>
      <c r="E23" s="36" t="n"/>
      <c r="F23" s="36" t="n"/>
      <c r="G23" s="36" t="n"/>
      <c r="H23" s="36" t="n"/>
    </row>
    <row r="24">
      <c r="A24" s="36" t="n"/>
      <c r="B24" s="36" t="n"/>
      <c r="C24" s="36" t="n"/>
      <c r="D24" s="36" t="n"/>
      <c r="E24" s="36" t="n"/>
      <c r="F24" s="36" t="n"/>
      <c r="G24" s="36" t="n"/>
      <c r="H24" s="36" t="n"/>
    </row>
    <row r="25">
      <c r="A25" s="36" t="n"/>
      <c r="B25" s="36" t="n"/>
      <c r="C25" s="36" t="n"/>
      <c r="D25" s="36" t="n"/>
      <c r="E25" s="36" t="n"/>
      <c r="F25" s="36" t="n"/>
      <c r="G25" s="36" t="n"/>
      <c r="H25" s="36" t="n"/>
    </row>
    <row r="26">
      <c r="A26" s="36" t="n"/>
      <c r="B26" s="36" t="n"/>
      <c r="C26" s="36" t="n"/>
      <c r="D26" s="36" t="n"/>
      <c r="E26" s="36" t="n"/>
      <c r="F26" s="36" t="n"/>
      <c r="G26" s="36" t="n"/>
      <c r="H26" s="36" t="n"/>
    </row>
    <row r="27">
      <c r="A27" s="36" t="n"/>
      <c r="B27" s="36" t="n"/>
      <c r="C27" s="36" t="n"/>
      <c r="D27" s="36" t="n"/>
      <c r="E27" s="36" t="n"/>
      <c r="F27" s="36" t="n"/>
      <c r="G27" s="36" t="n"/>
      <c r="H27" s="36" t="n"/>
    </row>
    <row r="28">
      <c r="A28" s="36" t="n"/>
      <c r="B28" s="36" t="n"/>
      <c r="C28" s="36" t="n"/>
      <c r="D28" s="36" t="n"/>
      <c r="E28" s="36" t="n"/>
      <c r="F28" s="36" t="n"/>
      <c r="G28" s="36" t="n"/>
      <c r="H28" s="36" t="n"/>
    </row>
    <row r="29">
      <c r="A29" s="36" t="n"/>
      <c r="B29" s="36" t="n"/>
      <c r="C29" s="36" t="n"/>
      <c r="D29" s="36" t="n"/>
      <c r="E29" s="36" t="n"/>
      <c r="F29" s="36" t="n"/>
      <c r="G29" s="36" t="n"/>
      <c r="H29" s="36" t="n"/>
    </row>
    <row r="30">
      <c r="A30" s="36" t="n"/>
      <c r="B30" s="36" t="n"/>
      <c r="C30" s="36" t="n"/>
      <c r="D30" s="36" t="n"/>
      <c r="E30" s="36" t="n"/>
      <c r="F30" s="36" t="n"/>
      <c r="G30" s="36" t="n"/>
      <c r="H30" s="36" t="n"/>
    </row>
    <row r="31">
      <c r="A31" s="36" t="n"/>
      <c r="B31" s="36" t="n"/>
      <c r="C31" s="36" t="n"/>
      <c r="D31" s="36" t="n"/>
      <c r="E31" s="36" t="n"/>
      <c r="F31" s="36" t="n"/>
      <c r="G31" s="36" t="n"/>
      <c r="H31" s="36" t="n"/>
    </row>
    <row r="32">
      <c r="A32" s="36" t="n"/>
      <c r="B32" s="36" t="n"/>
      <c r="C32" s="36" t="n"/>
      <c r="D32" s="36" t="n"/>
      <c r="E32" s="36" t="n"/>
      <c r="F32" s="36" t="n"/>
      <c r="G32" s="36" t="n"/>
      <c r="H32" s="36" t="n"/>
    </row>
    <row r="33">
      <c r="A33" s="36" t="n"/>
      <c r="B33" s="36" t="n"/>
      <c r="C33" s="36" t="n"/>
      <c r="D33" s="36" t="n"/>
      <c r="E33" s="36" t="n"/>
      <c r="F33" s="36" t="n"/>
      <c r="G33" s="36" t="n"/>
      <c r="H33" s="36" t="n"/>
    </row>
    <row r="34">
      <c r="A34" s="36" t="n"/>
      <c r="B34" s="36" t="n"/>
      <c r="C34" s="36" t="n"/>
      <c r="D34" s="36" t="n"/>
      <c r="E34" s="36" t="n"/>
      <c r="F34" s="36" t="n"/>
      <c r="G34" s="36" t="n"/>
      <c r="H34" s="36" t="n"/>
    </row>
    <row r="35">
      <c r="A35" s="36" t="n"/>
      <c r="B35" s="36" t="n"/>
      <c r="C35" s="36" t="n"/>
      <c r="D35" s="36" t="n"/>
      <c r="E35" s="36" t="n"/>
      <c r="F35" s="36" t="n"/>
      <c r="G35" s="36" t="n"/>
      <c r="H35" s="36" t="n"/>
    </row>
    <row r="36">
      <c r="A36" s="36" t="n"/>
      <c r="B36" s="36" t="n"/>
      <c r="C36" s="36" t="n"/>
      <c r="D36" s="36" t="n"/>
      <c r="E36" s="36" t="n"/>
      <c r="F36" s="36" t="n"/>
      <c r="G36" s="36" t="n"/>
      <c r="H36" s="36" t="n"/>
    </row>
    <row r="37">
      <c r="A37" s="36" t="n"/>
      <c r="B37" s="36" t="n"/>
      <c r="C37" s="36" t="n"/>
      <c r="D37" s="36" t="n"/>
      <c r="E37" s="36" t="n"/>
      <c r="F37" s="36" t="n"/>
      <c r="G37" s="36" t="n"/>
      <c r="H37" s="36" t="n"/>
    </row>
    <row r="38">
      <c r="A38" s="36" t="n"/>
      <c r="B38" s="36" t="n"/>
      <c r="C38" s="36" t="n"/>
      <c r="D38" s="36" t="n"/>
      <c r="E38" s="36" t="n"/>
      <c r="F38" s="36" t="n"/>
      <c r="G38" s="36" t="n"/>
      <c r="H38" s="36" t="n"/>
    </row>
    <row r="39">
      <c r="A39" s="36" t="n"/>
      <c r="B39" s="36" t="n"/>
      <c r="C39" s="36" t="n"/>
      <c r="D39" s="36" t="n"/>
      <c r="E39" s="36" t="n"/>
      <c r="F39" s="36" t="n"/>
      <c r="G39" s="36" t="n"/>
      <c r="H39" s="36" t="n"/>
    </row>
    <row r="40">
      <c r="A40" s="36" t="n"/>
      <c r="B40" s="36" t="n"/>
      <c r="C40" s="36" t="n"/>
      <c r="D40" s="36" t="n"/>
      <c r="E40" s="36" t="n"/>
      <c r="F40" s="36" t="n"/>
      <c r="G40" s="36" t="n"/>
      <c r="H40" s="36" t="n"/>
    </row>
    <row r="41">
      <c r="A41" s="36" t="n"/>
      <c r="B41" s="36" t="n"/>
      <c r="C41" s="36" t="n"/>
      <c r="D41" s="36" t="n"/>
      <c r="E41" s="36" t="n"/>
      <c r="F41" s="36" t="n"/>
      <c r="G41" s="36" t="n"/>
      <c r="H41" s="36" t="n"/>
    </row>
    <row r="42">
      <c r="A42" s="36" t="n"/>
      <c r="B42" s="36" t="n"/>
      <c r="C42" s="36" t="n"/>
      <c r="D42" s="36" t="n"/>
      <c r="E42" s="36" t="n"/>
      <c r="F42" s="36" t="n"/>
      <c r="G42" s="36" t="n"/>
      <c r="H42" s="36" t="n"/>
    </row>
    <row r="43">
      <c r="A43" s="36" t="n"/>
      <c r="B43" s="36" t="n"/>
      <c r="C43" s="36" t="n"/>
      <c r="D43" s="36" t="n"/>
      <c r="E43" s="36" t="n"/>
      <c r="F43" s="36" t="n"/>
      <c r="G43" s="36" t="n"/>
      <c r="H43" s="36" t="n"/>
    </row>
    <row r="44">
      <c r="A44" s="36" t="n"/>
      <c r="B44" s="36" t="n"/>
      <c r="C44" s="36" t="n"/>
      <c r="D44" s="36" t="n"/>
      <c r="E44" s="36" t="n"/>
      <c r="F44" s="36" t="n"/>
      <c r="G44" s="36" t="n"/>
      <c r="H44" s="36" t="n"/>
    </row>
    <row r="45">
      <c r="A45" s="36" t="n"/>
      <c r="B45" s="36" t="n"/>
      <c r="C45" s="36" t="n"/>
      <c r="D45" s="36" t="n"/>
      <c r="E45" s="36" t="n"/>
      <c r="F45" s="36" t="n"/>
      <c r="G45" s="36" t="n"/>
      <c r="H45" s="36" t="n"/>
    </row>
    <row r="46">
      <c r="A46" s="36" t="n"/>
      <c r="B46" s="36" t="n"/>
      <c r="C46" s="36" t="n"/>
      <c r="D46" s="36" t="n"/>
      <c r="E46" s="36" t="n"/>
      <c r="F46" s="36" t="n"/>
      <c r="G46" s="36" t="n"/>
      <c r="H46" s="36" t="n"/>
    </row>
    <row r="47">
      <c r="A47" s="36" t="n"/>
      <c r="B47" s="36" t="n"/>
      <c r="C47" s="36" t="n"/>
      <c r="D47" s="36" t="n"/>
      <c r="E47" s="36" t="n"/>
      <c r="F47" s="36" t="n"/>
      <c r="G47" s="36" t="n"/>
      <c r="H47" s="36" t="n"/>
    </row>
    <row r="48">
      <c r="A48" s="36" t="n"/>
      <c r="B48" s="36" t="n"/>
      <c r="C48" s="36" t="n"/>
      <c r="D48" s="36" t="n"/>
      <c r="E48" s="36" t="n"/>
      <c r="F48" s="36" t="n"/>
      <c r="G48" s="36" t="n"/>
      <c r="H48" s="36" t="n"/>
    </row>
    <row r="49">
      <c r="A49" s="36" t="n"/>
      <c r="B49" s="36" t="n"/>
      <c r="C49" s="36" t="n"/>
      <c r="D49" s="36" t="n"/>
      <c r="E49" s="36" t="n"/>
      <c r="F49" s="36" t="n"/>
      <c r="G49" s="36" t="n"/>
      <c r="H49" s="36" t="n"/>
    </row>
    <row r="50">
      <c r="A50" s="36" t="n"/>
      <c r="B50" s="36" t="n"/>
      <c r="C50" s="36" t="n"/>
      <c r="D50" s="36" t="n"/>
      <c r="E50" s="36" t="n"/>
      <c r="F50" s="36" t="n"/>
      <c r="G50" s="36" t="n"/>
      <c r="H50" s="36" t="n"/>
    </row>
    <row r="51">
      <c r="A51" s="36" t="n"/>
      <c r="B51" s="36" t="n"/>
      <c r="C51" s="36" t="n"/>
      <c r="D51" s="36" t="n"/>
      <c r="E51" s="36" t="n"/>
      <c r="F51" s="36" t="n"/>
      <c r="G51" s="36" t="n"/>
      <c r="H51" s="36" t="n"/>
    </row>
    <row r="52">
      <c r="A52" s="36" t="n"/>
      <c r="B52" s="36" t="n"/>
      <c r="C52" s="36" t="n"/>
      <c r="D52" s="36" t="n"/>
      <c r="E52" s="36" t="n"/>
      <c r="F52" s="36" t="n"/>
      <c r="G52" s="36" t="n"/>
      <c r="H52" s="36" t="n"/>
    </row>
    <row r="53">
      <c r="A53" s="36" t="n"/>
      <c r="B53" s="36" t="n"/>
      <c r="C53" s="36" t="n"/>
      <c r="D53" s="36" t="n"/>
      <c r="E53" s="36" t="n"/>
      <c r="F53" s="36" t="n"/>
      <c r="G53" s="36" t="n"/>
      <c r="H53" s="36" t="n"/>
    </row>
    <row r="54">
      <c r="A54" s="36" t="n"/>
      <c r="B54" s="36" t="n"/>
      <c r="C54" s="36" t="n"/>
      <c r="D54" s="36" t="n"/>
      <c r="E54" s="36" t="n"/>
      <c r="F54" s="36" t="n"/>
      <c r="G54" s="36" t="n"/>
      <c r="H54" s="36" t="n"/>
    </row>
    <row r="55">
      <c r="A55" s="36" t="n"/>
      <c r="B55" s="36" t="n"/>
      <c r="C55" s="36" t="n"/>
      <c r="D55" s="36" t="n"/>
      <c r="E55" s="36" t="n"/>
      <c r="F55" s="36" t="n"/>
      <c r="G55" s="36" t="n"/>
      <c r="H55" s="36" t="n"/>
    </row>
    <row r="56">
      <c r="A56" s="36" t="n"/>
      <c r="B56" s="36" t="n"/>
      <c r="C56" s="36" t="n"/>
      <c r="D56" s="36" t="n"/>
      <c r="E56" s="36" t="n"/>
      <c r="F56" s="36" t="n"/>
      <c r="G56" s="36" t="n"/>
      <c r="H56" s="36" t="n"/>
    </row>
    <row r="57">
      <c r="A57" s="36" t="n"/>
      <c r="B57" s="36" t="n"/>
      <c r="C57" s="36" t="n"/>
      <c r="D57" s="36" t="n"/>
      <c r="E57" s="36" t="n"/>
      <c r="F57" s="36" t="n"/>
      <c r="G57" s="36" t="n"/>
      <c r="H57" s="36" t="n"/>
    </row>
    <row r="58">
      <c r="A58" s="36" t="n"/>
      <c r="B58" s="36" t="n"/>
      <c r="C58" s="36" t="n"/>
      <c r="D58" s="36" t="n"/>
      <c r="E58" s="36" t="n"/>
      <c r="F58" s="36" t="n"/>
      <c r="G58" s="36" t="n"/>
      <c r="H58" s="36" t="n"/>
    </row>
    <row r="59">
      <c r="A59" s="36" t="n"/>
      <c r="B59" s="36" t="n"/>
      <c r="C59" s="36" t="n"/>
      <c r="D59" s="36" t="n"/>
      <c r="E59" s="36" t="n"/>
      <c r="F59" s="36" t="n"/>
      <c r="G59" s="36" t="n"/>
      <c r="H59" s="36" t="n"/>
    </row>
    <row r="60">
      <c r="A60" s="36" t="n"/>
      <c r="B60" s="36" t="n"/>
      <c r="C60" s="36" t="n"/>
      <c r="D60" s="36" t="n"/>
      <c r="E60" s="36" t="n"/>
      <c r="F60" s="36" t="n"/>
      <c r="G60" s="36" t="n"/>
      <c r="H60" s="36" t="n"/>
    </row>
    <row r="61">
      <c r="A61" s="36" t="n"/>
      <c r="B61" s="36" t="n"/>
      <c r="C61" s="36" t="n"/>
      <c r="D61" s="36" t="n"/>
      <c r="E61" s="36" t="n"/>
      <c r="F61" s="36" t="n"/>
      <c r="G61" s="36" t="n"/>
      <c r="H61" s="36" t="n"/>
    </row>
    <row r="62">
      <c r="A62" s="36" t="n"/>
      <c r="B62" s="36" t="n"/>
      <c r="C62" s="36" t="n"/>
      <c r="D62" s="36" t="n"/>
      <c r="E62" s="36" t="n"/>
      <c r="F62" s="36" t="n"/>
      <c r="G62" s="36" t="n"/>
      <c r="H62" s="36" t="n"/>
    </row>
    <row r="63">
      <c r="A63" s="36" t="n"/>
      <c r="B63" s="36" t="n"/>
      <c r="C63" s="36" t="n"/>
      <c r="D63" s="36" t="n"/>
      <c r="E63" s="36" t="n"/>
      <c r="F63" s="36" t="n"/>
      <c r="G63" s="36" t="n"/>
      <c r="H63" s="36" t="n"/>
    </row>
    <row r="64">
      <c r="A64" s="36" t="n"/>
      <c r="B64" s="36" t="n"/>
      <c r="C64" s="36" t="n"/>
      <c r="D64" s="36" t="n"/>
      <c r="E64" s="36" t="n"/>
      <c r="F64" s="36" t="n"/>
      <c r="G64" s="36" t="n"/>
      <c r="H64" s="36" t="n"/>
    </row>
    <row r="65">
      <c r="A65" s="36" t="n"/>
      <c r="B65" s="36" t="n"/>
      <c r="C65" s="36" t="n"/>
      <c r="D65" s="36" t="n"/>
      <c r="E65" s="36" t="n"/>
      <c r="F65" s="36" t="n"/>
      <c r="G65" s="36" t="n"/>
      <c r="H65" s="36" t="n"/>
    </row>
    <row r="66">
      <c r="A66" s="36" t="n"/>
      <c r="B66" s="36" t="n"/>
      <c r="C66" s="36" t="n"/>
      <c r="D66" s="36" t="n"/>
      <c r="E66" s="36" t="n"/>
      <c r="F66" s="36" t="n"/>
      <c r="G66" s="36" t="n"/>
      <c r="H66" s="36" t="n"/>
    </row>
    <row r="67">
      <c r="A67" s="36" t="n"/>
      <c r="B67" s="36" t="n"/>
      <c r="C67" s="36" t="n"/>
      <c r="D67" s="36" t="n"/>
      <c r="E67" s="36" t="n"/>
      <c r="F67" s="36" t="n"/>
      <c r="G67" s="36" t="n"/>
      <c r="H67" s="36" t="n"/>
    </row>
    <row r="68">
      <c r="A68" s="36" t="n"/>
      <c r="B68" s="36" t="n"/>
      <c r="C68" s="36" t="n"/>
      <c r="D68" s="36" t="n"/>
      <c r="E68" s="36" t="n"/>
      <c r="F68" s="36" t="n"/>
      <c r="G68" s="36" t="n"/>
      <c r="H68" s="36" t="n"/>
    </row>
    <row r="69">
      <c r="A69" s="36" t="n"/>
      <c r="B69" s="36" t="n"/>
      <c r="C69" s="36" t="n"/>
      <c r="D69" s="36" t="n"/>
      <c r="E69" s="36" t="n"/>
      <c r="F69" s="36" t="n"/>
      <c r="G69" s="36" t="n"/>
      <c r="H69" s="36" t="n"/>
    </row>
    <row r="70">
      <c r="A70" s="36" t="n"/>
      <c r="B70" s="36" t="n"/>
      <c r="C70" s="36" t="n"/>
      <c r="D70" s="36" t="n"/>
      <c r="E70" s="36" t="n"/>
      <c r="F70" s="36" t="n"/>
      <c r="G70" s="36" t="n"/>
      <c r="H70" s="36" t="n"/>
    </row>
    <row r="71">
      <c r="A71" s="36" t="n"/>
      <c r="B71" s="36" t="n"/>
      <c r="C71" s="36" t="n"/>
      <c r="D71" s="36" t="n"/>
      <c r="E71" s="36" t="n"/>
      <c r="F71" s="36" t="n"/>
      <c r="G71" s="36" t="n"/>
      <c r="H71" s="36" t="n"/>
    </row>
    <row r="72">
      <c r="A72" s="36" t="n"/>
      <c r="B72" s="36" t="n"/>
      <c r="C72" s="36" t="n"/>
      <c r="D72" s="36" t="n"/>
      <c r="E72" s="36" t="n"/>
      <c r="F72" s="36" t="n"/>
      <c r="G72" s="36" t="n"/>
      <c r="H72" s="36" t="n"/>
    </row>
    <row r="73">
      <c r="A73" s="36" t="n"/>
      <c r="B73" s="36" t="n"/>
      <c r="C73" s="36" t="n"/>
      <c r="D73" s="36" t="n"/>
      <c r="E73" s="36" t="n"/>
      <c r="F73" s="36" t="n"/>
      <c r="G73" s="36" t="n"/>
      <c r="H73" s="36" t="n"/>
    </row>
    <row r="74">
      <c r="A74" s="36" t="n"/>
      <c r="B74" s="36" t="n"/>
      <c r="C74" s="36" t="n"/>
      <c r="D74" s="36" t="n"/>
      <c r="E74" s="36" t="n"/>
      <c r="F74" s="36" t="n"/>
      <c r="G74" s="36" t="n"/>
      <c r="H74" s="36" t="n"/>
    </row>
    <row r="75">
      <c r="A75" s="36" t="n"/>
      <c r="B75" s="36" t="n"/>
      <c r="C75" s="36" t="n"/>
      <c r="D75" s="36" t="n"/>
      <c r="E75" s="36" t="n"/>
      <c r="F75" s="36" t="n"/>
      <c r="G75" s="36" t="n"/>
      <c r="H75" s="36" t="n"/>
    </row>
    <row r="76">
      <c r="A76" s="36" t="n"/>
      <c r="B76" s="36" t="n"/>
      <c r="C76" s="36" t="n"/>
      <c r="D76" s="36" t="n"/>
      <c r="E76" s="36" t="n"/>
      <c r="F76" s="36" t="n"/>
      <c r="G76" s="36" t="n"/>
      <c r="H76" s="36" t="n"/>
    </row>
    <row r="77">
      <c r="A77" s="36" t="n"/>
      <c r="B77" s="36" t="n"/>
      <c r="C77" s="36" t="n"/>
      <c r="D77" s="36" t="n"/>
      <c r="E77" s="36" t="n"/>
      <c r="F77" s="36" t="n"/>
      <c r="G77" s="36" t="n"/>
      <c r="H77" s="36" t="n"/>
    </row>
    <row r="78">
      <c r="A78" s="36" t="n"/>
      <c r="B78" s="36" t="n"/>
      <c r="C78" s="36" t="n"/>
      <c r="D78" s="36" t="n"/>
      <c r="E78" s="36" t="n"/>
      <c r="F78" s="36" t="n"/>
      <c r="G78" s="36" t="n"/>
      <c r="H78" s="36" t="n"/>
    </row>
    <row r="79">
      <c r="A79" s="36" t="n"/>
      <c r="B79" s="36" t="n"/>
      <c r="C79" s="36" t="n"/>
      <c r="D79" s="36" t="n"/>
      <c r="E79" s="36" t="n"/>
      <c r="F79" s="36" t="n"/>
      <c r="G79" s="36" t="n"/>
      <c r="H79" s="36" t="n"/>
    </row>
    <row r="80">
      <c r="A80" s="36" t="n"/>
      <c r="B80" s="36" t="n"/>
      <c r="C80" s="36" t="n"/>
      <c r="D80" s="36" t="n"/>
      <c r="E80" s="36" t="n"/>
      <c r="F80" s="36" t="n"/>
      <c r="G80" s="36" t="n"/>
      <c r="H80" s="36" t="n"/>
    </row>
    <row r="81">
      <c r="A81" s="36" t="n"/>
      <c r="B81" s="36" t="n"/>
      <c r="C81" s="36" t="n"/>
      <c r="D81" s="36" t="n"/>
      <c r="E81" s="36" t="n"/>
      <c r="F81" s="36" t="n"/>
      <c r="G81" s="36" t="n"/>
      <c r="H81" s="36" t="n"/>
    </row>
    <row r="82">
      <c r="A82" s="36" t="n"/>
      <c r="B82" s="36" t="n"/>
      <c r="C82" s="36" t="n"/>
      <c r="D82" s="36" t="n"/>
      <c r="E82" s="36" t="n"/>
      <c r="F82" s="36" t="n"/>
      <c r="G82" s="36" t="n"/>
      <c r="H82" s="36" t="n"/>
    </row>
    <row r="83">
      <c r="A83" s="36" t="n"/>
      <c r="B83" s="36" t="n"/>
      <c r="C83" s="36" t="n"/>
      <c r="D83" s="36" t="n"/>
      <c r="E83" s="36" t="n"/>
      <c r="F83" s="36" t="n"/>
      <c r="G83" s="36" t="n"/>
      <c r="H83" s="36" t="n"/>
    </row>
    <row r="84">
      <c r="A84" s="36" t="n"/>
      <c r="B84" s="36" t="n"/>
      <c r="C84" s="36" t="n"/>
      <c r="D84" s="36" t="n"/>
      <c r="E84" s="36" t="n"/>
      <c r="F84" s="36" t="n"/>
      <c r="G84" s="36" t="n"/>
      <c r="H84" s="36" t="n"/>
    </row>
    <row r="85">
      <c r="A85" s="36" t="n"/>
      <c r="B85" s="36" t="n"/>
      <c r="C85" s="36" t="n"/>
      <c r="D85" s="36" t="n"/>
      <c r="E85" s="36" t="n"/>
      <c r="F85" s="36" t="n"/>
      <c r="G85" s="36" t="n"/>
      <c r="H85" s="36" t="n"/>
    </row>
    <row r="86">
      <c r="A86" s="36" t="n"/>
      <c r="B86" s="36" t="n"/>
      <c r="C86" s="36" t="n"/>
      <c r="D86" s="36" t="n"/>
      <c r="E86" s="36" t="n"/>
      <c r="F86" s="36" t="n"/>
      <c r="G86" s="36" t="n"/>
      <c r="H86" s="36" t="n"/>
    </row>
    <row r="87">
      <c r="A87" s="36" t="n"/>
      <c r="B87" s="36" t="n"/>
      <c r="C87" s="36" t="n"/>
      <c r="D87" s="36" t="n"/>
      <c r="E87" s="36" t="n"/>
      <c r="F87" s="36" t="n"/>
      <c r="G87" s="36" t="n"/>
      <c r="H87" s="36" t="n"/>
    </row>
    <row r="88">
      <c r="A88" s="36" t="n"/>
      <c r="B88" s="36" t="n"/>
      <c r="C88" s="36" t="n"/>
      <c r="D88" s="36" t="n"/>
      <c r="E88" s="36" t="n"/>
      <c r="F88" s="36" t="n"/>
      <c r="G88" s="36" t="n"/>
      <c r="H88" s="36" t="n"/>
    </row>
    <row r="89">
      <c r="A89" s="36" t="n"/>
      <c r="B89" s="36" t="n"/>
      <c r="C89" s="36" t="n"/>
      <c r="D89" s="36" t="n"/>
      <c r="E89" s="36" t="n"/>
      <c r="F89" s="36" t="n"/>
      <c r="G89" s="36" t="n"/>
      <c r="H89" s="36" t="n"/>
    </row>
    <row r="90">
      <c r="A90" s="36" t="n"/>
      <c r="B90" s="36" t="n"/>
      <c r="C90" s="36" t="n"/>
      <c r="D90" s="36" t="n"/>
      <c r="E90" s="36" t="n"/>
      <c r="F90" s="36" t="n"/>
      <c r="G90" s="36" t="n"/>
      <c r="H90" s="36" t="n"/>
    </row>
    <row r="91">
      <c r="A91" s="36" t="n"/>
      <c r="B91" s="36" t="n"/>
      <c r="C91" s="36" t="n"/>
      <c r="D91" s="36" t="n"/>
      <c r="E91" s="36" t="n"/>
      <c r="F91" s="36" t="n"/>
      <c r="G91" s="36" t="n"/>
      <c r="H91" s="36" t="n"/>
    </row>
    <row r="92">
      <c r="A92" s="36" t="n"/>
      <c r="B92" s="36" t="n"/>
      <c r="C92" s="36" t="n"/>
      <c r="D92" s="36" t="n"/>
      <c r="E92" s="36" t="n"/>
      <c r="F92" s="36" t="n"/>
      <c r="G92" s="36" t="n"/>
      <c r="H92" s="36" t="n"/>
    </row>
    <row r="93">
      <c r="A93" s="36" t="n"/>
      <c r="B93" s="36" t="n"/>
      <c r="C93" s="36" t="n"/>
      <c r="D93" s="36" t="n"/>
      <c r="E93" s="36" t="n"/>
      <c r="F93" s="36" t="n"/>
      <c r="G93" s="36" t="n"/>
      <c r="H93" s="36" t="n"/>
    </row>
    <row r="94">
      <c r="A94" s="36" t="n"/>
      <c r="B94" s="36" t="n"/>
      <c r="C94" s="36" t="n"/>
      <c r="D94" s="36" t="n"/>
      <c r="E94" s="36" t="n"/>
      <c r="F94" s="36" t="n"/>
      <c r="G94" s="36" t="n"/>
      <c r="H94" s="36" t="n"/>
    </row>
    <row r="95">
      <c r="A95" s="36" t="n"/>
      <c r="B95" s="36" t="n"/>
      <c r="C95" s="36" t="n"/>
      <c r="D95" s="36" t="n"/>
      <c r="E95" s="36" t="n"/>
      <c r="F95" s="36" t="n"/>
      <c r="G95" s="36" t="n"/>
      <c r="H95" s="36" t="n"/>
    </row>
    <row r="96">
      <c r="A96" s="36" t="n"/>
      <c r="B96" s="36" t="n"/>
      <c r="C96" s="36" t="n"/>
      <c r="D96" s="36" t="n"/>
      <c r="E96" s="36" t="n"/>
      <c r="F96" s="36" t="n"/>
      <c r="G96" s="36" t="n"/>
      <c r="H96" s="36" t="n"/>
    </row>
    <row r="97">
      <c r="A97" s="36" t="n"/>
      <c r="B97" s="36" t="n"/>
      <c r="C97" s="36" t="n"/>
      <c r="D97" s="36" t="n"/>
      <c r="E97" s="36" t="n"/>
      <c r="F97" s="36" t="n"/>
      <c r="G97" s="36" t="n"/>
      <c r="H97" s="36" t="n"/>
    </row>
    <row r="98">
      <c r="A98" s="36" t="n"/>
      <c r="B98" s="36" t="n"/>
      <c r="C98" s="36" t="n"/>
      <c r="D98" s="36" t="n"/>
      <c r="E98" s="36" t="n"/>
      <c r="F98" s="36" t="n"/>
      <c r="G98" s="36" t="n"/>
      <c r="H98" s="36" t="n"/>
    </row>
    <row r="99">
      <c r="A99" s="36" t="n"/>
      <c r="B99" s="36" t="n"/>
      <c r="C99" s="36" t="n"/>
      <c r="D99" s="36" t="n"/>
      <c r="E99" s="36" t="n"/>
      <c r="F99" s="36" t="n"/>
      <c r="G99" s="36" t="n"/>
      <c r="H99" s="36" t="n"/>
    </row>
    <row r="100">
      <c r="A100" s="36" t="n"/>
      <c r="B100" s="36" t="n"/>
      <c r="C100" s="36" t="n"/>
      <c r="D100" s="36" t="n"/>
      <c r="E100" s="36" t="n"/>
      <c r="F100" s="36" t="n"/>
      <c r="G100" s="36" t="n"/>
      <c r="H100" s="36" t="n"/>
    </row>
    <row r="101">
      <c r="A101" s="36" t="n"/>
      <c r="B101" s="36" t="n"/>
      <c r="C101" s="36" t="n"/>
      <c r="D101" s="36" t="n"/>
      <c r="E101" s="36" t="n"/>
      <c r="F101" s="36" t="n"/>
      <c r="G101" s="36" t="n"/>
      <c r="H101" s="36" t="n"/>
    </row>
    <row r="102">
      <c r="A102" s="36" t="n"/>
      <c r="B102" s="36" t="n"/>
      <c r="C102" s="36" t="n"/>
      <c r="D102" s="36" t="n"/>
      <c r="E102" s="36" t="n"/>
      <c r="F102" s="36" t="n"/>
      <c r="G102" s="36" t="n"/>
      <c r="H102" s="36" t="n"/>
    </row>
    <row r="103">
      <c r="A103" s="36" t="n"/>
      <c r="B103" s="36" t="n"/>
      <c r="C103" s="36" t="n"/>
      <c r="D103" s="36" t="n"/>
      <c r="E103" s="36" t="n"/>
      <c r="F103" s="36" t="n"/>
      <c r="G103" s="36" t="n"/>
      <c r="H103" s="36" t="n"/>
    </row>
    <row r="104">
      <c r="A104" s="36" t="n"/>
      <c r="B104" s="36" t="n"/>
      <c r="C104" s="36" t="n"/>
      <c r="D104" s="36" t="n"/>
      <c r="E104" s="36" t="n"/>
      <c r="F104" s="36" t="n"/>
      <c r="G104" s="36" t="n"/>
      <c r="H104" s="36" t="n"/>
    </row>
    <row r="105">
      <c r="A105" s="36" t="n"/>
      <c r="B105" s="36" t="n"/>
      <c r="C105" s="36" t="n"/>
      <c r="D105" s="36" t="n"/>
      <c r="E105" s="36" t="n"/>
      <c r="F105" s="36" t="n"/>
      <c r="G105" s="36" t="n"/>
      <c r="H105" s="36" t="n"/>
    </row>
  </sheetData>
  <mergeCells count="2">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32" customWidth="1" min="1" max="1"/>
    <col width="18" customWidth="1" min="2" max="2"/>
    <col width="12" customWidth="1" min="3" max="3"/>
    <col width="16" customWidth="1" min="4" max="4"/>
    <col width="8" customWidth="1" min="5" max="5"/>
    <col width="10" customWidth="1" min="6" max="6"/>
    <col width="14" customWidth="1" min="7" max="7"/>
  </cols>
  <sheetData>
    <row r="1" ht="35" customHeight="1">
      <c r="A1" s="32" t="inlineStr">
        <is>
          <t>Project Lifecycle Assessment — SUMMARY DASHBOARD</t>
        </is>
      </c>
      <c r="B1" s="6" t="n"/>
      <c r="C1" s="6" t="n"/>
      <c r="D1" s="6" t="n"/>
      <c r="E1" s="6" t="n"/>
      <c r="F1" s="6" t="n"/>
      <c r="G1" s="6" t="n"/>
    </row>
    <row r="2">
      <c r="A2" s="37" t="inlineStr">
        <is>
          <t>ISO/IEC 27001:2022 - Control A.5.8: Information Security in Project Management</t>
        </is>
      </c>
      <c r="B2" s="6" t="n"/>
      <c r="C2" s="6" t="n"/>
      <c r="D2" s="6" t="n"/>
      <c r="E2" s="6" t="n"/>
      <c r="F2" s="6" t="n"/>
      <c r="G2" s="6" t="n"/>
    </row>
    <row r="3">
      <c r="A3" s="38" t="inlineStr">
        <is>
          <t>COMPLIANCE ASSESSMENT SUMMARY</t>
        </is>
      </c>
      <c r="B3" s="6" t="n"/>
      <c r="C3" s="6" t="n"/>
      <c r="D3" s="6" t="n"/>
      <c r="E3" s="6" t="n"/>
      <c r="F3" s="6" t="n"/>
      <c r="G3" s="6" t="n"/>
    </row>
    <row r="4" ht="30" customHeight="1">
      <c r="A4" s="39" t="inlineStr">
        <is>
          <t>Assessment Area</t>
        </is>
      </c>
      <c r="B4" s="39" t="inlineStr">
        <is>
          <t>Questions Answered</t>
        </is>
      </c>
      <c r="C4" s="39" t="inlineStr">
        <is>
          <t>No Gap</t>
        </is>
      </c>
      <c r="D4" s="39" t="inlineStr">
        <is>
          <t>Gap Identified</t>
        </is>
      </c>
      <c r="E4" s="39" t="inlineStr">
        <is>
          <t>N/A</t>
        </is>
      </c>
      <c r="F4" s="39" t="inlineStr">
        <is>
          <t>Target</t>
        </is>
      </c>
      <c r="G4" s="39" t="inlineStr">
        <is>
          <t>Compliance %</t>
        </is>
      </c>
    </row>
    <row r="5">
      <c r="A5" s="40" t="inlineStr">
        <is>
          <t>Initiation Phase</t>
        </is>
      </c>
      <c r="B5" s="40">
        <f>COUNTA('3. Initiation Phase'!B5:B54)</f>
        <v/>
      </c>
      <c r="C5" s="40">
        <f>COUNTIF('3. Initiation Phase'!B5:B54,"Complete")</f>
        <v/>
      </c>
      <c r="D5" s="40">
        <f>COUNTIF('3. Initiation Phase'!B5:B54,"In Progress")+COUNTIF('3. Initiation Phase'!B5:B54,"Incomplete")+COUNTIF('3. Initiation Phase'!B5:B54,"Not Done")</f>
        <v/>
      </c>
      <c r="E5" s="40">
        <f>COUNTIF('3. Initiation Phase'!B5:B54,"N/A")</f>
        <v/>
      </c>
      <c r="F5" s="40" t="inlineStr">
        <is>
          <t>85%</t>
        </is>
      </c>
      <c r="G5" s="41">
        <f>IFERROR(C5/(C5+D5)*100,0)</f>
        <v/>
      </c>
    </row>
    <row r="6">
      <c r="A6" s="40" t="inlineStr">
        <is>
          <t>Planning Phase</t>
        </is>
      </c>
      <c r="B6" s="40">
        <f>COUNTA('4. Planning Phase'!B5:B54)</f>
        <v/>
      </c>
      <c r="C6" s="40">
        <f>COUNTIF('4. Planning Phase'!B5:B54,"Complete")</f>
        <v/>
      </c>
      <c r="D6" s="40">
        <f>COUNTIF('4. Planning Phase'!B5:B54,"In Progress")+COUNTIF('4. Planning Phase'!B5:B54,"Incomplete")+COUNTIF('4. Planning Phase'!B5:B54,"Not Done")</f>
        <v/>
      </c>
      <c r="E6" s="40">
        <f>COUNTIF('4. Planning Phase'!B5:B54,"N/A")</f>
        <v/>
      </c>
      <c r="F6" s="40" t="inlineStr">
        <is>
          <t>85%</t>
        </is>
      </c>
      <c r="G6" s="41">
        <f>IFERROR(C6/(C6+D6)*100,0)</f>
        <v/>
      </c>
    </row>
    <row r="7">
      <c r="A7" s="40" t="inlineStr">
        <is>
          <t>Execution Phase</t>
        </is>
      </c>
      <c r="B7" s="40">
        <f>COUNTA('5. Execution Phase'!B5:B54)</f>
        <v/>
      </c>
      <c r="C7" s="40">
        <f>COUNTIF('5. Execution Phase'!B5:B54,"Complete")</f>
        <v/>
      </c>
      <c r="D7" s="40">
        <f>COUNTIF('5. Execution Phase'!B5:B54,"In Progress")+COUNTIF('5. Execution Phase'!B5:B54,"Incomplete")+COUNTIF('5. Execution Phase'!B5:B54,"Not Done")</f>
        <v/>
      </c>
      <c r="E7" s="40">
        <f>COUNTIF('5. Execution Phase'!B5:B54,"N/A")</f>
        <v/>
      </c>
      <c r="F7" s="40" t="inlineStr">
        <is>
          <t>85%</t>
        </is>
      </c>
      <c r="G7" s="41">
        <f>IFERROR(C7/(C7+D7)*100,0)</f>
        <v/>
      </c>
    </row>
    <row r="8">
      <c r="A8" s="40" t="inlineStr">
        <is>
          <t>Monitoring Phase</t>
        </is>
      </c>
      <c r="B8" s="40">
        <f>COUNTA('6. Monitoring Phase'!B5:B54)</f>
        <v/>
      </c>
      <c r="C8" s="40">
        <f>COUNTIF('6. Monitoring Phase'!B5:B54,"Complete")</f>
        <v/>
      </c>
      <c r="D8" s="40">
        <f>COUNTIF('6. Monitoring Phase'!B5:B54,"In Progress")+COUNTIF('6. Monitoring Phase'!B5:B54,"Incomplete")+COUNTIF('6. Monitoring Phase'!B5:B54,"Not Done")</f>
        <v/>
      </c>
      <c r="E8" s="40">
        <f>COUNTIF('6. Monitoring Phase'!B5:B54,"N/A")</f>
        <v/>
      </c>
      <c r="F8" s="40" t="inlineStr">
        <is>
          <t>85%</t>
        </is>
      </c>
      <c r="G8" s="41">
        <f>IFERROR(C8/(C8+D8)*100,0)</f>
        <v/>
      </c>
    </row>
    <row r="9">
      <c r="A9" s="40" t="inlineStr">
        <is>
          <t>Closure Phase</t>
        </is>
      </c>
      <c r="B9" s="40">
        <f>COUNTA('7. Closure Phase'!B5:B54)</f>
        <v/>
      </c>
      <c r="C9" s="40">
        <f>COUNTIF('7. Closure Phase'!B5:B54,"Complete")</f>
        <v/>
      </c>
      <c r="D9" s="40">
        <f>COUNTIF('7. Closure Phase'!B5:B54,"In Progress")+COUNTIF('7. Closure Phase'!B5:B54,"Incomplete")+COUNTIF('7. Closure Phase'!B5:B54,"Not Done")</f>
        <v/>
      </c>
      <c r="E9" s="40">
        <f>COUNTIF('7. Closure Phase'!B5:B54,"N/A")</f>
        <v/>
      </c>
      <c r="F9" s="40" t="inlineStr">
        <is>
          <t>85%</t>
        </is>
      </c>
      <c r="G9" s="41">
        <f>IFERROR(C9/(C9+D9)*100,0)</f>
        <v/>
      </c>
    </row>
    <row r="10">
      <c r="A10" s="42" t="inlineStr">
        <is>
          <t>TOTAL</t>
        </is>
      </c>
      <c r="B10" s="42">
        <f>SUM(B5:B9)</f>
        <v/>
      </c>
      <c r="C10" s="42">
        <f>SUM(C5:C9)</f>
        <v/>
      </c>
      <c r="D10" s="42">
        <f>SUM(D5:D9)</f>
        <v/>
      </c>
      <c r="E10" s="42">
        <f>SUM(E5:E9)</f>
        <v/>
      </c>
      <c r="F10" s="42" t="inlineStr">
        <is>
          <t>—</t>
        </is>
      </c>
      <c r="G10" s="43">
        <f>IFERROR(AVERAGE(G5:G9),0)</f>
        <v/>
      </c>
    </row>
    <row r="12">
      <c r="A12" s="38" t="inlineStr">
        <is>
          <t>PHASE PERFORMANCE METRICS</t>
        </is>
      </c>
      <c r="B12" s="6" t="n"/>
      <c r="C12" s="6" t="n"/>
      <c r="D12" s="6" t="n"/>
      <c r="E12" s="6" t="n"/>
      <c r="F12" s="6" t="n"/>
      <c r="G12" s="6" t="n"/>
    </row>
    <row r="13">
      <c r="A13" s="44" t="inlineStr">
        <is>
          <t>Metric</t>
        </is>
      </c>
      <c r="B13" s="44" t="inlineStr">
        <is>
          <t>Value</t>
        </is>
      </c>
      <c r="C13" s="44" t="inlineStr">
        <is>
          <t>Target</t>
        </is>
      </c>
    </row>
    <row r="14">
      <c r="A14" s="40" t="inlineStr">
        <is>
          <t>Risk Classification</t>
        </is>
      </c>
      <c r="B14" s="40">
        <f>'2. Project Classification'!B18</f>
        <v/>
      </c>
      <c r="C14" s="40" t="inlineStr">
        <is>
          <t>—</t>
        </is>
      </c>
    </row>
    <row r="15">
      <c r="A15" s="40" t="inlineStr">
        <is>
          <t>Total Activities Tracked</t>
        </is>
      </c>
      <c r="B15" s="40">
        <f>COUNTA('3. Initiation Phase'!B5:B54)+COUNTA('4. Planning Phase'!B5:B54)+COUNTA('5. Execution Phase'!B5:B54)+COUNTA('6. Monitoring Phase'!B5:B54)+COUNTA('7. Closure Phase'!B5:B54)</f>
        <v/>
      </c>
      <c r="C15" s="40" t="inlineStr">
        <is>
          <t>≥5</t>
        </is>
      </c>
    </row>
    <row r="16">
      <c r="A16" s="40" t="inlineStr">
        <is>
          <t>Activities Complete</t>
        </is>
      </c>
      <c r="B16" s="40">
        <f>COUNTIF('3. Initiation Phase'!B5:B54,"Complete")+COUNTIF('4. Planning Phase'!B5:B54,"Complete")+COUNTIF('5. Execution Phase'!B5:B54,"Complete")+COUNTIF('6. Monitoring Phase'!B5:B54,"Complete")+COUNTIF('7. Closure Phase'!B5:B54,"Complete")</f>
        <v/>
      </c>
      <c r="C16" s="40" t="inlineStr">
        <is>
          <t>≥1</t>
        </is>
      </c>
    </row>
    <row r="17">
      <c r="A17" s="40" t="inlineStr">
        <is>
          <t>Phases at Target (≥85%)</t>
        </is>
      </c>
      <c r="B17" s="40">
        <f>COUNTIF(G5:G9,"&gt;=85")</f>
        <v/>
      </c>
      <c r="C17" s="40" t="inlineStr">
        <is>
          <t>5</t>
        </is>
      </c>
    </row>
    <row r="18">
      <c r="A18" s="40" t="inlineStr">
        <is>
          <t>Phases Below Critical (&lt;70%)</t>
        </is>
      </c>
      <c r="B18" s="40">
        <f>COUNTIF(G5:G9,"&lt;70")</f>
        <v/>
      </c>
      <c r="C18" s="40" t="inlineStr">
        <is>
          <t>0</t>
        </is>
      </c>
    </row>
    <row r="20">
      <c r="A20" s="45" t="inlineStr">
        <is>
          <t>CRITICAL FINDINGS</t>
        </is>
      </c>
      <c r="B20" s="6" t="n"/>
      <c r="C20" s="6" t="n"/>
      <c r="D20" s="6" t="n"/>
      <c r="E20" s="6" t="n"/>
      <c r="F20" s="6" t="n"/>
      <c r="G20" s="6" t="n"/>
    </row>
    <row r="21">
      <c r="A21" s="44" t="inlineStr">
        <is>
          <t>Critical Finding</t>
        </is>
      </c>
      <c r="B21" s="44" t="inlineStr">
        <is>
          <t>Status</t>
        </is>
      </c>
      <c r="C21" s="44" t="inlineStr">
        <is>
          <t>Severity</t>
        </is>
      </c>
    </row>
    <row r="22">
      <c r="A22" s="46" t="inlineStr">
        <is>
          <t>Initiation Phase &lt;70%</t>
        </is>
      </c>
      <c r="B22" s="46">
        <f>IF(G5&lt;70,"[!] Below Target","[OK]")</f>
        <v/>
      </c>
      <c r="C22" s="46" t="inlineStr">
        <is>
          <t>Critical</t>
        </is>
      </c>
    </row>
    <row r="23">
      <c r="A23" s="46" t="inlineStr">
        <is>
          <t>Planning Phase &lt;70%</t>
        </is>
      </c>
      <c r="B23" s="46">
        <f>IF(G6&lt;70,"[!] Below Target","[OK]")</f>
        <v/>
      </c>
      <c r="C23" s="46" t="inlineStr">
        <is>
          <t>Critical</t>
        </is>
      </c>
    </row>
    <row r="24">
      <c r="A24" s="46" t="inlineStr">
        <is>
          <t>Execution Phase &lt;70%</t>
        </is>
      </c>
      <c r="B24" s="46">
        <f>IF(G7&lt;70,"[!] Below Target","[OK]")</f>
        <v/>
      </c>
      <c r="C24" s="46" t="inlineStr">
        <is>
          <t>Critical</t>
        </is>
      </c>
    </row>
    <row r="25">
      <c r="A25" s="47" t="inlineStr">
        <is>
          <t>Monitoring Phase &lt;70%</t>
        </is>
      </c>
      <c r="B25" s="47">
        <f>IF(G8&lt;70,"[!] Below Target","[OK]")</f>
        <v/>
      </c>
      <c r="C25" s="47" t="inlineStr">
        <is>
          <t>High</t>
        </is>
      </c>
    </row>
    <row r="26">
      <c r="A26" s="47" t="inlineStr">
        <is>
          <t>Closure Phase &lt;70%</t>
        </is>
      </c>
      <c r="B26" s="47">
        <f>IF(G9&lt;70,"[!] Below Target","[OK]")</f>
        <v/>
      </c>
      <c r="C26" s="47" t="inlineStr">
        <is>
          <t>High</t>
        </is>
      </c>
    </row>
    <row r="27">
      <c r="A27" s="46" t="inlineStr">
        <is>
          <t>Overall compliance &lt;70%</t>
        </is>
      </c>
      <c r="B27" s="46">
        <f>IF(G10&lt;70,"[!] Below Target","[OK]")</f>
        <v/>
      </c>
      <c r="C27" s="46" t="inlineStr">
        <is>
          <t>Critical</t>
        </is>
      </c>
    </row>
  </sheetData>
  <mergeCells count="5">
    <mergeCell ref="A1:G1"/>
    <mergeCell ref="A3:G3"/>
    <mergeCell ref="A12:G12"/>
    <mergeCell ref="A20:G20"/>
    <mergeCell ref="A2:G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5"/>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30" customWidth="1" min="5" max="5"/>
  </cols>
  <sheetData>
    <row r="1" ht="35" customHeight="1">
      <c r="A1" s="32" t="inlineStr">
        <is>
          <t>ASSESSMENT APPROVAL AND SIGN-OFF</t>
        </is>
      </c>
      <c r="B1" s="6" t="n"/>
      <c r="C1" s="6" t="n"/>
      <c r="D1" s="6" t="n"/>
      <c r="E1" s="6" t="n"/>
    </row>
    <row r="2">
      <c r="A2" s="33" t="inlineStr">
        <is>
          <t>ISO/IEC 27001:2022 - Control A.5.8: Information Security in Project Management</t>
        </is>
      </c>
      <c r="B2" s="6" t="n"/>
      <c r="C2" s="6" t="n"/>
      <c r="D2" s="6" t="n"/>
      <c r="E2" s="6" t="n"/>
    </row>
    <row r="3">
      <c r="A3" s="48" t="inlineStr">
        <is>
          <t>ASSESSMENT REVIEW AND APPROVAL</t>
        </is>
      </c>
      <c r="B3" s="6" t="n"/>
      <c r="C3" s="6" t="n"/>
      <c r="D3" s="6" t="n"/>
      <c r="E3" s="6" t="n"/>
    </row>
    <row r="4">
      <c r="A4" s="49" t="inlineStr">
        <is>
          <t>Role / Function</t>
        </is>
      </c>
      <c r="B4" s="49" t="inlineStr">
        <is>
          <t>Name</t>
        </is>
      </c>
      <c r="C4" s="49" t="inlineStr">
        <is>
          <t>Signature / Initials</t>
        </is>
      </c>
      <c r="D4" s="49" t="inlineStr">
        <is>
          <t>Date (DD.MM.YYYY)</t>
        </is>
      </c>
      <c r="E4" s="49" t="inlineStr">
        <is>
          <t>Comments</t>
        </is>
      </c>
    </row>
    <row r="5">
      <c r="A5" s="50" t="inlineStr">
        <is>
          <t>Lead Assessor / Author</t>
        </is>
      </c>
      <c r="B5" s="14" t="n"/>
      <c r="C5" s="14" t="n"/>
      <c r="D5" s="14" t="n"/>
      <c r="E5" s="14" t="n"/>
    </row>
    <row r="6">
      <c r="A6" s="50" t="inlineStr">
        <is>
          <t>IT Security Manager</t>
        </is>
      </c>
      <c r="B6" s="51">
        <f>IFERROR(AVERAGE('Summary Dashboard'!G5:G9),"")</f>
        <v/>
      </c>
      <c r="C6" s="14" t="n"/>
      <c r="D6" s="14" t="n"/>
      <c r="E6" s="14" t="n"/>
    </row>
    <row r="7">
      <c r="A7" s="50" t="inlineStr">
        <is>
          <t>Reviewer (Technical / Compliance)</t>
        </is>
      </c>
      <c r="B7" s="14" t="n"/>
      <c r="C7" s="14" t="n"/>
      <c r="D7" s="14" t="n"/>
      <c r="E7" s="14" t="n"/>
    </row>
    <row r="8">
      <c r="A8" s="50" t="inlineStr">
        <is>
          <t>CISO / Final Approver</t>
        </is>
      </c>
      <c r="B8" s="14" t="n"/>
      <c r="C8" s="14" t="n"/>
      <c r="D8" s="14" t="n"/>
      <c r="E8" s="14" t="n"/>
    </row>
    <row r="9">
      <c r="A9" s="6" t="n"/>
      <c r="B9" s="6" t="n"/>
      <c r="C9" s="6" t="n"/>
      <c r="D9" s="6" t="n"/>
      <c r="E9" s="6" t="n"/>
    </row>
    <row r="10">
      <c r="A10" s="52" t="inlineStr">
        <is>
          <t>FINAL DECISION:</t>
        </is>
      </c>
      <c r="B10" s="14" t="n"/>
      <c r="C10" s="6" t="n"/>
      <c r="D10" s="6" t="n"/>
      <c r="E10" s="6" t="n"/>
    </row>
    <row r="11">
      <c r="A11" s="6" t="n"/>
      <c r="B11" s="6" t="n"/>
      <c r="C11" s="6" t="n"/>
      <c r="D11" s="6" t="n"/>
      <c r="E11" s="6" t="n"/>
    </row>
    <row r="12">
      <c r="A12" s="6" t="n"/>
      <c r="B12" s="6" t="n"/>
      <c r="C12" s="6" t="n"/>
      <c r="D12" s="6" t="n"/>
      <c r="E12" s="6" t="n"/>
    </row>
    <row r="13">
      <c r="A13" s="48" t="inlineStr">
        <is>
          <t>NEXT REVIEW</t>
        </is>
      </c>
      <c r="B13" s="6" t="n"/>
      <c r="C13" s="6" t="n"/>
      <c r="D13" s="6" t="n"/>
      <c r="E13" s="6" t="n"/>
    </row>
    <row r="14">
      <c r="A14" s="53" t="inlineStr">
        <is>
          <t>Next Review Date (DD.MM.YYYY)</t>
        </is>
      </c>
      <c r="B14" s="14" t="n"/>
    </row>
    <row r="15">
      <c r="A15" s="53" t="inlineStr">
        <is>
          <t>Review Owner</t>
        </is>
      </c>
      <c r="B15" s="14" t="n"/>
    </row>
  </sheetData>
  <mergeCells count="10">
    <mergeCell ref="A12:E12"/>
    <mergeCell ref="A2:E2"/>
    <mergeCell ref="A11:E11"/>
    <mergeCell ref="B15:E15"/>
    <mergeCell ref="A1:E1"/>
    <mergeCell ref="A13:E13"/>
    <mergeCell ref="B10:E10"/>
    <mergeCell ref="A9:E9"/>
    <mergeCell ref="B14:E14"/>
    <mergeCell ref="A3:E3"/>
  </mergeCells>
  <dataValidations count="1">
    <dataValidation sqref="B10"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ISMS-IMP-A.5.8.1 — Project Lifecycle Assessment</dc:title>
  <dc:description xmlns:dc="http://purl.org/dc/elements/1.1/">ISMS Implementation Workbook — ISMS-IMP-A.5.8.1</dc:description>
  <dc:subject xmlns:dc="http://purl.org/dc/elements/1.1/">ISO/IEC 27001:2022 — Control A.5.8: Information Security in Project Management</dc:subject>
  <dcterms:created xmlns:dcterms="http://purl.org/dc/terms/" xmlns:xsi="http://www.w3.org/2001/XMLSchema-instance" xsi:type="dcterms:W3CDTF">2026-03-07T11:27:46Z</dcterms:created>
  <dcterms:modified xmlns:dcterms="http://purl.org/dc/terms/" xmlns:xsi="http://www.w3.org/2001/XMLSchema-instance" xsi:type="dcterms:W3CDTF">2026-03-07T11:27:46Z</dcterms:modified>
</cp:coreProperties>
</file>