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lassification Levels" sheetId="2" state="visible" r:id="rId2"/>
    <sheet xmlns:r="http://schemas.openxmlformats.org/officeDocument/2006/relationships" name="Handling Requirements" sheetId="3" state="visible" r:id="rId3"/>
    <sheet xmlns:r="http://schemas.openxmlformats.org/officeDocument/2006/relationships" name="CIA Matrix" sheetId="4" state="visible" r:id="rId4"/>
    <sheet xmlns:r="http://schemas.openxmlformats.org/officeDocument/2006/relationships" name="Regulatory Mapp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b val="1"/>
      <sz val="12"/>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0" fillId="0" borderId="1" applyAlignment="1" pivotButton="0" quotePrefix="0" xfId="0">
      <alignment vertical="center" wrapText="1"/>
    </xf>
    <xf numFmtId="0" fontId="6" fillId="1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4" fillId="10" borderId="0" applyAlignment="1" pivotButton="0" quotePrefix="0" xfId="0">
      <alignment horizontal="center" vertical="center" wrapText="1"/>
    </xf>
    <xf numFmtId="0" fontId="4" fillId="11" borderId="0" applyAlignment="1" pivotButton="0" quotePrefix="0" xfId="0">
      <alignment horizontal="center" vertical="center" wrapText="1"/>
    </xf>
    <xf numFmtId="0" fontId="4" fillId="12" borderId="0" applyAlignment="1" pivotButton="0" quotePrefix="0" xfId="0">
      <alignment horizontal="center" vertical="center" wrapText="1"/>
    </xf>
    <xf numFmtId="0" fontId="4" fillId="13" borderId="0" applyAlignment="1" pivotButton="0" quotePrefix="0" xfId="0">
      <alignment horizontal="center" vertical="center" wrapText="1"/>
    </xf>
    <xf numFmtId="0" fontId="7" fillId="0" borderId="1" applyAlignment="1" pivotButton="0" quotePrefix="0" xfId="0">
      <alignment vertical="center" wrapText="1"/>
    </xf>
    <xf numFmtId="0" fontId="8" fillId="0" borderId="0" pivotButton="0" quotePrefix="0" xfId="0"/>
    <xf numFmtId="0" fontId="0" fillId="0" borderId="1" applyAlignment="1" pivotButton="0" quotePrefix="0" xfId="0">
      <alignment wrapText="1"/>
    </xf>
    <xf numFmtId="0" fontId="0" fillId="14" borderId="1" applyAlignment="1" pivotButton="0" quotePrefix="0" xfId="0">
      <alignment wrapText="1"/>
    </xf>
    <xf numFmtId="0" fontId="0" fillId="15" borderId="1" applyAlignment="1" pivotButton="0" quotePrefix="0" xfId="0">
      <alignment vertical="center" wrapText="1"/>
    </xf>
    <xf numFmtId="0" fontId="0" fillId="14" borderId="1" pivotButton="0" quotePrefix="0" xfId="0"/>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5" borderId="1" applyAlignment="1" pivotButton="0" quotePrefix="0" xfId="0">
      <alignment horizontal="left" vertical="center" wrapText="1"/>
    </xf>
    <xf numFmtId="0" fontId="0" fillId="14" borderId="1" applyAlignment="1" pivotButton="0" quotePrefix="0" xfId="0">
      <alignment horizontal="center" vertical="center" wrapText="1"/>
    </xf>
    <xf numFmtId="0" fontId="0" fillId="14" borderId="1"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0" applyAlignment="1" pivotButton="0" quotePrefix="0" xfId="0">
      <alignment horizontal="left" vertical="center"/>
    </xf>
    <xf numFmtId="0" fontId="5" fillId="8" borderId="1" pivotButton="0" quotePrefix="0" xfId="0"/>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pivotButton="0" quotePrefix="0" xfId="0"/>
    <xf numFmtId="0" fontId="13" fillId="9" borderId="1" applyAlignment="1" pivotButton="0" quotePrefix="0" xfId="0">
      <alignment horizontal="center"/>
    </xf>
    <xf numFmtId="164" fontId="13" fillId="9" borderId="1" applyAlignment="1" pivotButton="0" quotePrefix="0" xfId="0">
      <alignment horizontal="center"/>
    </xf>
    <xf numFmtId="0" fontId="5" fillId="16" borderId="1" pivotButton="0" quotePrefix="0" xfId="0"/>
    <xf numFmtId="0" fontId="14" fillId="14" borderId="1" pivotButton="0" quotePrefix="0" xfId="0"/>
    <xf numFmtId="0" fontId="14" fillId="14" borderId="1" applyAlignment="1" pivotButton="0" quotePrefix="0" xfId="0">
      <alignment horizontal="center"/>
    </xf>
    <xf numFmtId="0" fontId="12"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ISMS-IMP-A.5.12-13.S1  -  Classification Scheme Definition
ISO/IEC 27001:2022 - Control A.5.12: Classification of Information</t>
        </is>
      </c>
    </row>
    <row r="3">
      <c r="A3" s="2" t="inlineStr">
        <is>
          <t>Document Information</t>
        </is>
      </c>
    </row>
    <row r="4">
      <c r="A4" s="3" t="inlineStr">
        <is>
          <t>Document ID</t>
        </is>
      </c>
      <c r="B4" t="inlineStr">
        <is>
          <t>ISMS-IMP-A.5.12-13.S1</t>
        </is>
      </c>
    </row>
    <row r="5">
      <c r="A5" s="3" t="inlineStr">
        <is>
          <t>Workbook Title</t>
        </is>
      </c>
      <c r="B5" t="inlineStr">
        <is>
          <t>Classification Scheme Definition</t>
        </is>
      </c>
    </row>
    <row r="6">
      <c r="A6" s="3" t="inlineStr">
        <is>
          <t>Control Reference</t>
        </is>
      </c>
      <c r="B6" t="inlineStr">
        <is>
          <t>ISO/IEC 27001:2022 - Control A.5.12: Classification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Classification Levels — define all classification tiers (minimum 4: Public, Internal, Confidential, Restricted).</t>
        </is>
      </c>
    </row>
    <row r="14">
      <c r="A14" t="inlineStr">
        <is>
          <t>2. Complete Handling Requirements — document permitted handling per classification level.</t>
        </is>
      </c>
    </row>
    <row r="15">
      <c r="A15" t="inlineStr">
        <is>
          <t>3. Complete CIA Matrix — map each level to Confidentiality, Integrity, and Availability requirements.</t>
        </is>
      </c>
    </row>
    <row r="16">
      <c r="A16" t="inlineStr">
        <is>
          <t>4. Complete Regulatory Mapping — align classification levels to GDPR, nFADP, and other obligations.</t>
        </is>
      </c>
    </row>
    <row r="17">
      <c r="A17" t="inlineStr">
        <is>
          <t>5. Maintain the Evidence Register with scheme documentation and approval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0" workbookViewId="0">
      <selection activeCell="A1" sqref="A1"/>
    </sheetView>
  </sheetViews>
  <sheetFormatPr baseColWidth="8" defaultRowHeight="15"/>
  <cols>
    <col width="10" customWidth="1" min="1" max="1"/>
    <col width="15" customWidth="1" min="2" max="2"/>
    <col width="18" customWidth="1" min="3" max="3"/>
    <col width="12" customWidth="1" min="4" max="4"/>
    <col width="45" customWidth="1" min="5" max="5"/>
    <col width="45" customWidth="1" min="6" max="6"/>
    <col width="50" customWidth="1" min="7" max="7"/>
    <col width="15" customWidth="1" min="8" max="8"/>
    <col width="15" customWidth="1" min="9" max="9"/>
    <col width="20" customWidth="1" min="10" max="10"/>
  </cols>
  <sheetData>
    <row r="1" ht="35" customHeight="1">
      <c r="A1" s="11" t="inlineStr">
        <is>
          <t>CLASSIFICATION LEVELS DEFINITION</t>
        </is>
      </c>
    </row>
    <row r="2">
      <c r="A2" s="12" t="inlineStr">
        <is>
          <t>Define organisational classification tiers and their characteristics</t>
        </is>
      </c>
    </row>
    <row r="4">
      <c r="A4" s="13" t="inlineStr">
        <is>
          <t>Level ID</t>
        </is>
      </c>
      <c r="B4" s="13" t="inlineStr">
        <is>
          <t>Level Name</t>
        </is>
      </c>
      <c r="C4" s="13" t="inlineStr">
        <is>
          <t>Display Label</t>
        </is>
      </c>
      <c r="D4" s="13" t="inlineStr">
        <is>
          <t>Colour Code</t>
        </is>
      </c>
      <c r="E4" s="13" t="inlineStr">
        <is>
          <t>Description</t>
        </is>
      </c>
      <c r="F4" s="13" t="inlineStr">
        <is>
          <t>Impact if Disclosed</t>
        </is>
      </c>
      <c r="G4" s="13" t="inlineStr">
        <is>
          <t>Examples</t>
        </is>
      </c>
      <c r="H4" s="13" t="inlineStr">
        <is>
          <t>Default Retention</t>
        </is>
      </c>
      <c r="I4" s="13" t="inlineStr">
        <is>
          <t>Review Frequency</t>
        </is>
      </c>
      <c r="J4" s="13" t="inlineStr">
        <is>
          <t>Owner Approval Required</t>
        </is>
      </c>
    </row>
    <row r="5">
      <c r="A5" s="14" t="inlineStr">
        <is>
          <t>L4</t>
        </is>
      </c>
      <c r="B5" s="15" t="inlineStr">
        <is>
          <t>RESTRICTED</t>
        </is>
      </c>
      <c r="C5" s="14" t="inlineStr">
        <is>
          <t>[RED] RESTRICTED</t>
        </is>
      </c>
      <c r="D5" s="14" t="inlineStr">
        <is>
          <t>#FF6B6B</t>
        </is>
      </c>
      <c r="E5" s="14" t="inlineStr">
        <is>
          <t>Highly sensitive information requiring strictest controls</t>
        </is>
      </c>
      <c r="F5" s="14" t="inlineStr">
        <is>
          <t>Severe damage to organisation, legal liability, regulatory penalties</t>
        </is>
      </c>
      <c r="G5" s="14" t="inlineStr">
        <is>
          <t>PII, financial records, trade secrets, M&amp;A data, security configs</t>
        </is>
      </c>
      <c r="H5" s="14" t="inlineStr">
        <is>
          <t>7 years</t>
        </is>
      </c>
      <c r="I5" s="14" t="inlineStr">
        <is>
          <t>Annual</t>
        </is>
      </c>
      <c r="J5" s="14" t="inlineStr">
        <is>
          <t>Yes - Executive</t>
        </is>
      </c>
    </row>
    <row r="6">
      <c r="A6" s="14" t="inlineStr">
        <is>
          <t>L3</t>
        </is>
      </c>
      <c r="B6" s="16" t="inlineStr">
        <is>
          <t>CONFIDENTIAL</t>
        </is>
      </c>
      <c r="C6" s="14" t="inlineStr">
        <is>
          <t>[ORANGE] CONFIDENTIAL</t>
        </is>
      </c>
      <c r="D6" s="14" t="inlineStr">
        <is>
          <t>#FFA94D</t>
        </is>
      </c>
      <c r="E6" s="14" t="inlineStr">
        <is>
          <t>Sensitive business information requiring protection</t>
        </is>
      </c>
      <c r="F6" s="14" t="inlineStr">
        <is>
          <t>Significant business impact, competitive disadvantage</t>
        </is>
      </c>
      <c r="G6" s="14" t="inlineStr">
        <is>
          <t>Internal financials, customer lists, contracts, HR records</t>
        </is>
      </c>
      <c r="H6" s="14" t="inlineStr">
        <is>
          <t>5 years</t>
        </is>
      </c>
      <c r="I6" s="14" t="inlineStr">
        <is>
          <t>Annual</t>
        </is>
      </c>
      <c r="J6" s="14" t="inlineStr">
        <is>
          <t>Yes - Manager</t>
        </is>
      </c>
    </row>
    <row r="7">
      <c r="A7" s="14" t="inlineStr">
        <is>
          <t>L2</t>
        </is>
      </c>
      <c r="B7" s="17" t="inlineStr">
        <is>
          <t>INTERNAL</t>
        </is>
      </c>
      <c r="C7" s="14" t="inlineStr">
        <is>
          <t>[GREEN] INTERNAL</t>
        </is>
      </c>
      <c r="D7" s="14" t="inlineStr">
        <is>
          <t>#69DB7C</t>
        </is>
      </c>
      <c r="E7" s="14" t="inlineStr">
        <is>
          <t>Information for internal use only, not for public release</t>
        </is>
      </c>
      <c r="F7" s="14" t="inlineStr">
        <is>
          <t>Minor operational impact, minor reputation damage</t>
        </is>
      </c>
      <c r="G7" s="14" t="inlineStr">
        <is>
          <t>Policies, procedures, org charts, internal communications</t>
        </is>
      </c>
      <c r="H7" s="14" t="inlineStr">
        <is>
          <t>3 years</t>
        </is>
      </c>
      <c r="I7" s="14" t="inlineStr">
        <is>
          <t>Biennial</t>
        </is>
      </c>
      <c r="J7" s="14" t="inlineStr">
        <is>
          <t>No</t>
        </is>
      </c>
    </row>
    <row r="8">
      <c r="A8" s="14" t="inlineStr">
        <is>
          <t>L1</t>
        </is>
      </c>
      <c r="B8" s="18" t="inlineStr">
        <is>
          <t>PUBLIC</t>
        </is>
      </c>
      <c r="C8" s="14" t="inlineStr">
        <is>
          <t>[BLUE] PUBLIC</t>
        </is>
      </c>
      <c r="D8" s="14" t="inlineStr">
        <is>
          <t>#74C0FC</t>
        </is>
      </c>
      <c r="E8" s="14" t="inlineStr">
        <is>
          <t>Information approved for unrestricted distribution</t>
        </is>
      </c>
      <c r="F8" s="14" t="inlineStr">
        <is>
          <t>No impact expected</t>
        </is>
      </c>
      <c r="G8" s="14" t="inlineStr">
        <is>
          <t>Marketing materials, public website content, press releases</t>
        </is>
      </c>
      <c r="H8" s="14" t="inlineStr">
        <is>
          <t>As required</t>
        </is>
      </c>
      <c r="I8" s="14" t="inlineStr">
        <is>
          <t>Triennial</t>
        </is>
      </c>
      <c r="J8" s="14" t="inlineStr">
        <is>
          <t>No</t>
        </is>
      </c>
    </row>
  </sheetData>
  <mergeCells count="2">
    <mergeCell ref="A1:J1"/>
    <mergeCell ref="A2:J2"/>
  </mergeCells>
  <dataValidations count="1">
    <dataValidation sqref="J5:J20" showDropDown="0" showInputMessage="0" showErrorMessage="0" allowBlank="1" type="list">
      <formula1>"Yes - Executive,Yes - Manager,Yes - Owner,No"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
  <sheetViews>
    <sheetView showGridLines="0"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35" customHeight="1">
      <c r="A1" s="11" t="inlineStr">
        <is>
          <t>HANDLING REQUIREMENTS BY CLASSIFICATION LEVEL</t>
        </is>
      </c>
    </row>
    <row r="2">
      <c r="A2" s="12" t="inlineStr">
        <is>
          <t>Security controls and procedures required for each classification level</t>
        </is>
      </c>
    </row>
    <row r="4">
      <c r="A4" s="13" t="inlineStr">
        <is>
          <t>Requirement Category</t>
        </is>
      </c>
      <c r="B4" s="19" t="inlineStr">
        <is>
          <t>RESTRICTED</t>
        </is>
      </c>
      <c r="C4" s="20" t="inlineStr">
        <is>
          <t>CONFIDENTIAL</t>
        </is>
      </c>
      <c r="D4" s="21" t="inlineStr">
        <is>
          <t>INTERNAL</t>
        </is>
      </c>
      <c r="E4" s="22" t="inlineStr">
        <is>
          <t>PUBLIC</t>
        </is>
      </c>
    </row>
    <row r="5">
      <c r="A5" s="23" t="inlineStr">
        <is>
          <t>ACCESS CONTROL</t>
        </is>
      </c>
      <c r="B5" s="14" t="inlineStr"/>
      <c r="C5" s="14" t="inlineStr"/>
      <c r="D5" s="14" t="inlineStr"/>
      <c r="E5" s="14" t="inlineStr"/>
    </row>
    <row r="6">
      <c r="A6" s="14" t="inlineStr">
        <is>
          <t>Need-to-know basis</t>
        </is>
      </c>
      <c r="B6" s="14" t="inlineStr">
        <is>
          <t>Mandatory</t>
        </is>
      </c>
      <c r="C6" s="14" t="inlineStr">
        <is>
          <t>Mandatory</t>
        </is>
      </c>
      <c r="D6" s="14" t="inlineStr">
        <is>
          <t>Recommended</t>
        </is>
      </c>
      <c r="E6" s="14" t="inlineStr">
        <is>
          <t>N/A</t>
        </is>
      </c>
    </row>
    <row r="7">
      <c r="A7" s="14" t="inlineStr">
        <is>
          <t>Access approval required</t>
        </is>
      </c>
      <c r="B7" s="14" t="inlineStr">
        <is>
          <t>Executive + Owner</t>
        </is>
      </c>
      <c r="C7" s="14" t="inlineStr">
        <is>
          <t>Manager + Owner</t>
        </is>
      </c>
      <c r="D7" s="14" t="inlineStr">
        <is>
          <t>Owner</t>
        </is>
      </c>
      <c r="E7" s="14" t="inlineStr">
        <is>
          <t>None</t>
        </is>
      </c>
    </row>
    <row r="8">
      <c r="A8" s="14" t="inlineStr">
        <is>
          <t>Access logging</t>
        </is>
      </c>
      <c r="B8" s="14" t="inlineStr">
        <is>
          <t>All access logged</t>
        </is>
      </c>
      <c r="C8" s="14" t="inlineStr">
        <is>
          <t>All access logged</t>
        </is>
      </c>
      <c r="D8" s="14" t="inlineStr">
        <is>
          <t>Modifications logged</t>
        </is>
      </c>
      <c r="E8" s="14" t="inlineStr">
        <is>
          <t>None required</t>
        </is>
      </c>
    </row>
    <row r="9">
      <c r="A9" s="14" t="inlineStr">
        <is>
          <t>Access review frequency</t>
        </is>
      </c>
      <c r="B9" s="14" t="inlineStr">
        <is>
          <t>Quarterly</t>
        </is>
      </c>
      <c r="C9" s="14" t="inlineStr">
        <is>
          <t>Semi-annual</t>
        </is>
      </c>
      <c r="D9" s="14" t="inlineStr">
        <is>
          <t>Annual</t>
        </is>
      </c>
      <c r="E9" s="14" t="inlineStr">
        <is>
          <t>N/A</t>
        </is>
      </c>
    </row>
    <row r="10">
      <c r="A10" s="14" t="inlineStr"/>
      <c r="B10" s="14" t="inlineStr"/>
      <c r="C10" s="14" t="inlineStr"/>
      <c r="D10" s="14" t="inlineStr"/>
      <c r="E10" s="14" t="inlineStr"/>
    </row>
    <row r="11">
      <c r="A11" s="23" t="inlineStr">
        <is>
          <t>STORAGE</t>
        </is>
      </c>
      <c r="B11" s="14" t="inlineStr"/>
      <c r="C11" s="14" t="inlineStr"/>
      <c r="D11" s="14" t="inlineStr"/>
      <c r="E11" s="14" t="inlineStr"/>
    </row>
    <row r="12">
      <c r="A12" s="14" t="inlineStr">
        <is>
          <t>Encryption at rest</t>
        </is>
      </c>
      <c r="B12" s="14" t="inlineStr">
        <is>
          <t>AES-256 required</t>
        </is>
      </c>
      <c r="C12" s="14" t="inlineStr">
        <is>
          <t>AES-256 required</t>
        </is>
      </c>
      <c r="D12" s="14" t="inlineStr">
        <is>
          <t>Recommended</t>
        </is>
      </c>
      <c r="E12" s="14" t="inlineStr">
        <is>
          <t>Not required</t>
        </is>
      </c>
    </row>
    <row r="13">
      <c r="A13" s="14" t="inlineStr">
        <is>
          <t>Storage location</t>
        </is>
      </c>
      <c r="B13" s="14" t="inlineStr">
        <is>
          <t>Approved systems only</t>
        </is>
      </c>
      <c r="C13" s="14" t="inlineStr">
        <is>
          <t>Approved systems only</t>
        </is>
      </c>
      <c r="D13" s="14" t="inlineStr">
        <is>
          <t>Corporate systems</t>
        </is>
      </c>
      <c r="E13" s="14" t="inlineStr">
        <is>
          <t>Any</t>
        </is>
      </c>
    </row>
    <row r="14">
      <c r="A14" s="14" t="inlineStr">
        <is>
          <t>Personal device storage</t>
        </is>
      </c>
      <c r="B14" s="14" t="inlineStr">
        <is>
          <t>Prohibited</t>
        </is>
      </c>
      <c r="C14" s="14" t="inlineStr">
        <is>
          <t>Prohibited unless MDM</t>
        </is>
      </c>
      <c r="D14" s="14" t="inlineStr">
        <is>
          <t>With encryption</t>
        </is>
      </c>
      <c r="E14" s="14" t="inlineStr">
        <is>
          <t>Allowed</t>
        </is>
      </c>
    </row>
    <row r="15">
      <c r="A15" s="14" t="inlineStr">
        <is>
          <t>Cloud storage</t>
        </is>
      </c>
      <c r="B15" s="14" t="inlineStr">
        <is>
          <t>Approved vendors only</t>
        </is>
      </c>
      <c r="C15" s="14" t="inlineStr">
        <is>
          <t>Approved vendors only</t>
        </is>
      </c>
      <c r="D15" s="14" t="inlineStr">
        <is>
          <t>Corporate cloud</t>
        </is>
      </c>
      <c r="E15" s="14" t="inlineStr">
        <is>
          <t>Any</t>
        </is>
      </c>
    </row>
    <row r="16">
      <c r="A16" s="14" t="inlineStr"/>
      <c r="B16" s="14" t="inlineStr"/>
      <c r="C16" s="14" t="inlineStr"/>
      <c r="D16" s="14" t="inlineStr"/>
      <c r="E16" s="14" t="inlineStr"/>
    </row>
    <row r="17">
      <c r="A17" s="23" t="inlineStr">
        <is>
          <t>TRANSMISSION</t>
        </is>
      </c>
      <c r="B17" s="14" t="inlineStr"/>
      <c r="C17" s="14" t="inlineStr"/>
      <c r="D17" s="14" t="inlineStr"/>
      <c r="E17" s="14" t="inlineStr"/>
    </row>
    <row r="18">
      <c r="A18" s="14" t="inlineStr">
        <is>
          <t>Encryption in transit</t>
        </is>
      </c>
      <c r="B18" s="14" t="inlineStr">
        <is>
          <t>TLS 1.3 required</t>
        </is>
      </c>
      <c r="C18" s="14" t="inlineStr">
        <is>
          <t>TLS 1.2+ required</t>
        </is>
      </c>
      <c r="D18" s="14" t="inlineStr">
        <is>
          <t>TLS recommended</t>
        </is>
      </c>
      <c r="E18" s="14" t="inlineStr">
        <is>
          <t>Not required</t>
        </is>
      </c>
    </row>
    <row r="19">
      <c r="A19" s="14" t="inlineStr">
        <is>
          <t>Email transmission</t>
        </is>
      </c>
      <c r="B19" s="14" t="inlineStr">
        <is>
          <t>Encrypted + DLP</t>
        </is>
      </c>
      <c r="C19" s="14" t="inlineStr">
        <is>
          <t>Encrypted preferred</t>
        </is>
      </c>
      <c r="D19" s="14" t="inlineStr">
        <is>
          <t>Standard email</t>
        </is>
      </c>
      <c r="E19" s="14" t="inlineStr">
        <is>
          <t>Standard email</t>
        </is>
      </c>
    </row>
    <row r="20">
      <c r="A20" s="14" t="inlineStr">
        <is>
          <t>External sharing</t>
        </is>
      </c>
      <c r="B20" s="14" t="inlineStr">
        <is>
          <t>Prohibited w/o approval</t>
        </is>
      </c>
      <c r="C20" s="14" t="inlineStr">
        <is>
          <t>Requires approval</t>
        </is>
      </c>
      <c r="D20" s="14" t="inlineStr">
        <is>
          <t>Discretion</t>
        </is>
      </c>
      <c r="E20" s="14" t="inlineStr">
        <is>
          <t>Allowed</t>
        </is>
      </c>
    </row>
    <row r="21">
      <c r="A21" s="14" t="inlineStr"/>
      <c r="B21" s="14" t="inlineStr"/>
      <c r="C21" s="14" t="inlineStr"/>
      <c r="D21" s="14" t="inlineStr"/>
      <c r="E21" s="14" t="inlineStr"/>
    </row>
    <row r="22">
      <c r="A22" s="23" t="inlineStr">
        <is>
          <t>PHYSICAL HANDLING</t>
        </is>
      </c>
      <c r="B22" s="14" t="inlineStr"/>
      <c r="C22" s="14" t="inlineStr"/>
      <c r="D22" s="14" t="inlineStr"/>
      <c r="E22" s="14" t="inlineStr"/>
    </row>
    <row r="23">
      <c r="A23" s="14" t="inlineStr">
        <is>
          <t>Printing</t>
        </is>
      </c>
      <c r="B23" s="14" t="inlineStr">
        <is>
          <t>Secure print only</t>
        </is>
      </c>
      <c r="C23" s="14" t="inlineStr">
        <is>
          <t>Track copies</t>
        </is>
      </c>
      <c r="D23" s="14" t="inlineStr">
        <is>
          <t>Normal</t>
        </is>
      </c>
      <c r="E23" s="14" t="inlineStr">
        <is>
          <t>Normal</t>
        </is>
      </c>
    </row>
    <row r="24">
      <c r="A24" s="14" t="inlineStr">
        <is>
          <t>Clean desk</t>
        </is>
      </c>
      <c r="B24" s="14" t="inlineStr">
        <is>
          <t>Mandatory</t>
        </is>
      </c>
      <c r="C24" s="14" t="inlineStr">
        <is>
          <t>Mandatory</t>
        </is>
      </c>
      <c r="D24" s="14" t="inlineStr">
        <is>
          <t>Recommended</t>
        </is>
      </c>
      <c r="E24" s="14" t="inlineStr">
        <is>
          <t>N/A</t>
        </is>
      </c>
    </row>
    <row r="25">
      <c r="A25" s="14" t="inlineStr">
        <is>
          <t>Secure disposal</t>
        </is>
      </c>
      <c r="B25" s="14" t="inlineStr">
        <is>
          <t>Shredding required</t>
        </is>
      </c>
      <c r="C25" s="14" t="inlineStr">
        <is>
          <t>Shredding required</t>
        </is>
      </c>
      <c r="D25" s="14" t="inlineStr">
        <is>
          <t>Shredding</t>
        </is>
      </c>
      <c r="E25" s="14" t="inlineStr">
        <is>
          <t>Recycling OK</t>
        </is>
      </c>
    </row>
    <row r="26">
      <c r="A26" s="14" t="inlineStr"/>
      <c r="B26" s="14" t="inlineStr"/>
      <c r="C26" s="14" t="inlineStr"/>
      <c r="D26" s="14" t="inlineStr"/>
      <c r="E26" s="14" t="inlineStr"/>
    </row>
    <row r="27">
      <c r="A27" s="23" t="inlineStr">
        <is>
          <t>LABELLING</t>
        </is>
      </c>
      <c r="B27" s="14" t="inlineStr"/>
      <c r="C27" s="14" t="inlineStr"/>
      <c r="D27" s="14" t="inlineStr"/>
      <c r="E27" s="14" t="inlineStr"/>
    </row>
    <row r="28">
      <c r="A28" s="14" t="inlineStr">
        <is>
          <t>Document marking</t>
        </is>
      </c>
      <c r="B28" s="14" t="inlineStr">
        <is>
          <t>Header/Footer + Watermark</t>
        </is>
      </c>
      <c r="C28" s="14" t="inlineStr">
        <is>
          <t>Header/Footer</t>
        </is>
      </c>
      <c r="D28" s="14" t="inlineStr">
        <is>
          <t>Footer only</t>
        </is>
      </c>
      <c r="E28" s="14" t="inlineStr">
        <is>
          <t>Optional</t>
        </is>
      </c>
    </row>
    <row r="29">
      <c r="A29" s="14" t="inlineStr">
        <is>
          <t>Metadata tagging</t>
        </is>
      </c>
      <c r="B29" s="14" t="inlineStr">
        <is>
          <t>Mandatory</t>
        </is>
      </c>
      <c r="C29" s="14" t="inlineStr">
        <is>
          <t>Mandatory</t>
        </is>
      </c>
      <c r="D29" s="14" t="inlineStr">
        <is>
          <t>Recommended</t>
        </is>
      </c>
      <c r="E29" s="14" t="inlineStr">
        <is>
          <t>Optional</t>
        </is>
      </c>
    </row>
    <row r="30">
      <c r="A30" s="14" t="inlineStr">
        <is>
          <t>Visual indicators</t>
        </is>
      </c>
      <c r="B30" s="14" t="inlineStr">
        <is>
          <t>Red banner</t>
        </is>
      </c>
      <c r="C30" s="14" t="inlineStr">
        <is>
          <t>Orange banner</t>
        </is>
      </c>
      <c r="D30" s="14" t="inlineStr">
        <is>
          <t>Green banner</t>
        </is>
      </c>
      <c r="E30" s="14" t="inlineStr">
        <is>
          <t>Blue banner</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15" customWidth="1" min="1" max="1"/>
    <col width="25" customWidth="1" min="2" max="2"/>
    <col width="25" customWidth="1" min="3" max="3"/>
    <col width="25" customWidth="1" min="4" max="4"/>
    <col width="20" customWidth="1" min="5" max="5"/>
  </cols>
  <sheetData>
    <row r="1" ht="35" customHeight="1">
      <c r="A1" s="11" t="inlineStr">
        <is>
          <t>CIA REQUIREMENTS MATRIX</t>
        </is>
      </c>
    </row>
    <row r="2">
      <c r="A2" s="12" t="inlineStr">
        <is>
          <t>Define Confidentiality, Integrity, and Availability requirements per classification</t>
        </is>
      </c>
    </row>
    <row r="4">
      <c r="A4" s="24" t="inlineStr">
        <is>
          <t>CONFIDENTIALITY REQUIREMENTS</t>
        </is>
      </c>
    </row>
    <row r="5">
      <c r="A5" s="13" t="inlineStr">
        <is>
          <t>Level</t>
        </is>
      </c>
      <c r="B5" s="13" t="inlineStr">
        <is>
          <t>Access Control</t>
        </is>
      </c>
      <c r="C5" s="13" t="inlineStr">
        <is>
          <t>Encryption</t>
        </is>
      </c>
      <c r="D5" s="13" t="inlineStr">
        <is>
          <t>Disclosure Impact</t>
        </is>
      </c>
      <c r="E5" s="13" t="inlineStr">
        <is>
          <t>Monitoring</t>
        </is>
      </c>
    </row>
    <row r="6">
      <c r="A6" s="25" t="inlineStr">
        <is>
          <t>RESTRICTED</t>
        </is>
      </c>
      <c r="B6" s="25" t="inlineStr">
        <is>
          <t>Need-to-know, MFA required</t>
        </is>
      </c>
      <c r="C6" s="25" t="inlineStr">
        <is>
          <t>AES-256 at rest and transit</t>
        </is>
      </c>
      <c r="D6" s="25" t="inlineStr">
        <is>
          <t>Severe - regulatory/legal</t>
        </is>
      </c>
      <c r="E6" s="25" t="inlineStr">
        <is>
          <t>Real-time alerting</t>
        </is>
      </c>
    </row>
    <row r="7">
      <c r="A7" s="25" t="inlineStr">
        <is>
          <t>CONFIDENTIAL</t>
        </is>
      </c>
      <c r="B7" s="25" t="inlineStr">
        <is>
          <t>Role-based, approval required</t>
        </is>
      </c>
      <c r="C7" s="25" t="inlineStr">
        <is>
          <t>AES-256 required</t>
        </is>
      </c>
      <c r="D7" s="25" t="inlineStr">
        <is>
          <t>Significant - business impact</t>
        </is>
      </c>
      <c r="E7" s="25" t="inlineStr">
        <is>
          <t>Daily review</t>
        </is>
      </c>
    </row>
    <row r="8">
      <c r="A8" s="25" t="inlineStr">
        <is>
          <t>INTERNAL</t>
        </is>
      </c>
      <c r="B8" s="25" t="inlineStr">
        <is>
          <t>Department-based</t>
        </is>
      </c>
      <c r="C8" s="25" t="inlineStr">
        <is>
          <t>Recommended</t>
        </is>
      </c>
      <c r="D8" s="25" t="inlineStr">
        <is>
          <t>Minor - operational</t>
        </is>
      </c>
      <c r="E8" s="25" t="inlineStr">
        <is>
          <t>Weekly review</t>
        </is>
      </c>
    </row>
    <row r="9">
      <c r="A9" s="25" t="inlineStr">
        <is>
          <t>PUBLIC</t>
        </is>
      </c>
      <c r="B9" s="25" t="inlineStr">
        <is>
          <t>Unrestricted</t>
        </is>
      </c>
      <c r="C9" s="25" t="inlineStr">
        <is>
          <t>Optional</t>
        </is>
      </c>
      <c r="D9" s="25" t="inlineStr">
        <is>
          <t>None expected</t>
        </is>
      </c>
      <c r="E9" s="25" t="inlineStr">
        <is>
          <t>None required</t>
        </is>
      </c>
    </row>
    <row r="12">
      <c r="A12" s="24" t="inlineStr">
        <is>
          <t>INTEGRITY REQUIREMENTS</t>
        </is>
      </c>
    </row>
    <row r="13">
      <c r="A13" s="13" t="inlineStr">
        <is>
          <t>Level</t>
        </is>
      </c>
      <c r="B13" s="13" t="inlineStr">
        <is>
          <t>Change Control</t>
        </is>
      </c>
      <c r="C13" s="13" t="inlineStr">
        <is>
          <t>Version Control</t>
        </is>
      </c>
      <c r="D13" s="13" t="inlineStr">
        <is>
          <t>Modification Impact</t>
        </is>
      </c>
      <c r="E13" s="13" t="inlineStr">
        <is>
          <t>Validation</t>
        </is>
      </c>
    </row>
    <row r="14">
      <c r="A14" s="25" t="inlineStr">
        <is>
          <t>RESTRICTED</t>
        </is>
      </c>
      <c r="B14" s="25" t="inlineStr">
        <is>
          <t>Dual approval required</t>
        </is>
      </c>
      <c r="C14" s="25" t="inlineStr">
        <is>
          <t>Full audit trail</t>
        </is>
      </c>
      <c r="D14" s="25" t="inlineStr">
        <is>
          <t>Severe - may cause legal issues</t>
        </is>
      </c>
      <c r="E14" s="25" t="inlineStr">
        <is>
          <t>Digital signatures</t>
        </is>
      </c>
    </row>
    <row r="15">
      <c r="A15" s="25" t="inlineStr">
        <is>
          <t>CONFIDENTIAL</t>
        </is>
      </c>
      <c r="B15" s="25" t="inlineStr">
        <is>
          <t>Manager approval</t>
        </is>
      </c>
      <c r="C15" s="25" t="inlineStr">
        <is>
          <t>Version history required</t>
        </is>
      </c>
      <c r="D15" s="25" t="inlineStr">
        <is>
          <t>Significant - incorrect decisions</t>
        </is>
      </c>
      <c r="E15" s="25" t="inlineStr">
        <is>
          <t>Checksums</t>
        </is>
      </c>
    </row>
    <row r="16">
      <c r="A16" s="25" t="inlineStr">
        <is>
          <t>INTERNAL</t>
        </is>
      </c>
      <c r="B16" s="25" t="inlineStr">
        <is>
          <t>Owner approval</t>
        </is>
      </c>
      <c r="C16" s="25" t="inlineStr">
        <is>
          <t>Recommended</t>
        </is>
      </c>
      <c r="D16" s="25" t="inlineStr">
        <is>
          <t>Minor - process delays</t>
        </is>
      </c>
      <c r="E16" s="25" t="inlineStr">
        <is>
          <t>Spot checks</t>
        </is>
      </c>
    </row>
    <row r="17">
      <c r="A17" s="25" t="inlineStr">
        <is>
          <t>PUBLIC</t>
        </is>
      </c>
      <c r="B17" s="25" t="inlineStr">
        <is>
          <t>Standard process</t>
        </is>
      </c>
      <c r="C17" s="25" t="inlineStr">
        <is>
          <t>Optional</t>
        </is>
      </c>
      <c r="D17" s="25" t="inlineStr">
        <is>
          <t>Minimal</t>
        </is>
      </c>
      <c r="E17" s="25" t="inlineStr">
        <is>
          <t>None required</t>
        </is>
      </c>
    </row>
    <row r="20">
      <c r="A20" s="24" t="inlineStr">
        <is>
          <t>AVAILABILITY REQUIREMENTS</t>
        </is>
      </c>
    </row>
    <row r="21">
      <c r="A21" s="13" t="inlineStr">
        <is>
          <t>Level</t>
        </is>
      </c>
      <c r="B21" s="13" t="inlineStr">
        <is>
          <t>Recovery Time</t>
        </is>
      </c>
      <c r="C21" s="13" t="inlineStr">
        <is>
          <t>Backup Frequency</t>
        </is>
      </c>
      <c r="D21" s="13" t="inlineStr">
        <is>
          <t>Unavailability Impact</t>
        </is>
      </c>
      <c r="E21" s="13" t="inlineStr">
        <is>
          <t>Redundancy</t>
        </is>
      </c>
    </row>
    <row r="22">
      <c r="A22" s="25" t="inlineStr">
        <is>
          <t>RESTRICTED</t>
        </is>
      </c>
      <c r="B22" s="25" t="inlineStr">
        <is>
          <t>&lt; 4 hours</t>
        </is>
      </c>
      <c r="C22" s="25" t="inlineStr">
        <is>
          <t>Real-time/Hourly</t>
        </is>
      </c>
      <c r="D22" s="25" t="inlineStr">
        <is>
          <t>Critical - operations halt</t>
        </is>
      </c>
      <c r="E22" s="25" t="inlineStr">
        <is>
          <t>Active-active</t>
        </is>
      </c>
    </row>
    <row r="23">
      <c r="A23" s="25" t="inlineStr">
        <is>
          <t>CONFIDENTIAL</t>
        </is>
      </c>
      <c r="B23" s="25" t="inlineStr">
        <is>
          <t>&lt; 24 hours</t>
        </is>
      </c>
      <c r="C23" s="25" t="inlineStr">
        <is>
          <t>Daily</t>
        </is>
      </c>
      <c r="D23" s="25" t="inlineStr">
        <is>
          <t>Significant - major delays</t>
        </is>
      </c>
      <c r="E23" s="25" t="inlineStr">
        <is>
          <t>Active-passive</t>
        </is>
      </c>
    </row>
    <row r="24">
      <c r="A24" s="25" t="inlineStr">
        <is>
          <t>INTERNAL</t>
        </is>
      </c>
      <c r="B24" s="25" t="inlineStr">
        <is>
          <t>&lt; 72 hours</t>
        </is>
      </c>
      <c r="C24" s="25" t="inlineStr">
        <is>
          <t>Daily</t>
        </is>
      </c>
      <c r="D24" s="25" t="inlineStr">
        <is>
          <t>Minor - workarounds exist</t>
        </is>
      </c>
      <c r="E24" s="25" t="inlineStr">
        <is>
          <t>Standard backup</t>
        </is>
      </c>
    </row>
    <row r="25">
      <c r="A25" s="25" t="inlineStr">
        <is>
          <t>PUBLIC</t>
        </is>
      </c>
      <c r="B25" s="25" t="inlineStr">
        <is>
          <t>Best effort</t>
        </is>
      </c>
      <c r="C25" s="25" t="inlineStr">
        <is>
          <t>Weekly</t>
        </is>
      </c>
      <c r="D25" s="25" t="inlineStr">
        <is>
          <t>Minimal</t>
        </is>
      </c>
      <c r="E25" s="25" t="inlineStr">
        <is>
          <t>Basic backup</t>
        </is>
      </c>
    </row>
  </sheetData>
  <mergeCells count="5">
    <mergeCell ref="A1:G1"/>
    <mergeCell ref="A12:G12"/>
    <mergeCell ref="A4:G4"/>
    <mergeCell ref="A20:G20"/>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18" customWidth="1" min="1" max="1"/>
    <col width="25" customWidth="1" min="2" max="2"/>
    <col width="25" customWidth="1" min="3" max="3"/>
    <col width="18" customWidth="1" min="4" max="4"/>
    <col width="30" customWidth="1" min="5" max="5"/>
    <col width="18" customWidth="1" min="6" max="6"/>
    <col width="18" customWidth="1" min="7" max="7"/>
  </cols>
  <sheetData>
    <row r="1" ht="35" customHeight="1">
      <c r="A1" s="11" t="inlineStr">
        <is>
          <t>CLASSIFICATION TO REGULATORY REQUIREMENTS MAPPING</t>
        </is>
      </c>
    </row>
    <row r="2">
      <c r="A2" s="12" t="inlineStr">
        <is>
          <t>Map classification levels to regulatory and legal requirements</t>
        </is>
      </c>
    </row>
    <row r="4">
      <c r="A4" s="13" t="inlineStr">
        <is>
          <t>Regulation</t>
        </is>
      </c>
      <c r="B4" s="13" t="inlineStr">
        <is>
          <t>Requirement</t>
        </is>
      </c>
      <c r="C4" s="13" t="inlineStr">
        <is>
          <t>Data Types Covered</t>
        </is>
      </c>
      <c r="D4" s="13" t="inlineStr">
        <is>
          <t>Min Classification</t>
        </is>
      </c>
      <c r="E4" s="13" t="inlineStr">
        <is>
          <t>Special Handling</t>
        </is>
      </c>
      <c r="F4" s="13" t="inlineStr">
        <is>
          <t>Retention</t>
        </is>
      </c>
      <c r="G4" s="13" t="inlineStr">
        <is>
          <t>Status</t>
        </is>
      </c>
    </row>
    <row r="5">
      <c r="A5" s="25" t="inlineStr">
        <is>
          <t>GDPR Art. 32</t>
        </is>
      </c>
      <c r="B5" s="25" t="inlineStr">
        <is>
          <t>Security of processing</t>
        </is>
      </c>
      <c r="C5" s="25" t="inlineStr">
        <is>
          <t>Personal data</t>
        </is>
      </c>
      <c r="D5" s="25" t="inlineStr">
        <is>
          <t>CONFIDENTIAL</t>
        </is>
      </c>
      <c r="E5" s="25" t="inlineStr">
        <is>
          <t>Pseudonymisation where possible</t>
        </is>
      </c>
      <c r="F5" s="25" t="inlineStr">
        <is>
          <t>As per Art. 17</t>
        </is>
      </c>
      <c r="G5" s="26" t="inlineStr"/>
    </row>
    <row r="6">
      <c r="A6" s="25" t="inlineStr">
        <is>
          <t>GDPR Art. 9</t>
        </is>
      </c>
      <c r="B6" s="25" t="inlineStr">
        <is>
          <t>Special categories</t>
        </is>
      </c>
      <c r="C6" s="25" t="inlineStr">
        <is>
          <t>Health, biometric, genetic</t>
        </is>
      </c>
      <c r="D6" s="25" t="inlineStr">
        <is>
          <t>RESTRICTED</t>
        </is>
      </c>
      <c r="E6" s="25" t="inlineStr">
        <is>
          <t>Explicit consent required</t>
        </is>
      </c>
      <c r="F6" s="25" t="inlineStr">
        <is>
          <t>As per Art. 17</t>
        </is>
      </c>
      <c r="G6" s="26" t="inlineStr"/>
    </row>
    <row r="7">
      <c r="A7" s="25" t="inlineStr">
        <is>
          <t>Swiss nDSG Art. 8</t>
        </is>
      </c>
      <c r="B7" s="25" t="inlineStr">
        <is>
          <t>Data security</t>
        </is>
      </c>
      <c r="C7" s="25" t="inlineStr">
        <is>
          <t>Personal data (CH)</t>
        </is>
      </c>
      <c r="D7" s="25" t="inlineStr">
        <is>
          <t>CONFIDENTIAL</t>
        </is>
      </c>
      <c r="E7" s="25" t="inlineStr">
        <is>
          <t>Appropriate measures</t>
        </is>
      </c>
      <c r="F7" s="25" t="inlineStr">
        <is>
          <t>Purpose-based</t>
        </is>
      </c>
      <c r="G7" s="26" t="inlineStr"/>
    </row>
    <row r="8">
      <c r="A8" s="25" t="inlineStr">
        <is>
          <t>PCI DSS v4.0.1</t>
        </is>
      </c>
      <c r="B8" s="25" t="inlineStr">
        <is>
          <t>Cardholder data protection</t>
        </is>
      </c>
      <c r="C8" s="25" t="inlineStr">
        <is>
          <t>Credit card data</t>
        </is>
      </c>
      <c r="D8" s="25" t="inlineStr">
        <is>
          <t>RESTRICTED</t>
        </is>
      </c>
      <c r="E8" s="25" t="inlineStr">
        <is>
          <t>PCI controls required</t>
        </is>
      </c>
      <c r="F8" s="25" t="inlineStr">
        <is>
          <t>Per PCI standards</t>
        </is>
      </c>
      <c r="G8" s="26" t="inlineStr"/>
    </row>
    <row r="9">
      <c r="A9" s="25" t="inlineStr">
        <is>
          <t>SOX</t>
        </is>
      </c>
      <c r="B9" s="25" t="inlineStr">
        <is>
          <t>Financial integrity</t>
        </is>
      </c>
      <c r="C9" s="25" t="inlineStr">
        <is>
          <t>Financial records</t>
        </is>
      </c>
      <c r="D9" s="25" t="inlineStr">
        <is>
          <t>CONFIDENTIAL</t>
        </is>
      </c>
      <c r="E9" s="25" t="inlineStr">
        <is>
          <t>Audit trail required</t>
        </is>
      </c>
      <c r="F9" s="25" t="inlineStr">
        <is>
          <t>7 years</t>
        </is>
      </c>
      <c r="G9" s="26" t="inlineStr"/>
    </row>
    <row r="10">
      <c r="A10" s="25" t="inlineStr">
        <is>
          <t>HIPAA</t>
        </is>
      </c>
      <c r="B10" s="25" t="inlineStr">
        <is>
          <t>Health information</t>
        </is>
      </c>
      <c r="C10" s="25" t="inlineStr">
        <is>
          <t>PHI/ePHI</t>
        </is>
      </c>
      <c r="D10" s="25" t="inlineStr">
        <is>
          <t>RESTRICTED</t>
        </is>
      </c>
      <c r="E10" s="25" t="inlineStr">
        <is>
          <t>Minimum necessary</t>
        </is>
      </c>
      <c r="F10" s="25" t="inlineStr">
        <is>
          <t>6 years</t>
        </is>
      </c>
      <c r="G10" s="26" t="inlineStr"/>
    </row>
    <row r="11">
      <c r="A11" s="25" t="inlineStr">
        <is>
          <t>Trade Secrets</t>
        </is>
      </c>
      <c r="B11" s="25" t="inlineStr">
        <is>
          <t>Competitive advantage</t>
        </is>
      </c>
      <c r="C11" s="25" t="inlineStr">
        <is>
          <t>Proprietary information</t>
        </is>
      </c>
      <c r="D11" s="25" t="inlineStr">
        <is>
          <t>RESTRICTED</t>
        </is>
      </c>
      <c r="E11" s="25" t="inlineStr">
        <is>
          <t>NDA required</t>
        </is>
      </c>
      <c r="F11" s="25" t="inlineStr">
        <is>
          <t>Indefinite</t>
        </is>
      </c>
      <c r="G11" s="26" t="inlineStr"/>
    </row>
    <row r="12">
      <c r="A12" s="25" t="inlineStr">
        <is>
          <t>Employment Law</t>
        </is>
      </c>
      <c r="B12" s="25" t="inlineStr">
        <is>
          <t>Employee records</t>
        </is>
      </c>
      <c r="C12" s="25" t="inlineStr">
        <is>
          <t>HR data</t>
        </is>
      </c>
      <c r="D12" s="25" t="inlineStr">
        <is>
          <t>CONFIDENTIAL</t>
        </is>
      </c>
      <c r="E12" s="25" t="inlineStr">
        <is>
          <t>Access restricted to HR</t>
        </is>
      </c>
      <c r="F12" s="25" t="inlineStr">
        <is>
          <t>Per jurisdiction</t>
        </is>
      </c>
      <c r="G12" s="26" t="inlineStr"/>
    </row>
    <row r="13">
      <c r="A13" s="27" t="inlineStr">
        <is>
          <t>EXAMPLE-REG</t>
        </is>
      </c>
      <c r="B13" s="27" t="inlineStr">
        <is>
          <t>Example requirement</t>
        </is>
      </c>
      <c r="C13" s="27" t="inlineStr">
        <is>
          <t>Example data type</t>
        </is>
      </c>
      <c r="D13" s="27" t="inlineStr">
        <is>
          <t>CONFIDENTIAL</t>
        </is>
      </c>
      <c r="E13" s="27" t="inlineStr">
        <is>
          <t>Example special handling</t>
        </is>
      </c>
      <c r="F13" s="27" t="inlineStr">
        <is>
          <t>As required</t>
        </is>
      </c>
      <c r="G13" s="27" t="inlineStr">
        <is>
          <t>Compliant</t>
        </is>
      </c>
    </row>
    <row r="14">
      <c r="A14" s="28" t="n"/>
      <c r="B14" s="28" t="n"/>
      <c r="C14" s="28" t="n"/>
      <c r="D14" s="28" t="n"/>
      <c r="E14" s="28" t="n"/>
      <c r="F14" s="28" t="n"/>
      <c r="G14" s="28" t="n"/>
    </row>
    <row r="15">
      <c r="A15" s="28" t="n"/>
      <c r="B15" s="28" t="n"/>
      <c r="C15" s="28" t="n"/>
      <c r="D15" s="28" t="n"/>
      <c r="E15" s="28" t="n"/>
      <c r="F15" s="28" t="n"/>
      <c r="G15" s="28" t="n"/>
    </row>
    <row r="16">
      <c r="A16" s="28" t="n"/>
      <c r="B16" s="28" t="n"/>
      <c r="C16" s="28" t="n"/>
      <c r="D16" s="28" t="n"/>
      <c r="E16" s="28" t="n"/>
      <c r="F16" s="28" t="n"/>
      <c r="G16" s="28" t="n"/>
    </row>
    <row r="17">
      <c r="A17" s="28" t="n"/>
      <c r="B17" s="28" t="n"/>
      <c r="C17" s="28" t="n"/>
      <c r="D17" s="28" t="n"/>
      <c r="E17" s="28" t="n"/>
      <c r="F17" s="28" t="n"/>
      <c r="G17" s="28" t="n"/>
    </row>
    <row r="18">
      <c r="A18" s="28" t="n"/>
      <c r="B18" s="28" t="n"/>
      <c r="C18" s="28" t="n"/>
      <c r="D18" s="28" t="n"/>
      <c r="E18" s="28" t="n"/>
      <c r="F18" s="28" t="n"/>
      <c r="G18" s="28" t="n"/>
    </row>
    <row r="19">
      <c r="A19" s="28" t="n"/>
      <c r="B19" s="28" t="n"/>
      <c r="C19" s="28" t="n"/>
      <c r="D19" s="28" t="n"/>
      <c r="E19" s="28" t="n"/>
      <c r="F19" s="28" t="n"/>
      <c r="G19" s="28" t="n"/>
    </row>
    <row r="20">
      <c r="A20" s="28" t="n"/>
      <c r="B20" s="28" t="n"/>
      <c r="C20" s="28" t="n"/>
      <c r="D20" s="28" t="n"/>
      <c r="E20" s="28" t="n"/>
      <c r="F20" s="28" t="n"/>
      <c r="G20" s="28" t="n"/>
    </row>
    <row r="21">
      <c r="A21" s="28" t="n"/>
      <c r="B21" s="28" t="n"/>
      <c r="C21" s="28" t="n"/>
      <c r="D21" s="28" t="n"/>
      <c r="E21" s="28" t="n"/>
      <c r="F21" s="28" t="n"/>
      <c r="G21" s="28" t="n"/>
    </row>
    <row r="22">
      <c r="A22" s="28" t="n"/>
      <c r="B22" s="28" t="n"/>
      <c r="C22" s="28" t="n"/>
      <c r="D22" s="28" t="n"/>
      <c r="E22" s="28" t="n"/>
      <c r="F22" s="28" t="n"/>
      <c r="G22" s="28" t="n"/>
    </row>
    <row r="23">
      <c r="A23" s="28" t="n"/>
      <c r="B23" s="28" t="n"/>
      <c r="C23" s="28" t="n"/>
      <c r="D23" s="28" t="n"/>
      <c r="E23" s="28" t="n"/>
      <c r="F23" s="28" t="n"/>
      <c r="G23" s="28" t="n"/>
    </row>
    <row r="24">
      <c r="A24" s="28" t="n"/>
      <c r="B24" s="28" t="n"/>
      <c r="C24" s="28" t="n"/>
      <c r="D24" s="28" t="n"/>
      <c r="E24" s="28" t="n"/>
      <c r="F24" s="28" t="n"/>
      <c r="G24" s="28" t="n"/>
    </row>
    <row r="25">
      <c r="A25" s="28" t="n"/>
      <c r="B25" s="28" t="n"/>
      <c r="C25" s="28" t="n"/>
      <c r="D25" s="28" t="n"/>
      <c r="E25" s="28" t="n"/>
      <c r="F25" s="28" t="n"/>
      <c r="G25" s="28" t="n"/>
    </row>
    <row r="26">
      <c r="A26" s="28" t="n"/>
      <c r="B26" s="28" t="n"/>
      <c r="C26" s="28" t="n"/>
      <c r="D26" s="28" t="n"/>
      <c r="E26" s="28" t="n"/>
      <c r="F26" s="28" t="n"/>
      <c r="G26" s="28" t="n"/>
    </row>
    <row r="27">
      <c r="A27" s="28" t="n"/>
      <c r="B27" s="28" t="n"/>
      <c r="C27" s="28" t="n"/>
      <c r="D27" s="28" t="n"/>
      <c r="E27" s="28" t="n"/>
      <c r="F27" s="28" t="n"/>
      <c r="G27" s="28" t="n"/>
    </row>
    <row r="28">
      <c r="A28" s="28" t="n"/>
      <c r="B28" s="28" t="n"/>
      <c r="C28" s="28" t="n"/>
      <c r="D28" s="28" t="n"/>
      <c r="E28" s="28" t="n"/>
      <c r="F28" s="28" t="n"/>
      <c r="G28" s="28" t="n"/>
    </row>
    <row r="29">
      <c r="A29" s="28" t="n"/>
      <c r="B29" s="28" t="n"/>
      <c r="C29" s="28" t="n"/>
      <c r="D29" s="28" t="n"/>
      <c r="E29" s="28" t="n"/>
      <c r="F29" s="28" t="n"/>
      <c r="G29" s="28" t="n"/>
    </row>
    <row r="30">
      <c r="A30" s="28" t="n"/>
      <c r="B30" s="28" t="n"/>
      <c r="C30" s="28" t="n"/>
      <c r="D30" s="28" t="n"/>
      <c r="E30" s="28" t="n"/>
      <c r="F30" s="28" t="n"/>
      <c r="G30" s="28" t="n"/>
    </row>
    <row r="31">
      <c r="A31" s="28" t="n"/>
      <c r="B31" s="28" t="n"/>
      <c r="C31" s="28" t="n"/>
      <c r="D31" s="28" t="n"/>
      <c r="E31" s="28" t="n"/>
      <c r="F31" s="28" t="n"/>
      <c r="G31" s="28" t="n"/>
    </row>
    <row r="32">
      <c r="A32" s="28" t="n"/>
      <c r="B32" s="28" t="n"/>
      <c r="C32" s="28" t="n"/>
      <c r="D32" s="28" t="n"/>
      <c r="E32" s="28" t="n"/>
      <c r="F32" s="28" t="n"/>
      <c r="G32" s="28" t="n"/>
    </row>
    <row r="33">
      <c r="A33" s="28" t="n"/>
      <c r="B33" s="28" t="n"/>
      <c r="C33" s="28" t="n"/>
      <c r="D33" s="28" t="n"/>
      <c r="E33" s="28" t="n"/>
      <c r="F33" s="28" t="n"/>
      <c r="G33" s="28" t="n"/>
    </row>
    <row r="34">
      <c r="A34" s="28" t="n"/>
      <c r="B34" s="28" t="n"/>
      <c r="C34" s="28" t="n"/>
      <c r="D34" s="28" t="n"/>
      <c r="E34" s="28" t="n"/>
      <c r="F34" s="28" t="n"/>
      <c r="G34" s="28" t="n"/>
    </row>
    <row r="35">
      <c r="A35" s="28" t="n"/>
      <c r="B35" s="28" t="n"/>
      <c r="C35" s="28" t="n"/>
      <c r="D35" s="28" t="n"/>
      <c r="E35" s="28" t="n"/>
      <c r="F35" s="28" t="n"/>
      <c r="G35" s="28" t="n"/>
    </row>
    <row r="36">
      <c r="A36" s="28" t="n"/>
      <c r="B36" s="28" t="n"/>
      <c r="C36" s="28" t="n"/>
      <c r="D36" s="28" t="n"/>
      <c r="E36" s="28" t="n"/>
      <c r="F36" s="28" t="n"/>
      <c r="G36" s="28" t="n"/>
    </row>
    <row r="37">
      <c r="A37" s="28" t="n"/>
      <c r="B37" s="28" t="n"/>
      <c r="C37" s="28" t="n"/>
      <c r="D37" s="28" t="n"/>
      <c r="E37" s="28" t="n"/>
      <c r="F37" s="28" t="n"/>
      <c r="G37" s="28" t="n"/>
    </row>
    <row r="38">
      <c r="A38" s="28" t="n"/>
      <c r="B38" s="28" t="n"/>
      <c r="C38" s="28" t="n"/>
      <c r="D38" s="28" t="n"/>
      <c r="E38" s="28" t="n"/>
      <c r="F38" s="28" t="n"/>
      <c r="G38" s="28" t="n"/>
    </row>
    <row r="39">
      <c r="A39" s="28" t="n"/>
      <c r="B39" s="28" t="n"/>
      <c r="C39" s="28" t="n"/>
      <c r="D39" s="28" t="n"/>
      <c r="E39" s="28" t="n"/>
      <c r="F39" s="28" t="n"/>
      <c r="G39" s="28" t="n"/>
    </row>
    <row r="40">
      <c r="A40" s="28" t="n"/>
      <c r="B40" s="28" t="n"/>
      <c r="C40" s="28" t="n"/>
      <c r="D40" s="28" t="n"/>
      <c r="E40" s="28" t="n"/>
      <c r="F40" s="28" t="n"/>
      <c r="G40" s="28" t="n"/>
    </row>
    <row r="41">
      <c r="A41" s="28" t="n"/>
      <c r="B41" s="28" t="n"/>
      <c r="C41" s="28" t="n"/>
      <c r="D41" s="28" t="n"/>
      <c r="E41" s="28" t="n"/>
      <c r="F41" s="28" t="n"/>
      <c r="G41" s="28" t="n"/>
    </row>
    <row r="42">
      <c r="A42" s="28" t="n"/>
      <c r="B42" s="28" t="n"/>
      <c r="C42" s="28" t="n"/>
      <c r="D42" s="28" t="n"/>
      <c r="E42" s="28" t="n"/>
      <c r="F42" s="28" t="n"/>
      <c r="G42" s="28" t="n"/>
    </row>
    <row r="43">
      <c r="A43" s="28" t="n"/>
      <c r="B43" s="28" t="n"/>
      <c r="C43" s="28" t="n"/>
      <c r="D43" s="28" t="n"/>
      <c r="E43" s="28" t="n"/>
      <c r="F43" s="28" t="n"/>
      <c r="G43" s="28" t="n"/>
    </row>
    <row r="44">
      <c r="A44" s="28" t="n"/>
      <c r="B44" s="28" t="n"/>
      <c r="C44" s="28" t="n"/>
      <c r="D44" s="28" t="n"/>
      <c r="E44" s="28" t="n"/>
      <c r="F44" s="28" t="n"/>
      <c r="G44" s="28" t="n"/>
    </row>
    <row r="45">
      <c r="A45" s="28" t="n"/>
      <c r="B45" s="28" t="n"/>
      <c r="C45" s="28" t="n"/>
      <c r="D45" s="28" t="n"/>
      <c r="E45" s="28" t="n"/>
      <c r="F45" s="28" t="n"/>
      <c r="G45" s="28" t="n"/>
    </row>
    <row r="46">
      <c r="A46" s="28" t="n"/>
      <c r="B46" s="28" t="n"/>
      <c r="C46" s="28" t="n"/>
      <c r="D46" s="28" t="n"/>
      <c r="E46" s="28" t="n"/>
      <c r="F46" s="28" t="n"/>
      <c r="G46" s="28" t="n"/>
    </row>
    <row r="47">
      <c r="A47" s="28" t="n"/>
      <c r="B47" s="28" t="n"/>
      <c r="C47" s="28" t="n"/>
      <c r="D47" s="28" t="n"/>
      <c r="E47" s="28" t="n"/>
      <c r="F47" s="28" t="n"/>
      <c r="G47" s="28" t="n"/>
    </row>
    <row r="48">
      <c r="A48" s="28" t="n"/>
      <c r="B48" s="28" t="n"/>
      <c r="C48" s="28" t="n"/>
      <c r="D48" s="28" t="n"/>
      <c r="E48" s="28" t="n"/>
      <c r="F48" s="28" t="n"/>
      <c r="G48" s="28" t="n"/>
    </row>
    <row r="49">
      <c r="A49" s="28" t="n"/>
      <c r="B49" s="28" t="n"/>
      <c r="C49" s="28" t="n"/>
      <c r="D49" s="28" t="n"/>
      <c r="E49" s="28" t="n"/>
      <c r="F49" s="28" t="n"/>
      <c r="G49" s="28" t="n"/>
    </row>
    <row r="50">
      <c r="A50" s="28" t="n"/>
      <c r="B50" s="28" t="n"/>
      <c r="C50" s="28" t="n"/>
      <c r="D50" s="28" t="n"/>
      <c r="E50" s="28" t="n"/>
      <c r="F50" s="28" t="n"/>
      <c r="G50" s="28" t="n"/>
    </row>
    <row r="51">
      <c r="A51" s="28" t="n"/>
      <c r="B51" s="28" t="n"/>
      <c r="C51" s="28" t="n"/>
      <c r="D51" s="28" t="n"/>
      <c r="E51" s="28" t="n"/>
      <c r="F51" s="28" t="n"/>
      <c r="G51" s="28" t="n"/>
    </row>
    <row r="52">
      <c r="A52" s="28" t="n"/>
      <c r="B52" s="28" t="n"/>
      <c r="C52" s="28" t="n"/>
      <c r="D52" s="28" t="n"/>
      <c r="E52" s="28" t="n"/>
      <c r="F52" s="28" t="n"/>
      <c r="G52" s="28" t="n"/>
    </row>
    <row r="53">
      <c r="A53" s="28" t="n"/>
      <c r="B53" s="28" t="n"/>
      <c r="C53" s="28" t="n"/>
      <c r="D53" s="28" t="n"/>
      <c r="E53" s="28" t="n"/>
      <c r="F53" s="28" t="n"/>
      <c r="G53" s="28" t="n"/>
    </row>
    <row r="54">
      <c r="A54" s="28" t="n"/>
      <c r="B54" s="28" t="n"/>
      <c r="C54" s="28" t="n"/>
      <c r="D54" s="28" t="n"/>
      <c r="E54" s="28" t="n"/>
      <c r="F54" s="28" t="n"/>
      <c r="G54" s="28" t="n"/>
    </row>
    <row r="55">
      <c r="A55" s="28" t="n"/>
      <c r="B55" s="28" t="n"/>
      <c r="C55" s="28" t="n"/>
      <c r="D55" s="28" t="n"/>
      <c r="E55" s="28" t="n"/>
      <c r="F55" s="28" t="n"/>
      <c r="G55" s="28" t="n"/>
    </row>
    <row r="56">
      <c r="A56" s="28" t="n"/>
      <c r="B56" s="28" t="n"/>
      <c r="C56" s="28" t="n"/>
      <c r="D56" s="28" t="n"/>
      <c r="E56" s="28" t="n"/>
      <c r="F56" s="28" t="n"/>
      <c r="G56" s="28" t="n"/>
    </row>
    <row r="57">
      <c r="A57" s="28" t="n"/>
      <c r="B57" s="28" t="n"/>
      <c r="C57" s="28" t="n"/>
      <c r="D57" s="28" t="n"/>
      <c r="E57" s="28" t="n"/>
      <c r="F57" s="28" t="n"/>
      <c r="G57" s="28" t="n"/>
    </row>
    <row r="58">
      <c r="A58" s="28" t="n"/>
      <c r="B58" s="28" t="n"/>
      <c r="C58" s="28" t="n"/>
      <c r="D58" s="28" t="n"/>
      <c r="E58" s="28" t="n"/>
      <c r="F58" s="28" t="n"/>
      <c r="G58" s="28" t="n"/>
    </row>
    <row r="59">
      <c r="A59" s="28" t="n"/>
      <c r="B59" s="28" t="n"/>
      <c r="C59" s="28" t="n"/>
      <c r="D59" s="28" t="n"/>
      <c r="E59" s="28" t="n"/>
      <c r="F59" s="28" t="n"/>
      <c r="G59" s="28" t="n"/>
    </row>
    <row r="60">
      <c r="A60" s="28" t="n"/>
      <c r="B60" s="28" t="n"/>
      <c r="C60" s="28" t="n"/>
      <c r="D60" s="28" t="n"/>
      <c r="E60" s="28" t="n"/>
      <c r="F60" s="28" t="n"/>
      <c r="G60" s="28" t="n"/>
    </row>
    <row r="61">
      <c r="A61" s="28" t="n"/>
      <c r="B61" s="28" t="n"/>
      <c r="C61" s="28" t="n"/>
      <c r="D61" s="28" t="n"/>
      <c r="E61" s="28" t="n"/>
      <c r="F61" s="28" t="n"/>
      <c r="G61" s="28" t="n"/>
    </row>
    <row r="62">
      <c r="A62" s="28" t="n"/>
      <c r="B62" s="28" t="n"/>
      <c r="C62" s="28" t="n"/>
      <c r="D62" s="28" t="n"/>
      <c r="E62" s="28" t="n"/>
      <c r="F62" s="28" t="n"/>
      <c r="G62" s="28" t="n"/>
    </row>
    <row r="63">
      <c r="A63" s="28" t="n"/>
      <c r="B63" s="28" t="n"/>
      <c r="C63" s="28" t="n"/>
      <c r="D63" s="28" t="n"/>
      <c r="E63" s="28" t="n"/>
      <c r="F63" s="28" t="n"/>
      <c r="G63" s="28" t="n"/>
    </row>
  </sheetData>
  <mergeCells count="2">
    <mergeCell ref="A1:I1"/>
    <mergeCell ref="A2:I2"/>
  </mergeCells>
  <dataValidations count="2">
    <dataValidation sqref="G14:G63" showDropDown="0" showInputMessage="0" showErrorMessage="0" allowBlank="1" type="list">
      <formula1>"Compliant,Partial,Non-Compliant,N/A"</formula1>
    </dataValidation>
    <dataValidation sqref="D14:D63" showDropDown="0" showInputMessage="0" showErrorMessage="0" allowBlank="1"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9" t="inlineStr">
        <is>
          <t>EVIDENCE REGISTER</t>
        </is>
      </c>
      <c r="B1" s="6" t="n"/>
      <c r="C1" s="6" t="n"/>
      <c r="D1" s="6" t="n"/>
      <c r="E1" s="6" t="n"/>
      <c r="F1" s="6" t="n"/>
      <c r="G1" s="6" t="n"/>
      <c r="H1" s="6" t="n"/>
    </row>
    <row r="2">
      <c r="A2" s="30" t="inlineStr">
        <is>
          <t>Document all evidence collected during this assessment</t>
        </is>
      </c>
      <c r="B2" s="6" t="n"/>
      <c r="C2" s="6" t="n"/>
      <c r="D2" s="6" t="n"/>
      <c r="E2" s="6" t="n"/>
      <c r="F2" s="6" t="n"/>
      <c r="G2" s="6" t="n"/>
      <c r="H2" s="6" t="n"/>
    </row>
    <row r="4">
      <c r="A4" s="31" t="inlineStr">
        <is>
          <t>Evidence ID</t>
        </is>
      </c>
      <c r="B4" s="31" t="inlineStr">
        <is>
          <t>Assessment Area</t>
        </is>
      </c>
      <c r="C4" s="31" t="inlineStr">
        <is>
          <t>Evidence Type</t>
        </is>
      </c>
      <c r="D4" s="31" t="inlineStr">
        <is>
          <t>Description</t>
        </is>
      </c>
      <c r="E4" s="31" t="inlineStr">
        <is>
          <t>Location / Path</t>
        </is>
      </c>
      <c r="F4" s="31" t="inlineStr">
        <is>
          <t>Date Collected</t>
        </is>
      </c>
      <c r="G4" s="31" t="inlineStr">
        <is>
          <t>Collected By</t>
        </is>
      </c>
      <c r="H4" s="31" t="inlineStr">
        <is>
          <t>Verification Status</t>
        </is>
      </c>
    </row>
    <row r="5">
      <c r="A5" s="32" t="inlineStr">
        <is>
          <t>EV-001</t>
        </is>
      </c>
      <c r="B5" s="33" t="inlineStr">
        <is>
          <t>Assessment Area</t>
        </is>
      </c>
      <c r="C5" s="33" t="inlineStr">
        <is>
          <t>Policy Document</t>
        </is>
      </c>
      <c r="D5" s="33" t="inlineStr">
        <is>
          <t>Example evidence description</t>
        </is>
      </c>
      <c r="E5" s="33" t="inlineStr">
        <is>
          <t>\\fileserver\policies\document.pdf</t>
        </is>
      </c>
      <c r="F5" s="33" t="inlineStr">
        <is>
          <t>15.01.2026</t>
        </is>
      </c>
      <c r="G5" s="33" t="inlineStr">
        <is>
          <t>Assessor Name</t>
        </is>
      </c>
      <c r="H5" s="33" t="inlineStr">
        <is>
          <t>✅ Verified</t>
        </is>
      </c>
    </row>
    <row r="6">
      <c r="A6" s="34" t="n"/>
      <c r="B6" s="35" t="n"/>
      <c r="C6" s="35" t="n"/>
      <c r="D6" s="35" t="n"/>
      <c r="E6" s="35" t="n"/>
      <c r="F6" s="35" t="n"/>
      <c r="G6" s="35" t="n"/>
      <c r="H6" s="35" t="n"/>
    </row>
    <row r="7">
      <c r="A7" s="34" t="n"/>
      <c r="B7" s="35" t="n"/>
      <c r="C7" s="35" t="n"/>
      <c r="D7" s="35" t="n"/>
      <c r="E7" s="35" t="n"/>
      <c r="F7" s="35" t="n"/>
      <c r="G7" s="35" t="n"/>
      <c r="H7" s="35" t="n"/>
    </row>
    <row r="8">
      <c r="A8" s="34" t="n"/>
      <c r="B8" s="35" t="n"/>
      <c r="C8" s="35" t="n"/>
      <c r="D8" s="35" t="n"/>
      <c r="E8" s="35" t="n"/>
      <c r="F8" s="35" t="n"/>
      <c r="G8" s="35" t="n"/>
      <c r="H8" s="35" t="n"/>
    </row>
    <row r="9">
      <c r="A9" s="34" t="n"/>
      <c r="B9" s="35" t="n"/>
      <c r="C9" s="35" t="n"/>
      <c r="D9" s="35" t="n"/>
      <c r="E9" s="35" t="n"/>
      <c r="F9" s="35" t="n"/>
      <c r="G9" s="35" t="n"/>
      <c r="H9" s="35" t="n"/>
    </row>
    <row r="10">
      <c r="A10" s="34" t="n"/>
      <c r="B10" s="35" t="n"/>
      <c r="C10" s="35" t="n"/>
      <c r="D10" s="35" t="n"/>
      <c r="E10" s="35" t="n"/>
      <c r="F10" s="35" t="n"/>
      <c r="G10" s="35" t="n"/>
      <c r="H10" s="35" t="n"/>
    </row>
    <row r="11">
      <c r="A11" s="34" t="n"/>
      <c r="B11" s="35" t="n"/>
      <c r="C11" s="35" t="n"/>
      <c r="D11" s="35" t="n"/>
      <c r="E11" s="35" t="n"/>
      <c r="F11" s="35" t="n"/>
      <c r="G11" s="35" t="n"/>
      <c r="H11" s="35" t="n"/>
    </row>
    <row r="12">
      <c r="A12" s="34" t="n"/>
      <c r="B12" s="35" t="n"/>
      <c r="C12" s="35" t="n"/>
      <c r="D12" s="35" t="n"/>
      <c r="E12" s="35" t="n"/>
      <c r="F12" s="35" t="n"/>
      <c r="G12" s="35" t="n"/>
      <c r="H12" s="35" t="n"/>
    </row>
    <row r="13">
      <c r="A13" s="34" t="n"/>
      <c r="B13" s="35" t="n"/>
      <c r="C13" s="35" t="n"/>
      <c r="D13" s="35" t="n"/>
      <c r="E13" s="35" t="n"/>
      <c r="F13" s="35" t="n"/>
      <c r="G13" s="35" t="n"/>
      <c r="H13" s="35" t="n"/>
    </row>
    <row r="14">
      <c r="A14" s="34" t="n"/>
      <c r="B14" s="35" t="n"/>
      <c r="C14" s="35" t="n"/>
      <c r="D14" s="35" t="n"/>
      <c r="E14" s="35" t="n"/>
      <c r="F14" s="35" t="n"/>
      <c r="G14" s="35" t="n"/>
      <c r="H14" s="35" t="n"/>
    </row>
    <row r="15">
      <c r="A15" s="34" t="n"/>
      <c r="B15" s="35" t="n"/>
      <c r="C15" s="35" t="n"/>
      <c r="D15" s="35" t="n"/>
      <c r="E15" s="35" t="n"/>
      <c r="F15" s="35" t="n"/>
      <c r="G15" s="35" t="n"/>
      <c r="H15" s="35" t="n"/>
    </row>
    <row r="16">
      <c r="A16" s="34" t="n"/>
      <c r="B16" s="35" t="n"/>
      <c r="C16" s="35" t="n"/>
      <c r="D16" s="35" t="n"/>
      <c r="E16" s="35" t="n"/>
      <c r="F16" s="35" t="n"/>
      <c r="G16" s="35" t="n"/>
      <c r="H16" s="35" t="n"/>
    </row>
    <row r="17">
      <c r="A17" s="34" t="n"/>
      <c r="B17" s="35" t="n"/>
      <c r="C17" s="35" t="n"/>
      <c r="D17" s="35" t="n"/>
      <c r="E17" s="35" t="n"/>
      <c r="F17" s="35" t="n"/>
      <c r="G17" s="35" t="n"/>
      <c r="H17" s="35" t="n"/>
    </row>
    <row r="18">
      <c r="A18" s="34" t="n"/>
      <c r="B18" s="35" t="n"/>
      <c r="C18" s="35" t="n"/>
      <c r="D18" s="35" t="n"/>
      <c r="E18" s="35" t="n"/>
      <c r="F18" s="35" t="n"/>
      <c r="G18" s="35" t="n"/>
      <c r="H18" s="35" t="n"/>
    </row>
    <row r="19">
      <c r="A19" s="34" t="n"/>
      <c r="B19" s="35" t="n"/>
      <c r="C19" s="35" t="n"/>
      <c r="D19" s="35" t="n"/>
      <c r="E19" s="35" t="n"/>
      <c r="F19" s="35" t="n"/>
      <c r="G19" s="35" t="n"/>
      <c r="H19" s="35" t="n"/>
    </row>
    <row r="20">
      <c r="A20" s="34" t="n"/>
      <c r="B20" s="35" t="n"/>
      <c r="C20" s="35" t="n"/>
      <c r="D20" s="35" t="n"/>
      <c r="E20" s="35" t="n"/>
      <c r="F20" s="35" t="n"/>
      <c r="G20" s="35" t="n"/>
      <c r="H20" s="35" t="n"/>
    </row>
    <row r="21">
      <c r="A21" s="34" t="n"/>
      <c r="B21" s="35" t="n"/>
      <c r="C21" s="35" t="n"/>
      <c r="D21" s="35" t="n"/>
      <c r="E21" s="35" t="n"/>
      <c r="F21" s="35" t="n"/>
      <c r="G21" s="35" t="n"/>
      <c r="H21" s="35" t="n"/>
    </row>
    <row r="22">
      <c r="A22" s="34" t="n"/>
      <c r="B22" s="35" t="n"/>
      <c r="C22" s="35" t="n"/>
      <c r="D22" s="35" t="n"/>
      <c r="E22" s="35" t="n"/>
      <c r="F22" s="35" t="n"/>
      <c r="G22" s="35" t="n"/>
      <c r="H22" s="35" t="n"/>
    </row>
    <row r="23">
      <c r="A23" s="34" t="n"/>
      <c r="B23" s="35" t="n"/>
      <c r="C23" s="35" t="n"/>
      <c r="D23" s="35" t="n"/>
      <c r="E23" s="35" t="n"/>
      <c r="F23" s="35" t="n"/>
      <c r="G23" s="35" t="n"/>
      <c r="H23" s="35" t="n"/>
    </row>
    <row r="24">
      <c r="A24" s="34" t="n"/>
      <c r="B24" s="35" t="n"/>
      <c r="C24" s="35" t="n"/>
      <c r="D24" s="35" t="n"/>
      <c r="E24" s="35" t="n"/>
      <c r="F24" s="35" t="n"/>
      <c r="G24" s="35" t="n"/>
      <c r="H24" s="35" t="n"/>
    </row>
    <row r="25">
      <c r="A25" s="34" t="n"/>
      <c r="B25" s="35" t="n"/>
      <c r="C25" s="35" t="n"/>
      <c r="D25" s="35" t="n"/>
      <c r="E25" s="35" t="n"/>
      <c r="F25" s="35" t="n"/>
      <c r="G25" s="35" t="n"/>
      <c r="H25" s="35" t="n"/>
    </row>
    <row r="26">
      <c r="A26" s="34" t="n"/>
      <c r="B26" s="35" t="n"/>
      <c r="C26" s="35" t="n"/>
      <c r="D26" s="35" t="n"/>
      <c r="E26" s="35" t="n"/>
      <c r="F26" s="35" t="n"/>
      <c r="G26" s="35" t="n"/>
      <c r="H26" s="35" t="n"/>
    </row>
    <row r="27">
      <c r="A27" s="34" t="n"/>
      <c r="B27" s="35" t="n"/>
      <c r="C27" s="35" t="n"/>
      <c r="D27" s="35" t="n"/>
      <c r="E27" s="35" t="n"/>
      <c r="F27" s="35" t="n"/>
      <c r="G27" s="35" t="n"/>
      <c r="H27" s="35" t="n"/>
    </row>
    <row r="28">
      <c r="A28" s="34" t="n"/>
      <c r="B28" s="35" t="n"/>
      <c r="C28" s="35" t="n"/>
      <c r="D28" s="35" t="n"/>
      <c r="E28" s="35" t="n"/>
      <c r="F28" s="35" t="n"/>
      <c r="G28" s="35" t="n"/>
      <c r="H28" s="35" t="n"/>
    </row>
    <row r="29">
      <c r="A29" s="34" t="n"/>
      <c r="B29" s="35" t="n"/>
      <c r="C29" s="35" t="n"/>
      <c r="D29" s="35" t="n"/>
      <c r="E29" s="35" t="n"/>
      <c r="F29" s="35" t="n"/>
      <c r="G29" s="35" t="n"/>
      <c r="H29" s="35" t="n"/>
    </row>
    <row r="30">
      <c r="A30" s="34" t="n"/>
      <c r="B30" s="35" t="n"/>
      <c r="C30" s="35" t="n"/>
      <c r="D30" s="35" t="n"/>
      <c r="E30" s="35" t="n"/>
      <c r="F30" s="35" t="n"/>
      <c r="G30" s="35" t="n"/>
      <c r="H30" s="35" t="n"/>
    </row>
    <row r="31">
      <c r="A31" s="34" t="n"/>
      <c r="B31" s="35" t="n"/>
      <c r="C31" s="35" t="n"/>
      <c r="D31" s="35" t="n"/>
      <c r="E31" s="35" t="n"/>
      <c r="F31" s="35" t="n"/>
      <c r="G31" s="35" t="n"/>
      <c r="H31" s="35" t="n"/>
    </row>
    <row r="32">
      <c r="A32" s="34" t="n"/>
      <c r="B32" s="35" t="n"/>
      <c r="C32" s="35" t="n"/>
      <c r="D32" s="35" t="n"/>
      <c r="E32" s="35" t="n"/>
      <c r="F32" s="35" t="n"/>
      <c r="G32" s="35" t="n"/>
      <c r="H32" s="35" t="n"/>
    </row>
    <row r="33">
      <c r="A33" s="34" t="n"/>
      <c r="B33" s="35" t="n"/>
      <c r="C33" s="35" t="n"/>
      <c r="D33" s="35" t="n"/>
      <c r="E33" s="35" t="n"/>
      <c r="F33" s="35" t="n"/>
      <c r="G33" s="35" t="n"/>
      <c r="H33" s="35" t="n"/>
    </row>
    <row r="34">
      <c r="A34" s="34" t="n"/>
      <c r="B34" s="35" t="n"/>
      <c r="C34" s="35" t="n"/>
      <c r="D34" s="35" t="n"/>
      <c r="E34" s="35" t="n"/>
      <c r="F34" s="35" t="n"/>
      <c r="G34" s="35" t="n"/>
      <c r="H34" s="35" t="n"/>
    </row>
    <row r="35">
      <c r="A35" s="34" t="n"/>
      <c r="B35" s="35" t="n"/>
      <c r="C35" s="35" t="n"/>
      <c r="D35" s="35" t="n"/>
      <c r="E35" s="35" t="n"/>
      <c r="F35" s="35" t="n"/>
      <c r="G35" s="35" t="n"/>
      <c r="H35" s="35" t="n"/>
    </row>
    <row r="36">
      <c r="A36" s="34" t="n"/>
      <c r="B36" s="35" t="n"/>
      <c r="C36" s="35" t="n"/>
      <c r="D36" s="35" t="n"/>
      <c r="E36" s="35" t="n"/>
      <c r="F36" s="35" t="n"/>
      <c r="G36" s="35" t="n"/>
      <c r="H36" s="35" t="n"/>
    </row>
    <row r="37">
      <c r="A37" s="34" t="n"/>
      <c r="B37" s="35" t="n"/>
      <c r="C37" s="35" t="n"/>
      <c r="D37" s="35" t="n"/>
      <c r="E37" s="35" t="n"/>
      <c r="F37" s="35" t="n"/>
      <c r="G37" s="35" t="n"/>
      <c r="H37" s="35" t="n"/>
    </row>
    <row r="38">
      <c r="A38" s="34" t="n"/>
      <c r="B38" s="35" t="n"/>
      <c r="C38" s="35" t="n"/>
      <c r="D38" s="35" t="n"/>
      <c r="E38" s="35" t="n"/>
      <c r="F38" s="35" t="n"/>
      <c r="G38" s="35" t="n"/>
      <c r="H38" s="35" t="n"/>
    </row>
    <row r="39">
      <c r="A39" s="34" t="n"/>
      <c r="B39" s="35" t="n"/>
      <c r="C39" s="35" t="n"/>
      <c r="D39" s="35" t="n"/>
      <c r="E39" s="35" t="n"/>
      <c r="F39" s="35" t="n"/>
      <c r="G39" s="35" t="n"/>
      <c r="H39" s="35" t="n"/>
    </row>
    <row r="40">
      <c r="A40" s="34" t="n"/>
      <c r="B40" s="35" t="n"/>
      <c r="C40" s="35" t="n"/>
      <c r="D40" s="35" t="n"/>
      <c r="E40" s="35" t="n"/>
      <c r="F40" s="35" t="n"/>
      <c r="G40" s="35" t="n"/>
      <c r="H40" s="35" t="n"/>
    </row>
    <row r="41">
      <c r="A41" s="34" t="n"/>
      <c r="B41" s="35" t="n"/>
      <c r="C41" s="35" t="n"/>
      <c r="D41" s="35" t="n"/>
      <c r="E41" s="35" t="n"/>
      <c r="F41" s="35" t="n"/>
      <c r="G41" s="35" t="n"/>
      <c r="H41" s="35" t="n"/>
    </row>
    <row r="42">
      <c r="A42" s="34" t="n"/>
      <c r="B42" s="35" t="n"/>
      <c r="C42" s="35" t="n"/>
      <c r="D42" s="35" t="n"/>
      <c r="E42" s="35" t="n"/>
      <c r="F42" s="35" t="n"/>
      <c r="G42" s="35" t="n"/>
      <c r="H42" s="35" t="n"/>
    </row>
    <row r="43">
      <c r="A43" s="34" t="n"/>
      <c r="B43" s="35" t="n"/>
      <c r="C43" s="35" t="n"/>
      <c r="D43" s="35" t="n"/>
      <c r="E43" s="35" t="n"/>
      <c r="F43" s="35" t="n"/>
      <c r="G43" s="35" t="n"/>
      <c r="H43" s="35" t="n"/>
    </row>
    <row r="44">
      <c r="A44" s="34" t="n"/>
      <c r="B44" s="35" t="n"/>
      <c r="C44" s="35" t="n"/>
      <c r="D44" s="35" t="n"/>
      <c r="E44" s="35" t="n"/>
      <c r="F44" s="35" t="n"/>
      <c r="G44" s="35" t="n"/>
      <c r="H44" s="35" t="n"/>
    </row>
    <row r="45">
      <c r="A45" s="34" t="n"/>
      <c r="B45" s="35" t="n"/>
      <c r="C45" s="35" t="n"/>
      <c r="D45" s="35" t="n"/>
      <c r="E45" s="35" t="n"/>
      <c r="F45" s="35" t="n"/>
      <c r="G45" s="35" t="n"/>
      <c r="H45" s="35" t="n"/>
    </row>
    <row r="46">
      <c r="A46" s="34" t="n"/>
      <c r="B46" s="35" t="n"/>
      <c r="C46" s="35" t="n"/>
      <c r="D46" s="35" t="n"/>
      <c r="E46" s="35" t="n"/>
      <c r="F46" s="35" t="n"/>
      <c r="G46" s="35" t="n"/>
      <c r="H46" s="35" t="n"/>
    </row>
    <row r="47">
      <c r="A47" s="34" t="n"/>
      <c r="B47" s="35" t="n"/>
      <c r="C47" s="35" t="n"/>
      <c r="D47" s="35" t="n"/>
      <c r="E47" s="35" t="n"/>
      <c r="F47" s="35" t="n"/>
      <c r="G47" s="35" t="n"/>
      <c r="H47" s="35" t="n"/>
    </row>
    <row r="48">
      <c r="A48" s="34" t="n"/>
      <c r="B48" s="35" t="n"/>
      <c r="C48" s="35" t="n"/>
      <c r="D48" s="35" t="n"/>
      <c r="E48" s="35" t="n"/>
      <c r="F48" s="35" t="n"/>
      <c r="G48" s="35" t="n"/>
      <c r="H48" s="35" t="n"/>
    </row>
    <row r="49">
      <c r="A49" s="34" t="n"/>
      <c r="B49" s="35" t="n"/>
      <c r="C49" s="35" t="n"/>
      <c r="D49" s="35" t="n"/>
      <c r="E49" s="35" t="n"/>
      <c r="F49" s="35" t="n"/>
      <c r="G49" s="35" t="n"/>
      <c r="H49" s="35" t="n"/>
    </row>
    <row r="50">
      <c r="A50" s="34" t="n"/>
      <c r="B50" s="35" t="n"/>
      <c r="C50" s="35" t="n"/>
      <c r="D50" s="35" t="n"/>
      <c r="E50" s="35" t="n"/>
      <c r="F50" s="35" t="n"/>
      <c r="G50" s="35" t="n"/>
      <c r="H50" s="35" t="n"/>
    </row>
    <row r="51">
      <c r="A51" s="34" t="n"/>
      <c r="B51" s="35" t="n"/>
      <c r="C51" s="35" t="n"/>
      <c r="D51" s="35" t="n"/>
      <c r="E51" s="35" t="n"/>
      <c r="F51" s="35" t="n"/>
      <c r="G51" s="35" t="n"/>
      <c r="H51" s="35" t="n"/>
    </row>
    <row r="52">
      <c r="A52" s="34" t="n"/>
      <c r="B52" s="35" t="n"/>
      <c r="C52" s="35" t="n"/>
      <c r="D52" s="35" t="n"/>
      <c r="E52" s="35" t="n"/>
      <c r="F52" s="35" t="n"/>
      <c r="G52" s="35" t="n"/>
      <c r="H52" s="35" t="n"/>
    </row>
    <row r="53">
      <c r="A53" s="34" t="n"/>
      <c r="B53" s="35" t="n"/>
      <c r="C53" s="35" t="n"/>
      <c r="D53" s="35" t="n"/>
      <c r="E53" s="35" t="n"/>
      <c r="F53" s="35" t="n"/>
      <c r="G53" s="35" t="n"/>
      <c r="H53" s="35" t="n"/>
    </row>
    <row r="54">
      <c r="A54" s="34" t="n"/>
      <c r="B54" s="35" t="n"/>
      <c r="C54" s="35" t="n"/>
      <c r="D54" s="35" t="n"/>
      <c r="E54" s="35" t="n"/>
      <c r="F54" s="35" t="n"/>
      <c r="G54" s="35" t="n"/>
      <c r="H54" s="35" t="n"/>
    </row>
    <row r="55">
      <c r="A55" s="34" t="n"/>
      <c r="B55" s="35" t="n"/>
      <c r="C55" s="35" t="n"/>
      <c r="D55" s="35" t="n"/>
      <c r="E55" s="35" t="n"/>
      <c r="F55" s="35" t="n"/>
      <c r="G55" s="35" t="n"/>
      <c r="H55" s="35" t="n"/>
    </row>
    <row r="56">
      <c r="A56" s="34" t="n"/>
      <c r="B56" s="35" t="n"/>
      <c r="C56" s="35" t="n"/>
      <c r="D56" s="35" t="n"/>
      <c r="E56" s="35" t="n"/>
      <c r="F56" s="35" t="n"/>
      <c r="G56" s="35" t="n"/>
      <c r="H56" s="35" t="n"/>
    </row>
    <row r="57">
      <c r="A57" s="34" t="n"/>
      <c r="B57" s="35" t="n"/>
      <c r="C57" s="35" t="n"/>
      <c r="D57" s="35" t="n"/>
      <c r="E57" s="35" t="n"/>
      <c r="F57" s="35" t="n"/>
      <c r="G57" s="35" t="n"/>
      <c r="H57" s="35" t="n"/>
    </row>
    <row r="58">
      <c r="A58" s="34" t="n"/>
      <c r="B58" s="35" t="n"/>
      <c r="C58" s="35" t="n"/>
      <c r="D58" s="35" t="n"/>
      <c r="E58" s="35" t="n"/>
      <c r="F58" s="35" t="n"/>
      <c r="G58" s="35" t="n"/>
      <c r="H58" s="35" t="n"/>
    </row>
    <row r="59">
      <c r="A59" s="34" t="n"/>
      <c r="B59" s="35" t="n"/>
      <c r="C59" s="35" t="n"/>
      <c r="D59" s="35" t="n"/>
      <c r="E59" s="35" t="n"/>
      <c r="F59" s="35" t="n"/>
      <c r="G59" s="35" t="n"/>
      <c r="H59" s="35" t="n"/>
    </row>
    <row r="60">
      <c r="A60" s="34" t="n"/>
      <c r="B60" s="35" t="n"/>
      <c r="C60" s="35" t="n"/>
      <c r="D60" s="35" t="n"/>
      <c r="E60" s="35" t="n"/>
      <c r="F60" s="35" t="n"/>
      <c r="G60" s="35" t="n"/>
      <c r="H60" s="35" t="n"/>
    </row>
    <row r="61">
      <c r="A61" s="34" t="n"/>
      <c r="B61" s="35" t="n"/>
      <c r="C61" s="35" t="n"/>
      <c r="D61" s="35" t="n"/>
      <c r="E61" s="35" t="n"/>
      <c r="F61" s="35" t="n"/>
      <c r="G61" s="35" t="n"/>
      <c r="H61" s="35" t="n"/>
    </row>
    <row r="62">
      <c r="A62" s="34" t="n"/>
      <c r="B62" s="35" t="n"/>
      <c r="C62" s="35" t="n"/>
      <c r="D62" s="35" t="n"/>
      <c r="E62" s="35" t="n"/>
      <c r="F62" s="35" t="n"/>
      <c r="G62" s="35" t="n"/>
      <c r="H62" s="35" t="n"/>
    </row>
    <row r="63">
      <c r="A63" s="34" t="n"/>
      <c r="B63" s="35" t="n"/>
      <c r="C63" s="35" t="n"/>
      <c r="D63" s="35" t="n"/>
      <c r="E63" s="35" t="n"/>
      <c r="F63" s="35" t="n"/>
      <c r="G63" s="35" t="n"/>
      <c r="H63" s="35" t="n"/>
    </row>
    <row r="64">
      <c r="A64" s="34" t="n"/>
      <c r="B64" s="35" t="n"/>
      <c r="C64" s="35" t="n"/>
      <c r="D64" s="35" t="n"/>
      <c r="E64" s="35" t="n"/>
      <c r="F64" s="35" t="n"/>
      <c r="G64" s="35" t="n"/>
      <c r="H64" s="35" t="n"/>
    </row>
    <row r="65">
      <c r="A65" s="34" t="n"/>
      <c r="B65" s="35" t="n"/>
      <c r="C65" s="35" t="n"/>
      <c r="D65" s="35" t="n"/>
      <c r="E65" s="35" t="n"/>
      <c r="F65" s="35" t="n"/>
      <c r="G65" s="35" t="n"/>
      <c r="H65" s="35" t="n"/>
    </row>
    <row r="66">
      <c r="A66" s="34" t="n"/>
      <c r="B66" s="35" t="n"/>
      <c r="C66" s="35" t="n"/>
      <c r="D66" s="35" t="n"/>
      <c r="E66" s="35" t="n"/>
      <c r="F66" s="35" t="n"/>
      <c r="G66" s="35" t="n"/>
      <c r="H66" s="35" t="n"/>
    </row>
    <row r="67">
      <c r="A67" s="34" t="n"/>
      <c r="B67" s="35" t="n"/>
      <c r="C67" s="35" t="n"/>
      <c r="D67" s="35" t="n"/>
      <c r="E67" s="35" t="n"/>
      <c r="F67" s="35" t="n"/>
      <c r="G67" s="35" t="n"/>
      <c r="H67" s="35" t="n"/>
    </row>
    <row r="68">
      <c r="A68" s="34" t="n"/>
      <c r="B68" s="35" t="n"/>
      <c r="C68" s="35" t="n"/>
      <c r="D68" s="35" t="n"/>
      <c r="E68" s="35" t="n"/>
      <c r="F68" s="35" t="n"/>
      <c r="G68" s="35" t="n"/>
      <c r="H68" s="35" t="n"/>
    </row>
    <row r="69">
      <c r="A69" s="34" t="n"/>
      <c r="B69" s="35" t="n"/>
      <c r="C69" s="35" t="n"/>
      <c r="D69" s="35" t="n"/>
      <c r="E69" s="35" t="n"/>
      <c r="F69" s="35" t="n"/>
      <c r="G69" s="35" t="n"/>
      <c r="H69" s="35" t="n"/>
    </row>
    <row r="70">
      <c r="A70" s="34" t="n"/>
      <c r="B70" s="35" t="n"/>
      <c r="C70" s="35" t="n"/>
      <c r="D70" s="35" t="n"/>
      <c r="E70" s="35" t="n"/>
      <c r="F70" s="35" t="n"/>
      <c r="G70" s="35" t="n"/>
      <c r="H70" s="35" t="n"/>
    </row>
    <row r="71">
      <c r="A71" s="34" t="n"/>
      <c r="B71" s="35" t="n"/>
      <c r="C71" s="35" t="n"/>
      <c r="D71" s="35" t="n"/>
      <c r="E71" s="35" t="n"/>
      <c r="F71" s="35" t="n"/>
      <c r="G71" s="35" t="n"/>
      <c r="H71" s="35" t="n"/>
    </row>
    <row r="72">
      <c r="A72" s="34" t="n"/>
      <c r="B72" s="35" t="n"/>
      <c r="C72" s="35" t="n"/>
      <c r="D72" s="35" t="n"/>
      <c r="E72" s="35" t="n"/>
      <c r="F72" s="35" t="n"/>
      <c r="G72" s="35" t="n"/>
      <c r="H72" s="35" t="n"/>
    </row>
    <row r="73">
      <c r="A73" s="34" t="n"/>
      <c r="B73" s="35" t="n"/>
      <c r="C73" s="35" t="n"/>
      <c r="D73" s="35" t="n"/>
      <c r="E73" s="35" t="n"/>
      <c r="F73" s="35" t="n"/>
      <c r="G73" s="35" t="n"/>
      <c r="H73" s="35" t="n"/>
    </row>
    <row r="74">
      <c r="A74" s="34" t="n"/>
      <c r="B74" s="35" t="n"/>
      <c r="C74" s="35" t="n"/>
      <c r="D74" s="35" t="n"/>
      <c r="E74" s="35" t="n"/>
      <c r="F74" s="35" t="n"/>
      <c r="G74" s="35" t="n"/>
      <c r="H74" s="35" t="n"/>
    </row>
    <row r="75">
      <c r="A75" s="34" t="n"/>
      <c r="B75" s="35" t="n"/>
      <c r="C75" s="35" t="n"/>
      <c r="D75" s="35" t="n"/>
      <c r="E75" s="35" t="n"/>
      <c r="F75" s="35" t="n"/>
      <c r="G75" s="35" t="n"/>
      <c r="H75" s="35" t="n"/>
    </row>
    <row r="76">
      <c r="A76" s="34" t="n"/>
      <c r="B76" s="35" t="n"/>
      <c r="C76" s="35" t="n"/>
      <c r="D76" s="35" t="n"/>
      <c r="E76" s="35" t="n"/>
      <c r="F76" s="35" t="n"/>
      <c r="G76" s="35" t="n"/>
      <c r="H76" s="35" t="n"/>
    </row>
    <row r="77">
      <c r="A77" s="34" t="n"/>
      <c r="B77" s="35" t="n"/>
      <c r="C77" s="35" t="n"/>
      <c r="D77" s="35" t="n"/>
      <c r="E77" s="35" t="n"/>
      <c r="F77" s="35" t="n"/>
      <c r="G77" s="35" t="n"/>
      <c r="H77" s="35" t="n"/>
    </row>
    <row r="78">
      <c r="A78" s="34" t="n"/>
      <c r="B78" s="35" t="n"/>
      <c r="C78" s="35" t="n"/>
      <c r="D78" s="35" t="n"/>
      <c r="E78" s="35" t="n"/>
      <c r="F78" s="35" t="n"/>
      <c r="G78" s="35" t="n"/>
      <c r="H78" s="35" t="n"/>
    </row>
    <row r="79">
      <c r="A79" s="34" t="n"/>
      <c r="B79" s="35" t="n"/>
      <c r="C79" s="35" t="n"/>
      <c r="D79" s="35" t="n"/>
      <c r="E79" s="35" t="n"/>
      <c r="F79" s="35" t="n"/>
      <c r="G79" s="35" t="n"/>
      <c r="H79" s="35" t="n"/>
    </row>
    <row r="80">
      <c r="A80" s="34" t="n"/>
      <c r="B80" s="35" t="n"/>
      <c r="C80" s="35" t="n"/>
      <c r="D80" s="35" t="n"/>
      <c r="E80" s="35" t="n"/>
      <c r="F80" s="35" t="n"/>
      <c r="G80" s="35" t="n"/>
      <c r="H80" s="35" t="n"/>
    </row>
    <row r="81">
      <c r="A81" s="34" t="n"/>
      <c r="B81" s="35" t="n"/>
      <c r="C81" s="35" t="n"/>
      <c r="D81" s="35" t="n"/>
      <c r="E81" s="35" t="n"/>
      <c r="F81" s="35" t="n"/>
      <c r="G81" s="35" t="n"/>
      <c r="H81" s="35" t="n"/>
    </row>
    <row r="82">
      <c r="A82" s="34" t="n"/>
      <c r="B82" s="35" t="n"/>
      <c r="C82" s="35" t="n"/>
      <c r="D82" s="35" t="n"/>
      <c r="E82" s="35" t="n"/>
      <c r="F82" s="35" t="n"/>
      <c r="G82" s="35" t="n"/>
      <c r="H82" s="35" t="n"/>
    </row>
    <row r="83">
      <c r="A83" s="34" t="n"/>
      <c r="B83" s="35" t="n"/>
      <c r="C83" s="35" t="n"/>
      <c r="D83" s="35" t="n"/>
      <c r="E83" s="35" t="n"/>
      <c r="F83" s="35" t="n"/>
      <c r="G83" s="35" t="n"/>
      <c r="H83" s="35" t="n"/>
    </row>
    <row r="84">
      <c r="A84" s="34" t="n"/>
      <c r="B84" s="35" t="n"/>
      <c r="C84" s="35" t="n"/>
      <c r="D84" s="35" t="n"/>
      <c r="E84" s="35" t="n"/>
      <c r="F84" s="35" t="n"/>
      <c r="G84" s="35" t="n"/>
      <c r="H84" s="35" t="n"/>
    </row>
    <row r="85">
      <c r="A85" s="34" t="n"/>
      <c r="B85" s="35" t="n"/>
      <c r="C85" s="35" t="n"/>
      <c r="D85" s="35" t="n"/>
      <c r="E85" s="35" t="n"/>
      <c r="F85" s="35" t="n"/>
      <c r="G85" s="35" t="n"/>
      <c r="H85" s="35" t="n"/>
    </row>
    <row r="86">
      <c r="A86" s="34" t="n"/>
      <c r="B86" s="35" t="n"/>
      <c r="C86" s="35" t="n"/>
      <c r="D86" s="35" t="n"/>
      <c r="E86" s="35" t="n"/>
      <c r="F86" s="35" t="n"/>
      <c r="G86" s="35" t="n"/>
      <c r="H86" s="35" t="n"/>
    </row>
    <row r="87">
      <c r="A87" s="34" t="n"/>
      <c r="B87" s="35" t="n"/>
      <c r="C87" s="35" t="n"/>
      <c r="D87" s="35" t="n"/>
      <c r="E87" s="35" t="n"/>
      <c r="F87" s="35" t="n"/>
      <c r="G87" s="35" t="n"/>
      <c r="H87" s="35" t="n"/>
    </row>
    <row r="88">
      <c r="A88" s="34" t="n"/>
      <c r="B88" s="35" t="n"/>
      <c r="C88" s="35" t="n"/>
      <c r="D88" s="35" t="n"/>
      <c r="E88" s="35" t="n"/>
      <c r="F88" s="35" t="n"/>
      <c r="G88" s="35" t="n"/>
      <c r="H88" s="35" t="n"/>
    </row>
    <row r="89">
      <c r="A89" s="34" t="n"/>
      <c r="B89" s="35" t="n"/>
      <c r="C89" s="35" t="n"/>
      <c r="D89" s="35" t="n"/>
      <c r="E89" s="35" t="n"/>
      <c r="F89" s="35" t="n"/>
      <c r="G89" s="35" t="n"/>
      <c r="H89" s="35" t="n"/>
    </row>
    <row r="90">
      <c r="A90" s="34" t="n"/>
      <c r="B90" s="35" t="n"/>
      <c r="C90" s="35" t="n"/>
      <c r="D90" s="35" t="n"/>
      <c r="E90" s="35" t="n"/>
      <c r="F90" s="35" t="n"/>
      <c r="G90" s="35" t="n"/>
      <c r="H90" s="35" t="n"/>
    </row>
    <row r="91">
      <c r="A91" s="34" t="n"/>
      <c r="B91" s="35" t="n"/>
      <c r="C91" s="35" t="n"/>
      <c r="D91" s="35" t="n"/>
      <c r="E91" s="35" t="n"/>
      <c r="F91" s="35" t="n"/>
      <c r="G91" s="35" t="n"/>
      <c r="H91" s="35" t="n"/>
    </row>
    <row r="92">
      <c r="A92" s="34" t="n"/>
      <c r="B92" s="35" t="n"/>
      <c r="C92" s="35" t="n"/>
      <c r="D92" s="35" t="n"/>
      <c r="E92" s="35" t="n"/>
      <c r="F92" s="35" t="n"/>
      <c r="G92" s="35" t="n"/>
      <c r="H92" s="35" t="n"/>
    </row>
    <row r="93">
      <c r="A93" s="34" t="n"/>
      <c r="B93" s="35" t="n"/>
      <c r="C93" s="35" t="n"/>
      <c r="D93" s="35" t="n"/>
      <c r="E93" s="35" t="n"/>
      <c r="F93" s="35" t="n"/>
      <c r="G93" s="35" t="n"/>
      <c r="H93" s="35" t="n"/>
    </row>
    <row r="94">
      <c r="A94" s="34" t="n"/>
      <c r="B94" s="35" t="n"/>
      <c r="C94" s="35" t="n"/>
      <c r="D94" s="35" t="n"/>
      <c r="E94" s="35" t="n"/>
      <c r="F94" s="35" t="n"/>
      <c r="G94" s="35" t="n"/>
      <c r="H94" s="35" t="n"/>
    </row>
    <row r="95">
      <c r="A95" s="34" t="n"/>
      <c r="B95" s="35" t="n"/>
      <c r="C95" s="35" t="n"/>
      <c r="D95" s="35" t="n"/>
      <c r="E95" s="35" t="n"/>
      <c r="F95" s="35" t="n"/>
      <c r="G95" s="35" t="n"/>
      <c r="H95" s="35" t="n"/>
    </row>
    <row r="96">
      <c r="A96" s="34" t="n"/>
      <c r="B96" s="35" t="n"/>
      <c r="C96" s="35" t="n"/>
      <c r="D96" s="35" t="n"/>
      <c r="E96" s="35" t="n"/>
      <c r="F96" s="35" t="n"/>
      <c r="G96" s="35" t="n"/>
      <c r="H96" s="35" t="n"/>
    </row>
    <row r="97">
      <c r="A97" s="34" t="n"/>
      <c r="B97" s="35" t="n"/>
      <c r="C97" s="35" t="n"/>
      <c r="D97" s="35" t="n"/>
      <c r="E97" s="35" t="n"/>
      <c r="F97" s="35" t="n"/>
      <c r="G97" s="35" t="n"/>
      <c r="H97" s="35" t="n"/>
    </row>
    <row r="98">
      <c r="A98" s="34" t="n"/>
      <c r="B98" s="35" t="n"/>
      <c r="C98" s="35" t="n"/>
      <c r="D98" s="35" t="n"/>
      <c r="E98" s="35" t="n"/>
      <c r="F98" s="35" t="n"/>
      <c r="G98" s="35" t="n"/>
      <c r="H98" s="35" t="n"/>
    </row>
    <row r="99">
      <c r="A99" s="34" t="n"/>
      <c r="B99" s="35" t="n"/>
      <c r="C99" s="35" t="n"/>
      <c r="D99" s="35" t="n"/>
      <c r="E99" s="35" t="n"/>
      <c r="F99" s="35" t="n"/>
      <c r="G99" s="35" t="n"/>
      <c r="H99" s="35" t="n"/>
    </row>
    <row r="100">
      <c r="A100" s="34" t="n"/>
      <c r="B100" s="35" t="n"/>
      <c r="C100" s="35" t="n"/>
      <c r="D100" s="35" t="n"/>
      <c r="E100" s="35" t="n"/>
      <c r="F100" s="35" t="n"/>
      <c r="G100" s="35" t="n"/>
      <c r="H100" s="35" t="n"/>
    </row>
    <row r="101">
      <c r="A101" s="34" t="n"/>
      <c r="B101" s="35" t="n"/>
      <c r="C101" s="35" t="n"/>
      <c r="D101" s="35" t="n"/>
      <c r="E101" s="35" t="n"/>
      <c r="F101" s="35" t="n"/>
      <c r="G101" s="35" t="n"/>
      <c r="H101" s="35" t="n"/>
    </row>
    <row r="102">
      <c r="A102" s="34" t="n"/>
      <c r="B102" s="35" t="n"/>
      <c r="C102" s="35" t="n"/>
      <c r="D102" s="35" t="n"/>
      <c r="E102" s="35" t="n"/>
      <c r="F102" s="35" t="n"/>
      <c r="G102" s="35" t="n"/>
      <c r="H102" s="35" t="n"/>
    </row>
    <row r="103">
      <c r="A103" s="34" t="n"/>
      <c r="B103" s="35" t="n"/>
      <c r="C103" s="35" t="n"/>
      <c r="D103" s="35" t="n"/>
      <c r="E103" s="35" t="n"/>
      <c r="F103" s="35" t="n"/>
      <c r="G103" s="35" t="n"/>
      <c r="H103" s="35" t="n"/>
    </row>
    <row r="104">
      <c r="A104" s="34" t="n"/>
      <c r="B104" s="35" t="n"/>
      <c r="C104" s="35" t="n"/>
      <c r="D104" s="35" t="n"/>
      <c r="E104" s="35" t="n"/>
      <c r="F104" s="35" t="n"/>
      <c r="G104" s="35" t="n"/>
      <c r="H104" s="35" t="n"/>
    </row>
    <row r="105">
      <c r="A105" s="34" t="n"/>
      <c r="B105" s="35" t="n"/>
      <c r="C105" s="35" t="n"/>
      <c r="D105" s="35" t="n"/>
      <c r="E105" s="35" t="n"/>
      <c r="F105" s="35" t="n"/>
      <c r="G105" s="35" t="n"/>
      <c r="H105" s="3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36" t="inlineStr">
        <is>
          <t>CLASSIFICATION SCHEME DEFINITION — SUMMARY DASHBOARD</t>
        </is>
      </c>
      <c r="B1" s="6" t="n"/>
      <c r="C1" s="6" t="n"/>
      <c r="D1" s="6" t="n"/>
      <c r="E1" s="6" t="n"/>
      <c r="F1" s="6" t="n"/>
      <c r="G1" s="6" t="n"/>
    </row>
    <row r="2">
      <c r="A2" s="37" t="inlineStr">
        <is>
          <t>ISO/IEC 27001:2022 — Control A.5.12: Classification of Information</t>
        </is>
      </c>
    </row>
    <row r="4">
      <c r="A4" s="38" t="inlineStr">
        <is>
          <t>TABLE 1: ASSESSMENT AREA COMPLIANCE OVERVIEW</t>
        </is>
      </c>
      <c r="B4" s="6" t="n"/>
      <c r="C4" s="6" t="n"/>
      <c r="D4" s="6" t="n"/>
      <c r="E4" s="6" t="n"/>
      <c r="F4" s="6" t="n"/>
      <c r="G4" s="6" t="n"/>
    </row>
    <row r="5">
      <c r="A5" s="39" t="inlineStr">
        <is>
          <t>Assessment Area</t>
        </is>
      </c>
      <c r="B5" s="39" t="inlineStr">
        <is>
          <t>Total Items</t>
        </is>
      </c>
      <c r="C5" s="39" t="inlineStr">
        <is>
          <t>Compliant</t>
        </is>
      </c>
      <c r="D5" s="39" t="inlineStr">
        <is>
          <t>Partial</t>
        </is>
      </c>
      <c r="E5" s="39" t="inlineStr">
        <is>
          <t>Non-Compliant</t>
        </is>
      </c>
      <c r="F5" s="39" t="inlineStr">
        <is>
          <t>N/A</t>
        </is>
      </c>
      <c r="G5" s="39" t="inlineStr">
        <is>
          <t>Compliance %</t>
        </is>
      </c>
    </row>
    <row r="6">
      <c r="A6" s="40" t="inlineStr">
        <is>
          <t>Regulatory Compliance Mapping</t>
        </is>
      </c>
      <c r="B6" s="41">
        <f>COUNTA('Regulatory Mapping'!A14:A63)</f>
        <v/>
      </c>
      <c r="C6" s="41">
        <f>COUNTIF('Regulatory Mapping'!G14:G63,"Compliant")</f>
        <v/>
      </c>
      <c r="D6" s="41">
        <f>COUNTIF('Regulatory Mapping'!G14:G63,"Partial")</f>
        <v/>
      </c>
      <c r="E6" s="41">
        <f>COUNTIF('Regulatory Mapping'!G14:G63,"Non-Compliant")</f>
        <v/>
      </c>
      <c r="F6" s="41">
        <f>COUNTIF('Regulatory Mapping'!G14:G63,"N/A")</f>
        <v/>
      </c>
      <c r="G6" s="42">
        <f>IFERROR(IF((B6-F6)=0,0,C6/(B6-F6)),"")</f>
        <v/>
      </c>
    </row>
    <row r="7">
      <c r="A7" s="43" t="inlineStr">
        <is>
          <t>TOTAL</t>
        </is>
      </c>
      <c r="B7" s="44">
        <f>SUM(B6:B6)</f>
        <v/>
      </c>
      <c r="C7" s="44">
        <f>SUM(C6:C6)</f>
        <v/>
      </c>
      <c r="D7" s="44">
        <f>SUM(D6:D6)</f>
        <v/>
      </c>
      <c r="E7" s="44">
        <f>SUM(E6:E6)</f>
        <v/>
      </c>
      <c r="F7" s="44">
        <f>SUM(F6:F6)</f>
        <v/>
      </c>
      <c r="G7" s="45">
        <f>IFERROR(IF((B7-F7)=0,0,C7/(B7-F7)),"")</f>
        <v/>
      </c>
    </row>
    <row r="9">
      <c r="A9" s="38" t="inlineStr">
        <is>
          <t>TABLE 2: KEY METRICS</t>
        </is>
      </c>
      <c r="B9" s="6" t="n"/>
      <c r="C9" s="6" t="n"/>
      <c r="D9" s="6" t="n"/>
      <c r="E9" s="6" t="n"/>
      <c r="F9" s="6" t="n"/>
      <c r="G9" s="6" t="n"/>
    </row>
    <row r="10">
      <c r="A10" s="44" t="inlineStr">
        <is>
          <t>Metric</t>
        </is>
      </c>
      <c r="B10" s="44" t="inlineStr">
        <is>
          <t>Value</t>
        </is>
      </c>
      <c r="C10" s="44" t="n"/>
      <c r="D10" s="44" t="n"/>
      <c r="E10" s="44" t="n"/>
      <c r="F10" s="44" t="n"/>
      <c r="G10" s="44" t="n"/>
    </row>
    <row r="11">
      <c r="A11" s="40" t="inlineStr">
        <is>
          <t>Total Regulatory Requirements Mapped</t>
        </is>
      </c>
      <c r="B11" s="41">
        <f>COUNTA('Regulatory Mapping'!A14:A63)</f>
        <v/>
      </c>
      <c r="C11" s="6" t="n"/>
      <c r="D11" s="6" t="n"/>
      <c r="E11" s="6" t="n"/>
      <c r="F11" s="6" t="n"/>
      <c r="G11" s="6" t="n"/>
    </row>
    <row r="12">
      <c r="A12" s="40" t="inlineStr">
        <is>
          <t>Compliant Regulatory Mappings</t>
        </is>
      </c>
      <c r="B12" s="41">
        <f>COUNTIF('Regulatory Mapping'!G14:G63,"Compliant")</f>
        <v/>
      </c>
      <c r="C12" s="6" t="n"/>
      <c r="D12" s="6" t="n"/>
      <c r="E12" s="6" t="n"/>
      <c r="F12" s="6" t="n"/>
      <c r="G12" s="6" t="n"/>
    </row>
    <row r="13">
      <c r="A13" s="40" t="inlineStr">
        <is>
          <t>Partial Compliance Mappings</t>
        </is>
      </c>
      <c r="B13" s="41">
        <f>COUNTIF('Regulatory Mapping'!G14:G63,"Partial")</f>
        <v/>
      </c>
      <c r="C13" s="6" t="n"/>
      <c r="D13" s="6" t="n"/>
      <c r="E13" s="6" t="n"/>
      <c r="F13" s="6" t="n"/>
      <c r="G13" s="6" t="n"/>
    </row>
    <row r="14">
      <c r="A14" s="40" t="inlineStr">
        <is>
          <t>Non-Compliant Regulatory Mappings</t>
        </is>
      </c>
      <c r="B14" s="41">
        <f>COUNTIF('Regulatory Mapping'!G14:G63,"Non-Compliant")</f>
        <v/>
      </c>
      <c r="C14" s="6" t="n"/>
      <c r="D14" s="6" t="n"/>
      <c r="E14" s="6" t="n"/>
      <c r="F14" s="6" t="n"/>
      <c r="G14" s="6" t="n"/>
    </row>
    <row r="15">
      <c r="A15" s="40" t="inlineStr">
        <is>
          <t>N/A Mappings (Not Applicable)</t>
        </is>
      </c>
      <c r="B15" s="41">
        <f>COUNTIF('Regulatory Mapping'!G14:G63,"N/A")</f>
        <v/>
      </c>
      <c r="C15" s="6" t="n"/>
      <c r="D15" s="6" t="n"/>
      <c r="E15" s="6" t="n"/>
      <c r="F15" s="6" t="n"/>
      <c r="G15" s="6" t="n"/>
    </row>
    <row r="16">
      <c r="A16" s="40" t="inlineStr">
        <is>
          <t>RESTRICTED Classification Requirements</t>
        </is>
      </c>
      <c r="B16" s="41">
        <f>COUNTIF('Regulatory Mapping'!D14:D63,"RESTRICTED")</f>
        <v/>
      </c>
      <c r="C16" s="6" t="n"/>
      <c r="D16" s="6" t="n"/>
      <c r="E16" s="6" t="n"/>
      <c r="F16" s="6" t="n"/>
      <c r="G16" s="6" t="n"/>
    </row>
    <row r="17">
      <c r="A17" s="40" t="inlineStr">
        <is>
          <t>CONFIDENTIAL Classification Requirements</t>
        </is>
      </c>
      <c r="B17" s="41">
        <f>COUNTIF('Regulatory Mapping'!D14:D63,"CONFIDENTIAL")</f>
        <v/>
      </c>
      <c r="C17" s="6" t="n"/>
      <c r="D17" s="6" t="n"/>
      <c r="E17" s="6" t="n"/>
      <c r="F17" s="6" t="n"/>
      <c r="G17" s="6" t="n"/>
    </row>
    <row r="18">
      <c r="A18" s="40" t="inlineStr">
        <is>
          <t>INTERNAL Classification Requirements</t>
        </is>
      </c>
      <c r="B18" s="41">
        <f>COUNTIF('Regulatory Mapping'!D14:D63,"INTERNAL")</f>
        <v/>
      </c>
      <c r="C18" s="6" t="n"/>
      <c r="D18" s="6" t="n"/>
      <c r="E18" s="6" t="n"/>
      <c r="F18" s="6" t="n"/>
      <c r="G18" s="6" t="n"/>
    </row>
    <row r="19">
      <c r="A19" s="40" t="inlineStr">
        <is>
          <t>PUBLIC Classification Requirements</t>
        </is>
      </c>
      <c r="B19" s="41">
        <f>COUNTIF('Regulatory Mapping'!D14:D63,"PUBLIC")</f>
        <v/>
      </c>
      <c r="C19" s="6" t="n"/>
      <c r="D19" s="6" t="n"/>
      <c r="E19" s="6" t="n"/>
      <c r="F19" s="6" t="n"/>
      <c r="G19" s="6" t="n"/>
    </row>
    <row r="20">
      <c r="A20" s="40" t="inlineStr">
        <is>
          <t>Classification Levels Requiring Owner Approval</t>
        </is>
      </c>
      <c r="B20" s="41">
        <f>COUNTIF('Classification Levels'!J5:J20,"Yes - Executive")+COUNTIF('Classification Levels'!J5:J20,"Yes - Manager")+COUNTIF('Classification Levels'!J5:J20,"Yes - Owner")</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46" t="inlineStr">
        <is>
          <t>TABLE 3: CRITICAL FINDINGS REQUIRING IMMEDIATE ATTENTION</t>
        </is>
      </c>
      <c r="B24" s="6" t="n"/>
      <c r="C24" s="6" t="n"/>
      <c r="D24" s="6" t="n"/>
      <c r="E24" s="6" t="n"/>
      <c r="F24" s="6" t="n"/>
      <c r="G24" s="6" t="n"/>
    </row>
    <row r="25">
      <c r="A25" s="44" t="inlineStr">
        <is>
          <t>Category</t>
        </is>
      </c>
      <c r="B25" s="44" t="inlineStr">
        <is>
          <t>Finding</t>
        </is>
      </c>
      <c r="C25" s="44" t="inlineStr">
        <is>
          <t>Count</t>
        </is>
      </c>
      <c r="D25" s="44" t="inlineStr">
        <is>
          <t>Severity</t>
        </is>
      </c>
      <c r="E25" s="44" t="inlineStr">
        <is>
          <t>Action Required</t>
        </is>
      </c>
      <c r="F25" s="44" t="n"/>
      <c r="G25" s="44" t="n"/>
    </row>
    <row r="26">
      <c r="A26" s="47" t="inlineStr">
        <is>
          <t>Regulatory Compliance</t>
        </is>
      </c>
      <c r="B26" s="47" t="inlineStr">
        <is>
          <t>Non-compliant regulatory mappings</t>
        </is>
      </c>
      <c r="C26" s="48">
        <f>COUNTIF('Regulatory Mapping'!G14:G63,"Non-Compliant")</f>
        <v/>
      </c>
      <c r="D26" s="47" t="inlineStr">
        <is>
          <t>Critical</t>
        </is>
      </c>
      <c r="E26" s="47" t="inlineStr">
        <is>
          <t>Immediate</t>
        </is>
      </c>
      <c r="F26" s="47" t="n"/>
      <c r="G26" s="47" t="n"/>
    </row>
    <row r="27">
      <c r="A27" s="47" t="inlineStr">
        <is>
          <t>Classification Scheme</t>
        </is>
      </c>
      <c r="B27" s="47" t="inlineStr">
        <is>
          <t>Regulatory reqs with no minimum classification set</t>
        </is>
      </c>
      <c r="C27" s="48">
        <f>COUNTIF('Regulatory Mapping'!D14:D63,"")</f>
        <v/>
      </c>
      <c r="D27" s="47" t="inlineStr">
        <is>
          <t>High</t>
        </is>
      </c>
      <c r="E27" s="47" t="inlineStr">
        <is>
          <t>Urgent</t>
        </is>
      </c>
      <c r="F27" s="47" t="n"/>
      <c r="G27" s="47" t="n"/>
    </row>
    <row r="28">
      <c r="A28" s="47" t="inlineStr">
        <is>
          <t>Classification Scheme</t>
        </is>
      </c>
      <c r="B28" s="47" t="inlineStr">
        <is>
          <t>Partial compliance mappings requiring remediation</t>
        </is>
      </c>
      <c r="C28" s="48">
        <f>COUNTIF('Regulatory Mapping'!G14:G63,"Partial")</f>
        <v/>
      </c>
      <c r="D28" s="47" t="inlineStr">
        <is>
          <t>Medium</t>
        </is>
      </c>
      <c r="E28" s="47" t="inlineStr">
        <is>
          <t>Plan</t>
        </is>
      </c>
      <c r="F28" s="47" t="n"/>
      <c r="G28" s="47" t="n"/>
    </row>
    <row r="29">
      <c r="A29" s="28" t="n"/>
      <c r="B29" s="28" t="n"/>
      <c r="C29" s="28" t="n"/>
      <c r="D29" s="28" t="n"/>
      <c r="E29" s="28" t="n"/>
      <c r="F29" s="28" t="n"/>
      <c r="G29" s="28" t="n"/>
    </row>
    <row r="30">
      <c r="A30" s="28" t="n"/>
      <c r="B30" s="28" t="n"/>
      <c r="C30" s="28" t="n"/>
      <c r="D30" s="28" t="n"/>
      <c r="E30" s="28" t="n"/>
      <c r="F30" s="28" t="n"/>
      <c r="G30" s="28" t="n"/>
    </row>
  </sheetData>
  <mergeCells count="5">
    <mergeCell ref="A1:G1"/>
    <mergeCell ref="A9:G9"/>
    <mergeCell ref="A4:G4"/>
    <mergeCell ref="A24:G2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49" t="inlineStr">
        <is>
          <t>ISO/IEC 27001:2022 - Control A.5.12: Classification of Information</t>
        </is>
      </c>
      <c r="B2" s="6" t="n"/>
      <c r="C2" s="6" t="n"/>
      <c r="D2" s="6" t="n"/>
      <c r="E2" s="6" t="n"/>
    </row>
    <row r="3">
      <c r="A3" s="50" t="inlineStr">
        <is>
          <t>ASSESSMENT SUMMARY</t>
        </is>
      </c>
      <c r="B3" s="6" t="n"/>
      <c r="C3" s="6" t="n"/>
      <c r="D3" s="6" t="n"/>
      <c r="E3" s="6" t="n"/>
    </row>
    <row r="4">
      <c r="A4" s="3" t="inlineStr">
        <is>
          <t>Document:</t>
        </is>
      </c>
      <c r="B4" s="6" t="inlineStr">
        <is>
          <t>ISMS-IMP-A.5.12-13.S1 - Classification Scheme Definition</t>
        </is>
      </c>
      <c r="C4" s="6" t="n"/>
      <c r="D4" s="6" t="n"/>
      <c r="E4" s="6" t="n"/>
    </row>
    <row r="5">
      <c r="A5" s="3" t="inlineStr">
        <is>
          <t>Assessment Period:</t>
        </is>
      </c>
      <c r="B5" s="28" t="inlineStr"/>
      <c r="C5" s="6" t="n"/>
      <c r="D5" s="6" t="n"/>
      <c r="E5" s="6" t="n"/>
    </row>
    <row r="6">
      <c r="A6" s="3" t="inlineStr">
        <is>
          <t>Overall Compliance Rating:</t>
        </is>
      </c>
      <c r="B6" s="51">
        <f>IFERROR(AVERAGE('Summary Dashboard'!G6:G6),"")</f>
        <v/>
      </c>
      <c r="C6" s="6" t="n"/>
      <c r="D6" s="6" t="n"/>
      <c r="E6" s="6" t="n"/>
    </row>
    <row r="7">
      <c r="A7" s="3" t="inlineStr">
        <is>
          <t>Assessment Status:</t>
        </is>
      </c>
      <c r="B7" s="28" t="inlineStr"/>
      <c r="C7" s="6" t="n"/>
      <c r="D7" s="6" t="n"/>
      <c r="E7" s="6" t="n"/>
    </row>
    <row r="8">
      <c r="A8" s="3" t="inlineStr">
        <is>
          <t>Assessed By:</t>
        </is>
      </c>
      <c r="B8" s="28" t="inlineStr"/>
      <c r="C8" s="6" t="n"/>
      <c r="D8" s="6" t="n"/>
      <c r="E8" s="6" t="n"/>
    </row>
    <row r="11">
      <c r="A11" s="50" t="inlineStr">
        <is>
          <t>COMPLETED BY (ASSESSOR)</t>
        </is>
      </c>
      <c r="B11" s="6" t="n"/>
      <c r="C11" s="6" t="n"/>
      <c r="D11" s="6" t="n"/>
      <c r="E11" s="6" t="n"/>
    </row>
    <row r="12">
      <c r="A12" s="3" t="inlineStr">
        <is>
          <t>Name:</t>
        </is>
      </c>
      <c r="B12" s="28" t="n"/>
      <c r="C12" s="6" t="n"/>
      <c r="D12" s="6" t="n"/>
      <c r="E12" s="6" t="n"/>
    </row>
    <row r="13">
      <c r="A13" s="3" t="inlineStr">
        <is>
          <t>Title:</t>
        </is>
      </c>
      <c r="B13" s="28" t="n"/>
      <c r="C13" s="6" t="n"/>
      <c r="D13" s="6" t="n"/>
      <c r="E13" s="6" t="n"/>
    </row>
    <row r="14">
      <c r="A14" s="3" t="inlineStr">
        <is>
          <t>Date:</t>
        </is>
      </c>
      <c r="B14" s="28" t="n"/>
      <c r="C14" s="6" t="n"/>
      <c r="D14" s="6" t="n"/>
      <c r="E14" s="6" t="n"/>
    </row>
    <row r="15">
      <c r="A15" s="3" t="inlineStr">
        <is>
          <t>Signature:</t>
        </is>
      </c>
      <c r="B15" s="28" t="n"/>
      <c r="C15" s="6" t="n"/>
      <c r="D15" s="6" t="n"/>
      <c r="E15" s="6" t="n"/>
    </row>
    <row r="16">
      <c r="A16" s="3" t="inlineStr">
        <is>
          <t>Comments:</t>
        </is>
      </c>
      <c r="B16" s="28" t="n"/>
      <c r="C16" s="6" t="n"/>
      <c r="D16" s="6" t="n"/>
      <c r="E16" s="6" t="n"/>
    </row>
    <row r="18">
      <c r="A18" s="50" t="inlineStr">
        <is>
          <t>REVIEWED BY (INFORMATION SECURITY OFFICER)</t>
        </is>
      </c>
      <c r="B18" s="6" t="n"/>
      <c r="C18" s="6" t="n"/>
      <c r="D18" s="6" t="n"/>
      <c r="E18" s="6" t="n"/>
    </row>
    <row r="19">
      <c r="A19" s="3" t="inlineStr">
        <is>
          <t>Name:</t>
        </is>
      </c>
      <c r="B19" s="28" t="n"/>
      <c r="C19" s="6" t="n"/>
      <c r="D19" s="6" t="n"/>
      <c r="E19" s="6" t="n"/>
    </row>
    <row r="20">
      <c r="A20" s="3" t="inlineStr">
        <is>
          <t>Title:</t>
        </is>
      </c>
      <c r="B20" s="28" t="n"/>
      <c r="C20" s="6" t="n"/>
      <c r="D20" s="6" t="n"/>
      <c r="E20" s="6" t="n"/>
    </row>
    <row r="21">
      <c r="A21" s="3" t="inlineStr">
        <is>
          <t>Date:</t>
        </is>
      </c>
      <c r="B21" s="28" t="n"/>
      <c r="C21" s="6" t="n"/>
      <c r="D21" s="6" t="n"/>
      <c r="E21" s="6" t="n"/>
    </row>
    <row r="22">
      <c r="A22" s="3" t="inlineStr">
        <is>
          <t>Signature:</t>
        </is>
      </c>
      <c r="B22" s="28" t="n"/>
      <c r="C22" s="6" t="n"/>
      <c r="D22" s="6" t="n"/>
      <c r="E22" s="6" t="n"/>
    </row>
    <row r="23">
      <c r="A23" s="3" t="inlineStr">
        <is>
          <t>Comments:</t>
        </is>
      </c>
      <c r="B23" s="28" t="n"/>
      <c r="C23" s="6" t="n"/>
      <c r="D23" s="6" t="n"/>
      <c r="E23" s="6" t="n"/>
    </row>
    <row r="25">
      <c r="A25" s="38" t="inlineStr">
        <is>
          <t>APPROVED BY (CISO)</t>
        </is>
      </c>
      <c r="B25" s="6" t="n"/>
      <c r="C25" s="6" t="n"/>
      <c r="D25" s="6" t="n"/>
      <c r="E25" s="6" t="n"/>
    </row>
    <row r="26">
      <c r="A26" s="3" t="inlineStr">
        <is>
          <t>Name:</t>
        </is>
      </c>
      <c r="B26" s="28" t="n"/>
      <c r="C26" s="6" t="n"/>
      <c r="D26" s="6" t="n"/>
      <c r="E26" s="6" t="n"/>
    </row>
    <row r="27">
      <c r="A27" s="3" t="inlineStr">
        <is>
          <t>Title:</t>
        </is>
      </c>
      <c r="B27" s="28" t="n"/>
      <c r="C27" s="6" t="n"/>
      <c r="D27" s="6" t="n"/>
      <c r="E27" s="6" t="n"/>
    </row>
    <row r="28">
      <c r="A28" s="3" t="inlineStr">
        <is>
          <t>Date:</t>
        </is>
      </c>
      <c r="B28" s="28" t="n"/>
      <c r="C28" s="6" t="n"/>
      <c r="D28" s="6" t="n"/>
      <c r="E28" s="6" t="n"/>
    </row>
    <row r="29">
      <c r="A29" s="3" t="inlineStr">
        <is>
          <t>Signature:</t>
        </is>
      </c>
      <c r="B29" s="28" t="n"/>
      <c r="C29" s="6" t="n"/>
      <c r="D29" s="6" t="n"/>
      <c r="E29" s="6" t="n"/>
    </row>
    <row r="30">
      <c r="A30" s="3" t="inlineStr">
        <is>
          <t>Comments:</t>
        </is>
      </c>
      <c r="B30" s="28" t="n"/>
      <c r="C30" s="6" t="n"/>
      <c r="D30" s="6" t="n"/>
      <c r="E30" s="6" t="n"/>
    </row>
    <row r="32">
      <c r="A32" s="3" t="inlineStr">
        <is>
          <t>FINAL DECISION:</t>
        </is>
      </c>
      <c r="B32" s="28" t="n"/>
      <c r="C32" s="6" t="n"/>
      <c r="D32" s="6" t="n"/>
      <c r="E32" s="6" t="n"/>
    </row>
    <row r="35">
      <c r="A35" s="50" t="inlineStr">
        <is>
          <t>NEXT REVIEW DETAILS</t>
        </is>
      </c>
      <c r="B35" s="6" t="n"/>
      <c r="C35" s="6" t="n"/>
      <c r="D35" s="6" t="n"/>
      <c r="E35" s="6" t="n"/>
    </row>
    <row r="36">
      <c r="A36" s="3" t="inlineStr">
        <is>
          <t>Next Review Date:</t>
        </is>
      </c>
      <c r="B36" s="28" t="n"/>
      <c r="C36" s="6" t="n"/>
      <c r="D36" s="6" t="n"/>
      <c r="E36" s="6" t="n"/>
    </row>
    <row r="37">
      <c r="A37" s="3" t="inlineStr">
        <is>
          <t>Review Responsible:</t>
        </is>
      </c>
      <c r="B37" s="28" t="n"/>
      <c r="C37" s="6" t="n"/>
      <c r="D37" s="6" t="n"/>
      <c r="E37" s="6" t="n"/>
    </row>
    <row r="38">
      <c r="A38" s="3" t="inlineStr">
        <is>
          <t>Special Considerations:</t>
        </is>
      </c>
      <c r="B38" s="2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ISMS-IMP-A.5.12-13.S1 — Classification Scheme Definition</dc:title>
  <dc:description xmlns:dc="http://purl.org/dc/elements/1.1/">ISMS Implementation Workbook — ISMS-IMP-A.5.12-13.S1</dc:description>
  <dc:subject xmlns:dc="http://purl.org/dc/elements/1.1/">ISO/IEC 27001:2022 — Control A.5.12: Classification of Information</dc:subject>
  <dcterms:created xmlns:dcterms="http://purl.org/dc/terms/" xmlns:xsi="http://www.w3.org/2001/XMLSchema-instance" xsi:type="dcterms:W3CDTF">2026-03-10T18:48:35Z</dcterms:created>
  <dcterms:modified xmlns:dcterms="http://purl.org/dc/terms/" xmlns:xsi="http://www.w3.org/2001/XMLSchema-instance" xsi:type="dcterms:W3CDTF">2026-03-10T18:48:35Z</dcterms:modified>
</cp:coreProperties>
</file>