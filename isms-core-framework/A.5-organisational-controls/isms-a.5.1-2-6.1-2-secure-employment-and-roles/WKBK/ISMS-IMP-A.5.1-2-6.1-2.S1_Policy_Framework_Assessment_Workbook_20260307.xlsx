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licy Inventory" sheetId="2" state="visible" r:id="rId2"/>
    <sheet xmlns:r="http://schemas.openxmlformats.org/officeDocument/2006/relationships" name="Lifecycle Compliance" sheetId="3" state="visible" r:id="rId3"/>
    <sheet xmlns:r="http://schemas.openxmlformats.org/officeDocument/2006/relationships" name="Governance Assessment" sheetId="4" state="visible" r:id="rId4"/>
    <sheet xmlns:r="http://schemas.openxmlformats.org/officeDocument/2006/relationships" name="Classification Review" sheetId="5" state="visible" r:id="rId5"/>
    <sheet xmlns:r="http://schemas.openxmlformats.org/officeDocument/2006/relationships" name="Communication Tracking" sheetId="6" state="visible" r:id="rId6"/>
    <sheet xmlns:r="http://schemas.openxmlformats.org/officeDocument/2006/relationships" name="Repository Assessment"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Action Items"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definedName name="Policy_ID_List">'Policy Inventory'!$A$5:$A$54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i val="1"/>
      <color rgb="00808080"/>
      <sz val="10"/>
    </font>
    <font>
      <name val="Calibri"/>
      <color rgb="0000000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C00000"/>
      </patternFill>
    </fill>
    <fill>
      <patternFill patternType="solid">
        <fgColor rgb="00FFFFFF"/>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1" pivotButton="0" quotePrefix="0" xfId="0"/>
    <xf numFmtId="9" fontId="8" fillId="10" borderId="1" pivotButton="0" quotePrefix="0" xfId="0"/>
    <xf numFmtId="0" fontId="9" fillId="11" borderId="2" applyAlignment="1" pivotButton="0" quotePrefix="0" xfId="0">
      <alignment horizontal="left" vertical="top" wrapText="1"/>
    </xf>
    <xf numFmtId="164" fontId="9" fillId="11" borderId="2" applyAlignment="1" pivotButton="0" quotePrefix="0" xfId="0">
      <alignment horizontal="left" vertical="top" wrapText="1"/>
    </xf>
    <xf numFmtId="9" fontId="9" fillId="11" borderId="2" applyAlignment="1" pivotButton="0" quotePrefix="0" xfId="0">
      <alignment horizontal="left" vertical="top" wrapText="1"/>
    </xf>
    <xf numFmtId="0" fontId="9" fillId="9" borderId="2" applyAlignment="1" pivotButton="0" quotePrefix="0" xfId="0">
      <alignment horizontal="left" vertical="top" wrapText="1"/>
    </xf>
    <xf numFmtId="9" fontId="9" fillId="9" borderId="2" applyAlignment="1" pivotButton="0" quotePrefix="0" xfId="0">
      <alignment horizontal="left" vertical="top" wrapText="1"/>
    </xf>
    <xf numFmtId="0" fontId="7" fillId="9" borderId="2" applyAlignment="1" pivotButton="0" quotePrefix="0" xfId="0">
      <alignment horizontal="left" vertical="center"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8" fillId="12" borderId="1" pivotButton="0" quotePrefix="0" xfId="0"/>
    <xf numFmtId="0" fontId="0" fillId="11" borderId="1" applyAlignment="1" pivotButton="0" quotePrefix="0" xfId="0">
      <alignment vertical="center"/>
    </xf>
    <xf numFmtId="164" fontId="8" fillId="10" borderId="1" pivotButton="0" quotePrefix="0" xfId="0"/>
    <xf numFmtId="164" fontId="9" fillId="9" borderId="2" applyAlignment="1" pivotButton="0" quotePrefix="0" xfId="0">
      <alignment horizontal="left" vertical="top" wrapText="1"/>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3" borderId="2" applyAlignment="1" pivotButton="0" quotePrefix="0" xfId="0">
      <alignment horizontal="left" vertical="center" wrapText="1"/>
    </xf>
    <xf numFmtId="0" fontId="14" fillId="3"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4" borderId="2" applyAlignment="1" pivotButton="0" quotePrefix="0" xfId="0">
      <alignment horizontal="left" vertical="center" wrapText="1"/>
    </xf>
    <xf numFmtId="0" fontId="15" fillId="15" borderId="2" applyAlignment="1" pivotButton="0" quotePrefix="0" xfId="0">
      <alignment horizontal="left" vertical="center" wrapText="1"/>
    </xf>
    <xf numFmtId="0" fontId="14" fillId="15" borderId="2" applyAlignment="1" pivotButton="0" quotePrefix="0" xfId="0">
      <alignment horizontal="center" vertical="center"/>
    </xf>
    <xf numFmtId="0" fontId="14" fillId="15"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1"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ISMS-IMP-A.5.1-2-6.1-2.S1  -  Policy Framework Assessment Workbook
ISO/IEC 27001:2022 - Control A.5.1-2-6.1-2: Information Security Policies and Organisation</t>
        </is>
      </c>
    </row>
    <row r="3">
      <c r="A3" s="2" t="inlineStr">
        <is>
          <t>Document Information</t>
        </is>
      </c>
    </row>
    <row r="4">
      <c r="A4" s="3" t="inlineStr">
        <is>
          <t>Document ID</t>
        </is>
      </c>
      <c r="B4" t="inlineStr">
        <is>
          <t>ISMS-IMP-A.5.1-2-6.1-2.S1</t>
        </is>
      </c>
    </row>
    <row r="5">
      <c r="A5" s="3" t="inlineStr">
        <is>
          <t>Workbook Title</t>
        </is>
      </c>
      <c r="B5" t="inlineStr">
        <is>
          <t>Policy Framework Assessment Workbook</t>
        </is>
      </c>
    </row>
    <row r="6">
      <c r="A6" s="3" t="inlineStr">
        <is>
          <t>Control Reference</t>
        </is>
      </c>
      <c r="B6" t="inlineStr">
        <is>
          <t>ISO/IEC 27001:2022 - Control A.5.1-2-6.1-2: Information Security Policies and Organisation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compliance overview.</t>
        </is>
      </c>
    </row>
    <row r="14">
      <c r="A14" t="inlineStr">
        <is>
          <t>2. Complete the Policy Inventory — list all information security policies with ownership and review dates.</t>
        </is>
      </c>
    </row>
    <row r="15">
      <c r="A15" t="inlineStr">
        <is>
          <t>3. Complete Lifecycle Compliance — verify approval, review cycle, and publication status per policy.</t>
        </is>
      </c>
    </row>
    <row r="16">
      <c r="A16" t="inlineStr">
        <is>
          <t>4. Complete Governance Assessment — confirm ownership, RACI accountability, and authority structures.</t>
        </is>
      </c>
    </row>
    <row r="17">
      <c r="A17" t="inlineStr">
        <is>
          <t>5. Complete Classification Review — verify classification levels and access control alignment.</t>
        </is>
      </c>
    </row>
    <row r="18">
      <c r="A18" t="inlineStr">
        <is>
          <t>6. Complete Communication Tracking — record policy acknowledgement rates and distribution evidence.</t>
        </is>
      </c>
    </row>
    <row r="19">
      <c r="A19" t="inlineStr">
        <is>
          <t>7. Complete Repository Assessment — verify policy repository accessibility and version control.</t>
        </is>
      </c>
    </row>
    <row r="20">
      <c r="A20" t="inlineStr">
        <is>
          <t>8. Review the Gap Analysis (auto-populated) — prioritise remediation by risk level.</t>
        </is>
      </c>
    </row>
    <row r="21">
      <c r="A21" t="inlineStr">
        <is>
          <t>9. Attach audit evidence in the Evidence Register (EV-xxx references).</t>
        </is>
      </c>
    </row>
    <row r="22">
      <c r="A22" t="inlineStr">
        <is>
          <t>10. Create remediation actions in Action Items with owners and target dates.</t>
        </is>
      </c>
    </row>
    <row r="23">
      <c r="A23" t="inlineStr">
        <is>
          <t>11. Obtain three-level stakeholder approval in the Approval Sign-Off sheet.</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20" customWidth="1" min="4" max="4"/>
    <col width="25" customWidth="1" min="5" max="5"/>
    <col width="25" customWidth="1" min="6" max="6"/>
    <col width="12" customWidth="1" min="7" max="7"/>
    <col width="12" customWidth="1" min="8" max="8"/>
    <col width="12" customWidth="1" min="9" max="9"/>
    <col width="12" customWidth="1" min="10" max="10"/>
    <col width="12" customWidth="1" min="11" max="11"/>
    <col width="15" customWidth="1" min="12" max="12"/>
    <col width="15" customWidth="1" min="13" max="13"/>
    <col width="15" customWidth="1" min="14" max="14"/>
    <col width="15" customWidth="1" min="15" max="15"/>
    <col width="12" customWidth="1" min="16" max="16"/>
    <col width="40" customWidth="1" min="17" max="17"/>
    <col width="30" customWidth="1" min="18" max="18"/>
    <col width="15" customWidth="1" min="19" max="19"/>
    <col width="40" customWidth="1" min="20" max="20"/>
  </cols>
  <sheetData>
    <row r="1" ht="35" customHeight="1">
      <c r="A1" s="11" t="inlineStr">
        <is>
          <t>POLICY INVENTORY</t>
        </is>
      </c>
    </row>
    <row r="2">
      <c r="A2" s="12" t="inlineStr">
        <is>
          <t>Master list of all information security policies with metadata</t>
        </is>
      </c>
    </row>
    <row r="3">
      <c r="A3" s="13" t="inlineStr">
        <is>
          <t>Policy ID</t>
        </is>
      </c>
      <c r="B3" s="13" t="inlineStr">
        <is>
          <t>Policy Title</t>
        </is>
      </c>
      <c r="C3" s="13" t="inlineStr">
        <is>
          <t>Policy Hierarchy Tier</t>
        </is>
      </c>
      <c r="D3" s="13" t="inlineStr">
        <is>
          <t>ISO Control Mapping</t>
        </is>
      </c>
      <c r="E3" s="13" t="inlineStr">
        <is>
          <t>Policy Owner</t>
        </is>
      </c>
      <c r="F3" s="13" t="inlineStr">
        <is>
          <t>Policy Approver</t>
        </is>
      </c>
      <c r="G3" s="13" t="inlineStr">
        <is>
          <t>Current Version</t>
        </is>
      </c>
      <c r="H3" s="13" t="inlineStr">
        <is>
          <t>Version Date</t>
        </is>
      </c>
      <c r="I3" s="13" t="inlineStr">
        <is>
          <t>Approval Date</t>
        </is>
      </c>
      <c r="J3" s="13" t="inlineStr">
        <is>
          <t>Last Review Date</t>
        </is>
      </c>
      <c r="K3" s="13" t="inlineStr">
        <is>
          <t>Next Review Date</t>
        </is>
      </c>
      <c r="L3" s="13" t="inlineStr">
        <is>
          <t>Review Frequency</t>
        </is>
      </c>
      <c r="M3" s="13" t="inlineStr">
        <is>
          <t>Policy Status</t>
        </is>
      </c>
      <c r="N3" s="13" t="inlineStr">
        <is>
          <t>Policy Classification</t>
        </is>
      </c>
      <c r="O3" s="13" t="inlineStr">
        <is>
          <t>Acknowledgment Required</t>
        </is>
      </c>
      <c r="P3" s="13" t="inlineStr">
        <is>
          <t>Acknowledgment Rate</t>
        </is>
      </c>
      <c r="Q3" s="13" t="inlineStr">
        <is>
          <t>Repository Location</t>
        </is>
      </c>
      <c r="R3" s="13" t="inlineStr">
        <is>
          <t>Related Documents</t>
        </is>
      </c>
      <c r="S3" s="13" t="inlineStr">
        <is>
          <t>Gap Identified</t>
        </is>
      </c>
      <c r="T3" s="13" t="inlineStr">
        <is>
          <t>Notes</t>
        </is>
      </c>
    </row>
    <row r="4">
      <c r="A4" s="14" t="inlineStr">
        <is>
          <t>POL-EXAMPLE</t>
        </is>
      </c>
      <c r="B4" s="14" t="inlineStr">
        <is>
          <t>Information Security Policy (Example)</t>
        </is>
      </c>
      <c r="C4" s="14" t="inlineStr">
        <is>
          <t>Tier-1-Master</t>
        </is>
      </c>
      <c r="D4" s="14" t="inlineStr">
        <is>
          <t>A.5.1, A.5.2</t>
        </is>
      </c>
      <c r="E4" s="14" t="inlineStr">
        <is>
          <t>Chief Information Security Officer</t>
        </is>
      </c>
      <c r="F4" s="14" t="inlineStr">
        <is>
          <t>Chief Executive Officer</t>
        </is>
      </c>
      <c r="G4" s="14" t="inlineStr">
        <is>
          <t>v2.0</t>
        </is>
      </c>
      <c r="H4" s="14" t="inlineStr">
        <is>
          <t>01.01.2025</t>
        </is>
      </c>
      <c r="I4" s="14" t="inlineStr">
        <is>
          <t>15.01.2025</t>
        </is>
      </c>
      <c r="J4" s="14" t="inlineStr">
        <is>
          <t>15.01.2026</t>
        </is>
      </c>
      <c r="K4" s="14" t="inlineStr">
        <is>
          <t>15.01.2027</t>
        </is>
      </c>
      <c r="L4" s="14" t="inlineStr">
        <is>
          <t>Annual</t>
        </is>
      </c>
      <c r="M4" s="14" t="inlineStr">
        <is>
          <t>Active</t>
        </is>
      </c>
      <c r="N4" s="14" t="inlineStr">
        <is>
          <t>Internal</t>
        </is>
      </c>
      <c r="O4" s="14" t="inlineStr">
        <is>
          <t>Yes</t>
        </is>
      </c>
      <c r="P4" s="15" t="n">
        <v>0.92</v>
      </c>
      <c r="Q4" s="14" t="inlineStr">
        <is>
          <t>SharePoint/ISMS Repository</t>
        </is>
      </c>
      <c r="R4" s="14" t="inlineStr">
        <is>
          <t>ISMS-IMP-A.5.1 User Guide</t>
        </is>
      </c>
      <c r="S4" s="14" t="inlineStr">
        <is>
          <t>No-Gap</t>
        </is>
      </c>
      <c r="T4" s="14" t="inlineStr">
        <is>
          <t>Example entry — replace with your policy details</t>
        </is>
      </c>
    </row>
    <row r="5">
      <c r="A5" s="16" t="n"/>
      <c r="B5" s="16" t="n"/>
      <c r="C5" s="16" t="n"/>
      <c r="D5" s="16" t="n"/>
      <c r="E5" s="16" t="n"/>
      <c r="F5" s="16" t="n"/>
      <c r="G5" s="16" t="n"/>
      <c r="H5" s="17" t="n"/>
      <c r="I5" s="17" t="n"/>
      <c r="J5" s="17" t="n"/>
      <c r="K5" s="17" t="n"/>
      <c r="L5" s="16" t="n"/>
      <c r="M5" s="16" t="n"/>
      <c r="N5" s="16" t="n"/>
      <c r="O5" s="16" t="n"/>
      <c r="P5" s="18" t="n"/>
      <c r="Q5" s="16" t="n"/>
      <c r="R5" s="16" t="n"/>
      <c r="S5" s="16" t="n"/>
      <c r="T5" s="16" t="n"/>
    </row>
    <row r="6">
      <c r="A6" s="16" t="n"/>
      <c r="B6" s="16" t="n"/>
      <c r="C6" s="16" t="n"/>
      <c r="D6" s="16" t="n"/>
      <c r="E6" s="16" t="n"/>
      <c r="F6" s="16" t="n"/>
      <c r="G6" s="16" t="n"/>
      <c r="H6" s="17" t="n"/>
      <c r="I6" s="17" t="n"/>
      <c r="J6" s="17" t="n"/>
      <c r="K6" s="17" t="n"/>
      <c r="L6" s="16" t="n"/>
      <c r="M6" s="16" t="n"/>
      <c r="N6" s="16" t="n"/>
      <c r="O6" s="16" t="n"/>
      <c r="P6" s="18" t="n"/>
      <c r="Q6" s="16" t="n"/>
      <c r="R6" s="16" t="n"/>
      <c r="S6" s="16" t="n"/>
      <c r="T6" s="16" t="n"/>
    </row>
    <row r="7">
      <c r="A7" s="16" t="n"/>
      <c r="B7" s="16" t="n"/>
      <c r="C7" s="16" t="n"/>
      <c r="D7" s="16" t="n"/>
      <c r="E7" s="16" t="n"/>
      <c r="F7" s="16" t="n"/>
      <c r="G7" s="16" t="n"/>
      <c r="H7" s="17" t="n"/>
      <c r="I7" s="17" t="n"/>
      <c r="J7" s="17" t="n"/>
      <c r="K7" s="17" t="n"/>
      <c r="L7" s="16" t="n"/>
      <c r="M7" s="16" t="n"/>
      <c r="N7" s="16" t="n"/>
      <c r="O7" s="16" t="n"/>
      <c r="P7" s="18" t="n"/>
      <c r="Q7" s="16" t="n"/>
      <c r="R7" s="16" t="n"/>
      <c r="S7" s="16" t="n"/>
      <c r="T7" s="16" t="n"/>
    </row>
    <row r="8">
      <c r="A8" s="16" t="n"/>
      <c r="B8" s="16" t="n"/>
      <c r="C8" s="16" t="n"/>
      <c r="D8" s="16" t="n"/>
      <c r="E8" s="16" t="n"/>
      <c r="F8" s="16" t="n"/>
      <c r="G8" s="16" t="n"/>
      <c r="H8" s="17" t="n"/>
      <c r="I8" s="17" t="n"/>
      <c r="J8" s="17" t="n"/>
      <c r="K8" s="17" t="n"/>
      <c r="L8" s="16" t="n"/>
      <c r="M8" s="16" t="n"/>
      <c r="N8" s="16" t="n"/>
      <c r="O8" s="16" t="n"/>
      <c r="P8" s="18" t="n"/>
      <c r="Q8" s="16" t="n"/>
      <c r="R8" s="16" t="n"/>
      <c r="S8" s="16" t="n"/>
      <c r="T8" s="16" t="n"/>
    </row>
    <row r="9">
      <c r="A9" s="16" t="n"/>
      <c r="B9" s="16" t="n"/>
      <c r="C9" s="16" t="n"/>
      <c r="D9" s="16" t="n"/>
      <c r="E9" s="16" t="n"/>
      <c r="F9" s="16" t="n"/>
      <c r="G9" s="16" t="n"/>
      <c r="H9" s="17" t="n"/>
      <c r="I9" s="17" t="n"/>
      <c r="J9" s="17" t="n"/>
      <c r="K9" s="17" t="n"/>
      <c r="L9" s="16" t="n"/>
      <c r="M9" s="16" t="n"/>
      <c r="N9" s="16" t="n"/>
      <c r="O9" s="16" t="n"/>
      <c r="P9" s="18" t="n"/>
      <c r="Q9" s="16" t="n"/>
      <c r="R9" s="16" t="n"/>
      <c r="S9" s="16" t="n"/>
      <c r="T9" s="16" t="n"/>
    </row>
    <row r="10">
      <c r="A10" s="16" t="n"/>
      <c r="B10" s="16" t="n"/>
      <c r="C10" s="16" t="n"/>
      <c r="D10" s="16" t="n"/>
      <c r="E10" s="16" t="n"/>
      <c r="F10" s="16" t="n"/>
      <c r="G10" s="16" t="n"/>
      <c r="H10" s="17" t="n"/>
      <c r="I10" s="17" t="n"/>
      <c r="J10" s="17" t="n"/>
      <c r="K10" s="17" t="n"/>
      <c r="L10" s="16" t="n"/>
      <c r="M10" s="16" t="n"/>
      <c r="N10" s="16" t="n"/>
      <c r="O10" s="16" t="n"/>
      <c r="P10" s="18" t="n"/>
      <c r="Q10" s="16" t="n"/>
      <c r="R10" s="16" t="n"/>
      <c r="S10" s="16" t="n"/>
      <c r="T10" s="16" t="n"/>
    </row>
    <row r="11">
      <c r="A11" s="16" t="n"/>
      <c r="B11" s="16" t="n"/>
      <c r="C11" s="16" t="n"/>
      <c r="D11" s="16" t="n"/>
      <c r="E11" s="16" t="n"/>
      <c r="F11" s="16" t="n"/>
      <c r="G11" s="16" t="n"/>
      <c r="H11" s="17" t="n"/>
      <c r="I11" s="17" t="n"/>
      <c r="J11" s="17" t="n"/>
      <c r="K11" s="17" t="n"/>
      <c r="L11" s="16" t="n"/>
      <c r="M11" s="16" t="n"/>
      <c r="N11" s="16" t="n"/>
      <c r="O11" s="16" t="n"/>
      <c r="P11" s="18" t="n"/>
      <c r="Q11" s="16" t="n"/>
      <c r="R11" s="16" t="n"/>
      <c r="S11" s="16" t="n"/>
      <c r="T11" s="16" t="n"/>
    </row>
    <row r="12">
      <c r="A12" s="16" t="n"/>
      <c r="B12" s="16" t="n"/>
      <c r="C12" s="16" t="n"/>
      <c r="D12" s="16" t="n"/>
      <c r="E12" s="16" t="n"/>
      <c r="F12" s="16" t="n"/>
      <c r="G12" s="16" t="n"/>
      <c r="H12" s="17" t="n"/>
      <c r="I12" s="17" t="n"/>
      <c r="J12" s="17" t="n"/>
      <c r="K12" s="17" t="n"/>
      <c r="L12" s="16" t="n"/>
      <c r="M12" s="16" t="n"/>
      <c r="N12" s="16" t="n"/>
      <c r="O12" s="16" t="n"/>
      <c r="P12" s="18" t="n"/>
      <c r="Q12" s="16" t="n"/>
      <c r="R12" s="16" t="n"/>
      <c r="S12" s="16" t="n"/>
      <c r="T12" s="16" t="n"/>
    </row>
    <row r="13">
      <c r="A13" s="16" t="n"/>
      <c r="B13" s="16" t="n"/>
      <c r="C13" s="16" t="n"/>
      <c r="D13" s="16" t="n"/>
      <c r="E13" s="16" t="n"/>
      <c r="F13" s="16" t="n"/>
      <c r="G13" s="16" t="n"/>
      <c r="H13" s="17" t="n"/>
      <c r="I13" s="17" t="n"/>
      <c r="J13" s="17" t="n"/>
      <c r="K13" s="17" t="n"/>
      <c r="L13" s="16" t="n"/>
      <c r="M13" s="16" t="n"/>
      <c r="N13" s="16" t="n"/>
      <c r="O13" s="16" t="n"/>
      <c r="P13" s="18" t="n"/>
      <c r="Q13" s="16" t="n"/>
      <c r="R13" s="16" t="n"/>
      <c r="S13" s="16" t="n"/>
      <c r="T13" s="16" t="n"/>
    </row>
    <row r="14">
      <c r="A14" s="16" t="n"/>
      <c r="B14" s="16" t="n"/>
      <c r="C14" s="16" t="n"/>
      <c r="D14" s="16" t="n"/>
      <c r="E14" s="16" t="n"/>
      <c r="F14" s="16" t="n"/>
      <c r="G14" s="16" t="n"/>
      <c r="H14" s="17" t="n"/>
      <c r="I14" s="17" t="n"/>
      <c r="J14" s="17" t="n"/>
      <c r="K14" s="17" t="n"/>
      <c r="L14" s="16" t="n"/>
      <c r="M14" s="16" t="n"/>
      <c r="N14" s="16" t="n"/>
      <c r="O14" s="16" t="n"/>
      <c r="P14" s="18" t="n"/>
      <c r="Q14" s="16" t="n"/>
      <c r="R14" s="16" t="n"/>
      <c r="S14" s="16" t="n"/>
      <c r="T14" s="16" t="n"/>
    </row>
    <row r="15">
      <c r="A15" s="16" t="n"/>
      <c r="B15" s="16" t="n"/>
      <c r="C15" s="16" t="n"/>
      <c r="D15" s="16" t="n"/>
      <c r="E15" s="16" t="n"/>
      <c r="F15" s="16" t="n"/>
      <c r="G15" s="16" t="n"/>
      <c r="H15" s="17" t="n"/>
      <c r="I15" s="17" t="n"/>
      <c r="J15" s="17" t="n"/>
      <c r="K15" s="17" t="n"/>
      <c r="L15" s="16" t="n"/>
      <c r="M15" s="16" t="n"/>
      <c r="N15" s="16" t="n"/>
      <c r="O15" s="16" t="n"/>
      <c r="P15" s="18" t="n"/>
      <c r="Q15" s="16" t="n"/>
      <c r="R15" s="16" t="n"/>
      <c r="S15" s="16" t="n"/>
      <c r="T15" s="16" t="n"/>
    </row>
    <row r="16">
      <c r="A16" s="16" t="n"/>
      <c r="B16" s="16" t="n"/>
      <c r="C16" s="16" t="n"/>
      <c r="D16" s="16" t="n"/>
      <c r="E16" s="16" t="n"/>
      <c r="F16" s="16" t="n"/>
      <c r="G16" s="16" t="n"/>
      <c r="H16" s="17" t="n"/>
      <c r="I16" s="17" t="n"/>
      <c r="J16" s="17" t="n"/>
      <c r="K16" s="17" t="n"/>
      <c r="L16" s="16" t="n"/>
      <c r="M16" s="16" t="n"/>
      <c r="N16" s="16" t="n"/>
      <c r="O16" s="16" t="n"/>
      <c r="P16" s="18" t="n"/>
      <c r="Q16" s="16" t="n"/>
      <c r="R16" s="16" t="n"/>
      <c r="S16" s="16" t="n"/>
      <c r="T16" s="16" t="n"/>
    </row>
    <row r="17">
      <c r="A17" s="16" t="n"/>
      <c r="B17" s="16" t="n"/>
      <c r="C17" s="16" t="n"/>
      <c r="D17" s="16" t="n"/>
      <c r="E17" s="16" t="n"/>
      <c r="F17" s="16" t="n"/>
      <c r="G17" s="16" t="n"/>
      <c r="H17" s="17" t="n"/>
      <c r="I17" s="17" t="n"/>
      <c r="J17" s="17" t="n"/>
      <c r="K17" s="17" t="n"/>
      <c r="L17" s="16" t="n"/>
      <c r="M17" s="16" t="n"/>
      <c r="N17" s="16" t="n"/>
      <c r="O17" s="16" t="n"/>
      <c r="P17" s="18" t="n"/>
      <c r="Q17" s="16" t="n"/>
      <c r="R17" s="16" t="n"/>
      <c r="S17" s="16" t="n"/>
      <c r="T17" s="16" t="n"/>
    </row>
    <row r="18">
      <c r="A18" s="16" t="n"/>
      <c r="B18" s="16" t="n"/>
      <c r="C18" s="16" t="n"/>
      <c r="D18" s="16" t="n"/>
      <c r="E18" s="16" t="n"/>
      <c r="F18" s="16" t="n"/>
      <c r="G18" s="16" t="n"/>
      <c r="H18" s="17" t="n"/>
      <c r="I18" s="17" t="n"/>
      <c r="J18" s="17" t="n"/>
      <c r="K18" s="17" t="n"/>
      <c r="L18" s="16" t="n"/>
      <c r="M18" s="16" t="n"/>
      <c r="N18" s="16" t="n"/>
      <c r="O18" s="16" t="n"/>
      <c r="P18" s="18" t="n"/>
      <c r="Q18" s="16" t="n"/>
      <c r="R18" s="16" t="n"/>
      <c r="S18" s="16" t="n"/>
      <c r="T18" s="16" t="n"/>
    </row>
    <row r="19">
      <c r="A19" s="16" t="n"/>
      <c r="B19" s="16" t="n"/>
      <c r="C19" s="16" t="n"/>
      <c r="D19" s="16" t="n"/>
      <c r="E19" s="16" t="n"/>
      <c r="F19" s="16" t="n"/>
      <c r="G19" s="16" t="n"/>
      <c r="H19" s="17" t="n"/>
      <c r="I19" s="17" t="n"/>
      <c r="J19" s="17" t="n"/>
      <c r="K19" s="17" t="n"/>
      <c r="L19" s="16" t="n"/>
      <c r="M19" s="16" t="n"/>
      <c r="N19" s="16" t="n"/>
      <c r="O19" s="16" t="n"/>
      <c r="P19" s="18" t="n"/>
      <c r="Q19" s="16" t="n"/>
      <c r="R19" s="16" t="n"/>
      <c r="S19" s="16" t="n"/>
      <c r="T19" s="16" t="n"/>
    </row>
    <row r="20">
      <c r="A20" s="16" t="n"/>
      <c r="B20" s="16" t="n"/>
      <c r="C20" s="16" t="n"/>
      <c r="D20" s="16" t="n"/>
      <c r="E20" s="16" t="n"/>
      <c r="F20" s="16" t="n"/>
      <c r="G20" s="16" t="n"/>
      <c r="H20" s="17" t="n"/>
      <c r="I20" s="17" t="n"/>
      <c r="J20" s="17" t="n"/>
      <c r="K20" s="17" t="n"/>
      <c r="L20" s="16" t="n"/>
      <c r="M20" s="16" t="n"/>
      <c r="N20" s="16" t="n"/>
      <c r="O20" s="16" t="n"/>
      <c r="P20" s="18" t="n"/>
      <c r="Q20" s="16" t="n"/>
      <c r="R20" s="16" t="n"/>
      <c r="S20" s="16" t="n"/>
      <c r="T20" s="16" t="n"/>
    </row>
    <row r="21">
      <c r="A21" s="16" t="n"/>
      <c r="B21" s="16" t="n"/>
      <c r="C21" s="16" t="n"/>
      <c r="D21" s="16" t="n"/>
      <c r="E21" s="16" t="n"/>
      <c r="F21" s="16" t="n"/>
      <c r="G21" s="16" t="n"/>
      <c r="H21" s="17" t="n"/>
      <c r="I21" s="17" t="n"/>
      <c r="J21" s="17" t="n"/>
      <c r="K21" s="17" t="n"/>
      <c r="L21" s="16" t="n"/>
      <c r="M21" s="16" t="n"/>
      <c r="N21" s="16" t="n"/>
      <c r="O21" s="16" t="n"/>
      <c r="P21" s="18" t="n"/>
      <c r="Q21" s="16" t="n"/>
      <c r="R21" s="16" t="n"/>
      <c r="S21" s="16" t="n"/>
      <c r="T21" s="16" t="n"/>
    </row>
    <row r="22">
      <c r="A22" s="16" t="n"/>
      <c r="B22" s="16" t="n"/>
      <c r="C22" s="16" t="n"/>
      <c r="D22" s="16" t="n"/>
      <c r="E22" s="16" t="n"/>
      <c r="F22" s="16" t="n"/>
      <c r="G22" s="16" t="n"/>
      <c r="H22" s="17" t="n"/>
      <c r="I22" s="17" t="n"/>
      <c r="J22" s="17" t="n"/>
      <c r="K22" s="17" t="n"/>
      <c r="L22" s="16" t="n"/>
      <c r="M22" s="16" t="n"/>
      <c r="N22" s="16" t="n"/>
      <c r="O22" s="16" t="n"/>
      <c r="P22" s="18" t="n"/>
      <c r="Q22" s="16" t="n"/>
      <c r="R22" s="16" t="n"/>
      <c r="S22" s="16" t="n"/>
      <c r="T22" s="16" t="n"/>
    </row>
    <row r="23">
      <c r="A23" s="16" t="n"/>
      <c r="B23" s="16" t="n"/>
      <c r="C23" s="16" t="n"/>
      <c r="D23" s="16" t="n"/>
      <c r="E23" s="16" t="n"/>
      <c r="F23" s="16" t="n"/>
      <c r="G23" s="16" t="n"/>
      <c r="H23" s="17" t="n"/>
      <c r="I23" s="17" t="n"/>
      <c r="J23" s="17" t="n"/>
      <c r="K23" s="17" t="n"/>
      <c r="L23" s="16" t="n"/>
      <c r="M23" s="16" t="n"/>
      <c r="N23" s="16" t="n"/>
      <c r="O23" s="16" t="n"/>
      <c r="P23" s="18" t="n"/>
      <c r="Q23" s="16" t="n"/>
      <c r="R23" s="16" t="n"/>
      <c r="S23" s="16" t="n"/>
      <c r="T23" s="16" t="n"/>
    </row>
    <row r="24">
      <c r="A24" s="16" t="n"/>
      <c r="B24" s="16" t="n"/>
      <c r="C24" s="16" t="n"/>
      <c r="D24" s="16" t="n"/>
      <c r="E24" s="16" t="n"/>
      <c r="F24" s="16" t="n"/>
      <c r="G24" s="16" t="n"/>
      <c r="H24" s="17" t="n"/>
      <c r="I24" s="17" t="n"/>
      <c r="J24" s="17" t="n"/>
      <c r="K24" s="17" t="n"/>
      <c r="L24" s="16" t="n"/>
      <c r="M24" s="16" t="n"/>
      <c r="N24" s="16" t="n"/>
      <c r="O24" s="16" t="n"/>
      <c r="P24" s="18" t="n"/>
      <c r="Q24" s="16" t="n"/>
      <c r="R24" s="16" t="n"/>
      <c r="S24" s="16" t="n"/>
      <c r="T24" s="16" t="n"/>
    </row>
    <row r="25">
      <c r="A25" s="16" t="n"/>
      <c r="B25" s="16" t="n"/>
      <c r="C25" s="16" t="n"/>
      <c r="D25" s="16" t="n"/>
      <c r="E25" s="16" t="n"/>
      <c r="F25" s="16" t="n"/>
      <c r="G25" s="16" t="n"/>
      <c r="H25" s="17" t="n"/>
      <c r="I25" s="17" t="n"/>
      <c r="J25" s="17" t="n"/>
      <c r="K25" s="17" t="n"/>
      <c r="L25" s="16" t="n"/>
      <c r="M25" s="16" t="n"/>
      <c r="N25" s="16" t="n"/>
      <c r="O25" s="16" t="n"/>
      <c r="P25" s="18" t="n"/>
      <c r="Q25" s="16" t="n"/>
      <c r="R25" s="16" t="n"/>
      <c r="S25" s="16" t="n"/>
      <c r="T25" s="16" t="n"/>
    </row>
    <row r="26">
      <c r="A26" s="16" t="n"/>
      <c r="B26" s="16" t="n"/>
      <c r="C26" s="16" t="n"/>
      <c r="D26" s="16" t="n"/>
      <c r="E26" s="16" t="n"/>
      <c r="F26" s="16" t="n"/>
      <c r="G26" s="16" t="n"/>
      <c r="H26" s="17" t="n"/>
      <c r="I26" s="17" t="n"/>
      <c r="J26" s="17" t="n"/>
      <c r="K26" s="17" t="n"/>
      <c r="L26" s="16" t="n"/>
      <c r="M26" s="16" t="n"/>
      <c r="N26" s="16" t="n"/>
      <c r="O26" s="16" t="n"/>
      <c r="P26" s="18" t="n"/>
      <c r="Q26" s="16" t="n"/>
      <c r="R26" s="16" t="n"/>
      <c r="S26" s="16" t="n"/>
      <c r="T26" s="16" t="n"/>
    </row>
    <row r="27">
      <c r="A27" s="16" t="n"/>
      <c r="B27" s="16" t="n"/>
      <c r="C27" s="16" t="n"/>
      <c r="D27" s="16" t="n"/>
      <c r="E27" s="16" t="n"/>
      <c r="F27" s="16" t="n"/>
      <c r="G27" s="16" t="n"/>
      <c r="H27" s="17" t="n"/>
      <c r="I27" s="17" t="n"/>
      <c r="J27" s="17" t="n"/>
      <c r="K27" s="17" t="n"/>
      <c r="L27" s="16" t="n"/>
      <c r="M27" s="16" t="n"/>
      <c r="N27" s="16" t="n"/>
      <c r="O27" s="16" t="n"/>
      <c r="P27" s="18" t="n"/>
      <c r="Q27" s="16" t="n"/>
      <c r="R27" s="16" t="n"/>
      <c r="S27" s="16" t="n"/>
      <c r="T27" s="16" t="n"/>
    </row>
    <row r="28">
      <c r="A28" s="16" t="n"/>
      <c r="B28" s="16" t="n"/>
      <c r="C28" s="16" t="n"/>
      <c r="D28" s="16" t="n"/>
      <c r="E28" s="16" t="n"/>
      <c r="F28" s="16" t="n"/>
      <c r="G28" s="16" t="n"/>
      <c r="H28" s="17" t="n"/>
      <c r="I28" s="17" t="n"/>
      <c r="J28" s="17" t="n"/>
      <c r="K28" s="17" t="n"/>
      <c r="L28" s="16" t="n"/>
      <c r="M28" s="16" t="n"/>
      <c r="N28" s="16" t="n"/>
      <c r="O28" s="16" t="n"/>
      <c r="P28" s="18" t="n"/>
      <c r="Q28" s="16" t="n"/>
      <c r="R28" s="16" t="n"/>
      <c r="S28" s="16" t="n"/>
      <c r="T28" s="16" t="n"/>
    </row>
    <row r="29">
      <c r="A29" s="16" t="n"/>
      <c r="B29" s="16" t="n"/>
      <c r="C29" s="16" t="n"/>
      <c r="D29" s="16" t="n"/>
      <c r="E29" s="16" t="n"/>
      <c r="F29" s="16" t="n"/>
      <c r="G29" s="16" t="n"/>
      <c r="H29" s="17" t="n"/>
      <c r="I29" s="17" t="n"/>
      <c r="J29" s="17" t="n"/>
      <c r="K29" s="17" t="n"/>
      <c r="L29" s="16" t="n"/>
      <c r="M29" s="16" t="n"/>
      <c r="N29" s="16" t="n"/>
      <c r="O29" s="16" t="n"/>
      <c r="P29" s="18" t="n"/>
      <c r="Q29" s="16" t="n"/>
      <c r="R29" s="16" t="n"/>
      <c r="S29" s="16" t="n"/>
      <c r="T29" s="16" t="n"/>
    </row>
    <row r="30">
      <c r="A30" s="16" t="n"/>
      <c r="B30" s="16" t="n"/>
      <c r="C30" s="16" t="n"/>
      <c r="D30" s="16" t="n"/>
      <c r="E30" s="16" t="n"/>
      <c r="F30" s="16" t="n"/>
      <c r="G30" s="16" t="n"/>
      <c r="H30" s="17" t="n"/>
      <c r="I30" s="17" t="n"/>
      <c r="J30" s="17" t="n"/>
      <c r="K30" s="17" t="n"/>
      <c r="L30" s="16" t="n"/>
      <c r="M30" s="16" t="n"/>
      <c r="N30" s="16" t="n"/>
      <c r="O30" s="16" t="n"/>
      <c r="P30" s="18" t="n"/>
      <c r="Q30" s="16" t="n"/>
      <c r="R30" s="16" t="n"/>
      <c r="S30" s="16" t="n"/>
      <c r="T30" s="16" t="n"/>
    </row>
    <row r="31">
      <c r="A31" s="16" t="n"/>
      <c r="B31" s="16" t="n"/>
      <c r="C31" s="16" t="n"/>
      <c r="D31" s="16" t="n"/>
      <c r="E31" s="16" t="n"/>
      <c r="F31" s="16" t="n"/>
      <c r="G31" s="16" t="n"/>
      <c r="H31" s="17" t="n"/>
      <c r="I31" s="17" t="n"/>
      <c r="J31" s="17" t="n"/>
      <c r="K31" s="17" t="n"/>
      <c r="L31" s="16" t="n"/>
      <c r="M31" s="16" t="n"/>
      <c r="N31" s="16" t="n"/>
      <c r="O31" s="16" t="n"/>
      <c r="P31" s="18" t="n"/>
      <c r="Q31" s="16" t="n"/>
      <c r="R31" s="16" t="n"/>
      <c r="S31" s="16" t="n"/>
      <c r="T31" s="16" t="n"/>
    </row>
    <row r="32">
      <c r="A32" s="16" t="n"/>
      <c r="B32" s="16" t="n"/>
      <c r="C32" s="16" t="n"/>
      <c r="D32" s="16" t="n"/>
      <c r="E32" s="16" t="n"/>
      <c r="F32" s="16" t="n"/>
      <c r="G32" s="16" t="n"/>
      <c r="H32" s="17" t="n"/>
      <c r="I32" s="17" t="n"/>
      <c r="J32" s="17" t="n"/>
      <c r="K32" s="17" t="n"/>
      <c r="L32" s="16" t="n"/>
      <c r="M32" s="16" t="n"/>
      <c r="N32" s="16" t="n"/>
      <c r="O32" s="16" t="n"/>
      <c r="P32" s="18" t="n"/>
      <c r="Q32" s="16" t="n"/>
      <c r="R32" s="16" t="n"/>
      <c r="S32" s="16" t="n"/>
      <c r="T32" s="16" t="n"/>
    </row>
    <row r="33">
      <c r="A33" s="16" t="n"/>
      <c r="B33" s="16" t="n"/>
      <c r="C33" s="16" t="n"/>
      <c r="D33" s="16" t="n"/>
      <c r="E33" s="16" t="n"/>
      <c r="F33" s="16" t="n"/>
      <c r="G33" s="16" t="n"/>
      <c r="H33" s="17" t="n"/>
      <c r="I33" s="17" t="n"/>
      <c r="J33" s="17" t="n"/>
      <c r="K33" s="17" t="n"/>
      <c r="L33" s="16" t="n"/>
      <c r="M33" s="16" t="n"/>
      <c r="N33" s="16" t="n"/>
      <c r="O33" s="16" t="n"/>
      <c r="P33" s="18" t="n"/>
      <c r="Q33" s="16" t="n"/>
      <c r="R33" s="16" t="n"/>
      <c r="S33" s="16" t="n"/>
      <c r="T33" s="16" t="n"/>
    </row>
    <row r="34">
      <c r="A34" s="16" t="n"/>
      <c r="B34" s="16" t="n"/>
      <c r="C34" s="16" t="n"/>
      <c r="D34" s="16" t="n"/>
      <c r="E34" s="16" t="n"/>
      <c r="F34" s="16" t="n"/>
      <c r="G34" s="16" t="n"/>
      <c r="H34" s="17" t="n"/>
      <c r="I34" s="17" t="n"/>
      <c r="J34" s="17" t="n"/>
      <c r="K34" s="17" t="n"/>
      <c r="L34" s="16" t="n"/>
      <c r="M34" s="16" t="n"/>
      <c r="N34" s="16" t="n"/>
      <c r="O34" s="16" t="n"/>
      <c r="P34" s="18" t="n"/>
      <c r="Q34" s="16" t="n"/>
      <c r="R34" s="16" t="n"/>
      <c r="S34" s="16" t="n"/>
      <c r="T34" s="16" t="n"/>
    </row>
    <row r="35">
      <c r="A35" s="16" t="n"/>
      <c r="B35" s="16" t="n"/>
      <c r="C35" s="16" t="n"/>
      <c r="D35" s="16" t="n"/>
      <c r="E35" s="16" t="n"/>
      <c r="F35" s="16" t="n"/>
      <c r="G35" s="16" t="n"/>
      <c r="H35" s="17" t="n"/>
      <c r="I35" s="17" t="n"/>
      <c r="J35" s="17" t="n"/>
      <c r="K35" s="17" t="n"/>
      <c r="L35" s="16" t="n"/>
      <c r="M35" s="16" t="n"/>
      <c r="N35" s="16" t="n"/>
      <c r="O35" s="16" t="n"/>
      <c r="P35" s="18" t="n"/>
      <c r="Q35" s="16" t="n"/>
      <c r="R35" s="16" t="n"/>
      <c r="S35" s="16" t="n"/>
      <c r="T35" s="16" t="n"/>
    </row>
    <row r="36">
      <c r="A36" s="16" t="n"/>
      <c r="B36" s="16" t="n"/>
      <c r="C36" s="16" t="n"/>
      <c r="D36" s="16" t="n"/>
      <c r="E36" s="16" t="n"/>
      <c r="F36" s="16" t="n"/>
      <c r="G36" s="16" t="n"/>
      <c r="H36" s="17" t="n"/>
      <c r="I36" s="17" t="n"/>
      <c r="J36" s="17" t="n"/>
      <c r="K36" s="17" t="n"/>
      <c r="L36" s="16" t="n"/>
      <c r="M36" s="16" t="n"/>
      <c r="N36" s="16" t="n"/>
      <c r="O36" s="16" t="n"/>
      <c r="P36" s="18" t="n"/>
      <c r="Q36" s="16" t="n"/>
      <c r="R36" s="16" t="n"/>
      <c r="S36" s="16" t="n"/>
      <c r="T36" s="16" t="n"/>
    </row>
    <row r="37">
      <c r="A37" s="16" t="n"/>
      <c r="B37" s="16" t="n"/>
      <c r="C37" s="16" t="n"/>
      <c r="D37" s="16" t="n"/>
      <c r="E37" s="16" t="n"/>
      <c r="F37" s="16" t="n"/>
      <c r="G37" s="16" t="n"/>
      <c r="H37" s="17" t="n"/>
      <c r="I37" s="17" t="n"/>
      <c r="J37" s="17" t="n"/>
      <c r="K37" s="17" t="n"/>
      <c r="L37" s="16" t="n"/>
      <c r="M37" s="16" t="n"/>
      <c r="N37" s="16" t="n"/>
      <c r="O37" s="16" t="n"/>
      <c r="P37" s="18" t="n"/>
      <c r="Q37" s="16" t="n"/>
      <c r="R37" s="16" t="n"/>
      <c r="S37" s="16" t="n"/>
      <c r="T37" s="16" t="n"/>
    </row>
    <row r="38">
      <c r="A38" s="16" t="n"/>
      <c r="B38" s="16" t="n"/>
      <c r="C38" s="16" t="n"/>
      <c r="D38" s="16" t="n"/>
      <c r="E38" s="16" t="n"/>
      <c r="F38" s="16" t="n"/>
      <c r="G38" s="16" t="n"/>
      <c r="H38" s="17" t="n"/>
      <c r="I38" s="17" t="n"/>
      <c r="J38" s="17" t="n"/>
      <c r="K38" s="17" t="n"/>
      <c r="L38" s="16" t="n"/>
      <c r="M38" s="16" t="n"/>
      <c r="N38" s="16" t="n"/>
      <c r="O38" s="16" t="n"/>
      <c r="P38" s="18" t="n"/>
      <c r="Q38" s="16" t="n"/>
      <c r="R38" s="16" t="n"/>
      <c r="S38" s="16" t="n"/>
      <c r="T38" s="16" t="n"/>
    </row>
    <row r="39">
      <c r="A39" s="16" t="n"/>
      <c r="B39" s="16" t="n"/>
      <c r="C39" s="16" t="n"/>
      <c r="D39" s="16" t="n"/>
      <c r="E39" s="16" t="n"/>
      <c r="F39" s="16" t="n"/>
      <c r="G39" s="16" t="n"/>
      <c r="H39" s="17" t="n"/>
      <c r="I39" s="17" t="n"/>
      <c r="J39" s="17" t="n"/>
      <c r="K39" s="17" t="n"/>
      <c r="L39" s="16" t="n"/>
      <c r="M39" s="16" t="n"/>
      <c r="N39" s="16" t="n"/>
      <c r="O39" s="16" t="n"/>
      <c r="P39" s="18" t="n"/>
      <c r="Q39" s="16" t="n"/>
      <c r="R39" s="16" t="n"/>
      <c r="S39" s="16" t="n"/>
      <c r="T39" s="16" t="n"/>
    </row>
    <row r="40">
      <c r="A40" s="16" t="n"/>
      <c r="B40" s="16" t="n"/>
      <c r="C40" s="16" t="n"/>
      <c r="D40" s="16" t="n"/>
      <c r="E40" s="16" t="n"/>
      <c r="F40" s="16" t="n"/>
      <c r="G40" s="16" t="n"/>
      <c r="H40" s="17" t="n"/>
      <c r="I40" s="17" t="n"/>
      <c r="J40" s="17" t="n"/>
      <c r="K40" s="17" t="n"/>
      <c r="L40" s="16" t="n"/>
      <c r="M40" s="16" t="n"/>
      <c r="N40" s="16" t="n"/>
      <c r="O40" s="16" t="n"/>
      <c r="P40" s="18" t="n"/>
      <c r="Q40" s="16" t="n"/>
      <c r="R40" s="16" t="n"/>
      <c r="S40" s="16" t="n"/>
      <c r="T40" s="16" t="n"/>
    </row>
    <row r="41">
      <c r="A41" s="16" t="n"/>
      <c r="B41" s="16" t="n"/>
      <c r="C41" s="16" t="n"/>
      <c r="D41" s="16" t="n"/>
      <c r="E41" s="16" t="n"/>
      <c r="F41" s="16" t="n"/>
      <c r="G41" s="16" t="n"/>
      <c r="H41" s="17" t="n"/>
      <c r="I41" s="17" t="n"/>
      <c r="J41" s="17" t="n"/>
      <c r="K41" s="17" t="n"/>
      <c r="L41" s="16" t="n"/>
      <c r="M41" s="16" t="n"/>
      <c r="N41" s="16" t="n"/>
      <c r="O41" s="16" t="n"/>
      <c r="P41" s="18" t="n"/>
      <c r="Q41" s="16" t="n"/>
      <c r="R41" s="16" t="n"/>
      <c r="S41" s="16" t="n"/>
      <c r="T41" s="16" t="n"/>
    </row>
    <row r="42">
      <c r="A42" s="16" t="n"/>
      <c r="B42" s="16" t="n"/>
      <c r="C42" s="16" t="n"/>
      <c r="D42" s="16" t="n"/>
      <c r="E42" s="16" t="n"/>
      <c r="F42" s="16" t="n"/>
      <c r="G42" s="16" t="n"/>
      <c r="H42" s="17" t="n"/>
      <c r="I42" s="17" t="n"/>
      <c r="J42" s="17" t="n"/>
      <c r="K42" s="17" t="n"/>
      <c r="L42" s="16" t="n"/>
      <c r="M42" s="16" t="n"/>
      <c r="N42" s="16" t="n"/>
      <c r="O42" s="16" t="n"/>
      <c r="P42" s="18" t="n"/>
      <c r="Q42" s="16" t="n"/>
      <c r="R42" s="16" t="n"/>
      <c r="S42" s="16" t="n"/>
      <c r="T42" s="16" t="n"/>
    </row>
    <row r="43">
      <c r="A43" s="16" t="n"/>
      <c r="B43" s="16" t="n"/>
      <c r="C43" s="16" t="n"/>
      <c r="D43" s="16" t="n"/>
      <c r="E43" s="16" t="n"/>
      <c r="F43" s="16" t="n"/>
      <c r="G43" s="16" t="n"/>
      <c r="H43" s="17" t="n"/>
      <c r="I43" s="17" t="n"/>
      <c r="J43" s="17" t="n"/>
      <c r="K43" s="17" t="n"/>
      <c r="L43" s="16" t="n"/>
      <c r="M43" s="16" t="n"/>
      <c r="N43" s="16" t="n"/>
      <c r="O43" s="16" t="n"/>
      <c r="P43" s="18" t="n"/>
      <c r="Q43" s="16" t="n"/>
      <c r="R43" s="16" t="n"/>
      <c r="S43" s="16" t="n"/>
      <c r="T43" s="16" t="n"/>
    </row>
    <row r="44">
      <c r="A44" s="16" t="n"/>
      <c r="B44" s="16" t="n"/>
      <c r="C44" s="16" t="n"/>
      <c r="D44" s="16" t="n"/>
      <c r="E44" s="16" t="n"/>
      <c r="F44" s="16" t="n"/>
      <c r="G44" s="16" t="n"/>
      <c r="H44" s="17" t="n"/>
      <c r="I44" s="17" t="n"/>
      <c r="J44" s="17" t="n"/>
      <c r="K44" s="17" t="n"/>
      <c r="L44" s="16" t="n"/>
      <c r="M44" s="16" t="n"/>
      <c r="N44" s="16" t="n"/>
      <c r="O44" s="16" t="n"/>
      <c r="P44" s="18" t="n"/>
      <c r="Q44" s="16" t="n"/>
      <c r="R44" s="16" t="n"/>
      <c r="S44" s="16" t="n"/>
      <c r="T44" s="16" t="n"/>
    </row>
    <row r="45">
      <c r="A45" s="16" t="n"/>
      <c r="B45" s="16" t="n"/>
      <c r="C45" s="16" t="n"/>
      <c r="D45" s="16" t="n"/>
      <c r="E45" s="16" t="n"/>
      <c r="F45" s="16" t="n"/>
      <c r="G45" s="16" t="n"/>
      <c r="H45" s="17" t="n"/>
      <c r="I45" s="17" t="n"/>
      <c r="J45" s="17" t="n"/>
      <c r="K45" s="17" t="n"/>
      <c r="L45" s="16" t="n"/>
      <c r="M45" s="16" t="n"/>
      <c r="N45" s="16" t="n"/>
      <c r="O45" s="16" t="n"/>
      <c r="P45" s="18" t="n"/>
      <c r="Q45" s="16" t="n"/>
      <c r="R45" s="16" t="n"/>
      <c r="S45" s="16" t="n"/>
      <c r="T45" s="16" t="n"/>
    </row>
    <row r="46">
      <c r="A46" s="16" t="n"/>
      <c r="B46" s="16" t="n"/>
      <c r="C46" s="16" t="n"/>
      <c r="D46" s="16" t="n"/>
      <c r="E46" s="16" t="n"/>
      <c r="F46" s="16" t="n"/>
      <c r="G46" s="16" t="n"/>
      <c r="H46" s="17" t="n"/>
      <c r="I46" s="17" t="n"/>
      <c r="J46" s="17" t="n"/>
      <c r="K46" s="17" t="n"/>
      <c r="L46" s="16" t="n"/>
      <c r="M46" s="16" t="n"/>
      <c r="N46" s="16" t="n"/>
      <c r="O46" s="16" t="n"/>
      <c r="P46" s="18" t="n"/>
      <c r="Q46" s="16" t="n"/>
      <c r="R46" s="16" t="n"/>
      <c r="S46" s="16" t="n"/>
      <c r="T46" s="16" t="n"/>
    </row>
    <row r="47">
      <c r="A47" s="16" t="n"/>
      <c r="B47" s="16" t="n"/>
      <c r="C47" s="16" t="n"/>
      <c r="D47" s="16" t="n"/>
      <c r="E47" s="16" t="n"/>
      <c r="F47" s="16" t="n"/>
      <c r="G47" s="16" t="n"/>
      <c r="H47" s="17" t="n"/>
      <c r="I47" s="17" t="n"/>
      <c r="J47" s="17" t="n"/>
      <c r="K47" s="17" t="n"/>
      <c r="L47" s="16" t="n"/>
      <c r="M47" s="16" t="n"/>
      <c r="N47" s="16" t="n"/>
      <c r="O47" s="16" t="n"/>
      <c r="P47" s="18" t="n"/>
      <c r="Q47" s="16" t="n"/>
      <c r="R47" s="16" t="n"/>
      <c r="S47" s="16" t="n"/>
      <c r="T47" s="16" t="n"/>
    </row>
    <row r="48">
      <c r="A48" s="16" t="n"/>
      <c r="B48" s="16" t="n"/>
      <c r="C48" s="16" t="n"/>
      <c r="D48" s="16" t="n"/>
      <c r="E48" s="16" t="n"/>
      <c r="F48" s="16" t="n"/>
      <c r="G48" s="16" t="n"/>
      <c r="H48" s="17" t="n"/>
      <c r="I48" s="17" t="n"/>
      <c r="J48" s="17" t="n"/>
      <c r="K48" s="17" t="n"/>
      <c r="L48" s="16" t="n"/>
      <c r="M48" s="16" t="n"/>
      <c r="N48" s="16" t="n"/>
      <c r="O48" s="16" t="n"/>
      <c r="P48" s="18" t="n"/>
      <c r="Q48" s="16" t="n"/>
      <c r="R48" s="16" t="n"/>
      <c r="S48" s="16" t="n"/>
      <c r="T48" s="16" t="n"/>
    </row>
    <row r="49">
      <c r="A49" s="16" t="n"/>
      <c r="B49" s="16" t="n"/>
      <c r="C49" s="16" t="n"/>
      <c r="D49" s="16" t="n"/>
      <c r="E49" s="16" t="n"/>
      <c r="F49" s="16" t="n"/>
      <c r="G49" s="16" t="n"/>
      <c r="H49" s="17" t="n"/>
      <c r="I49" s="17" t="n"/>
      <c r="J49" s="17" t="n"/>
      <c r="K49" s="17" t="n"/>
      <c r="L49" s="16" t="n"/>
      <c r="M49" s="16" t="n"/>
      <c r="N49" s="16" t="n"/>
      <c r="O49" s="16" t="n"/>
      <c r="P49" s="18" t="n"/>
      <c r="Q49" s="16" t="n"/>
      <c r="R49" s="16" t="n"/>
      <c r="S49" s="16" t="n"/>
      <c r="T49" s="16" t="n"/>
    </row>
    <row r="50">
      <c r="A50" s="16" t="n"/>
      <c r="B50" s="16" t="n"/>
      <c r="C50" s="16" t="n"/>
      <c r="D50" s="16" t="n"/>
      <c r="E50" s="16" t="n"/>
      <c r="F50" s="16" t="n"/>
      <c r="G50" s="16" t="n"/>
      <c r="H50" s="17" t="n"/>
      <c r="I50" s="17" t="n"/>
      <c r="J50" s="17" t="n"/>
      <c r="K50" s="17" t="n"/>
      <c r="L50" s="16" t="n"/>
      <c r="M50" s="16" t="n"/>
      <c r="N50" s="16" t="n"/>
      <c r="O50" s="16" t="n"/>
      <c r="P50" s="18" t="n"/>
      <c r="Q50" s="16" t="n"/>
      <c r="R50" s="16" t="n"/>
      <c r="S50" s="16" t="n"/>
      <c r="T50" s="16" t="n"/>
    </row>
    <row r="51">
      <c r="A51" s="16" t="n"/>
      <c r="B51" s="16" t="n"/>
      <c r="C51" s="16" t="n"/>
      <c r="D51" s="16" t="n"/>
      <c r="E51" s="16" t="n"/>
      <c r="F51" s="16" t="n"/>
      <c r="G51" s="16" t="n"/>
      <c r="H51" s="17" t="n"/>
      <c r="I51" s="17" t="n"/>
      <c r="J51" s="17" t="n"/>
      <c r="K51" s="17" t="n"/>
      <c r="L51" s="16" t="n"/>
      <c r="M51" s="16" t="n"/>
      <c r="N51" s="16" t="n"/>
      <c r="O51" s="16" t="n"/>
      <c r="P51" s="18" t="n"/>
      <c r="Q51" s="16" t="n"/>
      <c r="R51" s="16" t="n"/>
      <c r="S51" s="16" t="n"/>
      <c r="T51" s="16" t="n"/>
    </row>
    <row r="52">
      <c r="A52" s="16" t="n"/>
      <c r="B52" s="16" t="n"/>
      <c r="C52" s="16" t="n"/>
      <c r="D52" s="16" t="n"/>
      <c r="E52" s="16" t="n"/>
      <c r="F52" s="16" t="n"/>
      <c r="G52" s="16" t="n"/>
      <c r="H52" s="17" t="n"/>
      <c r="I52" s="17" t="n"/>
      <c r="J52" s="17" t="n"/>
      <c r="K52" s="17" t="n"/>
      <c r="L52" s="16" t="n"/>
      <c r="M52" s="16" t="n"/>
      <c r="N52" s="16" t="n"/>
      <c r="O52" s="16" t="n"/>
      <c r="P52" s="18" t="n"/>
      <c r="Q52" s="16" t="n"/>
      <c r="R52" s="16" t="n"/>
      <c r="S52" s="16" t="n"/>
      <c r="T52" s="16" t="n"/>
    </row>
    <row r="53">
      <c r="A53" s="16" t="n"/>
      <c r="B53" s="16" t="n"/>
      <c r="C53" s="16" t="n"/>
      <c r="D53" s="16" t="n"/>
      <c r="E53" s="16" t="n"/>
      <c r="F53" s="16" t="n"/>
      <c r="G53" s="16" t="n"/>
      <c r="H53" s="17" t="n"/>
      <c r="I53" s="17" t="n"/>
      <c r="J53" s="17" t="n"/>
      <c r="K53" s="17" t="n"/>
      <c r="L53" s="16" t="n"/>
      <c r="M53" s="16" t="n"/>
      <c r="N53" s="16" t="n"/>
      <c r="O53" s="16" t="n"/>
      <c r="P53" s="18" t="n"/>
      <c r="Q53" s="16" t="n"/>
      <c r="R53" s="16" t="n"/>
      <c r="S53" s="16" t="n"/>
      <c r="T53" s="16" t="n"/>
    </row>
    <row r="54">
      <c r="A54" s="16" t="n"/>
      <c r="B54" s="16" t="n"/>
      <c r="C54" s="16" t="n"/>
      <c r="D54" s="16" t="n"/>
      <c r="E54" s="16" t="n"/>
      <c r="F54" s="16" t="n"/>
      <c r="G54" s="16" t="n"/>
      <c r="H54" s="17" t="n"/>
      <c r="I54" s="17" t="n"/>
      <c r="J54" s="17" t="n"/>
      <c r="K54" s="17" t="n"/>
      <c r="L54" s="16" t="n"/>
      <c r="M54" s="16" t="n"/>
      <c r="N54" s="16" t="n"/>
      <c r="O54" s="16" t="n"/>
      <c r="P54" s="18" t="n"/>
      <c r="Q54" s="16" t="n"/>
      <c r="R54" s="16" t="n"/>
      <c r="S54" s="16" t="n"/>
      <c r="T54" s="16" t="n"/>
    </row>
  </sheetData>
  <mergeCells count="2">
    <mergeCell ref="A1:T1"/>
    <mergeCell ref="A2:T2"/>
  </mergeCells>
  <dataValidations count="6">
    <dataValidation sqref="C5:C54" showDropDown="0" showInputMessage="0" showErrorMessage="1" allowBlank="1" errorTitle="Invalid Entry" error="Please select from dropdown" type="list">
      <formula1>"Tier-1-Master,Tier-2-Domain,Tier-3-Topic"</formula1>
    </dataValidation>
    <dataValidation sqref="L5:L54" showDropDown="0" showInputMessage="0" showErrorMessage="1" allowBlank="1" errorTitle="Invalid Entry" error="Please select from dropdown" type="list">
      <formula1>"Annual,Biennial,Quarterly,Triggered-Only"</formula1>
    </dataValidation>
    <dataValidation sqref="M5:M54" showDropDown="0" showInputMessage="0" showErrorMessage="1" allowBlank="1" errorTitle="Invalid Entry" error="Please select from dropdown" type="list">
      <formula1>"Active,Draft,Under-Review,Retired,Superseded"</formula1>
    </dataValidation>
    <dataValidation sqref="N5:N54" showDropDown="0" showInputMessage="0" showErrorMessage="1" allowBlank="1" errorTitle="Invalid Entry" error="Please select from dropdown" type="list">
      <formula1>"Internal,Confidential,Public"</formula1>
    </dataValidation>
    <dataValidation sqref="O5:O54" showDropDown="0" showInputMessage="0" showErrorMessage="1" allowBlank="1" errorTitle="Invalid Entry" error="Please select from dropdown" type="list">
      <formula1>"Yes,No,Role-Specific"</formula1>
    </dataValidation>
    <dataValidation sqref="S5:S54" showDropDown="0" showInputMessage="0" showErrorMessage="1" allowBlank="1" errorTitle="Invalid Entry" error="Please select from dropdown" type="list">
      <formula1>"No-Gap,Minor-Gap,Significant-Gap,Critical-Gap"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20" customWidth="1" min="3" max="3"/>
    <col width="15" customWidth="1" min="4" max="4"/>
    <col width="20" customWidth="1" min="5" max="5"/>
    <col width="20" customWidth="1" min="6" max="6"/>
    <col width="20" customWidth="1" min="7" max="7"/>
    <col width="20" customWidth="1" min="8" max="8"/>
    <col width="20" customWidth="1" min="9" max="9"/>
    <col width="15" customWidth="1" min="10" max="10"/>
    <col width="15" customWidth="1" min="11" max="11"/>
    <col width="20" customWidth="1" min="12" max="12"/>
    <col width="40" customWidth="1" min="13" max="13"/>
    <col width="30" customWidth="1" min="14" max="14"/>
  </cols>
  <sheetData>
    <row r="1" ht="35" customHeight="1">
      <c r="A1" s="11" t="inlineStr">
        <is>
          <t>LIFECYCLE COMPLIANCE ASSESSMENT</t>
        </is>
      </c>
    </row>
    <row r="2">
      <c r="A2" s="12" t="inlineStr">
        <is>
          <t>Verification of policy creation, approval, publication, review, and update processes</t>
        </is>
      </c>
    </row>
    <row r="4">
      <c r="A4" s="13" t="inlineStr">
        <is>
          <t>Policy ID</t>
        </is>
      </c>
      <c r="B4" s="13" t="inlineStr">
        <is>
          <t>Policy Title</t>
        </is>
      </c>
      <c r="C4" s="13" t="inlineStr">
        <is>
          <t>Creation Process Followed</t>
        </is>
      </c>
      <c r="D4" s="13" t="inlineStr">
        <is>
          <t>Approval Valid</t>
        </is>
      </c>
      <c r="E4" s="13" t="inlineStr">
        <is>
          <t>Approval Documentation</t>
        </is>
      </c>
      <c r="F4" s="13" t="inlineStr">
        <is>
          <t>Publication Status</t>
        </is>
      </c>
      <c r="G4" s="13" t="inlineStr">
        <is>
          <t>Review Schedule Defined</t>
        </is>
      </c>
      <c r="H4" s="13" t="inlineStr">
        <is>
          <t>Review Status</t>
        </is>
      </c>
      <c r="I4" s="13" t="inlineStr">
        <is>
          <t>Last Review Evidence</t>
        </is>
      </c>
      <c r="J4" s="13" t="inlineStr">
        <is>
          <t>Version Control Practice</t>
        </is>
      </c>
      <c r="K4" s="13" t="inlineStr">
        <is>
          <t>Sunset Process</t>
        </is>
      </c>
      <c r="L4" s="13" t="inlineStr">
        <is>
          <t>Lifecycle Compliance Rating</t>
        </is>
      </c>
      <c r="M4" s="13" t="inlineStr">
        <is>
          <t>Gap Description</t>
        </is>
      </c>
      <c r="N4" s="13" t="inlineStr">
        <is>
          <t>Evidence Reference</t>
        </is>
      </c>
    </row>
    <row r="5">
      <c r="A5" s="14" t="inlineStr">
        <is>
          <t>POL-EXAMPLE</t>
        </is>
      </c>
      <c r="B5" s="14" t="inlineStr">
        <is>
          <t>Information Security Policy (Example)</t>
        </is>
      </c>
      <c r="C5" s="14" t="inlineStr">
        <is>
          <t>Yes</t>
        </is>
      </c>
      <c r="D5" s="14" t="inlineStr">
        <is>
          <t>Yes</t>
        </is>
      </c>
      <c r="E5" s="14" t="inlineStr">
        <is>
          <t>Complete</t>
        </is>
      </c>
      <c r="F5" s="14" t="inlineStr">
        <is>
          <t>Published</t>
        </is>
      </c>
      <c r="G5" s="14" t="inlineStr">
        <is>
          <t>Yes</t>
        </is>
      </c>
      <c r="H5" s="14" t="inlineStr">
        <is>
          <t>Current</t>
        </is>
      </c>
      <c r="I5" s="14" t="inlineStr">
        <is>
          <t>Yes</t>
        </is>
      </c>
      <c r="J5" s="14" t="inlineStr">
        <is>
          <t>Good</t>
        </is>
      </c>
      <c r="K5" s="14" t="inlineStr">
        <is>
          <t>N/A</t>
        </is>
      </c>
      <c r="L5" s="14" t="inlineStr">
        <is>
          <t>Compliant</t>
        </is>
      </c>
      <c r="M5" s="14" t="inlineStr"/>
      <c r="N5" s="14" t="inlineStr">
        <is>
          <t>Example — replace with actual lifecycle data</t>
        </is>
      </c>
    </row>
    <row r="6">
      <c r="A6" s="19">
        <f>IF(ROW()-5&lt;=COUNTA('Policy Inventory'!$A:$A)-4,INDEX('Policy Inventory'!$A:$A,ROW()-1),"")</f>
        <v/>
      </c>
      <c r="B6" s="19">
        <f>IF(A6&lt;&gt;"",VLOOKUP(A6,'Policy Inventory'!$A:$B,2,FALSE),"")</f>
        <v/>
      </c>
      <c r="C6" s="16" t="n"/>
      <c r="D6" s="16" t="n"/>
      <c r="E6" s="16" t="n"/>
      <c r="F6" s="16" t="n"/>
      <c r="G6" s="16" t="n"/>
      <c r="H6" s="19">
        <f>IF(B6="","",IF(VLOOKUP(A6,'Policy Inventory'!$A:$K,11,FALSE)&gt;=TODAY(),"Current",IF(VLOOKUP(A6,'Policy Inventory'!$A:$K,11,FALSE)&gt;=TODAY()-30,"Overdue-&lt;30-Days",IF(VLOOKUP(A6,'Policy Inventory'!$A:$K,11,FALSE)&gt;=TODAY()-90,"Overdue-30-90-Days","Overdue-&gt;90-Days"))))</f>
        <v/>
      </c>
      <c r="I6" s="16" t="n"/>
      <c r="J6" s="16" t="n"/>
      <c r="K6" s="16" t="n"/>
      <c r="L6" s="19">
        <f>IF(B6="","",IF(AND(D6="Yes",E6="Complete",F6="Published",OR(H6="Current",H6="Overdue-&lt;30-Days"),I6="Yes",J6&lt;&gt;"Poor"),"Compliant",IF(OR(D6="No",D6="Expired",E6="Missing",F6="Not-Published",H6="Overdue-&gt;90-Days"),"Non-Compliant","Partial")))</f>
        <v/>
      </c>
      <c r="M6" s="16" t="n"/>
      <c r="N6" s="16" t="n"/>
    </row>
    <row r="7">
      <c r="A7" s="19">
        <f>IF(ROW()-5&lt;=COUNTA('Policy Inventory'!$A:$A)-4,INDEX('Policy Inventory'!$A:$A,ROW()-1),"")</f>
        <v/>
      </c>
      <c r="B7" s="19">
        <f>IF(A7&lt;&gt;"",VLOOKUP(A7,'Policy Inventory'!$A:$B,2,FALSE),"")</f>
        <v/>
      </c>
      <c r="C7" s="16" t="n"/>
      <c r="D7" s="16" t="n"/>
      <c r="E7" s="16" t="n"/>
      <c r="F7" s="16" t="n"/>
      <c r="G7" s="16" t="n"/>
      <c r="H7" s="19">
        <f>IF(B7="","",IF(VLOOKUP(A7,'Policy Inventory'!$A:$K,11,FALSE)&gt;=TODAY(),"Current",IF(VLOOKUP(A7,'Policy Inventory'!$A:$K,11,FALSE)&gt;=TODAY()-30,"Overdue-&lt;30-Days",IF(VLOOKUP(A7,'Policy Inventory'!$A:$K,11,FALSE)&gt;=TODAY()-90,"Overdue-30-90-Days","Overdue-&gt;90-Days"))))</f>
        <v/>
      </c>
      <c r="I7" s="16" t="n"/>
      <c r="J7" s="16" t="n"/>
      <c r="K7" s="16" t="n"/>
      <c r="L7" s="19">
        <f>IF(B7="","",IF(AND(D7="Yes",E7="Complete",F7="Published",OR(H7="Current",H7="Overdue-&lt;30-Days"),I7="Yes",J7&lt;&gt;"Poor"),"Compliant",IF(OR(D7="No",D7="Expired",E7="Missing",F7="Not-Published",H7="Overdue-&gt;90-Days"),"Non-Compliant","Partial")))</f>
        <v/>
      </c>
      <c r="M7" s="16" t="n"/>
      <c r="N7" s="16" t="n"/>
    </row>
    <row r="8">
      <c r="A8" s="19">
        <f>IF(ROW()-5&lt;=COUNTA('Policy Inventory'!$A:$A)-4,INDEX('Policy Inventory'!$A:$A,ROW()-1),"")</f>
        <v/>
      </c>
      <c r="B8" s="19">
        <f>IF(A8&lt;&gt;"",VLOOKUP(A8,'Policy Inventory'!$A:$B,2,FALSE),"")</f>
        <v/>
      </c>
      <c r="C8" s="16" t="n"/>
      <c r="D8" s="16" t="n"/>
      <c r="E8" s="16" t="n"/>
      <c r="F8" s="16" t="n"/>
      <c r="G8" s="16" t="n"/>
      <c r="H8" s="19">
        <f>IF(B8="","",IF(VLOOKUP(A8,'Policy Inventory'!$A:$K,11,FALSE)&gt;=TODAY(),"Current",IF(VLOOKUP(A8,'Policy Inventory'!$A:$K,11,FALSE)&gt;=TODAY()-30,"Overdue-&lt;30-Days",IF(VLOOKUP(A8,'Policy Inventory'!$A:$K,11,FALSE)&gt;=TODAY()-90,"Overdue-30-90-Days","Overdue-&gt;90-Days"))))</f>
        <v/>
      </c>
      <c r="I8" s="16" t="n"/>
      <c r="J8" s="16" t="n"/>
      <c r="K8" s="16" t="n"/>
      <c r="L8" s="19">
        <f>IF(B8="","",IF(AND(D8="Yes",E8="Complete",F8="Published",OR(H8="Current",H8="Overdue-&lt;30-Days"),I8="Yes",J8&lt;&gt;"Poor"),"Compliant",IF(OR(D8="No",D8="Expired",E8="Missing",F8="Not-Published",H8="Overdue-&gt;90-Days"),"Non-Compliant","Partial")))</f>
        <v/>
      </c>
      <c r="M8" s="16" t="n"/>
      <c r="N8" s="16" t="n"/>
    </row>
    <row r="9">
      <c r="A9" s="19">
        <f>IF(ROW()-5&lt;=COUNTA('Policy Inventory'!$A:$A)-4,INDEX('Policy Inventory'!$A:$A,ROW()-1),"")</f>
        <v/>
      </c>
      <c r="B9" s="19">
        <f>IF(A9&lt;&gt;"",VLOOKUP(A9,'Policy Inventory'!$A:$B,2,FALSE),"")</f>
        <v/>
      </c>
      <c r="C9" s="16" t="n"/>
      <c r="D9" s="16" t="n"/>
      <c r="E9" s="16" t="n"/>
      <c r="F9" s="16" t="n"/>
      <c r="G9" s="16" t="n"/>
      <c r="H9" s="19">
        <f>IF(B9="","",IF(VLOOKUP(A9,'Policy Inventory'!$A:$K,11,FALSE)&gt;=TODAY(),"Current",IF(VLOOKUP(A9,'Policy Inventory'!$A:$K,11,FALSE)&gt;=TODAY()-30,"Overdue-&lt;30-Days",IF(VLOOKUP(A9,'Policy Inventory'!$A:$K,11,FALSE)&gt;=TODAY()-90,"Overdue-30-90-Days","Overdue-&gt;90-Days"))))</f>
        <v/>
      </c>
      <c r="I9" s="16" t="n"/>
      <c r="J9" s="16" t="n"/>
      <c r="K9" s="16" t="n"/>
      <c r="L9" s="19">
        <f>IF(B9="","",IF(AND(D9="Yes",E9="Complete",F9="Published",OR(H9="Current",H9="Overdue-&lt;30-Days"),I9="Yes",J9&lt;&gt;"Poor"),"Compliant",IF(OR(D9="No",D9="Expired",E9="Missing",F9="Not-Published",H9="Overdue-&gt;90-Days"),"Non-Compliant","Partial")))</f>
        <v/>
      </c>
      <c r="M9" s="16" t="n"/>
      <c r="N9" s="16" t="n"/>
    </row>
    <row r="10">
      <c r="A10" s="19">
        <f>IF(ROW()-5&lt;=COUNTA('Policy Inventory'!$A:$A)-4,INDEX('Policy Inventory'!$A:$A,ROW()-1),"")</f>
        <v/>
      </c>
      <c r="B10" s="19">
        <f>IF(A10&lt;&gt;"",VLOOKUP(A10,'Policy Inventory'!$A:$B,2,FALSE),"")</f>
        <v/>
      </c>
      <c r="C10" s="16" t="n"/>
      <c r="D10" s="16" t="n"/>
      <c r="E10" s="16" t="n"/>
      <c r="F10" s="16" t="n"/>
      <c r="G10" s="16" t="n"/>
      <c r="H10" s="19">
        <f>IF(B10="","",IF(VLOOKUP(A10,'Policy Inventory'!$A:$K,11,FALSE)&gt;=TODAY(),"Current",IF(VLOOKUP(A10,'Policy Inventory'!$A:$K,11,FALSE)&gt;=TODAY()-30,"Overdue-&lt;30-Days",IF(VLOOKUP(A10,'Policy Inventory'!$A:$K,11,FALSE)&gt;=TODAY()-90,"Overdue-30-90-Days","Overdue-&gt;90-Days"))))</f>
        <v/>
      </c>
      <c r="I10" s="16" t="n"/>
      <c r="J10" s="16" t="n"/>
      <c r="K10" s="16" t="n"/>
      <c r="L10" s="19">
        <f>IF(B10="","",IF(AND(D10="Yes",E10="Complete",F10="Published",OR(H10="Current",H10="Overdue-&lt;30-Days"),I10="Yes",J10&lt;&gt;"Poor"),"Compliant",IF(OR(D10="No",D10="Expired",E10="Missing",F10="Not-Published",H10="Overdue-&gt;90-Days"),"Non-Compliant","Partial")))</f>
        <v/>
      </c>
      <c r="M10" s="16" t="n"/>
      <c r="N10" s="16" t="n"/>
    </row>
    <row r="11">
      <c r="A11" s="19">
        <f>IF(ROW()-5&lt;=COUNTA('Policy Inventory'!$A:$A)-4,INDEX('Policy Inventory'!$A:$A,ROW()-1),"")</f>
        <v/>
      </c>
      <c r="B11" s="19">
        <f>IF(A11&lt;&gt;"",VLOOKUP(A11,'Policy Inventory'!$A:$B,2,FALSE),"")</f>
        <v/>
      </c>
      <c r="C11" s="16" t="n"/>
      <c r="D11" s="16" t="n"/>
      <c r="E11" s="16" t="n"/>
      <c r="F11" s="16" t="n"/>
      <c r="G11" s="16" t="n"/>
      <c r="H11" s="19">
        <f>IF(B11="","",IF(VLOOKUP(A11,'Policy Inventory'!$A:$K,11,FALSE)&gt;=TODAY(),"Current",IF(VLOOKUP(A11,'Policy Inventory'!$A:$K,11,FALSE)&gt;=TODAY()-30,"Overdue-&lt;30-Days",IF(VLOOKUP(A11,'Policy Inventory'!$A:$K,11,FALSE)&gt;=TODAY()-90,"Overdue-30-90-Days","Overdue-&gt;90-Days"))))</f>
        <v/>
      </c>
      <c r="I11" s="16" t="n"/>
      <c r="J11" s="16" t="n"/>
      <c r="K11" s="16" t="n"/>
      <c r="L11" s="19">
        <f>IF(B11="","",IF(AND(D11="Yes",E11="Complete",F11="Published",OR(H11="Current",H11="Overdue-&lt;30-Days"),I11="Yes",J11&lt;&gt;"Poor"),"Compliant",IF(OR(D11="No",D11="Expired",E11="Missing",F11="Not-Published",H11="Overdue-&gt;90-Days"),"Non-Compliant","Partial")))</f>
        <v/>
      </c>
      <c r="M11" s="16" t="n"/>
      <c r="N11" s="16" t="n"/>
    </row>
    <row r="12">
      <c r="A12" s="19">
        <f>IF(ROW()-5&lt;=COUNTA('Policy Inventory'!$A:$A)-4,INDEX('Policy Inventory'!$A:$A,ROW()-1),"")</f>
        <v/>
      </c>
      <c r="B12" s="19">
        <f>IF(A12&lt;&gt;"",VLOOKUP(A12,'Policy Inventory'!$A:$B,2,FALSE),"")</f>
        <v/>
      </c>
      <c r="C12" s="16" t="n"/>
      <c r="D12" s="16" t="n"/>
      <c r="E12" s="16" t="n"/>
      <c r="F12" s="16" t="n"/>
      <c r="G12" s="16" t="n"/>
      <c r="H12" s="19">
        <f>IF(B12="","",IF(VLOOKUP(A12,'Policy Inventory'!$A:$K,11,FALSE)&gt;=TODAY(),"Current",IF(VLOOKUP(A12,'Policy Inventory'!$A:$K,11,FALSE)&gt;=TODAY()-30,"Overdue-&lt;30-Days",IF(VLOOKUP(A12,'Policy Inventory'!$A:$K,11,FALSE)&gt;=TODAY()-90,"Overdue-30-90-Days","Overdue-&gt;90-Days"))))</f>
        <v/>
      </c>
      <c r="I12" s="16" t="n"/>
      <c r="J12" s="16" t="n"/>
      <c r="K12" s="16" t="n"/>
      <c r="L12" s="19">
        <f>IF(B12="","",IF(AND(D12="Yes",E12="Complete",F12="Published",OR(H12="Current",H12="Overdue-&lt;30-Days"),I12="Yes",J12&lt;&gt;"Poor"),"Compliant",IF(OR(D12="No",D12="Expired",E12="Missing",F12="Not-Published",H12="Overdue-&gt;90-Days"),"Non-Compliant","Partial")))</f>
        <v/>
      </c>
      <c r="M12" s="16" t="n"/>
      <c r="N12" s="16" t="n"/>
    </row>
    <row r="13">
      <c r="A13" s="19">
        <f>IF(ROW()-5&lt;=COUNTA('Policy Inventory'!$A:$A)-4,INDEX('Policy Inventory'!$A:$A,ROW()-1),"")</f>
        <v/>
      </c>
      <c r="B13" s="19">
        <f>IF(A13&lt;&gt;"",VLOOKUP(A13,'Policy Inventory'!$A:$B,2,FALSE),"")</f>
        <v/>
      </c>
      <c r="C13" s="16" t="n"/>
      <c r="D13" s="16" t="n"/>
      <c r="E13" s="16" t="n"/>
      <c r="F13" s="16" t="n"/>
      <c r="G13" s="16" t="n"/>
      <c r="H13" s="19">
        <f>IF(B13="","",IF(VLOOKUP(A13,'Policy Inventory'!$A:$K,11,FALSE)&gt;=TODAY(),"Current",IF(VLOOKUP(A13,'Policy Inventory'!$A:$K,11,FALSE)&gt;=TODAY()-30,"Overdue-&lt;30-Days",IF(VLOOKUP(A13,'Policy Inventory'!$A:$K,11,FALSE)&gt;=TODAY()-90,"Overdue-30-90-Days","Overdue-&gt;90-Days"))))</f>
        <v/>
      </c>
      <c r="I13" s="16" t="n"/>
      <c r="J13" s="16" t="n"/>
      <c r="K13" s="16" t="n"/>
      <c r="L13" s="19">
        <f>IF(B13="","",IF(AND(D13="Yes",E13="Complete",F13="Published",OR(H13="Current",H13="Overdue-&lt;30-Days"),I13="Yes",J13&lt;&gt;"Poor"),"Compliant",IF(OR(D13="No",D13="Expired",E13="Missing",F13="Not-Published",H13="Overdue-&gt;90-Days"),"Non-Compliant","Partial")))</f>
        <v/>
      </c>
      <c r="M13" s="16" t="n"/>
      <c r="N13" s="16" t="n"/>
    </row>
    <row r="14">
      <c r="A14" s="19">
        <f>IF(ROW()-5&lt;=COUNTA('Policy Inventory'!$A:$A)-4,INDEX('Policy Inventory'!$A:$A,ROW()-1),"")</f>
        <v/>
      </c>
      <c r="B14" s="19">
        <f>IF(A14&lt;&gt;"",VLOOKUP(A14,'Policy Inventory'!$A:$B,2,FALSE),"")</f>
        <v/>
      </c>
      <c r="C14" s="16" t="n"/>
      <c r="D14" s="16" t="n"/>
      <c r="E14" s="16" t="n"/>
      <c r="F14" s="16" t="n"/>
      <c r="G14" s="16" t="n"/>
      <c r="H14" s="19">
        <f>IF(B14="","",IF(VLOOKUP(A14,'Policy Inventory'!$A:$K,11,FALSE)&gt;=TODAY(),"Current",IF(VLOOKUP(A14,'Policy Inventory'!$A:$K,11,FALSE)&gt;=TODAY()-30,"Overdue-&lt;30-Days",IF(VLOOKUP(A14,'Policy Inventory'!$A:$K,11,FALSE)&gt;=TODAY()-90,"Overdue-30-90-Days","Overdue-&gt;90-Days"))))</f>
        <v/>
      </c>
      <c r="I14" s="16" t="n"/>
      <c r="J14" s="16" t="n"/>
      <c r="K14" s="16" t="n"/>
      <c r="L14" s="19">
        <f>IF(B14="","",IF(AND(D14="Yes",E14="Complete",F14="Published",OR(H14="Current",H14="Overdue-&lt;30-Days"),I14="Yes",J14&lt;&gt;"Poor"),"Compliant",IF(OR(D14="No",D14="Expired",E14="Missing",F14="Not-Published",H14="Overdue-&gt;90-Days"),"Non-Compliant","Partial")))</f>
        <v/>
      </c>
      <c r="M14" s="16" t="n"/>
      <c r="N14" s="16" t="n"/>
    </row>
    <row r="15">
      <c r="A15" s="19">
        <f>IF(ROW()-5&lt;=COUNTA('Policy Inventory'!$A:$A)-4,INDEX('Policy Inventory'!$A:$A,ROW()-1),"")</f>
        <v/>
      </c>
      <c r="B15" s="19">
        <f>IF(A15&lt;&gt;"",VLOOKUP(A15,'Policy Inventory'!$A:$B,2,FALSE),"")</f>
        <v/>
      </c>
      <c r="C15" s="16" t="n"/>
      <c r="D15" s="16" t="n"/>
      <c r="E15" s="16" t="n"/>
      <c r="F15" s="16" t="n"/>
      <c r="G15" s="16" t="n"/>
      <c r="H15" s="19">
        <f>IF(B15="","",IF(VLOOKUP(A15,'Policy Inventory'!$A:$K,11,FALSE)&gt;=TODAY(),"Current",IF(VLOOKUP(A15,'Policy Inventory'!$A:$K,11,FALSE)&gt;=TODAY()-30,"Overdue-&lt;30-Days",IF(VLOOKUP(A15,'Policy Inventory'!$A:$K,11,FALSE)&gt;=TODAY()-90,"Overdue-30-90-Days","Overdue-&gt;90-Days"))))</f>
        <v/>
      </c>
      <c r="I15" s="16" t="n"/>
      <c r="J15" s="16" t="n"/>
      <c r="K15" s="16" t="n"/>
      <c r="L15" s="19">
        <f>IF(B15="","",IF(AND(D15="Yes",E15="Complete",F15="Published",OR(H15="Current",H15="Overdue-&lt;30-Days"),I15="Yes",J15&lt;&gt;"Poor"),"Compliant",IF(OR(D15="No",D15="Expired",E15="Missing",F15="Not-Published",H15="Overdue-&gt;90-Days"),"Non-Compliant","Partial")))</f>
        <v/>
      </c>
      <c r="M15" s="16" t="n"/>
      <c r="N15" s="16" t="n"/>
    </row>
    <row r="16">
      <c r="A16" s="19">
        <f>IF(ROW()-5&lt;=COUNTA('Policy Inventory'!$A:$A)-4,INDEX('Policy Inventory'!$A:$A,ROW()-1),"")</f>
        <v/>
      </c>
      <c r="B16" s="19">
        <f>IF(A16&lt;&gt;"",VLOOKUP(A16,'Policy Inventory'!$A:$B,2,FALSE),"")</f>
        <v/>
      </c>
      <c r="C16" s="16" t="n"/>
      <c r="D16" s="16" t="n"/>
      <c r="E16" s="16" t="n"/>
      <c r="F16" s="16" t="n"/>
      <c r="G16" s="16" t="n"/>
      <c r="H16" s="19">
        <f>IF(B16="","",IF(VLOOKUP(A16,'Policy Inventory'!$A:$K,11,FALSE)&gt;=TODAY(),"Current",IF(VLOOKUP(A16,'Policy Inventory'!$A:$K,11,FALSE)&gt;=TODAY()-30,"Overdue-&lt;30-Days",IF(VLOOKUP(A16,'Policy Inventory'!$A:$K,11,FALSE)&gt;=TODAY()-90,"Overdue-30-90-Days","Overdue-&gt;90-Days"))))</f>
        <v/>
      </c>
      <c r="I16" s="16" t="n"/>
      <c r="J16" s="16" t="n"/>
      <c r="K16" s="16" t="n"/>
      <c r="L16" s="19">
        <f>IF(B16="","",IF(AND(D16="Yes",E16="Complete",F16="Published",OR(H16="Current",H16="Overdue-&lt;30-Days"),I16="Yes",J16&lt;&gt;"Poor"),"Compliant",IF(OR(D16="No",D16="Expired",E16="Missing",F16="Not-Published",H16="Overdue-&gt;90-Days"),"Non-Compliant","Partial")))</f>
        <v/>
      </c>
      <c r="M16" s="16" t="n"/>
      <c r="N16" s="16" t="n"/>
    </row>
    <row r="17">
      <c r="A17" s="19">
        <f>IF(ROW()-5&lt;=COUNTA('Policy Inventory'!$A:$A)-4,INDEX('Policy Inventory'!$A:$A,ROW()-1),"")</f>
        <v/>
      </c>
      <c r="B17" s="19">
        <f>IF(A17&lt;&gt;"",VLOOKUP(A17,'Policy Inventory'!$A:$B,2,FALSE),"")</f>
        <v/>
      </c>
      <c r="C17" s="16" t="n"/>
      <c r="D17" s="16" t="n"/>
      <c r="E17" s="16" t="n"/>
      <c r="F17" s="16" t="n"/>
      <c r="G17" s="16" t="n"/>
      <c r="H17" s="19">
        <f>IF(B17="","",IF(VLOOKUP(A17,'Policy Inventory'!$A:$K,11,FALSE)&gt;=TODAY(),"Current",IF(VLOOKUP(A17,'Policy Inventory'!$A:$K,11,FALSE)&gt;=TODAY()-30,"Overdue-&lt;30-Days",IF(VLOOKUP(A17,'Policy Inventory'!$A:$K,11,FALSE)&gt;=TODAY()-90,"Overdue-30-90-Days","Overdue-&gt;90-Days"))))</f>
        <v/>
      </c>
      <c r="I17" s="16" t="n"/>
      <c r="J17" s="16" t="n"/>
      <c r="K17" s="16" t="n"/>
      <c r="L17" s="19">
        <f>IF(B17="","",IF(AND(D17="Yes",E17="Complete",F17="Published",OR(H17="Current",H17="Overdue-&lt;30-Days"),I17="Yes",J17&lt;&gt;"Poor"),"Compliant",IF(OR(D17="No",D17="Expired",E17="Missing",F17="Not-Published",H17="Overdue-&gt;90-Days"),"Non-Compliant","Partial")))</f>
        <v/>
      </c>
      <c r="M17" s="16" t="n"/>
      <c r="N17" s="16" t="n"/>
    </row>
    <row r="18">
      <c r="A18" s="19">
        <f>IF(ROW()-5&lt;=COUNTA('Policy Inventory'!$A:$A)-4,INDEX('Policy Inventory'!$A:$A,ROW()-1),"")</f>
        <v/>
      </c>
      <c r="B18" s="19">
        <f>IF(A18&lt;&gt;"",VLOOKUP(A18,'Policy Inventory'!$A:$B,2,FALSE),"")</f>
        <v/>
      </c>
      <c r="C18" s="16" t="n"/>
      <c r="D18" s="16" t="n"/>
      <c r="E18" s="16" t="n"/>
      <c r="F18" s="16" t="n"/>
      <c r="G18" s="16" t="n"/>
      <c r="H18" s="19">
        <f>IF(B18="","",IF(VLOOKUP(A18,'Policy Inventory'!$A:$K,11,FALSE)&gt;=TODAY(),"Current",IF(VLOOKUP(A18,'Policy Inventory'!$A:$K,11,FALSE)&gt;=TODAY()-30,"Overdue-&lt;30-Days",IF(VLOOKUP(A18,'Policy Inventory'!$A:$K,11,FALSE)&gt;=TODAY()-90,"Overdue-30-90-Days","Overdue-&gt;90-Days"))))</f>
        <v/>
      </c>
      <c r="I18" s="16" t="n"/>
      <c r="J18" s="16" t="n"/>
      <c r="K18" s="16" t="n"/>
      <c r="L18" s="19">
        <f>IF(B18="","",IF(AND(D18="Yes",E18="Complete",F18="Published",OR(H18="Current",H18="Overdue-&lt;30-Days"),I18="Yes",J18&lt;&gt;"Poor"),"Compliant",IF(OR(D18="No",D18="Expired",E18="Missing",F18="Not-Published",H18="Overdue-&gt;90-Days"),"Non-Compliant","Partial")))</f>
        <v/>
      </c>
      <c r="M18" s="16" t="n"/>
      <c r="N18" s="16" t="n"/>
    </row>
    <row r="19">
      <c r="A19" s="19">
        <f>IF(ROW()-5&lt;=COUNTA('Policy Inventory'!$A:$A)-4,INDEX('Policy Inventory'!$A:$A,ROW()-1),"")</f>
        <v/>
      </c>
      <c r="B19" s="19">
        <f>IF(A19&lt;&gt;"",VLOOKUP(A19,'Policy Inventory'!$A:$B,2,FALSE),"")</f>
        <v/>
      </c>
      <c r="C19" s="16" t="n"/>
      <c r="D19" s="16" t="n"/>
      <c r="E19" s="16" t="n"/>
      <c r="F19" s="16" t="n"/>
      <c r="G19" s="16" t="n"/>
      <c r="H19" s="19">
        <f>IF(B19="","",IF(VLOOKUP(A19,'Policy Inventory'!$A:$K,11,FALSE)&gt;=TODAY(),"Current",IF(VLOOKUP(A19,'Policy Inventory'!$A:$K,11,FALSE)&gt;=TODAY()-30,"Overdue-&lt;30-Days",IF(VLOOKUP(A19,'Policy Inventory'!$A:$K,11,FALSE)&gt;=TODAY()-90,"Overdue-30-90-Days","Overdue-&gt;90-Days"))))</f>
        <v/>
      </c>
      <c r="I19" s="16" t="n"/>
      <c r="J19" s="16" t="n"/>
      <c r="K19" s="16" t="n"/>
      <c r="L19" s="19">
        <f>IF(B19="","",IF(AND(D19="Yes",E19="Complete",F19="Published",OR(H19="Current",H19="Overdue-&lt;30-Days"),I19="Yes",J19&lt;&gt;"Poor"),"Compliant",IF(OR(D19="No",D19="Expired",E19="Missing",F19="Not-Published",H19="Overdue-&gt;90-Days"),"Non-Compliant","Partial")))</f>
        <v/>
      </c>
      <c r="M19" s="16" t="n"/>
      <c r="N19" s="16" t="n"/>
    </row>
    <row r="20">
      <c r="A20" s="19">
        <f>IF(ROW()-5&lt;=COUNTA('Policy Inventory'!$A:$A)-4,INDEX('Policy Inventory'!$A:$A,ROW()-1),"")</f>
        <v/>
      </c>
      <c r="B20" s="19">
        <f>IF(A20&lt;&gt;"",VLOOKUP(A20,'Policy Inventory'!$A:$B,2,FALSE),"")</f>
        <v/>
      </c>
      <c r="C20" s="16" t="n"/>
      <c r="D20" s="16" t="n"/>
      <c r="E20" s="16" t="n"/>
      <c r="F20" s="16" t="n"/>
      <c r="G20" s="16" t="n"/>
      <c r="H20" s="19">
        <f>IF(B20="","",IF(VLOOKUP(A20,'Policy Inventory'!$A:$K,11,FALSE)&gt;=TODAY(),"Current",IF(VLOOKUP(A20,'Policy Inventory'!$A:$K,11,FALSE)&gt;=TODAY()-30,"Overdue-&lt;30-Days",IF(VLOOKUP(A20,'Policy Inventory'!$A:$K,11,FALSE)&gt;=TODAY()-90,"Overdue-30-90-Days","Overdue-&gt;90-Days"))))</f>
        <v/>
      </c>
      <c r="I20" s="16" t="n"/>
      <c r="J20" s="16" t="n"/>
      <c r="K20" s="16" t="n"/>
      <c r="L20" s="19">
        <f>IF(B20="","",IF(AND(D20="Yes",E20="Complete",F20="Published",OR(H20="Current",H20="Overdue-&lt;30-Days"),I20="Yes",J20&lt;&gt;"Poor"),"Compliant",IF(OR(D20="No",D20="Expired",E20="Missing",F20="Not-Published",H20="Overdue-&gt;90-Days"),"Non-Compliant","Partial")))</f>
        <v/>
      </c>
      <c r="M20" s="16" t="n"/>
      <c r="N20" s="16" t="n"/>
    </row>
    <row r="21">
      <c r="A21" s="19">
        <f>IF(ROW()-5&lt;=COUNTA('Policy Inventory'!$A:$A)-4,INDEX('Policy Inventory'!$A:$A,ROW()-1),"")</f>
        <v/>
      </c>
      <c r="B21" s="19">
        <f>IF(A21&lt;&gt;"",VLOOKUP(A21,'Policy Inventory'!$A:$B,2,FALSE),"")</f>
        <v/>
      </c>
      <c r="C21" s="16" t="n"/>
      <c r="D21" s="16" t="n"/>
      <c r="E21" s="16" t="n"/>
      <c r="F21" s="16" t="n"/>
      <c r="G21" s="16" t="n"/>
      <c r="H21" s="19">
        <f>IF(B21="","",IF(VLOOKUP(A21,'Policy Inventory'!$A:$K,11,FALSE)&gt;=TODAY(),"Current",IF(VLOOKUP(A21,'Policy Inventory'!$A:$K,11,FALSE)&gt;=TODAY()-30,"Overdue-&lt;30-Days",IF(VLOOKUP(A21,'Policy Inventory'!$A:$K,11,FALSE)&gt;=TODAY()-90,"Overdue-30-90-Days","Overdue-&gt;90-Days"))))</f>
        <v/>
      </c>
      <c r="I21" s="16" t="n"/>
      <c r="J21" s="16" t="n"/>
      <c r="K21" s="16" t="n"/>
      <c r="L21" s="19">
        <f>IF(B21="","",IF(AND(D21="Yes",E21="Complete",F21="Published",OR(H21="Current",H21="Overdue-&lt;30-Days"),I21="Yes",J21&lt;&gt;"Poor"),"Compliant",IF(OR(D21="No",D21="Expired",E21="Missing",F21="Not-Published",H21="Overdue-&gt;90-Days"),"Non-Compliant","Partial")))</f>
        <v/>
      </c>
      <c r="M21" s="16" t="n"/>
      <c r="N21" s="16" t="n"/>
    </row>
    <row r="22">
      <c r="A22" s="19">
        <f>IF(ROW()-5&lt;=COUNTA('Policy Inventory'!$A:$A)-4,INDEX('Policy Inventory'!$A:$A,ROW()-1),"")</f>
        <v/>
      </c>
      <c r="B22" s="19">
        <f>IF(A22&lt;&gt;"",VLOOKUP(A22,'Policy Inventory'!$A:$B,2,FALSE),"")</f>
        <v/>
      </c>
      <c r="C22" s="16" t="n"/>
      <c r="D22" s="16" t="n"/>
      <c r="E22" s="16" t="n"/>
      <c r="F22" s="16" t="n"/>
      <c r="G22" s="16" t="n"/>
      <c r="H22" s="19">
        <f>IF(B22="","",IF(VLOOKUP(A22,'Policy Inventory'!$A:$K,11,FALSE)&gt;=TODAY(),"Current",IF(VLOOKUP(A22,'Policy Inventory'!$A:$K,11,FALSE)&gt;=TODAY()-30,"Overdue-&lt;30-Days",IF(VLOOKUP(A22,'Policy Inventory'!$A:$K,11,FALSE)&gt;=TODAY()-90,"Overdue-30-90-Days","Overdue-&gt;90-Days"))))</f>
        <v/>
      </c>
      <c r="I22" s="16" t="n"/>
      <c r="J22" s="16" t="n"/>
      <c r="K22" s="16" t="n"/>
      <c r="L22" s="19">
        <f>IF(B22="","",IF(AND(D22="Yes",E22="Complete",F22="Published",OR(H22="Current",H22="Overdue-&lt;30-Days"),I22="Yes",J22&lt;&gt;"Poor"),"Compliant",IF(OR(D22="No",D22="Expired",E22="Missing",F22="Not-Published",H22="Overdue-&gt;90-Days"),"Non-Compliant","Partial")))</f>
        <v/>
      </c>
      <c r="M22" s="16" t="n"/>
      <c r="N22" s="16" t="n"/>
    </row>
    <row r="23">
      <c r="A23" s="19">
        <f>IF(ROW()-5&lt;=COUNTA('Policy Inventory'!$A:$A)-4,INDEX('Policy Inventory'!$A:$A,ROW()-1),"")</f>
        <v/>
      </c>
      <c r="B23" s="19">
        <f>IF(A23&lt;&gt;"",VLOOKUP(A23,'Policy Inventory'!$A:$B,2,FALSE),"")</f>
        <v/>
      </c>
      <c r="C23" s="16" t="n"/>
      <c r="D23" s="16" t="n"/>
      <c r="E23" s="16" t="n"/>
      <c r="F23" s="16" t="n"/>
      <c r="G23" s="16" t="n"/>
      <c r="H23" s="19">
        <f>IF(B23="","",IF(VLOOKUP(A23,'Policy Inventory'!$A:$K,11,FALSE)&gt;=TODAY(),"Current",IF(VLOOKUP(A23,'Policy Inventory'!$A:$K,11,FALSE)&gt;=TODAY()-30,"Overdue-&lt;30-Days",IF(VLOOKUP(A23,'Policy Inventory'!$A:$K,11,FALSE)&gt;=TODAY()-90,"Overdue-30-90-Days","Overdue-&gt;90-Days"))))</f>
        <v/>
      </c>
      <c r="I23" s="16" t="n"/>
      <c r="J23" s="16" t="n"/>
      <c r="K23" s="16" t="n"/>
      <c r="L23" s="19">
        <f>IF(B23="","",IF(AND(D23="Yes",E23="Complete",F23="Published",OR(H23="Current",H23="Overdue-&lt;30-Days"),I23="Yes",J23&lt;&gt;"Poor"),"Compliant",IF(OR(D23="No",D23="Expired",E23="Missing",F23="Not-Published",H23="Overdue-&gt;90-Days"),"Non-Compliant","Partial")))</f>
        <v/>
      </c>
      <c r="M23" s="16" t="n"/>
      <c r="N23" s="16" t="n"/>
    </row>
    <row r="24">
      <c r="A24" s="19">
        <f>IF(ROW()-5&lt;=COUNTA('Policy Inventory'!$A:$A)-4,INDEX('Policy Inventory'!$A:$A,ROW()-1),"")</f>
        <v/>
      </c>
      <c r="B24" s="19">
        <f>IF(A24&lt;&gt;"",VLOOKUP(A24,'Policy Inventory'!$A:$B,2,FALSE),"")</f>
        <v/>
      </c>
      <c r="C24" s="16" t="n"/>
      <c r="D24" s="16" t="n"/>
      <c r="E24" s="16" t="n"/>
      <c r="F24" s="16" t="n"/>
      <c r="G24" s="16" t="n"/>
      <c r="H24" s="19">
        <f>IF(B24="","",IF(VLOOKUP(A24,'Policy Inventory'!$A:$K,11,FALSE)&gt;=TODAY(),"Current",IF(VLOOKUP(A24,'Policy Inventory'!$A:$K,11,FALSE)&gt;=TODAY()-30,"Overdue-&lt;30-Days",IF(VLOOKUP(A24,'Policy Inventory'!$A:$K,11,FALSE)&gt;=TODAY()-90,"Overdue-30-90-Days","Overdue-&gt;90-Days"))))</f>
        <v/>
      </c>
      <c r="I24" s="16" t="n"/>
      <c r="J24" s="16" t="n"/>
      <c r="K24" s="16" t="n"/>
      <c r="L24" s="19">
        <f>IF(B24="","",IF(AND(D24="Yes",E24="Complete",F24="Published",OR(H24="Current",H24="Overdue-&lt;30-Days"),I24="Yes",J24&lt;&gt;"Poor"),"Compliant",IF(OR(D24="No",D24="Expired",E24="Missing",F24="Not-Published",H24="Overdue-&gt;90-Days"),"Non-Compliant","Partial")))</f>
        <v/>
      </c>
      <c r="M24" s="16" t="n"/>
      <c r="N24" s="16" t="n"/>
    </row>
    <row r="25">
      <c r="A25" s="19">
        <f>IF(ROW()-5&lt;=COUNTA('Policy Inventory'!$A:$A)-4,INDEX('Policy Inventory'!$A:$A,ROW()-1),"")</f>
        <v/>
      </c>
      <c r="B25" s="19">
        <f>IF(A25&lt;&gt;"",VLOOKUP(A25,'Policy Inventory'!$A:$B,2,FALSE),"")</f>
        <v/>
      </c>
      <c r="C25" s="16" t="n"/>
      <c r="D25" s="16" t="n"/>
      <c r="E25" s="16" t="n"/>
      <c r="F25" s="16" t="n"/>
      <c r="G25" s="16" t="n"/>
      <c r="H25" s="19">
        <f>IF(B25="","",IF(VLOOKUP(A25,'Policy Inventory'!$A:$K,11,FALSE)&gt;=TODAY(),"Current",IF(VLOOKUP(A25,'Policy Inventory'!$A:$K,11,FALSE)&gt;=TODAY()-30,"Overdue-&lt;30-Days",IF(VLOOKUP(A25,'Policy Inventory'!$A:$K,11,FALSE)&gt;=TODAY()-90,"Overdue-30-90-Days","Overdue-&gt;90-Days"))))</f>
        <v/>
      </c>
      <c r="I25" s="16" t="n"/>
      <c r="J25" s="16" t="n"/>
      <c r="K25" s="16" t="n"/>
      <c r="L25" s="19">
        <f>IF(B25="","",IF(AND(D25="Yes",E25="Complete",F25="Published",OR(H25="Current",H25="Overdue-&lt;30-Days"),I25="Yes",J25&lt;&gt;"Poor"),"Compliant",IF(OR(D25="No",D25="Expired",E25="Missing",F25="Not-Published",H25="Overdue-&gt;90-Days"),"Non-Compliant","Partial")))</f>
        <v/>
      </c>
      <c r="M25" s="16" t="n"/>
      <c r="N25" s="16" t="n"/>
    </row>
    <row r="26">
      <c r="A26" s="19">
        <f>IF(ROW()-5&lt;=COUNTA('Policy Inventory'!$A:$A)-4,INDEX('Policy Inventory'!$A:$A,ROW()-1),"")</f>
        <v/>
      </c>
      <c r="B26" s="19">
        <f>IF(A26&lt;&gt;"",VLOOKUP(A26,'Policy Inventory'!$A:$B,2,FALSE),"")</f>
        <v/>
      </c>
      <c r="C26" s="16" t="n"/>
      <c r="D26" s="16" t="n"/>
      <c r="E26" s="16" t="n"/>
      <c r="F26" s="16" t="n"/>
      <c r="G26" s="16" t="n"/>
      <c r="H26" s="19">
        <f>IF(B26="","",IF(VLOOKUP(A26,'Policy Inventory'!$A:$K,11,FALSE)&gt;=TODAY(),"Current",IF(VLOOKUP(A26,'Policy Inventory'!$A:$K,11,FALSE)&gt;=TODAY()-30,"Overdue-&lt;30-Days",IF(VLOOKUP(A26,'Policy Inventory'!$A:$K,11,FALSE)&gt;=TODAY()-90,"Overdue-30-90-Days","Overdue-&gt;90-Days"))))</f>
        <v/>
      </c>
      <c r="I26" s="16" t="n"/>
      <c r="J26" s="16" t="n"/>
      <c r="K26" s="16" t="n"/>
      <c r="L26" s="19">
        <f>IF(B26="","",IF(AND(D26="Yes",E26="Complete",F26="Published",OR(H26="Current",H26="Overdue-&lt;30-Days"),I26="Yes",J26&lt;&gt;"Poor"),"Compliant",IF(OR(D26="No",D26="Expired",E26="Missing",F26="Not-Published",H26="Overdue-&gt;90-Days"),"Non-Compliant","Partial")))</f>
        <v/>
      </c>
      <c r="M26" s="16" t="n"/>
      <c r="N26" s="16" t="n"/>
    </row>
    <row r="27">
      <c r="A27" s="19">
        <f>IF(ROW()-5&lt;=COUNTA('Policy Inventory'!$A:$A)-4,INDEX('Policy Inventory'!$A:$A,ROW()-1),"")</f>
        <v/>
      </c>
      <c r="B27" s="19">
        <f>IF(A27&lt;&gt;"",VLOOKUP(A27,'Policy Inventory'!$A:$B,2,FALSE),"")</f>
        <v/>
      </c>
      <c r="C27" s="16" t="n"/>
      <c r="D27" s="16" t="n"/>
      <c r="E27" s="16" t="n"/>
      <c r="F27" s="16" t="n"/>
      <c r="G27" s="16" t="n"/>
      <c r="H27" s="19">
        <f>IF(B27="","",IF(VLOOKUP(A27,'Policy Inventory'!$A:$K,11,FALSE)&gt;=TODAY(),"Current",IF(VLOOKUP(A27,'Policy Inventory'!$A:$K,11,FALSE)&gt;=TODAY()-30,"Overdue-&lt;30-Days",IF(VLOOKUP(A27,'Policy Inventory'!$A:$K,11,FALSE)&gt;=TODAY()-90,"Overdue-30-90-Days","Overdue-&gt;90-Days"))))</f>
        <v/>
      </c>
      <c r="I27" s="16" t="n"/>
      <c r="J27" s="16" t="n"/>
      <c r="K27" s="16" t="n"/>
      <c r="L27" s="19">
        <f>IF(B27="","",IF(AND(D27="Yes",E27="Complete",F27="Published",OR(H27="Current",H27="Overdue-&lt;30-Days"),I27="Yes",J27&lt;&gt;"Poor"),"Compliant",IF(OR(D27="No",D27="Expired",E27="Missing",F27="Not-Published",H27="Overdue-&gt;90-Days"),"Non-Compliant","Partial")))</f>
        <v/>
      </c>
      <c r="M27" s="16" t="n"/>
      <c r="N27" s="16" t="n"/>
    </row>
    <row r="28">
      <c r="A28" s="19">
        <f>IF(ROW()-5&lt;=COUNTA('Policy Inventory'!$A:$A)-4,INDEX('Policy Inventory'!$A:$A,ROW()-1),"")</f>
        <v/>
      </c>
      <c r="B28" s="19">
        <f>IF(A28&lt;&gt;"",VLOOKUP(A28,'Policy Inventory'!$A:$B,2,FALSE),"")</f>
        <v/>
      </c>
      <c r="C28" s="16" t="n"/>
      <c r="D28" s="16" t="n"/>
      <c r="E28" s="16" t="n"/>
      <c r="F28" s="16" t="n"/>
      <c r="G28" s="16" t="n"/>
      <c r="H28" s="19">
        <f>IF(B28="","",IF(VLOOKUP(A28,'Policy Inventory'!$A:$K,11,FALSE)&gt;=TODAY(),"Current",IF(VLOOKUP(A28,'Policy Inventory'!$A:$K,11,FALSE)&gt;=TODAY()-30,"Overdue-&lt;30-Days",IF(VLOOKUP(A28,'Policy Inventory'!$A:$K,11,FALSE)&gt;=TODAY()-90,"Overdue-30-90-Days","Overdue-&gt;90-Days"))))</f>
        <v/>
      </c>
      <c r="I28" s="16" t="n"/>
      <c r="J28" s="16" t="n"/>
      <c r="K28" s="16" t="n"/>
      <c r="L28" s="19">
        <f>IF(B28="","",IF(AND(D28="Yes",E28="Complete",F28="Published",OR(H28="Current",H28="Overdue-&lt;30-Days"),I28="Yes",J28&lt;&gt;"Poor"),"Compliant",IF(OR(D28="No",D28="Expired",E28="Missing",F28="Not-Published",H28="Overdue-&gt;90-Days"),"Non-Compliant","Partial")))</f>
        <v/>
      </c>
      <c r="M28" s="16" t="n"/>
      <c r="N28" s="16" t="n"/>
    </row>
    <row r="29">
      <c r="A29" s="19">
        <f>IF(ROW()-5&lt;=COUNTA('Policy Inventory'!$A:$A)-4,INDEX('Policy Inventory'!$A:$A,ROW()-1),"")</f>
        <v/>
      </c>
      <c r="B29" s="19">
        <f>IF(A29&lt;&gt;"",VLOOKUP(A29,'Policy Inventory'!$A:$B,2,FALSE),"")</f>
        <v/>
      </c>
      <c r="C29" s="16" t="n"/>
      <c r="D29" s="16" t="n"/>
      <c r="E29" s="16" t="n"/>
      <c r="F29" s="16" t="n"/>
      <c r="G29" s="16" t="n"/>
      <c r="H29" s="19">
        <f>IF(B29="","",IF(VLOOKUP(A29,'Policy Inventory'!$A:$K,11,FALSE)&gt;=TODAY(),"Current",IF(VLOOKUP(A29,'Policy Inventory'!$A:$K,11,FALSE)&gt;=TODAY()-30,"Overdue-&lt;30-Days",IF(VLOOKUP(A29,'Policy Inventory'!$A:$K,11,FALSE)&gt;=TODAY()-90,"Overdue-30-90-Days","Overdue-&gt;90-Days"))))</f>
        <v/>
      </c>
      <c r="I29" s="16" t="n"/>
      <c r="J29" s="16" t="n"/>
      <c r="K29" s="16" t="n"/>
      <c r="L29" s="19">
        <f>IF(B29="","",IF(AND(D29="Yes",E29="Complete",F29="Published",OR(H29="Current",H29="Overdue-&lt;30-Days"),I29="Yes",J29&lt;&gt;"Poor"),"Compliant",IF(OR(D29="No",D29="Expired",E29="Missing",F29="Not-Published",H29="Overdue-&gt;90-Days"),"Non-Compliant","Partial")))</f>
        <v/>
      </c>
      <c r="M29" s="16" t="n"/>
      <c r="N29" s="16" t="n"/>
    </row>
    <row r="30">
      <c r="A30" s="19">
        <f>IF(ROW()-5&lt;=COUNTA('Policy Inventory'!$A:$A)-4,INDEX('Policy Inventory'!$A:$A,ROW()-1),"")</f>
        <v/>
      </c>
      <c r="B30" s="19">
        <f>IF(A30&lt;&gt;"",VLOOKUP(A30,'Policy Inventory'!$A:$B,2,FALSE),"")</f>
        <v/>
      </c>
      <c r="C30" s="16" t="n"/>
      <c r="D30" s="16" t="n"/>
      <c r="E30" s="16" t="n"/>
      <c r="F30" s="16" t="n"/>
      <c r="G30" s="16" t="n"/>
      <c r="H30" s="19">
        <f>IF(B30="","",IF(VLOOKUP(A30,'Policy Inventory'!$A:$K,11,FALSE)&gt;=TODAY(),"Current",IF(VLOOKUP(A30,'Policy Inventory'!$A:$K,11,FALSE)&gt;=TODAY()-30,"Overdue-&lt;30-Days",IF(VLOOKUP(A30,'Policy Inventory'!$A:$K,11,FALSE)&gt;=TODAY()-90,"Overdue-30-90-Days","Overdue-&gt;90-Days"))))</f>
        <v/>
      </c>
      <c r="I30" s="16" t="n"/>
      <c r="J30" s="16" t="n"/>
      <c r="K30" s="16" t="n"/>
      <c r="L30" s="19">
        <f>IF(B30="","",IF(AND(D30="Yes",E30="Complete",F30="Published",OR(H30="Current",H30="Overdue-&lt;30-Days"),I30="Yes",J30&lt;&gt;"Poor"),"Compliant",IF(OR(D30="No",D30="Expired",E30="Missing",F30="Not-Published",H30="Overdue-&gt;90-Days"),"Non-Compliant","Partial")))</f>
        <v/>
      </c>
      <c r="M30" s="16" t="n"/>
      <c r="N30" s="16" t="n"/>
    </row>
    <row r="31">
      <c r="A31" s="19">
        <f>IF(ROW()-5&lt;=COUNTA('Policy Inventory'!$A:$A)-4,INDEX('Policy Inventory'!$A:$A,ROW()-1),"")</f>
        <v/>
      </c>
      <c r="B31" s="19">
        <f>IF(A31&lt;&gt;"",VLOOKUP(A31,'Policy Inventory'!$A:$B,2,FALSE),"")</f>
        <v/>
      </c>
      <c r="C31" s="16" t="n"/>
      <c r="D31" s="16" t="n"/>
      <c r="E31" s="16" t="n"/>
      <c r="F31" s="16" t="n"/>
      <c r="G31" s="16" t="n"/>
      <c r="H31" s="19">
        <f>IF(B31="","",IF(VLOOKUP(A31,'Policy Inventory'!$A:$K,11,FALSE)&gt;=TODAY(),"Current",IF(VLOOKUP(A31,'Policy Inventory'!$A:$K,11,FALSE)&gt;=TODAY()-30,"Overdue-&lt;30-Days",IF(VLOOKUP(A31,'Policy Inventory'!$A:$K,11,FALSE)&gt;=TODAY()-90,"Overdue-30-90-Days","Overdue-&gt;90-Days"))))</f>
        <v/>
      </c>
      <c r="I31" s="16" t="n"/>
      <c r="J31" s="16" t="n"/>
      <c r="K31" s="16" t="n"/>
      <c r="L31" s="19">
        <f>IF(B31="","",IF(AND(D31="Yes",E31="Complete",F31="Published",OR(H31="Current",H31="Overdue-&lt;30-Days"),I31="Yes",J31&lt;&gt;"Poor"),"Compliant",IF(OR(D31="No",D31="Expired",E31="Missing",F31="Not-Published",H31="Overdue-&gt;90-Days"),"Non-Compliant","Partial")))</f>
        <v/>
      </c>
      <c r="M31" s="16" t="n"/>
      <c r="N31" s="16" t="n"/>
    </row>
    <row r="32">
      <c r="A32" s="19">
        <f>IF(ROW()-5&lt;=COUNTA('Policy Inventory'!$A:$A)-4,INDEX('Policy Inventory'!$A:$A,ROW()-1),"")</f>
        <v/>
      </c>
      <c r="B32" s="19">
        <f>IF(A32&lt;&gt;"",VLOOKUP(A32,'Policy Inventory'!$A:$B,2,FALSE),"")</f>
        <v/>
      </c>
      <c r="C32" s="16" t="n"/>
      <c r="D32" s="16" t="n"/>
      <c r="E32" s="16" t="n"/>
      <c r="F32" s="16" t="n"/>
      <c r="G32" s="16" t="n"/>
      <c r="H32" s="19">
        <f>IF(B32="","",IF(VLOOKUP(A32,'Policy Inventory'!$A:$K,11,FALSE)&gt;=TODAY(),"Current",IF(VLOOKUP(A32,'Policy Inventory'!$A:$K,11,FALSE)&gt;=TODAY()-30,"Overdue-&lt;30-Days",IF(VLOOKUP(A32,'Policy Inventory'!$A:$K,11,FALSE)&gt;=TODAY()-90,"Overdue-30-90-Days","Overdue-&gt;90-Days"))))</f>
        <v/>
      </c>
      <c r="I32" s="16" t="n"/>
      <c r="J32" s="16" t="n"/>
      <c r="K32" s="16" t="n"/>
      <c r="L32" s="19">
        <f>IF(B32="","",IF(AND(D32="Yes",E32="Complete",F32="Published",OR(H32="Current",H32="Overdue-&lt;30-Days"),I32="Yes",J32&lt;&gt;"Poor"),"Compliant",IF(OR(D32="No",D32="Expired",E32="Missing",F32="Not-Published",H32="Overdue-&gt;90-Days"),"Non-Compliant","Partial")))</f>
        <v/>
      </c>
      <c r="M32" s="16" t="n"/>
      <c r="N32" s="16" t="n"/>
    </row>
    <row r="33">
      <c r="A33" s="19">
        <f>IF(ROW()-5&lt;=COUNTA('Policy Inventory'!$A:$A)-4,INDEX('Policy Inventory'!$A:$A,ROW()-1),"")</f>
        <v/>
      </c>
      <c r="B33" s="19">
        <f>IF(A33&lt;&gt;"",VLOOKUP(A33,'Policy Inventory'!$A:$B,2,FALSE),"")</f>
        <v/>
      </c>
      <c r="C33" s="16" t="n"/>
      <c r="D33" s="16" t="n"/>
      <c r="E33" s="16" t="n"/>
      <c r="F33" s="16" t="n"/>
      <c r="G33" s="16" t="n"/>
      <c r="H33" s="19">
        <f>IF(B33="","",IF(VLOOKUP(A33,'Policy Inventory'!$A:$K,11,FALSE)&gt;=TODAY(),"Current",IF(VLOOKUP(A33,'Policy Inventory'!$A:$K,11,FALSE)&gt;=TODAY()-30,"Overdue-&lt;30-Days",IF(VLOOKUP(A33,'Policy Inventory'!$A:$K,11,FALSE)&gt;=TODAY()-90,"Overdue-30-90-Days","Overdue-&gt;90-Days"))))</f>
        <v/>
      </c>
      <c r="I33" s="16" t="n"/>
      <c r="J33" s="16" t="n"/>
      <c r="K33" s="16" t="n"/>
      <c r="L33" s="19">
        <f>IF(B33="","",IF(AND(D33="Yes",E33="Complete",F33="Published",OR(H33="Current",H33="Overdue-&lt;30-Days"),I33="Yes",J33&lt;&gt;"Poor"),"Compliant",IF(OR(D33="No",D33="Expired",E33="Missing",F33="Not-Published",H33="Overdue-&gt;90-Days"),"Non-Compliant","Partial")))</f>
        <v/>
      </c>
      <c r="M33" s="16" t="n"/>
      <c r="N33" s="16" t="n"/>
    </row>
    <row r="34">
      <c r="A34" s="19">
        <f>IF(ROW()-5&lt;=COUNTA('Policy Inventory'!$A:$A)-4,INDEX('Policy Inventory'!$A:$A,ROW()-1),"")</f>
        <v/>
      </c>
      <c r="B34" s="19">
        <f>IF(A34&lt;&gt;"",VLOOKUP(A34,'Policy Inventory'!$A:$B,2,FALSE),"")</f>
        <v/>
      </c>
      <c r="C34" s="16" t="n"/>
      <c r="D34" s="16" t="n"/>
      <c r="E34" s="16" t="n"/>
      <c r="F34" s="16" t="n"/>
      <c r="G34" s="16" t="n"/>
      <c r="H34" s="19">
        <f>IF(B34="","",IF(VLOOKUP(A34,'Policy Inventory'!$A:$K,11,FALSE)&gt;=TODAY(),"Current",IF(VLOOKUP(A34,'Policy Inventory'!$A:$K,11,FALSE)&gt;=TODAY()-30,"Overdue-&lt;30-Days",IF(VLOOKUP(A34,'Policy Inventory'!$A:$K,11,FALSE)&gt;=TODAY()-90,"Overdue-30-90-Days","Overdue-&gt;90-Days"))))</f>
        <v/>
      </c>
      <c r="I34" s="16" t="n"/>
      <c r="J34" s="16" t="n"/>
      <c r="K34" s="16" t="n"/>
      <c r="L34" s="19">
        <f>IF(B34="","",IF(AND(D34="Yes",E34="Complete",F34="Published",OR(H34="Current",H34="Overdue-&lt;30-Days"),I34="Yes",J34&lt;&gt;"Poor"),"Compliant",IF(OR(D34="No",D34="Expired",E34="Missing",F34="Not-Published",H34="Overdue-&gt;90-Days"),"Non-Compliant","Partial")))</f>
        <v/>
      </c>
      <c r="M34" s="16" t="n"/>
      <c r="N34" s="16" t="n"/>
    </row>
    <row r="35">
      <c r="A35" s="19">
        <f>IF(ROW()-5&lt;=COUNTA('Policy Inventory'!$A:$A)-4,INDEX('Policy Inventory'!$A:$A,ROW()-1),"")</f>
        <v/>
      </c>
      <c r="B35" s="19">
        <f>IF(A35&lt;&gt;"",VLOOKUP(A35,'Policy Inventory'!$A:$B,2,FALSE),"")</f>
        <v/>
      </c>
      <c r="C35" s="16" t="n"/>
      <c r="D35" s="16" t="n"/>
      <c r="E35" s="16" t="n"/>
      <c r="F35" s="16" t="n"/>
      <c r="G35" s="16" t="n"/>
      <c r="H35" s="19">
        <f>IF(B35="","",IF(VLOOKUP(A35,'Policy Inventory'!$A:$K,11,FALSE)&gt;=TODAY(),"Current",IF(VLOOKUP(A35,'Policy Inventory'!$A:$K,11,FALSE)&gt;=TODAY()-30,"Overdue-&lt;30-Days",IF(VLOOKUP(A35,'Policy Inventory'!$A:$K,11,FALSE)&gt;=TODAY()-90,"Overdue-30-90-Days","Overdue-&gt;90-Days"))))</f>
        <v/>
      </c>
      <c r="I35" s="16" t="n"/>
      <c r="J35" s="16" t="n"/>
      <c r="K35" s="16" t="n"/>
      <c r="L35" s="19">
        <f>IF(B35="","",IF(AND(D35="Yes",E35="Complete",F35="Published",OR(H35="Current",H35="Overdue-&lt;30-Days"),I35="Yes",J35&lt;&gt;"Poor"),"Compliant",IF(OR(D35="No",D35="Expired",E35="Missing",F35="Not-Published",H35="Overdue-&gt;90-Days"),"Non-Compliant","Partial")))</f>
        <v/>
      </c>
      <c r="M35" s="16" t="n"/>
      <c r="N35" s="16" t="n"/>
    </row>
    <row r="36">
      <c r="A36" s="19">
        <f>IF(ROW()-5&lt;=COUNTA('Policy Inventory'!$A:$A)-4,INDEX('Policy Inventory'!$A:$A,ROW()-1),"")</f>
        <v/>
      </c>
      <c r="B36" s="19">
        <f>IF(A36&lt;&gt;"",VLOOKUP(A36,'Policy Inventory'!$A:$B,2,FALSE),"")</f>
        <v/>
      </c>
      <c r="C36" s="16" t="n"/>
      <c r="D36" s="16" t="n"/>
      <c r="E36" s="16" t="n"/>
      <c r="F36" s="16" t="n"/>
      <c r="G36" s="16" t="n"/>
      <c r="H36" s="19">
        <f>IF(B36="","",IF(VLOOKUP(A36,'Policy Inventory'!$A:$K,11,FALSE)&gt;=TODAY(),"Current",IF(VLOOKUP(A36,'Policy Inventory'!$A:$K,11,FALSE)&gt;=TODAY()-30,"Overdue-&lt;30-Days",IF(VLOOKUP(A36,'Policy Inventory'!$A:$K,11,FALSE)&gt;=TODAY()-90,"Overdue-30-90-Days","Overdue-&gt;90-Days"))))</f>
        <v/>
      </c>
      <c r="I36" s="16" t="n"/>
      <c r="J36" s="16" t="n"/>
      <c r="K36" s="16" t="n"/>
      <c r="L36" s="19">
        <f>IF(B36="","",IF(AND(D36="Yes",E36="Complete",F36="Published",OR(H36="Current",H36="Overdue-&lt;30-Days"),I36="Yes",J36&lt;&gt;"Poor"),"Compliant",IF(OR(D36="No",D36="Expired",E36="Missing",F36="Not-Published",H36="Overdue-&gt;90-Days"),"Non-Compliant","Partial")))</f>
        <v/>
      </c>
      <c r="M36" s="16" t="n"/>
      <c r="N36" s="16" t="n"/>
    </row>
    <row r="37">
      <c r="A37" s="19">
        <f>IF(ROW()-5&lt;=COUNTA('Policy Inventory'!$A:$A)-4,INDEX('Policy Inventory'!$A:$A,ROW()-1),"")</f>
        <v/>
      </c>
      <c r="B37" s="19">
        <f>IF(A37&lt;&gt;"",VLOOKUP(A37,'Policy Inventory'!$A:$B,2,FALSE),"")</f>
        <v/>
      </c>
      <c r="C37" s="16" t="n"/>
      <c r="D37" s="16" t="n"/>
      <c r="E37" s="16" t="n"/>
      <c r="F37" s="16" t="n"/>
      <c r="G37" s="16" t="n"/>
      <c r="H37" s="19">
        <f>IF(B37="","",IF(VLOOKUP(A37,'Policy Inventory'!$A:$K,11,FALSE)&gt;=TODAY(),"Current",IF(VLOOKUP(A37,'Policy Inventory'!$A:$K,11,FALSE)&gt;=TODAY()-30,"Overdue-&lt;30-Days",IF(VLOOKUP(A37,'Policy Inventory'!$A:$K,11,FALSE)&gt;=TODAY()-90,"Overdue-30-90-Days","Overdue-&gt;90-Days"))))</f>
        <v/>
      </c>
      <c r="I37" s="16" t="n"/>
      <c r="J37" s="16" t="n"/>
      <c r="K37" s="16" t="n"/>
      <c r="L37" s="19">
        <f>IF(B37="","",IF(AND(D37="Yes",E37="Complete",F37="Published",OR(H37="Current",H37="Overdue-&lt;30-Days"),I37="Yes",J37&lt;&gt;"Poor"),"Compliant",IF(OR(D37="No",D37="Expired",E37="Missing",F37="Not-Published",H37="Overdue-&gt;90-Days"),"Non-Compliant","Partial")))</f>
        <v/>
      </c>
      <c r="M37" s="16" t="n"/>
      <c r="N37" s="16" t="n"/>
    </row>
    <row r="38">
      <c r="A38" s="19">
        <f>IF(ROW()-5&lt;=COUNTA('Policy Inventory'!$A:$A)-4,INDEX('Policy Inventory'!$A:$A,ROW()-1),"")</f>
        <v/>
      </c>
      <c r="B38" s="19">
        <f>IF(A38&lt;&gt;"",VLOOKUP(A38,'Policy Inventory'!$A:$B,2,FALSE),"")</f>
        <v/>
      </c>
      <c r="C38" s="16" t="n"/>
      <c r="D38" s="16" t="n"/>
      <c r="E38" s="16" t="n"/>
      <c r="F38" s="16" t="n"/>
      <c r="G38" s="16" t="n"/>
      <c r="H38" s="19">
        <f>IF(B38="","",IF(VLOOKUP(A38,'Policy Inventory'!$A:$K,11,FALSE)&gt;=TODAY(),"Current",IF(VLOOKUP(A38,'Policy Inventory'!$A:$K,11,FALSE)&gt;=TODAY()-30,"Overdue-&lt;30-Days",IF(VLOOKUP(A38,'Policy Inventory'!$A:$K,11,FALSE)&gt;=TODAY()-90,"Overdue-30-90-Days","Overdue-&gt;90-Days"))))</f>
        <v/>
      </c>
      <c r="I38" s="16" t="n"/>
      <c r="J38" s="16" t="n"/>
      <c r="K38" s="16" t="n"/>
      <c r="L38" s="19">
        <f>IF(B38="","",IF(AND(D38="Yes",E38="Complete",F38="Published",OR(H38="Current",H38="Overdue-&lt;30-Days"),I38="Yes",J38&lt;&gt;"Poor"),"Compliant",IF(OR(D38="No",D38="Expired",E38="Missing",F38="Not-Published",H38="Overdue-&gt;90-Days"),"Non-Compliant","Partial")))</f>
        <v/>
      </c>
      <c r="M38" s="16" t="n"/>
      <c r="N38" s="16" t="n"/>
    </row>
    <row r="39">
      <c r="A39" s="19">
        <f>IF(ROW()-5&lt;=COUNTA('Policy Inventory'!$A:$A)-4,INDEX('Policy Inventory'!$A:$A,ROW()-1),"")</f>
        <v/>
      </c>
      <c r="B39" s="19">
        <f>IF(A39&lt;&gt;"",VLOOKUP(A39,'Policy Inventory'!$A:$B,2,FALSE),"")</f>
        <v/>
      </c>
      <c r="C39" s="16" t="n"/>
      <c r="D39" s="16" t="n"/>
      <c r="E39" s="16" t="n"/>
      <c r="F39" s="16" t="n"/>
      <c r="G39" s="16" t="n"/>
      <c r="H39" s="19">
        <f>IF(B39="","",IF(VLOOKUP(A39,'Policy Inventory'!$A:$K,11,FALSE)&gt;=TODAY(),"Current",IF(VLOOKUP(A39,'Policy Inventory'!$A:$K,11,FALSE)&gt;=TODAY()-30,"Overdue-&lt;30-Days",IF(VLOOKUP(A39,'Policy Inventory'!$A:$K,11,FALSE)&gt;=TODAY()-90,"Overdue-30-90-Days","Overdue-&gt;90-Days"))))</f>
        <v/>
      </c>
      <c r="I39" s="16" t="n"/>
      <c r="J39" s="16" t="n"/>
      <c r="K39" s="16" t="n"/>
      <c r="L39" s="19">
        <f>IF(B39="","",IF(AND(D39="Yes",E39="Complete",F39="Published",OR(H39="Current",H39="Overdue-&lt;30-Days"),I39="Yes",J39&lt;&gt;"Poor"),"Compliant",IF(OR(D39="No",D39="Expired",E39="Missing",F39="Not-Published",H39="Overdue-&gt;90-Days"),"Non-Compliant","Partial")))</f>
        <v/>
      </c>
      <c r="M39" s="16" t="n"/>
      <c r="N39" s="16" t="n"/>
    </row>
    <row r="40">
      <c r="A40" s="19">
        <f>IF(ROW()-5&lt;=COUNTA('Policy Inventory'!$A:$A)-4,INDEX('Policy Inventory'!$A:$A,ROW()-1),"")</f>
        <v/>
      </c>
      <c r="B40" s="19">
        <f>IF(A40&lt;&gt;"",VLOOKUP(A40,'Policy Inventory'!$A:$B,2,FALSE),"")</f>
        <v/>
      </c>
      <c r="C40" s="16" t="n"/>
      <c r="D40" s="16" t="n"/>
      <c r="E40" s="16" t="n"/>
      <c r="F40" s="16" t="n"/>
      <c r="G40" s="16" t="n"/>
      <c r="H40" s="19">
        <f>IF(B40="","",IF(VLOOKUP(A40,'Policy Inventory'!$A:$K,11,FALSE)&gt;=TODAY(),"Current",IF(VLOOKUP(A40,'Policy Inventory'!$A:$K,11,FALSE)&gt;=TODAY()-30,"Overdue-&lt;30-Days",IF(VLOOKUP(A40,'Policy Inventory'!$A:$K,11,FALSE)&gt;=TODAY()-90,"Overdue-30-90-Days","Overdue-&gt;90-Days"))))</f>
        <v/>
      </c>
      <c r="I40" s="16" t="n"/>
      <c r="J40" s="16" t="n"/>
      <c r="K40" s="16" t="n"/>
      <c r="L40" s="19">
        <f>IF(B40="","",IF(AND(D40="Yes",E40="Complete",F40="Published",OR(H40="Current",H40="Overdue-&lt;30-Days"),I40="Yes",J40&lt;&gt;"Poor"),"Compliant",IF(OR(D40="No",D40="Expired",E40="Missing",F40="Not-Published",H40="Overdue-&gt;90-Days"),"Non-Compliant","Partial")))</f>
        <v/>
      </c>
      <c r="M40" s="16" t="n"/>
      <c r="N40" s="16" t="n"/>
    </row>
    <row r="41">
      <c r="A41" s="19">
        <f>IF(ROW()-5&lt;=COUNTA('Policy Inventory'!$A:$A)-4,INDEX('Policy Inventory'!$A:$A,ROW()-1),"")</f>
        <v/>
      </c>
      <c r="B41" s="19">
        <f>IF(A41&lt;&gt;"",VLOOKUP(A41,'Policy Inventory'!$A:$B,2,FALSE),"")</f>
        <v/>
      </c>
      <c r="C41" s="16" t="n"/>
      <c r="D41" s="16" t="n"/>
      <c r="E41" s="16" t="n"/>
      <c r="F41" s="16" t="n"/>
      <c r="G41" s="16" t="n"/>
      <c r="H41" s="19">
        <f>IF(B41="","",IF(VLOOKUP(A41,'Policy Inventory'!$A:$K,11,FALSE)&gt;=TODAY(),"Current",IF(VLOOKUP(A41,'Policy Inventory'!$A:$K,11,FALSE)&gt;=TODAY()-30,"Overdue-&lt;30-Days",IF(VLOOKUP(A41,'Policy Inventory'!$A:$K,11,FALSE)&gt;=TODAY()-90,"Overdue-30-90-Days","Overdue-&gt;90-Days"))))</f>
        <v/>
      </c>
      <c r="I41" s="16" t="n"/>
      <c r="J41" s="16" t="n"/>
      <c r="K41" s="16" t="n"/>
      <c r="L41" s="19">
        <f>IF(B41="","",IF(AND(D41="Yes",E41="Complete",F41="Published",OR(H41="Current",H41="Overdue-&lt;30-Days"),I41="Yes",J41&lt;&gt;"Poor"),"Compliant",IF(OR(D41="No",D41="Expired",E41="Missing",F41="Not-Published",H41="Overdue-&gt;90-Days"),"Non-Compliant","Partial")))</f>
        <v/>
      </c>
      <c r="M41" s="16" t="n"/>
      <c r="N41" s="16" t="n"/>
    </row>
    <row r="42">
      <c r="A42" s="19">
        <f>IF(ROW()-5&lt;=COUNTA('Policy Inventory'!$A:$A)-4,INDEX('Policy Inventory'!$A:$A,ROW()-1),"")</f>
        <v/>
      </c>
      <c r="B42" s="19">
        <f>IF(A42&lt;&gt;"",VLOOKUP(A42,'Policy Inventory'!$A:$B,2,FALSE),"")</f>
        <v/>
      </c>
      <c r="C42" s="16" t="n"/>
      <c r="D42" s="16" t="n"/>
      <c r="E42" s="16" t="n"/>
      <c r="F42" s="16" t="n"/>
      <c r="G42" s="16" t="n"/>
      <c r="H42" s="19">
        <f>IF(B42="","",IF(VLOOKUP(A42,'Policy Inventory'!$A:$K,11,FALSE)&gt;=TODAY(),"Current",IF(VLOOKUP(A42,'Policy Inventory'!$A:$K,11,FALSE)&gt;=TODAY()-30,"Overdue-&lt;30-Days",IF(VLOOKUP(A42,'Policy Inventory'!$A:$K,11,FALSE)&gt;=TODAY()-90,"Overdue-30-90-Days","Overdue-&gt;90-Days"))))</f>
        <v/>
      </c>
      <c r="I42" s="16" t="n"/>
      <c r="J42" s="16" t="n"/>
      <c r="K42" s="16" t="n"/>
      <c r="L42" s="19">
        <f>IF(B42="","",IF(AND(D42="Yes",E42="Complete",F42="Published",OR(H42="Current",H42="Overdue-&lt;30-Days"),I42="Yes",J42&lt;&gt;"Poor"),"Compliant",IF(OR(D42="No",D42="Expired",E42="Missing",F42="Not-Published",H42="Overdue-&gt;90-Days"),"Non-Compliant","Partial")))</f>
        <v/>
      </c>
      <c r="M42" s="16" t="n"/>
      <c r="N42" s="16" t="n"/>
    </row>
    <row r="43">
      <c r="A43" s="19">
        <f>IF(ROW()-5&lt;=COUNTA('Policy Inventory'!$A:$A)-4,INDEX('Policy Inventory'!$A:$A,ROW()-1),"")</f>
        <v/>
      </c>
      <c r="B43" s="19">
        <f>IF(A43&lt;&gt;"",VLOOKUP(A43,'Policy Inventory'!$A:$B,2,FALSE),"")</f>
        <v/>
      </c>
      <c r="C43" s="16" t="n"/>
      <c r="D43" s="16" t="n"/>
      <c r="E43" s="16" t="n"/>
      <c r="F43" s="16" t="n"/>
      <c r="G43" s="16" t="n"/>
      <c r="H43" s="19">
        <f>IF(B43="","",IF(VLOOKUP(A43,'Policy Inventory'!$A:$K,11,FALSE)&gt;=TODAY(),"Current",IF(VLOOKUP(A43,'Policy Inventory'!$A:$K,11,FALSE)&gt;=TODAY()-30,"Overdue-&lt;30-Days",IF(VLOOKUP(A43,'Policy Inventory'!$A:$K,11,FALSE)&gt;=TODAY()-90,"Overdue-30-90-Days","Overdue-&gt;90-Days"))))</f>
        <v/>
      </c>
      <c r="I43" s="16" t="n"/>
      <c r="J43" s="16" t="n"/>
      <c r="K43" s="16" t="n"/>
      <c r="L43" s="19">
        <f>IF(B43="","",IF(AND(D43="Yes",E43="Complete",F43="Published",OR(H43="Current",H43="Overdue-&lt;30-Days"),I43="Yes",J43&lt;&gt;"Poor"),"Compliant",IF(OR(D43="No",D43="Expired",E43="Missing",F43="Not-Published",H43="Overdue-&gt;90-Days"),"Non-Compliant","Partial")))</f>
        <v/>
      </c>
      <c r="M43" s="16" t="n"/>
      <c r="N43" s="16" t="n"/>
    </row>
    <row r="44">
      <c r="A44" s="19">
        <f>IF(ROW()-5&lt;=COUNTA('Policy Inventory'!$A:$A)-4,INDEX('Policy Inventory'!$A:$A,ROW()-1),"")</f>
        <v/>
      </c>
      <c r="B44" s="19">
        <f>IF(A44&lt;&gt;"",VLOOKUP(A44,'Policy Inventory'!$A:$B,2,FALSE),"")</f>
        <v/>
      </c>
      <c r="C44" s="16" t="n"/>
      <c r="D44" s="16" t="n"/>
      <c r="E44" s="16" t="n"/>
      <c r="F44" s="16" t="n"/>
      <c r="G44" s="16" t="n"/>
      <c r="H44" s="19">
        <f>IF(B44="","",IF(VLOOKUP(A44,'Policy Inventory'!$A:$K,11,FALSE)&gt;=TODAY(),"Current",IF(VLOOKUP(A44,'Policy Inventory'!$A:$K,11,FALSE)&gt;=TODAY()-30,"Overdue-&lt;30-Days",IF(VLOOKUP(A44,'Policy Inventory'!$A:$K,11,FALSE)&gt;=TODAY()-90,"Overdue-30-90-Days","Overdue-&gt;90-Days"))))</f>
        <v/>
      </c>
      <c r="I44" s="16" t="n"/>
      <c r="J44" s="16" t="n"/>
      <c r="K44" s="16" t="n"/>
      <c r="L44" s="19">
        <f>IF(B44="","",IF(AND(D44="Yes",E44="Complete",F44="Published",OR(H44="Current",H44="Overdue-&lt;30-Days"),I44="Yes",J44&lt;&gt;"Poor"),"Compliant",IF(OR(D44="No",D44="Expired",E44="Missing",F44="Not-Published",H44="Overdue-&gt;90-Days"),"Non-Compliant","Partial")))</f>
        <v/>
      </c>
      <c r="M44" s="16" t="n"/>
      <c r="N44" s="16" t="n"/>
    </row>
    <row r="45">
      <c r="A45" s="19">
        <f>IF(ROW()-5&lt;=COUNTA('Policy Inventory'!$A:$A)-4,INDEX('Policy Inventory'!$A:$A,ROW()-1),"")</f>
        <v/>
      </c>
      <c r="B45" s="19">
        <f>IF(A45&lt;&gt;"",VLOOKUP(A45,'Policy Inventory'!$A:$B,2,FALSE),"")</f>
        <v/>
      </c>
      <c r="C45" s="16" t="n"/>
      <c r="D45" s="16" t="n"/>
      <c r="E45" s="16" t="n"/>
      <c r="F45" s="16" t="n"/>
      <c r="G45" s="16" t="n"/>
      <c r="H45" s="19">
        <f>IF(B45="","",IF(VLOOKUP(A45,'Policy Inventory'!$A:$K,11,FALSE)&gt;=TODAY(),"Current",IF(VLOOKUP(A45,'Policy Inventory'!$A:$K,11,FALSE)&gt;=TODAY()-30,"Overdue-&lt;30-Days",IF(VLOOKUP(A45,'Policy Inventory'!$A:$K,11,FALSE)&gt;=TODAY()-90,"Overdue-30-90-Days","Overdue-&gt;90-Days"))))</f>
        <v/>
      </c>
      <c r="I45" s="16" t="n"/>
      <c r="J45" s="16" t="n"/>
      <c r="K45" s="16" t="n"/>
      <c r="L45" s="19">
        <f>IF(B45="","",IF(AND(D45="Yes",E45="Complete",F45="Published",OR(H45="Current",H45="Overdue-&lt;30-Days"),I45="Yes",J45&lt;&gt;"Poor"),"Compliant",IF(OR(D45="No",D45="Expired",E45="Missing",F45="Not-Published",H45="Overdue-&gt;90-Days"),"Non-Compliant","Partial")))</f>
        <v/>
      </c>
      <c r="M45" s="16" t="n"/>
      <c r="N45" s="16" t="n"/>
    </row>
    <row r="46">
      <c r="A46" s="19">
        <f>IF(ROW()-5&lt;=COUNTA('Policy Inventory'!$A:$A)-4,INDEX('Policy Inventory'!$A:$A,ROW()-1),"")</f>
        <v/>
      </c>
      <c r="B46" s="19">
        <f>IF(A46&lt;&gt;"",VLOOKUP(A46,'Policy Inventory'!$A:$B,2,FALSE),"")</f>
        <v/>
      </c>
      <c r="C46" s="16" t="n"/>
      <c r="D46" s="16" t="n"/>
      <c r="E46" s="16" t="n"/>
      <c r="F46" s="16" t="n"/>
      <c r="G46" s="16" t="n"/>
      <c r="H46" s="19">
        <f>IF(B46="","",IF(VLOOKUP(A46,'Policy Inventory'!$A:$K,11,FALSE)&gt;=TODAY(),"Current",IF(VLOOKUP(A46,'Policy Inventory'!$A:$K,11,FALSE)&gt;=TODAY()-30,"Overdue-&lt;30-Days",IF(VLOOKUP(A46,'Policy Inventory'!$A:$K,11,FALSE)&gt;=TODAY()-90,"Overdue-30-90-Days","Overdue-&gt;90-Days"))))</f>
        <v/>
      </c>
      <c r="I46" s="16" t="n"/>
      <c r="J46" s="16" t="n"/>
      <c r="K46" s="16" t="n"/>
      <c r="L46" s="19">
        <f>IF(B46="","",IF(AND(D46="Yes",E46="Complete",F46="Published",OR(H46="Current",H46="Overdue-&lt;30-Days"),I46="Yes",J46&lt;&gt;"Poor"),"Compliant",IF(OR(D46="No",D46="Expired",E46="Missing",F46="Not-Published",H46="Overdue-&gt;90-Days"),"Non-Compliant","Partial")))</f>
        <v/>
      </c>
      <c r="M46" s="16" t="n"/>
      <c r="N46" s="16" t="n"/>
    </row>
    <row r="47">
      <c r="A47" s="19">
        <f>IF(ROW()-5&lt;=COUNTA('Policy Inventory'!$A:$A)-4,INDEX('Policy Inventory'!$A:$A,ROW()-1),"")</f>
        <v/>
      </c>
      <c r="B47" s="19">
        <f>IF(A47&lt;&gt;"",VLOOKUP(A47,'Policy Inventory'!$A:$B,2,FALSE),"")</f>
        <v/>
      </c>
      <c r="C47" s="16" t="n"/>
      <c r="D47" s="16" t="n"/>
      <c r="E47" s="16" t="n"/>
      <c r="F47" s="16" t="n"/>
      <c r="G47" s="16" t="n"/>
      <c r="H47" s="19">
        <f>IF(B47="","",IF(VLOOKUP(A47,'Policy Inventory'!$A:$K,11,FALSE)&gt;=TODAY(),"Current",IF(VLOOKUP(A47,'Policy Inventory'!$A:$K,11,FALSE)&gt;=TODAY()-30,"Overdue-&lt;30-Days",IF(VLOOKUP(A47,'Policy Inventory'!$A:$K,11,FALSE)&gt;=TODAY()-90,"Overdue-30-90-Days","Overdue-&gt;90-Days"))))</f>
        <v/>
      </c>
      <c r="I47" s="16" t="n"/>
      <c r="J47" s="16" t="n"/>
      <c r="K47" s="16" t="n"/>
      <c r="L47" s="19">
        <f>IF(B47="","",IF(AND(D47="Yes",E47="Complete",F47="Published",OR(H47="Current",H47="Overdue-&lt;30-Days"),I47="Yes",J47&lt;&gt;"Poor"),"Compliant",IF(OR(D47="No",D47="Expired",E47="Missing",F47="Not-Published",H47="Overdue-&gt;90-Days"),"Non-Compliant","Partial")))</f>
        <v/>
      </c>
      <c r="M47" s="16" t="n"/>
      <c r="N47" s="16" t="n"/>
    </row>
    <row r="48">
      <c r="A48" s="19">
        <f>IF(ROW()-5&lt;=COUNTA('Policy Inventory'!$A:$A)-4,INDEX('Policy Inventory'!$A:$A,ROW()-1),"")</f>
        <v/>
      </c>
      <c r="B48" s="19">
        <f>IF(A48&lt;&gt;"",VLOOKUP(A48,'Policy Inventory'!$A:$B,2,FALSE),"")</f>
        <v/>
      </c>
      <c r="C48" s="16" t="n"/>
      <c r="D48" s="16" t="n"/>
      <c r="E48" s="16" t="n"/>
      <c r="F48" s="16" t="n"/>
      <c r="G48" s="16" t="n"/>
      <c r="H48" s="19">
        <f>IF(B48="","",IF(VLOOKUP(A48,'Policy Inventory'!$A:$K,11,FALSE)&gt;=TODAY(),"Current",IF(VLOOKUP(A48,'Policy Inventory'!$A:$K,11,FALSE)&gt;=TODAY()-30,"Overdue-&lt;30-Days",IF(VLOOKUP(A48,'Policy Inventory'!$A:$K,11,FALSE)&gt;=TODAY()-90,"Overdue-30-90-Days","Overdue-&gt;90-Days"))))</f>
        <v/>
      </c>
      <c r="I48" s="16" t="n"/>
      <c r="J48" s="16" t="n"/>
      <c r="K48" s="16" t="n"/>
      <c r="L48" s="19">
        <f>IF(B48="","",IF(AND(D48="Yes",E48="Complete",F48="Published",OR(H48="Current",H48="Overdue-&lt;30-Days"),I48="Yes",J48&lt;&gt;"Poor"),"Compliant",IF(OR(D48="No",D48="Expired",E48="Missing",F48="Not-Published",H48="Overdue-&gt;90-Days"),"Non-Compliant","Partial")))</f>
        <v/>
      </c>
      <c r="M48" s="16" t="n"/>
      <c r="N48" s="16" t="n"/>
    </row>
    <row r="49">
      <c r="A49" s="19">
        <f>IF(ROW()-5&lt;=COUNTA('Policy Inventory'!$A:$A)-4,INDEX('Policy Inventory'!$A:$A,ROW()-1),"")</f>
        <v/>
      </c>
      <c r="B49" s="19">
        <f>IF(A49&lt;&gt;"",VLOOKUP(A49,'Policy Inventory'!$A:$B,2,FALSE),"")</f>
        <v/>
      </c>
      <c r="C49" s="16" t="n"/>
      <c r="D49" s="16" t="n"/>
      <c r="E49" s="16" t="n"/>
      <c r="F49" s="16" t="n"/>
      <c r="G49" s="16" t="n"/>
      <c r="H49" s="19">
        <f>IF(B49="","",IF(VLOOKUP(A49,'Policy Inventory'!$A:$K,11,FALSE)&gt;=TODAY(),"Current",IF(VLOOKUP(A49,'Policy Inventory'!$A:$K,11,FALSE)&gt;=TODAY()-30,"Overdue-&lt;30-Days",IF(VLOOKUP(A49,'Policy Inventory'!$A:$K,11,FALSE)&gt;=TODAY()-90,"Overdue-30-90-Days","Overdue-&gt;90-Days"))))</f>
        <v/>
      </c>
      <c r="I49" s="16" t="n"/>
      <c r="J49" s="16" t="n"/>
      <c r="K49" s="16" t="n"/>
      <c r="L49" s="19">
        <f>IF(B49="","",IF(AND(D49="Yes",E49="Complete",F49="Published",OR(H49="Current",H49="Overdue-&lt;30-Days"),I49="Yes",J49&lt;&gt;"Poor"),"Compliant",IF(OR(D49="No",D49="Expired",E49="Missing",F49="Not-Published",H49="Overdue-&gt;90-Days"),"Non-Compliant","Partial")))</f>
        <v/>
      </c>
      <c r="M49" s="16" t="n"/>
      <c r="N49" s="16" t="n"/>
    </row>
    <row r="50">
      <c r="A50" s="19">
        <f>IF(ROW()-5&lt;=COUNTA('Policy Inventory'!$A:$A)-4,INDEX('Policy Inventory'!$A:$A,ROW()-1),"")</f>
        <v/>
      </c>
      <c r="B50" s="19">
        <f>IF(A50&lt;&gt;"",VLOOKUP(A50,'Policy Inventory'!$A:$B,2,FALSE),"")</f>
        <v/>
      </c>
      <c r="C50" s="16" t="n"/>
      <c r="D50" s="16" t="n"/>
      <c r="E50" s="16" t="n"/>
      <c r="F50" s="16" t="n"/>
      <c r="G50" s="16" t="n"/>
      <c r="H50" s="19">
        <f>IF(B50="","",IF(VLOOKUP(A50,'Policy Inventory'!$A:$K,11,FALSE)&gt;=TODAY(),"Current",IF(VLOOKUP(A50,'Policy Inventory'!$A:$K,11,FALSE)&gt;=TODAY()-30,"Overdue-&lt;30-Days",IF(VLOOKUP(A50,'Policy Inventory'!$A:$K,11,FALSE)&gt;=TODAY()-90,"Overdue-30-90-Days","Overdue-&gt;90-Days"))))</f>
        <v/>
      </c>
      <c r="I50" s="16" t="n"/>
      <c r="J50" s="16" t="n"/>
      <c r="K50" s="16" t="n"/>
      <c r="L50" s="19">
        <f>IF(B50="","",IF(AND(D50="Yes",E50="Complete",F50="Published",OR(H50="Current",H50="Overdue-&lt;30-Days"),I50="Yes",J50&lt;&gt;"Poor"),"Compliant",IF(OR(D50="No",D50="Expired",E50="Missing",F50="Not-Published",H50="Overdue-&gt;90-Days"),"Non-Compliant","Partial")))</f>
        <v/>
      </c>
      <c r="M50" s="16" t="n"/>
      <c r="N50" s="16" t="n"/>
    </row>
    <row r="51">
      <c r="A51" s="19">
        <f>IF(ROW()-5&lt;=COUNTA('Policy Inventory'!$A:$A)-4,INDEX('Policy Inventory'!$A:$A,ROW()-1),"")</f>
        <v/>
      </c>
      <c r="B51" s="19">
        <f>IF(A51&lt;&gt;"",VLOOKUP(A51,'Policy Inventory'!$A:$B,2,FALSE),"")</f>
        <v/>
      </c>
      <c r="C51" s="16" t="n"/>
      <c r="D51" s="16" t="n"/>
      <c r="E51" s="16" t="n"/>
      <c r="F51" s="16" t="n"/>
      <c r="G51" s="16" t="n"/>
      <c r="H51" s="19">
        <f>IF(B51="","",IF(VLOOKUP(A51,'Policy Inventory'!$A:$K,11,FALSE)&gt;=TODAY(),"Current",IF(VLOOKUP(A51,'Policy Inventory'!$A:$K,11,FALSE)&gt;=TODAY()-30,"Overdue-&lt;30-Days",IF(VLOOKUP(A51,'Policy Inventory'!$A:$K,11,FALSE)&gt;=TODAY()-90,"Overdue-30-90-Days","Overdue-&gt;90-Days"))))</f>
        <v/>
      </c>
      <c r="I51" s="16" t="n"/>
      <c r="J51" s="16" t="n"/>
      <c r="K51" s="16" t="n"/>
      <c r="L51" s="19">
        <f>IF(B51="","",IF(AND(D51="Yes",E51="Complete",F51="Published",OR(H51="Current",H51="Overdue-&lt;30-Days"),I51="Yes",J51&lt;&gt;"Poor"),"Compliant",IF(OR(D51="No",D51="Expired",E51="Missing",F51="Not-Published",H51="Overdue-&gt;90-Days"),"Non-Compliant","Partial")))</f>
        <v/>
      </c>
      <c r="M51" s="16" t="n"/>
      <c r="N51" s="16" t="n"/>
    </row>
    <row r="52">
      <c r="A52" s="19">
        <f>IF(ROW()-5&lt;=COUNTA('Policy Inventory'!$A:$A)-4,INDEX('Policy Inventory'!$A:$A,ROW()-1),"")</f>
        <v/>
      </c>
      <c r="B52" s="19">
        <f>IF(A52&lt;&gt;"",VLOOKUP(A52,'Policy Inventory'!$A:$B,2,FALSE),"")</f>
        <v/>
      </c>
      <c r="C52" s="16" t="n"/>
      <c r="D52" s="16" t="n"/>
      <c r="E52" s="16" t="n"/>
      <c r="F52" s="16" t="n"/>
      <c r="G52" s="16" t="n"/>
      <c r="H52" s="19">
        <f>IF(B52="","",IF(VLOOKUP(A52,'Policy Inventory'!$A:$K,11,FALSE)&gt;=TODAY(),"Current",IF(VLOOKUP(A52,'Policy Inventory'!$A:$K,11,FALSE)&gt;=TODAY()-30,"Overdue-&lt;30-Days",IF(VLOOKUP(A52,'Policy Inventory'!$A:$K,11,FALSE)&gt;=TODAY()-90,"Overdue-30-90-Days","Overdue-&gt;90-Days"))))</f>
        <v/>
      </c>
      <c r="I52" s="16" t="n"/>
      <c r="J52" s="16" t="n"/>
      <c r="K52" s="16" t="n"/>
      <c r="L52" s="19">
        <f>IF(B52="","",IF(AND(D52="Yes",E52="Complete",F52="Published",OR(H52="Current",H52="Overdue-&lt;30-Days"),I52="Yes",J52&lt;&gt;"Poor"),"Compliant",IF(OR(D52="No",D52="Expired",E52="Missing",F52="Not-Published",H52="Overdue-&gt;90-Days"),"Non-Compliant","Partial")))</f>
        <v/>
      </c>
      <c r="M52" s="16" t="n"/>
      <c r="N52" s="16" t="n"/>
    </row>
    <row r="53">
      <c r="A53" s="19">
        <f>IF(ROW()-5&lt;=COUNTA('Policy Inventory'!$A:$A)-4,INDEX('Policy Inventory'!$A:$A,ROW()-1),"")</f>
        <v/>
      </c>
      <c r="B53" s="19">
        <f>IF(A53&lt;&gt;"",VLOOKUP(A53,'Policy Inventory'!$A:$B,2,FALSE),"")</f>
        <v/>
      </c>
      <c r="C53" s="16" t="n"/>
      <c r="D53" s="16" t="n"/>
      <c r="E53" s="16" t="n"/>
      <c r="F53" s="16" t="n"/>
      <c r="G53" s="16" t="n"/>
      <c r="H53" s="19">
        <f>IF(B53="","",IF(VLOOKUP(A53,'Policy Inventory'!$A:$K,11,FALSE)&gt;=TODAY(),"Current",IF(VLOOKUP(A53,'Policy Inventory'!$A:$K,11,FALSE)&gt;=TODAY()-30,"Overdue-&lt;30-Days",IF(VLOOKUP(A53,'Policy Inventory'!$A:$K,11,FALSE)&gt;=TODAY()-90,"Overdue-30-90-Days","Overdue-&gt;90-Days"))))</f>
        <v/>
      </c>
      <c r="I53" s="16" t="n"/>
      <c r="J53" s="16" t="n"/>
      <c r="K53" s="16" t="n"/>
      <c r="L53" s="19">
        <f>IF(B53="","",IF(AND(D53="Yes",E53="Complete",F53="Published",OR(H53="Current",H53="Overdue-&lt;30-Days"),I53="Yes",J53&lt;&gt;"Poor"),"Compliant",IF(OR(D53="No",D53="Expired",E53="Missing",F53="Not-Published",H53="Overdue-&gt;90-Days"),"Non-Compliant","Partial")))</f>
        <v/>
      </c>
      <c r="M53" s="16" t="n"/>
      <c r="N53" s="16" t="n"/>
    </row>
    <row r="54">
      <c r="A54" s="19">
        <f>IF(ROW()-5&lt;=COUNTA('Policy Inventory'!$A:$A)-4,INDEX('Policy Inventory'!$A:$A,ROW()-1),"")</f>
        <v/>
      </c>
      <c r="B54" s="19">
        <f>IF(A54&lt;&gt;"",VLOOKUP(A54,'Policy Inventory'!$A:$B,2,FALSE),"")</f>
        <v/>
      </c>
      <c r="C54" s="16" t="n"/>
      <c r="D54" s="16" t="n"/>
      <c r="E54" s="16" t="n"/>
      <c r="F54" s="16" t="n"/>
      <c r="G54" s="16" t="n"/>
      <c r="H54" s="19">
        <f>IF(B54="","",IF(VLOOKUP(A54,'Policy Inventory'!$A:$K,11,FALSE)&gt;=TODAY(),"Current",IF(VLOOKUP(A54,'Policy Inventory'!$A:$K,11,FALSE)&gt;=TODAY()-30,"Overdue-&lt;30-Days",IF(VLOOKUP(A54,'Policy Inventory'!$A:$K,11,FALSE)&gt;=TODAY()-90,"Overdue-30-90-Days","Overdue-&gt;90-Days"))))</f>
        <v/>
      </c>
      <c r="I54" s="16" t="n"/>
      <c r="J54" s="16" t="n"/>
      <c r="K54" s="16" t="n"/>
      <c r="L54" s="19">
        <f>IF(B54="","",IF(AND(D54="Yes",E54="Complete",F54="Published",OR(H54="Current",H54="Overdue-&lt;30-Days"),I54="Yes",J54&lt;&gt;"Poor"),"Compliant",IF(OR(D54="No",D54="Expired",E54="Missing",F54="Not-Published",H54="Overdue-&gt;90-Days"),"Non-Compliant","Partial")))</f>
        <v/>
      </c>
      <c r="M54" s="16" t="n"/>
      <c r="N54" s="16" t="n"/>
    </row>
    <row r="55">
      <c r="A55" s="19">
        <f>IF(ROW()-5&lt;=COUNTA('Policy Inventory'!$A:$A)-4,INDEX('Policy Inventory'!$A:$A,ROW()-1),"")</f>
        <v/>
      </c>
      <c r="B55" s="19">
        <f>IF(A55&lt;&gt;"",VLOOKUP(A55,'Policy Inventory'!$A:$B,2,FALSE),"")</f>
        <v/>
      </c>
      <c r="C55" s="16" t="n"/>
      <c r="D55" s="16" t="n"/>
      <c r="E55" s="16" t="n"/>
      <c r="F55" s="16" t="n"/>
      <c r="G55" s="16" t="n"/>
      <c r="H55" s="19">
        <f>IF(B55="","",IF(VLOOKUP(A55,'Policy Inventory'!$A:$K,11,FALSE)&gt;=TODAY(),"Current",IF(VLOOKUP(A55,'Policy Inventory'!$A:$K,11,FALSE)&gt;=TODAY()-30,"Overdue-&lt;30-Days",IF(VLOOKUP(A55,'Policy Inventory'!$A:$K,11,FALSE)&gt;=TODAY()-90,"Overdue-30-90-Days","Overdue-&gt;90-Days"))))</f>
        <v/>
      </c>
      <c r="I55" s="16" t="n"/>
      <c r="J55" s="16" t="n"/>
      <c r="K55" s="16" t="n"/>
      <c r="L55" s="19">
        <f>IF(B55="","",IF(AND(D55="Yes",E55="Complete",F55="Published",OR(H55="Current",H55="Overdue-&lt;30-Days"),I55="Yes",J55&lt;&gt;"Poor"),"Compliant",IF(OR(D55="No",D55="Expired",E55="Missing",F55="Not-Published",H55="Overdue-&gt;90-Days"),"Non-Compliant","Partial")))</f>
        <v/>
      </c>
      <c r="M55" s="16" t="n"/>
      <c r="N55" s="16" t="n"/>
    </row>
    <row r="56">
      <c r="A56" s="19">
        <f>IF(ROW()-5&lt;=COUNTA('Policy Inventory'!$A:$A)-4,INDEX('Policy Inventory'!$A:$A,ROW()-1),"")</f>
        <v/>
      </c>
      <c r="B56" s="19">
        <f>IF(A56&lt;&gt;"",VLOOKUP(A56,'Policy Inventory'!$A:$B,2,FALSE),"")</f>
        <v/>
      </c>
      <c r="C56" s="16" t="n"/>
      <c r="D56" s="16" t="n"/>
      <c r="E56" s="16" t="n"/>
      <c r="F56" s="16" t="n"/>
      <c r="G56" s="16" t="n"/>
      <c r="H56" s="19">
        <f>IF(B56="","",IF(VLOOKUP(A56,'Policy Inventory'!$A:$K,11,FALSE)&gt;=TODAY(),"Current",IF(VLOOKUP(A56,'Policy Inventory'!$A:$K,11,FALSE)&gt;=TODAY()-30,"Overdue-&lt;30-Days",IF(VLOOKUP(A56,'Policy Inventory'!$A:$K,11,FALSE)&gt;=TODAY()-90,"Overdue-30-90-Days","Overdue-&gt;90-Days"))))</f>
        <v/>
      </c>
      <c r="I56" s="16" t="n"/>
      <c r="J56" s="16" t="n"/>
      <c r="K56" s="16" t="n"/>
      <c r="L56" s="19">
        <f>IF(B56="","",IF(AND(D56="Yes",E56="Complete",F56="Published",OR(H56="Current",H56="Overdue-&lt;30-Days"),I56="Yes",J56&lt;&gt;"Poor"),"Compliant",IF(OR(D56="No",D56="Expired",E56="Missing",F56="Not-Published",H56="Overdue-&gt;90-Days"),"Non-Compliant","Partial")))</f>
        <v/>
      </c>
      <c r="M56" s="16" t="n"/>
      <c r="N56" s="16" t="n"/>
    </row>
    <row r="57">
      <c r="A57" s="19">
        <f>IF(ROW()-5&lt;=COUNTA('Policy Inventory'!$A:$A)-4,INDEX('Policy Inventory'!$A:$A,ROW()-1),"")</f>
        <v/>
      </c>
      <c r="B57" s="19">
        <f>IF(A57&lt;&gt;"",VLOOKUP(A57,'Policy Inventory'!$A:$B,2,FALSE),"")</f>
        <v/>
      </c>
      <c r="C57" s="16" t="n"/>
      <c r="D57" s="16" t="n"/>
      <c r="E57" s="16" t="n"/>
      <c r="F57" s="16" t="n"/>
      <c r="G57" s="16" t="n"/>
      <c r="H57" s="19">
        <f>IF(B57="","",IF(VLOOKUP(A57,'Policy Inventory'!$A:$K,11,FALSE)&gt;=TODAY(),"Current",IF(VLOOKUP(A57,'Policy Inventory'!$A:$K,11,FALSE)&gt;=TODAY()-30,"Overdue-&lt;30-Days",IF(VLOOKUP(A57,'Policy Inventory'!$A:$K,11,FALSE)&gt;=TODAY()-90,"Overdue-30-90-Days","Overdue-&gt;90-Days"))))</f>
        <v/>
      </c>
      <c r="I57" s="16" t="n"/>
      <c r="J57" s="16" t="n"/>
      <c r="K57" s="16" t="n"/>
      <c r="L57" s="19">
        <f>IF(B57="","",IF(AND(D57="Yes",E57="Complete",F57="Published",OR(H57="Current",H57="Overdue-&lt;30-Days"),I57="Yes",J57&lt;&gt;"Poor"),"Compliant",IF(OR(D57="No",D57="Expired",E57="Missing",F57="Not-Published",H57="Overdue-&gt;90-Days"),"Non-Compliant","Partial")))</f>
        <v/>
      </c>
      <c r="M57" s="16" t="n"/>
      <c r="N57" s="16" t="n"/>
    </row>
    <row r="58">
      <c r="A58" s="19">
        <f>IF(ROW()-5&lt;=COUNTA('Policy Inventory'!$A:$A)-4,INDEX('Policy Inventory'!$A:$A,ROW()-1),"")</f>
        <v/>
      </c>
      <c r="B58" s="19">
        <f>IF(A58&lt;&gt;"",VLOOKUP(A58,'Policy Inventory'!$A:$B,2,FALSE),"")</f>
        <v/>
      </c>
      <c r="C58" s="16" t="n"/>
      <c r="D58" s="16" t="n"/>
      <c r="E58" s="16" t="n"/>
      <c r="F58" s="16" t="n"/>
      <c r="G58" s="16" t="n"/>
      <c r="H58" s="19">
        <f>IF(B58="","",IF(VLOOKUP(A58,'Policy Inventory'!$A:$K,11,FALSE)&gt;=TODAY(),"Current",IF(VLOOKUP(A58,'Policy Inventory'!$A:$K,11,FALSE)&gt;=TODAY()-30,"Overdue-&lt;30-Days",IF(VLOOKUP(A58,'Policy Inventory'!$A:$K,11,FALSE)&gt;=TODAY()-90,"Overdue-30-90-Days","Overdue-&gt;90-Days"))))</f>
        <v/>
      </c>
      <c r="I58" s="16" t="n"/>
      <c r="J58" s="16" t="n"/>
      <c r="K58" s="16" t="n"/>
      <c r="L58" s="19">
        <f>IF(B58="","",IF(AND(D58="Yes",E58="Complete",F58="Published",OR(H58="Current",H58="Overdue-&lt;30-Days"),I58="Yes",J58&lt;&gt;"Poor"),"Compliant",IF(OR(D58="No",D58="Expired",E58="Missing",F58="Not-Published",H58="Overdue-&gt;90-Days"),"Non-Compliant","Partial")))</f>
        <v/>
      </c>
      <c r="M58" s="16" t="n"/>
      <c r="N58" s="16" t="n"/>
    </row>
    <row r="59">
      <c r="A59" s="19">
        <f>IF(ROW()-5&lt;=COUNTA('Policy Inventory'!$A:$A)-4,INDEX('Policy Inventory'!$A:$A,ROW()-1),"")</f>
        <v/>
      </c>
      <c r="B59" s="19">
        <f>IF(A59&lt;&gt;"",VLOOKUP(A59,'Policy Inventory'!$A:$B,2,FALSE),"")</f>
        <v/>
      </c>
      <c r="C59" s="16" t="n"/>
      <c r="D59" s="16" t="n"/>
      <c r="E59" s="16" t="n"/>
      <c r="F59" s="16" t="n"/>
      <c r="G59" s="16" t="n"/>
      <c r="H59" s="19">
        <f>IF(B59="","",IF(VLOOKUP(A59,'Policy Inventory'!$A:$K,11,FALSE)&gt;=TODAY(),"Current",IF(VLOOKUP(A59,'Policy Inventory'!$A:$K,11,FALSE)&gt;=TODAY()-30,"Overdue-&lt;30-Days",IF(VLOOKUP(A59,'Policy Inventory'!$A:$K,11,FALSE)&gt;=TODAY()-90,"Overdue-30-90-Days","Overdue-&gt;90-Days"))))</f>
        <v/>
      </c>
      <c r="I59" s="16" t="n"/>
      <c r="J59" s="16" t="n"/>
      <c r="K59" s="16" t="n"/>
      <c r="L59" s="19">
        <f>IF(B59="","",IF(AND(D59="Yes",E59="Complete",F59="Published",OR(H59="Current",H59="Overdue-&lt;30-Days"),I59="Yes",J59&lt;&gt;"Poor"),"Compliant",IF(OR(D59="No",D59="Expired",E59="Missing",F59="Not-Published",H59="Overdue-&gt;90-Days"),"Non-Compliant","Partial")))</f>
        <v/>
      </c>
      <c r="M59" s="16" t="n"/>
      <c r="N59" s="16" t="n"/>
    </row>
    <row r="60">
      <c r="A60" s="19">
        <f>IF(ROW()-5&lt;=COUNTA('Policy Inventory'!$A:$A)-4,INDEX('Policy Inventory'!$A:$A,ROW()-1),"")</f>
        <v/>
      </c>
      <c r="B60" s="19">
        <f>IF(A60&lt;&gt;"",VLOOKUP(A60,'Policy Inventory'!$A:$B,2,FALSE),"")</f>
        <v/>
      </c>
      <c r="C60" s="16" t="n"/>
      <c r="D60" s="16" t="n"/>
      <c r="E60" s="16" t="n"/>
      <c r="F60" s="16" t="n"/>
      <c r="G60" s="16" t="n"/>
      <c r="H60" s="19">
        <f>IF(B60="","",IF(VLOOKUP(A60,'Policy Inventory'!$A:$K,11,FALSE)&gt;=TODAY(),"Current",IF(VLOOKUP(A60,'Policy Inventory'!$A:$K,11,FALSE)&gt;=TODAY()-30,"Overdue-&lt;30-Days",IF(VLOOKUP(A60,'Policy Inventory'!$A:$K,11,FALSE)&gt;=TODAY()-90,"Overdue-30-90-Days","Overdue-&gt;90-Days"))))</f>
        <v/>
      </c>
      <c r="I60" s="16" t="n"/>
      <c r="J60" s="16" t="n"/>
      <c r="K60" s="16" t="n"/>
      <c r="L60" s="19">
        <f>IF(B60="","",IF(AND(D60="Yes",E60="Complete",F60="Published",OR(H60="Current",H60="Overdue-&lt;30-Days"),I60="Yes",J60&lt;&gt;"Poor"),"Compliant",IF(OR(D60="No",D60="Expired",E60="Missing",F60="Not-Published",H60="Overdue-&gt;90-Days"),"Non-Compliant","Partial")))</f>
        <v/>
      </c>
      <c r="M60" s="16" t="n"/>
      <c r="N60" s="16" t="n"/>
    </row>
    <row r="61">
      <c r="A61" s="19">
        <f>IF(ROW()-5&lt;=COUNTA('Policy Inventory'!$A:$A)-4,INDEX('Policy Inventory'!$A:$A,ROW()-1),"")</f>
        <v/>
      </c>
      <c r="B61" s="19">
        <f>IF(A61&lt;&gt;"",VLOOKUP(A61,'Policy Inventory'!$A:$B,2,FALSE),"")</f>
        <v/>
      </c>
      <c r="C61" s="16" t="n"/>
      <c r="D61" s="16" t="n"/>
      <c r="E61" s="16" t="n"/>
      <c r="F61" s="16" t="n"/>
      <c r="G61" s="16" t="n"/>
      <c r="H61" s="19">
        <f>IF(B61="","",IF(VLOOKUP(A61,'Policy Inventory'!$A:$K,11,FALSE)&gt;=TODAY(),"Current",IF(VLOOKUP(A61,'Policy Inventory'!$A:$K,11,FALSE)&gt;=TODAY()-30,"Overdue-&lt;30-Days",IF(VLOOKUP(A61,'Policy Inventory'!$A:$K,11,FALSE)&gt;=TODAY()-90,"Overdue-30-90-Days","Overdue-&gt;90-Days"))))</f>
        <v/>
      </c>
      <c r="I61" s="16" t="n"/>
      <c r="J61" s="16" t="n"/>
      <c r="K61" s="16" t="n"/>
      <c r="L61" s="19">
        <f>IF(B61="","",IF(AND(D61="Yes",E61="Complete",F61="Published",OR(H61="Current",H61="Overdue-&lt;30-Days"),I61="Yes",J61&lt;&gt;"Poor"),"Compliant",IF(OR(D61="No",D61="Expired",E61="Missing",F61="Not-Published",H61="Overdue-&gt;90-Days"),"Non-Compliant","Partial")))</f>
        <v/>
      </c>
      <c r="M61" s="16" t="n"/>
      <c r="N61" s="16" t="n"/>
    </row>
    <row r="62">
      <c r="A62" s="19">
        <f>IF(ROW()-5&lt;=COUNTA('Policy Inventory'!$A:$A)-4,INDEX('Policy Inventory'!$A:$A,ROW()-1),"")</f>
        <v/>
      </c>
      <c r="B62" s="19">
        <f>IF(A62&lt;&gt;"",VLOOKUP(A62,'Policy Inventory'!$A:$B,2,FALSE),"")</f>
        <v/>
      </c>
      <c r="C62" s="16" t="n"/>
      <c r="D62" s="16" t="n"/>
      <c r="E62" s="16" t="n"/>
      <c r="F62" s="16" t="n"/>
      <c r="G62" s="16" t="n"/>
      <c r="H62" s="19">
        <f>IF(B62="","",IF(VLOOKUP(A62,'Policy Inventory'!$A:$K,11,FALSE)&gt;=TODAY(),"Current",IF(VLOOKUP(A62,'Policy Inventory'!$A:$K,11,FALSE)&gt;=TODAY()-30,"Overdue-&lt;30-Days",IF(VLOOKUP(A62,'Policy Inventory'!$A:$K,11,FALSE)&gt;=TODAY()-90,"Overdue-30-90-Days","Overdue-&gt;90-Days"))))</f>
        <v/>
      </c>
      <c r="I62" s="16" t="n"/>
      <c r="J62" s="16" t="n"/>
      <c r="K62" s="16" t="n"/>
      <c r="L62" s="19">
        <f>IF(B62="","",IF(AND(D62="Yes",E62="Complete",F62="Published",OR(H62="Current",H62="Overdue-&lt;30-Days"),I62="Yes",J62&lt;&gt;"Poor"),"Compliant",IF(OR(D62="No",D62="Expired",E62="Missing",F62="Not-Published",H62="Overdue-&gt;90-Days"),"Non-Compliant","Partial")))</f>
        <v/>
      </c>
      <c r="M62" s="16" t="n"/>
      <c r="N62" s="16" t="n"/>
    </row>
    <row r="63">
      <c r="A63" s="19">
        <f>IF(ROW()-5&lt;=COUNTA('Policy Inventory'!$A:$A)-4,INDEX('Policy Inventory'!$A:$A,ROW()-1),"")</f>
        <v/>
      </c>
      <c r="B63" s="19">
        <f>IF(A63&lt;&gt;"",VLOOKUP(A63,'Policy Inventory'!$A:$B,2,FALSE),"")</f>
        <v/>
      </c>
      <c r="C63" s="16" t="n"/>
      <c r="D63" s="16" t="n"/>
      <c r="E63" s="16" t="n"/>
      <c r="F63" s="16" t="n"/>
      <c r="G63" s="16" t="n"/>
      <c r="H63" s="19">
        <f>IF(B63="","",IF(VLOOKUP(A63,'Policy Inventory'!$A:$K,11,FALSE)&gt;=TODAY(),"Current",IF(VLOOKUP(A63,'Policy Inventory'!$A:$K,11,FALSE)&gt;=TODAY()-30,"Overdue-&lt;30-Days",IF(VLOOKUP(A63,'Policy Inventory'!$A:$K,11,FALSE)&gt;=TODAY()-90,"Overdue-30-90-Days","Overdue-&gt;90-Days"))))</f>
        <v/>
      </c>
      <c r="I63" s="16" t="n"/>
      <c r="J63" s="16" t="n"/>
      <c r="K63" s="16" t="n"/>
      <c r="L63" s="19">
        <f>IF(B63="","",IF(AND(D63="Yes",E63="Complete",F63="Published",OR(H63="Current",H63="Overdue-&lt;30-Days"),I63="Yes",J63&lt;&gt;"Poor"),"Compliant",IF(OR(D63="No",D63="Expired",E63="Missing",F63="Not-Published",H63="Overdue-&gt;90-Days"),"Non-Compliant","Partial")))</f>
        <v/>
      </c>
      <c r="M63" s="16" t="n"/>
      <c r="N63" s="16" t="n"/>
    </row>
    <row r="64">
      <c r="A64" s="19">
        <f>IF(ROW()-5&lt;=COUNTA('Policy Inventory'!$A:$A)-4,INDEX('Policy Inventory'!$A:$A,ROW()-1),"")</f>
        <v/>
      </c>
      <c r="B64" s="19">
        <f>IF(A64&lt;&gt;"",VLOOKUP(A64,'Policy Inventory'!$A:$B,2,FALSE),"")</f>
        <v/>
      </c>
      <c r="C64" s="16" t="n"/>
      <c r="D64" s="16" t="n"/>
      <c r="E64" s="16" t="n"/>
      <c r="F64" s="16" t="n"/>
      <c r="G64" s="16" t="n"/>
      <c r="H64" s="19">
        <f>IF(B64="","",IF(VLOOKUP(A64,'Policy Inventory'!$A:$K,11,FALSE)&gt;=TODAY(),"Current",IF(VLOOKUP(A64,'Policy Inventory'!$A:$K,11,FALSE)&gt;=TODAY()-30,"Overdue-&lt;30-Days",IF(VLOOKUP(A64,'Policy Inventory'!$A:$K,11,FALSE)&gt;=TODAY()-90,"Overdue-30-90-Days","Overdue-&gt;90-Days"))))</f>
        <v/>
      </c>
      <c r="I64" s="16" t="n"/>
      <c r="J64" s="16" t="n"/>
      <c r="K64" s="16" t="n"/>
      <c r="L64" s="19">
        <f>IF(B64="","",IF(AND(D64="Yes",E64="Complete",F64="Published",OR(H64="Current",H64="Overdue-&lt;30-Days"),I64="Yes",J64&lt;&gt;"Poor"),"Compliant",IF(OR(D64="No",D64="Expired",E64="Missing",F64="Not-Published",H64="Overdue-&gt;90-Days"),"Non-Compliant","Partial")))</f>
        <v/>
      </c>
      <c r="M64" s="16" t="n"/>
      <c r="N64" s="16" t="n"/>
    </row>
    <row r="65">
      <c r="A65" s="19">
        <f>IF(ROW()-5&lt;=COUNTA('Policy Inventory'!$A:$A)-4,INDEX('Policy Inventory'!$A:$A,ROW()-1),"")</f>
        <v/>
      </c>
      <c r="B65" s="19">
        <f>IF(A65&lt;&gt;"",VLOOKUP(A65,'Policy Inventory'!$A:$B,2,FALSE),"")</f>
        <v/>
      </c>
      <c r="C65" s="16" t="n"/>
      <c r="D65" s="16" t="n"/>
      <c r="E65" s="16" t="n"/>
      <c r="F65" s="16" t="n"/>
      <c r="G65" s="16" t="n"/>
      <c r="H65" s="19">
        <f>IF(B65="","",IF(VLOOKUP(A65,'Policy Inventory'!$A:$K,11,FALSE)&gt;=TODAY(),"Current",IF(VLOOKUP(A65,'Policy Inventory'!$A:$K,11,FALSE)&gt;=TODAY()-30,"Overdue-&lt;30-Days",IF(VLOOKUP(A65,'Policy Inventory'!$A:$K,11,FALSE)&gt;=TODAY()-90,"Overdue-30-90-Days","Overdue-&gt;90-Days"))))</f>
        <v/>
      </c>
      <c r="I65" s="16" t="n"/>
      <c r="J65" s="16" t="n"/>
      <c r="K65" s="16" t="n"/>
      <c r="L65" s="19">
        <f>IF(B65="","",IF(AND(D65="Yes",E65="Complete",F65="Published",OR(H65="Current",H65="Overdue-&lt;30-Days"),I65="Yes",J65&lt;&gt;"Poor"),"Compliant",IF(OR(D65="No",D65="Expired",E65="Missing",F65="Not-Published",H65="Overdue-&gt;90-Days"),"Non-Compliant","Partial")))</f>
        <v/>
      </c>
      <c r="M65" s="16" t="n"/>
      <c r="N65" s="16" t="n"/>
    </row>
    <row r="66">
      <c r="A66" s="19">
        <f>IF(ROW()-5&lt;=COUNTA('Policy Inventory'!$A:$A)-4,INDEX('Policy Inventory'!$A:$A,ROW()-1),"")</f>
        <v/>
      </c>
      <c r="B66" s="19">
        <f>IF(A66&lt;&gt;"",VLOOKUP(A66,'Policy Inventory'!$A:$B,2,FALSE),"")</f>
        <v/>
      </c>
      <c r="C66" s="16" t="n"/>
      <c r="D66" s="16" t="n"/>
      <c r="E66" s="16" t="n"/>
      <c r="F66" s="16" t="n"/>
      <c r="G66" s="16" t="n"/>
      <c r="H66" s="19">
        <f>IF(B66="","",IF(VLOOKUP(A66,'Policy Inventory'!$A:$K,11,FALSE)&gt;=TODAY(),"Current",IF(VLOOKUP(A66,'Policy Inventory'!$A:$K,11,FALSE)&gt;=TODAY()-30,"Overdue-&lt;30-Days",IF(VLOOKUP(A66,'Policy Inventory'!$A:$K,11,FALSE)&gt;=TODAY()-90,"Overdue-30-90-Days","Overdue-&gt;90-Days"))))</f>
        <v/>
      </c>
      <c r="I66" s="16" t="n"/>
      <c r="J66" s="16" t="n"/>
      <c r="K66" s="16" t="n"/>
      <c r="L66" s="19">
        <f>IF(B66="","",IF(AND(D66="Yes",E66="Complete",F66="Published",OR(H66="Current",H66="Overdue-&lt;30-Days"),I66="Yes",J66&lt;&gt;"Poor"),"Compliant",IF(OR(D66="No",D66="Expired",E66="Missing",F66="Not-Published",H66="Overdue-&gt;90-Days"),"Non-Compliant","Partial")))</f>
        <v/>
      </c>
      <c r="M66" s="16" t="n"/>
      <c r="N66" s="16" t="n"/>
    </row>
    <row r="67">
      <c r="A67" s="19">
        <f>IF(ROW()-5&lt;=COUNTA('Policy Inventory'!$A:$A)-4,INDEX('Policy Inventory'!$A:$A,ROW()-1),"")</f>
        <v/>
      </c>
      <c r="B67" s="19">
        <f>IF(A67&lt;&gt;"",VLOOKUP(A67,'Policy Inventory'!$A:$B,2,FALSE),"")</f>
        <v/>
      </c>
      <c r="C67" s="16" t="n"/>
      <c r="D67" s="16" t="n"/>
      <c r="E67" s="16" t="n"/>
      <c r="F67" s="16" t="n"/>
      <c r="G67" s="16" t="n"/>
      <c r="H67" s="19">
        <f>IF(B67="","",IF(VLOOKUP(A67,'Policy Inventory'!$A:$K,11,FALSE)&gt;=TODAY(),"Current",IF(VLOOKUP(A67,'Policy Inventory'!$A:$K,11,FALSE)&gt;=TODAY()-30,"Overdue-&lt;30-Days",IF(VLOOKUP(A67,'Policy Inventory'!$A:$K,11,FALSE)&gt;=TODAY()-90,"Overdue-30-90-Days","Overdue-&gt;90-Days"))))</f>
        <v/>
      </c>
      <c r="I67" s="16" t="n"/>
      <c r="J67" s="16" t="n"/>
      <c r="K67" s="16" t="n"/>
      <c r="L67" s="19">
        <f>IF(B67="","",IF(AND(D67="Yes",E67="Complete",F67="Published",OR(H67="Current",H67="Overdue-&lt;30-Days"),I67="Yes",J67&lt;&gt;"Poor"),"Compliant",IF(OR(D67="No",D67="Expired",E67="Missing",F67="Not-Published",H67="Overdue-&gt;90-Days"),"Non-Compliant","Partial")))</f>
        <v/>
      </c>
      <c r="M67" s="16" t="n"/>
      <c r="N67" s="16" t="n"/>
    </row>
    <row r="68">
      <c r="A68" s="19">
        <f>IF(ROW()-5&lt;=COUNTA('Policy Inventory'!$A:$A)-4,INDEX('Policy Inventory'!$A:$A,ROW()-1),"")</f>
        <v/>
      </c>
      <c r="B68" s="19">
        <f>IF(A68&lt;&gt;"",VLOOKUP(A68,'Policy Inventory'!$A:$B,2,FALSE),"")</f>
        <v/>
      </c>
      <c r="C68" s="16" t="n"/>
      <c r="D68" s="16" t="n"/>
      <c r="E68" s="16" t="n"/>
      <c r="F68" s="16" t="n"/>
      <c r="G68" s="16" t="n"/>
      <c r="H68" s="19">
        <f>IF(B68="","",IF(VLOOKUP(A68,'Policy Inventory'!$A:$K,11,FALSE)&gt;=TODAY(),"Current",IF(VLOOKUP(A68,'Policy Inventory'!$A:$K,11,FALSE)&gt;=TODAY()-30,"Overdue-&lt;30-Days",IF(VLOOKUP(A68,'Policy Inventory'!$A:$K,11,FALSE)&gt;=TODAY()-90,"Overdue-30-90-Days","Overdue-&gt;90-Days"))))</f>
        <v/>
      </c>
      <c r="I68" s="16" t="n"/>
      <c r="J68" s="16" t="n"/>
      <c r="K68" s="16" t="n"/>
      <c r="L68" s="19">
        <f>IF(B68="","",IF(AND(D68="Yes",E68="Complete",F68="Published",OR(H68="Current",H68="Overdue-&lt;30-Days"),I68="Yes",J68&lt;&gt;"Poor"),"Compliant",IF(OR(D68="No",D68="Expired",E68="Missing",F68="Not-Published",H68="Overdue-&gt;90-Days"),"Non-Compliant","Partial")))</f>
        <v/>
      </c>
      <c r="M68" s="16" t="n"/>
      <c r="N68" s="16" t="n"/>
    </row>
    <row r="69">
      <c r="A69" s="19">
        <f>IF(ROW()-5&lt;=COUNTA('Policy Inventory'!$A:$A)-4,INDEX('Policy Inventory'!$A:$A,ROW()-1),"")</f>
        <v/>
      </c>
      <c r="B69" s="19">
        <f>IF(A69&lt;&gt;"",VLOOKUP(A69,'Policy Inventory'!$A:$B,2,FALSE),"")</f>
        <v/>
      </c>
      <c r="C69" s="16" t="n"/>
      <c r="D69" s="16" t="n"/>
      <c r="E69" s="16" t="n"/>
      <c r="F69" s="16" t="n"/>
      <c r="G69" s="16" t="n"/>
      <c r="H69" s="19">
        <f>IF(B69="","",IF(VLOOKUP(A69,'Policy Inventory'!$A:$K,11,FALSE)&gt;=TODAY(),"Current",IF(VLOOKUP(A69,'Policy Inventory'!$A:$K,11,FALSE)&gt;=TODAY()-30,"Overdue-&lt;30-Days",IF(VLOOKUP(A69,'Policy Inventory'!$A:$K,11,FALSE)&gt;=TODAY()-90,"Overdue-30-90-Days","Overdue-&gt;90-Days"))))</f>
        <v/>
      </c>
      <c r="I69" s="16" t="n"/>
      <c r="J69" s="16" t="n"/>
      <c r="K69" s="16" t="n"/>
      <c r="L69" s="19">
        <f>IF(B69="","",IF(AND(D69="Yes",E69="Complete",F69="Published",OR(H69="Current",H69="Overdue-&lt;30-Days"),I69="Yes",J69&lt;&gt;"Poor"),"Compliant",IF(OR(D69="No",D69="Expired",E69="Missing",F69="Not-Published",H69="Overdue-&gt;90-Days"),"Non-Compliant","Partial")))</f>
        <v/>
      </c>
      <c r="M69" s="16" t="n"/>
      <c r="N69" s="16" t="n"/>
    </row>
    <row r="70">
      <c r="A70" s="19">
        <f>IF(ROW()-5&lt;=COUNTA('Policy Inventory'!$A:$A)-4,INDEX('Policy Inventory'!$A:$A,ROW()-1),"")</f>
        <v/>
      </c>
      <c r="B70" s="19">
        <f>IF(A70&lt;&gt;"",VLOOKUP(A70,'Policy Inventory'!$A:$B,2,FALSE),"")</f>
        <v/>
      </c>
      <c r="C70" s="16" t="n"/>
      <c r="D70" s="16" t="n"/>
      <c r="E70" s="16" t="n"/>
      <c r="F70" s="16" t="n"/>
      <c r="G70" s="16" t="n"/>
      <c r="H70" s="19">
        <f>IF(B70="","",IF(VLOOKUP(A70,'Policy Inventory'!$A:$K,11,FALSE)&gt;=TODAY(),"Current",IF(VLOOKUP(A70,'Policy Inventory'!$A:$K,11,FALSE)&gt;=TODAY()-30,"Overdue-&lt;30-Days",IF(VLOOKUP(A70,'Policy Inventory'!$A:$K,11,FALSE)&gt;=TODAY()-90,"Overdue-30-90-Days","Overdue-&gt;90-Days"))))</f>
        <v/>
      </c>
      <c r="I70" s="16" t="n"/>
      <c r="J70" s="16" t="n"/>
      <c r="K70" s="16" t="n"/>
      <c r="L70" s="19">
        <f>IF(B70="","",IF(AND(D70="Yes",E70="Complete",F70="Published",OR(H70="Current",H70="Overdue-&lt;30-Days"),I70="Yes",J70&lt;&gt;"Poor"),"Compliant",IF(OR(D70="No",D70="Expired",E70="Missing",F70="Not-Published",H70="Overdue-&gt;90-Days"),"Non-Compliant","Partial")))</f>
        <v/>
      </c>
      <c r="M70" s="16" t="n"/>
      <c r="N70" s="16" t="n"/>
    </row>
    <row r="71">
      <c r="A71" s="19">
        <f>IF(ROW()-5&lt;=COUNTA('Policy Inventory'!$A:$A)-4,INDEX('Policy Inventory'!$A:$A,ROW()-1),"")</f>
        <v/>
      </c>
      <c r="B71" s="19">
        <f>IF(A71&lt;&gt;"",VLOOKUP(A71,'Policy Inventory'!$A:$B,2,FALSE),"")</f>
        <v/>
      </c>
      <c r="C71" s="16" t="n"/>
      <c r="D71" s="16" t="n"/>
      <c r="E71" s="16" t="n"/>
      <c r="F71" s="16" t="n"/>
      <c r="G71" s="16" t="n"/>
      <c r="H71" s="19">
        <f>IF(B71="","",IF(VLOOKUP(A71,'Policy Inventory'!$A:$K,11,FALSE)&gt;=TODAY(),"Current",IF(VLOOKUP(A71,'Policy Inventory'!$A:$K,11,FALSE)&gt;=TODAY()-30,"Overdue-&lt;30-Days",IF(VLOOKUP(A71,'Policy Inventory'!$A:$K,11,FALSE)&gt;=TODAY()-90,"Overdue-30-90-Days","Overdue-&gt;90-Days"))))</f>
        <v/>
      </c>
      <c r="I71" s="16" t="n"/>
      <c r="J71" s="16" t="n"/>
      <c r="K71" s="16" t="n"/>
      <c r="L71" s="19">
        <f>IF(B71="","",IF(AND(D71="Yes",E71="Complete",F71="Published",OR(H71="Current",H71="Overdue-&lt;30-Days"),I71="Yes",J71&lt;&gt;"Poor"),"Compliant",IF(OR(D71="No",D71="Expired",E71="Missing",F71="Not-Published",H71="Overdue-&gt;90-Days"),"Non-Compliant","Partial")))</f>
        <v/>
      </c>
      <c r="M71" s="16" t="n"/>
      <c r="N71" s="16" t="n"/>
    </row>
    <row r="72">
      <c r="A72" s="19">
        <f>IF(ROW()-5&lt;=COUNTA('Policy Inventory'!$A:$A)-4,INDEX('Policy Inventory'!$A:$A,ROW()-1),"")</f>
        <v/>
      </c>
      <c r="B72" s="19">
        <f>IF(A72&lt;&gt;"",VLOOKUP(A72,'Policy Inventory'!$A:$B,2,FALSE),"")</f>
        <v/>
      </c>
      <c r="C72" s="16" t="n"/>
      <c r="D72" s="16" t="n"/>
      <c r="E72" s="16" t="n"/>
      <c r="F72" s="16" t="n"/>
      <c r="G72" s="16" t="n"/>
      <c r="H72" s="19">
        <f>IF(B72="","",IF(VLOOKUP(A72,'Policy Inventory'!$A:$K,11,FALSE)&gt;=TODAY(),"Current",IF(VLOOKUP(A72,'Policy Inventory'!$A:$K,11,FALSE)&gt;=TODAY()-30,"Overdue-&lt;30-Days",IF(VLOOKUP(A72,'Policy Inventory'!$A:$K,11,FALSE)&gt;=TODAY()-90,"Overdue-30-90-Days","Overdue-&gt;90-Days"))))</f>
        <v/>
      </c>
      <c r="I72" s="16" t="n"/>
      <c r="J72" s="16" t="n"/>
      <c r="K72" s="16" t="n"/>
      <c r="L72" s="19">
        <f>IF(B72="","",IF(AND(D72="Yes",E72="Complete",F72="Published",OR(H72="Current",H72="Overdue-&lt;30-Days"),I72="Yes",J72&lt;&gt;"Poor"),"Compliant",IF(OR(D72="No",D72="Expired",E72="Missing",F72="Not-Published",H72="Overdue-&gt;90-Days"),"Non-Compliant","Partial")))</f>
        <v/>
      </c>
      <c r="M72" s="16" t="n"/>
      <c r="N72" s="16" t="n"/>
    </row>
    <row r="73">
      <c r="A73" s="19">
        <f>IF(ROW()-5&lt;=COUNTA('Policy Inventory'!$A:$A)-4,INDEX('Policy Inventory'!$A:$A,ROW()-1),"")</f>
        <v/>
      </c>
      <c r="B73" s="19">
        <f>IF(A73&lt;&gt;"",VLOOKUP(A73,'Policy Inventory'!$A:$B,2,FALSE),"")</f>
        <v/>
      </c>
      <c r="C73" s="16" t="n"/>
      <c r="D73" s="16" t="n"/>
      <c r="E73" s="16" t="n"/>
      <c r="F73" s="16" t="n"/>
      <c r="G73" s="16" t="n"/>
      <c r="H73" s="19">
        <f>IF(B73="","",IF(VLOOKUP(A73,'Policy Inventory'!$A:$K,11,FALSE)&gt;=TODAY(),"Current",IF(VLOOKUP(A73,'Policy Inventory'!$A:$K,11,FALSE)&gt;=TODAY()-30,"Overdue-&lt;30-Days",IF(VLOOKUP(A73,'Policy Inventory'!$A:$K,11,FALSE)&gt;=TODAY()-90,"Overdue-30-90-Days","Overdue-&gt;90-Days"))))</f>
        <v/>
      </c>
      <c r="I73" s="16" t="n"/>
      <c r="J73" s="16" t="n"/>
      <c r="K73" s="16" t="n"/>
      <c r="L73" s="19">
        <f>IF(B73="","",IF(AND(D73="Yes",E73="Complete",F73="Published",OR(H73="Current",H73="Overdue-&lt;30-Days"),I73="Yes",J73&lt;&gt;"Poor"),"Compliant",IF(OR(D73="No",D73="Expired",E73="Missing",F73="Not-Published",H73="Overdue-&gt;90-Days"),"Non-Compliant","Partial")))</f>
        <v/>
      </c>
      <c r="M73" s="16" t="n"/>
      <c r="N73" s="16" t="n"/>
    </row>
    <row r="74">
      <c r="A74" s="19">
        <f>IF(ROW()-5&lt;=COUNTA('Policy Inventory'!$A:$A)-4,INDEX('Policy Inventory'!$A:$A,ROW()-1),"")</f>
        <v/>
      </c>
      <c r="B74" s="19">
        <f>IF(A74&lt;&gt;"",VLOOKUP(A74,'Policy Inventory'!$A:$B,2,FALSE),"")</f>
        <v/>
      </c>
      <c r="C74" s="16" t="n"/>
      <c r="D74" s="16" t="n"/>
      <c r="E74" s="16" t="n"/>
      <c r="F74" s="16" t="n"/>
      <c r="G74" s="16" t="n"/>
      <c r="H74" s="19">
        <f>IF(B74="","",IF(VLOOKUP(A74,'Policy Inventory'!$A:$K,11,FALSE)&gt;=TODAY(),"Current",IF(VLOOKUP(A74,'Policy Inventory'!$A:$K,11,FALSE)&gt;=TODAY()-30,"Overdue-&lt;30-Days",IF(VLOOKUP(A74,'Policy Inventory'!$A:$K,11,FALSE)&gt;=TODAY()-90,"Overdue-30-90-Days","Overdue-&gt;90-Days"))))</f>
        <v/>
      </c>
      <c r="I74" s="16" t="n"/>
      <c r="J74" s="16" t="n"/>
      <c r="K74" s="16" t="n"/>
      <c r="L74" s="19">
        <f>IF(B74="","",IF(AND(D74="Yes",E74="Complete",F74="Published",OR(H74="Current",H74="Overdue-&lt;30-Days"),I74="Yes",J74&lt;&gt;"Poor"),"Compliant",IF(OR(D74="No",D74="Expired",E74="Missing",F74="Not-Published",H74="Overdue-&gt;90-Days"),"Non-Compliant","Partial")))</f>
        <v/>
      </c>
      <c r="M74" s="16" t="n"/>
      <c r="N74" s="16" t="n"/>
    </row>
    <row r="75">
      <c r="A75" s="19">
        <f>IF(ROW()-5&lt;=COUNTA('Policy Inventory'!$A:$A)-4,INDEX('Policy Inventory'!$A:$A,ROW()-1),"")</f>
        <v/>
      </c>
      <c r="B75" s="19">
        <f>IF(A75&lt;&gt;"",VLOOKUP(A75,'Policy Inventory'!$A:$B,2,FALSE),"")</f>
        <v/>
      </c>
      <c r="C75" s="16" t="n"/>
      <c r="D75" s="16" t="n"/>
      <c r="E75" s="16" t="n"/>
      <c r="F75" s="16" t="n"/>
      <c r="G75" s="16" t="n"/>
      <c r="H75" s="19">
        <f>IF(B75="","",IF(VLOOKUP(A75,'Policy Inventory'!$A:$K,11,FALSE)&gt;=TODAY(),"Current",IF(VLOOKUP(A75,'Policy Inventory'!$A:$K,11,FALSE)&gt;=TODAY()-30,"Overdue-&lt;30-Days",IF(VLOOKUP(A75,'Policy Inventory'!$A:$K,11,FALSE)&gt;=TODAY()-90,"Overdue-30-90-Days","Overdue-&gt;90-Days"))))</f>
        <v/>
      </c>
      <c r="I75" s="16" t="n"/>
      <c r="J75" s="16" t="n"/>
      <c r="K75" s="16" t="n"/>
      <c r="L75" s="19">
        <f>IF(B75="","",IF(AND(D75="Yes",E75="Complete",F75="Published",OR(H75="Current",H75="Overdue-&lt;30-Days"),I75="Yes",J75&lt;&gt;"Poor"),"Compliant",IF(OR(D75="No",D75="Expired",E75="Missing",F75="Not-Published",H75="Overdue-&gt;90-Days"),"Non-Compliant","Partial")))</f>
        <v/>
      </c>
      <c r="M75" s="16" t="n"/>
      <c r="N75" s="16" t="n"/>
    </row>
    <row r="76">
      <c r="A76" s="19">
        <f>IF(ROW()-5&lt;=COUNTA('Policy Inventory'!$A:$A)-4,INDEX('Policy Inventory'!$A:$A,ROW()-1),"")</f>
        <v/>
      </c>
      <c r="B76" s="19">
        <f>IF(A76&lt;&gt;"",VLOOKUP(A76,'Policy Inventory'!$A:$B,2,FALSE),"")</f>
        <v/>
      </c>
      <c r="C76" s="16" t="n"/>
      <c r="D76" s="16" t="n"/>
      <c r="E76" s="16" t="n"/>
      <c r="F76" s="16" t="n"/>
      <c r="G76" s="16" t="n"/>
      <c r="H76" s="19">
        <f>IF(B76="","",IF(VLOOKUP(A76,'Policy Inventory'!$A:$K,11,FALSE)&gt;=TODAY(),"Current",IF(VLOOKUP(A76,'Policy Inventory'!$A:$K,11,FALSE)&gt;=TODAY()-30,"Overdue-&lt;30-Days",IF(VLOOKUP(A76,'Policy Inventory'!$A:$K,11,FALSE)&gt;=TODAY()-90,"Overdue-30-90-Days","Overdue-&gt;90-Days"))))</f>
        <v/>
      </c>
      <c r="I76" s="16" t="n"/>
      <c r="J76" s="16" t="n"/>
      <c r="K76" s="16" t="n"/>
      <c r="L76" s="19">
        <f>IF(B76="","",IF(AND(D76="Yes",E76="Complete",F76="Published",OR(H76="Current",H76="Overdue-&lt;30-Days"),I76="Yes",J76&lt;&gt;"Poor"),"Compliant",IF(OR(D76="No",D76="Expired",E76="Missing",F76="Not-Published",H76="Overdue-&gt;90-Days"),"Non-Compliant","Partial")))</f>
        <v/>
      </c>
      <c r="M76" s="16" t="n"/>
      <c r="N76" s="16" t="n"/>
    </row>
    <row r="77">
      <c r="A77" s="19">
        <f>IF(ROW()-5&lt;=COUNTA('Policy Inventory'!$A:$A)-4,INDEX('Policy Inventory'!$A:$A,ROW()-1),"")</f>
        <v/>
      </c>
      <c r="B77" s="19">
        <f>IF(A77&lt;&gt;"",VLOOKUP(A77,'Policy Inventory'!$A:$B,2,FALSE),"")</f>
        <v/>
      </c>
      <c r="C77" s="16" t="n"/>
      <c r="D77" s="16" t="n"/>
      <c r="E77" s="16" t="n"/>
      <c r="F77" s="16" t="n"/>
      <c r="G77" s="16" t="n"/>
      <c r="H77" s="19">
        <f>IF(B77="","",IF(VLOOKUP(A77,'Policy Inventory'!$A:$K,11,FALSE)&gt;=TODAY(),"Current",IF(VLOOKUP(A77,'Policy Inventory'!$A:$K,11,FALSE)&gt;=TODAY()-30,"Overdue-&lt;30-Days",IF(VLOOKUP(A77,'Policy Inventory'!$A:$K,11,FALSE)&gt;=TODAY()-90,"Overdue-30-90-Days","Overdue-&gt;90-Days"))))</f>
        <v/>
      </c>
      <c r="I77" s="16" t="n"/>
      <c r="J77" s="16" t="n"/>
      <c r="K77" s="16" t="n"/>
      <c r="L77" s="19">
        <f>IF(B77="","",IF(AND(D77="Yes",E77="Complete",F77="Published",OR(H77="Current",H77="Overdue-&lt;30-Days"),I77="Yes",J77&lt;&gt;"Poor"),"Compliant",IF(OR(D77="No",D77="Expired",E77="Missing",F77="Not-Published",H77="Overdue-&gt;90-Days"),"Non-Compliant","Partial")))</f>
        <v/>
      </c>
      <c r="M77" s="16" t="n"/>
      <c r="N77" s="16" t="n"/>
    </row>
    <row r="78">
      <c r="A78" s="19">
        <f>IF(ROW()-5&lt;=COUNTA('Policy Inventory'!$A:$A)-4,INDEX('Policy Inventory'!$A:$A,ROW()-1),"")</f>
        <v/>
      </c>
      <c r="B78" s="19">
        <f>IF(A78&lt;&gt;"",VLOOKUP(A78,'Policy Inventory'!$A:$B,2,FALSE),"")</f>
        <v/>
      </c>
      <c r="C78" s="16" t="n"/>
      <c r="D78" s="16" t="n"/>
      <c r="E78" s="16" t="n"/>
      <c r="F78" s="16" t="n"/>
      <c r="G78" s="16" t="n"/>
      <c r="H78" s="19">
        <f>IF(B78="","",IF(VLOOKUP(A78,'Policy Inventory'!$A:$K,11,FALSE)&gt;=TODAY(),"Current",IF(VLOOKUP(A78,'Policy Inventory'!$A:$K,11,FALSE)&gt;=TODAY()-30,"Overdue-&lt;30-Days",IF(VLOOKUP(A78,'Policy Inventory'!$A:$K,11,FALSE)&gt;=TODAY()-90,"Overdue-30-90-Days","Overdue-&gt;90-Days"))))</f>
        <v/>
      </c>
      <c r="I78" s="16" t="n"/>
      <c r="J78" s="16" t="n"/>
      <c r="K78" s="16" t="n"/>
      <c r="L78" s="19">
        <f>IF(B78="","",IF(AND(D78="Yes",E78="Complete",F78="Published",OR(H78="Current",H78="Overdue-&lt;30-Days"),I78="Yes",J78&lt;&gt;"Poor"),"Compliant",IF(OR(D78="No",D78="Expired",E78="Missing",F78="Not-Published",H78="Overdue-&gt;90-Days"),"Non-Compliant","Partial")))</f>
        <v/>
      </c>
      <c r="M78" s="16" t="n"/>
      <c r="N78" s="16" t="n"/>
    </row>
    <row r="79">
      <c r="A79" s="19">
        <f>IF(ROW()-5&lt;=COUNTA('Policy Inventory'!$A:$A)-4,INDEX('Policy Inventory'!$A:$A,ROW()-1),"")</f>
        <v/>
      </c>
      <c r="B79" s="19">
        <f>IF(A79&lt;&gt;"",VLOOKUP(A79,'Policy Inventory'!$A:$B,2,FALSE),"")</f>
        <v/>
      </c>
      <c r="C79" s="16" t="n"/>
      <c r="D79" s="16" t="n"/>
      <c r="E79" s="16" t="n"/>
      <c r="F79" s="16" t="n"/>
      <c r="G79" s="16" t="n"/>
      <c r="H79" s="19">
        <f>IF(B79="","",IF(VLOOKUP(A79,'Policy Inventory'!$A:$K,11,FALSE)&gt;=TODAY(),"Current",IF(VLOOKUP(A79,'Policy Inventory'!$A:$K,11,FALSE)&gt;=TODAY()-30,"Overdue-&lt;30-Days",IF(VLOOKUP(A79,'Policy Inventory'!$A:$K,11,FALSE)&gt;=TODAY()-90,"Overdue-30-90-Days","Overdue-&gt;90-Days"))))</f>
        <v/>
      </c>
      <c r="I79" s="16" t="n"/>
      <c r="J79" s="16" t="n"/>
      <c r="K79" s="16" t="n"/>
      <c r="L79" s="19">
        <f>IF(B79="","",IF(AND(D79="Yes",E79="Complete",F79="Published",OR(H79="Current",H79="Overdue-&lt;30-Days"),I79="Yes",J79&lt;&gt;"Poor"),"Compliant",IF(OR(D79="No",D79="Expired",E79="Missing",F79="Not-Published",H79="Overdue-&gt;90-Days"),"Non-Compliant","Partial")))</f>
        <v/>
      </c>
      <c r="M79" s="16" t="n"/>
      <c r="N79" s="16" t="n"/>
    </row>
    <row r="80">
      <c r="A80" s="19">
        <f>IF(ROW()-5&lt;=COUNTA('Policy Inventory'!$A:$A)-4,INDEX('Policy Inventory'!$A:$A,ROW()-1),"")</f>
        <v/>
      </c>
      <c r="B80" s="19">
        <f>IF(A80&lt;&gt;"",VLOOKUP(A80,'Policy Inventory'!$A:$B,2,FALSE),"")</f>
        <v/>
      </c>
      <c r="C80" s="16" t="n"/>
      <c r="D80" s="16" t="n"/>
      <c r="E80" s="16" t="n"/>
      <c r="F80" s="16" t="n"/>
      <c r="G80" s="16" t="n"/>
      <c r="H80" s="19">
        <f>IF(B80="","",IF(VLOOKUP(A80,'Policy Inventory'!$A:$K,11,FALSE)&gt;=TODAY(),"Current",IF(VLOOKUP(A80,'Policy Inventory'!$A:$K,11,FALSE)&gt;=TODAY()-30,"Overdue-&lt;30-Days",IF(VLOOKUP(A80,'Policy Inventory'!$A:$K,11,FALSE)&gt;=TODAY()-90,"Overdue-30-90-Days","Overdue-&gt;90-Days"))))</f>
        <v/>
      </c>
      <c r="I80" s="16" t="n"/>
      <c r="J80" s="16" t="n"/>
      <c r="K80" s="16" t="n"/>
      <c r="L80" s="19">
        <f>IF(B80="","",IF(AND(D80="Yes",E80="Complete",F80="Published",OR(H80="Current",H80="Overdue-&lt;30-Days"),I80="Yes",J80&lt;&gt;"Poor"),"Compliant",IF(OR(D80="No",D80="Expired",E80="Missing",F80="Not-Published",H80="Overdue-&gt;90-Days"),"Non-Compliant","Partial")))</f>
        <v/>
      </c>
      <c r="M80" s="16" t="n"/>
      <c r="N80" s="16" t="n"/>
    </row>
    <row r="81">
      <c r="A81" s="19">
        <f>IF(ROW()-5&lt;=COUNTA('Policy Inventory'!$A:$A)-4,INDEX('Policy Inventory'!$A:$A,ROW()-1),"")</f>
        <v/>
      </c>
      <c r="B81" s="19">
        <f>IF(A81&lt;&gt;"",VLOOKUP(A81,'Policy Inventory'!$A:$B,2,FALSE),"")</f>
        <v/>
      </c>
      <c r="C81" s="16" t="n"/>
      <c r="D81" s="16" t="n"/>
      <c r="E81" s="16" t="n"/>
      <c r="F81" s="16" t="n"/>
      <c r="G81" s="16" t="n"/>
      <c r="H81" s="19">
        <f>IF(B81="","",IF(VLOOKUP(A81,'Policy Inventory'!$A:$K,11,FALSE)&gt;=TODAY(),"Current",IF(VLOOKUP(A81,'Policy Inventory'!$A:$K,11,FALSE)&gt;=TODAY()-30,"Overdue-&lt;30-Days",IF(VLOOKUP(A81,'Policy Inventory'!$A:$K,11,FALSE)&gt;=TODAY()-90,"Overdue-30-90-Days","Overdue-&gt;90-Days"))))</f>
        <v/>
      </c>
      <c r="I81" s="16" t="n"/>
      <c r="J81" s="16" t="n"/>
      <c r="K81" s="16" t="n"/>
      <c r="L81" s="19">
        <f>IF(B81="","",IF(AND(D81="Yes",E81="Complete",F81="Published",OR(H81="Current",H81="Overdue-&lt;30-Days"),I81="Yes",J81&lt;&gt;"Poor"),"Compliant",IF(OR(D81="No",D81="Expired",E81="Missing",F81="Not-Published",H81="Overdue-&gt;90-Days"),"Non-Compliant","Partial")))</f>
        <v/>
      </c>
      <c r="M81" s="16" t="n"/>
      <c r="N81" s="16" t="n"/>
    </row>
    <row r="82">
      <c r="A82" s="19">
        <f>IF(ROW()-5&lt;=COUNTA('Policy Inventory'!$A:$A)-4,INDEX('Policy Inventory'!$A:$A,ROW()-1),"")</f>
        <v/>
      </c>
      <c r="B82" s="19">
        <f>IF(A82&lt;&gt;"",VLOOKUP(A82,'Policy Inventory'!$A:$B,2,FALSE),"")</f>
        <v/>
      </c>
      <c r="C82" s="16" t="n"/>
      <c r="D82" s="16" t="n"/>
      <c r="E82" s="16" t="n"/>
      <c r="F82" s="16" t="n"/>
      <c r="G82" s="16" t="n"/>
      <c r="H82" s="19">
        <f>IF(B82="","",IF(VLOOKUP(A82,'Policy Inventory'!$A:$K,11,FALSE)&gt;=TODAY(),"Current",IF(VLOOKUP(A82,'Policy Inventory'!$A:$K,11,FALSE)&gt;=TODAY()-30,"Overdue-&lt;30-Days",IF(VLOOKUP(A82,'Policy Inventory'!$A:$K,11,FALSE)&gt;=TODAY()-90,"Overdue-30-90-Days","Overdue-&gt;90-Days"))))</f>
        <v/>
      </c>
      <c r="I82" s="16" t="n"/>
      <c r="J82" s="16" t="n"/>
      <c r="K82" s="16" t="n"/>
      <c r="L82" s="19">
        <f>IF(B82="","",IF(AND(D82="Yes",E82="Complete",F82="Published",OR(H82="Current",H82="Overdue-&lt;30-Days"),I82="Yes",J82&lt;&gt;"Poor"),"Compliant",IF(OR(D82="No",D82="Expired",E82="Missing",F82="Not-Published",H82="Overdue-&gt;90-Days"),"Non-Compliant","Partial")))</f>
        <v/>
      </c>
      <c r="M82" s="16" t="n"/>
      <c r="N82" s="16" t="n"/>
    </row>
    <row r="83">
      <c r="A83" s="19">
        <f>IF(ROW()-5&lt;=COUNTA('Policy Inventory'!$A:$A)-4,INDEX('Policy Inventory'!$A:$A,ROW()-1),"")</f>
        <v/>
      </c>
      <c r="B83" s="19">
        <f>IF(A83&lt;&gt;"",VLOOKUP(A83,'Policy Inventory'!$A:$B,2,FALSE),"")</f>
        <v/>
      </c>
      <c r="C83" s="16" t="n"/>
      <c r="D83" s="16" t="n"/>
      <c r="E83" s="16" t="n"/>
      <c r="F83" s="16" t="n"/>
      <c r="G83" s="16" t="n"/>
      <c r="H83" s="19">
        <f>IF(B83="","",IF(VLOOKUP(A83,'Policy Inventory'!$A:$K,11,FALSE)&gt;=TODAY(),"Current",IF(VLOOKUP(A83,'Policy Inventory'!$A:$K,11,FALSE)&gt;=TODAY()-30,"Overdue-&lt;30-Days",IF(VLOOKUP(A83,'Policy Inventory'!$A:$K,11,FALSE)&gt;=TODAY()-90,"Overdue-30-90-Days","Overdue-&gt;90-Days"))))</f>
        <v/>
      </c>
      <c r="I83" s="16" t="n"/>
      <c r="J83" s="16" t="n"/>
      <c r="K83" s="16" t="n"/>
      <c r="L83" s="19">
        <f>IF(B83="","",IF(AND(D83="Yes",E83="Complete",F83="Published",OR(H83="Current",H83="Overdue-&lt;30-Days"),I83="Yes",J83&lt;&gt;"Poor"),"Compliant",IF(OR(D83="No",D83="Expired",E83="Missing",F83="Not-Published",H83="Overdue-&gt;90-Days"),"Non-Compliant","Partial")))</f>
        <v/>
      </c>
      <c r="M83" s="16" t="n"/>
      <c r="N83" s="16" t="n"/>
    </row>
    <row r="84">
      <c r="A84" s="19">
        <f>IF(ROW()-5&lt;=COUNTA('Policy Inventory'!$A:$A)-4,INDEX('Policy Inventory'!$A:$A,ROW()-1),"")</f>
        <v/>
      </c>
      <c r="B84" s="19">
        <f>IF(A84&lt;&gt;"",VLOOKUP(A84,'Policy Inventory'!$A:$B,2,FALSE),"")</f>
        <v/>
      </c>
      <c r="C84" s="16" t="n"/>
      <c r="D84" s="16" t="n"/>
      <c r="E84" s="16" t="n"/>
      <c r="F84" s="16" t="n"/>
      <c r="G84" s="16" t="n"/>
      <c r="H84" s="19">
        <f>IF(B84="","",IF(VLOOKUP(A84,'Policy Inventory'!$A:$K,11,FALSE)&gt;=TODAY(),"Current",IF(VLOOKUP(A84,'Policy Inventory'!$A:$K,11,FALSE)&gt;=TODAY()-30,"Overdue-&lt;30-Days",IF(VLOOKUP(A84,'Policy Inventory'!$A:$K,11,FALSE)&gt;=TODAY()-90,"Overdue-30-90-Days","Overdue-&gt;90-Days"))))</f>
        <v/>
      </c>
      <c r="I84" s="16" t="n"/>
      <c r="J84" s="16" t="n"/>
      <c r="K84" s="16" t="n"/>
      <c r="L84" s="19">
        <f>IF(B84="","",IF(AND(D84="Yes",E84="Complete",F84="Published",OR(H84="Current",H84="Overdue-&lt;30-Days"),I84="Yes",J84&lt;&gt;"Poor"),"Compliant",IF(OR(D84="No",D84="Expired",E84="Missing",F84="Not-Published",H84="Overdue-&gt;90-Days"),"Non-Compliant","Partial")))</f>
        <v/>
      </c>
      <c r="M84" s="16" t="n"/>
      <c r="N84" s="16" t="n"/>
    </row>
    <row r="85">
      <c r="A85" s="19">
        <f>IF(ROW()-5&lt;=COUNTA('Policy Inventory'!$A:$A)-4,INDEX('Policy Inventory'!$A:$A,ROW()-1),"")</f>
        <v/>
      </c>
      <c r="B85" s="19">
        <f>IF(A85&lt;&gt;"",VLOOKUP(A85,'Policy Inventory'!$A:$B,2,FALSE),"")</f>
        <v/>
      </c>
      <c r="C85" s="16" t="n"/>
      <c r="D85" s="16" t="n"/>
      <c r="E85" s="16" t="n"/>
      <c r="F85" s="16" t="n"/>
      <c r="G85" s="16" t="n"/>
      <c r="H85" s="19">
        <f>IF(B85="","",IF(VLOOKUP(A85,'Policy Inventory'!$A:$K,11,FALSE)&gt;=TODAY(),"Current",IF(VLOOKUP(A85,'Policy Inventory'!$A:$K,11,FALSE)&gt;=TODAY()-30,"Overdue-&lt;30-Days",IF(VLOOKUP(A85,'Policy Inventory'!$A:$K,11,FALSE)&gt;=TODAY()-90,"Overdue-30-90-Days","Overdue-&gt;90-Days"))))</f>
        <v/>
      </c>
      <c r="I85" s="16" t="n"/>
      <c r="J85" s="16" t="n"/>
      <c r="K85" s="16" t="n"/>
      <c r="L85" s="19">
        <f>IF(B85="","",IF(AND(D85="Yes",E85="Complete",F85="Published",OR(H85="Current",H85="Overdue-&lt;30-Days"),I85="Yes",J85&lt;&gt;"Poor"),"Compliant",IF(OR(D85="No",D85="Expired",E85="Missing",F85="Not-Published",H85="Overdue-&gt;90-Days"),"Non-Compliant","Partial")))</f>
        <v/>
      </c>
      <c r="M85" s="16" t="n"/>
      <c r="N85" s="16" t="n"/>
    </row>
    <row r="86">
      <c r="A86" s="19">
        <f>IF(ROW()-5&lt;=COUNTA('Policy Inventory'!$A:$A)-4,INDEX('Policy Inventory'!$A:$A,ROW()-1),"")</f>
        <v/>
      </c>
      <c r="B86" s="19">
        <f>IF(A86&lt;&gt;"",VLOOKUP(A86,'Policy Inventory'!$A:$B,2,FALSE),"")</f>
        <v/>
      </c>
      <c r="C86" s="16" t="n"/>
      <c r="D86" s="16" t="n"/>
      <c r="E86" s="16" t="n"/>
      <c r="F86" s="16" t="n"/>
      <c r="G86" s="16" t="n"/>
      <c r="H86" s="19">
        <f>IF(B86="","",IF(VLOOKUP(A86,'Policy Inventory'!$A:$K,11,FALSE)&gt;=TODAY(),"Current",IF(VLOOKUP(A86,'Policy Inventory'!$A:$K,11,FALSE)&gt;=TODAY()-30,"Overdue-&lt;30-Days",IF(VLOOKUP(A86,'Policy Inventory'!$A:$K,11,FALSE)&gt;=TODAY()-90,"Overdue-30-90-Days","Overdue-&gt;90-Days"))))</f>
        <v/>
      </c>
      <c r="I86" s="16" t="n"/>
      <c r="J86" s="16" t="n"/>
      <c r="K86" s="16" t="n"/>
      <c r="L86" s="19">
        <f>IF(B86="","",IF(AND(D86="Yes",E86="Complete",F86="Published",OR(H86="Current",H86="Overdue-&lt;30-Days"),I86="Yes",J86&lt;&gt;"Poor"),"Compliant",IF(OR(D86="No",D86="Expired",E86="Missing",F86="Not-Published",H86="Overdue-&gt;90-Days"),"Non-Compliant","Partial")))</f>
        <v/>
      </c>
      <c r="M86" s="16" t="n"/>
      <c r="N86" s="16" t="n"/>
    </row>
    <row r="87">
      <c r="A87" s="19">
        <f>IF(ROW()-5&lt;=COUNTA('Policy Inventory'!$A:$A)-4,INDEX('Policy Inventory'!$A:$A,ROW()-1),"")</f>
        <v/>
      </c>
      <c r="B87" s="19">
        <f>IF(A87&lt;&gt;"",VLOOKUP(A87,'Policy Inventory'!$A:$B,2,FALSE),"")</f>
        <v/>
      </c>
      <c r="C87" s="16" t="n"/>
      <c r="D87" s="16" t="n"/>
      <c r="E87" s="16" t="n"/>
      <c r="F87" s="16" t="n"/>
      <c r="G87" s="16" t="n"/>
      <c r="H87" s="19">
        <f>IF(B87="","",IF(VLOOKUP(A87,'Policy Inventory'!$A:$K,11,FALSE)&gt;=TODAY(),"Current",IF(VLOOKUP(A87,'Policy Inventory'!$A:$K,11,FALSE)&gt;=TODAY()-30,"Overdue-&lt;30-Days",IF(VLOOKUP(A87,'Policy Inventory'!$A:$K,11,FALSE)&gt;=TODAY()-90,"Overdue-30-90-Days","Overdue-&gt;90-Days"))))</f>
        <v/>
      </c>
      <c r="I87" s="16" t="n"/>
      <c r="J87" s="16" t="n"/>
      <c r="K87" s="16" t="n"/>
      <c r="L87" s="19">
        <f>IF(B87="","",IF(AND(D87="Yes",E87="Complete",F87="Published",OR(H87="Current",H87="Overdue-&lt;30-Days"),I87="Yes",J87&lt;&gt;"Poor"),"Compliant",IF(OR(D87="No",D87="Expired",E87="Missing",F87="Not-Published",H87="Overdue-&gt;90-Days"),"Non-Compliant","Partial")))</f>
        <v/>
      </c>
      <c r="M87" s="16" t="n"/>
      <c r="N87" s="16" t="n"/>
    </row>
    <row r="88">
      <c r="A88" s="19">
        <f>IF(ROW()-5&lt;=COUNTA('Policy Inventory'!$A:$A)-4,INDEX('Policy Inventory'!$A:$A,ROW()-1),"")</f>
        <v/>
      </c>
      <c r="B88" s="19">
        <f>IF(A88&lt;&gt;"",VLOOKUP(A88,'Policy Inventory'!$A:$B,2,FALSE),"")</f>
        <v/>
      </c>
      <c r="C88" s="16" t="n"/>
      <c r="D88" s="16" t="n"/>
      <c r="E88" s="16" t="n"/>
      <c r="F88" s="16" t="n"/>
      <c r="G88" s="16" t="n"/>
      <c r="H88" s="19">
        <f>IF(B88="","",IF(VLOOKUP(A88,'Policy Inventory'!$A:$K,11,FALSE)&gt;=TODAY(),"Current",IF(VLOOKUP(A88,'Policy Inventory'!$A:$K,11,FALSE)&gt;=TODAY()-30,"Overdue-&lt;30-Days",IF(VLOOKUP(A88,'Policy Inventory'!$A:$K,11,FALSE)&gt;=TODAY()-90,"Overdue-30-90-Days","Overdue-&gt;90-Days"))))</f>
        <v/>
      </c>
      <c r="I88" s="16" t="n"/>
      <c r="J88" s="16" t="n"/>
      <c r="K88" s="16" t="n"/>
      <c r="L88" s="19">
        <f>IF(B88="","",IF(AND(D88="Yes",E88="Complete",F88="Published",OR(H88="Current",H88="Overdue-&lt;30-Days"),I88="Yes",J88&lt;&gt;"Poor"),"Compliant",IF(OR(D88="No",D88="Expired",E88="Missing",F88="Not-Published",H88="Overdue-&gt;90-Days"),"Non-Compliant","Partial")))</f>
        <v/>
      </c>
      <c r="M88" s="16" t="n"/>
      <c r="N88" s="16" t="n"/>
    </row>
    <row r="89">
      <c r="A89" s="19">
        <f>IF(ROW()-5&lt;=COUNTA('Policy Inventory'!$A:$A)-4,INDEX('Policy Inventory'!$A:$A,ROW()-1),"")</f>
        <v/>
      </c>
      <c r="B89" s="19">
        <f>IF(A89&lt;&gt;"",VLOOKUP(A89,'Policy Inventory'!$A:$B,2,FALSE),"")</f>
        <v/>
      </c>
      <c r="C89" s="16" t="n"/>
      <c r="D89" s="16" t="n"/>
      <c r="E89" s="16" t="n"/>
      <c r="F89" s="16" t="n"/>
      <c r="G89" s="16" t="n"/>
      <c r="H89" s="19">
        <f>IF(B89="","",IF(VLOOKUP(A89,'Policy Inventory'!$A:$K,11,FALSE)&gt;=TODAY(),"Current",IF(VLOOKUP(A89,'Policy Inventory'!$A:$K,11,FALSE)&gt;=TODAY()-30,"Overdue-&lt;30-Days",IF(VLOOKUP(A89,'Policy Inventory'!$A:$K,11,FALSE)&gt;=TODAY()-90,"Overdue-30-90-Days","Overdue-&gt;90-Days"))))</f>
        <v/>
      </c>
      <c r="I89" s="16" t="n"/>
      <c r="J89" s="16" t="n"/>
      <c r="K89" s="16" t="n"/>
      <c r="L89" s="19">
        <f>IF(B89="","",IF(AND(D89="Yes",E89="Complete",F89="Published",OR(H89="Current",H89="Overdue-&lt;30-Days"),I89="Yes",J89&lt;&gt;"Poor"),"Compliant",IF(OR(D89="No",D89="Expired",E89="Missing",F89="Not-Published",H89="Overdue-&gt;90-Days"),"Non-Compliant","Partial")))</f>
        <v/>
      </c>
      <c r="M89" s="16" t="n"/>
      <c r="N89" s="16" t="n"/>
    </row>
    <row r="90">
      <c r="A90" s="19">
        <f>IF(ROW()-5&lt;=COUNTA('Policy Inventory'!$A:$A)-4,INDEX('Policy Inventory'!$A:$A,ROW()-1),"")</f>
        <v/>
      </c>
      <c r="B90" s="19">
        <f>IF(A90&lt;&gt;"",VLOOKUP(A90,'Policy Inventory'!$A:$B,2,FALSE),"")</f>
        <v/>
      </c>
      <c r="C90" s="16" t="n"/>
      <c r="D90" s="16" t="n"/>
      <c r="E90" s="16" t="n"/>
      <c r="F90" s="16" t="n"/>
      <c r="G90" s="16" t="n"/>
      <c r="H90" s="19">
        <f>IF(B90="","",IF(VLOOKUP(A90,'Policy Inventory'!$A:$K,11,FALSE)&gt;=TODAY(),"Current",IF(VLOOKUP(A90,'Policy Inventory'!$A:$K,11,FALSE)&gt;=TODAY()-30,"Overdue-&lt;30-Days",IF(VLOOKUP(A90,'Policy Inventory'!$A:$K,11,FALSE)&gt;=TODAY()-90,"Overdue-30-90-Days","Overdue-&gt;90-Days"))))</f>
        <v/>
      </c>
      <c r="I90" s="16" t="n"/>
      <c r="J90" s="16" t="n"/>
      <c r="K90" s="16" t="n"/>
      <c r="L90" s="19">
        <f>IF(B90="","",IF(AND(D90="Yes",E90="Complete",F90="Published",OR(H90="Current",H90="Overdue-&lt;30-Days"),I90="Yes",J90&lt;&gt;"Poor"),"Compliant",IF(OR(D90="No",D90="Expired",E90="Missing",F90="Not-Published",H90="Overdue-&gt;90-Days"),"Non-Compliant","Partial")))</f>
        <v/>
      </c>
      <c r="M90" s="16" t="n"/>
      <c r="N90" s="16" t="n"/>
    </row>
    <row r="91">
      <c r="A91" s="19">
        <f>IF(ROW()-5&lt;=COUNTA('Policy Inventory'!$A:$A)-4,INDEX('Policy Inventory'!$A:$A,ROW()-1),"")</f>
        <v/>
      </c>
      <c r="B91" s="19">
        <f>IF(A91&lt;&gt;"",VLOOKUP(A91,'Policy Inventory'!$A:$B,2,FALSE),"")</f>
        <v/>
      </c>
      <c r="C91" s="16" t="n"/>
      <c r="D91" s="16" t="n"/>
      <c r="E91" s="16" t="n"/>
      <c r="F91" s="16" t="n"/>
      <c r="G91" s="16" t="n"/>
      <c r="H91" s="19">
        <f>IF(B91="","",IF(VLOOKUP(A91,'Policy Inventory'!$A:$K,11,FALSE)&gt;=TODAY(),"Current",IF(VLOOKUP(A91,'Policy Inventory'!$A:$K,11,FALSE)&gt;=TODAY()-30,"Overdue-&lt;30-Days",IF(VLOOKUP(A91,'Policy Inventory'!$A:$K,11,FALSE)&gt;=TODAY()-90,"Overdue-30-90-Days","Overdue-&gt;90-Days"))))</f>
        <v/>
      </c>
      <c r="I91" s="16" t="n"/>
      <c r="J91" s="16" t="n"/>
      <c r="K91" s="16" t="n"/>
      <c r="L91" s="19">
        <f>IF(B91="","",IF(AND(D91="Yes",E91="Complete",F91="Published",OR(H91="Current",H91="Overdue-&lt;30-Days"),I91="Yes",J91&lt;&gt;"Poor"),"Compliant",IF(OR(D91="No",D91="Expired",E91="Missing",F91="Not-Published",H91="Overdue-&gt;90-Days"),"Non-Compliant","Partial")))</f>
        <v/>
      </c>
      <c r="M91" s="16" t="n"/>
      <c r="N91" s="16" t="n"/>
    </row>
    <row r="92">
      <c r="A92" s="19">
        <f>IF(ROW()-5&lt;=COUNTA('Policy Inventory'!$A:$A)-4,INDEX('Policy Inventory'!$A:$A,ROW()-1),"")</f>
        <v/>
      </c>
      <c r="B92" s="19">
        <f>IF(A92&lt;&gt;"",VLOOKUP(A92,'Policy Inventory'!$A:$B,2,FALSE),"")</f>
        <v/>
      </c>
      <c r="C92" s="16" t="n"/>
      <c r="D92" s="16" t="n"/>
      <c r="E92" s="16" t="n"/>
      <c r="F92" s="16" t="n"/>
      <c r="G92" s="16" t="n"/>
      <c r="H92" s="19">
        <f>IF(B92="","",IF(VLOOKUP(A92,'Policy Inventory'!$A:$K,11,FALSE)&gt;=TODAY(),"Current",IF(VLOOKUP(A92,'Policy Inventory'!$A:$K,11,FALSE)&gt;=TODAY()-30,"Overdue-&lt;30-Days",IF(VLOOKUP(A92,'Policy Inventory'!$A:$K,11,FALSE)&gt;=TODAY()-90,"Overdue-30-90-Days","Overdue-&gt;90-Days"))))</f>
        <v/>
      </c>
      <c r="I92" s="16" t="n"/>
      <c r="J92" s="16" t="n"/>
      <c r="K92" s="16" t="n"/>
      <c r="L92" s="19">
        <f>IF(B92="","",IF(AND(D92="Yes",E92="Complete",F92="Published",OR(H92="Current",H92="Overdue-&lt;30-Days"),I92="Yes",J92&lt;&gt;"Poor"),"Compliant",IF(OR(D92="No",D92="Expired",E92="Missing",F92="Not-Published",H92="Overdue-&gt;90-Days"),"Non-Compliant","Partial")))</f>
        <v/>
      </c>
      <c r="M92" s="16" t="n"/>
      <c r="N92" s="16" t="n"/>
    </row>
    <row r="93">
      <c r="A93" s="19">
        <f>IF(ROW()-5&lt;=COUNTA('Policy Inventory'!$A:$A)-4,INDEX('Policy Inventory'!$A:$A,ROW()-1),"")</f>
        <v/>
      </c>
      <c r="B93" s="19">
        <f>IF(A93&lt;&gt;"",VLOOKUP(A93,'Policy Inventory'!$A:$B,2,FALSE),"")</f>
        <v/>
      </c>
      <c r="C93" s="16" t="n"/>
      <c r="D93" s="16" t="n"/>
      <c r="E93" s="16" t="n"/>
      <c r="F93" s="16" t="n"/>
      <c r="G93" s="16" t="n"/>
      <c r="H93" s="19">
        <f>IF(B93="","",IF(VLOOKUP(A93,'Policy Inventory'!$A:$K,11,FALSE)&gt;=TODAY(),"Current",IF(VLOOKUP(A93,'Policy Inventory'!$A:$K,11,FALSE)&gt;=TODAY()-30,"Overdue-&lt;30-Days",IF(VLOOKUP(A93,'Policy Inventory'!$A:$K,11,FALSE)&gt;=TODAY()-90,"Overdue-30-90-Days","Overdue-&gt;90-Days"))))</f>
        <v/>
      </c>
      <c r="I93" s="16" t="n"/>
      <c r="J93" s="16" t="n"/>
      <c r="K93" s="16" t="n"/>
      <c r="L93" s="19">
        <f>IF(B93="","",IF(AND(D93="Yes",E93="Complete",F93="Published",OR(H93="Current",H93="Overdue-&lt;30-Days"),I93="Yes",J93&lt;&gt;"Poor"),"Compliant",IF(OR(D93="No",D93="Expired",E93="Missing",F93="Not-Published",H93="Overdue-&gt;90-Days"),"Non-Compliant","Partial")))</f>
        <v/>
      </c>
      <c r="M93" s="16" t="n"/>
      <c r="N93" s="16" t="n"/>
    </row>
    <row r="94">
      <c r="A94" s="19">
        <f>IF(ROW()-5&lt;=COUNTA('Policy Inventory'!$A:$A)-4,INDEX('Policy Inventory'!$A:$A,ROW()-1),"")</f>
        <v/>
      </c>
      <c r="B94" s="19">
        <f>IF(A94&lt;&gt;"",VLOOKUP(A94,'Policy Inventory'!$A:$B,2,FALSE),"")</f>
        <v/>
      </c>
      <c r="C94" s="16" t="n"/>
      <c r="D94" s="16" t="n"/>
      <c r="E94" s="16" t="n"/>
      <c r="F94" s="16" t="n"/>
      <c r="G94" s="16" t="n"/>
      <c r="H94" s="19">
        <f>IF(B94="","",IF(VLOOKUP(A94,'Policy Inventory'!$A:$K,11,FALSE)&gt;=TODAY(),"Current",IF(VLOOKUP(A94,'Policy Inventory'!$A:$K,11,FALSE)&gt;=TODAY()-30,"Overdue-&lt;30-Days",IF(VLOOKUP(A94,'Policy Inventory'!$A:$K,11,FALSE)&gt;=TODAY()-90,"Overdue-30-90-Days","Overdue-&gt;90-Days"))))</f>
        <v/>
      </c>
      <c r="I94" s="16" t="n"/>
      <c r="J94" s="16" t="n"/>
      <c r="K94" s="16" t="n"/>
      <c r="L94" s="19">
        <f>IF(B94="","",IF(AND(D94="Yes",E94="Complete",F94="Published",OR(H94="Current",H94="Overdue-&lt;30-Days"),I94="Yes",J94&lt;&gt;"Poor"),"Compliant",IF(OR(D94="No",D94="Expired",E94="Missing",F94="Not-Published",H94="Overdue-&gt;90-Days"),"Non-Compliant","Partial")))</f>
        <v/>
      </c>
      <c r="M94" s="16" t="n"/>
      <c r="N94" s="16" t="n"/>
    </row>
    <row r="95">
      <c r="A95" s="19">
        <f>IF(ROW()-5&lt;=COUNTA('Policy Inventory'!$A:$A)-4,INDEX('Policy Inventory'!$A:$A,ROW()-1),"")</f>
        <v/>
      </c>
      <c r="B95" s="19">
        <f>IF(A95&lt;&gt;"",VLOOKUP(A95,'Policy Inventory'!$A:$B,2,FALSE),"")</f>
        <v/>
      </c>
      <c r="C95" s="16" t="n"/>
      <c r="D95" s="16" t="n"/>
      <c r="E95" s="16" t="n"/>
      <c r="F95" s="16" t="n"/>
      <c r="G95" s="16" t="n"/>
      <c r="H95" s="19">
        <f>IF(B95="","",IF(VLOOKUP(A95,'Policy Inventory'!$A:$K,11,FALSE)&gt;=TODAY(),"Current",IF(VLOOKUP(A95,'Policy Inventory'!$A:$K,11,FALSE)&gt;=TODAY()-30,"Overdue-&lt;30-Days",IF(VLOOKUP(A95,'Policy Inventory'!$A:$K,11,FALSE)&gt;=TODAY()-90,"Overdue-30-90-Days","Overdue-&gt;90-Days"))))</f>
        <v/>
      </c>
      <c r="I95" s="16" t="n"/>
      <c r="J95" s="16" t="n"/>
      <c r="K95" s="16" t="n"/>
      <c r="L95" s="19">
        <f>IF(B95="","",IF(AND(D95="Yes",E95="Complete",F95="Published",OR(H95="Current",H95="Overdue-&lt;30-Days"),I95="Yes",J95&lt;&gt;"Poor"),"Compliant",IF(OR(D95="No",D95="Expired",E95="Missing",F95="Not-Published",H95="Overdue-&gt;90-Days"),"Non-Compliant","Partial")))</f>
        <v/>
      </c>
      <c r="M95" s="16" t="n"/>
      <c r="N95" s="16" t="n"/>
    </row>
    <row r="96">
      <c r="A96" s="19">
        <f>IF(ROW()-5&lt;=COUNTA('Policy Inventory'!$A:$A)-4,INDEX('Policy Inventory'!$A:$A,ROW()-1),"")</f>
        <v/>
      </c>
      <c r="B96" s="19">
        <f>IF(A96&lt;&gt;"",VLOOKUP(A96,'Policy Inventory'!$A:$B,2,FALSE),"")</f>
        <v/>
      </c>
      <c r="C96" s="16" t="n"/>
      <c r="D96" s="16" t="n"/>
      <c r="E96" s="16" t="n"/>
      <c r="F96" s="16" t="n"/>
      <c r="G96" s="16" t="n"/>
      <c r="H96" s="19">
        <f>IF(B96="","",IF(VLOOKUP(A96,'Policy Inventory'!$A:$K,11,FALSE)&gt;=TODAY(),"Current",IF(VLOOKUP(A96,'Policy Inventory'!$A:$K,11,FALSE)&gt;=TODAY()-30,"Overdue-&lt;30-Days",IF(VLOOKUP(A96,'Policy Inventory'!$A:$K,11,FALSE)&gt;=TODAY()-90,"Overdue-30-90-Days","Overdue-&gt;90-Days"))))</f>
        <v/>
      </c>
      <c r="I96" s="16" t="n"/>
      <c r="J96" s="16" t="n"/>
      <c r="K96" s="16" t="n"/>
      <c r="L96" s="19">
        <f>IF(B96="","",IF(AND(D96="Yes",E96="Complete",F96="Published",OR(H96="Current",H96="Overdue-&lt;30-Days"),I96="Yes",J96&lt;&gt;"Poor"),"Compliant",IF(OR(D96="No",D96="Expired",E96="Missing",F96="Not-Published",H96="Overdue-&gt;90-Days"),"Non-Compliant","Partial")))</f>
        <v/>
      </c>
      <c r="M96" s="16" t="n"/>
      <c r="N96" s="16" t="n"/>
    </row>
    <row r="97">
      <c r="A97" s="19">
        <f>IF(ROW()-5&lt;=COUNTA('Policy Inventory'!$A:$A)-4,INDEX('Policy Inventory'!$A:$A,ROW()-1),"")</f>
        <v/>
      </c>
      <c r="B97" s="19">
        <f>IF(A97&lt;&gt;"",VLOOKUP(A97,'Policy Inventory'!$A:$B,2,FALSE),"")</f>
        <v/>
      </c>
      <c r="C97" s="16" t="n"/>
      <c r="D97" s="16" t="n"/>
      <c r="E97" s="16" t="n"/>
      <c r="F97" s="16" t="n"/>
      <c r="G97" s="16" t="n"/>
      <c r="H97" s="19">
        <f>IF(B97="","",IF(VLOOKUP(A97,'Policy Inventory'!$A:$K,11,FALSE)&gt;=TODAY(),"Current",IF(VLOOKUP(A97,'Policy Inventory'!$A:$K,11,FALSE)&gt;=TODAY()-30,"Overdue-&lt;30-Days",IF(VLOOKUP(A97,'Policy Inventory'!$A:$K,11,FALSE)&gt;=TODAY()-90,"Overdue-30-90-Days","Overdue-&gt;90-Days"))))</f>
        <v/>
      </c>
      <c r="I97" s="16" t="n"/>
      <c r="J97" s="16" t="n"/>
      <c r="K97" s="16" t="n"/>
      <c r="L97" s="19">
        <f>IF(B97="","",IF(AND(D97="Yes",E97="Complete",F97="Published",OR(H97="Current",H97="Overdue-&lt;30-Days"),I97="Yes",J97&lt;&gt;"Poor"),"Compliant",IF(OR(D97="No",D97="Expired",E97="Missing",F97="Not-Published",H97="Overdue-&gt;90-Days"),"Non-Compliant","Partial")))</f>
        <v/>
      </c>
      <c r="M97" s="16" t="n"/>
      <c r="N97" s="16" t="n"/>
    </row>
    <row r="98">
      <c r="A98" s="19">
        <f>IF(ROW()-5&lt;=COUNTA('Policy Inventory'!$A:$A)-4,INDEX('Policy Inventory'!$A:$A,ROW()-1),"")</f>
        <v/>
      </c>
      <c r="B98" s="19">
        <f>IF(A98&lt;&gt;"",VLOOKUP(A98,'Policy Inventory'!$A:$B,2,FALSE),"")</f>
        <v/>
      </c>
      <c r="C98" s="16" t="n"/>
      <c r="D98" s="16" t="n"/>
      <c r="E98" s="16" t="n"/>
      <c r="F98" s="16" t="n"/>
      <c r="G98" s="16" t="n"/>
      <c r="H98" s="19">
        <f>IF(B98="","",IF(VLOOKUP(A98,'Policy Inventory'!$A:$K,11,FALSE)&gt;=TODAY(),"Current",IF(VLOOKUP(A98,'Policy Inventory'!$A:$K,11,FALSE)&gt;=TODAY()-30,"Overdue-&lt;30-Days",IF(VLOOKUP(A98,'Policy Inventory'!$A:$K,11,FALSE)&gt;=TODAY()-90,"Overdue-30-90-Days","Overdue-&gt;90-Days"))))</f>
        <v/>
      </c>
      <c r="I98" s="16" t="n"/>
      <c r="J98" s="16" t="n"/>
      <c r="K98" s="16" t="n"/>
      <c r="L98" s="19">
        <f>IF(B98="","",IF(AND(D98="Yes",E98="Complete",F98="Published",OR(H98="Current",H98="Overdue-&lt;30-Days"),I98="Yes",J98&lt;&gt;"Poor"),"Compliant",IF(OR(D98="No",D98="Expired",E98="Missing",F98="Not-Published",H98="Overdue-&gt;90-Days"),"Non-Compliant","Partial")))</f>
        <v/>
      </c>
      <c r="M98" s="16" t="n"/>
      <c r="N98" s="16" t="n"/>
    </row>
    <row r="99">
      <c r="A99" s="19">
        <f>IF(ROW()-5&lt;=COUNTA('Policy Inventory'!$A:$A)-4,INDEX('Policy Inventory'!$A:$A,ROW()-1),"")</f>
        <v/>
      </c>
      <c r="B99" s="19">
        <f>IF(A99&lt;&gt;"",VLOOKUP(A99,'Policy Inventory'!$A:$B,2,FALSE),"")</f>
        <v/>
      </c>
      <c r="C99" s="16" t="n"/>
      <c r="D99" s="16" t="n"/>
      <c r="E99" s="16" t="n"/>
      <c r="F99" s="16" t="n"/>
      <c r="G99" s="16" t="n"/>
      <c r="H99" s="19">
        <f>IF(B99="","",IF(VLOOKUP(A99,'Policy Inventory'!$A:$K,11,FALSE)&gt;=TODAY(),"Current",IF(VLOOKUP(A99,'Policy Inventory'!$A:$K,11,FALSE)&gt;=TODAY()-30,"Overdue-&lt;30-Days",IF(VLOOKUP(A99,'Policy Inventory'!$A:$K,11,FALSE)&gt;=TODAY()-90,"Overdue-30-90-Days","Overdue-&gt;90-Days"))))</f>
        <v/>
      </c>
      <c r="I99" s="16" t="n"/>
      <c r="J99" s="16" t="n"/>
      <c r="K99" s="16" t="n"/>
      <c r="L99" s="19">
        <f>IF(B99="","",IF(AND(D99="Yes",E99="Complete",F99="Published",OR(H99="Current",H99="Overdue-&lt;30-Days"),I99="Yes",J99&lt;&gt;"Poor"),"Compliant",IF(OR(D99="No",D99="Expired",E99="Missing",F99="Not-Published",H99="Overdue-&gt;90-Days"),"Non-Compliant","Partial")))</f>
        <v/>
      </c>
      <c r="M99" s="16" t="n"/>
      <c r="N99" s="16" t="n"/>
    </row>
    <row r="100">
      <c r="A100" s="19">
        <f>IF(ROW()-5&lt;=COUNTA('Policy Inventory'!$A:$A)-4,INDEX('Policy Inventory'!$A:$A,ROW()-1),"")</f>
        <v/>
      </c>
      <c r="B100" s="19">
        <f>IF(A100&lt;&gt;"",VLOOKUP(A100,'Policy Inventory'!$A:$B,2,FALSE),"")</f>
        <v/>
      </c>
      <c r="C100" s="16" t="n"/>
      <c r="D100" s="16" t="n"/>
      <c r="E100" s="16" t="n"/>
      <c r="F100" s="16" t="n"/>
      <c r="G100" s="16" t="n"/>
      <c r="H100" s="19">
        <f>IF(B100="","",IF(VLOOKUP(A100,'Policy Inventory'!$A:$K,11,FALSE)&gt;=TODAY(),"Current",IF(VLOOKUP(A100,'Policy Inventory'!$A:$K,11,FALSE)&gt;=TODAY()-30,"Overdue-&lt;30-Days",IF(VLOOKUP(A100,'Policy Inventory'!$A:$K,11,FALSE)&gt;=TODAY()-90,"Overdue-30-90-Days","Overdue-&gt;90-Days"))))</f>
        <v/>
      </c>
      <c r="I100" s="16" t="n"/>
      <c r="J100" s="16" t="n"/>
      <c r="K100" s="16" t="n"/>
      <c r="L100" s="19">
        <f>IF(B100="","",IF(AND(D100="Yes",E100="Complete",F100="Published",OR(H100="Current",H100="Overdue-&lt;30-Days"),I100="Yes",J100&lt;&gt;"Poor"),"Compliant",IF(OR(D100="No",D100="Expired",E100="Missing",F100="Not-Published",H100="Overdue-&gt;90-Days"),"Non-Compliant","Partial")))</f>
        <v/>
      </c>
      <c r="M100" s="16" t="n"/>
      <c r="N100" s="16" t="n"/>
    </row>
    <row r="101">
      <c r="A101" s="19">
        <f>IF(ROW()-5&lt;=COUNTA('Policy Inventory'!$A:$A)-4,INDEX('Policy Inventory'!$A:$A,ROW()-1),"")</f>
        <v/>
      </c>
      <c r="B101" s="19">
        <f>IF(A101&lt;&gt;"",VLOOKUP(A101,'Policy Inventory'!$A:$B,2,FALSE),"")</f>
        <v/>
      </c>
      <c r="C101" s="16" t="n"/>
      <c r="D101" s="16" t="n"/>
      <c r="E101" s="16" t="n"/>
      <c r="F101" s="16" t="n"/>
      <c r="G101" s="16" t="n"/>
      <c r="H101" s="19">
        <f>IF(B101="","",IF(VLOOKUP(A101,'Policy Inventory'!$A:$K,11,FALSE)&gt;=TODAY(),"Current",IF(VLOOKUP(A101,'Policy Inventory'!$A:$K,11,FALSE)&gt;=TODAY()-30,"Overdue-&lt;30-Days",IF(VLOOKUP(A101,'Policy Inventory'!$A:$K,11,FALSE)&gt;=TODAY()-90,"Overdue-30-90-Days","Overdue-&gt;90-Days"))))</f>
        <v/>
      </c>
      <c r="I101" s="16" t="n"/>
      <c r="J101" s="16" t="n"/>
      <c r="K101" s="16" t="n"/>
      <c r="L101" s="19">
        <f>IF(B101="","",IF(AND(D101="Yes",E101="Complete",F101="Published",OR(H101="Current",H101="Overdue-&lt;30-Days"),I101="Yes",J101&lt;&gt;"Poor"),"Compliant",IF(OR(D101="No",D101="Expired",E101="Missing",F101="Not-Published",H101="Overdue-&gt;90-Days"),"Non-Compliant","Partial")))</f>
        <v/>
      </c>
      <c r="M101" s="16" t="n"/>
      <c r="N101" s="16" t="n"/>
    </row>
    <row r="102">
      <c r="A102" s="19">
        <f>IF(ROW()-5&lt;=COUNTA('Policy Inventory'!$A:$A)-4,INDEX('Policy Inventory'!$A:$A,ROW()-1),"")</f>
        <v/>
      </c>
      <c r="B102" s="19">
        <f>IF(A102&lt;&gt;"",VLOOKUP(A102,'Policy Inventory'!$A:$B,2,FALSE),"")</f>
        <v/>
      </c>
      <c r="C102" s="16" t="n"/>
      <c r="D102" s="16" t="n"/>
      <c r="E102" s="16" t="n"/>
      <c r="F102" s="16" t="n"/>
      <c r="G102" s="16" t="n"/>
      <c r="H102" s="19">
        <f>IF(B102="","",IF(VLOOKUP(A102,'Policy Inventory'!$A:$K,11,FALSE)&gt;=TODAY(),"Current",IF(VLOOKUP(A102,'Policy Inventory'!$A:$K,11,FALSE)&gt;=TODAY()-30,"Overdue-&lt;30-Days",IF(VLOOKUP(A102,'Policy Inventory'!$A:$K,11,FALSE)&gt;=TODAY()-90,"Overdue-30-90-Days","Overdue-&gt;90-Days"))))</f>
        <v/>
      </c>
      <c r="I102" s="16" t="n"/>
      <c r="J102" s="16" t="n"/>
      <c r="K102" s="16" t="n"/>
      <c r="L102" s="19">
        <f>IF(B102="","",IF(AND(D102="Yes",E102="Complete",F102="Published",OR(H102="Current",H102="Overdue-&lt;30-Days"),I102="Yes",J102&lt;&gt;"Poor"),"Compliant",IF(OR(D102="No",D102="Expired",E102="Missing",F102="Not-Published",H102="Overdue-&gt;90-Days"),"Non-Compliant","Partial")))</f>
        <v/>
      </c>
      <c r="M102" s="16" t="n"/>
      <c r="N102" s="16" t="n"/>
    </row>
    <row r="103">
      <c r="A103" s="19">
        <f>IF(ROW()-5&lt;=COUNTA('Policy Inventory'!$A:$A)-4,INDEX('Policy Inventory'!$A:$A,ROW()-1),"")</f>
        <v/>
      </c>
      <c r="B103" s="19">
        <f>IF(A103&lt;&gt;"",VLOOKUP(A103,'Policy Inventory'!$A:$B,2,FALSE),"")</f>
        <v/>
      </c>
      <c r="C103" s="16" t="n"/>
      <c r="D103" s="16" t="n"/>
      <c r="E103" s="16" t="n"/>
      <c r="F103" s="16" t="n"/>
      <c r="G103" s="16" t="n"/>
      <c r="H103" s="19">
        <f>IF(B103="","",IF(VLOOKUP(A103,'Policy Inventory'!$A:$K,11,FALSE)&gt;=TODAY(),"Current",IF(VLOOKUP(A103,'Policy Inventory'!$A:$K,11,FALSE)&gt;=TODAY()-30,"Overdue-&lt;30-Days",IF(VLOOKUP(A103,'Policy Inventory'!$A:$K,11,FALSE)&gt;=TODAY()-90,"Overdue-30-90-Days","Overdue-&gt;90-Days"))))</f>
        <v/>
      </c>
      <c r="I103" s="16" t="n"/>
      <c r="J103" s="16" t="n"/>
      <c r="K103" s="16" t="n"/>
      <c r="L103" s="19">
        <f>IF(B103="","",IF(AND(D103="Yes",E103="Complete",F103="Published",OR(H103="Current",H103="Overdue-&lt;30-Days"),I103="Yes",J103&lt;&gt;"Poor"),"Compliant",IF(OR(D103="No",D103="Expired",E103="Missing",F103="Not-Published",H103="Overdue-&gt;90-Days"),"Non-Compliant","Partial")))</f>
        <v/>
      </c>
      <c r="M103" s="16" t="n"/>
      <c r="N103" s="16" t="n"/>
    </row>
    <row r="104">
      <c r="A104" s="19">
        <f>IF(ROW()-5&lt;=COUNTA('Policy Inventory'!$A:$A)-4,INDEX('Policy Inventory'!$A:$A,ROW()-1),"")</f>
        <v/>
      </c>
      <c r="B104" s="19">
        <f>IF(A104&lt;&gt;"",VLOOKUP(A104,'Policy Inventory'!$A:$B,2,FALSE),"")</f>
        <v/>
      </c>
      <c r="C104" s="16" t="n"/>
      <c r="D104" s="16" t="n"/>
      <c r="E104" s="16" t="n"/>
      <c r="F104" s="16" t="n"/>
      <c r="G104" s="16" t="n"/>
      <c r="H104" s="19">
        <f>IF(B104="","",IF(VLOOKUP(A104,'Policy Inventory'!$A:$K,11,FALSE)&gt;=TODAY(),"Current",IF(VLOOKUP(A104,'Policy Inventory'!$A:$K,11,FALSE)&gt;=TODAY()-30,"Overdue-&lt;30-Days",IF(VLOOKUP(A104,'Policy Inventory'!$A:$K,11,FALSE)&gt;=TODAY()-90,"Overdue-30-90-Days","Overdue-&gt;90-Days"))))</f>
        <v/>
      </c>
      <c r="I104" s="16" t="n"/>
      <c r="J104" s="16" t="n"/>
      <c r="K104" s="16" t="n"/>
      <c r="L104" s="19">
        <f>IF(B104="","",IF(AND(D104="Yes",E104="Complete",F104="Published",OR(H104="Current",H104="Overdue-&lt;30-Days"),I104="Yes",J104&lt;&gt;"Poor"),"Compliant",IF(OR(D104="No",D104="Expired",E104="Missing",F104="Not-Published",H104="Overdue-&gt;90-Days"),"Non-Compliant","Partial")))</f>
        <v/>
      </c>
      <c r="M104" s="16" t="n"/>
      <c r="N104" s="16" t="n"/>
    </row>
    <row r="105">
      <c r="A105" s="19">
        <f>IF(ROW()-5&lt;=COUNTA('Policy Inventory'!$A:$A)-4,INDEX('Policy Inventory'!$A:$A,ROW()-1),"")</f>
        <v/>
      </c>
      <c r="B105" s="19">
        <f>IF(A105&lt;&gt;"",VLOOKUP(A105,'Policy Inventory'!$A:$B,2,FALSE),"")</f>
        <v/>
      </c>
      <c r="C105" s="16" t="n"/>
      <c r="D105" s="16" t="n"/>
      <c r="E105" s="16" t="n"/>
      <c r="F105" s="16" t="n"/>
      <c r="G105" s="16" t="n"/>
      <c r="H105" s="19">
        <f>IF(B105="","",IF(VLOOKUP(A105,'Policy Inventory'!$A:$K,11,FALSE)&gt;=TODAY(),"Current",IF(VLOOKUP(A105,'Policy Inventory'!$A:$K,11,FALSE)&gt;=TODAY()-30,"Overdue-&lt;30-Days",IF(VLOOKUP(A105,'Policy Inventory'!$A:$K,11,FALSE)&gt;=TODAY()-90,"Overdue-30-90-Days","Overdue-&gt;90-Days"))))</f>
        <v/>
      </c>
      <c r="I105" s="16" t="n"/>
      <c r="J105" s="16" t="n"/>
      <c r="K105" s="16" t="n"/>
      <c r="L105" s="19">
        <f>IF(B105="","",IF(AND(D105="Yes",E105="Complete",F105="Published",OR(H105="Current",H105="Overdue-&lt;30-Days"),I105="Yes",J105&lt;&gt;"Poor"),"Compliant",IF(OR(D105="No",D105="Expired",E105="Missing",F105="Not-Published",H105="Overdue-&gt;90-Days"),"Non-Compliant","Partial")))</f>
        <v/>
      </c>
      <c r="M105" s="16" t="n"/>
      <c r="N105" s="16" t="n"/>
    </row>
    <row r="106">
      <c r="A106" s="19">
        <f>IF(ROW()-5&lt;=COUNTA('Policy Inventory'!$A:$A)-4,INDEX('Policy Inventory'!$A:$A,ROW()-1),"")</f>
        <v/>
      </c>
      <c r="B106" s="19">
        <f>IF(A106&lt;&gt;"",VLOOKUP(A106,'Policy Inventory'!$A:$B,2,FALSE),"")</f>
        <v/>
      </c>
      <c r="C106" s="16" t="n"/>
      <c r="D106" s="16" t="n"/>
      <c r="E106" s="16" t="n"/>
      <c r="F106" s="16" t="n"/>
      <c r="G106" s="16" t="n"/>
      <c r="H106" s="19">
        <f>IF(B106="","",IF(VLOOKUP(A106,'Policy Inventory'!$A:$K,11,FALSE)&gt;=TODAY(),"Current",IF(VLOOKUP(A106,'Policy Inventory'!$A:$K,11,FALSE)&gt;=TODAY()-30,"Overdue-&lt;30-Days",IF(VLOOKUP(A106,'Policy Inventory'!$A:$K,11,FALSE)&gt;=TODAY()-90,"Overdue-30-90-Days","Overdue-&gt;90-Days"))))</f>
        <v/>
      </c>
      <c r="I106" s="16" t="n"/>
      <c r="J106" s="16" t="n"/>
      <c r="K106" s="16" t="n"/>
      <c r="L106" s="19">
        <f>IF(B106="","",IF(AND(D106="Yes",E106="Complete",F106="Published",OR(H106="Current",H106="Overdue-&lt;30-Days"),I106="Yes",J106&lt;&gt;"Poor"),"Compliant",IF(OR(D106="No",D106="Expired",E106="Missing",F106="Not-Published",H106="Overdue-&gt;90-Days"),"Non-Compliant","Partial")))</f>
        <v/>
      </c>
      <c r="M106" s="16" t="n"/>
      <c r="N106" s="16" t="n"/>
    </row>
    <row r="107">
      <c r="A107" s="19">
        <f>IF(ROW()-5&lt;=COUNTA('Policy Inventory'!$A:$A)-4,INDEX('Policy Inventory'!$A:$A,ROW()-1),"")</f>
        <v/>
      </c>
      <c r="B107" s="19">
        <f>IF(A107&lt;&gt;"",VLOOKUP(A107,'Policy Inventory'!$A:$B,2,FALSE),"")</f>
        <v/>
      </c>
      <c r="C107" s="16" t="n"/>
      <c r="D107" s="16" t="n"/>
      <c r="E107" s="16" t="n"/>
      <c r="F107" s="16" t="n"/>
      <c r="G107" s="16" t="n"/>
      <c r="H107" s="19">
        <f>IF(B107="","",IF(VLOOKUP(A107,'Policy Inventory'!$A:$K,11,FALSE)&gt;=TODAY(),"Current",IF(VLOOKUP(A107,'Policy Inventory'!$A:$K,11,FALSE)&gt;=TODAY()-30,"Overdue-&lt;30-Days",IF(VLOOKUP(A107,'Policy Inventory'!$A:$K,11,FALSE)&gt;=TODAY()-90,"Overdue-30-90-Days","Overdue-&gt;90-Days"))))</f>
        <v/>
      </c>
      <c r="I107" s="16" t="n"/>
      <c r="J107" s="16" t="n"/>
      <c r="K107" s="16" t="n"/>
      <c r="L107" s="19">
        <f>IF(B107="","",IF(AND(D107="Yes",E107="Complete",F107="Published",OR(H107="Current",H107="Overdue-&lt;30-Days"),I107="Yes",J107&lt;&gt;"Poor"),"Compliant",IF(OR(D107="No",D107="Expired",E107="Missing",F107="Not-Published",H107="Overdue-&gt;90-Days"),"Non-Compliant","Partial")))</f>
        <v/>
      </c>
      <c r="M107" s="16" t="n"/>
      <c r="N107" s="16" t="n"/>
    </row>
    <row r="108">
      <c r="A108" s="19">
        <f>IF(ROW()-5&lt;=COUNTA('Policy Inventory'!$A:$A)-4,INDEX('Policy Inventory'!$A:$A,ROW()-1),"")</f>
        <v/>
      </c>
      <c r="B108" s="19">
        <f>IF(A108&lt;&gt;"",VLOOKUP(A108,'Policy Inventory'!$A:$B,2,FALSE),"")</f>
        <v/>
      </c>
      <c r="C108" s="16" t="n"/>
      <c r="D108" s="16" t="n"/>
      <c r="E108" s="16" t="n"/>
      <c r="F108" s="16" t="n"/>
      <c r="G108" s="16" t="n"/>
      <c r="H108" s="19">
        <f>IF(B108="","",IF(VLOOKUP(A108,'Policy Inventory'!$A:$K,11,FALSE)&gt;=TODAY(),"Current",IF(VLOOKUP(A108,'Policy Inventory'!$A:$K,11,FALSE)&gt;=TODAY()-30,"Overdue-&lt;30-Days",IF(VLOOKUP(A108,'Policy Inventory'!$A:$K,11,FALSE)&gt;=TODAY()-90,"Overdue-30-90-Days","Overdue-&gt;90-Days"))))</f>
        <v/>
      </c>
      <c r="I108" s="16" t="n"/>
      <c r="J108" s="16" t="n"/>
      <c r="K108" s="16" t="n"/>
      <c r="L108" s="19">
        <f>IF(B108="","",IF(AND(D108="Yes",E108="Complete",F108="Published",OR(H108="Current",H108="Overdue-&lt;30-Days"),I108="Yes",J108&lt;&gt;"Poor"),"Compliant",IF(OR(D108="No",D108="Expired",E108="Missing",F108="Not-Published",H108="Overdue-&gt;90-Days"),"Non-Compliant","Partial")))</f>
        <v/>
      </c>
      <c r="M108" s="16" t="n"/>
      <c r="N108" s="16" t="n"/>
    </row>
    <row r="109">
      <c r="A109" s="19">
        <f>IF(ROW()-5&lt;=COUNTA('Policy Inventory'!$A:$A)-4,INDEX('Policy Inventory'!$A:$A,ROW()-1),"")</f>
        <v/>
      </c>
      <c r="B109" s="19">
        <f>IF(A109&lt;&gt;"",VLOOKUP(A109,'Policy Inventory'!$A:$B,2,FALSE),"")</f>
        <v/>
      </c>
      <c r="C109" s="16" t="n"/>
      <c r="D109" s="16" t="n"/>
      <c r="E109" s="16" t="n"/>
      <c r="F109" s="16" t="n"/>
      <c r="G109" s="16" t="n"/>
      <c r="H109" s="19">
        <f>IF(B109="","",IF(VLOOKUP(A109,'Policy Inventory'!$A:$K,11,FALSE)&gt;=TODAY(),"Current",IF(VLOOKUP(A109,'Policy Inventory'!$A:$K,11,FALSE)&gt;=TODAY()-30,"Overdue-&lt;30-Days",IF(VLOOKUP(A109,'Policy Inventory'!$A:$K,11,FALSE)&gt;=TODAY()-90,"Overdue-30-90-Days","Overdue-&gt;90-Days"))))</f>
        <v/>
      </c>
      <c r="I109" s="16" t="n"/>
      <c r="J109" s="16" t="n"/>
      <c r="K109" s="16" t="n"/>
      <c r="L109" s="19">
        <f>IF(B109="","",IF(AND(D109="Yes",E109="Complete",F109="Published",OR(H109="Current",H109="Overdue-&lt;30-Days"),I109="Yes",J109&lt;&gt;"Poor"),"Compliant",IF(OR(D109="No",D109="Expired",E109="Missing",F109="Not-Published",H109="Overdue-&gt;90-Days"),"Non-Compliant","Partial")))</f>
        <v/>
      </c>
      <c r="M109" s="16" t="n"/>
      <c r="N109" s="16" t="n"/>
    </row>
    <row r="110">
      <c r="A110" s="19">
        <f>IF(ROW()-5&lt;=COUNTA('Policy Inventory'!$A:$A)-4,INDEX('Policy Inventory'!$A:$A,ROW()-1),"")</f>
        <v/>
      </c>
      <c r="B110" s="19">
        <f>IF(A110&lt;&gt;"",VLOOKUP(A110,'Policy Inventory'!$A:$B,2,FALSE),"")</f>
        <v/>
      </c>
      <c r="C110" s="16" t="n"/>
      <c r="D110" s="16" t="n"/>
      <c r="E110" s="16" t="n"/>
      <c r="F110" s="16" t="n"/>
      <c r="G110" s="16" t="n"/>
      <c r="H110" s="19">
        <f>IF(B110="","",IF(VLOOKUP(A110,'Policy Inventory'!$A:$K,11,FALSE)&gt;=TODAY(),"Current",IF(VLOOKUP(A110,'Policy Inventory'!$A:$K,11,FALSE)&gt;=TODAY()-30,"Overdue-&lt;30-Days",IF(VLOOKUP(A110,'Policy Inventory'!$A:$K,11,FALSE)&gt;=TODAY()-90,"Overdue-30-90-Days","Overdue-&gt;90-Days"))))</f>
        <v/>
      </c>
      <c r="I110" s="16" t="n"/>
      <c r="J110" s="16" t="n"/>
      <c r="K110" s="16" t="n"/>
      <c r="L110" s="19">
        <f>IF(B110="","",IF(AND(D110="Yes",E110="Complete",F110="Published",OR(H110="Current",H110="Overdue-&lt;30-Days"),I110="Yes",J110&lt;&gt;"Poor"),"Compliant",IF(OR(D110="No",D110="Expired",E110="Missing",F110="Not-Published",H110="Overdue-&gt;90-Days"),"Non-Compliant","Partial")))</f>
        <v/>
      </c>
      <c r="M110" s="16" t="n"/>
      <c r="N110" s="16" t="n"/>
    </row>
    <row r="111">
      <c r="A111" s="19">
        <f>IF(ROW()-5&lt;=COUNTA('Policy Inventory'!$A:$A)-4,INDEX('Policy Inventory'!$A:$A,ROW()-1),"")</f>
        <v/>
      </c>
      <c r="B111" s="19">
        <f>IF(A111&lt;&gt;"",VLOOKUP(A111,'Policy Inventory'!$A:$B,2,FALSE),"")</f>
        <v/>
      </c>
      <c r="C111" s="16" t="n"/>
      <c r="D111" s="16" t="n"/>
      <c r="E111" s="16" t="n"/>
      <c r="F111" s="16" t="n"/>
      <c r="G111" s="16" t="n"/>
      <c r="H111" s="19">
        <f>IF(B111="","",IF(VLOOKUP(A111,'Policy Inventory'!$A:$K,11,FALSE)&gt;=TODAY(),"Current",IF(VLOOKUP(A111,'Policy Inventory'!$A:$K,11,FALSE)&gt;=TODAY()-30,"Overdue-&lt;30-Days",IF(VLOOKUP(A111,'Policy Inventory'!$A:$K,11,FALSE)&gt;=TODAY()-90,"Overdue-30-90-Days","Overdue-&gt;90-Days"))))</f>
        <v/>
      </c>
      <c r="I111" s="16" t="n"/>
      <c r="J111" s="16" t="n"/>
      <c r="K111" s="16" t="n"/>
      <c r="L111" s="19">
        <f>IF(B111="","",IF(AND(D111="Yes",E111="Complete",F111="Published",OR(H111="Current",H111="Overdue-&lt;30-Days"),I111="Yes",J111&lt;&gt;"Poor"),"Compliant",IF(OR(D111="No",D111="Expired",E111="Missing",F111="Not-Published",H111="Overdue-&gt;90-Days"),"Non-Compliant","Partial")))</f>
        <v/>
      </c>
      <c r="M111" s="16" t="n"/>
      <c r="N111" s="16" t="n"/>
    </row>
    <row r="112">
      <c r="A112" s="19">
        <f>IF(ROW()-5&lt;=COUNTA('Policy Inventory'!$A:$A)-4,INDEX('Policy Inventory'!$A:$A,ROW()-1),"")</f>
        <v/>
      </c>
      <c r="B112" s="19">
        <f>IF(A112&lt;&gt;"",VLOOKUP(A112,'Policy Inventory'!$A:$B,2,FALSE),"")</f>
        <v/>
      </c>
      <c r="C112" s="16" t="n"/>
      <c r="D112" s="16" t="n"/>
      <c r="E112" s="16" t="n"/>
      <c r="F112" s="16" t="n"/>
      <c r="G112" s="16" t="n"/>
      <c r="H112" s="19">
        <f>IF(B112="","",IF(VLOOKUP(A112,'Policy Inventory'!$A:$K,11,FALSE)&gt;=TODAY(),"Current",IF(VLOOKUP(A112,'Policy Inventory'!$A:$K,11,FALSE)&gt;=TODAY()-30,"Overdue-&lt;30-Days",IF(VLOOKUP(A112,'Policy Inventory'!$A:$K,11,FALSE)&gt;=TODAY()-90,"Overdue-30-90-Days","Overdue-&gt;90-Days"))))</f>
        <v/>
      </c>
      <c r="I112" s="16" t="n"/>
      <c r="J112" s="16" t="n"/>
      <c r="K112" s="16" t="n"/>
      <c r="L112" s="19">
        <f>IF(B112="","",IF(AND(D112="Yes",E112="Complete",F112="Published",OR(H112="Current",H112="Overdue-&lt;30-Days"),I112="Yes",J112&lt;&gt;"Poor"),"Compliant",IF(OR(D112="No",D112="Expired",E112="Missing",F112="Not-Published",H112="Overdue-&gt;90-Days"),"Non-Compliant","Partial")))</f>
        <v/>
      </c>
      <c r="M112" s="16" t="n"/>
      <c r="N112" s="16" t="n"/>
    </row>
    <row r="113">
      <c r="A113" s="19">
        <f>IF(ROW()-5&lt;=COUNTA('Policy Inventory'!$A:$A)-4,INDEX('Policy Inventory'!$A:$A,ROW()-1),"")</f>
        <v/>
      </c>
      <c r="B113" s="19">
        <f>IF(A113&lt;&gt;"",VLOOKUP(A113,'Policy Inventory'!$A:$B,2,FALSE),"")</f>
        <v/>
      </c>
      <c r="C113" s="16" t="n"/>
      <c r="D113" s="16" t="n"/>
      <c r="E113" s="16" t="n"/>
      <c r="F113" s="16" t="n"/>
      <c r="G113" s="16" t="n"/>
      <c r="H113" s="19">
        <f>IF(B113="","",IF(VLOOKUP(A113,'Policy Inventory'!$A:$K,11,FALSE)&gt;=TODAY(),"Current",IF(VLOOKUP(A113,'Policy Inventory'!$A:$K,11,FALSE)&gt;=TODAY()-30,"Overdue-&lt;30-Days",IF(VLOOKUP(A113,'Policy Inventory'!$A:$K,11,FALSE)&gt;=TODAY()-90,"Overdue-30-90-Days","Overdue-&gt;90-Days"))))</f>
        <v/>
      </c>
      <c r="I113" s="16" t="n"/>
      <c r="J113" s="16" t="n"/>
      <c r="K113" s="16" t="n"/>
      <c r="L113" s="19">
        <f>IF(B113="","",IF(AND(D113="Yes",E113="Complete",F113="Published",OR(H113="Current",H113="Overdue-&lt;30-Days"),I113="Yes",J113&lt;&gt;"Poor"),"Compliant",IF(OR(D113="No",D113="Expired",E113="Missing",F113="Not-Published",H113="Overdue-&gt;90-Days"),"Non-Compliant","Partial")))</f>
        <v/>
      </c>
      <c r="M113" s="16" t="n"/>
      <c r="N113" s="16" t="n"/>
    </row>
    <row r="114">
      <c r="A114" s="19">
        <f>IF(ROW()-5&lt;=COUNTA('Policy Inventory'!$A:$A)-4,INDEX('Policy Inventory'!$A:$A,ROW()-1),"")</f>
        <v/>
      </c>
      <c r="B114" s="19">
        <f>IF(A114&lt;&gt;"",VLOOKUP(A114,'Policy Inventory'!$A:$B,2,FALSE),"")</f>
        <v/>
      </c>
      <c r="C114" s="16" t="n"/>
      <c r="D114" s="16" t="n"/>
      <c r="E114" s="16" t="n"/>
      <c r="F114" s="16" t="n"/>
      <c r="G114" s="16" t="n"/>
      <c r="H114" s="19">
        <f>IF(B114="","",IF(VLOOKUP(A114,'Policy Inventory'!$A:$K,11,FALSE)&gt;=TODAY(),"Current",IF(VLOOKUP(A114,'Policy Inventory'!$A:$K,11,FALSE)&gt;=TODAY()-30,"Overdue-&lt;30-Days",IF(VLOOKUP(A114,'Policy Inventory'!$A:$K,11,FALSE)&gt;=TODAY()-90,"Overdue-30-90-Days","Overdue-&gt;90-Days"))))</f>
        <v/>
      </c>
      <c r="I114" s="16" t="n"/>
      <c r="J114" s="16" t="n"/>
      <c r="K114" s="16" t="n"/>
      <c r="L114" s="19">
        <f>IF(B114="","",IF(AND(D114="Yes",E114="Complete",F114="Published",OR(H114="Current",H114="Overdue-&lt;30-Days"),I114="Yes",J114&lt;&gt;"Poor"),"Compliant",IF(OR(D114="No",D114="Expired",E114="Missing",F114="Not-Published",H114="Overdue-&gt;90-Days"),"Non-Compliant","Partial")))</f>
        <v/>
      </c>
      <c r="M114" s="16" t="n"/>
      <c r="N114" s="16" t="n"/>
    </row>
    <row r="115">
      <c r="A115" s="19">
        <f>IF(ROW()-5&lt;=COUNTA('Policy Inventory'!$A:$A)-4,INDEX('Policy Inventory'!$A:$A,ROW()-1),"")</f>
        <v/>
      </c>
      <c r="B115" s="19">
        <f>IF(A115&lt;&gt;"",VLOOKUP(A115,'Policy Inventory'!$A:$B,2,FALSE),"")</f>
        <v/>
      </c>
      <c r="C115" s="16" t="n"/>
      <c r="D115" s="16" t="n"/>
      <c r="E115" s="16" t="n"/>
      <c r="F115" s="16" t="n"/>
      <c r="G115" s="16" t="n"/>
      <c r="H115" s="19">
        <f>IF(B115="","",IF(VLOOKUP(A115,'Policy Inventory'!$A:$K,11,FALSE)&gt;=TODAY(),"Current",IF(VLOOKUP(A115,'Policy Inventory'!$A:$K,11,FALSE)&gt;=TODAY()-30,"Overdue-&lt;30-Days",IF(VLOOKUP(A115,'Policy Inventory'!$A:$K,11,FALSE)&gt;=TODAY()-90,"Overdue-30-90-Days","Overdue-&gt;90-Days"))))</f>
        <v/>
      </c>
      <c r="I115" s="16" t="n"/>
      <c r="J115" s="16" t="n"/>
      <c r="K115" s="16" t="n"/>
      <c r="L115" s="19">
        <f>IF(B115="","",IF(AND(D115="Yes",E115="Complete",F115="Published",OR(H115="Current",H115="Overdue-&lt;30-Days"),I115="Yes",J115&lt;&gt;"Poor"),"Compliant",IF(OR(D115="No",D115="Expired",E115="Missing",F115="Not-Published",H115="Overdue-&gt;90-Days"),"Non-Compliant","Partial")))</f>
        <v/>
      </c>
      <c r="M115" s="16" t="n"/>
      <c r="N115" s="16" t="n"/>
    </row>
    <row r="116">
      <c r="A116" s="19">
        <f>IF(ROW()-5&lt;=COUNTA('Policy Inventory'!$A:$A)-4,INDEX('Policy Inventory'!$A:$A,ROW()-1),"")</f>
        <v/>
      </c>
      <c r="B116" s="19">
        <f>IF(A116&lt;&gt;"",VLOOKUP(A116,'Policy Inventory'!$A:$B,2,FALSE),"")</f>
        <v/>
      </c>
      <c r="C116" s="16" t="n"/>
      <c r="D116" s="16" t="n"/>
      <c r="E116" s="16" t="n"/>
      <c r="F116" s="16" t="n"/>
      <c r="G116" s="16" t="n"/>
      <c r="H116" s="19">
        <f>IF(B116="","",IF(VLOOKUP(A116,'Policy Inventory'!$A:$K,11,FALSE)&gt;=TODAY(),"Current",IF(VLOOKUP(A116,'Policy Inventory'!$A:$K,11,FALSE)&gt;=TODAY()-30,"Overdue-&lt;30-Days",IF(VLOOKUP(A116,'Policy Inventory'!$A:$K,11,FALSE)&gt;=TODAY()-90,"Overdue-30-90-Days","Overdue-&gt;90-Days"))))</f>
        <v/>
      </c>
      <c r="I116" s="16" t="n"/>
      <c r="J116" s="16" t="n"/>
      <c r="K116" s="16" t="n"/>
      <c r="L116" s="19">
        <f>IF(B116="","",IF(AND(D116="Yes",E116="Complete",F116="Published",OR(H116="Current",H116="Overdue-&lt;30-Days"),I116="Yes",J116&lt;&gt;"Poor"),"Compliant",IF(OR(D116="No",D116="Expired",E116="Missing",F116="Not-Published",H116="Overdue-&gt;90-Days"),"Non-Compliant","Partial")))</f>
        <v/>
      </c>
      <c r="M116" s="16" t="n"/>
      <c r="N116" s="16" t="n"/>
    </row>
    <row r="117">
      <c r="A117" s="19">
        <f>IF(ROW()-5&lt;=COUNTA('Policy Inventory'!$A:$A)-4,INDEX('Policy Inventory'!$A:$A,ROW()-1),"")</f>
        <v/>
      </c>
      <c r="B117" s="19">
        <f>IF(A117&lt;&gt;"",VLOOKUP(A117,'Policy Inventory'!$A:$B,2,FALSE),"")</f>
        <v/>
      </c>
      <c r="C117" s="16" t="n"/>
      <c r="D117" s="16" t="n"/>
      <c r="E117" s="16" t="n"/>
      <c r="F117" s="16" t="n"/>
      <c r="G117" s="16" t="n"/>
      <c r="H117" s="19">
        <f>IF(B117="","",IF(VLOOKUP(A117,'Policy Inventory'!$A:$K,11,FALSE)&gt;=TODAY(),"Current",IF(VLOOKUP(A117,'Policy Inventory'!$A:$K,11,FALSE)&gt;=TODAY()-30,"Overdue-&lt;30-Days",IF(VLOOKUP(A117,'Policy Inventory'!$A:$K,11,FALSE)&gt;=TODAY()-90,"Overdue-30-90-Days","Overdue-&gt;90-Days"))))</f>
        <v/>
      </c>
      <c r="I117" s="16" t="n"/>
      <c r="J117" s="16" t="n"/>
      <c r="K117" s="16" t="n"/>
      <c r="L117" s="19">
        <f>IF(B117="","",IF(AND(D117="Yes",E117="Complete",F117="Published",OR(H117="Current",H117="Overdue-&lt;30-Days"),I117="Yes",J117&lt;&gt;"Poor"),"Compliant",IF(OR(D117="No",D117="Expired",E117="Missing",F117="Not-Published",H117="Overdue-&gt;90-Days"),"Non-Compliant","Partial")))</f>
        <v/>
      </c>
      <c r="M117" s="16" t="n"/>
      <c r="N117" s="16" t="n"/>
    </row>
    <row r="118">
      <c r="A118" s="19">
        <f>IF(ROW()-5&lt;=COUNTA('Policy Inventory'!$A:$A)-4,INDEX('Policy Inventory'!$A:$A,ROW()-1),"")</f>
        <v/>
      </c>
      <c r="B118" s="19">
        <f>IF(A118&lt;&gt;"",VLOOKUP(A118,'Policy Inventory'!$A:$B,2,FALSE),"")</f>
        <v/>
      </c>
      <c r="C118" s="16" t="n"/>
      <c r="D118" s="16" t="n"/>
      <c r="E118" s="16" t="n"/>
      <c r="F118" s="16" t="n"/>
      <c r="G118" s="16" t="n"/>
      <c r="H118" s="19">
        <f>IF(B118="","",IF(VLOOKUP(A118,'Policy Inventory'!$A:$K,11,FALSE)&gt;=TODAY(),"Current",IF(VLOOKUP(A118,'Policy Inventory'!$A:$K,11,FALSE)&gt;=TODAY()-30,"Overdue-&lt;30-Days",IF(VLOOKUP(A118,'Policy Inventory'!$A:$K,11,FALSE)&gt;=TODAY()-90,"Overdue-30-90-Days","Overdue-&gt;90-Days"))))</f>
        <v/>
      </c>
      <c r="I118" s="16" t="n"/>
      <c r="J118" s="16" t="n"/>
      <c r="K118" s="16" t="n"/>
      <c r="L118" s="19">
        <f>IF(B118="","",IF(AND(D118="Yes",E118="Complete",F118="Published",OR(H118="Current",H118="Overdue-&lt;30-Days"),I118="Yes",J118&lt;&gt;"Poor"),"Compliant",IF(OR(D118="No",D118="Expired",E118="Missing",F118="Not-Published",H118="Overdue-&gt;90-Days"),"Non-Compliant","Partial")))</f>
        <v/>
      </c>
      <c r="M118" s="16" t="n"/>
      <c r="N118" s="16" t="n"/>
    </row>
    <row r="119">
      <c r="A119" s="19">
        <f>IF(ROW()-5&lt;=COUNTA('Policy Inventory'!$A:$A)-4,INDEX('Policy Inventory'!$A:$A,ROW()-1),"")</f>
        <v/>
      </c>
      <c r="B119" s="19">
        <f>IF(A119&lt;&gt;"",VLOOKUP(A119,'Policy Inventory'!$A:$B,2,FALSE),"")</f>
        <v/>
      </c>
      <c r="C119" s="16" t="n"/>
      <c r="D119" s="16" t="n"/>
      <c r="E119" s="16" t="n"/>
      <c r="F119" s="16" t="n"/>
      <c r="G119" s="16" t="n"/>
      <c r="H119" s="19">
        <f>IF(B119="","",IF(VLOOKUP(A119,'Policy Inventory'!$A:$K,11,FALSE)&gt;=TODAY(),"Current",IF(VLOOKUP(A119,'Policy Inventory'!$A:$K,11,FALSE)&gt;=TODAY()-30,"Overdue-&lt;30-Days",IF(VLOOKUP(A119,'Policy Inventory'!$A:$K,11,FALSE)&gt;=TODAY()-90,"Overdue-30-90-Days","Overdue-&gt;90-Days"))))</f>
        <v/>
      </c>
      <c r="I119" s="16" t="n"/>
      <c r="J119" s="16" t="n"/>
      <c r="K119" s="16" t="n"/>
      <c r="L119" s="19">
        <f>IF(B119="","",IF(AND(D119="Yes",E119="Complete",F119="Published",OR(H119="Current",H119="Overdue-&lt;30-Days"),I119="Yes",J119&lt;&gt;"Poor"),"Compliant",IF(OR(D119="No",D119="Expired",E119="Missing",F119="Not-Published",H119="Overdue-&gt;90-Days"),"Non-Compliant","Partial")))</f>
        <v/>
      </c>
      <c r="M119" s="16" t="n"/>
      <c r="N119" s="16" t="n"/>
    </row>
    <row r="120">
      <c r="A120" s="19">
        <f>IF(ROW()-5&lt;=COUNTA('Policy Inventory'!$A:$A)-4,INDEX('Policy Inventory'!$A:$A,ROW()-1),"")</f>
        <v/>
      </c>
      <c r="B120" s="19">
        <f>IF(A120&lt;&gt;"",VLOOKUP(A120,'Policy Inventory'!$A:$B,2,FALSE),"")</f>
        <v/>
      </c>
      <c r="C120" s="16" t="n"/>
      <c r="D120" s="16" t="n"/>
      <c r="E120" s="16" t="n"/>
      <c r="F120" s="16" t="n"/>
      <c r="G120" s="16" t="n"/>
      <c r="H120" s="19">
        <f>IF(B120="","",IF(VLOOKUP(A120,'Policy Inventory'!$A:$K,11,FALSE)&gt;=TODAY(),"Current",IF(VLOOKUP(A120,'Policy Inventory'!$A:$K,11,FALSE)&gt;=TODAY()-30,"Overdue-&lt;30-Days",IF(VLOOKUP(A120,'Policy Inventory'!$A:$K,11,FALSE)&gt;=TODAY()-90,"Overdue-30-90-Days","Overdue-&gt;90-Days"))))</f>
        <v/>
      </c>
      <c r="I120" s="16" t="n"/>
      <c r="J120" s="16" t="n"/>
      <c r="K120" s="16" t="n"/>
      <c r="L120" s="19">
        <f>IF(B120="","",IF(AND(D120="Yes",E120="Complete",F120="Published",OR(H120="Current",H120="Overdue-&lt;30-Days"),I120="Yes",J120&lt;&gt;"Poor"),"Compliant",IF(OR(D120="No",D120="Expired",E120="Missing",F120="Not-Published",H120="Overdue-&gt;90-Days"),"Non-Compliant","Partial")))</f>
        <v/>
      </c>
      <c r="M120" s="16" t="n"/>
      <c r="N120" s="16" t="n"/>
    </row>
    <row r="121">
      <c r="A121" s="19">
        <f>IF(ROW()-5&lt;=COUNTA('Policy Inventory'!$A:$A)-4,INDEX('Policy Inventory'!$A:$A,ROW()-1),"")</f>
        <v/>
      </c>
      <c r="B121" s="19">
        <f>IF(A121&lt;&gt;"",VLOOKUP(A121,'Policy Inventory'!$A:$B,2,FALSE),"")</f>
        <v/>
      </c>
      <c r="C121" s="16" t="n"/>
      <c r="D121" s="16" t="n"/>
      <c r="E121" s="16" t="n"/>
      <c r="F121" s="16" t="n"/>
      <c r="G121" s="16" t="n"/>
      <c r="H121" s="19">
        <f>IF(B121="","",IF(VLOOKUP(A121,'Policy Inventory'!$A:$K,11,FALSE)&gt;=TODAY(),"Current",IF(VLOOKUP(A121,'Policy Inventory'!$A:$K,11,FALSE)&gt;=TODAY()-30,"Overdue-&lt;30-Days",IF(VLOOKUP(A121,'Policy Inventory'!$A:$K,11,FALSE)&gt;=TODAY()-90,"Overdue-30-90-Days","Overdue-&gt;90-Days"))))</f>
        <v/>
      </c>
      <c r="I121" s="16" t="n"/>
      <c r="J121" s="16" t="n"/>
      <c r="K121" s="16" t="n"/>
      <c r="L121" s="19">
        <f>IF(B121="","",IF(AND(D121="Yes",E121="Complete",F121="Published",OR(H121="Current",H121="Overdue-&lt;30-Days"),I121="Yes",J121&lt;&gt;"Poor"),"Compliant",IF(OR(D121="No",D121="Expired",E121="Missing",F121="Not-Published",H121="Overdue-&gt;90-Days"),"Non-Compliant","Partial")))</f>
        <v/>
      </c>
      <c r="M121" s="16" t="n"/>
      <c r="N121" s="16" t="n"/>
    </row>
    <row r="122">
      <c r="A122" s="19">
        <f>IF(ROW()-5&lt;=COUNTA('Policy Inventory'!$A:$A)-4,INDEX('Policy Inventory'!$A:$A,ROW()-1),"")</f>
        <v/>
      </c>
      <c r="B122" s="19">
        <f>IF(A122&lt;&gt;"",VLOOKUP(A122,'Policy Inventory'!$A:$B,2,FALSE),"")</f>
        <v/>
      </c>
      <c r="C122" s="16" t="n"/>
      <c r="D122" s="16" t="n"/>
      <c r="E122" s="16" t="n"/>
      <c r="F122" s="16" t="n"/>
      <c r="G122" s="16" t="n"/>
      <c r="H122" s="19">
        <f>IF(B122="","",IF(VLOOKUP(A122,'Policy Inventory'!$A:$K,11,FALSE)&gt;=TODAY(),"Current",IF(VLOOKUP(A122,'Policy Inventory'!$A:$K,11,FALSE)&gt;=TODAY()-30,"Overdue-&lt;30-Days",IF(VLOOKUP(A122,'Policy Inventory'!$A:$K,11,FALSE)&gt;=TODAY()-90,"Overdue-30-90-Days","Overdue-&gt;90-Days"))))</f>
        <v/>
      </c>
      <c r="I122" s="16" t="n"/>
      <c r="J122" s="16" t="n"/>
      <c r="K122" s="16" t="n"/>
      <c r="L122" s="19">
        <f>IF(B122="","",IF(AND(D122="Yes",E122="Complete",F122="Published",OR(H122="Current",H122="Overdue-&lt;30-Days"),I122="Yes",J122&lt;&gt;"Poor"),"Compliant",IF(OR(D122="No",D122="Expired",E122="Missing",F122="Not-Published",H122="Overdue-&gt;90-Days"),"Non-Compliant","Partial")))</f>
        <v/>
      </c>
      <c r="M122" s="16" t="n"/>
      <c r="N122" s="16" t="n"/>
    </row>
    <row r="123">
      <c r="A123" s="19">
        <f>IF(ROW()-5&lt;=COUNTA('Policy Inventory'!$A:$A)-4,INDEX('Policy Inventory'!$A:$A,ROW()-1),"")</f>
        <v/>
      </c>
      <c r="B123" s="19">
        <f>IF(A123&lt;&gt;"",VLOOKUP(A123,'Policy Inventory'!$A:$B,2,FALSE),"")</f>
        <v/>
      </c>
      <c r="C123" s="16" t="n"/>
      <c r="D123" s="16" t="n"/>
      <c r="E123" s="16" t="n"/>
      <c r="F123" s="16" t="n"/>
      <c r="G123" s="16" t="n"/>
      <c r="H123" s="19">
        <f>IF(B123="","",IF(VLOOKUP(A123,'Policy Inventory'!$A:$K,11,FALSE)&gt;=TODAY(),"Current",IF(VLOOKUP(A123,'Policy Inventory'!$A:$K,11,FALSE)&gt;=TODAY()-30,"Overdue-&lt;30-Days",IF(VLOOKUP(A123,'Policy Inventory'!$A:$K,11,FALSE)&gt;=TODAY()-90,"Overdue-30-90-Days","Overdue-&gt;90-Days"))))</f>
        <v/>
      </c>
      <c r="I123" s="16" t="n"/>
      <c r="J123" s="16" t="n"/>
      <c r="K123" s="16" t="n"/>
      <c r="L123" s="19">
        <f>IF(B123="","",IF(AND(D123="Yes",E123="Complete",F123="Published",OR(H123="Current",H123="Overdue-&lt;30-Days"),I123="Yes",J123&lt;&gt;"Poor"),"Compliant",IF(OR(D123="No",D123="Expired",E123="Missing",F123="Not-Published",H123="Overdue-&gt;90-Days"),"Non-Compliant","Partial")))</f>
        <v/>
      </c>
      <c r="M123" s="16" t="n"/>
      <c r="N123" s="16" t="n"/>
    </row>
    <row r="124">
      <c r="A124" s="19">
        <f>IF(ROW()-5&lt;=COUNTA('Policy Inventory'!$A:$A)-4,INDEX('Policy Inventory'!$A:$A,ROW()-1),"")</f>
        <v/>
      </c>
      <c r="B124" s="19">
        <f>IF(A124&lt;&gt;"",VLOOKUP(A124,'Policy Inventory'!$A:$B,2,FALSE),"")</f>
        <v/>
      </c>
      <c r="C124" s="16" t="n"/>
      <c r="D124" s="16" t="n"/>
      <c r="E124" s="16" t="n"/>
      <c r="F124" s="16" t="n"/>
      <c r="G124" s="16" t="n"/>
      <c r="H124" s="19">
        <f>IF(B124="","",IF(VLOOKUP(A124,'Policy Inventory'!$A:$K,11,FALSE)&gt;=TODAY(),"Current",IF(VLOOKUP(A124,'Policy Inventory'!$A:$K,11,FALSE)&gt;=TODAY()-30,"Overdue-&lt;30-Days",IF(VLOOKUP(A124,'Policy Inventory'!$A:$K,11,FALSE)&gt;=TODAY()-90,"Overdue-30-90-Days","Overdue-&gt;90-Days"))))</f>
        <v/>
      </c>
      <c r="I124" s="16" t="n"/>
      <c r="J124" s="16" t="n"/>
      <c r="K124" s="16" t="n"/>
      <c r="L124" s="19">
        <f>IF(B124="","",IF(AND(D124="Yes",E124="Complete",F124="Published",OR(H124="Current",H124="Overdue-&lt;30-Days"),I124="Yes",J124&lt;&gt;"Poor"),"Compliant",IF(OR(D124="No",D124="Expired",E124="Missing",F124="Not-Published",H124="Overdue-&gt;90-Days"),"Non-Compliant","Partial")))</f>
        <v/>
      </c>
      <c r="M124" s="16" t="n"/>
      <c r="N124" s="16" t="n"/>
    </row>
    <row r="125">
      <c r="A125" s="19">
        <f>IF(ROW()-5&lt;=COUNTA('Policy Inventory'!$A:$A)-4,INDEX('Policy Inventory'!$A:$A,ROW()-1),"")</f>
        <v/>
      </c>
      <c r="B125" s="19">
        <f>IF(A125&lt;&gt;"",VLOOKUP(A125,'Policy Inventory'!$A:$B,2,FALSE),"")</f>
        <v/>
      </c>
      <c r="C125" s="16" t="n"/>
      <c r="D125" s="16" t="n"/>
      <c r="E125" s="16" t="n"/>
      <c r="F125" s="16" t="n"/>
      <c r="G125" s="16" t="n"/>
      <c r="H125" s="19">
        <f>IF(B125="","",IF(VLOOKUP(A125,'Policy Inventory'!$A:$K,11,FALSE)&gt;=TODAY(),"Current",IF(VLOOKUP(A125,'Policy Inventory'!$A:$K,11,FALSE)&gt;=TODAY()-30,"Overdue-&lt;30-Days",IF(VLOOKUP(A125,'Policy Inventory'!$A:$K,11,FALSE)&gt;=TODAY()-90,"Overdue-30-90-Days","Overdue-&gt;90-Days"))))</f>
        <v/>
      </c>
      <c r="I125" s="16" t="n"/>
      <c r="J125" s="16" t="n"/>
      <c r="K125" s="16" t="n"/>
      <c r="L125" s="19">
        <f>IF(B125="","",IF(AND(D125="Yes",E125="Complete",F125="Published",OR(H125="Current",H125="Overdue-&lt;30-Days"),I125="Yes",J125&lt;&gt;"Poor"),"Compliant",IF(OR(D125="No",D125="Expired",E125="Missing",F125="Not-Published",H125="Overdue-&gt;90-Days"),"Non-Compliant","Partial")))</f>
        <v/>
      </c>
      <c r="M125" s="16" t="n"/>
      <c r="N125" s="16" t="n"/>
    </row>
    <row r="126">
      <c r="A126" s="19">
        <f>IF(ROW()-5&lt;=COUNTA('Policy Inventory'!$A:$A)-4,INDEX('Policy Inventory'!$A:$A,ROW()-1),"")</f>
        <v/>
      </c>
      <c r="B126" s="19">
        <f>IF(A126&lt;&gt;"",VLOOKUP(A126,'Policy Inventory'!$A:$B,2,FALSE),"")</f>
        <v/>
      </c>
      <c r="C126" s="16" t="n"/>
      <c r="D126" s="16" t="n"/>
      <c r="E126" s="16" t="n"/>
      <c r="F126" s="16" t="n"/>
      <c r="G126" s="16" t="n"/>
      <c r="H126" s="19">
        <f>IF(B126="","",IF(VLOOKUP(A126,'Policy Inventory'!$A:$K,11,FALSE)&gt;=TODAY(),"Current",IF(VLOOKUP(A126,'Policy Inventory'!$A:$K,11,FALSE)&gt;=TODAY()-30,"Overdue-&lt;30-Days",IF(VLOOKUP(A126,'Policy Inventory'!$A:$K,11,FALSE)&gt;=TODAY()-90,"Overdue-30-90-Days","Overdue-&gt;90-Days"))))</f>
        <v/>
      </c>
      <c r="I126" s="16" t="n"/>
      <c r="J126" s="16" t="n"/>
      <c r="K126" s="16" t="n"/>
      <c r="L126" s="19">
        <f>IF(B126="","",IF(AND(D126="Yes",E126="Complete",F126="Published",OR(H126="Current",H126="Overdue-&lt;30-Days"),I126="Yes",J126&lt;&gt;"Poor"),"Compliant",IF(OR(D126="No",D126="Expired",E126="Missing",F126="Not-Published",H126="Overdue-&gt;90-Days"),"Non-Compliant","Partial")))</f>
        <v/>
      </c>
      <c r="M126" s="16" t="n"/>
      <c r="N126" s="16" t="n"/>
    </row>
    <row r="127">
      <c r="A127" s="19">
        <f>IF(ROW()-5&lt;=COUNTA('Policy Inventory'!$A:$A)-4,INDEX('Policy Inventory'!$A:$A,ROW()-1),"")</f>
        <v/>
      </c>
      <c r="B127" s="19">
        <f>IF(A127&lt;&gt;"",VLOOKUP(A127,'Policy Inventory'!$A:$B,2,FALSE),"")</f>
        <v/>
      </c>
      <c r="C127" s="16" t="n"/>
      <c r="D127" s="16" t="n"/>
      <c r="E127" s="16" t="n"/>
      <c r="F127" s="16" t="n"/>
      <c r="G127" s="16" t="n"/>
      <c r="H127" s="19">
        <f>IF(B127="","",IF(VLOOKUP(A127,'Policy Inventory'!$A:$K,11,FALSE)&gt;=TODAY(),"Current",IF(VLOOKUP(A127,'Policy Inventory'!$A:$K,11,FALSE)&gt;=TODAY()-30,"Overdue-&lt;30-Days",IF(VLOOKUP(A127,'Policy Inventory'!$A:$K,11,FALSE)&gt;=TODAY()-90,"Overdue-30-90-Days","Overdue-&gt;90-Days"))))</f>
        <v/>
      </c>
      <c r="I127" s="16" t="n"/>
      <c r="J127" s="16" t="n"/>
      <c r="K127" s="16" t="n"/>
      <c r="L127" s="19">
        <f>IF(B127="","",IF(AND(D127="Yes",E127="Complete",F127="Published",OR(H127="Current",H127="Overdue-&lt;30-Days"),I127="Yes",J127&lt;&gt;"Poor"),"Compliant",IF(OR(D127="No",D127="Expired",E127="Missing",F127="Not-Published",H127="Overdue-&gt;90-Days"),"Non-Compliant","Partial")))</f>
        <v/>
      </c>
      <c r="M127" s="16" t="n"/>
      <c r="N127" s="16" t="n"/>
    </row>
    <row r="128">
      <c r="A128" s="19">
        <f>IF(ROW()-5&lt;=COUNTA('Policy Inventory'!$A:$A)-4,INDEX('Policy Inventory'!$A:$A,ROW()-1),"")</f>
        <v/>
      </c>
      <c r="B128" s="19">
        <f>IF(A128&lt;&gt;"",VLOOKUP(A128,'Policy Inventory'!$A:$B,2,FALSE),"")</f>
        <v/>
      </c>
      <c r="C128" s="16" t="n"/>
      <c r="D128" s="16" t="n"/>
      <c r="E128" s="16" t="n"/>
      <c r="F128" s="16" t="n"/>
      <c r="G128" s="16" t="n"/>
      <c r="H128" s="19">
        <f>IF(B128="","",IF(VLOOKUP(A128,'Policy Inventory'!$A:$K,11,FALSE)&gt;=TODAY(),"Current",IF(VLOOKUP(A128,'Policy Inventory'!$A:$K,11,FALSE)&gt;=TODAY()-30,"Overdue-&lt;30-Days",IF(VLOOKUP(A128,'Policy Inventory'!$A:$K,11,FALSE)&gt;=TODAY()-90,"Overdue-30-90-Days","Overdue-&gt;90-Days"))))</f>
        <v/>
      </c>
      <c r="I128" s="16" t="n"/>
      <c r="J128" s="16" t="n"/>
      <c r="K128" s="16" t="n"/>
      <c r="L128" s="19">
        <f>IF(B128="","",IF(AND(D128="Yes",E128="Complete",F128="Published",OR(H128="Current",H128="Overdue-&lt;30-Days"),I128="Yes",J128&lt;&gt;"Poor"),"Compliant",IF(OR(D128="No",D128="Expired",E128="Missing",F128="Not-Published",H128="Overdue-&gt;90-Days"),"Non-Compliant","Partial")))</f>
        <v/>
      </c>
      <c r="M128" s="16" t="n"/>
      <c r="N128" s="16" t="n"/>
    </row>
    <row r="129">
      <c r="A129" s="19">
        <f>IF(ROW()-5&lt;=COUNTA('Policy Inventory'!$A:$A)-4,INDEX('Policy Inventory'!$A:$A,ROW()-1),"")</f>
        <v/>
      </c>
      <c r="B129" s="19">
        <f>IF(A129&lt;&gt;"",VLOOKUP(A129,'Policy Inventory'!$A:$B,2,FALSE),"")</f>
        <v/>
      </c>
      <c r="C129" s="16" t="n"/>
      <c r="D129" s="16" t="n"/>
      <c r="E129" s="16" t="n"/>
      <c r="F129" s="16" t="n"/>
      <c r="G129" s="16" t="n"/>
      <c r="H129" s="19">
        <f>IF(B129="","",IF(VLOOKUP(A129,'Policy Inventory'!$A:$K,11,FALSE)&gt;=TODAY(),"Current",IF(VLOOKUP(A129,'Policy Inventory'!$A:$K,11,FALSE)&gt;=TODAY()-30,"Overdue-&lt;30-Days",IF(VLOOKUP(A129,'Policy Inventory'!$A:$K,11,FALSE)&gt;=TODAY()-90,"Overdue-30-90-Days","Overdue-&gt;90-Days"))))</f>
        <v/>
      </c>
      <c r="I129" s="16" t="n"/>
      <c r="J129" s="16" t="n"/>
      <c r="K129" s="16" t="n"/>
      <c r="L129" s="19">
        <f>IF(B129="","",IF(AND(D129="Yes",E129="Complete",F129="Published",OR(H129="Current",H129="Overdue-&lt;30-Days"),I129="Yes",J129&lt;&gt;"Poor"),"Compliant",IF(OR(D129="No",D129="Expired",E129="Missing",F129="Not-Published",H129="Overdue-&gt;90-Days"),"Non-Compliant","Partial")))</f>
        <v/>
      </c>
      <c r="M129" s="16" t="n"/>
      <c r="N129" s="16" t="n"/>
    </row>
    <row r="130">
      <c r="A130" s="19">
        <f>IF(ROW()-5&lt;=COUNTA('Policy Inventory'!$A:$A)-4,INDEX('Policy Inventory'!$A:$A,ROW()-1),"")</f>
        <v/>
      </c>
      <c r="B130" s="19">
        <f>IF(A130&lt;&gt;"",VLOOKUP(A130,'Policy Inventory'!$A:$B,2,FALSE),"")</f>
        <v/>
      </c>
      <c r="C130" s="16" t="n"/>
      <c r="D130" s="16" t="n"/>
      <c r="E130" s="16" t="n"/>
      <c r="F130" s="16" t="n"/>
      <c r="G130" s="16" t="n"/>
      <c r="H130" s="19">
        <f>IF(B130="","",IF(VLOOKUP(A130,'Policy Inventory'!$A:$K,11,FALSE)&gt;=TODAY(),"Current",IF(VLOOKUP(A130,'Policy Inventory'!$A:$K,11,FALSE)&gt;=TODAY()-30,"Overdue-&lt;30-Days",IF(VLOOKUP(A130,'Policy Inventory'!$A:$K,11,FALSE)&gt;=TODAY()-90,"Overdue-30-90-Days","Overdue-&gt;90-Days"))))</f>
        <v/>
      </c>
      <c r="I130" s="16" t="n"/>
      <c r="J130" s="16" t="n"/>
      <c r="K130" s="16" t="n"/>
      <c r="L130" s="19">
        <f>IF(B130="","",IF(AND(D130="Yes",E130="Complete",F130="Published",OR(H130="Current",H130="Overdue-&lt;30-Days"),I130="Yes",J130&lt;&gt;"Poor"),"Compliant",IF(OR(D130="No",D130="Expired",E130="Missing",F130="Not-Published",H130="Overdue-&gt;90-Days"),"Non-Compliant","Partial")))</f>
        <v/>
      </c>
      <c r="M130" s="16" t="n"/>
      <c r="N130" s="16" t="n"/>
    </row>
    <row r="131">
      <c r="A131" s="19">
        <f>IF(ROW()-5&lt;=COUNTA('Policy Inventory'!$A:$A)-4,INDEX('Policy Inventory'!$A:$A,ROW()-1),"")</f>
        <v/>
      </c>
      <c r="B131" s="19">
        <f>IF(A131&lt;&gt;"",VLOOKUP(A131,'Policy Inventory'!$A:$B,2,FALSE),"")</f>
        <v/>
      </c>
      <c r="C131" s="16" t="n"/>
      <c r="D131" s="16" t="n"/>
      <c r="E131" s="16" t="n"/>
      <c r="F131" s="16" t="n"/>
      <c r="G131" s="16" t="n"/>
      <c r="H131" s="19">
        <f>IF(B131="","",IF(VLOOKUP(A131,'Policy Inventory'!$A:$K,11,FALSE)&gt;=TODAY(),"Current",IF(VLOOKUP(A131,'Policy Inventory'!$A:$K,11,FALSE)&gt;=TODAY()-30,"Overdue-&lt;30-Days",IF(VLOOKUP(A131,'Policy Inventory'!$A:$K,11,FALSE)&gt;=TODAY()-90,"Overdue-30-90-Days","Overdue-&gt;90-Days"))))</f>
        <v/>
      </c>
      <c r="I131" s="16" t="n"/>
      <c r="J131" s="16" t="n"/>
      <c r="K131" s="16" t="n"/>
      <c r="L131" s="19">
        <f>IF(B131="","",IF(AND(D131="Yes",E131="Complete",F131="Published",OR(H131="Current",H131="Overdue-&lt;30-Days"),I131="Yes",J131&lt;&gt;"Poor"),"Compliant",IF(OR(D131="No",D131="Expired",E131="Missing",F131="Not-Published",H131="Overdue-&gt;90-Days"),"Non-Compliant","Partial")))</f>
        <v/>
      </c>
      <c r="M131" s="16" t="n"/>
      <c r="N131" s="16" t="n"/>
    </row>
    <row r="132">
      <c r="A132" s="19">
        <f>IF(ROW()-5&lt;=COUNTA('Policy Inventory'!$A:$A)-4,INDEX('Policy Inventory'!$A:$A,ROW()-1),"")</f>
        <v/>
      </c>
      <c r="B132" s="19">
        <f>IF(A132&lt;&gt;"",VLOOKUP(A132,'Policy Inventory'!$A:$B,2,FALSE),"")</f>
        <v/>
      </c>
      <c r="C132" s="16" t="n"/>
      <c r="D132" s="16" t="n"/>
      <c r="E132" s="16" t="n"/>
      <c r="F132" s="16" t="n"/>
      <c r="G132" s="16" t="n"/>
      <c r="H132" s="19">
        <f>IF(B132="","",IF(VLOOKUP(A132,'Policy Inventory'!$A:$K,11,FALSE)&gt;=TODAY(),"Current",IF(VLOOKUP(A132,'Policy Inventory'!$A:$K,11,FALSE)&gt;=TODAY()-30,"Overdue-&lt;30-Days",IF(VLOOKUP(A132,'Policy Inventory'!$A:$K,11,FALSE)&gt;=TODAY()-90,"Overdue-30-90-Days","Overdue-&gt;90-Days"))))</f>
        <v/>
      </c>
      <c r="I132" s="16" t="n"/>
      <c r="J132" s="16" t="n"/>
      <c r="K132" s="16" t="n"/>
      <c r="L132" s="19">
        <f>IF(B132="","",IF(AND(D132="Yes",E132="Complete",F132="Published",OR(H132="Current",H132="Overdue-&lt;30-Days"),I132="Yes",J132&lt;&gt;"Poor"),"Compliant",IF(OR(D132="No",D132="Expired",E132="Missing",F132="Not-Published",H132="Overdue-&gt;90-Days"),"Non-Compliant","Partial")))</f>
        <v/>
      </c>
      <c r="M132" s="16" t="n"/>
      <c r="N132" s="16" t="n"/>
    </row>
    <row r="133">
      <c r="A133" s="19">
        <f>IF(ROW()-5&lt;=COUNTA('Policy Inventory'!$A:$A)-4,INDEX('Policy Inventory'!$A:$A,ROW()-1),"")</f>
        <v/>
      </c>
      <c r="B133" s="19">
        <f>IF(A133&lt;&gt;"",VLOOKUP(A133,'Policy Inventory'!$A:$B,2,FALSE),"")</f>
        <v/>
      </c>
      <c r="C133" s="16" t="n"/>
      <c r="D133" s="16" t="n"/>
      <c r="E133" s="16" t="n"/>
      <c r="F133" s="16" t="n"/>
      <c r="G133" s="16" t="n"/>
      <c r="H133" s="19">
        <f>IF(B133="","",IF(VLOOKUP(A133,'Policy Inventory'!$A:$K,11,FALSE)&gt;=TODAY(),"Current",IF(VLOOKUP(A133,'Policy Inventory'!$A:$K,11,FALSE)&gt;=TODAY()-30,"Overdue-&lt;30-Days",IF(VLOOKUP(A133,'Policy Inventory'!$A:$K,11,FALSE)&gt;=TODAY()-90,"Overdue-30-90-Days","Overdue-&gt;90-Days"))))</f>
        <v/>
      </c>
      <c r="I133" s="16" t="n"/>
      <c r="J133" s="16" t="n"/>
      <c r="K133" s="16" t="n"/>
      <c r="L133" s="19">
        <f>IF(B133="","",IF(AND(D133="Yes",E133="Complete",F133="Published",OR(H133="Current",H133="Overdue-&lt;30-Days"),I133="Yes",J133&lt;&gt;"Poor"),"Compliant",IF(OR(D133="No",D133="Expired",E133="Missing",F133="Not-Published",H133="Overdue-&gt;90-Days"),"Non-Compliant","Partial")))</f>
        <v/>
      </c>
      <c r="M133" s="16" t="n"/>
      <c r="N133" s="16" t="n"/>
    </row>
    <row r="134">
      <c r="A134" s="19">
        <f>IF(ROW()-5&lt;=COUNTA('Policy Inventory'!$A:$A)-4,INDEX('Policy Inventory'!$A:$A,ROW()-1),"")</f>
        <v/>
      </c>
      <c r="B134" s="19">
        <f>IF(A134&lt;&gt;"",VLOOKUP(A134,'Policy Inventory'!$A:$B,2,FALSE),"")</f>
        <v/>
      </c>
      <c r="C134" s="16" t="n"/>
      <c r="D134" s="16" t="n"/>
      <c r="E134" s="16" t="n"/>
      <c r="F134" s="16" t="n"/>
      <c r="G134" s="16" t="n"/>
      <c r="H134" s="19">
        <f>IF(B134="","",IF(VLOOKUP(A134,'Policy Inventory'!$A:$K,11,FALSE)&gt;=TODAY(),"Current",IF(VLOOKUP(A134,'Policy Inventory'!$A:$K,11,FALSE)&gt;=TODAY()-30,"Overdue-&lt;30-Days",IF(VLOOKUP(A134,'Policy Inventory'!$A:$K,11,FALSE)&gt;=TODAY()-90,"Overdue-30-90-Days","Overdue-&gt;90-Days"))))</f>
        <v/>
      </c>
      <c r="I134" s="16" t="n"/>
      <c r="J134" s="16" t="n"/>
      <c r="K134" s="16" t="n"/>
      <c r="L134" s="19">
        <f>IF(B134="","",IF(AND(D134="Yes",E134="Complete",F134="Published",OR(H134="Current",H134="Overdue-&lt;30-Days"),I134="Yes",J134&lt;&gt;"Poor"),"Compliant",IF(OR(D134="No",D134="Expired",E134="Missing",F134="Not-Published",H134="Overdue-&gt;90-Days"),"Non-Compliant","Partial")))</f>
        <v/>
      </c>
      <c r="M134" s="16" t="n"/>
      <c r="N134" s="16" t="n"/>
    </row>
    <row r="135">
      <c r="A135" s="19">
        <f>IF(ROW()-5&lt;=COUNTA('Policy Inventory'!$A:$A)-4,INDEX('Policy Inventory'!$A:$A,ROW()-1),"")</f>
        <v/>
      </c>
      <c r="B135" s="19">
        <f>IF(A135&lt;&gt;"",VLOOKUP(A135,'Policy Inventory'!$A:$B,2,FALSE),"")</f>
        <v/>
      </c>
      <c r="C135" s="16" t="n"/>
      <c r="D135" s="16" t="n"/>
      <c r="E135" s="16" t="n"/>
      <c r="F135" s="16" t="n"/>
      <c r="G135" s="16" t="n"/>
      <c r="H135" s="19">
        <f>IF(B135="","",IF(VLOOKUP(A135,'Policy Inventory'!$A:$K,11,FALSE)&gt;=TODAY(),"Current",IF(VLOOKUP(A135,'Policy Inventory'!$A:$K,11,FALSE)&gt;=TODAY()-30,"Overdue-&lt;30-Days",IF(VLOOKUP(A135,'Policy Inventory'!$A:$K,11,FALSE)&gt;=TODAY()-90,"Overdue-30-90-Days","Overdue-&gt;90-Days"))))</f>
        <v/>
      </c>
      <c r="I135" s="16" t="n"/>
      <c r="J135" s="16" t="n"/>
      <c r="K135" s="16" t="n"/>
      <c r="L135" s="19">
        <f>IF(B135="","",IF(AND(D135="Yes",E135="Complete",F135="Published",OR(H135="Current",H135="Overdue-&lt;30-Days"),I135="Yes",J135&lt;&gt;"Poor"),"Compliant",IF(OR(D135="No",D135="Expired",E135="Missing",F135="Not-Published",H135="Overdue-&gt;90-Days"),"Non-Compliant","Partial")))</f>
        <v/>
      </c>
      <c r="M135" s="16" t="n"/>
      <c r="N135" s="16" t="n"/>
    </row>
    <row r="136">
      <c r="A136" s="19">
        <f>IF(ROW()-5&lt;=COUNTA('Policy Inventory'!$A:$A)-4,INDEX('Policy Inventory'!$A:$A,ROW()-1),"")</f>
        <v/>
      </c>
      <c r="B136" s="19">
        <f>IF(A136&lt;&gt;"",VLOOKUP(A136,'Policy Inventory'!$A:$B,2,FALSE),"")</f>
        <v/>
      </c>
      <c r="C136" s="16" t="n"/>
      <c r="D136" s="16" t="n"/>
      <c r="E136" s="16" t="n"/>
      <c r="F136" s="16" t="n"/>
      <c r="G136" s="16" t="n"/>
      <c r="H136" s="19">
        <f>IF(B136="","",IF(VLOOKUP(A136,'Policy Inventory'!$A:$K,11,FALSE)&gt;=TODAY(),"Current",IF(VLOOKUP(A136,'Policy Inventory'!$A:$K,11,FALSE)&gt;=TODAY()-30,"Overdue-&lt;30-Days",IF(VLOOKUP(A136,'Policy Inventory'!$A:$K,11,FALSE)&gt;=TODAY()-90,"Overdue-30-90-Days","Overdue-&gt;90-Days"))))</f>
        <v/>
      </c>
      <c r="I136" s="16" t="n"/>
      <c r="J136" s="16" t="n"/>
      <c r="K136" s="16" t="n"/>
      <c r="L136" s="19">
        <f>IF(B136="","",IF(AND(D136="Yes",E136="Complete",F136="Published",OR(H136="Current",H136="Overdue-&lt;30-Days"),I136="Yes",J136&lt;&gt;"Poor"),"Compliant",IF(OR(D136="No",D136="Expired",E136="Missing",F136="Not-Published",H136="Overdue-&gt;90-Days"),"Non-Compliant","Partial")))</f>
        <v/>
      </c>
      <c r="M136" s="16" t="n"/>
      <c r="N136" s="16" t="n"/>
    </row>
    <row r="137">
      <c r="A137" s="19">
        <f>IF(ROW()-5&lt;=COUNTA('Policy Inventory'!$A:$A)-4,INDEX('Policy Inventory'!$A:$A,ROW()-1),"")</f>
        <v/>
      </c>
      <c r="B137" s="19">
        <f>IF(A137&lt;&gt;"",VLOOKUP(A137,'Policy Inventory'!$A:$B,2,FALSE),"")</f>
        <v/>
      </c>
      <c r="C137" s="16" t="n"/>
      <c r="D137" s="16" t="n"/>
      <c r="E137" s="16" t="n"/>
      <c r="F137" s="16" t="n"/>
      <c r="G137" s="16" t="n"/>
      <c r="H137" s="19">
        <f>IF(B137="","",IF(VLOOKUP(A137,'Policy Inventory'!$A:$K,11,FALSE)&gt;=TODAY(),"Current",IF(VLOOKUP(A137,'Policy Inventory'!$A:$K,11,FALSE)&gt;=TODAY()-30,"Overdue-&lt;30-Days",IF(VLOOKUP(A137,'Policy Inventory'!$A:$K,11,FALSE)&gt;=TODAY()-90,"Overdue-30-90-Days","Overdue-&gt;90-Days"))))</f>
        <v/>
      </c>
      <c r="I137" s="16" t="n"/>
      <c r="J137" s="16" t="n"/>
      <c r="K137" s="16" t="n"/>
      <c r="L137" s="19">
        <f>IF(B137="","",IF(AND(D137="Yes",E137="Complete",F137="Published",OR(H137="Current",H137="Overdue-&lt;30-Days"),I137="Yes",J137&lt;&gt;"Poor"),"Compliant",IF(OR(D137="No",D137="Expired",E137="Missing",F137="Not-Published",H137="Overdue-&gt;90-Days"),"Non-Compliant","Partial")))</f>
        <v/>
      </c>
      <c r="M137" s="16" t="n"/>
      <c r="N137" s="16" t="n"/>
    </row>
    <row r="138">
      <c r="A138" s="19">
        <f>IF(ROW()-5&lt;=COUNTA('Policy Inventory'!$A:$A)-4,INDEX('Policy Inventory'!$A:$A,ROW()-1),"")</f>
        <v/>
      </c>
      <c r="B138" s="19">
        <f>IF(A138&lt;&gt;"",VLOOKUP(A138,'Policy Inventory'!$A:$B,2,FALSE),"")</f>
        <v/>
      </c>
      <c r="C138" s="16" t="n"/>
      <c r="D138" s="16" t="n"/>
      <c r="E138" s="16" t="n"/>
      <c r="F138" s="16" t="n"/>
      <c r="G138" s="16" t="n"/>
      <c r="H138" s="19">
        <f>IF(B138="","",IF(VLOOKUP(A138,'Policy Inventory'!$A:$K,11,FALSE)&gt;=TODAY(),"Current",IF(VLOOKUP(A138,'Policy Inventory'!$A:$K,11,FALSE)&gt;=TODAY()-30,"Overdue-&lt;30-Days",IF(VLOOKUP(A138,'Policy Inventory'!$A:$K,11,FALSE)&gt;=TODAY()-90,"Overdue-30-90-Days","Overdue-&gt;90-Days"))))</f>
        <v/>
      </c>
      <c r="I138" s="16" t="n"/>
      <c r="J138" s="16" t="n"/>
      <c r="K138" s="16" t="n"/>
      <c r="L138" s="19">
        <f>IF(B138="","",IF(AND(D138="Yes",E138="Complete",F138="Published",OR(H138="Current",H138="Overdue-&lt;30-Days"),I138="Yes",J138&lt;&gt;"Poor"),"Compliant",IF(OR(D138="No",D138="Expired",E138="Missing",F138="Not-Published",H138="Overdue-&gt;90-Days"),"Non-Compliant","Partial")))</f>
        <v/>
      </c>
      <c r="M138" s="16" t="n"/>
      <c r="N138" s="16" t="n"/>
    </row>
    <row r="139">
      <c r="A139" s="19">
        <f>IF(ROW()-5&lt;=COUNTA('Policy Inventory'!$A:$A)-4,INDEX('Policy Inventory'!$A:$A,ROW()-1),"")</f>
        <v/>
      </c>
      <c r="B139" s="19">
        <f>IF(A139&lt;&gt;"",VLOOKUP(A139,'Policy Inventory'!$A:$B,2,FALSE),"")</f>
        <v/>
      </c>
      <c r="C139" s="16" t="n"/>
      <c r="D139" s="16" t="n"/>
      <c r="E139" s="16" t="n"/>
      <c r="F139" s="16" t="n"/>
      <c r="G139" s="16" t="n"/>
      <c r="H139" s="19">
        <f>IF(B139="","",IF(VLOOKUP(A139,'Policy Inventory'!$A:$K,11,FALSE)&gt;=TODAY(),"Current",IF(VLOOKUP(A139,'Policy Inventory'!$A:$K,11,FALSE)&gt;=TODAY()-30,"Overdue-&lt;30-Days",IF(VLOOKUP(A139,'Policy Inventory'!$A:$K,11,FALSE)&gt;=TODAY()-90,"Overdue-30-90-Days","Overdue-&gt;90-Days"))))</f>
        <v/>
      </c>
      <c r="I139" s="16" t="n"/>
      <c r="J139" s="16" t="n"/>
      <c r="K139" s="16" t="n"/>
      <c r="L139" s="19">
        <f>IF(B139="","",IF(AND(D139="Yes",E139="Complete",F139="Published",OR(H139="Current",H139="Overdue-&lt;30-Days"),I139="Yes",J139&lt;&gt;"Poor"),"Compliant",IF(OR(D139="No",D139="Expired",E139="Missing",F139="Not-Published",H139="Overdue-&gt;90-Days"),"Non-Compliant","Partial")))</f>
        <v/>
      </c>
      <c r="M139" s="16" t="n"/>
      <c r="N139" s="16" t="n"/>
    </row>
    <row r="140">
      <c r="A140" s="19">
        <f>IF(ROW()-5&lt;=COUNTA('Policy Inventory'!$A:$A)-4,INDEX('Policy Inventory'!$A:$A,ROW()-1),"")</f>
        <v/>
      </c>
      <c r="B140" s="19">
        <f>IF(A140&lt;&gt;"",VLOOKUP(A140,'Policy Inventory'!$A:$B,2,FALSE),"")</f>
        <v/>
      </c>
      <c r="C140" s="16" t="n"/>
      <c r="D140" s="16" t="n"/>
      <c r="E140" s="16" t="n"/>
      <c r="F140" s="16" t="n"/>
      <c r="G140" s="16" t="n"/>
      <c r="H140" s="19">
        <f>IF(B140="","",IF(VLOOKUP(A140,'Policy Inventory'!$A:$K,11,FALSE)&gt;=TODAY(),"Current",IF(VLOOKUP(A140,'Policy Inventory'!$A:$K,11,FALSE)&gt;=TODAY()-30,"Overdue-&lt;30-Days",IF(VLOOKUP(A140,'Policy Inventory'!$A:$K,11,FALSE)&gt;=TODAY()-90,"Overdue-30-90-Days","Overdue-&gt;90-Days"))))</f>
        <v/>
      </c>
      <c r="I140" s="16" t="n"/>
      <c r="J140" s="16" t="n"/>
      <c r="K140" s="16" t="n"/>
      <c r="L140" s="19">
        <f>IF(B140="","",IF(AND(D140="Yes",E140="Complete",F140="Published",OR(H140="Current",H140="Overdue-&lt;30-Days"),I140="Yes",J140&lt;&gt;"Poor"),"Compliant",IF(OR(D140="No",D140="Expired",E140="Missing",F140="Not-Published",H140="Overdue-&gt;90-Days"),"Non-Compliant","Partial")))</f>
        <v/>
      </c>
      <c r="M140" s="16" t="n"/>
      <c r="N140" s="16" t="n"/>
    </row>
    <row r="141">
      <c r="A141" s="19">
        <f>IF(ROW()-5&lt;=COUNTA('Policy Inventory'!$A:$A)-4,INDEX('Policy Inventory'!$A:$A,ROW()-1),"")</f>
        <v/>
      </c>
      <c r="B141" s="19">
        <f>IF(A141&lt;&gt;"",VLOOKUP(A141,'Policy Inventory'!$A:$B,2,FALSE),"")</f>
        <v/>
      </c>
      <c r="C141" s="16" t="n"/>
      <c r="D141" s="16" t="n"/>
      <c r="E141" s="16" t="n"/>
      <c r="F141" s="16" t="n"/>
      <c r="G141" s="16" t="n"/>
      <c r="H141" s="19">
        <f>IF(B141="","",IF(VLOOKUP(A141,'Policy Inventory'!$A:$K,11,FALSE)&gt;=TODAY(),"Current",IF(VLOOKUP(A141,'Policy Inventory'!$A:$K,11,FALSE)&gt;=TODAY()-30,"Overdue-&lt;30-Days",IF(VLOOKUP(A141,'Policy Inventory'!$A:$K,11,FALSE)&gt;=TODAY()-90,"Overdue-30-90-Days","Overdue-&gt;90-Days"))))</f>
        <v/>
      </c>
      <c r="I141" s="16" t="n"/>
      <c r="J141" s="16" t="n"/>
      <c r="K141" s="16" t="n"/>
      <c r="L141" s="19">
        <f>IF(B141="","",IF(AND(D141="Yes",E141="Complete",F141="Published",OR(H141="Current",H141="Overdue-&lt;30-Days"),I141="Yes",J141&lt;&gt;"Poor"),"Compliant",IF(OR(D141="No",D141="Expired",E141="Missing",F141="Not-Published",H141="Overdue-&gt;90-Days"),"Non-Compliant","Partial")))</f>
        <v/>
      </c>
      <c r="M141" s="16" t="n"/>
      <c r="N141" s="16" t="n"/>
    </row>
    <row r="142">
      <c r="A142" s="19">
        <f>IF(ROW()-5&lt;=COUNTA('Policy Inventory'!$A:$A)-4,INDEX('Policy Inventory'!$A:$A,ROW()-1),"")</f>
        <v/>
      </c>
      <c r="B142" s="19">
        <f>IF(A142&lt;&gt;"",VLOOKUP(A142,'Policy Inventory'!$A:$B,2,FALSE),"")</f>
        <v/>
      </c>
      <c r="C142" s="16" t="n"/>
      <c r="D142" s="16" t="n"/>
      <c r="E142" s="16" t="n"/>
      <c r="F142" s="16" t="n"/>
      <c r="G142" s="16" t="n"/>
      <c r="H142" s="19">
        <f>IF(B142="","",IF(VLOOKUP(A142,'Policy Inventory'!$A:$K,11,FALSE)&gt;=TODAY(),"Current",IF(VLOOKUP(A142,'Policy Inventory'!$A:$K,11,FALSE)&gt;=TODAY()-30,"Overdue-&lt;30-Days",IF(VLOOKUP(A142,'Policy Inventory'!$A:$K,11,FALSE)&gt;=TODAY()-90,"Overdue-30-90-Days","Overdue-&gt;90-Days"))))</f>
        <v/>
      </c>
      <c r="I142" s="16" t="n"/>
      <c r="J142" s="16" t="n"/>
      <c r="K142" s="16" t="n"/>
      <c r="L142" s="19">
        <f>IF(B142="","",IF(AND(D142="Yes",E142="Complete",F142="Published",OR(H142="Current",H142="Overdue-&lt;30-Days"),I142="Yes",J142&lt;&gt;"Poor"),"Compliant",IF(OR(D142="No",D142="Expired",E142="Missing",F142="Not-Published",H142="Overdue-&gt;90-Days"),"Non-Compliant","Partial")))</f>
        <v/>
      </c>
      <c r="M142" s="16" t="n"/>
      <c r="N142" s="16" t="n"/>
    </row>
    <row r="143">
      <c r="A143" s="19">
        <f>IF(ROW()-5&lt;=COUNTA('Policy Inventory'!$A:$A)-4,INDEX('Policy Inventory'!$A:$A,ROW()-1),"")</f>
        <v/>
      </c>
      <c r="B143" s="19">
        <f>IF(A143&lt;&gt;"",VLOOKUP(A143,'Policy Inventory'!$A:$B,2,FALSE),"")</f>
        <v/>
      </c>
      <c r="C143" s="16" t="n"/>
      <c r="D143" s="16" t="n"/>
      <c r="E143" s="16" t="n"/>
      <c r="F143" s="16" t="n"/>
      <c r="G143" s="16" t="n"/>
      <c r="H143" s="19">
        <f>IF(B143="","",IF(VLOOKUP(A143,'Policy Inventory'!$A:$K,11,FALSE)&gt;=TODAY(),"Current",IF(VLOOKUP(A143,'Policy Inventory'!$A:$K,11,FALSE)&gt;=TODAY()-30,"Overdue-&lt;30-Days",IF(VLOOKUP(A143,'Policy Inventory'!$A:$K,11,FALSE)&gt;=TODAY()-90,"Overdue-30-90-Days","Overdue-&gt;90-Days"))))</f>
        <v/>
      </c>
      <c r="I143" s="16" t="n"/>
      <c r="J143" s="16" t="n"/>
      <c r="K143" s="16" t="n"/>
      <c r="L143" s="19">
        <f>IF(B143="","",IF(AND(D143="Yes",E143="Complete",F143="Published",OR(H143="Current",H143="Overdue-&lt;30-Days"),I143="Yes",J143&lt;&gt;"Poor"),"Compliant",IF(OR(D143="No",D143="Expired",E143="Missing",F143="Not-Published",H143="Overdue-&gt;90-Days"),"Non-Compliant","Partial")))</f>
        <v/>
      </c>
      <c r="M143" s="16" t="n"/>
      <c r="N143" s="16" t="n"/>
    </row>
    <row r="144">
      <c r="A144" s="19">
        <f>IF(ROW()-5&lt;=COUNTA('Policy Inventory'!$A:$A)-4,INDEX('Policy Inventory'!$A:$A,ROW()-1),"")</f>
        <v/>
      </c>
      <c r="B144" s="19">
        <f>IF(A144&lt;&gt;"",VLOOKUP(A144,'Policy Inventory'!$A:$B,2,FALSE),"")</f>
        <v/>
      </c>
      <c r="C144" s="16" t="n"/>
      <c r="D144" s="16" t="n"/>
      <c r="E144" s="16" t="n"/>
      <c r="F144" s="16" t="n"/>
      <c r="G144" s="16" t="n"/>
      <c r="H144" s="19">
        <f>IF(B144="","",IF(VLOOKUP(A144,'Policy Inventory'!$A:$K,11,FALSE)&gt;=TODAY(),"Current",IF(VLOOKUP(A144,'Policy Inventory'!$A:$K,11,FALSE)&gt;=TODAY()-30,"Overdue-&lt;30-Days",IF(VLOOKUP(A144,'Policy Inventory'!$A:$K,11,FALSE)&gt;=TODAY()-90,"Overdue-30-90-Days","Overdue-&gt;90-Days"))))</f>
        <v/>
      </c>
      <c r="I144" s="16" t="n"/>
      <c r="J144" s="16" t="n"/>
      <c r="K144" s="16" t="n"/>
      <c r="L144" s="19">
        <f>IF(B144="","",IF(AND(D144="Yes",E144="Complete",F144="Published",OR(H144="Current",H144="Overdue-&lt;30-Days"),I144="Yes",J144&lt;&gt;"Poor"),"Compliant",IF(OR(D144="No",D144="Expired",E144="Missing",F144="Not-Published",H144="Overdue-&gt;90-Days"),"Non-Compliant","Partial")))</f>
        <v/>
      </c>
      <c r="M144" s="16" t="n"/>
      <c r="N144" s="16" t="n"/>
    </row>
    <row r="145">
      <c r="A145" s="19">
        <f>IF(ROW()-5&lt;=COUNTA('Policy Inventory'!$A:$A)-4,INDEX('Policy Inventory'!$A:$A,ROW()-1),"")</f>
        <v/>
      </c>
      <c r="B145" s="19">
        <f>IF(A145&lt;&gt;"",VLOOKUP(A145,'Policy Inventory'!$A:$B,2,FALSE),"")</f>
        <v/>
      </c>
      <c r="C145" s="16" t="n"/>
      <c r="D145" s="16" t="n"/>
      <c r="E145" s="16" t="n"/>
      <c r="F145" s="16" t="n"/>
      <c r="G145" s="16" t="n"/>
      <c r="H145" s="19">
        <f>IF(B145="","",IF(VLOOKUP(A145,'Policy Inventory'!$A:$K,11,FALSE)&gt;=TODAY(),"Current",IF(VLOOKUP(A145,'Policy Inventory'!$A:$K,11,FALSE)&gt;=TODAY()-30,"Overdue-&lt;30-Days",IF(VLOOKUP(A145,'Policy Inventory'!$A:$K,11,FALSE)&gt;=TODAY()-90,"Overdue-30-90-Days","Overdue-&gt;90-Days"))))</f>
        <v/>
      </c>
      <c r="I145" s="16" t="n"/>
      <c r="J145" s="16" t="n"/>
      <c r="K145" s="16" t="n"/>
      <c r="L145" s="19">
        <f>IF(B145="","",IF(AND(D145="Yes",E145="Complete",F145="Published",OR(H145="Current",H145="Overdue-&lt;30-Days"),I145="Yes",J145&lt;&gt;"Poor"),"Compliant",IF(OR(D145="No",D145="Expired",E145="Missing",F145="Not-Published",H145="Overdue-&gt;90-Days"),"Non-Compliant","Partial")))</f>
        <v/>
      </c>
      <c r="M145" s="16" t="n"/>
      <c r="N145" s="16" t="n"/>
    </row>
    <row r="146">
      <c r="A146" s="19">
        <f>IF(ROW()-5&lt;=COUNTA('Policy Inventory'!$A:$A)-4,INDEX('Policy Inventory'!$A:$A,ROW()-1),"")</f>
        <v/>
      </c>
      <c r="B146" s="19">
        <f>IF(A146&lt;&gt;"",VLOOKUP(A146,'Policy Inventory'!$A:$B,2,FALSE),"")</f>
        <v/>
      </c>
      <c r="C146" s="16" t="n"/>
      <c r="D146" s="16" t="n"/>
      <c r="E146" s="16" t="n"/>
      <c r="F146" s="16" t="n"/>
      <c r="G146" s="16" t="n"/>
      <c r="H146" s="19">
        <f>IF(B146="","",IF(VLOOKUP(A146,'Policy Inventory'!$A:$K,11,FALSE)&gt;=TODAY(),"Current",IF(VLOOKUP(A146,'Policy Inventory'!$A:$K,11,FALSE)&gt;=TODAY()-30,"Overdue-&lt;30-Days",IF(VLOOKUP(A146,'Policy Inventory'!$A:$K,11,FALSE)&gt;=TODAY()-90,"Overdue-30-90-Days","Overdue-&gt;90-Days"))))</f>
        <v/>
      </c>
      <c r="I146" s="16" t="n"/>
      <c r="J146" s="16" t="n"/>
      <c r="K146" s="16" t="n"/>
      <c r="L146" s="19">
        <f>IF(B146="","",IF(AND(D146="Yes",E146="Complete",F146="Published",OR(H146="Current",H146="Overdue-&lt;30-Days"),I146="Yes",J146&lt;&gt;"Poor"),"Compliant",IF(OR(D146="No",D146="Expired",E146="Missing",F146="Not-Published",H146="Overdue-&gt;90-Days"),"Non-Compliant","Partial")))</f>
        <v/>
      </c>
      <c r="M146" s="16" t="n"/>
      <c r="N146" s="16" t="n"/>
    </row>
    <row r="147">
      <c r="A147" s="19">
        <f>IF(ROW()-5&lt;=COUNTA('Policy Inventory'!$A:$A)-4,INDEX('Policy Inventory'!$A:$A,ROW()-1),"")</f>
        <v/>
      </c>
      <c r="B147" s="19">
        <f>IF(A147&lt;&gt;"",VLOOKUP(A147,'Policy Inventory'!$A:$B,2,FALSE),"")</f>
        <v/>
      </c>
      <c r="C147" s="16" t="n"/>
      <c r="D147" s="16" t="n"/>
      <c r="E147" s="16" t="n"/>
      <c r="F147" s="16" t="n"/>
      <c r="G147" s="16" t="n"/>
      <c r="H147" s="19">
        <f>IF(B147="","",IF(VLOOKUP(A147,'Policy Inventory'!$A:$K,11,FALSE)&gt;=TODAY(),"Current",IF(VLOOKUP(A147,'Policy Inventory'!$A:$K,11,FALSE)&gt;=TODAY()-30,"Overdue-&lt;30-Days",IF(VLOOKUP(A147,'Policy Inventory'!$A:$K,11,FALSE)&gt;=TODAY()-90,"Overdue-30-90-Days","Overdue-&gt;90-Days"))))</f>
        <v/>
      </c>
      <c r="I147" s="16" t="n"/>
      <c r="J147" s="16" t="n"/>
      <c r="K147" s="16" t="n"/>
      <c r="L147" s="19">
        <f>IF(B147="","",IF(AND(D147="Yes",E147="Complete",F147="Published",OR(H147="Current",H147="Overdue-&lt;30-Days"),I147="Yes",J147&lt;&gt;"Poor"),"Compliant",IF(OR(D147="No",D147="Expired",E147="Missing",F147="Not-Published",H147="Overdue-&gt;90-Days"),"Non-Compliant","Partial")))</f>
        <v/>
      </c>
      <c r="M147" s="16" t="n"/>
      <c r="N147" s="16" t="n"/>
    </row>
    <row r="148">
      <c r="A148" s="19">
        <f>IF(ROW()-5&lt;=COUNTA('Policy Inventory'!$A:$A)-4,INDEX('Policy Inventory'!$A:$A,ROW()-1),"")</f>
        <v/>
      </c>
      <c r="B148" s="19">
        <f>IF(A148&lt;&gt;"",VLOOKUP(A148,'Policy Inventory'!$A:$B,2,FALSE),"")</f>
        <v/>
      </c>
      <c r="C148" s="16" t="n"/>
      <c r="D148" s="16" t="n"/>
      <c r="E148" s="16" t="n"/>
      <c r="F148" s="16" t="n"/>
      <c r="G148" s="16" t="n"/>
      <c r="H148" s="19">
        <f>IF(B148="","",IF(VLOOKUP(A148,'Policy Inventory'!$A:$K,11,FALSE)&gt;=TODAY(),"Current",IF(VLOOKUP(A148,'Policy Inventory'!$A:$K,11,FALSE)&gt;=TODAY()-30,"Overdue-&lt;30-Days",IF(VLOOKUP(A148,'Policy Inventory'!$A:$K,11,FALSE)&gt;=TODAY()-90,"Overdue-30-90-Days","Overdue-&gt;90-Days"))))</f>
        <v/>
      </c>
      <c r="I148" s="16" t="n"/>
      <c r="J148" s="16" t="n"/>
      <c r="K148" s="16" t="n"/>
      <c r="L148" s="19">
        <f>IF(B148="","",IF(AND(D148="Yes",E148="Complete",F148="Published",OR(H148="Current",H148="Overdue-&lt;30-Days"),I148="Yes",J148&lt;&gt;"Poor"),"Compliant",IF(OR(D148="No",D148="Expired",E148="Missing",F148="Not-Published",H148="Overdue-&gt;90-Days"),"Non-Compliant","Partial")))</f>
        <v/>
      </c>
      <c r="M148" s="16" t="n"/>
      <c r="N148" s="16" t="n"/>
    </row>
    <row r="149">
      <c r="A149" s="19">
        <f>IF(ROW()-5&lt;=COUNTA('Policy Inventory'!$A:$A)-4,INDEX('Policy Inventory'!$A:$A,ROW()-1),"")</f>
        <v/>
      </c>
      <c r="B149" s="19">
        <f>IF(A149&lt;&gt;"",VLOOKUP(A149,'Policy Inventory'!$A:$B,2,FALSE),"")</f>
        <v/>
      </c>
      <c r="C149" s="16" t="n"/>
      <c r="D149" s="16" t="n"/>
      <c r="E149" s="16" t="n"/>
      <c r="F149" s="16" t="n"/>
      <c r="G149" s="16" t="n"/>
      <c r="H149" s="19">
        <f>IF(B149="","",IF(VLOOKUP(A149,'Policy Inventory'!$A:$K,11,FALSE)&gt;=TODAY(),"Current",IF(VLOOKUP(A149,'Policy Inventory'!$A:$K,11,FALSE)&gt;=TODAY()-30,"Overdue-&lt;30-Days",IF(VLOOKUP(A149,'Policy Inventory'!$A:$K,11,FALSE)&gt;=TODAY()-90,"Overdue-30-90-Days","Overdue-&gt;90-Days"))))</f>
        <v/>
      </c>
      <c r="I149" s="16" t="n"/>
      <c r="J149" s="16" t="n"/>
      <c r="K149" s="16" t="n"/>
      <c r="L149" s="19">
        <f>IF(B149="","",IF(AND(D149="Yes",E149="Complete",F149="Published",OR(H149="Current",H149="Overdue-&lt;30-Days"),I149="Yes",J149&lt;&gt;"Poor"),"Compliant",IF(OR(D149="No",D149="Expired",E149="Missing",F149="Not-Published",H149="Overdue-&gt;90-Days"),"Non-Compliant","Partial")))</f>
        <v/>
      </c>
      <c r="M149" s="16" t="n"/>
      <c r="N149" s="16" t="n"/>
    </row>
    <row r="150">
      <c r="A150" s="19">
        <f>IF(ROW()-5&lt;=COUNTA('Policy Inventory'!$A:$A)-4,INDEX('Policy Inventory'!$A:$A,ROW()-1),"")</f>
        <v/>
      </c>
      <c r="B150" s="19">
        <f>IF(A150&lt;&gt;"",VLOOKUP(A150,'Policy Inventory'!$A:$B,2,FALSE),"")</f>
        <v/>
      </c>
      <c r="C150" s="16" t="n"/>
      <c r="D150" s="16" t="n"/>
      <c r="E150" s="16" t="n"/>
      <c r="F150" s="16" t="n"/>
      <c r="G150" s="16" t="n"/>
      <c r="H150" s="19">
        <f>IF(B150="","",IF(VLOOKUP(A150,'Policy Inventory'!$A:$K,11,FALSE)&gt;=TODAY(),"Current",IF(VLOOKUP(A150,'Policy Inventory'!$A:$K,11,FALSE)&gt;=TODAY()-30,"Overdue-&lt;30-Days",IF(VLOOKUP(A150,'Policy Inventory'!$A:$K,11,FALSE)&gt;=TODAY()-90,"Overdue-30-90-Days","Overdue-&gt;90-Days"))))</f>
        <v/>
      </c>
      <c r="I150" s="16" t="n"/>
      <c r="J150" s="16" t="n"/>
      <c r="K150" s="16" t="n"/>
      <c r="L150" s="19">
        <f>IF(B150="","",IF(AND(D150="Yes",E150="Complete",F150="Published",OR(H150="Current",H150="Overdue-&lt;30-Days"),I150="Yes",J150&lt;&gt;"Poor"),"Compliant",IF(OR(D150="No",D150="Expired",E150="Missing",F150="Not-Published",H150="Overdue-&gt;90-Days"),"Non-Compliant","Partial")))</f>
        <v/>
      </c>
      <c r="M150" s="16" t="n"/>
      <c r="N150" s="16" t="n"/>
    </row>
    <row r="151">
      <c r="A151" s="19">
        <f>IF(ROW()-5&lt;=COUNTA('Policy Inventory'!$A:$A)-4,INDEX('Policy Inventory'!$A:$A,ROW()-1),"")</f>
        <v/>
      </c>
      <c r="B151" s="19">
        <f>IF(A151&lt;&gt;"",VLOOKUP(A151,'Policy Inventory'!$A:$B,2,FALSE),"")</f>
        <v/>
      </c>
      <c r="C151" s="16" t="n"/>
      <c r="D151" s="16" t="n"/>
      <c r="E151" s="16" t="n"/>
      <c r="F151" s="16" t="n"/>
      <c r="G151" s="16" t="n"/>
      <c r="H151" s="19">
        <f>IF(B151="","",IF(VLOOKUP(A151,'Policy Inventory'!$A:$K,11,FALSE)&gt;=TODAY(),"Current",IF(VLOOKUP(A151,'Policy Inventory'!$A:$K,11,FALSE)&gt;=TODAY()-30,"Overdue-&lt;30-Days",IF(VLOOKUP(A151,'Policy Inventory'!$A:$K,11,FALSE)&gt;=TODAY()-90,"Overdue-30-90-Days","Overdue-&gt;90-Days"))))</f>
        <v/>
      </c>
      <c r="I151" s="16" t="n"/>
      <c r="J151" s="16" t="n"/>
      <c r="K151" s="16" t="n"/>
      <c r="L151" s="19">
        <f>IF(B151="","",IF(AND(D151="Yes",E151="Complete",F151="Published",OR(H151="Current",H151="Overdue-&lt;30-Days"),I151="Yes",J151&lt;&gt;"Poor"),"Compliant",IF(OR(D151="No",D151="Expired",E151="Missing",F151="Not-Published",H151="Overdue-&gt;90-Days"),"Non-Compliant","Partial")))</f>
        <v/>
      </c>
      <c r="M151" s="16" t="n"/>
      <c r="N151" s="16" t="n"/>
    </row>
    <row r="152">
      <c r="A152" s="19">
        <f>IF(ROW()-5&lt;=COUNTA('Policy Inventory'!$A:$A)-4,INDEX('Policy Inventory'!$A:$A,ROW()-1),"")</f>
        <v/>
      </c>
      <c r="B152" s="19">
        <f>IF(A152&lt;&gt;"",VLOOKUP(A152,'Policy Inventory'!$A:$B,2,FALSE),"")</f>
        <v/>
      </c>
      <c r="C152" s="16" t="n"/>
      <c r="D152" s="16" t="n"/>
      <c r="E152" s="16" t="n"/>
      <c r="F152" s="16" t="n"/>
      <c r="G152" s="16" t="n"/>
      <c r="H152" s="19">
        <f>IF(B152="","",IF(VLOOKUP(A152,'Policy Inventory'!$A:$K,11,FALSE)&gt;=TODAY(),"Current",IF(VLOOKUP(A152,'Policy Inventory'!$A:$K,11,FALSE)&gt;=TODAY()-30,"Overdue-&lt;30-Days",IF(VLOOKUP(A152,'Policy Inventory'!$A:$K,11,FALSE)&gt;=TODAY()-90,"Overdue-30-90-Days","Overdue-&gt;90-Days"))))</f>
        <v/>
      </c>
      <c r="I152" s="16" t="n"/>
      <c r="J152" s="16" t="n"/>
      <c r="K152" s="16" t="n"/>
      <c r="L152" s="19">
        <f>IF(B152="","",IF(AND(D152="Yes",E152="Complete",F152="Published",OR(H152="Current",H152="Overdue-&lt;30-Days"),I152="Yes",J152&lt;&gt;"Poor"),"Compliant",IF(OR(D152="No",D152="Expired",E152="Missing",F152="Not-Published",H152="Overdue-&gt;90-Days"),"Non-Compliant","Partial")))</f>
        <v/>
      </c>
      <c r="M152" s="16" t="n"/>
      <c r="N152" s="16" t="n"/>
    </row>
    <row r="153">
      <c r="A153" s="19">
        <f>IF(ROW()-5&lt;=COUNTA('Policy Inventory'!$A:$A)-4,INDEX('Policy Inventory'!$A:$A,ROW()-1),"")</f>
        <v/>
      </c>
      <c r="B153" s="19">
        <f>IF(A153&lt;&gt;"",VLOOKUP(A153,'Policy Inventory'!$A:$B,2,FALSE),"")</f>
        <v/>
      </c>
      <c r="C153" s="16" t="n"/>
      <c r="D153" s="16" t="n"/>
      <c r="E153" s="16" t="n"/>
      <c r="F153" s="16" t="n"/>
      <c r="G153" s="16" t="n"/>
      <c r="H153" s="19">
        <f>IF(B153="","",IF(VLOOKUP(A153,'Policy Inventory'!$A:$K,11,FALSE)&gt;=TODAY(),"Current",IF(VLOOKUP(A153,'Policy Inventory'!$A:$K,11,FALSE)&gt;=TODAY()-30,"Overdue-&lt;30-Days",IF(VLOOKUP(A153,'Policy Inventory'!$A:$K,11,FALSE)&gt;=TODAY()-90,"Overdue-30-90-Days","Overdue-&gt;90-Days"))))</f>
        <v/>
      </c>
      <c r="I153" s="16" t="n"/>
      <c r="J153" s="16" t="n"/>
      <c r="K153" s="16" t="n"/>
      <c r="L153" s="19">
        <f>IF(B153="","",IF(AND(D153="Yes",E153="Complete",F153="Published",OR(H153="Current",H153="Overdue-&lt;30-Days"),I153="Yes",J153&lt;&gt;"Poor"),"Compliant",IF(OR(D153="No",D153="Expired",E153="Missing",F153="Not-Published",H153="Overdue-&gt;90-Days"),"Non-Compliant","Partial")))</f>
        <v/>
      </c>
      <c r="M153" s="16" t="n"/>
      <c r="N153" s="16" t="n"/>
    </row>
    <row r="154">
      <c r="A154" s="19">
        <f>IF(ROW()-5&lt;=COUNTA('Policy Inventory'!$A:$A)-4,INDEX('Policy Inventory'!$A:$A,ROW()-1),"")</f>
        <v/>
      </c>
      <c r="B154" s="19">
        <f>IF(A154&lt;&gt;"",VLOOKUP(A154,'Policy Inventory'!$A:$B,2,FALSE),"")</f>
        <v/>
      </c>
      <c r="C154" s="16" t="n"/>
      <c r="D154" s="16" t="n"/>
      <c r="E154" s="16" t="n"/>
      <c r="F154" s="16" t="n"/>
      <c r="G154" s="16" t="n"/>
      <c r="H154" s="19">
        <f>IF(B154="","",IF(VLOOKUP(A154,'Policy Inventory'!$A:$K,11,FALSE)&gt;=TODAY(),"Current",IF(VLOOKUP(A154,'Policy Inventory'!$A:$K,11,FALSE)&gt;=TODAY()-30,"Overdue-&lt;30-Days",IF(VLOOKUP(A154,'Policy Inventory'!$A:$K,11,FALSE)&gt;=TODAY()-90,"Overdue-30-90-Days","Overdue-&gt;90-Days"))))</f>
        <v/>
      </c>
      <c r="I154" s="16" t="n"/>
      <c r="J154" s="16" t="n"/>
      <c r="K154" s="16" t="n"/>
      <c r="L154" s="19">
        <f>IF(B154="","",IF(AND(D154="Yes",E154="Complete",F154="Published",OR(H154="Current",H154="Overdue-&lt;30-Days"),I154="Yes",J154&lt;&gt;"Poor"),"Compliant",IF(OR(D154="No",D154="Expired",E154="Missing",F154="Not-Published",H154="Overdue-&gt;90-Days"),"Non-Compliant","Partial")))</f>
        <v/>
      </c>
      <c r="M154" s="16" t="n"/>
      <c r="N154" s="16" t="n"/>
    </row>
    <row r="155">
      <c r="A155" s="19">
        <f>IF(ROW()-5&lt;=COUNTA('Policy Inventory'!$A:$A)-4,INDEX('Policy Inventory'!$A:$A,ROW()-1),"")</f>
        <v/>
      </c>
      <c r="B155" s="19">
        <f>IF(A155&lt;&gt;"",VLOOKUP(A155,'Policy Inventory'!$A:$B,2,FALSE),"")</f>
        <v/>
      </c>
      <c r="C155" s="16" t="n"/>
      <c r="D155" s="16" t="n"/>
      <c r="E155" s="16" t="n"/>
      <c r="F155" s="16" t="n"/>
      <c r="G155" s="16" t="n"/>
      <c r="H155" s="19">
        <f>IF(B155="","",IF(VLOOKUP(A155,'Policy Inventory'!$A:$K,11,FALSE)&gt;=TODAY(),"Current",IF(VLOOKUP(A155,'Policy Inventory'!$A:$K,11,FALSE)&gt;=TODAY()-30,"Overdue-&lt;30-Days",IF(VLOOKUP(A155,'Policy Inventory'!$A:$K,11,FALSE)&gt;=TODAY()-90,"Overdue-30-90-Days","Overdue-&gt;90-Days"))))</f>
        <v/>
      </c>
      <c r="I155" s="16" t="n"/>
      <c r="J155" s="16" t="n"/>
      <c r="K155" s="16" t="n"/>
      <c r="L155" s="19">
        <f>IF(B155="","",IF(AND(D155="Yes",E155="Complete",F155="Published",OR(H155="Current",H155="Overdue-&lt;30-Days"),I155="Yes",J155&lt;&gt;"Poor"),"Compliant",IF(OR(D155="No",D155="Expired",E155="Missing",F155="Not-Published",H155="Overdue-&gt;90-Days"),"Non-Compliant","Partial")))</f>
        <v/>
      </c>
      <c r="M155" s="16" t="n"/>
      <c r="N155" s="16" t="n"/>
    </row>
  </sheetData>
  <mergeCells count="2">
    <mergeCell ref="A2:N2"/>
    <mergeCell ref="A1:N1"/>
  </mergeCells>
  <dataValidations count="8">
    <dataValidation sqref="C6:C155" showDropDown="0" showInputMessage="0" showErrorMessage="1" allowBlank="1" errorTitle="Invalid Entry" error="Please select from dropdown" type="list">
      <formula1>"Yes,Partial,No,Unknown"</formula1>
    </dataValidation>
    <dataValidation sqref="D6:D155" showDropDown="0" showInputMessage="0" showErrorMessage="1" allowBlank="1" errorTitle="Invalid Entry" error="Please select from dropdown" type="list">
      <formula1>"Yes,Partial,No,Expired"</formula1>
    </dataValidation>
    <dataValidation sqref="E6:E155" showDropDown="0" showInputMessage="0" showErrorMessage="1" allowBlank="1" errorTitle="Invalid Entry" error="Please select from dropdown" type="list">
      <formula1>"Complete,Incomplete,Missing"</formula1>
    </dataValidation>
    <dataValidation sqref="F6:F155" showDropDown="0" showInputMessage="0" showErrorMessage="1" allowBlank="1" errorTitle="Invalid Entry" error="Please select from dropdown" type="list">
      <formula1>"Published,Not-Published,Partially-Accessible"</formula1>
    </dataValidation>
    <dataValidation sqref="G6:G155" showDropDown="0" showInputMessage="0" showErrorMessage="1" allowBlank="1" errorTitle="Invalid Entry" error="Please select from dropdown" type="list">
      <formula1>"Yes,No"</formula1>
    </dataValidation>
    <dataValidation sqref="I6:I155" showDropDown="0" showInputMessage="0" showErrorMessage="1" allowBlank="1" errorTitle="Invalid Entry" error="Please select from dropdown" type="list">
      <formula1>"Yes,Partial,No"</formula1>
    </dataValidation>
    <dataValidation sqref="J6:J155" showDropDown="0" showInputMessage="0" showErrorMessage="1" allowBlank="1" errorTitle="Invalid Entry" error="Please select from dropdown" type="list">
      <formula1>"Excellent,Good,Adequate,Poor"</formula1>
    </dataValidation>
    <dataValidation sqref="K6:K155" showDropDown="0" showInputMessage="0" showErrorMessage="1" allowBlank="1" errorTitle="Invalid Entry" error="Please select from dropdown" type="list">
      <formula1>"N/A,Yes,No"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15" customWidth="1" min="4" max="4"/>
    <col width="25" customWidth="1" min="5" max="5"/>
    <col width="15" customWidth="1" min="6" max="6"/>
    <col width="15" customWidth="1" min="7" max="7"/>
    <col width="25" customWidth="1" min="8" max="8"/>
    <col width="20" customWidth="1" min="9" max="9"/>
    <col width="15" customWidth="1" min="10" max="10"/>
    <col width="20" customWidth="1" min="11" max="11"/>
    <col width="15" customWidth="1" min="12" max="12"/>
    <col width="20" customWidth="1" min="13" max="13"/>
    <col width="40" customWidth="1" min="14" max="14"/>
    <col width="30" customWidth="1" min="15" max="15"/>
  </cols>
  <sheetData>
    <row r="1" ht="35" customHeight="1">
      <c r="A1" s="11" t="inlineStr">
        <is>
          <t>GOVERNANCE ASSESSMENT</t>
        </is>
      </c>
    </row>
    <row r="2">
      <c r="A2" s="12" t="inlineStr">
        <is>
          <t>Ownership, accountability, approval authority, and RACI verification</t>
        </is>
      </c>
    </row>
    <row r="4">
      <c r="A4" s="13" t="inlineStr">
        <is>
          <t>Policy ID</t>
        </is>
      </c>
      <c r="B4" s="13" t="inlineStr">
        <is>
          <t>Policy Title</t>
        </is>
      </c>
      <c r="C4" s="13" t="inlineStr">
        <is>
          <t>Policy Hierarchy Tier</t>
        </is>
      </c>
      <c r="D4" s="13" t="inlineStr">
        <is>
          <t>Owner Assigned</t>
        </is>
      </c>
      <c r="E4" s="13" t="inlineStr">
        <is>
          <t>Owner Name Role</t>
        </is>
      </c>
      <c r="F4" s="13" t="inlineStr">
        <is>
          <t>Owner Accountability Clear</t>
        </is>
      </c>
      <c r="G4" s="13" t="inlineStr">
        <is>
          <t>Approver Assigned</t>
        </is>
      </c>
      <c r="H4" s="13" t="inlineStr">
        <is>
          <t>Approver Name Role</t>
        </is>
      </c>
      <c r="I4" s="13" t="inlineStr">
        <is>
          <t>Approval Authority Appropriate</t>
        </is>
      </c>
      <c r="J4" s="13" t="inlineStr">
        <is>
          <t>RACI Defined</t>
        </is>
      </c>
      <c r="K4" s="13" t="inlineStr">
        <is>
          <t>Governance Documentation</t>
        </is>
      </c>
      <c r="L4" s="13" t="inlineStr">
        <is>
          <t>Escalation Path Clear</t>
        </is>
      </c>
      <c r="M4" s="13" t="inlineStr">
        <is>
          <t>Governance Compliance Rating</t>
        </is>
      </c>
      <c r="N4" s="13" t="inlineStr">
        <is>
          <t>Gap Description</t>
        </is>
      </c>
      <c r="O4" s="13" t="inlineStr">
        <is>
          <t>Evidence Reference</t>
        </is>
      </c>
    </row>
    <row r="5">
      <c r="A5" s="14" t="inlineStr">
        <is>
          <t>POL-EXAMPLE</t>
        </is>
      </c>
      <c r="B5" s="14" t="inlineStr">
        <is>
          <t>Information Security Policy (Example)</t>
        </is>
      </c>
      <c r="C5" s="14" t="inlineStr">
        <is>
          <t>Tier-1-Master</t>
        </is>
      </c>
      <c r="D5" s="14" t="inlineStr">
        <is>
          <t>Yes</t>
        </is>
      </c>
      <c r="E5" s="14" t="inlineStr">
        <is>
          <t>Chief Information Security Officer</t>
        </is>
      </c>
      <c r="F5" s="14" t="inlineStr">
        <is>
          <t>Yes</t>
        </is>
      </c>
      <c r="G5" s="14" t="inlineStr">
        <is>
          <t>Yes</t>
        </is>
      </c>
      <c r="H5" s="14" t="inlineStr">
        <is>
          <t>Chief Executive Officer</t>
        </is>
      </c>
      <c r="I5" s="14" t="inlineStr">
        <is>
          <t>Yes</t>
        </is>
      </c>
      <c r="J5" s="14" t="inlineStr">
        <is>
          <t>Yes</t>
        </is>
      </c>
      <c r="K5" s="14" t="inlineStr">
        <is>
          <t>Complete</t>
        </is>
      </c>
      <c r="L5" s="14" t="inlineStr">
        <is>
          <t>Yes</t>
        </is>
      </c>
      <c r="M5" s="14" t="inlineStr">
        <is>
          <t>Compliant</t>
        </is>
      </c>
      <c r="N5" s="14" t="inlineStr"/>
      <c r="O5" s="14" t="inlineStr">
        <is>
          <t>Example — replace with actual governance data</t>
        </is>
      </c>
    </row>
    <row r="6">
      <c r="A6" s="19">
        <f>IF(ROW()-5&lt;=COUNTA('Policy Inventory'!$A:$A)-4,INDEX('Policy Inventory'!$A:$A,ROW()-1),"")</f>
        <v/>
      </c>
      <c r="B6" s="19">
        <f>IF(A6&lt;&gt;"",VLOOKUP(A6,'Policy Inventory'!$A:$B,2,FALSE),"")</f>
        <v/>
      </c>
      <c r="C6" s="19">
        <f>IF(A6&lt;&gt;"",VLOOKUP(A6,'Policy Inventory'!$A:$C,3,FALSE),"")</f>
        <v/>
      </c>
      <c r="D6" s="19">
        <f>IF(A6="","",IF(VLOOKUP(A6,'Policy Inventory'!$A:$E,5,FALSE)&lt;&gt;"","Yes","No"))</f>
        <v/>
      </c>
      <c r="E6" s="19">
        <f>IF(A6&lt;&gt;"",VLOOKUP(A6,'Policy Inventory'!$A:$E,5,FALSE),"")</f>
        <v/>
      </c>
      <c r="F6" s="16" t="n"/>
      <c r="G6" s="19">
        <f>IF(A6="","",IF(VLOOKUP(A6,'Policy Inventory'!$A:$F,6,FALSE)&lt;&gt;"","Yes","No"))</f>
        <v/>
      </c>
      <c r="H6" s="19">
        <f>IF(A6&lt;&gt;"",VLOOKUP(A6,'Policy Inventory'!$A:$F,6,FALSE),"")</f>
        <v/>
      </c>
      <c r="I6" s="16" t="n"/>
      <c r="J6" s="16" t="n"/>
      <c r="K6" s="16" t="n"/>
      <c r="L6" s="16" t="n"/>
      <c r="M6" s="19">
        <f>IF(B6="","",IF(AND(D6="Yes",G6="Yes",I6="Yes",K6="Complete",L6="Yes"),"Compliant",IF(OR(D6="No",G6="No",I6="Insufficient",K6="Missing"),"Non-Compliant","Partial")))</f>
        <v/>
      </c>
      <c r="N6" s="16" t="n"/>
      <c r="O6" s="16" t="n"/>
    </row>
    <row r="7">
      <c r="A7" s="19">
        <f>IF(ROW()-5&lt;=COUNTA('Policy Inventory'!$A:$A)-4,INDEX('Policy Inventory'!$A:$A,ROW()-1),"")</f>
        <v/>
      </c>
      <c r="B7" s="19">
        <f>IF(A7&lt;&gt;"",VLOOKUP(A7,'Policy Inventory'!$A:$B,2,FALSE),"")</f>
        <v/>
      </c>
      <c r="C7" s="19">
        <f>IF(A7&lt;&gt;"",VLOOKUP(A7,'Policy Inventory'!$A:$C,3,FALSE),"")</f>
        <v/>
      </c>
      <c r="D7" s="19">
        <f>IF(A7="","",IF(VLOOKUP(A7,'Policy Inventory'!$A:$E,5,FALSE)&lt;&gt;"","Yes","No"))</f>
        <v/>
      </c>
      <c r="E7" s="19">
        <f>IF(A7&lt;&gt;"",VLOOKUP(A7,'Policy Inventory'!$A:$E,5,FALSE),"")</f>
        <v/>
      </c>
      <c r="F7" s="16" t="n"/>
      <c r="G7" s="19">
        <f>IF(A7="","",IF(VLOOKUP(A7,'Policy Inventory'!$A:$F,6,FALSE)&lt;&gt;"","Yes","No"))</f>
        <v/>
      </c>
      <c r="H7" s="19">
        <f>IF(A7&lt;&gt;"",VLOOKUP(A7,'Policy Inventory'!$A:$F,6,FALSE),"")</f>
        <v/>
      </c>
      <c r="I7" s="16" t="n"/>
      <c r="J7" s="16" t="n"/>
      <c r="K7" s="16" t="n"/>
      <c r="L7" s="16" t="n"/>
      <c r="M7" s="19">
        <f>IF(B7="","",IF(AND(D7="Yes",G7="Yes",I7="Yes",K7="Complete",L7="Yes"),"Compliant",IF(OR(D7="No",G7="No",I7="Insufficient",K7="Missing"),"Non-Compliant","Partial")))</f>
        <v/>
      </c>
      <c r="N7" s="16" t="n"/>
      <c r="O7" s="16" t="n"/>
    </row>
    <row r="8">
      <c r="A8" s="19">
        <f>IF(ROW()-5&lt;=COUNTA('Policy Inventory'!$A:$A)-4,INDEX('Policy Inventory'!$A:$A,ROW()-1),"")</f>
        <v/>
      </c>
      <c r="B8" s="19">
        <f>IF(A8&lt;&gt;"",VLOOKUP(A8,'Policy Inventory'!$A:$B,2,FALSE),"")</f>
        <v/>
      </c>
      <c r="C8" s="19">
        <f>IF(A8&lt;&gt;"",VLOOKUP(A8,'Policy Inventory'!$A:$C,3,FALSE),"")</f>
        <v/>
      </c>
      <c r="D8" s="19">
        <f>IF(A8="","",IF(VLOOKUP(A8,'Policy Inventory'!$A:$E,5,FALSE)&lt;&gt;"","Yes","No"))</f>
        <v/>
      </c>
      <c r="E8" s="19">
        <f>IF(A8&lt;&gt;"",VLOOKUP(A8,'Policy Inventory'!$A:$E,5,FALSE),"")</f>
        <v/>
      </c>
      <c r="F8" s="16" t="n"/>
      <c r="G8" s="19">
        <f>IF(A8="","",IF(VLOOKUP(A8,'Policy Inventory'!$A:$F,6,FALSE)&lt;&gt;"","Yes","No"))</f>
        <v/>
      </c>
      <c r="H8" s="19">
        <f>IF(A8&lt;&gt;"",VLOOKUP(A8,'Policy Inventory'!$A:$F,6,FALSE),"")</f>
        <v/>
      </c>
      <c r="I8" s="16" t="n"/>
      <c r="J8" s="16" t="n"/>
      <c r="K8" s="16" t="n"/>
      <c r="L8" s="16" t="n"/>
      <c r="M8" s="19">
        <f>IF(B8="","",IF(AND(D8="Yes",G8="Yes",I8="Yes",K8="Complete",L8="Yes"),"Compliant",IF(OR(D8="No",G8="No",I8="Insufficient",K8="Missing"),"Non-Compliant","Partial")))</f>
        <v/>
      </c>
      <c r="N8" s="16" t="n"/>
      <c r="O8" s="16" t="n"/>
    </row>
    <row r="9">
      <c r="A9" s="19">
        <f>IF(ROW()-5&lt;=COUNTA('Policy Inventory'!$A:$A)-4,INDEX('Policy Inventory'!$A:$A,ROW()-1),"")</f>
        <v/>
      </c>
      <c r="B9" s="19">
        <f>IF(A9&lt;&gt;"",VLOOKUP(A9,'Policy Inventory'!$A:$B,2,FALSE),"")</f>
        <v/>
      </c>
      <c r="C9" s="19">
        <f>IF(A9&lt;&gt;"",VLOOKUP(A9,'Policy Inventory'!$A:$C,3,FALSE),"")</f>
        <v/>
      </c>
      <c r="D9" s="19">
        <f>IF(A9="","",IF(VLOOKUP(A9,'Policy Inventory'!$A:$E,5,FALSE)&lt;&gt;"","Yes","No"))</f>
        <v/>
      </c>
      <c r="E9" s="19">
        <f>IF(A9&lt;&gt;"",VLOOKUP(A9,'Policy Inventory'!$A:$E,5,FALSE),"")</f>
        <v/>
      </c>
      <c r="F9" s="16" t="n"/>
      <c r="G9" s="19">
        <f>IF(A9="","",IF(VLOOKUP(A9,'Policy Inventory'!$A:$F,6,FALSE)&lt;&gt;"","Yes","No"))</f>
        <v/>
      </c>
      <c r="H9" s="19">
        <f>IF(A9&lt;&gt;"",VLOOKUP(A9,'Policy Inventory'!$A:$F,6,FALSE),"")</f>
        <v/>
      </c>
      <c r="I9" s="16" t="n"/>
      <c r="J9" s="16" t="n"/>
      <c r="K9" s="16" t="n"/>
      <c r="L9" s="16" t="n"/>
      <c r="M9" s="19">
        <f>IF(B9="","",IF(AND(D9="Yes",G9="Yes",I9="Yes",K9="Complete",L9="Yes"),"Compliant",IF(OR(D9="No",G9="No",I9="Insufficient",K9="Missing"),"Non-Compliant","Partial")))</f>
        <v/>
      </c>
      <c r="N9" s="16" t="n"/>
      <c r="O9" s="16" t="n"/>
    </row>
    <row r="10">
      <c r="A10" s="19">
        <f>IF(ROW()-5&lt;=COUNTA('Policy Inventory'!$A:$A)-4,INDEX('Policy Inventory'!$A:$A,ROW()-1),"")</f>
        <v/>
      </c>
      <c r="B10" s="19">
        <f>IF(A10&lt;&gt;"",VLOOKUP(A10,'Policy Inventory'!$A:$B,2,FALSE),"")</f>
        <v/>
      </c>
      <c r="C10" s="19">
        <f>IF(A10&lt;&gt;"",VLOOKUP(A10,'Policy Inventory'!$A:$C,3,FALSE),"")</f>
        <v/>
      </c>
      <c r="D10" s="19">
        <f>IF(A10="","",IF(VLOOKUP(A10,'Policy Inventory'!$A:$E,5,FALSE)&lt;&gt;"","Yes","No"))</f>
        <v/>
      </c>
      <c r="E10" s="19">
        <f>IF(A10&lt;&gt;"",VLOOKUP(A10,'Policy Inventory'!$A:$E,5,FALSE),"")</f>
        <v/>
      </c>
      <c r="F10" s="16" t="n"/>
      <c r="G10" s="19">
        <f>IF(A10="","",IF(VLOOKUP(A10,'Policy Inventory'!$A:$F,6,FALSE)&lt;&gt;"","Yes","No"))</f>
        <v/>
      </c>
      <c r="H10" s="19">
        <f>IF(A10&lt;&gt;"",VLOOKUP(A10,'Policy Inventory'!$A:$F,6,FALSE),"")</f>
        <v/>
      </c>
      <c r="I10" s="16" t="n"/>
      <c r="J10" s="16" t="n"/>
      <c r="K10" s="16" t="n"/>
      <c r="L10" s="16" t="n"/>
      <c r="M10" s="19">
        <f>IF(B10="","",IF(AND(D10="Yes",G10="Yes",I10="Yes",K10="Complete",L10="Yes"),"Compliant",IF(OR(D10="No",G10="No",I10="Insufficient",K10="Missing"),"Non-Compliant","Partial")))</f>
        <v/>
      </c>
      <c r="N10" s="16" t="n"/>
      <c r="O10" s="16" t="n"/>
    </row>
    <row r="11">
      <c r="A11" s="19">
        <f>IF(ROW()-5&lt;=COUNTA('Policy Inventory'!$A:$A)-4,INDEX('Policy Inventory'!$A:$A,ROW()-1),"")</f>
        <v/>
      </c>
      <c r="B11" s="19">
        <f>IF(A11&lt;&gt;"",VLOOKUP(A11,'Policy Inventory'!$A:$B,2,FALSE),"")</f>
        <v/>
      </c>
      <c r="C11" s="19">
        <f>IF(A11&lt;&gt;"",VLOOKUP(A11,'Policy Inventory'!$A:$C,3,FALSE),"")</f>
        <v/>
      </c>
      <c r="D11" s="19">
        <f>IF(A11="","",IF(VLOOKUP(A11,'Policy Inventory'!$A:$E,5,FALSE)&lt;&gt;"","Yes","No"))</f>
        <v/>
      </c>
      <c r="E11" s="19">
        <f>IF(A11&lt;&gt;"",VLOOKUP(A11,'Policy Inventory'!$A:$E,5,FALSE),"")</f>
        <v/>
      </c>
      <c r="F11" s="16" t="n"/>
      <c r="G11" s="19">
        <f>IF(A11="","",IF(VLOOKUP(A11,'Policy Inventory'!$A:$F,6,FALSE)&lt;&gt;"","Yes","No"))</f>
        <v/>
      </c>
      <c r="H11" s="19">
        <f>IF(A11&lt;&gt;"",VLOOKUP(A11,'Policy Inventory'!$A:$F,6,FALSE),"")</f>
        <v/>
      </c>
      <c r="I11" s="16" t="n"/>
      <c r="J11" s="16" t="n"/>
      <c r="K11" s="16" t="n"/>
      <c r="L11" s="16" t="n"/>
      <c r="M11" s="19">
        <f>IF(B11="","",IF(AND(D11="Yes",G11="Yes",I11="Yes",K11="Complete",L11="Yes"),"Compliant",IF(OR(D11="No",G11="No",I11="Insufficient",K11="Missing"),"Non-Compliant","Partial")))</f>
        <v/>
      </c>
      <c r="N11" s="16" t="n"/>
      <c r="O11" s="16" t="n"/>
    </row>
    <row r="12">
      <c r="A12" s="19">
        <f>IF(ROW()-5&lt;=COUNTA('Policy Inventory'!$A:$A)-4,INDEX('Policy Inventory'!$A:$A,ROW()-1),"")</f>
        <v/>
      </c>
      <c r="B12" s="19">
        <f>IF(A12&lt;&gt;"",VLOOKUP(A12,'Policy Inventory'!$A:$B,2,FALSE),"")</f>
        <v/>
      </c>
      <c r="C12" s="19">
        <f>IF(A12&lt;&gt;"",VLOOKUP(A12,'Policy Inventory'!$A:$C,3,FALSE),"")</f>
        <v/>
      </c>
      <c r="D12" s="19">
        <f>IF(A12="","",IF(VLOOKUP(A12,'Policy Inventory'!$A:$E,5,FALSE)&lt;&gt;"","Yes","No"))</f>
        <v/>
      </c>
      <c r="E12" s="19">
        <f>IF(A12&lt;&gt;"",VLOOKUP(A12,'Policy Inventory'!$A:$E,5,FALSE),"")</f>
        <v/>
      </c>
      <c r="F12" s="16" t="n"/>
      <c r="G12" s="19">
        <f>IF(A12="","",IF(VLOOKUP(A12,'Policy Inventory'!$A:$F,6,FALSE)&lt;&gt;"","Yes","No"))</f>
        <v/>
      </c>
      <c r="H12" s="19">
        <f>IF(A12&lt;&gt;"",VLOOKUP(A12,'Policy Inventory'!$A:$F,6,FALSE),"")</f>
        <v/>
      </c>
      <c r="I12" s="16" t="n"/>
      <c r="J12" s="16" t="n"/>
      <c r="K12" s="16" t="n"/>
      <c r="L12" s="16" t="n"/>
      <c r="M12" s="19">
        <f>IF(B12="","",IF(AND(D12="Yes",G12="Yes",I12="Yes",K12="Complete",L12="Yes"),"Compliant",IF(OR(D12="No",G12="No",I12="Insufficient",K12="Missing"),"Non-Compliant","Partial")))</f>
        <v/>
      </c>
      <c r="N12" s="16" t="n"/>
      <c r="O12" s="16" t="n"/>
    </row>
    <row r="13">
      <c r="A13" s="19">
        <f>IF(ROW()-5&lt;=COUNTA('Policy Inventory'!$A:$A)-4,INDEX('Policy Inventory'!$A:$A,ROW()-1),"")</f>
        <v/>
      </c>
      <c r="B13" s="19">
        <f>IF(A13&lt;&gt;"",VLOOKUP(A13,'Policy Inventory'!$A:$B,2,FALSE),"")</f>
        <v/>
      </c>
      <c r="C13" s="19">
        <f>IF(A13&lt;&gt;"",VLOOKUP(A13,'Policy Inventory'!$A:$C,3,FALSE),"")</f>
        <v/>
      </c>
      <c r="D13" s="19">
        <f>IF(A13="","",IF(VLOOKUP(A13,'Policy Inventory'!$A:$E,5,FALSE)&lt;&gt;"","Yes","No"))</f>
        <v/>
      </c>
      <c r="E13" s="19">
        <f>IF(A13&lt;&gt;"",VLOOKUP(A13,'Policy Inventory'!$A:$E,5,FALSE),"")</f>
        <v/>
      </c>
      <c r="F13" s="16" t="n"/>
      <c r="G13" s="19">
        <f>IF(A13="","",IF(VLOOKUP(A13,'Policy Inventory'!$A:$F,6,FALSE)&lt;&gt;"","Yes","No"))</f>
        <v/>
      </c>
      <c r="H13" s="19">
        <f>IF(A13&lt;&gt;"",VLOOKUP(A13,'Policy Inventory'!$A:$F,6,FALSE),"")</f>
        <v/>
      </c>
      <c r="I13" s="16" t="n"/>
      <c r="J13" s="16" t="n"/>
      <c r="K13" s="16" t="n"/>
      <c r="L13" s="16" t="n"/>
      <c r="M13" s="19">
        <f>IF(B13="","",IF(AND(D13="Yes",G13="Yes",I13="Yes",K13="Complete",L13="Yes"),"Compliant",IF(OR(D13="No",G13="No",I13="Insufficient",K13="Missing"),"Non-Compliant","Partial")))</f>
        <v/>
      </c>
      <c r="N13" s="16" t="n"/>
      <c r="O13" s="16" t="n"/>
    </row>
    <row r="14">
      <c r="A14" s="19">
        <f>IF(ROW()-5&lt;=COUNTA('Policy Inventory'!$A:$A)-4,INDEX('Policy Inventory'!$A:$A,ROW()-1),"")</f>
        <v/>
      </c>
      <c r="B14" s="19">
        <f>IF(A14&lt;&gt;"",VLOOKUP(A14,'Policy Inventory'!$A:$B,2,FALSE),"")</f>
        <v/>
      </c>
      <c r="C14" s="19">
        <f>IF(A14&lt;&gt;"",VLOOKUP(A14,'Policy Inventory'!$A:$C,3,FALSE),"")</f>
        <v/>
      </c>
      <c r="D14" s="19">
        <f>IF(A14="","",IF(VLOOKUP(A14,'Policy Inventory'!$A:$E,5,FALSE)&lt;&gt;"","Yes","No"))</f>
        <v/>
      </c>
      <c r="E14" s="19">
        <f>IF(A14&lt;&gt;"",VLOOKUP(A14,'Policy Inventory'!$A:$E,5,FALSE),"")</f>
        <v/>
      </c>
      <c r="F14" s="16" t="n"/>
      <c r="G14" s="19">
        <f>IF(A14="","",IF(VLOOKUP(A14,'Policy Inventory'!$A:$F,6,FALSE)&lt;&gt;"","Yes","No"))</f>
        <v/>
      </c>
      <c r="H14" s="19">
        <f>IF(A14&lt;&gt;"",VLOOKUP(A14,'Policy Inventory'!$A:$F,6,FALSE),"")</f>
        <v/>
      </c>
      <c r="I14" s="16" t="n"/>
      <c r="J14" s="16" t="n"/>
      <c r="K14" s="16" t="n"/>
      <c r="L14" s="16" t="n"/>
      <c r="M14" s="19">
        <f>IF(B14="","",IF(AND(D14="Yes",G14="Yes",I14="Yes",K14="Complete",L14="Yes"),"Compliant",IF(OR(D14="No",G14="No",I14="Insufficient",K14="Missing"),"Non-Compliant","Partial")))</f>
        <v/>
      </c>
      <c r="N14" s="16" t="n"/>
      <c r="O14" s="16" t="n"/>
    </row>
    <row r="15">
      <c r="A15" s="19">
        <f>IF(ROW()-5&lt;=COUNTA('Policy Inventory'!$A:$A)-4,INDEX('Policy Inventory'!$A:$A,ROW()-1),"")</f>
        <v/>
      </c>
      <c r="B15" s="19">
        <f>IF(A15&lt;&gt;"",VLOOKUP(A15,'Policy Inventory'!$A:$B,2,FALSE),"")</f>
        <v/>
      </c>
      <c r="C15" s="19">
        <f>IF(A15&lt;&gt;"",VLOOKUP(A15,'Policy Inventory'!$A:$C,3,FALSE),"")</f>
        <v/>
      </c>
      <c r="D15" s="19">
        <f>IF(A15="","",IF(VLOOKUP(A15,'Policy Inventory'!$A:$E,5,FALSE)&lt;&gt;"","Yes","No"))</f>
        <v/>
      </c>
      <c r="E15" s="19">
        <f>IF(A15&lt;&gt;"",VLOOKUP(A15,'Policy Inventory'!$A:$E,5,FALSE),"")</f>
        <v/>
      </c>
      <c r="F15" s="16" t="n"/>
      <c r="G15" s="19">
        <f>IF(A15="","",IF(VLOOKUP(A15,'Policy Inventory'!$A:$F,6,FALSE)&lt;&gt;"","Yes","No"))</f>
        <v/>
      </c>
      <c r="H15" s="19">
        <f>IF(A15&lt;&gt;"",VLOOKUP(A15,'Policy Inventory'!$A:$F,6,FALSE),"")</f>
        <v/>
      </c>
      <c r="I15" s="16" t="n"/>
      <c r="J15" s="16" t="n"/>
      <c r="K15" s="16" t="n"/>
      <c r="L15" s="16" t="n"/>
      <c r="M15" s="19">
        <f>IF(B15="","",IF(AND(D15="Yes",G15="Yes",I15="Yes",K15="Complete",L15="Yes"),"Compliant",IF(OR(D15="No",G15="No",I15="Insufficient",K15="Missing"),"Non-Compliant","Partial")))</f>
        <v/>
      </c>
      <c r="N15" s="16" t="n"/>
      <c r="O15" s="16" t="n"/>
    </row>
    <row r="16">
      <c r="A16" s="19">
        <f>IF(ROW()-5&lt;=COUNTA('Policy Inventory'!$A:$A)-4,INDEX('Policy Inventory'!$A:$A,ROW()-1),"")</f>
        <v/>
      </c>
      <c r="B16" s="19">
        <f>IF(A16&lt;&gt;"",VLOOKUP(A16,'Policy Inventory'!$A:$B,2,FALSE),"")</f>
        <v/>
      </c>
      <c r="C16" s="19">
        <f>IF(A16&lt;&gt;"",VLOOKUP(A16,'Policy Inventory'!$A:$C,3,FALSE),"")</f>
        <v/>
      </c>
      <c r="D16" s="19">
        <f>IF(A16="","",IF(VLOOKUP(A16,'Policy Inventory'!$A:$E,5,FALSE)&lt;&gt;"","Yes","No"))</f>
        <v/>
      </c>
      <c r="E16" s="19">
        <f>IF(A16&lt;&gt;"",VLOOKUP(A16,'Policy Inventory'!$A:$E,5,FALSE),"")</f>
        <v/>
      </c>
      <c r="F16" s="16" t="n"/>
      <c r="G16" s="19">
        <f>IF(A16="","",IF(VLOOKUP(A16,'Policy Inventory'!$A:$F,6,FALSE)&lt;&gt;"","Yes","No"))</f>
        <v/>
      </c>
      <c r="H16" s="19">
        <f>IF(A16&lt;&gt;"",VLOOKUP(A16,'Policy Inventory'!$A:$F,6,FALSE),"")</f>
        <v/>
      </c>
      <c r="I16" s="16" t="n"/>
      <c r="J16" s="16" t="n"/>
      <c r="K16" s="16" t="n"/>
      <c r="L16" s="16" t="n"/>
      <c r="M16" s="19">
        <f>IF(B16="","",IF(AND(D16="Yes",G16="Yes",I16="Yes",K16="Complete",L16="Yes"),"Compliant",IF(OR(D16="No",G16="No",I16="Insufficient",K16="Missing"),"Non-Compliant","Partial")))</f>
        <v/>
      </c>
      <c r="N16" s="16" t="n"/>
      <c r="O16" s="16" t="n"/>
    </row>
    <row r="17">
      <c r="A17" s="19">
        <f>IF(ROW()-5&lt;=COUNTA('Policy Inventory'!$A:$A)-4,INDEX('Policy Inventory'!$A:$A,ROW()-1),"")</f>
        <v/>
      </c>
      <c r="B17" s="19">
        <f>IF(A17&lt;&gt;"",VLOOKUP(A17,'Policy Inventory'!$A:$B,2,FALSE),"")</f>
        <v/>
      </c>
      <c r="C17" s="19">
        <f>IF(A17&lt;&gt;"",VLOOKUP(A17,'Policy Inventory'!$A:$C,3,FALSE),"")</f>
        <v/>
      </c>
      <c r="D17" s="19">
        <f>IF(A17="","",IF(VLOOKUP(A17,'Policy Inventory'!$A:$E,5,FALSE)&lt;&gt;"","Yes","No"))</f>
        <v/>
      </c>
      <c r="E17" s="19">
        <f>IF(A17&lt;&gt;"",VLOOKUP(A17,'Policy Inventory'!$A:$E,5,FALSE),"")</f>
        <v/>
      </c>
      <c r="F17" s="16" t="n"/>
      <c r="G17" s="19">
        <f>IF(A17="","",IF(VLOOKUP(A17,'Policy Inventory'!$A:$F,6,FALSE)&lt;&gt;"","Yes","No"))</f>
        <v/>
      </c>
      <c r="H17" s="19">
        <f>IF(A17&lt;&gt;"",VLOOKUP(A17,'Policy Inventory'!$A:$F,6,FALSE),"")</f>
        <v/>
      </c>
      <c r="I17" s="16" t="n"/>
      <c r="J17" s="16" t="n"/>
      <c r="K17" s="16" t="n"/>
      <c r="L17" s="16" t="n"/>
      <c r="M17" s="19">
        <f>IF(B17="","",IF(AND(D17="Yes",G17="Yes",I17="Yes",K17="Complete",L17="Yes"),"Compliant",IF(OR(D17="No",G17="No",I17="Insufficient",K17="Missing"),"Non-Compliant","Partial")))</f>
        <v/>
      </c>
      <c r="N17" s="16" t="n"/>
      <c r="O17" s="16" t="n"/>
    </row>
    <row r="18">
      <c r="A18" s="19">
        <f>IF(ROW()-5&lt;=COUNTA('Policy Inventory'!$A:$A)-4,INDEX('Policy Inventory'!$A:$A,ROW()-1),"")</f>
        <v/>
      </c>
      <c r="B18" s="19">
        <f>IF(A18&lt;&gt;"",VLOOKUP(A18,'Policy Inventory'!$A:$B,2,FALSE),"")</f>
        <v/>
      </c>
      <c r="C18" s="19">
        <f>IF(A18&lt;&gt;"",VLOOKUP(A18,'Policy Inventory'!$A:$C,3,FALSE),"")</f>
        <v/>
      </c>
      <c r="D18" s="19">
        <f>IF(A18="","",IF(VLOOKUP(A18,'Policy Inventory'!$A:$E,5,FALSE)&lt;&gt;"","Yes","No"))</f>
        <v/>
      </c>
      <c r="E18" s="19">
        <f>IF(A18&lt;&gt;"",VLOOKUP(A18,'Policy Inventory'!$A:$E,5,FALSE),"")</f>
        <v/>
      </c>
      <c r="F18" s="16" t="n"/>
      <c r="G18" s="19">
        <f>IF(A18="","",IF(VLOOKUP(A18,'Policy Inventory'!$A:$F,6,FALSE)&lt;&gt;"","Yes","No"))</f>
        <v/>
      </c>
      <c r="H18" s="19">
        <f>IF(A18&lt;&gt;"",VLOOKUP(A18,'Policy Inventory'!$A:$F,6,FALSE),"")</f>
        <v/>
      </c>
      <c r="I18" s="16" t="n"/>
      <c r="J18" s="16" t="n"/>
      <c r="K18" s="16" t="n"/>
      <c r="L18" s="16" t="n"/>
      <c r="M18" s="19">
        <f>IF(B18="","",IF(AND(D18="Yes",G18="Yes",I18="Yes",K18="Complete",L18="Yes"),"Compliant",IF(OR(D18="No",G18="No",I18="Insufficient",K18="Missing"),"Non-Compliant","Partial")))</f>
        <v/>
      </c>
      <c r="N18" s="16" t="n"/>
      <c r="O18" s="16" t="n"/>
    </row>
    <row r="19">
      <c r="A19" s="19">
        <f>IF(ROW()-5&lt;=COUNTA('Policy Inventory'!$A:$A)-4,INDEX('Policy Inventory'!$A:$A,ROW()-1),"")</f>
        <v/>
      </c>
      <c r="B19" s="19">
        <f>IF(A19&lt;&gt;"",VLOOKUP(A19,'Policy Inventory'!$A:$B,2,FALSE),"")</f>
        <v/>
      </c>
      <c r="C19" s="19">
        <f>IF(A19&lt;&gt;"",VLOOKUP(A19,'Policy Inventory'!$A:$C,3,FALSE),"")</f>
        <v/>
      </c>
      <c r="D19" s="19">
        <f>IF(A19="","",IF(VLOOKUP(A19,'Policy Inventory'!$A:$E,5,FALSE)&lt;&gt;"","Yes","No"))</f>
        <v/>
      </c>
      <c r="E19" s="19">
        <f>IF(A19&lt;&gt;"",VLOOKUP(A19,'Policy Inventory'!$A:$E,5,FALSE),"")</f>
        <v/>
      </c>
      <c r="F19" s="16" t="n"/>
      <c r="G19" s="19">
        <f>IF(A19="","",IF(VLOOKUP(A19,'Policy Inventory'!$A:$F,6,FALSE)&lt;&gt;"","Yes","No"))</f>
        <v/>
      </c>
      <c r="H19" s="19">
        <f>IF(A19&lt;&gt;"",VLOOKUP(A19,'Policy Inventory'!$A:$F,6,FALSE),"")</f>
        <v/>
      </c>
      <c r="I19" s="16" t="n"/>
      <c r="J19" s="16" t="n"/>
      <c r="K19" s="16" t="n"/>
      <c r="L19" s="16" t="n"/>
      <c r="M19" s="19">
        <f>IF(B19="","",IF(AND(D19="Yes",G19="Yes",I19="Yes",K19="Complete",L19="Yes"),"Compliant",IF(OR(D19="No",G19="No",I19="Insufficient",K19="Missing"),"Non-Compliant","Partial")))</f>
        <v/>
      </c>
      <c r="N19" s="16" t="n"/>
      <c r="O19" s="16" t="n"/>
    </row>
    <row r="20">
      <c r="A20" s="19">
        <f>IF(ROW()-5&lt;=COUNTA('Policy Inventory'!$A:$A)-4,INDEX('Policy Inventory'!$A:$A,ROW()-1),"")</f>
        <v/>
      </c>
      <c r="B20" s="19">
        <f>IF(A20&lt;&gt;"",VLOOKUP(A20,'Policy Inventory'!$A:$B,2,FALSE),"")</f>
        <v/>
      </c>
      <c r="C20" s="19">
        <f>IF(A20&lt;&gt;"",VLOOKUP(A20,'Policy Inventory'!$A:$C,3,FALSE),"")</f>
        <v/>
      </c>
      <c r="D20" s="19">
        <f>IF(A20="","",IF(VLOOKUP(A20,'Policy Inventory'!$A:$E,5,FALSE)&lt;&gt;"","Yes","No"))</f>
        <v/>
      </c>
      <c r="E20" s="19">
        <f>IF(A20&lt;&gt;"",VLOOKUP(A20,'Policy Inventory'!$A:$E,5,FALSE),"")</f>
        <v/>
      </c>
      <c r="F20" s="16" t="n"/>
      <c r="G20" s="19">
        <f>IF(A20="","",IF(VLOOKUP(A20,'Policy Inventory'!$A:$F,6,FALSE)&lt;&gt;"","Yes","No"))</f>
        <v/>
      </c>
      <c r="H20" s="19">
        <f>IF(A20&lt;&gt;"",VLOOKUP(A20,'Policy Inventory'!$A:$F,6,FALSE),"")</f>
        <v/>
      </c>
      <c r="I20" s="16" t="n"/>
      <c r="J20" s="16" t="n"/>
      <c r="K20" s="16" t="n"/>
      <c r="L20" s="16" t="n"/>
      <c r="M20" s="19">
        <f>IF(B20="","",IF(AND(D20="Yes",G20="Yes",I20="Yes",K20="Complete",L20="Yes"),"Compliant",IF(OR(D20="No",G20="No",I20="Insufficient",K20="Missing"),"Non-Compliant","Partial")))</f>
        <v/>
      </c>
      <c r="N20" s="16" t="n"/>
      <c r="O20" s="16" t="n"/>
    </row>
    <row r="21">
      <c r="A21" s="19">
        <f>IF(ROW()-5&lt;=COUNTA('Policy Inventory'!$A:$A)-4,INDEX('Policy Inventory'!$A:$A,ROW()-1),"")</f>
        <v/>
      </c>
      <c r="B21" s="19">
        <f>IF(A21&lt;&gt;"",VLOOKUP(A21,'Policy Inventory'!$A:$B,2,FALSE),"")</f>
        <v/>
      </c>
      <c r="C21" s="19">
        <f>IF(A21&lt;&gt;"",VLOOKUP(A21,'Policy Inventory'!$A:$C,3,FALSE),"")</f>
        <v/>
      </c>
      <c r="D21" s="19">
        <f>IF(A21="","",IF(VLOOKUP(A21,'Policy Inventory'!$A:$E,5,FALSE)&lt;&gt;"","Yes","No"))</f>
        <v/>
      </c>
      <c r="E21" s="19">
        <f>IF(A21&lt;&gt;"",VLOOKUP(A21,'Policy Inventory'!$A:$E,5,FALSE),"")</f>
        <v/>
      </c>
      <c r="F21" s="16" t="n"/>
      <c r="G21" s="19">
        <f>IF(A21="","",IF(VLOOKUP(A21,'Policy Inventory'!$A:$F,6,FALSE)&lt;&gt;"","Yes","No"))</f>
        <v/>
      </c>
      <c r="H21" s="19">
        <f>IF(A21&lt;&gt;"",VLOOKUP(A21,'Policy Inventory'!$A:$F,6,FALSE),"")</f>
        <v/>
      </c>
      <c r="I21" s="16" t="n"/>
      <c r="J21" s="16" t="n"/>
      <c r="K21" s="16" t="n"/>
      <c r="L21" s="16" t="n"/>
      <c r="M21" s="19">
        <f>IF(B21="","",IF(AND(D21="Yes",G21="Yes",I21="Yes",K21="Complete",L21="Yes"),"Compliant",IF(OR(D21="No",G21="No",I21="Insufficient",K21="Missing"),"Non-Compliant","Partial")))</f>
        <v/>
      </c>
      <c r="N21" s="16" t="n"/>
      <c r="O21" s="16" t="n"/>
    </row>
    <row r="22">
      <c r="A22" s="19">
        <f>IF(ROW()-5&lt;=COUNTA('Policy Inventory'!$A:$A)-4,INDEX('Policy Inventory'!$A:$A,ROW()-1),"")</f>
        <v/>
      </c>
      <c r="B22" s="19">
        <f>IF(A22&lt;&gt;"",VLOOKUP(A22,'Policy Inventory'!$A:$B,2,FALSE),"")</f>
        <v/>
      </c>
      <c r="C22" s="19">
        <f>IF(A22&lt;&gt;"",VLOOKUP(A22,'Policy Inventory'!$A:$C,3,FALSE),"")</f>
        <v/>
      </c>
      <c r="D22" s="19">
        <f>IF(A22="","",IF(VLOOKUP(A22,'Policy Inventory'!$A:$E,5,FALSE)&lt;&gt;"","Yes","No"))</f>
        <v/>
      </c>
      <c r="E22" s="19">
        <f>IF(A22&lt;&gt;"",VLOOKUP(A22,'Policy Inventory'!$A:$E,5,FALSE),"")</f>
        <v/>
      </c>
      <c r="F22" s="16" t="n"/>
      <c r="G22" s="19">
        <f>IF(A22="","",IF(VLOOKUP(A22,'Policy Inventory'!$A:$F,6,FALSE)&lt;&gt;"","Yes","No"))</f>
        <v/>
      </c>
      <c r="H22" s="19">
        <f>IF(A22&lt;&gt;"",VLOOKUP(A22,'Policy Inventory'!$A:$F,6,FALSE),"")</f>
        <v/>
      </c>
      <c r="I22" s="16" t="n"/>
      <c r="J22" s="16" t="n"/>
      <c r="K22" s="16" t="n"/>
      <c r="L22" s="16" t="n"/>
      <c r="M22" s="19">
        <f>IF(B22="","",IF(AND(D22="Yes",G22="Yes",I22="Yes",K22="Complete",L22="Yes"),"Compliant",IF(OR(D22="No",G22="No",I22="Insufficient",K22="Missing"),"Non-Compliant","Partial")))</f>
        <v/>
      </c>
      <c r="N22" s="16" t="n"/>
      <c r="O22" s="16" t="n"/>
    </row>
    <row r="23">
      <c r="A23" s="19">
        <f>IF(ROW()-5&lt;=COUNTA('Policy Inventory'!$A:$A)-4,INDEX('Policy Inventory'!$A:$A,ROW()-1),"")</f>
        <v/>
      </c>
      <c r="B23" s="19">
        <f>IF(A23&lt;&gt;"",VLOOKUP(A23,'Policy Inventory'!$A:$B,2,FALSE),"")</f>
        <v/>
      </c>
      <c r="C23" s="19">
        <f>IF(A23&lt;&gt;"",VLOOKUP(A23,'Policy Inventory'!$A:$C,3,FALSE),"")</f>
        <v/>
      </c>
      <c r="D23" s="19">
        <f>IF(A23="","",IF(VLOOKUP(A23,'Policy Inventory'!$A:$E,5,FALSE)&lt;&gt;"","Yes","No"))</f>
        <v/>
      </c>
      <c r="E23" s="19">
        <f>IF(A23&lt;&gt;"",VLOOKUP(A23,'Policy Inventory'!$A:$E,5,FALSE),"")</f>
        <v/>
      </c>
      <c r="F23" s="16" t="n"/>
      <c r="G23" s="19">
        <f>IF(A23="","",IF(VLOOKUP(A23,'Policy Inventory'!$A:$F,6,FALSE)&lt;&gt;"","Yes","No"))</f>
        <v/>
      </c>
      <c r="H23" s="19">
        <f>IF(A23&lt;&gt;"",VLOOKUP(A23,'Policy Inventory'!$A:$F,6,FALSE),"")</f>
        <v/>
      </c>
      <c r="I23" s="16" t="n"/>
      <c r="J23" s="16" t="n"/>
      <c r="K23" s="16" t="n"/>
      <c r="L23" s="16" t="n"/>
      <c r="M23" s="19">
        <f>IF(B23="","",IF(AND(D23="Yes",G23="Yes",I23="Yes",K23="Complete",L23="Yes"),"Compliant",IF(OR(D23="No",G23="No",I23="Insufficient",K23="Missing"),"Non-Compliant","Partial")))</f>
        <v/>
      </c>
      <c r="N23" s="16" t="n"/>
      <c r="O23" s="16" t="n"/>
    </row>
    <row r="24">
      <c r="A24" s="19">
        <f>IF(ROW()-5&lt;=COUNTA('Policy Inventory'!$A:$A)-4,INDEX('Policy Inventory'!$A:$A,ROW()-1),"")</f>
        <v/>
      </c>
      <c r="B24" s="19">
        <f>IF(A24&lt;&gt;"",VLOOKUP(A24,'Policy Inventory'!$A:$B,2,FALSE),"")</f>
        <v/>
      </c>
      <c r="C24" s="19">
        <f>IF(A24&lt;&gt;"",VLOOKUP(A24,'Policy Inventory'!$A:$C,3,FALSE),"")</f>
        <v/>
      </c>
      <c r="D24" s="19">
        <f>IF(A24="","",IF(VLOOKUP(A24,'Policy Inventory'!$A:$E,5,FALSE)&lt;&gt;"","Yes","No"))</f>
        <v/>
      </c>
      <c r="E24" s="19">
        <f>IF(A24&lt;&gt;"",VLOOKUP(A24,'Policy Inventory'!$A:$E,5,FALSE),"")</f>
        <v/>
      </c>
      <c r="F24" s="16" t="n"/>
      <c r="G24" s="19">
        <f>IF(A24="","",IF(VLOOKUP(A24,'Policy Inventory'!$A:$F,6,FALSE)&lt;&gt;"","Yes","No"))</f>
        <v/>
      </c>
      <c r="H24" s="19">
        <f>IF(A24&lt;&gt;"",VLOOKUP(A24,'Policy Inventory'!$A:$F,6,FALSE),"")</f>
        <v/>
      </c>
      <c r="I24" s="16" t="n"/>
      <c r="J24" s="16" t="n"/>
      <c r="K24" s="16" t="n"/>
      <c r="L24" s="16" t="n"/>
      <c r="M24" s="19">
        <f>IF(B24="","",IF(AND(D24="Yes",G24="Yes",I24="Yes",K24="Complete",L24="Yes"),"Compliant",IF(OR(D24="No",G24="No",I24="Insufficient",K24="Missing"),"Non-Compliant","Partial")))</f>
        <v/>
      </c>
      <c r="N24" s="16" t="n"/>
      <c r="O24" s="16" t="n"/>
    </row>
    <row r="25">
      <c r="A25" s="19">
        <f>IF(ROW()-5&lt;=COUNTA('Policy Inventory'!$A:$A)-4,INDEX('Policy Inventory'!$A:$A,ROW()-1),"")</f>
        <v/>
      </c>
      <c r="B25" s="19">
        <f>IF(A25&lt;&gt;"",VLOOKUP(A25,'Policy Inventory'!$A:$B,2,FALSE),"")</f>
        <v/>
      </c>
      <c r="C25" s="19">
        <f>IF(A25&lt;&gt;"",VLOOKUP(A25,'Policy Inventory'!$A:$C,3,FALSE),"")</f>
        <v/>
      </c>
      <c r="D25" s="19">
        <f>IF(A25="","",IF(VLOOKUP(A25,'Policy Inventory'!$A:$E,5,FALSE)&lt;&gt;"","Yes","No"))</f>
        <v/>
      </c>
      <c r="E25" s="19">
        <f>IF(A25&lt;&gt;"",VLOOKUP(A25,'Policy Inventory'!$A:$E,5,FALSE),"")</f>
        <v/>
      </c>
      <c r="F25" s="16" t="n"/>
      <c r="G25" s="19">
        <f>IF(A25="","",IF(VLOOKUP(A25,'Policy Inventory'!$A:$F,6,FALSE)&lt;&gt;"","Yes","No"))</f>
        <v/>
      </c>
      <c r="H25" s="19">
        <f>IF(A25&lt;&gt;"",VLOOKUP(A25,'Policy Inventory'!$A:$F,6,FALSE),"")</f>
        <v/>
      </c>
      <c r="I25" s="16" t="n"/>
      <c r="J25" s="16" t="n"/>
      <c r="K25" s="16" t="n"/>
      <c r="L25" s="16" t="n"/>
      <c r="M25" s="19">
        <f>IF(B25="","",IF(AND(D25="Yes",G25="Yes",I25="Yes",K25="Complete",L25="Yes"),"Compliant",IF(OR(D25="No",G25="No",I25="Insufficient",K25="Missing"),"Non-Compliant","Partial")))</f>
        <v/>
      </c>
      <c r="N25" s="16" t="n"/>
      <c r="O25" s="16" t="n"/>
    </row>
    <row r="26">
      <c r="A26" s="19">
        <f>IF(ROW()-5&lt;=COUNTA('Policy Inventory'!$A:$A)-4,INDEX('Policy Inventory'!$A:$A,ROW()-1),"")</f>
        <v/>
      </c>
      <c r="B26" s="19">
        <f>IF(A26&lt;&gt;"",VLOOKUP(A26,'Policy Inventory'!$A:$B,2,FALSE),"")</f>
        <v/>
      </c>
      <c r="C26" s="19">
        <f>IF(A26&lt;&gt;"",VLOOKUP(A26,'Policy Inventory'!$A:$C,3,FALSE),"")</f>
        <v/>
      </c>
      <c r="D26" s="19">
        <f>IF(A26="","",IF(VLOOKUP(A26,'Policy Inventory'!$A:$E,5,FALSE)&lt;&gt;"","Yes","No"))</f>
        <v/>
      </c>
      <c r="E26" s="19">
        <f>IF(A26&lt;&gt;"",VLOOKUP(A26,'Policy Inventory'!$A:$E,5,FALSE),"")</f>
        <v/>
      </c>
      <c r="F26" s="16" t="n"/>
      <c r="G26" s="19">
        <f>IF(A26="","",IF(VLOOKUP(A26,'Policy Inventory'!$A:$F,6,FALSE)&lt;&gt;"","Yes","No"))</f>
        <v/>
      </c>
      <c r="H26" s="19">
        <f>IF(A26&lt;&gt;"",VLOOKUP(A26,'Policy Inventory'!$A:$F,6,FALSE),"")</f>
        <v/>
      </c>
      <c r="I26" s="16" t="n"/>
      <c r="J26" s="16" t="n"/>
      <c r="K26" s="16" t="n"/>
      <c r="L26" s="16" t="n"/>
      <c r="M26" s="19">
        <f>IF(B26="","",IF(AND(D26="Yes",G26="Yes",I26="Yes",K26="Complete",L26="Yes"),"Compliant",IF(OR(D26="No",G26="No",I26="Insufficient",K26="Missing"),"Non-Compliant","Partial")))</f>
        <v/>
      </c>
      <c r="N26" s="16" t="n"/>
      <c r="O26" s="16" t="n"/>
    </row>
    <row r="27">
      <c r="A27" s="19">
        <f>IF(ROW()-5&lt;=COUNTA('Policy Inventory'!$A:$A)-4,INDEX('Policy Inventory'!$A:$A,ROW()-1),"")</f>
        <v/>
      </c>
      <c r="B27" s="19">
        <f>IF(A27&lt;&gt;"",VLOOKUP(A27,'Policy Inventory'!$A:$B,2,FALSE),"")</f>
        <v/>
      </c>
      <c r="C27" s="19">
        <f>IF(A27&lt;&gt;"",VLOOKUP(A27,'Policy Inventory'!$A:$C,3,FALSE),"")</f>
        <v/>
      </c>
      <c r="D27" s="19">
        <f>IF(A27="","",IF(VLOOKUP(A27,'Policy Inventory'!$A:$E,5,FALSE)&lt;&gt;"","Yes","No"))</f>
        <v/>
      </c>
      <c r="E27" s="19">
        <f>IF(A27&lt;&gt;"",VLOOKUP(A27,'Policy Inventory'!$A:$E,5,FALSE),"")</f>
        <v/>
      </c>
      <c r="F27" s="16" t="n"/>
      <c r="G27" s="19">
        <f>IF(A27="","",IF(VLOOKUP(A27,'Policy Inventory'!$A:$F,6,FALSE)&lt;&gt;"","Yes","No"))</f>
        <v/>
      </c>
      <c r="H27" s="19">
        <f>IF(A27&lt;&gt;"",VLOOKUP(A27,'Policy Inventory'!$A:$F,6,FALSE),"")</f>
        <v/>
      </c>
      <c r="I27" s="16" t="n"/>
      <c r="J27" s="16" t="n"/>
      <c r="K27" s="16" t="n"/>
      <c r="L27" s="16" t="n"/>
      <c r="M27" s="19">
        <f>IF(B27="","",IF(AND(D27="Yes",G27="Yes",I27="Yes",K27="Complete",L27="Yes"),"Compliant",IF(OR(D27="No",G27="No",I27="Insufficient",K27="Missing"),"Non-Compliant","Partial")))</f>
        <v/>
      </c>
      <c r="N27" s="16" t="n"/>
      <c r="O27" s="16" t="n"/>
    </row>
    <row r="28">
      <c r="A28" s="19">
        <f>IF(ROW()-5&lt;=COUNTA('Policy Inventory'!$A:$A)-4,INDEX('Policy Inventory'!$A:$A,ROW()-1),"")</f>
        <v/>
      </c>
      <c r="B28" s="19">
        <f>IF(A28&lt;&gt;"",VLOOKUP(A28,'Policy Inventory'!$A:$B,2,FALSE),"")</f>
        <v/>
      </c>
      <c r="C28" s="19">
        <f>IF(A28&lt;&gt;"",VLOOKUP(A28,'Policy Inventory'!$A:$C,3,FALSE),"")</f>
        <v/>
      </c>
      <c r="D28" s="19">
        <f>IF(A28="","",IF(VLOOKUP(A28,'Policy Inventory'!$A:$E,5,FALSE)&lt;&gt;"","Yes","No"))</f>
        <v/>
      </c>
      <c r="E28" s="19">
        <f>IF(A28&lt;&gt;"",VLOOKUP(A28,'Policy Inventory'!$A:$E,5,FALSE),"")</f>
        <v/>
      </c>
      <c r="F28" s="16" t="n"/>
      <c r="G28" s="19">
        <f>IF(A28="","",IF(VLOOKUP(A28,'Policy Inventory'!$A:$F,6,FALSE)&lt;&gt;"","Yes","No"))</f>
        <v/>
      </c>
      <c r="H28" s="19">
        <f>IF(A28&lt;&gt;"",VLOOKUP(A28,'Policy Inventory'!$A:$F,6,FALSE),"")</f>
        <v/>
      </c>
      <c r="I28" s="16" t="n"/>
      <c r="J28" s="16" t="n"/>
      <c r="K28" s="16" t="n"/>
      <c r="L28" s="16" t="n"/>
      <c r="M28" s="19">
        <f>IF(B28="","",IF(AND(D28="Yes",G28="Yes",I28="Yes",K28="Complete",L28="Yes"),"Compliant",IF(OR(D28="No",G28="No",I28="Insufficient",K28="Missing"),"Non-Compliant","Partial")))</f>
        <v/>
      </c>
      <c r="N28" s="16" t="n"/>
      <c r="O28" s="16" t="n"/>
    </row>
    <row r="29">
      <c r="A29" s="19">
        <f>IF(ROW()-5&lt;=COUNTA('Policy Inventory'!$A:$A)-4,INDEX('Policy Inventory'!$A:$A,ROW()-1),"")</f>
        <v/>
      </c>
      <c r="B29" s="19">
        <f>IF(A29&lt;&gt;"",VLOOKUP(A29,'Policy Inventory'!$A:$B,2,FALSE),"")</f>
        <v/>
      </c>
      <c r="C29" s="19">
        <f>IF(A29&lt;&gt;"",VLOOKUP(A29,'Policy Inventory'!$A:$C,3,FALSE),"")</f>
        <v/>
      </c>
      <c r="D29" s="19">
        <f>IF(A29="","",IF(VLOOKUP(A29,'Policy Inventory'!$A:$E,5,FALSE)&lt;&gt;"","Yes","No"))</f>
        <v/>
      </c>
      <c r="E29" s="19">
        <f>IF(A29&lt;&gt;"",VLOOKUP(A29,'Policy Inventory'!$A:$E,5,FALSE),"")</f>
        <v/>
      </c>
      <c r="F29" s="16" t="n"/>
      <c r="G29" s="19">
        <f>IF(A29="","",IF(VLOOKUP(A29,'Policy Inventory'!$A:$F,6,FALSE)&lt;&gt;"","Yes","No"))</f>
        <v/>
      </c>
      <c r="H29" s="19">
        <f>IF(A29&lt;&gt;"",VLOOKUP(A29,'Policy Inventory'!$A:$F,6,FALSE),"")</f>
        <v/>
      </c>
      <c r="I29" s="16" t="n"/>
      <c r="J29" s="16" t="n"/>
      <c r="K29" s="16" t="n"/>
      <c r="L29" s="16" t="n"/>
      <c r="M29" s="19">
        <f>IF(B29="","",IF(AND(D29="Yes",G29="Yes",I29="Yes",K29="Complete",L29="Yes"),"Compliant",IF(OR(D29="No",G29="No",I29="Insufficient",K29="Missing"),"Non-Compliant","Partial")))</f>
        <v/>
      </c>
      <c r="N29" s="16" t="n"/>
      <c r="O29" s="16" t="n"/>
    </row>
    <row r="30">
      <c r="A30" s="19">
        <f>IF(ROW()-5&lt;=COUNTA('Policy Inventory'!$A:$A)-4,INDEX('Policy Inventory'!$A:$A,ROW()-1),"")</f>
        <v/>
      </c>
      <c r="B30" s="19">
        <f>IF(A30&lt;&gt;"",VLOOKUP(A30,'Policy Inventory'!$A:$B,2,FALSE),"")</f>
        <v/>
      </c>
      <c r="C30" s="19">
        <f>IF(A30&lt;&gt;"",VLOOKUP(A30,'Policy Inventory'!$A:$C,3,FALSE),"")</f>
        <v/>
      </c>
      <c r="D30" s="19">
        <f>IF(A30="","",IF(VLOOKUP(A30,'Policy Inventory'!$A:$E,5,FALSE)&lt;&gt;"","Yes","No"))</f>
        <v/>
      </c>
      <c r="E30" s="19">
        <f>IF(A30&lt;&gt;"",VLOOKUP(A30,'Policy Inventory'!$A:$E,5,FALSE),"")</f>
        <v/>
      </c>
      <c r="F30" s="16" t="n"/>
      <c r="G30" s="19">
        <f>IF(A30="","",IF(VLOOKUP(A30,'Policy Inventory'!$A:$F,6,FALSE)&lt;&gt;"","Yes","No"))</f>
        <v/>
      </c>
      <c r="H30" s="19">
        <f>IF(A30&lt;&gt;"",VLOOKUP(A30,'Policy Inventory'!$A:$F,6,FALSE),"")</f>
        <v/>
      </c>
      <c r="I30" s="16" t="n"/>
      <c r="J30" s="16" t="n"/>
      <c r="K30" s="16" t="n"/>
      <c r="L30" s="16" t="n"/>
      <c r="M30" s="19">
        <f>IF(B30="","",IF(AND(D30="Yes",G30="Yes",I30="Yes",K30="Complete",L30="Yes"),"Compliant",IF(OR(D30="No",G30="No",I30="Insufficient",K30="Missing"),"Non-Compliant","Partial")))</f>
        <v/>
      </c>
      <c r="N30" s="16" t="n"/>
      <c r="O30" s="16" t="n"/>
    </row>
    <row r="31">
      <c r="A31" s="19">
        <f>IF(ROW()-5&lt;=COUNTA('Policy Inventory'!$A:$A)-4,INDEX('Policy Inventory'!$A:$A,ROW()-1),"")</f>
        <v/>
      </c>
      <c r="B31" s="19">
        <f>IF(A31&lt;&gt;"",VLOOKUP(A31,'Policy Inventory'!$A:$B,2,FALSE),"")</f>
        <v/>
      </c>
      <c r="C31" s="19">
        <f>IF(A31&lt;&gt;"",VLOOKUP(A31,'Policy Inventory'!$A:$C,3,FALSE),"")</f>
        <v/>
      </c>
      <c r="D31" s="19">
        <f>IF(A31="","",IF(VLOOKUP(A31,'Policy Inventory'!$A:$E,5,FALSE)&lt;&gt;"","Yes","No"))</f>
        <v/>
      </c>
      <c r="E31" s="19">
        <f>IF(A31&lt;&gt;"",VLOOKUP(A31,'Policy Inventory'!$A:$E,5,FALSE),"")</f>
        <v/>
      </c>
      <c r="F31" s="16" t="n"/>
      <c r="G31" s="19">
        <f>IF(A31="","",IF(VLOOKUP(A31,'Policy Inventory'!$A:$F,6,FALSE)&lt;&gt;"","Yes","No"))</f>
        <v/>
      </c>
      <c r="H31" s="19">
        <f>IF(A31&lt;&gt;"",VLOOKUP(A31,'Policy Inventory'!$A:$F,6,FALSE),"")</f>
        <v/>
      </c>
      <c r="I31" s="16" t="n"/>
      <c r="J31" s="16" t="n"/>
      <c r="K31" s="16" t="n"/>
      <c r="L31" s="16" t="n"/>
      <c r="M31" s="19">
        <f>IF(B31="","",IF(AND(D31="Yes",G31="Yes",I31="Yes",K31="Complete",L31="Yes"),"Compliant",IF(OR(D31="No",G31="No",I31="Insufficient",K31="Missing"),"Non-Compliant","Partial")))</f>
        <v/>
      </c>
      <c r="N31" s="16" t="n"/>
      <c r="O31" s="16" t="n"/>
    </row>
    <row r="32">
      <c r="A32" s="19">
        <f>IF(ROW()-5&lt;=COUNTA('Policy Inventory'!$A:$A)-4,INDEX('Policy Inventory'!$A:$A,ROW()-1),"")</f>
        <v/>
      </c>
      <c r="B32" s="19">
        <f>IF(A32&lt;&gt;"",VLOOKUP(A32,'Policy Inventory'!$A:$B,2,FALSE),"")</f>
        <v/>
      </c>
      <c r="C32" s="19">
        <f>IF(A32&lt;&gt;"",VLOOKUP(A32,'Policy Inventory'!$A:$C,3,FALSE),"")</f>
        <v/>
      </c>
      <c r="D32" s="19">
        <f>IF(A32="","",IF(VLOOKUP(A32,'Policy Inventory'!$A:$E,5,FALSE)&lt;&gt;"","Yes","No"))</f>
        <v/>
      </c>
      <c r="E32" s="19">
        <f>IF(A32&lt;&gt;"",VLOOKUP(A32,'Policy Inventory'!$A:$E,5,FALSE),"")</f>
        <v/>
      </c>
      <c r="F32" s="16" t="n"/>
      <c r="G32" s="19">
        <f>IF(A32="","",IF(VLOOKUP(A32,'Policy Inventory'!$A:$F,6,FALSE)&lt;&gt;"","Yes","No"))</f>
        <v/>
      </c>
      <c r="H32" s="19">
        <f>IF(A32&lt;&gt;"",VLOOKUP(A32,'Policy Inventory'!$A:$F,6,FALSE),"")</f>
        <v/>
      </c>
      <c r="I32" s="16" t="n"/>
      <c r="J32" s="16" t="n"/>
      <c r="K32" s="16" t="n"/>
      <c r="L32" s="16" t="n"/>
      <c r="M32" s="19">
        <f>IF(B32="","",IF(AND(D32="Yes",G32="Yes",I32="Yes",K32="Complete",L32="Yes"),"Compliant",IF(OR(D32="No",G32="No",I32="Insufficient",K32="Missing"),"Non-Compliant","Partial")))</f>
        <v/>
      </c>
      <c r="N32" s="16" t="n"/>
      <c r="O32" s="16" t="n"/>
    </row>
    <row r="33">
      <c r="A33" s="19">
        <f>IF(ROW()-5&lt;=COUNTA('Policy Inventory'!$A:$A)-4,INDEX('Policy Inventory'!$A:$A,ROW()-1),"")</f>
        <v/>
      </c>
      <c r="B33" s="19">
        <f>IF(A33&lt;&gt;"",VLOOKUP(A33,'Policy Inventory'!$A:$B,2,FALSE),"")</f>
        <v/>
      </c>
      <c r="C33" s="19">
        <f>IF(A33&lt;&gt;"",VLOOKUP(A33,'Policy Inventory'!$A:$C,3,FALSE),"")</f>
        <v/>
      </c>
      <c r="D33" s="19">
        <f>IF(A33="","",IF(VLOOKUP(A33,'Policy Inventory'!$A:$E,5,FALSE)&lt;&gt;"","Yes","No"))</f>
        <v/>
      </c>
      <c r="E33" s="19">
        <f>IF(A33&lt;&gt;"",VLOOKUP(A33,'Policy Inventory'!$A:$E,5,FALSE),"")</f>
        <v/>
      </c>
      <c r="F33" s="16" t="n"/>
      <c r="G33" s="19">
        <f>IF(A33="","",IF(VLOOKUP(A33,'Policy Inventory'!$A:$F,6,FALSE)&lt;&gt;"","Yes","No"))</f>
        <v/>
      </c>
      <c r="H33" s="19">
        <f>IF(A33&lt;&gt;"",VLOOKUP(A33,'Policy Inventory'!$A:$F,6,FALSE),"")</f>
        <v/>
      </c>
      <c r="I33" s="16" t="n"/>
      <c r="J33" s="16" t="n"/>
      <c r="K33" s="16" t="n"/>
      <c r="L33" s="16" t="n"/>
      <c r="M33" s="19">
        <f>IF(B33="","",IF(AND(D33="Yes",G33="Yes",I33="Yes",K33="Complete",L33="Yes"),"Compliant",IF(OR(D33="No",G33="No",I33="Insufficient",K33="Missing"),"Non-Compliant","Partial")))</f>
        <v/>
      </c>
      <c r="N33" s="16" t="n"/>
      <c r="O33" s="16" t="n"/>
    </row>
    <row r="34">
      <c r="A34" s="19">
        <f>IF(ROW()-5&lt;=COUNTA('Policy Inventory'!$A:$A)-4,INDEX('Policy Inventory'!$A:$A,ROW()-1),"")</f>
        <v/>
      </c>
      <c r="B34" s="19">
        <f>IF(A34&lt;&gt;"",VLOOKUP(A34,'Policy Inventory'!$A:$B,2,FALSE),"")</f>
        <v/>
      </c>
      <c r="C34" s="19">
        <f>IF(A34&lt;&gt;"",VLOOKUP(A34,'Policy Inventory'!$A:$C,3,FALSE),"")</f>
        <v/>
      </c>
      <c r="D34" s="19">
        <f>IF(A34="","",IF(VLOOKUP(A34,'Policy Inventory'!$A:$E,5,FALSE)&lt;&gt;"","Yes","No"))</f>
        <v/>
      </c>
      <c r="E34" s="19">
        <f>IF(A34&lt;&gt;"",VLOOKUP(A34,'Policy Inventory'!$A:$E,5,FALSE),"")</f>
        <v/>
      </c>
      <c r="F34" s="16" t="n"/>
      <c r="G34" s="19">
        <f>IF(A34="","",IF(VLOOKUP(A34,'Policy Inventory'!$A:$F,6,FALSE)&lt;&gt;"","Yes","No"))</f>
        <v/>
      </c>
      <c r="H34" s="19">
        <f>IF(A34&lt;&gt;"",VLOOKUP(A34,'Policy Inventory'!$A:$F,6,FALSE),"")</f>
        <v/>
      </c>
      <c r="I34" s="16" t="n"/>
      <c r="J34" s="16" t="n"/>
      <c r="K34" s="16" t="n"/>
      <c r="L34" s="16" t="n"/>
      <c r="M34" s="19">
        <f>IF(B34="","",IF(AND(D34="Yes",G34="Yes",I34="Yes",K34="Complete",L34="Yes"),"Compliant",IF(OR(D34="No",G34="No",I34="Insufficient",K34="Missing"),"Non-Compliant","Partial")))</f>
        <v/>
      </c>
      <c r="N34" s="16" t="n"/>
      <c r="O34" s="16" t="n"/>
    </row>
    <row r="35">
      <c r="A35" s="19">
        <f>IF(ROW()-5&lt;=COUNTA('Policy Inventory'!$A:$A)-4,INDEX('Policy Inventory'!$A:$A,ROW()-1),"")</f>
        <v/>
      </c>
      <c r="B35" s="19">
        <f>IF(A35&lt;&gt;"",VLOOKUP(A35,'Policy Inventory'!$A:$B,2,FALSE),"")</f>
        <v/>
      </c>
      <c r="C35" s="19">
        <f>IF(A35&lt;&gt;"",VLOOKUP(A35,'Policy Inventory'!$A:$C,3,FALSE),"")</f>
        <v/>
      </c>
      <c r="D35" s="19">
        <f>IF(A35="","",IF(VLOOKUP(A35,'Policy Inventory'!$A:$E,5,FALSE)&lt;&gt;"","Yes","No"))</f>
        <v/>
      </c>
      <c r="E35" s="19">
        <f>IF(A35&lt;&gt;"",VLOOKUP(A35,'Policy Inventory'!$A:$E,5,FALSE),"")</f>
        <v/>
      </c>
      <c r="F35" s="16" t="n"/>
      <c r="G35" s="19">
        <f>IF(A35="","",IF(VLOOKUP(A35,'Policy Inventory'!$A:$F,6,FALSE)&lt;&gt;"","Yes","No"))</f>
        <v/>
      </c>
      <c r="H35" s="19">
        <f>IF(A35&lt;&gt;"",VLOOKUP(A35,'Policy Inventory'!$A:$F,6,FALSE),"")</f>
        <v/>
      </c>
      <c r="I35" s="16" t="n"/>
      <c r="J35" s="16" t="n"/>
      <c r="K35" s="16" t="n"/>
      <c r="L35" s="16" t="n"/>
      <c r="M35" s="19">
        <f>IF(B35="","",IF(AND(D35="Yes",G35="Yes",I35="Yes",K35="Complete",L35="Yes"),"Compliant",IF(OR(D35="No",G35="No",I35="Insufficient",K35="Missing"),"Non-Compliant","Partial")))</f>
        <v/>
      </c>
      <c r="N35" s="16" t="n"/>
      <c r="O35" s="16" t="n"/>
    </row>
    <row r="36">
      <c r="A36" s="19">
        <f>IF(ROW()-5&lt;=COUNTA('Policy Inventory'!$A:$A)-4,INDEX('Policy Inventory'!$A:$A,ROW()-1),"")</f>
        <v/>
      </c>
      <c r="B36" s="19">
        <f>IF(A36&lt;&gt;"",VLOOKUP(A36,'Policy Inventory'!$A:$B,2,FALSE),"")</f>
        <v/>
      </c>
      <c r="C36" s="19">
        <f>IF(A36&lt;&gt;"",VLOOKUP(A36,'Policy Inventory'!$A:$C,3,FALSE),"")</f>
        <v/>
      </c>
      <c r="D36" s="19">
        <f>IF(A36="","",IF(VLOOKUP(A36,'Policy Inventory'!$A:$E,5,FALSE)&lt;&gt;"","Yes","No"))</f>
        <v/>
      </c>
      <c r="E36" s="19">
        <f>IF(A36&lt;&gt;"",VLOOKUP(A36,'Policy Inventory'!$A:$E,5,FALSE),"")</f>
        <v/>
      </c>
      <c r="F36" s="16" t="n"/>
      <c r="G36" s="19">
        <f>IF(A36="","",IF(VLOOKUP(A36,'Policy Inventory'!$A:$F,6,FALSE)&lt;&gt;"","Yes","No"))</f>
        <v/>
      </c>
      <c r="H36" s="19">
        <f>IF(A36&lt;&gt;"",VLOOKUP(A36,'Policy Inventory'!$A:$F,6,FALSE),"")</f>
        <v/>
      </c>
      <c r="I36" s="16" t="n"/>
      <c r="J36" s="16" t="n"/>
      <c r="K36" s="16" t="n"/>
      <c r="L36" s="16" t="n"/>
      <c r="M36" s="19">
        <f>IF(B36="","",IF(AND(D36="Yes",G36="Yes",I36="Yes",K36="Complete",L36="Yes"),"Compliant",IF(OR(D36="No",G36="No",I36="Insufficient",K36="Missing"),"Non-Compliant","Partial")))</f>
        <v/>
      </c>
      <c r="N36" s="16" t="n"/>
      <c r="O36" s="16" t="n"/>
    </row>
    <row r="37">
      <c r="A37" s="19">
        <f>IF(ROW()-5&lt;=COUNTA('Policy Inventory'!$A:$A)-4,INDEX('Policy Inventory'!$A:$A,ROW()-1),"")</f>
        <v/>
      </c>
      <c r="B37" s="19">
        <f>IF(A37&lt;&gt;"",VLOOKUP(A37,'Policy Inventory'!$A:$B,2,FALSE),"")</f>
        <v/>
      </c>
      <c r="C37" s="19">
        <f>IF(A37&lt;&gt;"",VLOOKUP(A37,'Policy Inventory'!$A:$C,3,FALSE),"")</f>
        <v/>
      </c>
      <c r="D37" s="19">
        <f>IF(A37="","",IF(VLOOKUP(A37,'Policy Inventory'!$A:$E,5,FALSE)&lt;&gt;"","Yes","No"))</f>
        <v/>
      </c>
      <c r="E37" s="19">
        <f>IF(A37&lt;&gt;"",VLOOKUP(A37,'Policy Inventory'!$A:$E,5,FALSE),"")</f>
        <v/>
      </c>
      <c r="F37" s="16" t="n"/>
      <c r="G37" s="19">
        <f>IF(A37="","",IF(VLOOKUP(A37,'Policy Inventory'!$A:$F,6,FALSE)&lt;&gt;"","Yes","No"))</f>
        <v/>
      </c>
      <c r="H37" s="19">
        <f>IF(A37&lt;&gt;"",VLOOKUP(A37,'Policy Inventory'!$A:$F,6,FALSE),"")</f>
        <v/>
      </c>
      <c r="I37" s="16" t="n"/>
      <c r="J37" s="16" t="n"/>
      <c r="K37" s="16" t="n"/>
      <c r="L37" s="16" t="n"/>
      <c r="M37" s="19">
        <f>IF(B37="","",IF(AND(D37="Yes",G37="Yes",I37="Yes",K37="Complete",L37="Yes"),"Compliant",IF(OR(D37="No",G37="No",I37="Insufficient",K37="Missing"),"Non-Compliant","Partial")))</f>
        <v/>
      </c>
      <c r="N37" s="16" t="n"/>
      <c r="O37" s="16" t="n"/>
    </row>
    <row r="38">
      <c r="A38" s="19">
        <f>IF(ROW()-5&lt;=COUNTA('Policy Inventory'!$A:$A)-4,INDEX('Policy Inventory'!$A:$A,ROW()-1),"")</f>
        <v/>
      </c>
      <c r="B38" s="19">
        <f>IF(A38&lt;&gt;"",VLOOKUP(A38,'Policy Inventory'!$A:$B,2,FALSE),"")</f>
        <v/>
      </c>
      <c r="C38" s="19">
        <f>IF(A38&lt;&gt;"",VLOOKUP(A38,'Policy Inventory'!$A:$C,3,FALSE),"")</f>
        <v/>
      </c>
      <c r="D38" s="19">
        <f>IF(A38="","",IF(VLOOKUP(A38,'Policy Inventory'!$A:$E,5,FALSE)&lt;&gt;"","Yes","No"))</f>
        <v/>
      </c>
      <c r="E38" s="19">
        <f>IF(A38&lt;&gt;"",VLOOKUP(A38,'Policy Inventory'!$A:$E,5,FALSE),"")</f>
        <v/>
      </c>
      <c r="F38" s="16" t="n"/>
      <c r="G38" s="19">
        <f>IF(A38="","",IF(VLOOKUP(A38,'Policy Inventory'!$A:$F,6,FALSE)&lt;&gt;"","Yes","No"))</f>
        <v/>
      </c>
      <c r="H38" s="19">
        <f>IF(A38&lt;&gt;"",VLOOKUP(A38,'Policy Inventory'!$A:$F,6,FALSE),"")</f>
        <v/>
      </c>
      <c r="I38" s="16" t="n"/>
      <c r="J38" s="16" t="n"/>
      <c r="K38" s="16" t="n"/>
      <c r="L38" s="16" t="n"/>
      <c r="M38" s="19">
        <f>IF(B38="","",IF(AND(D38="Yes",G38="Yes",I38="Yes",K38="Complete",L38="Yes"),"Compliant",IF(OR(D38="No",G38="No",I38="Insufficient",K38="Missing"),"Non-Compliant","Partial")))</f>
        <v/>
      </c>
      <c r="N38" s="16" t="n"/>
      <c r="O38" s="16" t="n"/>
    </row>
    <row r="39">
      <c r="A39" s="19">
        <f>IF(ROW()-5&lt;=COUNTA('Policy Inventory'!$A:$A)-4,INDEX('Policy Inventory'!$A:$A,ROW()-1),"")</f>
        <v/>
      </c>
      <c r="B39" s="19">
        <f>IF(A39&lt;&gt;"",VLOOKUP(A39,'Policy Inventory'!$A:$B,2,FALSE),"")</f>
        <v/>
      </c>
      <c r="C39" s="19">
        <f>IF(A39&lt;&gt;"",VLOOKUP(A39,'Policy Inventory'!$A:$C,3,FALSE),"")</f>
        <v/>
      </c>
      <c r="D39" s="19">
        <f>IF(A39="","",IF(VLOOKUP(A39,'Policy Inventory'!$A:$E,5,FALSE)&lt;&gt;"","Yes","No"))</f>
        <v/>
      </c>
      <c r="E39" s="19">
        <f>IF(A39&lt;&gt;"",VLOOKUP(A39,'Policy Inventory'!$A:$E,5,FALSE),"")</f>
        <v/>
      </c>
      <c r="F39" s="16" t="n"/>
      <c r="G39" s="19">
        <f>IF(A39="","",IF(VLOOKUP(A39,'Policy Inventory'!$A:$F,6,FALSE)&lt;&gt;"","Yes","No"))</f>
        <v/>
      </c>
      <c r="H39" s="19">
        <f>IF(A39&lt;&gt;"",VLOOKUP(A39,'Policy Inventory'!$A:$F,6,FALSE),"")</f>
        <v/>
      </c>
      <c r="I39" s="16" t="n"/>
      <c r="J39" s="16" t="n"/>
      <c r="K39" s="16" t="n"/>
      <c r="L39" s="16" t="n"/>
      <c r="M39" s="19">
        <f>IF(B39="","",IF(AND(D39="Yes",G39="Yes",I39="Yes",K39="Complete",L39="Yes"),"Compliant",IF(OR(D39="No",G39="No",I39="Insufficient",K39="Missing"),"Non-Compliant","Partial")))</f>
        <v/>
      </c>
      <c r="N39" s="16" t="n"/>
      <c r="O39" s="16" t="n"/>
    </row>
    <row r="40">
      <c r="A40" s="19">
        <f>IF(ROW()-5&lt;=COUNTA('Policy Inventory'!$A:$A)-4,INDEX('Policy Inventory'!$A:$A,ROW()-1),"")</f>
        <v/>
      </c>
      <c r="B40" s="19">
        <f>IF(A40&lt;&gt;"",VLOOKUP(A40,'Policy Inventory'!$A:$B,2,FALSE),"")</f>
        <v/>
      </c>
      <c r="C40" s="19">
        <f>IF(A40&lt;&gt;"",VLOOKUP(A40,'Policy Inventory'!$A:$C,3,FALSE),"")</f>
        <v/>
      </c>
      <c r="D40" s="19">
        <f>IF(A40="","",IF(VLOOKUP(A40,'Policy Inventory'!$A:$E,5,FALSE)&lt;&gt;"","Yes","No"))</f>
        <v/>
      </c>
      <c r="E40" s="19">
        <f>IF(A40&lt;&gt;"",VLOOKUP(A40,'Policy Inventory'!$A:$E,5,FALSE),"")</f>
        <v/>
      </c>
      <c r="F40" s="16" t="n"/>
      <c r="G40" s="19">
        <f>IF(A40="","",IF(VLOOKUP(A40,'Policy Inventory'!$A:$F,6,FALSE)&lt;&gt;"","Yes","No"))</f>
        <v/>
      </c>
      <c r="H40" s="19">
        <f>IF(A40&lt;&gt;"",VLOOKUP(A40,'Policy Inventory'!$A:$F,6,FALSE),"")</f>
        <v/>
      </c>
      <c r="I40" s="16" t="n"/>
      <c r="J40" s="16" t="n"/>
      <c r="K40" s="16" t="n"/>
      <c r="L40" s="16" t="n"/>
      <c r="M40" s="19">
        <f>IF(B40="","",IF(AND(D40="Yes",G40="Yes",I40="Yes",K40="Complete",L40="Yes"),"Compliant",IF(OR(D40="No",G40="No",I40="Insufficient",K40="Missing"),"Non-Compliant","Partial")))</f>
        <v/>
      </c>
      <c r="N40" s="16" t="n"/>
      <c r="O40" s="16" t="n"/>
    </row>
    <row r="41">
      <c r="A41" s="19">
        <f>IF(ROW()-5&lt;=COUNTA('Policy Inventory'!$A:$A)-4,INDEX('Policy Inventory'!$A:$A,ROW()-1),"")</f>
        <v/>
      </c>
      <c r="B41" s="19">
        <f>IF(A41&lt;&gt;"",VLOOKUP(A41,'Policy Inventory'!$A:$B,2,FALSE),"")</f>
        <v/>
      </c>
      <c r="C41" s="19">
        <f>IF(A41&lt;&gt;"",VLOOKUP(A41,'Policy Inventory'!$A:$C,3,FALSE),"")</f>
        <v/>
      </c>
      <c r="D41" s="19">
        <f>IF(A41="","",IF(VLOOKUP(A41,'Policy Inventory'!$A:$E,5,FALSE)&lt;&gt;"","Yes","No"))</f>
        <v/>
      </c>
      <c r="E41" s="19">
        <f>IF(A41&lt;&gt;"",VLOOKUP(A41,'Policy Inventory'!$A:$E,5,FALSE),"")</f>
        <v/>
      </c>
      <c r="F41" s="16" t="n"/>
      <c r="G41" s="19">
        <f>IF(A41="","",IF(VLOOKUP(A41,'Policy Inventory'!$A:$F,6,FALSE)&lt;&gt;"","Yes","No"))</f>
        <v/>
      </c>
      <c r="H41" s="19">
        <f>IF(A41&lt;&gt;"",VLOOKUP(A41,'Policy Inventory'!$A:$F,6,FALSE),"")</f>
        <v/>
      </c>
      <c r="I41" s="16" t="n"/>
      <c r="J41" s="16" t="n"/>
      <c r="K41" s="16" t="n"/>
      <c r="L41" s="16" t="n"/>
      <c r="M41" s="19">
        <f>IF(B41="","",IF(AND(D41="Yes",G41="Yes",I41="Yes",K41="Complete",L41="Yes"),"Compliant",IF(OR(D41="No",G41="No",I41="Insufficient",K41="Missing"),"Non-Compliant","Partial")))</f>
        <v/>
      </c>
      <c r="N41" s="16" t="n"/>
      <c r="O41" s="16" t="n"/>
    </row>
    <row r="42">
      <c r="A42" s="19">
        <f>IF(ROW()-5&lt;=COUNTA('Policy Inventory'!$A:$A)-4,INDEX('Policy Inventory'!$A:$A,ROW()-1),"")</f>
        <v/>
      </c>
      <c r="B42" s="19">
        <f>IF(A42&lt;&gt;"",VLOOKUP(A42,'Policy Inventory'!$A:$B,2,FALSE),"")</f>
        <v/>
      </c>
      <c r="C42" s="19">
        <f>IF(A42&lt;&gt;"",VLOOKUP(A42,'Policy Inventory'!$A:$C,3,FALSE),"")</f>
        <v/>
      </c>
      <c r="D42" s="19">
        <f>IF(A42="","",IF(VLOOKUP(A42,'Policy Inventory'!$A:$E,5,FALSE)&lt;&gt;"","Yes","No"))</f>
        <v/>
      </c>
      <c r="E42" s="19">
        <f>IF(A42&lt;&gt;"",VLOOKUP(A42,'Policy Inventory'!$A:$E,5,FALSE),"")</f>
        <v/>
      </c>
      <c r="F42" s="16" t="n"/>
      <c r="G42" s="19">
        <f>IF(A42="","",IF(VLOOKUP(A42,'Policy Inventory'!$A:$F,6,FALSE)&lt;&gt;"","Yes","No"))</f>
        <v/>
      </c>
      <c r="H42" s="19">
        <f>IF(A42&lt;&gt;"",VLOOKUP(A42,'Policy Inventory'!$A:$F,6,FALSE),"")</f>
        <v/>
      </c>
      <c r="I42" s="16" t="n"/>
      <c r="J42" s="16" t="n"/>
      <c r="K42" s="16" t="n"/>
      <c r="L42" s="16" t="n"/>
      <c r="M42" s="19">
        <f>IF(B42="","",IF(AND(D42="Yes",G42="Yes",I42="Yes",K42="Complete",L42="Yes"),"Compliant",IF(OR(D42="No",G42="No",I42="Insufficient",K42="Missing"),"Non-Compliant","Partial")))</f>
        <v/>
      </c>
      <c r="N42" s="16" t="n"/>
      <c r="O42" s="16" t="n"/>
    </row>
    <row r="43">
      <c r="A43" s="19">
        <f>IF(ROW()-5&lt;=COUNTA('Policy Inventory'!$A:$A)-4,INDEX('Policy Inventory'!$A:$A,ROW()-1),"")</f>
        <v/>
      </c>
      <c r="B43" s="19">
        <f>IF(A43&lt;&gt;"",VLOOKUP(A43,'Policy Inventory'!$A:$B,2,FALSE),"")</f>
        <v/>
      </c>
      <c r="C43" s="19">
        <f>IF(A43&lt;&gt;"",VLOOKUP(A43,'Policy Inventory'!$A:$C,3,FALSE),"")</f>
        <v/>
      </c>
      <c r="D43" s="19">
        <f>IF(A43="","",IF(VLOOKUP(A43,'Policy Inventory'!$A:$E,5,FALSE)&lt;&gt;"","Yes","No"))</f>
        <v/>
      </c>
      <c r="E43" s="19">
        <f>IF(A43&lt;&gt;"",VLOOKUP(A43,'Policy Inventory'!$A:$E,5,FALSE),"")</f>
        <v/>
      </c>
      <c r="F43" s="16" t="n"/>
      <c r="G43" s="19">
        <f>IF(A43="","",IF(VLOOKUP(A43,'Policy Inventory'!$A:$F,6,FALSE)&lt;&gt;"","Yes","No"))</f>
        <v/>
      </c>
      <c r="H43" s="19">
        <f>IF(A43&lt;&gt;"",VLOOKUP(A43,'Policy Inventory'!$A:$F,6,FALSE),"")</f>
        <v/>
      </c>
      <c r="I43" s="16" t="n"/>
      <c r="J43" s="16" t="n"/>
      <c r="K43" s="16" t="n"/>
      <c r="L43" s="16" t="n"/>
      <c r="M43" s="19">
        <f>IF(B43="","",IF(AND(D43="Yes",G43="Yes",I43="Yes",K43="Complete",L43="Yes"),"Compliant",IF(OR(D43="No",G43="No",I43="Insufficient",K43="Missing"),"Non-Compliant","Partial")))</f>
        <v/>
      </c>
      <c r="N43" s="16" t="n"/>
      <c r="O43" s="16" t="n"/>
    </row>
    <row r="44">
      <c r="A44" s="19">
        <f>IF(ROW()-5&lt;=COUNTA('Policy Inventory'!$A:$A)-4,INDEX('Policy Inventory'!$A:$A,ROW()-1),"")</f>
        <v/>
      </c>
      <c r="B44" s="19">
        <f>IF(A44&lt;&gt;"",VLOOKUP(A44,'Policy Inventory'!$A:$B,2,FALSE),"")</f>
        <v/>
      </c>
      <c r="C44" s="19">
        <f>IF(A44&lt;&gt;"",VLOOKUP(A44,'Policy Inventory'!$A:$C,3,FALSE),"")</f>
        <v/>
      </c>
      <c r="D44" s="19">
        <f>IF(A44="","",IF(VLOOKUP(A44,'Policy Inventory'!$A:$E,5,FALSE)&lt;&gt;"","Yes","No"))</f>
        <v/>
      </c>
      <c r="E44" s="19">
        <f>IF(A44&lt;&gt;"",VLOOKUP(A44,'Policy Inventory'!$A:$E,5,FALSE),"")</f>
        <v/>
      </c>
      <c r="F44" s="16" t="n"/>
      <c r="G44" s="19">
        <f>IF(A44="","",IF(VLOOKUP(A44,'Policy Inventory'!$A:$F,6,FALSE)&lt;&gt;"","Yes","No"))</f>
        <v/>
      </c>
      <c r="H44" s="19">
        <f>IF(A44&lt;&gt;"",VLOOKUP(A44,'Policy Inventory'!$A:$F,6,FALSE),"")</f>
        <v/>
      </c>
      <c r="I44" s="16" t="n"/>
      <c r="J44" s="16" t="n"/>
      <c r="K44" s="16" t="n"/>
      <c r="L44" s="16" t="n"/>
      <c r="M44" s="19">
        <f>IF(B44="","",IF(AND(D44="Yes",G44="Yes",I44="Yes",K44="Complete",L44="Yes"),"Compliant",IF(OR(D44="No",G44="No",I44="Insufficient",K44="Missing"),"Non-Compliant","Partial")))</f>
        <v/>
      </c>
      <c r="N44" s="16" t="n"/>
      <c r="O44" s="16" t="n"/>
    </row>
    <row r="45">
      <c r="A45" s="19">
        <f>IF(ROW()-5&lt;=COUNTA('Policy Inventory'!$A:$A)-4,INDEX('Policy Inventory'!$A:$A,ROW()-1),"")</f>
        <v/>
      </c>
      <c r="B45" s="19">
        <f>IF(A45&lt;&gt;"",VLOOKUP(A45,'Policy Inventory'!$A:$B,2,FALSE),"")</f>
        <v/>
      </c>
      <c r="C45" s="19">
        <f>IF(A45&lt;&gt;"",VLOOKUP(A45,'Policy Inventory'!$A:$C,3,FALSE),"")</f>
        <v/>
      </c>
      <c r="D45" s="19">
        <f>IF(A45="","",IF(VLOOKUP(A45,'Policy Inventory'!$A:$E,5,FALSE)&lt;&gt;"","Yes","No"))</f>
        <v/>
      </c>
      <c r="E45" s="19">
        <f>IF(A45&lt;&gt;"",VLOOKUP(A45,'Policy Inventory'!$A:$E,5,FALSE),"")</f>
        <v/>
      </c>
      <c r="F45" s="16" t="n"/>
      <c r="G45" s="19">
        <f>IF(A45="","",IF(VLOOKUP(A45,'Policy Inventory'!$A:$F,6,FALSE)&lt;&gt;"","Yes","No"))</f>
        <v/>
      </c>
      <c r="H45" s="19">
        <f>IF(A45&lt;&gt;"",VLOOKUP(A45,'Policy Inventory'!$A:$F,6,FALSE),"")</f>
        <v/>
      </c>
      <c r="I45" s="16" t="n"/>
      <c r="J45" s="16" t="n"/>
      <c r="K45" s="16" t="n"/>
      <c r="L45" s="16" t="n"/>
      <c r="M45" s="19">
        <f>IF(B45="","",IF(AND(D45="Yes",G45="Yes",I45="Yes",K45="Complete",L45="Yes"),"Compliant",IF(OR(D45="No",G45="No",I45="Insufficient",K45="Missing"),"Non-Compliant","Partial")))</f>
        <v/>
      </c>
      <c r="N45" s="16" t="n"/>
      <c r="O45" s="16" t="n"/>
    </row>
    <row r="46">
      <c r="A46" s="19">
        <f>IF(ROW()-5&lt;=COUNTA('Policy Inventory'!$A:$A)-4,INDEX('Policy Inventory'!$A:$A,ROW()-1),"")</f>
        <v/>
      </c>
      <c r="B46" s="19">
        <f>IF(A46&lt;&gt;"",VLOOKUP(A46,'Policy Inventory'!$A:$B,2,FALSE),"")</f>
        <v/>
      </c>
      <c r="C46" s="19">
        <f>IF(A46&lt;&gt;"",VLOOKUP(A46,'Policy Inventory'!$A:$C,3,FALSE),"")</f>
        <v/>
      </c>
      <c r="D46" s="19">
        <f>IF(A46="","",IF(VLOOKUP(A46,'Policy Inventory'!$A:$E,5,FALSE)&lt;&gt;"","Yes","No"))</f>
        <v/>
      </c>
      <c r="E46" s="19">
        <f>IF(A46&lt;&gt;"",VLOOKUP(A46,'Policy Inventory'!$A:$E,5,FALSE),"")</f>
        <v/>
      </c>
      <c r="F46" s="16" t="n"/>
      <c r="G46" s="19">
        <f>IF(A46="","",IF(VLOOKUP(A46,'Policy Inventory'!$A:$F,6,FALSE)&lt;&gt;"","Yes","No"))</f>
        <v/>
      </c>
      <c r="H46" s="19">
        <f>IF(A46&lt;&gt;"",VLOOKUP(A46,'Policy Inventory'!$A:$F,6,FALSE),"")</f>
        <v/>
      </c>
      <c r="I46" s="16" t="n"/>
      <c r="J46" s="16" t="n"/>
      <c r="K46" s="16" t="n"/>
      <c r="L46" s="16" t="n"/>
      <c r="M46" s="19">
        <f>IF(B46="","",IF(AND(D46="Yes",G46="Yes",I46="Yes",K46="Complete",L46="Yes"),"Compliant",IF(OR(D46="No",G46="No",I46="Insufficient",K46="Missing"),"Non-Compliant","Partial")))</f>
        <v/>
      </c>
      <c r="N46" s="16" t="n"/>
      <c r="O46" s="16" t="n"/>
    </row>
    <row r="47">
      <c r="A47" s="19">
        <f>IF(ROW()-5&lt;=COUNTA('Policy Inventory'!$A:$A)-4,INDEX('Policy Inventory'!$A:$A,ROW()-1),"")</f>
        <v/>
      </c>
      <c r="B47" s="19">
        <f>IF(A47&lt;&gt;"",VLOOKUP(A47,'Policy Inventory'!$A:$B,2,FALSE),"")</f>
        <v/>
      </c>
      <c r="C47" s="19">
        <f>IF(A47&lt;&gt;"",VLOOKUP(A47,'Policy Inventory'!$A:$C,3,FALSE),"")</f>
        <v/>
      </c>
      <c r="D47" s="19">
        <f>IF(A47="","",IF(VLOOKUP(A47,'Policy Inventory'!$A:$E,5,FALSE)&lt;&gt;"","Yes","No"))</f>
        <v/>
      </c>
      <c r="E47" s="19">
        <f>IF(A47&lt;&gt;"",VLOOKUP(A47,'Policy Inventory'!$A:$E,5,FALSE),"")</f>
        <v/>
      </c>
      <c r="F47" s="16" t="n"/>
      <c r="G47" s="19">
        <f>IF(A47="","",IF(VLOOKUP(A47,'Policy Inventory'!$A:$F,6,FALSE)&lt;&gt;"","Yes","No"))</f>
        <v/>
      </c>
      <c r="H47" s="19">
        <f>IF(A47&lt;&gt;"",VLOOKUP(A47,'Policy Inventory'!$A:$F,6,FALSE),"")</f>
        <v/>
      </c>
      <c r="I47" s="16" t="n"/>
      <c r="J47" s="16" t="n"/>
      <c r="K47" s="16" t="n"/>
      <c r="L47" s="16" t="n"/>
      <c r="M47" s="19">
        <f>IF(B47="","",IF(AND(D47="Yes",G47="Yes",I47="Yes",K47="Complete",L47="Yes"),"Compliant",IF(OR(D47="No",G47="No",I47="Insufficient",K47="Missing"),"Non-Compliant","Partial")))</f>
        <v/>
      </c>
      <c r="N47" s="16" t="n"/>
      <c r="O47" s="16" t="n"/>
    </row>
    <row r="48">
      <c r="A48" s="19">
        <f>IF(ROW()-5&lt;=COUNTA('Policy Inventory'!$A:$A)-4,INDEX('Policy Inventory'!$A:$A,ROW()-1),"")</f>
        <v/>
      </c>
      <c r="B48" s="19">
        <f>IF(A48&lt;&gt;"",VLOOKUP(A48,'Policy Inventory'!$A:$B,2,FALSE),"")</f>
        <v/>
      </c>
      <c r="C48" s="19">
        <f>IF(A48&lt;&gt;"",VLOOKUP(A48,'Policy Inventory'!$A:$C,3,FALSE),"")</f>
        <v/>
      </c>
      <c r="D48" s="19">
        <f>IF(A48="","",IF(VLOOKUP(A48,'Policy Inventory'!$A:$E,5,FALSE)&lt;&gt;"","Yes","No"))</f>
        <v/>
      </c>
      <c r="E48" s="19">
        <f>IF(A48&lt;&gt;"",VLOOKUP(A48,'Policy Inventory'!$A:$E,5,FALSE),"")</f>
        <v/>
      </c>
      <c r="F48" s="16" t="n"/>
      <c r="G48" s="19">
        <f>IF(A48="","",IF(VLOOKUP(A48,'Policy Inventory'!$A:$F,6,FALSE)&lt;&gt;"","Yes","No"))</f>
        <v/>
      </c>
      <c r="H48" s="19">
        <f>IF(A48&lt;&gt;"",VLOOKUP(A48,'Policy Inventory'!$A:$F,6,FALSE),"")</f>
        <v/>
      </c>
      <c r="I48" s="16" t="n"/>
      <c r="J48" s="16" t="n"/>
      <c r="K48" s="16" t="n"/>
      <c r="L48" s="16" t="n"/>
      <c r="M48" s="19">
        <f>IF(B48="","",IF(AND(D48="Yes",G48="Yes",I48="Yes",K48="Complete",L48="Yes"),"Compliant",IF(OR(D48="No",G48="No",I48="Insufficient",K48="Missing"),"Non-Compliant","Partial")))</f>
        <v/>
      </c>
      <c r="N48" s="16" t="n"/>
      <c r="O48" s="16" t="n"/>
    </row>
    <row r="49">
      <c r="A49" s="19">
        <f>IF(ROW()-5&lt;=COUNTA('Policy Inventory'!$A:$A)-4,INDEX('Policy Inventory'!$A:$A,ROW()-1),"")</f>
        <v/>
      </c>
      <c r="B49" s="19">
        <f>IF(A49&lt;&gt;"",VLOOKUP(A49,'Policy Inventory'!$A:$B,2,FALSE),"")</f>
        <v/>
      </c>
      <c r="C49" s="19">
        <f>IF(A49&lt;&gt;"",VLOOKUP(A49,'Policy Inventory'!$A:$C,3,FALSE),"")</f>
        <v/>
      </c>
      <c r="D49" s="19">
        <f>IF(A49="","",IF(VLOOKUP(A49,'Policy Inventory'!$A:$E,5,FALSE)&lt;&gt;"","Yes","No"))</f>
        <v/>
      </c>
      <c r="E49" s="19">
        <f>IF(A49&lt;&gt;"",VLOOKUP(A49,'Policy Inventory'!$A:$E,5,FALSE),"")</f>
        <v/>
      </c>
      <c r="F49" s="16" t="n"/>
      <c r="G49" s="19">
        <f>IF(A49="","",IF(VLOOKUP(A49,'Policy Inventory'!$A:$F,6,FALSE)&lt;&gt;"","Yes","No"))</f>
        <v/>
      </c>
      <c r="H49" s="19">
        <f>IF(A49&lt;&gt;"",VLOOKUP(A49,'Policy Inventory'!$A:$F,6,FALSE),"")</f>
        <v/>
      </c>
      <c r="I49" s="16" t="n"/>
      <c r="J49" s="16" t="n"/>
      <c r="K49" s="16" t="n"/>
      <c r="L49" s="16" t="n"/>
      <c r="M49" s="19">
        <f>IF(B49="","",IF(AND(D49="Yes",G49="Yes",I49="Yes",K49="Complete",L49="Yes"),"Compliant",IF(OR(D49="No",G49="No",I49="Insufficient",K49="Missing"),"Non-Compliant","Partial")))</f>
        <v/>
      </c>
      <c r="N49" s="16" t="n"/>
      <c r="O49" s="16" t="n"/>
    </row>
    <row r="50">
      <c r="A50" s="19">
        <f>IF(ROW()-5&lt;=COUNTA('Policy Inventory'!$A:$A)-4,INDEX('Policy Inventory'!$A:$A,ROW()-1),"")</f>
        <v/>
      </c>
      <c r="B50" s="19">
        <f>IF(A50&lt;&gt;"",VLOOKUP(A50,'Policy Inventory'!$A:$B,2,FALSE),"")</f>
        <v/>
      </c>
      <c r="C50" s="19">
        <f>IF(A50&lt;&gt;"",VLOOKUP(A50,'Policy Inventory'!$A:$C,3,FALSE),"")</f>
        <v/>
      </c>
      <c r="D50" s="19">
        <f>IF(A50="","",IF(VLOOKUP(A50,'Policy Inventory'!$A:$E,5,FALSE)&lt;&gt;"","Yes","No"))</f>
        <v/>
      </c>
      <c r="E50" s="19">
        <f>IF(A50&lt;&gt;"",VLOOKUP(A50,'Policy Inventory'!$A:$E,5,FALSE),"")</f>
        <v/>
      </c>
      <c r="F50" s="16" t="n"/>
      <c r="G50" s="19">
        <f>IF(A50="","",IF(VLOOKUP(A50,'Policy Inventory'!$A:$F,6,FALSE)&lt;&gt;"","Yes","No"))</f>
        <v/>
      </c>
      <c r="H50" s="19">
        <f>IF(A50&lt;&gt;"",VLOOKUP(A50,'Policy Inventory'!$A:$F,6,FALSE),"")</f>
        <v/>
      </c>
      <c r="I50" s="16" t="n"/>
      <c r="J50" s="16" t="n"/>
      <c r="K50" s="16" t="n"/>
      <c r="L50" s="16" t="n"/>
      <c r="M50" s="19">
        <f>IF(B50="","",IF(AND(D50="Yes",G50="Yes",I50="Yes",K50="Complete",L50="Yes"),"Compliant",IF(OR(D50="No",G50="No",I50="Insufficient",K50="Missing"),"Non-Compliant","Partial")))</f>
        <v/>
      </c>
      <c r="N50" s="16" t="n"/>
      <c r="O50" s="16" t="n"/>
    </row>
    <row r="51">
      <c r="A51" s="19">
        <f>IF(ROW()-5&lt;=COUNTA('Policy Inventory'!$A:$A)-4,INDEX('Policy Inventory'!$A:$A,ROW()-1),"")</f>
        <v/>
      </c>
      <c r="B51" s="19">
        <f>IF(A51&lt;&gt;"",VLOOKUP(A51,'Policy Inventory'!$A:$B,2,FALSE),"")</f>
        <v/>
      </c>
      <c r="C51" s="19">
        <f>IF(A51&lt;&gt;"",VLOOKUP(A51,'Policy Inventory'!$A:$C,3,FALSE),"")</f>
        <v/>
      </c>
      <c r="D51" s="19">
        <f>IF(A51="","",IF(VLOOKUP(A51,'Policy Inventory'!$A:$E,5,FALSE)&lt;&gt;"","Yes","No"))</f>
        <v/>
      </c>
      <c r="E51" s="19">
        <f>IF(A51&lt;&gt;"",VLOOKUP(A51,'Policy Inventory'!$A:$E,5,FALSE),"")</f>
        <v/>
      </c>
      <c r="F51" s="16" t="n"/>
      <c r="G51" s="19">
        <f>IF(A51="","",IF(VLOOKUP(A51,'Policy Inventory'!$A:$F,6,FALSE)&lt;&gt;"","Yes","No"))</f>
        <v/>
      </c>
      <c r="H51" s="19">
        <f>IF(A51&lt;&gt;"",VLOOKUP(A51,'Policy Inventory'!$A:$F,6,FALSE),"")</f>
        <v/>
      </c>
      <c r="I51" s="16" t="n"/>
      <c r="J51" s="16" t="n"/>
      <c r="K51" s="16" t="n"/>
      <c r="L51" s="16" t="n"/>
      <c r="M51" s="19">
        <f>IF(B51="","",IF(AND(D51="Yes",G51="Yes",I51="Yes",K51="Complete",L51="Yes"),"Compliant",IF(OR(D51="No",G51="No",I51="Insufficient",K51="Missing"),"Non-Compliant","Partial")))</f>
        <v/>
      </c>
      <c r="N51" s="16" t="n"/>
      <c r="O51" s="16" t="n"/>
    </row>
    <row r="52">
      <c r="A52" s="19">
        <f>IF(ROW()-5&lt;=COUNTA('Policy Inventory'!$A:$A)-4,INDEX('Policy Inventory'!$A:$A,ROW()-1),"")</f>
        <v/>
      </c>
      <c r="B52" s="19">
        <f>IF(A52&lt;&gt;"",VLOOKUP(A52,'Policy Inventory'!$A:$B,2,FALSE),"")</f>
        <v/>
      </c>
      <c r="C52" s="19">
        <f>IF(A52&lt;&gt;"",VLOOKUP(A52,'Policy Inventory'!$A:$C,3,FALSE),"")</f>
        <v/>
      </c>
      <c r="D52" s="19">
        <f>IF(A52="","",IF(VLOOKUP(A52,'Policy Inventory'!$A:$E,5,FALSE)&lt;&gt;"","Yes","No"))</f>
        <v/>
      </c>
      <c r="E52" s="19">
        <f>IF(A52&lt;&gt;"",VLOOKUP(A52,'Policy Inventory'!$A:$E,5,FALSE),"")</f>
        <v/>
      </c>
      <c r="F52" s="16" t="n"/>
      <c r="G52" s="19">
        <f>IF(A52="","",IF(VLOOKUP(A52,'Policy Inventory'!$A:$F,6,FALSE)&lt;&gt;"","Yes","No"))</f>
        <v/>
      </c>
      <c r="H52" s="19">
        <f>IF(A52&lt;&gt;"",VLOOKUP(A52,'Policy Inventory'!$A:$F,6,FALSE),"")</f>
        <v/>
      </c>
      <c r="I52" s="16" t="n"/>
      <c r="J52" s="16" t="n"/>
      <c r="K52" s="16" t="n"/>
      <c r="L52" s="16" t="n"/>
      <c r="M52" s="19">
        <f>IF(B52="","",IF(AND(D52="Yes",G52="Yes",I52="Yes",K52="Complete",L52="Yes"),"Compliant",IF(OR(D52="No",G52="No",I52="Insufficient",K52="Missing"),"Non-Compliant","Partial")))</f>
        <v/>
      </c>
      <c r="N52" s="16" t="n"/>
      <c r="O52" s="16" t="n"/>
    </row>
    <row r="53">
      <c r="A53" s="19">
        <f>IF(ROW()-5&lt;=COUNTA('Policy Inventory'!$A:$A)-4,INDEX('Policy Inventory'!$A:$A,ROW()-1),"")</f>
        <v/>
      </c>
      <c r="B53" s="19">
        <f>IF(A53&lt;&gt;"",VLOOKUP(A53,'Policy Inventory'!$A:$B,2,FALSE),"")</f>
        <v/>
      </c>
      <c r="C53" s="19">
        <f>IF(A53&lt;&gt;"",VLOOKUP(A53,'Policy Inventory'!$A:$C,3,FALSE),"")</f>
        <v/>
      </c>
      <c r="D53" s="19">
        <f>IF(A53="","",IF(VLOOKUP(A53,'Policy Inventory'!$A:$E,5,FALSE)&lt;&gt;"","Yes","No"))</f>
        <v/>
      </c>
      <c r="E53" s="19">
        <f>IF(A53&lt;&gt;"",VLOOKUP(A53,'Policy Inventory'!$A:$E,5,FALSE),"")</f>
        <v/>
      </c>
      <c r="F53" s="16" t="n"/>
      <c r="G53" s="19">
        <f>IF(A53="","",IF(VLOOKUP(A53,'Policy Inventory'!$A:$F,6,FALSE)&lt;&gt;"","Yes","No"))</f>
        <v/>
      </c>
      <c r="H53" s="19">
        <f>IF(A53&lt;&gt;"",VLOOKUP(A53,'Policy Inventory'!$A:$F,6,FALSE),"")</f>
        <v/>
      </c>
      <c r="I53" s="16" t="n"/>
      <c r="J53" s="16" t="n"/>
      <c r="K53" s="16" t="n"/>
      <c r="L53" s="16" t="n"/>
      <c r="M53" s="19">
        <f>IF(B53="","",IF(AND(D53="Yes",G53="Yes",I53="Yes",K53="Complete",L53="Yes"),"Compliant",IF(OR(D53="No",G53="No",I53="Insufficient",K53="Missing"),"Non-Compliant","Partial")))</f>
        <v/>
      </c>
      <c r="N53" s="16" t="n"/>
      <c r="O53" s="16" t="n"/>
    </row>
    <row r="54">
      <c r="A54" s="19">
        <f>IF(ROW()-5&lt;=COUNTA('Policy Inventory'!$A:$A)-4,INDEX('Policy Inventory'!$A:$A,ROW()-1),"")</f>
        <v/>
      </c>
      <c r="B54" s="19">
        <f>IF(A54&lt;&gt;"",VLOOKUP(A54,'Policy Inventory'!$A:$B,2,FALSE),"")</f>
        <v/>
      </c>
      <c r="C54" s="19">
        <f>IF(A54&lt;&gt;"",VLOOKUP(A54,'Policy Inventory'!$A:$C,3,FALSE),"")</f>
        <v/>
      </c>
      <c r="D54" s="19">
        <f>IF(A54="","",IF(VLOOKUP(A54,'Policy Inventory'!$A:$E,5,FALSE)&lt;&gt;"","Yes","No"))</f>
        <v/>
      </c>
      <c r="E54" s="19">
        <f>IF(A54&lt;&gt;"",VLOOKUP(A54,'Policy Inventory'!$A:$E,5,FALSE),"")</f>
        <v/>
      </c>
      <c r="F54" s="16" t="n"/>
      <c r="G54" s="19">
        <f>IF(A54="","",IF(VLOOKUP(A54,'Policy Inventory'!$A:$F,6,FALSE)&lt;&gt;"","Yes","No"))</f>
        <v/>
      </c>
      <c r="H54" s="19">
        <f>IF(A54&lt;&gt;"",VLOOKUP(A54,'Policy Inventory'!$A:$F,6,FALSE),"")</f>
        <v/>
      </c>
      <c r="I54" s="16" t="n"/>
      <c r="J54" s="16" t="n"/>
      <c r="K54" s="16" t="n"/>
      <c r="L54" s="16" t="n"/>
      <c r="M54" s="19">
        <f>IF(B54="","",IF(AND(D54="Yes",G54="Yes",I54="Yes",K54="Complete",L54="Yes"),"Compliant",IF(OR(D54="No",G54="No",I54="Insufficient",K54="Missing"),"Non-Compliant","Partial")))</f>
        <v/>
      </c>
      <c r="N54" s="16" t="n"/>
      <c r="O54" s="16" t="n"/>
    </row>
    <row r="55">
      <c r="A55" s="19">
        <f>IF(ROW()-5&lt;=COUNTA('Policy Inventory'!$A:$A)-4,INDEX('Policy Inventory'!$A:$A,ROW()-1),"")</f>
        <v/>
      </c>
      <c r="B55" s="19">
        <f>IF(A55&lt;&gt;"",VLOOKUP(A55,'Policy Inventory'!$A:$B,2,FALSE),"")</f>
        <v/>
      </c>
      <c r="C55" s="19">
        <f>IF(A55&lt;&gt;"",VLOOKUP(A55,'Policy Inventory'!$A:$C,3,FALSE),"")</f>
        <v/>
      </c>
      <c r="D55" s="19">
        <f>IF(A55="","",IF(VLOOKUP(A55,'Policy Inventory'!$A:$E,5,FALSE)&lt;&gt;"","Yes","No"))</f>
        <v/>
      </c>
      <c r="E55" s="19">
        <f>IF(A55&lt;&gt;"",VLOOKUP(A55,'Policy Inventory'!$A:$E,5,FALSE),"")</f>
        <v/>
      </c>
      <c r="F55" s="16" t="n"/>
      <c r="G55" s="19">
        <f>IF(A55="","",IF(VLOOKUP(A55,'Policy Inventory'!$A:$F,6,FALSE)&lt;&gt;"","Yes","No"))</f>
        <v/>
      </c>
      <c r="H55" s="19">
        <f>IF(A55&lt;&gt;"",VLOOKUP(A55,'Policy Inventory'!$A:$F,6,FALSE),"")</f>
        <v/>
      </c>
      <c r="I55" s="16" t="n"/>
      <c r="J55" s="16" t="n"/>
      <c r="K55" s="16" t="n"/>
      <c r="L55" s="16" t="n"/>
      <c r="M55" s="19">
        <f>IF(B55="","",IF(AND(D55="Yes",G55="Yes",I55="Yes",K55="Complete",L55="Yes"),"Compliant",IF(OR(D55="No",G55="No",I55="Insufficient",K55="Missing"),"Non-Compliant","Partial")))</f>
        <v/>
      </c>
      <c r="N55" s="16" t="n"/>
      <c r="O55" s="16" t="n"/>
    </row>
    <row r="56">
      <c r="A56" s="19">
        <f>IF(ROW()-5&lt;=COUNTA('Policy Inventory'!$A:$A)-4,INDEX('Policy Inventory'!$A:$A,ROW()-1),"")</f>
        <v/>
      </c>
      <c r="B56" s="19">
        <f>IF(A56&lt;&gt;"",VLOOKUP(A56,'Policy Inventory'!$A:$B,2,FALSE),"")</f>
        <v/>
      </c>
      <c r="C56" s="19">
        <f>IF(A56&lt;&gt;"",VLOOKUP(A56,'Policy Inventory'!$A:$C,3,FALSE),"")</f>
        <v/>
      </c>
      <c r="D56" s="19">
        <f>IF(A56="","",IF(VLOOKUP(A56,'Policy Inventory'!$A:$E,5,FALSE)&lt;&gt;"","Yes","No"))</f>
        <v/>
      </c>
      <c r="E56" s="19">
        <f>IF(A56&lt;&gt;"",VLOOKUP(A56,'Policy Inventory'!$A:$E,5,FALSE),"")</f>
        <v/>
      </c>
      <c r="F56" s="16" t="n"/>
      <c r="G56" s="19">
        <f>IF(A56="","",IF(VLOOKUP(A56,'Policy Inventory'!$A:$F,6,FALSE)&lt;&gt;"","Yes","No"))</f>
        <v/>
      </c>
      <c r="H56" s="19">
        <f>IF(A56&lt;&gt;"",VLOOKUP(A56,'Policy Inventory'!$A:$F,6,FALSE),"")</f>
        <v/>
      </c>
      <c r="I56" s="16" t="n"/>
      <c r="J56" s="16" t="n"/>
      <c r="K56" s="16" t="n"/>
      <c r="L56" s="16" t="n"/>
      <c r="M56" s="19">
        <f>IF(B56="","",IF(AND(D56="Yes",G56="Yes",I56="Yes",K56="Complete",L56="Yes"),"Compliant",IF(OR(D56="No",G56="No",I56="Insufficient",K56="Missing"),"Non-Compliant","Partial")))</f>
        <v/>
      </c>
      <c r="N56" s="16" t="n"/>
      <c r="O56" s="16" t="n"/>
    </row>
    <row r="57">
      <c r="A57" s="19">
        <f>IF(ROW()-5&lt;=COUNTA('Policy Inventory'!$A:$A)-4,INDEX('Policy Inventory'!$A:$A,ROW()-1),"")</f>
        <v/>
      </c>
      <c r="B57" s="19">
        <f>IF(A57&lt;&gt;"",VLOOKUP(A57,'Policy Inventory'!$A:$B,2,FALSE),"")</f>
        <v/>
      </c>
      <c r="C57" s="19">
        <f>IF(A57&lt;&gt;"",VLOOKUP(A57,'Policy Inventory'!$A:$C,3,FALSE),"")</f>
        <v/>
      </c>
      <c r="D57" s="19">
        <f>IF(A57="","",IF(VLOOKUP(A57,'Policy Inventory'!$A:$E,5,FALSE)&lt;&gt;"","Yes","No"))</f>
        <v/>
      </c>
      <c r="E57" s="19">
        <f>IF(A57&lt;&gt;"",VLOOKUP(A57,'Policy Inventory'!$A:$E,5,FALSE),"")</f>
        <v/>
      </c>
      <c r="F57" s="16" t="n"/>
      <c r="G57" s="19">
        <f>IF(A57="","",IF(VLOOKUP(A57,'Policy Inventory'!$A:$F,6,FALSE)&lt;&gt;"","Yes","No"))</f>
        <v/>
      </c>
      <c r="H57" s="19">
        <f>IF(A57&lt;&gt;"",VLOOKUP(A57,'Policy Inventory'!$A:$F,6,FALSE),"")</f>
        <v/>
      </c>
      <c r="I57" s="16" t="n"/>
      <c r="J57" s="16" t="n"/>
      <c r="K57" s="16" t="n"/>
      <c r="L57" s="16" t="n"/>
      <c r="M57" s="19">
        <f>IF(B57="","",IF(AND(D57="Yes",G57="Yes",I57="Yes",K57="Complete",L57="Yes"),"Compliant",IF(OR(D57="No",G57="No",I57="Insufficient",K57="Missing"),"Non-Compliant","Partial")))</f>
        <v/>
      </c>
      <c r="N57" s="16" t="n"/>
      <c r="O57" s="16" t="n"/>
    </row>
    <row r="58">
      <c r="A58" s="19">
        <f>IF(ROW()-5&lt;=COUNTA('Policy Inventory'!$A:$A)-4,INDEX('Policy Inventory'!$A:$A,ROW()-1),"")</f>
        <v/>
      </c>
      <c r="B58" s="19">
        <f>IF(A58&lt;&gt;"",VLOOKUP(A58,'Policy Inventory'!$A:$B,2,FALSE),"")</f>
        <v/>
      </c>
      <c r="C58" s="19">
        <f>IF(A58&lt;&gt;"",VLOOKUP(A58,'Policy Inventory'!$A:$C,3,FALSE),"")</f>
        <v/>
      </c>
      <c r="D58" s="19">
        <f>IF(A58="","",IF(VLOOKUP(A58,'Policy Inventory'!$A:$E,5,FALSE)&lt;&gt;"","Yes","No"))</f>
        <v/>
      </c>
      <c r="E58" s="19">
        <f>IF(A58&lt;&gt;"",VLOOKUP(A58,'Policy Inventory'!$A:$E,5,FALSE),"")</f>
        <v/>
      </c>
      <c r="F58" s="16" t="n"/>
      <c r="G58" s="19">
        <f>IF(A58="","",IF(VLOOKUP(A58,'Policy Inventory'!$A:$F,6,FALSE)&lt;&gt;"","Yes","No"))</f>
        <v/>
      </c>
      <c r="H58" s="19">
        <f>IF(A58&lt;&gt;"",VLOOKUP(A58,'Policy Inventory'!$A:$F,6,FALSE),"")</f>
        <v/>
      </c>
      <c r="I58" s="16" t="n"/>
      <c r="J58" s="16" t="n"/>
      <c r="K58" s="16" t="n"/>
      <c r="L58" s="16" t="n"/>
      <c r="M58" s="19">
        <f>IF(B58="","",IF(AND(D58="Yes",G58="Yes",I58="Yes",K58="Complete",L58="Yes"),"Compliant",IF(OR(D58="No",G58="No",I58="Insufficient",K58="Missing"),"Non-Compliant","Partial")))</f>
        <v/>
      </c>
      <c r="N58" s="16" t="n"/>
      <c r="O58" s="16" t="n"/>
    </row>
    <row r="59">
      <c r="A59" s="19">
        <f>IF(ROW()-5&lt;=COUNTA('Policy Inventory'!$A:$A)-4,INDEX('Policy Inventory'!$A:$A,ROW()-1),"")</f>
        <v/>
      </c>
      <c r="B59" s="19">
        <f>IF(A59&lt;&gt;"",VLOOKUP(A59,'Policy Inventory'!$A:$B,2,FALSE),"")</f>
        <v/>
      </c>
      <c r="C59" s="19">
        <f>IF(A59&lt;&gt;"",VLOOKUP(A59,'Policy Inventory'!$A:$C,3,FALSE),"")</f>
        <v/>
      </c>
      <c r="D59" s="19">
        <f>IF(A59="","",IF(VLOOKUP(A59,'Policy Inventory'!$A:$E,5,FALSE)&lt;&gt;"","Yes","No"))</f>
        <v/>
      </c>
      <c r="E59" s="19">
        <f>IF(A59&lt;&gt;"",VLOOKUP(A59,'Policy Inventory'!$A:$E,5,FALSE),"")</f>
        <v/>
      </c>
      <c r="F59" s="16" t="n"/>
      <c r="G59" s="19">
        <f>IF(A59="","",IF(VLOOKUP(A59,'Policy Inventory'!$A:$F,6,FALSE)&lt;&gt;"","Yes","No"))</f>
        <v/>
      </c>
      <c r="H59" s="19">
        <f>IF(A59&lt;&gt;"",VLOOKUP(A59,'Policy Inventory'!$A:$F,6,FALSE),"")</f>
        <v/>
      </c>
      <c r="I59" s="16" t="n"/>
      <c r="J59" s="16" t="n"/>
      <c r="K59" s="16" t="n"/>
      <c r="L59" s="16" t="n"/>
      <c r="M59" s="19">
        <f>IF(B59="","",IF(AND(D59="Yes",G59="Yes",I59="Yes",K59="Complete",L59="Yes"),"Compliant",IF(OR(D59="No",G59="No",I59="Insufficient",K59="Missing"),"Non-Compliant","Partial")))</f>
        <v/>
      </c>
      <c r="N59" s="16" t="n"/>
      <c r="O59" s="16" t="n"/>
    </row>
    <row r="60">
      <c r="A60" s="19">
        <f>IF(ROW()-5&lt;=COUNTA('Policy Inventory'!$A:$A)-4,INDEX('Policy Inventory'!$A:$A,ROW()-1),"")</f>
        <v/>
      </c>
      <c r="B60" s="19">
        <f>IF(A60&lt;&gt;"",VLOOKUP(A60,'Policy Inventory'!$A:$B,2,FALSE),"")</f>
        <v/>
      </c>
      <c r="C60" s="19">
        <f>IF(A60&lt;&gt;"",VLOOKUP(A60,'Policy Inventory'!$A:$C,3,FALSE),"")</f>
        <v/>
      </c>
      <c r="D60" s="19">
        <f>IF(A60="","",IF(VLOOKUP(A60,'Policy Inventory'!$A:$E,5,FALSE)&lt;&gt;"","Yes","No"))</f>
        <v/>
      </c>
      <c r="E60" s="19">
        <f>IF(A60&lt;&gt;"",VLOOKUP(A60,'Policy Inventory'!$A:$E,5,FALSE),"")</f>
        <v/>
      </c>
      <c r="F60" s="16" t="n"/>
      <c r="G60" s="19">
        <f>IF(A60="","",IF(VLOOKUP(A60,'Policy Inventory'!$A:$F,6,FALSE)&lt;&gt;"","Yes","No"))</f>
        <v/>
      </c>
      <c r="H60" s="19">
        <f>IF(A60&lt;&gt;"",VLOOKUP(A60,'Policy Inventory'!$A:$F,6,FALSE),"")</f>
        <v/>
      </c>
      <c r="I60" s="16" t="n"/>
      <c r="J60" s="16" t="n"/>
      <c r="K60" s="16" t="n"/>
      <c r="L60" s="16" t="n"/>
      <c r="M60" s="19">
        <f>IF(B60="","",IF(AND(D60="Yes",G60="Yes",I60="Yes",K60="Complete",L60="Yes"),"Compliant",IF(OR(D60="No",G60="No",I60="Insufficient",K60="Missing"),"Non-Compliant","Partial")))</f>
        <v/>
      </c>
      <c r="N60" s="16" t="n"/>
      <c r="O60" s="16" t="n"/>
    </row>
    <row r="61">
      <c r="A61" s="19">
        <f>IF(ROW()-5&lt;=COUNTA('Policy Inventory'!$A:$A)-4,INDEX('Policy Inventory'!$A:$A,ROW()-1),"")</f>
        <v/>
      </c>
      <c r="B61" s="19">
        <f>IF(A61&lt;&gt;"",VLOOKUP(A61,'Policy Inventory'!$A:$B,2,FALSE),"")</f>
        <v/>
      </c>
      <c r="C61" s="19">
        <f>IF(A61&lt;&gt;"",VLOOKUP(A61,'Policy Inventory'!$A:$C,3,FALSE),"")</f>
        <v/>
      </c>
      <c r="D61" s="19">
        <f>IF(A61="","",IF(VLOOKUP(A61,'Policy Inventory'!$A:$E,5,FALSE)&lt;&gt;"","Yes","No"))</f>
        <v/>
      </c>
      <c r="E61" s="19">
        <f>IF(A61&lt;&gt;"",VLOOKUP(A61,'Policy Inventory'!$A:$E,5,FALSE),"")</f>
        <v/>
      </c>
      <c r="F61" s="16" t="n"/>
      <c r="G61" s="19">
        <f>IF(A61="","",IF(VLOOKUP(A61,'Policy Inventory'!$A:$F,6,FALSE)&lt;&gt;"","Yes","No"))</f>
        <v/>
      </c>
      <c r="H61" s="19">
        <f>IF(A61&lt;&gt;"",VLOOKUP(A61,'Policy Inventory'!$A:$F,6,FALSE),"")</f>
        <v/>
      </c>
      <c r="I61" s="16" t="n"/>
      <c r="J61" s="16" t="n"/>
      <c r="K61" s="16" t="n"/>
      <c r="L61" s="16" t="n"/>
      <c r="M61" s="19">
        <f>IF(B61="","",IF(AND(D61="Yes",G61="Yes",I61="Yes",K61="Complete",L61="Yes"),"Compliant",IF(OR(D61="No",G61="No",I61="Insufficient",K61="Missing"),"Non-Compliant","Partial")))</f>
        <v/>
      </c>
      <c r="N61" s="16" t="n"/>
      <c r="O61" s="16" t="n"/>
    </row>
    <row r="62">
      <c r="A62" s="19">
        <f>IF(ROW()-5&lt;=COUNTA('Policy Inventory'!$A:$A)-4,INDEX('Policy Inventory'!$A:$A,ROW()-1),"")</f>
        <v/>
      </c>
      <c r="B62" s="19">
        <f>IF(A62&lt;&gt;"",VLOOKUP(A62,'Policy Inventory'!$A:$B,2,FALSE),"")</f>
        <v/>
      </c>
      <c r="C62" s="19">
        <f>IF(A62&lt;&gt;"",VLOOKUP(A62,'Policy Inventory'!$A:$C,3,FALSE),"")</f>
        <v/>
      </c>
      <c r="D62" s="19">
        <f>IF(A62="","",IF(VLOOKUP(A62,'Policy Inventory'!$A:$E,5,FALSE)&lt;&gt;"","Yes","No"))</f>
        <v/>
      </c>
      <c r="E62" s="19">
        <f>IF(A62&lt;&gt;"",VLOOKUP(A62,'Policy Inventory'!$A:$E,5,FALSE),"")</f>
        <v/>
      </c>
      <c r="F62" s="16" t="n"/>
      <c r="G62" s="19">
        <f>IF(A62="","",IF(VLOOKUP(A62,'Policy Inventory'!$A:$F,6,FALSE)&lt;&gt;"","Yes","No"))</f>
        <v/>
      </c>
      <c r="H62" s="19">
        <f>IF(A62&lt;&gt;"",VLOOKUP(A62,'Policy Inventory'!$A:$F,6,FALSE),"")</f>
        <v/>
      </c>
      <c r="I62" s="16" t="n"/>
      <c r="J62" s="16" t="n"/>
      <c r="K62" s="16" t="n"/>
      <c r="L62" s="16" t="n"/>
      <c r="M62" s="19">
        <f>IF(B62="","",IF(AND(D62="Yes",G62="Yes",I62="Yes",K62="Complete",L62="Yes"),"Compliant",IF(OR(D62="No",G62="No",I62="Insufficient",K62="Missing"),"Non-Compliant","Partial")))</f>
        <v/>
      </c>
      <c r="N62" s="16" t="n"/>
      <c r="O62" s="16" t="n"/>
    </row>
    <row r="63">
      <c r="A63" s="19">
        <f>IF(ROW()-5&lt;=COUNTA('Policy Inventory'!$A:$A)-4,INDEX('Policy Inventory'!$A:$A,ROW()-1),"")</f>
        <v/>
      </c>
      <c r="B63" s="19">
        <f>IF(A63&lt;&gt;"",VLOOKUP(A63,'Policy Inventory'!$A:$B,2,FALSE),"")</f>
        <v/>
      </c>
      <c r="C63" s="19">
        <f>IF(A63&lt;&gt;"",VLOOKUP(A63,'Policy Inventory'!$A:$C,3,FALSE),"")</f>
        <v/>
      </c>
      <c r="D63" s="19">
        <f>IF(A63="","",IF(VLOOKUP(A63,'Policy Inventory'!$A:$E,5,FALSE)&lt;&gt;"","Yes","No"))</f>
        <v/>
      </c>
      <c r="E63" s="19">
        <f>IF(A63&lt;&gt;"",VLOOKUP(A63,'Policy Inventory'!$A:$E,5,FALSE),"")</f>
        <v/>
      </c>
      <c r="F63" s="16" t="n"/>
      <c r="G63" s="19">
        <f>IF(A63="","",IF(VLOOKUP(A63,'Policy Inventory'!$A:$F,6,FALSE)&lt;&gt;"","Yes","No"))</f>
        <v/>
      </c>
      <c r="H63" s="19">
        <f>IF(A63&lt;&gt;"",VLOOKUP(A63,'Policy Inventory'!$A:$F,6,FALSE),"")</f>
        <v/>
      </c>
      <c r="I63" s="16" t="n"/>
      <c r="J63" s="16" t="n"/>
      <c r="K63" s="16" t="n"/>
      <c r="L63" s="16" t="n"/>
      <c r="M63" s="19">
        <f>IF(B63="","",IF(AND(D63="Yes",G63="Yes",I63="Yes",K63="Complete",L63="Yes"),"Compliant",IF(OR(D63="No",G63="No",I63="Insufficient",K63="Missing"),"Non-Compliant","Partial")))</f>
        <v/>
      </c>
      <c r="N63" s="16" t="n"/>
      <c r="O63" s="16" t="n"/>
    </row>
    <row r="64">
      <c r="A64" s="19">
        <f>IF(ROW()-5&lt;=COUNTA('Policy Inventory'!$A:$A)-4,INDEX('Policy Inventory'!$A:$A,ROW()-1),"")</f>
        <v/>
      </c>
      <c r="B64" s="19">
        <f>IF(A64&lt;&gt;"",VLOOKUP(A64,'Policy Inventory'!$A:$B,2,FALSE),"")</f>
        <v/>
      </c>
      <c r="C64" s="19">
        <f>IF(A64&lt;&gt;"",VLOOKUP(A64,'Policy Inventory'!$A:$C,3,FALSE),"")</f>
        <v/>
      </c>
      <c r="D64" s="19">
        <f>IF(A64="","",IF(VLOOKUP(A64,'Policy Inventory'!$A:$E,5,FALSE)&lt;&gt;"","Yes","No"))</f>
        <v/>
      </c>
      <c r="E64" s="19">
        <f>IF(A64&lt;&gt;"",VLOOKUP(A64,'Policy Inventory'!$A:$E,5,FALSE),"")</f>
        <v/>
      </c>
      <c r="F64" s="16" t="n"/>
      <c r="G64" s="19">
        <f>IF(A64="","",IF(VLOOKUP(A64,'Policy Inventory'!$A:$F,6,FALSE)&lt;&gt;"","Yes","No"))</f>
        <v/>
      </c>
      <c r="H64" s="19">
        <f>IF(A64&lt;&gt;"",VLOOKUP(A64,'Policy Inventory'!$A:$F,6,FALSE),"")</f>
        <v/>
      </c>
      <c r="I64" s="16" t="n"/>
      <c r="J64" s="16" t="n"/>
      <c r="K64" s="16" t="n"/>
      <c r="L64" s="16" t="n"/>
      <c r="M64" s="19">
        <f>IF(B64="","",IF(AND(D64="Yes",G64="Yes",I64="Yes",K64="Complete",L64="Yes"),"Compliant",IF(OR(D64="No",G64="No",I64="Insufficient",K64="Missing"),"Non-Compliant","Partial")))</f>
        <v/>
      </c>
      <c r="N64" s="16" t="n"/>
      <c r="O64" s="16" t="n"/>
    </row>
    <row r="65">
      <c r="A65" s="19">
        <f>IF(ROW()-5&lt;=COUNTA('Policy Inventory'!$A:$A)-4,INDEX('Policy Inventory'!$A:$A,ROW()-1),"")</f>
        <v/>
      </c>
      <c r="B65" s="19">
        <f>IF(A65&lt;&gt;"",VLOOKUP(A65,'Policy Inventory'!$A:$B,2,FALSE),"")</f>
        <v/>
      </c>
      <c r="C65" s="19">
        <f>IF(A65&lt;&gt;"",VLOOKUP(A65,'Policy Inventory'!$A:$C,3,FALSE),"")</f>
        <v/>
      </c>
      <c r="D65" s="19">
        <f>IF(A65="","",IF(VLOOKUP(A65,'Policy Inventory'!$A:$E,5,FALSE)&lt;&gt;"","Yes","No"))</f>
        <v/>
      </c>
      <c r="E65" s="19">
        <f>IF(A65&lt;&gt;"",VLOOKUP(A65,'Policy Inventory'!$A:$E,5,FALSE),"")</f>
        <v/>
      </c>
      <c r="F65" s="16" t="n"/>
      <c r="G65" s="19">
        <f>IF(A65="","",IF(VLOOKUP(A65,'Policy Inventory'!$A:$F,6,FALSE)&lt;&gt;"","Yes","No"))</f>
        <v/>
      </c>
      <c r="H65" s="19">
        <f>IF(A65&lt;&gt;"",VLOOKUP(A65,'Policy Inventory'!$A:$F,6,FALSE),"")</f>
        <v/>
      </c>
      <c r="I65" s="16" t="n"/>
      <c r="J65" s="16" t="n"/>
      <c r="K65" s="16" t="n"/>
      <c r="L65" s="16" t="n"/>
      <c r="M65" s="19">
        <f>IF(B65="","",IF(AND(D65="Yes",G65="Yes",I65="Yes",K65="Complete",L65="Yes"),"Compliant",IF(OR(D65="No",G65="No",I65="Insufficient",K65="Missing"),"Non-Compliant","Partial")))</f>
        <v/>
      </c>
      <c r="N65" s="16" t="n"/>
      <c r="O65" s="16" t="n"/>
    </row>
    <row r="66">
      <c r="A66" s="19">
        <f>IF(ROW()-5&lt;=COUNTA('Policy Inventory'!$A:$A)-4,INDEX('Policy Inventory'!$A:$A,ROW()-1),"")</f>
        <v/>
      </c>
      <c r="B66" s="19">
        <f>IF(A66&lt;&gt;"",VLOOKUP(A66,'Policy Inventory'!$A:$B,2,FALSE),"")</f>
        <v/>
      </c>
      <c r="C66" s="19">
        <f>IF(A66&lt;&gt;"",VLOOKUP(A66,'Policy Inventory'!$A:$C,3,FALSE),"")</f>
        <v/>
      </c>
      <c r="D66" s="19">
        <f>IF(A66="","",IF(VLOOKUP(A66,'Policy Inventory'!$A:$E,5,FALSE)&lt;&gt;"","Yes","No"))</f>
        <v/>
      </c>
      <c r="E66" s="19">
        <f>IF(A66&lt;&gt;"",VLOOKUP(A66,'Policy Inventory'!$A:$E,5,FALSE),"")</f>
        <v/>
      </c>
      <c r="F66" s="16" t="n"/>
      <c r="G66" s="19">
        <f>IF(A66="","",IF(VLOOKUP(A66,'Policy Inventory'!$A:$F,6,FALSE)&lt;&gt;"","Yes","No"))</f>
        <v/>
      </c>
      <c r="H66" s="19">
        <f>IF(A66&lt;&gt;"",VLOOKUP(A66,'Policy Inventory'!$A:$F,6,FALSE),"")</f>
        <v/>
      </c>
      <c r="I66" s="16" t="n"/>
      <c r="J66" s="16" t="n"/>
      <c r="K66" s="16" t="n"/>
      <c r="L66" s="16" t="n"/>
      <c r="M66" s="19">
        <f>IF(B66="","",IF(AND(D66="Yes",G66="Yes",I66="Yes",K66="Complete",L66="Yes"),"Compliant",IF(OR(D66="No",G66="No",I66="Insufficient",K66="Missing"),"Non-Compliant","Partial")))</f>
        <v/>
      </c>
      <c r="N66" s="16" t="n"/>
      <c r="O66" s="16" t="n"/>
    </row>
    <row r="67">
      <c r="A67" s="19">
        <f>IF(ROW()-5&lt;=COUNTA('Policy Inventory'!$A:$A)-4,INDEX('Policy Inventory'!$A:$A,ROW()-1),"")</f>
        <v/>
      </c>
      <c r="B67" s="19">
        <f>IF(A67&lt;&gt;"",VLOOKUP(A67,'Policy Inventory'!$A:$B,2,FALSE),"")</f>
        <v/>
      </c>
      <c r="C67" s="19">
        <f>IF(A67&lt;&gt;"",VLOOKUP(A67,'Policy Inventory'!$A:$C,3,FALSE),"")</f>
        <v/>
      </c>
      <c r="D67" s="19">
        <f>IF(A67="","",IF(VLOOKUP(A67,'Policy Inventory'!$A:$E,5,FALSE)&lt;&gt;"","Yes","No"))</f>
        <v/>
      </c>
      <c r="E67" s="19">
        <f>IF(A67&lt;&gt;"",VLOOKUP(A67,'Policy Inventory'!$A:$E,5,FALSE),"")</f>
        <v/>
      </c>
      <c r="F67" s="16" t="n"/>
      <c r="G67" s="19">
        <f>IF(A67="","",IF(VLOOKUP(A67,'Policy Inventory'!$A:$F,6,FALSE)&lt;&gt;"","Yes","No"))</f>
        <v/>
      </c>
      <c r="H67" s="19">
        <f>IF(A67&lt;&gt;"",VLOOKUP(A67,'Policy Inventory'!$A:$F,6,FALSE),"")</f>
        <v/>
      </c>
      <c r="I67" s="16" t="n"/>
      <c r="J67" s="16" t="n"/>
      <c r="K67" s="16" t="n"/>
      <c r="L67" s="16" t="n"/>
      <c r="M67" s="19">
        <f>IF(B67="","",IF(AND(D67="Yes",G67="Yes",I67="Yes",K67="Complete",L67="Yes"),"Compliant",IF(OR(D67="No",G67="No",I67="Insufficient",K67="Missing"),"Non-Compliant","Partial")))</f>
        <v/>
      </c>
      <c r="N67" s="16" t="n"/>
      <c r="O67" s="16" t="n"/>
    </row>
    <row r="68">
      <c r="A68" s="19">
        <f>IF(ROW()-5&lt;=COUNTA('Policy Inventory'!$A:$A)-4,INDEX('Policy Inventory'!$A:$A,ROW()-1),"")</f>
        <v/>
      </c>
      <c r="B68" s="19">
        <f>IF(A68&lt;&gt;"",VLOOKUP(A68,'Policy Inventory'!$A:$B,2,FALSE),"")</f>
        <v/>
      </c>
      <c r="C68" s="19">
        <f>IF(A68&lt;&gt;"",VLOOKUP(A68,'Policy Inventory'!$A:$C,3,FALSE),"")</f>
        <v/>
      </c>
      <c r="D68" s="19">
        <f>IF(A68="","",IF(VLOOKUP(A68,'Policy Inventory'!$A:$E,5,FALSE)&lt;&gt;"","Yes","No"))</f>
        <v/>
      </c>
      <c r="E68" s="19">
        <f>IF(A68&lt;&gt;"",VLOOKUP(A68,'Policy Inventory'!$A:$E,5,FALSE),"")</f>
        <v/>
      </c>
      <c r="F68" s="16" t="n"/>
      <c r="G68" s="19">
        <f>IF(A68="","",IF(VLOOKUP(A68,'Policy Inventory'!$A:$F,6,FALSE)&lt;&gt;"","Yes","No"))</f>
        <v/>
      </c>
      <c r="H68" s="19">
        <f>IF(A68&lt;&gt;"",VLOOKUP(A68,'Policy Inventory'!$A:$F,6,FALSE),"")</f>
        <v/>
      </c>
      <c r="I68" s="16" t="n"/>
      <c r="J68" s="16" t="n"/>
      <c r="K68" s="16" t="n"/>
      <c r="L68" s="16" t="n"/>
      <c r="M68" s="19">
        <f>IF(B68="","",IF(AND(D68="Yes",G68="Yes",I68="Yes",K68="Complete",L68="Yes"),"Compliant",IF(OR(D68="No",G68="No",I68="Insufficient",K68="Missing"),"Non-Compliant","Partial")))</f>
        <v/>
      </c>
      <c r="N68" s="16" t="n"/>
      <c r="O68" s="16" t="n"/>
    </row>
    <row r="69">
      <c r="A69" s="19">
        <f>IF(ROW()-5&lt;=COUNTA('Policy Inventory'!$A:$A)-4,INDEX('Policy Inventory'!$A:$A,ROW()-1),"")</f>
        <v/>
      </c>
      <c r="B69" s="19">
        <f>IF(A69&lt;&gt;"",VLOOKUP(A69,'Policy Inventory'!$A:$B,2,FALSE),"")</f>
        <v/>
      </c>
      <c r="C69" s="19">
        <f>IF(A69&lt;&gt;"",VLOOKUP(A69,'Policy Inventory'!$A:$C,3,FALSE),"")</f>
        <v/>
      </c>
      <c r="D69" s="19">
        <f>IF(A69="","",IF(VLOOKUP(A69,'Policy Inventory'!$A:$E,5,FALSE)&lt;&gt;"","Yes","No"))</f>
        <v/>
      </c>
      <c r="E69" s="19">
        <f>IF(A69&lt;&gt;"",VLOOKUP(A69,'Policy Inventory'!$A:$E,5,FALSE),"")</f>
        <v/>
      </c>
      <c r="F69" s="16" t="n"/>
      <c r="G69" s="19">
        <f>IF(A69="","",IF(VLOOKUP(A69,'Policy Inventory'!$A:$F,6,FALSE)&lt;&gt;"","Yes","No"))</f>
        <v/>
      </c>
      <c r="H69" s="19">
        <f>IF(A69&lt;&gt;"",VLOOKUP(A69,'Policy Inventory'!$A:$F,6,FALSE),"")</f>
        <v/>
      </c>
      <c r="I69" s="16" t="n"/>
      <c r="J69" s="16" t="n"/>
      <c r="K69" s="16" t="n"/>
      <c r="L69" s="16" t="n"/>
      <c r="M69" s="19">
        <f>IF(B69="","",IF(AND(D69="Yes",G69="Yes",I69="Yes",K69="Complete",L69="Yes"),"Compliant",IF(OR(D69="No",G69="No",I69="Insufficient",K69="Missing"),"Non-Compliant","Partial")))</f>
        <v/>
      </c>
      <c r="N69" s="16" t="n"/>
      <c r="O69" s="16" t="n"/>
    </row>
    <row r="70">
      <c r="A70" s="19">
        <f>IF(ROW()-5&lt;=COUNTA('Policy Inventory'!$A:$A)-4,INDEX('Policy Inventory'!$A:$A,ROW()-1),"")</f>
        <v/>
      </c>
      <c r="B70" s="19">
        <f>IF(A70&lt;&gt;"",VLOOKUP(A70,'Policy Inventory'!$A:$B,2,FALSE),"")</f>
        <v/>
      </c>
      <c r="C70" s="19">
        <f>IF(A70&lt;&gt;"",VLOOKUP(A70,'Policy Inventory'!$A:$C,3,FALSE),"")</f>
        <v/>
      </c>
      <c r="D70" s="19">
        <f>IF(A70="","",IF(VLOOKUP(A70,'Policy Inventory'!$A:$E,5,FALSE)&lt;&gt;"","Yes","No"))</f>
        <v/>
      </c>
      <c r="E70" s="19">
        <f>IF(A70&lt;&gt;"",VLOOKUP(A70,'Policy Inventory'!$A:$E,5,FALSE),"")</f>
        <v/>
      </c>
      <c r="F70" s="16" t="n"/>
      <c r="G70" s="19">
        <f>IF(A70="","",IF(VLOOKUP(A70,'Policy Inventory'!$A:$F,6,FALSE)&lt;&gt;"","Yes","No"))</f>
        <v/>
      </c>
      <c r="H70" s="19">
        <f>IF(A70&lt;&gt;"",VLOOKUP(A70,'Policy Inventory'!$A:$F,6,FALSE),"")</f>
        <v/>
      </c>
      <c r="I70" s="16" t="n"/>
      <c r="J70" s="16" t="n"/>
      <c r="K70" s="16" t="n"/>
      <c r="L70" s="16" t="n"/>
      <c r="M70" s="19">
        <f>IF(B70="","",IF(AND(D70="Yes",G70="Yes",I70="Yes",K70="Complete",L70="Yes"),"Compliant",IF(OR(D70="No",G70="No",I70="Insufficient",K70="Missing"),"Non-Compliant","Partial")))</f>
        <v/>
      </c>
      <c r="N70" s="16" t="n"/>
      <c r="O70" s="16" t="n"/>
    </row>
    <row r="71">
      <c r="A71" s="19">
        <f>IF(ROW()-5&lt;=COUNTA('Policy Inventory'!$A:$A)-4,INDEX('Policy Inventory'!$A:$A,ROW()-1),"")</f>
        <v/>
      </c>
      <c r="B71" s="19">
        <f>IF(A71&lt;&gt;"",VLOOKUP(A71,'Policy Inventory'!$A:$B,2,FALSE),"")</f>
        <v/>
      </c>
      <c r="C71" s="19">
        <f>IF(A71&lt;&gt;"",VLOOKUP(A71,'Policy Inventory'!$A:$C,3,FALSE),"")</f>
        <v/>
      </c>
      <c r="D71" s="19">
        <f>IF(A71="","",IF(VLOOKUP(A71,'Policy Inventory'!$A:$E,5,FALSE)&lt;&gt;"","Yes","No"))</f>
        <v/>
      </c>
      <c r="E71" s="19">
        <f>IF(A71&lt;&gt;"",VLOOKUP(A71,'Policy Inventory'!$A:$E,5,FALSE),"")</f>
        <v/>
      </c>
      <c r="F71" s="16" t="n"/>
      <c r="G71" s="19">
        <f>IF(A71="","",IF(VLOOKUP(A71,'Policy Inventory'!$A:$F,6,FALSE)&lt;&gt;"","Yes","No"))</f>
        <v/>
      </c>
      <c r="H71" s="19">
        <f>IF(A71&lt;&gt;"",VLOOKUP(A71,'Policy Inventory'!$A:$F,6,FALSE),"")</f>
        <v/>
      </c>
      <c r="I71" s="16" t="n"/>
      <c r="J71" s="16" t="n"/>
      <c r="K71" s="16" t="n"/>
      <c r="L71" s="16" t="n"/>
      <c r="M71" s="19">
        <f>IF(B71="","",IF(AND(D71="Yes",G71="Yes",I71="Yes",K71="Complete",L71="Yes"),"Compliant",IF(OR(D71="No",G71="No",I71="Insufficient",K71="Missing"),"Non-Compliant","Partial")))</f>
        <v/>
      </c>
      <c r="N71" s="16" t="n"/>
      <c r="O71" s="16" t="n"/>
    </row>
    <row r="72">
      <c r="A72" s="19">
        <f>IF(ROW()-5&lt;=COUNTA('Policy Inventory'!$A:$A)-4,INDEX('Policy Inventory'!$A:$A,ROW()-1),"")</f>
        <v/>
      </c>
      <c r="B72" s="19">
        <f>IF(A72&lt;&gt;"",VLOOKUP(A72,'Policy Inventory'!$A:$B,2,FALSE),"")</f>
        <v/>
      </c>
      <c r="C72" s="19">
        <f>IF(A72&lt;&gt;"",VLOOKUP(A72,'Policy Inventory'!$A:$C,3,FALSE),"")</f>
        <v/>
      </c>
      <c r="D72" s="19">
        <f>IF(A72="","",IF(VLOOKUP(A72,'Policy Inventory'!$A:$E,5,FALSE)&lt;&gt;"","Yes","No"))</f>
        <v/>
      </c>
      <c r="E72" s="19">
        <f>IF(A72&lt;&gt;"",VLOOKUP(A72,'Policy Inventory'!$A:$E,5,FALSE),"")</f>
        <v/>
      </c>
      <c r="F72" s="16" t="n"/>
      <c r="G72" s="19">
        <f>IF(A72="","",IF(VLOOKUP(A72,'Policy Inventory'!$A:$F,6,FALSE)&lt;&gt;"","Yes","No"))</f>
        <v/>
      </c>
      <c r="H72" s="19">
        <f>IF(A72&lt;&gt;"",VLOOKUP(A72,'Policy Inventory'!$A:$F,6,FALSE),"")</f>
        <v/>
      </c>
      <c r="I72" s="16" t="n"/>
      <c r="J72" s="16" t="n"/>
      <c r="K72" s="16" t="n"/>
      <c r="L72" s="16" t="n"/>
      <c r="M72" s="19">
        <f>IF(B72="","",IF(AND(D72="Yes",G72="Yes",I72="Yes",K72="Complete",L72="Yes"),"Compliant",IF(OR(D72="No",G72="No",I72="Insufficient",K72="Missing"),"Non-Compliant","Partial")))</f>
        <v/>
      </c>
      <c r="N72" s="16" t="n"/>
      <c r="O72" s="16" t="n"/>
    </row>
    <row r="73">
      <c r="A73" s="19">
        <f>IF(ROW()-5&lt;=COUNTA('Policy Inventory'!$A:$A)-4,INDEX('Policy Inventory'!$A:$A,ROW()-1),"")</f>
        <v/>
      </c>
      <c r="B73" s="19">
        <f>IF(A73&lt;&gt;"",VLOOKUP(A73,'Policy Inventory'!$A:$B,2,FALSE),"")</f>
        <v/>
      </c>
      <c r="C73" s="19">
        <f>IF(A73&lt;&gt;"",VLOOKUP(A73,'Policy Inventory'!$A:$C,3,FALSE),"")</f>
        <v/>
      </c>
      <c r="D73" s="19">
        <f>IF(A73="","",IF(VLOOKUP(A73,'Policy Inventory'!$A:$E,5,FALSE)&lt;&gt;"","Yes","No"))</f>
        <v/>
      </c>
      <c r="E73" s="19">
        <f>IF(A73&lt;&gt;"",VLOOKUP(A73,'Policy Inventory'!$A:$E,5,FALSE),"")</f>
        <v/>
      </c>
      <c r="F73" s="16" t="n"/>
      <c r="G73" s="19">
        <f>IF(A73="","",IF(VLOOKUP(A73,'Policy Inventory'!$A:$F,6,FALSE)&lt;&gt;"","Yes","No"))</f>
        <v/>
      </c>
      <c r="H73" s="19">
        <f>IF(A73&lt;&gt;"",VLOOKUP(A73,'Policy Inventory'!$A:$F,6,FALSE),"")</f>
        <v/>
      </c>
      <c r="I73" s="16" t="n"/>
      <c r="J73" s="16" t="n"/>
      <c r="K73" s="16" t="n"/>
      <c r="L73" s="16" t="n"/>
      <c r="M73" s="19">
        <f>IF(B73="","",IF(AND(D73="Yes",G73="Yes",I73="Yes",K73="Complete",L73="Yes"),"Compliant",IF(OR(D73="No",G73="No",I73="Insufficient",K73="Missing"),"Non-Compliant","Partial")))</f>
        <v/>
      </c>
      <c r="N73" s="16" t="n"/>
      <c r="O73" s="16" t="n"/>
    </row>
    <row r="74">
      <c r="A74" s="19">
        <f>IF(ROW()-5&lt;=COUNTA('Policy Inventory'!$A:$A)-4,INDEX('Policy Inventory'!$A:$A,ROW()-1),"")</f>
        <v/>
      </c>
      <c r="B74" s="19">
        <f>IF(A74&lt;&gt;"",VLOOKUP(A74,'Policy Inventory'!$A:$B,2,FALSE),"")</f>
        <v/>
      </c>
      <c r="C74" s="19">
        <f>IF(A74&lt;&gt;"",VLOOKUP(A74,'Policy Inventory'!$A:$C,3,FALSE),"")</f>
        <v/>
      </c>
      <c r="D74" s="19">
        <f>IF(A74="","",IF(VLOOKUP(A74,'Policy Inventory'!$A:$E,5,FALSE)&lt;&gt;"","Yes","No"))</f>
        <v/>
      </c>
      <c r="E74" s="19">
        <f>IF(A74&lt;&gt;"",VLOOKUP(A74,'Policy Inventory'!$A:$E,5,FALSE),"")</f>
        <v/>
      </c>
      <c r="F74" s="16" t="n"/>
      <c r="G74" s="19">
        <f>IF(A74="","",IF(VLOOKUP(A74,'Policy Inventory'!$A:$F,6,FALSE)&lt;&gt;"","Yes","No"))</f>
        <v/>
      </c>
      <c r="H74" s="19">
        <f>IF(A74&lt;&gt;"",VLOOKUP(A74,'Policy Inventory'!$A:$F,6,FALSE),"")</f>
        <v/>
      </c>
      <c r="I74" s="16" t="n"/>
      <c r="J74" s="16" t="n"/>
      <c r="K74" s="16" t="n"/>
      <c r="L74" s="16" t="n"/>
      <c r="M74" s="19">
        <f>IF(B74="","",IF(AND(D74="Yes",G74="Yes",I74="Yes",K74="Complete",L74="Yes"),"Compliant",IF(OR(D74="No",G74="No",I74="Insufficient",K74="Missing"),"Non-Compliant","Partial")))</f>
        <v/>
      </c>
      <c r="N74" s="16" t="n"/>
      <c r="O74" s="16" t="n"/>
    </row>
    <row r="75">
      <c r="A75" s="19">
        <f>IF(ROW()-5&lt;=COUNTA('Policy Inventory'!$A:$A)-4,INDEX('Policy Inventory'!$A:$A,ROW()-1),"")</f>
        <v/>
      </c>
      <c r="B75" s="19">
        <f>IF(A75&lt;&gt;"",VLOOKUP(A75,'Policy Inventory'!$A:$B,2,FALSE),"")</f>
        <v/>
      </c>
      <c r="C75" s="19">
        <f>IF(A75&lt;&gt;"",VLOOKUP(A75,'Policy Inventory'!$A:$C,3,FALSE),"")</f>
        <v/>
      </c>
      <c r="D75" s="19">
        <f>IF(A75="","",IF(VLOOKUP(A75,'Policy Inventory'!$A:$E,5,FALSE)&lt;&gt;"","Yes","No"))</f>
        <v/>
      </c>
      <c r="E75" s="19">
        <f>IF(A75&lt;&gt;"",VLOOKUP(A75,'Policy Inventory'!$A:$E,5,FALSE),"")</f>
        <v/>
      </c>
      <c r="F75" s="16" t="n"/>
      <c r="G75" s="19">
        <f>IF(A75="","",IF(VLOOKUP(A75,'Policy Inventory'!$A:$F,6,FALSE)&lt;&gt;"","Yes","No"))</f>
        <v/>
      </c>
      <c r="H75" s="19">
        <f>IF(A75&lt;&gt;"",VLOOKUP(A75,'Policy Inventory'!$A:$F,6,FALSE),"")</f>
        <v/>
      </c>
      <c r="I75" s="16" t="n"/>
      <c r="J75" s="16" t="n"/>
      <c r="K75" s="16" t="n"/>
      <c r="L75" s="16" t="n"/>
      <c r="M75" s="19">
        <f>IF(B75="","",IF(AND(D75="Yes",G75="Yes",I75="Yes",K75="Complete",L75="Yes"),"Compliant",IF(OR(D75="No",G75="No",I75="Insufficient",K75="Missing"),"Non-Compliant","Partial")))</f>
        <v/>
      </c>
      <c r="N75" s="16" t="n"/>
      <c r="O75" s="16" t="n"/>
    </row>
    <row r="76">
      <c r="A76" s="19">
        <f>IF(ROW()-5&lt;=COUNTA('Policy Inventory'!$A:$A)-4,INDEX('Policy Inventory'!$A:$A,ROW()-1),"")</f>
        <v/>
      </c>
      <c r="B76" s="19">
        <f>IF(A76&lt;&gt;"",VLOOKUP(A76,'Policy Inventory'!$A:$B,2,FALSE),"")</f>
        <v/>
      </c>
      <c r="C76" s="19">
        <f>IF(A76&lt;&gt;"",VLOOKUP(A76,'Policy Inventory'!$A:$C,3,FALSE),"")</f>
        <v/>
      </c>
      <c r="D76" s="19">
        <f>IF(A76="","",IF(VLOOKUP(A76,'Policy Inventory'!$A:$E,5,FALSE)&lt;&gt;"","Yes","No"))</f>
        <v/>
      </c>
      <c r="E76" s="19">
        <f>IF(A76&lt;&gt;"",VLOOKUP(A76,'Policy Inventory'!$A:$E,5,FALSE),"")</f>
        <v/>
      </c>
      <c r="F76" s="16" t="n"/>
      <c r="G76" s="19">
        <f>IF(A76="","",IF(VLOOKUP(A76,'Policy Inventory'!$A:$F,6,FALSE)&lt;&gt;"","Yes","No"))</f>
        <v/>
      </c>
      <c r="H76" s="19">
        <f>IF(A76&lt;&gt;"",VLOOKUP(A76,'Policy Inventory'!$A:$F,6,FALSE),"")</f>
        <v/>
      </c>
      <c r="I76" s="16" t="n"/>
      <c r="J76" s="16" t="n"/>
      <c r="K76" s="16" t="n"/>
      <c r="L76" s="16" t="n"/>
      <c r="M76" s="19">
        <f>IF(B76="","",IF(AND(D76="Yes",G76="Yes",I76="Yes",K76="Complete",L76="Yes"),"Compliant",IF(OR(D76="No",G76="No",I76="Insufficient",K76="Missing"),"Non-Compliant","Partial")))</f>
        <v/>
      </c>
      <c r="N76" s="16" t="n"/>
      <c r="O76" s="16" t="n"/>
    </row>
    <row r="77">
      <c r="A77" s="19">
        <f>IF(ROW()-5&lt;=COUNTA('Policy Inventory'!$A:$A)-4,INDEX('Policy Inventory'!$A:$A,ROW()-1),"")</f>
        <v/>
      </c>
      <c r="B77" s="19">
        <f>IF(A77&lt;&gt;"",VLOOKUP(A77,'Policy Inventory'!$A:$B,2,FALSE),"")</f>
        <v/>
      </c>
      <c r="C77" s="19">
        <f>IF(A77&lt;&gt;"",VLOOKUP(A77,'Policy Inventory'!$A:$C,3,FALSE),"")</f>
        <v/>
      </c>
      <c r="D77" s="19">
        <f>IF(A77="","",IF(VLOOKUP(A77,'Policy Inventory'!$A:$E,5,FALSE)&lt;&gt;"","Yes","No"))</f>
        <v/>
      </c>
      <c r="E77" s="19">
        <f>IF(A77&lt;&gt;"",VLOOKUP(A77,'Policy Inventory'!$A:$E,5,FALSE),"")</f>
        <v/>
      </c>
      <c r="F77" s="16" t="n"/>
      <c r="G77" s="19">
        <f>IF(A77="","",IF(VLOOKUP(A77,'Policy Inventory'!$A:$F,6,FALSE)&lt;&gt;"","Yes","No"))</f>
        <v/>
      </c>
      <c r="H77" s="19">
        <f>IF(A77&lt;&gt;"",VLOOKUP(A77,'Policy Inventory'!$A:$F,6,FALSE),"")</f>
        <v/>
      </c>
      <c r="I77" s="16" t="n"/>
      <c r="J77" s="16" t="n"/>
      <c r="K77" s="16" t="n"/>
      <c r="L77" s="16" t="n"/>
      <c r="M77" s="19">
        <f>IF(B77="","",IF(AND(D77="Yes",G77="Yes",I77="Yes",K77="Complete",L77="Yes"),"Compliant",IF(OR(D77="No",G77="No",I77="Insufficient",K77="Missing"),"Non-Compliant","Partial")))</f>
        <v/>
      </c>
      <c r="N77" s="16" t="n"/>
      <c r="O77" s="16" t="n"/>
    </row>
    <row r="78">
      <c r="A78" s="19">
        <f>IF(ROW()-5&lt;=COUNTA('Policy Inventory'!$A:$A)-4,INDEX('Policy Inventory'!$A:$A,ROW()-1),"")</f>
        <v/>
      </c>
      <c r="B78" s="19">
        <f>IF(A78&lt;&gt;"",VLOOKUP(A78,'Policy Inventory'!$A:$B,2,FALSE),"")</f>
        <v/>
      </c>
      <c r="C78" s="19">
        <f>IF(A78&lt;&gt;"",VLOOKUP(A78,'Policy Inventory'!$A:$C,3,FALSE),"")</f>
        <v/>
      </c>
      <c r="D78" s="19">
        <f>IF(A78="","",IF(VLOOKUP(A78,'Policy Inventory'!$A:$E,5,FALSE)&lt;&gt;"","Yes","No"))</f>
        <v/>
      </c>
      <c r="E78" s="19">
        <f>IF(A78&lt;&gt;"",VLOOKUP(A78,'Policy Inventory'!$A:$E,5,FALSE),"")</f>
        <v/>
      </c>
      <c r="F78" s="16" t="n"/>
      <c r="G78" s="19">
        <f>IF(A78="","",IF(VLOOKUP(A78,'Policy Inventory'!$A:$F,6,FALSE)&lt;&gt;"","Yes","No"))</f>
        <v/>
      </c>
      <c r="H78" s="19">
        <f>IF(A78&lt;&gt;"",VLOOKUP(A78,'Policy Inventory'!$A:$F,6,FALSE),"")</f>
        <v/>
      </c>
      <c r="I78" s="16" t="n"/>
      <c r="J78" s="16" t="n"/>
      <c r="K78" s="16" t="n"/>
      <c r="L78" s="16" t="n"/>
      <c r="M78" s="19">
        <f>IF(B78="","",IF(AND(D78="Yes",G78="Yes",I78="Yes",K78="Complete",L78="Yes"),"Compliant",IF(OR(D78="No",G78="No",I78="Insufficient",K78="Missing"),"Non-Compliant","Partial")))</f>
        <v/>
      </c>
      <c r="N78" s="16" t="n"/>
      <c r="O78" s="16" t="n"/>
    </row>
    <row r="79">
      <c r="A79" s="19">
        <f>IF(ROW()-5&lt;=COUNTA('Policy Inventory'!$A:$A)-4,INDEX('Policy Inventory'!$A:$A,ROW()-1),"")</f>
        <v/>
      </c>
      <c r="B79" s="19">
        <f>IF(A79&lt;&gt;"",VLOOKUP(A79,'Policy Inventory'!$A:$B,2,FALSE),"")</f>
        <v/>
      </c>
      <c r="C79" s="19">
        <f>IF(A79&lt;&gt;"",VLOOKUP(A79,'Policy Inventory'!$A:$C,3,FALSE),"")</f>
        <v/>
      </c>
      <c r="D79" s="19">
        <f>IF(A79="","",IF(VLOOKUP(A79,'Policy Inventory'!$A:$E,5,FALSE)&lt;&gt;"","Yes","No"))</f>
        <v/>
      </c>
      <c r="E79" s="19">
        <f>IF(A79&lt;&gt;"",VLOOKUP(A79,'Policy Inventory'!$A:$E,5,FALSE),"")</f>
        <v/>
      </c>
      <c r="F79" s="16" t="n"/>
      <c r="G79" s="19">
        <f>IF(A79="","",IF(VLOOKUP(A79,'Policy Inventory'!$A:$F,6,FALSE)&lt;&gt;"","Yes","No"))</f>
        <v/>
      </c>
      <c r="H79" s="19">
        <f>IF(A79&lt;&gt;"",VLOOKUP(A79,'Policy Inventory'!$A:$F,6,FALSE),"")</f>
        <v/>
      </c>
      <c r="I79" s="16" t="n"/>
      <c r="J79" s="16" t="n"/>
      <c r="K79" s="16" t="n"/>
      <c r="L79" s="16" t="n"/>
      <c r="M79" s="19">
        <f>IF(B79="","",IF(AND(D79="Yes",G79="Yes",I79="Yes",K79="Complete",L79="Yes"),"Compliant",IF(OR(D79="No",G79="No",I79="Insufficient",K79="Missing"),"Non-Compliant","Partial")))</f>
        <v/>
      </c>
      <c r="N79" s="16" t="n"/>
      <c r="O79" s="16" t="n"/>
    </row>
    <row r="80">
      <c r="A80" s="19">
        <f>IF(ROW()-5&lt;=COUNTA('Policy Inventory'!$A:$A)-4,INDEX('Policy Inventory'!$A:$A,ROW()-1),"")</f>
        <v/>
      </c>
      <c r="B80" s="19">
        <f>IF(A80&lt;&gt;"",VLOOKUP(A80,'Policy Inventory'!$A:$B,2,FALSE),"")</f>
        <v/>
      </c>
      <c r="C80" s="19">
        <f>IF(A80&lt;&gt;"",VLOOKUP(A80,'Policy Inventory'!$A:$C,3,FALSE),"")</f>
        <v/>
      </c>
      <c r="D80" s="19">
        <f>IF(A80="","",IF(VLOOKUP(A80,'Policy Inventory'!$A:$E,5,FALSE)&lt;&gt;"","Yes","No"))</f>
        <v/>
      </c>
      <c r="E80" s="19">
        <f>IF(A80&lt;&gt;"",VLOOKUP(A80,'Policy Inventory'!$A:$E,5,FALSE),"")</f>
        <v/>
      </c>
      <c r="F80" s="16" t="n"/>
      <c r="G80" s="19">
        <f>IF(A80="","",IF(VLOOKUP(A80,'Policy Inventory'!$A:$F,6,FALSE)&lt;&gt;"","Yes","No"))</f>
        <v/>
      </c>
      <c r="H80" s="19">
        <f>IF(A80&lt;&gt;"",VLOOKUP(A80,'Policy Inventory'!$A:$F,6,FALSE),"")</f>
        <v/>
      </c>
      <c r="I80" s="16" t="n"/>
      <c r="J80" s="16" t="n"/>
      <c r="K80" s="16" t="n"/>
      <c r="L80" s="16" t="n"/>
      <c r="M80" s="19">
        <f>IF(B80="","",IF(AND(D80="Yes",G80="Yes",I80="Yes",K80="Complete",L80="Yes"),"Compliant",IF(OR(D80="No",G80="No",I80="Insufficient",K80="Missing"),"Non-Compliant","Partial")))</f>
        <v/>
      </c>
      <c r="N80" s="16" t="n"/>
      <c r="O80" s="16" t="n"/>
    </row>
    <row r="81">
      <c r="A81" s="19">
        <f>IF(ROW()-5&lt;=COUNTA('Policy Inventory'!$A:$A)-4,INDEX('Policy Inventory'!$A:$A,ROW()-1),"")</f>
        <v/>
      </c>
      <c r="B81" s="19">
        <f>IF(A81&lt;&gt;"",VLOOKUP(A81,'Policy Inventory'!$A:$B,2,FALSE),"")</f>
        <v/>
      </c>
      <c r="C81" s="19">
        <f>IF(A81&lt;&gt;"",VLOOKUP(A81,'Policy Inventory'!$A:$C,3,FALSE),"")</f>
        <v/>
      </c>
      <c r="D81" s="19">
        <f>IF(A81="","",IF(VLOOKUP(A81,'Policy Inventory'!$A:$E,5,FALSE)&lt;&gt;"","Yes","No"))</f>
        <v/>
      </c>
      <c r="E81" s="19">
        <f>IF(A81&lt;&gt;"",VLOOKUP(A81,'Policy Inventory'!$A:$E,5,FALSE),"")</f>
        <v/>
      </c>
      <c r="F81" s="16" t="n"/>
      <c r="G81" s="19">
        <f>IF(A81="","",IF(VLOOKUP(A81,'Policy Inventory'!$A:$F,6,FALSE)&lt;&gt;"","Yes","No"))</f>
        <v/>
      </c>
      <c r="H81" s="19">
        <f>IF(A81&lt;&gt;"",VLOOKUP(A81,'Policy Inventory'!$A:$F,6,FALSE),"")</f>
        <v/>
      </c>
      <c r="I81" s="16" t="n"/>
      <c r="J81" s="16" t="n"/>
      <c r="K81" s="16" t="n"/>
      <c r="L81" s="16" t="n"/>
      <c r="M81" s="19">
        <f>IF(B81="","",IF(AND(D81="Yes",G81="Yes",I81="Yes",K81="Complete",L81="Yes"),"Compliant",IF(OR(D81="No",G81="No",I81="Insufficient",K81="Missing"),"Non-Compliant","Partial")))</f>
        <v/>
      </c>
      <c r="N81" s="16" t="n"/>
      <c r="O81" s="16" t="n"/>
    </row>
    <row r="82">
      <c r="A82" s="19">
        <f>IF(ROW()-5&lt;=COUNTA('Policy Inventory'!$A:$A)-4,INDEX('Policy Inventory'!$A:$A,ROW()-1),"")</f>
        <v/>
      </c>
      <c r="B82" s="19">
        <f>IF(A82&lt;&gt;"",VLOOKUP(A82,'Policy Inventory'!$A:$B,2,FALSE),"")</f>
        <v/>
      </c>
      <c r="C82" s="19">
        <f>IF(A82&lt;&gt;"",VLOOKUP(A82,'Policy Inventory'!$A:$C,3,FALSE),"")</f>
        <v/>
      </c>
      <c r="D82" s="19">
        <f>IF(A82="","",IF(VLOOKUP(A82,'Policy Inventory'!$A:$E,5,FALSE)&lt;&gt;"","Yes","No"))</f>
        <v/>
      </c>
      <c r="E82" s="19">
        <f>IF(A82&lt;&gt;"",VLOOKUP(A82,'Policy Inventory'!$A:$E,5,FALSE),"")</f>
        <v/>
      </c>
      <c r="F82" s="16" t="n"/>
      <c r="G82" s="19">
        <f>IF(A82="","",IF(VLOOKUP(A82,'Policy Inventory'!$A:$F,6,FALSE)&lt;&gt;"","Yes","No"))</f>
        <v/>
      </c>
      <c r="H82" s="19">
        <f>IF(A82&lt;&gt;"",VLOOKUP(A82,'Policy Inventory'!$A:$F,6,FALSE),"")</f>
        <v/>
      </c>
      <c r="I82" s="16" t="n"/>
      <c r="J82" s="16" t="n"/>
      <c r="K82" s="16" t="n"/>
      <c r="L82" s="16" t="n"/>
      <c r="M82" s="19">
        <f>IF(B82="","",IF(AND(D82="Yes",G82="Yes",I82="Yes",K82="Complete",L82="Yes"),"Compliant",IF(OR(D82="No",G82="No",I82="Insufficient",K82="Missing"),"Non-Compliant","Partial")))</f>
        <v/>
      </c>
      <c r="N82" s="16" t="n"/>
      <c r="O82" s="16" t="n"/>
    </row>
    <row r="83">
      <c r="A83" s="19">
        <f>IF(ROW()-5&lt;=COUNTA('Policy Inventory'!$A:$A)-4,INDEX('Policy Inventory'!$A:$A,ROW()-1),"")</f>
        <v/>
      </c>
      <c r="B83" s="19">
        <f>IF(A83&lt;&gt;"",VLOOKUP(A83,'Policy Inventory'!$A:$B,2,FALSE),"")</f>
        <v/>
      </c>
      <c r="C83" s="19">
        <f>IF(A83&lt;&gt;"",VLOOKUP(A83,'Policy Inventory'!$A:$C,3,FALSE),"")</f>
        <v/>
      </c>
      <c r="D83" s="19">
        <f>IF(A83="","",IF(VLOOKUP(A83,'Policy Inventory'!$A:$E,5,FALSE)&lt;&gt;"","Yes","No"))</f>
        <v/>
      </c>
      <c r="E83" s="19">
        <f>IF(A83&lt;&gt;"",VLOOKUP(A83,'Policy Inventory'!$A:$E,5,FALSE),"")</f>
        <v/>
      </c>
      <c r="F83" s="16" t="n"/>
      <c r="G83" s="19">
        <f>IF(A83="","",IF(VLOOKUP(A83,'Policy Inventory'!$A:$F,6,FALSE)&lt;&gt;"","Yes","No"))</f>
        <v/>
      </c>
      <c r="H83" s="19">
        <f>IF(A83&lt;&gt;"",VLOOKUP(A83,'Policy Inventory'!$A:$F,6,FALSE),"")</f>
        <v/>
      </c>
      <c r="I83" s="16" t="n"/>
      <c r="J83" s="16" t="n"/>
      <c r="K83" s="16" t="n"/>
      <c r="L83" s="16" t="n"/>
      <c r="M83" s="19">
        <f>IF(B83="","",IF(AND(D83="Yes",G83="Yes",I83="Yes",K83="Complete",L83="Yes"),"Compliant",IF(OR(D83="No",G83="No",I83="Insufficient",K83="Missing"),"Non-Compliant","Partial")))</f>
        <v/>
      </c>
      <c r="N83" s="16" t="n"/>
      <c r="O83" s="16" t="n"/>
    </row>
    <row r="84">
      <c r="A84" s="19">
        <f>IF(ROW()-5&lt;=COUNTA('Policy Inventory'!$A:$A)-4,INDEX('Policy Inventory'!$A:$A,ROW()-1),"")</f>
        <v/>
      </c>
      <c r="B84" s="19">
        <f>IF(A84&lt;&gt;"",VLOOKUP(A84,'Policy Inventory'!$A:$B,2,FALSE),"")</f>
        <v/>
      </c>
      <c r="C84" s="19">
        <f>IF(A84&lt;&gt;"",VLOOKUP(A84,'Policy Inventory'!$A:$C,3,FALSE),"")</f>
        <v/>
      </c>
      <c r="D84" s="19">
        <f>IF(A84="","",IF(VLOOKUP(A84,'Policy Inventory'!$A:$E,5,FALSE)&lt;&gt;"","Yes","No"))</f>
        <v/>
      </c>
      <c r="E84" s="19">
        <f>IF(A84&lt;&gt;"",VLOOKUP(A84,'Policy Inventory'!$A:$E,5,FALSE),"")</f>
        <v/>
      </c>
      <c r="F84" s="16" t="n"/>
      <c r="G84" s="19">
        <f>IF(A84="","",IF(VLOOKUP(A84,'Policy Inventory'!$A:$F,6,FALSE)&lt;&gt;"","Yes","No"))</f>
        <v/>
      </c>
      <c r="H84" s="19">
        <f>IF(A84&lt;&gt;"",VLOOKUP(A84,'Policy Inventory'!$A:$F,6,FALSE),"")</f>
        <v/>
      </c>
      <c r="I84" s="16" t="n"/>
      <c r="J84" s="16" t="n"/>
      <c r="K84" s="16" t="n"/>
      <c r="L84" s="16" t="n"/>
      <c r="M84" s="19">
        <f>IF(B84="","",IF(AND(D84="Yes",G84="Yes",I84="Yes",K84="Complete",L84="Yes"),"Compliant",IF(OR(D84="No",G84="No",I84="Insufficient",K84="Missing"),"Non-Compliant","Partial")))</f>
        <v/>
      </c>
      <c r="N84" s="16" t="n"/>
      <c r="O84" s="16" t="n"/>
    </row>
    <row r="85">
      <c r="A85" s="19">
        <f>IF(ROW()-5&lt;=COUNTA('Policy Inventory'!$A:$A)-4,INDEX('Policy Inventory'!$A:$A,ROW()-1),"")</f>
        <v/>
      </c>
      <c r="B85" s="19">
        <f>IF(A85&lt;&gt;"",VLOOKUP(A85,'Policy Inventory'!$A:$B,2,FALSE),"")</f>
        <v/>
      </c>
      <c r="C85" s="19">
        <f>IF(A85&lt;&gt;"",VLOOKUP(A85,'Policy Inventory'!$A:$C,3,FALSE),"")</f>
        <v/>
      </c>
      <c r="D85" s="19">
        <f>IF(A85="","",IF(VLOOKUP(A85,'Policy Inventory'!$A:$E,5,FALSE)&lt;&gt;"","Yes","No"))</f>
        <v/>
      </c>
      <c r="E85" s="19">
        <f>IF(A85&lt;&gt;"",VLOOKUP(A85,'Policy Inventory'!$A:$E,5,FALSE),"")</f>
        <v/>
      </c>
      <c r="F85" s="16" t="n"/>
      <c r="G85" s="19">
        <f>IF(A85="","",IF(VLOOKUP(A85,'Policy Inventory'!$A:$F,6,FALSE)&lt;&gt;"","Yes","No"))</f>
        <v/>
      </c>
      <c r="H85" s="19">
        <f>IF(A85&lt;&gt;"",VLOOKUP(A85,'Policy Inventory'!$A:$F,6,FALSE),"")</f>
        <v/>
      </c>
      <c r="I85" s="16" t="n"/>
      <c r="J85" s="16" t="n"/>
      <c r="K85" s="16" t="n"/>
      <c r="L85" s="16" t="n"/>
      <c r="M85" s="19">
        <f>IF(B85="","",IF(AND(D85="Yes",G85="Yes",I85="Yes",K85="Complete",L85="Yes"),"Compliant",IF(OR(D85="No",G85="No",I85="Insufficient",K85="Missing"),"Non-Compliant","Partial")))</f>
        <v/>
      </c>
      <c r="N85" s="16" t="n"/>
      <c r="O85" s="16" t="n"/>
    </row>
    <row r="86">
      <c r="A86" s="19">
        <f>IF(ROW()-5&lt;=COUNTA('Policy Inventory'!$A:$A)-4,INDEX('Policy Inventory'!$A:$A,ROW()-1),"")</f>
        <v/>
      </c>
      <c r="B86" s="19">
        <f>IF(A86&lt;&gt;"",VLOOKUP(A86,'Policy Inventory'!$A:$B,2,FALSE),"")</f>
        <v/>
      </c>
      <c r="C86" s="19">
        <f>IF(A86&lt;&gt;"",VLOOKUP(A86,'Policy Inventory'!$A:$C,3,FALSE),"")</f>
        <v/>
      </c>
      <c r="D86" s="19">
        <f>IF(A86="","",IF(VLOOKUP(A86,'Policy Inventory'!$A:$E,5,FALSE)&lt;&gt;"","Yes","No"))</f>
        <v/>
      </c>
      <c r="E86" s="19">
        <f>IF(A86&lt;&gt;"",VLOOKUP(A86,'Policy Inventory'!$A:$E,5,FALSE),"")</f>
        <v/>
      </c>
      <c r="F86" s="16" t="n"/>
      <c r="G86" s="19">
        <f>IF(A86="","",IF(VLOOKUP(A86,'Policy Inventory'!$A:$F,6,FALSE)&lt;&gt;"","Yes","No"))</f>
        <v/>
      </c>
      <c r="H86" s="19">
        <f>IF(A86&lt;&gt;"",VLOOKUP(A86,'Policy Inventory'!$A:$F,6,FALSE),"")</f>
        <v/>
      </c>
      <c r="I86" s="16" t="n"/>
      <c r="J86" s="16" t="n"/>
      <c r="K86" s="16" t="n"/>
      <c r="L86" s="16" t="n"/>
      <c r="M86" s="19">
        <f>IF(B86="","",IF(AND(D86="Yes",G86="Yes",I86="Yes",K86="Complete",L86="Yes"),"Compliant",IF(OR(D86="No",G86="No",I86="Insufficient",K86="Missing"),"Non-Compliant","Partial")))</f>
        <v/>
      </c>
      <c r="N86" s="16" t="n"/>
      <c r="O86" s="16" t="n"/>
    </row>
    <row r="87">
      <c r="A87" s="19">
        <f>IF(ROW()-5&lt;=COUNTA('Policy Inventory'!$A:$A)-4,INDEX('Policy Inventory'!$A:$A,ROW()-1),"")</f>
        <v/>
      </c>
      <c r="B87" s="19">
        <f>IF(A87&lt;&gt;"",VLOOKUP(A87,'Policy Inventory'!$A:$B,2,FALSE),"")</f>
        <v/>
      </c>
      <c r="C87" s="19">
        <f>IF(A87&lt;&gt;"",VLOOKUP(A87,'Policy Inventory'!$A:$C,3,FALSE),"")</f>
        <v/>
      </c>
      <c r="D87" s="19">
        <f>IF(A87="","",IF(VLOOKUP(A87,'Policy Inventory'!$A:$E,5,FALSE)&lt;&gt;"","Yes","No"))</f>
        <v/>
      </c>
      <c r="E87" s="19">
        <f>IF(A87&lt;&gt;"",VLOOKUP(A87,'Policy Inventory'!$A:$E,5,FALSE),"")</f>
        <v/>
      </c>
      <c r="F87" s="16" t="n"/>
      <c r="G87" s="19">
        <f>IF(A87="","",IF(VLOOKUP(A87,'Policy Inventory'!$A:$F,6,FALSE)&lt;&gt;"","Yes","No"))</f>
        <v/>
      </c>
      <c r="H87" s="19">
        <f>IF(A87&lt;&gt;"",VLOOKUP(A87,'Policy Inventory'!$A:$F,6,FALSE),"")</f>
        <v/>
      </c>
      <c r="I87" s="16" t="n"/>
      <c r="J87" s="16" t="n"/>
      <c r="K87" s="16" t="n"/>
      <c r="L87" s="16" t="n"/>
      <c r="M87" s="19">
        <f>IF(B87="","",IF(AND(D87="Yes",G87="Yes",I87="Yes",K87="Complete",L87="Yes"),"Compliant",IF(OR(D87="No",G87="No",I87="Insufficient",K87="Missing"),"Non-Compliant","Partial")))</f>
        <v/>
      </c>
      <c r="N87" s="16" t="n"/>
      <c r="O87" s="16" t="n"/>
    </row>
    <row r="88">
      <c r="A88" s="19">
        <f>IF(ROW()-5&lt;=COUNTA('Policy Inventory'!$A:$A)-4,INDEX('Policy Inventory'!$A:$A,ROW()-1),"")</f>
        <v/>
      </c>
      <c r="B88" s="19">
        <f>IF(A88&lt;&gt;"",VLOOKUP(A88,'Policy Inventory'!$A:$B,2,FALSE),"")</f>
        <v/>
      </c>
      <c r="C88" s="19">
        <f>IF(A88&lt;&gt;"",VLOOKUP(A88,'Policy Inventory'!$A:$C,3,FALSE),"")</f>
        <v/>
      </c>
      <c r="D88" s="19">
        <f>IF(A88="","",IF(VLOOKUP(A88,'Policy Inventory'!$A:$E,5,FALSE)&lt;&gt;"","Yes","No"))</f>
        <v/>
      </c>
      <c r="E88" s="19">
        <f>IF(A88&lt;&gt;"",VLOOKUP(A88,'Policy Inventory'!$A:$E,5,FALSE),"")</f>
        <v/>
      </c>
      <c r="F88" s="16" t="n"/>
      <c r="G88" s="19">
        <f>IF(A88="","",IF(VLOOKUP(A88,'Policy Inventory'!$A:$F,6,FALSE)&lt;&gt;"","Yes","No"))</f>
        <v/>
      </c>
      <c r="H88" s="19">
        <f>IF(A88&lt;&gt;"",VLOOKUP(A88,'Policy Inventory'!$A:$F,6,FALSE),"")</f>
        <v/>
      </c>
      <c r="I88" s="16" t="n"/>
      <c r="J88" s="16" t="n"/>
      <c r="K88" s="16" t="n"/>
      <c r="L88" s="16" t="n"/>
      <c r="M88" s="19">
        <f>IF(B88="","",IF(AND(D88="Yes",G88="Yes",I88="Yes",K88="Complete",L88="Yes"),"Compliant",IF(OR(D88="No",G88="No",I88="Insufficient",K88="Missing"),"Non-Compliant","Partial")))</f>
        <v/>
      </c>
      <c r="N88" s="16" t="n"/>
      <c r="O88" s="16" t="n"/>
    </row>
    <row r="89">
      <c r="A89" s="19">
        <f>IF(ROW()-5&lt;=COUNTA('Policy Inventory'!$A:$A)-4,INDEX('Policy Inventory'!$A:$A,ROW()-1),"")</f>
        <v/>
      </c>
      <c r="B89" s="19">
        <f>IF(A89&lt;&gt;"",VLOOKUP(A89,'Policy Inventory'!$A:$B,2,FALSE),"")</f>
        <v/>
      </c>
      <c r="C89" s="19">
        <f>IF(A89&lt;&gt;"",VLOOKUP(A89,'Policy Inventory'!$A:$C,3,FALSE),"")</f>
        <v/>
      </c>
      <c r="D89" s="19">
        <f>IF(A89="","",IF(VLOOKUP(A89,'Policy Inventory'!$A:$E,5,FALSE)&lt;&gt;"","Yes","No"))</f>
        <v/>
      </c>
      <c r="E89" s="19">
        <f>IF(A89&lt;&gt;"",VLOOKUP(A89,'Policy Inventory'!$A:$E,5,FALSE),"")</f>
        <v/>
      </c>
      <c r="F89" s="16" t="n"/>
      <c r="G89" s="19">
        <f>IF(A89="","",IF(VLOOKUP(A89,'Policy Inventory'!$A:$F,6,FALSE)&lt;&gt;"","Yes","No"))</f>
        <v/>
      </c>
      <c r="H89" s="19">
        <f>IF(A89&lt;&gt;"",VLOOKUP(A89,'Policy Inventory'!$A:$F,6,FALSE),"")</f>
        <v/>
      </c>
      <c r="I89" s="16" t="n"/>
      <c r="J89" s="16" t="n"/>
      <c r="K89" s="16" t="n"/>
      <c r="L89" s="16" t="n"/>
      <c r="M89" s="19">
        <f>IF(B89="","",IF(AND(D89="Yes",G89="Yes",I89="Yes",K89="Complete",L89="Yes"),"Compliant",IF(OR(D89="No",G89="No",I89="Insufficient",K89="Missing"),"Non-Compliant","Partial")))</f>
        <v/>
      </c>
      <c r="N89" s="16" t="n"/>
      <c r="O89" s="16" t="n"/>
    </row>
    <row r="90">
      <c r="A90" s="19">
        <f>IF(ROW()-5&lt;=COUNTA('Policy Inventory'!$A:$A)-4,INDEX('Policy Inventory'!$A:$A,ROW()-1),"")</f>
        <v/>
      </c>
      <c r="B90" s="19">
        <f>IF(A90&lt;&gt;"",VLOOKUP(A90,'Policy Inventory'!$A:$B,2,FALSE),"")</f>
        <v/>
      </c>
      <c r="C90" s="19">
        <f>IF(A90&lt;&gt;"",VLOOKUP(A90,'Policy Inventory'!$A:$C,3,FALSE),"")</f>
        <v/>
      </c>
      <c r="D90" s="19">
        <f>IF(A90="","",IF(VLOOKUP(A90,'Policy Inventory'!$A:$E,5,FALSE)&lt;&gt;"","Yes","No"))</f>
        <v/>
      </c>
      <c r="E90" s="19">
        <f>IF(A90&lt;&gt;"",VLOOKUP(A90,'Policy Inventory'!$A:$E,5,FALSE),"")</f>
        <v/>
      </c>
      <c r="F90" s="16" t="n"/>
      <c r="G90" s="19">
        <f>IF(A90="","",IF(VLOOKUP(A90,'Policy Inventory'!$A:$F,6,FALSE)&lt;&gt;"","Yes","No"))</f>
        <v/>
      </c>
      <c r="H90" s="19">
        <f>IF(A90&lt;&gt;"",VLOOKUP(A90,'Policy Inventory'!$A:$F,6,FALSE),"")</f>
        <v/>
      </c>
      <c r="I90" s="16" t="n"/>
      <c r="J90" s="16" t="n"/>
      <c r="K90" s="16" t="n"/>
      <c r="L90" s="16" t="n"/>
      <c r="M90" s="19">
        <f>IF(B90="","",IF(AND(D90="Yes",G90="Yes",I90="Yes",K90="Complete",L90="Yes"),"Compliant",IF(OR(D90="No",G90="No",I90="Insufficient",K90="Missing"),"Non-Compliant","Partial")))</f>
        <v/>
      </c>
      <c r="N90" s="16" t="n"/>
      <c r="O90" s="16" t="n"/>
    </row>
    <row r="91">
      <c r="A91" s="19">
        <f>IF(ROW()-5&lt;=COUNTA('Policy Inventory'!$A:$A)-4,INDEX('Policy Inventory'!$A:$A,ROW()-1),"")</f>
        <v/>
      </c>
      <c r="B91" s="19">
        <f>IF(A91&lt;&gt;"",VLOOKUP(A91,'Policy Inventory'!$A:$B,2,FALSE),"")</f>
        <v/>
      </c>
      <c r="C91" s="19">
        <f>IF(A91&lt;&gt;"",VLOOKUP(A91,'Policy Inventory'!$A:$C,3,FALSE),"")</f>
        <v/>
      </c>
      <c r="D91" s="19">
        <f>IF(A91="","",IF(VLOOKUP(A91,'Policy Inventory'!$A:$E,5,FALSE)&lt;&gt;"","Yes","No"))</f>
        <v/>
      </c>
      <c r="E91" s="19">
        <f>IF(A91&lt;&gt;"",VLOOKUP(A91,'Policy Inventory'!$A:$E,5,FALSE),"")</f>
        <v/>
      </c>
      <c r="F91" s="16" t="n"/>
      <c r="G91" s="19">
        <f>IF(A91="","",IF(VLOOKUP(A91,'Policy Inventory'!$A:$F,6,FALSE)&lt;&gt;"","Yes","No"))</f>
        <v/>
      </c>
      <c r="H91" s="19">
        <f>IF(A91&lt;&gt;"",VLOOKUP(A91,'Policy Inventory'!$A:$F,6,FALSE),"")</f>
        <v/>
      </c>
      <c r="I91" s="16" t="n"/>
      <c r="J91" s="16" t="n"/>
      <c r="K91" s="16" t="n"/>
      <c r="L91" s="16" t="n"/>
      <c r="M91" s="19">
        <f>IF(B91="","",IF(AND(D91="Yes",G91="Yes",I91="Yes",K91="Complete",L91="Yes"),"Compliant",IF(OR(D91="No",G91="No",I91="Insufficient",K91="Missing"),"Non-Compliant","Partial")))</f>
        <v/>
      </c>
      <c r="N91" s="16" t="n"/>
      <c r="O91" s="16" t="n"/>
    </row>
    <row r="92">
      <c r="A92" s="19">
        <f>IF(ROW()-5&lt;=COUNTA('Policy Inventory'!$A:$A)-4,INDEX('Policy Inventory'!$A:$A,ROW()-1),"")</f>
        <v/>
      </c>
      <c r="B92" s="19">
        <f>IF(A92&lt;&gt;"",VLOOKUP(A92,'Policy Inventory'!$A:$B,2,FALSE),"")</f>
        <v/>
      </c>
      <c r="C92" s="19">
        <f>IF(A92&lt;&gt;"",VLOOKUP(A92,'Policy Inventory'!$A:$C,3,FALSE),"")</f>
        <v/>
      </c>
      <c r="D92" s="19">
        <f>IF(A92="","",IF(VLOOKUP(A92,'Policy Inventory'!$A:$E,5,FALSE)&lt;&gt;"","Yes","No"))</f>
        <v/>
      </c>
      <c r="E92" s="19">
        <f>IF(A92&lt;&gt;"",VLOOKUP(A92,'Policy Inventory'!$A:$E,5,FALSE),"")</f>
        <v/>
      </c>
      <c r="F92" s="16" t="n"/>
      <c r="G92" s="19">
        <f>IF(A92="","",IF(VLOOKUP(A92,'Policy Inventory'!$A:$F,6,FALSE)&lt;&gt;"","Yes","No"))</f>
        <v/>
      </c>
      <c r="H92" s="19">
        <f>IF(A92&lt;&gt;"",VLOOKUP(A92,'Policy Inventory'!$A:$F,6,FALSE),"")</f>
        <v/>
      </c>
      <c r="I92" s="16" t="n"/>
      <c r="J92" s="16" t="n"/>
      <c r="K92" s="16" t="n"/>
      <c r="L92" s="16" t="n"/>
      <c r="M92" s="19">
        <f>IF(B92="","",IF(AND(D92="Yes",G92="Yes",I92="Yes",K92="Complete",L92="Yes"),"Compliant",IF(OR(D92="No",G92="No",I92="Insufficient",K92="Missing"),"Non-Compliant","Partial")))</f>
        <v/>
      </c>
      <c r="N92" s="16" t="n"/>
      <c r="O92" s="16" t="n"/>
    </row>
    <row r="93">
      <c r="A93" s="19">
        <f>IF(ROW()-5&lt;=COUNTA('Policy Inventory'!$A:$A)-4,INDEX('Policy Inventory'!$A:$A,ROW()-1),"")</f>
        <v/>
      </c>
      <c r="B93" s="19">
        <f>IF(A93&lt;&gt;"",VLOOKUP(A93,'Policy Inventory'!$A:$B,2,FALSE),"")</f>
        <v/>
      </c>
      <c r="C93" s="19">
        <f>IF(A93&lt;&gt;"",VLOOKUP(A93,'Policy Inventory'!$A:$C,3,FALSE),"")</f>
        <v/>
      </c>
      <c r="D93" s="19">
        <f>IF(A93="","",IF(VLOOKUP(A93,'Policy Inventory'!$A:$E,5,FALSE)&lt;&gt;"","Yes","No"))</f>
        <v/>
      </c>
      <c r="E93" s="19">
        <f>IF(A93&lt;&gt;"",VLOOKUP(A93,'Policy Inventory'!$A:$E,5,FALSE),"")</f>
        <v/>
      </c>
      <c r="F93" s="16" t="n"/>
      <c r="G93" s="19">
        <f>IF(A93="","",IF(VLOOKUP(A93,'Policy Inventory'!$A:$F,6,FALSE)&lt;&gt;"","Yes","No"))</f>
        <v/>
      </c>
      <c r="H93" s="19">
        <f>IF(A93&lt;&gt;"",VLOOKUP(A93,'Policy Inventory'!$A:$F,6,FALSE),"")</f>
        <v/>
      </c>
      <c r="I93" s="16" t="n"/>
      <c r="J93" s="16" t="n"/>
      <c r="K93" s="16" t="n"/>
      <c r="L93" s="16" t="n"/>
      <c r="M93" s="19">
        <f>IF(B93="","",IF(AND(D93="Yes",G93="Yes",I93="Yes",K93="Complete",L93="Yes"),"Compliant",IF(OR(D93="No",G93="No",I93="Insufficient",K93="Missing"),"Non-Compliant","Partial")))</f>
        <v/>
      </c>
      <c r="N93" s="16" t="n"/>
      <c r="O93" s="16" t="n"/>
    </row>
    <row r="94">
      <c r="A94" s="19">
        <f>IF(ROW()-5&lt;=COUNTA('Policy Inventory'!$A:$A)-4,INDEX('Policy Inventory'!$A:$A,ROW()-1),"")</f>
        <v/>
      </c>
      <c r="B94" s="19">
        <f>IF(A94&lt;&gt;"",VLOOKUP(A94,'Policy Inventory'!$A:$B,2,FALSE),"")</f>
        <v/>
      </c>
      <c r="C94" s="19">
        <f>IF(A94&lt;&gt;"",VLOOKUP(A94,'Policy Inventory'!$A:$C,3,FALSE),"")</f>
        <v/>
      </c>
      <c r="D94" s="19">
        <f>IF(A94="","",IF(VLOOKUP(A94,'Policy Inventory'!$A:$E,5,FALSE)&lt;&gt;"","Yes","No"))</f>
        <v/>
      </c>
      <c r="E94" s="19">
        <f>IF(A94&lt;&gt;"",VLOOKUP(A94,'Policy Inventory'!$A:$E,5,FALSE),"")</f>
        <v/>
      </c>
      <c r="F94" s="16" t="n"/>
      <c r="G94" s="19">
        <f>IF(A94="","",IF(VLOOKUP(A94,'Policy Inventory'!$A:$F,6,FALSE)&lt;&gt;"","Yes","No"))</f>
        <v/>
      </c>
      <c r="H94" s="19">
        <f>IF(A94&lt;&gt;"",VLOOKUP(A94,'Policy Inventory'!$A:$F,6,FALSE),"")</f>
        <v/>
      </c>
      <c r="I94" s="16" t="n"/>
      <c r="J94" s="16" t="n"/>
      <c r="K94" s="16" t="n"/>
      <c r="L94" s="16" t="n"/>
      <c r="M94" s="19">
        <f>IF(B94="","",IF(AND(D94="Yes",G94="Yes",I94="Yes",K94="Complete",L94="Yes"),"Compliant",IF(OR(D94="No",G94="No",I94="Insufficient",K94="Missing"),"Non-Compliant","Partial")))</f>
        <v/>
      </c>
      <c r="N94" s="16" t="n"/>
      <c r="O94" s="16" t="n"/>
    </row>
    <row r="95">
      <c r="A95" s="19">
        <f>IF(ROW()-5&lt;=COUNTA('Policy Inventory'!$A:$A)-4,INDEX('Policy Inventory'!$A:$A,ROW()-1),"")</f>
        <v/>
      </c>
      <c r="B95" s="19">
        <f>IF(A95&lt;&gt;"",VLOOKUP(A95,'Policy Inventory'!$A:$B,2,FALSE),"")</f>
        <v/>
      </c>
      <c r="C95" s="19">
        <f>IF(A95&lt;&gt;"",VLOOKUP(A95,'Policy Inventory'!$A:$C,3,FALSE),"")</f>
        <v/>
      </c>
      <c r="D95" s="19">
        <f>IF(A95="","",IF(VLOOKUP(A95,'Policy Inventory'!$A:$E,5,FALSE)&lt;&gt;"","Yes","No"))</f>
        <v/>
      </c>
      <c r="E95" s="19">
        <f>IF(A95&lt;&gt;"",VLOOKUP(A95,'Policy Inventory'!$A:$E,5,FALSE),"")</f>
        <v/>
      </c>
      <c r="F95" s="16" t="n"/>
      <c r="G95" s="19">
        <f>IF(A95="","",IF(VLOOKUP(A95,'Policy Inventory'!$A:$F,6,FALSE)&lt;&gt;"","Yes","No"))</f>
        <v/>
      </c>
      <c r="H95" s="19">
        <f>IF(A95&lt;&gt;"",VLOOKUP(A95,'Policy Inventory'!$A:$F,6,FALSE),"")</f>
        <v/>
      </c>
      <c r="I95" s="16" t="n"/>
      <c r="J95" s="16" t="n"/>
      <c r="K95" s="16" t="n"/>
      <c r="L95" s="16" t="n"/>
      <c r="M95" s="19">
        <f>IF(B95="","",IF(AND(D95="Yes",G95="Yes",I95="Yes",K95="Complete",L95="Yes"),"Compliant",IF(OR(D95="No",G95="No",I95="Insufficient",K95="Missing"),"Non-Compliant","Partial")))</f>
        <v/>
      </c>
      <c r="N95" s="16" t="n"/>
      <c r="O95" s="16" t="n"/>
    </row>
    <row r="96">
      <c r="A96" s="19">
        <f>IF(ROW()-5&lt;=COUNTA('Policy Inventory'!$A:$A)-4,INDEX('Policy Inventory'!$A:$A,ROW()-1),"")</f>
        <v/>
      </c>
      <c r="B96" s="19">
        <f>IF(A96&lt;&gt;"",VLOOKUP(A96,'Policy Inventory'!$A:$B,2,FALSE),"")</f>
        <v/>
      </c>
      <c r="C96" s="19">
        <f>IF(A96&lt;&gt;"",VLOOKUP(A96,'Policy Inventory'!$A:$C,3,FALSE),"")</f>
        <v/>
      </c>
      <c r="D96" s="19">
        <f>IF(A96="","",IF(VLOOKUP(A96,'Policy Inventory'!$A:$E,5,FALSE)&lt;&gt;"","Yes","No"))</f>
        <v/>
      </c>
      <c r="E96" s="19">
        <f>IF(A96&lt;&gt;"",VLOOKUP(A96,'Policy Inventory'!$A:$E,5,FALSE),"")</f>
        <v/>
      </c>
      <c r="F96" s="16" t="n"/>
      <c r="G96" s="19">
        <f>IF(A96="","",IF(VLOOKUP(A96,'Policy Inventory'!$A:$F,6,FALSE)&lt;&gt;"","Yes","No"))</f>
        <v/>
      </c>
      <c r="H96" s="19">
        <f>IF(A96&lt;&gt;"",VLOOKUP(A96,'Policy Inventory'!$A:$F,6,FALSE),"")</f>
        <v/>
      </c>
      <c r="I96" s="16" t="n"/>
      <c r="J96" s="16" t="n"/>
      <c r="K96" s="16" t="n"/>
      <c r="L96" s="16" t="n"/>
      <c r="M96" s="19">
        <f>IF(B96="","",IF(AND(D96="Yes",G96="Yes",I96="Yes",K96="Complete",L96="Yes"),"Compliant",IF(OR(D96="No",G96="No",I96="Insufficient",K96="Missing"),"Non-Compliant","Partial")))</f>
        <v/>
      </c>
      <c r="N96" s="16" t="n"/>
      <c r="O96" s="16" t="n"/>
    </row>
    <row r="97">
      <c r="A97" s="19">
        <f>IF(ROW()-5&lt;=COUNTA('Policy Inventory'!$A:$A)-4,INDEX('Policy Inventory'!$A:$A,ROW()-1),"")</f>
        <v/>
      </c>
      <c r="B97" s="19">
        <f>IF(A97&lt;&gt;"",VLOOKUP(A97,'Policy Inventory'!$A:$B,2,FALSE),"")</f>
        <v/>
      </c>
      <c r="C97" s="19">
        <f>IF(A97&lt;&gt;"",VLOOKUP(A97,'Policy Inventory'!$A:$C,3,FALSE),"")</f>
        <v/>
      </c>
      <c r="D97" s="19">
        <f>IF(A97="","",IF(VLOOKUP(A97,'Policy Inventory'!$A:$E,5,FALSE)&lt;&gt;"","Yes","No"))</f>
        <v/>
      </c>
      <c r="E97" s="19">
        <f>IF(A97&lt;&gt;"",VLOOKUP(A97,'Policy Inventory'!$A:$E,5,FALSE),"")</f>
        <v/>
      </c>
      <c r="F97" s="16" t="n"/>
      <c r="G97" s="19">
        <f>IF(A97="","",IF(VLOOKUP(A97,'Policy Inventory'!$A:$F,6,FALSE)&lt;&gt;"","Yes","No"))</f>
        <v/>
      </c>
      <c r="H97" s="19">
        <f>IF(A97&lt;&gt;"",VLOOKUP(A97,'Policy Inventory'!$A:$F,6,FALSE),"")</f>
        <v/>
      </c>
      <c r="I97" s="16" t="n"/>
      <c r="J97" s="16" t="n"/>
      <c r="K97" s="16" t="n"/>
      <c r="L97" s="16" t="n"/>
      <c r="M97" s="19">
        <f>IF(B97="","",IF(AND(D97="Yes",G97="Yes",I97="Yes",K97="Complete",L97="Yes"),"Compliant",IF(OR(D97="No",G97="No",I97="Insufficient",K97="Missing"),"Non-Compliant","Partial")))</f>
        <v/>
      </c>
      <c r="N97" s="16" t="n"/>
      <c r="O97" s="16" t="n"/>
    </row>
    <row r="98">
      <c r="A98" s="19">
        <f>IF(ROW()-5&lt;=COUNTA('Policy Inventory'!$A:$A)-4,INDEX('Policy Inventory'!$A:$A,ROW()-1),"")</f>
        <v/>
      </c>
      <c r="B98" s="19">
        <f>IF(A98&lt;&gt;"",VLOOKUP(A98,'Policy Inventory'!$A:$B,2,FALSE),"")</f>
        <v/>
      </c>
      <c r="C98" s="19">
        <f>IF(A98&lt;&gt;"",VLOOKUP(A98,'Policy Inventory'!$A:$C,3,FALSE),"")</f>
        <v/>
      </c>
      <c r="D98" s="19">
        <f>IF(A98="","",IF(VLOOKUP(A98,'Policy Inventory'!$A:$E,5,FALSE)&lt;&gt;"","Yes","No"))</f>
        <v/>
      </c>
      <c r="E98" s="19">
        <f>IF(A98&lt;&gt;"",VLOOKUP(A98,'Policy Inventory'!$A:$E,5,FALSE),"")</f>
        <v/>
      </c>
      <c r="F98" s="16" t="n"/>
      <c r="G98" s="19">
        <f>IF(A98="","",IF(VLOOKUP(A98,'Policy Inventory'!$A:$F,6,FALSE)&lt;&gt;"","Yes","No"))</f>
        <v/>
      </c>
      <c r="H98" s="19">
        <f>IF(A98&lt;&gt;"",VLOOKUP(A98,'Policy Inventory'!$A:$F,6,FALSE),"")</f>
        <v/>
      </c>
      <c r="I98" s="16" t="n"/>
      <c r="J98" s="16" t="n"/>
      <c r="K98" s="16" t="n"/>
      <c r="L98" s="16" t="n"/>
      <c r="M98" s="19">
        <f>IF(B98="","",IF(AND(D98="Yes",G98="Yes",I98="Yes",K98="Complete",L98="Yes"),"Compliant",IF(OR(D98="No",G98="No",I98="Insufficient",K98="Missing"),"Non-Compliant","Partial")))</f>
        <v/>
      </c>
      <c r="N98" s="16" t="n"/>
      <c r="O98" s="16" t="n"/>
    </row>
    <row r="99">
      <c r="A99" s="19">
        <f>IF(ROW()-5&lt;=COUNTA('Policy Inventory'!$A:$A)-4,INDEX('Policy Inventory'!$A:$A,ROW()-1),"")</f>
        <v/>
      </c>
      <c r="B99" s="19">
        <f>IF(A99&lt;&gt;"",VLOOKUP(A99,'Policy Inventory'!$A:$B,2,FALSE),"")</f>
        <v/>
      </c>
      <c r="C99" s="19">
        <f>IF(A99&lt;&gt;"",VLOOKUP(A99,'Policy Inventory'!$A:$C,3,FALSE),"")</f>
        <v/>
      </c>
      <c r="D99" s="19">
        <f>IF(A99="","",IF(VLOOKUP(A99,'Policy Inventory'!$A:$E,5,FALSE)&lt;&gt;"","Yes","No"))</f>
        <v/>
      </c>
      <c r="E99" s="19">
        <f>IF(A99&lt;&gt;"",VLOOKUP(A99,'Policy Inventory'!$A:$E,5,FALSE),"")</f>
        <v/>
      </c>
      <c r="F99" s="16" t="n"/>
      <c r="G99" s="19">
        <f>IF(A99="","",IF(VLOOKUP(A99,'Policy Inventory'!$A:$F,6,FALSE)&lt;&gt;"","Yes","No"))</f>
        <v/>
      </c>
      <c r="H99" s="19">
        <f>IF(A99&lt;&gt;"",VLOOKUP(A99,'Policy Inventory'!$A:$F,6,FALSE),"")</f>
        <v/>
      </c>
      <c r="I99" s="16" t="n"/>
      <c r="J99" s="16" t="n"/>
      <c r="K99" s="16" t="n"/>
      <c r="L99" s="16" t="n"/>
      <c r="M99" s="19">
        <f>IF(B99="","",IF(AND(D99="Yes",G99="Yes",I99="Yes",K99="Complete",L99="Yes"),"Compliant",IF(OR(D99="No",G99="No",I99="Insufficient",K99="Missing"),"Non-Compliant","Partial")))</f>
        <v/>
      </c>
      <c r="N99" s="16" t="n"/>
      <c r="O99" s="16" t="n"/>
    </row>
    <row r="100">
      <c r="A100" s="19">
        <f>IF(ROW()-5&lt;=COUNTA('Policy Inventory'!$A:$A)-4,INDEX('Policy Inventory'!$A:$A,ROW()-1),"")</f>
        <v/>
      </c>
      <c r="B100" s="19">
        <f>IF(A100&lt;&gt;"",VLOOKUP(A100,'Policy Inventory'!$A:$B,2,FALSE),"")</f>
        <v/>
      </c>
      <c r="C100" s="19">
        <f>IF(A100&lt;&gt;"",VLOOKUP(A100,'Policy Inventory'!$A:$C,3,FALSE),"")</f>
        <v/>
      </c>
      <c r="D100" s="19">
        <f>IF(A100="","",IF(VLOOKUP(A100,'Policy Inventory'!$A:$E,5,FALSE)&lt;&gt;"","Yes","No"))</f>
        <v/>
      </c>
      <c r="E100" s="19">
        <f>IF(A100&lt;&gt;"",VLOOKUP(A100,'Policy Inventory'!$A:$E,5,FALSE),"")</f>
        <v/>
      </c>
      <c r="F100" s="16" t="n"/>
      <c r="G100" s="19">
        <f>IF(A100="","",IF(VLOOKUP(A100,'Policy Inventory'!$A:$F,6,FALSE)&lt;&gt;"","Yes","No"))</f>
        <v/>
      </c>
      <c r="H100" s="19">
        <f>IF(A100&lt;&gt;"",VLOOKUP(A100,'Policy Inventory'!$A:$F,6,FALSE),"")</f>
        <v/>
      </c>
      <c r="I100" s="16" t="n"/>
      <c r="J100" s="16" t="n"/>
      <c r="K100" s="16" t="n"/>
      <c r="L100" s="16" t="n"/>
      <c r="M100" s="19">
        <f>IF(B100="","",IF(AND(D100="Yes",G100="Yes",I100="Yes",K100="Complete",L100="Yes"),"Compliant",IF(OR(D100="No",G100="No",I100="Insufficient",K100="Missing"),"Non-Compliant","Partial")))</f>
        <v/>
      </c>
      <c r="N100" s="16" t="n"/>
      <c r="O100" s="16" t="n"/>
    </row>
    <row r="101">
      <c r="A101" s="19">
        <f>IF(ROW()-5&lt;=COUNTA('Policy Inventory'!$A:$A)-4,INDEX('Policy Inventory'!$A:$A,ROW()-1),"")</f>
        <v/>
      </c>
      <c r="B101" s="19">
        <f>IF(A101&lt;&gt;"",VLOOKUP(A101,'Policy Inventory'!$A:$B,2,FALSE),"")</f>
        <v/>
      </c>
      <c r="C101" s="19">
        <f>IF(A101&lt;&gt;"",VLOOKUP(A101,'Policy Inventory'!$A:$C,3,FALSE),"")</f>
        <v/>
      </c>
      <c r="D101" s="19">
        <f>IF(A101="","",IF(VLOOKUP(A101,'Policy Inventory'!$A:$E,5,FALSE)&lt;&gt;"","Yes","No"))</f>
        <v/>
      </c>
      <c r="E101" s="19">
        <f>IF(A101&lt;&gt;"",VLOOKUP(A101,'Policy Inventory'!$A:$E,5,FALSE),"")</f>
        <v/>
      </c>
      <c r="F101" s="16" t="n"/>
      <c r="G101" s="19">
        <f>IF(A101="","",IF(VLOOKUP(A101,'Policy Inventory'!$A:$F,6,FALSE)&lt;&gt;"","Yes","No"))</f>
        <v/>
      </c>
      <c r="H101" s="19">
        <f>IF(A101&lt;&gt;"",VLOOKUP(A101,'Policy Inventory'!$A:$F,6,FALSE),"")</f>
        <v/>
      </c>
      <c r="I101" s="16" t="n"/>
      <c r="J101" s="16" t="n"/>
      <c r="K101" s="16" t="n"/>
      <c r="L101" s="16" t="n"/>
      <c r="M101" s="19">
        <f>IF(B101="","",IF(AND(D101="Yes",G101="Yes",I101="Yes",K101="Complete",L101="Yes"),"Compliant",IF(OR(D101="No",G101="No",I101="Insufficient",K101="Missing"),"Non-Compliant","Partial")))</f>
        <v/>
      </c>
      <c r="N101" s="16" t="n"/>
      <c r="O101" s="16" t="n"/>
    </row>
    <row r="102">
      <c r="A102" s="19">
        <f>IF(ROW()-5&lt;=COUNTA('Policy Inventory'!$A:$A)-4,INDEX('Policy Inventory'!$A:$A,ROW()-1),"")</f>
        <v/>
      </c>
      <c r="B102" s="19">
        <f>IF(A102&lt;&gt;"",VLOOKUP(A102,'Policy Inventory'!$A:$B,2,FALSE),"")</f>
        <v/>
      </c>
      <c r="C102" s="19">
        <f>IF(A102&lt;&gt;"",VLOOKUP(A102,'Policy Inventory'!$A:$C,3,FALSE),"")</f>
        <v/>
      </c>
      <c r="D102" s="19">
        <f>IF(A102="","",IF(VLOOKUP(A102,'Policy Inventory'!$A:$E,5,FALSE)&lt;&gt;"","Yes","No"))</f>
        <v/>
      </c>
      <c r="E102" s="19">
        <f>IF(A102&lt;&gt;"",VLOOKUP(A102,'Policy Inventory'!$A:$E,5,FALSE),"")</f>
        <v/>
      </c>
      <c r="F102" s="16" t="n"/>
      <c r="G102" s="19">
        <f>IF(A102="","",IF(VLOOKUP(A102,'Policy Inventory'!$A:$F,6,FALSE)&lt;&gt;"","Yes","No"))</f>
        <v/>
      </c>
      <c r="H102" s="19">
        <f>IF(A102&lt;&gt;"",VLOOKUP(A102,'Policy Inventory'!$A:$F,6,FALSE),"")</f>
        <v/>
      </c>
      <c r="I102" s="16" t="n"/>
      <c r="J102" s="16" t="n"/>
      <c r="K102" s="16" t="n"/>
      <c r="L102" s="16" t="n"/>
      <c r="M102" s="19">
        <f>IF(B102="","",IF(AND(D102="Yes",G102="Yes",I102="Yes",K102="Complete",L102="Yes"),"Compliant",IF(OR(D102="No",G102="No",I102="Insufficient",K102="Missing"),"Non-Compliant","Partial")))</f>
        <v/>
      </c>
      <c r="N102" s="16" t="n"/>
      <c r="O102" s="16" t="n"/>
    </row>
    <row r="103">
      <c r="A103" s="19">
        <f>IF(ROW()-5&lt;=COUNTA('Policy Inventory'!$A:$A)-4,INDEX('Policy Inventory'!$A:$A,ROW()-1),"")</f>
        <v/>
      </c>
      <c r="B103" s="19">
        <f>IF(A103&lt;&gt;"",VLOOKUP(A103,'Policy Inventory'!$A:$B,2,FALSE),"")</f>
        <v/>
      </c>
      <c r="C103" s="19">
        <f>IF(A103&lt;&gt;"",VLOOKUP(A103,'Policy Inventory'!$A:$C,3,FALSE),"")</f>
        <v/>
      </c>
      <c r="D103" s="19">
        <f>IF(A103="","",IF(VLOOKUP(A103,'Policy Inventory'!$A:$E,5,FALSE)&lt;&gt;"","Yes","No"))</f>
        <v/>
      </c>
      <c r="E103" s="19">
        <f>IF(A103&lt;&gt;"",VLOOKUP(A103,'Policy Inventory'!$A:$E,5,FALSE),"")</f>
        <v/>
      </c>
      <c r="F103" s="16" t="n"/>
      <c r="G103" s="19">
        <f>IF(A103="","",IF(VLOOKUP(A103,'Policy Inventory'!$A:$F,6,FALSE)&lt;&gt;"","Yes","No"))</f>
        <v/>
      </c>
      <c r="H103" s="19">
        <f>IF(A103&lt;&gt;"",VLOOKUP(A103,'Policy Inventory'!$A:$F,6,FALSE),"")</f>
        <v/>
      </c>
      <c r="I103" s="16" t="n"/>
      <c r="J103" s="16" t="n"/>
      <c r="K103" s="16" t="n"/>
      <c r="L103" s="16" t="n"/>
      <c r="M103" s="19">
        <f>IF(B103="","",IF(AND(D103="Yes",G103="Yes",I103="Yes",K103="Complete",L103="Yes"),"Compliant",IF(OR(D103="No",G103="No",I103="Insufficient",K103="Missing"),"Non-Compliant","Partial")))</f>
        <v/>
      </c>
      <c r="N103" s="16" t="n"/>
      <c r="O103" s="16" t="n"/>
    </row>
    <row r="104">
      <c r="A104" s="19">
        <f>IF(ROW()-5&lt;=COUNTA('Policy Inventory'!$A:$A)-4,INDEX('Policy Inventory'!$A:$A,ROW()-1),"")</f>
        <v/>
      </c>
      <c r="B104" s="19">
        <f>IF(A104&lt;&gt;"",VLOOKUP(A104,'Policy Inventory'!$A:$B,2,FALSE),"")</f>
        <v/>
      </c>
      <c r="C104" s="19">
        <f>IF(A104&lt;&gt;"",VLOOKUP(A104,'Policy Inventory'!$A:$C,3,FALSE),"")</f>
        <v/>
      </c>
      <c r="D104" s="19">
        <f>IF(A104="","",IF(VLOOKUP(A104,'Policy Inventory'!$A:$E,5,FALSE)&lt;&gt;"","Yes","No"))</f>
        <v/>
      </c>
      <c r="E104" s="19">
        <f>IF(A104&lt;&gt;"",VLOOKUP(A104,'Policy Inventory'!$A:$E,5,FALSE),"")</f>
        <v/>
      </c>
      <c r="F104" s="16" t="n"/>
      <c r="G104" s="19">
        <f>IF(A104="","",IF(VLOOKUP(A104,'Policy Inventory'!$A:$F,6,FALSE)&lt;&gt;"","Yes","No"))</f>
        <v/>
      </c>
      <c r="H104" s="19">
        <f>IF(A104&lt;&gt;"",VLOOKUP(A104,'Policy Inventory'!$A:$F,6,FALSE),"")</f>
        <v/>
      </c>
      <c r="I104" s="16" t="n"/>
      <c r="J104" s="16" t="n"/>
      <c r="K104" s="16" t="n"/>
      <c r="L104" s="16" t="n"/>
      <c r="M104" s="19">
        <f>IF(B104="","",IF(AND(D104="Yes",G104="Yes",I104="Yes",K104="Complete",L104="Yes"),"Compliant",IF(OR(D104="No",G104="No",I104="Insufficient",K104="Missing"),"Non-Compliant","Partial")))</f>
        <v/>
      </c>
      <c r="N104" s="16" t="n"/>
      <c r="O104" s="16" t="n"/>
    </row>
    <row r="105">
      <c r="A105" s="19">
        <f>IF(ROW()-5&lt;=COUNTA('Policy Inventory'!$A:$A)-4,INDEX('Policy Inventory'!$A:$A,ROW()-1),"")</f>
        <v/>
      </c>
      <c r="B105" s="19">
        <f>IF(A105&lt;&gt;"",VLOOKUP(A105,'Policy Inventory'!$A:$B,2,FALSE),"")</f>
        <v/>
      </c>
      <c r="C105" s="19">
        <f>IF(A105&lt;&gt;"",VLOOKUP(A105,'Policy Inventory'!$A:$C,3,FALSE),"")</f>
        <v/>
      </c>
      <c r="D105" s="19">
        <f>IF(A105="","",IF(VLOOKUP(A105,'Policy Inventory'!$A:$E,5,FALSE)&lt;&gt;"","Yes","No"))</f>
        <v/>
      </c>
      <c r="E105" s="19">
        <f>IF(A105&lt;&gt;"",VLOOKUP(A105,'Policy Inventory'!$A:$E,5,FALSE),"")</f>
        <v/>
      </c>
      <c r="F105" s="16" t="n"/>
      <c r="G105" s="19">
        <f>IF(A105="","",IF(VLOOKUP(A105,'Policy Inventory'!$A:$F,6,FALSE)&lt;&gt;"","Yes","No"))</f>
        <v/>
      </c>
      <c r="H105" s="19">
        <f>IF(A105&lt;&gt;"",VLOOKUP(A105,'Policy Inventory'!$A:$F,6,FALSE),"")</f>
        <v/>
      </c>
      <c r="I105" s="16" t="n"/>
      <c r="J105" s="16" t="n"/>
      <c r="K105" s="16" t="n"/>
      <c r="L105" s="16" t="n"/>
      <c r="M105" s="19">
        <f>IF(B105="","",IF(AND(D105="Yes",G105="Yes",I105="Yes",K105="Complete",L105="Yes"),"Compliant",IF(OR(D105="No",G105="No",I105="Insufficient",K105="Missing"),"Non-Compliant","Partial")))</f>
        <v/>
      </c>
      <c r="N105" s="16" t="n"/>
      <c r="O105" s="16" t="n"/>
    </row>
    <row r="106">
      <c r="A106" s="19">
        <f>IF(ROW()-5&lt;=COUNTA('Policy Inventory'!$A:$A)-4,INDEX('Policy Inventory'!$A:$A,ROW()-1),"")</f>
        <v/>
      </c>
      <c r="B106" s="19">
        <f>IF(A106&lt;&gt;"",VLOOKUP(A106,'Policy Inventory'!$A:$B,2,FALSE),"")</f>
        <v/>
      </c>
      <c r="C106" s="19">
        <f>IF(A106&lt;&gt;"",VLOOKUP(A106,'Policy Inventory'!$A:$C,3,FALSE),"")</f>
        <v/>
      </c>
      <c r="D106" s="19">
        <f>IF(A106="","",IF(VLOOKUP(A106,'Policy Inventory'!$A:$E,5,FALSE)&lt;&gt;"","Yes","No"))</f>
        <v/>
      </c>
      <c r="E106" s="19">
        <f>IF(A106&lt;&gt;"",VLOOKUP(A106,'Policy Inventory'!$A:$E,5,FALSE),"")</f>
        <v/>
      </c>
      <c r="F106" s="16" t="n"/>
      <c r="G106" s="19">
        <f>IF(A106="","",IF(VLOOKUP(A106,'Policy Inventory'!$A:$F,6,FALSE)&lt;&gt;"","Yes","No"))</f>
        <v/>
      </c>
      <c r="H106" s="19">
        <f>IF(A106&lt;&gt;"",VLOOKUP(A106,'Policy Inventory'!$A:$F,6,FALSE),"")</f>
        <v/>
      </c>
      <c r="I106" s="16" t="n"/>
      <c r="J106" s="16" t="n"/>
      <c r="K106" s="16" t="n"/>
      <c r="L106" s="16" t="n"/>
      <c r="M106" s="19">
        <f>IF(B106="","",IF(AND(D106="Yes",G106="Yes",I106="Yes",K106="Complete",L106="Yes"),"Compliant",IF(OR(D106="No",G106="No",I106="Insufficient",K106="Missing"),"Non-Compliant","Partial")))</f>
        <v/>
      </c>
      <c r="N106" s="16" t="n"/>
      <c r="O106" s="16" t="n"/>
    </row>
    <row r="107">
      <c r="A107" s="19">
        <f>IF(ROW()-5&lt;=COUNTA('Policy Inventory'!$A:$A)-4,INDEX('Policy Inventory'!$A:$A,ROW()-1),"")</f>
        <v/>
      </c>
      <c r="B107" s="19">
        <f>IF(A107&lt;&gt;"",VLOOKUP(A107,'Policy Inventory'!$A:$B,2,FALSE),"")</f>
        <v/>
      </c>
      <c r="C107" s="19">
        <f>IF(A107&lt;&gt;"",VLOOKUP(A107,'Policy Inventory'!$A:$C,3,FALSE),"")</f>
        <v/>
      </c>
      <c r="D107" s="19">
        <f>IF(A107="","",IF(VLOOKUP(A107,'Policy Inventory'!$A:$E,5,FALSE)&lt;&gt;"","Yes","No"))</f>
        <v/>
      </c>
      <c r="E107" s="19">
        <f>IF(A107&lt;&gt;"",VLOOKUP(A107,'Policy Inventory'!$A:$E,5,FALSE),"")</f>
        <v/>
      </c>
      <c r="F107" s="16" t="n"/>
      <c r="G107" s="19">
        <f>IF(A107="","",IF(VLOOKUP(A107,'Policy Inventory'!$A:$F,6,FALSE)&lt;&gt;"","Yes","No"))</f>
        <v/>
      </c>
      <c r="H107" s="19">
        <f>IF(A107&lt;&gt;"",VLOOKUP(A107,'Policy Inventory'!$A:$F,6,FALSE),"")</f>
        <v/>
      </c>
      <c r="I107" s="16" t="n"/>
      <c r="J107" s="16" t="n"/>
      <c r="K107" s="16" t="n"/>
      <c r="L107" s="16" t="n"/>
      <c r="M107" s="19">
        <f>IF(B107="","",IF(AND(D107="Yes",G107="Yes",I107="Yes",K107="Complete",L107="Yes"),"Compliant",IF(OR(D107="No",G107="No",I107="Insufficient",K107="Missing"),"Non-Compliant","Partial")))</f>
        <v/>
      </c>
      <c r="N107" s="16" t="n"/>
      <c r="O107" s="16" t="n"/>
    </row>
    <row r="108">
      <c r="A108" s="19">
        <f>IF(ROW()-5&lt;=COUNTA('Policy Inventory'!$A:$A)-4,INDEX('Policy Inventory'!$A:$A,ROW()-1),"")</f>
        <v/>
      </c>
      <c r="B108" s="19">
        <f>IF(A108&lt;&gt;"",VLOOKUP(A108,'Policy Inventory'!$A:$B,2,FALSE),"")</f>
        <v/>
      </c>
      <c r="C108" s="19">
        <f>IF(A108&lt;&gt;"",VLOOKUP(A108,'Policy Inventory'!$A:$C,3,FALSE),"")</f>
        <v/>
      </c>
      <c r="D108" s="19">
        <f>IF(A108="","",IF(VLOOKUP(A108,'Policy Inventory'!$A:$E,5,FALSE)&lt;&gt;"","Yes","No"))</f>
        <v/>
      </c>
      <c r="E108" s="19">
        <f>IF(A108&lt;&gt;"",VLOOKUP(A108,'Policy Inventory'!$A:$E,5,FALSE),"")</f>
        <v/>
      </c>
      <c r="F108" s="16" t="n"/>
      <c r="G108" s="19">
        <f>IF(A108="","",IF(VLOOKUP(A108,'Policy Inventory'!$A:$F,6,FALSE)&lt;&gt;"","Yes","No"))</f>
        <v/>
      </c>
      <c r="H108" s="19">
        <f>IF(A108&lt;&gt;"",VLOOKUP(A108,'Policy Inventory'!$A:$F,6,FALSE),"")</f>
        <v/>
      </c>
      <c r="I108" s="16" t="n"/>
      <c r="J108" s="16" t="n"/>
      <c r="K108" s="16" t="n"/>
      <c r="L108" s="16" t="n"/>
      <c r="M108" s="19">
        <f>IF(B108="","",IF(AND(D108="Yes",G108="Yes",I108="Yes",K108="Complete",L108="Yes"),"Compliant",IF(OR(D108="No",G108="No",I108="Insufficient",K108="Missing"),"Non-Compliant","Partial")))</f>
        <v/>
      </c>
      <c r="N108" s="16" t="n"/>
      <c r="O108" s="16" t="n"/>
    </row>
    <row r="109">
      <c r="A109" s="19">
        <f>IF(ROW()-5&lt;=COUNTA('Policy Inventory'!$A:$A)-4,INDEX('Policy Inventory'!$A:$A,ROW()-1),"")</f>
        <v/>
      </c>
      <c r="B109" s="19">
        <f>IF(A109&lt;&gt;"",VLOOKUP(A109,'Policy Inventory'!$A:$B,2,FALSE),"")</f>
        <v/>
      </c>
      <c r="C109" s="19">
        <f>IF(A109&lt;&gt;"",VLOOKUP(A109,'Policy Inventory'!$A:$C,3,FALSE),"")</f>
        <v/>
      </c>
      <c r="D109" s="19">
        <f>IF(A109="","",IF(VLOOKUP(A109,'Policy Inventory'!$A:$E,5,FALSE)&lt;&gt;"","Yes","No"))</f>
        <v/>
      </c>
      <c r="E109" s="19">
        <f>IF(A109&lt;&gt;"",VLOOKUP(A109,'Policy Inventory'!$A:$E,5,FALSE),"")</f>
        <v/>
      </c>
      <c r="F109" s="16" t="n"/>
      <c r="G109" s="19">
        <f>IF(A109="","",IF(VLOOKUP(A109,'Policy Inventory'!$A:$F,6,FALSE)&lt;&gt;"","Yes","No"))</f>
        <v/>
      </c>
      <c r="H109" s="19">
        <f>IF(A109&lt;&gt;"",VLOOKUP(A109,'Policy Inventory'!$A:$F,6,FALSE),"")</f>
        <v/>
      </c>
      <c r="I109" s="16" t="n"/>
      <c r="J109" s="16" t="n"/>
      <c r="K109" s="16" t="n"/>
      <c r="L109" s="16" t="n"/>
      <c r="M109" s="19">
        <f>IF(B109="","",IF(AND(D109="Yes",G109="Yes",I109="Yes",K109="Complete",L109="Yes"),"Compliant",IF(OR(D109="No",G109="No",I109="Insufficient",K109="Missing"),"Non-Compliant","Partial")))</f>
        <v/>
      </c>
      <c r="N109" s="16" t="n"/>
      <c r="O109" s="16" t="n"/>
    </row>
    <row r="110">
      <c r="A110" s="19">
        <f>IF(ROW()-5&lt;=COUNTA('Policy Inventory'!$A:$A)-4,INDEX('Policy Inventory'!$A:$A,ROW()-1),"")</f>
        <v/>
      </c>
      <c r="B110" s="19">
        <f>IF(A110&lt;&gt;"",VLOOKUP(A110,'Policy Inventory'!$A:$B,2,FALSE),"")</f>
        <v/>
      </c>
      <c r="C110" s="19">
        <f>IF(A110&lt;&gt;"",VLOOKUP(A110,'Policy Inventory'!$A:$C,3,FALSE),"")</f>
        <v/>
      </c>
      <c r="D110" s="19">
        <f>IF(A110="","",IF(VLOOKUP(A110,'Policy Inventory'!$A:$E,5,FALSE)&lt;&gt;"","Yes","No"))</f>
        <v/>
      </c>
      <c r="E110" s="19">
        <f>IF(A110&lt;&gt;"",VLOOKUP(A110,'Policy Inventory'!$A:$E,5,FALSE),"")</f>
        <v/>
      </c>
      <c r="F110" s="16" t="n"/>
      <c r="G110" s="19">
        <f>IF(A110="","",IF(VLOOKUP(A110,'Policy Inventory'!$A:$F,6,FALSE)&lt;&gt;"","Yes","No"))</f>
        <v/>
      </c>
      <c r="H110" s="19">
        <f>IF(A110&lt;&gt;"",VLOOKUP(A110,'Policy Inventory'!$A:$F,6,FALSE),"")</f>
        <v/>
      </c>
      <c r="I110" s="16" t="n"/>
      <c r="J110" s="16" t="n"/>
      <c r="K110" s="16" t="n"/>
      <c r="L110" s="16" t="n"/>
      <c r="M110" s="19">
        <f>IF(B110="","",IF(AND(D110="Yes",G110="Yes",I110="Yes",K110="Complete",L110="Yes"),"Compliant",IF(OR(D110="No",G110="No",I110="Insufficient",K110="Missing"),"Non-Compliant","Partial")))</f>
        <v/>
      </c>
      <c r="N110" s="16" t="n"/>
      <c r="O110" s="16" t="n"/>
    </row>
    <row r="111">
      <c r="A111" s="19">
        <f>IF(ROW()-5&lt;=COUNTA('Policy Inventory'!$A:$A)-4,INDEX('Policy Inventory'!$A:$A,ROW()-1),"")</f>
        <v/>
      </c>
      <c r="B111" s="19">
        <f>IF(A111&lt;&gt;"",VLOOKUP(A111,'Policy Inventory'!$A:$B,2,FALSE),"")</f>
        <v/>
      </c>
      <c r="C111" s="19">
        <f>IF(A111&lt;&gt;"",VLOOKUP(A111,'Policy Inventory'!$A:$C,3,FALSE),"")</f>
        <v/>
      </c>
      <c r="D111" s="19">
        <f>IF(A111="","",IF(VLOOKUP(A111,'Policy Inventory'!$A:$E,5,FALSE)&lt;&gt;"","Yes","No"))</f>
        <v/>
      </c>
      <c r="E111" s="19">
        <f>IF(A111&lt;&gt;"",VLOOKUP(A111,'Policy Inventory'!$A:$E,5,FALSE),"")</f>
        <v/>
      </c>
      <c r="F111" s="16" t="n"/>
      <c r="G111" s="19">
        <f>IF(A111="","",IF(VLOOKUP(A111,'Policy Inventory'!$A:$F,6,FALSE)&lt;&gt;"","Yes","No"))</f>
        <v/>
      </c>
      <c r="H111" s="19">
        <f>IF(A111&lt;&gt;"",VLOOKUP(A111,'Policy Inventory'!$A:$F,6,FALSE),"")</f>
        <v/>
      </c>
      <c r="I111" s="16" t="n"/>
      <c r="J111" s="16" t="n"/>
      <c r="K111" s="16" t="n"/>
      <c r="L111" s="16" t="n"/>
      <c r="M111" s="19">
        <f>IF(B111="","",IF(AND(D111="Yes",G111="Yes",I111="Yes",K111="Complete",L111="Yes"),"Compliant",IF(OR(D111="No",G111="No",I111="Insufficient",K111="Missing"),"Non-Compliant","Partial")))</f>
        <v/>
      </c>
      <c r="N111" s="16" t="n"/>
      <c r="O111" s="16" t="n"/>
    </row>
    <row r="112">
      <c r="A112" s="19">
        <f>IF(ROW()-5&lt;=COUNTA('Policy Inventory'!$A:$A)-4,INDEX('Policy Inventory'!$A:$A,ROW()-1),"")</f>
        <v/>
      </c>
      <c r="B112" s="19">
        <f>IF(A112&lt;&gt;"",VLOOKUP(A112,'Policy Inventory'!$A:$B,2,FALSE),"")</f>
        <v/>
      </c>
      <c r="C112" s="19">
        <f>IF(A112&lt;&gt;"",VLOOKUP(A112,'Policy Inventory'!$A:$C,3,FALSE),"")</f>
        <v/>
      </c>
      <c r="D112" s="19">
        <f>IF(A112="","",IF(VLOOKUP(A112,'Policy Inventory'!$A:$E,5,FALSE)&lt;&gt;"","Yes","No"))</f>
        <v/>
      </c>
      <c r="E112" s="19">
        <f>IF(A112&lt;&gt;"",VLOOKUP(A112,'Policy Inventory'!$A:$E,5,FALSE),"")</f>
        <v/>
      </c>
      <c r="F112" s="16" t="n"/>
      <c r="G112" s="19">
        <f>IF(A112="","",IF(VLOOKUP(A112,'Policy Inventory'!$A:$F,6,FALSE)&lt;&gt;"","Yes","No"))</f>
        <v/>
      </c>
      <c r="H112" s="19">
        <f>IF(A112&lt;&gt;"",VLOOKUP(A112,'Policy Inventory'!$A:$F,6,FALSE),"")</f>
        <v/>
      </c>
      <c r="I112" s="16" t="n"/>
      <c r="J112" s="16" t="n"/>
      <c r="K112" s="16" t="n"/>
      <c r="L112" s="16" t="n"/>
      <c r="M112" s="19">
        <f>IF(B112="","",IF(AND(D112="Yes",G112="Yes",I112="Yes",K112="Complete",L112="Yes"),"Compliant",IF(OR(D112="No",G112="No",I112="Insufficient",K112="Missing"),"Non-Compliant","Partial")))</f>
        <v/>
      </c>
      <c r="N112" s="16" t="n"/>
      <c r="O112" s="16" t="n"/>
    </row>
    <row r="113">
      <c r="A113" s="19">
        <f>IF(ROW()-5&lt;=COUNTA('Policy Inventory'!$A:$A)-4,INDEX('Policy Inventory'!$A:$A,ROW()-1),"")</f>
        <v/>
      </c>
      <c r="B113" s="19">
        <f>IF(A113&lt;&gt;"",VLOOKUP(A113,'Policy Inventory'!$A:$B,2,FALSE),"")</f>
        <v/>
      </c>
      <c r="C113" s="19">
        <f>IF(A113&lt;&gt;"",VLOOKUP(A113,'Policy Inventory'!$A:$C,3,FALSE),"")</f>
        <v/>
      </c>
      <c r="D113" s="19">
        <f>IF(A113="","",IF(VLOOKUP(A113,'Policy Inventory'!$A:$E,5,FALSE)&lt;&gt;"","Yes","No"))</f>
        <v/>
      </c>
      <c r="E113" s="19">
        <f>IF(A113&lt;&gt;"",VLOOKUP(A113,'Policy Inventory'!$A:$E,5,FALSE),"")</f>
        <v/>
      </c>
      <c r="F113" s="16" t="n"/>
      <c r="G113" s="19">
        <f>IF(A113="","",IF(VLOOKUP(A113,'Policy Inventory'!$A:$F,6,FALSE)&lt;&gt;"","Yes","No"))</f>
        <v/>
      </c>
      <c r="H113" s="19">
        <f>IF(A113&lt;&gt;"",VLOOKUP(A113,'Policy Inventory'!$A:$F,6,FALSE),"")</f>
        <v/>
      </c>
      <c r="I113" s="16" t="n"/>
      <c r="J113" s="16" t="n"/>
      <c r="K113" s="16" t="n"/>
      <c r="L113" s="16" t="n"/>
      <c r="M113" s="19">
        <f>IF(B113="","",IF(AND(D113="Yes",G113="Yes",I113="Yes",K113="Complete",L113="Yes"),"Compliant",IF(OR(D113="No",G113="No",I113="Insufficient",K113="Missing"),"Non-Compliant","Partial")))</f>
        <v/>
      </c>
      <c r="N113" s="16" t="n"/>
      <c r="O113" s="16" t="n"/>
    </row>
    <row r="114">
      <c r="A114" s="19">
        <f>IF(ROW()-5&lt;=COUNTA('Policy Inventory'!$A:$A)-4,INDEX('Policy Inventory'!$A:$A,ROW()-1),"")</f>
        <v/>
      </c>
      <c r="B114" s="19">
        <f>IF(A114&lt;&gt;"",VLOOKUP(A114,'Policy Inventory'!$A:$B,2,FALSE),"")</f>
        <v/>
      </c>
      <c r="C114" s="19">
        <f>IF(A114&lt;&gt;"",VLOOKUP(A114,'Policy Inventory'!$A:$C,3,FALSE),"")</f>
        <v/>
      </c>
      <c r="D114" s="19">
        <f>IF(A114="","",IF(VLOOKUP(A114,'Policy Inventory'!$A:$E,5,FALSE)&lt;&gt;"","Yes","No"))</f>
        <v/>
      </c>
      <c r="E114" s="19">
        <f>IF(A114&lt;&gt;"",VLOOKUP(A114,'Policy Inventory'!$A:$E,5,FALSE),"")</f>
        <v/>
      </c>
      <c r="F114" s="16" t="n"/>
      <c r="G114" s="19">
        <f>IF(A114="","",IF(VLOOKUP(A114,'Policy Inventory'!$A:$F,6,FALSE)&lt;&gt;"","Yes","No"))</f>
        <v/>
      </c>
      <c r="H114" s="19">
        <f>IF(A114&lt;&gt;"",VLOOKUP(A114,'Policy Inventory'!$A:$F,6,FALSE),"")</f>
        <v/>
      </c>
      <c r="I114" s="16" t="n"/>
      <c r="J114" s="16" t="n"/>
      <c r="K114" s="16" t="n"/>
      <c r="L114" s="16" t="n"/>
      <c r="M114" s="19">
        <f>IF(B114="","",IF(AND(D114="Yes",G114="Yes",I114="Yes",K114="Complete",L114="Yes"),"Compliant",IF(OR(D114="No",G114="No",I114="Insufficient",K114="Missing"),"Non-Compliant","Partial")))</f>
        <v/>
      </c>
      <c r="N114" s="16" t="n"/>
      <c r="O114" s="16" t="n"/>
    </row>
    <row r="115">
      <c r="A115" s="19">
        <f>IF(ROW()-5&lt;=COUNTA('Policy Inventory'!$A:$A)-4,INDEX('Policy Inventory'!$A:$A,ROW()-1),"")</f>
        <v/>
      </c>
      <c r="B115" s="19">
        <f>IF(A115&lt;&gt;"",VLOOKUP(A115,'Policy Inventory'!$A:$B,2,FALSE),"")</f>
        <v/>
      </c>
      <c r="C115" s="19">
        <f>IF(A115&lt;&gt;"",VLOOKUP(A115,'Policy Inventory'!$A:$C,3,FALSE),"")</f>
        <v/>
      </c>
      <c r="D115" s="19">
        <f>IF(A115="","",IF(VLOOKUP(A115,'Policy Inventory'!$A:$E,5,FALSE)&lt;&gt;"","Yes","No"))</f>
        <v/>
      </c>
      <c r="E115" s="19">
        <f>IF(A115&lt;&gt;"",VLOOKUP(A115,'Policy Inventory'!$A:$E,5,FALSE),"")</f>
        <v/>
      </c>
      <c r="F115" s="16" t="n"/>
      <c r="G115" s="19">
        <f>IF(A115="","",IF(VLOOKUP(A115,'Policy Inventory'!$A:$F,6,FALSE)&lt;&gt;"","Yes","No"))</f>
        <v/>
      </c>
      <c r="H115" s="19">
        <f>IF(A115&lt;&gt;"",VLOOKUP(A115,'Policy Inventory'!$A:$F,6,FALSE),"")</f>
        <v/>
      </c>
      <c r="I115" s="16" t="n"/>
      <c r="J115" s="16" t="n"/>
      <c r="K115" s="16" t="n"/>
      <c r="L115" s="16" t="n"/>
      <c r="M115" s="19">
        <f>IF(B115="","",IF(AND(D115="Yes",G115="Yes",I115="Yes",K115="Complete",L115="Yes"),"Compliant",IF(OR(D115="No",G115="No",I115="Insufficient",K115="Missing"),"Non-Compliant","Partial")))</f>
        <v/>
      </c>
      <c r="N115" s="16" t="n"/>
      <c r="O115" s="16" t="n"/>
    </row>
    <row r="116">
      <c r="A116" s="19">
        <f>IF(ROW()-5&lt;=COUNTA('Policy Inventory'!$A:$A)-4,INDEX('Policy Inventory'!$A:$A,ROW()-1),"")</f>
        <v/>
      </c>
      <c r="B116" s="19">
        <f>IF(A116&lt;&gt;"",VLOOKUP(A116,'Policy Inventory'!$A:$B,2,FALSE),"")</f>
        <v/>
      </c>
      <c r="C116" s="19">
        <f>IF(A116&lt;&gt;"",VLOOKUP(A116,'Policy Inventory'!$A:$C,3,FALSE),"")</f>
        <v/>
      </c>
      <c r="D116" s="19">
        <f>IF(A116="","",IF(VLOOKUP(A116,'Policy Inventory'!$A:$E,5,FALSE)&lt;&gt;"","Yes","No"))</f>
        <v/>
      </c>
      <c r="E116" s="19">
        <f>IF(A116&lt;&gt;"",VLOOKUP(A116,'Policy Inventory'!$A:$E,5,FALSE),"")</f>
        <v/>
      </c>
      <c r="F116" s="16" t="n"/>
      <c r="G116" s="19">
        <f>IF(A116="","",IF(VLOOKUP(A116,'Policy Inventory'!$A:$F,6,FALSE)&lt;&gt;"","Yes","No"))</f>
        <v/>
      </c>
      <c r="H116" s="19">
        <f>IF(A116&lt;&gt;"",VLOOKUP(A116,'Policy Inventory'!$A:$F,6,FALSE),"")</f>
        <v/>
      </c>
      <c r="I116" s="16" t="n"/>
      <c r="J116" s="16" t="n"/>
      <c r="K116" s="16" t="n"/>
      <c r="L116" s="16" t="n"/>
      <c r="M116" s="19">
        <f>IF(B116="","",IF(AND(D116="Yes",G116="Yes",I116="Yes",K116="Complete",L116="Yes"),"Compliant",IF(OR(D116="No",G116="No",I116="Insufficient",K116="Missing"),"Non-Compliant","Partial")))</f>
        <v/>
      </c>
      <c r="N116" s="16" t="n"/>
      <c r="O116" s="16" t="n"/>
    </row>
    <row r="117">
      <c r="A117" s="19">
        <f>IF(ROW()-5&lt;=COUNTA('Policy Inventory'!$A:$A)-4,INDEX('Policy Inventory'!$A:$A,ROW()-1),"")</f>
        <v/>
      </c>
      <c r="B117" s="19">
        <f>IF(A117&lt;&gt;"",VLOOKUP(A117,'Policy Inventory'!$A:$B,2,FALSE),"")</f>
        <v/>
      </c>
      <c r="C117" s="19">
        <f>IF(A117&lt;&gt;"",VLOOKUP(A117,'Policy Inventory'!$A:$C,3,FALSE),"")</f>
        <v/>
      </c>
      <c r="D117" s="19">
        <f>IF(A117="","",IF(VLOOKUP(A117,'Policy Inventory'!$A:$E,5,FALSE)&lt;&gt;"","Yes","No"))</f>
        <v/>
      </c>
      <c r="E117" s="19">
        <f>IF(A117&lt;&gt;"",VLOOKUP(A117,'Policy Inventory'!$A:$E,5,FALSE),"")</f>
        <v/>
      </c>
      <c r="F117" s="16" t="n"/>
      <c r="G117" s="19">
        <f>IF(A117="","",IF(VLOOKUP(A117,'Policy Inventory'!$A:$F,6,FALSE)&lt;&gt;"","Yes","No"))</f>
        <v/>
      </c>
      <c r="H117" s="19">
        <f>IF(A117&lt;&gt;"",VLOOKUP(A117,'Policy Inventory'!$A:$F,6,FALSE),"")</f>
        <v/>
      </c>
      <c r="I117" s="16" t="n"/>
      <c r="J117" s="16" t="n"/>
      <c r="K117" s="16" t="n"/>
      <c r="L117" s="16" t="n"/>
      <c r="M117" s="19">
        <f>IF(B117="","",IF(AND(D117="Yes",G117="Yes",I117="Yes",K117="Complete",L117="Yes"),"Compliant",IF(OR(D117="No",G117="No",I117="Insufficient",K117="Missing"),"Non-Compliant","Partial")))</f>
        <v/>
      </c>
      <c r="N117" s="16" t="n"/>
      <c r="O117" s="16" t="n"/>
    </row>
    <row r="118">
      <c r="A118" s="19">
        <f>IF(ROW()-5&lt;=COUNTA('Policy Inventory'!$A:$A)-4,INDEX('Policy Inventory'!$A:$A,ROW()-1),"")</f>
        <v/>
      </c>
      <c r="B118" s="19">
        <f>IF(A118&lt;&gt;"",VLOOKUP(A118,'Policy Inventory'!$A:$B,2,FALSE),"")</f>
        <v/>
      </c>
      <c r="C118" s="19">
        <f>IF(A118&lt;&gt;"",VLOOKUP(A118,'Policy Inventory'!$A:$C,3,FALSE),"")</f>
        <v/>
      </c>
      <c r="D118" s="19">
        <f>IF(A118="","",IF(VLOOKUP(A118,'Policy Inventory'!$A:$E,5,FALSE)&lt;&gt;"","Yes","No"))</f>
        <v/>
      </c>
      <c r="E118" s="19">
        <f>IF(A118&lt;&gt;"",VLOOKUP(A118,'Policy Inventory'!$A:$E,5,FALSE),"")</f>
        <v/>
      </c>
      <c r="F118" s="16" t="n"/>
      <c r="G118" s="19">
        <f>IF(A118="","",IF(VLOOKUP(A118,'Policy Inventory'!$A:$F,6,FALSE)&lt;&gt;"","Yes","No"))</f>
        <v/>
      </c>
      <c r="H118" s="19">
        <f>IF(A118&lt;&gt;"",VLOOKUP(A118,'Policy Inventory'!$A:$F,6,FALSE),"")</f>
        <v/>
      </c>
      <c r="I118" s="16" t="n"/>
      <c r="J118" s="16" t="n"/>
      <c r="K118" s="16" t="n"/>
      <c r="L118" s="16" t="n"/>
      <c r="M118" s="19">
        <f>IF(B118="","",IF(AND(D118="Yes",G118="Yes",I118="Yes",K118="Complete",L118="Yes"),"Compliant",IF(OR(D118="No",G118="No",I118="Insufficient",K118="Missing"),"Non-Compliant","Partial")))</f>
        <v/>
      </c>
      <c r="N118" s="16" t="n"/>
      <c r="O118" s="16" t="n"/>
    </row>
    <row r="119">
      <c r="A119" s="19">
        <f>IF(ROW()-5&lt;=COUNTA('Policy Inventory'!$A:$A)-4,INDEX('Policy Inventory'!$A:$A,ROW()-1),"")</f>
        <v/>
      </c>
      <c r="B119" s="19">
        <f>IF(A119&lt;&gt;"",VLOOKUP(A119,'Policy Inventory'!$A:$B,2,FALSE),"")</f>
        <v/>
      </c>
      <c r="C119" s="19">
        <f>IF(A119&lt;&gt;"",VLOOKUP(A119,'Policy Inventory'!$A:$C,3,FALSE),"")</f>
        <v/>
      </c>
      <c r="D119" s="19">
        <f>IF(A119="","",IF(VLOOKUP(A119,'Policy Inventory'!$A:$E,5,FALSE)&lt;&gt;"","Yes","No"))</f>
        <v/>
      </c>
      <c r="E119" s="19">
        <f>IF(A119&lt;&gt;"",VLOOKUP(A119,'Policy Inventory'!$A:$E,5,FALSE),"")</f>
        <v/>
      </c>
      <c r="F119" s="16" t="n"/>
      <c r="G119" s="19">
        <f>IF(A119="","",IF(VLOOKUP(A119,'Policy Inventory'!$A:$F,6,FALSE)&lt;&gt;"","Yes","No"))</f>
        <v/>
      </c>
      <c r="H119" s="19">
        <f>IF(A119&lt;&gt;"",VLOOKUP(A119,'Policy Inventory'!$A:$F,6,FALSE),"")</f>
        <v/>
      </c>
      <c r="I119" s="16" t="n"/>
      <c r="J119" s="16" t="n"/>
      <c r="K119" s="16" t="n"/>
      <c r="L119" s="16" t="n"/>
      <c r="M119" s="19">
        <f>IF(B119="","",IF(AND(D119="Yes",G119="Yes",I119="Yes",K119="Complete",L119="Yes"),"Compliant",IF(OR(D119="No",G119="No",I119="Insufficient",K119="Missing"),"Non-Compliant","Partial")))</f>
        <v/>
      </c>
      <c r="N119" s="16" t="n"/>
      <c r="O119" s="16" t="n"/>
    </row>
    <row r="120">
      <c r="A120" s="19">
        <f>IF(ROW()-5&lt;=COUNTA('Policy Inventory'!$A:$A)-4,INDEX('Policy Inventory'!$A:$A,ROW()-1),"")</f>
        <v/>
      </c>
      <c r="B120" s="19">
        <f>IF(A120&lt;&gt;"",VLOOKUP(A120,'Policy Inventory'!$A:$B,2,FALSE),"")</f>
        <v/>
      </c>
      <c r="C120" s="19">
        <f>IF(A120&lt;&gt;"",VLOOKUP(A120,'Policy Inventory'!$A:$C,3,FALSE),"")</f>
        <v/>
      </c>
      <c r="D120" s="19">
        <f>IF(A120="","",IF(VLOOKUP(A120,'Policy Inventory'!$A:$E,5,FALSE)&lt;&gt;"","Yes","No"))</f>
        <v/>
      </c>
      <c r="E120" s="19">
        <f>IF(A120&lt;&gt;"",VLOOKUP(A120,'Policy Inventory'!$A:$E,5,FALSE),"")</f>
        <v/>
      </c>
      <c r="F120" s="16" t="n"/>
      <c r="G120" s="19">
        <f>IF(A120="","",IF(VLOOKUP(A120,'Policy Inventory'!$A:$F,6,FALSE)&lt;&gt;"","Yes","No"))</f>
        <v/>
      </c>
      <c r="H120" s="19">
        <f>IF(A120&lt;&gt;"",VLOOKUP(A120,'Policy Inventory'!$A:$F,6,FALSE),"")</f>
        <v/>
      </c>
      <c r="I120" s="16" t="n"/>
      <c r="J120" s="16" t="n"/>
      <c r="K120" s="16" t="n"/>
      <c r="L120" s="16" t="n"/>
      <c r="M120" s="19">
        <f>IF(B120="","",IF(AND(D120="Yes",G120="Yes",I120="Yes",K120="Complete",L120="Yes"),"Compliant",IF(OR(D120="No",G120="No",I120="Insufficient",K120="Missing"),"Non-Compliant","Partial")))</f>
        <v/>
      </c>
      <c r="N120" s="16" t="n"/>
      <c r="O120" s="16" t="n"/>
    </row>
    <row r="121">
      <c r="A121" s="19">
        <f>IF(ROW()-5&lt;=COUNTA('Policy Inventory'!$A:$A)-4,INDEX('Policy Inventory'!$A:$A,ROW()-1),"")</f>
        <v/>
      </c>
      <c r="B121" s="19">
        <f>IF(A121&lt;&gt;"",VLOOKUP(A121,'Policy Inventory'!$A:$B,2,FALSE),"")</f>
        <v/>
      </c>
      <c r="C121" s="19">
        <f>IF(A121&lt;&gt;"",VLOOKUP(A121,'Policy Inventory'!$A:$C,3,FALSE),"")</f>
        <v/>
      </c>
      <c r="D121" s="19">
        <f>IF(A121="","",IF(VLOOKUP(A121,'Policy Inventory'!$A:$E,5,FALSE)&lt;&gt;"","Yes","No"))</f>
        <v/>
      </c>
      <c r="E121" s="19">
        <f>IF(A121&lt;&gt;"",VLOOKUP(A121,'Policy Inventory'!$A:$E,5,FALSE),"")</f>
        <v/>
      </c>
      <c r="F121" s="16" t="n"/>
      <c r="G121" s="19">
        <f>IF(A121="","",IF(VLOOKUP(A121,'Policy Inventory'!$A:$F,6,FALSE)&lt;&gt;"","Yes","No"))</f>
        <v/>
      </c>
      <c r="H121" s="19">
        <f>IF(A121&lt;&gt;"",VLOOKUP(A121,'Policy Inventory'!$A:$F,6,FALSE),"")</f>
        <v/>
      </c>
      <c r="I121" s="16" t="n"/>
      <c r="J121" s="16" t="n"/>
      <c r="K121" s="16" t="n"/>
      <c r="L121" s="16" t="n"/>
      <c r="M121" s="19">
        <f>IF(B121="","",IF(AND(D121="Yes",G121="Yes",I121="Yes",K121="Complete",L121="Yes"),"Compliant",IF(OR(D121="No",G121="No",I121="Insufficient",K121="Missing"),"Non-Compliant","Partial")))</f>
        <v/>
      </c>
      <c r="N121" s="16" t="n"/>
      <c r="O121" s="16" t="n"/>
    </row>
    <row r="122">
      <c r="A122" s="19">
        <f>IF(ROW()-5&lt;=COUNTA('Policy Inventory'!$A:$A)-4,INDEX('Policy Inventory'!$A:$A,ROW()-1),"")</f>
        <v/>
      </c>
      <c r="B122" s="19">
        <f>IF(A122&lt;&gt;"",VLOOKUP(A122,'Policy Inventory'!$A:$B,2,FALSE),"")</f>
        <v/>
      </c>
      <c r="C122" s="19">
        <f>IF(A122&lt;&gt;"",VLOOKUP(A122,'Policy Inventory'!$A:$C,3,FALSE),"")</f>
        <v/>
      </c>
      <c r="D122" s="19">
        <f>IF(A122="","",IF(VLOOKUP(A122,'Policy Inventory'!$A:$E,5,FALSE)&lt;&gt;"","Yes","No"))</f>
        <v/>
      </c>
      <c r="E122" s="19">
        <f>IF(A122&lt;&gt;"",VLOOKUP(A122,'Policy Inventory'!$A:$E,5,FALSE),"")</f>
        <v/>
      </c>
      <c r="F122" s="16" t="n"/>
      <c r="G122" s="19">
        <f>IF(A122="","",IF(VLOOKUP(A122,'Policy Inventory'!$A:$F,6,FALSE)&lt;&gt;"","Yes","No"))</f>
        <v/>
      </c>
      <c r="H122" s="19">
        <f>IF(A122&lt;&gt;"",VLOOKUP(A122,'Policy Inventory'!$A:$F,6,FALSE),"")</f>
        <v/>
      </c>
      <c r="I122" s="16" t="n"/>
      <c r="J122" s="16" t="n"/>
      <c r="K122" s="16" t="n"/>
      <c r="L122" s="16" t="n"/>
      <c r="M122" s="19">
        <f>IF(B122="","",IF(AND(D122="Yes",G122="Yes",I122="Yes",K122="Complete",L122="Yes"),"Compliant",IF(OR(D122="No",G122="No",I122="Insufficient",K122="Missing"),"Non-Compliant","Partial")))</f>
        <v/>
      </c>
      <c r="N122" s="16" t="n"/>
      <c r="O122" s="16" t="n"/>
    </row>
    <row r="123">
      <c r="A123" s="19">
        <f>IF(ROW()-5&lt;=COUNTA('Policy Inventory'!$A:$A)-4,INDEX('Policy Inventory'!$A:$A,ROW()-1),"")</f>
        <v/>
      </c>
      <c r="B123" s="19">
        <f>IF(A123&lt;&gt;"",VLOOKUP(A123,'Policy Inventory'!$A:$B,2,FALSE),"")</f>
        <v/>
      </c>
      <c r="C123" s="19">
        <f>IF(A123&lt;&gt;"",VLOOKUP(A123,'Policy Inventory'!$A:$C,3,FALSE),"")</f>
        <v/>
      </c>
      <c r="D123" s="19">
        <f>IF(A123="","",IF(VLOOKUP(A123,'Policy Inventory'!$A:$E,5,FALSE)&lt;&gt;"","Yes","No"))</f>
        <v/>
      </c>
      <c r="E123" s="19">
        <f>IF(A123&lt;&gt;"",VLOOKUP(A123,'Policy Inventory'!$A:$E,5,FALSE),"")</f>
        <v/>
      </c>
      <c r="F123" s="16" t="n"/>
      <c r="G123" s="19">
        <f>IF(A123="","",IF(VLOOKUP(A123,'Policy Inventory'!$A:$F,6,FALSE)&lt;&gt;"","Yes","No"))</f>
        <v/>
      </c>
      <c r="H123" s="19">
        <f>IF(A123&lt;&gt;"",VLOOKUP(A123,'Policy Inventory'!$A:$F,6,FALSE),"")</f>
        <v/>
      </c>
      <c r="I123" s="16" t="n"/>
      <c r="J123" s="16" t="n"/>
      <c r="K123" s="16" t="n"/>
      <c r="L123" s="16" t="n"/>
      <c r="M123" s="19">
        <f>IF(B123="","",IF(AND(D123="Yes",G123="Yes",I123="Yes",K123="Complete",L123="Yes"),"Compliant",IF(OR(D123="No",G123="No",I123="Insufficient",K123="Missing"),"Non-Compliant","Partial")))</f>
        <v/>
      </c>
      <c r="N123" s="16" t="n"/>
      <c r="O123" s="16" t="n"/>
    </row>
    <row r="124">
      <c r="A124" s="19">
        <f>IF(ROW()-5&lt;=COUNTA('Policy Inventory'!$A:$A)-4,INDEX('Policy Inventory'!$A:$A,ROW()-1),"")</f>
        <v/>
      </c>
      <c r="B124" s="19">
        <f>IF(A124&lt;&gt;"",VLOOKUP(A124,'Policy Inventory'!$A:$B,2,FALSE),"")</f>
        <v/>
      </c>
      <c r="C124" s="19">
        <f>IF(A124&lt;&gt;"",VLOOKUP(A124,'Policy Inventory'!$A:$C,3,FALSE),"")</f>
        <v/>
      </c>
      <c r="D124" s="19">
        <f>IF(A124="","",IF(VLOOKUP(A124,'Policy Inventory'!$A:$E,5,FALSE)&lt;&gt;"","Yes","No"))</f>
        <v/>
      </c>
      <c r="E124" s="19">
        <f>IF(A124&lt;&gt;"",VLOOKUP(A124,'Policy Inventory'!$A:$E,5,FALSE),"")</f>
        <v/>
      </c>
      <c r="F124" s="16" t="n"/>
      <c r="G124" s="19">
        <f>IF(A124="","",IF(VLOOKUP(A124,'Policy Inventory'!$A:$F,6,FALSE)&lt;&gt;"","Yes","No"))</f>
        <v/>
      </c>
      <c r="H124" s="19">
        <f>IF(A124&lt;&gt;"",VLOOKUP(A124,'Policy Inventory'!$A:$F,6,FALSE),"")</f>
        <v/>
      </c>
      <c r="I124" s="16" t="n"/>
      <c r="J124" s="16" t="n"/>
      <c r="K124" s="16" t="n"/>
      <c r="L124" s="16" t="n"/>
      <c r="M124" s="19">
        <f>IF(B124="","",IF(AND(D124="Yes",G124="Yes",I124="Yes",K124="Complete",L124="Yes"),"Compliant",IF(OR(D124="No",G124="No",I124="Insufficient",K124="Missing"),"Non-Compliant","Partial")))</f>
        <v/>
      </c>
      <c r="N124" s="16" t="n"/>
      <c r="O124" s="16" t="n"/>
    </row>
    <row r="125">
      <c r="A125" s="19">
        <f>IF(ROW()-5&lt;=COUNTA('Policy Inventory'!$A:$A)-4,INDEX('Policy Inventory'!$A:$A,ROW()-1),"")</f>
        <v/>
      </c>
      <c r="B125" s="19">
        <f>IF(A125&lt;&gt;"",VLOOKUP(A125,'Policy Inventory'!$A:$B,2,FALSE),"")</f>
        <v/>
      </c>
      <c r="C125" s="19">
        <f>IF(A125&lt;&gt;"",VLOOKUP(A125,'Policy Inventory'!$A:$C,3,FALSE),"")</f>
        <v/>
      </c>
      <c r="D125" s="19">
        <f>IF(A125="","",IF(VLOOKUP(A125,'Policy Inventory'!$A:$E,5,FALSE)&lt;&gt;"","Yes","No"))</f>
        <v/>
      </c>
      <c r="E125" s="19">
        <f>IF(A125&lt;&gt;"",VLOOKUP(A125,'Policy Inventory'!$A:$E,5,FALSE),"")</f>
        <v/>
      </c>
      <c r="F125" s="16" t="n"/>
      <c r="G125" s="19">
        <f>IF(A125="","",IF(VLOOKUP(A125,'Policy Inventory'!$A:$F,6,FALSE)&lt;&gt;"","Yes","No"))</f>
        <v/>
      </c>
      <c r="H125" s="19">
        <f>IF(A125&lt;&gt;"",VLOOKUP(A125,'Policy Inventory'!$A:$F,6,FALSE),"")</f>
        <v/>
      </c>
      <c r="I125" s="16" t="n"/>
      <c r="J125" s="16" t="n"/>
      <c r="K125" s="16" t="n"/>
      <c r="L125" s="16" t="n"/>
      <c r="M125" s="19">
        <f>IF(B125="","",IF(AND(D125="Yes",G125="Yes",I125="Yes",K125="Complete",L125="Yes"),"Compliant",IF(OR(D125="No",G125="No",I125="Insufficient",K125="Missing"),"Non-Compliant","Partial")))</f>
        <v/>
      </c>
      <c r="N125" s="16" t="n"/>
      <c r="O125" s="16" t="n"/>
    </row>
    <row r="126">
      <c r="A126" s="19">
        <f>IF(ROW()-5&lt;=COUNTA('Policy Inventory'!$A:$A)-4,INDEX('Policy Inventory'!$A:$A,ROW()-1),"")</f>
        <v/>
      </c>
      <c r="B126" s="19">
        <f>IF(A126&lt;&gt;"",VLOOKUP(A126,'Policy Inventory'!$A:$B,2,FALSE),"")</f>
        <v/>
      </c>
      <c r="C126" s="19">
        <f>IF(A126&lt;&gt;"",VLOOKUP(A126,'Policy Inventory'!$A:$C,3,FALSE),"")</f>
        <v/>
      </c>
      <c r="D126" s="19">
        <f>IF(A126="","",IF(VLOOKUP(A126,'Policy Inventory'!$A:$E,5,FALSE)&lt;&gt;"","Yes","No"))</f>
        <v/>
      </c>
      <c r="E126" s="19">
        <f>IF(A126&lt;&gt;"",VLOOKUP(A126,'Policy Inventory'!$A:$E,5,FALSE),"")</f>
        <v/>
      </c>
      <c r="F126" s="16" t="n"/>
      <c r="G126" s="19">
        <f>IF(A126="","",IF(VLOOKUP(A126,'Policy Inventory'!$A:$F,6,FALSE)&lt;&gt;"","Yes","No"))</f>
        <v/>
      </c>
      <c r="H126" s="19">
        <f>IF(A126&lt;&gt;"",VLOOKUP(A126,'Policy Inventory'!$A:$F,6,FALSE),"")</f>
        <v/>
      </c>
      <c r="I126" s="16" t="n"/>
      <c r="J126" s="16" t="n"/>
      <c r="K126" s="16" t="n"/>
      <c r="L126" s="16" t="n"/>
      <c r="M126" s="19">
        <f>IF(B126="","",IF(AND(D126="Yes",G126="Yes",I126="Yes",K126="Complete",L126="Yes"),"Compliant",IF(OR(D126="No",G126="No",I126="Insufficient",K126="Missing"),"Non-Compliant","Partial")))</f>
        <v/>
      </c>
      <c r="N126" s="16" t="n"/>
      <c r="O126" s="16" t="n"/>
    </row>
    <row r="127">
      <c r="A127" s="19">
        <f>IF(ROW()-5&lt;=COUNTA('Policy Inventory'!$A:$A)-4,INDEX('Policy Inventory'!$A:$A,ROW()-1),"")</f>
        <v/>
      </c>
      <c r="B127" s="19">
        <f>IF(A127&lt;&gt;"",VLOOKUP(A127,'Policy Inventory'!$A:$B,2,FALSE),"")</f>
        <v/>
      </c>
      <c r="C127" s="19">
        <f>IF(A127&lt;&gt;"",VLOOKUP(A127,'Policy Inventory'!$A:$C,3,FALSE),"")</f>
        <v/>
      </c>
      <c r="D127" s="19">
        <f>IF(A127="","",IF(VLOOKUP(A127,'Policy Inventory'!$A:$E,5,FALSE)&lt;&gt;"","Yes","No"))</f>
        <v/>
      </c>
      <c r="E127" s="19">
        <f>IF(A127&lt;&gt;"",VLOOKUP(A127,'Policy Inventory'!$A:$E,5,FALSE),"")</f>
        <v/>
      </c>
      <c r="F127" s="16" t="n"/>
      <c r="G127" s="19">
        <f>IF(A127="","",IF(VLOOKUP(A127,'Policy Inventory'!$A:$F,6,FALSE)&lt;&gt;"","Yes","No"))</f>
        <v/>
      </c>
      <c r="H127" s="19">
        <f>IF(A127&lt;&gt;"",VLOOKUP(A127,'Policy Inventory'!$A:$F,6,FALSE),"")</f>
        <v/>
      </c>
      <c r="I127" s="16" t="n"/>
      <c r="J127" s="16" t="n"/>
      <c r="K127" s="16" t="n"/>
      <c r="L127" s="16" t="n"/>
      <c r="M127" s="19">
        <f>IF(B127="","",IF(AND(D127="Yes",G127="Yes",I127="Yes",K127="Complete",L127="Yes"),"Compliant",IF(OR(D127="No",G127="No",I127="Insufficient",K127="Missing"),"Non-Compliant","Partial")))</f>
        <v/>
      </c>
      <c r="N127" s="16" t="n"/>
      <c r="O127" s="16" t="n"/>
    </row>
    <row r="128">
      <c r="A128" s="19">
        <f>IF(ROW()-5&lt;=COUNTA('Policy Inventory'!$A:$A)-4,INDEX('Policy Inventory'!$A:$A,ROW()-1),"")</f>
        <v/>
      </c>
      <c r="B128" s="19">
        <f>IF(A128&lt;&gt;"",VLOOKUP(A128,'Policy Inventory'!$A:$B,2,FALSE),"")</f>
        <v/>
      </c>
      <c r="C128" s="19">
        <f>IF(A128&lt;&gt;"",VLOOKUP(A128,'Policy Inventory'!$A:$C,3,FALSE),"")</f>
        <v/>
      </c>
      <c r="D128" s="19">
        <f>IF(A128="","",IF(VLOOKUP(A128,'Policy Inventory'!$A:$E,5,FALSE)&lt;&gt;"","Yes","No"))</f>
        <v/>
      </c>
      <c r="E128" s="19">
        <f>IF(A128&lt;&gt;"",VLOOKUP(A128,'Policy Inventory'!$A:$E,5,FALSE),"")</f>
        <v/>
      </c>
      <c r="F128" s="16" t="n"/>
      <c r="G128" s="19">
        <f>IF(A128="","",IF(VLOOKUP(A128,'Policy Inventory'!$A:$F,6,FALSE)&lt;&gt;"","Yes","No"))</f>
        <v/>
      </c>
      <c r="H128" s="19">
        <f>IF(A128&lt;&gt;"",VLOOKUP(A128,'Policy Inventory'!$A:$F,6,FALSE),"")</f>
        <v/>
      </c>
      <c r="I128" s="16" t="n"/>
      <c r="J128" s="16" t="n"/>
      <c r="K128" s="16" t="n"/>
      <c r="L128" s="16" t="n"/>
      <c r="M128" s="19">
        <f>IF(B128="","",IF(AND(D128="Yes",G128="Yes",I128="Yes",K128="Complete",L128="Yes"),"Compliant",IF(OR(D128="No",G128="No",I128="Insufficient",K128="Missing"),"Non-Compliant","Partial")))</f>
        <v/>
      </c>
      <c r="N128" s="16" t="n"/>
      <c r="O128" s="16" t="n"/>
    </row>
    <row r="129">
      <c r="A129" s="19">
        <f>IF(ROW()-5&lt;=COUNTA('Policy Inventory'!$A:$A)-4,INDEX('Policy Inventory'!$A:$A,ROW()-1),"")</f>
        <v/>
      </c>
      <c r="B129" s="19">
        <f>IF(A129&lt;&gt;"",VLOOKUP(A129,'Policy Inventory'!$A:$B,2,FALSE),"")</f>
        <v/>
      </c>
      <c r="C129" s="19">
        <f>IF(A129&lt;&gt;"",VLOOKUP(A129,'Policy Inventory'!$A:$C,3,FALSE),"")</f>
        <v/>
      </c>
      <c r="D129" s="19">
        <f>IF(A129="","",IF(VLOOKUP(A129,'Policy Inventory'!$A:$E,5,FALSE)&lt;&gt;"","Yes","No"))</f>
        <v/>
      </c>
      <c r="E129" s="19">
        <f>IF(A129&lt;&gt;"",VLOOKUP(A129,'Policy Inventory'!$A:$E,5,FALSE),"")</f>
        <v/>
      </c>
      <c r="F129" s="16" t="n"/>
      <c r="G129" s="19">
        <f>IF(A129="","",IF(VLOOKUP(A129,'Policy Inventory'!$A:$F,6,FALSE)&lt;&gt;"","Yes","No"))</f>
        <v/>
      </c>
      <c r="H129" s="19">
        <f>IF(A129&lt;&gt;"",VLOOKUP(A129,'Policy Inventory'!$A:$F,6,FALSE),"")</f>
        <v/>
      </c>
      <c r="I129" s="16" t="n"/>
      <c r="J129" s="16" t="n"/>
      <c r="K129" s="16" t="n"/>
      <c r="L129" s="16" t="n"/>
      <c r="M129" s="19">
        <f>IF(B129="","",IF(AND(D129="Yes",G129="Yes",I129="Yes",K129="Complete",L129="Yes"),"Compliant",IF(OR(D129="No",G129="No",I129="Insufficient",K129="Missing"),"Non-Compliant","Partial")))</f>
        <v/>
      </c>
      <c r="N129" s="16" t="n"/>
      <c r="O129" s="16" t="n"/>
    </row>
    <row r="130">
      <c r="A130" s="19">
        <f>IF(ROW()-5&lt;=COUNTA('Policy Inventory'!$A:$A)-4,INDEX('Policy Inventory'!$A:$A,ROW()-1),"")</f>
        <v/>
      </c>
      <c r="B130" s="19">
        <f>IF(A130&lt;&gt;"",VLOOKUP(A130,'Policy Inventory'!$A:$B,2,FALSE),"")</f>
        <v/>
      </c>
      <c r="C130" s="19">
        <f>IF(A130&lt;&gt;"",VLOOKUP(A130,'Policy Inventory'!$A:$C,3,FALSE),"")</f>
        <v/>
      </c>
      <c r="D130" s="19">
        <f>IF(A130="","",IF(VLOOKUP(A130,'Policy Inventory'!$A:$E,5,FALSE)&lt;&gt;"","Yes","No"))</f>
        <v/>
      </c>
      <c r="E130" s="19">
        <f>IF(A130&lt;&gt;"",VLOOKUP(A130,'Policy Inventory'!$A:$E,5,FALSE),"")</f>
        <v/>
      </c>
      <c r="F130" s="16" t="n"/>
      <c r="G130" s="19">
        <f>IF(A130="","",IF(VLOOKUP(A130,'Policy Inventory'!$A:$F,6,FALSE)&lt;&gt;"","Yes","No"))</f>
        <v/>
      </c>
      <c r="H130" s="19">
        <f>IF(A130&lt;&gt;"",VLOOKUP(A130,'Policy Inventory'!$A:$F,6,FALSE),"")</f>
        <v/>
      </c>
      <c r="I130" s="16" t="n"/>
      <c r="J130" s="16" t="n"/>
      <c r="K130" s="16" t="n"/>
      <c r="L130" s="16" t="n"/>
      <c r="M130" s="19">
        <f>IF(B130="","",IF(AND(D130="Yes",G130="Yes",I130="Yes",K130="Complete",L130="Yes"),"Compliant",IF(OR(D130="No",G130="No",I130="Insufficient",K130="Missing"),"Non-Compliant","Partial")))</f>
        <v/>
      </c>
      <c r="N130" s="16" t="n"/>
      <c r="O130" s="16" t="n"/>
    </row>
    <row r="131">
      <c r="A131" s="19">
        <f>IF(ROW()-5&lt;=COUNTA('Policy Inventory'!$A:$A)-4,INDEX('Policy Inventory'!$A:$A,ROW()-1),"")</f>
        <v/>
      </c>
      <c r="B131" s="19">
        <f>IF(A131&lt;&gt;"",VLOOKUP(A131,'Policy Inventory'!$A:$B,2,FALSE),"")</f>
        <v/>
      </c>
      <c r="C131" s="19">
        <f>IF(A131&lt;&gt;"",VLOOKUP(A131,'Policy Inventory'!$A:$C,3,FALSE),"")</f>
        <v/>
      </c>
      <c r="D131" s="19">
        <f>IF(A131="","",IF(VLOOKUP(A131,'Policy Inventory'!$A:$E,5,FALSE)&lt;&gt;"","Yes","No"))</f>
        <v/>
      </c>
      <c r="E131" s="19">
        <f>IF(A131&lt;&gt;"",VLOOKUP(A131,'Policy Inventory'!$A:$E,5,FALSE),"")</f>
        <v/>
      </c>
      <c r="F131" s="16" t="n"/>
      <c r="G131" s="19">
        <f>IF(A131="","",IF(VLOOKUP(A131,'Policy Inventory'!$A:$F,6,FALSE)&lt;&gt;"","Yes","No"))</f>
        <v/>
      </c>
      <c r="H131" s="19">
        <f>IF(A131&lt;&gt;"",VLOOKUP(A131,'Policy Inventory'!$A:$F,6,FALSE),"")</f>
        <v/>
      </c>
      <c r="I131" s="16" t="n"/>
      <c r="J131" s="16" t="n"/>
      <c r="K131" s="16" t="n"/>
      <c r="L131" s="16" t="n"/>
      <c r="M131" s="19">
        <f>IF(B131="","",IF(AND(D131="Yes",G131="Yes",I131="Yes",K131="Complete",L131="Yes"),"Compliant",IF(OR(D131="No",G131="No",I131="Insufficient",K131="Missing"),"Non-Compliant","Partial")))</f>
        <v/>
      </c>
      <c r="N131" s="16" t="n"/>
      <c r="O131" s="16" t="n"/>
    </row>
    <row r="132">
      <c r="A132" s="19">
        <f>IF(ROW()-5&lt;=COUNTA('Policy Inventory'!$A:$A)-4,INDEX('Policy Inventory'!$A:$A,ROW()-1),"")</f>
        <v/>
      </c>
      <c r="B132" s="19">
        <f>IF(A132&lt;&gt;"",VLOOKUP(A132,'Policy Inventory'!$A:$B,2,FALSE),"")</f>
        <v/>
      </c>
      <c r="C132" s="19">
        <f>IF(A132&lt;&gt;"",VLOOKUP(A132,'Policy Inventory'!$A:$C,3,FALSE),"")</f>
        <v/>
      </c>
      <c r="D132" s="19">
        <f>IF(A132="","",IF(VLOOKUP(A132,'Policy Inventory'!$A:$E,5,FALSE)&lt;&gt;"","Yes","No"))</f>
        <v/>
      </c>
      <c r="E132" s="19">
        <f>IF(A132&lt;&gt;"",VLOOKUP(A132,'Policy Inventory'!$A:$E,5,FALSE),"")</f>
        <v/>
      </c>
      <c r="F132" s="16" t="n"/>
      <c r="G132" s="19">
        <f>IF(A132="","",IF(VLOOKUP(A132,'Policy Inventory'!$A:$F,6,FALSE)&lt;&gt;"","Yes","No"))</f>
        <v/>
      </c>
      <c r="H132" s="19">
        <f>IF(A132&lt;&gt;"",VLOOKUP(A132,'Policy Inventory'!$A:$F,6,FALSE),"")</f>
        <v/>
      </c>
      <c r="I132" s="16" t="n"/>
      <c r="J132" s="16" t="n"/>
      <c r="K132" s="16" t="n"/>
      <c r="L132" s="16" t="n"/>
      <c r="M132" s="19">
        <f>IF(B132="","",IF(AND(D132="Yes",G132="Yes",I132="Yes",K132="Complete",L132="Yes"),"Compliant",IF(OR(D132="No",G132="No",I132="Insufficient",K132="Missing"),"Non-Compliant","Partial")))</f>
        <v/>
      </c>
      <c r="N132" s="16" t="n"/>
      <c r="O132" s="16" t="n"/>
    </row>
    <row r="133">
      <c r="A133" s="19">
        <f>IF(ROW()-5&lt;=COUNTA('Policy Inventory'!$A:$A)-4,INDEX('Policy Inventory'!$A:$A,ROW()-1),"")</f>
        <v/>
      </c>
      <c r="B133" s="19">
        <f>IF(A133&lt;&gt;"",VLOOKUP(A133,'Policy Inventory'!$A:$B,2,FALSE),"")</f>
        <v/>
      </c>
      <c r="C133" s="19">
        <f>IF(A133&lt;&gt;"",VLOOKUP(A133,'Policy Inventory'!$A:$C,3,FALSE),"")</f>
        <v/>
      </c>
      <c r="D133" s="19">
        <f>IF(A133="","",IF(VLOOKUP(A133,'Policy Inventory'!$A:$E,5,FALSE)&lt;&gt;"","Yes","No"))</f>
        <v/>
      </c>
      <c r="E133" s="19">
        <f>IF(A133&lt;&gt;"",VLOOKUP(A133,'Policy Inventory'!$A:$E,5,FALSE),"")</f>
        <v/>
      </c>
      <c r="F133" s="16" t="n"/>
      <c r="G133" s="19">
        <f>IF(A133="","",IF(VLOOKUP(A133,'Policy Inventory'!$A:$F,6,FALSE)&lt;&gt;"","Yes","No"))</f>
        <v/>
      </c>
      <c r="H133" s="19">
        <f>IF(A133&lt;&gt;"",VLOOKUP(A133,'Policy Inventory'!$A:$F,6,FALSE),"")</f>
        <v/>
      </c>
      <c r="I133" s="16" t="n"/>
      <c r="J133" s="16" t="n"/>
      <c r="K133" s="16" t="n"/>
      <c r="L133" s="16" t="n"/>
      <c r="M133" s="19">
        <f>IF(B133="","",IF(AND(D133="Yes",G133="Yes",I133="Yes",K133="Complete",L133="Yes"),"Compliant",IF(OR(D133="No",G133="No",I133="Insufficient",K133="Missing"),"Non-Compliant","Partial")))</f>
        <v/>
      </c>
      <c r="N133" s="16" t="n"/>
      <c r="O133" s="16" t="n"/>
    </row>
    <row r="134">
      <c r="A134" s="19">
        <f>IF(ROW()-5&lt;=COUNTA('Policy Inventory'!$A:$A)-4,INDEX('Policy Inventory'!$A:$A,ROW()-1),"")</f>
        <v/>
      </c>
      <c r="B134" s="19">
        <f>IF(A134&lt;&gt;"",VLOOKUP(A134,'Policy Inventory'!$A:$B,2,FALSE),"")</f>
        <v/>
      </c>
      <c r="C134" s="19">
        <f>IF(A134&lt;&gt;"",VLOOKUP(A134,'Policy Inventory'!$A:$C,3,FALSE),"")</f>
        <v/>
      </c>
      <c r="D134" s="19">
        <f>IF(A134="","",IF(VLOOKUP(A134,'Policy Inventory'!$A:$E,5,FALSE)&lt;&gt;"","Yes","No"))</f>
        <v/>
      </c>
      <c r="E134" s="19">
        <f>IF(A134&lt;&gt;"",VLOOKUP(A134,'Policy Inventory'!$A:$E,5,FALSE),"")</f>
        <v/>
      </c>
      <c r="F134" s="16" t="n"/>
      <c r="G134" s="19">
        <f>IF(A134="","",IF(VLOOKUP(A134,'Policy Inventory'!$A:$F,6,FALSE)&lt;&gt;"","Yes","No"))</f>
        <v/>
      </c>
      <c r="H134" s="19">
        <f>IF(A134&lt;&gt;"",VLOOKUP(A134,'Policy Inventory'!$A:$F,6,FALSE),"")</f>
        <v/>
      </c>
      <c r="I134" s="16" t="n"/>
      <c r="J134" s="16" t="n"/>
      <c r="K134" s="16" t="n"/>
      <c r="L134" s="16" t="n"/>
      <c r="M134" s="19">
        <f>IF(B134="","",IF(AND(D134="Yes",G134="Yes",I134="Yes",K134="Complete",L134="Yes"),"Compliant",IF(OR(D134="No",G134="No",I134="Insufficient",K134="Missing"),"Non-Compliant","Partial")))</f>
        <v/>
      </c>
      <c r="N134" s="16" t="n"/>
      <c r="O134" s="16" t="n"/>
    </row>
    <row r="135">
      <c r="A135" s="19">
        <f>IF(ROW()-5&lt;=COUNTA('Policy Inventory'!$A:$A)-4,INDEX('Policy Inventory'!$A:$A,ROW()-1),"")</f>
        <v/>
      </c>
      <c r="B135" s="19">
        <f>IF(A135&lt;&gt;"",VLOOKUP(A135,'Policy Inventory'!$A:$B,2,FALSE),"")</f>
        <v/>
      </c>
      <c r="C135" s="19">
        <f>IF(A135&lt;&gt;"",VLOOKUP(A135,'Policy Inventory'!$A:$C,3,FALSE),"")</f>
        <v/>
      </c>
      <c r="D135" s="19">
        <f>IF(A135="","",IF(VLOOKUP(A135,'Policy Inventory'!$A:$E,5,FALSE)&lt;&gt;"","Yes","No"))</f>
        <v/>
      </c>
      <c r="E135" s="19">
        <f>IF(A135&lt;&gt;"",VLOOKUP(A135,'Policy Inventory'!$A:$E,5,FALSE),"")</f>
        <v/>
      </c>
      <c r="F135" s="16" t="n"/>
      <c r="G135" s="19">
        <f>IF(A135="","",IF(VLOOKUP(A135,'Policy Inventory'!$A:$F,6,FALSE)&lt;&gt;"","Yes","No"))</f>
        <v/>
      </c>
      <c r="H135" s="19">
        <f>IF(A135&lt;&gt;"",VLOOKUP(A135,'Policy Inventory'!$A:$F,6,FALSE),"")</f>
        <v/>
      </c>
      <c r="I135" s="16" t="n"/>
      <c r="J135" s="16" t="n"/>
      <c r="K135" s="16" t="n"/>
      <c r="L135" s="16" t="n"/>
      <c r="M135" s="19">
        <f>IF(B135="","",IF(AND(D135="Yes",G135="Yes",I135="Yes",K135="Complete",L135="Yes"),"Compliant",IF(OR(D135="No",G135="No",I135="Insufficient",K135="Missing"),"Non-Compliant","Partial")))</f>
        <v/>
      </c>
      <c r="N135" s="16" t="n"/>
      <c r="O135" s="16" t="n"/>
    </row>
    <row r="136">
      <c r="A136" s="19">
        <f>IF(ROW()-5&lt;=COUNTA('Policy Inventory'!$A:$A)-4,INDEX('Policy Inventory'!$A:$A,ROW()-1),"")</f>
        <v/>
      </c>
      <c r="B136" s="19">
        <f>IF(A136&lt;&gt;"",VLOOKUP(A136,'Policy Inventory'!$A:$B,2,FALSE),"")</f>
        <v/>
      </c>
      <c r="C136" s="19">
        <f>IF(A136&lt;&gt;"",VLOOKUP(A136,'Policy Inventory'!$A:$C,3,FALSE),"")</f>
        <v/>
      </c>
      <c r="D136" s="19">
        <f>IF(A136="","",IF(VLOOKUP(A136,'Policy Inventory'!$A:$E,5,FALSE)&lt;&gt;"","Yes","No"))</f>
        <v/>
      </c>
      <c r="E136" s="19">
        <f>IF(A136&lt;&gt;"",VLOOKUP(A136,'Policy Inventory'!$A:$E,5,FALSE),"")</f>
        <v/>
      </c>
      <c r="F136" s="16" t="n"/>
      <c r="G136" s="19">
        <f>IF(A136="","",IF(VLOOKUP(A136,'Policy Inventory'!$A:$F,6,FALSE)&lt;&gt;"","Yes","No"))</f>
        <v/>
      </c>
      <c r="H136" s="19">
        <f>IF(A136&lt;&gt;"",VLOOKUP(A136,'Policy Inventory'!$A:$F,6,FALSE),"")</f>
        <v/>
      </c>
      <c r="I136" s="16" t="n"/>
      <c r="J136" s="16" t="n"/>
      <c r="K136" s="16" t="n"/>
      <c r="L136" s="16" t="n"/>
      <c r="M136" s="19">
        <f>IF(B136="","",IF(AND(D136="Yes",G136="Yes",I136="Yes",K136="Complete",L136="Yes"),"Compliant",IF(OR(D136="No",G136="No",I136="Insufficient",K136="Missing"),"Non-Compliant","Partial")))</f>
        <v/>
      </c>
      <c r="N136" s="16" t="n"/>
      <c r="O136" s="16" t="n"/>
    </row>
    <row r="137">
      <c r="A137" s="19">
        <f>IF(ROW()-5&lt;=COUNTA('Policy Inventory'!$A:$A)-4,INDEX('Policy Inventory'!$A:$A,ROW()-1),"")</f>
        <v/>
      </c>
      <c r="B137" s="19">
        <f>IF(A137&lt;&gt;"",VLOOKUP(A137,'Policy Inventory'!$A:$B,2,FALSE),"")</f>
        <v/>
      </c>
      <c r="C137" s="19">
        <f>IF(A137&lt;&gt;"",VLOOKUP(A137,'Policy Inventory'!$A:$C,3,FALSE),"")</f>
        <v/>
      </c>
      <c r="D137" s="19">
        <f>IF(A137="","",IF(VLOOKUP(A137,'Policy Inventory'!$A:$E,5,FALSE)&lt;&gt;"","Yes","No"))</f>
        <v/>
      </c>
      <c r="E137" s="19">
        <f>IF(A137&lt;&gt;"",VLOOKUP(A137,'Policy Inventory'!$A:$E,5,FALSE),"")</f>
        <v/>
      </c>
      <c r="F137" s="16" t="n"/>
      <c r="G137" s="19">
        <f>IF(A137="","",IF(VLOOKUP(A137,'Policy Inventory'!$A:$F,6,FALSE)&lt;&gt;"","Yes","No"))</f>
        <v/>
      </c>
      <c r="H137" s="19">
        <f>IF(A137&lt;&gt;"",VLOOKUP(A137,'Policy Inventory'!$A:$F,6,FALSE),"")</f>
        <v/>
      </c>
      <c r="I137" s="16" t="n"/>
      <c r="J137" s="16" t="n"/>
      <c r="K137" s="16" t="n"/>
      <c r="L137" s="16" t="n"/>
      <c r="M137" s="19">
        <f>IF(B137="","",IF(AND(D137="Yes",G137="Yes",I137="Yes",K137="Complete",L137="Yes"),"Compliant",IF(OR(D137="No",G137="No",I137="Insufficient",K137="Missing"),"Non-Compliant","Partial")))</f>
        <v/>
      </c>
      <c r="N137" s="16" t="n"/>
      <c r="O137" s="16" t="n"/>
    </row>
    <row r="138">
      <c r="A138" s="19">
        <f>IF(ROW()-5&lt;=COUNTA('Policy Inventory'!$A:$A)-4,INDEX('Policy Inventory'!$A:$A,ROW()-1),"")</f>
        <v/>
      </c>
      <c r="B138" s="19">
        <f>IF(A138&lt;&gt;"",VLOOKUP(A138,'Policy Inventory'!$A:$B,2,FALSE),"")</f>
        <v/>
      </c>
      <c r="C138" s="19">
        <f>IF(A138&lt;&gt;"",VLOOKUP(A138,'Policy Inventory'!$A:$C,3,FALSE),"")</f>
        <v/>
      </c>
      <c r="D138" s="19">
        <f>IF(A138="","",IF(VLOOKUP(A138,'Policy Inventory'!$A:$E,5,FALSE)&lt;&gt;"","Yes","No"))</f>
        <v/>
      </c>
      <c r="E138" s="19">
        <f>IF(A138&lt;&gt;"",VLOOKUP(A138,'Policy Inventory'!$A:$E,5,FALSE),"")</f>
        <v/>
      </c>
      <c r="F138" s="16" t="n"/>
      <c r="G138" s="19">
        <f>IF(A138="","",IF(VLOOKUP(A138,'Policy Inventory'!$A:$F,6,FALSE)&lt;&gt;"","Yes","No"))</f>
        <v/>
      </c>
      <c r="H138" s="19">
        <f>IF(A138&lt;&gt;"",VLOOKUP(A138,'Policy Inventory'!$A:$F,6,FALSE),"")</f>
        <v/>
      </c>
      <c r="I138" s="16" t="n"/>
      <c r="J138" s="16" t="n"/>
      <c r="K138" s="16" t="n"/>
      <c r="L138" s="16" t="n"/>
      <c r="M138" s="19">
        <f>IF(B138="","",IF(AND(D138="Yes",G138="Yes",I138="Yes",K138="Complete",L138="Yes"),"Compliant",IF(OR(D138="No",G138="No",I138="Insufficient",K138="Missing"),"Non-Compliant","Partial")))</f>
        <v/>
      </c>
      <c r="N138" s="16" t="n"/>
      <c r="O138" s="16" t="n"/>
    </row>
    <row r="139">
      <c r="A139" s="19">
        <f>IF(ROW()-5&lt;=COUNTA('Policy Inventory'!$A:$A)-4,INDEX('Policy Inventory'!$A:$A,ROW()-1),"")</f>
        <v/>
      </c>
      <c r="B139" s="19">
        <f>IF(A139&lt;&gt;"",VLOOKUP(A139,'Policy Inventory'!$A:$B,2,FALSE),"")</f>
        <v/>
      </c>
      <c r="C139" s="19">
        <f>IF(A139&lt;&gt;"",VLOOKUP(A139,'Policy Inventory'!$A:$C,3,FALSE),"")</f>
        <v/>
      </c>
      <c r="D139" s="19">
        <f>IF(A139="","",IF(VLOOKUP(A139,'Policy Inventory'!$A:$E,5,FALSE)&lt;&gt;"","Yes","No"))</f>
        <v/>
      </c>
      <c r="E139" s="19">
        <f>IF(A139&lt;&gt;"",VLOOKUP(A139,'Policy Inventory'!$A:$E,5,FALSE),"")</f>
        <v/>
      </c>
      <c r="F139" s="16" t="n"/>
      <c r="G139" s="19">
        <f>IF(A139="","",IF(VLOOKUP(A139,'Policy Inventory'!$A:$F,6,FALSE)&lt;&gt;"","Yes","No"))</f>
        <v/>
      </c>
      <c r="H139" s="19">
        <f>IF(A139&lt;&gt;"",VLOOKUP(A139,'Policy Inventory'!$A:$F,6,FALSE),"")</f>
        <v/>
      </c>
      <c r="I139" s="16" t="n"/>
      <c r="J139" s="16" t="n"/>
      <c r="K139" s="16" t="n"/>
      <c r="L139" s="16" t="n"/>
      <c r="M139" s="19">
        <f>IF(B139="","",IF(AND(D139="Yes",G139="Yes",I139="Yes",K139="Complete",L139="Yes"),"Compliant",IF(OR(D139="No",G139="No",I139="Insufficient",K139="Missing"),"Non-Compliant","Partial")))</f>
        <v/>
      </c>
      <c r="N139" s="16" t="n"/>
      <c r="O139" s="16" t="n"/>
    </row>
    <row r="140">
      <c r="A140" s="19">
        <f>IF(ROW()-5&lt;=COUNTA('Policy Inventory'!$A:$A)-4,INDEX('Policy Inventory'!$A:$A,ROW()-1),"")</f>
        <v/>
      </c>
      <c r="B140" s="19">
        <f>IF(A140&lt;&gt;"",VLOOKUP(A140,'Policy Inventory'!$A:$B,2,FALSE),"")</f>
        <v/>
      </c>
      <c r="C140" s="19">
        <f>IF(A140&lt;&gt;"",VLOOKUP(A140,'Policy Inventory'!$A:$C,3,FALSE),"")</f>
        <v/>
      </c>
      <c r="D140" s="19">
        <f>IF(A140="","",IF(VLOOKUP(A140,'Policy Inventory'!$A:$E,5,FALSE)&lt;&gt;"","Yes","No"))</f>
        <v/>
      </c>
      <c r="E140" s="19">
        <f>IF(A140&lt;&gt;"",VLOOKUP(A140,'Policy Inventory'!$A:$E,5,FALSE),"")</f>
        <v/>
      </c>
      <c r="F140" s="16" t="n"/>
      <c r="G140" s="19">
        <f>IF(A140="","",IF(VLOOKUP(A140,'Policy Inventory'!$A:$F,6,FALSE)&lt;&gt;"","Yes","No"))</f>
        <v/>
      </c>
      <c r="H140" s="19">
        <f>IF(A140&lt;&gt;"",VLOOKUP(A140,'Policy Inventory'!$A:$F,6,FALSE),"")</f>
        <v/>
      </c>
      <c r="I140" s="16" t="n"/>
      <c r="J140" s="16" t="n"/>
      <c r="K140" s="16" t="n"/>
      <c r="L140" s="16" t="n"/>
      <c r="M140" s="19">
        <f>IF(B140="","",IF(AND(D140="Yes",G140="Yes",I140="Yes",K140="Complete",L140="Yes"),"Compliant",IF(OR(D140="No",G140="No",I140="Insufficient",K140="Missing"),"Non-Compliant","Partial")))</f>
        <v/>
      </c>
      <c r="N140" s="16" t="n"/>
      <c r="O140" s="16" t="n"/>
    </row>
    <row r="141">
      <c r="A141" s="19">
        <f>IF(ROW()-5&lt;=COUNTA('Policy Inventory'!$A:$A)-4,INDEX('Policy Inventory'!$A:$A,ROW()-1),"")</f>
        <v/>
      </c>
      <c r="B141" s="19">
        <f>IF(A141&lt;&gt;"",VLOOKUP(A141,'Policy Inventory'!$A:$B,2,FALSE),"")</f>
        <v/>
      </c>
      <c r="C141" s="19">
        <f>IF(A141&lt;&gt;"",VLOOKUP(A141,'Policy Inventory'!$A:$C,3,FALSE),"")</f>
        <v/>
      </c>
      <c r="D141" s="19">
        <f>IF(A141="","",IF(VLOOKUP(A141,'Policy Inventory'!$A:$E,5,FALSE)&lt;&gt;"","Yes","No"))</f>
        <v/>
      </c>
      <c r="E141" s="19">
        <f>IF(A141&lt;&gt;"",VLOOKUP(A141,'Policy Inventory'!$A:$E,5,FALSE),"")</f>
        <v/>
      </c>
      <c r="F141" s="16" t="n"/>
      <c r="G141" s="19">
        <f>IF(A141="","",IF(VLOOKUP(A141,'Policy Inventory'!$A:$F,6,FALSE)&lt;&gt;"","Yes","No"))</f>
        <v/>
      </c>
      <c r="H141" s="19">
        <f>IF(A141&lt;&gt;"",VLOOKUP(A141,'Policy Inventory'!$A:$F,6,FALSE),"")</f>
        <v/>
      </c>
      <c r="I141" s="16" t="n"/>
      <c r="J141" s="16" t="n"/>
      <c r="K141" s="16" t="n"/>
      <c r="L141" s="16" t="n"/>
      <c r="M141" s="19">
        <f>IF(B141="","",IF(AND(D141="Yes",G141="Yes",I141="Yes",K141="Complete",L141="Yes"),"Compliant",IF(OR(D141="No",G141="No",I141="Insufficient",K141="Missing"),"Non-Compliant","Partial")))</f>
        <v/>
      </c>
      <c r="N141" s="16" t="n"/>
      <c r="O141" s="16" t="n"/>
    </row>
    <row r="142">
      <c r="A142" s="19">
        <f>IF(ROW()-5&lt;=COUNTA('Policy Inventory'!$A:$A)-4,INDEX('Policy Inventory'!$A:$A,ROW()-1),"")</f>
        <v/>
      </c>
      <c r="B142" s="19">
        <f>IF(A142&lt;&gt;"",VLOOKUP(A142,'Policy Inventory'!$A:$B,2,FALSE),"")</f>
        <v/>
      </c>
      <c r="C142" s="19">
        <f>IF(A142&lt;&gt;"",VLOOKUP(A142,'Policy Inventory'!$A:$C,3,FALSE),"")</f>
        <v/>
      </c>
      <c r="D142" s="19">
        <f>IF(A142="","",IF(VLOOKUP(A142,'Policy Inventory'!$A:$E,5,FALSE)&lt;&gt;"","Yes","No"))</f>
        <v/>
      </c>
      <c r="E142" s="19">
        <f>IF(A142&lt;&gt;"",VLOOKUP(A142,'Policy Inventory'!$A:$E,5,FALSE),"")</f>
        <v/>
      </c>
      <c r="F142" s="16" t="n"/>
      <c r="G142" s="19">
        <f>IF(A142="","",IF(VLOOKUP(A142,'Policy Inventory'!$A:$F,6,FALSE)&lt;&gt;"","Yes","No"))</f>
        <v/>
      </c>
      <c r="H142" s="19">
        <f>IF(A142&lt;&gt;"",VLOOKUP(A142,'Policy Inventory'!$A:$F,6,FALSE),"")</f>
        <v/>
      </c>
      <c r="I142" s="16" t="n"/>
      <c r="J142" s="16" t="n"/>
      <c r="K142" s="16" t="n"/>
      <c r="L142" s="16" t="n"/>
      <c r="M142" s="19">
        <f>IF(B142="","",IF(AND(D142="Yes",G142="Yes",I142="Yes",K142="Complete",L142="Yes"),"Compliant",IF(OR(D142="No",G142="No",I142="Insufficient",K142="Missing"),"Non-Compliant","Partial")))</f>
        <v/>
      </c>
      <c r="N142" s="16" t="n"/>
      <c r="O142" s="16" t="n"/>
    </row>
    <row r="143">
      <c r="A143" s="19">
        <f>IF(ROW()-5&lt;=COUNTA('Policy Inventory'!$A:$A)-4,INDEX('Policy Inventory'!$A:$A,ROW()-1),"")</f>
        <v/>
      </c>
      <c r="B143" s="19">
        <f>IF(A143&lt;&gt;"",VLOOKUP(A143,'Policy Inventory'!$A:$B,2,FALSE),"")</f>
        <v/>
      </c>
      <c r="C143" s="19">
        <f>IF(A143&lt;&gt;"",VLOOKUP(A143,'Policy Inventory'!$A:$C,3,FALSE),"")</f>
        <v/>
      </c>
      <c r="D143" s="19">
        <f>IF(A143="","",IF(VLOOKUP(A143,'Policy Inventory'!$A:$E,5,FALSE)&lt;&gt;"","Yes","No"))</f>
        <v/>
      </c>
      <c r="E143" s="19">
        <f>IF(A143&lt;&gt;"",VLOOKUP(A143,'Policy Inventory'!$A:$E,5,FALSE),"")</f>
        <v/>
      </c>
      <c r="F143" s="16" t="n"/>
      <c r="G143" s="19">
        <f>IF(A143="","",IF(VLOOKUP(A143,'Policy Inventory'!$A:$F,6,FALSE)&lt;&gt;"","Yes","No"))</f>
        <v/>
      </c>
      <c r="H143" s="19">
        <f>IF(A143&lt;&gt;"",VLOOKUP(A143,'Policy Inventory'!$A:$F,6,FALSE),"")</f>
        <v/>
      </c>
      <c r="I143" s="16" t="n"/>
      <c r="J143" s="16" t="n"/>
      <c r="K143" s="16" t="n"/>
      <c r="L143" s="16" t="n"/>
      <c r="M143" s="19">
        <f>IF(B143="","",IF(AND(D143="Yes",G143="Yes",I143="Yes",K143="Complete",L143="Yes"),"Compliant",IF(OR(D143="No",G143="No",I143="Insufficient",K143="Missing"),"Non-Compliant","Partial")))</f>
        <v/>
      </c>
      <c r="N143" s="16" t="n"/>
      <c r="O143" s="16" t="n"/>
    </row>
    <row r="144">
      <c r="A144" s="19">
        <f>IF(ROW()-5&lt;=COUNTA('Policy Inventory'!$A:$A)-4,INDEX('Policy Inventory'!$A:$A,ROW()-1),"")</f>
        <v/>
      </c>
      <c r="B144" s="19">
        <f>IF(A144&lt;&gt;"",VLOOKUP(A144,'Policy Inventory'!$A:$B,2,FALSE),"")</f>
        <v/>
      </c>
      <c r="C144" s="19">
        <f>IF(A144&lt;&gt;"",VLOOKUP(A144,'Policy Inventory'!$A:$C,3,FALSE),"")</f>
        <v/>
      </c>
      <c r="D144" s="19">
        <f>IF(A144="","",IF(VLOOKUP(A144,'Policy Inventory'!$A:$E,5,FALSE)&lt;&gt;"","Yes","No"))</f>
        <v/>
      </c>
      <c r="E144" s="19">
        <f>IF(A144&lt;&gt;"",VLOOKUP(A144,'Policy Inventory'!$A:$E,5,FALSE),"")</f>
        <v/>
      </c>
      <c r="F144" s="16" t="n"/>
      <c r="G144" s="19">
        <f>IF(A144="","",IF(VLOOKUP(A144,'Policy Inventory'!$A:$F,6,FALSE)&lt;&gt;"","Yes","No"))</f>
        <v/>
      </c>
      <c r="H144" s="19">
        <f>IF(A144&lt;&gt;"",VLOOKUP(A144,'Policy Inventory'!$A:$F,6,FALSE),"")</f>
        <v/>
      </c>
      <c r="I144" s="16" t="n"/>
      <c r="J144" s="16" t="n"/>
      <c r="K144" s="16" t="n"/>
      <c r="L144" s="16" t="n"/>
      <c r="M144" s="19">
        <f>IF(B144="","",IF(AND(D144="Yes",G144="Yes",I144="Yes",K144="Complete",L144="Yes"),"Compliant",IF(OR(D144="No",G144="No",I144="Insufficient",K144="Missing"),"Non-Compliant","Partial")))</f>
        <v/>
      </c>
      <c r="N144" s="16" t="n"/>
      <c r="O144" s="16" t="n"/>
    </row>
    <row r="145">
      <c r="A145" s="19">
        <f>IF(ROW()-5&lt;=COUNTA('Policy Inventory'!$A:$A)-4,INDEX('Policy Inventory'!$A:$A,ROW()-1),"")</f>
        <v/>
      </c>
      <c r="B145" s="19">
        <f>IF(A145&lt;&gt;"",VLOOKUP(A145,'Policy Inventory'!$A:$B,2,FALSE),"")</f>
        <v/>
      </c>
      <c r="C145" s="19">
        <f>IF(A145&lt;&gt;"",VLOOKUP(A145,'Policy Inventory'!$A:$C,3,FALSE),"")</f>
        <v/>
      </c>
      <c r="D145" s="19">
        <f>IF(A145="","",IF(VLOOKUP(A145,'Policy Inventory'!$A:$E,5,FALSE)&lt;&gt;"","Yes","No"))</f>
        <v/>
      </c>
      <c r="E145" s="19">
        <f>IF(A145&lt;&gt;"",VLOOKUP(A145,'Policy Inventory'!$A:$E,5,FALSE),"")</f>
        <v/>
      </c>
      <c r="F145" s="16" t="n"/>
      <c r="G145" s="19">
        <f>IF(A145="","",IF(VLOOKUP(A145,'Policy Inventory'!$A:$F,6,FALSE)&lt;&gt;"","Yes","No"))</f>
        <v/>
      </c>
      <c r="H145" s="19">
        <f>IF(A145&lt;&gt;"",VLOOKUP(A145,'Policy Inventory'!$A:$F,6,FALSE),"")</f>
        <v/>
      </c>
      <c r="I145" s="16" t="n"/>
      <c r="J145" s="16" t="n"/>
      <c r="K145" s="16" t="n"/>
      <c r="L145" s="16" t="n"/>
      <c r="M145" s="19">
        <f>IF(B145="","",IF(AND(D145="Yes",G145="Yes",I145="Yes",K145="Complete",L145="Yes"),"Compliant",IF(OR(D145="No",G145="No",I145="Insufficient",K145="Missing"),"Non-Compliant","Partial")))</f>
        <v/>
      </c>
      <c r="N145" s="16" t="n"/>
      <c r="O145" s="16" t="n"/>
    </row>
    <row r="146">
      <c r="A146" s="19">
        <f>IF(ROW()-5&lt;=COUNTA('Policy Inventory'!$A:$A)-4,INDEX('Policy Inventory'!$A:$A,ROW()-1),"")</f>
        <v/>
      </c>
      <c r="B146" s="19">
        <f>IF(A146&lt;&gt;"",VLOOKUP(A146,'Policy Inventory'!$A:$B,2,FALSE),"")</f>
        <v/>
      </c>
      <c r="C146" s="19">
        <f>IF(A146&lt;&gt;"",VLOOKUP(A146,'Policy Inventory'!$A:$C,3,FALSE),"")</f>
        <v/>
      </c>
      <c r="D146" s="19">
        <f>IF(A146="","",IF(VLOOKUP(A146,'Policy Inventory'!$A:$E,5,FALSE)&lt;&gt;"","Yes","No"))</f>
        <v/>
      </c>
      <c r="E146" s="19">
        <f>IF(A146&lt;&gt;"",VLOOKUP(A146,'Policy Inventory'!$A:$E,5,FALSE),"")</f>
        <v/>
      </c>
      <c r="F146" s="16" t="n"/>
      <c r="G146" s="19">
        <f>IF(A146="","",IF(VLOOKUP(A146,'Policy Inventory'!$A:$F,6,FALSE)&lt;&gt;"","Yes","No"))</f>
        <v/>
      </c>
      <c r="H146" s="19">
        <f>IF(A146&lt;&gt;"",VLOOKUP(A146,'Policy Inventory'!$A:$F,6,FALSE),"")</f>
        <v/>
      </c>
      <c r="I146" s="16" t="n"/>
      <c r="J146" s="16" t="n"/>
      <c r="K146" s="16" t="n"/>
      <c r="L146" s="16" t="n"/>
      <c r="M146" s="19">
        <f>IF(B146="","",IF(AND(D146="Yes",G146="Yes",I146="Yes",K146="Complete",L146="Yes"),"Compliant",IF(OR(D146="No",G146="No",I146="Insufficient",K146="Missing"),"Non-Compliant","Partial")))</f>
        <v/>
      </c>
      <c r="N146" s="16" t="n"/>
      <c r="O146" s="16" t="n"/>
    </row>
    <row r="147">
      <c r="A147" s="19">
        <f>IF(ROW()-5&lt;=COUNTA('Policy Inventory'!$A:$A)-4,INDEX('Policy Inventory'!$A:$A,ROW()-1),"")</f>
        <v/>
      </c>
      <c r="B147" s="19">
        <f>IF(A147&lt;&gt;"",VLOOKUP(A147,'Policy Inventory'!$A:$B,2,FALSE),"")</f>
        <v/>
      </c>
      <c r="C147" s="19">
        <f>IF(A147&lt;&gt;"",VLOOKUP(A147,'Policy Inventory'!$A:$C,3,FALSE),"")</f>
        <v/>
      </c>
      <c r="D147" s="19">
        <f>IF(A147="","",IF(VLOOKUP(A147,'Policy Inventory'!$A:$E,5,FALSE)&lt;&gt;"","Yes","No"))</f>
        <v/>
      </c>
      <c r="E147" s="19">
        <f>IF(A147&lt;&gt;"",VLOOKUP(A147,'Policy Inventory'!$A:$E,5,FALSE),"")</f>
        <v/>
      </c>
      <c r="F147" s="16" t="n"/>
      <c r="G147" s="19">
        <f>IF(A147="","",IF(VLOOKUP(A147,'Policy Inventory'!$A:$F,6,FALSE)&lt;&gt;"","Yes","No"))</f>
        <v/>
      </c>
      <c r="H147" s="19">
        <f>IF(A147&lt;&gt;"",VLOOKUP(A147,'Policy Inventory'!$A:$F,6,FALSE),"")</f>
        <v/>
      </c>
      <c r="I147" s="16" t="n"/>
      <c r="J147" s="16" t="n"/>
      <c r="K147" s="16" t="n"/>
      <c r="L147" s="16" t="n"/>
      <c r="M147" s="19">
        <f>IF(B147="","",IF(AND(D147="Yes",G147="Yes",I147="Yes",K147="Complete",L147="Yes"),"Compliant",IF(OR(D147="No",G147="No",I147="Insufficient",K147="Missing"),"Non-Compliant","Partial")))</f>
        <v/>
      </c>
      <c r="N147" s="16" t="n"/>
      <c r="O147" s="16" t="n"/>
    </row>
    <row r="148">
      <c r="A148" s="19">
        <f>IF(ROW()-5&lt;=COUNTA('Policy Inventory'!$A:$A)-4,INDEX('Policy Inventory'!$A:$A,ROW()-1),"")</f>
        <v/>
      </c>
      <c r="B148" s="19">
        <f>IF(A148&lt;&gt;"",VLOOKUP(A148,'Policy Inventory'!$A:$B,2,FALSE),"")</f>
        <v/>
      </c>
      <c r="C148" s="19">
        <f>IF(A148&lt;&gt;"",VLOOKUP(A148,'Policy Inventory'!$A:$C,3,FALSE),"")</f>
        <v/>
      </c>
      <c r="D148" s="19">
        <f>IF(A148="","",IF(VLOOKUP(A148,'Policy Inventory'!$A:$E,5,FALSE)&lt;&gt;"","Yes","No"))</f>
        <v/>
      </c>
      <c r="E148" s="19">
        <f>IF(A148&lt;&gt;"",VLOOKUP(A148,'Policy Inventory'!$A:$E,5,FALSE),"")</f>
        <v/>
      </c>
      <c r="F148" s="16" t="n"/>
      <c r="G148" s="19">
        <f>IF(A148="","",IF(VLOOKUP(A148,'Policy Inventory'!$A:$F,6,FALSE)&lt;&gt;"","Yes","No"))</f>
        <v/>
      </c>
      <c r="H148" s="19">
        <f>IF(A148&lt;&gt;"",VLOOKUP(A148,'Policy Inventory'!$A:$F,6,FALSE),"")</f>
        <v/>
      </c>
      <c r="I148" s="16" t="n"/>
      <c r="J148" s="16" t="n"/>
      <c r="K148" s="16" t="n"/>
      <c r="L148" s="16" t="n"/>
      <c r="M148" s="19">
        <f>IF(B148="","",IF(AND(D148="Yes",G148="Yes",I148="Yes",K148="Complete",L148="Yes"),"Compliant",IF(OR(D148="No",G148="No",I148="Insufficient",K148="Missing"),"Non-Compliant","Partial")))</f>
        <v/>
      </c>
      <c r="N148" s="16" t="n"/>
      <c r="O148" s="16" t="n"/>
    </row>
    <row r="149">
      <c r="A149" s="19">
        <f>IF(ROW()-5&lt;=COUNTA('Policy Inventory'!$A:$A)-4,INDEX('Policy Inventory'!$A:$A,ROW()-1),"")</f>
        <v/>
      </c>
      <c r="B149" s="19">
        <f>IF(A149&lt;&gt;"",VLOOKUP(A149,'Policy Inventory'!$A:$B,2,FALSE),"")</f>
        <v/>
      </c>
      <c r="C149" s="19">
        <f>IF(A149&lt;&gt;"",VLOOKUP(A149,'Policy Inventory'!$A:$C,3,FALSE),"")</f>
        <v/>
      </c>
      <c r="D149" s="19">
        <f>IF(A149="","",IF(VLOOKUP(A149,'Policy Inventory'!$A:$E,5,FALSE)&lt;&gt;"","Yes","No"))</f>
        <v/>
      </c>
      <c r="E149" s="19">
        <f>IF(A149&lt;&gt;"",VLOOKUP(A149,'Policy Inventory'!$A:$E,5,FALSE),"")</f>
        <v/>
      </c>
      <c r="F149" s="16" t="n"/>
      <c r="G149" s="19">
        <f>IF(A149="","",IF(VLOOKUP(A149,'Policy Inventory'!$A:$F,6,FALSE)&lt;&gt;"","Yes","No"))</f>
        <v/>
      </c>
      <c r="H149" s="19">
        <f>IF(A149&lt;&gt;"",VLOOKUP(A149,'Policy Inventory'!$A:$F,6,FALSE),"")</f>
        <v/>
      </c>
      <c r="I149" s="16" t="n"/>
      <c r="J149" s="16" t="n"/>
      <c r="K149" s="16" t="n"/>
      <c r="L149" s="16" t="n"/>
      <c r="M149" s="19">
        <f>IF(B149="","",IF(AND(D149="Yes",G149="Yes",I149="Yes",K149="Complete",L149="Yes"),"Compliant",IF(OR(D149="No",G149="No",I149="Insufficient",K149="Missing"),"Non-Compliant","Partial")))</f>
        <v/>
      </c>
      <c r="N149" s="16" t="n"/>
      <c r="O149" s="16" t="n"/>
    </row>
    <row r="150">
      <c r="A150" s="19">
        <f>IF(ROW()-5&lt;=COUNTA('Policy Inventory'!$A:$A)-4,INDEX('Policy Inventory'!$A:$A,ROW()-1),"")</f>
        <v/>
      </c>
      <c r="B150" s="19">
        <f>IF(A150&lt;&gt;"",VLOOKUP(A150,'Policy Inventory'!$A:$B,2,FALSE),"")</f>
        <v/>
      </c>
      <c r="C150" s="19">
        <f>IF(A150&lt;&gt;"",VLOOKUP(A150,'Policy Inventory'!$A:$C,3,FALSE),"")</f>
        <v/>
      </c>
      <c r="D150" s="19">
        <f>IF(A150="","",IF(VLOOKUP(A150,'Policy Inventory'!$A:$E,5,FALSE)&lt;&gt;"","Yes","No"))</f>
        <v/>
      </c>
      <c r="E150" s="19">
        <f>IF(A150&lt;&gt;"",VLOOKUP(A150,'Policy Inventory'!$A:$E,5,FALSE),"")</f>
        <v/>
      </c>
      <c r="F150" s="16" t="n"/>
      <c r="G150" s="19">
        <f>IF(A150="","",IF(VLOOKUP(A150,'Policy Inventory'!$A:$F,6,FALSE)&lt;&gt;"","Yes","No"))</f>
        <v/>
      </c>
      <c r="H150" s="19">
        <f>IF(A150&lt;&gt;"",VLOOKUP(A150,'Policy Inventory'!$A:$F,6,FALSE),"")</f>
        <v/>
      </c>
      <c r="I150" s="16" t="n"/>
      <c r="J150" s="16" t="n"/>
      <c r="K150" s="16" t="n"/>
      <c r="L150" s="16" t="n"/>
      <c r="M150" s="19">
        <f>IF(B150="","",IF(AND(D150="Yes",G150="Yes",I150="Yes",K150="Complete",L150="Yes"),"Compliant",IF(OR(D150="No",G150="No",I150="Insufficient",K150="Missing"),"Non-Compliant","Partial")))</f>
        <v/>
      </c>
      <c r="N150" s="16" t="n"/>
      <c r="O150" s="16" t="n"/>
    </row>
    <row r="151">
      <c r="A151" s="19">
        <f>IF(ROW()-5&lt;=COUNTA('Policy Inventory'!$A:$A)-4,INDEX('Policy Inventory'!$A:$A,ROW()-1),"")</f>
        <v/>
      </c>
      <c r="B151" s="19">
        <f>IF(A151&lt;&gt;"",VLOOKUP(A151,'Policy Inventory'!$A:$B,2,FALSE),"")</f>
        <v/>
      </c>
      <c r="C151" s="19">
        <f>IF(A151&lt;&gt;"",VLOOKUP(A151,'Policy Inventory'!$A:$C,3,FALSE),"")</f>
        <v/>
      </c>
      <c r="D151" s="19">
        <f>IF(A151="","",IF(VLOOKUP(A151,'Policy Inventory'!$A:$E,5,FALSE)&lt;&gt;"","Yes","No"))</f>
        <v/>
      </c>
      <c r="E151" s="19">
        <f>IF(A151&lt;&gt;"",VLOOKUP(A151,'Policy Inventory'!$A:$E,5,FALSE),"")</f>
        <v/>
      </c>
      <c r="F151" s="16" t="n"/>
      <c r="G151" s="19">
        <f>IF(A151="","",IF(VLOOKUP(A151,'Policy Inventory'!$A:$F,6,FALSE)&lt;&gt;"","Yes","No"))</f>
        <v/>
      </c>
      <c r="H151" s="19">
        <f>IF(A151&lt;&gt;"",VLOOKUP(A151,'Policy Inventory'!$A:$F,6,FALSE),"")</f>
        <v/>
      </c>
      <c r="I151" s="16" t="n"/>
      <c r="J151" s="16" t="n"/>
      <c r="K151" s="16" t="n"/>
      <c r="L151" s="16" t="n"/>
      <c r="M151" s="19">
        <f>IF(B151="","",IF(AND(D151="Yes",G151="Yes",I151="Yes",K151="Complete",L151="Yes"),"Compliant",IF(OR(D151="No",G151="No",I151="Insufficient",K151="Missing"),"Non-Compliant","Partial")))</f>
        <v/>
      </c>
      <c r="N151" s="16" t="n"/>
      <c r="O151" s="16" t="n"/>
    </row>
    <row r="152">
      <c r="A152" s="19">
        <f>IF(ROW()-5&lt;=COUNTA('Policy Inventory'!$A:$A)-4,INDEX('Policy Inventory'!$A:$A,ROW()-1),"")</f>
        <v/>
      </c>
      <c r="B152" s="19">
        <f>IF(A152&lt;&gt;"",VLOOKUP(A152,'Policy Inventory'!$A:$B,2,FALSE),"")</f>
        <v/>
      </c>
      <c r="C152" s="19">
        <f>IF(A152&lt;&gt;"",VLOOKUP(A152,'Policy Inventory'!$A:$C,3,FALSE),"")</f>
        <v/>
      </c>
      <c r="D152" s="19">
        <f>IF(A152="","",IF(VLOOKUP(A152,'Policy Inventory'!$A:$E,5,FALSE)&lt;&gt;"","Yes","No"))</f>
        <v/>
      </c>
      <c r="E152" s="19">
        <f>IF(A152&lt;&gt;"",VLOOKUP(A152,'Policy Inventory'!$A:$E,5,FALSE),"")</f>
        <v/>
      </c>
      <c r="F152" s="16" t="n"/>
      <c r="G152" s="19">
        <f>IF(A152="","",IF(VLOOKUP(A152,'Policy Inventory'!$A:$F,6,FALSE)&lt;&gt;"","Yes","No"))</f>
        <v/>
      </c>
      <c r="H152" s="19">
        <f>IF(A152&lt;&gt;"",VLOOKUP(A152,'Policy Inventory'!$A:$F,6,FALSE),"")</f>
        <v/>
      </c>
      <c r="I152" s="16" t="n"/>
      <c r="J152" s="16" t="n"/>
      <c r="K152" s="16" t="n"/>
      <c r="L152" s="16" t="n"/>
      <c r="M152" s="19">
        <f>IF(B152="","",IF(AND(D152="Yes",G152="Yes",I152="Yes",K152="Complete",L152="Yes"),"Compliant",IF(OR(D152="No",G152="No",I152="Insufficient",K152="Missing"),"Non-Compliant","Partial")))</f>
        <v/>
      </c>
      <c r="N152" s="16" t="n"/>
      <c r="O152" s="16" t="n"/>
    </row>
    <row r="153">
      <c r="A153" s="19">
        <f>IF(ROW()-5&lt;=COUNTA('Policy Inventory'!$A:$A)-4,INDEX('Policy Inventory'!$A:$A,ROW()-1),"")</f>
        <v/>
      </c>
      <c r="B153" s="19">
        <f>IF(A153&lt;&gt;"",VLOOKUP(A153,'Policy Inventory'!$A:$B,2,FALSE),"")</f>
        <v/>
      </c>
      <c r="C153" s="19">
        <f>IF(A153&lt;&gt;"",VLOOKUP(A153,'Policy Inventory'!$A:$C,3,FALSE),"")</f>
        <v/>
      </c>
      <c r="D153" s="19">
        <f>IF(A153="","",IF(VLOOKUP(A153,'Policy Inventory'!$A:$E,5,FALSE)&lt;&gt;"","Yes","No"))</f>
        <v/>
      </c>
      <c r="E153" s="19">
        <f>IF(A153&lt;&gt;"",VLOOKUP(A153,'Policy Inventory'!$A:$E,5,FALSE),"")</f>
        <v/>
      </c>
      <c r="F153" s="16" t="n"/>
      <c r="G153" s="19">
        <f>IF(A153="","",IF(VLOOKUP(A153,'Policy Inventory'!$A:$F,6,FALSE)&lt;&gt;"","Yes","No"))</f>
        <v/>
      </c>
      <c r="H153" s="19">
        <f>IF(A153&lt;&gt;"",VLOOKUP(A153,'Policy Inventory'!$A:$F,6,FALSE),"")</f>
        <v/>
      </c>
      <c r="I153" s="16" t="n"/>
      <c r="J153" s="16" t="n"/>
      <c r="K153" s="16" t="n"/>
      <c r="L153" s="16" t="n"/>
      <c r="M153" s="19">
        <f>IF(B153="","",IF(AND(D153="Yes",G153="Yes",I153="Yes",K153="Complete",L153="Yes"),"Compliant",IF(OR(D153="No",G153="No",I153="Insufficient",K153="Missing"),"Non-Compliant","Partial")))</f>
        <v/>
      </c>
      <c r="N153" s="16" t="n"/>
      <c r="O153" s="16" t="n"/>
    </row>
    <row r="154">
      <c r="A154" s="19">
        <f>IF(ROW()-5&lt;=COUNTA('Policy Inventory'!$A:$A)-4,INDEX('Policy Inventory'!$A:$A,ROW()-1),"")</f>
        <v/>
      </c>
      <c r="B154" s="19">
        <f>IF(A154&lt;&gt;"",VLOOKUP(A154,'Policy Inventory'!$A:$B,2,FALSE),"")</f>
        <v/>
      </c>
      <c r="C154" s="19">
        <f>IF(A154&lt;&gt;"",VLOOKUP(A154,'Policy Inventory'!$A:$C,3,FALSE),"")</f>
        <v/>
      </c>
      <c r="D154" s="19">
        <f>IF(A154="","",IF(VLOOKUP(A154,'Policy Inventory'!$A:$E,5,FALSE)&lt;&gt;"","Yes","No"))</f>
        <v/>
      </c>
      <c r="E154" s="19">
        <f>IF(A154&lt;&gt;"",VLOOKUP(A154,'Policy Inventory'!$A:$E,5,FALSE),"")</f>
        <v/>
      </c>
      <c r="F154" s="16" t="n"/>
      <c r="G154" s="19">
        <f>IF(A154="","",IF(VLOOKUP(A154,'Policy Inventory'!$A:$F,6,FALSE)&lt;&gt;"","Yes","No"))</f>
        <v/>
      </c>
      <c r="H154" s="19">
        <f>IF(A154&lt;&gt;"",VLOOKUP(A154,'Policy Inventory'!$A:$F,6,FALSE),"")</f>
        <v/>
      </c>
      <c r="I154" s="16" t="n"/>
      <c r="J154" s="16" t="n"/>
      <c r="K154" s="16" t="n"/>
      <c r="L154" s="16" t="n"/>
      <c r="M154" s="19">
        <f>IF(B154="","",IF(AND(D154="Yes",G154="Yes",I154="Yes",K154="Complete",L154="Yes"),"Compliant",IF(OR(D154="No",G154="No",I154="Insufficient",K154="Missing"),"Non-Compliant","Partial")))</f>
        <v/>
      </c>
      <c r="N154" s="16" t="n"/>
      <c r="O154" s="16" t="n"/>
    </row>
    <row r="155">
      <c r="A155" s="19">
        <f>IF(ROW()-5&lt;=COUNTA('Policy Inventory'!$A:$A)-4,INDEX('Policy Inventory'!$A:$A,ROW()-1),"")</f>
        <v/>
      </c>
      <c r="B155" s="19">
        <f>IF(A155&lt;&gt;"",VLOOKUP(A155,'Policy Inventory'!$A:$B,2,FALSE),"")</f>
        <v/>
      </c>
      <c r="C155" s="19">
        <f>IF(A155&lt;&gt;"",VLOOKUP(A155,'Policy Inventory'!$A:$C,3,FALSE),"")</f>
        <v/>
      </c>
      <c r="D155" s="19">
        <f>IF(A155="","",IF(VLOOKUP(A155,'Policy Inventory'!$A:$E,5,FALSE)&lt;&gt;"","Yes","No"))</f>
        <v/>
      </c>
      <c r="E155" s="19">
        <f>IF(A155&lt;&gt;"",VLOOKUP(A155,'Policy Inventory'!$A:$E,5,FALSE),"")</f>
        <v/>
      </c>
      <c r="F155" s="16" t="n"/>
      <c r="G155" s="19">
        <f>IF(A155="","",IF(VLOOKUP(A155,'Policy Inventory'!$A:$F,6,FALSE)&lt;&gt;"","Yes","No"))</f>
        <v/>
      </c>
      <c r="H155" s="19">
        <f>IF(A155&lt;&gt;"",VLOOKUP(A155,'Policy Inventory'!$A:$F,6,FALSE),"")</f>
        <v/>
      </c>
      <c r="I155" s="16" t="n"/>
      <c r="J155" s="16" t="n"/>
      <c r="K155" s="16" t="n"/>
      <c r="L155" s="16" t="n"/>
      <c r="M155" s="19">
        <f>IF(B155="","",IF(AND(D155="Yes",G155="Yes",I155="Yes",K155="Complete",L155="Yes"),"Compliant",IF(OR(D155="No",G155="No",I155="Insufficient",K155="Missing"),"Non-Compliant","Partial")))</f>
        <v/>
      </c>
      <c r="N155" s="16" t="n"/>
      <c r="O155" s="16" t="n"/>
    </row>
  </sheetData>
  <mergeCells count="2">
    <mergeCell ref="A1:O1"/>
    <mergeCell ref="A2:O2"/>
  </mergeCells>
  <dataValidations count="5">
    <dataValidation sqref="F6:F155" showDropDown="0" showInputMessage="0" showErrorMessage="1" allowBlank="1" errorTitle="Invalid Entry" error="Please select from dropdown" type="list">
      <formula1>"Yes,Unclear,No"</formula1>
    </dataValidation>
    <dataValidation sqref="I6:I155" showDropDown="0" showInputMessage="0" showErrorMessage="1" allowBlank="1" errorTitle="Invalid Entry" error="Please select from dropdown" type="list">
      <formula1>"Yes,No,Elevated-Unnecessarily,Insufficient"</formula1>
    </dataValidation>
    <dataValidation sqref="J6:J155" showDropDown="0" showInputMessage="0" showErrorMessage="1" allowBlank="1" errorTitle="Invalid Entry" error="Please select from dropdown" type="list">
      <formula1>"Yes,Partial,No,N/A"</formula1>
    </dataValidation>
    <dataValidation sqref="K6:K155" showDropDown="0" showInputMessage="0" showErrorMessage="1" allowBlank="1" errorTitle="Invalid Entry" error="Please select from dropdown" type="list">
      <formula1>"Complete,Partial,Missing"</formula1>
    </dataValidation>
    <dataValidation sqref="L6:L155" showDropDown="0" showInputMessage="0" showErrorMessage="1" allowBlank="1" errorTitle="Invalid Entry" error="Please select from dropdown" type="list">
      <formula1>"Yes,Unclear,No"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20" customWidth="1" min="4" max="4"/>
    <col width="15" customWidth="1" min="5" max="5"/>
    <col width="20" customWidth="1" min="6" max="6"/>
    <col width="20" customWidth="1" min="7" max="7"/>
    <col width="15" customWidth="1" min="8" max="8"/>
    <col width="15" customWidth="1" min="9" max="9"/>
    <col width="20" customWidth="1" min="10" max="10"/>
    <col width="40" customWidth="1" min="11" max="11"/>
    <col width="30" customWidth="1" min="12" max="12"/>
  </cols>
  <sheetData>
    <row r="1" ht="35" customHeight="1">
      <c r="A1" s="11" t="inlineStr">
        <is>
          <t>CLASSIFICATION REVIEW</t>
        </is>
      </c>
    </row>
    <row r="2">
      <c r="A2" s="12" t="inlineStr">
        <is>
          <t>Policy classification appropriateness and access control verification</t>
        </is>
      </c>
    </row>
    <row r="4">
      <c r="A4" s="13" t="inlineStr">
        <is>
          <t>Policy ID</t>
        </is>
      </c>
      <c r="B4" s="13" t="inlineStr">
        <is>
          <t>Policy Title</t>
        </is>
      </c>
      <c r="C4" s="13" t="inlineStr">
        <is>
          <t>Current Classification</t>
        </is>
      </c>
      <c r="D4" s="13" t="inlineStr">
        <is>
          <t>Classification Appropriate</t>
        </is>
      </c>
      <c r="E4" s="13" t="inlineStr">
        <is>
          <t>Content Sensitivity Assessment</t>
        </is>
      </c>
      <c r="F4" s="13" t="inlineStr">
        <is>
          <t>Access Controls Implemented</t>
        </is>
      </c>
      <c r="G4" s="13" t="inlineStr">
        <is>
          <t>Distribution Restrictions</t>
        </is>
      </c>
      <c r="H4" s="13" t="inlineStr">
        <is>
          <t>Classification Marking</t>
        </is>
      </c>
      <c r="I4" s="13" t="inlineStr">
        <is>
          <t>Classification Review Date</t>
        </is>
      </c>
      <c r="J4" s="13" t="inlineStr">
        <is>
          <t>Classification Compliance Rating</t>
        </is>
      </c>
      <c r="K4" s="13" t="inlineStr">
        <is>
          <t>Gap Description</t>
        </is>
      </c>
      <c r="L4" s="13" t="inlineStr">
        <is>
          <t>Evidence Reference</t>
        </is>
      </c>
    </row>
    <row r="5">
      <c r="A5" s="14" t="inlineStr">
        <is>
          <t>POL-EXAMPLE</t>
        </is>
      </c>
      <c r="B5" s="14" t="inlineStr">
        <is>
          <t>Information Security Policy (Example)</t>
        </is>
      </c>
      <c r="C5" s="14" t="inlineStr">
        <is>
          <t>Internal</t>
        </is>
      </c>
      <c r="D5" s="14" t="inlineStr">
        <is>
          <t>Yes</t>
        </is>
      </c>
      <c r="E5" s="14" t="inlineStr">
        <is>
          <t>Medium</t>
        </is>
      </c>
      <c r="F5" s="14" t="inlineStr">
        <is>
          <t>Yes</t>
        </is>
      </c>
      <c r="G5" s="14" t="inlineStr">
        <is>
          <t>Yes</t>
        </is>
      </c>
      <c r="H5" s="14" t="inlineStr">
        <is>
          <t>Yes</t>
        </is>
      </c>
      <c r="I5" s="14" t="inlineStr">
        <is>
          <t>01.01.2026</t>
        </is>
      </c>
      <c r="J5" s="14" t="inlineStr">
        <is>
          <t>Compliant</t>
        </is>
      </c>
      <c r="K5" s="14" t="inlineStr"/>
      <c r="L5" s="14" t="inlineStr">
        <is>
          <t>Example — replace with actual classification data</t>
        </is>
      </c>
    </row>
    <row r="6">
      <c r="A6" s="19">
        <f>IF(ROW()-5&lt;=COUNTA('Policy Inventory'!$A:$A)-4,INDEX('Policy Inventory'!$A:$A,ROW()-1),"")</f>
        <v/>
      </c>
      <c r="B6" s="19">
        <f>IF(A6&lt;&gt;"",VLOOKUP(A6,'Policy Inventory'!$A:$B,2,FALSE),"")</f>
        <v/>
      </c>
      <c r="C6" s="19">
        <f>IF(A6&lt;&gt;"",VLOOKUP(A6,'Policy Inventory'!$A:$N,14,FALSE),"")</f>
        <v/>
      </c>
      <c r="D6" s="16" t="n"/>
      <c r="E6" s="16" t="n"/>
      <c r="F6" s="16" t="n"/>
      <c r="G6" s="16" t="n"/>
      <c r="H6" s="16" t="n"/>
      <c r="I6" s="17" t="n"/>
      <c r="J6" s="19">
        <f>IF(B6="","",IF(AND(D6="Yes",F6="Yes",H6="Yes"),"Compliant",IF(OR(D6="No",F6="No",H6="No"),"Non-Compliant","Partial")))</f>
        <v/>
      </c>
      <c r="K6" s="16" t="n"/>
      <c r="L6" s="16" t="n"/>
    </row>
    <row r="7">
      <c r="A7" s="19">
        <f>IF(ROW()-5&lt;=COUNTA('Policy Inventory'!$A:$A)-4,INDEX('Policy Inventory'!$A:$A,ROW()-1),"")</f>
        <v/>
      </c>
      <c r="B7" s="19">
        <f>IF(A7&lt;&gt;"",VLOOKUP(A7,'Policy Inventory'!$A:$B,2,FALSE),"")</f>
        <v/>
      </c>
      <c r="C7" s="19">
        <f>IF(A7&lt;&gt;"",VLOOKUP(A7,'Policy Inventory'!$A:$N,14,FALSE),"")</f>
        <v/>
      </c>
      <c r="D7" s="16" t="n"/>
      <c r="E7" s="16" t="n"/>
      <c r="F7" s="16" t="n"/>
      <c r="G7" s="16" t="n"/>
      <c r="H7" s="16" t="n"/>
      <c r="I7" s="17" t="n"/>
      <c r="J7" s="19">
        <f>IF(B7="","",IF(AND(D7="Yes",F7="Yes",H7="Yes"),"Compliant",IF(OR(D7="No",F7="No",H7="No"),"Non-Compliant","Partial")))</f>
        <v/>
      </c>
      <c r="K7" s="16" t="n"/>
      <c r="L7" s="16" t="n"/>
    </row>
    <row r="8">
      <c r="A8" s="19">
        <f>IF(ROW()-5&lt;=COUNTA('Policy Inventory'!$A:$A)-4,INDEX('Policy Inventory'!$A:$A,ROW()-1),"")</f>
        <v/>
      </c>
      <c r="B8" s="19">
        <f>IF(A8&lt;&gt;"",VLOOKUP(A8,'Policy Inventory'!$A:$B,2,FALSE),"")</f>
        <v/>
      </c>
      <c r="C8" s="19">
        <f>IF(A8&lt;&gt;"",VLOOKUP(A8,'Policy Inventory'!$A:$N,14,FALSE),"")</f>
        <v/>
      </c>
      <c r="D8" s="16" t="n"/>
      <c r="E8" s="16" t="n"/>
      <c r="F8" s="16" t="n"/>
      <c r="G8" s="16" t="n"/>
      <c r="H8" s="16" t="n"/>
      <c r="I8" s="17" t="n"/>
      <c r="J8" s="19">
        <f>IF(B8="","",IF(AND(D8="Yes",F8="Yes",H8="Yes"),"Compliant",IF(OR(D8="No",F8="No",H8="No"),"Non-Compliant","Partial")))</f>
        <v/>
      </c>
      <c r="K8" s="16" t="n"/>
      <c r="L8" s="16" t="n"/>
    </row>
    <row r="9">
      <c r="A9" s="19">
        <f>IF(ROW()-5&lt;=COUNTA('Policy Inventory'!$A:$A)-4,INDEX('Policy Inventory'!$A:$A,ROW()-1),"")</f>
        <v/>
      </c>
      <c r="B9" s="19">
        <f>IF(A9&lt;&gt;"",VLOOKUP(A9,'Policy Inventory'!$A:$B,2,FALSE),"")</f>
        <v/>
      </c>
      <c r="C9" s="19">
        <f>IF(A9&lt;&gt;"",VLOOKUP(A9,'Policy Inventory'!$A:$N,14,FALSE),"")</f>
        <v/>
      </c>
      <c r="D9" s="16" t="n"/>
      <c r="E9" s="16" t="n"/>
      <c r="F9" s="16" t="n"/>
      <c r="G9" s="16" t="n"/>
      <c r="H9" s="16" t="n"/>
      <c r="I9" s="17" t="n"/>
      <c r="J9" s="19">
        <f>IF(B9="","",IF(AND(D9="Yes",F9="Yes",H9="Yes"),"Compliant",IF(OR(D9="No",F9="No",H9="No"),"Non-Compliant","Partial")))</f>
        <v/>
      </c>
      <c r="K9" s="16" t="n"/>
      <c r="L9" s="16" t="n"/>
    </row>
    <row r="10">
      <c r="A10" s="19">
        <f>IF(ROW()-5&lt;=COUNTA('Policy Inventory'!$A:$A)-4,INDEX('Policy Inventory'!$A:$A,ROW()-1),"")</f>
        <v/>
      </c>
      <c r="B10" s="19">
        <f>IF(A10&lt;&gt;"",VLOOKUP(A10,'Policy Inventory'!$A:$B,2,FALSE),"")</f>
        <v/>
      </c>
      <c r="C10" s="19">
        <f>IF(A10&lt;&gt;"",VLOOKUP(A10,'Policy Inventory'!$A:$N,14,FALSE),"")</f>
        <v/>
      </c>
      <c r="D10" s="16" t="n"/>
      <c r="E10" s="16" t="n"/>
      <c r="F10" s="16" t="n"/>
      <c r="G10" s="16" t="n"/>
      <c r="H10" s="16" t="n"/>
      <c r="I10" s="17" t="n"/>
      <c r="J10" s="19">
        <f>IF(B10="","",IF(AND(D10="Yes",F10="Yes",H10="Yes"),"Compliant",IF(OR(D10="No",F10="No",H10="No"),"Non-Compliant","Partial")))</f>
        <v/>
      </c>
      <c r="K10" s="16" t="n"/>
      <c r="L10" s="16" t="n"/>
    </row>
    <row r="11">
      <c r="A11" s="19">
        <f>IF(ROW()-5&lt;=COUNTA('Policy Inventory'!$A:$A)-4,INDEX('Policy Inventory'!$A:$A,ROW()-1),"")</f>
        <v/>
      </c>
      <c r="B11" s="19">
        <f>IF(A11&lt;&gt;"",VLOOKUP(A11,'Policy Inventory'!$A:$B,2,FALSE),"")</f>
        <v/>
      </c>
      <c r="C11" s="19">
        <f>IF(A11&lt;&gt;"",VLOOKUP(A11,'Policy Inventory'!$A:$N,14,FALSE),"")</f>
        <v/>
      </c>
      <c r="D11" s="16" t="n"/>
      <c r="E11" s="16" t="n"/>
      <c r="F11" s="16" t="n"/>
      <c r="G11" s="16" t="n"/>
      <c r="H11" s="16" t="n"/>
      <c r="I11" s="17" t="n"/>
      <c r="J11" s="19">
        <f>IF(B11="","",IF(AND(D11="Yes",F11="Yes",H11="Yes"),"Compliant",IF(OR(D11="No",F11="No",H11="No"),"Non-Compliant","Partial")))</f>
        <v/>
      </c>
      <c r="K11" s="16" t="n"/>
      <c r="L11" s="16" t="n"/>
    </row>
    <row r="12">
      <c r="A12" s="19">
        <f>IF(ROW()-5&lt;=COUNTA('Policy Inventory'!$A:$A)-4,INDEX('Policy Inventory'!$A:$A,ROW()-1),"")</f>
        <v/>
      </c>
      <c r="B12" s="19">
        <f>IF(A12&lt;&gt;"",VLOOKUP(A12,'Policy Inventory'!$A:$B,2,FALSE),"")</f>
        <v/>
      </c>
      <c r="C12" s="19">
        <f>IF(A12&lt;&gt;"",VLOOKUP(A12,'Policy Inventory'!$A:$N,14,FALSE),"")</f>
        <v/>
      </c>
      <c r="D12" s="16" t="n"/>
      <c r="E12" s="16" t="n"/>
      <c r="F12" s="16" t="n"/>
      <c r="G12" s="16" t="n"/>
      <c r="H12" s="16" t="n"/>
      <c r="I12" s="17" t="n"/>
      <c r="J12" s="19">
        <f>IF(B12="","",IF(AND(D12="Yes",F12="Yes",H12="Yes"),"Compliant",IF(OR(D12="No",F12="No",H12="No"),"Non-Compliant","Partial")))</f>
        <v/>
      </c>
      <c r="K12" s="16" t="n"/>
      <c r="L12" s="16" t="n"/>
    </row>
    <row r="13">
      <c r="A13" s="19">
        <f>IF(ROW()-5&lt;=COUNTA('Policy Inventory'!$A:$A)-4,INDEX('Policy Inventory'!$A:$A,ROW()-1),"")</f>
        <v/>
      </c>
      <c r="B13" s="19">
        <f>IF(A13&lt;&gt;"",VLOOKUP(A13,'Policy Inventory'!$A:$B,2,FALSE),"")</f>
        <v/>
      </c>
      <c r="C13" s="19">
        <f>IF(A13&lt;&gt;"",VLOOKUP(A13,'Policy Inventory'!$A:$N,14,FALSE),"")</f>
        <v/>
      </c>
      <c r="D13" s="16" t="n"/>
      <c r="E13" s="16" t="n"/>
      <c r="F13" s="16" t="n"/>
      <c r="G13" s="16" t="n"/>
      <c r="H13" s="16" t="n"/>
      <c r="I13" s="17" t="n"/>
      <c r="J13" s="19">
        <f>IF(B13="","",IF(AND(D13="Yes",F13="Yes",H13="Yes"),"Compliant",IF(OR(D13="No",F13="No",H13="No"),"Non-Compliant","Partial")))</f>
        <v/>
      </c>
      <c r="K13" s="16" t="n"/>
      <c r="L13" s="16" t="n"/>
    </row>
    <row r="14">
      <c r="A14" s="19">
        <f>IF(ROW()-5&lt;=COUNTA('Policy Inventory'!$A:$A)-4,INDEX('Policy Inventory'!$A:$A,ROW()-1),"")</f>
        <v/>
      </c>
      <c r="B14" s="19">
        <f>IF(A14&lt;&gt;"",VLOOKUP(A14,'Policy Inventory'!$A:$B,2,FALSE),"")</f>
        <v/>
      </c>
      <c r="C14" s="19">
        <f>IF(A14&lt;&gt;"",VLOOKUP(A14,'Policy Inventory'!$A:$N,14,FALSE),"")</f>
        <v/>
      </c>
      <c r="D14" s="16" t="n"/>
      <c r="E14" s="16" t="n"/>
      <c r="F14" s="16" t="n"/>
      <c r="G14" s="16" t="n"/>
      <c r="H14" s="16" t="n"/>
      <c r="I14" s="17" t="n"/>
      <c r="J14" s="19">
        <f>IF(B14="","",IF(AND(D14="Yes",F14="Yes",H14="Yes"),"Compliant",IF(OR(D14="No",F14="No",H14="No"),"Non-Compliant","Partial")))</f>
        <v/>
      </c>
      <c r="K14" s="16" t="n"/>
      <c r="L14" s="16" t="n"/>
    </row>
    <row r="15">
      <c r="A15" s="19">
        <f>IF(ROW()-5&lt;=COUNTA('Policy Inventory'!$A:$A)-4,INDEX('Policy Inventory'!$A:$A,ROW()-1),"")</f>
        <v/>
      </c>
      <c r="B15" s="19">
        <f>IF(A15&lt;&gt;"",VLOOKUP(A15,'Policy Inventory'!$A:$B,2,FALSE),"")</f>
        <v/>
      </c>
      <c r="C15" s="19">
        <f>IF(A15&lt;&gt;"",VLOOKUP(A15,'Policy Inventory'!$A:$N,14,FALSE),"")</f>
        <v/>
      </c>
      <c r="D15" s="16" t="n"/>
      <c r="E15" s="16" t="n"/>
      <c r="F15" s="16" t="n"/>
      <c r="G15" s="16" t="n"/>
      <c r="H15" s="16" t="n"/>
      <c r="I15" s="17" t="n"/>
      <c r="J15" s="19">
        <f>IF(B15="","",IF(AND(D15="Yes",F15="Yes",H15="Yes"),"Compliant",IF(OR(D15="No",F15="No",H15="No"),"Non-Compliant","Partial")))</f>
        <v/>
      </c>
      <c r="K15" s="16" t="n"/>
      <c r="L15" s="16" t="n"/>
    </row>
    <row r="16">
      <c r="A16" s="19">
        <f>IF(ROW()-5&lt;=COUNTA('Policy Inventory'!$A:$A)-4,INDEX('Policy Inventory'!$A:$A,ROW()-1),"")</f>
        <v/>
      </c>
      <c r="B16" s="19">
        <f>IF(A16&lt;&gt;"",VLOOKUP(A16,'Policy Inventory'!$A:$B,2,FALSE),"")</f>
        <v/>
      </c>
      <c r="C16" s="19">
        <f>IF(A16&lt;&gt;"",VLOOKUP(A16,'Policy Inventory'!$A:$N,14,FALSE),"")</f>
        <v/>
      </c>
      <c r="D16" s="16" t="n"/>
      <c r="E16" s="16" t="n"/>
      <c r="F16" s="16" t="n"/>
      <c r="G16" s="16" t="n"/>
      <c r="H16" s="16" t="n"/>
      <c r="I16" s="17" t="n"/>
      <c r="J16" s="19">
        <f>IF(B16="","",IF(AND(D16="Yes",F16="Yes",H16="Yes"),"Compliant",IF(OR(D16="No",F16="No",H16="No"),"Non-Compliant","Partial")))</f>
        <v/>
      </c>
      <c r="K16" s="16" t="n"/>
      <c r="L16" s="16" t="n"/>
    </row>
    <row r="17">
      <c r="A17" s="19">
        <f>IF(ROW()-5&lt;=COUNTA('Policy Inventory'!$A:$A)-4,INDEX('Policy Inventory'!$A:$A,ROW()-1),"")</f>
        <v/>
      </c>
      <c r="B17" s="19">
        <f>IF(A17&lt;&gt;"",VLOOKUP(A17,'Policy Inventory'!$A:$B,2,FALSE),"")</f>
        <v/>
      </c>
      <c r="C17" s="19">
        <f>IF(A17&lt;&gt;"",VLOOKUP(A17,'Policy Inventory'!$A:$N,14,FALSE),"")</f>
        <v/>
      </c>
      <c r="D17" s="16" t="n"/>
      <c r="E17" s="16" t="n"/>
      <c r="F17" s="16" t="n"/>
      <c r="G17" s="16" t="n"/>
      <c r="H17" s="16" t="n"/>
      <c r="I17" s="17" t="n"/>
      <c r="J17" s="19">
        <f>IF(B17="","",IF(AND(D17="Yes",F17="Yes",H17="Yes"),"Compliant",IF(OR(D17="No",F17="No",H17="No"),"Non-Compliant","Partial")))</f>
        <v/>
      </c>
      <c r="K17" s="16" t="n"/>
      <c r="L17" s="16" t="n"/>
    </row>
    <row r="18">
      <c r="A18" s="19">
        <f>IF(ROW()-5&lt;=COUNTA('Policy Inventory'!$A:$A)-4,INDEX('Policy Inventory'!$A:$A,ROW()-1),"")</f>
        <v/>
      </c>
      <c r="B18" s="19">
        <f>IF(A18&lt;&gt;"",VLOOKUP(A18,'Policy Inventory'!$A:$B,2,FALSE),"")</f>
        <v/>
      </c>
      <c r="C18" s="19">
        <f>IF(A18&lt;&gt;"",VLOOKUP(A18,'Policy Inventory'!$A:$N,14,FALSE),"")</f>
        <v/>
      </c>
      <c r="D18" s="16" t="n"/>
      <c r="E18" s="16" t="n"/>
      <c r="F18" s="16" t="n"/>
      <c r="G18" s="16" t="n"/>
      <c r="H18" s="16" t="n"/>
      <c r="I18" s="17" t="n"/>
      <c r="J18" s="19">
        <f>IF(B18="","",IF(AND(D18="Yes",F18="Yes",H18="Yes"),"Compliant",IF(OR(D18="No",F18="No",H18="No"),"Non-Compliant","Partial")))</f>
        <v/>
      </c>
      <c r="K18" s="16" t="n"/>
      <c r="L18" s="16" t="n"/>
    </row>
    <row r="19">
      <c r="A19" s="19">
        <f>IF(ROW()-5&lt;=COUNTA('Policy Inventory'!$A:$A)-4,INDEX('Policy Inventory'!$A:$A,ROW()-1),"")</f>
        <v/>
      </c>
      <c r="B19" s="19">
        <f>IF(A19&lt;&gt;"",VLOOKUP(A19,'Policy Inventory'!$A:$B,2,FALSE),"")</f>
        <v/>
      </c>
      <c r="C19" s="19">
        <f>IF(A19&lt;&gt;"",VLOOKUP(A19,'Policy Inventory'!$A:$N,14,FALSE),"")</f>
        <v/>
      </c>
      <c r="D19" s="16" t="n"/>
      <c r="E19" s="16" t="n"/>
      <c r="F19" s="16" t="n"/>
      <c r="G19" s="16" t="n"/>
      <c r="H19" s="16" t="n"/>
      <c r="I19" s="17" t="n"/>
      <c r="J19" s="19">
        <f>IF(B19="","",IF(AND(D19="Yes",F19="Yes",H19="Yes"),"Compliant",IF(OR(D19="No",F19="No",H19="No"),"Non-Compliant","Partial")))</f>
        <v/>
      </c>
      <c r="K19" s="16" t="n"/>
      <c r="L19" s="16" t="n"/>
    </row>
    <row r="20">
      <c r="A20" s="19">
        <f>IF(ROW()-5&lt;=COUNTA('Policy Inventory'!$A:$A)-4,INDEX('Policy Inventory'!$A:$A,ROW()-1),"")</f>
        <v/>
      </c>
      <c r="B20" s="19">
        <f>IF(A20&lt;&gt;"",VLOOKUP(A20,'Policy Inventory'!$A:$B,2,FALSE),"")</f>
        <v/>
      </c>
      <c r="C20" s="19">
        <f>IF(A20&lt;&gt;"",VLOOKUP(A20,'Policy Inventory'!$A:$N,14,FALSE),"")</f>
        <v/>
      </c>
      <c r="D20" s="16" t="n"/>
      <c r="E20" s="16" t="n"/>
      <c r="F20" s="16" t="n"/>
      <c r="G20" s="16" t="n"/>
      <c r="H20" s="16" t="n"/>
      <c r="I20" s="17" t="n"/>
      <c r="J20" s="19">
        <f>IF(B20="","",IF(AND(D20="Yes",F20="Yes",H20="Yes"),"Compliant",IF(OR(D20="No",F20="No",H20="No"),"Non-Compliant","Partial")))</f>
        <v/>
      </c>
      <c r="K20" s="16" t="n"/>
      <c r="L20" s="16" t="n"/>
    </row>
    <row r="21">
      <c r="A21" s="19">
        <f>IF(ROW()-5&lt;=COUNTA('Policy Inventory'!$A:$A)-4,INDEX('Policy Inventory'!$A:$A,ROW()-1),"")</f>
        <v/>
      </c>
      <c r="B21" s="19">
        <f>IF(A21&lt;&gt;"",VLOOKUP(A21,'Policy Inventory'!$A:$B,2,FALSE),"")</f>
        <v/>
      </c>
      <c r="C21" s="19">
        <f>IF(A21&lt;&gt;"",VLOOKUP(A21,'Policy Inventory'!$A:$N,14,FALSE),"")</f>
        <v/>
      </c>
      <c r="D21" s="16" t="n"/>
      <c r="E21" s="16" t="n"/>
      <c r="F21" s="16" t="n"/>
      <c r="G21" s="16" t="n"/>
      <c r="H21" s="16" t="n"/>
      <c r="I21" s="17" t="n"/>
      <c r="J21" s="19">
        <f>IF(B21="","",IF(AND(D21="Yes",F21="Yes",H21="Yes"),"Compliant",IF(OR(D21="No",F21="No",H21="No"),"Non-Compliant","Partial")))</f>
        <v/>
      </c>
      <c r="K21" s="16" t="n"/>
      <c r="L21" s="16" t="n"/>
    </row>
    <row r="22">
      <c r="A22" s="19">
        <f>IF(ROW()-5&lt;=COUNTA('Policy Inventory'!$A:$A)-4,INDEX('Policy Inventory'!$A:$A,ROW()-1),"")</f>
        <v/>
      </c>
      <c r="B22" s="19">
        <f>IF(A22&lt;&gt;"",VLOOKUP(A22,'Policy Inventory'!$A:$B,2,FALSE),"")</f>
        <v/>
      </c>
      <c r="C22" s="19">
        <f>IF(A22&lt;&gt;"",VLOOKUP(A22,'Policy Inventory'!$A:$N,14,FALSE),"")</f>
        <v/>
      </c>
      <c r="D22" s="16" t="n"/>
      <c r="E22" s="16" t="n"/>
      <c r="F22" s="16" t="n"/>
      <c r="G22" s="16" t="n"/>
      <c r="H22" s="16" t="n"/>
      <c r="I22" s="17" t="n"/>
      <c r="J22" s="19">
        <f>IF(B22="","",IF(AND(D22="Yes",F22="Yes",H22="Yes"),"Compliant",IF(OR(D22="No",F22="No",H22="No"),"Non-Compliant","Partial")))</f>
        <v/>
      </c>
      <c r="K22" s="16" t="n"/>
      <c r="L22" s="16" t="n"/>
    </row>
    <row r="23">
      <c r="A23" s="19">
        <f>IF(ROW()-5&lt;=COUNTA('Policy Inventory'!$A:$A)-4,INDEX('Policy Inventory'!$A:$A,ROW()-1),"")</f>
        <v/>
      </c>
      <c r="B23" s="19">
        <f>IF(A23&lt;&gt;"",VLOOKUP(A23,'Policy Inventory'!$A:$B,2,FALSE),"")</f>
        <v/>
      </c>
      <c r="C23" s="19">
        <f>IF(A23&lt;&gt;"",VLOOKUP(A23,'Policy Inventory'!$A:$N,14,FALSE),"")</f>
        <v/>
      </c>
      <c r="D23" s="16" t="n"/>
      <c r="E23" s="16" t="n"/>
      <c r="F23" s="16" t="n"/>
      <c r="G23" s="16" t="n"/>
      <c r="H23" s="16" t="n"/>
      <c r="I23" s="17" t="n"/>
      <c r="J23" s="19">
        <f>IF(B23="","",IF(AND(D23="Yes",F23="Yes",H23="Yes"),"Compliant",IF(OR(D23="No",F23="No",H23="No"),"Non-Compliant","Partial")))</f>
        <v/>
      </c>
      <c r="K23" s="16" t="n"/>
      <c r="L23" s="16" t="n"/>
    </row>
    <row r="24">
      <c r="A24" s="19">
        <f>IF(ROW()-5&lt;=COUNTA('Policy Inventory'!$A:$A)-4,INDEX('Policy Inventory'!$A:$A,ROW()-1),"")</f>
        <v/>
      </c>
      <c r="B24" s="19">
        <f>IF(A24&lt;&gt;"",VLOOKUP(A24,'Policy Inventory'!$A:$B,2,FALSE),"")</f>
        <v/>
      </c>
      <c r="C24" s="19">
        <f>IF(A24&lt;&gt;"",VLOOKUP(A24,'Policy Inventory'!$A:$N,14,FALSE),"")</f>
        <v/>
      </c>
      <c r="D24" s="16" t="n"/>
      <c r="E24" s="16" t="n"/>
      <c r="F24" s="16" t="n"/>
      <c r="G24" s="16" t="n"/>
      <c r="H24" s="16" t="n"/>
      <c r="I24" s="17" t="n"/>
      <c r="J24" s="19">
        <f>IF(B24="","",IF(AND(D24="Yes",F24="Yes",H24="Yes"),"Compliant",IF(OR(D24="No",F24="No",H24="No"),"Non-Compliant","Partial")))</f>
        <v/>
      </c>
      <c r="K24" s="16" t="n"/>
      <c r="L24" s="16" t="n"/>
    </row>
    <row r="25">
      <c r="A25" s="19">
        <f>IF(ROW()-5&lt;=COUNTA('Policy Inventory'!$A:$A)-4,INDEX('Policy Inventory'!$A:$A,ROW()-1),"")</f>
        <v/>
      </c>
      <c r="B25" s="19">
        <f>IF(A25&lt;&gt;"",VLOOKUP(A25,'Policy Inventory'!$A:$B,2,FALSE),"")</f>
        <v/>
      </c>
      <c r="C25" s="19">
        <f>IF(A25&lt;&gt;"",VLOOKUP(A25,'Policy Inventory'!$A:$N,14,FALSE),"")</f>
        <v/>
      </c>
      <c r="D25" s="16" t="n"/>
      <c r="E25" s="16" t="n"/>
      <c r="F25" s="16" t="n"/>
      <c r="G25" s="16" t="n"/>
      <c r="H25" s="16" t="n"/>
      <c r="I25" s="17" t="n"/>
      <c r="J25" s="19">
        <f>IF(B25="","",IF(AND(D25="Yes",F25="Yes",H25="Yes"),"Compliant",IF(OR(D25="No",F25="No",H25="No"),"Non-Compliant","Partial")))</f>
        <v/>
      </c>
      <c r="K25" s="16" t="n"/>
      <c r="L25" s="16" t="n"/>
    </row>
    <row r="26">
      <c r="A26" s="19">
        <f>IF(ROW()-5&lt;=COUNTA('Policy Inventory'!$A:$A)-4,INDEX('Policy Inventory'!$A:$A,ROW()-1),"")</f>
        <v/>
      </c>
      <c r="B26" s="19">
        <f>IF(A26&lt;&gt;"",VLOOKUP(A26,'Policy Inventory'!$A:$B,2,FALSE),"")</f>
        <v/>
      </c>
      <c r="C26" s="19">
        <f>IF(A26&lt;&gt;"",VLOOKUP(A26,'Policy Inventory'!$A:$N,14,FALSE),"")</f>
        <v/>
      </c>
      <c r="D26" s="16" t="n"/>
      <c r="E26" s="16" t="n"/>
      <c r="F26" s="16" t="n"/>
      <c r="G26" s="16" t="n"/>
      <c r="H26" s="16" t="n"/>
      <c r="I26" s="17" t="n"/>
      <c r="J26" s="19">
        <f>IF(B26="","",IF(AND(D26="Yes",F26="Yes",H26="Yes"),"Compliant",IF(OR(D26="No",F26="No",H26="No"),"Non-Compliant","Partial")))</f>
        <v/>
      </c>
      <c r="K26" s="16" t="n"/>
      <c r="L26" s="16" t="n"/>
    </row>
    <row r="27">
      <c r="A27" s="19">
        <f>IF(ROW()-5&lt;=COUNTA('Policy Inventory'!$A:$A)-4,INDEX('Policy Inventory'!$A:$A,ROW()-1),"")</f>
        <v/>
      </c>
      <c r="B27" s="19">
        <f>IF(A27&lt;&gt;"",VLOOKUP(A27,'Policy Inventory'!$A:$B,2,FALSE),"")</f>
        <v/>
      </c>
      <c r="C27" s="19">
        <f>IF(A27&lt;&gt;"",VLOOKUP(A27,'Policy Inventory'!$A:$N,14,FALSE),"")</f>
        <v/>
      </c>
      <c r="D27" s="16" t="n"/>
      <c r="E27" s="16" t="n"/>
      <c r="F27" s="16" t="n"/>
      <c r="G27" s="16" t="n"/>
      <c r="H27" s="16" t="n"/>
      <c r="I27" s="17" t="n"/>
      <c r="J27" s="19">
        <f>IF(B27="","",IF(AND(D27="Yes",F27="Yes",H27="Yes"),"Compliant",IF(OR(D27="No",F27="No",H27="No"),"Non-Compliant","Partial")))</f>
        <v/>
      </c>
      <c r="K27" s="16" t="n"/>
      <c r="L27" s="16" t="n"/>
    </row>
    <row r="28">
      <c r="A28" s="19">
        <f>IF(ROW()-5&lt;=COUNTA('Policy Inventory'!$A:$A)-4,INDEX('Policy Inventory'!$A:$A,ROW()-1),"")</f>
        <v/>
      </c>
      <c r="B28" s="19">
        <f>IF(A28&lt;&gt;"",VLOOKUP(A28,'Policy Inventory'!$A:$B,2,FALSE),"")</f>
        <v/>
      </c>
      <c r="C28" s="19">
        <f>IF(A28&lt;&gt;"",VLOOKUP(A28,'Policy Inventory'!$A:$N,14,FALSE),"")</f>
        <v/>
      </c>
      <c r="D28" s="16" t="n"/>
      <c r="E28" s="16" t="n"/>
      <c r="F28" s="16" t="n"/>
      <c r="G28" s="16" t="n"/>
      <c r="H28" s="16" t="n"/>
      <c r="I28" s="17" t="n"/>
      <c r="J28" s="19">
        <f>IF(B28="","",IF(AND(D28="Yes",F28="Yes",H28="Yes"),"Compliant",IF(OR(D28="No",F28="No",H28="No"),"Non-Compliant","Partial")))</f>
        <v/>
      </c>
      <c r="K28" s="16" t="n"/>
      <c r="L28" s="16" t="n"/>
    </row>
    <row r="29">
      <c r="A29" s="19">
        <f>IF(ROW()-5&lt;=COUNTA('Policy Inventory'!$A:$A)-4,INDEX('Policy Inventory'!$A:$A,ROW()-1),"")</f>
        <v/>
      </c>
      <c r="B29" s="19">
        <f>IF(A29&lt;&gt;"",VLOOKUP(A29,'Policy Inventory'!$A:$B,2,FALSE),"")</f>
        <v/>
      </c>
      <c r="C29" s="19">
        <f>IF(A29&lt;&gt;"",VLOOKUP(A29,'Policy Inventory'!$A:$N,14,FALSE),"")</f>
        <v/>
      </c>
      <c r="D29" s="16" t="n"/>
      <c r="E29" s="16" t="n"/>
      <c r="F29" s="16" t="n"/>
      <c r="G29" s="16" t="n"/>
      <c r="H29" s="16" t="n"/>
      <c r="I29" s="17" t="n"/>
      <c r="J29" s="19">
        <f>IF(B29="","",IF(AND(D29="Yes",F29="Yes",H29="Yes"),"Compliant",IF(OR(D29="No",F29="No",H29="No"),"Non-Compliant","Partial")))</f>
        <v/>
      </c>
      <c r="K29" s="16" t="n"/>
      <c r="L29" s="16" t="n"/>
    </row>
    <row r="30">
      <c r="A30" s="19">
        <f>IF(ROW()-5&lt;=COUNTA('Policy Inventory'!$A:$A)-4,INDEX('Policy Inventory'!$A:$A,ROW()-1),"")</f>
        <v/>
      </c>
      <c r="B30" s="19">
        <f>IF(A30&lt;&gt;"",VLOOKUP(A30,'Policy Inventory'!$A:$B,2,FALSE),"")</f>
        <v/>
      </c>
      <c r="C30" s="19">
        <f>IF(A30&lt;&gt;"",VLOOKUP(A30,'Policy Inventory'!$A:$N,14,FALSE),"")</f>
        <v/>
      </c>
      <c r="D30" s="16" t="n"/>
      <c r="E30" s="16" t="n"/>
      <c r="F30" s="16" t="n"/>
      <c r="G30" s="16" t="n"/>
      <c r="H30" s="16" t="n"/>
      <c r="I30" s="17" t="n"/>
      <c r="J30" s="19">
        <f>IF(B30="","",IF(AND(D30="Yes",F30="Yes",H30="Yes"),"Compliant",IF(OR(D30="No",F30="No",H30="No"),"Non-Compliant","Partial")))</f>
        <v/>
      </c>
      <c r="K30" s="16" t="n"/>
      <c r="L30" s="16" t="n"/>
    </row>
    <row r="31">
      <c r="A31" s="19">
        <f>IF(ROW()-5&lt;=COUNTA('Policy Inventory'!$A:$A)-4,INDEX('Policy Inventory'!$A:$A,ROW()-1),"")</f>
        <v/>
      </c>
      <c r="B31" s="19">
        <f>IF(A31&lt;&gt;"",VLOOKUP(A31,'Policy Inventory'!$A:$B,2,FALSE),"")</f>
        <v/>
      </c>
      <c r="C31" s="19">
        <f>IF(A31&lt;&gt;"",VLOOKUP(A31,'Policy Inventory'!$A:$N,14,FALSE),"")</f>
        <v/>
      </c>
      <c r="D31" s="16" t="n"/>
      <c r="E31" s="16" t="n"/>
      <c r="F31" s="16" t="n"/>
      <c r="G31" s="16" t="n"/>
      <c r="H31" s="16" t="n"/>
      <c r="I31" s="17" t="n"/>
      <c r="J31" s="19">
        <f>IF(B31="","",IF(AND(D31="Yes",F31="Yes",H31="Yes"),"Compliant",IF(OR(D31="No",F31="No",H31="No"),"Non-Compliant","Partial")))</f>
        <v/>
      </c>
      <c r="K31" s="16" t="n"/>
      <c r="L31" s="16" t="n"/>
    </row>
    <row r="32">
      <c r="A32" s="19">
        <f>IF(ROW()-5&lt;=COUNTA('Policy Inventory'!$A:$A)-4,INDEX('Policy Inventory'!$A:$A,ROW()-1),"")</f>
        <v/>
      </c>
      <c r="B32" s="19">
        <f>IF(A32&lt;&gt;"",VLOOKUP(A32,'Policy Inventory'!$A:$B,2,FALSE),"")</f>
        <v/>
      </c>
      <c r="C32" s="19">
        <f>IF(A32&lt;&gt;"",VLOOKUP(A32,'Policy Inventory'!$A:$N,14,FALSE),"")</f>
        <v/>
      </c>
      <c r="D32" s="16" t="n"/>
      <c r="E32" s="16" t="n"/>
      <c r="F32" s="16" t="n"/>
      <c r="G32" s="16" t="n"/>
      <c r="H32" s="16" t="n"/>
      <c r="I32" s="17" t="n"/>
      <c r="J32" s="19">
        <f>IF(B32="","",IF(AND(D32="Yes",F32="Yes",H32="Yes"),"Compliant",IF(OR(D32="No",F32="No",H32="No"),"Non-Compliant","Partial")))</f>
        <v/>
      </c>
      <c r="K32" s="16" t="n"/>
      <c r="L32" s="16" t="n"/>
    </row>
    <row r="33">
      <c r="A33" s="19">
        <f>IF(ROW()-5&lt;=COUNTA('Policy Inventory'!$A:$A)-4,INDEX('Policy Inventory'!$A:$A,ROW()-1),"")</f>
        <v/>
      </c>
      <c r="B33" s="19">
        <f>IF(A33&lt;&gt;"",VLOOKUP(A33,'Policy Inventory'!$A:$B,2,FALSE),"")</f>
        <v/>
      </c>
      <c r="C33" s="19">
        <f>IF(A33&lt;&gt;"",VLOOKUP(A33,'Policy Inventory'!$A:$N,14,FALSE),"")</f>
        <v/>
      </c>
      <c r="D33" s="16" t="n"/>
      <c r="E33" s="16" t="n"/>
      <c r="F33" s="16" t="n"/>
      <c r="G33" s="16" t="n"/>
      <c r="H33" s="16" t="n"/>
      <c r="I33" s="17" t="n"/>
      <c r="J33" s="19">
        <f>IF(B33="","",IF(AND(D33="Yes",F33="Yes",H33="Yes"),"Compliant",IF(OR(D33="No",F33="No",H33="No"),"Non-Compliant","Partial")))</f>
        <v/>
      </c>
      <c r="K33" s="16" t="n"/>
      <c r="L33" s="16" t="n"/>
    </row>
    <row r="34">
      <c r="A34" s="19">
        <f>IF(ROW()-5&lt;=COUNTA('Policy Inventory'!$A:$A)-4,INDEX('Policy Inventory'!$A:$A,ROW()-1),"")</f>
        <v/>
      </c>
      <c r="B34" s="19">
        <f>IF(A34&lt;&gt;"",VLOOKUP(A34,'Policy Inventory'!$A:$B,2,FALSE),"")</f>
        <v/>
      </c>
      <c r="C34" s="19">
        <f>IF(A34&lt;&gt;"",VLOOKUP(A34,'Policy Inventory'!$A:$N,14,FALSE),"")</f>
        <v/>
      </c>
      <c r="D34" s="16" t="n"/>
      <c r="E34" s="16" t="n"/>
      <c r="F34" s="16" t="n"/>
      <c r="G34" s="16" t="n"/>
      <c r="H34" s="16" t="n"/>
      <c r="I34" s="17" t="n"/>
      <c r="J34" s="19">
        <f>IF(B34="","",IF(AND(D34="Yes",F34="Yes",H34="Yes"),"Compliant",IF(OR(D34="No",F34="No",H34="No"),"Non-Compliant","Partial")))</f>
        <v/>
      </c>
      <c r="K34" s="16" t="n"/>
      <c r="L34" s="16" t="n"/>
    </row>
    <row r="35">
      <c r="A35" s="19">
        <f>IF(ROW()-5&lt;=COUNTA('Policy Inventory'!$A:$A)-4,INDEX('Policy Inventory'!$A:$A,ROW()-1),"")</f>
        <v/>
      </c>
      <c r="B35" s="19">
        <f>IF(A35&lt;&gt;"",VLOOKUP(A35,'Policy Inventory'!$A:$B,2,FALSE),"")</f>
        <v/>
      </c>
      <c r="C35" s="19">
        <f>IF(A35&lt;&gt;"",VLOOKUP(A35,'Policy Inventory'!$A:$N,14,FALSE),"")</f>
        <v/>
      </c>
      <c r="D35" s="16" t="n"/>
      <c r="E35" s="16" t="n"/>
      <c r="F35" s="16" t="n"/>
      <c r="G35" s="16" t="n"/>
      <c r="H35" s="16" t="n"/>
      <c r="I35" s="17" t="n"/>
      <c r="J35" s="19">
        <f>IF(B35="","",IF(AND(D35="Yes",F35="Yes",H35="Yes"),"Compliant",IF(OR(D35="No",F35="No",H35="No"),"Non-Compliant","Partial")))</f>
        <v/>
      </c>
      <c r="K35" s="16" t="n"/>
      <c r="L35" s="16" t="n"/>
    </row>
    <row r="36">
      <c r="A36" s="19">
        <f>IF(ROW()-5&lt;=COUNTA('Policy Inventory'!$A:$A)-4,INDEX('Policy Inventory'!$A:$A,ROW()-1),"")</f>
        <v/>
      </c>
      <c r="B36" s="19">
        <f>IF(A36&lt;&gt;"",VLOOKUP(A36,'Policy Inventory'!$A:$B,2,FALSE),"")</f>
        <v/>
      </c>
      <c r="C36" s="19">
        <f>IF(A36&lt;&gt;"",VLOOKUP(A36,'Policy Inventory'!$A:$N,14,FALSE),"")</f>
        <v/>
      </c>
      <c r="D36" s="16" t="n"/>
      <c r="E36" s="16" t="n"/>
      <c r="F36" s="16" t="n"/>
      <c r="G36" s="16" t="n"/>
      <c r="H36" s="16" t="n"/>
      <c r="I36" s="17" t="n"/>
      <c r="J36" s="19">
        <f>IF(B36="","",IF(AND(D36="Yes",F36="Yes",H36="Yes"),"Compliant",IF(OR(D36="No",F36="No",H36="No"),"Non-Compliant","Partial")))</f>
        <v/>
      </c>
      <c r="K36" s="16" t="n"/>
      <c r="L36" s="16" t="n"/>
    </row>
    <row r="37">
      <c r="A37" s="19">
        <f>IF(ROW()-5&lt;=COUNTA('Policy Inventory'!$A:$A)-4,INDEX('Policy Inventory'!$A:$A,ROW()-1),"")</f>
        <v/>
      </c>
      <c r="B37" s="19">
        <f>IF(A37&lt;&gt;"",VLOOKUP(A37,'Policy Inventory'!$A:$B,2,FALSE),"")</f>
        <v/>
      </c>
      <c r="C37" s="19">
        <f>IF(A37&lt;&gt;"",VLOOKUP(A37,'Policy Inventory'!$A:$N,14,FALSE),"")</f>
        <v/>
      </c>
      <c r="D37" s="16" t="n"/>
      <c r="E37" s="16" t="n"/>
      <c r="F37" s="16" t="n"/>
      <c r="G37" s="16" t="n"/>
      <c r="H37" s="16" t="n"/>
      <c r="I37" s="17" t="n"/>
      <c r="J37" s="19">
        <f>IF(B37="","",IF(AND(D37="Yes",F37="Yes",H37="Yes"),"Compliant",IF(OR(D37="No",F37="No",H37="No"),"Non-Compliant","Partial")))</f>
        <v/>
      </c>
      <c r="K37" s="16" t="n"/>
      <c r="L37" s="16" t="n"/>
    </row>
    <row r="38">
      <c r="A38" s="19">
        <f>IF(ROW()-5&lt;=COUNTA('Policy Inventory'!$A:$A)-4,INDEX('Policy Inventory'!$A:$A,ROW()-1),"")</f>
        <v/>
      </c>
      <c r="B38" s="19">
        <f>IF(A38&lt;&gt;"",VLOOKUP(A38,'Policy Inventory'!$A:$B,2,FALSE),"")</f>
        <v/>
      </c>
      <c r="C38" s="19">
        <f>IF(A38&lt;&gt;"",VLOOKUP(A38,'Policy Inventory'!$A:$N,14,FALSE),"")</f>
        <v/>
      </c>
      <c r="D38" s="16" t="n"/>
      <c r="E38" s="16" t="n"/>
      <c r="F38" s="16" t="n"/>
      <c r="G38" s="16" t="n"/>
      <c r="H38" s="16" t="n"/>
      <c r="I38" s="17" t="n"/>
      <c r="J38" s="19">
        <f>IF(B38="","",IF(AND(D38="Yes",F38="Yes",H38="Yes"),"Compliant",IF(OR(D38="No",F38="No",H38="No"),"Non-Compliant","Partial")))</f>
        <v/>
      </c>
      <c r="K38" s="16" t="n"/>
      <c r="L38" s="16" t="n"/>
    </row>
    <row r="39">
      <c r="A39" s="19">
        <f>IF(ROW()-5&lt;=COUNTA('Policy Inventory'!$A:$A)-4,INDEX('Policy Inventory'!$A:$A,ROW()-1),"")</f>
        <v/>
      </c>
      <c r="B39" s="19">
        <f>IF(A39&lt;&gt;"",VLOOKUP(A39,'Policy Inventory'!$A:$B,2,FALSE),"")</f>
        <v/>
      </c>
      <c r="C39" s="19">
        <f>IF(A39&lt;&gt;"",VLOOKUP(A39,'Policy Inventory'!$A:$N,14,FALSE),"")</f>
        <v/>
      </c>
      <c r="D39" s="16" t="n"/>
      <c r="E39" s="16" t="n"/>
      <c r="F39" s="16" t="n"/>
      <c r="G39" s="16" t="n"/>
      <c r="H39" s="16" t="n"/>
      <c r="I39" s="17" t="n"/>
      <c r="J39" s="19">
        <f>IF(B39="","",IF(AND(D39="Yes",F39="Yes",H39="Yes"),"Compliant",IF(OR(D39="No",F39="No",H39="No"),"Non-Compliant","Partial")))</f>
        <v/>
      </c>
      <c r="K39" s="16" t="n"/>
      <c r="L39" s="16" t="n"/>
    </row>
    <row r="40">
      <c r="A40" s="19">
        <f>IF(ROW()-5&lt;=COUNTA('Policy Inventory'!$A:$A)-4,INDEX('Policy Inventory'!$A:$A,ROW()-1),"")</f>
        <v/>
      </c>
      <c r="B40" s="19">
        <f>IF(A40&lt;&gt;"",VLOOKUP(A40,'Policy Inventory'!$A:$B,2,FALSE),"")</f>
        <v/>
      </c>
      <c r="C40" s="19">
        <f>IF(A40&lt;&gt;"",VLOOKUP(A40,'Policy Inventory'!$A:$N,14,FALSE),"")</f>
        <v/>
      </c>
      <c r="D40" s="16" t="n"/>
      <c r="E40" s="16" t="n"/>
      <c r="F40" s="16" t="n"/>
      <c r="G40" s="16" t="n"/>
      <c r="H40" s="16" t="n"/>
      <c r="I40" s="17" t="n"/>
      <c r="J40" s="19">
        <f>IF(B40="","",IF(AND(D40="Yes",F40="Yes",H40="Yes"),"Compliant",IF(OR(D40="No",F40="No",H40="No"),"Non-Compliant","Partial")))</f>
        <v/>
      </c>
      <c r="K40" s="16" t="n"/>
      <c r="L40" s="16" t="n"/>
    </row>
    <row r="41">
      <c r="A41" s="19">
        <f>IF(ROW()-5&lt;=COUNTA('Policy Inventory'!$A:$A)-4,INDEX('Policy Inventory'!$A:$A,ROW()-1),"")</f>
        <v/>
      </c>
      <c r="B41" s="19">
        <f>IF(A41&lt;&gt;"",VLOOKUP(A41,'Policy Inventory'!$A:$B,2,FALSE),"")</f>
        <v/>
      </c>
      <c r="C41" s="19">
        <f>IF(A41&lt;&gt;"",VLOOKUP(A41,'Policy Inventory'!$A:$N,14,FALSE),"")</f>
        <v/>
      </c>
      <c r="D41" s="16" t="n"/>
      <c r="E41" s="16" t="n"/>
      <c r="F41" s="16" t="n"/>
      <c r="G41" s="16" t="n"/>
      <c r="H41" s="16" t="n"/>
      <c r="I41" s="17" t="n"/>
      <c r="J41" s="19">
        <f>IF(B41="","",IF(AND(D41="Yes",F41="Yes",H41="Yes"),"Compliant",IF(OR(D41="No",F41="No",H41="No"),"Non-Compliant","Partial")))</f>
        <v/>
      </c>
      <c r="K41" s="16" t="n"/>
      <c r="L41" s="16" t="n"/>
    </row>
    <row r="42">
      <c r="A42" s="19">
        <f>IF(ROW()-5&lt;=COUNTA('Policy Inventory'!$A:$A)-4,INDEX('Policy Inventory'!$A:$A,ROW()-1),"")</f>
        <v/>
      </c>
      <c r="B42" s="19">
        <f>IF(A42&lt;&gt;"",VLOOKUP(A42,'Policy Inventory'!$A:$B,2,FALSE),"")</f>
        <v/>
      </c>
      <c r="C42" s="19">
        <f>IF(A42&lt;&gt;"",VLOOKUP(A42,'Policy Inventory'!$A:$N,14,FALSE),"")</f>
        <v/>
      </c>
      <c r="D42" s="16" t="n"/>
      <c r="E42" s="16" t="n"/>
      <c r="F42" s="16" t="n"/>
      <c r="G42" s="16" t="n"/>
      <c r="H42" s="16" t="n"/>
      <c r="I42" s="17" t="n"/>
      <c r="J42" s="19">
        <f>IF(B42="","",IF(AND(D42="Yes",F42="Yes",H42="Yes"),"Compliant",IF(OR(D42="No",F42="No",H42="No"),"Non-Compliant","Partial")))</f>
        <v/>
      </c>
      <c r="K42" s="16" t="n"/>
      <c r="L42" s="16" t="n"/>
    </row>
    <row r="43">
      <c r="A43" s="19">
        <f>IF(ROW()-5&lt;=COUNTA('Policy Inventory'!$A:$A)-4,INDEX('Policy Inventory'!$A:$A,ROW()-1),"")</f>
        <v/>
      </c>
      <c r="B43" s="19">
        <f>IF(A43&lt;&gt;"",VLOOKUP(A43,'Policy Inventory'!$A:$B,2,FALSE),"")</f>
        <v/>
      </c>
      <c r="C43" s="19">
        <f>IF(A43&lt;&gt;"",VLOOKUP(A43,'Policy Inventory'!$A:$N,14,FALSE),"")</f>
        <v/>
      </c>
      <c r="D43" s="16" t="n"/>
      <c r="E43" s="16" t="n"/>
      <c r="F43" s="16" t="n"/>
      <c r="G43" s="16" t="n"/>
      <c r="H43" s="16" t="n"/>
      <c r="I43" s="17" t="n"/>
      <c r="J43" s="19">
        <f>IF(B43="","",IF(AND(D43="Yes",F43="Yes",H43="Yes"),"Compliant",IF(OR(D43="No",F43="No",H43="No"),"Non-Compliant","Partial")))</f>
        <v/>
      </c>
      <c r="K43" s="16" t="n"/>
      <c r="L43" s="16" t="n"/>
    </row>
    <row r="44">
      <c r="A44" s="19">
        <f>IF(ROW()-5&lt;=COUNTA('Policy Inventory'!$A:$A)-4,INDEX('Policy Inventory'!$A:$A,ROW()-1),"")</f>
        <v/>
      </c>
      <c r="B44" s="19">
        <f>IF(A44&lt;&gt;"",VLOOKUP(A44,'Policy Inventory'!$A:$B,2,FALSE),"")</f>
        <v/>
      </c>
      <c r="C44" s="19">
        <f>IF(A44&lt;&gt;"",VLOOKUP(A44,'Policy Inventory'!$A:$N,14,FALSE),"")</f>
        <v/>
      </c>
      <c r="D44" s="16" t="n"/>
      <c r="E44" s="16" t="n"/>
      <c r="F44" s="16" t="n"/>
      <c r="G44" s="16" t="n"/>
      <c r="H44" s="16" t="n"/>
      <c r="I44" s="17" t="n"/>
      <c r="J44" s="19">
        <f>IF(B44="","",IF(AND(D44="Yes",F44="Yes",H44="Yes"),"Compliant",IF(OR(D44="No",F44="No",H44="No"),"Non-Compliant","Partial")))</f>
        <v/>
      </c>
      <c r="K44" s="16" t="n"/>
      <c r="L44" s="16" t="n"/>
    </row>
    <row r="45">
      <c r="A45" s="19">
        <f>IF(ROW()-5&lt;=COUNTA('Policy Inventory'!$A:$A)-4,INDEX('Policy Inventory'!$A:$A,ROW()-1),"")</f>
        <v/>
      </c>
      <c r="B45" s="19">
        <f>IF(A45&lt;&gt;"",VLOOKUP(A45,'Policy Inventory'!$A:$B,2,FALSE),"")</f>
        <v/>
      </c>
      <c r="C45" s="19">
        <f>IF(A45&lt;&gt;"",VLOOKUP(A45,'Policy Inventory'!$A:$N,14,FALSE),"")</f>
        <v/>
      </c>
      <c r="D45" s="16" t="n"/>
      <c r="E45" s="16" t="n"/>
      <c r="F45" s="16" t="n"/>
      <c r="G45" s="16" t="n"/>
      <c r="H45" s="16" t="n"/>
      <c r="I45" s="17" t="n"/>
      <c r="J45" s="19">
        <f>IF(B45="","",IF(AND(D45="Yes",F45="Yes",H45="Yes"),"Compliant",IF(OR(D45="No",F45="No",H45="No"),"Non-Compliant","Partial")))</f>
        <v/>
      </c>
      <c r="K45" s="16" t="n"/>
      <c r="L45" s="16" t="n"/>
    </row>
    <row r="46">
      <c r="A46" s="19">
        <f>IF(ROW()-5&lt;=COUNTA('Policy Inventory'!$A:$A)-4,INDEX('Policy Inventory'!$A:$A,ROW()-1),"")</f>
        <v/>
      </c>
      <c r="B46" s="19">
        <f>IF(A46&lt;&gt;"",VLOOKUP(A46,'Policy Inventory'!$A:$B,2,FALSE),"")</f>
        <v/>
      </c>
      <c r="C46" s="19">
        <f>IF(A46&lt;&gt;"",VLOOKUP(A46,'Policy Inventory'!$A:$N,14,FALSE),"")</f>
        <v/>
      </c>
      <c r="D46" s="16" t="n"/>
      <c r="E46" s="16" t="n"/>
      <c r="F46" s="16" t="n"/>
      <c r="G46" s="16" t="n"/>
      <c r="H46" s="16" t="n"/>
      <c r="I46" s="17" t="n"/>
      <c r="J46" s="19">
        <f>IF(B46="","",IF(AND(D46="Yes",F46="Yes",H46="Yes"),"Compliant",IF(OR(D46="No",F46="No",H46="No"),"Non-Compliant","Partial")))</f>
        <v/>
      </c>
      <c r="K46" s="16" t="n"/>
      <c r="L46" s="16" t="n"/>
    </row>
    <row r="47">
      <c r="A47" s="19">
        <f>IF(ROW()-5&lt;=COUNTA('Policy Inventory'!$A:$A)-4,INDEX('Policy Inventory'!$A:$A,ROW()-1),"")</f>
        <v/>
      </c>
      <c r="B47" s="19">
        <f>IF(A47&lt;&gt;"",VLOOKUP(A47,'Policy Inventory'!$A:$B,2,FALSE),"")</f>
        <v/>
      </c>
      <c r="C47" s="19">
        <f>IF(A47&lt;&gt;"",VLOOKUP(A47,'Policy Inventory'!$A:$N,14,FALSE),"")</f>
        <v/>
      </c>
      <c r="D47" s="16" t="n"/>
      <c r="E47" s="16" t="n"/>
      <c r="F47" s="16" t="n"/>
      <c r="G47" s="16" t="n"/>
      <c r="H47" s="16" t="n"/>
      <c r="I47" s="17" t="n"/>
      <c r="J47" s="19">
        <f>IF(B47="","",IF(AND(D47="Yes",F47="Yes",H47="Yes"),"Compliant",IF(OR(D47="No",F47="No",H47="No"),"Non-Compliant","Partial")))</f>
        <v/>
      </c>
      <c r="K47" s="16" t="n"/>
      <c r="L47" s="16" t="n"/>
    </row>
    <row r="48">
      <c r="A48" s="19">
        <f>IF(ROW()-5&lt;=COUNTA('Policy Inventory'!$A:$A)-4,INDEX('Policy Inventory'!$A:$A,ROW()-1),"")</f>
        <v/>
      </c>
      <c r="B48" s="19">
        <f>IF(A48&lt;&gt;"",VLOOKUP(A48,'Policy Inventory'!$A:$B,2,FALSE),"")</f>
        <v/>
      </c>
      <c r="C48" s="19">
        <f>IF(A48&lt;&gt;"",VLOOKUP(A48,'Policy Inventory'!$A:$N,14,FALSE),"")</f>
        <v/>
      </c>
      <c r="D48" s="16" t="n"/>
      <c r="E48" s="16" t="n"/>
      <c r="F48" s="16" t="n"/>
      <c r="G48" s="16" t="n"/>
      <c r="H48" s="16" t="n"/>
      <c r="I48" s="17" t="n"/>
      <c r="J48" s="19">
        <f>IF(B48="","",IF(AND(D48="Yes",F48="Yes",H48="Yes"),"Compliant",IF(OR(D48="No",F48="No",H48="No"),"Non-Compliant","Partial")))</f>
        <v/>
      </c>
      <c r="K48" s="16" t="n"/>
      <c r="L48" s="16" t="n"/>
    </row>
    <row r="49">
      <c r="A49" s="19">
        <f>IF(ROW()-5&lt;=COUNTA('Policy Inventory'!$A:$A)-4,INDEX('Policy Inventory'!$A:$A,ROW()-1),"")</f>
        <v/>
      </c>
      <c r="B49" s="19">
        <f>IF(A49&lt;&gt;"",VLOOKUP(A49,'Policy Inventory'!$A:$B,2,FALSE),"")</f>
        <v/>
      </c>
      <c r="C49" s="19">
        <f>IF(A49&lt;&gt;"",VLOOKUP(A49,'Policy Inventory'!$A:$N,14,FALSE),"")</f>
        <v/>
      </c>
      <c r="D49" s="16" t="n"/>
      <c r="E49" s="16" t="n"/>
      <c r="F49" s="16" t="n"/>
      <c r="G49" s="16" t="n"/>
      <c r="H49" s="16" t="n"/>
      <c r="I49" s="17" t="n"/>
      <c r="J49" s="19">
        <f>IF(B49="","",IF(AND(D49="Yes",F49="Yes",H49="Yes"),"Compliant",IF(OR(D49="No",F49="No",H49="No"),"Non-Compliant","Partial")))</f>
        <v/>
      </c>
      <c r="K49" s="16" t="n"/>
      <c r="L49" s="16" t="n"/>
    </row>
    <row r="50">
      <c r="A50" s="19">
        <f>IF(ROW()-5&lt;=COUNTA('Policy Inventory'!$A:$A)-4,INDEX('Policy Inventory'!$A:$A,ROW()-1),"")</f>
        <v/>
      </c>
      <c r="B50" s="19">
        <f>IF(A50&lt;&gt;"",VLOOKUP(A50,'Policy Inventory'!$A:$B,2,FALSE),"")</f>
        <v/>
      </c>
      <c r="C50" s="19">
        <f>IF(A50&lt;&gt;"",VLOOKUP(A50,'Policy Inventory'!$A:$N,14,FALSE),"")</f>
        <v/>
      </c>
      <c r="D50" s="16" t="n"/>
      <c r="E50" s="16" t="n"/>
      <c r="F50" s="16" t="n"/>
      <c r="G50" s="16" t="n"/>
      <c r="H50" s="16" t="n"/>
      <c r="I50" s="17" t="n"/>
      <c r="J50" s="19">
        <f>IF(B50="","",IF(AND(D50="Yes",F50="Yes",H50="Yes"),"Compliant",IF(OR(D50="No",F50="No",H50="No"),"Non-Compliant","Partial")))</f>
        <v/>
      </c>
      <c r="K50" s="16" t="n"/>
      <c r="L50" s="16" t="n"/>
    </row>
    <row r="51">
      <c r="A51" s="19">
        <f>IF(ROW()-5&lt;=COUNTA('Policy Inventory'!$A:$A)-4,INDEX('Policy Inventory'!$A:$A,ROW()-1),"")</f>
        <v/>
      </c>
      <c r="B51" s="19">
        <f>IF(A51&lt;&gt;"",VLOOKUP(A51,'Policy Inventory'!$A:$B,2,FALSE),"")</f>
        <v/>
      </c>
      <c r="C51" s="19">
        <f>IF(A51&lt;&gt;"",VLOOKUP(A51,'Policy Inventory'!$A:$N,14,FALSE),"")</f>
        <v/>
      </c>
      <c r="D51" s="16" t="n"/>
      <c r="E51" s="16" t="n"/>
      <c r="F51" s="16" t="n"/>
      <c r="G51" s="16" t="n"/>
      <c r="H51" s="16" t="n"/>
      <c r="I51" s="17" t="n"/>
      <c r="J51" s="19">
        <f>IF(B51="","",IF(AND(D51="Yes",F51="Yes",H51="Yes"),"Compliant",IF(OR(D51="No",F51="No",H51="No"),"Non-Compliant","Partial")))</f>
        <v/>
      </c>
      <c r="K51" s="16" t="n"/>
      <c r="L51" s="16" t="n"/>
    </row>
    <row r="52">
      <c r="A52" s="19">
        <f>IF(ROW()-5&lt;=COUNTA('Policy Inventory'!$A:$A)-4,INDEX('Policy Inventory'!$A:$A,ROW()-1),"")</f>
        <v/>
      </c>
      <c r="B52" s="19">
        <f>IF(A52&lt;&gt;"",VLOOKUP(A52,'Policy Inventory'!$A:$B,2,FALSE),"")</f>
        <v/>
      </c>
      <c r="C52" s="19">
        <f>IF(A52&lt;&gt;"",VLOOKUP(A52,'Policy Inventory'!$A:$N,14,FALSE),"")</f>
        <v/>
      </c>
      <c r="D52" s="16" t="n"/>
      <c r="E52" s="16" t="n"/>
      <c r="F52" s="16" t="n"/>
      <c r="G52" s="16" t="n"/>
      <c r="H52" s="16" t="n"/>
      <c r="I52" s="17" t="n"/>
      <c r="J52" s="19">
        <f>IF(B52="","",IF(AND(D52="Yes",F52="Yes",H52="Yes"),"Compliant",IF(OR(D52="No",F52="No",H52="No"),"Non-Compliant","Partial")))</f>
        <v/>
      </c>
      <c r="K52" s="16" t="n"/>
      <c r="L52" s="16" t="n"/>
    </row>
    <row r="53">
      <c r="A53" s="19">
        <f>IF(ROW()-5&lt;=COUNTA('Policy Inventory'!$A:$A)-4,INDEX('Policy Inventory'!$A:$A,ROW()-1),"")</f>
        <v/>
      </c>
      <c r="B53" s="19">
        <f>IF(A53&lt;&gt;"",VLOOKUP(A53,'Policy Inventory'!$A:$B,2,FALSE),"")</f>
        <v/>
      </c>
      <c r="C53" s="19">
        <f>IF(A53&lt;&gt;"",VLOOKUP(A53,'Policy Inventory'!$A:$N,14,FALSE),"")</f>
        <v/>
      </c>
      <c r="D53" s="16" t="n"/>
      <c r="E53" s="16" t="n"/>
      <c r="F53" s="16" t="n"/>
      <c r="G53" s="16" t="n"/>
      <c r="H53" s="16" t="n"/>
      <c r="I53" s="17" t="n"/>
      <c r="J53" s="19">
        <f>IF(B53="","",IF(AND(D53="Yes",F53="Yes",H53="Yes"),"Compliant",IF(OR(D53="No",F53="No",H53="No"),"Non-Compliant","Partial")))</f>
        <v/>
      </c>
      <c r="K53" s="16" t="n"/>
      <c r="L53" s="16" t="n"/>
    </row>
    <row r="54">
      <c r="A54" s="19">
        <f>IF(ROW()-5&lt;=COUNTA('Policy Inventory'!$A:$A)-4,INDEX('Policy Inventory'!$A:$A,ROW()-1),"")</f>
        <v/>
      </c>
      <c r="B54" s="19">
        <f>IF(A54&lt;&gt;"",VLOOKUP(A54,'Policy Inventory'!$A:$B,2,FALSE),"")</f>
        <v/>
      </c>
      <c r="C54" s="19">
        <f>IF(A54&lt;&gt;"",VLOOKUP(A54,'Policy Inventory'!$A:$N,14,FALSE),"")</f>
        <v/>
      </c>
      <c r="D54" s="16" t="n"/>
      <c r="E54" s="16" t="n"/>
      <c r="F54" s="16" t="n"/>
      <c r="G54" s="16" t="n"/>
      <c r="H54" s="16" t="n"/>
      <c r="I54" s="17" t="n"/>
      <c r="J54" s="19">
        <f>IF(B54="","",IF(AND(D54="Yes",F54="Yes",H54="Yes"),"Compliant",IF(OR(D54="No",F54="No",H54="No"),"Non-Compliant","Partial")))</f>
        <v/>
      </c>
      <c r="K54" s="16" t="n"/>
      <c r="L54" s="16" t="n"/>
    </row>
    <row r="55">
      <c r="A55" s="19">
        <f>IF(ROW()-5&lt;=COUNTA('Policy Inventory'!$A:$A)-4,INDEX('Policy Inventory'!$A:$A,ROW()-1),"")</f>
        <v/>
      </c>
      <c r="B55" s="19">
        <f>IF(A55&lt;&gt;"",VLOOKUP(A55,'Policy Inventory'!$A:$B,2,FALSE),"")</f>
        <v/>
      </c>
      <c r="C55" s="19">
        <f>IF(A55&lt;&gt;"",VLOOKUP(A55,'Policy Inventory'!$A:$N,14,FALSE),"")</f>
        <v/>
      </c>
      <c r="D55" s="16" t="n"/>
      <c r="E55" s="16" t="n"/>
      <c r="F55" s="16" t="n"/>
      <c r="G55" s="16" t="n"/>
      <c r="H55" s="16" t="n"/>
      <c r="I55" s="17" t="n"/>
      <c r="J55" s="19">
        <f>IF(B55="","",IF(AND(D55="Yes",F55="Yes",H55="Yes"),"Compliant",IF(OR(D55="No",F55="No",H55="No"),"Non-Compliant","Partial")))</f>
        <v/>
      </c>
      <c r="K55" s="16" t="n"/>
      <c r="L55" s="16" t="n"/>
    </row>
    <row r="56">
      <c r="A56" s="19">
        <f>IF(ROW()-5&lt;=COUNTA('Policy Inventory'!$A:$A)-4,INDEX('Policy Inventory'!$A:$A,ROW()-1),"")</f>
        <v/>
      </c>
      <c r="B56" s="19">
        <f>IF(A56&lt;&gt;"",VLOOKUP(A56,'Policy Inventory'!$A:$B,2,FALSE),"")</f>
        <v/>
      </c>
      <c r="C56" s="19">
        <f>IF(A56&lt;&gt;"",VLOOKUP(A56,'Policy Inventory'!$A:$N,14,FALSE),"")</f>
        <v/>
      </c>
      <c r="D56" s="16" t="n"/>
      <c r="E56" s="16" t="n"/>
      <c r="F56" s="16" t="n"/>
      <c r="G56" s="16" t="n"/>
      <c r="H56" s="16" t="n"/>
      <c r="I56" s="17" t="n"/>
      <c r="J56" s="19">
        <f>IF(B56="","",IF(AND(D56="Yes",F56="Yes",H56="Yes"),"Compliant",IF(OR(D56="No",F56="No",H56="No"),"Non-Compliant","Partial")))</f>
        <v/>
      </c>
      <c r="K56" s="16" t="n"/>
      <c r="L56" s="16" t="n"/>
    </row>
    <row r="57">
      <c r="A57" s="19">
        <f>IF(ROW()-5&lt;=COUNTA('Policy Inventory'!$A:$A)-4,INDEX('Policy Inventory'!$A:$A,ROW()-1),"")</f>
        <v/>
      </c>
      <c r="B57" s="19">
        <f>IF(A57&lt;&gt;"",VLOOKUP(A57,'Policy Inventory'!$A:$B,2,FALSE),"")</f>
        <v/>
      </c>
      <c r="C57" s="19">
        <f>IF(A57&lt;&gt;"",VLOOKUP(A57,'Policy Inventory'!$A:$N,14,FALSE),"")</f>
        <v/>
      </c>
      <c r="D57" s="16" t="n"/>
      <c r="E57" s="16" t="n"/>
      <c r="F57" s="16" t="n"/>
      <c r="G57" s="16" t="n"/>
      <c r="H57" s="16" t="n"/>
      <c r="I57" s="17" t="n"/>
      <c r="J57" s="19">
        <f>IF(B57="","",IF(AND(D57="Yes",F57="Yes",H57="Yes"),"Compliant",IF(OR(D57="No",F57="No",H57="No"),"Non-Compliant","Partial")))</f>
        <v/>
      </c>
      <c r="K57" s="16" t="n"/>
      <c r="L57" s="16" t="n"/>
    </row>
    <row r="58">
      <c r="A58" s="19">
        <f>IF(ROW()-5&lt;=COUNTA('Policy Inventory'!$A:$A)-4,INDEX('Policy Inventory'!$A:$A,ROW()-1),"")</f>
        <v/>
      </c>
      <c r="B58" s="19">
        <f>IF(A58&lt;&gt;"",VLOOKUP(A58,'Policy Inventory'!$A:$B,2,FALSE),"")</f>
        <v/>
      </c>
      <c r="C58" s="19">
        <f>IF(A58&lt;&gt;"",VLOOKUP(A58,'Policy Inventory'!$A:$N,14,FALSE),"")</f>
        <v/>
      </c>
      <c r="D58" s="16" t="n"/>
      <c r="E58" s="16" t="n"/>
      <c r="F58" s="16" t="n"/>
      <c r="G58" s="16" t="n"/>
      <c r="H58" s="16" t="n"/>
      <c r="I58" s="17" t="n"/>
      <c r="J58" s="19">
        <f>IF(B58="","",IF(AND(D58="Yes",F58="Yes",H58="Yes"),"Compliant",IF(OR(D58="No",F58="No",H58="No"),"Non-Compliant","Partial")))</f>
        <v/>
      </c>
      <c r="K58" s="16" t="n"/>
      <c r="L58" s="16" t="n"/>
    </row>
    <row r="59">
      <c r="A59" s="19">
        <f>IF(ROW()-5&lt;=COUNTA('Policy Inventory'!$A:$A)-4,INDEX('Policy Inventory'!$A:$A,ROW()-1),"")</f>
        <v/>
      </c>
      <c r="B59" s="19">
        <f>IF(A59&lt;&gt;"",VLOOKUP(A59,'Policy Inventory'!$A:$B,2,FALSE),"")</f>
        <v/>
      </c>
      <c r="C59" s="19">
        <f>IF(A59&lt;&gt;"",VLOOKUP(A59,'Policy Inventory'!$A:$N,14,FALSE),"")</f>
        <v/>
      </c>
      <c r="D59" s="16" t="n"/>
      <c r="E59" s="16" t="n"/>
      <c r="F59" s="16" t="n"/>
      <c r="G59" s="16" t="n"/>
      <c r="H59" s="16" t="n"/>
      <c r="I59" s="17" t="n"/>
      <c r="J59" s="19">
        <f>IF(B59="","",IF(AND(D59="Yes",F59="Yes",H59="Yes"),"Compliant",IF(OR(D59="No",F59="No",H59="No"),"Non-Compliant","Partial")))</f>
        <v/>
      </c>
      <c r="K59" s="16" t="n"/>
      <c r="L59" s="16" t="n"/>
    </row>
    <row r="60">
      <c r="A60" s="19">
        <f>IF(ROW()-5&lt;=COUNTA('Policy Inventory'!$A:$A)-4,INDEX('Policy Inventory'!$A:$A,ROW()-1),"")</f>
        <v/>
      </c>
      <c r="B60" s="19">
        <f>IF(A60&lt;&gt;"",VLOOKUP(A60,'Policy Inventory'!$A:$B,2,FALSE),"")</f>
        <v/>
      </c>
      <c r="C60" s="19">
        <f>IF(A60&lt;&gt;"",VLOOKUP(A60,'Policy Inventory'!$A:$N,14,FALSE),"")</f>
        <v/>
      </c>
      <c r="D60" s="16" t="n"/>
      <c r="E60" s="16" t="n"/>
      <c r="F60" s="16" t="n"/>
      <c r="G60" s="16" t="n"/>
      <c r="H60" s="16" t="n"/>
      <c r="I60" s="17" t="n"/>
      <c r="J60" s="19">
        <f>IF(B60="","",IF(AND(D60="Yes",F60="Yes",H60="Yes"),"Compliant",IF(OR(D60="No",F60="No",H60="No"),"Non-Compliant","Partial")))</f>
        <v/>
      </c>
      <c r="K60" s="16" t="n"/>
      <c r="L60" s="16" t="n"/>
    </row>
    <row r="61">
      <c r="A61" s="19">
        <f>IF(ROW()-5&lt;=COUNTA('Policy Inventory'!$A:$A)-4,INDEX('Policy Inventory'!$A:$A,ROW()-1),"")</f>
        <v/>
      </c>
      <c r="B61" s="19">
        <f>IF(A61&lt;&gt;"",VLOOKUP(A61,'Policy Inventory'!$A:$B,2,FALSE),"")</f>
        <v/>
      </c>
      <c r="C61" s="19">
        <f>IF(A61&lt;&gt;"",VLOOKUP(A61,'Policy Inventory'!$A:$N,14,FALSE),"")</f>
        <v/>
      </c>
      <c r="D61" s="16" t="n"/>
      <c r="E61" s="16" t="n"/>
      <c r="F61" s="16" t="n"/>
      <c r="G61" s="16" t="n"/>
      <c r="H61" s="16" t="n"/>
      <c r="I61" s="17" t="n"/>
      <c r="J61" s="19">
        <f>IF(B61="","",IF(AND(D61="Yes",F61="Yes",H61="Yes"),"Compliant",IF(OR(D61="No",F61="No",H61="No"),"Non-Compliant","Partial")))</f>
        <v/>
      </c>
      <c r="K61" s="16" t="n"/>
      <c r="L61" s="16" t="n"/>
    </row>
    <row r="62">
      <c r="A62" s="19">
        <f>IF(ROW()-5&lt;=COUNTA('Policy Inventory'!$A:$A)-4,INDEX('Policy Inventory'!$A:$A,ROW()-1),"")</f>
        <v/>
      </c>
      <c r="B62" s="19">
        <f>IF(A62&lt;&gt;"",VLOOKUP(A62,'Policy Inventory'!$A:$B,2,FALSE),"")</f>
        <v/>
      </c>
      <c r="C62" s="19">
        <f>IF(A62&lt;&gt;"",VLOOKUP(A62,'Policy Inventory'!$A:$N,14,FALSE),"")</f>
        <v/>
      </c>
      <c r="D62" s="16" t="n"/>
      <c r="E62" s="16" t="n"/>
      <c r="F62" s="16" t="n"/>
      <c r="G62" s="16" t="n"/>
      <c r="H62" s="16" t="n"/>
      <c r="I62" s="17" t="n"/>
      <c r="J62" s="19">
        <f>IF(B62="","",IF(AND(D62="Yes",F62="Yes",H62="Yes"),"Compliant",IF(OR(D62="No",F62="No",H62="No"),"Non-Compliant","Partial")))</f>
        <v/>
      </c>
      <c r="K62" s="16" t="n"/>
      <c r="L62" s="16" t="n"/>
    </row>
    <row r="63">
      <c r="A63" s="19">
        <f>IF(ROW()-5&lt;=COUNTA('Policy Inventory'!$A:$A)-4,INDEX('Policy Inventory'!$A:$A,ROW()-1),"")</f>
        <v/>
      </c>
      <c r="B63" s="19">
        <f>IF(A63&lt;&gt;"",VLOOKUP(A63,'Policy Inventory'!$A:$B,2,FALSE),"")</f>
        <v/>
      </c>
      <c r="C63" s="19">
        <f>IF(A63&lt;&gt;"",VLOOKUP(A63,'Policy Inventory'!$A:$N,14,FALSE),"")</f>
        <v/>
      </c>
      <c r="D63" s="16" t="n"/>
      <c r="E63" s="16" t="n"/>
      <c r="F63" s="16" t="n"/>
      <c r="G63" s="16" t="n"/>
      <c r="H63" s="16" t="n"/>
      <c r="I63" s="17" t="n"/>
      <c r="J63" s="19">
        <f>IF(B63="","",IF(AND(D63="Yes",F63="Yes",H63="Yes"),"Compliant",IF(OR(D63="No",F63="No",H63="No"),"Non-Compliant","Partial")))</f>
        <v/>
      </c>
      <c r="K63" s="16" t="n"/>
      <c r="L63" s="16" t="n"/>
    </row>
    <row r="64">
      <c r="A64" s="19">
        <f>IF(ROW()-5&lt;=COUNTA('Policy Inventory'!$A:$A)-4,INDEX('Policy Inventory'!$A:$A,ROW()-1),"")</f>
        <v/>
      </c>
      <c r="B64" s="19">
        <f>IF(A64&lt;&gt;"",VLOOKUP(A64,'Policy Inventory'!$A:$B,2,FALSE),"")</f>
        <v/>
      </c>
      <c r="C64" s="19">
        <f>IF(A64&lt;&gt;"",VLOOKUP(A64,'Policy Inventory'!$A:$N,14,FALSE),"")</f>
        <v/>
      </c>
      <c r="D64" s="16" t="n"/>
      <c r="E64" s="16" t="n"/>
      <c r="F64" s="16" t="n"/>
      <c r="G64" s="16" t="n"/>
      <c r="H64" s="16" t="n"/>
      <c r="I64" s="17" t="n"/>
      <c r="J64" s="19">
        <f>IF(B64="","",IF(AND(D64="Yes",F64="Yes",H64="Yes"),"Compliant",IF(OR(D64="No",F64="No",H64="No"),"Non-Compliant","Partial")))</f>
        <v/>
      </c>
      <c r="K64" s="16" t="n"/>
      <c r="L64" s="16" t="n"/>
    </row>
    <row r="65">
      <c r="A65" s="19">
        <f>IF(ROW()-5&lt;=COUNTA('Policy Inventory'!$A:$A)-4,INDEX('Policy Inventory'!$A:$A,ROW()-1),"")</f>
        <v/>
      </c>
      <c r="B65" s="19">
        <f>IF(A65&lt;&gt;"",VLOOKUP(A65,'Policy Inventory'!$A:$B,2,FALSE),"")</f>
        <v/>
      </c>
      <c r="C65" s="19">
        <f>IF(A65&lt;&gt;"",VLOOKUP(A65,'Policy Inventory'!$A:$N,14,FALSE),"")</f>
        <v/>
      </c>
      <c r="D65" s="16" t="n"/>
      <c r="E65" s="16" t="n"/>
      <c r="F65" s="16" t="n"/>
      <c r="G65" s="16" t="n"/>
      <c r="H65" s="16" t="n"/>
      <c r="I65" s="17" t="n"/>
      <c r="J65" s="19">
        <f>IF(B65="","",IF(AND(D65="Yes",F65="Yes",H65="Yes"),"Compliant",IF(OR(D65="No",F65="No",H65="No"),"Non-Compliant","Partial")))</f>
        <v/>
      </c>
      <c r="K65" s="16" t="n"/>
      <c r="L65" s="16" t="n"/>
    </row>
    <row r="66">
      <c r="A66" s="19">
        <f>IF(ROW()-5&lt;=COUNTA('Policy Inventory'!$A:$A)-4,INDEX('Policy Inventory'!$A:$A,ROW()-1),"")</f>
        <v/>
      </c>
      <c r="B66" s="19">
        <f>IF(A66&lt;&gt;"",VLOOKUP(A66,'Policy Inventory'!$A:$B,2,FALSE),"")</f>
        <v/>
      </c>
      <c r="C66" s="19">
        <f>IF(A66&lt;&gt;"",VLOOKUP(A66,'Policy Inventory'!$A:$N,14,FALSE),"")</f>
        <v/>
      </c>
      <c r="D66" s="16" t="n"/>
      <c r="E66" s="16" t="n"/>
      <c r="F66" s="16" t="n"/>
      <c r="G66" s="16" t="n"/>
      <c r="H66" s="16" t="n"/>
      <c r="I66" s="17" t="n"/>
      <c r="J66" s="19">
        <f>IF(B66="","",IF(AND(D66="Yes",F66="Yes",H66="Yes"),"Compliant",IF(OR(D66="No",F66="No",H66="No"),"Non-Compliant","Partial")))</f>
        <v/>
      </c>
      <c r="K66" s="16" t="n"/>
      <c r="L66" s="16" t="n"/>
    </row>
    <row r="67">
      <c r="A67" s="19">
        <f>IF(ROW()-5&lt;=COUNTA('Policy Inventory'!$A:$A)-4,INDEX('Policy Inventory'!$A:$A,ROW()-1),"")</f>
        <v/>
      </c>
      <c r="B67" s="19">
        <f>IF(A67&lt;&gt;"",VLOOKUP(A67,'Policy Inventory'!$A:$B,2,FALSE),"")</f>
        <v/>
      </c>
      <c r="C67" s="19">
        <f>IF(A67&lt;&gt;"",VLOOKUP(A67,'Policy Inventory'!$A:$N,14,FALSE),"")</f>
        <v/>
      </c>
      <c r="D67" s="16" t="n"/>
      <c r="E67" s="16" t="n"/>
      <c r="F67" s="16" t="n"/>
      <c r="G67" s="16" t="n"/>
      <c r="H67" s="16" t="n"/>
      <c r="I67" s="17" t="n"/>
      <c r="J67" s="19">
        <f>IF(B67="","",IF(AND(D67="Yes",F67="Yes",H67="Yes"),"Compliant",IF(OR(D67="No",F67="No",H67="No"),"Non-Compliant","Partial")))</f>
        <v/>
      </c>
      <c r="K67" s="16" t="n"/>
      <c r="L67" s="16" t="n"/>
    </row>
    <row r="68">
      <c r="A68" s="19">
        <f>IF(ROW()-5&lt;=COUNTA('Policy Inventory'!$A:$A)-4,INDEX('Policy Inventory'!$A:$A,ROW()-1),"")</f>
        <v/>
      </c>
      <c r="B68" s="19">
        <f>IF(A68&lt;&gt;"",VLOOKUP(A68,'Policy Inventory'!$A:$B,2,FALSE),"")</f>
        <v/>
      </c>
      <c r="C68" s="19">
        <f>IF(A68&lt;&gt;"",VLOOKUP(A68,'Policy Inventory'!$A:$N,14,FALSE),"")</f>
        <v/>
      </c>
      <c r="D68" s="16" t="n"/>
      <c r="E68" s="16" t="n"/>
      <c r="F68" s="16" t="n"/>
      <c r="G68" s="16" t="n"/>
      <c r="H68" s="16" t="n"/>
      <c r="I68" s="17" t="n"/>
      <c r="J68" s="19">
        <f>IF(B68="","",IF(AND(D68="Yes",F68="Yes",H68="Yes"),"Compliant",IF(OR(D68="No",F68="No",H68="No"),"Non-Compliant","Partial")))</f>
        <v/>
      </c>
      <c r="K68" s="16" t="n"/>
      <c r="L68" s="16" t="n"/>
    </row>
    <row r="69">
      <c r="A69" s="19">
        <f>IF(ROW()-5&lt;=COUNTA('Policy Inventory'!$A:$A)-4,INDEX('Policy Inventory'!$A:$A,ROW()-1),"")</f>
        <v/>
      </c>
      <c r="B69" s="19">
        <f>IF(A69&lt;&gt;"",VLOOKUP(A69,'Policy Inventory'!$A:$B,2,FALSE),"")</f>
        <v/>
      </c>
      <c r="C69" s="19">
        <f>IF(A69&lt;&gt;"",VLOOKUP(A69,'Policy Inventory'!$A:$N,14,FALSE),"")</f>
        <v/>
      </c>
      <c r="D69" s="16" t="n"/>
      <c r="E69" s="16" t="n"/>
      <c r="F69" s="16" t="n"/>
      <c r="G69" s="16" t="n"/>
      <c r="H69" s="16" t="n"/>
      <c r="I69" s="17" t="n"/>
      <c r="J69" s="19">
        <f>IF(B69="","",IF(AND(D69="Yes",F69="Yes",H69="Yes"),"Compliant",IF(OR(D69="No",F69="No",H69="No"),"Non-Compliant","Partial")))</f>
        <v/>
      </c>
      <c r="K69" s="16" t="n"/>
      <c r="L69" s="16" t="n"/>
    </row>
    <row r="70">
      <c r="A70" s="19">
        <f>IF(ROW()-5&lt;=COUNTA('Policy Inventory'!$A:$A)-4,INDEX('Policy Inventory'!$A:$A,ROW()-1),"")</f>
        <v/>
      </c>
      <c r="B70" s="19">
        <f>IF(A70&lt;&gt;"",VLOOKUP(A70,'Policy Inventory'!$A:$B,2,FALSE),"")</f>
        <v/>
      </c>
      <c r="C70" s="19">
        <f>IF(A70&lt;&gt;"",VLOOKUP(A70,'Policy Inventory'!$A:$N,14,FALSE),"")</f>
        <v/>
      </c>
      <c r="D70" s="16" t="n"/>
      <c r="E70" s="16" t="n"/>
      <c r="F70" s="16" t="n"/>
      <c r="G70" s="16" t="n"/>
      <c r="H70" s="16" t="n"/>
      <c r="I70" s="17" t="n"/>
      <c r="J70" s="19">
        <f>IF(B70="","",IF(AND(D70="Yes",F70="Yes",H70="Yes"),"Compliant",IF(OR(D70="No",F70="No",H70="No"),"Non-Compliant","Partial")))</f>
        <v/>
      </c>
      <c r="K70" s="16" t="n"/>
      <c r="L70" s="16" t="n"/>
    </row>
    <row r="71">
      <c r="A71" s="19">
        <f>IF(ROW()-5&lt;=COUNTA('Policy Inventory'!$A:$A)-4,INDEX('Policy Inventory'!$A:$A,ROW()-1),"")</f>
        <v/>
      </c>
      <c r="B71" s="19">
        <f>IF(A71&lt;&gt;"",VLOOKUP(A71,'Policy Inventory'!$A:$B,2,FALSE),"")</f>
        <v/>
      </c>
      <c r="C71" s="19">
        <f>IF(A71&lt;&gt;"",VLOOKUP(A71,'Policy Inventory'!$A:$N,14,FALSE),"")</f>
        <v/>
      </c>
      <c r="D71" s="16" t="n"/>
      <c r="E71" s="16" t="n"/>
      <c r="F71" s="16" t="n"/>
      <c r="G71" s="16" t="n"/>
      <c r="H71" s="16" t="n"/>
      <c r="I71" s="17" t="n"/>
      <c r="J71" s="19">
        <f>IF(B71="","",IF(AND(D71="Yes",F71="Yes",H71="Yes"),"Compliant",IF(OR(D71="No",F71="No",H71="No"),"Non-Compliant","Partial")))</f>
        <v/>
      </c>
      <c r="K71" s="16" t="n"/>
      <c r="L71" s="16" t="n"/>
    </row>
    <row r="72">
      <c r="A72" s="19">
        <f>IF(ROW()-5&lt;=COUNTA('Policy Inventory'!$A:$A)-4,INDEX('Policy Inventory'!$A:$A,ROW()-1),"")</f>
        <v/>
      </c>
      <c r="B72" s="19">
        <f>IF(A72&lt;&gt;"",VLOOKUP(A72,'Policy Inventory'!$A:$B,2,FALSE),"")</f>
        <v/>
      </c>
      <c r="C72" s="19">
        <f>IF(A72&lt;&gt;"",VLOOKUP(A72,'Policy Inventory'!$A:$N,14,FALSE),"")</f>
        <v/>
      </c>
      <c r="D72" s="16" t="n"/>
      <c r="E72" s="16" t="n"/>
      <c r="F72" s="16" t="n"/>
      <c r="G72" s="16" t="n"/>
      <c r="H72" s="16" t="n"/>
      <c r="I72" s="17" t="n"/>
      <c r="J72" s="19">
        <f>IF(B72="","",IF(AND(D72="Yes",F72="Yes",H72="Yes"),"Compliant",IF(OR(D72="No",F72="No",H72="No"),"Non-Compliant","Partial")))</f>
        <v/>
      </c>
      <c r="K72" s="16" t="n"/>
      <c r="L72" s="16" t="n"/>
    </row>
    <row r="73">
      <c r="A73" s="19">
        <f>IF(ROW()-5&lt;=COUNTA('Policy Inventory'!$A:$A)-4,INDEX('Policy Inventory'!$A:$A,ROW()-1),"")</f>
        <v/>
      </c>
      <c r="B73" s="19">
        <f>IF(A73&lt;&gt;"",VLOOKUP(A73,'Policy Inventory'!$A:$B,2,FALSE),"")</f>
        <v/>
      </c>
      <c r="C73" s="19">
        <f>IF(A73&lt;&gt;"",VLOOKUP(A73,'Policy Inventory'!$A:$N,14,FALSE),"")</f>
        <v/>
      </c>
      <c r="D73" s="16" t="n"/>
      <c r="E73" s="16" t="n"/>
      <c r="F73" s="16" t="n"/>
      <c r="G73" s="16" t="n"/>
      <c r="H73" s="16" t="n"/>
      <c r="I73" s="17" t="n"/>
      <c r="J73" s="19">
        <f>IF(B73="","",IF(AND(D73="Yes",F73="Yes",H73="Yes"),"Compliant",IF(OR(D73="No",F73="No",H73="No"),"Non-Compliant","Partial")))</f>
        <v/>
      </c>
      <c r="K73" s="16" t="n"/>
      <c r="L73" s="16" t="n"/>
    </row>
    <row r="74">
      <c r="A74" s="19">
        <f>IF(ROW()-5&lt;=COUNTA('Policy Inventory'!$A:$A)-4,INDEX('Policy Inventory'!$A:$A,ROW()-1),"")</f>
        <v/>
      </c>
      <c r="B74" s="19">
        <f>IF(A74&lt;&gt;"",VLOOKUP(A74,'Policy Inventory'!$A:$B,2,FALSE),"")</f>
        <v/>
      </c>
      <c r="C74" s="19">
        <f>IF(A74&lt;&gt;"",VLOOKUP(A74,'Policy Inventory'!$A:$N,14,FALSE),"")</f>
        <v/>
      </c>
      <c r="D74" s="16" t="n"/>
      <c r="E74" s="16" t="n"/>
      <c r="F74" s="16" t="n"/>
      <c r="G74" s="16" t="n"/>
      <c r="H74" s="16" t="n"/>
      <c r="I74" s="17" t="n"/>
      <c r="J74" s="19">
        <f>IF(B74="","",IF(AND(D74="Yes",F74="Yes",H74="Yes"),"Compliant",IF(OR(D74="No",F74="No",H74="No"),"Non-Compliant","Partial")))</f>
        <v/>
      </c>
      <c r="K74" s="16" t="n"/>
      <c r="L74" s="16" t="n"/>
    </row>
    <row r="75">
      <c r="A75" s="19">
        <f>IF(ROW()-5&lt;=COUNTA('Policy Inventory'!$A:$A)-4,INDEX('Policy Inventory'!$A:$A,ROW()-1),"")</f>
        <v/>
      </c>
      <c r="B75" s="19">
        <f>IF(A75&lt;&gt;"",VLOOKUP(A75,'Policy Inventory'!$A:$B,2,FALSE),"")</f>
        <v/>
      </c>
      <c r="C75" s="19">
        <f>IF(A75&lt;&gt;"",VLOOKUP(A75,'Policy Inventory'!$A:$N,14,FALSE),"")</f>
        <v/>
      </c>
      <c r="D75" s="16" t="n"/>
      <c r="E75" s="16" t="n"/>
      <c r="F75" s="16" t="n"/>
      <c r="G75" s="16" t="n"/>
      <c r="H75" s="16" t="n"/>
      <c r="I75" s="17" t="n"/>
      <c r="J75" s="19">
        <f>IF(B75="","",IF(AND(D75="Yes",F75="Yes",H75="Yes"),"Compliant",IF(OR(D75="No",F75="No",H75="No"),"Non-Compliant","Partial")))</f>
        <v/>
      </c>
      <c r="K75" s="16" t="n"/>
      <c r="L75" s="16" t="n"/>
    </row>
    <row r="76">
      <c r="A76" s="19">
        <f>IF(ROW()-5&lt;=COUNTA('Policy Inventory'!$A:$A)-4,INDEX('Policy Inventory'!$A:$A,ROW()-1),"")</f>
        <v/>
      </c>
      <c r="B76" s="19">
        <f>IF(A76&lt;&gt;"",VLOOKUP(A76,'Policy Inventory'!$A:$B,2,FALSE),"")</f>
        <v/>
      </c>
      <c r="C76" s="19">
        <f>IF(A76&lt;&gt;"",VLOOKUP(A76,'Policy Inventory'!$A:$N,14,FALSE),"")</f>
        <v/>
      </c>
      <c r="D76" s="16" t="n"/>
      <c r="E76" s="16" t="n"/>
      <c r="F76" s="16" t="n"/>
      <c r="G76" s="16" t="n"/>
      <c r="H76" s="16" t="n"/>
      <c r="I76" s="17" t="n"/>
      <c r="J76" s="19">
        <f>IF(B76="","",IF(AND(D76="Yes",F76="Yes",H76="Yes"),"Compliant",IF(OR(D76="No",F76="No",H76="No"),"Non-Compliant","Partial")))</f>
        <v/>
      </c>
      <c r="K76" s="16" t="n"/>
      <c r="L76" s="16" t="n"/>
    </row>
    <row r="77">
      <c r="A77" s="19">
        <f>IF(ROW()-5&lt;=COUNTA('Policy Inventory'!$A:$A)-4,INDEX('Policy Inventory'!$A:$A,ROW()-1),"")</f>
        <v/>
      </c>
      <c r="B77" s="19">
        <f>IF(A77&lt;&gt;"",VLOOKUP(A77,'Policy Inventory'!$A:$B,2,FALSE),"")</f>
        <v/>
      </c>
      <c r="C77" s="19">
        <f>IF(A77&lt;&gt;"",VLOOKUP(A77,'Policy Inventory'!$A:$N,14,FALSE),"")</f>
        <v/>
      </c>
      <c r="D77" s="16" t="n"/>
      <c r="E77" s="16" t="n"/>
      <c r="F77" s="16" t="n"/>
      <c r="G77" s="16" t="n"/>
      <c r="H77" s="16" t="n"/>
      <c r="I77" s="17" t="n"/>
      <c r="J77" s="19">
        <f>IF(B77="","",IF(AND(D77="Yes",F77="Yes",H77="Yes"),"Compliant",IF(OR(D77="No",F77="No",H77="No"),"Non-Compliant","Partial")))</f>
        <v/>
      </c>
      <c r="K77" s="16" t="n"/>
      <c r="L77" s="16" t="n"/>
    </row>
    <row r="78">
      <c r="A78" s="19">
        <f>IF(ROW()-5&lt;=COUNTA('Policy Inventory'!$A:$A)-4,INDEX('Policy Inventory'!$A:$A,ROW()-1),"")</f>
        <v/>
      </c>
      <c r="B78" s="19">
        <f>IF(A78&lt;&gt;"",VLOOKUP(A78,'Policy Inventory'!$A:$B,2,FALSE),"")</f>
        <v/>
      </c>
      <c r="C78" s="19">
        <f>IF(A78&lt;&gt;"",VLOOKUP(A78,'Policy Inventory'!$A:$N,14,FALSE),"")</f>
        <v/>
      </c>
      <c r="D78" s="16" t="n"/>
      <c r="E78" s="16" t="n"/>
      <c r="F78" s="16" t="n"/>
      <c r="G78" s="16" t="n"/>
      <c r="H78" s="16" t="n"/>
      <c r="I78" s="17" t="n"/>
      <c r="J78" s="19">
        <f>IF(B78="","",IF(AND(D78="Yes",F78="Yes",H78="Yes"),"Compliant",IF(OR(D78="No",F78="No",H78="No"),"Non-Compliant","Partial")))</f>
        <v/>
      </c>
      <c r="K78" s="16" t="n"/>
      <c r="L78" s="16" t="n"/>
    </row>
    <row r="79">
      <c r="A79" s="19">
        <f>IF(ROW()-5&lt;=COUNTA('Policy Inventory'!$A:$A)-4,INDEX('Policy Inventory'!$A:$A,ROW()-1),"")</f>
        <v/>
      </c>
      <c r="B79" s="19">
        <f>IF(A79&lt;&gt;"",VLOOKUP(A79,'Policy Inventory'!$A:$B,2,FALSE),"")</f>
        <v/>
      </c>
      <c r="C79" s="19">
        <f>IF(A79&lt;&gt;"",VLOOKUP(A79,'Policy Inventory'!$A:$N,14,FALSE),"")</f>
        <v/>
      </c>
      <c r="D79" s="16" t="n"/>
      <c r="E79" s="16" t="n"/>
      <c r="F79" s="16" t="n"/>
      <c r="G79" s="16" t="n"/>
      <c r="H79" s="16" t="n"/>
      <c r="I79" s="17" t="n"/>
      <c r="J79" s="19">
        <f>IF(B79="","",IF(AND(D79="Yes",F79="Yes",H79="Yes"),"Compliant",IF(OR(D79="No",F79="No",H79="No"),"Non-Compliant","Partial")))</f>
        <v/>
      </c>
      <c r="K79" s="16" t="n"/>
      <c r="L79" s="16" t="n"/>
    </row>
    <row r="80">
      <c r="A80" s="19">
        <f>IF(ROW()-5&lt;=COUNTA('Policy Inventory'!$A:$A)-4,INDEX('Policy Inventory'!$A:$A,ROW()-1),"")</f>
        <v/>
      </c>
      <c r="B80" s="19">
        <f>IF(A80&lt;&gt;"",VLOOKUP(A80,'Policy Inventory'!$A:$B,2,FALSE),"")</f>
        <v/>
      </c>
      <c r="C80" s="19">
        <f>IF(A80&lt;&gt;"",VLOOKUP(A80,'Policy Inventory'!$A:$N,14,FALSE),"")</f>
        <v/>
      </c>
      <c r="D80" s="16" t="n"/>
      <c r="E80" s="16" t="n"/>
      <c r="F80" s="16" t="n"/>
      <c r="G80" s="16" t="n"/>
      <c r="H80" s="16" t="n"/>
      <c r="I80" s="17" t="n"/>
      <c r="J80" s="19">
        <f>IF(B80="","",IF(AND(D80="Yes",F80="Yes",H80="Yes"),"Compliant",IF(OR(D80="No",F80="No",H80="No"),"Non-Compliant","Partial")))</f>
        <v/>
      </c>
      <c r="K80" s="16" t="n"/>
      <c r="L80" s="16" t="n"/>
    </row>
    <row r="81">
      <c r="A81" s="19">
        <f>IF(ROW()-5&lt;=COUNTA('Policy Inventory'!$A:$A)-4,INDEX('Policy Inventory'!$A:$A,ROW()-1),"")</f>
        <v/>
      </c>
      <c r="B81" s="19">
        <f>IF(A81&lt;&gt;"",VLOOKUP(A81,'Policy Inventory'!$A:$B,2,FALSE),"")</f>
        <v/>
      </c>
      <c r="C81" s="19">
        <f>IF(A81&lt;&gt;"",VLOOKUP(A81,'Policy Inventory'!$A:$N,14,FALSE),"")</f>
        <v/>
      </c>
      <c r="D81" s="16" t="n"/>
      <c r="E81" s="16" t="n"/>
      <c r="F81" s="16" t="n"/>
      <c r="G81" s="16" t="n"/>
      <c r="H81" s="16" t="n"/>
      <c r="I81" s="17" t="n"/>
      <c r="J81" s="19">
        <f>IF(B81="","",IF(AND(D81="Yes",F81="Yes",H81="Yes"),"Compliant",IF(OR(D81="No",F81="No",H81="No"),"Non-Compliant","Partial")))</f>
        <v/>
      </c>
      <c r="K81" s="16" t="n"/>
      <c r="L81" s="16" t="n"/>
    </row>
    <row r="82">
      <c r="A82" s="19">
        <f>IF(ROW()-5&lt;=COUNTA('Policy Inventory'!$A:$A)-4,INDEX('Policy Inventory'!$A:$A,ROW()-1),"")</f>
        <v/>
      </c>
      <c r="B82" s="19">
        <f>IF(A82&lt;&gt;"",VLOOKUP(A82,'Policy Inventory'!$A:$B,2,FALSE),"")</f>
        <v/>
      </c>
      <c r="C82" s="19">
        <f>IF(A82&lt;&gt;"",VLOOKUP(A82,'Policy Inventory'!$A:$N,14,FALSE),"")</f>
        <v/>
      </c>
      <c r="D82" s="16" t="n"/>
      <c r="E82" s="16" t="n"/>
      <c r="F82" s="16" t="n"/>
      <c r="G82" s="16" t="n"/>
      <c r="H82" s="16" t="n"/>
      <c r="I82" s="17" t="n"/>
      <c r="J82" s="19">
        <f>IF(B82="","",IF(AND(D82="Yes",F82="Yes",H82="Yes"),"Compliant",IF(OR(D82="No",F82="No",H82="No"),"Non-Compliant","Partial")))</f>
        <v/>
      </c>
      <c r="K82" s="16" t="n"/>
      <c r="L82" s="16" t="n"/>
    </row>
    <row r="83">
      <c r="A83" s="19">
        <f>IF(ROW()-5&lt;=COUNTA('Policy Inventory'!$A:$A)-4,INDEX('Policy Inventory'!$A:$A,ROW()-1),"")</f>
        <v/>
      </c>
      <c r="B83" s="19">
        <f>IF(A83&lt;&gt;"",VLOOKUP(A83,'Policy Inventory'!$A:$B,2,FALSE),"")</f>
        <v/>
      </c>
      <c r="C83" s="19">
        <f>IF(A83&lt;&gt;"",VLOOKUP(A83,'Policy Inventory'!$A:$N,14,FALSE),"")</f>
        <v/>
      </c>
      <c r="D83" s="16" t="n"/>
      <c r="E83" s="16" t="n"/>
      <c r="F83" s="16" t="n"/>
      <c r="G83" s="16" t="n"/>
      <c r="H83" s="16" t="n"/>
      <c r="I83" s="17" t="n"/>
      <c r="J83" s="19">
        <f>IF(B83="","",IF(AND(D83="Yes",F83="Yes",H83="Yes"),"Compliant",IF(OR(D83="No",F83="No",H83="No"),"Non-Compliant","Partial")))</f>
        <v/>
      </c>
      <c r="K83" s="16" t="n"/>
      <c r="L83" s="16" t="n"/>
    </row>
    <row r="84">
      <c r="A84" s="19">
        <f>IF(ROW()-5&lt;=COUNTA('Policy Inventory'!$A:$A)-4,INDEX('Policy Inventory'!$A:$A,ROW()-1),"")</f>
        <v/>
      </c>
      <c r="B84" s="19">
        <f>IF(A84&lt;&gt;"",VLOOKUP(A84,'Policy Inventory'!$A:$B,2,FALSE),"")</f>
        <v/>
      </c>
      <c r="C84" s="19">
        <f>IF(A84&lt;&gt;"",VLOOKUP(A84,'Policy Inventory'!$A:$N,14,FALSE),"")</f>
        <v/>
      </c>
      <c r="D84" s="16" t="n"/>
      <c r="E84" s="16" t="n"/>
      <c r="F84" s="16" t="n"/>
      <c r="G84" s="16" t="n"/>
      <c r="H84" s="16" t="n"/>
      <c r="I84" s="17" t="n"/>
      <c r="J84" s="19">
        <f>IF(B84="","",IF(AND(D84="Yes",F84="Yes",H84="Yes"),"Compliant",IF(OR(D84="No",F84="No",H84="No"),"Non-Compliant","Partial")))</f>
        <v/>
      </c>
      <c r="K84" s="16" t="n"/>
      <c r="L84" s="16" t="n"/>
    </row>
    <row r="85">
      <c r="A85" s="19">
        <f>IF(ROW()-5&lt;=COUNTA('Policy Inventory'!$A:$A)-4,INDEX('Policy Inventory'!$A:$A,ROW()-1),"")</f>
        <v/>
      </c>
      <c r="B85" s="19">
        <f>IF(A85&lt;&gt;"",VLOOKUP(A85,'Policy Inventory'!$A:$B,2,FALSE),"")</f>
        <v/>
      </c>
      <c r="C85" s="19">
        <f>IF(A85&lt;&gt;"",VLOOKUP(A85,'Policy Inventory'!$A:$N,14,FALSE),"")</f>
        <v/>
      </c>
      <c r="D85" s="16" t="n"/>
      <c r="E85" s="16" t="n"/>
      <c r="F85" s="16" t="n"/>
      <c r="G85" s="16" t="n"/>
      <c r="H85" s="16" t="n"/>
      <c r="I85" s="17" t="n"/>
      <c r="J85" s="19">
        <f>IF(B85="","",IF(AND(D85="Yes",F85="Yes",H85="Yes"),"Compliant",IF(OR(D85="No",F85="No",H85="No"),"Non-Compliant","Partial")))</f>
        <v/>
      </c>
      <c r="K85" s="16" t="n"/>
      <c r="L85" s="16" t="n"/>
    </row>
    <row r="86">
      <c r="A86" s="19">
        <f>IF(ROW()-5&lt;=COUNTA('Policy Inventory'!$A:$A)-4,INDEX('Policy Inventory'!$A:$A,ROW()-1),"")</f>
        <v/>
      </c>
      <c r="B86" s="19">
        <f>IF(A86&lt;&gt;"",VLOOKUP(A86,'Policy Inventory'!$A:$B,2,FALSE),"")</f>
        <v/>
      </c>
      <c r="C86" s="19">
        <f>IF(A86&lt;&gt;"",VLOOKUP(A86,'Policy Inventory'!$A:$N,14,FALSE),"")</f>
        <v/>
      </c>
      <c r="D86" s="16" t="n"/>
      <c r="E86" s="16" t="n"/>
      <c r="F86" s="16" t="n"/>
      <c r="G86" s="16" t="n"/>
      <c r="H86" s="16" t="n"/>
      <c r="I86" s="17" t="n"/>
      <c r="J86" s="19">
        <f>IF(B86="","",IF(AND(D86="Yes",F86="Yes",H86="Yes"),"Compliant",IF(OR(D86="No",F86="No",H86="No"),"Non-Compliant","Partial")))</f>
        <v/>
      </c>
      <c r="K86" s="16" t="n"/>
      <c r="L86" s="16" t="n"/>
    </row>
    <row r="87">
      <c r="A87" s="19">
        <f>IF(ROW()-5&lt;=COUNTA('Policy Inventory'!$A:$A)-4,INDEX('Policy Inventory'!$A:$A,ROW()-1),"")</f>
        <v/>
      </c>
      <c r="B87" s="19">
        <f>IF(A87&lt;&gt;"",VLOOKUP(A87,'Policy Inventory'!$A:$B,2,FALSE),"")</f>
        <v/>
      </c>
      <c r="C87" s="19">
        <f>IF(A87&lt;&gt;"",VLOOKUP(A87,'Policy Inventory'!$A:$N,14,FALSE),"")</f>
        <v/>
      </c>
      <c r="D87" s="16" t="n"/>
      <c r="E87" s="16" t="n"/>
      <c r="F87" s="16" t="n"/>
      <c r="G87" s="16" t="n"/>
      <c r="H87" s="16" t="n"/>
      <c r="I87" s="17" t="n"/>
      <c r="J87" s="19">
        <f>IF(B87="","",IF(AND(D87="Yes",F87="Yes",H87="Yes"),"Compliant",IF(OR(D87="No",F87="No",H87="No"),"Non-Compliant","Partial")))</f>
        <v/>
      </c>
      <c r="K87" s="16" t="n"/>
      <c r="L87" s="16" t="n"/>
    </row>
    <row r="88">
      <c r="A88" s="19">
        <f>IF(ROW()-5&lt;=COUNTA('Policy Inventory'!$A:$A)-4,INDEX('Policy Inventory'!$A:$A,ROW()-1),"")</f>
        <v/>
      </c>
      <c r="B88" s="19">
        <f>IF(A88&lt;&gt;"",VLOOKUP(A88,'Policy Inventory'!$A:$B,2,FALSE),"")</f>
        <v/>
      </c>
      <c r="C88" s="19">
        <f>IF(A88&lt;&gt;"",VLOOKUP(A88,'Policy Inventory'!$A:$N,14,FALSE),"")</f>
        <v/>
      </c>
      <c r="D88" s="16" t="n"/>
      <c r="E88" s="16" t="n"/>
      <c r="F88" s="16" t="n"/>
      <c r="G88" s="16" t="n"/>
      <c r="H88" s="16" t="n"/>
      <c r="I88" s="17" t="n"/>
      <c r="J88" s="19">
        <f>IF(B88="","",IF(AND(D88="Yes",F88="Yes",H88="Yes"),"Compliant",IF(OR(D88="No",F88="No",H88="No"),"Non-Compliant","Partial")))</f>
        <v/>
      </c>
      <c r="K88" s="16" t="n"/>
      <c r="L88" s="16" t="n"/>
    </row>
    <row r="89">
      <c r="A89" s="19">
        <f>IF(ROW()-5&lt;=COUNTA('Policy Inventory'!$A:$A)-4,INDEX('Policy Inventory'!$A:$A,ROW()-1),"")</f>
        <v/>
      </c>
      <c r="B89" s="19">
        <f>IF(A89&lt;&gt;"",VLOOKUP(A89,'Policy Inventory'!$A:$B,2,FALSE),"")</f>
        <v/>
      </c>
      <c r="C89" s="19">
        <f>IF(A89&lt;&gt;"",VLOOKUP(A89,'Policy Inventory'!$A:$N,14,FALSE),"")</f>
        <v/>
      </c>
      <c r="D89" s="16" t="n"/>
      <c r="E89" s="16" t="n"/>
      <c r="F89" s="16" t="n"/>
      <c r="G89" s="16" t="n"/>
      <c r="H89" s="16" t="n"/>
      <c r="I89" s="17" t="n"/>
      <c r="J89" s="19">
        <f>IF(B89="","",IF(AND(D89="Yes",F89="Yes",H89="Yes"),"Compliant",IF(OR(D89="No",F89="No",H89="No"),"Non-Compliant","Partial")))</f>
        <v/>
      </c>
      <c r="K89" s="16" t="n"/>
      <c r="L89" s="16" t="n"/>
    </row>
    <row r="90">
      <c r="A90" s="19">
        <f>IF(ROW()-5&lt;=COUNTA('Policy Inventory'!$A:$A)-4,INDEX('Policy Inventory'!$A:$A,ROW()-1),"")</f>
        <v/>
      </c>
      <c r="B90" s="19">
        <f>IF(A90&lt;&gt;"",VLOOKUP(A90,'Policy Inventory'!$A:$B,2,FALSE),"")</f>
        <v/>
      </c>
      <c r="C90" s="19">
        <f>IF(A90&lt;&gt;"",VLOOKUP(A90,'Policy Inventory'!$A:$N,14,FALSE),"")</f>
        <v/>
      </c>
      <c r="D90" s="16" t="n"/>
      <c r="E90" s="16" t="n"/>
      <c r="F90" s="16" t="n"/>
      <c r="G90" s="16" t="n"/>
      <c r="H90" s="16" t="n"/>
      <c r="I90" s="17" t="n"/>
      <c r="J90" s="19">
        <f>IF(B90="","",IF(AND(D90="Yes",F90="Yes",H90="Yes"),"Compliant",IF(OR(D90="No",F90="No",H90="No"),"Non-Compliant","Partial")))</f>
        <v/>
      </c>
      <c r="K90" s="16" t="n"/>
      <c r="L90" s="16" t="n"/>
    </row>
    <row r="91">
      <c r="A91" s="19">
        <f>IF(ROW()-5&lt;=COUNTA('Policy Inventory'!$A:$A)-4,INDEX('Policy Inventory'!$A:$A,ROW()-1),"")</f>
        <v/>
      </c>
      <c r="B91" s="19">
        <f>IF(A91&lt;&gt;"",VLOOKUP(A91,'Policy Inventory'!$A:$B,2,FALSE),"")</f>
        <v/>
      </c>
      <c r="C91" s="19">
        <f>IF(A91&lt;&gt;"",VLOOKUP(A91,'Policy Inventory'!$A:$N,14,FALSE),"")</f>
        <v/>
      </c>
      <c r="D91" s="16" t="n"/>
      <c r="E91" s="16" t="n"/>
      <c r="F91" s="16" t="n"/>
      <c r="G91" s="16" t="n"/>
      <c r="H91" s="16" t="n"/>
      <c r="I91" s="17" t="n"/>
      <c r="J91" s="19">
        <f>IF(B91="","",IF(AND(D91="Yes",F91="Yes",H91="Yes"),"Compliant",IF(OR(D91="No",F91="No",H91="No"),"Non-Compliant","Partial")))</f>
        <v/>
      </c>
      <c r="K91" s="16" t="n"/>
      <c r="L91" s="16" t="n"/>
    </row>
    <row r="92">
      <c r="A92" s="19">
        <f>IF(ROW()-5&lt;=COUNTA('Policy Inventory'!$A:$A)-4,INDEX('Policy Inventory'!$A:$A,ROW()-1),"")</f>
        <v/>
      </c>
      <c r="B92" s="19">
        <f>IF(A92&lt;&gt;"",VLOOKUP(A92,'Policy Inventory'!$A:$B,2,FALSE),"")</f>
        <v/>
      </c>
      <c r="C92" s="19">
        <f>IF(A92&lt;&gt;"",VLOOKUP(A92,'Policy Inventory'!$A:$N,14,FALSE),"")</f>
        <v/>
      </c>
      <c r="D92" s="16" t="n"/>
      <c r="E92" s="16" t="n"/>
      <c r="F92" s="16" t="n"/>
      <c r="G92" s="16" t="n"/>
      <c r="H92" s="16" t="n"/>
      <c r="I92" s="17" t="n"/>
      <c r="J92" s="19">
        <f>IF(B92="","",IF(AND(D92="Yes",F92="Yes",H92="Yes"),"Compliant",IF(OR(D92="No",F92="No",H92="No"),"Non-Compliant","Partial")))</f>
        <v/>
      </c>
      <c r="K92" s="16" t="n"/>
      <c r="L92" s="16" t="n"/>
    </row>
    <row r="93">
      <c r="A93" s="19">
        <f>IF(ROW()-5&lt;=COUNTA('Policy Inventory'!$A:$A)-4,INDEX('Policy Inventory'!$A:$A,ROW()-1),"")</f>
        <v/>
      </c>
      <c r="B93" s="19">
        <f>IF(A93&lt;&gt;"",VLOOKUP(A93,'Policy Inventory'!$A:$B,2,FALSE),"")</f>
        <v/>
      </c>
      <c r="C93" s="19">
        <f>IF(A93&lt;&gt;"",VLOOKUP(A93,'Policy Inventory'!$A:$N,14,FALSE),"")</f>
        <v/>
      </c>
      <c r="D93" s="16" t="n"/>
      <c r="E93" s="16" t="n"/>
      <c r="F93" s="16" t="n"/>
      <c r="G93" s="16" t="n"/>
      <c r="H93" s="16" t="n"/>
      <c r="I93" s="17" t="n"/>
      <c r="J93" s="19">
        <f>IF(B93="","",IF(AND(D93="Yes",F93="Yes",H93="Yes"),"Compliant",IF(OR(D93="No",F93="No",H93="No"),"Non-Compliant","Partial")))</f>
        <v/>
      </c>
      <c r="K93" s="16" t="n"/>
      <c r="L93" s="16" t="n"/>
    </row>
    <row r="94">
      <c r="A94" s="19">
        <f>IF(ROW()-5&lt;=COUNTA('Policy Inventory'!$A:$A)-4,INDEX('Policy Inventory'!$A:$A,ROW()-1),"")</f>
        <v/>
      </c>
      <c r="B94" s="19">
        <f>IF(A94&lt;&gt;"",VLOOKUP(A94,'Policy Inventory'!$A:$B,2,FALSE),"")</f>
        <v/>
      </c>
      <c r="C94" s="19">
        <f>IF(A94&lt;&gt;"",VLOOKUP(A94,'Policy Inventory'!$A:$N,14,FALSE),"")</f>
        <v/>
      </c>
      <c r="D94" s="16" t="n"/>
      <c r="E94" s="16" t="n"/>
      <c r="F94" s="16" t="n"/>
      <c r="G94" s="16" t="n"/>
      <c r="H94" s="16" t="n"/>
      <c r="I94" s="17" t="n"/>
      <c r="J94" s="19">
        <f>IF(B94="","",IF(AND(D94="Yes",F94="Yes",H94="Yes"),"Compliant",IF(OR(D94="No",F94="No",H94="No"),"Non-Compliant","Partial")))</f>
        <v/>
      </c>
      <c r="K94" s="16" t="n"/>
      <c r="L94" s="16" t="n"/>
    </row>
    <row r="95">
      <c r="A95" s="19">
        <f>IF(ROW()-5&lt;=COUNTA('Policy Inventory'!$A:$A)-4,INDEX('Policy Inventory'!$A:$A,ROW()-1),"")</f>
        <v/>
      </c>
      <c r="B95" s="19">
        <f>IF(A95&lt;&gt;"",VLOOKUP(A95,'Policy Inventory'!$A:$B,2,FALSE),"")</f>
        <v/>
      </c>
      <c r="C95" s="19">
        <f>IF(A95&lt;&gt;"",VLOOKUP(A95,'Policy Inventory'!$A:$N,14,FALSE),"")</f>
        <v/>
      </c>
      <c r="D95" s="16" t="n"/>
      <c r="E95" s="16" t="n"/>
      <c r="F95" s="16" t="n"/>
      <c r="G95" s="16" t="n"/>
      <c r="H95" s="16" t="n"/>
      <c r="I95" s="17" t="n"/>
      <c r="J95" s="19">
        <f>IF(B95="","",IF(AND(D95="Yes",F95="Yes",H95="Yes"),"Compliant",IF(OR(D95="No",F95="No",H95="No"),"Non-Compliant","Partial")))</f>
        <v/>
      </c>
      <c r="K95" s="16" t="n"/>
      <c r="L95" s="16" t="n"/>
    </row>
    <row r="96">
      <c r="A96" s="19">
        <f>IF(ROW()-5&lt;=COUNTA('Policy Inventory'!$A:$A)-4,INDEX('Policy Inventory'!$A:$A,ROW()-1),"")</f>
        <v/>
      </c>
      <c r="B96" s="19">
        <f>IF(A96&lt;&gt;"",VLOOKUP(A96,'Policy Inventory'!$A:$B,2,FALSE),"")</f>
        <v/>
      </c>
      <c r="C96" s="19">
        <f>IF(A96&lt;&gt;"",VLOOKUP(A96,'Policy Inventory'!$A:$N,14,FALSE),"")</f>
        <v/>
      </c>
      <c r="D96" s="16" t="n"/>
      <c r="E96" s="16" t="n"/>
      <c r="F96" s="16" t="n"/>
      <c r="G96" s="16" t="n"/>
      <c r="H96" s="16" t="n"/>
      <c r="I96" s="17" t="n"/>
      <c r="J96" s="19">
        <f>IF(B96="","",IF(AND(D96="Yes",F96="Yes",H96="Yes"),"Compliant",IF(OR(D96="No",F96="No",H96="No"),"Non-Compliant","Partial")))</f>
        <v/>
      </c>
      <c r="K96" s="16" t="n"/>
      <c r="L96" s="16" t="n"/>
    </row>
    <row r="97">
      <c r="A97" s="19">
        <f>IF(ROW()-5&lt;=COUNTA('Policy Inventory'!$A:$A)-4,INDEX('Policy Inventory'!$A:$A,ROW()-1),"")</f>
        <v/>
      </c>
      <c r="B97" s="19">
        <f>IF(A97&lt;&gt;"",VLOOKUP(A97,'Policy Inventory'!$A:$B,2,FALSE),"")</f>
        <v/>
      </c>
      <c r="C97" s="19">
        <f>IF(A97&lt;&gt;"",VLOOKUP(A97,'Policy Inventory'!$A:$N,14,FALSE),"")</f>
        <v/>
      </c>
      <c r="D97" s="16" t="n"/>
      <c r="E97" s="16" t="n"/>
      <c r="F97" s="16" t="n"/>
      <c r="G97" s="16" t="n"/>
      <c r="H97" s="16" t="n"/>
      <c r="I97" s="17" t="n"/>
      <c r="J97" s="19">
        <f>IF(B97="","",IF(AND(D97="Yes",F97="Yes",H97="Yes"),"Compliant",IF(OR(D97="No",F97="No",H97="No"),"Non-Compliant","Partial")))</f>
        <v/>
      </c>
      <c r="K97" s="16" t="n"/>
      <c r="L97" s="16" t="n"/>
    </row>
    <row r="98">
      <c r="A98" s="19">
        <f>IF(ROW()-5&lt;=COUNTA('Policy Inventory'!$A:$A)-4,INDEX('Policy Inventory'!$A:$A,ROW()-1),"")</f>
        <v/>
      </c>
      <c r="B98" s="19">
        <f>IF(A98&lt;&gt;"",VLOOKUP(A98,'Policy Inventory'!$A:$B,2,FALSE),"")</f>
        <v/>
      </c>
      <c r="C98" s="19">
        <f>IF(A98&lt;&gt;"",VLOOKUP(A98,'Policy Inventory'!$A:$N,14,FALSE),"")</f>
        <v/>
      </c>
      <c r="D98" s="16" t="n"/>
      <c r="E98" s="16" t="n"/>
      <c r="F98" s="16" t="n"/>
      <c r="G98" s="16" t="n"/>
      <c r="H98" s="16" t="n"/>
      <c r="I98" s="17" t="n"/>
      <c r="J98" s="19">
        <f>IF(B98="","",IF(AND(D98="Yes",F98="Yes",H98="Yes"),"Compliant",IF(OR(D98="No",F98="No",H98="No"),"Non-Compliant","Partial")))</f>
        <v/>
      </c>
      <c r="K98" s="16" t="n"/>
      <c r="L98" s="16" t="n"/>
    </row>
    <row r="99">
      <c r="A99" s="19">
        <f>IF(ROW()-5&lt;=COUNTA('Policy Inventory'!$A:$A)-4,INDEX('Policy Inventory'!$A:$A,ROW()-1),"")</f>
        <v/>
      </c>
      <c r="B99" s="19">
        <f>IF(A99&lt;&gt;"",VLOOKUP(A99,'Policy Inventory'!$A:$B,2,FALSE),"")</f>
        <v/>
      </c>
      <c r="C99" s="19">
        <f>IF(A99&lt;&gt;"",VLOOKUP(A99,'Policy Inventory'!$A:$N,14,FALSE),"")</f>
        <v/>
      </c>
      <c r="D99" s="16" t="n"/>
      <c r="E99" s="16" t="n"/>
      <c r="F99" s="16" t="n"/>
      <c r="G99" s="16" t="n"/>
      <c r="H99" s="16" t="n"/>
      <c r="I99" s="17" t="n"/>
      <c r="J99" s="19">
        <f>IF(B99="","",IF(AND(D99="Yes",F99="Yes",H99="Yes"),"Compliant",IF(OR(D99="No",F99="No",H99="No"),"Non-Compliant","Partial")))</f>
        <v/>
      </c>
      <c r="K99" s="16" t="n"/>
      <c r="L99" s="16" t="n"/>
    </row>
    <row r="100">
      <c r="A100" s="19">
        <f>IF(ROW()-5&lt;=COUNTA('Policy Inventory'!$A:$A)-4,INDEX('Policy Inventory'!$A:$A,ROW()-1),"")</f>
        <v/>
      </c>
      <c r="B100" s="19">
        <f>IF(A100&lt;&gt;"",VLOOKUP(A100,'Policy Inventory'!$A:$B,2,FALSE),"")</f>
        <v/>
      </c>
      <c r="C100" s="19">
        <f>IF(A100&lt;&gt;"",VLOOKUP(A100,'Policy Inventory'!$A:$N,14,FALSE),"")</f>
        <v/>
      </c>
      <c r="D100" s="16" t="n"/>
      <c r="E100" s="16" t="n"/>
      <c r="F100" s="16" t="n"/>
      <c r="G100" s="16" t="n"/>
      <c r="H100" s="16" t="n"/>
      <c r="I100" s="17" t="n"/>
      <c r="J100" s="19">
        <f>IF(B100="","",IF(AND(D100="Yes",F100="Yes",H100="Yes"),"Compliant",IF(OR(D100="No",F100="No",H100="No"),"Non-Compliant","Partial")))</f>
        <v/>
      </c>
      <c r="K100" s="16" t="n"/>
      <c r="L100" s="16" t="n"/>
    </row>
    <row r="101">
      <c r="A101" s="19">
        <f>IF(ROW()-5&lt;=COUNTA('Policy Inventory'!$A:$A)-4,INDEX('Policy Inventory'!$A:$A,ROW()-1),"")</f>
        <v/>
      </c>
      <c r="B101" s="19">
        <f>IF(A101&lt;&gt;"",VLOOKUP(A101,'Policy Inventory'!$A:$B,2,FALSE),"")</f>
        <v/>
      </c>
      <c r="C101" s="19">
        <f>IF(A101&lt;&gt;"",VLOOKUP(A101,'Policy Inventory'!$A:$N,14,FALSE),"")</f>
        <v/>
      </c>
      <c r="D101" s="16" t="n"/>
      <c r="E101" s="16" t="n"/>
      <c r="F101" s="16" t="n"/>
      <c r="G101" s="16" t="n"/>
      <c r="H101" s="16" t="n"/>
      <c r="I101" s="17" t="n"/>
      <c r="J101" s="19">
        <f>IF(B101="","",IF(AND(D101="Yes",F101="Yes",H101="Yes"),"Compliant",IF(OR(D101="No",F101="No",H101="No"),"Non-Compliant","Partial")))</f>
        <v/>
      </c>
      <c r="K101" s="16" t="n"/>
      <c r="L101" s="16" t="n"/>
    </row>
    <row r="102">
      <c r="A102" s="19">
        <f>IF(ROW()-5&lt;=COUNTA('Policy Inventory'!$A:$A)-4,INDEX('Policy Inventory'!$A:$A,ROW()-1),"")</f>
        <v/>
      </c>
      <c r="B102" s="19">
        <f>IF(A102&lt;&gt;"",VLOOKUP(A102,'Policy Inventory'!$A:$B,2,FALSE),"")</f>
        <v/>
      </c>
      <c r="C102" s="19">
        <f>IF(A102&lt;&gt;"",VLOOKUP(A102,'Policy Inventory'!$A:$N,14,FALSE),"")</f>
        <v/>
      </c>
      <c r="D102" s="16" t="n"/>
      <c r="E102" s="16" t="n"/>
      <c r="F102" s="16" t="n"/>
      <c r="G102" s="16" t="n"/>
      <c r="H102" s="16" t="n"/>
      <c r="I102" s="17" t="n"/>
      <c r="J102" s="19">
        <f>IF(B102="","",IF(AND(D102="Yes",F102="Yes",H102="Yes"),"Compliant",IF(OR(D102="No",F102="No",H102="No"),"Non-Compliant","Partial")))</f>
        <v/>
      </c>
      <c r="K102" s="16" t="n"/>
      <c r="L102" s="16" t="n"/>
    </row>
    <row r="103">
      <c r="A103" s="19">
        <f>IF(ROW()-5&lt;=COUNTA('Policy Inventory'!$A:$A)-4,INDEX('Policy Inventory'!$A:$A,ROW()-1),"")</f>
        <v/>
      </c>
      <c r="B103" s="19">
        <f>IF(A103&lt;&gt;"",VLOOKUP(A103,'Policy Inventory'!$A:$B,2,FALSE),"")</f>
        <v/>
      </c>
      <c r="C103" s="19">
        <f>IF(A103&lt;&gt;"",VLOOKUP(A103,'Policy Inventory'!$A:$N,14,FALSE),"")</f>
        <v/>
      </c>
      <c r="D103" s="16" t="n"/>
      <c r="E103" s="16" t="n"/>
      <c r="F103" s="16" t="n"/>
      <c r="G103" s="16" t="n"/>
      <c r="H103" s="16" t="n"/>
      <c r="I103" s="17" t="n"/>
      <c r="J103" s="19">
        <f>IF(B103="","",IF(AND(D103="Yes",F103="Yes",H103="Yes"),"Compliant",IF(OR(D103="No",F103="No",H103="No"),"Non-Compliant","Partial")))</f>
        <v/>
      </c>
      <c r="K103" s="16" t="n"/>
      <c r="L103" s="16" t="n"/>
    </row>
    <row r="104">
      <c r="A104" s="19">
        <f>IF(ROW()-5&lt;=COUNTA('Policy Inventory'!$A:$A)-4,INDEX('Policy Inventory'!$A:$A,ROW()-1),"")</f>
        <v/>
      </c>
      <c r="B104" s="19">
        <f>IF(A104&lt;&gt;"",VLOOKUP(A104,'Policy Inventory'!$A:$B,2,FALSE),"")</f>
        <v/>
      </c>
      <c r="C104" s="19">
        <f>IF(A104&lt;&gt;"",VLOOKUP(A104,'Policy Inventory'!$A:$N,14,FALSE),"")</f>
        <v/>
      </c>
      <c r="D104" s="16" t="n"/>
      <c r="E104" s="16" t="n"/>
      <c r="F104" s="16" t="n"/>
      <c r="G104" s="16" t="n"/>
      <c r="H104" s="16" t="n"/>
      <c r="I104" s="17" t="n"/>
      <c r="J104" s="19">
        <f>IF(B104="","",IF(AND(D104="Yes",F104="Yes",H104="Yes"),"Compliant",IF(OR(D104="No",F104="No",H104="No"),"Non-Compliant","Partial")))</f>
        <v/>
      </c>
      <c r="K104" s="16" t="n"/>
      <c r="L104" s="16" t="n"/>
    </row>
    <row r="105">
      <c r="A105" s="19">
        <f>IF(ROW()-5&lt;=COUNTA('Policy Inventory'!$A:$A)-4,INDEX('Policy Inventory'!$A:$A,ROW()-1),"")</f>
        <v/>
      </c>
      <c r="B105" s="19">
        <f>IF(A105&lt;&gt;"",VLOOKUP(A105,'Policy Inventory'!$A:$B,2,FALSE),"")</f>
        <v/>
      </c>
      <c r="C105" s="19">
        <f>IF(A105&lt;&gt;"",VLOOKUP(A105,'Policy Inventory'!$A:$N,14,FALSE),"")</f>
        <v/>
      </c>
      <c r="D105" s="16" t="n"/>
      <c r="E105" s="16" t="n"/>
      <c r="F105" s="16" t="n"/>
      <c r="G105" s="16" t="n"/>
      <c r="H105" s="16" t="n"/>
      <c r="I105" s="17" t="n"/>
      <c r="J105" s="19">
        <f>IF(B105="","",IF(AND(D105="Yes",F105="Yes",H105="Yes"),"Compliant",IF(OR(D105="No",F105="No",H105="No"),"Non-Compliant","Partial")))</f>
        <v/>
      </c>
      <c r="K105" s="16" t="n"/>
      <c r="L105" s="16" t="n"/>
    </row>
    <row r="106">
      <c r="A106" s="19">
        <f>IF(ROW()-5&lt;=COUNTA('Policy Inventory'!$A:$A)-4,INDEX('Policy Inventory'!$A:$A,ROW()-1),"")</f>
        <v/>
      </c>
      <c r="B106" s="19">
        <f>IF(A106&lt;&gt;"",VLOOKUP(A106,'Policy Inventory'!$A:$B,2,FALSE),"")</f>
        <v/>
      </c>
      <c r="C106" s="19">
        <f>IF(A106&lt;&gt;"",VLOOKUP(A106,'Policy Inventory'!$A:$N,14,FALSE),"")</f>
        <v/>
      </c>
      <c r="D106" s="16" t="n"/>
      <c r="E106" s="16" t="n"/>
      <c r="F106" s="16" t="n"/>
      <c r="G106" s="16" t="n"/>
      <c r="H106" s="16" t="n"/>
      <c r="I106" s="17" t="n"/>
      <c r="J106" s="19">
        <f>IF(B106="","",IF(AND(D106="Yes",F106="Yes",H106="Yes"),"Compliant",IF(OR(D106="No",F106="No",H106="No"),"Non-Compliant","Partial")))</f>
        <v/>
      </c>
      <c r="K106" s="16" t="n"/>
      <c r="L106" s="16" t="n"/>
    </row>
    <row r="107">
      <c r="A107" s="19">
        <f>IF(ROW()-5&lt;=COUNTA('Policy Inventory'!$A:$A)-4,INDEX('Policy Inventory'!$A:$A,ROW()-1),"")</f>
        <v/>
      </c>
      <c r="B107" s="19">
        <f>IF(A107&lt;&gt;"",VLOOKUP(A107,'Policy Inventory'!$A:$B,2,FALSE),"")</f>
        <v/>
      </c>
      <c r="C107" s="19">
        <f>IF(A107&lt;&gt;"",VLOOKUP(A107,'Policy Inventory'!$A:$N,14,FALSE),"")</f>
        <v/>
      </c>
      <c r="D107" s="16" t="n"/>
      <c r="E107" s="16" t="n"/>
      <c r="F107" s="16" t="n"/>
      <c r="G107" s="16" t="n"/>
      <c r="H107" s="16" t="n"/>
      <c r="I107" s="17" t="n"/>
      <c r="J107" s="19">
        <f>IF(B107="","",IF(AND(D107="Yes",F107="Yes",H107="Yes"),"Compliant",IF(OR(D107="No",F107="No",H107="No"),"Non-Compliant","Partial")))</f>
        <v/>
      </c>
      <c r="K107" s="16" t="n"/>
      <c r="L107" s="16" t="n"/>
    </row>
    <row r="108">
      <c r="A108" s="19">
        <f>IF(ROW()-5&lt;=COUNTA('Policy Inventory'!$A:$A)-4,INDEX('Policy Inventory'!$A:$A,ROW()-1),"")</f>
        <v/>
      </c>
      <c r="B108" s="19">
        <f>IF(A108&lt;&gt;"",VLOOKUP(A108,'Policy Inventory'!$A:$B,2,FALSE),"")</f>
        <v/>
      </c>
      <c r="C108" s="19">
        <f>IF(A108&lt;&gt;"",VLOOKUP(A108,'Policy Inventory'!$A:$N,14,FALSE),"")</f>
        <v/>
      </c>
      <c r="D108" s="16" t="n"/>
      <c r="E108" s="16" t="n"/>
      <c r="F108" s="16" t="n"/>
      <c r="G108" s="16" t="n"/>
      <c r="H108" s="16" t="n"/>
      <c r="I108" s="17" t="n"/>
      <c r="J108" s="19">
        <f>IF(B108="","",IF(AND(D108="Yes",F108="Yes",H108="Yes"),"Compliant",IF(OR(D108="No",F108="No",H108="No"),"Non-Compliant","Partial")))</f>
        <v/>
      </c>
      <c r="K108" s="16" t="n"/>
      <c r="L108" s="16" t="n"/>
    </row>
    <row r="109">
      <c r="A109" s="19">
        <f>IF(ROW()-5&lt;=COUNTA('Policy Inventory'!$A:$A)-4,INDEX('Policy Inventory'!$A:$A,ROW()-1),"")</f>
        <v/>
      </c>
      <c r="B109" s="19">
        <f>IF(A109&lt;&gt;"",VLOOKUP(A109,'Policy Inventory'!$A:$B,2,FALSE),"")</f>
        <v/>
      </c>
      <c r="C109" s="19">
        <f>IF(A109&lt;&gt;"",VLOOKUP(A109,'Policy Inventory'!$A:$N,14,FALSE),"")</f>
        <v/>
      </c>
      <c r="D109" s="16" t="n"/>
      <c r="E109" s="16" t="n"/>
      <c r="F109" s="16" t="n"/>
      <c r="G109" s="16" t="n"/>
      <c r="H109" s="16" t="n"/>
      <c r="I109" s="17" t="n"/>
      <c r="J109" s="19">
        <f>IF(B109="","",IF(AND(D109="Yes",F109="Yes",H109="Yes"),"Compliant",IF(OR(D109="No",F109="No",H109="No"),"Non-Compliant","Partial")))</f>
        <v/>
      </c>
      <c r="K109" s="16" t="n"/>
      <c r="L109" s="16" t="n"/>
    </row>
    <row r="110">
      <c r="A110" s="19">
        <f>IF(ROW()-5&lt;=COUNTA('Policy Inventory'!$A:$A)-4,INDEX('Policy Inventory'!$A:$A,ROW()-1),"")</f>
        <v/>
      </c>
      <c r="B110" s="19">
        <f>IF(A110&lt;&gt;"",VLOOKUP(A110,'Policy Inventory'!$A:$B,2,FALSE),"")</f>
        <v/>
      </c>
      <c r="C110" s="19">
        <f>IF(A110&lt;&gt;"",VLOOKUP(A110,'Policy Inventory'!$A:$N,14,FALSE),"")</f>
        <v/>
      </c>
      <c r="D110" s="16" t="n"/>
      <c r="E110" s="16" t="n"/>
      <c r="F110" s="16" t="n"/>
      <c r="G110" s="16" t="n"/>
      <c r="H110" s="16" t="n"/>
      <c r="I110" s="17" t="n"/>
      <c r="J110" s="19">
        <f>IF(B110="","",IF(AND(D110="Yes",F110="Yes",H110="Yes"),"Compliant",IF(OR(D110="No",F110="No",H110="No"),"Non-Compliant","Partial")))</f>
        <v/>
      </c>
      <c r="K110" s="16" t="n"/>
      <c r="L110" s="16" t="n"/>
    </row>
    <row r="111">
      <c r="A111" s="19">
        <f>IF(ROW()-5&lt;=COUNTA('Policy Inventory'!$A:$A)-4,INDEX('Policy Inventory'!$A:$A,ROW()-1),"")</f>
        <v/>
      </c>
      <c r="B111" s="19">
        <f>IF(A111&lt;&gt;"",VLOOKUP(A111,'Policy Inventory'!$A:$B,2,FALSE),"")</f>
        <v/>
      </c>
      <c r="C111" s="19">
        <f>IF(A111&lt;&gt;"",VLOOKUP(A111,'Policy Inventory'!$A:$N,14,FALSE),"")</f>
        <v/>
      </c>
      <c r="D111" s="16" t="n"/>
      <c r="E111" s="16" t="n"/>
      <c r="F111" s="16" t="n"/>
      <c r="G111" s="16" t="n"/>
      <c r="H111" s="16" t="n"/>
      <c r="I111" s="17" t="n"/>
      <c r="J111" s="19">
        <f>IF(B111="","",IF(AND(D111="Yes",F111="Yes",H111="Yes"),"Compliant",IF(OR(D111="No",F111="No",H111="No"),"Non-Compliant","Partial")))</f>
        <v/>
      </c>
      <c r="K111" s="16" t="n"/>
      <c r="L111" s="16" t="n"/>
    </row>
    <row r="112">
      <c r="A112" s="19">
        <f>IF(ROW()-5&lt;=COUNTA('Policy Inventory'!$A:$A)-4,INDEX('Policy Inventory'!$A:$A,ROW()-1),"")</f>
        <v/>
      </c>
      <c r="B112" s="19">
        <f>IF(A112&lt;&gt;"",VLOOKUP(A112,'Policy Inventory'!$A:$B,2,FALSE),"")</f>
        <v/>
      </c>
      <c r="C112" s="19">
        <f>IF(A112&lt;&gt;"",VLOOKUP(A112,'Policy Inventory'!$A:$N,14,FALSE),"")</f>
        <v/>
      </c>
      <c r="D112" s="16" t="n"/>
      <c r="E112" s="16" t="n"/>
      <c r="F112" s="16" t="n"/>
      <c r="G112" s="16" t="n"/>
      <c r="H112" s="16" t="n"/>
      <c r="I112" s="17" t="n"/>
      <c r="J112" s="19">
        <f>IF(B112="","",IF(AND(D112="Yes",F112="Yes",H112="Yes"),"Compliant",IF(OR(D112="No",F112="No",H112="No"),"Non-Compliant","Partial")))</f>
        <v/>
      </c>
      <c r="K112" s="16" t="n"/>
      <c r="L112" s="16" t="n"/>
    </row>
    <row r="113">
      <c r="A113" s="19">
        <f>IF(ROW()-5&lt;=COUNTA('Policy Inventory'!$A:$A)-4,INDEX('Policy Inventory'!$A:$A,ROW()-1),"")</f>
        <v/>
      </c>
      <c r="B113" s="19">
        <f>IF(A113&lt;&gt;"",VLOOKUP(A113,'Policy Inventory'!$A:$B,2,FALSE),"")</f>
        <v/>
      </c>
      <c r="C113" s="19">
        <f>IF(A113&lt;&gt;"",VLOOKUP(A113,'Policy Inventory'!$A:$N,14,FALSE),"")</f>
        <v/>
      </c>
      <c r="D113" s="16" t="n"/>
      <c r="E113" s="16" t="n"/>
      <c r="F113" s="16" t="n"/>
      <c r="G113" s="16" t="n"/>
      <c r="H113" s="16" t="n"/>
      <c r="I113" s="17" t="n"/>
      <c r="J113" s="19">
        <f>IF(B113="","",IF(AND(D113="Yes",F113="Yes",H113="Yes"),"Compliant",IF(OR(D113="No",F113="No",H113="No"),"Non-Compliant","Partial")))</f>
        <v/>
      </c>
      <c r="K113" s="16" t="n"/>
      <c r="L113" s="16" t="n"/>
    </row>
    <row r="114">
      <c r="A114" s="19">
        <f>IF(ROW()-5&lt;=COUNTA('Policy Inventory'!$A:$A)-4,INDEX('Policy Inventory'!$A:$A,ROW()-1),"")</f>
        <v/>
      </c>
      <c r="B114" s="19">
        <f>IF(A114&lt;&gt;"",VLOOKUP(A114,'Policy Inventory'!$A:$B,2,FALSE),"")</f>
        <v/>
      </c>
      <c r="C114" s="19">
        <f>IF(A114&lt;&gt;"",VLOOKUP(A114,'Policy Inventory'!$A:$N,14,FALSE),"")</f>
        <v/>
      </c>
      <c r="D114" s="16" t="n"/>
      <c r="E114" s="16" t="n"/>
      <c r="F114" s="16" t="n"/>
      <c r="G114" s="16" t="n"/>
      <c r="H114" s="16" t="n"/>
      <c r="I114" s="17" t="n"/>
      <c r="J114" s="19">
        <f>IF(B114="","",IF(AND(D114="Yes",F114="Yes",H114="Yes"),"Compliant",IF(OR(D114="No",F114="No",H114="No"),"Non-Compliant","Partial")))</f>
        <v/>
      </c>
      <c r="K114" s="16" t="n"/>
      <c r="L114" s="16" t="n"/>
    </row>
    <row r="115">
      <c r="A115" s="19">
        <f>IF(ROW()-5&lt;=COUNTA('Policy Inventory'!$A:$A)-4,INDEX('Policy Inventory'!$A:$A,ROW()-1),"")</f>
        <v/>
      </c>
      <c r="B115" s="19">
        <f>IF(A115&lt;&gt;"",VLOOKUP(A115,'Policy Inventory'!$A:$B,2,FALSE),"")</f>
        <v/>
      </c>
      <c r="C115" s="19">
        <f>IF(A115&lt;&gt;"",VLOOKUP(A115,'Policy Inventory'!$A:$N,14,FALSE),"")</f>
        <v/>
      </c>
      <c r="D115" s="16" t="n"/>
      <c r="E115" s="16" t="n"/>
      <c r="F115" s="16" t="n"/>
      <c r="G115" s="16" t="n"/>
      <c r="H115" s="16" t="n"/>
      <c r="I115" s="17" t="n"/>
      <c r="J115" s="19">
        <f>IF(B115="","",IF(AND(D115="Yes",F115="Yes",H115="Yes"),"Compliant",IF(OR(D115="No",F115="No",H115="No"),"Non-Compliant","Partial")))</f>
        <v/>
      </c>
      <c r="K115" s="16" t="n"/>
      <c r="L115" s="16" t="n"/>
    </row>
    <row r="116">
      <c r="A116" s="19">
        <f>IF(ROW()-5&lt;=COUNTA('Policy Inventory'!$A:$A)-4,INDEX('Policy Inventory'!$A:$A,ROW()-1),"")</f>
        <v/>
      </c>
      <c r="B116" s="19">
        <f>IF(A116&lt;&gt;"",VLOOKUP(A116,'Policy Inventory'!$A:$B,2,FALSE),"")</f>
        <v/>
      </c>
      <c r="C116" s="19">
        <f>IF(A116&lt;&gt;"",VLOOKUP(A116,'Policy Inventory'!$A:$N,14,FALSE),"")</f>
        <v/>
      </c>
      <c r="D116" s="16" t="n"/>
      <c r="E116" s="16" t="n"/>
      <c r="F116" s="16" t="n"/>
      <c r="G116" s="16" t="n"/>
      <c r="H116" s="16" t="n"/>
      <c r="I116" s="17" t="n"/>
      <c r="J116" s="19">
        <f>IF(B116="","",IF(AND(D116="Yes",F116="Yes",H116="Yes"),"Compliant",IF(OR(D116="No",F116="No",H116="No"),"Non-Compliant","Partial")))</f>
        <v/>
      </c>
      <c r="K116" s="16" t="n"/>
      <c r="L116" s="16" t="n"/>
    </row>
    <row r="117">
      <c r="A117" s="19">
        <f>IF(ROW()-5&lt;=COUNTA('Policy Inventory'!$A:$A)-4,INDEX('Policy Inventory'!$A:$A,ROW()-1),"")</f>
        <v/>
      </c>
      <c r="B117" s="19">
        <f>IF(A117&lt;&gt;"",VLOOKUP(A117,'Policy Inventory'!$A:$B,2,FALSE),"")</f>
        <v/>
      </c>
      <c r="C117" s="19">
        <f>IF(A117&lt;&gt;"",VLOOKUP(A117,'Policy Inventory'!$A:$N,14,FALSE),"")</f>
        <v/>
      </c>
      <c r="D117" s="16" t="n"/>
      <c r="E117" s="16" t="n"/>
      <c r="F117" s="16" t="n"/>
      <c r="G117" s="16" t="n"/>
      <c r="H117" s="16" t="n"/>
      <c r="I117" s="17" t="n"/>
      <c r="J117" s="19">
        <f>IF(B117="","",IF(AND(D117="Yes",F117="Yes",H117="Yes"),"Compliant",IF(OR(D117="No",F117="No",H117="No"),"Non-Compliant","Partial")))</f>
        <v/>
      </c>
      <c r="K117" s="16" t="n"/>
      <c r="L117" s="16" t="n"/>
    </row>
    <row r="118">
      <c r="A118" s="19">
        <f>IF(ROW()-5&lt;=COUNTA('Policy Inventory'!$A:$A)-4,INDEX('Policy Inventory'!$A:$A,ROW()-1),"")</f>
        <v/>
      </c>
      <c r="B118" s="19">
        <f>IF(A118&lt;&gt;"",VLOOKUP(A118,'Policy Inventory'!$A:$B,2,FALSE),"")</f>
        <v/>
      </c>
      <c r="C118" s="19">
        <f>IF(A118&lt;&gt;"",VLOOKUP(A118,'Policy Inventory'!$A:$N,14,FALSE),"")</f>
        <v/>
      </c>
      <c r="D118" s="16" t="n"/>
      <c r="E118" s="16" t="n"/>
      <c r="F118" s="16" t="n"/>
      <c r="G118" s="16" t="n"/>
      <c r="H118" s="16" t="n"/>
      <c r="I118" s="17" t="n"/>
      <c r="J118" s="19">
        <f>IF(B118="","",IF(AND(D118="Yes",F118="Yes",H118="Yes"),"Compliant",IF(OR(D118="No",F118="No",H118="No"),"Non-Compliant","Partial")))</f>
        <v/>
      </c>
      <c r="K118" s="16" t="n"/>
      <c r="L118" s="16" t="n"/>
    </row>
    <row r="119">
      <c r="A119" s="19">
        <f>IF(ROW()-5&lt;=COUNTA('Policy Inventory'!$A:$A)-4,INDEX('Policy Inventory'!$A:$A,ROW()-1),"")</f>
        <v/>
      </c>
      <c r="B119" s="19">
        <f>IF(A119&lt;&gt;"",VLOOKUP(A119,'Policy Inventory'!$A:$B,2,FALSE),"")</f>
        <v/>
      </c>
      <c r="C119" s="19">
        <f>IF(A119&lt;&gt;"",VLOOKUP(A119,'Policy Inventory'!$A:$N,14,FALSE),"")</f>
        <v/>
      </c>
      <c r="D119" s="16" t="n"/>
      <c r="E119" s="16" t="n"/>
      <c r="F119" s="16" t="n"/>
      <c r="G119" s="16" t="n"/>
      <c r="H119" s="16" t="n"/>
      <c r="I119" s="17" t="n"/>
      <c r="J119" s="19">
        <f>IF(B119="","",IF(AND(D119="Yes",F119="Yes",H119="Yes"),"Compliant",IF(OR(D119="No",F119="No",H119="No"),"Non-Compliant","Partial")))</f>
        <v/>
      </c>
      <c r="K119" s="16" t="n"/>
      <c r="L119" s="16" t="n"/>
    </row>
    <row r="120">
      <c r="A120" s="19">
        <f>IF(ROW()-5&lt;=COUNTA('Policy Inventory'!$A:$A)-4,INDEX('Policy Inventory'!$A:$A,ROW()-1),"")</f>
        <v/>
      </c>
      <c r="B120" s="19">
        <f>IF(A120&lt;&gt;"",VLOOKUP(A120,'Policy Inventory'!$A:$B,2,FALSE),"")</f>
        <v/>
      </c>
      <c r="C120" s="19">
        <f>IF(A120&lt;&gt;"",VLOOKUP(A120,'Policy Inventory'!$A:$N,14,FALSE),"")</f>
        <v/>
      </c>
      <c r="D120" s="16" t="n"/>
      <c r="E120" s="16" t="n"/>
      <c r="F120" s="16" t="n"/>
      <c r="G120" s="16" t="n"/>
      <c r="H120" s="16" t="n"/>
      <c r="I120" s="17" t="n"/>
      <c r="J120" s="19">
        <f>IF(B120="","",IF(AND(D120="Yes",F120="Yes",H120="Yes"),"Compliant",IF(OR(D120="No",F120="No",H120="No"),"Non-Compliant","Partial")))</f>
        <v/>
      </c>
      <c r="K120" s="16" t="n"/>
      <c r="L120" s="16" t="n"/>
    </row>
    <row r="121">
      <c r="A121" s="19">
        <f>IF(ROW()-5&lt;=COUNTA('Policy Inventory'!$A:$A)-4,INDEX('Policy Inventory'!$A:$A,ROW()-1),"")</f>
        <v/>
      </c>
      <c r="B121" s="19">
        <f>IF(A121&lt;&gt;"",VLOOKUP(A121,'Policy Inventory'!$A:$B,2,FALSE),"")</f>
        <v/>
      </c>
      <c r="C121" s="19">
        <f>IF(A121&lt;&gt;"",VLOOKUP(A121,'Policy Inventory'!$A:$N,14,FALSE),"")</f>
        <v/>
      </c>
      <c r="D121" s="16" t="n"/>
      <c r="E121" s="16" t="n"/>
      <c r="F121" s="16" t="n"/>
      <c r="G121" s="16" t="n"/>
      <c r="H121" s="16" t="n"/>
      <c r="I121" s="17" t="n"/>
      <c r="J121" s="19">
        <f>IF(B121="","",IF(AND(D121="Yes",F121="Yes",H121="Yes"),"Compliant",IF(OR(D121="No",F121="No",H121="No"),"Non-Compliant","Partial")))</f>
        <v/>
      </c>
      <c r="K121" s="16" t="n"/>
      <c r="L121" s="16" t="n"/>
    </row>
    <row r="122">
      <c r="A122" s="19">
        <f>IF(ROW()-5&lt;=COUNTA('Policy Inventory'!$A:$A)-4,INDEX('Policy Inventory'!$A:$A,ROW()-1),"")</f>
        <v/>
      </c>
      <c r="B122" s="19">
        <f>IF(A122&lt;&gt;"",VLOOKUP(A122,'Policy Inventory'!$A:$B,2,FALSE),"")</f>
        <v/>
      </c>
      <c r="C122" s="19">
        <f>IF(A122&lt;&gt;"",VLOOKUP(A122,'Policy Inventory'!$A:$N,14,FALSE),"")</f>
        <v/>
      </c>
      <c r="D122" s="16" t="n"/>
      <c r="E122" s="16" t="n"/>
      <c r="F122" s="16" t="n"/>
      <c r="G122" s="16" t="n"/>
      <c r="H122" s="16" t="n"/>
      <c r="I122" s="17" t="n"/>
      <c r="J122" s="19">
        <f>IF(B122="","",IF(AND(D122="Yes",F122="Yes",H122="Yes"),"Compliant",IF(OR(D122="No",F122="No",H122="No"),"Non-Compliant","Partial")))</f>
        <v/>
      </c>
      <c r="K122" s="16" t="n"/>
      <c r="L122" s="16" t="n"/>
    </row>
    <row r="123">
      <c r="A123" s="19">
        <f>IF(ROW()-5&lt;=COUNTA('Policy Inventory'!$A:$A)-4,INDEX('Policy Inventory'!$A:$A,ROW()-1),"")</f>
        <v/>
      </c>
      <c r="B123" s="19">
        <f>IF(A123&lt;&gt;"",VLOOKUP(A123,'Policy Inventory'!$A:$B,2,FALSE),"")</f>
        <v/>
      </c>
      <c r="C123" s="19">
        <f>IF(A123&lt;&gt;"",VLOOKUP(A123,'Policy Inventory'!$A:$N,14,FALSE),"")</f>
        <v/>
      </c>
      <c r="D123" s="16" t="n"/>
      <c r="E123" s="16" t="n"/>
      <c r="F123" s="16" t="n"/>
      <c r="G123" s="16" t="n"/>
      <c r="H123" s="16" t="n"/>
      <c r="I123" s="17" t="n"/>
      <c r="J123" s="19">
        <f>IF(B123="","",IF(AND(D123="Yes",F123="Yes",H123="Yes"),"Compliant",IF(OR(D123="No",F123="No",H123="No"),"Non-Compliant","Partial")))</f>
        <v/>
      </c>
      <c r="K123" s="16" t="n"/>
      <c r="L123" s="16" t="n"/>
    </row>
    <row r="124">
      <c r="A124" s="19">
        <f>IF(ROW()-5&lt;=COUNTA('Policy Inventory'!$A:$A)-4,INDEX('Policy Inventory'!$A:$A,ROW()-1),"")</f>
        <v/>
      </c>
      <c r="B124" s="19">
        <f>IF(A124&lt;&gt;"",VLOOKUP(A124,'Policy Inventory'!$A:$B,2,FALSE),"")</f>
        <v/>
      </c>
      <c r="C124" s="19">
        <f>IF(A124&lt;&gt;"",VLOOKUP(A124,'Policy Inventory'!$A:$N,14,FALSE),"")</f>
        <v/>
      </c>
      <c r="D124" s="16" t="n"/>
      <c r="E124" s="16" t="n"/>
      <c r="F124" s="16" t="n"/>
      <c r="G124" s="16" t="n"/>
      <c r="H124" s="16" t="n"/>
      <c r="I124" s="17" t="n"/>
      <c r="J124" s="19">
        <f>IF(B124="","",IF(AND(D124="Yes",F124="Yes",H124="Yes"),"Compliant",IF(OR(D124="No",F124="No",H124="No"),"Non-Compliant","Partial")))</f>
        <v/>
      </c>
      <c r="K124" s="16" t="n"/>
      <c r="L124" s="16" t="n"/>
    </row>
    <row r="125">
      <c r="A125" s="19">
        <f>IF(ROW()-5&lt;=COUNTA('Policy Inventory'!$A:$A)-4,INDEX('Policy Inventory'!$A:$A,ROW()-1),"")</f>
        <v/>
      </c>
      <c r="B125" s="19">
        <f>IF(A125&lt;&gt;"",VLOOKUP(A125,'Policy Inventory'!$A:$B,2,FALSE),"")</f>
        <v/>
      </c>
      <c r="C125" s="19">
        <f>IF(A125&lt;&gt;"",VLOOKUP(A125,'Policy Inventory'!$A:$N,14,FALSE),"")</f>
        <v/>
      </c>
      <c r="D125" s="16" t="n"/>
      <c r="E125" s="16" t="n"/>
      <c r="F125" s="16" t="n"/>
      <c r="G125" s="16" t="n"/>
      <c r="H125" s="16" t="n"/>
      <c r="I125" s="17" t="n"/>
      <c r="J125" s="19">
        <f>IF(B125="","",IF(AND(D125="Yes",F125="Yes",H125="Yes"),"Compliant",IF(OR(D125="No",F125="No",H125="No"),"Non-Compliant","Partial")))</f>
        <v/>
      </c>
      <c r="K125" s="16" t="n"/>
      <c r="L125" s="16" t="n"/>
    </row>
    <row r="126">
      <c r="A126" s="19">
        <f>IF(ROW()-5&lt;=COUNTA('Policy Inventory'!$A:$A)-4,INDEX('Policy Inventory'!$A:$A,ROW()-1),"")</f>
        <v/>
      </c>
      <c r="B126" s="19">
        <f>IF(A126&lt;&gt;"",VLOOKUP(A126,'Policy Inventory'!$A:$B,2,FALSE),"")</f>
        <v/>
      </c>
      <c r="C126" s="19">
        <f>IF(A126&lt;&gt;"",VLOOKUP(A126,'Policy Inventory'!$A:$N,14,FALSE),"")</f>
        <v/>
      </c>
      <c r="D126" s="16" t="n"/>
      <c r="E126" s="16" t="n"/>
      <c r="F126" s="16" t="n"/>
      <c r="G126" s="16" t="n"/>
      <c r="H126" s="16" t="n"/>
      <c r="I126" s="17" t="n"/>
      <c r="J126" s="19">
        <f>IF(B126="","",IF(AND(D126="Yes",F126="Yes",H126="Yes"),"Compliant",IF(OR(D126="No",F126="No",H126="No"),"Non-Compliant","Partial")))</f>
        <v/>
      </c>
      <c r="K126" s="16" t="n"/>
      <c r="L126" s="16" t="n"/>
    </row>
    <row r="127">
      <c r="A127" s="19">
        <f>IF(ROW()-5&lt;=COUNTA('Policy Inventory'!$A:$A)-4,INDEX('Policy Inventory'!$A:$A,ROW()-1),"")</f>
        <v/>
      </c>
      <c r="B127" s="19">
        <f>IF(A127&lt;&gt;"",VLOOKUP(A127,'Policy Inventory'!$A:$B,2,FALSE),"")</f>
        <v/>
      </c>
      <c r="C127" s="19">
        <f>IF(A127&lt;&gt;"",VLOOKUP(A127,'Policy Inventory'!$A:$N,14,FALSE),"")</f>
        <v/>
      </c>
      <c r="D127" s="16" t="n"/>
      <c r="E127" s="16" t="n"/>
      <c r="F127" s="16" t="n"/>
      <c r="G127" s="16" t="n"/>
      <c r="H127" s="16" t="n"/>
      <c r="I127" s="17" t="n"/>
      <c r="J127" s="19">
        <f>IF(B127="","",IF(AND(D127="Yes",F127="Yes",H127="Yes"),"Compliant",IF(OR(D127="No",F127="No",H127="No"),"Non-Compliant","Partial")))</f>
        <v/>
      </c>
      <c r="K127" s="16" t="n"/>
      <c r="L127" s="16" t="n"/>
    </row>
    <row r="128">
      <c r="A128" s="19">
        <f>IF(ROW()-5&lt;=COUNTA('Policy Inventory'!$A:$A)-4,INDEX('Policy Inventory'!$A:$A,ROW()-1),"")</f>
        <v/>
      </c>
      <c r="B128" s="19">
        <f>IF(A128&lt;&gt;"",VLOOKUP(A128,'Policy Inventory'!$A:$B,2,FALSE),"")</f>
        <v/>
      </c>
      <c r="C128" s="19">
        <f>IF(A128&lt;&gt;"",VLOOKUP(A128,'Policy Inventory'!$A:$N,14,FALSE),"")</f>
        <v/>
      </c>
      <c r="D128" s="16" t="n"/>
      <c r="E128" s="16" t="n"/>
      <c r="F128" s="16" t="n"/>
      <c r="G128" s="16" t="n"/>
      <c r="H128" s="16" t="n"/>
      <c r="I128" s="17" t="n"/>
      <c r="J128" s="19">
        <f>IF(B128="","",IF(AND(D128="Yes",F128="Yes",H128="Yes"),"Compliant",IF(OR(D128="No",F128="No",H128="No"),"Non-Compliant","Partial")))</f>
        <v/>
      </c>
      <c r="K128" s="16" t="n"/>
      <c r="L128" s="16" t="n"/>
    </row>
    <row r="129">
      <c r="A129" s="19">
        <f>IF(ROW()-5&lt;=COUNTA('Policy Inventory'!$A:$A)-4,INDEX('Policy Inventory'!$A:$A,ROW()-1),"")</f>
        <v/>
      </c>
      <c r="B129" s="19">
        <f>IF(A129&lt;&gt;"",VLOOKUP(A129,'Policy Inventory'!$A:$B,2,FALSE),"")</f>
        <v/>
      </c>
      <c r="C129" s="19">
        <f>IF(A129&lt;&gt;"",VLOOKUP(A129,'Policy Inventory'!$A:$N,14,FALSE),"")</f>
        <v/>
      </c>
      <c r="D129" s="16" t="n"/>
      <c r="E129" s="16" t="n"/>
      <c r="F129" s="16" t="n"/>
      <c r="G129" s="16" t="n"/>
      <c r="H129" s="16" t="n"/>
      <c r="I129" s="17" t="n"/>
      <c r="J129" s="19">
        <f>IF(B129="","",IF(AND(D129="Yes",F129="Yes",H129="Yes"),"Compliant",IF(OR(D129="No",F129="No",H129="No"),"Non-Compliant","Partial")))</f>
        <v/>
      </c>
      <c r="K129" s="16" t="n"/>
      <c r="L129" s="16" t="n"/>
    </row>
    <row r="130">
      <c r="A130" s="19">
        <f>IF(ROW()-5&lt;=COUNTA('Policy Inventory'!$A:$A)-4,INDEX('Policy Inventory'!$A:$A,ROW()-1),"")</f>
        <v/>
      </c>
      <c r="B130" s="19">
        <f>IF(A130&lt;&gt;"",VLOOKUP(A130,'Policy Inventory'!$A:$B,2,FALSE),"")</f>
        <v/>
      </c>
      <c r="C130" s="19">
        <f>IF(A130&lt;&gt;"",VLOOKUP(A130,'Policy Inventory'!$A:$N,14,FALSE),"")</f>
        <v/>
      </c>
      <c r="D130" s="16" t="n"/>
      <c r="E130" s="16" t="n"/>
      <c r="F130" s="16" t="n"/>
      <c r="G130" s="16" t="n"/>
      <c r="H130" s="16" t="n"/>
      <c r="I130" s="17" t="n"/>
      <c r="J130" s="19">
        <f>IF(B130="","",IF(AND(D130="Yes",F130="Yes",H130="Yes"),"Compliant",IF(OR(D130="No",F130="No",H130="No"),"Non-Compliant","Partial")))</f>
        <v/>
      </c>
      <c r="K130" s="16" t="n"/>
      <c r="L130" s="16" t="n"/>
    </row>
    <row r="131">
      <c r="A131" s="19">
        <f>IF(ROW()-5&lt;=COUNTA('Policy Inventory'!$A:$A)-4,INDEX('Policy Inventory'!$A:$A,ROW()-1),"")</f>
        <v/>
      </c>
      <c r="B131" s="19">
        <f>IF(A131&lt;&gt;"",VLOOKUP(A131,'Policy Inventory'!$A:$B,2,FALSE),"")</f>
        <v/>
      </c>
      <c r="C131" s="19">
        <f>IF(A131&lt;&gt;"",VLOOKUP(A131,'Policy Inventory'!$A:$N,14,FALSE),"")</f>
        <v/>
      </c>
      <c r="D131" s="16" t="n"/>
      <c r="E131" s="16" t="n"/>
      <c r="F131" s="16" t="n"/>
      <c r="G131" s="16" t="n"/>
      <c r="H131" s="16" t="n"/>
      <c r="I131" s="17" t="n"/>
      <c r="J131" s="19">
        <f>IF(B131="","",IF(AND(D131="Yes",F131="Yes",H131="Yes"),"Compliant",IF(OR(D131="No",F131="No",H131="No"),"Non-Compliant","Partial")))</f>
        <v/>
      </c>
      <c r="K131" s="16" t="n"/>
      <c r="L131" s="16" t="n"/>
    </row>
    <row r="132">
      <c r="A132" s="19">
        <f>IF(ROW()-5&lt;=COUNTA('Policy Inventory'!$A:$A)-4,INDEX('Policy Inventory'!$A:$A,ROW()-1),"")</f>
        <v/>
      </c>
      <c r="B132" s="19">
        <f>IF(A132&lt;&gt;"",VLOOKUP(A132,'Policy Inventory'!$A:$B,2,FALSE),"")</f>
        <v/>
      </c>
      <c r="C132" s="19">
        <f>IF(A132&lt;&gt;"",VLOOKUP(A132,'Policy Inventory'!$A:$N,14,FALSE),"")</f>
        <v/>
      </c>
      <c r="D132" s="16" t="n"/>
      <c r="E132" s="16" t="n"/>
      <c r="F132" s="16" t="n"/>
      <c r="G132" s="16" t="n"/>
      <c r="H132" s="16" t="n"/>
      <c r="I132" s="17" t="n"/>
      <c r="J132" s="19">
        <f>IF(B132="","",IF(AND(D132="Yes",F132="Yes",H132="Yes"),"Compliant",IF(OR(D132="No",F132="No",H132="No"),"Non-Compliant","Partial")))</f>
        <v/>
      </c>
      <c r="K132" s="16" t="n"/>
      <c r="L132" s="16" t="n"/>
    </row>
    <row r="133">
      <c r="A133" s="19">
        <f>IF(ROW()-5&lt;=COUNTA('Policy Inventory'!$A:$A)-4,INDEX('Policy Inventory'!$A:$A,ROW()-1),"")</f>
        <v/>
      </c>
      <c r="B133" s="19">
        <f>IF(A133&lt;&gt;"",VLOOKUP(A133,'Policy Inventory'!$A:$B,2,FALSE),"")</f>
        <v/>
      </c>
      <c r="C133" s="19">
        <f>IF(A133&lt;&gt;"",VLOOKUP(A133,'Policy Inventory'!$A:$N,14,FALSE),"")</f>
        <v/>
      </c>
      <c r="D133" s="16" t="n"/>
      <c r="E133" s="16" t="n"/>
      <c r="F133" s="16" t="n"/>
      <c r="G133" s="16" t="n"/>
      <c r="H133" s="16" t="n"/>
      <c r="I133" s="17" t="n"/>
      <c r="J133" s="19">
        <f>IF(B133="","",IF(AND(D133="Yes",F133="Yes",H133="Yes"),"Compliant",IF(OR(D133="No",F133="No",H133="No"),"Non-Compliant","Partial")))</f>
        <v/>
      </c>
      <c r="K133" s="16" t="n"/>
      <c r="L133" s="16" t="n"/>
    </row>
    <row r="134">
      <c r="A134" s="19">
        <f>IF(ROW()-5&lt;=COUNTA('Policy Inventory'!$A:$A)-4,INDEX('Policy Inventory'!$A:$A,ROW()-1),"")</f>
        <v/>
      </c>
      <c r="B134" s="19">
        <f>IF(A134&lt;&gt;"",VLOOKUP(A134,'Policy Inventory'!$A:$B,2,FALSE),"")</f>
        <v/>
      </c>
      <c r="C134" s="19">
        <f>IF(A134&lt;&gt;"",VLOOKUP(A134,'Policy Inventory'!$A:$N,14,FALSE),"")</f>
        <v/>
      </c>
      <c r="D134" s="16" t="n"/>
      <c r="E134" s="16" t="n"/>
      <c r="F134" s="16" t="n"/>
      <c r="G134" s="16" t="n"/>
      <c r="H134" s="16" t="n"/>
      <c r="I134" s="17" t="n"/>
      <c r="J134" s="19">
        <f>IF(B134="","",IF(AND(D134="Yes",F134="Yes",H134="Yes"),"Compliant",IF(OR(D134="No",F134="No",H134="No"),"Non-Compliant","Partial")))</f>
        <v/>
      </c>
      <c r="K134" s="16" t="n"/>
      <c r="L134" s="16" t="n"/>
    </row>
    <row r="135">
      <c r="A135" s="19">
        <f>IF(ROW()-5&lt;=COUNTA('Policy Inventory'!$A:$A)-4,INDEX('Policy Inventory'!$A:$A,ROW()-1),"")</f>
        <v/>
      </c>
      <c r="B135" s="19">
        <f>IF(A135&lt;&gt;"",VLOOKUP(A135,'Policy Inventory'!$A:$B,2,FALSE),"")</f>
        <v/>
      </c>
      <c r="C135" s="19">
        <f>IF(A135&lt;&gt;"",VLOOKUP(A135,'Policy Inventory'!$A:$N,14,FALSE),"")</f>
        <v/>
      </c>
      <c r="D135" s="16" t="n"/>
      <c r="E135" s="16" t="n"/>
      <c r="F135" s="16" t="n"/>
      <c r="G135" s="16" t="n"/>
      <c r="H135" s="16" t="n"/>
      <c r="I135" s="17" t="n"/>
      <c r="J135" s="19">
        <f>IF(B135="","",IF(AND(D135="Yes",F135="Yes",H135="Yes"),"Compliant",IF(OR(D135="No",F135="No",H135="No"),"Non-Compliant","Partial")))</f>
        <v/>
      </c>
      <c r="K135" s="16" t="n"/>
      <c r="L135" s="16" t="n"/>
    </row>
    <row r="136">
      <c r="A136" s="19">
        <f>IF(ROW()-5&lt;=COUNTA('Policy Inventory'!$A:$A)-4,INDEX('Policy Inventory'!$A:$A,ROW()-1),"")</f>
        <v/>
      </c>
      <c r="B136" s="19">
        <f>IF(A136&lt;&gt;"",VLOOKUP(A136,'Policy Inventory'!$A:$B,2,FALSE),"")</f>
        <v/>
      </c>
      <c r="C136" s="19">
        <f>IF(A136&lt;&gt;"",VLOOKUP(A136,'Policy Inventory'!$A:$N,14,FALSE),"")</f>
        <v/>
      </c>
      <c r="D136" s="16" t="n"/>
      <c r="E136" s="16" t="n"/>
      <c r="F136" s="16" t="n"/>
      <c r="G136" s="16" t="n"/>
      <c r="H136" s="16" t="n"/>
      <c r="I136" s="17" t="n"/>
      <c r="J136" s="19">
        <f>IF(B136="","",IF(AND(D136="Yes",F136="Yes",H136="Yes"),"Compliant",IF(OR(D136="No",F136="No",H136="No"),"Non-Compliant","Partial")))</f>
        <v/>
      </c>
      <c r="K136" s="16" t="n"/>
      <c r="L136" s="16" t="n"/>
    </row>
    <row r="137">
      <c r="A137" s="19">
        <f>IF(ROW()-5&lt;=COUNTA('Policy Inventory'!$A:$A)-4,INDEX('Policy Inventory'!$A:$A,ROW()-1),"")</f>
        <v/>
      </c>
      <c r="B137" s="19">
        <f>IF(A137&lt;&gt;"",VLOOKUP(A137,'Policy Inventory'!$A:$B,2,FALSE),"")</f>
        <v/>
      </c>
      <c r="C137" s="19">
        <f>IF(A137&lt;&gt;"",VLOOKUP(A137,'Policy Inventory'!$A:$N,14,FALSE),"")</f>
        <v/>
      </c>
      <c r="D137" s="16" t="n"/>
      <c r="E137" s="16" t="n"/>
      <c r="F137" s="16" t="n"/>
      <c r="G137" s="16" t="n"/>
      <c r="H137" s="16" t="n"/>
      <c r="I137" s="17" t="n"/>
      <c r="J137" s="19">
        <f>IF(B137="","",IF(AND(D137="Yes",F137="Yes",H137="Yes"),"Compliant",IF(OR(D137="No",F137="No",H137="No"),"Non-Compliant","Partial")))</f>
        <v/>
      </c>
      <c r="K137" s="16" t="n"/>
      <c r="L137" s="16" t="n"/>
    </row>
    <row r="138">
      <c r="A138" s="19">
        <f>IF(ROW()-5&lt;=COUNTA('Policy Inventory'!$A:$A)-4,INDEX('Policy Inventory'!$A:$A,ROW()-1),"")</f>
        <v/>
      </c>
      <c r="B138" s="19">
        <f>IF(A138&lt;&gt;"",VLOOKUP(A138,'Policy Inventory'!$A:$B,2,FALSE),"")</f>
        <v/>
      </c>
      <c r="C138" s="19">
        <f>IF(A138&lt;&gt;"",VLOOKUP(A138,'Policy Inventory'!$A:$N,14,FALSE),"")</f>
        <v/>
      </c>
      <c r="D138" s="16" t="n"/>
      <c r="E138" s="16" t="n"/>
      <c r="F138" s="16" t="n"/>
      <c r="G138" s="16" t="n"/>
      <c r="H138" s="16" t="n"/>
      <c r="I138" s="17" t="n"/>
      <c r="J138" s="19">
        <f>IF(B138="","",IF(AND(D138="Yes",F138="Yes",H138="Yes"),"Compliant",IF(OR(D138="No",F138="No",H138="No"),"Non-Compliant","Partial")))</f>
        <v/>
      </c>
      <c r="K138" s="16" t="n"/>
      <c r="L138" s="16" t="n"/>
    </row>
    <row r="139">
      <c r="A139" s="19">
        <f>IF(ROW()-5&lt;=COUNTA('Policy Inventory'!$A:$A)-4,INDEX('Policy Inventory'!$A:$A,ROW()-1),"")</f>
        <v/>
      </c>
      <c r="B139" s="19">
        <f>IF(A139&lt;&gt;"",VLOOKUP(A139,'Policy Inventory'!$A:$B,2,FALSE),"")</f>
        <v/>
      </c>
      <c r="C139" s="19">
        <f>IF(A139&lt;&gt;"",VLOOKUP(A139,'Policy Inventory'!$A:$N,14,FALSE),"")</f>
        <v/>
      </c>
      <c r="D139" s="16" t="n"/>
      <c r="E139" s="16" t="n"/>
      <c r="F139" s="16" t="n"/>
      <c r="G139" s="16" t="n"/>
      <c r="H139" s="16" t="n"/>
      <c r="I139" s="17" t="n"/>
      <c r="J139" s="19">
        <f>IF(B139="","",IF(AND(D139="Yes",F139="Yes",H139="Yes"),"Compliant",IF(OR(D139="No",F139="No",H139="No"),"Non-Compliant","Partial")))</f>
        <v/>
      </c>
      <c r="K139" s="16" t="n"/>
      <c r="L139" s="16" t="n"/>
    </row>
    <row r="140">
      <c r="A140" s="19">
        <f>IF(ROW()-5&lt;=COUNTA('Policy Inventory'!$A:$A)-4,INDEX('Policy Inventory'!$A:$A,ROW()-1),"")</f>
        <v/>
      </c>
      <c r="B140" s="19">
        <f>IF(A140&lt;&gt;"",VLOOKUP(A140,'Policy Inventory'!$A:$B,2,FALSE),"")</f>
        <v/>
      </c>
      <c r="C140" s="19">
        <f>IF(A140&lt;&gt;"",VLOOKUP(A140,'Policy Inventory'!$A:$N,14,FALSE),"")</f>
        <v/>
      </c>
      <c r="D140" s="16" t="n"/>
      <c r="E140" s="16" t="n"/>
      <c r="F140" s="16" t="n"/>
      <c r="G140" s="16" t="n"/>
      <c r="H140" s="16" t="n"/>
      <c r="I140" s="17" t="n"/>
      <c r="J140" s="19">
        <f>IF(B140="","",IF(AND(D140="Yes",F140="Yes",H140="Yes"),"Compliant",IF(OR(D140="No",F140="No",H140="No"),"Non-Compliant","Partial")))</f>
        <v/>
      </c>
      <c r="K140" s="16" t="n"/>
      <c r="L140" s="16" t="n"/>
    </row>
    <row r="141">
      <c r="A141" s="19">
        <f>IF(ROW()-5&lt;=COUNTA('Policy Inventory'!$A:$A)-4,INDEX('Policy Inventory'!$A:$A,ROW()-1),"")</f>
        <v/>
      </c>
      <c r="B141" s="19">
        <f>IF(A141&lt;&gt;"",VLOOKUP(A141,'Policy Inventory'!$A:$B,2,FALSE),"")</f>
        <v/>
      </c>
      <c r="C141" s="19">
        <f>IF(A141&lt;&gt;"",VLOOKUP(A141,'Policy Inventory'!$A:$N,14,FALSE),"")</f>
        <v/>
      </c>
      <c r="D141" s="16" t="n"/>
      <c r="E141" s="16" t="n"/>
      <c r="F141" s="16" t="n"/>
      <c r="G141" s="16" t="n"/>
      <c r="H141" s="16" t="n"/>
      <c r="I141" s="17" t="n"/>
      <c r="J141" s="19">
        <f>IF(B141="","",IF(AND(D141="Yes",F141="Yes",H141="Yes"),"Compliant",IF(OR(D141="No",F141="No",H141="No"),"Non-Compliant","Partial")))</f>
        <v/>
      </c>
      <c r="K141" s="16" t="n"/>
      <c r="L141" s="16" t="n"/>
    </row>
    <row r="142">
      <c r="A142" s="19">
        <f>IF(ROW()-5&lt;=COUNTA('Policy Inventory'!$A:$A)-4,INDEX('Policy Inventory'!$A:$A,ROW()-1),"")</f>
        <v/>
      </c>
      <c r="B142" s="19">
        <f>IF(A142&lt;&gt;"",VLOOKUP(A142,'Policy Inventory'!$A:$B,2,FALSE),"")</f>
        <v/>
      </c>
      <c r="C142" s="19">
        <f>IF(A142&lt;&gt;"",VLOOKUP(A142,'Policy Inventory'!$A:$N,14,FALSE),"")</f>
        <v/>
      </c>
      <c r="D142" s="16" t="n"/>
      <c r="E142" s="16" t="n"/>
      <c r="F142" s="16" t="n"/>
      <c r="G142" s="16" t="n"/>
      <c r="H142" s="16" t="n"/>
      <c r="I142" s="17" t="n"/>
      <c r="J142" s="19">
        <f>IF(B142="","",IF(AND(D142="Yes",F142="Yes",H142="Yes"),"Compliant",IF(OR(D142="No",F142="No",H142="No"),"Non-Compliant","Partial")))</f>
        <v/>
      </c>
      <c r="K142" s="16" t="n"/>
      <c r="L142" s="16" t="n"/>
    </row>
    <row r="143">
      <c r="A143" s="19">
        <f>IF(ROW()-5&lt;=COUNTA('Policy Inventory'!$A:$A)-4,INDEX('Policy Inventory'!$A:$A,ROW()-1),"")</f>
        <v/>
      </c>
      <c r="B143" s="19">
        <f>IF(A143&lt;&gt;"",VLOOKUP(A143,'Policy Inventory'!$A:$B,2,FALSE),"")</f>
        <v/>
      </c>
      <c r="C143" s="19">
        <f>IF(A143&lt;&gt;"",VLOOKUP(A143,'Policy Inventory'!$A:$N,14,FALSE),"")</f>
        <v/>
      </c>
      <c r="D143" s="16" t="n"/>
      <c r="E143" s="16" t="n"/>
      <c r="F143" s="16" t="n"/>
      <c r="G143" s="16" t="n"/>
      <c r="H143" s="16" t="n"/>
      <c r="I143" s="17" t="n"/>
      <c r="J143" s="19">
        <f>IF(B143="","",IF(AND(D143="Yes",F143="Yes",H143="Yes"),"Compliant",IF(OR(D143="No",F143="No",H143="No"),"Non-Compliant","Partial")))</f>
        <v/>
      </c>
      <c r="K143" s="16" t="n"/>
      <c r="L143" s="16" t="n"/>
    </row>
    <row r="144">
      <c r="A144" s="19">
        <f>IF(ROW()-5&lt;=COUNTA('Policy Inventory'!$A:$A)-4,INDEX('Policy Inventory'!$A:$A,ROW()-1),"")</f>
        <v/>
      </c>
      <c r="B144" s="19">
        <f>IF(A144&lt;&gt;"",VLOOKUP(A144,'Policy Inventory'!$A:$B,2,FALSE),"")</f>
        <v/>
      </c>
      <c r="C144" s="19">
        <f>IF(A144&lt;&gt;"",VLOOKUP(A144,'Policy Inventory'!$A:$N,14,FALSE),"")</f>
        <v/>
      </c>
      <c r="D144" s="16" t="n"/>
      <c r="E144" s="16" t="n"/>
      <c r="F144" s="16" t="n"/>
      <c r="G144" s="16" t="n"/>
      <c r="H144" s="16" t="n"/>
      <c r="I144" s="17" t="n"/>
      <c r="J144" s="19">
        <f>IF(B144="","",IF(AND(D144="Yes",F144="Yes",H144="Yes"),"Compliant",IF(OR(D144="No",F144="No",H144="No"),"Non-Compliant","Partial")))</f>
        <v/>
      </c>
      <c r="K144" s="16" t="n"/>
      <c r="L144" s="16" t="n"/>
    </row>
    <row r="145">
      <c r="A145" s="19">
        <f>IF(ROW()-5&lt;=COUNTA('Policy Inventory'!$A:$A)-4,INDEX('Policy Inventory'!$A:$A,ROW()-1),"")</f>
        <v/>
      </c>
      <c r="B145" s="19">
        <f>IF(A145&lt;&gt;"",VLOOKUP(A145,'Policy Inventory'!$A:$B,2,FALSE),"")</f>
        <v/>
      </c>
      <c r="C145" s="19">
        <f>IF(A145&lt;&gt;"",VLOOKUP(A145,'Policy Inventory'!$A:$N,14,FALSE),"")</f>
        <v/>
      </c>
      <c r="D145" s="16" t="n"/>
      <c r="E145" s="16" t="n"/>
      <c r="F145" s="16" t="n"/>
      <c r="G145" s="16" t="n"/>
      <c r="H145" s="16" t="n"/>
      <c r="I145" s="17" t="n"/>
      <c r="J145" s="19">
        <f>IF(B145="","",IF(AND(D145="Yes",F145="Yes",H145="Yes"),"Compliant",IF(OR(D145="No",F145="No",H145="No"),"Non-Compliant","Partial")))</f>
        <v/>
      </c>
      <c r="K145" s="16" t="n"/>
      <c r="L145" s="16" t="n"/>
    </row>
    <row r="146">
      <c r="A146" s="19">
        <f>IF(ROW()-5&lt;=COUNTA('Policy Inventory'!$A:$A)-4,INDEX('Policy Inventory'!$A:$A,ROW()-1),"")</f>
        <v/>
      </c>
      <c r="B146" s="19">
        <f>IF(A146&lt;&gt;"",VLOOKUP(A146,'Policy Inventory'!$A:$B,2,FALSE),"")</f>
        <v/>
      </c>
      <c r="C146" s="19">
        <f>IF(A146&lt;&gt;"",VLOOKUP(A146,'Policy Inventory'!$A:$N,14,FALSE),"")</f>
        <v/>
      </c>
      <c r="D146" s="16" t="n"/>
      <c r="E146" s="16" t="n"/>
      <c r="F146" s="16" t="n"/>
      <c r="G146" s="16" t="n"/>
      <c r="H146" s="16" t="n"/>
      <c r="I146" s="17" t="n"/>
      <c r="J146" s="19">
        <f>IF(B146="","",IF(AND(D146="Yes",F146="Yes",H146="Yes"),"Compliant",IF(OR(D146="No",F146="No",H146="No"),"Non-Compliant","Partial")))</f>
        <v/>
      </c>
      <c r="K146" s="16" t="n"/>
      <c r="L146" s="16" t="n"/>
    </row>
    <row r="147">
      <c r="A147" s="19">
        <f>IF(ROW()-5&lt;=COUNTA('Policy Inventory'!$A:$A)-4,INDEX('Policy Inventory'!$A:$A,ROW()-1),"")</f>
        <v/>
      </c>
      <c r="B147" s="19">
        <f>IF(A147&lt;&gt;"",VLOOKUP(A147,'Policy Inventory'!$A:$B,2,FALSE),"")</f>
        <v/>
      </c>
      <c r="C147" s="19">
        <f>IF(A147&lt;&gt;"",VLOOKUP(A147,'Policy Inventory'!$A:$N,14,FALSE),"")</f>
        <v/>
      </c>
      <c r="D147" s="16" t="n"/>
      <c r="E147" s="16" t="n"/>
      <c r="F147" s="16" t="n"/>
      <c r="G147" s="16" t="n"/>
      <c r="H147" s="16" t="n"/>
      <c r="I147" s="17" t="n"/>
      <c r="J147" s="19">
        <f>IF(B147="","",IF(AND(D147="Yes",F147="Yes",H147="Yes"),"Compliant",IF(OR(D147="No",F147="No",H147="No"),"Non-Compliant","Partial")))</f>
        <v/>
      </c>
      <c r="K147" s="16" t="n"/>
      <c r="L147" s="16" t="n"/>
    </row>
    <row r="148">
      <c r="A148" s="19">
        <f>IF(ROW()-5&lt;=COUNTA('Policy Inventory'!$A:$A)-4,INDEX('Policy Inventory'!$A:$A,ROW()-1),"")</f>
        <v/>
      </c>
      <c r="B148" s="19">
        <f>IF(A148&lt;&gt;"",VLOOKUP(A148,'Policy Inventory'!$A:$B,2,FALSE),"")</f>
        <v/>
      </c>
      <c r="C148" s="19">
        <f>IF(A148&lt;&gt;"",VLOOKUP(A148,'Policy Inventory'!$A:$N,14,FALSE),"")</f>
        <v/>
      </c>
      <c r="D148" s="16" t="n"/>
      <c r="E148" s="16" t="n"/>
      <c r="F148" s="16" t="n"/>
      <c r="G148" s="16" t="n"/>
      <c r="H148" s="16" t="n"/>
      <c r="I148" s="17" t="n"/>
      <c r="J148" s="19">
        <f>IF(B148="","",IF(AND(D148="Yes",F148="Yes",H148="Yes"),"Compliant",IF(OR(D148="No",F148="No",H148="No"),"Non-Compliant","Partial")))</f>
        <v/>
      </c>
      <c r="K148" s="16" t="n"/>
      <c r="L148" s="16" t="n"/>
    </row>
    <row r="149">
      <c r="A149" s="19">
        <f>IF(ROW()-5&lt;=COUNTA('Policy Inventory'!$A:$A)-4,INDEX('Policy Inventory'!$A:$A,ROW()-1),"")</f>
        <v/>
      </c>
      <c r="B149" s="19">
        <f>IF(A149&lt;&gt;"",VLOOKUP(A149,'Policy Inventory'!$A:$B,2,FALSE),"")</f>
        <v/>
      </c>
      <c r="C149" s="19">
        <f>IF(A149&lt;&gt;"",VLOOKUP(A149,'Policy Inventory'!$A:$N,14,FALSE),"")</f>
        <v/>
      </c>
      <c r="D149" s="16" t="n"/>
      <c r="E149" s="16" t="n"/>
      <c r="F149" s="16" t="n"/>
      <c r="G149" s="16" t="n"/>
      <c r="H149" s="16" t="n"/>
      <c r="I149" s="17" t="n"/>
      <c r="J149" s="19">
        <f>IF(B149="","",IF(AND(D149="Yes",F149="Yes",H149="Yes"),"Compliant",IF(OR(D149="No",F149="No",H149="No"),"Non-Compliant","Partial")))</f>
        <v/>
      </c>
      <c r="K149" s="16" t="n"/>
      <c r="L149" s="16" t="n"/>
    </row>
    <row r="150">
      <c r="A150" s="19">
        <f>IF(ROW()-5&lt;=COUNTA('Policy Inventory'!$A:$A)-4,INDEX('Policy Inventory'!$A:$A,ROW()-1),"")</f>
        <v/>
      </c>
      <c r="B150" s="19">
        <f>IF(A150&lt;&gt;"",VLOOKUP(A150,'Policy Inventory'!$A:$B,2,FALSE),"")</f>
        <v/>
      </c>
      <c r="C150" s="19">
        <f>IF(A150&lt;&gt;"",VLOOKUP(A150,'Policy Inventory'!$A:$N,14,FALSE),"")</f>
        <v/>
      </c>
      <c r="D150" s="16" t="n"/>
      <c r="E150" s="16" t="n"/>
      <c r="F150" s="16" t="n"/>
      <c r="G150" s="16" t="n"/>
      <c r="H150" s="16" t="n"/>
      <c r="I150" s="17" t="n"/>
      <c r="J150" s="19">
        <f>IF(B150="","",IF(AND(D150="Yes",F150="Yes",H150="Yes"),"Compliant",IF(OR(D150="No",F150="No",H150="No"),"Non-Compliant","Partial")))</f>
        <v/>
      </c>
      <c r="K150" s="16" t="n"/>
      <c r="L150" s="16" t="n"/>
    </row>
    <row r="151">
      <c r="A151" s="19">
        <f>IF(ROW()-5&lt;=COUNTA('Policy Inventory'!$A:$A)-4,INDEX('Policy Inventory'!$A:$A,ROW()-1),"")</f>
        <v/>
      </c>
      <c r="B151" s="19">
        <f>IF(A151&lt;&gt;"",VLOOKUP(A151,'Policy Inventory'!$A:$B,2,FALSE),"")</f>
        <v/>
      </c>
      <c r="C151" s="19">
        <f>IF(A151&lt;&gt;"",VLOOKUP(A151,'Policy Inventory'!$A:$N,14,FALSE),"")</f>
        <v/>
      </c>
      <c r="D151" s="16" t="n"/>
      <c r="E151" s="16" t="n"/>
      <c r="F151" s="16" t="n"/>
      <c r="G151" s="16" t="n"/>
      <c r="H151" s="16" t="n"/>
      <c r="I151" s="17" t="n"/>
      <c r="J151" s="19">
        <f>IF(B151="","",IF(AND(D151="Yes",F151="Yes",H151="Yes"),"Compliant",IF(OR(D151="No",F151="No",H151="No"),"Non-Compliant","Partial")))</f>
        <v/>
      </c>
      <c r="K151" s="16" t="n"/>
      <c r="L151" s="16" t="n"/>
    </row>
    <row r="152">
      <c r="A152" s="19">
        <f>IF(ROW()-5&lt;=COUNTA('Policy Inventory'!$A:$A)-4,INDEX('Policy Inventory'!$A:$A,ROW()-1),"")</f>
        <v/>
      </c>
      <c r="B152" s="19">
        <f>IF(A152&lt;&gt;"",VLOOKUP(A152,'Policy Inventory'!$A:$B,2,FALSE),"")</f>
        <v/>
      </c>
      <c r="C152" s="19">
        <f>IF(A152&lt;&gt;"",VLOOKUP(A152,'Policy Inventory'!$A:$N,14,FALSE),"")</f>
        <v/>
      </c>
      <c r="D152" s="16" t="n"/>
      <c r="E152" s="16" t="n"/>
      <c r="F152" s="16" t="n"/>
      <c r="G152" s="16" t="n"/>
      <c r="H152" s="16" t="n"/>
      <c r="I152" s="17" t="n"/>
      <c r="J152" s="19">
        <f>IF(B152="","",IF(AND(D152="Yes",F152="Yes",H152="Yes"),"Compliant",IF(OR(D152="No",F152="No",H152="No"),"Non-Compliant","Partial")))</f>
        <v/>
      </c>
      <c r="K152" s="16" t="n"/>
      <c r="L152" s="16" t="n"/>
    </row>
    <row r="153">
      <c r="A153" s="19">
        <f>IF(ROW()-5&lt;=COUNTA('Policy Inventory'!$A:$A)-4,INDEX('Policy Inventory'!$A:$A,ROW()-1),"")</f>
        <v/>
      </c>
      <c r="B153" s="19">
        <f>IF(A153&lt;&gt;"",VLOOKUP(A153,'Policy Inventory'!$A:$B,2,FALSE),"")</f>
        <v/>
      </c>
      <c r="C153" s="19">
        <f>IF(A153&lt;&gt;"",VLOOKUP(A153,'Policy Inventory'!$A:$N,14,FALSE),"")</f>
        <v/>
      </c>
      <c r="D153" s="16" t="n"/>
      <c r="E153" s="16" t="n"/>
      <c r="F153" s="16" t="n"/>
      <c r="G153" s="16" t="n"/>
      <c r="H153" s="16" t="n"/>
      <c r="I153" s="17" t="n"/>
      <c r="J153" s="19">
        <f>IF(B153="","",IF(AND(D153="Yes",F153="Yes",H153="Yes"),"Compliant",IF(OR(D153="No",F153="No",H153="No"),"Non-Compliant","Partial")))</f>
        <v/>
      </c>
      <c r="K153" s="16" t="n"/>
      <c r="L153" s="16" t="n"/>
    </row>
    <row r="154">
      <c r="A154" s="19">
        <f>IF(ROW()-5&lt;=COUNTA('Policy Inventory'!$A:$A)-4,INDEX('Policy Inventory'!$A:$A,ROW()-1),"")</f>
        <v/>
      </c>
      <c r="B154" s="19">
        <f>IF(A154&lt;&gt;"",VLOOKUP(A154,'Policy Inventory'!$A:$B,2,FALSE),"")</f>
        <v/>
      </c>
      <c r="C154" s="19">
        <f>IF(A154&lt;&gt;"",VLOOKUP(A154,'Policy Inventory'!$A:$N,14,FALSE),"")</f>
        <v/>
      </c>
      <c r="D154" s="16" t="n"/>
      <c r="E154" s="16" t="n"/>
      <c r="F154" s="16" t="n"/>
      <c r="G154" s="16" t="n"/>
      <c r="H154" s="16" t="n"/>
      <c r="I154" s="17" t="n"/>
      <c r="J154" s="19">
        <f>IF(B154="","",IF(AND(D154="Yes",F154="Yes",H154="Yes"),"Compliant",IF(OR(D154="No",F154="No",H154="No"),"Non-Compliant","Partial")))</f>
        <v/>
      </c>
      <c r="K154" s="16" t="n"/>
      <c r="L154" s="16" t="n"/>
    </row>
    <row r="155">
      <c r="A155" s="19">
        <f>IF(ROW()-5&lt;=COUNTA('Policy Inventory'!$A:$A)-4,INDEX('Policy Inventory'!$A:$A,ROW()-1),"")</f>
        <v/>
      </c>
      <c r="B155" s="19">
        <f>IF(A155&lt;&gt;"",VLOOKUP(A155,'Policy Inventory'!$A:$B,2,FALSE),"")</f>
        <v/>
      </c>
      <c r="C155" s="19">
        <f>IF(A155&lt;&gt;"",VLOOKUP(A155,'Policy Inventory'!$A:$N,14,FALSE),"")</f>
        <v/>
      </c>
      <c r="D155" s="16" t="n"/>
      <c r="E155" s="16" t="n"/>
      <c r="F155" s="16" t="n"/>
      <c r="G155" s="16" t="n"/>
      <c r="H155" s="16" t="n"/>
      <c r="I155" s="17" t="n"/>
      <c r="J155" s="19">
        <f>IF(B155="","",IF(AND(D155="Yes",F155="Yes",H155="Yes"),"Compliant",IF(OR(D155="No",F155="No",H155="No"),"Non-Compliant","Partial")))</f>
        <v/>
      </c>
      <c r="K155" s="16" t="n"/>
      <c r="L155" s="16" t="n"/>
    </row>
  </sheetData>
  <mergeCells count="2">
    <mergeCell ref="A2:L2"/>
    <mergeCell ref="A1:L1"/>
  </mergeCells>
  <dataValidations count="5">
    <dataValidation sqref="D6:D155" showDropDown="0" showInputMessage="0" showErrorMessage="1" allowBlank="1" errorTitle="Invalid Entry" error="Please select from dropdown" type="list">
      <formula1>"Yes,No,Should-Be-Higher,Should-Be-Lower"</formula1>
    </dataValidation>
    <dataValidation sqref="E6:E155" showDropDown="0" showInputMessage="0" showErrorMessage="1" allowBlank="1" errorTitle="Invalid Entry" error="Please select from dropdown" type="list">
      <formula1>"None,Low,Medium,High"</formula1>
    </dataValidation>
    <dataValidation sqref="F6:F155" showDropDown="0" showInputMessage="0" showErrorMessage="1" allowBlank="1" errorTitle="Invalid Entry" error="Please select from dropdown" type="list">
      <formula1>"Yes,Partial,No,Unknown"</formula1>
    </dataValidation>
    <dataValidation sqref="G6:G155" showDropDown="0" showInputMessage="0" showErrorMessage="1" allowBlank="1" errorTitle="Invalid Entry" error="Please select from dropdown" type="list">
      <formula1>"Yes,Partial,No,N/A"</formula1>
    </dataValidation>
    <dataValidation sqref="H6:H155" showDropDown="0" showInputMessage="0" showErrorMessage="1" allowBlank="1" errorTitle="Invalid Entry" error="Please select from dropdown" type="list">
      <formula1>"Yes,No,Inconsistent"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20" customWidth="1" min="4" max="4"/>
    <col width="12" customWidth="1" min="5" max="5"/>
    <col width="30" customWidth="1" min="6" max="6"/>
    <col width="15" customWidth="1" min="7" max="7"/>
    <col width="20" customWidth="1" min="8" max="8"/>
    <col width="12" customWidth="1" min="9" max="9"/>
    <col width="15" customWidth="1" min="10" max="10"/>
    <col width="20" customWidth="1" min="11" max="11"/>
    <col width="15" customWidth="1" min="12" max="12"/>
    <col width="15" customWidth="1" min="13" max="13"/>
    <col width="20" customWidth="1" min="14" max="14"/>
    <col width="40" customWidth="1" min="15" max="15"/>
    <col width="30" customWidth="1" min="16" max="16"/>
  </cols>
  <sheetData>
    <row r="1" ht="35" customHeight="1">
      <c r="A1" s="11" t="inlineStr">
        <is>
          <t>COMMUNICATION TRACKING</t>
        </is>
      </c>
    </row>
    <row r="2">
      <c r="A2" s="12" t="inlineStr">
        <is>
          <t>Policy publication, acknowledgment, and training integration verification</t>
        </is>
      </c>
    </row>
    <row r="4">
      <c r="A4" s="13" t="inlineStr">
        <is>
          <t>Policy ID</t>
        </is>
      </c>
      <c r="B4" s="13" t="inlineStr">
        <is>
          <t>Policy Title</t>
        </is>
      </c>
      <c r="C4" s="13" t="inlineStr">
        <is>
          <t>Acknowledgment Required</t>
        </is>
      </c>
      <c r="D4" s="13" t="inlineStr">
        <is>
          <t>Target Audience</t>
        </is>
      </c>
      <c r="E4" s="13" t="inlineStr">
        <is>
          <t>Publication Date</t>
        </is>
      </c>
      <c r="F4" s="13" t="inlineStr">
        <is>
          <t>Publication Method</t>
        </is>
      </c>
      <c r="G4" s="13" t="inlineStr">
        <is>
          <t>Accessibility Verified</t>
        </is>
      </c>
      <c r="H4" s="13" t="inlineStr">
        <is>
          <t>Acknowledgment Mechanism</t>
        </is>
      </c>
      <c r="I4" s="13" t="inlineStr">
        <is>
          <t>Acknowledgment Rate</t>
        </is>
      </c>
      <c r="J4" s="13" t="inlineStr">
        <is>
          <t>Acknowledgment Timeframe</t>
        </is>
      </c>
      <c r="K4" s="13" t="inlineStr">
        <is>
          <t>Non Acknowledgment Follow Up</t>
        </is>
      </c>
      <c r="L4" s="13" t="inlineStr">
        <is>
          <t>Training Integration</t>
        </is>
      </c>
      <c r="M4" s="13" t="inlineStr">
        <is>
          <t>User Feedback Mechanism</t>
        </is>
      </c>
      <c r="N4" s="13" t="inlineStr">
        <is>
          <t>Communication Compliance Rating</t>
        </is>
      </c>
      <c r="O4" s="13" t="inlineStr">
        <is>
          <t>Gap Description</t>
        </is>
      </c>
      <c r="P4" s="13" t="inlineStr">
        <is>
          <t>Evidence Reference</t>
        </is>
      </c>
    </row>
    <row r="5">
      <c r="A5" s="14" t="inlineStr">
        <is>
          <t>POL-EXAMPLE</t>
        </is>
      </c>
      <c r="B5" s="14" t="inlineStr">
        <is>
          <t>Information Security Policy (Example)</t>
        </is>
      </c>
      <c r="C5" s="14" t="inlineStr">
        <is>
          <t>Yes</t>
        </is>
      </c>
      <c r="D5" s="14" t="inlineStr">
        <is>
          <t>All Staff</t>
        </is>
      </c>
      <c r="E5" s="14" t="inlineStr">
        <is>
          <t>01.01.2025</t>
        </is>
      </c>
      <c r="F5" s="14" t="inlineStr">
        <is>
          <t>SharePoint + Email Announcement</t>
        </is>
      </c>
      <c r="G5" s="14" t="inlineStr">
        <is>
          <t>Yes</t>
        </is>
      </c>
      <c r="H5" s="14" t="inlineStr">
        <is>
          <t>LMS</t>
        </is>
      </c>
      <c r="I5" s="15" t="n">
        <v>0.92</v>
      </c>
      <c r="J5" s="14" t="inlineStr">
        <is>
          <t>30-Days</t>
        </is>
      </c>
      <c r="K5" s="14" t="inlineStr">
        <is>
          <t>Yes</t>
        </is>
      </c>
      <c r="L5" s="14" t="inlineStr">
        <is>
          <t>Yes</t>
        </is>
      </c>
      <c r="M5" s="14" t="inlineStr">
        <is>
          <t>Yes</t>
        </is>
      </c>
      <c r="N5" s="14" t="inlineStr">
        <is>
          <t>Compliant</t>
        </is>
      </c>
      <c r="O5" s="14" t="inlineStr"/>
      <c r="P5" s="14" t="inlineStr">
        <is>
          <t>Example — replace with actual communication data</t>
        </is>
      </c>
    </row>
    <row r="6">
      <c r="A6" s="19">
        <f>IF(ROW()-5&lt;=COUNTA('Policy Inventory'!$A:$A)-4,INDEX('Policy Inventory'!$A:$A,ROW()-1),"")</f>
        <v/>
      </c>
      <c r="B6" s="19">
        <f>IF(A6&lt;&gt;"",VLOOKUP(A6,'Policy Inventory'!$A:$B,2,FALSE),"")</f>
        <v/>
      </c>
      <c r="C6" s="19">
        <f>IF(A6&lt;&gt;"",VLOOKUP(A6,'Policy Inventory'!$A:$O,15,FALSE),"")</f>
        <v/>
      </c>
      <c r="D6" s="16" t="n"/>
      <c r="E6" s="17" t="n"/>
      <c r="F6" s="16" t="n"/>
      <c r="G6" s="16" t="n"/>
      <c r="H6" s="16" t="n"/>
      <c r="I6" s="20">
        <f>IF(A6="","",VLOOKUP(A6,'Policy Inventory'!$A:$P,16,FALSE))</f>
        <v/>
      </c>
      <c r="J6" s="16" t="n"/>
      <c r="K6" s="16" t="n"/>
      <c r="L6" s="16" t="n"/>
      <c r="M6" s="16" t="n"/>
      <c r="N6" s="19">
        <f>IF(B6="","",IF(AND(G6="Yes",OR(C6="No",AND(C6&lt;&gt;"No",I6&gt;=0.9)),L6&lt;&gt;"No"),"Compliant",IF(OR(G6="No",AND(C6&lt;&gt;"No",I6&lt;0.7)),"Non-Compliant","Partial")))</f>
        <v/>
      </c>
      <c r="O6" s="16" t="n"/>
      <c r="P6" s="16" t="n"/>
    </row>
    <row r="7">
      <c r="A7" s="19">
        <f>IF(ROW()-5&lt;=COUNTA('Policy Inventory'!$A:$A)-4,INDEX('Policy Inventory'!$A:$A,ROW()-1),"")</f>
        <v/>
      </c>
      <c r="B7" s="19">
        <f>IF(A7&lt;&gt;"",VLOOKUP(A7,'Policy Inventory'!$A:$B,2,FALSE),"")</f>
        <v/>
      </c>
      <c r="C7" s="19">
        <f>IF(A7&lt;&gt;"",VLOOKUP(A7,'Policy Inventory'!$A:$O,15,FALSE),"")</f>
        <v/>
      </c>
      <c r="D7" s="16" t="n"/>
      <c r="E7" s="17" t="n"/>
      <c r="F7" s="16" t="n"/>
      <c r="G7" s="16" t="n"/>
      <c r="H7" s="16" t="n"/>
      <c r="I7" s="20">
        <f>IF(A7="","",VLOOKUP(A7,'Policy Inventory'!$A:$P,16,FALSE))</f>
        <v/>
      </c>
      <c r="J7" s="16" t="n"/>
      <c r="K7" s="16" t="n"/>
      <c r="L7" s="16" t="n"/>
      <c r="M7" s="16" t="n"/>
      <c r="N7" s="19">
        <f>IF(B7="","",IF(AND(G7="Yes",OR(C7="No",AND(C7&lt;&gt;"No",I7&gt;=0.9)),L7&lt;&gt;"No"),"Compliant",IF(OR(G7="No",AND(C7&lt;&gt;"No",I7&lt;0.7)),"Non-Compliant","Partial")))</f>
        <v/>
      </c>
      <c r="O7" s="16" t="n"/>
      <c r="P7" s="16" t="n"/>
    </row>
    <row r="8">
      <c r="A8" s="19">
        <f>IF(ROW()-5&lt;=COUNTA('Policy Inventory'!$A:$A)-4,INDEX('Policy Inventory'!$A:$A,ROW()-1),"")</f>
        <v/>
      </c>
      <c r="B8" s="19">
        <f>IF(A8&lt;&gt;"",VLOOKUP(A8,'Policy Inventory'!$A:$B,2,FALSE),"")</f>
        <v/>
      </c>
      <c r="C8" s="19">
        <f>IF(A8&lt;&gt;"",VLOOKUP(A8,'Policy Inventory'!$A:$O,15,FALSE),"")</f>
        <v/>
      </c>
      <c r="D8" s="16" t="n"/>
      <c r="E8" s="17" t="n"/>
      <c r="F8" s="16" t="n"/>
      <c r="G8" s="16" t="n"/>
      <c r="H8" s="16" t="n"/>
      <c r="I8" s="20">
        <f>IF(A8="","",VLOOKUP(A8,'Policy Inventory'!$A:$P,16,FALSE))</f>
        <v/>
      </c>
      <c r="J8" s="16" t="n"/>
      <c r="K8" s="16" t="n"/>
      <c r="L8" s="16" t="n"/>
      <c r="M8" s="16" t="n"/>
      <c r="N8" s="19">
        <f>IF(B8="","",IF(AND(G8="Yes",OR(C8="No",AND(C8&lt;&gt;"No",I8&gt;=0.9)),L8&lt;&gt;"No"),"Compliant",IF(OR(G8="No",AND(C8&lt;&gt;"No",I8&lt;0.7)),"Non-Compliant","Partial")))</f>
        <v/>
      </c>
      <c r="O8" s="16" t="n"/>
      <c r="P8" s="16" t="n"/>
    </row>
    <row r="9">
      <c r="A9" s="19">
        <f>IF(ROW()-5&lt;=COUNTA('Policy Inventory'!$A:$A)-4,INDEX('Policy Inventory'!$A:$A,ROW()-1),"")</f>
        <v/>
      </c>
      <c r="B9" s="19">
        <f>IF(A9&lt;&gt;"",VLOOKUP(A9,'Policy Inventory'!$A:$B,2,FALSE),"")</f>
        <v/>
      </c>
      <c r="C9" s="19">
        <f>IF(A9&lt;&gt;"",VLOOKUP(A9,'Policy Inventory'!$A:$O,15,FALSE),"")</f>
        <v/>
      </c>
      <c r="D9" s="16" t="n"/>
      <c r="E9" s="17" t="n"/>
      <c r="F9" s="16" t="n"/>
      <c r="G9" s="16" t="n"/>
      <c r="H9" s="16" t="n"/>
      <c r="I9" s="20">
        <f>IF(A9="","",VLOOKUP(A9,'Policy Inventory'!$A:$P,16,FALSE))</f>
        <v/>
      </c>
      <c r="J9" s="16" t="n"/>
      <c r="K9" s="16" t="n"/>
      <c r="L9" s="16" t="n"/>
      <c r="M9" s="16" t="n"/>
      <c r="N9" s="19">
        <f>IF(B9="","",IF(AND(G9="Yes",OR(C9="No",AND(C9&lt;&gt;"No",I9&gt;=0.9)),L9&lt;&gt;"No"),"Compliant",IF(OR(G9="No",AND(C9&lt;&gt;"No",I9&lt;0.7)),"Non-Compliant","Partial")))</f>
        <v/>
      </c>
      <c r="O9" s="16" t="n"/>
      <c r="P9" s="16" t="n"/>
    </row>
    <row r="10">
      <c r="A10" s="19">
        <f>IF(ROW()-5&lt;=COUNTA('Policy Inventory'!$A:$A)-4,INDEX('Policy Inventory'!$A:$A,ROW()-1),"")</f>
        <v/>
      </c>
      <c r="B10" s="19">
        <f>IF(A10&lt;&gt;"",VLOOKUP(A10,'Policy Inventory'!$A:$B,2,FALSE),"")</f>
        <v/>
      </c>
      <c r="C10" s="19">
        <f>IF(A10&lt;&gt;"",VLOOKUP(A10,'Policy Inventory'!$A:$O,15,FALSE),"")</f>
        <v/>
      </c>
      <c r="D10" s="16" t="n"/>
      <c r="E10" s="17" t="n"/>
      <c r="F10" s="16" t="n"/>
      <c r="G10" s="16" t="n"/>
      <c r="H10" s="16" t="n"/>
      <c r="I10" s="20">
        <f>IF(A10="","",VLOOKUP(A10,'Policy Inventory'!$A:$P,16,FALSE))</f>
        <v/>
      </c>
      <c r="J10" s="16" t="n"/>
      <c r="K10" s="16" t="n"/>
      <c r="L10" s="16" t="n"/>
      <c r="M10" s="16" t="n"/>
      <c r="N10" s="19">
        <f>IF(B10="","",IF(AND(G10="Yes",OR(C10="No",AND(C10&lt;&gt;"No",I10&gt;=0.9)),L10&lt;&gt;"No"),"Compliant",IF(OR(G10="No",AND(C10&lt;&gt;"No",I10&lt;0.7)),"Non-Compliant","Partial")))</f>
        <v/>
      </c>
      <c r="O10" s="16" t="n"/>
      <c r="P10" s="16" t="n"/>
    </row>
    <row r="11">
      <c r="A11" s="19">
        <f>IF(ROW()-5&lt;=COUNTA('Policy Inventory'!$A:$A)-4,INDEX('Policy Inventory'!$A:$A,ROW()-1),"")</f>
        <v/>
      </c>
      <c r="B11" s="19">
        <f>IF(A11&lt;&gt;"",VLOOKUP(A11,'Policy Inventory'!$A:$B,2,FALSE),"")</f>
        <v/>
      </c>
      <c r="C11" s="19">
        <f>IF(A11&lt;&gt;"",VLOOKUP(A11,'Policy Inventory'!$A:$O,15,FALSE),"")</f>
        <v/>
      </c>
      <c r="D11" s="16" t="n"/>
      <c r="E11" s="17" t="n"/>
      <c r="F11" s="16" t="n"/>
      <c r="G11" s="16" t="n"/>
      <c r="H11" s="16" t="n"/>
      <c r="I11" s="20">
        <f>IF(A11="","",VLOOKUP(A11,'Policy Inventory'!$A:$P,16,FALSE))</f>
        <v/>
      </c>
      <c r="J11" s="16" t="n"/>
      <c r="K11" s="16" t="n"/>
      <c r="L11" s="16" t="n"/>
      <c r="M11" s="16" t="n"/>
      <c r="N11" s="19">
        <f>IF(B11="","",IF(AND(G11="Yes",OR(C11="No",AND(C11&lt;&gt;"No",I11&gt;=0.9)),L11&lt;&gt;"No"),"Compliant",IF(OR(G11="No",AND(C11&lt;&gt;"No",I11&lt;0.7)),"Non-Compliant","Partial")))</f>
        <v/>
      </c>
      <c r="O11" s="16" t="n"/>
      <c r="P11" s="16" t="n"/>
    </row>
    <row r="12">
      <c r="A12" s="19">
        <f>IF(ROW()-5&lt;=COUNTA('Policy Inventory'!$A:$A)-4,INDEX('Policy Inventory'!$A:$A,ROW()-1),"")</f>
        <v/>
      </c>
      <c r="B12" s="19">
        <f>IF(A12&lt;&gt;"",VLOOKUP(A12,'Policy Inventory'!$A:$B,2,FALSE),"")</f>
        <v/>
      </c>
      <c r="C12" s="19">
        <f>IF(A12&lt;&gt;"",VLOOKUP(A12,'Policy Inventory'!$A:$O,15,FALSE),"")</f>
        <v/>
      </c>
      <c r="D12" s="16" t="n"/>
      <c r="E12" s="17" t="n"/>
      <c r="F12" s="16" t="n"/>
      <c r="G12" s="16" t="n"/>
      <c r="H12" s="16" t="n"/>
      <c r="I12" s="20">
        <f>IF(A12="","",VLOOKUP(A12,'Policy Inventory'!$A:$P,16,FALSE))</f>
        <v/>
      </c>
      <c r="J12" s="16" t="n"/>
      <c r="K12" s="16" t="n"/>
      <c r="L12" s="16" t="n"/>
      <c r="M12" s="16" t="n"/>
      <c r="N12" s="19">
        <f>IF(B12="","",IF(AND(G12="Yes",OR(C12="No",AND(C12&lt;&gt;"No",I12&gt;=0.9)),L12&lt;&gt;"No"),"Compliant",IF(OR(G12="No",AND(C12&lt;&gt;"No",I12&lt;0.7)),"Non-Compliant","Partial")))</f>
        <v/>
      </c>
      <c r="O12" s="16" t="n"/>
      <c r="P12" s="16" t="n"/>
    </row>
    <row r="13">
      <c r="A13" s="19">
        <f>IF(ROW()-5&lt;=COUNTA('Policy Inventory'!$A:$A)-4,INDEX('Policy Inventory'!$A:$A,ROW()-1),"")</f>
        <v/>
      </c>
      <c r="B13" s="19">
        <f>IF(A13&lt;&gt;"",VLOOKUP(A13,'Policy Inventory'!$A:$B,2,FALSE),"")</f>
        <v/>
      </c>
      <c r="C13" s="19">
        <f>IF(A13&lt;&gt;"",VLOOKUP(A13,'Policy Inventory'!$A:$O,15,FALSE),"")</f>
        <v/>
      </c>
      <c r="D13" s="16" t="n"/>
      <c r="E13" s="17" t="n"/>
      <c r="F13" s="16" t="n"/>
      <c r="G13" s="16" t="n"/>
      <c r="H13" s="16" t="n"/>
      <c r="I13" s="20">
        <f>IF(A13="","",VLOOKUP(A13,'Policy Inventory'!$A:$P,16,FALSE))</f>
        <v/>
      </c>
      <c r="J13" s="16" t="n"/>
      <c r="K13" s="16" t="n"/>
      <c r="L13" s="16" t="n"/>
      <c r="M13" s="16" t="n"/>
      <c r="N13" s="19">
        <f>IF(B13="","",IF(AND(G13="Yes",OR(C13="No",AND(C13&lt;&gt;"No",I13&gt;=0.9)),L13&lt;&gt;"No"),"Compliant",IF(OR(G13="No",AND(C13&lt;&gt;"No",I13&lt;0.7)),"Non-Compliant","Partial")))</f>
        <v/>
      </c>
      <c r="O13" s="16" t="n"/>
      <c r="P13" s="16" t="n"/>
    </row>
    <row r="14">
      <c r="A14" s="19">
        <f>IF(ROW()-5&lt;=COUNTA('Policy Inventory'!$A:$A)-4,INDEX('Policy Inventory'!$A:$A,ROW()-1),"")</f>
        <v/>
      </c>
      <c r="B14" s="19">
        <f>IF(A14&lt;&gt;"",VLOOKUP(A14,'Policy Inventory'!$A:$B,2,FALSE),"")</f>
        <v/>
      </c>
      <c r="C14" s="19">
        <f>IF(A14&lt;&gt;"",VLOOKUP(A14,'Policy Inventory'!$A:$O,15,FALSE),"")</f>
        <v/>
      </c>
      <c r="D14" s="16" t="n"/>
      <c r="E14" s="17" t="n"/>
      <c r="F14" s="16" t="n"/>
      <c r="G14" s="16" t="n"/>
      <c r="H14" s="16" t="n"/>
      <c r="I14" s="20">
        <f>IF(A14="","",VLOOKUP(A14,'Policy Inventory'!$A:$P,16,FALSE))</f>
        <v/>
      </c>
      <c r="J14" s="16" t="n"/>
      <c r="K14" s="16" t="n"/>
      <c r="L14" s="16" t="n"/>
      <c r="M14" s="16" t="n"/>
      <c r="N14" s="19">
        <f>IF(B14="","",IF(AND(G14="Yes",OR(C14="No",AND(C14&lt;&gt;"No",I14&gt;=0.9)),L14&lt;&gt;"No"),"Compliant",IF(OR(G14="No",AND(C14&lt;&gt;"No",I14&lt;0.7)),"Non-Compliant","Partial")))</f>
        <v/>
      </c>
      <c r="O14" s="16" t="n"/>
      <c r="P14" s="16" t="n"/>
    </row>
    <row r="15">
      <c r="A15" s="19">
        <f>IF(ROW()-5&lt;=COUNTA('Policy Inventory'!$A:$A)-4,INDEX('Policy Inventory'!$A:$A,ROW()-1),"")</f>
        <v/>
      </c>
      <c r="B15" s="19">
        <f>IF(A15&lt;&gt;"",VLOOKUP(A15,'Policy Inventory'!$A:$B,2,FALSE),"")</f>
        <v/>
      </c>
      <c r="C15" s="19">
        <f>IF(A15&lt;&gt;"",VLOOKUP(A15,'Policy Inventory'!$A:$O,15,FALSE),"")</f>
        <v/>
      </c>
      <c r="D15" s="16" t="n"/>
      <c r="E15" s="17" t="n"/>
      <c r="F15" s="16" t="n"/>
      <c r="G15" s="16" t="n"/>
      <c r="H15" s="16" t="n"/>
      <c r="I15" s="20">
        <f>IF(A15="","",VLOOKUP(A15,'Policy Inventory'!$A:$P,16,FALSE))</f>
        <v/>
      </c>
      <c r="J15" s="16" t="n"/>
      <c r="K15" s="16" t="n"/>
      <c r="L15" s="16" t="n"/>
      <c r="M15" s="16" t="n"/>
      <c r="N15" s="19">
        <f>IF(B15="","",IF(AND(G15="Yes",OR(C15="No",AND(C15&lt;&gt;"No",I15&gt;=0.9)),L15&lt;&gt;"No"),"Compliant",IF(OR(G15="No",AND(C15&lt;&gt;"No",I15&lt;0.7)),"Non-Compliant","Partial")))</f>
        <v/>
      </c>
      <c r="O15" s="16" t="n"/>
      <c r="P15" s="16" t="n"/>
    </row>
    <row r="16">
      <c r="A16" s="19">
        <f>IF(ROW()-5&lt;=COUNTA('Policy Inventory'!$A:$A)-4,INDEX('Policy Inventory'!$A:$A,ROW()-1),"")</f>
        <v/>
      </c>
      <c r="B16" s="19">
        <f>IF(A16&lt;&gt;"",VLOOKUP(A16,'Policy Inventory'!$A:$B,2,FALSE),"")</f>
        <v/>
      </c>
      <c r="C16" s="19">
        <f>IF(A16&lt;&gt;"",VLOOKUP(A16,'Policy Inventory'!$A:$O,15,FALSE),"")</f>
        <v/>
      </c>
      <c r="D16" s="16" t="n"/>
      <c r="E16" s="17" t="n"/>
      <c r="F16" s="16" t="n"/>
      <c r="G16" s="16" t="n"/>
      <c r="H16" s="16" t="n"/>
      <c r="I16" s="20">
        <f>IF(A16="","",VLOOKUP(A16,'Policy Inventory'!$A:$P,16,FALSE))</f>
        <v/>
      </c>
      <c r="J16" s="16" t="n"/>
      <c r="K16" s="16" t="n"/>
      <c r="L16" s="16" t="n"/>
      <c r="M16" s="16" t="n"/>
      <c r="N16" s="19">
        <f>IF(B16="","",IF(AND(G16="Yes",OR(C16="No",AND(C16&lt;&gt;"No",I16&gt;=0.9)),L16&lt;&gt;"No"),"Compliant",IF(OR(G16="No",AND(C16&lt;&gt;"No",I16&lt;0.7)),"Non-Compliant","Partial")))</f>
        <v/>
      </c>
      <c r="O16" s="16" t="n"/>
      <c r="P16" s="16" t="n"/>
    </row>
    <row r="17">
      <c r="A17" s="19">
        <f>IF(ROW()-5&lt;=COUNTA('Policy Inventory'!$A:$A)-4,INDEX('Policy Inventory'!$A:$A,ROW()-1),"")</f>
        <v/>
      </c>
      <c r="B17" s="19">
        <f>IF(A17&lt;&gt;"",VLOOKUP(A17,'Policy Inventory'!$A:$B,2,FALSE),"")</f>
        <v/>
      </c>
      <c r="C17" s="19">
        <f>IF(A17&lt;&gt;"",VLOOKUP(A17,'Policy Inventory'!$A:$O,15,FALSE),"")</f>
        <v/>
      </c>
      <c r="D17" s="16" t="n"/>
      <c r="E17" s="17" t="n"/>
      <c r="F17" s="16" t="n"/>
      <c r="G17" s="16" t="n"/>
      <c r="H17" s="16" t="n"/>
      <c r="I17" s="20">
        <f>IF(A17="","",VLOOKUP(A17,'Policy Inventory'!$A:$P,16,FALSE))</f>
        <v/>
      </c>
      <c r="J17" s="16" t="n"/>
      <c r="K17" s="16" t="n"/>
      <c r="L17" s="16" t="n"/>
      <c r="M17" s="16" t="n"/>
      <c r="N17" s="19">
        <f>IF(B17="","",IF(AND(G17="Yes",OR(C17="No",AND(C17&lt;&gt;"No",I17&gt;=0.9)),L17&lt;&gt;"No"),"Compliant",IF(OR(G17="No",AND(C17&lt;&gt;"No",I17&lt;0.7)),"Non-Compliant","Partial")))</f>
        <v/>
      </c>
      <c r="O17" s="16" t="n"/>
      <c r="P17" s="16" t="n"/>
    </row>
    <row r="18">
      <c r="A18" s="19">
        <f>IF(ROW()-5&lt;=COUNTA('Policy Inventory'!$A:$A)-4,INDEX('Policy Inventory'!$A:$A,ROW()-1),"")</f>
        <v/>
      </c>
      <c r="B18" s="19">
        <f>IF(A18&lt;&gt;"",VLOOKUP(A18,'Policy Inventory'!$A:$B,2,FALSE),"")</f>
        <v/>
      </c>
      <c r="C18" s="19">
        <f>IF(A18&lt;&gt;"",VLOOKUP(A18,'Policy Inventory'!$A:$O,15,FALSE),"")</f>
        <v/>
      </c>
      <c r="D18" s="16" t="n"/>
      <c r="E18" s="17" t="n"/>
      <c r="F18" s="16" t="n"/>
      <c r="G18" s="16" t="n"/>
      <c r="H18" s="16" t="n"/>
      <c r="I18" s="20">
        <f>IF(A18="","",VLOOKUP(A18,'Policy Inventory'!$A:$P,16,FALSE))</f>
        <v/>
      </c>
      <c r="J18" s="16" t="n"/>
      <c r="K18" s="16" t="n"/>
      <c r="L18" s="16" t="n"/>
      <c r="M18" s="16" t="n"/>
      <c r="N18" s="19">
        <f>IF(B18="","",IF(AND(G18="Yes",OR(C18="No",AND(C18&lt;&gt;"No",I18&gt;=0.9)),L18&lt;&gt;"No"),"Compliant",IF(OR(G18="No",AND(C18&lt;&gt;"No",I18&lt;0.7)),"Non-Compliant","Partial")))</f>
        <v/>
      </c>
      <c r="O18" s="16" t="n"/>
      <c r="P18" s="16" t="n"/>
    </row>
    <row r="19">
      <c r="A19" s="19">
        <f>IF(ROW()-5&lt;=COUNTA('Policy Inventory'!$A:$A)-4,INDEX('Policy Inventory'!$A:$A,ROW()-1),"")</f>
        <v/>
      </c>
      <c r="B19" s="19">
        <f>IF(A19&lt;&gt;"",VLOOKUP(A19,'Policy Inventory'!$A:$B,2,FALSE),"")</f>
        <v/>
      </c>
      <c r="C19" s="19">
        <f>IF(A19&lt;&gt;"",VLOOKUP(A19,'Policy Inventory'!$A:$O,15,FALSE),"")</f>
        <v/>
      </c>
      <c r="D19" s="16" t="n"/>
      <c r="E19" s="17" t="n"/>
      <c r="F19" s="16" t="n"/>
      <c r="G19" s="16" t="n"/>
      <c r="H19" s="16" t="n"/>
      <c r="I19" s="20">
        <f>IF(A19="","",VLOOKUP(A19,'Policy Inventory'!$A:$P,16,FALSE))</f>
        <v/>
      </c>
      <c r="J19" s="16" t="n"/>
      <c r="K19" s="16" t="n"/>
      <c r="L19" s="16" t="n"/>
      <c r="M19" s="16" t="n"/>
      <c r="N19" s="19">
        <f>IF(B19="","",IF(AND(G19="Yes",OR(C19="No",AND(C19&lt;&gt;"No",I19&gt;=0.9)),L19&lt;&gt;"No"),"Compliant",IF(OR(G19="No",AND(C19&lt;&gt;"No",I19&lt;0.7)),"Non-Compliant","Partial")))</f>
        <v/>
      </c>
      <c r="O19" s="16" t="n"/>
      <c r="P19" s="16" t="n"/>
    </row>
    <row r="20">
      <c r="A20" s="19">
        <f>IF(ROW()-5&lt;=COUNTA('Policy Inventory'!$A:$A)-4,INDEX('Policy Inventory'!$A:$A,ROW()-1),"")</f>
        <v/>
      </c>
      <c r="B20" s="19">
        <f>IF(A20&lt;&gt;"",VLOOKUP(A20,'Policy Inventory'!$A:$B,2,FALSE),"")</f>
        <v/>
      </c>
      <c r="C20" s="19">
        <f>IF(A20&lt;&gt;"",VLOOKUP(A20,'Policy Inventory'!$A:$O,15,FALSE),"")</f>
        <v/>
      </c>
      <c r="D20" s="16" t="n"/>
      <c r="E20" s="17" t="n"/>
      <c r="F20" s="16" t="n"/>
      <c r="G20" s="16" t="n"/>
      <c r="H20" s="16" t="n"/>
      <c r="I20" s="20">
        <f>IF(A20="","",VLOOKUP(A20,'Policy Inventory'!$A:$P,16,FALSE))</f>
        <v/>
      </c>
      <c r="J20" s="16" t="n"/>
      <c r="K20" s="16" t="n"/>
      <c r="L20" s="16" t="n"/>
      <c r="M20" s="16" t="n"/>
      <c r="N20" s="19">
        <f>IF(B20="","",IF(AND(G20="Yes",OR(C20="No",AND(C20&lt;&gt;"No",I20&gt;=0.9)),L20&lt;&gt;"No"),"Compliant",IF(OR(G20="No",AND(C20&lt;&gt;"No",I20&lt;0.7)),"Non-Compliant","Partial")))</f>
        <v/>
      </c>
      <c r="O20" s="16" t="n"/>
      <c r="P20" s="16" t="n"/>
    </row>
    <row r="21">
      <c r="A21" s="19">
        <f>IF(ROW()-5&lt;=COUNTA('Policy Inventory'!$A:$A)-4,INDEX('Policy Inventory'!$A:$A,ROW()-1),"")</f>
        <v/>
      </c>
      <c r="B21" s="19">
        <f>IF(A21&lt;&gt;"",VLOOKUP(A21,'Policy Inventory'!$A:$B,2,FALSE),"")</f>
        <v/>
      </c>
      <c r="C21" s="19">
        <f>IF(A21&lt;&gt;"",VLOOKUP(A21,'Policy Inventory'!$A:$O,15,FALSE),"")</f>
        <v/>
      </c>
      <c r="D21" s="16" t="n"/>
      <c r="E21" s="17" t="n"/>
      <c r="F21" s="16" t="n"/>
      <c r="G21" s="16" t="n"/>
      <c r="H21" s="16" t="n"/>
      <c r="I21" s="20">
        <f>IF(A21="","",VLOOKUP(A21,'Policy Inventory'!$A:$P,16,FALSE))</f>
        <v/>
      </c>
      <c r="J21" s="16" t="n"/>
      <c r="K21" s="16" t="n"/>
      <c r="L21" s="16" t="n"/>
      <c r="M21" s="16" t="n"/>
      <c r="N21" s="19">
        <f>IF(B21="","",IF(AND(G21="Yes",OR(C21="No",AND(C21&lt;&gt;"No",I21&gt;=0.9)),L21&lt;&gt;"No"),"Compliant",IF(OR(G21="No",AND(C21&lt;&gt;"No",I21&lt;0.7)),"Non-Compliant","Partial")))</f>
        <v/>
      </c>
      <c r="O21" s="16" t="n"/>
      <c r="P21" s="16" t="n"/>
    </row>
    <row r="22">
      <c r="A22" s="19">
        <f>IF(ROW()-5&lt;=COUNTA('Policy Inventory'!$A:$A)-4,INDEX('Policy Inventory'!$A:$A,ROW()-1),"")</f>
        <v/>
      </c>
      <c r="B22" s="19">
        <f>IF(A22&lt;&gt;"",VLOOKUP(A22,'Policy Inventory'!$A:$B,2,FALSE),"")</f>
        <v/>
      </c>
      <c r="C22" s="19">
        <f>IF(A22&lt;&gt;"",VLOOKUP(A22,'Policy Inventory'!$A:$O,15,FALSE),"")</f>
        <v/>
      </c>
      <c r="D22" s="16" t="n"/>
      <c r="E22" s="17" t="n"/>
      <c r="F22" s="16" t="n"/>
      <c r="G22" s="16" t="n"/>
      <c r="H22" s="16" t="n"/>
      <c r="I22" s="20">
        <f>IF(A22="","",VLOOKUP(A22,'Policy Inventory'!$A:$P,16,FALSE))</f>
        <v/>
      </c>
      <c r="J22" s="16" t="n"/>
      <c r="K22" s="16" t="n"/>
      <c r="L22" s="16" t="n"/>
      <c r="M22" s="16" t="n"/>
      <c r="N22" s="19">
        <f>IF(B22="","",IF(AND(G22="Yes",OR(C22="No",AND(C22&lt;&gt;"No",I22&gt;=0.9)),L22&lt;&gt;"No"),"Compliant",IF(OR(G22="No",AND(C22&lt;&gt;"No",I22&lt;0.7)),"Non-Compliant","Partial")))</f>
        <v/>
      </c>
      <c r="O22" s="16" t="n"/>
      <c r="P22" s="16" t="n"/>
    </row>
    <row r="23">
      <c r="A23" s="19">
        <f>IF(ROW()-5&lt;=COUNTA('Policy Inventory'!$A:$A)-4,INDEX('Policy Inventory'!$A:$A,ROW()-1),"")</f>
        <v/>
      </c>
      <c r="B23" s="19">
        <f>IF(A23&lt;&gt;"",VLOOKUP(A23,'Policy Inventory'!$A:$B,2,FALSE),"")</f>
        <v/>
      </c>
      <c r="C23" s="19">
        <f>IF(A23&lt;&gt;"",VLOOKUP(A23,'Policy Inventory'!$A:$O,15,FALSE),"")</f>
        <v/>
      </c>
      <c r="D23" s="16" t="n"/>
      <c r="E23" s="17" t="n"/>
      <c r="F23" s="16" t="n"/>
      <c r="G23" s="16" t="n"/>
      <c r="H23" s="16" t="n"/>
      <c r="I23" s="20">
        <f>IF(A23="","",VLOOKUP(A23,'Policy Inventory'!$A:$P,16,FALSE))</f>
        <v/>
      </c>
      <c r="J23" s="16" t="n"/>
      <c r="K23" s="16" t="n"/>
      <c r="L23" s="16" t="n"/>
      <c r="M23" s="16" t="n"/>
      <c r="N23" s="19">
        <f>IF(B23="","",IF(AND(G23="Yes",OR(C23="No",AND(C23&lt;&gt;"No",I23&gt;=0.9)),L23&lt;&gt;"No"),"Compliant",IF(OR(G23="No",AND(C23&lt;&gt;"No",I23&lt;0.7)),"Non-Compliant","Partial")))</f>
        <v/>
      </c>
      <c r="O23" s="16" t="n"/>
      <c r="P23" s="16" t="n"/>
    </row>
    <row r="24">
      <c r="A24" s="19">
        <f>IF(ROW()-5&lt;=COUNTA('Policy Inventory'!$A:$A)-4,INDEX('Policy Inventory'!$A:$A,ROW()-1),"")</f>
        <v/>
      </c>
      <c r="B24" s="19">
        <f>IF(A24&lt;&gt;"",VLOOKUP(A24,'Policy Inventory'!$A:$B,2,FALSE),"")</f>
        <v/>
      </c>
      <c r="C24" s="19">
        <f>IF(A24&lt;&gt;"",VLOOKUP(A24,'Policy Inventory'!$A:$O,15,FALSE),"")</f>
        <v/>
      </c>
      <c r="D24" s="16" t="n"/>
      <c r="E24" s="17" t="n"/>
      <c r="F24" s="16" t="n"/>
      <c r="G24" s="16" t="n"/>
      <c r="H24" s="16" t="n"/>
      <c r="I24" s="20">
        <f>IF(A24="","",VLOOKUP(A24,'Policy Inventory'!$A:$P,16,FALSE))</f>
        <v/>
      </c>
      <c r="J24" s="16" t="n"/>
      <c r="K24" s="16" t="n"/>
      <c r="L24" s="16" t="n"/>
      <c r="M24" s="16" t="n"/>
      <c r="N24" s="19">
        <f>IF(B24="","",IF(AND(G24="Yes",OR(C24="No",AND(C24&lt;&gt;"No",I24&gt;=0.9)),L24&lt;&gt;"No"),"Compliant",IF(OR(G24="No",AND(C24&lt;&gt;"No",I24&lt;0.7)),"Non-Compliant","Partial")))</f>
        <v/>
      </c>
      <c r="O24" s="16" t="n"/>
      <c r="P24" s="16" t="n"/>
    </row>
    <row r="25">
      <c r="A25" s="19">
        <f>IF(ROW()-5&lt;=COUNTA('Policy Inventory'!$A:$A)-4,INDEX('Policy Inventory'!$A:$A,ROW()-1),"")</f>
        <v/>
      </c>
      <c r="B25" s="19">
        <f>IF(A25&lt;&gt;"",VLOOKUP(A25,'Policy Inventory'!$A:$B,2,FALSE),"")</f>
        <v/>
      </c>
      <c r="C25" s="19">
        <f>IF(A25&lt;&gt;"",VLOOKUP(A25,'Policy Inventory'!$A:$O,15,FALSE),"")</f>
        <v/>
      </c>
      <c r="D25" s="16" t="n"/>
      <c r="E25" s="17" t="n"/>
      <c r="F25" s="16" t="n"/>
      <c r="G25" s="16" t="n"/>
      <c r="H25" s="16" t="n"/>
      <c r="I25" s="20">
        <f>IF(A25="","",VLOOKUP(A25,'Policy Inventory'!$A:$P,16,FALSE))</f>
        <v/>
      </c>
      <c r="J25" s="16" t="n"/>
      <c r="K25" s="16" t="n"/>
      <c r="L25" s="16" t="n"/>
      <c r="M25" s="16" t="n"/>
      <c r="N25" s="19">
        <f>IF(B25="","",IF(AND(G25="Yes",OR(C25="No",AND(C25&lt;&gt;"No",I25&gt;=0.9)),L25&lt;&gt;"No"),"Compliant",IF(OR(G25="No",AND(C25&lt;&gt;"No",I25&lt;0.7)),"Non-Compliant","Partial")))</f>
        <v/>
      </c>
      <c r="O25" s="16" t="n"/>
      <c r="P25" s="16" t="n"/>
    </row>
    <row r="26">
      <c r="A26" s="19">
        <f>IF(ROW()-5&lt;=COUNTA('Policy Inventory'!$A:$A)-4,INDEX('Policy Inventory'!$A:$A,ROW()-1),"")</f>
        <v/>
      </c>
      <c r="B26" s="19">
        <f>IF(A26&lt;&gt;"",VLOOKUP(A26,'Policy Inventory'!$A:$B,2,FALSE),"")</f>
        <v/>
      </c>
      <c r="C26" s="19">
        <f>IF(A26&lt;&gt;"",VLOOKUP(A26,'Policy Inventory'!$A:$O,15,FALSE),"")</f>
        <v/>
      </c>
      <c r="D26" s="16" t="n"/>
      <c r="E26" s="17" t="n"/>
      <c r="F26" s="16" t="n"/>
      <c r="G26" s="16" t="n"/>
      <c r="H26" s="16" t="n"/>
      <c r="I26" s="20">
        <f>IF(A26="","",VLOOKUP(A26,'Policy Inventory'!$A:$P,16,FALSE))</f>
        <v/>
      </c>
      <c r="J26" s="16" t="n"/>
      <c r="K26" s="16" t="n"/>
      <c r="L26" s="16" t="n"/>
      <c r="M26" s="16" t="n"/>
      <c r="N26" s="19">
        <f>IF(B26="","",IF(AND(G26="Yes",OR(C26="No",AND(C26&lt;&gt;"No",I26&gt;=0.9)),L26&lt;&gt;"No"),"Compliant",IF(OR(G26="No",AND(C26&lt;&gt;"No",I26&lt;0.7)),"Non-Compliant","Partial")))</f>
        <v/>
      </c>
      <c r="O26" s="16" t="n"/>
      <c r="P26" s="16" t="n"/>
    </row>
    <row r="27">
      <c r="A27" s="19">
        <f>IF(ROW()-5&lt;=COUNTA('Policy Inventory'!$A:$A)-4,INDEX('Policy Inventory'!$A:$A,ROW()-1),"")</f>
        <v/>
      </c>
      <c r="B27" s="19">
        <f>IF(A27&lt;&gt;"",VLOOKUP(A27,'Policy Inventory'!$A:$B,2,FALSE),"")</f>
        <v/>
      </c>
      <c r="C27" s="19">
        <f>IF(A27&lt;&gt;"",VLOOKUP(A27,'Policy Inventory'!$A:$O,15,FALSE),"")</f>
        <v/>
      </c>
      <c r="D27" s="16" t="n"/>
      <c r="E27" s="17" t="n"/>
      <c r="F27" s="16" t="n"/>
      <c r="G27" s="16" t="n"/>
      <c r="H27" s="16" t="n"/>
      <c r="I27" s="20">
        <f>IF(A27="","",VLOOKUP(A27,'Policy Inventory'!$A:$P,16,FALSE))</f>
        <v/>
      </c>
      <c r="J27" s="16" t="n"/>
      <c r="K27" s="16" t="n"/>
      <c r="L27" s="16" t="n"/>
      <c r="M27" s="16" t="n"/>
      <c r="N27" s="19">
        <f>IF(B27="","",IF(AND(G27="Yes",OR(C27="No",AND(C27&lt;&gt;"No",I27&gt;=0.9)),L27&lt;&gt;"No"),"Compliant",IF(OR(G27="No",AND(C27&lt;&gt;"No",I27&lt;0.7)),"Non-Compliant","Partial")))</f>
        <v/>
      </c>
      <c r="O27" s="16" t="n"/>
      <c r="P27" s="16" t="n"/>
    </row>
    <row r="28">
      <c r="A28" s="19">
        <f>IF(ROW()-5&lt;=COUNTA('Policy Inventory'!$A:$A)-4,INDEX('Policy Inventory'!$A:$A,ROW()-1),"")</f>
        <v/>
      </c>
      <c r="B28" s="19">
        <f>IF(A28&lt;&gt;"",VLOOKUP(A28,'Policy Inventory'!$A:$B,2,FALSE),"")</f>
        <v/>
      </c>
      <c r="C28" s="19">
        <f>IF(A28&lt;&gt;"",VLOOKUP(A28,'Policy Inventory'!$A:$O,15,FALSE),"")</f>
        <v/>
      </c>
      <c r="D28" s="16" t="n"/>
      <c r="E28" s="17" t="n"/>
      <c r="F28" s="16" t="n"/>
      <c r="G28" s="16" t="n"/>
      <c r="H28" s="16" t="n"/>
      <c r="I28" s="20">
        <f>IF(A28="","",VLOOKUP(A28,'Policy Inventory'!$A:$P,16,FALSE))</f>
        <v/>
      </c>
      <c r="J28" s="16" t="n"/>
      <c r="K28" s="16" t="n"/>
      <c r="L28" s="16" t="n"/>
      <c r="M28" s="16" t="n"/>
      <c r="N28" s="19">
        <f>IF(B28="","",IF(AND(G28="Yes",OR(C28="No",AND(C28&lt;&gt;"No",I28&gt;=0.9)),L28&lt;&gt;"No"),"Compliant",IF(OR(G28="No",AND(C28&lt;&gt;"No",I28&lt;0.7)),"Non-Compliant","Partial")))</f>
        <v/>
      </c>
      <c r="O28" s="16" t="n"/>
      <c r="P28" s="16" t="n"/>
    </row>
    <row r="29">
      <c r="A29" s="19">
        <f>IF(ROW()-5&lt;=COUNTA('Policy Inventory'!$A:$A)-4,INDEX('Policy Inventory'!$A:$A,ROW()-1),"")</f>
        <v/>
      </c>
      <c r="B29" s="19">
        <f>IF(A29&lt;&gt;"",VLOOKUP(A29,'Policy Inventory'!$A:$B,2,FALSE),"")</f>
        <v/>
      </c>
      <c r="C29" s="19">
        <f>IF(A29&lt;&gt;"",VLOOKUP(A29,'Policy Inventory'!$A:$O,15,FALSE),"")</f>
        <v/>
      </c>
      <c r="D29" s="16" t="n"/>
      <c r="E29" s="17" t="n"/>
      <c r="F29" s="16" t="n"/>
      <c r="G29" s="16" t="n"/>
      <c r="H29" s="16" t="n"/>
      <c r="I29" s="20">
        <f>IF(A29="","",VLOOKUP(A29,'Policy Inventory'!$A:$P,16,FALSE))</f>
        <v/>
      </c>
      <c r="J29" s="16" t="n"/>
      <c r="K29" s="16" t="n"/>
      <c r="L29" s="16" t="n"/>
      <c r="M29" s="16" t="n"/>
      <c r="N29" s="19">
        <f>IF(B29="","",IF(AND(G29="Yes",OR(C29="No",AND(C29&lt;&gt;"No",I29&gt;=0.9)),L29&lt;&gt;"No"),"Compliant",IF(OR(G29="No",AND(C29&lt;&gt;"No",I29&lt;0.7)),"Non-Compliant","Partial")))</f>
        <v/>
      </c>
      <c r="O29" s="16" t="n"/>
      <c r="P29" s="16" t="n"/>
    </row>
    <row r="30">
      <c r="A30" s="19">
        <f>IF(ROW()-5&lt;=COUNTA('Policy Inventory'!$A:$A)-4,INDEX('Policy Inventory'!$A:$A,ROW()-1),"")</f>
        <v/>
      </c>
      <c r="B30" s="19">
        <f>IF(A30&lt;&gt;"",VLOOKUP(A30,'Policy Inventory'!$A:$B,2,FALSE),"")</f>
        <v/>
      </c>
      <c r="C30" s="19">
        <f>IF(A30&lt;&gt;"",VLOOKUP(A30,'Policy Inventory'!$A:$O,15,FALSE),"")</f>
        <v/>
      </c>
      <c r="D30" s="16" t="n"/>
      <c r="E30" s="17" t="n"/>
      <c r="F30" s="16" t="n"/>
      <c r="G30" s="16" t="n"/>
      <c r="H30" s="16" t="n"/>
      <c r="I30" s="20">
        <f>IF(A30="","",VLOOKUP(A30,'Policy Inventory'!$A:$P,16,FALSE))</f>
        <v/>
      </c>
      <c r="J30" s="16" t="n"/>
      <c r="K30" s="16" t="n"/>
      <c r="L30" s="16" t="n"/>
      <c r="M30" s="16" t="n"/>
      <c r="N30" s="19">
        <f>IF(B30="","",IF(AND(G30="Yes",OR(C30="No",AND(C30&lt;&gt;"No",I30&gt;=0.9)),L30&lt;&gt;"No"),"Compliant",IF(OR(G30="No",AND(C30&lt;&gt;"No",I30&lt;0.7)),"Non-Compliant","Partial")))</f>
        <v/>
      </c>
      <c r="O30" s="16" t="n"/>
      <c r="P30" s="16" t="n"/>
    </row>
    <row r="31">
      <c r="A31" s="19">
        <f>IF(ROW()-5&lt;=COUNTA('Policy Inventory'!$A:$A)-4,INDEX('Policy Inventory'!$A:$A,ROW()-1),"")</f>
        <v/>
      </c>
      <c r="B31" s="19">
        <f>IF(A31&lt;&gt;"",VLOOKUP(A31,'Policy Inventory'!$A:$B,2,FALSE),"")</f>
        <v/>
      </c>
      <c r="C31" s="19">
        <f>IF(A31&lt;&gt;"",VLOOKUP(A31,'Policy Inventory'!$A:$O,15,FALSE),"")</f>
        <v/>
      </c>
      <c r="D31" s="16" t="n"/>
      <c r="E31" s="17" t="n"/>
      <c r="F31" s="16" t="n"/>
      <c r="G31" s="16" t="n"/>
      <c r="H31" s="16" t="n"/>
      <c r="I31" s="20">
        <f>IF(A31="","",VLOOKUP(A31,'Policy Inventory'!$A:$P,16,FALSE))</f>
        <v/>
      </c>
      <c r="J31" s="16" t="n"/>
      <c r="K31" s="16" t="n"/>
      <c r="L31" s="16" t="n"/>
      <c r="M31" s="16" t="n"/>
      <c r="N31" s="19">
        <f>IF(B31="","",IF(AND(G31="Yes",OR(C31="No",AND(C31&lt;&gt;"No",I31&gt;=0.9)),L31&lt;&gt;"No"),"Compliant",IF(OR(G31="No",AND(C31&lt;&gt;"No",I31&lt;0.7)),"Non-Compliant","Partial")))</f>
        <v/>
      </c>
      <c r="O31" s="16" t="n"/>
      <c r="P31" s="16" t="n"/>
    </row>
    <row r="32">
      <c r="A32" s="19">
        <f>IF(ROW()-5&lt;=COUNTA('Policy Inventory'!$A:$A)-4,INDEX('Policy Inventory'!$A:$A,ROW()-1),"")</f>
        <v/>
      </c>
      <c r="B32" s="19">
        <f>IF(A32&lt;&gt;"",VLOOKUP(A32,'Policy Inventory'!$A:$B,2,FALSE),"")</f>
        <v/>
      </c>
      <c r="C32" s="19">
        <f>IF(A32&lt;&gt;"",VLOOKUP(A32,'Policy Inventory'!$A:$O,15,FALSE),"")</f>
        <v/>
      </c>
      <c r="D32" s="16" t="n"/>
      <c r="E32" s="17" t="n"/>
      <c r="F32" s="16" t="n"/>
      <c r="G32" s="16" t="n"/>
      <c r="H32" s="16" t="n"/>
      <c r="I32" s="20">
        <f>IF(A32="","",VLOOKUP(A32,'Policy Inventory'!$A:$P,16,FALSE))</f>
        <v/>
      </c>
      <c r="J32" s="16" t="n"/>
      <c r="K32" s="16" t="n"/>
      <c r="L32" s="16" t="n"/>
      <c r="M32" s="16" t="n"/>
      <c r="N32" s="19">
        <f>IF(B32="","",IF(AND(G32="Yes",OR(C32="No",AND(C32&lt;&gt;"No",I32&gt;=0.9)),L32&lt;&gt;"No"),"Compliant",IF(OR(G32="No",AND(C32&lt;&gt;"No",I32&lt;0.7)),"Non-Compliant","Partial")))</f>
        <v/>
      </c>
      <c r="O32" s="16" t="n"/>
      <c r="P32" s="16" t="n"/>
    </row>
    <row r="33">
      <c r="A33" s="19">
        <f>IF(ROW()-5&lt;=COUNTA('Policy Inventory'!$A:$A)-4,INDEX('Policy Inventory'!$A:$A,ROW()-1),"")</f>
        <v/>
      </c>
      <c r="B33" s="19">
        <f>IF(A33&lt;&gt;"",VLOOKUP(A33,'Policy Inventory'!$A:$B,2,FALSE),"")</f>
        <v/>
      </c>
      <c r="C33" s="19">
        <f>IF(A33&lt;&gt;"",VLOOKUP(A33,'Policy Inventory'!$A:$O,15,FALSE),"")</f>
        <v/>
      </c>
      <c r="D33" s="16" t="n"/>
      <c r="E33" s="17" t="n"/>
      <c r="F33" s="16" t="n"/>
      <c r="G33" s="16" t="n"/>
      <c r="H33" s="16" t="n"/>
      <c r="I33" s="20">
        <f>IF(A33="","",VLOOKUP(A33,'Policy Inventory'!$A:$P,16,FALSE))</f>
        <v/>
      </c>
      <c r="J33" s="16" t="n"/>
      <c r="K33" s="16" t="n"/>
      <c r="L33" s="16" t="n"/>
      <c r="M33" s="16" t="n"/>
      <c r="N33" s="19">
        <f>IF(B33="","",IF(AND(G33="Yes",OR(C33="No",AND(C33&lt;&gt;"No",I33&gt;=0.9)),L33&lt;&gt;"No"),"Compliant",IF(OR(G33="No",AND(C33&lt;&gt;"No",I33&lt;0.7)),"Non-Compliant","Partial")))</f>
        <v/>
      </c>
      <c r="O33" s="16" t="n"/>
      <c r="P33" s="16" t="n"/>
    </row>
    <row r="34">
      <c r="A34" s="19">
        <f>IF(ROW()-5&lt;=COUNTA('Policy Inventory'!$A:$A)-4,INDEX('Policy Inventory'!$A:$A,ROW()-1),"")</f>
        <v/>
      </c>
      <c r="B34" s="19">
        <f>IF(A34&lt;&gt;"",VLOOKUP(A34,'Policy Inventory'!$A:$B,2,FALSE),"")</f>
        <v/>
      </c>
      <c r="C34" s="19">
        <f>IF(A34&lt;&gt;"",VLOOKUP(A34,'Policy Inventory'!$A:$O,15,FALSE),"")</f>
        <v/>
      </c>
      <c r="D34" s="16" t="n"/>
      <c r="E34" s="17" t="n"/>
      <c r="F34" s="16" t="n"/>
      <c r="G34" s="16" t="n"/>
      <c r="H34" s="16" t="n"/>
      <c r="I34" s="20">
        <f>IF(A34="","",VLOOKUP(A34,'Policy Inventory'!$A:$P,16,FALSE))</f>
        <v/>
      </c>
      <c r="J34" s="16" t="n"/>
      <c r="K34" s="16" t="n"/>
      <c r="L34" s="16" t="n"/>
      <c r="M34" s="16" t="n"/>
      <c r="N34" s="19">
        <f>IF(B34="","",IF(AND(G34="Yes",OR(C34="No",AND(C34&lt;&gt;"No",I34&gt;=0.9)),L34&lt;&gt;"No"),"Compliant",IF(OR(G34="No",AND(C34&lt;&gt;"No",I34&lt;0.7)),"Non-Compliant","Partial")))</f>
        <v/>
      </c>
      <c r="O34" s="16" t="n"/>
      <c r="P34" s="16" t="n"/>
    </row>
    <row r="35">
      <c r="A35" s="19">
        <f>IF(ROW()-5&lt;=COUNTA('Policy Inventory'!$A:$A)-4,INDEX('Policy Inventory'!$A:$A,ROW()-1),"")</f>
        <v/>
      </c>
      <c r="B35" s="19">
        <f>IF(A35&lt;&gt;"",VLOOKUP(A35,'Policy Inventory'!$A:$B,2,FALSE),"")</f>
        <v/>
      </c>
      <c r="C35" s="19">
        <f>IF(A35&lt;&gt;"",VLOOKUP(A35,'Policy Inventory'!$A:$O,15,FALSE),"")</f>
        <v/>
      </c>
      <c r="D35" s="16" t="n"/>
      <c r="E35" s="17" t="n"/>
      <c r="F35" s="16" t="n"/>
      <c r="G35" s="16" t="n"/>
      <c r="H35" s="16" t="n"/>
      <c r="I35" s="20">
        <f>IF(A35="","",VLOOKUP(A35,'Policy Inventory'!$A:$P,16,FALSE))</f>
        <v/>
      </c>
      <c r="J35" s="16" t="n"/>
      <c r="K35" s="16" t="n"/>
      <c r="L35" s="16" t="n"/>
      <c r="M35" s="16" t="n"/>
      <c r="N35" s="19">
        <f>IF(B35="","",IF(AND(G35="Yes",OR(C35="No",AND(C35&lt;&gt;"No",I35&gt;=0.9)),L35&lt;&gt;"No"),"Compliant",IF(OR(G35="No",AND(C35&lt;&gt;"No",I35&lt;0.7)),"Non-Compliant","Partial")))</f>
        <v/>
      </c>
      <c r="O35" s="16" t="n"/>
      <c r="P35" s="16" t="n"/>
    </row>
    <row r="36">
      <c r="A36" s="19">
        <f>IF(ROW()-5&lt;=COUNTA('Policy Inventory'!$A:$A)-4,INDEX('Policy Inventory'!$A:$A,ROW()-1),"")</f>
        <v/>
      </c>
      <c r="B36" s="19">
        <f>IF(A36&lt;&gt;"",VLOOKUP(A36,'Policy Inventory'!$A:$B,2,FALSE),"")</f>
        <v/>
      </c>
      <c r="C36" s="19">
        <f>IF(A36&lt;&gt;"",VLOOKUP(A36,'Policy Inventory'!$A:$O,15,FALSE),"")</f>
        <v/>
      </c>
      <c r="D36" s="16" t="n"/>
      <c r="E36" s="17" t="n"/>
      <c r="F36" s="16" t="n"/>
      <c r="G36" s="16" t="n"/>
      <c r="H36" s="16" t="n"/>
      <c r="I36" s="20">
        <f>IF(A36="","",VLOOKUP(A36,'Policy Inventory'!$A:$P,16,FALSE))</f>
        <v/>
      </c>
      <c r="J36" s="16" t="n"/>
      <c r="K36" s="16" t="n"/>
      <c r="L36" s="16" t="n"/>
      <c r="M36" s="16" t="n"/>
      <c r="N36" s="19">
        <f>IF(B36="","",IF(AND(G36="Yes",OR(C36="No",AND(C36&lt;&gt;"No",I36&gt;=0.9)),L36&lt;&gt;"No"),"Compliant",IF(OR(G36="No",AND(C36&lt;&gt;"No",I36&lt;0.7)),"Non-Compliant","Partial")))</f>
        <v/>
      </c>
      <c r="O36" s="16" t="n"/>
      <c r="P36" s="16" t="n"/>
    </row>
    <row r="37">
      <c r="A37" s="19">
        <f>IF(ROW()-5&lt;=COUNTA('Policy Inventory'!$A:$A)-4,INDEX('Policy Inventory'!$A:$A,ROW()-1),"")</f>
        <v/>
      </c>
      <c r="B37" s="19">
        <f>IF(A37&lt;&gt;"",VLOOKUP(A37,'Policy Inventory'!$A:$B,2,FALSE),"")</f>
        <v/>
      </c>
      <c r="C37" s="19">
        <f>IF(A37&lt;&gt;"",VLOOKUP(A37,'Policy Inventory'!$A:$O,15,FALSE),"")</f>
        <v/>
      </c>
      <c r="D37" s="16" t="n"/>
      <c r="E37" s="17" t="n"/>
      <c r="F37" s="16" t="n"/>
      <c r="G37" s="16" t="n"/>
      <c r="H37" s="16" t="n"/>
      <c r="I37" s="20">
        <f>IF(A37="","",VLOOKUP(A37,'Policy Inventory'!$A:$P,16,FALSE))</f>
        <v/>
      </c>
      <c r="J37" s="16" t="n"/>
      <c r="K37" s="16" t="n"/>
      <c r="L37" s="16" t="n"/>
      <c r="M37" s="16" t="n"/>
      <c r="N37" s="19">
        <f>IF(B37="","",IF(AND(G37="Yes",OR(C37="No",AND(C37&lt;&gt;"No",I37&gt;=0.9)),L37&lt;&gt;"No"),"Compliant",IF(OR(G37="No",AND(C37&lt;&gt;"No",I37&lt;0.7)),"Non-Compliant","Partial")))</f>
        <v/>
      </c>
      <c r="O37" s="16" t="n"/>
      <c r="P37" s="16" t="n"/>
    </row>
    <row r="38">
      <c r="A38" s="19">
        <f>IF(ROW()-5&lt;=COUNTA('Policy Inventory'!$A:$A)-4,INDEX('Policy Inventory'!$A:$A,ROW()-1),"")</f>
        <v/>
      </c>
      <c r="B38" s="19">
        <f>IF(A38&lt;&gt;"",VLOOKUP(A38,'Policy Inventory'!$A:$B,2,FALSE),"")</f>
        <v/>
      </c>
      <c r="C38" s="19">
        <f>IF(A38&lt;&gt;"",VLOOKUP(A38,'Policy Inventory'!$A:$O,15,FALSE),"")</f>
        <v/>
      </c>
      <c r="D38" s="16" t="n"/>
      <c r="E38" s="17" t="n"/>
      <c r="F38" s="16" t="n"/>
      <c r="G38" s="16" t="n"/>
      <c r="H38" s="16" t="n"/>
      <c r="I38" s="20">
        <f>IF(A38="","",VLOOKUP(A38,'Policy Inventory'!$A:$P,16,FALSE))</f>
        <v/>
      </c>
      <c r="J38" s="16" t="n"/>
      <c r="K38" s="16" t="n"/>
      <c r="L38" s="16" t="n"/>
      <c r="M38" s="16" t="n"/>
      <c r="N38" s="19">
        <f>IF(B38="","",IF(AND(G38="Yes",OR(C38="No",AND(C38&lt;&gt;"No",I38&gt;=0.9)),L38&lt;&gt;"No"),"Compliant",IF(OR(G38="No",AND(C38&lt;&gt;"No",I38&lt;0.7)),"Non-Compliant","Partial")))</f>
        <v/>
      </c>
      <c r="O38" s="16" t="n"/>
      <c r="P38" s="16" t="n"/>
    </row>
    <row r="39">
      <c r="A39" s="19">
        <f>IF(ROW()-5&lt;=COUNTA('Policy Inventory'!$A:$A)-4,INDEX('Policy Inventory'!$A:$A,ROW()-1),"")</f>
        <v/>
      </c>
      <c r="B39" s="19">
        <f>IF(A39&lt;&gt;"",VLOOKUP(A39,'Policy Inventory'!$A:$B,2,FALSE),"")</f>
        <v/>
      </c>
      <c r="C39" s="19">
        <f>IF(A39&lt;&gt;"",VLOOKUP(A39,'Policy Inventory'!$A:$O,15,FALSE),"")</f>
        <v/>
      </c>
      <c r="D39" s="16" t="n"/>
      <c r="E39" s="17" t="n"/>
      <c r="F39" s="16" t="n"/>
      <c r="G39" s="16" t="n"/>
      <c r="H39" s="16" t="n"/>
      <c r="I39" s="20">
        <f>IF(A39="","",VLOOKUP(A39,'Policy Inventory'!$A:$P,16,FALSE))</f>
        <v/>
      </c>
      <c r="J39" s="16" t="n"/>
      <c r="K39" s="16" t="n"/>
      <c r="L39" s="16" t="n"/>
      <c r="M39" s="16" t="n"/>
      <c r="N39" s="19">
        <f>IF(B39="","",IF(AND(G39="Yes",OR(C39="No",AND(C39&lt;&gt;"No",I39&gt;=0.9)),L39&lt;&gt;"No"),"Compliant",IF(OR(G39="No",AND(C39&lt;&gt;"No",I39&lt;0.7)),"Non-Compliant","Partial")))</f>
        <v/>
      </c>
      <c r="O39" s="16" t="n"/>
      <c r="P39" s="16" t="n"/>
    </row>
    <row r="40">
      <c r="A40" s="19">
        <f>IF(ROW()-5&lt;=COUNTA('Policy Inventory'!$A:$A)-4,INDEX('Policy Inventory'!$A:$A,ROW()-1),"")</f>
        <v/>
      </c>
      <c r="B40" s="19">
        <f>IF(A40&lt;&gt;"",VLOOKUP(A40,'Policy Inventory'!$A:$B,2,FALSE),"")</f>
        <v/>
      </c>
      <c r="C40" s="19">
        <f>IF(A40&lt;&gt;"",VLOOKUP(A40,'Policy Inventory'!$A:$O,15,FALSE),"")</f>
        <v/>
      </c>
      <c r="D40" s="16" t="n"/>
      <c r="E40" s="17" t="n"/>
      <c r="F40" s="16" t="n"/>
      <c r="G40" s="16" t="n"/>
      <c r="H40" s="16" t="n"/>
      <c r="I40" s="20">
        <f>IF(A40="","",VLOOKUP(A40,'Policy Inventory'!$A:$P,16,FALSE))</f>
        <v/>
      </c>
      <c r="J40" s="16" t="n"/>
      <c r="K40" s="16" t="n"/>
      <c r="L40" s="16" t="n"/>
      <c r="M40" s="16" t="n"/>
      <c r="N40" s="19">
        <f>IF(B40="","",IF(AND(G40="Yes",OR(C40="No",AND(C40&lt;&gt;"No",I40&gt;=0.9)),L40&lt;&gt;"No"),"Compliant",IF(OR(G40="No",AND(C40&lt;&gt;"No",I40&lt;0.7)),"Non-Compliant","Partial")))</f>
        <v/>
      </c>
      <c r="O40" s="16" t="n"/>
      <c r="P40" s="16" t="n"/>
    </row>
    <row r="41">
      <c r="A41" s="19">
        <f>IF(ROW()-5&lt;=COUNTA('Policy Inventory'!$A:$A)-4,INDEX('Policy Inventory'!$A:$A,ROW()-1),"")</f>
        <v/>
      </c>
      <c r="B41" s="19">
        <f>IF(A41&lt;&gt;"",VLOOKUP(A41,'Policy Inventory'!$A:$B,2,FALSE),"")</f>
        <v/>
      </c>
      <c r="C41" s="19">
        <f>IF(A41&lt;&gt;"",VLOOKUP(A41,'Policy Inventory'!$A:$O,15,FALSE),"")</f>
        <v/>
      </c>
      <c r="D41" s="16" t="n"/>
      <c r="E41" s="17" t="n"/>
      <c r="F41" s="16" t="n"/>
      <c r="G41" s="16" t="n"/>
      <c r="H41" s="16" t="n"/>
      <c r="I41" s="20">
        <f>IF(A41="","",VLOOKUP(A41,'Policy Inventory'!$A:$P,16,FALSE))</f>
        <v/>
      </c>
      <c r="J41" s="16" t="n"/>
      <c r="K41" s="16" t="n"/>
      <c r="L41" s="16" t="n"/>
      <c r="M41" s="16" t="n"/>
      <c r="N41" s="19">
        <f>IF(B41="","",IF(AND(G41="Yes",OR(C41="No",AND(C41&lt;&gt;"No",I41&gt;=0.9)),L41&lt;&gt;"No"),"Compliant",IF(OR(G41="No",AND(C41&lt;&gt;"No",I41&lt;0.7)),"Non-Compliant","Partial")))</f>
        <v/>
      </c>
      <c r="O41" s="16" t="n"/>
      <c r="P41" s="16" t="n"/>
    </row>
    <row r="42">
      <c r="A42" s="19">
        <f>IF(ROW()-5&lt;=COUNTA('Policy Inventory'!$A:$A)-4,INDEX('Policy Inventory'!$A:$A,ROW()-1),"")</f>
        <v/>
      </c>
      <c r="B42" s="19">
        <f>IF(A42&lt;&gt;"",VLOOKUP(A42,'Policy Inventory'!$A:$B,2,FALSE),"")</f>
        <v/>
      </c>
      <c r="C42" s="19">
        <f>IF(A42&lt;&gt;"",VLOOKUP(A42,'Policy Inventory'!$A:$O,15,FALSE),"")</f>
        <v/>
      </c>
      <c r="D42" s="16" t="n"/>
      <c r="E42" s="17" t="n"/>
      <c r="F42" s="16" t="n"/>
      <c r="G42" s="16" t="n"/>
      <c r="H42" s="16" t="n"/>
      <c r="I42" s="20">
        <f>IF(A42="","",VLOOKUP(A42,'Policy Inventory'!$A:$P,16,FALSE))</f>
        <v/>
      </c>
      <c r="J42" s="16" t="n"/>
      <c r="K42" s="16" t="n"/>
      <c r="L42" s="16" t="n"/>
      <c r="M42" s="16" t="n"/>
      <c r="N42" s="19">
        <f>IF(B42="","",IF(AND(G42="Yes",OR(C42="No",AND(C42&lt;&gt;"No",I42&gt;=0.9)),L42&lt;&gt;"No"),"Compliant",IF(OR(G42="No",AND(C42&lt;&gt;"No",I42&lt;0.7)),"Non-Compliant","Partial")))</f>
        <v/>
      </c>
      <c r="O42" s="16" t="n"/>
      <c r="P42" s="16" t="n"/>
    </row>
    <row r="43">
      <c r="A43" s="19">
        <f>IF(ROW()-5&lt;=COUNTA('Policy Inventory'!$A:$A)-4,INDEX('Policy Inventory'!$A:$A,ROW()-1),"")</f>
        <v/>
      </c>
      <c r="B43" s="19">
        <f>IF(A43&lt;&gt;"",VLOOKUP(A43,'Policy Inventory'!$A:$B,2,FALSE),"")</f>
        <v/>
      </c>
      <c r="C43" s="19">
        <f>IF(A43&lt;&gt;"",VLOOKUP(A43,'Policy Inventory'!$A:$O,15,FALSE),"")</f>
        <v/>
      </c>
      <c r="D43" s="16" t="n"/>
      <c r="E43" s="17" t="n"/>
      <c r="F43" s="16" t="n"/>
      <c r="G43" s="16" t="n"/>
      <c r="H43" s="16" t="n"/>
      <c r="I43" s="20">
        <f>IF(A43="","",VLOOKUP(A43,'Policy Inventory'!$A:$P,16,FALSE))</f>
        <v/>
      </c>
      <c r="J43" s="16" t="n"/>
      <c r="K43" s="16" t="n"/>
      <c r="L43" s="16" t="n"/>
      <c r="M43" s="16" t="n"/>
      <c r="N43" s="19">
        <f>IF(B43="","",IF(AND(G43="Yes",OR(C43="No",AND(C43&lt;&gt;"No",I43&gt;=0.9)),L43&lt;&gt;"No"),"Compliant",IF(OR(G43="No",AND(C43&lt;&gt;"No",I43&lt;0.7)),"Non-Compliant","Partial")))</f>
        <v/>
      </c>
      <c r="O43" s="16" t="n"/>
      <c r="P43" s="16" t="n"/>
    </row>
    <row r="44">
      <c r="A44" s="19">
        <f>IF(ROW()-5&lt;=COUNTA('Policy Inventory'!$A:$A)-4,INDEX('Policy Inventory'!$A:$A,ROW()-1),"")</f>
        <v/>
      </c>
      <c r="B44" s="19">
        <f>IF(A44&lt;&gt;"",VLOOKUP(A44,'Policy Inventory'!$A:$B,2,FALSE),"")</f>
        <v/>
      </c>
      <c r="C44" s="19">
        <f>IF(A44&lt;&gt;"",VLOOKUP(A44,'Policy Inventory'!$A:$O,15,FALSE),"")</f>
        <v/>
      </c>
      <c r="D44" s="16" t="n"/>
      <c r="E44" s="17" t="n"/>
      <c r="F44" s="16" t="n"/>
      <c r="G44" s="16" t="n"/>
      <c r="H44" s="16" t="n"/>
      <c r="I44" s="20">
        <f>IF(A44="","",VLOOKUP(A44,'Policy Inventory'!$A:$P,16,FALSE))</f>
        <v/>
      </c>
      <c r="J44" s="16" t="n"/>
      <c r="K44" s="16" t="n"/>
      <c r="L44" s="16" t="n"/>
      <c r="M44" s="16" t="n"/>
      <c r="N44" s="19">
        <f>IF(B44="","",IF(AND(G44="Yes",OR(C44="No",AND(C44&lt;&gt;"No",I44&gt;=0.9)),L44&lt;&gt;"No"),"Compliant",IF(OR(G44="No",AND(C44&lt;&gt;"No",I44&lt;0.7)),"Non-Compliant","Partial")))</f>
        <v/>
      </c>
      <c r="O44" s="16" t="n"/>
      <c r="P44" s="16" t="n"/>
    </row>
    <row r="45">
      <c r="A45" s="19">
        <f>IF(ROW()-5&lt;=COUNTA('Policy Inventory'!$A:$A)-4,INDEX('Policy Inventory'!$A:$A,ROW()-1),"")</f>
        <v/>
      </c>
      <c r="B45" s="19">
        <f>IF(A45&lt;&gt;"",VLOOKUP(A45,'Policy Inventory'!$A:$B,2,FALSE),"")</f>
        <v/>
      </c>
      <c r="C45" s="19">
        <f>IF(A45&lt;&gt;"",VLOOKUP(A45,'Policy Inventory'!$A:$O,15,FALSE),"")</f>
        <v/>
      </c>
      <c r="D45" s="16" t="n"/>
      <c r="E45" s="17" t="n"/>
      <c r="F45" s="16" t="n"/>
      <c r="G45" s="16" t="n"/>
      <c r="H45" s="16" t="n"/>
      <c r="I45" s="20">
        <f>IF(A45="","",VLOOKUP(A45,'Policy Inventory'!$A:$P,16,FALSE))</f>
        <v/>
      </c>
      <c r="J45" s="16" t="n"/>
      <c r="K45" s="16" t="n"/>
      <c r="L45" s="16" t="n"/>
      <c r="M45" s="16" t="n"/>
      <c r="N45" s="19">
        <f>IF(B45="","",IF(AND(G45="Yes",OR(C45="No",AND(C45&lt;&gt;"No",I45&gt;=0.9)),L45&lt;&gt;"No"),"Compliant",IF(OR(G45="No",AND(C45&lt;&gt;"No",I45&lt;0.7)),"Non-Compliant","Partial")))</f>
        <v/>
      </c>
      <c r="O45" s="16" t="n"/>
      <c r="P45" s="16" t="n"/>
    </row>
    <row r="46">
      <c r="A46" s="19">
        <f>IF(ROW()-5&lt;=COUNTA('Policy Inventory'!$A:$A)-4,INDEX('Policy Inventory'!$A:$A,ROW()-1),"")</f>
        <v/>
      </c>
      <c r="B46" s="19">
        <f>IF(A46&lt;&gt;"",VLOOKUP(A46,'Policy Inventory'!$A:$B,2,FALSE),"")</f>
        <v/>
      </c>
      <c r="C46" s="19">
        <f>IF(A46&lt;&gt;"",VLOOKUP(A46,'Policy Inventory'!$A:$O,15,FALSE),"")</f>
        <v/>
      </c>
      <c r="D46" s="16" t="n"/>
      <c r="E46" s="17" t="n"/>
      <c r="F46" s="16" t="n"/>
      <c r="G46" s="16" t="n"/>
      <c r="H46" s="16" t="n"/>
      <c r="I46" s="20">
        <f>IF(A46="","",VLOOKUP(A46,'Policy Inventory'!$A:$P,16,FALSE))</f>
        <v/>
      </c>
      <c r="J46" s="16" t="n"/>
      <c r="K46" s="16" t="n"/>
      <c r="L46" s="16" t="n"/>
      <c r="M46" s="16" t="n"/>
      <c r="N46" s="19">
        <f>IF(B46="","",IF(AND(G46="Yes",OR(C46="No",AND(C46&lt;&gt;"No",I46&gt;=0.9)),L46&lt;&gt;"No"),"Compliant",IF(OR(G46="No",AND(C46&lt;&gt;"No",I46&lt;0.7)),"Non-Compliant","Partial")))</f>
        <v/>
      </c>
      <c r="O46" s="16" t="n"/>
      <c r="P46" s="16" t="n"/>
    </row>
    <row r="47">
      <c r="A47" s="19">
        <f>IF(ROW()-5&lt;=COUNTA('Policy Inventory'!$A:$A)-4,INDEX('Policy Inventory'!$A:$A,ROW()-1),"")</f>
        <v/>
      </c>
      <c r="B47" s="19">
        <f>IF(A47&lt;&gt;"",VLOOKUP(A47,'Policy Inventory'!$A:$B,2,FALSE),"")</f>
        <v/>
      </c>
      <c r="C47" s="19">
        <f>IF(A47&lt;&gt;"",VLOOKUP(A47,'Policy Inventory'!$A:$O,15,FALSE),"")</f>
        <v/>
      </c>
      <c r="D47" s="16" t="n"/>
      <c r="E47" s="17" t="n"/>
      <c r="F47" s="16" t="n"/>
      <c r="G47" s="16" t="n"/>
      <c r="H47" s="16" t="n"/>
      <c r="I47" s="20">
        <f>IF(A47="","",VLOOKUP(A47,'Policy Inventory'!$A:$P,16,FALSE))</f>
        <v/>
      </c>
      <c r="J47" s="16" t="n"/>
      <c r="K47" s="16" t="n"/>
      <c r="L47" s="16" t="n"/>
      <c r="M47" s="16" t="n"/>
      <c r="N47" s="19">
        <f>IF(B47="","",IF(AND(G47="Yes",OR(C47="No",AND(C47&lt;&gt;"No",I47&gt;=0.9)),L47&lt;&gt;"No"),"Compliant",IF(OR(G47="No",AND(C47&lt;&gt;"No",I47&lt;0.7)),"Non-Compliant","Partial")))</f>
        <v/>
      </c>
      <c r="O47" s="16" t="n"/>
      <c r="P47" s="16" t="n"/>
    </row>
    <row r="48">
      <c r="A48" s="19">
        <f>IF(ROW()-5&lt;=COUNTA('Policy Inventory'!$A:$A)-4,INDEX('Policy Inventory'!$A:$A,ROW()-1),"")</f>
        <v/>
      </c>
      <c r="B48" s="19">
        <f>IF(A48&lt;&gt;"",VLOOKUP(A48,'Policy Inventory'!$A:$B,2,FALSE),"")</f>
        <v/>
      </c>
      <c r="C48" s="19">
        <f>IF(A48&lt;&gt;"",VLOOKUP(A48,'Policy Inventory'!$A:$O,15,FALSE),"")</f>
        <v/>
      </c>
      <c r="D48" s="16" t="n"/>
      <c r="E48" s="17" t="n"/>
      <c r="F48" s="16" t="n"/>
      <c r="G48" s="16" t="n"/>
      <c r="H48" s="16" t="n"/>
      <c r="I48" s="20">
        <f>IF(A48="","",VLOOKUP(A48,'Policy Inventory'!$A:$P,16,FALSE))</f>
        <v/>
      </c>
      <c r="J48" s="16" t="n"/>
      <c r="K48" s="16" t="n"/>
      <c r="L48" s="16" t="n"/>
      <c r="M48" s="16" t="n"/>
      <c r="N48" s="19">
        <f>IF(B48="","",IF(AND(G48="Yes",OR(C48="No",AND(C48&lt;&gt;"No",I48&gt;=0.9)),L48&lt;&gt;"No"),"Compliant",IF(OR(G48="No",AND(C48&lt;&gt;"No",I48&lt;0.7)),"Non-Compliant","Partial")))</f>
        <v/>
      </c>
      <c r="O48" s="16" t="n"/>
      <c r="P48" s="16" t="n"/>
    </row>
    <row r="49">
      <c r="A49" s="19">
        <f>IF(ROW()-5&lt;=COUNTA('Policy Inventory'!$A:$A)-4,INDEX('Policy Inventory'!$A:$A,ROW()-1),"")</f>
        <v/>
      </c>
      <c r="B49" s="19">
        <f>IF(A49&lt;&gt;"",VLOOKUP(A49,'Policy Inventory'!$A:$B,2,FALSE),"")</f>
        <v/>
      </c>
      <c r="C49" s="19">
        <f>IF(A49&lt;&gt;"",VLOOKUP(A49,'Policy Inventory'!$A:$O,15,FALSE),"")</f>
        <v/>
      </c>
      <c r="D49" s="16" t="n"/>
      <c r="E49" s="17" t="n"/>
      <c r="F49" s="16" t="n"/>
      <c r="G49" s="16" t="n"/>
      <c r="H49" s="16" t="n"/>
      <c r="I49" s="20">
        <f>IF(A49="","",VLOOKUP(A49,'Policy Inventory'!$A:$P,16,FALSE))</f>
        <v/>
      </c>
      <c r="J49" s="16" t="n"/>
      <c r="K49" s="16" t="n"/>
      <c r="L49" s="16" t="n"/>
      <c r="M49" s="16" t="n"/>
      <c r="N49" s="19">
        <f>IF(B49="","",IF(AND(G49="Yes",OR(C49="No",AND(C49&lt;&gt;"No",I49&gt;=0.9)),L49&lt;&gt;"No"),"Compliant",IF(OR(G49="No",AND(C49&lt;&gt;"No",I49&lt;0.7)),"Non-Compliant","Partial")))</f>
        <v/>
      </c>
      <c r="O49" s="16" t="n"/>
      <c r="P49" s="16" t="n"/>
    </row>
    <row r="50">
      <c r="A50" s="19">
        <f>IF(ROW()-5&lt;=COUNTA('Policy Inventory'!$A:$A)-4,INDEX('Policy Inventory'!$A:$A,ROW()-1),"")</f>
        <v/>
      </c>
      <c r="B50" s="19">
        <f>IF(A50&lt;&gt;"",VLOOKUP(A50,'Policy Inventory'!$A:$B,2,FALSE),"")</f>
        <v/>
      </c>
      <c r="C50" s="19">
        <f>IF(A50&lt;&gt;"",VLOOKUP(A50,'Policy Inventory'!$A:$O,15,FALSE),"")</f>
        <v/>
      </c>
      <c r="D50" s="16" t="n"/>
      <c r="E50" s="17" t="n"/>
      <c r="F50" s="16" t="n"/>
      <c r="G50" s="16" t="n"/>
      <c r="H50" s="16" t="n"/>
      <c r="I50" s="20">
        <f>IF(A50="","",VLOOKUP(A50,'Policy Inventory'!$A:$P,16,FALSE))</f>
        <v/>
      </c>
      <c r="J50" s="16" t="n"/>
      <c r="K50" s="16" t="n"/>
      <c r="L50" s="16" t="n"/>
      <c r="M50" s="16" t="n"/>
      <c r="N50" s="19">
        <f>IF(B50="","",IF(AND(G50="Yes",OR(C50="No",AND(C50&lt;&gt;"No",I50&gt;=0.9)),L50&lt;&gt;"No"),"Compliant",IF(OR(G50="No",AND(C50&lt;&gt;"No",I50&lt;0.7)),"Non-Compliant","Partial")))</f>
        <v/>
      </c>
      <c r="O50" s="16" t="n"/>
      <c r="P50" s="16" t="n"/>
    </row>
    <row r="51">
      <c r="A51" s="19">
        <f>IF(ROW()-5&lt;=COUNTA('Policy Inventory'!$A:$A)-4,INDEX('Policy Inventory'!$A:$A,ROW()-1),"")</f>
        <v/>
      </c>
      <c r="B51" s="19">
        <f>IF(A51&lt;&gt;"",VLOOKUP(A51,'Policy Inventory'!$A:$B,2,FALSE),"")</f>
        <v/>
      </c>
      <c r="C51" s="19">
        <f>IF(A51&lt;&gt;"",VLOOKUP(A51,'Policy Inventory'!$A:$O,15,FALSE),"")</f>
        <v/>
      </c>
      <c r="D51" s="16" t="n"/>
      <c r="E51" s="17" t="n"/>
      <c r="F51" s="16" t="n"/>
      <c r="G51" s="16" t="n"/>
      <c r="H51" s="16" t="n"/>
      <c r="I51" s="20">
        <f>IF(A51="","",VLOOKUP(A51,'Policy Inventory'!$A:$P,16,FALSE))</f>
        <v/>
      </c>
      <c r="J51" s="16" t="n"/>
      <c r="K51" s="16" t="n"/>
      <c r="L51" s="16" t="n"/>
      <c r="M51" s="16" t="n"/>
      <c r="N51" s="19">
        <f>IF(B51="","",IF(AND(G51="Yes",OR(C51="No",AND(C51&lt;&gt;"No",I51&gt;=0.9)),L51&lt;&gt;"No"),"Compliant",IF(OR(G51="No",AND(C51&lt;&gt;"No",I51&lt;0.7)),"Non-Compliant","Partial")))</f>
        <v/>
      </c>
      <c r="O51" s="16" t="n"/>
      <c r="P51" s="16" t="n"/>
    </row>
    <row r="52">
      <c r="A52" s="19">
        <f>IF(ROW()-5&lt;=COUNTA('Policy Inventory'!$A:$A)-4,INDEX('Policy Inventory'!$A:$A,ROW()-1),"")</f>
        <v/>
      </c>
      <c r="B52" s="19">
        <f>IF(A52&lt;&gt;"",VLOOKUP(A52,'Policy Inventory'!$A:$B,2,FALSE),"")</f>
        <v/>
      </c>
      <c r="C52" s="19">
        <f>IF(A52&lt;&gt;"",VLOOKUP(A52,'Policy Inventory'!$A:$O,15,FALSE),"")</f>
        <v/>
      </c>
      <c r="D52" s="16" t="n"/>
      <c r="E52" s="17" t="n"/>
      <c r="F52" s="16" t="n"/>
      <c r="G52" s="16" t="n"/>
      <c r="H52" s="16" t="n"/>
      <c r="I52" s="20">
        <f>IF(A52="","",VLOOKUP(A52,'Policy Inventory'!$A:$P,16,FALSE))</f>
        <v/>
      </c>
      <c r="J52" s="16" t="n"/>
      <c r="K52" s="16" t="n"/>
      <c r="L52" s="16" t="n"/>
      <c r="M52" s="16" t="n"/>
      <c r="N52" s="19">
        <f>IF(B52="","",IF(AND(G52="Yes",OR(C52="No",AND(C52&lt;&gt;"No",I52&gt;=0.9)),L52&lt;&gt;"No"),"Compliant",IF(OR(G52="No",AND(C52&lt;&gt;"No",I52&lt;0.7)),"Non-Compliant","Partial")))</f>
        <v/>
      </c>
      <c r="O52" s="16" t="n"/>
      <c r="P52" s="16" t="n"/>
    </row>
    <row r="53">
      <c r="A53" s="19">
        <f>IF(ROW()-5&lt;=COUNTA('Policy Inventory'!$A:$A)-4,INDEX('Policy Inventory'!$A:$A,ROW()-1),"")</f>
        <v/>
      </c>
      <c r="B53" s="19">
        <f>IF(A53&lt;&gt;"",VLOOKUP(A53,'Policy Inventory'!$A:$B,2,FALSE),"")</f>
        <v/>
      </c>
      <c r="C53" s="19">
        <f>IF(A53&lt;&gt;"",VLOOKUP(A53,'Policy Inventory'!$A:$O,15,FALSE),"")</f>
        <v/>
      </c>
      <c r="D53" s="16" t="n"/>
      <c r="E53" s="17" t="n"/>
      <c r="F53" s="16" t="n"/>
      <c r="G53" s="16" t="n"/>
      <c r="H53" s="16" t="n"/>
      <c r="I53" s="20">
        <f>IF(A53="","",VLOOKUP(A53,'Policy Inventory'!$A:$P,16,FALSE))</f>
        <v/>
      </c>
      <c r="J53" s="16" t="n"/>
      <c r="K53" s="16" t="n"/>
      <c r="L53" s="16" t="n"/>
      <c r="M53" s="16" t="n"/>
      <c r="N53" s="19">
        <f>IF(B53="","",IF(AND(G53="Yes",OR(C53="No",AND(C53&lt;&gt;"No",I53&gt;=0.9)),L53&lt;&gt;"No"),"Compliant",IF(OR(G53="No",AND(C53&lt;&gt;"No",I53&lt;0.7)),"Non-Compliant","Partial")))</f>
        <v/>
      </c>
      <c r="O53" s="16" t="n"/>
      <c r="P53" s="16" t="n"/>
    </row>
    <row r="54">
      <c r="A54" s="19">
        <f>IF(ROW()-5&lt;=COUNTA('Policy Inventory'!$A:$A)-4,INDEX('Policy Inventory'!$A:$A,ROW()-1),"")</f>
        <v/>
      </c>
      <c r="B54" s="19">
        <f>IF(A54&lt;&gt;"",VLOOKUP(A54,'Policy Inventory'!$A:$B,2,FALSE),"")</f>
        <v/>
      </c>
      <c r="C54" s="19">
        <f>IF(A54&lt;&gt;"",VLOOKUP(A54,'Policy Inventory'!$A:$O,15,FALSE),"")</f>
        <v/>
      </c>
      <c r="D54" s="16" t="n"/>
      <c r="E54" s="17" t="n"/>
      <c r="F54" s="16" t="n"/>
      <c r="G54" s="16" t="n"/>
      <c r="H54" s="16" t="n"/>
      <c r="I54" s="20">
        <f>IF(A54="","",VLOOKUP(A54,'Policy Inventory'!$A:$P,16,FALSE))</f>
        <v/>
      </c>
      <c r="J54" s="16" t="n"/>
      <c r="K54" s="16" t="n"/>
      <c r="L54" s="16" t="n"/>
      <c r="M54" s="16" t="n"/>
      <c r="N54" s="19">
        <f>IF(B54="","",IF(AND(G54="Yes",OR(C54="No",AND(C54&lt;&gt;"No",I54&gt;=0.9)),L54&lt;&gt;"No"),"Compliant",IF(OR(G54="No",AND(C54&lt;&gt;"No",I54&lt;0.7)),"Non-Compliant","Partial")))</f>
        <v/>
      </c>
      <c r="O54" s="16" t="n"/>
      <c r="P54" s="16" t="n"/>
    </row>
    <row r="55">
      <c r="A55" s="19">
        <f>IF(ROW()-5&lt;=COUNTA('Policy Inventory'!$A:$A)-4,INDEX('Policy Inventory'!$A:$A,ROW()-1),"")</f>
        <v/>
      </c>
      <c r="B55" s="19">
        <f>IF(A55&lt;&gt;"",VLOOKUP(A55,'Policy Inventory'!$A:$B,2,FALSE),"")</f>
        <v/>
      </c>
      <c r="C55" s="19">
        <f>IF(A55&lt;&gt;"",VLOOKUP(A55,'Policy Inventory'!$A:$O,15,FALSE),"")</f>
        <v/>
      </c>
      <c r="D55" s="16" t="n"/>
      <c r="E55" s="17" t="n"/>
      <c r="F55" s="16" t="n"/>
      <c r="G55" s="16" t="n"/>
      <c r="H55" s="16" t="n"/>
      <c r="I55" s="20">
        <f>IF(A55="","",VLOOKUP(A55,'Policy Inventory'!$A:$P,16,FALSE))</f>
        <v/>
      </c>
      <c r="J55" s="16" t="n"/>
      <c r="K55" s="16" t="n"/>
      <c r="L55" s="16" t="n"/>
      <c r="M55" s="16" t="n"/>
      <c r="N55" s="19">
        <f>IF(B55="","",IF(AND(G55="Yes",OR(C55="No",AND(C55&lt;&gt;"No",I55&gt;=0.9)),L55&lt;&gt;"No"),"Compliant",IF(OR(G55="No",AND(C55&lt;&gt;"No",I55&lt;0.7)),"Non-Compliant","Partial")))</f>
        <v/>
      </c>
      <c r="O55" s="16" t="n"/>
      <c r="P55" s="16" t="n"/>
    </row>
    <row r="56">
      <c r="A56" s="19">
        <f>IF(ROW()-5&lt;=COUNTA('Policy Inventory'!$A:$A)-4,INDEX('Policy Inventory'!$A:$A,ROW()-1),"")</f>
        <v/>
      </c>
      <c r="B56" s="19">
        <f>IF(A56&lt;&gt;"",VLOOKUP(A56,'Policy Inventory'!$A:$B,2,FALSE),"")</f>
        <v/>
      </c>
      <c r="C56" s="19">
        <f>IF(A56&lt;&gt;"",VLOOKUP(A56,'Policy Inventory'!$A:$O,15,FALSE),"")</f>
        <v/>
      </c>
      <c r="D56" s="16" t="n"/>
      <c r="E56" s="17" t="n"/>
      <c r="F56" s="16" t="n"/>
      <c r="G56" s="16" t="n"/>
      <c r="H56" s="16" t="n"/>
      <c r="I56" s="20">
        <f>IF(A56="","",VLOOKUP(A56,'Policy Inventory'!$A:$P,16,FALSE))</f>
        <v/>
      </c>
      <c r="J56" s="16" t="n"/>
      <c r="K56" s="16" t="n"/>
      <c r="L56" s="16" t="n"/>
      <c r="M56" s="16" t="n"/>
      <c r="N56" s="19">
        <f>IF(B56="","",IF(AND(G56="Yes",OR(C56="No",AND(C56&lt;&gt;"No",I56&gt;=0.9)),L56&lt;&gt;"No"),"Compliant",IF(OR(G56="No",AND(C56&lt;&gt;"No",I56&lt;0.7)),"Non-Compliant","Partial")))</f>
        <v/>
      </c>
      <c r="O56" s="16" t="n"/>
      <c r="P56" s="16" t="n"/>
    </row>
    <row r="57">
      <c r="A57" s="19">
        <f>IF(ROW()-5&lt;=COUNTA('Policy Inventory'!$A:$A)-4,INDEX('Policy Inventory'!$A:$A,ROW()-1),"")</f>
        <v/>
      </c>
      <c r="B57" s="19">
        <f>IF(A57&lt;&gt;"",VLOOKUP(A57,'Policy Inventory'!$A:$B,2,FALSE),"")</f>
        <v/>
      </c>
      <c r="C57" s="19">
        <f>IF(A57&lt;&gt;"",VLOOKUP(A57,'Policy Inventory'!$A:$O,15,FALSE),"")</f>
        <v/>
      </c>
      <c r="D57" s="16" t="n"/>
      <c r="E57" s="17" t="n"/>
      <c r="F57" s="16" t="n"/>
      <c r="G57" s="16" t="n"/>
      <c r="H57" s="16" t="n"/>
      <c r="I57" s="20">
        <f>IF(A57="","",VLOOKUP(A57,'Policy Inventory'!$A:$P,16,FALSE))</f>
        <v/>
      </c>
      <c r="J57" s="16" t="n"/>
      <c r="K57" s="16" t="n"/>
      <c r="L57" s="16" t="n"/>
      <c r="M57" s="16" t="n"/>
      <c r="N57" s="19">
        <f>IF(B57="","",IF(AND(G57="Yes",OR(C57="No",AND(C57&lt;&gt;"No",I57&gt;=0.9)),L57&lt;&gt;"No"),"Compliant",IF(OR(G57="No",AND(C57&lt;&gt;"No",I57&lt;0.7)),"Non-Compliant","Partial")))</f>
        <v/>
      </c>
      <c r="O57" s="16" t="n"/>
      <c r="P57" s="16" t="n"/>
    </row>
    <row r="58">
      <c r="A58" s="19">
        <f>IF(ROW()-5&lt;=COUNTA('Policy Inventory'!$A:$A)-4,INDEX('Policy Inventory'!$A:$A,ROW()-1),"")</f>
        <v/>
      </c>
      <c r="B58" s="19">
        <f>IF(A58&lt;&gt;"",VLOOKUP(A58,'Policy Inventory'!$A:$B,2,FALSE),"")</f>
        <v/>
      </c>
      <c r="C58" s="19">
        <f>IF(A58&lt;&gt;"",VLOOKUP(A58,'Policy Inventory'!$A:$O,15,FALSE),"")</f>
        <v/>
      </c>
      <c r="D58" s="16" t="n"/>
      <c r="E58" s="17" t="n"/>
      <c r="F58" s="16" t="n"/>
      <c r="G58" s="16" t="n"/>
      <c r="H58" s="16" t="n"/>
      <c r="I58" s="20">
        <f>IF(A58="","",VLOOKUP(A58,'Policy Inventory'!$A:$P,16,FALSE))</f>
        <v/>
      </c>
      <c r="J58" s="16" t="n"/>
      <c r="K58" s="16" t="n"/>
      <c r="L58" s="16" t="n"/>
      <c r="M58" s="16" t="n"/>
      <c r="N58" s="19">
        <f>IF(B58="","",IF(AND(G58="Yes",OR(C58="No",AND(C58&lt;&gt;"No",I58&gt;=0.9)),L58&lt;&gt;"No"),"Compliant",IF(OR(G58="No",AND(C58&lt;&gt;"No",I58&lt;0.7)),"Non-Compliant","Partial")))</f>
        <v/>
      </c>
      <c r="O58" s="16" t="n"/>
      <c r="P58" s="16" t="n"/>
    </row>
    <row r="59">
      <c r="A59" s="19">
        <f>IF(ROW()-5&lt;=COUNTA('Policy Inventory'!$A:$A)-4,INDEX('Policy Inventory'!$A:$A,ROW()-1),"")</f>
        <v/>
      </c>
      <c r="B59" s="19">
        <f>IF(A59&lt;&gt;"",VLOOKUP(A59,'Policy Inventory'!$A:$B,2,FALSE),"")</f>
        <v/>
      </c>
      <c r="C59" s="19">
        <f>IF(A59&lt;&gt;"",VLOOKUP(A59,'Policy Inventory'!$A:$O,15,FALSE),"")</f>
        <v/>
      </c>
      <c r="D59" s="16" t="n"/>
      <c r="E59" s="17" t="n"/>
      <c r="F59" s="16" t="n"/>
      <c r="G59" s="16" t="n"/>
      <c r="H59" s="16" t="n"/>
      <c r="I59" s="20">
        <f>IF(A59="","",VLOOKUP(A59,'Policy Inventory'!$A:$P,16,FALSE))</f>
        <v/>
      </c>
      <c r="J59" s="16" t="n"/>
      <c r="K59" s="16" t="n"/>
      <c r="L59" s="16" t="n"/>
      <c r="M59" s="16" t="n"/>
      <c r="N59" s="19">
        <f>IF(B59="","",IF(AND(G59="Yes",OR(C59="No",AND(C59&lt;&gt;"No",I59&gt;=0.9)),L59&lt;&gt;"No"),"Compliant",IF(OR(G59="No",AND(C59&lt;&gt;"No",I59&lt;0.7)),"Non-Compliant","Partial")))</f>
        <v/>
      </c>
      <c r="O59" s="16" t="n"/>
      <c r="P59" s="16" t="n"/>
    </row>
    <row r="60">
      <c r="A60" s="19">
        <f>IF(ROW()-5&lt;=COUNTA('Policy Inventory'!$A:$A)-4,INDEX('Policy Inventory'!$A:$A,ROW()-1),"")</f>
        <v/>
      </c>
      <c r="B60" s="19">
        <f>IF(A60&lt;&gt;"",VLOOKUP(A60,'Policy Inventory'!$A:$B,2,FALSE),"")</f>
        <v/>
      </c>
      <c r="C60" s="19">
        <f>IF(A60&lt;&gt;"",VLOOKUP(A60,'Policy Inventory'!$A:$O,15,FALSE),"")</f>
        <v/>
      </c>
      <c r="D60" s="16" t="n"/>
      <c r="E60" s="17" t="n"/>
      <c r="F60" s="16" t="n"/>
      <c r="G60" s="16" t="n"/>
      <c r="H60" s="16" t="n"/>
      <c r="I60" s="20">
        <f>IF(A60="","",VLOOKUP(A60,'Policy Inventory'!$A:$P,16,FALSE))</f>
        <v/>
      </c>
      <c r="J60" s="16" t="n"/>
      <c r="K60" s="16" t="n"/>
      <c r="L60" s="16" t="n"/>
      <c r="M60" s="16" t="n"/>
      <c r="N60" s="19">
        <f>IF(B60="","",IF(AND(G60="Yes",OR(C60="No",AND(C60&lt;&gt;"No",I60&gt;=0.9)),L60&lt;&gt;"No"),"Compliant",IF(OR(G60="No",AND(C60&lt;&gt;"No",I60&lt;0.7)),"Non-Compliant","Partial")))</f>
        <v/>
      </c>
      <c r="O60" s="16" t="n"/>
      <c r="P60" s="16" t="n"/>
    </row>
    <row r="61">
      <c r="A61" s="19">
        <f>IF(ROW()-5&lt;=COUNTA('Policy Inventory'!$A:$A)-4,INDEX('Policy Inventory'!$A:$A,ROW()-1),"")</f>
        <v/>
      </c>
      <c r="B61" s="19">
        <f>IF(A61&lt;&gt;"",VLOOKUP(A61,'Policy Inventory'!$A:$B,2,FALSE),"")</f>
        <v/>
      </c>
      <c r="C61" s="19">
        <f>IF(A61&lt;&gt;"",VLOOKUP(A61,'Policy Inventory'!$A:$O,15,FALSE),"")</f>
        <v/>
      </c>
      <c r="D61" s="16" t="n"/>
      <c r="E61" s="17" t="n"/>
      <c r="F61" s="16" t="n"/>
      <c r="G61" s="16" t="n"/>
      <c r="H61" s="16" t="n"/>
      <c r="I61" s="20">
        <f>IF(A61="","",VLOOKUP(A61,'Policy Inventory'!$A:$P,16,FALSE))</f>
        <v/>
      </c>
      <c r="J61" s="16" t="n"/>
      <c r="K61" s="16" t="n"/>
      <c r="L61" s="16" t="n"/>
      <c r="M61" s="16" t="n"/>
      <c r="N61" s="19">
        <f>IF(B61="","",IF(AND(G61="Yes",OR(C61="No",AND(C61&lt;&gt;"No",I61&gt;=0.9)),L61&lt;&gt;"No"),"Compliant",IF(OR(G61="No",AND(C61&lt;&gt;"No",I61&lt;0.7)),"Non-Compliant","Partial")))</f>
        <v/>
      </c>
      <c r="O61" s="16" t="n"/>
      <c r="P61" s="16" t="n"/>
    </row>
    <row r="62">
      <c r="A62" s="19">
        <f>IF(ROW()-5&lt;=COUNTA('Policy Inventory'!$A:$A)-4,INDEX('Policy Inventory'!$A:$A,ROW()-1),"")</f>
        <v/>
      </c>
      <c r="B62" s="19">
        <f>IF(A62&lt;&gt;"",VLOOKUP(A62,'Policy Inventory'!$A:$B,2,FALSE),"")</f>
        <v/>
      </c>
      <c r="C62" s="19">
        <f>IF(A62&lt;&gt;"",VLOOKUP(A62,'Policy Inventory'!$A:$O,15,FALSE),"")</f>
        <v/>
      </c>
      <c r="D62" s="16" t="n"/>
      <c r="E62" s="17" t="n"/>
      <c r="F62" s="16" t="n"/>
      <c r="G62" s="16" t="n"/>
      <c r="H62" s="16" t="n"/>
      <c r="I62" s="20">
        <f>IF(A62="","",VLOOKUP(A62,'Policy Inventory'!$A:$P,16,FALSE))</f>
        <v/>
      </c>
      <c r="J62" s="16" t="n"/>
      <c r="K62" s="16" t="n"/>
      <c r="L62" s="16" t="n"/>
      <c r="M62" s="16" t="n"/>
      <c r="N62" s="19">
        <f>IF(B62="","",IF(AND(G62="Yes",OR(C62="No",AND(C62&lt;&gt;"No",I62&gt;=0.9)),L62&lt;&gt;"No"),"Compliant",IF(OR(G62="No",AND(C62&lt;&gt;"No",I62&lt;0.7)),"Non-Compliant","Partial")))</f>
        <v/>
      </c>
      <c r="O62" s="16" t="n"/>
      <c r="P62" s="16" t="n"/>
    </row>
    <row r="63">
      <c r="A63" s="19">
        <f>IF(ROW()-5&lt;=COUNTA('Policy Inventory'!$A:$A)-4,INDEX('Policy Inventory'!$A:$A,ROW()-1),"")</f>
        <v/>
      </c>
      <c r="B63" s="19">
        <f>IF(A63&lt;&gt;"",VLOOKUP(A63,'Policy Inventory'!$A:$B,2,FALSE),"")</f>
        <v/>
      </c>
      <c r="C63" s="19">
        <f>IF(A63&lt;&gt;"",VLOOKUP(A63,'Policy Inventory'!$A:$O,15,FALSE),"")</f>
        <v/>
      </c>
      <c r="D63" s="16" t="n"/>
      <c r="E63" s="17" t="n"/>
      <c r="F63" s="16" t="n"/>
      <c r="G63" s="16" t="n"/>
      <c r="H63" s="16" t="n"/>
      <c r="I63" s="20">
        <f>IF(A63="","",VLOOKUP(A63,'Policy Inventory'!$A:$P,16,FALSE))</f>
        <v/>
      </c>
      <c r="J63" s="16" t="n"/>
      <c r="K63" s="16" t="n"/>
      <c r="L63" s="16" t="n"/>
      <c r="M63" s="16" t="n"/>
      <c r="N63" s="19">
        <f>IF(B63="","",IF(AND(G63="Yes",OR(C63="No",AND(C63&lt;&gt;"No",I63&gt;=0.9)),L63&lt;&gt;"No"),"Compliant",IF(OR(G63="No",AND(C63&lt;&gt;"No",I63&lt;0.7)),"Non-Compliant","Partial")))</f>
        <v/>
      </c>
      <c r="O63" s="16" t="n"/>
      <c r="P63" s="16" t="n"/>
    </row>
    <row r="64">
      <c r="A64" s="19">
        <f>IF(ROW()-5&lt;=COUNTA('Policy Inventory'!$A:$A)-4,INDEX('Policy Inventory'!$A:$A,ROW()-1),"")</f>
        <v/>
      </c>
      <c r="B64" s="19">
        <f>IF(A64&lt;&gt;"",VLOOKUP(A64,'Policy Inventory'!$A:$B,2,FALSE),"")</f>
        <v/>
      </c>
      <c r="C64" s="19">
        <f>IF(A64&lt;&gt;"",VLOOKUP(A64,'Policy Inventory'!$A:$O,15,FALSE),"")</f>
        <v/>
      </c>
      <c r="D64" s="16" t="n"/>
      <c r="E64" s="17" t="n"/>
      <c r="F64" s="16" t="n"/>
      <c r="G64" s="16" t="n"/>
      <c r="H64" s="16" t="n"/>
      <c r="I64" s="20">
        <f>IF(A64="","",VLOOKUP(A64,'Policy Inventory'!$A:$P,16,FALSE))</f>
        <v/>
      </c>
      <c r="J64" s="16" t="n"/>
      <c r="K64" s="16" t="n"/>
      <c r="L64" s="16" t="n"/>
      <c r="M64" s="16" t="n"/>
      <c r="N64" s="19">
        <f>IF(B64="","",IF(AND(G64="Yes",OR(C64="No",AND(C64&lt;&gt;"No",I64&gt;=0.9)),L64&lt;&gt;"No"),"Compliant",IF(OR(G64="No",AND(C64&lt;&gt;"No",I64&lt;0.7)),"Non-Compliant","Partial")))</f>
        <v/>
      </c>
      <c r="O64" s="16" t="n"/>
      <c r="P64" s="16" t="n"/>
    </row>
    <row r="65">
      <c r="A65" s="19">
        <f>IF(ROW()-5&lt;=COUNTA('Policy Inventory'!$A:$A)-4,INDEX('Policy Inventory'!$A:$A,ROW()-1),"")</f>
        <v/>
      </c>
      <c r="B65" s="19">
        <f>IF(A65&lt;&gt;"",VLOOKUP(A65,'Policy Inventory'!$A:$B,2,FALSE),"")</f>
        <v/>
      </c>
      <c r="C65" s="19">
        <f>IF(A65&lt;&gt;"",VLOOKUP(A65,'Policy Inventory'!$A:$O,15,FALSE),"")</f>
        <v/>
      </c>
      <c r="D65" s="16" t="n"/>
      <c r="E65" s="17" t="n"/>
      <c r="F65" s="16" t="n"/>
      <c r="G65" s="16" t="n"/>
      <c r="H65" s="16" t="n"/>
      <c r="I65" s="20">
        <f>IF(A65="","",VLOOKUP(A65,'Policy Inventory'!$A:$P,16,FALSE))</f>
        <v/>
      </c>
      <c r="J65" s="16" t="n"/>
      <c r="K65" s="16" t="n"/>
      <c r="L65" s="16" t="n"/>
      <c r="M65" s="16" t="n"/>
      <c r="N65" s="19">
        <f>IF(B65="","",IF(AND(G65="Yes",OR(C65="No",AND(C65&lt;&gt;"No",I65&gt;=0.9)),L65&lt;&gt;"No"),"Compliant",IF(OR(G65="No",AND(C65&lt;&gt;"No",I65&lt;0.7)),"Non-Compliant","Partial")))</f>
        <v/>
      </c>
      <c r="O65" s="16" t="n"/>
      <c r="P65" s="16" t="n"/>
    </row>
    <row r="66">
      <c r="A66" s="19">
        <f>IF(ROW()-5&lt;=COUNTA('Policy Inventory'!$A:$A)-4,INDEX('Policy Inventory'!$A:$A,ROW()-1),"")</f>
        <v/>
      </c>
      <c r="B66" s="19">
        <f>IF(A66&lt;&gt;"",VLOOKUP(A66,'Policy Inventory'!$A:$B,2,FALSE),"")</f>
        <v/>
      </c>
      <c r="C66" s="19">
        <f>IF(A66&lt;&gt;"",VLOOKUP(A66,'Policy Inventory'!$A:$O,15,FALSE),"")</f>
        <v/>
      </c>
      <c r="D66" s="16" t="n"/>
      <c r="E66" s="17" t="n"/>
      <c r="F66" s="16" t="n"/>
      <c r="G66" s="16" t="n"/>
      <c r="H66" s="16" t="n"/>
      <c r="I66" s="20">
        <f>IF(A66="","",VLOOKUP(A66,'Policy Inventory'!$A:$P,16,FALSE))</f>
        <v/>
      </c>
      <c r="J66" s="16" t="n"/>
      <c r="K66" s="16" t="n"/>
      <c r="L66" s="16" t="n"/>
      <c r="M66" s="16" t="n"/>
      <c r="N66" s="19">
        <f>IF(B66="","",IF(AND(G66="Yes",OR(C66="No",AND(C66&lt;&gt;"No",I66&gt;=0.9)),L66&lt;&gt;"No"),"Compliant",IF(OR(G66="No",AND(C66&lt;&gt;"No",I66&lt;0.7)),"Non-Compliant","Partial")))</f>
        <v/>
      </c>
      <c r="O66" s="16" t="n"/>
      <c r="P66" s="16" t="n"/>
    </row>
    <row r="67">
      <c r="A67" s="19">
        <f>IF(ROW()-5&lt;=COUNTA('Policy Inventory'!$A:$A)-4,INDEX('Policy Inventory'!$A:$A,ROW()-1),"")</f>
        <v/>
      </c>
      <c r="B67" s="19">
        <f>IF(A67&lt;&gt;"",VLOOKUP(A67,'Policy Inventory'!$A:$B,2,FALSE),"")</f>
        <v/>
      </c>
      <c r="C67" s="19">
        <f>IF(A67&lt;&gt;"",VLOOKUP(A67,'Policy Inventory'!$A:$O,15,FALSE),"")</f>
        <v/>
      </c>
      <c r="D67" s="16" t="n"/>
      <c r="E67" s="17" t="n"/>
      <c r="F67" s="16" t="n"/>
      <c r="G67" s="16" t="n"/>
      <c r="H67" s="16" t="n"/>
      <c r="I67" s="20">
        <f>IF(A67="","",VLOOKUP(A67,'Policy Inventory'!$A:$P,16,FALSE))</f>
        <v/>
      </c>
      <c r="J67" s="16" t="n"/>
      <c r="K67" s="16" t="n"/>
      <c r="L67" s="16" t="n"/>
      <c r="M67" s="16" t="n"/>
      <c r="N67" s="19">
        <f>IF(B67="","",IF(AND(G67="Yes",OR(C67="No",AND(C67&lt;&gt;"No",I67&gt;=0.9)),L67&lt;&gt;"No"),"Compliant",IF(OR(G67="No",AND(C67&lt;&gt;"No",I67&lt;0.7)),"Non-Compliant","Partial")))</f>
        <v/>
      </c>
      <c r="O67" s="16" t="n"/>
      <c r="P67" s="16" t="n"/>
    </row>
    <row r="68">
      <c r="A68" s="19">
        <f>IF(ROW()-5&lt;=COUNTA('Policy Inventory'!$A:$A)-4,INDEX('Policy Inventory'!$A:$A,ROW()-1),"")</f>
        <v/>
      </c>
      <c r="B68" s="19">
        <f>IF(A68&lt;&gt;"",VLOOKUP(A68,'Policy Inventory'!$A:$B,2,FALSE),"")</f>
        <v/>
      </c>
      <c r="C68" s="19">
        <f>IF(A68&lt;&gt;"",VLOOKUP(A68,'Policy Inventory'!$A:$O,15,FALSE),"")</f>
        <v/>
      </c>
      <c r="D68" s="16" t="n"/>
      <c r="E68" s="17" t="n"/>
      <c r="F68" s="16" t="n"/>
      <c r="G68" s="16" t="n"/>
      <c r="H68" s="16" t="n"/>
      <c r="I68" s="20">
        <f>IF(A68="","",VLOOKUP(A68,'Policy Inventory'!$A:$P,16,FALSE))</f>
        <v/>
      </c>
      <c r="J68" s="16" t="n"/>
      <c r="K68" s="16" t="n"/>
      <c r="L68" s="16" t="n"/>
      <c r="M68" s="16" t="n"/>
      <c r="N68" s="19">
        <f>IF(B68="","",IF(AND(G68="Yes",OR(C68="No",AND(C68&lt;&gt;"No",I68&gt;=0.9)),L68&lt;&gt;"No"),"Compliant",IF(OR(G68="No",AND(C68&lt;&gt;"No",I68&lt;0.7)),"Non-Compliant","Partial")))</f>
        <v/>
      </c>
      <c r="O68" s="16" t="n"/>
      <c r="P68" s="16" t="n"/>
    </row>
    <row r="69">
      <c r="A69" s="19">
        <f>IF(ROW()-5&lt;=COUNTA('Policy Inventory'!$A:$A)-4,INDEX('Policy Inventory'!$A:$A,ROW()-1),"")</f>
        <v/>
      </c>
      <c r="B69" s="19">
        <f>IF(A69&lt;&gt;"",VLOOKUP(A69,'Policy Inventory'!$A:$B,2,FALSE),"")</f>
        <v/>
      </c>
      <c r="C69" s="19">
        <f>IF(A69&lt;&gt;"",VLOOKUP(A69,'Policy Inventory'!$A:$O,15,FALSE),"")</f>
        <v/>
      </c>
      <c r="D69" s="16" t="n"/>
      <c r="E69" s="17" t="n"/>
      <c r="F69" s="16" t="n"/>
      <c r="G69" s="16" t="n"/>
      <c r="H69" s="16" t="n"/>
      <c r="I69" s="20">
        <f>IF(A69="","",VLOOKUP(A69,'Policy Inventory'!$A:$P,16,FALSE))</f>
        <v/>
      </c>
      <c r="J69" s="16" t="n"/>
      <c r="K69" s="16" t="n"/>
      <c r="L69" s="16" t="n"/>
      <c r="M69" s="16" t="n"/>
      <c r="N69" s="19">
        <f>IF(B69="","",IF(AND(G69="Yes",OR(C69="No",AND(C69&lt;&gt;"No",I69&gt;=0.9)),L69&lt;&gt;"No"),"Compliant",IF(OR(G69="No",AND(C69&lt;&gt;"No",I69&lt;0.7)),"Non-Compliant","Partial")))</f>
        <v/>
      </c>
      <c r="O69" s="16" t="n"/>
      <c r="P69" s="16" t="n"/>
    </row>
    <row r="70">
      <c r="A70" s="19">
        <f>IF(ROW()-5&lt;=COUNTA('Policy Inventory'!$A:$A)-4,INDEX('Policy Inventory'!$A:$A,ROW()-1),"")</f>
        <v/>
      </c>
      <c r="B70" s="19">
        <f>IF(A70&lt;&gt;"",VLOOKUP(A70,'Policy Inventory'!$A:$B,2,FALSE),"")</f>
        <v/>
      </c>
      <c r="C70" s="19">
        <f>IF(A70&lt;&gt;"",VLOOKUP(A70,'Policy Inventory'!$A:$O,15,FALSE),"")</f>
        <v/>
      </c>
      <c r="D70" s="16" t="n"/>
      <c r="E70" s="17" t="n"/>
      <c r="F70" s="16" t="n"/>
      <c r="G70" s="16" t="n"/>
      <c r="H70" s="16" t="n"/>
      <c r="I70" s="20">
        <f>IF(A70="","",VLOOKUP(A70,'Policy Inventory'!$A:$P,16,FALSE))</f>
        <v/>
      </c>
      <c r="J70" s="16" t="n"/>
      <c r="K70" s="16" t="n"/>
      <c r="L70" s="16" t="n"/>
      <c r="M70" s="16" t="n"/>
      <c r="N70" s="19">
        <f>IF(B70="","",IF(AND(G70="Yes",OR(C70="No",AND(C70&lt;&gt;"No",I70&gt;=0.9)),L70&lt;&gt;"No"),"Compliant",IF(OR(G70="No",AND(C70&lt;&gt;"No",I70&lt;0.7)),"Non-Compliant","Partial")))</f>
        <v/>
      </c>
      <c r="O70" s="16" t="n"/>
      <c r="P70" s="16" t="n"/>
    </row>
    <row r="71">
      <c r="A71" s="19">
        <f>IF(ROW()-5&lt;=COUNTA('Policy Inventory'!$A:$A)-4,INDEX('Policy Inventory'!$A:$A,ROW()-1),"")</f>
        <v/>
      </c>
      <c r="B71" s="19">
        <f>IF(A71&lt;&gt;"",VLOOKUP(A71,'Policy Inventory'!$A:$B,2,FALSE),"")</f>
        <v/>
      </c>
      <c r="C71" s="19">
        <f>IF(A71&lt;&gt;"",VLOOKUP(A71,'Policy Inventory'!$A:$O,15,FALSE),"")</f>
        <v/>
      </c>
      <c r="D71" s="16" t="n"/>
      <c r="E71" s="17" t="n"/>
      <c r="F71" s="16" t="n"/>
      <c r="G71" s="16" t="n"/>
      <c r="H71" s="16" t="n"/>
      <c r="I71" s="20">
        <f>IF(A71="","",VLOOKUP(A71,'Policy Inventory'!$A:$P,16,FALSE))</f>
        <v/>
      </c>
      <c r="J71" s="16" t="n"/>
      <c r="K71" s="16" t="n"/>
      <c r="L71" s="16" t="n"/>
      <c r="M71" s="16" t="n"/>
      <c r="N71" s="19">
        <f>IF(B71="","",IF(AND(G71="Yes",OR(C71="No",AND(C71&lt;&gt;"No",I71&gt;=0.9)),L71&lt;&gt;"No"),"Compliant",IF(OR(G71="No",AND(C71&lt;&gt;"No",I71&lt;0.7)),"Non-Compliant","Partial")))</f>
        <v/>
      </c>
      <c r="O71" s="16" t="n"/>
      <c r="P71" s="16" t="n"/>
    </row>
    <row r="72">
      <c r="A72" s="19">
        <f>IF(ROW()-5&lt;=COUNTA('Policy Inventory'!$A:$A)-4,INDEX('Policy Inventory'!$A:$A,ROW()-1),"")</f>
        <v/>
      </c>
      <c r="B72" s="19">
        <f>IF(A72&lt;&gt;"",VLOOKUP(A72,'Policy Inventory'!$A:$B,2,FALSE),"")</f>
        <v/>
      </c>
      <c r="C72" s="19">
        <f>IF(A72&lt;&gt;"",VLOOKUP(A72,'Policy Inventory'!$A:$O,15,FALSE),"")</f>
        <v/>
      </c>
      <c r="D72" s="16" t="n"/>
      <c r="E72" s="17" t="n"/>
      <c r="F72" s="16" t="n"/>
      <c r="G72" s="16" t="n"/>
      <c r="H72" s="16" t="n"/>
      <c r="I72" s="20">
        <f>IF(A72="","",VLOOKUP(A72,'Policy Inventory'!$A:$P,16,FALSE))</f>
        <v/>
      </c>
      <c r="J72" s="16" t="n"/>
      <c r="K72" s="16" t="n"/>
      <c r="L72" s="16" t="n"/>
      <c r="M72" s="16" t="n"/>
      <c r="N72" s="19">
        <f>IF(B72="","",IF(AND(G72="Yes",OR(C72="No",AND(C72&lt;&gt;"No",I72&gt;=0.9)),L72&lt;&gt;"No"),"Compliant",IF(OR(G72="No",AND(C72&lt;&gt;"No",I72&lt;0.7)),"Non-Compliant","Partial")))</f>
        <v/>
      </c>
      <c r="O72" s="16" t="n"/>
      <c r="P72" s="16" t="n"/>
    </row>
    <row r="73">
      <c r="A73" s="19">
        <f>IF(ROW()-5&lt;=COUNTA('Policy Inventory'!$A:$A)-4,INDEX('Policy Inventory'!$A:$A,ROW()-1),"")</f>
        <v/>
      </c>
      <c r="B73" s="19">
        <f>IF(A73&lt;&gt;"",VLOOKUP(A73,'Policy Inventory'!$A:$B,2,FALSE),"")</f>
        <v/>
      </c>
      <c r="C73" s="19">
        <f>IF(A73&lt;&gt;"",VLOOKUP(A73,'Policy Inventory'!$A:$O,15,FALSE),"")</f>
        <v/>
      </c>
      <c r="D73" s="16" t="n"/>
      <c r="E73" s="17" t="n"/>
      <c r="F73" s="16" t="n"/>
      <c r="G73" s="16" t="n"/>
      <c r="H73" s="16" t="n"/>
      <c r="I73" s="20">
        <f>IF(A73="","",VLOOKUP(A73,'Policy Inventory'!$A:$P,16,FALSE))</f>
        <v/>
      </c>
      <c r="J73" s="16" t="n"/>
      <c r="K73" s="16" t="n"/>
      <c r="L73" s="16" t="n"/>
      <c r="M73" s="16" t="n"/>
      <c r="N73" s="19">
        <f>IF(B73="","",IF(AND(G73="Yes",OR(C73="No",AND(C73&lt;&gt;"No",I73&gt;=0.9)),L73&lt;&gt;"No"),"Compliant",IF(OR(G73="No",AND(C73&lt;&gt;"No",I73&lt;0.7)),"Non-Compliant","Partial")))</f>
        <v/>
      </c>
      <c r="O73" s="16" t="n"/>
      <c r="P73" s="16" t="n"/>
    </row>
    <row r="74">
      <c r="A74" s="19">
        <f>IF(ROW()-5&lt;=COUNTA('Policy Inventory'!$A:$A)-4,INDEX('Policy Inventory'!$A:$A,ROW()-1),"")</f>
        <v/>
      </c>
      <c r="B74" s="19">
        <f>IF(A74&lt;&gt;"",VLOOKUP(A74,'Policy Inventory'!$A:$B,2,FALSE),"")</f>
        <v/>
      </c>
      <c r="C74" s="19">
        <f>IF(A74&lt;&gt;"",VLOOKUP(A74,'Policy Inventory'!$A:$O,15,FALSE),"")</f>
        <v/>
      </c>
      <c r="D74" s="16" t="n"/>
      <c r="E74" s="17" t="n"/>
      <c r="F74" s="16" t="n"/>
      <c r="G74" s="16" t="n"/>
      <c r="H74" s="16" t="n"/>
      <c r="I74" s="20">
        <f>IF(A74="","",VLOOKUP(A74,'Policy Inventory'!$A:$P,16,FALSE))</f>
        <v/>
      </c>
      <c r="J74" s="16" t="n"/>
      <c r="K74" s="16" t="n"/>
      <c r="L74" s="16" t="n"/>
      <c r="M74" s="16" t="n"/>
      <c r="N74" s="19">
        <f>IF(B74="","",IF(AND(G74="Yes",OR(C74="No",AND(C74&lt;&gt;"No",I74&gt;=0.9)),L74&lt;&gt;"No"),"Compliant",IF(OR(G74="No",AND(C74&lt;&gt;"No",I74&lt;0.7)),"Non-Compliant","Partial")))</f>
        <v/>
      </c>
      <c r="O74" s="16" t="n"/>
      <c r="P74" s="16" t="n"/>
    </row>
    <row r="75">
      <c r="A75" s="19">
        <f>IF(ROW()-5&lt;=COUNTA('Policy Inventory'!$A:$A)-4,INDEX('Policy Inventory'!$A:$A,ROW()-1),"")</f>
        <v/>
      </c>
      <c r="B75" s="19">
        <f>IF(A75&lt;&gt;"",VLOOKUP(A75,'Policy Inventory'!$A:$B,2,FALSE),"")</f>
        <v/>
      </c>
      <c r="C75" s="19">
        <f>IF(A75&lt;&gt;"",VLOOKUP(A75,'Policy Inventory'!$A:$O,15,FALSE),"")</f>
        <v/>
      </c>
      <c r="D75" s="16" t="n"/>
      <c r="E75" s="17" t="n"/>
      <c r="F75" s="16" t="n"/>
      <c r="G75" s="16" t="n"/>
      <c r="H75" s="16" t="n"/>
      <c r="I75" s="20">
        <f>IF(A75="","",VLOOKUP(A75,'Policy Inventory'!$A:$P,16,FALSE))</f>
        <v/>
      </c>
      <c r="J75" s="16" t="n"/>
      <c r="K75" s="16" t="n"/>
      <c r="L75" s="16" t="n"/>
      <c r="M75" s="16" t="n"/>
      <c r="N75" s="19">
        <f>IF(B75="","",IF(AND(G75="Yes",OR(C75="No",AND(C75&lt;&gt;"No",I75&gt;=0.9)),L75&lt;&gt;"No"),"Compliant",IF(OR(G75="No",AND(C75&lt;&gt;"No",I75&lt;0.7)),"Non-Compliant","Partial")))</f>
        <v/>
      </c>
      <c r="O75" s="16" t="n"/>
      <c r="P75" s="16" t="n"/>
    </row>
    <row r="76">
      <c r="A76" s="19">
        <f>IF(ROW()-5&lt;=COUNTA('Policy Inventory'!$A:$A)-4,INDEX('Policy Inventory'!$A:$A,ROW()-1),"")</f>
        <v/>
      </c>
      <c r="B76" s="19">
        <f>IF(A76&lt;&gt;"",VLOOKUP(A76,'Policy Inventory'!$A:$B,2,FALSE),"")</f>
        <v/>
      </c>
      <c r="C76" s="19">
        <f>IF(A76&lt;&gt;"",VLOOKUP(A76,'Policy Inventory'!$A:$O,15,FALSE),"")</f>
        <v/>
      </c>
      <c r="D76" s="16" t="n"/>
      <c r="E76" s="17" t="n"/>
      <c r="F76" s="16" t="n"/>
      <c r="G76" s="16" t="n"/>
      <c r="H76" s="16" t="n"/>
      <c r="I76" s="20">
        <f>IF(A76="","",VLOOKUP(A76,'Policy Inventory'!$A:$P,16,FALSE))</f>
        <v/>
      </c>
      <c r="J76" s="16" t="n"/>
      <c r="K76" s="16" t="n"/>
      <c r="L76" s="16" t="n"/>
      <c r="M76" s="16" t="n"/>
      <c r="N76" s="19">
        <f>IF(B76="","",IF(AND(G76="Yes",OR(C76="No",AND(C76&lt;&gt;"No",I76&gt;=0.9)),L76&lt;&gt;"No"),"Compliant",IF(OR(G76="No",AND(C76&lt;&gt;"No",I76&lt;0.7)),"Non-Compliant","Partial")))</f>
        <v/>
      </c>
      <c r="O76" s="16" t="n"/>
      <c r="P76" s="16" t="n"/>
    </row>
    <row r="77">
      <c r="A77" s="19">
        <f>IF(ROW()-5&lt;=COUNTA('Policy Inventory'!$A:$A)-4,INDEX('Policy Inventory'!$A:$A,ROW()-1),"")</f>
        <v/>
      </c>
      <c r="B77" s="19">
        <f>IF(A77&lt;&gt;"",VLOOKUP(A77,'Policy Inventory'!$A:$B,2,FALSE),"")</f>
        <v/>
      </c>
      <c r="C77" s="19">
        <f>IF(A77&lt;&gt;"",VLOOKUP(A77,'Policy Inventory'!$A:$O,15,FALSE),"")</f>
        <v/>
      </c>
      <c r="D77" s="16" t="n"/>
      <c r="E77" s="17" t="n"/>
      <c r="F77" s="16" t="n"/>
      <c r="G77" s="16" t="n"/>
      <c r="H77" s="16" t="n"/>
      <c r="I77" s="20">
        <f>IF(A77="","",VLOOKUP(A77,'Policy Inventory'!$A:$P,16,FALSE))</f>
        <v/>
      </c>
      <c r="J77" s="16" t="n"/>
      <c r="K77" s="16" t="n"/>
      <c r="L77" s="16" t="n"/>
      <c r="M77" s="16" t="n"/>
      <c r="N77" s="19">
        <f>IF(B77="","",IF(AND(G77="Yes",OR(C77="No",AND(C77&lt;&gt;"No",I77&gt;=0.9)),L77&lt;&gt;"No"),"Compliant",IF(OR(G77="No",AND(C77&lt;&gt;"No",I77&lt;0.7)),"Non-Compliant","Partial")))</f>
        <v/>
      </c>
      <c r="O77" s="16" t="n"/>
      <c r="P77" s="16" t="n"/>
    </row>
    <row r="78">
      <c r="A78" s="19">
        <f>IF(ROW()-5&lt;=COUNTA('Policy Inventory'!$A:$A)-4,INDEX('Policy Inventory'!$A:$A,ROW()-1),"")</f>
        <v/>
      </c>
      <c r="B78" s="19">
        <f>IF(A78&lt;&gt;"",VLOOKUP(A78,'Policy Inventory'!$A:$B,2,FALSE),"")</f>
        <v/>
      </c>
      <c r="C78" s="19">
        <f>IF(A78&lt;&gt;"",VLOOKUP(A78,'Policy Inventory'!$A:$O,15,FALSE),"")</f>
        <v/>
      </c>
      <c r="D78" s="16" t="n"/>
      <c r="E78" s="17" t="n"/>
      <c r="F78" s="16" t="n"/>
      <c r="G78" s="16" t="n"/>
      <c r="H78" s="16" t="n"/>
      <c r="I78" s="20">
        <f>IF(A78="","",VLOOKUP(A78,'Policy Inventory'!$A:$P,16,FALSE))</f>
        <v/>
      </c>
      <c r="J78" s="16" t="n"/>
      <c r="K78" s="16" t="n"/>
      <c r="L78" s="16" t="n"/>
      <c r="M78" s="16" t="n"/>
      <c r="N78" s="19">
        <f>IF(B78="","",IF(AND(G78="Yes",OR(C78="No",AND(C78&lt;&gt;"No",I78&gt;=0.9)),L78&lt;&gt;"No"),"Compliant",IF(OR(G78="No",AND(C78&lt;&gt;"No",I78&lt;0.7)),"Non-Compliant","Partial")))</f>
        <v/>
      </c>
      <c r="O78" s="16" t="n"/>
      <c r="P78" s="16" t="n"/>
    </row>
    <row r="79">
      <c r="A79" s="19">
        <f>IF(ROW()-5&lt;=COUNTA('Policy Inventory'!$A:$A)-4,INDEX('Policy Inventory'!$A:$A,ROW()-1),"")</f>
        <v/>
      </c>
      <c r="B79" s="19">
        <f>IF(A79&lt;&gt;"",VLOOKUP(A79,'Policy Inventory'!$A:$B,2,FALSE),"")</f>
        <v/>
      </c>
      <c r="C79" s="19">
        <f>IF(A79&lt;&gt;"",VLOOKUP(A79,'Policy Inventory'!$A:$O,15,FALSE),"")</f>
        <v/>
      </c>
      <c r="D79" s="16" t="n"/>
      <c r="E79" s="17" t="n"/>
      <c r="F79" s="16" t="n"/>
      <c r="G79" s="16" t="n"/>
      <c r="H79" s="16" t="n"/>
      <c r="I79" s="20">
        <f>IF(A79="","",VLOOKUP(A79,'Policy Inventory'!$A:$P,16,FALSE))</f>
        <v/>
      </c>
      <c r="J79" s="16" t="n"/>
      <c r="K79" s="16" t="n"/>
      <c r="L79" s="16" t="n"/>
      <c r="M79" s="16" t="n"/>
      <c r="N79" s="19">
        <f>IF(B79="","",IF(AND(G79="Yes",OR(C79="No",AND(C79&lt;&gt;"No",I79&gt;=0.9)),L79&lt;&gt;"No"),"Compliant",IF(OR(G79="No",AND(C79&lt;&gt;"No",I79&lt;0.7)),"Non-Compliant","Partial")))</f>
        <v/>
      </c>
      <c r="O79" s="16" t="n"/>
      <c r="P79" s="16" t="n"/>
    </row>
    <row r="80">
      <c r="A80" s="19">
        <f>IF(ROW()-5&lt;=COUNTA('Policy Inventory'!$A:$A)-4,INDEX('Policy Inventory'!$A:$A,ROW()-1),"")</f>
        <v/>
      </c>
      <c r="B80" s="19">
        <f>IF(A80&lt;&gt;"",VLOOKUP(A80,'Policy Inventory'!$A:$B,2,FALSE),"")</f>
        <v/>
      </c>
      <c r="C80" s="19">
        <f>IF(A80&lt;&gt;"",VLOOKUP(A80,'Policy Inventory'!$A:$O,15,FALSE),"")</f>
        <v/>
      </c>
      <c r="D80" s="16" t="n"/>
      <c r="E80" s="17" t="n"/>
      <c r="F80" s="16" t="n"/>
      <c r="G80" s="16" t="n"/>
      <c r="H80" s="16" t="n"/>
      <c r="I80" s="20">
        <f>IF(A80="","",VLOOKUP(A80,'Policy Inventory'!$A:$P,16,FALSE))</f>
        <v/>
      </c>
      <c r="J80" s="16" t="n"/>
      <c r="K80" s="16" t="n"/>
      <c r="L80" s="16" t="n"/>
      <c r="M80" s="16" t="n"/>
      <c r="N80" s="19">
        <f>IF(B80="","",IF(AND(G80="Yes",OR(C80="No",AND(C80&lt;&gt;"No",I80&gt;=0.9)),L80&lt;&gt;"No"),"Compliant",IF(OR(G80="No",AND(C80&lt;&gt;"No",I80&lt;0.7)),"Non-Compliant","Partial")))</f>
        <v/>
      </c>
      <c r="O80" s="16" t="n"/>
      <c r="P80" s="16" t="n"/>
    </row>
    <row r="81">
      <c r="A81" s="19">
        <f>IF(ROW()-5&lt;=COUNTA('Policy Inventory'!$A:$A)-4,INDEX('Policy Inventory'!$A:$A,ROW()-1),"")</f>
        <v/>
      </c>
      <c r="B81" s="19">
        <f>IF(A81&lt;&gt;"",VLOOKUP(A81,'Policy Inventory'!$A:$B,2,FALSE),"")</f>
        <v/>
      </c>
      <c r="C81" s="19">
        <f>IF(A81&lt;&gt;"",VLOOKUP(A81,'Policy Inventory'!$A:$O,15,FALSE),"")</f>
        <v/>
      </c>
      <c r="D81" s="16" t="n"/>
      <c r="E81" s="17" t="n"/>
      <c r="F81" s="16" t="n"/>
      <c r="G81" s="16" t="n"/>
      <c r="H81" s="16" t="n"/>
      <c r="I81" s="20">
        <f>IF(A81="","",VLOOKUP(A81,'Policy Inventory'!$A:$P,16,FALSE))</f>
        <v/>
      </c>
      <c r="J81" s="16" t="n"/>
      <c r="K81" s="16" t="n"/>
      <c r="L81" s="16" t="n"/>
      <c r="M81" s="16" t="n"/>
      <c r="N81" s="19">
        <f>IF(B81="","",IF(AND(G81="Yes",OR(C81="No",AND(C81&lt;&gt;"No",I81&gt;=0.9)),L81&lt;&gt;"No"),"Compliant",IF(OR(G81="No",AND(C81&lt;&gt;"No",I81&lt;0.7)),"Non-Compliant","Partial")))</f>
        <v/>
      </c>
      <c r="O81" s="16" t="n"/>
      <c r="P81" s="16" t="n"/>
    </row>
    <row r="82">
      <c r="A82" s="19">
        <f>IF(ROW()-5&lt;=COUNTA('Policy Inventory'!$A:$A)-4,INDEX('Policy Inventory'!$A:$A,ROW()-1),"")</f>
        <v/>
      </c>
      <c r="B82" s="19">
        <f>IF(A82&lt;&gt;"",VLOOKUP(A82,'Policy Inventory'!$A:$B,2,FALSE),"")</f>
        <v/>
      </c>
      <c r="C82" s="19">
        <f>IF(A82&lt;&gt;"",VLOOKUP(A82,'Policy Inventory'!$A:$O,15,FALSE),"")</f>
        <v/>
      </c>
      <c r="D82" s="16" t="n"/>
      <c r="E82" s="17" t="n"/>
      <c r="F82" s="16" t="n"/>
      <c r="G82" s="16" t="n"/>
      <c r="H82" s="16" t="n"/>
      <c r="I82" s="20">
        <f>IF(A82="","",VLOOKUP(A82,'Policy Inventory'!$A:$P,16,FALSE))</f>
        <v/>
      </c>
      <c r="J82" s="16" t="n"/>
      <c r="K82" s="16" t="n"/>
      <c r="L82" s="16" t="n"/>
      <c r="M82" s="16" t="n"/>
      <c r="N82" s="19">
        <f>IF(B82="","",IF(AND(G82="Yes",OR(C82="No",AND(C82&lt;&gt;"No",I82&gt;=0.9)),L82&lt;&gt;"No"),"Compliant",IF(OR(G82="No",AND(C82&lt;&gt;"No",I82&lt;0.7)),"Non-Compliant","Partial")))</f>
        <v/>
      </c>
      <c r="O82" s="16" t="n"/>
      <c r="P82" s="16" t="n"/>
    </row>
    <row r="83">
      <c r="A83" s="19">
        <f>IF(ROW()-5&lt;=COUNTA('Policy Inventory'!$A:$A)-4,INDEX('Policy Inventory'!$A:$A,ROW()-1),"")</f>
        <v/>
      </c>
      <c r="B83" s="19">
        <f>IF(A83&lt;&gt;"",VLOOKUP(A83,'Policy Inventory'!$A:$B,2,FALSE),"")</f>
        <v/>
      </c>
      <c r="C83" s="19">
        <f>IF(A83&lt;&gt;"",VLOOKUP(A83,'Policy Inventory'!$A:$O,15,FALSE),"")</f>
        <v/>
      </c>
      <c r="D83" s="16" t="n"/>
      <c r="E83" s="17" t="n"/>
      <c r="F83" s="16" t="n"/>
      <c r="G83" s="16" t="n"/>
      <c r="H83" s="16" t="n"/>
      <c r="I83" s="20">
        <f>IF(A83="","",VLOOKUP(A83,'Policy Inventory'!$A:$P,16,FALSE))</f>
        <v/>
      </c>
      <c r="J83" s="16" t="n"/>
      <c r="K83" s="16" t="n"/>
      <c r="L83" s="16" t="n"/>
      <c r="M83" s="16" t="n"/>
      <c r="N83" s="19">
        <f>IF(B83="","",IF(AND(G83="Yes",OR(C83="No",AND(C83&lt;&gt;"No",I83&gt;=0.9)),L83&lt;&gt;"No"),"Compliant",IF(OR(G83="No",AND(C83&lt;&gt;"No",I83&lt;0.7)),"Non-Compliant","Partial")))</f>
        <v/>
      </c>
      <c r="O83" s="16" t="n"/>
      <c r="P83" s="16" t="n"/>
    </row>
    <row r="84">
      <c r="A84" s="19">
        <f>IF(ROW()-5&lt;=COUNTA('Policy Inventory'!$A:$A)-4,INDEX('Policy Inventory'!$A:$A,ROW()-1),"")</f>
        <v/>
      </c>
      <c r="B84" s="19">
        <f>IF(A84&lt;&gt;"",VLOOKUP(A84,'Policy Inventory'!$A:$B,2,FALSE),"")</f>
        <v/>
      </c>
      <c r="C84" s="19">
        <f>IF(A84&lt;&gt;"",VLOOKUP(A84,'Policy Inventory'!$A:$O,15,FALSE),"")</f>
        <v/>
      </c>
      <c r="D84" s="16" t="n"/>
      <c r="E84" s="17" t="n"/>
      <c r="F84" s="16" t="n"/>
      <c r="G84" s="16" t="n"/>
      <c r="H84" s="16" t="n"/>
      <c r="I84" s="20">
        <f>IF(A84="","",VLOOKUP(A84,'Policy Inventory'!$A:$P,16,FALSE))</f>
        <v/>
      </c>
      <c r="J84" s="16" t="n"/>
      <c r="K84" s="16" t="n"/>
      <c r="L84" s="16" t="n"/>
      <c r="M84" s="16" t="n"/>
      <c r="N84" s="19">
        <f>IF(B84="","",IF(AND(G84="Yes",OR(C84="No",AND(C84&lt;&gt;"No",I84&gt;=0.9)),L84&lt;&gt;"No"),"Compliant",IF(OR(G84="No",AND(C84&lt;&gt;"No",I84&lt;0.7)),"Non-Compliant","Partial")))</f>
        <v/>
      </c>
      <c r="O84" s="16" t="n"/>
      <c r="P84" s="16" t="n"/>
    </row>
    <row r="85">
      <c r="A85" s="19">
        <f>IF(ROW()-5&lt;=COUNTA('Policy Inventory'!$A:$A)-4,INDEX('Policy Inventory'!$A:$A,ROW()-1),"")</f>
        <v/>
      </c>
      <c r="B85" s="19">
        <f>IF(A85&lt;&gt;"",VLOOKUP(A85,'Policy Inventory'!$A:$B,2,FALSE),"")</f>
        <v/>
      </c>
      <c r="C85" s="19">
        <f>IF(A85&lt;&gt;"",VLOOKUP(A85,'Policy Inventory'!$A:$O,15,FALSE),"")</f>
        <v/>
      </c>
      <c r="D85" s="16" t="n"/>
      <c r="E85" s="17" t="n"/>
      <c r="F85" s="16" t="n"/>
      <c r="G85" s="16" t="n"/>
      <c r="H85" s="16" t="n"/>
      <c r="I85" s="20">
        <f>IF(A85="","",VLOOKUP(A85,'Policy Inventory'!$A:$P,16,FALSE))</f>
        <v/>
      </c>
      <c r="J85" s="16" t="n"/>
      <c r="K85" s="16" t="n"/>
      <c r="L85" s="16" t="n"/>
      <c r="M85" s="16" t="n"/>
      <c r="N85" s="19">
        <f>IF(B85="","",IF(AND(G85="Yes",OR(C85="No",AND(C85&lt;&gt;"No",I85&gt;=0.9)),L85&lt;&gt;"No"),"Compliant",IF(OR(G85="No",AND(C85&lt;&gt;"No",I85&lt;0.7)),"Non-Compliant","Partial")))</f>
        <v/>
      </c>
      <c r="O85" s="16" t="n"/>
      <c r="P85" s="16" t="n"/>
    </row>
    <row r="86">
      <c r="A86" s="19">
        <f>IF(ROW()-5&lt;=COUNTA('Policy Inventory'!$A:$A)-4,INDEX('Policy Inventory'!$A:$A,ROW()-1),"")</f>
        <v/>
      </c>
      <c r="B86" s="19">
        <f>IF(A86&lt;&gt;"",VLOOKUP(A86,'Policy Inventory'!$A:$B,2,FALSE),"")</f>
        <v/>
      </c>
      <c r="C86" s="19">
        <f>IF(A86&lt;&gt;"",VLOOKUP(A86,'Policy Inventory'!$A:$O,15,FALSE),"")</f>
        <v/>
      </c>
      <c r="D86" s="16" t="n"/>
      <c r="E86" s="17" t="n"/>
      <c r="F86" s="16" t="n"/>
      <c r="G86" s="16" t="n"/>
      <c r="H86" s="16" t="n"/>
      <c r="I86" s="20">
        <f>IF(A86="","",VLOOKUP(A86,'Policy Inventory'!$A:$P,16,FALSE))</f>
        <v/>
      </c>
      <c r="J86" s="16" t="n"/>
      <c r="K86" s="16" t="n"/>
      <c r="L86" s="16" t="n"/>
      <c r="M86" s="16" t="n"/>
      <c r="N86" s="19">
        <f>IF(B86="","",IF(AND(G86="Yes",OR(C86="No",AND(C86&lt;&gt;"No",I86&gt;=0.9)),L86&lt;&gt;"No"),"Compliant",IF(OR(G86="No",AND(C86&lt;&gt;"No",I86&lt;0.7)),"Non-Compliant","Partial")))</f>
        <v/>
      </c>
      <c r="O86" s="16" t="n"/>
      <c r="P86" s="16" t="n"/>
    </row>
    <row r="87">
      <c r="A87" s="19">
        <f>IF(ROW()-5&lt;=COUNTA('Policy Inventory'!$A:$A)-4,INDEX('Policy Inventory'!$A:$A,ROW()-1),"")</f>
        <v/>
      </c>
      <c r="B87" s="19">
        <f>IF(A87&lt;&gt;"",VLOOKUP(A87,'Policy Inventory'!$A:$B,2,FALSE),"")</f>
        <v/>
      </c>
      <c r="C87" s="19">
        <f>IF(A87&lt;&gt;"",VLOOKUP(A87,'Policy Inventory'!$A:$O,15,FALSE),"")</f>
        <v/>
      </c>
      <c r="D87" s="16" t="n"/>
      <c r="E87" s="17" t="n"/>
      <c r="F87" s="16" t="n"/>
      <c r="G87" s="16" t="n"/>
      <c r="H87" s="16" t="n"/>
      <c r="I87" s="20">
        <f>IF(A87="","",VLOOKUP(A87,'Policy Inventory'!$A:$P,16,FALSE))</f>
        <v/>
      </c>
      <c r="J87" s="16" t="n"/>
      <c r="K87" s="16" t="n"/>
      <c r="L87" s="16" t="n"/>
      <c r="M87" s="16" t="n"/>
      <c r="N87" s="19">
        <f>IF(B87="","",IF(AND(G87="Yes",OR(C87="No",AND(C87&lt;&gt;"No",I87&gt;=0.9)),L87&lt;&gt;"No"),"Compliant",IF(OR(G87="No",AND(C87&lt;&gt;"No",I87&lt;0.7)),"Non-Compliant","Partial")))</f>
        <v/>
      </c>
      <c r="O87" s="16" t="n"/>
      <c r="P87" s="16" t="n"/>
    </row>
    <row r="88">
      <c r="A88" s="19">
        <f>IF(ROW()-5&lt;=COUNTA('Policy Inventory'!$A:$A)-4,INDEX('Policy Inventory'!$A:$A,ROW()-1),"")</f>
        <v/>
      </c>
      <c r="B88" s="19">
        <f>IF(A88&lt;&gt;"",VLOOKUP(A88,'Policy Inventory'!$A:$B,2,FALSE),"")</f>
        <v/>
      </c>
      <c r="C88" s="19">
        <f>IF(A88&lt;&gt;"",VLOOKUP(A88,'Policy Inventory'!$A:$O,15,FALSE),"")</f>
        <v/>
      </c>
      <c r="D88" s="16" t="n"/>
      <c r="E88" s="17" t="n"/>
      <c r="F88" s="16" t="n"/>
      <c r="G88" s="16" t="n"/>
      <c r="H88" s="16" t="n"/>
      <c r="I88" s="20">
        <f>IF(A88="","",VLOOKUP(A88,'Policy Inventory'!$A:$P,16,FALSE))</f>
        <v/>
      </c>
      <c r="J88" s="16" t="n"/>
      <c r="K88" s="16" t="n"/>
      <c r="L88" s="16" t="n"/>
      <c r="M88" s="16" t="n"/>
      <c r="N88" s="19">
        <f>IF(B88="","",IF(AND(G88="Yes",OR(C88="No",AND(C88&lt;&gt;"No",I88&gt;=0.9)),L88&lt;&gt;"No"),"Compliant",IF(OR(G88="No",AND(C88&lt;&gt;"No",I88&lt;0.7)),"Non-Compliant","Partial")))</f>
        <v/>
      </c>
      <c r="O88" s="16" t="n"/>
      <c r="P88" s="16" t="n"/>
    </row>
    <row r="89">
      <c r="A89" s="19">
        <f>IF(ROW()-5&lt;=COUNTA('Policy Inventory'!$A:$A)-4,INDEX('Policy Inventory'!$A:$A,ROW()-1),"")</f>
        <v/>
      </c>
      <c r="B89" s="19">
        <f>IF(A89&lt;&gt;"",VLOOKUP(A89,'Policy Inventory'!$A:$B,2,FALSE),"")</f>
        <v/>
      </c>
      <c r="C89" s="19">
        <f>IF(A89&lt;&gt;"",VLOOKUP(A89,'Policy Inventory'!$A:$O,15,FALSE),"")</f>
        <v/>
      </c>
      <c r="D89" s="16" t="n"/>
      <c r="E89" s="17" t="n"/>
      <c r="F89" s="16" t="n"/>
      <c r="G89" s="16" t="n"/>
      <c r="H89" s="16" t="n"/>
      <c r="I89" s="20">
        <f>IF(A89="","",VLOOKUP(A89,'Policy Inventory'!$A:$P,16,FALSE))</f>
        <v/>
      </c>
      <c r="J89" s="16" t="n"/>
      <c r="K89" s="16" t="n"/>
      <c r="L89" s="16" t="n"/>
      <c r="M89" s="16" t="n"/>
      <c r="N89" s="19">
        <f>IF(B89="","",IF(AND(G89="Yes",OR(C89="No",AND(C89&lt;&gt;"No",I89&gt;=0.9)),L89&lt;&gt;"No"),"Compliant",IF(OR(G89="No",AND(C89&lt;&gt;"No",I89&lt;0.7)),"Non-Compliant","Partial")))</f>
        <v/>
      </c>
      <c r="O89" s="16" t="n"/>
      <c r="P89" s="16" t="n"/>
    </row>
    <row r="90">
      <c r="A90" s="19">
        <f>IF(ROW()-5&lt;=COUNTA('Policy Inventory'!$A:$A)-4,INDEX('Policy Inventory'!$A:$A,ROW()-1),"")</f>
        <v/>
      </c>
      <c r="B90" s="19">
        <f>IF(A90&lt;&gt;"",VLOOKUP(A90,'Policy Inventory'!$A:$B,2,FALSE),"")</f>
        <v/>
      </c>
      <c r="C90" s="19">
        <f>IF(A90&lt;&gt;"",VLOOKUP(A90,'Policy Inventory'!$A:$O,15,FALSE),"")</f>
        <v/>
      </c>
      <c r="D90" s="16" t="n"/>
      <c r="E90" s="17" t="n"/>
      <c r="F90" s="16" t="n"/>
      <c r="G90" s="16" t="n"/>
      <c r="H90" s="16" t="n"/>
      <c r="I90" s="20">
        <f>IF(A90="","",VLOOKUP(A90,'Policy Inventory'!$A:$P,16,FALSE))</f>
        <v/>
      </c>
      <c r="J90" s="16" t="n"/>
      <c r="K90" s="16" t="n"/>
      <c r="L90" s="16" t="n"/>
      <c r="M90" s="16" t="n"/>
      <c r="N90" s="19">
        <f>IF(B90="","",IF(AND(G90="Yes",OR(C90="No",AND(C90&lt;&gt;"No",I90&gt;=0.9)),L90&lt;&gt;"No"),"Compliant",IF(OR(G90="No",AND(C90&lt;&gt;"No",I90&lt;0.7)),"Non-Compliant","Partial")))</f>
        <v/>
      </c>
      <c r="O90" s="16" t="n"/>
      <c r="P90" s="16" t="n"/>
    </row>
    <row r="91">
      <c r="A91" s="19">
        <f>IF(ROW()-5&lt;=COUNTA('Policy Inventory'!$A:$A)-4,INDEX('Policy Inventory'!$A:$A,ROW()-1),"")</f>
        <v/>
      </c>
      <c r="B91" s="19">
        <f>IF(A91&lt;&gt;"",VLOOKUP(A91,'Policy Inventory'!$A:$B,2,FALSE),"")</f>
        <v/>
      </c>
      <c r="C91" s="19">
        <f>IF(A91&lt;&gt;"",VLOOKUP(A91,'Policy Inventory'!$A:$O,15,FALSE),"")</f>
        <v/>
      </c>
      <c r="D91" s="16" t="n"/>
      <c r="E91" s="17" t="n"/>
      <c r="F91" s="16" t="n"/>
      <c r="G91" s="16" t="n"/>
      <c r="H91" s="16" t="n"/>
      <c r="I91" s="20">
        <f>IF(A91="","",VLOOKUP(A91,'Policy Inventory'!$A:$P,16,FALSE))</f>
        <v/>
      </c>
      <c r="J91" s="16" t="n"/>
      <c r="K91" s="16" t="n"/>
      <c r="L91" s="16" t="n"/>
      <c r="M91" s="16" t="n"/>
      <c r="N91" s="19">
        <f>IF(B91="","",IF(AND(G91="Yes",OR(C91="No",AND(C91&lt;&gt;"No",I91&gt;=0.9)),L91&lt;&gt;"No"),"Compliant",IF(OR(G91="No",AND(C91&lt;&gt;"No",I91&lt;0.7)),"Non-Compliant","Partial")))</f>
        <v/>
      </c>
      <c r="O91" s="16" t="n"/>
      <c r="P91" s="16" t="n"/>
    </row>
    <row r="92">
      <c r="A92" s="19">
        <f>IF(ROW()-5&lt;=COUNTA('Policy Inventory'!$A:$A)-4,INDEX('Policy Inventory'!$A:$A,ROW()-1),"")</f>
        <v/>
      </c>
      <c r="B92" s="19">
        <f>IF(A92&lt;&gt;"",VLOOKUP(A92,'Policy Inventory'!$A:$B,2,FALSE),"")</f>
        <v/>
      </c>
      <c r="C92" s="19">
        <f>IF(A92&lt;&gt;"",VLOOKUP(A92,'Policy Inventory'!$A:$O,15,FALSE),"")</f>
        <v/>
      </c>
      <c r="D92" s="16" t="n"/>
      <c r="E92" s="17" t="n"/>
      <c r="F92" s="16" t="n"/>
      <c r="G92" s="16" t="n"/>
      <c r="H92" s="16" t="n"/>
      <c r="I92" s="20">
        <f>IF(A92="","",VLOOKUP(A92,'Policy Inventory'!$A:$P,16,FALSE))</f>
        <v/>
      </c>
      <c r="J92" s="16" t="n"/>
      <c r="K92" s="16" t="n"/>
      <c r="L92" s="16" t="n"/>
      <c r="M92" s="16" t="n"/>
      <c r="N92" s="19">
        <f>IF(B92="","",IF(AND(G92="Yes",OR(C92="No",AND(C92&lt;&gt;"No",I92&gt;=0.9)),L92&lt;&gt;"No"),"Compliant",IF(OR(G92="No",AND(C92&lt;&gt;"No",I92&lt;0.7)),"Non-Compliant","Partial")))</f>
        <v/>
      </c>
      <c r="O92" s="16" t="n"/>
      <c r="P92" s="16" t="n"/>
    </row>
    <row r="93">
      <c r="A93" s="19">
        <f>IF(ROW()-5&lt;=COUNTA('Policy Inventory'!$A:$A)-4,INDEX('Policy Inventory'!$A:$A,ROW()-1),"")</f>
        <v/>
      </c>
      <c r="B93" s="19">
        <f>IF(A93&lt;&gt;"",VLOOKUP(A93,'Policy Inventory'!$A:$B,2,FALSE),"")</f>
        <v/>
      </c>
      <c r="C93" s="19">
        <f>IF(A93&lt;&gt;"",VLOOKUP(A93,'Policy Inventory'!$A:$O,15,FALSE),"")</f>
        <v/>
      </c>
      <c r="D93" s="16" t="n"/>
      <c r="E93" s="17" t="n"/>
      <c r="F93" s="16" t="n"/>
      <c r="G93" s="16" t="n"/>
      <c r="H93" s="16" t="n"/>
      <c r="I93" s="20">
        <f>IF(A93="","",VLOOKUP(A93,'Policy Inventory'!$A:$P,16,FALSE))</f>
        <v/>
      </c>
      <c r="J93" s="16" t="n"/>
      <c r="K93" s="16" t="n"/>
      <c r="L93" s="16" t="n"/>
      <c r="M93" s="16" t="n"/>
      <c r="N93" s="19">
        <f>IF(B93="","",IF(AND(G93="Yes",OR(C93="No",AND(C93&lt;&gt;"No",I93&gt;=0.9)),L93&lt;&gt;"No"),"Compliant",IF(OR(G93="No",AND(C93&lt;&gt;"No",I93&lt;0.7)),"Non-Compliant","Partial")))</f>
        <v/>
      </c>
      <c r="O93" s="16" t="n"/>
      <c r="P93" s="16" t="n"/>
    </row>
    <row r="94">
      <c r="A94" s="19">
        <f>IF(ROW()-5&lt;=COUNTA('Policy Inventory'!$A:$A)-4,INDEX('Policy Inventory'!$A:$A,ROW()-1),"")</f>
        <v/>
      </c>
      <c r="B94" s="19">
        <f>IF(A94&lt;&gt;"",VLOOKUP(A94,'Policy Inventory'!$A:$B,2,FALSE),"")</f>
        <v/>
      </c>
      <c r="C94" s="19">
        <f>IF(A94&lt;&gt;"",VLOOKUP(A94,'Policy Inventory'!$A:$O,15,FALSE),"")</f>
        <v/>
      </c>
      <c r="D94" s="16" t="n"/>
      <c r="E94" s="17" t="n"/>
      <c r="F94" s="16" t="n"/>
      <c r="G94" s="16" t="n"/>
      <c r="H94" s="16" t="n"/>
      <c r="I94" s="20">
        <f>IF(A94="","",VLOOKUP(A94,'Policy Inventory'!$A:$P,16,FALSE))</f>
        <v/>
      </c>
      <c r="J94" s="16" t="n"/>
      <c r="K94" s="16" t="n"/>
      <c r="L94" s="16" t="n"/>
      <c r="M94" s="16" t="n"/>
      <c r="N94" s="19">
        <f>IF(B94="","",IF(AND(G94="Yes",OR(C94="No",AND(C94&lt;&gt;"No",I94&gt;=0.9)),L94&lt;&gt;"No"),"Compliant",IF(OR(G94="No",AND(C94&lt;&gt;"No",I94&lt;0.7)),"Non-Compliant","Partial")))</f>
        <v/>
      </c>
      <c r="O94" s="16" t="n"/>
      <c r="P94" s="16" t="n"/>
    </row>
    <row r="95">
      <c r="A95" s="19">
        <f>IF(ROW()-5&lt;=COUNTA('Policy Inventory'!$A:$A)-4,INDEX('Policy Inventory'!$A:$A,ROW()-1),"")</f>
        <v/>
      </c>
      <c r="B95" s="19">
        <f>IF(A95&lt;&gt;"",VLOOKUP(A95,'Policy Inventory'!$A:$B,2,FALSE),"")</f>
        <v/>
      </c>
      <c r="C95" s="19">
        <f>IF(A95&lt;&gt;"",VLOOKUP(A95,'Policy Inventory'!$A:$O,15,FALSE),"")</f>
        <v/>
      </c>
      <c r="D95" s="16" t="n"/>
      <c r="E95" s="17" t="n"/>
      <c r="F95" s="16" t="n"/>
      <c r="G95" s="16" t="n"/>
      <c r="H95" s="16" t="n"/>
      <c r="I95" s="20">
        <f>IF(A95="","",VLOOKUP(A95,'Policy Inventory'!$A:$P,16,FALSE))</f>
        <v/>
      </c>
      <c r="J95" s="16" t="n"/>
      <c r="K95" s="16" t="n"/>
      <c r="L95" s="16" t="n"/>
      <c r="M95" s="16" t="n"/>
      <c r="N95" s="19">
        <f>IF(B95="","",IF(AND(G95="Yes",OR(C95="No",AND(C95&lt;&gt;"No",I95&gt;=0.9)),L95&lt;&gt;"No"),"Compliant",IF(OR(G95="No",AND(C95&lt;&gt;"No",I95&lt;0.7)),"Non-Compliant","Partial")))</f>
        <v/>
      </c>
      <c r="O95" s="16" t="n"/>
      <c r="P95" s="16" t="n"/>
    </row>
    <row r="96">
      <c r="A96" s="19">
        <f>IF(ROW()-5&lt;=COUNTA('Policy Inventory'!$A:$A)-4,INDEX('Policy Inventory'!$A:$A,ROW()-1),"")</f>
        <v/>
      </c>
      <c r="B96" s="19">
        <f>IF(A96&lt;&gt;"",VLOOKUP(A96,'Policy Inventory'!$A:$B,2,FALSE),"")</f>
        <v/>
      </c>
      <c r="C96" s="19">
        <f>IF(A96&lt;&gt;"",VLOOKUP(A96,'Policy Inventory'!$A:$O,15,FALSE),"")</f>
        <v/>
      </c>
      <c r="D96" s="16" t="n"/>
      <c r="E96" s="17" t="n"/>
      <c r="F96" s="16" t="n"/>
      <c r="G96" s="16" t="n"/>
      <c r="H96" s="16" t="n"/>
      <c r="I96" s="20">
        <f>IF(A96="","",VLOOKUP(A96,'Policy Inventory'!$A:$P,16,FALSE))</f>
        <v/>
      </c>
      <c r="J96" s="16" t="n"/>
      <c r="K96" s="16" t="n"/>
      <c r="L96" s="16" t="n"/>
      <c r="M96" s="16" t="n"/>
      <c r="N96" s="19">
        <f>IF(B96="","",IF(AND(G96="Yes",OR(C96="No",AND(C96&lt;&gt;"No",I96&gt;=0.9)),L96&lt;&gt;"No"),"Compliant",IF(OR(G96="No",AND(C96&lt;&gt;"No",I96&lt;0.7)),"Non-Compliant","Partial")))</f>
        <v/>
      </c>
      <c r="O96" s="16" t="n"/>
      <c r="P96" s="16" t="n"/>
    </row>
    <row r="97">
      <c r="A97" s="19">
        <f>IF(ROW()-5&lt;=COUNTA('Policy Inventory'!$A:$A)-4,INDEX('Policy Inventory'!$A:$A,ROW()-1),"")</f>
        <v/>
      </c>
      <c r="B97" s="19">
        <f>IF(A97&lt;&gt;"",VLOOKUP(A97,'Policy Inventory'!$A:$B,2,FALSE),"")</f>
        <v/>
      </c>
      <c r="C97" s="19">
        <f>IF(A97&lt;&gt;"",VLOOKUP(A97,'Policy Inventory'!$A:$O,15,FALSE),"")</f>
        <v/>
      </c>
      <c r="D97" s="16" t="n"/>
      <c r="E97" s="17" t="n"/>
      <c r="F97" s="16" t="n"/>
      <c r="G97" s="16" t="n"/>
      <c r="H97" s="16" t="n"/>
      <c r="I97" s="20">
        <f>IF(A97="","",VLOOKUP(A97,'Policy Inventory'!$A:$P,16,FALSE))</f>
        <v/>
      </c>
      <c r="J97" s="16" t="n"/>
      <c r="K97" s="16" t="n"/>
      <c r="L97" s="16" t="n"/>
      <c r="M97" s="16" t="n"/>
      <c r="N97" s="19">
        <f>IF(B97="","",IF(AND(G97="Yes",OR(C97="No",AND(C97&lt;&gt;"No",I97&gt;=0.9)),L97&lt;&gt;"No"),"Compliant",IF(OR(G97="No",AND(C97&lt;&gt;"No",I97&lt;0.7)),"Non-Compliant","Partial")))</f>
        <v/>
      </c>
      <c r="O97" s="16" t="n"/>
      <c r="P97" s="16" t="n"/>
    </row>
    <row r="98">
      <c r="A98" s="19">
        <f>IF(ROW()-5&lt;=COUNTA('Policy Inventory'!$A:$A)-4,INDEX('Policy Inventory'!$A:$A,ROW()-1),"")</f>
        <v/>
      </c>
      <c r="B98" s="19">
        <f>IF(A98&lt;&gt;"",VLOOKUP(A98,'Policy Inventory'!$A:$B,2,FALSE),"")</f>
        <v/>
      </c>
      <c r="C98" s="19">
        <f>IF(A98&lt;&gt;"",VLOOKUP(A98,'Policy Inventory'!$A:$O,15,FALSE),"")</f>
        <v/>
      </c>
      <c r="D98" s="16" t="n"/>
      <c r="E98" s="17" t="n"/>
      <c r="F98" s="16" t="n"/>
      <c r="G98" s="16" t="n"/>
      <c r="H98" s="16" t="n"/>
      <c r="I98" s="20">
        <f>IF(A98="","",VLOOKUP(A98,'Policy Inventory'!$A:$P,16,FALSE))</f>
        <v/>
      </c>
      <c r="J98" s="16" t="n"/>
      <c r="K98" s="16" t="n"/>
      <c r="L98" s="16" t="n"/>
      <c r="M98" s="16" t="n"/>
      <c r="N98" s="19">
        <f>IF(B98="","",IF(AND(G98="Yes",OR(C98="No",AND(C98&lt;&gt;"No",I98&gt;=0.9)),L98&lt;&gt;"No"),"Compliant",IF(OR(G98="No",AND(C98&lt;&gt;"No",I98&lt;0.7)),"Non-Compliant","Partial")))</f>
        <v/>
      </c>
      <c r="O98" s="16" t="n"/>
      <c r="P98" s="16" t="n"/>
    </row>
    <row r="99">
      <c r="A99" s="19">
        <f>IF(ROW()-5&lt;=COUNTA('Policy Inventory'!$A:$A)-4,INDEX('Policy Inventory'!$A:$A,ROW()-1),"")</f>
        <v/>
      </c>
      <c r="B99" s="19">
        <f>IF(A99&lt;&gt;"",VLOOKUP(A99,'Policy Inventory'!$A:$B,2,FALSE),"")</f>
        <v/>
      </c>
      <c r="C99" s="19">
        <f>IF(A99&lt;&gt;"",VLOOKUP(A99,'Policy Inventory'!$A:$O,15,FALSE),"")</f>
        <v/>
      </c>
      <c r="D99" s="16" t="n"/>
      <c r="E99" s="17" t="n"/>
      <c r="F99" s="16" t="n"/>
      <c r="G99" s="16" t="n"/>
      <c r="H99" s="16" t="n"/>
      <c r="I99" s="20">
        <f>IF(A99="","",VLOOKUP(A99,'Policy Inventory'!$A:$P,16,FALSE))</f>
        <v/>
      </c>
      <c r="J99" s="16" t="n"/>
      <c r="K99" s="16" t="n"/>
      <c r="L99" s="16" t="n"/>
      <c r="M99" s="16" t="n"/>
      <c r="N99" s="19">
        <f>IF(B99="","",IF(AND(G99="Yes",OR(C99="No",AND(C99&lt;&gt;"No",I99&gt;=0.9)),L99&lt;&gt;"No"),"Compliant",IF(OR(G99="No",AND(C99&lt;&gt;"No",I99&lt;0.7)),"Non-Compliant","Partial")))</f>
        <v/>
      </c>
      <c r="O99" s="16" t="n"/>
      <c r="P99" s="16" t="n"/>
    </row>
    <row r="100">
      <c r="A100" s="19">
        <f>IF(ROW()-5&lt;=COUNTA('Policy Inventory'!$A:$A)-4,INDEX('Policy Inventory'!$A:$A,ROW()-1),"")</f>
        <v/>
      </c>
      <c r="B100" s="19">
        <f>IF(A100&lt;&gt;"",VLOOKUP(A100,'Policy Inventory'!$A:$B,2,FALSE),"")</f>
        <v/>
      </c>
      <c r="C100" s="19">
        <f>IF(A100&lt;&gt;"",VLOOKUP(A100,'Policy Inventory'!$A:$O,15,FALSE),"")</f>
        <v/>
      </c>
      <c r="D100" s="16" t="n"/>
      <c r="E100" s="17" t="n"/>
      <c r="F100" s="16" t="n"/>
      <c r="G100" s="16" t="n"/>
      <c r="H100" s="16" t="n"/>
      <c r="I100" s="20">
        <f>IF(A100="","",VLOOKUP(A100,'Policy Inventory'!$A:$P,16,FALSE))</f>
        <v/>
      </c>
      <c r="J100" s="16" t="n"/>
      <c r="K100" s="16" t="n"/>
      <c r="L100" s="16" t="n"/>
      <c r="M100" s="16" t="n"/>
      <c r="N100" s="19">
        <f>IF(B100="","",IF(AND(G100="Yes",OR(C100="No",AND(C100&lt;&gt;"No",I100&gt;=0.9)),L100&lt;&gt;"No"),"Compliant",IF(OR(G100="No",AND(C100&lt;&gt;"No",I100&lt;0.7)),"Non-Compliant","Partial")))</f>
        <v/>
      </c>
      <c r="O100" s="16" t="n"/>
      <c r="P100" s="16" t="n"/>
    </row>
    <row r="101">
      <c r="A101" s="19">
        <f>IF(ROW()-5&lt;=COUNTA('Policy Inventory'!$A:$A)-4,INDEX('Policy Inventory'!$A:$A,ROW()-1),"")</f>
        <v/>
      </c>
      <c r="B101" s="19">
        <f>IF(A101&lt;&gt;"",VLOOKUP(A101,'Policy Inventory'!$A:$B,2,FALSE),"")</f>
        <v/>
      </c>
      <c r="C101" s="19">
        <f>IF(A101&lt;&gt;"",VLOOKUP(A101,'Policy Inventory'!$A:$O,15,FALSE),"")</f>
        <v/>
      </c>
      <c r="D101" s="16" t="n"/>
      <c r="E101" s="17" t="n"/>
      <c r="F101" s="16" t="n"/>
      <c r="G101" s="16" t="n"/>
      <c r="H101" s="16" t="n"/>
      <c r="I101" s="20">
        <f>IF(A101="","",VLOOKUP(A101,'Policy Inventory'!$A:$P,16,FALSE))</f>
        <v/>
      </c>
      <c r="J101" s="16" t="n"/>
      <c r="K101" s="16" t="n"/>
      <c r="L101" s="16" t="n"/>
      <c r="M101" s="16" t="n"/>
      <c r="N101" s="19">
        <f>IF(B101="","",IF(AND(G101="Yes",OR(C101="No",AND(C101&lt;&gt;"No",I101&gt;=0.9)),L101&lt;&gt;"No"),"Compliant",IF(OR(G101="No",AND(C101&lt;&gt;"No",I101&lt;0.7)),"Non-Compliant","Partial")))</f>
        <v/>
      </c>
      <c r="O101" s="16" t="n"/>
      <c r="P101" s="16" t="n"/>
    </row>
    <row r="102">
      <c r="A102" s="19">
        <f>IF(ROW()-5&lt;=COUNTA('Policy Inventory'!$A:$A)-4,INDEX('Policy Inventory'!$A:$A,ROW()-1),"")</f>
        <v/>
      </c>
      <c r="B102" s="19">
        <f>IF(A102&lt;&gt;"",VLOOKUP(A102,'Policy Inventory'!$A:$B,2,FALSE),"")</f>
        <v/>
      </c>
      <c r="C102" s="19">
        <f>IF(A102&lt;&gt;"",VLOOKUP(A102,'Policy Inventory'!$A:$O,15,FALSE),"")</f>
        <v/>
      </c>
      <c r="D102" s="16" t="n"/>
      <c r="E102" s="17" t="n"/>
      <c r="F102" s="16" t="n"/>
      <c r="G102" s="16" t="n"/>
      <c r="H102" s="16" t="n"/>
      <c r="I102" s="20">
        <f>IF(A102="","",VLOOKUP(A102,'Policy Inventory'!$A:$P,16,FALSE))</f>
        <v/>
      </c>
      <c r="J102" s="16" t="n"/>
      <c r="K102" s="16" t="n"/>
      <c r="L102" s="16" t="n"/>
      <c r="M102" s="16" t="n"/>
      <c r="N102" s="19">
        <f>IF(B102="","",IF(AND(G102="Yes",OR(C102="No",AND(C102&lt;&gt;"No",I102&gt;=0.9)),L102&lt;&gt;"No"),"Compliant",IF(OR(G102="No",AND(C102&lt;&gt;"No",I102&lt;0.7)),"Non-Compliant","Partial")))</f>
        <v/>
      </c>
      <c r="O102" s="16" t="n"/>
      <c r="P102" s="16" t="n"/>
    </row>
    <row r="103">
      <c r="A103" s="19">
        <f>IF(ROW()-5&lt;=COUNTA('Policy Inventory'!$A:$A)-4,INDEX('Policy Inventory'!$A:$A,ROW()-1),"")</f>
        <v/>
      </c>
      <c r="B103" s="19">
        <f>IF(A103&lt;&gt;"",VLOOKUP(A103,'Policy Inventory'!$A:$B,2,FALSE),"")</f>
        <v/>
      </c>
      <c r="C103" s="19">
        <f>IF(A103&lt;&gt;"",VLOOKUP(A103,'Policy Inventory'!$A:$O,15,FALSE),"")</f>
        <v/>
      </c>
      <c r="D103" s="16" t="n"/>
      <c r="E103" s="17" t="n"/>
      <c r="F103" s="16" t="n"/>
      <c r="G103" s="16" t="n"/>
      <c r="H103" s="16" t="n"/>
      <c r="I103" s="20">
        <f>IF(A103="","",VLOOKUP(A103,'Policy Inventory'!$A:$P,16,FALSE))</f>
        <v/>
      </c>
      <c r="J103" s="16" t="n"/>
      <c r="K103" s="16" t="n"/>
      <c r="L103" s="16" t="n"/>
      <c r="M103" s="16" t="n"/>
      <c r="N103" s="19">
        <f>IF(B103="","",IF(AND(G103="Yes",OR(C103="No",AND(C103&lt;&gt;"No",I103&gt;=0.9)),L103&lt;&gt;"No"),"Compliant",IF(OR(G103="No",AND(C103&lt;&gt;"No",I103&lt;0.7)),"Non-Compliant","Partial")))</f>
        <v/>
      </c>
      <c r="O103" s="16" t="n"/>
      <c r="P103" s="16" t="n"/>
    </row>
    <row r="104">
      <c r="A104" s="19">
        <f>IF(ROW()-5&lt;=COUNTA('Policy Inventory'!$A:$A)-4,INDEX('Policy Inventory'!$A:$A,ROW()-1),"")</f>
        <v/>
      </c>
      <c r="B104" s="19">
        <f>IF(A104&lt;&gt;"",VLOOKUP(A104,'Policy Inventory'!$A:$B,2,FALSE),"")</f>
        <v/>
      </c>
      <c r="C104" s="19">
        <f>IF(A104&lt;&gt;"",VLOOKUP(A104,'Policy Inventory'!$A:$O,15,FALSE),"")</f>
        <v/>
      </c>
      <c r="D104" s="16" t="n"/>
      <c r="E104" s="17" t="n"/>
      <c r="F104" s="16" t="n"/>
      <c r="G104" s="16" t="n"/>
      <c r="H104" s="16" t="n"/>
      <c r="I104" s="20">
        <f>IF(A104="","",VLOOKUP(A104,'Policy Inventory'!$A:$P,16,FALSE))</f>
        <v/>
      </c>
      <c r="J104" s="16" t="n"/>
      <c r="K104" s="16" t="n"/>
      <c r="L104" s="16" t="n"/>
      <c r="M104" s="16" t="n"/>
      <c r="N104" s="19">
        <f>IF(B104="","",IF(AND(G104="Yes",OR(C104="No",AND(C104&lt;&gt;"No",I104&gt;=0.9)),L104&lt;&gt;"No"),"Compliant",IF(OR(G104="No",AND(C104&lt;&gt;"No",I104&lt;0.7)),"Non-Compliant","Partial")))</f>
        <v/>
      </c>
      <c r="O104" s="16" t="n"/>
      <c r="P104" s="16" t="n"/>
    </row>
    <row r="105">
      <c r="A105" s="19">
        <f>IF(ROW()-5&lt;=COUNTA('Policy Inventory'!$A:$A)-4,INDEX('Policy Inventory'!$A:$A,ROW()-1),"")</f>
        <v/>
      </c>
      <c r="B105" s="19">
        <f>IF(A105&lt;&gt;"",VLOOKUP(A105,'Policy Inventory'!$A:$B,2,FALSE),"")</f>
        <v/>
      </c>
      <c r="C105" s="19">
        <f>IF(A105&lt;&gt;"",VLOOKUP(A105,'Policy Inventory'!$A:$O,15,FALSE),"")</f>
        <v/>
      </c>
      <c r="D105" s="16" t="n"/>
      <c r="E105" s="17" t="n"/>
      <c r="F105" s="16" t="n"/>
      <c r="G105" s="16" t="n"/>
      <c r="H105" s="16" t="n"/>
      <c r="I105" s="20">
        <f>IF(A105="","",VLOOKUP(A105,'Policy Inventory'!$A:$P,16,FALSE))</f>
        <v/>
      </c>
      <c r="J105" s="16" t="n"/>
      <c r="K105" s="16" t="n"/>
      <c r="L105" s="16" t="n"/>
      <c r="M105" s="16" t="n"/>
      <c r="N105" s="19">
        <f>IF(B105="","",IF(AND(G105="Yes",OR(C105="No",AND(C105&lt;&gt;"No",I105&gt;=0.9)),L105&lt;&gt;"No"),"Compliant",IF(OR(G105="No",AND(C105&lt;&gt;"No",I105&lt;0.7)),"Non-Compliant","Partial")))</f>
        <v/>
      </c>
      <c r="O105" s="16" t="n"/>
      <c r="P105" s="16" t="n"/>
    </row>
    <row r="106">
      <c r="A106" s="19">
        <f>IF(ROW()-5&lt;=COUNTA('Policy Inventory'!$A:$A)-4,INDEX('Policy Inventory'!$A:$A,ROW()-1),"")</f>
        <v/>
      </c>
      <c r="B106" s="19">
        <f>IF(A106&lt;&gt;"",VLOOKUP(A106,'Policy Inventory'!$A:$B,2,FALSE),"")</f>
        <v/>
      </c>
      <c r="C106" s="19">
        <f>IF(A106&lt;&gt;"",VLOOKUP(A106,'Policy Inventory'!$A:$O,15,FALSE),"")</f>
        <v/>
      </c>
      <c r="D106" s="16" t="n"/>
      <c r="E106" s="17" t="n"/>
      <c r="F106" s="16" t="n"/>
      <c r="G106" s="16" t="n"/>
      <c r="H106" s="16" t="n"/>
      <c r="I106" s="20">
        <f>IF(A106="","",VLOOKUP(A106,'Policy Inventory'!$A:$P,16,FALSE))</f>
        <v/>
      </c>
      <c r="J106" s="16" t="n"/>
      <c r="K106" s="16" t="n"/>
      <c r="L106" s="16" t="n"/>
      <c r="M106" s="16" t="n"/>
      <c r="N106" s="19">
        <f>IF(B106="","",IF(AND(G106="Yes",OR(C106="No",AND(C106&lt;&gt;"No",I106&gt;=0.9)),L106&lt;&gt;"No"),"Compliant",IF(OR(G106="No",AND(C106&lt;&gt;"No",I106&lt;0.7)),"Non-Compliant","Partial")))</f>
        <v/>
      </c>
      <c r="O106" s="16" t="n"/>
      <c r="P106" s="16" t="n"/>
    </row>
    <row r="107">
      <c r="A107" s="19">
        <f>IF(ROW()-5&lt;=COUNTA('Policy Inventory'!$A:$A)-4,INDEX('Policy Inventory'!$A:$A,ROW()-1),"")</f>
        <v/>
      </c>
      <c r="B107" s="19">
        <f>IF(A107&lt;&gt;"",VLOOKUP(A107,'Policy Inventory'!$A:$B,2,FALSE),"")</f>
        <v/>
      </c>
      <c r="C107" s="19">
        <f>IF(A107&lt;&gt;"",VLOOKUP(A107,'Policy Inventory'!$A:$O,15,FALSE),"")</f>
        <v/>
      </c>
      <c r="D107" s="16" t="n"/>
      <c r="E107" s="17" t="n"/>
      <c r="F107" s="16" t="n"/>
      <c r="G107" s="16" t="n"/>
      <c r="H107" s="16" t="n"/>
      <c r="I107" s="20">
        <f>IF(A107="","",VLOOKUP(A107,'Policy Inventory'!$A:$P,16,FALSE))</f>
        <v/>
      </c>
      <c r="J107" s="16" t="n"/>
      <c r="K107" s="16" t="n"/>
      <c r="L107" s="16" t="n"/>
      <c r="M107" s="16" t="n"/>
      <c r="N107" s="19">
        <f>IF(B107="","",IF(AND(G107="Yes",OR(C107="No",AND(C107&lt;&gt;"No",I107&gt;=0.9)),L107&lt;&gt;"No"),"Compliant",IF(OR(G107="No",AND(C107&lt;&gt;"No",I107&lt;0.7)),"Non-Compliant","Partial")))</f>
        <v/>
      </c>
      <c r="O107" s="16" t="n"/>
      <c r="P107" s="16" t="n"/>
    </row>
    <row r="108">
      <c r="A108" s="19">
        <f>IF(ROW()-5&lt;=COUNTA('Policy Inventory'!$A:$A)-4,INDEX('Policy Inventory'!$A:$A,ROW()-1),"")</f>
        <v/>
      </c>
      <c r="B108" s="19">
        <f>IF(A108&lt;&gt;"",VLOOKUP(A108,'Policy Inventory'!$A:$B,2,FALSE),"")</f>
        <v/>
      </c>
      <c r="C108" s="19">
        <f>IF(A108&lt;&gt;"",VLOOKUP(A108,'Policy Inventory'!$A:$O,15,FALSE),"")</f>
        <v/>
      </c>
      <c r="D108" s="16" t="n"/>
      <c r="E108" s="17" t="n"/>
      <c r="F108" s="16" t="n"/>
      <c r="G108" s="16" t="n"/>
      <c r="H108" s="16" t="n"/>
      <c r="I108" s="20">
        <f>IF(A108="","",VLOOKUP(A108,'Policy Inventory'!$A:$P,16,FALSE))</f>
        <v/>
      </c>
      <c r="J108" s="16" t="n"/>
      <c r="K108" s="16" t="n"/>
      <c r="L108" s="16" t="n"/>
      <c r="M108" s="16" t="n"/>
      <c r="N108" s="19">
        <f>IF(B108="","",IF(AND(G108="Yes",OR(C108="No",AND(C108&lt;&gt;"No",I108&gt;=0.9)),L108&lt;&gt;"No"),"Compliant",IF(OR(G108="No",AND(C108&lt;&gt;"No",I108&lt;0.7)),"Non-Compliant","Partial")))</f>
        <v/>
      </c>
      <c r="O108" s="16" t="n"/>
      <c r="P108" s="16" t="n"/>
    </row>
    <row r="109">
      <c r="A109" s="19">
        <f>IF(ROW()-5&lt;=COUNTA('Policy Inventory'!$A:$A)-4,INDEX('Policy Inventory'!$A:$A,ROW()-1),"")</f>
        <v/>
      </c>
      <c r="B109" s="19">
        <f>IF(A109&lt;&gt;"",VLOOKUP(A109,'Policy Inventory'!$A:$B,2,FALSE),"")</f>
        <v/>
      </c>
      <c r="C109" s="19">
        <f>IF(A109&lt;&gt;"",VLOOKUP(A109,'Policy Inventory'!$A:$O,15,FALSE),"")</f>
        <v/>
      </c>
      <c r="D109" s="16" t="n"/>
      <c r="E109" s="17" t="n"/>
      <c r="F109" s="16" t="n"/>
      <c r="G109" s="16" t="n"/>
      <c r="H109" s="16" t="n"/>
      <c r="I109" s="20">
        <f>IF(A109="","",VLOOKUP(A109,'Policy Inventory'!$A:$P,16,FALSE))</f>
        <v/>
      </c>
      <c r="J109" s="16" t="n"/>
      <c r="K109" s="16" t="n"/>
      <c r="L109" s="16" t="n"/>
      <c r="M109" s="16" t="n"/>
      <c r="N109" s="19">
        <f>IF(B109="","",IF(AND(G109="Yes",OR(C109="No",AND(C109&lt;&gt;"No",I109&gt;=0.9)),L109&lt;&gt;"No"),"Compliant",IF(OR(G109="No",AND(C109&lt;&gt;"No",I109&lt;0.7)),"Non-Compliant","Partial")))</f>
        <v/>
      </c>
      <c r="O109" s="16" t="n"/>
      <c r="P109" s="16" t="n"/>
    </row>
    <row r="110">
      <c r="A110" s="19">
        <f>IF(ROW()-5&lt;=COUNTA('Policy Inventory'!$A:$A)-4,INDEX('Policy Inventory'!$A:$A,ROW()-1),"")</f>
        <v/>
      </c>
      <c r="B110" s="19">
        <f>IF(A110&lt;&gt;"",VLOOKUP(A110,'Policy Inventory'!$A:$B,2,FALSE),"")</f>
        <v/>
      </c>
      <c r="C110" s="19">
        <f>IF(A110&lt;&gt;"",VLOOKUP(A110,'Policy Inventory'!$A:$O,15,FALSE),"")</f>
        <v/>
      </c>
      <c r="D110" s="16" t="n"/>
      <c r="E110" s="17" t="n"/>
      <c r="F110" s="16" t="n"/>
      <c r="G110" s="16" t="n"/>
      <c r="H110" s="16" t="n"/>
      <c r="I110" s="20">
        <f>IF(A110="","",VLOOKUP(A110,'Policy Inventory'!$A:$P,16,FALSE))</f>
        <v/>
      </c>
      <c r="J110" s="16" t="n"/>
      <c r="K110" s="16" t="n"/>
      <c r="L110" s="16" t="n"/>
      <c r="M110" s="16" t="n"/>
      <c r="N110" s="19">
        <f>IF(B110="","",IF(AND(G110="Yes",OR(C110="No",AND(C110&lt;&gt;"No",I110&gt;=0.9)),L110&lt;&gt;"No"),"Compliant",IF(OR(G110="No",AND(C110&lt;&gt;"No",I110&lt;0.7)),"Non-Compliant","Partial")))</f>
        <v/>
      </c>
      <c r="O110" s="16" t="n"/>
      <c r="P110" s="16" t="n"/>
    </row>
    <row r="111">
      <c r="A111" s="19">
        <f>IF(ROW()-5&lt;=COUNTA('Policy Inventory'!$A:$A)-4,INDEX('Policy Inventory'!$A:$A,ROW()-1),"")</f>
        <v/>
      </c>
      <c r="B111" s="19">
        <f>IF(A111&lt;&gt;"",VLOOKUP(A111,'Policy Inventory'!$A:$B,2,FALSE),"")</f>
        <v/>
      </c>
      <c r="C111" s="19">
        <f>IF(A111&lt;&gt;"",VLOOKUP(A111,'Policy Inventory'!$A:$O,15,FALSE),"")</f>
        <v/>
      </c>
      <c r="D111" s="16" t="n"/>
      <c r="E111" s="17" t="n"/>
      <c r="F111" s="16" t="n"/>
      <c r="G111" s="16" t="n"/>
      <c r="H111" s="16" t="n"/>
      <c r="I111" s="20">
        <f>IF(A111="","",VLOOKUP(A111,'Policy Inventory'!$A:$P,16,FALSE))</f>
        <v/>
      </c>
      <c r="J111" s="16" t="n"/>
      <c r="K111" s="16" t="n"/>
      <c r="L111" s="16" t="n"/>
      <c r="M111" s="16" t="n"/>
      <c r="N111" s="19">
        <f>IF(B111="","",IF(AND(G111="Yes",OR(C111="No",AND(C111&lt;&gt;"No",I111&gt;=0.9)),L111&lt;&gt;"No"),"Compliant",IF(OR(G111="No",AND(C111&lt;&gt;"No",I111&lt;0.7)),"Non-Compliant","Partial")))</f>
        <v/>
      </c>
      <c r="O111" s="16" t="n"/>
      <c r="P111" s="16" t="n"/>
    </row>
    <row r="112">
      <c r="A112" s="19">
        <f>IF(ROW()-5&lt;=COUNTA('Policy Inventory'!$A:$A)-4,INDEX('Policy Inventory'!$A:$A,ROW()-1),"")</f>
        <v/>
      </c>
      <c r="B112" s="19">
        <f>IF(A112&lt;&gt;"",VLOOKUP(A112,'Policy Inventory'!$A:$B,2,FALSE),"")</f>
        <v/>
      </c>
      <c r="C112" s="19">
        <f>IF(A112&lt;&gt;"",VLOOKUP(A112,'Policy Inventory'!$A:$O,15,FALSE),"")</f>
        <v/>
      </c>
      <c r="D112" s="16" t="n"/>
      <c r="E112" s="17" t="n"/>
      <c r="F112" s="16" t="n"/>
      <c r="G112" s="16" t="n"/>
      <c r="H112" s="16" t="n"/>
      <c r="I112" s="20">
        <f>IF(A112="","",VLOOKUP(A112,'Policy Inventory'!$A:$P,16,FALSE))</f>
        <v/>
      </c>
      <c r="J112" s="16" t="n"/>
      <c r="K112" s="16" t="n"/>
      <c r="L112" s="16" t="n"/>
      <c r="M112" s="16" t="n"/>
      <c r="N112" s="19">
        <f>IF(B112="","",IF(AND(G112="Yes",OR(C112="No",AND(C112&lt;&gt;"No",I112&gt;=0.9)),L112&lt;&gt;"No"),"Compliant",IF(OR(G112="No",AND(C112&lt;&gt;"No",I112&lt;0.7)),"Non-Compliant","Partial")))</f>
        <v/>
      </c>
      <c r="O112" s="16" t="n"/>
      <c r="P112" s="16" t="n"/>
    </row>
    <row r="113">
      <c r="A113" s="19">
        <f>IF(ROW()-5&lt;=COUNTA('Policy Inventory'!$A:$A)-4,INDEX('Policy Inventory'!$A:$A,ROW()-1),"")</f>
        <v/>
      </c>
      <c r="B113" s="19">
        <f>IF(A113&lt;&gt;"",VLOOKUP(A113,'Policy Inventory'!$A:$B,2,FALSE),"")</f>
        <v/>
      </c>
      <c r="C113" s="19">
        <f>IF(A113&lt;&gt;"",VLOOKUP(A113,'Policy Inventory'!$A:$O,15,FALSE),"")</f>
        <v/>
      </c>
      <c r="D113" s="16" t="n"/>
      <c r="E113" s="17" t="n"/>
      <c r="F113" s="16" t="n"/>
      <c r="G113" s="16" t="n"/>
      <c r="H113" s="16" t="n"/>
      <c r="I113" s="20">
        <f>IF(A113="","",VLOOKUP(A113,'Policy Inventory'!$A:$P,16,FALSE))</f>
        <v/>
      </c>
      <c r="J113" s="16" t="n"/>
      <c r="K113" s="16" t="n"/>
      <c r="L113" s="16" t="n"/>
      <c r="M113" s="16" t="n"/>
      <c r="N113" s="19">
        <f>IF(B113="","",IF(AND(G113="Yes",OR(C113="No",AND(C113&lt;&gt;"No",I113&gt;=0.9)),L113&lt;&gt;"No"),"Compliant",IF(OR(G113="No",AND(C113&lt;&gt;"No",I113&lt;0.7)),"Non-Compliant","Partial")))</f>
        <v/>
      </c>
      <c r="O113" s="16" t="n"/>
      <c r="P113" s="16" t="n"/>
    </row>
    <row r="114">
      <c r="A114" s="19">
        <f>IF(ROW()-5&lt;=COUNTA('Policy Inventory'!$A:$A)-4,INDEX('Policy Inventory'!$A:$A,ROW()-1),"")</f>
        <v/>
      </c>
      <c r="B114" s="19">
        <f>IF(A114&lt;&gt;"",VLOOKUP(A114,'Policy Inventory'!$A:$B,2,FALSE),"")</f>
        <v/>
      </c>
      <c r="C114" s="19">
        <f>IF(A114&lt;&gt;"",VLOOKUP(A114,'Policy Inventory'!$A:$O,15,FALSE),"")</f>
        <v/>
      </c>
      <c r="D114" s="16" t="n"/>
      <c r="E114" s="17" t="n"/>
      <c r="F114" s="16" t="n"/>
      <c r="G114" s="16" t="n"/>
      <c r="H114" s="16" t="n"/>
      <c r="I114" s="20">
        <f>IF(A114="","",VLOOKUP(A114,'Policy Inventory'!$A:$P,16,FALSE))</f>
        <v/>
      </c>
      <c r="J114" s="16" t="n"/>
      <c r="K114" s="16" t="n"/>
      <c r="L114" s="16" t="n"/>
      <c r="M114" s="16" t="n"/>
      <c r="N114" s="19">
        <f>IF(B114="","",IF(AND(G114="Yes",OR(C114="No",AND(C114&lt;&gt;"No",I114&gt;=0.9)),L114&lt;&gt;"No"),"Compliant",IF(OR(G114="No",AND(C114&lt;&gt;"No",I114&lt;0.7)),"Non-Compliant","Partial")))</f>
        <v/>
      </c>
      <c r="O114" s="16" t="n"/>
      <c r="P114" s="16" t="n"/>
    </row>
    <row r="115">
      <c r="A115" s="19">
        <f>IF(ROW()-5&lt;=COUNTA('Policy Inventory'!$A:$A)-4,INDEX('Policy Inventory'!$A:$A,ROW()-1),"")</f>
        <v/>
      </c>
      <c r="B115" s="19">
        <f>IF(A115&lt;&gt;"",VLOOKUP(A115,'Policy Inventory'!$A:$B,2,FALSE),"")</f>
        <v/>
      </c>
      <c r="C115" s="19">
        <f>IF(A115&lt;&gt;"",VLOOKUP(A115,'Policy Inventory'!$A:$O,15,FALSE),"")</f>
        <v/>
      </c>
      <c r="D115" s="16" t="n"/>
      <c r="E115" s="17" t="n"/>
      <c r="F115" s="16" t="n"/>
      <c r="G115" s="16" t="n"/>
      <c r="H115" s="16" t="n"/>
      <c r="I115" s="20">
        <f>IF(A115="","",VLOOKUP(A115,'Policy Inventory'!$A:$P,16,FALSE))</f>
        <v/>
      </c>
      <c r="J115" s="16" t="n"/>
      <c r="K115" s="16" t="n"/>
      <c r="L115" s="16" t="n"/>
      <c r="M115" s="16" t="n"/>
      <c r="N115" s="19">
        <f>IF(B115="","",IF(AND(G115="Yes",OR(C115="No",AND(C115&lt;&gt;"No",I115&gt;=0.9)),L115&lt;&gt;"No"),"Compliant",IF(OR(G115="No",AND(C115&lt;&gt;"No",I115&lt;0.7)),"Non-Compliant","Partial")))</f>
        <v/>
      </c>
      <c r="O115" s="16" t="n"/>
      <c r="P115" s="16" t="n"/>
    </row>
    <row r="116">
      <c r="A116" s="19">
        <f>IF(ROW()-5&lt;=COUNTA('Policy Inventory'!$A:$A)-4,INDEX('Policy Inventory'!$A:$A,ROW()-1),"")</f>
        <v/>
      </c>
      <c r="B116" s="19">
        <f>IF(A116&lt;&gt;"",VLOOKUP(A116,'Policy Inventory'!$A:$B,2,FALSE),"")</f>
        <v/>
      </c>
      <c r="C116" s="19">
        <f>IF(A116&lt;&gt;"",VLOOKUP(A116,'Policy Inventory'!$A:$O,15,FALSE),"")</f>
        <v/>
      </c>
      <c r="D116" s="16" t="n"/>
      <c r="E116" s="17" t="n"/>
      <c r="F116" s="16" t="n"/>
      <c r="G116" s="16" t="n"/>
      <c r="H116" s="16" t="n"/>
      <c r="I116" s="20">
        <f>IF(A116="","",VLOOKUP(A116,'Policy Inventory'!$A:$P,16,FALSE))</f>
        <v/>
      </c>
      <c r="J116" s="16" t="n"/>
      <c r="K116" s="16" t="n"/>
      <c r="L116" s="16" t="n"/>
      <c r="M116" s="16" t="n"/>
      <c r="N116" s="19">
        <f>IF(B116="","",IF(AND(G116="Yes",OR(C116="No",AND(C116&lt;&gt;"No",I116&gt;=0.9)),L116&lt;&gt;"No"),"Compliant",IF(OR(G116="No",AND(C116&lt;&gt;"No",I116&lt;0.7)),"Non-Compliant","Partial")))</f>
        <v/>
      </c>
      <c r="O116" s="16" t="n"/>
      <c r="P116" s="16" t="n"/>
    </row>
    <row r="117">
      <c r="A117" s="19">
        <f>IF(ROW()-5&lt;=COUNTA('Policy Inventory'!$A:$A)-4,INDEX('Policy Inventory'!$A:$A,ROW()-1),"")</f>
        <v/>
      </c>
      <c r="B117" s="19">
        <f>IF(A117&lt;&gt;"",VLOOKUP(A117,'Policy Inventory'!$A:$B,2,FALSE),"")</f>
        <v/>
      </c>
      <c r="C117" s="19">
        <f>IF(A117&lt;&gt;"",VLOOKUP(A117,'Policy Inventory'!$A:$O,15,FALSE),"")</f>
        <v/>
      </c>
      <c r="D117" s="16" t="n"/>
      <c r="E117" s="17" t="n"/>
      <c r="F117" s="16" t="n"/>
      <c r="G117" s="16" t="n"/>
      <c r="H117" s="16" t="n"/>
      <c r="I117" s="20">
        <f>IF(A117="","",VLOOKUP(A117,'Policy Inventory'!$A:$P,16,FALSE))</f>
        <v/>
      </c>
      <c r="J117" s="16" t="n"/>
      <c r="K117" s="16" t="n"/>
      <c r="L117" s="16" t="n"/>
      <c r="M117" s="16" t="n"/>
      <c r="N117" s="19">
        <f>IF(B117="","",IF(AND(G117="Yes",OR(C117="No",AND(C117&lt;&gt;"No",I117&gt;=0.9)),L117&lt;&gt;"No"),"Compliant",IF(OR(G117="No",AND(C117&lt;&gt;"No",I117&lt;0.7)),"Non-Compliant","Partial")))</f>
        <v/>
      </c>
      <c r="O117" s="16" t="n"/>
      <c r="P117" s="16" t="n"/>
    </row>
    <row r="118">
      <c r="A118" s="19">
        <f>IF(ROW()-5&lt;=COUNTA('Policy Inventory'!$A:$A)-4,INDEX('Policy Inventory'!$A:$A,ROW()-1),"")</f>
        <v/>
      </c>
      <c r="B118" s="19">
        <f>IF(A118&lt;&gt;"",VLOOKUP(A118,'Policy Inventory'!$A:$B,2,FALSE),"")</f>
        <v/>
      </c>
      <c r="C118" s="19">
        <f>IF(A118&lt;&gt;"",VLOOKUP(A118,'Policy Inventory'!$A:$O,15,FALSE),"")</f>
        <v/>
      </c>
      <c r="D118" s="16" t="n"/>
      <c r="E118" s="17" t="n"/>
      <c r="F118" s="16" t="n"/>
      <c r="G118" s="16" t="n"/>
      <c r="H118" s="16" t="n"/>
      <c r="I118" s="20">
        <f>IF(A118="","",VLOOKUP(A118,'Policy Inventory'!$A:$P,16,FALSE))</f>
        <v/>
      </c>
      <c r="J118" s="16" t="n"/>
      <c r="K118" s="16" t="n"/>
      <c r="L118" s="16" t="n"/>
      <c r="M118" s="16" t="n"/>
      <c r="N118" s="19">
        <f>IF(B118="","",IF(AND(G118="Yes",OR(C118="No",AND(C118&lt;&gt;"No",I118&gt;=0.9)),L118&lt;&gt;"No"),"Compliant",IF(OR(G118="No",AND(C118&lt;&gt;"No",I118&lt;0.7)),"Non-Compliant","Partial")))</f>
        <v/>
      </c>
      <c r="O118" s="16" t="n"/>
      <c r="P118" s="16" t="n"/>
    </row>
    <row r="119">
      <c r="A119" s="19">
        <f>IF(ROW()-5&lt;=COUNTA('Policy Inventory'!$A:$A)-4,INDEX('Policy Inventory'!$A:$A,ROW()-1),"")</f>
        <v/>
      </c>
      <c r="B119" s="19">
        <f>IF(A119&lt;&gt;"",VLOOKUP(A119,'Policy Inventory'!$A:$B,2,FALSE),"")</f>
        <v/>
      </c>
      <c r="C119" s="19">
        <f>IF(A119&lt;&gt;"",VLOOKUP(A119,'Policy Inventory'!$A:$O,15,FALSE),"")</f>
        <v/>
      </c>
      <c r="D119" s="16" t="n"/>
      <c r="E119" s="17" t="n"/>
      <c r="F119" s="16" t="n"/>
      <c r="G119" s="16" t="n"/>
      <c r="H119" s="16" t="n"/>
      <c r="I119" s="20">
        <f>IF(A119="","",VLOOKUP(A119,'Policy Inventory'!$A:$P,16,FALSE))</f>
        <v/>
      </c>
      <c r="J119" s="16" t="n"/>
      <c r="K119" s="16" t="n"/>
      <c r="L119" s="16" t="n"/>
      <c r="M119" s="16" t="n"/>
      <c r="N119" s="19">
        <f>IF(B119="","",IF(AND(G119="Yes",OR(C119="No",AND(C119&lt;&gt;"No",I119&gt;=0.9)),L119&lt;&gt;"No"),"Compliant",IF(OR(G119="No",AND(C119&lt;&gt;"No",I119&lt;0.7)),"Non-Compliant","Partial")))</f>
        <v/>
      </c>
      <c r="O119" s="16" t="n"/>
      <c r="P119" s="16" t="n"/>
    </row>
    <row r="120">
      <c r="A120" s="19">
        <f>IF(ROW()-5&lt;=COUNTA('Policy Inventory'!$A:$A)-4,INDEX('Policy Inventory'!$A:$A,ROW()-1),"")</f>
        <v/>
      </c>
      <c r="B120" s="19">
        <f>IF(A120&lt;&gt;"",VLOOKUP(A120,'Policy Inventory'!$A:$B,2,FALSE),"")</f>
        <v/>
      </c>
      <c r="C120" s="19">
        <f>IF(A120&lt;&gt;"",VLOOKUP(A120,'Policy Inventory'!$A:$O,15,FALSE),"")</f>
        <v/>
      </c>
      <c r="D120" s="16" t="n"/>
      <c r="E120" s="17" t="n"/>
      <c r="F120" s="16" t="n"/>
      <c r="G120" s="16" t="n"/>
      <c r="H120" s="16" t="n"/>
      <c r="I120" s="20">
        <f>IF(A120="","",VLOOKUP(A120,'Policy Inventory'!$A:$P,16,FALSE))</f>
        <v/>
      </c>
      <c r="J120" s="16" t="n"/>
      <c r="K120" s="16" t="n"/>
      <c r="L120" s="16" t="n"/>
      <c r="M120" s="16" t="n"/>
      <c r="N120" s="19">
        <f>IF(B120="","",IF(AND(G120="Yes",OR(C120="No",AND(C120&lt;&gt;"No",I120&gt;=0.9)),L120&lt;&gt;"No"),"Compliant",IF(OR(G120="No",AND(C120&lt;&gt;"No",I120&lt;0.7)),"Non-Compliant","Partial")))</f>
        <v/>
      </c>
      <c r="O120" s="16" t="n"/>
      <c r="P120" s="16" t="n"/>
    </row>
    <row r="121">
      <c r="A121" s="19">
        <f>IF(ROW()-5&lt;=COUNTA('Policy Inventory'!$A:$A)-4,INDEX('Policy Inventory'!$A:$A,ROW()-1),"")</f>
        <v/>
      </c>
      <c r="B121" s="19">
        <f>IF(A121&lt;&gt;"",VLOOKUP(A121,'Policy Inventory'!$A:$B,2,FALSE),"")</f>
        <v/>
      </c>
      <c r="C121" s="19">
        <f>IF(A121&lt;&gt;"",VLOOKUP(A121,'Policy Inventory'!$A:$O,15,FALSE),"")</f>
        <v/>
      </c>
      <c r="D121" s="16" t="n"/>
      <c r="E121" s="17" t="n"/>
      <c r="F121" s="16" t="n"/>
      <c r="G121" s="16" t="n"/>
      <c r="H121" s="16" t="n"/>
      <c r="I121" s="20">
        <f>IF(A121="","",VLOOKUP(A121,'Policy Inventory'!$A:$P,16,FALSE))</f>
        <v/>
      </c>
      <c r="J121" s="16" t="n"/>
      <c r="K121" s="16" t="n"/>
      <c r="L121" s="16" t="n"/>
      <c r="M121" s="16" t="n"/>
      <c r="N121" s="19">
        <f>IF(B121="","",IF(AND(G121="Yes",OR(C121="No",AND(C121&lt;&gt;"No",I121&gt;=0.9)),L121&lt;&gt;"No"),"Compliant",IF(OR(G121="No",AND(C121&lt;&gt;"No",I121&lt;0.7)),"Non-Compliant","Partial")))</f>
        <v/>
      </c>
      <c r="O121" s="16" t="n"/>
      <c r="P121" s="16" t="n"/>
    </row>
    <row r="122">
      <c r="A122" s="19">
        <f>IF(ROW()-5&lt;=COUNTA('Policy Inventory'!$A:$A)-4,INDEX('Policy Inventory'!$A:$A,ROW()-1),"")</f>
        <v/>
      </c>
      <c r="B122" s="19">
        <f>IF(A122&lt;&gt;"",VLOOKUP(A122,'Policy Inventory'!$A:$B,2,FALSE),"")</f>
        <v/>
      </c>
      <c r="C122" s="19">
        <f>IF(A122&lt;&gt;"",VLOOKUP(A122,'Policy Inventory'!$A:$O,15,FALSE),"")</f>
        <v/>
      </c>
      <c r="D122" s="16" t="n"/>
      <c r="E122" s="17" t="n"/>
      <c r="F122" s="16" t="n"/>
      <c r="G122" s="16" t="n"/>
      <c r="H122" s="16" t="n"/>
      <c r="I122" s="20">
        <f>IF(A122="","",VLOOKUP(A122,'Policy Inventory'!$A:$P,16,FALSE))</f>
        <v/>
      </c>
      <c r="J122" s="16" t="n"/>
      <c r="K122" s="16" t="n"/>
      <c r="L122" s="16" t="n"/>
      <c r="M122" s="16" t="n"/>
      <c r="N122" s="19">
        <f>IF(B122="","",IF(AND(G122="Yes",OR(C122="No",AND(C122&lt;&gt;"No",I122&gt;=0.9)),L122&lt;&gt;"No"),"Compliant",IF(OR(G122="No",AND(C122&lt;&gt;"No",I122&lt;0.7)),"Non-Compliant","Partial")))</f>
        <v/>
      </c>
      <c r="O122" s="16" t="n"/>
      <c r="P122" s="16" t="n"/>
    </row>
    <row r="123">
      <c r="A123" s="19">
        <f>IF(ROW()-5&lt;=COUNTA('Policy Inventory'!$A:$A)-4,INDEX('Policy Inventory'!$A:$A,ROW()-1),"")</f>
        <v/>
      </c>
      <c r="B123" s="19">
        <f>IF(A123&lt;&gt;"",VLOOKUP(A123,'Policy Inventory'!$A:$B,2,FALSE),"")</f>
        <v/>
      </c>
      <c r="C123" s="19">
        <f>IF(A123&lt;&gt;"",VLOOKUP(A123,'Policy Inventory'!$A:$O,15,FALSE),"")</f>
        <v/>
      </c>
      <c r="D123" s="16" t="n"/>
      <c r="E123" s="17" t="n"/>
      <c r="F123" s="16" t="n"/>
      <c r="G123" s="16" t="n"/>
      <c r="H123" s="16" t="n"/>
      <c r="I123" s="20">
        <f>IF(A123="","",VLOOKUP(A123,'Policy Inventory'!$A:$P,16,FALSE))</f>
        <v/>
      </c>
      <c r="J123" s="16" t="n"/>
      <c r="K123" s="16" t="n"/>
      <c r="L123" s="16" t="n"/>
      <c r="M123" s="16" t="n"/>
      <c r="N123" s="19">
        <f>IF(B123="","",IF(AND(G123="Yes",OR(C123="No",AND(C123&lt;&gt;"No",I123&gt;=0.9)),L123&lt;&gt;"No"),"Compliant",IF(OR(G123="No",AND(C123&lt;&gt;"No",I123&lt;0.7)),"Non-Compliant","Partial")))</f>
        <v/>
      </c>
      <c r="O123" s="16" t="n"/>
      <c r="P123" s="16" t="n"/>
    </row>
    <row r="124">
      <c r="A124" s="19">
        <f>IF(ROW()-5&lt;=COUNTA('Policy Inventory'!$A:$A)-4,INDEX('Policy Inventory'!$A:$A,ROW()-1),"")</f>
        <v/>
      </c>
      <c r="B124" s="19">
        <f>IF(A124&lt;&gt;"",VLOOKUP(A124,'Policy Inventory'!$A:$B,2,FALSE),"")</f>
        <v/>
      </c>
      <c r="C124" s="19">
        <f>IF(A124&lt;&gt;"",VLOOKUP(A124,'Policy Inventory'!$A:$O,15,FALSE),"")</f>
        <v/>
      </c>
      <c r="D124" s="16" t="n"/>
      <c r="E124" s="17" t="n"/>
      <c r="F124" s="16" t="n"/>
      <c r="G124" s="16" t="n"/>
      <c r="H124" s="16" t="n"/>
      <c r="I124" s="20">
        <f>IF(A124="","",VLOOKUP(A124,'Policy Inventory'!$A:$P,16,FALSE))</f>
        <v/>
      </c>
      <c r="J124" s="16" t="n"/>
      <c r="K124" s="16" t="n"/>
      <c r="L124" s="16" t="n"/>
      <c r="M124" s="16" t="n"/>
      <c r="N124" s="19">
        <f>IF(B124="","",IF(AND(G124="Yes",OR(C124="No",AND(C124&lt;&gt;"No",I124&gt;=0.9)),L124&lt;&gt;"No"),"Compliant",IF(OR(G124="No",AND(C124&lt;&gt;"No",I124&lt;0.7)),"Non-Compliant","Partial")))</f>
        <v/>
      </c>
      <c r="O124" s="16" t="n"/>
      <c r="P124" s="16" t="n"/>
    </row>
    <row r="125">
      <c r="A125" s="19">
        <f>IF(ROW()-5&lt;=COUNTA('Policy Inventory'!$A:$A)-4,INDEX('Policy Inventory'!$A:$A,ROW()-1),"")</f>
        <v/>
      </c>
      <c r="B125" s="19">
        <f>IF(A125&lt;&gt;"",VLOOKUP(A125,'Policy Inventory'!$A:$B,2,FALSE),"")</f>
        <v/>
      </c>
      <c r="C125" s="19">
        <f>IF(A125&lt;&gt;"",VLOOKUP(A125,'Policy Inventory'!$A:$O,15,FALSE),"")</f>
        <v/>
      </c>
      <c r="D125" s="16" t="n"/>
      <c r="E125" s="17" t="n"/>
      <c r="F125" s="16" t="n"/>
      <c r="G125" s="16" t="n"/>
      <c r="H125" s="16" t="n"/>
      <c r="I125" s="20">
        <f>IF(A125="","",VLOOKUP(A125,'Policy Inventory'!$A:$P,16,FALSE))</f>
        <v/>
      </c>
      <c r="J125" s="16" t="n"/>
      <c r="K125" s="16" t="n"/>
      <c r="L125" s="16" t="n"/>
      <c r="M125" s="16" t="n"/>
      <c r="N125" s="19">
        <f>IF(B125="","",IF(AND(G125="Yes",OR(C125="No",AND(C125&lt;&gt;"No",I125&gt;=0.9)),L125&lt;&gt;"No"),"Compliant",IF(OR(G125="No",AND(C125&lt;&gt;"No",I125&lt;0.7)),"Non-Compliant","Partial")))</f>
        <v/>
      </c>
      <c r="O125" s="16" t="n"/>
      <c r="P125" s="16" t="n"/>
    </row>
    <row r="126">
      <c r="A126" s="19">
        <f>IF(ROW()-5&lt;=COUNTA('Policy Inventory'!$A:$A)-4,INDEX('Policy Inventory'!$A:$A,ROW()-1),"")</f>
        <v/>
      </c>
      <c r="B126" s="19">
        <f>IF(A126&lt;&gt;"",VLOOKUP(A126,'Policy Inventory'!$A:$B,2,FALSE),"")</f>
        <v/>
      </c>
      <c r="C126" s="19">
        <f>IF(A126&lt;&gt;"",VLOOKUP(A126,'Policy Inventory'!$A:$O,15,FALSE),"")</f>
        <v/>
      </c>
      <c r="D126" s="16" t="n"/>
      <c r="E126" s="17" t="n"/>
      <c r="F126" s="16" t="n"/>
      <c r="G126" s="16" t="n"/>
      <c r="H126" s="16" t="n"/>
      <c r="I126" s="20">
        <f>IF(A126="","",VLOOKUP(A126,'Policy Inventory'!$A:$P,16,FALSE))</f>
        <v/>
      </c>
      <c r="J126" s="16" t="n"/>
      <c r="K126" s="16" t="n"/>
      <c r="L126" s="16" t="n"/>
      <c r="M126" s="16" t="n"/>
      <c r="N126" s="19">
        <f>IF(B126="","",IF(AND(G126="Yes",OR(C126="No",AND(C126&lt;&gt;"No",I126&gt;=0.9)),L126&lt;&gt;"No"),"Compliant",IF(OR(G126="No",AND(C126&lt;&gt;"No",I126&lt;0.7)),"Non-Compliant","Partial")))</f>
        <v/>
      </c>
      <c r="O126" s="16" t="n"/>
      <c r="P126" s="16" t="n"/>
    </row>
    <row r="127">
      <c r="A127" s="19">
        <f>IF(ROW()-5&lt;=COUNTA('Policy Inventory'!$A:$A)-4,INDEX('Policy Inventory'!$A:$A,ROW()-1),"")</f>
        <v/>
      </c>
      <c r="B127" s="19">
        <f>IF(A127&lt;&gt;"",VLOOKUP(A127,'Policy Inventory'!$A:$B,2,FALSE),"")</f>
        <v/>
      </c>
      <c r="C127" s="19">
        <f>IF(A127&lt;&gt;"",VLOOKUP(A127,'Policy Inventory'!$A:$O,15,FALSE),"")</f>
        <v/>
      </c>
      <c r="D127" s="16" t="n"/>
      <c r="E127" s="17" t="n"/>
      <c r="F127" s="16" t="n"/>
      <c r="G127" s="16" t="n"/>
      <c r="H127" s="16" t="n"/>
      <c r="I127" s="20">
        <f>IF(A127="","",VLOOKUP(A127,'Policy Inventory'!$A:$P,16,FALSE))</f>
        <v/>
      </c>
      <c r="J127" s="16" t="n"/>
      <c r="K127" s="16" t="n"/>
      <c r="L127" s="16" t="n"/>
      <c r="M127" s="16" t="n"/>
      <c r="N127" s="19">
        <f>IF(B127="","",IF(AND(G127="Yes",OR(C127="No",AND(C127&lt;&gt;"No",I127&gt;=0.9)),L127&lt;&gt;"No"),"Compliant",IF(OR(G127="No",AND(C127&lt;&gt;"No",I127&lt;0.7)),"Non-Compliant","Partial")))</f>
        <v/>
      </c>
      <c r="O127" s="16" t="n"/>
      <c r="P127" s="16" t="n"/>
    </row>
    <row r="128">
      <c r="A128" s="19">
        <f>IF(ROW()-5&lt;=COUNTA('Policy Inventory'!$A:$A)-4,INDEX('Policy Inventory'!$A:$A,ROW()-1),"")</f>
        <v/>
      </c>
      <c r="B128" s="19">
        <f>IF(A128&lt;&gt;"",VLOOKUP(A128,'Policy Inventory'!$A:$B,2,FALSE),"")</f>
        <v/>
      </c>
      <c r="C128" s="19">
        <f>IF(A128&lt;&gt;"",VLOOKUP(A128,'Policy Inventory'!$A:$O,15,FALSE),"")</f>
        <v/>
      </c>
      <c r="D128" s="16" t="n"/>
      <c r="E128" s="17" t="n"/>
      <c r="F128" s="16" t="n"/>
      <c r="G128" s="16" t="n"/>
      <c r="H128" s="16" t="n"/>
      <c r="I128" s="20">
        <f>IF(A128="","",VLOOKUP(A128,'Policy Inventory'!$A:$P,16,FALSE))</f>
        <v/>
      </c>
      <c r="J128" s="16" t="n"/>
      <c r="K128" s="16" t="n"/>
      <c r="L128" s="16" t="n"/>
      <c r="M128" s="16" t="n"/>
      <c r="N128" s="19">
        <f>IF(B128="","",IF(AND(G128="Yes",OR(C128="No",AND(C128&lt;&gt;"No",I128&gt;=0.9)),L128&lt;&gt;"No"),"Compliant",IF(OR(G128="No",AND(C128&lt;&gt;"No",I128&lt;0.7)),"Non-Compliant","Partial")))</f>
        <v/>
      </c>
      <c r="O128" s="16" t="n"/>
      <c r="P128" s="16" t="n"/>
    </row>
    <row r="129">
      <c r="A129" s="19">
        <f>IF(ROW()-5&lt;=COUNTA('Policy Inventory'!$A:$A)-4,INDEX('Policy Inventory'!$A:$A,ROW()-1),"")</f>
        <v/>
      </c>
      <c r="B129" s="19">
        <f>IF(A129&lt;&gt;"",VLOOKUP(A129,'Policy Inventory'!$A:$B,2,FALSE),"")</f>
        <v/>
      </c>
      <c r="C129" s="19">
        <f>IF(A129&lt;&gt;"",VLOOKUP(A129,'Policy Inventory'!$A:$O,15,FALSE),"")</f>
        <v/>
      </c>
      <c r="D129" s="16" t="n"/>
      <c r="E129" s="17" t="n"/>
      <c r="F129" s="16" t="n"/>
      <c r="G129" s="16" t="n"/>
      <c r="H129" s="16" t="n"/>
      <c r="I129" s="20">
        <f>IF(A129="","",VLOOKUP(A129,'Policy Inventory'!$A:$P,16,FALSE))</f>
        <v/>
      </c>
      <c r="J129" s="16" t="n"/>
      <c r="K129" s="16" t="n"/>
      <c r="L129" s="16" t="n"/>
      <c r="M129" s="16" t="n"/>
      <c r="N129" s="19">
        <f>IF(B129="","",IF(AND(G129="Yes",OR(C129="No",AND(C129&lt;&gt;"No",I129&gt;=0.9)),L129&lt;&gt;"No"),"Compliant",IF(OR(G129="No",AND(C129&lt;&gt;"No",I129&lt;0.7)),"Non-Compliant","Partial")))</f>
        <v/>
      </c>
      <c r="O129" s="16" t="n"/>
      <c r="P129" s="16" t="n"/>
    </row>
    <row r="130">
      <c r="A130" s="19">
        <f>IF(ROW()-5&lt;=COUNTA('Policy Inventory'!$A:$A)-4,INDEX('Policy Inventory'!$A:$A,ROW()-1),"")</f>
        <v/>
      </c>
      <c r="B130" s="19">
        <f>IF(A130&lt;&gt;"",VLOOKUP(A130,'Policy Inventory'!$A:$B,2,FALSE),"")</f>
        <v/>
      </c>
      <c r="C130" s="19">
        <f>IF(A130&lt;&gt;"",VLOOKUP(A130,'Policy Inventory'!$A:$O,15,FALSE),"")</f>
        <v/>
      </c>
      <c r="D130" s="16" t="n"/>
      <c r="E130" s="17" t="n"/>
      <c r="F130" s="16" t="n"/>
      <c r="G130" s="16" t="n"/>
      <c r="H130" s="16" t="n"/>
      <c r="I130" s="20">
        <f>IF(A130="","",VLOOKUP(A130,'Policy Inventory'!$A:$P,16,FALSE))</f>
        <v/>
      </c>
      <c r="J130" s="16" t="n"/>
      <c r="K130" s="16" t="n"/>
      <c r="L130" s="16" t="n"/>
      <c r="M130" s="16" t="n"/>
      <c r="N130" s="19">
        <f>IF(B130="","",IF(AND(G130="Yes",OR(C130="No",AND(C130&lt;&gt;"No",I130&gt;=0.9)),L130&lt;&gt;"No"),"Compliant",IF(OR(G130="No",AND(C130&lt;&gt;"No",I130&lt;0.7)),"Non-Compliant","Partial")))</f>
        <v/>
      </c>
      <c r="O130" s="16" t="n"/>
      <c r="P130" s="16" t="n"/>
    </row>
    <row r="131">
      <c r="A131" s="19">
        <f>IF(ROW()-5&lt;=COUNTA('Policy Inventory'!$A:$A)-4,INDEX('Policy Inventory'!$A:$A,ROW()-1),"")</f>
        <v/>
      </c>
      <c r="B131" s="19">
        <f>IF(A131&lt;&gt;"",VLOOKUP(A131,'Policy Inventory'!$A:$B,2,FALSE),"")</f>
        <v/>
      </c>
      <c r="C131" s="19">
        <f>IF(A131&lt;&gt;"",VLOOKUP(A131,'Policy Inventory'!$A:$O,15,FALSE),"")</f>
        <v/>
      </c>
      <c r="D131" s="16" t="n"/>
      <c r="E131" s="17" t="n"/>
      <c r="F131" s="16" t="n"/>
      <c r="G131" s="16" t="n"/>
      <c r="H131" s="16" t="n"/>
      <c r="I131" s="20">
        <f>IF(A131="","",VLOOKUP(A131,'Policy Inventory'!$A:$P,16,FALSE))</f>
        <v/>
      </c>
      <c r="J131" s="16" t="n"/>
      <c r="K131" s="16" t="n"/>
      <c r="L131" s="16" t="n"/>
      <c r="M131" s="16" t="n"/>
      <c r="N131" s="19">
        <f>IF(B131="","",IF(AND(G131="Yes",OR(C131="No",AND(C131&lt;&gt;"No",I131&gt;=0.9)),L131&lt;&gt;"No"),"Compliant",IF(OR(G131="No",AND(C131&lt;&gt;"No",I131&lt;0.7)),"Non-Compliant","Partial")))</f>
        <v/>
      </c>
      <c r="O131" s="16" t="n"/>
      <c r="P131" s="16" t="n"/>
    </row>
    <row r="132">
      <c r="A132" s="19">
        <f>IF(ROW()-5&lt;=COUNTA('Policy Inventory'!$A:$A)-4,INDEX('Policy Inventory'!$A:$A,ROW()-1),"")</f>
        <v/>
      </c>
      <c r="B132" s="19">
        <f>IF(A132&lt;&gt;"",VLOOKUP(A132,'Policy Inventory'!$A:$B,2,FALSE),"")</f>
        <v/>
      </c>
      <c r="C132" s="19">
        <f>IF(A132&lt;&gt;"",VLOOKUP(A132,'Policy Inventory'!$A:$O,15,FALSE),"")</f>
        <v/>
      </c>
      <c r="D132" s="16" t="n"/>
      <c r="E132" s="17" t="n"/>
      <c r="F132" s="16" t="n"/>
      <c r="G132" s="16" t="n"/>
      <c r="H132" s="16" t="n"/>
      <c r="I132" s="20">
        <f>IF(A132="","",VLOOKUP(A132,'Policy Inventory'!$A:$P,16,FALSE))</f>
        <v/>
      </c>
      <c r="J132" s="16" t="n"/>
      <c r="K132" s="16" t="n"/>
      <c r="L132" s="16" t="n"/>
      <c r="M132" s="16" t="n"/>
      <c r="N132" s="19">
        <f>IF(B132="","",IF(AND(G132="Yes",OR(C132="No",AND(C132&lt;&gt;"No",I132&gt;=0.9)),L132&lt;&gt;"No"),"Compliant",IF(OR(G132="No",AND(C132&lt;&gt;"No",I132&lt;0.7)),"Non-Compliant","Partial")))</f>
        <v/>
      </c>
      <c r="O132" s="16" t="n"/>
      <c r="P132" s="16" t="n"/>
    </row>
    <row r="133">
      <c r="A133" s="19">
        <f>IF(ROW()-5&lt;=COUNTA('Policy Inventory'!$A:$A)-4,INDEX('Policy Inventory'!$A:$A,ROW()-1),"")</f>
        <v/>
      </c>
      <c r="B133" s="19">
        <f>IF(A133&lt;&gt;"",VLOOKUP(A133,'Policy Inventory'!$A:$B,2,FALSE),"")</f>
        <v/>
      </c>
      <c r="C133" s="19">
        <f>IF(A133&lt;&gt;"",VLOOKUP(A133,'Policy Inventory'!$A:$O,15,FALSE),"")</f>
        <v/>
      </c>
      <c r="D133" s="16" t="n"/>
      <c r="E133" s="17" t="n"/>
      <c r="F133" s="16" t="n"/>
      <c r="G133" s="16" t="n"/>
      <c r="H133" s="16" t="n"/>
      <c r="I133" s="20">
        <f>IF(A133="","",VLOOKUP(A133,'Policy Inventory'!$A:$P,16,FALSE))</f>
        <v/>
      </c>
      <c r="J133" s="16" t="n"/>
      <c r="K133" s="16" t="n"/>
      <c r="L133" s="16" t="n"/>
      <c r="M133" s="16" t="n"/>
      <c r="N133" s="19">
        <f>IF(B133="","",IF(AND(G133="Yes",OR(C133="No",AND(C133&lt;&gt;"No",I133&gt;=0.9)),L133&lt;&gt;"No"),"Compliant",IF(OR(G133="No",AND(C133&lt;&gt;"No",I133&lt;0.7)),"Non-Compliant","Partial")))</f>
        <v/>
      </c>
      <c r="O133" s="16" t="n"/>
      <c r="P133" s="16" t="n"/>
    </row>
    <row r="134">
      <c r="A134" s="19">
        <f>IF(ROW()-5&lt;=COUNTA('Policy Inventory'!$A:$A)-4,INDEX('Policy Inventory'!$A:$A,ROW()-1),"")</f>
        <v/>
      </c>
      <c r="B134" s="19">
        <f>IF(A134&lt;&gt;"",VLOOKUP(A134,'Policy Inventory'!$A:$B,2,FALSE),"")</f>
        <v/>
      </c>
      <c r="C134" s="19">
        <f>IF(A134&lt;&gt;"",VLOOKUP(A134,'Policy Inventory'!$A:$O,15,FALSE),"")</f>
        <v/>
      </c>
      <c r="D134" s="16" t="n"/>
      <c r="E134" s="17" t="n"/>
      <c r="F134" s="16" t="n"/>
      <c r="G134" s="16" t="n"/>
      <c r="H134" s="16" t="n"/>
      <c r="I134" s="20">
        <f>IF(A134="","",VLOOKUP(A134,'Policy Inventory'!$A:$P,16,FALSE))</f>
        <v/>
      </c>
      <c r="J134" s="16" t="n"/>
      <c r="K134" s="16" t="n"/>
      <c r="L134" s="16" t="n"/>
      <c r="M134" s="16" t="n"/>
      <c r="N134" s="19">
        <f>IF(B134="","",IF(AND(G134="Yes",OR(C134="No",AND(C134&lt;&gt;"No",I134&gt;=0.9)),L134&lt;&gt;"No"),"Compliant",IF(OR(G134="No",AND(C134&lt;&gt;"No",I134&lt;0.7)),"Non-Compliant","Partial")))</f>
        <v/>
      </c>
      <c r="O134" s="16" t="n"/>
      <c r="P134" s="16" t="n"/>
    </row>
    <row r="135">
      <c r="A135" s="19">
        <f>IF(ROW()-5&lt;=COUNTA('Policy Inventory'!$A:$A)-4,INDEX('Policy Inventory'!$A:$A,ROW()-1),"")</f>
        <v/>
      </c>
      <c r="B135" s="19">
        <f>IF(A135&lt;&gt;"",VLOOKUP(A135,'Policy Inventory'!$A:$B,2,FALSE),"")</f>
        <v/>
      </c>
      <c r="C135" s="19">
        <f>IF(A135&lt;&gt;"",VLOOKUP(A135,'Policy Inventory'!$A:$O,15,FALSE),"")</f>
        <v/>
      </c>
      <c r="D135" s="16" t="n"/>
      <c r="E135" s="17" t="n"/>
      <c r="F135" s="16" t="n"/>
      <c r="G135" s="16" t="n"/>
      <c r="H135" s="16" t="n"/>
      <c r="I135" s="20">
        <f>IF(A135="","",VLOOKUP(A135,'Policy Inventory'!$A:$P,16,FALSE))</f>
        <v/>
      </c>
      <c r="J135" s="16" t="n"/>
      <c r="K135" s="16" t="n"/>
      <c r="L135" s="16" t="n"/>
      <c r="M135" s="16" t="n"/>
      <c r="N135" s="19">
        <f>IF(B135="","",IF(AND(G135="Yes",OR(C135="No",AND(C135&lt;&gt;"No",I135&gt;=0.9)),L135&lt;&gt;"No"),"Compliant",IF(OR(G135="No",AND(C135&lt;&gt;"No",I135&lt;0.7)),"Non-Compliant","Partial")))</f>
        <v/>
      </c>
      <c r="O135" s="16" t="n"/>
      <c r="P135" s="16" t="n"/>
    </row>
    <row r="136">
      <c r="A136" s="19">
        <f>IF(ROW()-5&lt;=COUNTA('Policy Inventory'!$A:$A)-4,INDEX('Policy Inventory'!$A:$A,ROW()-1),"")</f>
        <v/>
      </c>
      <c r="B136" s="19">
        <f>IF(A136&lt;&gt;"",VLOOKUP(A136,'Policy Inventory'!$A:$B,2,FALSE),"")</f>
        <v/>
      </c>
      <c r="C136" s="19">
        <f>IF(A136&lt;&gt;"",VLOOKUP(A136,'Policy Inventory'!$A:$O,15,FALSE),"")</f>
        <v/>
      </c>
      <c r="D136" s="16" t="n"/>
      <c r="E136" s="17" t="n"/>
      <c r="F136" s="16" t="n"/>
      <c r="G136" s="16" t="n"/>
      <c r="H136" s="16" t="n"/>
      <c r="I136" s="20">
        <f>IF(A136="","",VLOOKUP(A136,'Policy Inventory'!$A:$P,16,FALSE))</f>
        <v/>
      </c>
      <c r="J136" s="16" t="n"/>
      <c r="K136" s="16" t="n"/>
      <c r="L136" s="16" t="n"/>
      <c r="M136" s="16" t="n"/>
      <c r="N136" s="19">
        <f>IF(B136="","",IF(AND(G136="Yes",OR(C136="No",AND(C136&lt;&gt;"No",I136&gt;=0.9)),L136&lt;&gt;"No"),"Compliant",IF(OR(G136="No",AND(C136&lt;&gt;"No",I136&lt;0.7)),"Non-Compliant","Partial")))</f>
        <v/>
      </c>
      <c r="O136" s="16" t="n"/>
      <c r="P136" s="16" t="n"/>
    </row>
    <row r="137">
      <c r="A137" s="19">
        <f>IF(ROW()-5&lt;=COUNTA('Policy Inventory'!$A:$A)-4,INDEX('Policy Inventory'!$A:$A,ROW()-1),"")</f>
        <v/>
      </c>
      <c r="B137" s="19">
        <f>IF(A137&lt;&gt;"",VLOOKUP(A137,'Policy Inventory'!$A:$B,2,FALSE),"")</f>
        <v/>
      </c>
      <c r="C137" s="19">
        <f>IF(A137&lt;&gt;"",VLOOKUP(A137,'Policy Inventory'!$A:$O,15,FALSE),"")</f>
        <v/>
      </c>
      <c r="D137" s="16" t="n"/>
      <c r="E137" s="17" t="n"/>
      <c r="F137" s="16" t="n"/>
      <c r="G137" s="16" t="n"/>
      <c r="H137" s="16" t="n"/>
      <c r="I137" s="20">
        <f>IF(A137="","",VLOOKUP(A137,'Policy Inventory'!$A:$P,16,FALSE))</f>
        <v/>
      </c>
      <c r="J137" s="16" t="n"/>
      <c r="K137" s="16" t="n"/>
      <c r="L137" s="16" t="n"/>
      <c r="M137" s="16" t="n"/>
      <c r="N137" s="19">
        <f>IF(B137="","",IF(AND(G137="Yes",OR(C137="No",AND(C137&lt;&gt;"No",I137&gt;=0.9)),L137&lt;&gt;"No"),"Compliant",IF(OR(G137="No",AND(C137&lt;&gt;"No",I137&lt;0.7)),"Non-Compliant","Partial")))</f>
        <v/>
      </c>
      <c r="O137" s="16" t="n"/>
      <c r="P137" s="16" t="n"/>
    </row>
    <row r="138">
      <c r="A138" s="19">
        <f>IF(ROW()-5&lt;=COUNTA('Policy Inventory'!$A:$A)-4,INDEX('Policy Inventory'!$A:$A,ROW()-1),"")</f>
        <v/>
      </c>
      <c r="B138" s="19">
        <f>IF(A138&lt;&gt;"",VLOOKUP(A138,'Policy Inventory'!$A:$B,2,FALSE),"")</f>
        <v/>
      </c>
      <c r="C138" s="19">
        <f>IF(A138&lt;&gt;"",VLOOKUP(A138,'Policy Inventory'!$A:$O,15,FALSE),"")</f>
        <v/>
      </c>
      <c r="D138" s="16" t="n"/>
      <c r="E138" s="17" t="n"/>
      <c r="F138" s="16" t="n"/>
      <c r="G138" s="16" t="n"/>
      <c r="H138" s="16" t="n"/>
      <c r="I138" s="20">
        <f>IF(A138="","",VLOOKUP(A138,'Policy Inventory'!$A:$P,16,FALSE))</f>
        <v/>
      </c>
      <c r="J138" s="16" t="n"/>
      <c r="K138" s="16" t="n"/>
      <c r="L138" s="16" t="n"/>
      <c r="M138" s="16" t="n"/>
      <c r="N138" s="19">
        <f>IF(B138="","",IF(AND(G138="Yes",OR(C138="No",AND(C138&lt;&gt;"No",I138&gt;=0.9)),L138&lt;&gt;"No"),"Compliant",IF(OR(G138="No",AND(C138&lt;&gt;"No",I138&lt;0.7)),"Non-Compliant","Partial")))</f>
        <v/>
      </c>
      <c r="O138" s="16" t="n"/>
      <c r="P138" s="16" t="n"/>
    </row>
    <row r="139">
      <c r="A139" s="19">
        <f>IF(ROW()-5&lt;=COUNTA('Policy Inventory'!$A:$A)-4,INDEX('Policy Inventory'!$A:$A,ROW()-1),"")</f>
        <v/>
      </c>
      <c r="B139" s="19">
        <f>IF(A139&lt;&gt;"",VLOOKUP(A139,'Policy Inventory'!$A:$B,2,FALSE),"")</f>
        <v/>
      </c>
      <c r="C139" s="19">
        <f>IF(A139&lt;&gt;"",VLOOKUP(A139,'Policy Inventory'!$A:$O,15,FALSE),"")</f>
        <v/>
      </c>
      <c r="D139" s="16" t="n"/>
      <c r="E139" s="17" t="n"/>
      <c r="F139" s="16" t="n"/>
      <c r="G139" s="16" t="n"/>
      <c r="H139" s="16" t="n"/>
      <c r="I139" s="20">
        <f>IF(A139="","",VLOOKUP(A139,'Policy Inventory'!$A:$P,16,FALSE))</f>
        <v/>
      </c>
      <c r="J139" s="16" t="n"/>
      <c r="K139" s="16" t="n"/>
      <c r="L139" s="16" t="n"/>
      <c r="M139" s="16" t="n"/>
      <c r="N139" s="19">
        <f>IF(B139="","",IF(AND(G139="Yes",OR(C139="No",AND(C139&lt;&gt;"No",I139&gt;=0.9)),L139&lt;&gt;"No"),"Compliant",IF(OR(G139="No",AND(C139&lt;&gt;"No",I139&lt;0.7)),"Non-Compliant","Partial")))</f>
        <v/>
      </c>
      <c r="O139" s="16" t="n"/>
      <c r="P139" s="16" t="n"/>
    </row>
    <row r="140">
      <c r="A140" s="19">
        <f>IF(ROW()-5&lt;=COUNTA('Policy Inventory'!$A:$A)-4,INDEX('Policy Inventory'!$A:$A,ROW()-1),"")</f>
        <v/>
      </c>
      <c r="B140" s="19">
        <f>IF(A140&lt;&gt;"",VLOOKUP(A140,'Policy Inventory'!$A:$B,2,FALSE),"")</f>
        <v/>
      </c>
      <c r="C140" s="19">
        <f>IF(A140&lt;&gt;"",VLOOKUP(A140,'Policy Inventory'!$A:$O,15,FALSE),"")</f>
        <v/>
      </c>
      <c r="D140" s="16" t="n"/>
      <c r="E140" s="17" t="n"/>
      <c r="F140" s="16" t="n"/>
      <c r="G140" s="16" t="n"/>
      <c r="H140" s="16" t="n"/>
      <c r="I140" s="20">
        <f>IF(A140="","",VLOOKUP(A140,'Policy Inventory'!$A:$P,16,FALSE))</f>
        <v/>
      </c>
      <c r="J140" s="16" t="n"/>
      <c r="K140" s="16" t="n"/>
      <c r="L140" s="16" t="n"/>
      <c r="M140" s="16" t="n"/>
      <c r="N140" s="19">
        <f>IF(B140="","",IF(AND(G140="Yes",OR(C140="No",AND(C140&lt;&gt;"No",I140&gt;=0.9)),L140&lt;&gt;"No"),"Compliant",IF(OR(G140="No",AND(C140&lt;&gt;"No",I140&lt;0.7)),"Non-Compliant","Partial")))</f>
        <v/>
      </c>
      <c r="O140" s="16" t="n"/>
      <c r="P140" s="16" t="n"/>
    </row>
    <row r="141">
      <c r="A141" s="19">
        <f>IF(ROW()-5&lt;=COUNTA('Policy Inventory'!$A:$A)-4,INDEX('Policy Inventory'!$A:$A,ROW()-1),"")</f>
        <v/>
      </c>
      <c r="B141" s="19">
        <f>IF(A141&lt;&gt;"",VLOOKUP(A141,'Policy Inventory'!$A:$B,2,FALSE),"")</f>
        <v/>
      </c>
      <c r="C141" s="19">
        <f>IF(A141&lt;&gt;"",VLOOKUP(A141,'Policy Inventory'!$A:$O,15,FALSE),"")</f>
        <v/>
      </c>
      <c r="D141" s="16" t="n"/>
      <c r="E141" s="17" t="n"/>
      <c r="F141" s="16" t="n"/>
      <c r="G141" s="16" t="n"/>
      <c r="H141" s="16" t="n"/>
      <c r="I141" s="20">
        <f>IF(A141="","",VLOOKUP(A141,'Policy Inventory'!$A:$P,16,FALSE))</f>
        <v/>
      </c>
      <c r="J141" s="16" t="n"/>
      <c r="K141" s="16" t="n"/>
      <c r="L141" s="16" t="n"/>
      <c r="M141" s="16" t="n"/>
      <c r="N141" s="19">
        <f>IF(B141="","",IF(AND(G141="Yes",OR(C141="No",AND(C141&lt;&gt;"No",I141&gt;=0.9)),L141&lt;&gt;"No"),"Compliant",IF(OR(G141="No",AND(C141&lt;&gt;"No",I141&lt;0.7)),"Non-Compliant","Partial")))</f>
        <v/>
      </c>
      <c r="O141" s="16" t="n"/>
      <c r="P141" s="16" t="n"/>
    </row>
    <row r="142">
      <c r="A142" s="19">
        <f>IF(ROW()-5&lt;=COUNTA('Policy Inventory'!$A:$A)-4,INDEX('Policy Inventory'!$A:$A,ROW()-1),"")</f>
        <v/>
      </c>
      <c r="B142" s="19">
        <f>IF(A142&lt;&gt;"",VLOOKUP(A142,'Policy Inventory'!$A:$B,2,FALSE),"")</f>
        <v/>
      </c>
      <c r="C142" s="19">
        <f>IF(A142&lt;&gt;"",VLOOKUP(A142,'Policy Inventory'!$A:$O,15,FALSE),"")</f>
        <v/>
      </c>
      <c r="D142" s="16" t="n"/>
      <c r="E142" s="17" t="n"/>
      <c r="F142" s="16" t="n"/>
      <c r="G142" s="16" t="n"/>
      <c r="H142" s="16" t="n"/>
      <c r="I142" s="20">
        <f>IF(A142="","",VLOOKUP(A142,'Policy Inventory'!$A:$P,16,FALSE))</f>
        <v/>
      </c>
      <c r="J142" s="16" t="n"/>
      <c r="K142" s="16" t="n"/>
      <c r="L142" s="16" t="n"/>
      <c r="M142" s="16" t="n"/>
      <c r="N142" s="19">
        <f>IF(B142="","",IF(AND(G142="Yes",OR(C142="No",AND(C142&lt;&gt;"No",I142&gt;=0.9)),L142&lt;&gt;"No"),"Compliant",IF(OR(G142="No",AND(C142&lt;&gt;"No",I142&lt;0.7)),"Non-Compliant","Partial")))</f>
        <v/>
      </c>
      <c r="O142" s="16" t="n"/>
      <c r="P142" s="16" t="n"/>
    </row>
    <row r="143">
      <c r="A143" s="19">
        <f>IF(ROW()-5&lt;=COUNTA('Policy Inventory'!$A:$A)-4,INDEX('Policy Inventory'!$A:$A,ROW()-1),"")</f>
        <v/>
      </c>
      <c r="B143" s="19">
        <f>IF(A143&lt;&gt;"",VLOOKUP(A143,'Policy Inventory'!$A:$B,2,FALSE),"")</f>
        <v/>
      </c>
      <c r="C143" s="19">
        <f>IF(A143&lt;&gt;"",VLOOKUP(A143,'Policy Inventory'!$A:$O,15,FALSE),"")</f>
        <v/>
      </c>
      <c r="D143" s="16" t="n"/>
      <c r="E143" s="17" t="n"/>
      <c r="F143" s="16" t="n"/>
      <c r="G143" s="16" t="n"/>
      <c r="H143" s="16" t="n"/>
      <c r="I143" s="20">
        <f>IF(A143="","",VLOOKUP(A143,'Policy Inventory'!$A:$P,16,FALSE))</f>
        <v/>
      </c>
      <c r="J143" s="16" t="n"/>
      <c r="K143" s="16" t="n"/>
      <c r="L143" s="16" t="n"/>
      <c r="M143" s="16" t="n"/>
      <c r="N143" s="19">
        <f>IF(B143="","",IF(AND(G143="Yes",OR(C143="No",AND(C143&lt;&gt;"No",I143&gt;=0.9)),L143&lt;&gt;"No"),"Compliant",IF(OR(G143="No",AND(C143&lt;&gt;"No",I143&lt;0.7)),"Non-Compliant","Partial")))</f>
        <v/>
      </c>
      <c r="O143" s="16" t="n"/>
      <c r="P143" s="16" t="n"/>
    </row>
    <row r="144">
      <c r="A144" s="19">
        <f>IF(ROW()-5&lt;=COUNTA('Policy Inventory'!$A:$A)-4,INDEX('Policy Inventory'!$A:$A,ROW()-1),"")</f>
        <v/>
      </c>
      <c r="B144" s="19">
        <f>IF(A144&lt;&gt;"",VLOOKUP(A144,'Policy Inventory'!$A:$B,2,FALSE),"")</f>
        <v/>
      </c>
      <c r="C144" s="19">
        <f>IF(A144&lt;&gt;"",VLOOKUP(A144,'Policy Inventory'!$A:$O,15,FALSE),"")</f>
        <v/>
      </c>
      <c r="D144" s="16" t="n"/>
      <c r="E144" s="17" t="n"/>
      <c r="F144" s="16" t="n"/>
      <c r="G144" s="16" t="n"/>
      <c r="H144" s="16" t="n"/>
      <c r="I144" s="20">
        <f>IF(A144="","",VLOOKUP(A144,'Policy Inventory'!$A:$P,16,FALSE))</f>
        <v/>
      </c>
      <c r="J144" s="16" t="n"/>
      <c r="K144" s="16" t="n"/>
      <c r="L144" s="16" t="n"/>
      <c r="M144" s="16" t="n"/>
      <c r="N144" s="19">
        <f>IF(B144="","",IF(AND(G144="Yes",OR(C144="No",AND(C144&lt;&gt;"No",I144&gt;=0.9)),L144&lt;&gt;"No"),"Compliant",IF(OR(G144="No",AND(C144&lt;&gt;"No",I144&lt;0.7)),"Non-Compliant","Partial")))</f>
        <v/>
      </c>
      <c r="O144" s="16" t="n"/>
      <c r="P144" s="16" t="n"/>
    </row>
    <row r="145">
      <c r="A145" s="19">
        <f>IF(ROW()-5&lt;=COUNTA('Policy Inventory'!$A:$A)-4,INDEX('Policy Inventory'!$A:$A,ROW()-1),"")</f>
        <v/>
      </c>
      <c r="B145" s="19">
        <f>IF(A145&lt;&gt;"",VLOOKUP(A145,'Policy Inventory'!$A:$B,2,FALSE),"")</f>
        <v/>
      </c>
      <c r="C145" s="19">
        <f>IF(A145&lt;&gt;"",VLOOKUP(A145,'Policy Inventory'!$A:$O,15,FALSE),"")</f>
        <v/>
      </c>
      <c r="D145" s="16" t="n"/>
      <c r="E145" s="17" t="n"/>
      <c r="F145" s="16" t="n"/>
      <c r="G145" s="16" t="n"/>
      <c r="H145" s="16" t="n"/>
      <c r="I145" s="20">
        <f>IF(A145="","",VLOOKUP(A145,'Policy Inventory'!$A:$P,16,FALSE))</f>
        <v/>
      </c>
      <c r="J145" s="16" t="n"/>
      <c r="K145" s="16" t="n"/>
      <c r="L145" s="16" t="n"/>
      <c r="M145" s="16" t="n"/>
      <c r="N145" s="19">
        <f>IF(B145="","",IF(AND(G145="Yes",OR(C145="No",AND(C145&lt;&gt;"No",I145&gt;=0.9)),L145&lt;&gt;"No"),"Compliant",IF(OR(G145="No",AND(C145&lt;&gt;"No",I145&lt;0.7)),"Non-Compliant","Partial")))</f>
        <v/>
      </c>
      <c r="O145" s="16" t="n"/>
      <c r="P145" s="16" t="n"/>
    </row>
    <row r="146">
      <c r="A146" s="19">
        <f>IF(ROW()-5&lt;=COUNTA('Policy Inventory'!$A:$A)-4,INDEX('Policy Inventory'!$A:$A,ROW()-1),"")</f>
        <v/>
      </c>
      <c r="B146" s="19">
        <f>IF(A146&lt;&gt;"",VLOOKUP(A146,'Policy Inventory'!$A:$B,2,FALSE),"")</f>
        <v/>
      </c>
      <c r="C146" s="19">
        <f>IF(A146&lt;&gt;"",VLOOKUP(A146,'Policy Inventory'!$A:$O,15,FALSE),"")</f>
        <v/>
      </c>
      <c r="D146" s="16" t="n"/>
      <c r="E146" s="17" t="n"/>
      <c r="F146" s="16" t="n"/>
      <c r="G146" s="16" t="n"/>
      <c r="H146" s="16" t="n"/>
      <c r="I146" s="20">
        <f>IF(A146="","",VLOOKUP(A146,'Policy Inventory'!$A:$P,16,FALSE))</f>
        <v/>
      </c>
      <c r="J146" s="16" t="n"/>
      <c r="K146" s="16" t="n"/>
      <c r="L146" s="16" t="n"/>
      <c r="M146" s="16" t="n"/>
      <c r="N146" s="19">
        <f>IF(B146="","",IF(AND(G146="Yes",OR(C146="No",AND(C146&lt;&gt;"No",I146&gt;=0.9)),L146&lt;&gt;"No"),"Compliant",IF(OR(G146="No",AND(C146&lt;&gt;"No",I146&lt;0.7)),"Non-Compliant","Partial")))</f>
        <v/>
      </c>
      <c r="O146" s="16" t="n"/>
      <c r="P146" s="16" t="n"/>
    </row>
    <row r="147">
      <c r="A147" s="19">
        <f>IF(ROW()-5&lt;=COUNTA('Policy Inventory'!$A:$A)-4,INDEX('Policy Inventory'!$A:$A,ROW()-1),"")</f>
        <v/>
      </c>
      <c r="B147" s="19">
        <f>IF(A147&lt;&gt;"",VLOOKUP(A147,'Policy Inventory'!$A:$B,2,FALSE),"")</f>
        <v/>
      </c>
      <c r="C147" s="19">
        <f>IF(A147&lt;&gt;"",VLOOKUP(A147,'Policy Inventory'!$A:$O,15,FALSE),"")</f>
        <v/>
      </c>
      <c r="D147" s="16" t="n"/>
      <c r="E147" s="17" t="n"/>
      <c r="F147" s="16" t="n"/>
      <c r="G147" s="16" t="n"/>
      <c r="H147" s="16" t="n"/>
      <c r="I147" s="20">
        <f>IF(A147="","",VLOOKUP(A147,'Policy Inventory'!$A:$P,16,FALSE))</f>
        <v/>
      </c>
      <c r="J147" s="16" t="n"/>
      <c r="K147" s="16" t="n"/>
      <c r="L147" s="16" t="n"/>
      <c r="M147" s="16" t="n"/>
      <c r="N147" s="19">
        <f>IF(B147="","",IF(AND(G147="Yes",OR(C147="No",AND(C147&lt;&gt;"No",I147&gt;=0.9)),L147&lt;&gt;"No"),"Compliant",IF(OR(G147="No",AND(C147&lt;&gt;"No",I147&lt;0.7)),"Non-Compliant","Partial")))</f>
        <v/>
      </c>
      <c r="O147" s="16" t="n"/>
      <c r="P147" s="16" t="n"/>
    </row>
    <row r="148">
      <c r="A148" s="19">
        <f>IF(ROW()-5&lt;=COUNTA('Policy Inventory'!$A:$A)-4,INDEX('Policy Inventory'!$A:$A,ROW()-1),"")</f>
        <v/>
      </c>
      <c r="B148" s="19">
        <f>IF(A148&lt;&gt;"",VLOOKUP(A148,'Policy Inventory'!$A:$B,2,FALSE),"")</f>
        <v/>
      </c>
      <c r="C148" s="19">
        <f>IF(A148&lt;&gt;"",VLOOKUP(A148,'Policy Inventory'!$A:$O,15,FALSE),"")</f>
        <v/>
      </c>
      <c r="D148" s="16" t="n"/>
      <c r="E148" s="17" t="n"/>
      <c r="F148" s="16" t="n"/>
      <c r="G148" s="16" t="n"/>
      <c r="H148" s="16" t="n"/>
      <c r="I148" s="20">
        <f>IF(A148="","",VLOOKUP(A148,'Policy Inventory'!$A:$P,16,FALSE))</f>
        <v/>
      </c>
      <c r="J148" s="16" t="n"/>
      <c r="K148" s="16" t="n"/>
      <c r="L148" s="16" t="n"/>
      <c r="M148" s="16" t="n"/>
      <c r="N148" s="19">
        <f>IF(B148="","",IF(AND(G148="Yes",OR(C148="No",AND(C148&lt;&gt;"No",I148&gt;=0.9)),L148&lt;&gt;"No"),"Compliant",IF(OR(G148="No",AND(C148&lt;&gt;"No",I148&lt;0.7)),"Non-Compliant","Partial")))</f>
        <v/>
      </c>
      <c r="O148" s="16" t="n"/>
      <c r="P148" s="16" t="n"/>
    </row>
    <row r="149">
      <c r="A149" s="19">
        <f>IF(ROW()-5&lt;=COUNTA('Policy Inventory'!$A:$A)-4,INDEX('Policy Inventory'!$A:$A,ROW()-1),"")</f>
        <v/>
      </c>
      <c r="B149" s="19">
        <f>IF(A149&lt;&gt;"",VLOOKUP(A149,'Policy Inventory'!$A:$B,2,FALSE),"")</f>
        <v/>
      </c>
      <c r="C149" s="19">
        <f>IF(A149&lt;&gt;"",VLOOKUP(A149,'Policy Inventory'!$A:$O,15,FALSE),"")</f>
        <v/>
      </c>
      <c r="D149" s="16" t="n"/>
      <c r="E149" s="17" t="n"/>
      <c r="F149" s="16" t="n"/>
      <c r="G149" s="16" t="n"/>
      <c r="H149" s="16" t="n"/>
      <c r="I149" s="20">
        <f>IF(A149="","",VLOOKUP(A149,'Policy Inventory'!$A:$P,16,FALSE))</f>
        <v/>
      </c>
      <c r="J149" s="16" t="n"/>
      <c r="K149" s="16" t="n"/>
      <c r="L149" s="16" t="n"/>
      <c r="M149" s="16" t="n"/>
      <c r="N149" s="19">
        <f>IF(B149="","",IF(AND(G149="Yes",OR(C149="No",AND(C149&lt;&gt;"No",I149&gt;=0.9)),L149&lt;&gt;"No"),"Compliant",IF(OR(G149="No",AND(C149&lt;&gt;"No",I149&lt;0.7)),"Non-Compliant","Partial")))</f>
        <v/>
      </c>
      <c r="O149" s="16" t="n"/>
      <c r="P149" s="16" t="n"/>
    </row>
    <row r="150">
      <c r="A150" s="19">
        <f>IF(ROW()-5&lt;=COUNTA('Policy Inventory'!$A:$A)-4,INDEX('Policy Inventory'!$A:$A,ROW()-1),"")</f>
        <v/>
      </c>
      <c r="B150" s="19">
        <f>IF(A150&lt;&gt;"",VLOOKUP(A150,'Policy Inventory'!$A:$B,2,FALSE),"")</f>
        <v/>
      </c>
      <c r="C150" s="19">
        <f>IF(A150&lt;&gt;"",VLOOKUP(A150,'Policy Inventory'!$A:$O,15,FALSE),"")</f>
        <v/>
      </c>
      <c r="D150" s="16" t="n"/>
      <c r="E150" s="17" t="n"/>
      <c r="F150" s="16" t="n"/>
      <c r="G150" s="16" t="n"/>
      <c r="H150" s="16" t="n"/>
      <c r="I150" s="20">
        <f>IF(A150="","",VLOOKUP(A150,'Policy Inventory'!$A:$P,16,FALSE))</f>
        <v/>
      </c>
      <c r="J150" s="16" t="n"/>
      <c r="K150" s="16" t="n"/>
      <c r="L150" s="16" t="n"/>
      <c r="M150" s="16" t="n"/>
      <c r="N150" s="19">
        <f>IF(B150="","",IF(AND(G150="Yes",OR(C150="No",AND(C150&lt;&gt;"No",I150&gt;=0.9)),L150&lt;&gt;"No"),"Compliant",IF(OR(G150="No",AND(C150&lt;&gt;"No",I150&lt;0.7)),"Non-Compliant","Partial")))</f>
        <v/>
      </c>
      <c r="O150" s="16" t="n"/>
      <c r="P150" s="16" t="n"/>
    </row>
    <row r="151">
      <c r="A151" s="19">
        <f>IF(ROW()-5&lt;=COUNTA('Policy Inventory'!$A:$A)-4,INDEX('Policy Inventory'!$A:$A,ROW()-1),"")</f>
        <v/>
      </c>
      <c r="B151" s="19">
        <f>IF(A151&lt;&gt;"",VLOOKUP(A151,'Policy Inventory'!$A:$B,2,FALSE),"")</f>
        <v/>
      </c>
      <c r="C151" s="19">
        <f>IF(A151&lt;&gt;"",VLOOKUP(A151,'Policy Inventory'!$A:$O,15,FALSE),"")</f>
        <v/>
      </c>
      <c r="D151" s="16" t="n"/>
      <c r="E151" s="17" t="n"/>
      <c r="F151" s="16" t="n"/>
      <c r="G151" s="16" t="n"/>
      <c r="H151" s="16" t="n"/>
      <c r="I151" s="20">
        <f>IF(A151="","",VLOOKUP(A151,'Policy Inventory'!$A:$P,16,FALSE))</f>
        <v/>
      </c>
      <c r="J151" s="16" t="n"/>
      <c r="K151" s="16" t="n"/>
      <c r="L151" s="16" t="n"/>
      <c r="M151" s="16" t="n"/>
      <c r="N151" s="19">
        <f>IF(B151="","",IF(AND(G151="Yes",OR(C151="No",AND(C151&lt;&gt;"No",I151&gt;=0.9)),L151&lt;&gt;"No"),"Compliant",IF(OR(G151="No",AND(C151&lt;&gt;"No",I151&lt;0.7)),"Non-Compliant","Partial")))</f>
        <v/>
      </c>
      <c r="O151" s="16" t="n"/>
      <c r="P151" s="16" t="n"/>
    </row>
    <row r="152">
      <c r="A152" s="19">
        <f>IF(ROW()-5&lt;=COUNTA('Policy Inventory'!$A:$A)-4,INDEX('Policy Inventory'!$A:$A,ROW()-1),"")</f>
        <v/>
      </c>
      <c r="B152" s="19">
        <f>IF(A152&lt;&gt;"",VLOOKUP(A152,'Policy Inventory'!$A:$B,2,FALSE),"")</f>
        <v/>
      </c>
      <c r="C152" s="19">
        <f>IF(A152&lt;&gt;"",VLOOKUP(A152,'Policy Inventory'!$A:$O,15,FALSE),"")</f>
        <v/>
      </c>
      <c r="D152" s="16" t="n"/>
      <c r="E152" s="17" t="n"/>
      <c r="F152" s="16" t="n"/>
      <c r="G152" s="16" t="n"/>
      <c r="H152" s="16" t="n"/>
      <c r="I152" s="20">
        <f>IF(A152="","",VLOOKUP(A152,'Policy Inventory'!$A:$P,16,FALSE))</f>
        <v/>
      </c>
      <c r="J152" s="16" t="n"/>
      <c r="K152" s="16" t="n"/>
      <c r="L152" s="16" t="n"/>
      <c r="M152" s="16" t="n"/>
      <c r="N152" s="19">
        <f>IF(B152="","",IF(AND(G152="Yes",OR(C152="No",AND(C152&lt;&gt;"No",I152&gt;=0.9)),L152&lt;&gt;"No"),"Compliant",IF(OR(G152="No",AND(C152&lt;&gt;"No",I152&lt;0.7)),"Non-Compliant","Partial")))</f>
        <v/>
      </c>
      <c r="O152" s="16" t="n"/>
      <c r="P152" s="16" t="n"/>
    </row>
    <row r="153">
      <c r="A153" s="19">
        <f>IF(ROW()-5&lt;=COUNTA('Policy Inventory'!$A:$A)-4,INDEX('Policy Inventory'!$A:$A,ROW()-1),"")</f>
        <v/>
      </c>
      <c r="B153" s="19">
        <f>IF(A153&lt;&gt;"",VLOOKUP(A153,'Policy Inventory'!$A:$B,2,FALSE),"")</f>
        <v/>
      </c>
      <c r="C153" s="19">
        <f>IF(A153&lt;&gt;"",VLOOKUP(A153,'Policy Inventory'!$A:$O,15,FALSE),"")</f>
        <v/>
      </c>
      <c r="D153" s="16" t="n"/>
      <c r="E153" s="17" t="n"/>
      <c r="F153" s="16" t="n"/>
      <c r="G153" s="16" t="n"/>
      <c r="H153" s="16" t="n"/>
      <c r="I153" s="20">
        <f>IF(A153="","",VLOOKUP(A153,'Policy Inventory'!$A:$P,16,FALSE))</f>
        <v/>
      </c>
      <c r="J153" s="16" t="n"/>
      <c r="K153" s="16" t="n"/>
      <c r="L153" s="16" t="n"/>
      <c r="M153" s="16" t="n"/>
      <c r="N153" s="19">
        <f>IF(B153="","",IF(AND(G153="Yes",OR(C153="No",AND(C153&lt;&gt;"No",I153&gt;=0.9)),L153&lt;&gt;"No"),"Compliant",IF(OR(G153="No",AND(C153&lt;&gt;"No",I153&lt;0.7)),"Non-Compliant","Partial")))</f>
        <v/>
      </c>
      <c r="O153" s="16" t="n"/>
      <c r="P153" s="16" t="n"/>
    </row>
    <row r="154">
      <c r="A154" s="19">
        <f>IF(ROW()-5&lt;=COUNTA('Policy Inventory'!$A:$A)-4,INDEX('Policy Inventory'!$A:$A,ROW()-1),"")</f>
        <v/>
      </c>
      <c r="B154" s="19">
        <f>IF(A154&lt;&gt;"",VLOOKUP(A154,'Policy Inventory'!$A:$B,2,FALSE),"")</f>
        <v/>
      </c>
      <c r="C154" s="19">
        <f>IF(A154&lt;&gt;"",VLOOKUP(A154,'Policy Inventory'!$A:$O,15,FALSE),"")</f>
        <v/>
      </c>
      <c r="D154" s="16" t="n"/>
      <c r="E154" s="17" t="n"/>
      <c r="F154" s="16" t="n"/>
      <c r="G154" s="16" t="n"/>
      <c r="H154" s="16" t="n"/>
      <c r="I154" s="20">
        <f>IF(A154="","",VLOOKUP(A154,'Policy Inventory'!$A:$P,16,FALSE))</f>
        <v/>
      </c>
      <c r="J154" s="16" t="n"/>
      <c r="K154" s="16" t="n"/>
      <c r="L154" s="16" t="n"/>
      <c r="M154" s="16" t="n"/>
      <c r="N154" s="19">
        <f>IF(B154="","",IF(AND(G154="Yes",OR(C154="No",AND(C154&lt;&gt;"No",I154&gt;=0.9)),L154&lt;&gt;"No"),"Compliant",IF(OR(G154="No",AND(C154&lt;&gt;"No",I154&lt;0.7)),"Non-Compliant","Partial")))</f>
        <v/>
      </c>
      <c r="O154" s="16" t="n"/>
      <c r="P154" s="16" t="n"/>
    </row>
    <row r="155">
      <c r="A155" s="19">
        <f>IF(ROW()-5&lt;=COUNTA('Policy Inventory'!$A:$A)-4,INDEX('Policy Inventory'!$A:$A,ROW()-1),"")</f>
        <v/>
      </c>
      <c r="B155" s="19">
        <f>IF(A155&lt;&gt;"",VLOOKUP(A155,'Policy Inventory'!$A:$B,2,FALSE),"")</f>
        <v/>
      </c>
      <c r="C155" s="19">
        <f>IF(A155&lt;&gt;"",VLOOKUP(A155,'Policy Inventory'!$A:$O,15,FALSE),"")</f>
        <v/>
      </c>
      <c r="D155" s="16" t="n"/>
      <c r="E155" s="17" t="n"/>
      <c r="F155" s="16" t="n"/>
      <c r="G155" s="16" t="n"/>
      <c r="H155" s="16" t="n"/>
      <c r="I155" s="20">
        <f>IF(A155="","",VLOOKUP(A155,'Policy Inventory'!$A:$P,16,FALSE))</f>
        <v/>
      </c>
      <c r="J155" s="16" t="n"/>
      <c r="K155" s="16" t="n"/>
      <c r="L155" s="16" t="n"/>
      <c r="M155" s="16" t="n"/>
      <c r="N155" s="19">
        <f>IF(B155="","",IF(AND(G155="Yes",OR(C155="No",AND(C155&lt;&gt;"No",I155&gt;=0.9)),L155&lt;&gt;"No"),"Compliant",IF(OR(G155="No",AND(C155&lt;&gt;"No",I155&lt;0.7)),"Non-Compliant","Partial")))</f>
        <v/>
      </c>
      <c r="O155" s="16" t="n"/>
      <c r="P155" s="16" t="n"/>
    </row>
  </sheetData>
  <mergeCells count="2">
    <mergeCell ref="A1:P1"/>
    <mergeCell ref="A2:P2"/>
  </mergeCells>
  <dataValidations count="6">
    <dataValidation sqref="G6:G155" showDropDown="0" showInputMessage="0" showErrorMessage="1" allowBlank="1" errorTitle="Invalid Entry" error="Please select from dropdown" type="list">
      <formula1>"Yes,Partial,No"</formula1>
    </dataValidation>
    <dataValidation sqref="H6:H155" showDropDown="0" showInputMessage="0" showErrorMessage="1" allowBlank="1" errorTitle="Invalid Entry" error="Please select from dropdown" type="list">
      <formula1>"N/A,LMS,Email,E-Signature,Form,Training"</formula1>
    </dataValidation>
    <dataValidation sqref="J6:J155" showDropDown="0" showInputMessage="0" showErrorMessage="1" allowBlank="1" errorTitle="Invalid Entry" error="Please select from dropdown" type="list">
      <formula1>"N/A,Immediate,30-Days,60-Days,90-Days,Annual"</formula1>
    </dataValidation>
    <dataValidation sqref="K6:K155" showDropDown="0" showInputMessage="0" showErrorMessage="1" allowBlank="1" errorTitle="Invalid Entry" error="Please select from dropdown" type="list">
      <formula1>"Yes,Partial,No,N/A"</formula1>
    </dataValidation>
    <dataValidation sqref="L6:L155" showDropDown="0" showInputMessage="0" showErrorMessage="1" allowBlank="1" errorTitle="Invalid Entry" error="Please select from dropdown" type="list">
      <formula1>"Yes,Partial,No,N/A"</formula1>
    </dataValidation>
    <dataValidation sqref="M6:M55" showDropDown="0" showInputMessage="0" showErrorMessage="1" allowBlank="1" errorTitle="Invalid Entry" error="Please select from dropdown"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35" customWidth="1" min="1" max="1"/>
    <col width="60" customWidth="1" min="2" max="2"/>
  </cols>
  <sheetData>
    <row r="1" ht="35" customHeight="1">
      <c r="A1" s="11" t="inlineStr">
        <is>
          <t>REPOSITORY ASSESSMENT</t>
        </is>
      </c>
    </row>
    <row r="2">
      <c r="A2" s="12" t="inlineStr">
        <is>
          <t>Policy repository structure, organisation, access, and performance</t>
        </is>
      </c>
    </row>
    <row r="5">
      <c r="A5" s="21" t="inlineStr">
        <is>
          <t>What system is used for policy repository?</t>
        </is>
      </c>
      <c r="B5" s="16" t="n"/>
    </row>
    <row r="6">
      <c r="A6" s="21" t="inlineStr">
        <is>
          <t>What is the primary repository location?</t>
        </is>
      </c>
      <c r="B6" s="16" t="n"/>
    </row>
    <row r="7">
      <c r="A7" s="21" t="inlineStr">
        <is>
          <t>How is repository organised?</t>
        </is>
      </c>
      <c r="B7" s="16" t="n"/>
    </row>
    <row r="8">
      <c r="A8" s="21" t="inlineStr">
        <is>
          <t>How easy is it to find policies?</t>
        </is>
      </c>
      <c r="B8" s="16" t="n"/>
    </row>
    <row r="9">
      <c r="A9" s="21" t="inlineStr">
        <is>
          <t>Is search functionality available?</t>
        </is>
      </c>
      <c r="B9" s="16" t="n"/>
    </row>
    <row r="10">
      <c r="A10" s="21" t="inlineStr">
        <is>
          <t>How are policy versions managed?</t>
        </is>
      </c>
      <c r="B10" s="16" t="n"/>
    </row>
    <row r="11">
      <c r="A11" s="21" t="inlineStr">
        <is>
          <t>Can users access previous versions?</t>
        </is>
      </c>
      <c r="B11" s="16" t="n"/>
    </row>
    <row r="12">
      <c r="A12" s="21" t="inlineStr">
        <is>
          <t>Are access controls implemented?</t>
        </is>
      </c>
      <c r="B12" s="16" t="n"/>
    </row>
    <row r="13">
      <c r="A13" s="21" t="inlineStr">
        <is>
          <t>Is policy access logged?</t>
        </is>
      </c>
      <c r="B13" s="16" t="n"/>
    </row>
    <row r="14">
      <c r="A14" s="21" t="inlineStr">
        <is>
          <t>Are policies accessible from mobile?</t>
        </is>
      </c>
      <c r="B14" s="16" t="n"/>
    </row>
    <row r="15">
      <c r="A15" s="21" t="inlineStr">
        <is>
          <t>Can policies be accessed offline?</t>
        </is>
      </c>
      <c r="B15" s="16" t="n"/>
    </row>
    <row r="16">
      <c r="A16" s="21" t="inlineStr">
        <is>
          <t>Is repository backed up?</t>
        </is>
      </c>
      <c r="B16" s="16" t="n"/>
    </row>
    <row r="17">
      <c r="A17" s="21" t="inlineStr">
        <is>
          <t>Is repository in DR plan?</t>
        </is>
      </c>
      <c r="B17" s="16" t="n"/>
    </row>
    <row r="18">
      <c r="A18" s="21" t="inlineStr">
        <is>
          <t>Is repository performance acceptable?</t>
        </is>
      </c>
      <c r="B18" s="16" t="n"/>
    </row>
    <row r="19">
      <c r="A19" s="21" t="inlineStr">
        <is>
          <t>What is repository availability?</t>
        </is>
      </c>
      <c r="B19" s="16" t="n"/>
    </row>
    <row r="20">
      <c r="A20" s="21" t="inlineStr">
        <is>
          <t>Overall repository compliance?</t>
        </is>
      </c>
      <c r="B20" s="19">
        <f>IF(AND(B7&lt;&gt;"Unorganised",B8&lt;&gt;"Poor",B9&lt;&gt;"None",B10&lt;&gt;"No-Versioning",B12="Yes",B16="Yes"),"Compliant",IF(OR(B7="Unorganised",B8="Poor",B10="No-Versioning",B12="No",B16="No"),"Non-Compliant","Partial"))</f>
        <v/>
      </c>
    </row>
    <row r="21">
      <c r="A21" s="21" t="inlineStr">
        <is>
          <t>Describe any repository gaps</t>
        </is>
      </c>
      <c r="B21" s="16" t="n"/>
    </row>
    <row r="22">
      <c r="A22" s="21" t="inlineStr">
        <is>
          <t>Where is repository evidence?</t>
        </is>
      </c>
      <c r="B22" s="16" t="n"/>
    </row>
  </sheetData>
  <mergeCells count="2">
    <mergeCell ref="A2:B2"/>
    <mergeCell ref="A1:B1"/>
  </mergeCells>
  <dataValidations count="12">
    <dataValidation sqref="B5" showDropDown="0" showInputMessage="0" showErrorMessage="1" allowBlank="1" errorTitle="Invalid Entry" error="Please select from dropdown" type="list">
      <formula1>"SharePoint,Confluence,Document-Management-System,Intranet,File-Share,Other"</formula1>
    </dataValidation>
    <dataValidation sqref="B7" showDropDown="0" showInputMessage="0" showErrorMessage="1" allowBlank="1" errorTitle="Invalid Entry" error="Please select from dropdown" type="list">
      <formula1>"By-Hierarchy-Tier,By-Domain,By-ISO-Control,Alphabetical,Unorganised,Mixed"</formula1>
    </dataValidation>
    <dataValidation sqref="B8" showDropDown="0" showInputMessage="0" showErrorMessage="1" allowBlank="1" errorTitle="Invalid Entry" error="Please select from dropdown" type="list">
      <formula1>"Excellent,Good,Adequate,Poor"</formula1>
    </dataValidation>
    <dataValidation sqref="B9" showDropDown="0" showInputMessage="0" showErrorMessage="1" allowBlank="1" errorTitle="Invalid Entry" error="Please select from dropdown" type="list">
      <formula1>"Excellent,Good,Adequate,None"</formula1>
    </dataValidation>
    <dataValidation sqref="B10" showDropDown="0" showInputMessage="0" showErrorMessage="1" allowBlank="1" errorTitle="Invalid Entry" error="Please select from dropdown" type="list">
      <formula1>"Automated-Versioning,Manual-Versioning,No-Versioning"</formula1>
    </dataValidation>
    <dataValidation sqref="B11" showDropDown="0" showInputMessage="0" showErrorMessage="1" allowBlank="1" errorTitle="Invalid Entry" error="Please select from dropdown" type="list">
      <formula1>"Yes-All-Versions,Yes-Recent-Versions,No,N/A"</formula1>
    </dataValidation>
    <dataValidation sqref="B12 B13" showDropDown="0" showInputMessage="0" showErrorMessage="1" allowBlank="1" errorTitle="Invalid Entry" error="Please select from dropdown" type="list">
      <formula1>"Yes,Partial,No"</formula1>
    </dataValidation>
    <dataValidation sqref="B14" showDropDown="0" showInputMessage="0" showErrorMessage="1" allowBlank="1" errorTitle="Invalid Entry" error="Please select from dropdown" type="list">
      <formula1>"Yes-Fully,Yes-Partially,No,Not-Tested"</formula1>
    </dataValidation>
    <dataValidation sqref="B15" showDropDown="0" showInputMessage="0" showErrorMessage="1" allowBlank="1" errorTitle="Invalid Entry" error="Please select from dropdown" type="list">
      <formula1>"Yes,No,Not-Required"</formula1>
    </dataValidation>
    <dataValidation sqref="B16 B17" showDropDown="0" showInputMessage="0" showErrorMessage="1" allowBlank="1" errorTitle="Invalid Entry" error="Please select from dropdown" type="list">
      <formula1>"Yes,No,Unknown"</formula1>
    </dataValidation>
    <dataValidation sqref="B18" showDropDown="0" showInputMessage="0" showErrorMessage="1" allowBlank="1" errorTitle="Invalid Entry" error="Please select from dropdown" type="list">
      <formula1>"Excellent,Good,Adequate,Poor"</formula1>
    </dataValidation>
    <dataValidation sqref="B19" showDropDown="0" showInputMessage="0" showErrorMessage="1" allowBlank="1" errorTitle="Invalid Entry" error="Please select from dropdown" type="list">
      <formula1>"99.9%+,99-99.9%,95-99%,&lt;95%,Unknown"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5"/>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5" customWidth="1" min="4" max="4"/>
    <col width="40" customWidth="1" min="5" max="5"/>
    <col width="15" customWidth="1" min="6" max="6"/>
    <col width="35" customWidth="1" min="7" max="7"/>
    <col width="25" customWidth="1" min="8" max="8"/>
    <col width="4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gaps from all assessment domains with risk levels and remediation plans</t>
        </is>
      </c>
    </row>
    <row r="4">
      <c r="A4" s="13" t="inlineStr">
        <is>
          <t>Gap ID</t>
        </is>
      </c>
      <c r="B4" s="13" t="inlineStr">
        <is>
          <t>Policy ID</t>
        </is>
      </c>
      <c r="C4" s="13" t="inlineStr">
        <is>
          <t>Policy Title</t>
        </is>
      </c>
      <c r="D4" s="13" t="inlineStr">
        <is>
          <t>Gap Category</t>
        </is>
      </c>
      <c r="E4" s="13" t="inlineStr">
        <is>
          <t>Gap Description</t>
        </is>
      </c>
      <c r="F4" s="13" t="inlineStr">
        <is>
          <t>Risk Level</t>
        </is>
      </c>
      <c r="G4" s="13" t="inlineStr">
        <is>
          <t>Impact Assessment</t>
        </is>
      </c>
      <c r="H4" s="13" t="inlineStr">
        <is>
          <t>Affected Stakeholders</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4" t="inlineStr">
        <is>
          <t>GAP-EXAMPLE</t>
        </is>
      </c>
      <c r="B5" s="14" t="inlineStr">
        <is>
          <t>POL-001</t>
        </is>
      </c>
      <c r="C5" s="14" t="inlineStr">
        <is>
          <t>Information Security Policy (Example)</t>
        </is>
      </c>
      <c r="D5" s="14" t="inlineStr">
        <is>
          <t>Lifecycle</t>
        </is>
      </c>
      <c r="E5" s="14" t="inlineStr">
        <is>
          <t>Policy has not been reviewed in 18 months (example)</t>
        </is>
      </c>
      <c r="F5" s="14" t="inlineStr">
        <is>
          <t>High</t>
        </is>
      </c>
      <c r="G5" s="14" t="inlineStr">
        <is>
          <t>Regulatory non-compliance risk (example)</t>
        </is>
      </c>
      <c r="H5" s="14" t="inlineStr">
        <is>
          <t>CISO, Legal</t>
        </is>
      </c>
      <c r="I5" s="14" t="inlineStr">
        <is>
          <t>Schedule annual review and update policy (example)</t>
        </is>
      </c>
      <c r="J5" s="14" t="inlineStr">
        <is>
          <t>Policy Owner</t>
        </is>
      </c>
      <c r="K5" s="14" t="inlineStr">
        <is>
          <t>30.06.2026</t>
        </is>
      </c>
      <c r="L5" s="14" t="inlineStr">
        <is>
          <t>1day</t>
        </is>
      </c>
      <c r="M5" s="14" t="inlineStr">
        <is>
          <t>None</t>
        </is>
      </c>
      <c r="N5" s="14" t="inlineStr">
        <is>
          <t>Not-Started</t>
        </is>
      </c>
      <c r="O5" s="14" t="inlineStr"/>
      <c r="P5" s="14" t="inlineStr">
        <is>
          <t>Example — replace with actual gap data</t>
        </is>
      </c>
    </row>
    <row r="6">
      <c r="A6" s="19">
        <f>IF(B6="","",TEXT(ROW()-5,"GAP-000"))</f>
        <v/>
      </c>
      <c r="B6" s="16" t="n"/>
      <c r="C6" s="16" t="n"/>
      <c r="D6" s="16" t="n"/>
      <c r="E6" s="16" t="n"/>
      <c r="F6" s="16" t="n"/>
      <c r="G6" s="16" t="n"/>
      <c r="H6" s="16" t="n"/>
      <c r="I6" s="16" t="n"/>
      <c r="J6" s="16" t="n"/>
      <c r="K6" s="17" t="n"/>
      <c r="L6" s="16" t="n"/>
      <c r="M6" s="16" t="n"/>
      <c r="N6" s="16" t="n"/>
      <c r="O6" s="16" t="n"/>
      <c r="P6" s="16" t="n"/>
    </row>
    <row r="7">
      <c r="A7" s="19">
        <f>IF(B7="","",TEXT(ROW()-5,"GAP-000"))</f>
        <v/>
      </c>
      <c r="B7" s="16" t="n"/>
      <c r="C7" s="16" t="n"/>
      <c r="D7" s="16" t="n"/>
      <c r="E7" s="16" t="n"/>
      <c r="F7" s="16" t="n"/>
      <c r="G7" s="16" t="n"/>
      <c r="H7" s="16" t="n"/>
      <c r="I7" s="16" t="n"/>
      <c r="J7" s="16" t="n"/>
      <c r="K7" s="17" t="n"/>
      <c r="L7" s="16" t="n"/>
      <c r="M7" s="16" t="n"/>
      <c r="N7" s="16" t="n"/>
      <c r="O7" s="16" t="n"/>
      <c r="P7" s="16" t="n"/>
    </row>
    <row r="8">
      <c r="A8" s="19">
        <f>IF(B8="","",TEXT(ROW()-5,"GAP-000"))</f>
        <v/>
      </c>
      <c r="B8" s="16" t="n"/>
      <c r="C8" s="16" t="n"/>
      <c r="D8" s="16" t="n"/>
      <c r="E8" s="16" t="n"/>
      <c r="F8" s="16" t="n"/>
      <c r="G8" s="16" t="n"/>
      <c r="H8" s="16" t="n"/>
      <c r="I8" s="16" t="n"/>
      <c r="J8" s="16" t="n"/>
      <c r="K8" s="17" t="n"/>
      <c r="L8" s="16" t="n"/>
      <c r="M8" s="16" t="n"/>
      <c r="N8" s="16" t="n"/>
      <c r="O8" s="16" t="n"/>
      <c r="P8" s="16" t="n"/>
    </row>
    <row r="9">
      <c r="A9" s="19">
        <f>IF(B9="","",TEXT(ROW()-5,"GAP-000"))</f>
        <v/>
      </c>
      <c r="B9" s="16" t="n"/>
      <c r="C9" s="16" t="n"/>
      <c r="D9" s="16" t="n"/>
      <c r="E9" s="16" t="n"/>
      <c r="F9" s="16" t="n"/>
      <c r="G9" s="16" t="n"/>
      <c r="H9" s="16" t="n"/>
      <c r="I9" s="16" t="n"/>
      <c r="J9" s="16" t="n"/>
      <c r="K9" s="17" t="n"/>
      <c r="L9" s="16" t="n"/>
      <c r="M9" s="16" t="n"/>
      <c r="N9" s="16" t="n"/>
      <c r="O9" s="16" t="n"/>
      <c r="P9" s="16" t="n"/>
    </row>
    <row r="10">
      <c r="A10" s="19">
        <f>IF(B10="","",TEXT(ROW()-5,"GAP-000"))</f>
        <v/>
      </c>
      <c r="B10" s="16" t="n"/>
      <c r="C10" s="16" t="n"/>
      <c r="D10" s="16" t="n"/>
      <c r="E10" s="16" t="n"/>
      <c r="F10" s="16" t="n"/>
      <c r="G10" s="16" t="n"/>
      <c r="H10" s="16" t="n"/>
      <c r="I10" s="16" t="n"/>
      <c r="J10" s="16" t="n"/>
      <c r="K10" s="17" t="n"/>
      <c r="L10" s="16" t="n"/>
      <c r="M10" s="16" t="n"/>
      <c r="N10" s="16" t="n"/>
      <c r="O10" s="16" t="n"/>
      <c r="P10" s="16" t="n"/>
    </row>
    <row r="11">
      <c r="A11" s="19">
        <f>IF(B11="","",TEXT(ROW()-5,"GAP-000"))</f>
        <v/>
      </c>
      <c r="B11" s="16" t="n"/>
      <c r="C11" s="16" t="n"/>
      <c r="D11" s="16" t="n"/>
      <c r="E11" s="16" t="n"/>
      <c r="F11" s="16" t="n"/>
      <c r="G11" s="16" t="n"/>
      <c r="H11" s="16" t="n"/>
      <c r="I11" s="16" t="n"/>
      <c r="J11" s="16" t="n"/>
      <c r="K11" s="17" t="n"/>
      <c r="L11" s="16" t="n"/>
      <c r="M11" s="16" t="n"/>
      <c r="N11" s="16" t="n"/>
      <c r="O11" s="16" t="n"/>
      <c r="P11" s="16" t="n"/>
    </row>
    <row r="12">
      <c r="A12" s="19">
        <f>IF(B12="","",TEXT(ROW()-5,"GAP-000"))</f>
        <v/>
      </c>
      <c r="B12" s="16" t="n"/>
      <c r="C12" s="16" t="n"/>
      <c r="D12" s="16" t="n"/>
      <c r="E12" s="16" t="n"/>
      <c r="F12" s="16" t="n"/>
      <c r="G12" s="16" t="n"/>
      <c r="H12" s="16" t="n"/>
      <c r="I12" s="16" t="n"/>
      <c r="J12" s="16" t="n"/>
      <c r="K12" s="17" t="n"/>
      <c r="L12" s="16" t="n"/>
      <c r="M12" s="16" t="n"/>
      <c r="N12" s="16" t="n"/>
      <c r="O12" s="16" t="n"/>
      <c r="P12" s="16" t="n"/>
    </row>
    <row r="13">
      <c r="A13" s="19">
        <f>IF(B13="","",TEXT(ROW()-5,"GAP-000"))</f>
        <v/>
      </c>
      <c r="B13" s="16" t="n"/>
      <c r="C13" s="16" t="n"/>
      <c r="D13" s="16" t="n"/>
      <c r="E13" s="16" t="n"/>
      <c r="F13" s="16" t="n"/>
      <c r="G13" s="16" t="n"/>
      <c r="H13" s="16" t="n"/>
      <c r="I13" s="16" t="n"/>
      <c r="J13" s="16" t="n"/>
      <c r="K13" s="17" t="n"/>
      <c r="L13" s="16" t="n"/>
      <c r="M13" s="16" t="n"/>
      <c r="N13" s="16" t="n"/>
      <c r="O13" s="16" t="n"/>
      <c r="P13" s="16" t="n"/>
    </row>
    <row r="14">
      <c r="A14" s="19">
        <f>IF(B14="","",TEXT(ROW()-5,"GAP-000"))</f>
        <v/>
      </c>
      <c r="B14" s="16" t="n"/>
      <c r="C14" s="16" t="n"/>
      <c r="D14" s="16" t="n"/>
      <c r="E14" s="16" t="n"/>
      <c r="F14" s="16" t="n"/>
      <c r="G14" s="16" t="n"/>
      <c r="H14" s="16" t="n"/>
      <c r="I14" s="16" t="n"/>
      <c r="J14" s="16" t="n"/>
      <c r="K14" s="17" t="n"/>
      <c r="L14" s="16" t="n"/>
      <c r="M14" s="16" t="n"/>
      <c r="N14" s="16" t="n"/>
      <c r="O14" s="16" t="n"/>
      <c r="P14" s="16" t="n"/>
    </row>
    <row r="15">
      <c r="A15" s="19">
        <f>IF(B15="","",TEXT(ROW()-5,"GAP-000"))</f>
        <v/>
      </c>
      <c r="B15" s="16" t="n"/>
      <c r="C15" s="16" t="n"/>
      <c r="D15" s="16" t="n"/>
      <c r="E15" s="16" t="n"/>
      <c r="F15" s="16" t="n"/>
      <c r="G15" s="16" t="n"/>
      <c r="H15" s="16" t="n"/>
      <c r="I15" s="16" t="n"/>
      <c r="J15" s="16" t="n"/>
      <c r="K15" s="17" t="n"/>
      <c r="L15" s="16" t="n"/>
      <c r="M15" s="16" t="n"/>
      <c r="N15" s="16" t="n"/>
      <c r="O15" s="16" t="n"/>
      <c r="P15" s="16" t="n"/>
    </row>
    <row r="16">
      <c r="A16" s="19">
        <f>IF(B16="","",TEXT(ROW()-5,"GAP-000"))</f>
        <v/>
      </c>
      <c r="B16" s="16" t="n"/>
      <c r="C16" s="16" t="n"/>
      <c r="D16" s="16" t="n"/>
      <c r="E16" s="16" t="n"/>
      <c r="F16" s="16" t="n"/>
      <c r="G16" s="16" t="n"/>
      <c r="H16" s="16" t="n"/>
      <c r="I16" s="16" t="n"/>
      <c r="J16" s="16" t="n"/>
      <c r="K16" s="17" t="n"/>
      <c r="L16" s="16" t="n"/>
      <c r="M16" s="16" t="n"/>
      <c r="N16" s="16" t="n"/>
      <c r="O16" s="16" t="n"/>
      <c r="P16" s="16" t="n"/>
    </row>
    <row r="17">
      <c r="A17" s="19">
        <f>IF(B17="","",TEXT(ROW()-5,"GAP-000"))</f>
        <v/>
      </c>
      <c r="B17" s="16" t="n"/>
      <c r="C17" s="16" t="n"/>
      <c r="D17" s="16" t="n"/>
      <c r="E17" s="16" t="n"/>
      <c r="F17" s="16" t="n"/>
      <c r="G17" s="16" t="n"/>
      <c r="H17" s="16" t="n"/>
      <c r="I17" s="16" t="n"/>
      <c r="J17" s="16" t="n"/>
      <c r="K17" s="17" t="n"/>
      <c r="L17" s="16" t="n"/>
      <c r="M17" s="16" t="n"/>
      <c r="N17" s="16" t="n"/>
      <c r="O17" s="16" t="n"/>
      <c r="P17" s="16" t="n"/>
    </row>
    <row r="18">
      <c r="A18" s="19">
        <f>IF(B18="","",TEXT(ROW()-5,"GAP-000"))</f>
        <v/>
      </c>
      <c r="B18" s="16" t="n"/>
      <c r="C18" s="16" t="n"/>
      <c r="D18" s="16" t="n"/>
      <c r="E18" s="16" t="n"/>
      <c r="F18" s="16" t="n"/>
      <c r="G18" s="16" t="n"/>
      <c r="H18" s="16" t="n"/>
      <c r="I18" s="16" t="n"/>
      <c r="J18" s="16" t="n"/>
      <c r="K18" s="17" t="n"/>
      <c r="L18" s="16" t="n"/>
      <c r="M18" s="16" t="n"/>
      <c r="N18" s="16" t="n"/>
      <c r="O18" s="16" t="n"/>
      <c r="P18" s="16" t="n"/>
    </row>
    <row r="19">
      <c r="A19" s="19">
        <f>IF(B19="","",TEXT(ROW()-5,"GAP-000"))</f>
        <v/>
      </c>
      <c r="B19" s="16" t="n"/>
      <c r="C19" s="16" t="n"/>
      <c r="D19" s="16" t="n"/>
      <c r="E19" s="16" t="n"/>
      <c r="F19" s="16" t="n"/>
      <c r="G19" s="16" t="n"/>
      <c r="H19" s="16" t="n"/>
      <c r="I19" s="16" t="n"/>
      <c r="J19" s="16" t="n"/>
      <c r="K19" s="17" t="n"/>
      <c r="L19" s="16" t="n"/>
      <c r="M19" s="16" t="n"/>
      <c r="N19" s="16" t="n"/>
      <c r="O19" s="16" t="n"/>
      <c r="P19" s="16" t="n"/>
    </row>
    <row r="20">
      <c r="A20" s="19">
        <f>IF(B20="","",TEXT(ROW()-5,"GAP-000"))</f>
        <v/>
      </c>
      <c r="B20" s="16" t="n"/>
      <c r="C20" s="16" t="n"/>
      <c r="D20" s="16" t="n"/>
      <c r="E20" s="16" t="n"/>
      <c r="F20" s="16" t="n"/>
      <c r="G20" s="16" t="n"/>
      <c r="H20" s="16" t="n"/>
      <c r="I20" s="16" t="n"/>
      <c r="J20" s="16" t="n"/>
      <c r="K20" s="17" t="n"/>
      <c r="L20" s="16" t="n"/>
      <c r="M20" s="16" t="n"/>
      <c r="N20" s="16" t="n"/>
      <c r="O20" s="16" t="n"/>
      <c r="P20" s="16" t="n"/>
    </row>
    <row r="21">
      <c r="A21" s="19">
        <f>IF(B21="","",TEXT(ROW()-5,"GAP-000"))</f>
        <v/>
      </c>
      <c r="B21" s="16" t="n"/>
      <c r="C21" s="16" t="n"/>
      <c r="D21" s="16" t="n"/>
      <c r="E21" s="16" t="n"/>
      <c r="F21" s="16" t="n"/>
      <c r="G21" s="16" t="n"/>
      <c r="H21" s="16" t="n"/>
      <c r="I21" s="16" t="n"/>
      <c r="J21" s="16" t="n"/>
      <c r="K21" s="17" t="n"/>
      <c r="L21" s="16" t="n"/>
      <c r="M21" s="16" t="n"/>
      <c r="N21" s="16" t="n"/>
      <c r="O21" s="16" t="n"/>
      <c r="P21" s="16" t="n"/>
    </row>
    <row r="22">
      <c r="A22" s="19">
        <f>IF(B22="","",TEXT(ROW()-5,"GAP-000"))</f>
        <v/>
      </c>
      <c r="B22" s="16" t="n"/>
      <c r="C22" s="16" t="n"/>
      <c r="D22" s="16" t="n"/>
      <c r="E22" s="16" t="n"/>
      <c r="F22" s="16" t="n"/>
      <c r="G22" s="16" t="n"/>
      <c r="H22" s="16" t="n"/>
      <c r="I22" s="16" t="n"/>
      <c r="J22" s="16" t="n"/>
      <c r="K22" s="17" t="n"/>
      <c r="L22" s="16" t="n"/>
      <c r="M22" s="16" t="n"/>
      <c r="N22" s="16" t="n"/>
      <c r="O22" s="16" t="n"/>
      <c r="P22" s="16" t="n"/>
    </row>
    <row r="23">
      <c r="A23" s="19">
        <f>IF(B23="","",TEXT(ROW()-5,"GAP-000"))</f>
        <v/>
      </c>
      <c r="B23" s="16" t="n"/>
      <c r="C23" s="16" t="n"/>
      <c r="D23" s="16" t="n"/>
      <c r="E23" s="16" t="n"/>
      <c r="F23" s="16" t="n"/>
      <c r="G23" s="16" t="n"/>
      <c r="H23" s="16" t="n"/>
      <c r="I23" s="16" t="n"/>
      <c r="J23" s="16" t="n"/>
      <c r="K23" s="17" t="n"/>
      <c r="L23" s="16" t="n"/>
      <c r="M23" s="16" t="n"/>
      <c r="N23" s="16" t="n"/>
      <c r="O23" s="16" t="n"/>
      <c r="P23" s="16" t="n"/>
    </row>
    <row r="24">
      <c r="A24" s="19">
        <f>IF(B24="","",TEXT(ROW()-5,"GAP-000"))</f>
        <v/>
      </c>
      <c r="B24" s="16" t="n"/>
      <c r="C24" s="16" t="n"/>
      <c r="D24" s="16" t="n"/>
      <c r="E24" s="16" t="n"/>
      <c r="F24" s="16" t="n"/>
      <c r="G24" s="16" t="n"/>
      <c r="H24" s="16" t="n"/>
      <c r="I24" s="16" t="n"/>
      <c r="J24" s="16" t="n"/>
      <c r="K24" s="17" t="n"/>
      <c r="L24" s="16" t="n"/>
      <c r="M24" s="16" t="n"/>
      <c r="N24" s="16" t="n"/>
      <c r="O24" s="16" t="n"/>
      <c r="P24" s="16" t="n"/>
    </row>
    <row r="25">
      <c r="A25" s="19">
        <f>IF(B25="","",TEXT(ROW()-5,"GAP-000"))</f>
        <v/>
      </c>
      <c r="B25" s="16" t="n"/>
      <c r="C25" s="16" t="n"/>
      <c r="D25" s="16" t="n"/>
      <c r="E25" s="16" t="n"/>
      <c r="F25" s="16" t="n"/>
      <c r="G25" s="16" t="n"/>
      <c r="H25" s="16" t="n"/>
      <c r="I25" s="16" t="n"/>
      <c r="J25" s="16" t="n"/>
      <c r="K25" s="17" t="n"/>
      <c r="L25" s="16" t="n"/>
      <c r="M25" s="16" t="n"/>
      <c r="N25" s="16" t="n"/>
      <c r="O25" s="16" t="n"/>
      <c r="P25" s="16" t="n"/>
    </row>
    <row r="26">
      <c r="A26" s="19">
        <f>IF(B26="","",TEXT(ROW()-5,"GAP-000"))</f>
        <v/>
      </c>
      <c r="B26" s="16" t="n"/>
      <c r="C26" s="16" t="n"/>
      <c r="D26" s="16" t="n"/>
      <c r="E26" s="16" t="n"/>
      <c r="F26" s="16" t="n"/>
      <c r="G26" s="16" t="n"/>
      <c r="H26" s="16" t="n"/>
      <c r="I26" s="16" t="n"/>
      <c r="J26" s="16" t="n"/>
      <c r="K26" s="17" t="n"/>
      <c r="L26" s="16" t="n"/>
      <c r="M26" s="16" t="n"/>
      <c r="N26" s="16" t="n"/>
      <c r="O26" s="16" t="n"/>
      <c r="P26" s="16" t="n"/>
    </row>
    <row r="27">
      <c r="A27" s="19">
        <f>IF(B27="","",TEXT(ROW()-5,"GAP-000"))</f>
        <v/>
      </c>
      <c r="B27" s="16" t="n"/>
      <c r="C27" s="16" t="n"/>
      <c r="D27" s="16" t="n"/>
      <c r="E27" s="16" t="n"/>
      <c r="F27" s="16" t="n"/>
      <c r="G27" s="16" t="n"/>
      <c r="H27" s="16" t="n"/>
      <c r="I27" s="16" t="n"/>
      <c r="J27" s="16" t="n"/>
      <c r="K27" s="17" t="n"/>
      <c r="L27" s="16" t="n"/>
      <c r="M27" s="16" t="n"/>
      <c r="N27" s="16" t="n"/>
      <c r="O27" s="16" t="n"/>
      <c r="P27" s="16" t="n"/>
    </row>
    <row r="28">
      <c r="A28" s="19">
        <f>IF(B28="","",TEXT(ROW()-5,"GAP-000"))</f>
        <v/>
      </c>
      <c r="B28" s="16" t="n"/>
      <c r="C28" s="16" t="n"/>
      <c r="D28" s="16" t="n"/>
      <c r="E28" s="16" t="n"/>
      <c r="F28" s="16" t="n"/>
      <c r="G28" s="16" t="n"/>
      <c r="H28" s="16" t="n"/>
      <c r="I28" s="16" t="n"/>
      <c r="J28" s="16" t="n"/>
      <c r="K28" s="17" t="n"/>
      <c r="L28" s="16" t="n"/>
      <c r="M28" s="16" t="n"/>
      <c r="N28" s="16" t="n"/>
      <c r="O28" s="16" t="n"/>
      <c r="P28" s="16" t="n"/>
    </row>
    <row r="29">
      <c r="A29" s="19">
        <f>IF(B29="","",TEXT(ROW()-5,"GAP-000"))</f>
        <v/>
      </c>
      <c r="B29" s="16" t="n"/>
      <c r="C29" s="16" t="n"/>
      <c r="D29" s="16" t="n"/>
      <c r="E29" s="16" t="n"/>
      <c r="F29" s="16" t="n"/>
      <c r="G29" s="16" t="n"/>
      <c r="H29" s="16" t="n"/>
      <c r="I29" s="16" t="n"/>
      <c r="J29" s="16" t="n"/>
      <c r="K29" s="17" t="n"/>
      <c r="L29" s="16" t="n"/>
      <c r="M29" s="16" t="n"/>
      <c r="N29" s="16" t="n"/>
      <c r="O29" s="16" t="n"/>
      <c r="P29" s="16" t="n"/>
    </row>
    <row r="30">
      <c r="A30" s="19">
        <f>IF(B30="","",TEXT(ROW()-5,"GAP-000"))</f>
        <v/>
      </c>
      <c r="B30" s="16" t="n"/>
      <c r="C30" s="16" t="n"/>
      <c r="D30" s="16" t="n"/>
      <c r="E30" s="16" t="n"/>
      <c r="F30" s="16" t="n"/>
      <c r="G30" s="16" t="n"/>
      <c r="H30" s="16" t="n"/>
      <c r="I30" s="16" t="n"/>
      <c r="J30" s="16" t="n"/>
      <c r="K30" s="17" t="n"/>
      <c r="L30" s="16" t="n"/>
      <c r="M30" s="16" t="n"/>
      <c r="N30" s="16" t="n"/>
      <c r="O30" s="16" t="n"/>
      <c r="P30" s="16" t="n"/>
    </row>
    <row r="31">
      <c r="A31" s="19">
        <f>IF(B31="","",TEXT(ROW()-5,"GAP-000"))</f>
        <v/>
      </c>
      <c r="B31" s="16" t="n"/>
      <c r="C31" s="16" t="n"/>
      <c r="D31" s="16" t="n"/>
      <c r="E31" s="16" t="n"/>
      <c r="F31" s="16" t="n"/>
      <c r="G31" s="16" t="n"/>
      <c r="H31" s="16" t="n"/>
      <c r="I31" s="16" t="n"/>
      <c r="J31" s="16" t="n"/>
      <c r="K31" s="17" t="n"/>
      <c r="L31" s="16" t="n"/>
      <c r="M31" s="16" t="n"/>
      <c r="N31" s="16" t="n"/>
      <c r="O31" s="16" t="n"/>
      <c r="P31" s="16" t="n"/>
    </row>
    <row r="32">
      <c r="A32" s="19">
        <f>IF(B32="","",TEXT(ROW()-5,"GAP-000"))</f>
        <v/>
      </c>
      <c r="B32" s="16" t="n"/>
      <c r="C32" s="16" t="n"/>
      <c r="D32" s="16" t="n"/>
      <c r="E32" s="16" t="n"/>
      <c r="F32" s="16" t="n"/>
      <c r="G32" s="16" t="n"/>
      <c r="H32" s="16" t="n"/>
      <c r="I32" s="16" t="n"/>
      <c r="J32" s="16" t="n"/>
      <c r="K32" s="17" t="n"/>
      <c r="L32" s="16" t="n"/>
      <c r="M32" s="16" t="n"/>
      <c r="N32" s="16" t="n"/>
      <c r="O32" s="16" t="n"/>
      <c r="P32" s="16" t="n"/>
    </row>
    <row r="33">
      <c r="A33" s="19">
        <f>IF(B33="","",TEXT(ROW()-5,"GAP-000"))</f>
        <v/>
      </c>
      <c r="B33" s="16" t="n"/>
      <c r="C33" s="16" t="n"/>
      <c r="D33" s="16" t="n"/>
      <c r="E33" s="16" t="n"/>
      <c r="F33" s="16" t="n"/>
      <c r="G33" s="16" t="n"/>
      <c r="H33" s="16" t="n"/>
      <c r="I33" s="16" t="n"/>
      <c r="J33" s="16" t="n"/>
      <c r="K33" s="17" t="n"/>
      <c r="L33" s="16" t="n"/>
      <c r="M33" s="16" t="n"/>
      <c r="N33" s="16" t="n"/>
      <c r="O33" s="16" t="n"/>
      <c r="P33" s="16" t="n"/>
    </row>
    <row r="34">
      <c r="A34" s="19">
        <f>IF(B34="","",TEXT(ROW()-5,"GAP-000"))</f>
        <v/>
      </c>
      <c r="B34" s="16" t="n"/>
      <c r="C34" s="16" t="n"/>
      <c r="D34" s="16" t="n"/>
      <c r="E34" s="16" t="n"/>
      <c r="F34" s="16" t="n"/>
      <c r="G34" s="16" t="n"/>
      <c r="H34" s="16" t="n"/>
      <c r="I34" s="16" t="n"/>
      <c r="J34" s="16" t="n"/>
      <c r="K34" s="17" t="n"/>
      <c r="L34" s="16" t="n"/>
      <c r="M34" s="16" t="n"/>
      <c r="N34" s="16" t="n"/>
      <c r="O34" s="16" t="n"/>
      <c r="P34" s="16" t="n"/>
    </row>
    <row r="35">
      <c r="A35" s="19">
        <f>IF(B35="","",TEXT(ROW()-5,"GAP-000"))</f>
        <v/>
      </c>
      <c r="B35" s="16" t="n"/>
      <c r="C35" s="16" t="n"/>
      <c r="D35" s="16" t="n"/>
      <c r="E35" s="16" t="n"/>
      <c r="F35" s="16" t="n"/>
      <c r="G35" s="16" t="n"/>
      <c r="H35" s="16" t="n"/>
      <c r="I35" s="16" t="n"/>
      <c r="J35" s="16" t="n"/>
      <c r="K35" s="17" t="n"/>
      <c r="L35" s="16" t="n"/>
      <c r="M35" s="16" t="n"/>
      <c r="N35" s="16" t="n"/>
      <c r="O35" s="16" t="n"/>
      <c r="P35" s="16" t="n"/>
    </row>
    <row r="36">
      <c r="A36" s="19">
        <f>IF(B36="","",TEXT(ROW()-5,"GAP-000"))</f>
        <v/>
      </c>
      <c r="B36" s="16" t="n"/>
      <c r="C36" s="16" t="n"/>
      <c r="D36" s="16" t="n"/>
      <c r="E36" s="16" t="n"/>
      <c r="F36" s="16" t="n"/>
      <c r="G36" s="16" t="n"/>
      <c r="H36" s="16" t="n"/>
      <c r="I36" s="16" t="n"/>
      <c r="J36" s="16" t="n"/>
      <c r="K36" s="17" t="n"/>
      <c r="L36" s="16" t="n"/>
      <c r="M36" s="16" t="n"/>
      <c r="N36" s="16" t="n"/>
      <c r="O36" s="16" t="n"/>
      <c r="P36" s="16" t="n"/>
    </row>
    <row r="37">
      <c r="A37" s="19">
        <f>IF(B37="","",TEXT(ROW()-5,"GAP-000"))</f>
        <v/>
      </c>
      <c r="B37" s="16" t="n"/>
      <c r="C37" s="16" t="n"/>
      <c r="D37" s="16" t="n"/>
      <c r="E37" s="16" t="n"/>
      <c r="F37" s="16" t="n"/>
      <c r="G37" s="16" t="n"/>
      <c r="H37" s="16" t="n"/>
      <c r="I37" s="16" t="n"/>
      <c r="J37" s="16" t="n"/>
      <c r="K37" s="17" t="n"/>
      <c r="L37" s="16" t="n"/>
      <c r="M37" s="16" t="n"/>
      <c r="N37" s="16" t="n"/>
      <c r="O37" s="16" t="n"/>
      <c r="P37" s="16" t="n"/>
    </row>
    <row r="38">
      <c r="A38" s="19">
        <f>IF(B38="","",TEXT(ROW()-5,"GAP-000"))</f>
        <v/>
      </c>
      <c r="B38" s="16" t="n"/>
      <c r="C38" s="16" t="n"/>
      <c r="D38" s="16" t="n"/>
      <c r="E38" s="16" t="n"/>
      <c r="F38" s="16" t="n"/>
      <c r="G38" s="16" t="n"/>
      <c r="H38" s="16" t="n"/>
      <c r="I38" s="16" t="n"/>
      <c r="J38" s="16" t="n"/>
      <c r="K38" s="17" t="n"/>
      <c r="L38" s="16" t="n"/>
      <c r="M38" s="16" t="n"/>
      <c r="N38" s="16" t="n"/>
      <c r="O38" s="16" t="n"/>
      <c r="P38" s="16" t="n"/>
    </row>
    <row r="39">
      <c r="A39" s="19">
        <f>IF(B39="","",TEXT(ROW()-5,"GAP-000"))</f>
        <v/>
      </c>
      <c r="B39" s="16" t="n"/>
      <c r="C39" s="16" t="n"/>
      <c r="D39" s="16" t="n"/>
      <c r="E39" s="16" t="n"/>
      <c r="F39" s="16" t="n"/>
      <c r="G39" s="16" t="n"/>
      <c r="H39" s="16" t="n"/>
      <c r="I39" s="16" t="n"/>
      <c r="J39" s="16" t="n"/>
      <c r="K39" s="17" t="n"/>
      <c r="L39" s="16" t="n"/>
      <c r="M39" s="16" t="n"/>
      <c r="N39" s="16" t="n"/>
      <c r="O39" s="16" t="n"/>
      <c r="P39" s="16" t="n"/>
    </row>
    <row r="40">
      <c r="A40" s="19">
        <f>IF(B40="","",TEXT(ROW()-5,"GAP-000"))</f>
        <v/>
      </c>
      <c r="B40" s="16" t="n"/>
      <c r="C40" s="16" t="n"/>
      <c r="D40" s="16" t="n"/>
      <c r="E40" s="16" t="n"/>
      <c r="F40" s="16" t="n"/>
      <c r="G40" s="16" t="n"/>
      <c r="H40" s="16" t="n"/>
      <c r="I40" s="16" t="n"/>
      <c r="J40" s="16" t="n"/>
      <c r="K40" s="17" t="n"/>
      <c r="L40" s="16" t="n"/>
      <c r="M40" s="16" t="n"/>
      <c r="N40" s="16" t="n"/>
      <c r="O40" s="16" t="n"/>
      <c r="P40" s="16" t="n"/>
    </row>
    <row r="41">
      <c r="A41" s="19">
        <f>IF(B41="","",TEXT(ROW()-5,"GAP-000"))</f>
        <v/>
      </c>
      <c r="B41" s="16" t="n"/>
      <c r="C41" s="16" t="n"/>
      <c r="D41" s="16" t="n"/>
      <c r="E41" s="16" t="n"/>
      <c r="F41" s="16" t="n"/>
      <c r="G41" s="16" t="n"/>
      <c r="H41" s="16" t="n"/>
      <c r="I41" s="16" t="n"/>
      <c r="J41" s="16" t="n"/>
      <c r="K41" s="17" t="n"/>
      <c r="L41" s="16" t="n"/>
      <c r="M41" s="16" t="n"/>
      <c r="N41" s="16" t="n"/>
      <c r="O41" s="16" t="n"/>
      <c r="P41" s="16" t="n"/>
    </row>
    <row r="42">
      <c r="A42" s="19">
        <f>IF(B42="","",TEXT(ROW()-5,"GAP-000"))</f>
        <v/>
      </c>
      <c r="B42" s="16" t="n"/>
      <c r="C42" s="16" t="n"/>
      <c r="D42" s="16" t="n"/>
      <c r="E42" s="16" t="n"/>
      <c r="F42" s="16" t="n"/>
      <c r="G42" s="16" t="n"/>
      <c r="H42" s="16" t="n"/>
      <c r="I42" s="16" t="n"/>
      <c r="J42" s="16" t="n"/>
      <c r="K42" s="17" t="n"/>
      <c r="L42" s="16" t="n"/>
      <c r="M42" s="16" t="n"/>
      <c r="N42" s="16" t="n"/>
      <c r="O42" s="16" t="n"/>
      <c r="P42" s="16" t="n"/>
    </row>
    <row r="43">
      <c r="A43" s="19">
        <f>IF(B43="","",TEXT(ROW()-5,"GAP-000"))</f>
        <v/>
      </c>
      <c r="B43" s="16" t="n"/>
      <c r="C43" s="16" t="n"/>
      <c r="D43" s="16" t="n"/>
      <c r="E43" s="16" t="n"/>
      <c r="F43" s="16" t="n"/>
      <c r="G43" s="16" t="n"/>
      <c r="H43" s="16" t="n"/>
      <c r="I43" s="16" t="n"/>
      <c r="J43" s="16" t="n"/>
      <c r="K43" s="17" t="n"/>
      <c r="L43" s="16" t="n"/>
      <c r="M43" s="16" t="n"/>
      <c r="N43" s="16" t="n"/>
      <c r="O43" s="16" t="n"/>
      <c r="P43" s="16" t="n"/>
    </row>
    <row r="44">
      <c r="A44" s="19">
        <f>IF(B44="","",TEXT(ROW()-5,"GAP-000"))</f>
        <v/>
      </c>
      <c r="B44" s="16" t="n"/>
      <c r="C44" s="16" t="n"/>
      <c r="D44" s="16" t="n"/>
      <c r="E44" s="16" t="n"/>
      <c r="F44" s="16" t="n"/>
      <c r="G44" s="16" t="n"/>
      <c r="H44" s="16" t="n"/>
      <c r="I44" s="16" t="n"/>
      <c r="J44" s="16" t="n"/>
      <c r="K44" s="17" t="n"/>
      <c r="L44" s="16" t="n"/>
      <c r="M44" s="16" t="n"/>
      <c r="N44" s="16" t="n"/>
      <c r="O44" s="16" t="n"/>
      <c r="P44" s="16" t="n"/>
    </row>
    <row r="45">
      <c r="A45" s="19">
        <f>IF(B45="","",TEXT(ROW()-5,"GAP-000"))</f>
        <v/>
      </c>
      <c r="B45" s="16" t="n"/>
      <c r="C45" s="16" t="n"/>
      <c r="D45" s="16" t="n"/>
      <c r="E45" s="16" t="n"/>
      <c r="F45" s="16" t="n"/>
      <c r="G45" s="16" t="n"/>
      <c r="H45" s="16" t="n"/>
      <c r="I45" s="16" t="n"/>
      <c r="J45" s="16" t="n"/>
      <c r="K45" s="17" t="n"/>
      <c r="L45" s="16" t="n"/>
      <c r="M45" s="16" t="n"/>
      <c r="N45" s="16" t="n"/>
      <c r="O45" s="16" t="n"/>
      <c r="P45" s="16" t="n"/>
    </row>
    <row r="46">
      <c r="A46" s="19">
        <f>IF(B46="","",TEXT(ROW()-5,"GAP-000"))</f>
        <v/>
      </c>
      <c r="B46" s="16" t="n"/>
      <c r="C46" s="16" t="n"/>
      <c r="D46" s="16" t="n"/>
      <c r="E46" s="16" t="n"/>
      <c r="F46" s="16" t="n"/>
      <c r="G46" s="16" t="n"/>
      <c r="H46" s="16" t="n"/>
      <c r="I46" s="16" t="n"/>
      <c r="J46" s="16" t="n"/>
      <c r="K46" s="17" t="n"/>
      <c r="L46" s="16" t="n"/>
      <c r="M46" s="16" t="n"/>
      <c r="N46" s="16" t="n"/>
      <c r="O46" s="16" t="n"/>
      <c r="P46" s="16" t="n"/>
    </row>
    <row r="47">
      <c r="A47" s="19">
        <f>IF(B47="","",TEXT(ROW()-5,"GAP-000"))</f>
        <v/>
      </c>
      <c r="B47" s="16" t="n"/>
      <c r="C47" s="16" t="n"/>
      <c r="D47" s="16" t="n"/>
      <c r="E47" s="16" t="n"/>
      <c r="F47" s="16" t="n"/>
      <c r="G47" s="16" t="n"/>
      <c r="H47" s="16" t="n"/>
      <c r="I47" s="16" t="n"/>
      <c r="J47" s="16" t="n"/>
      <c r="K47" s="17" t="n"/>
      <c r="L47" s="16" t="n"/>
      <c r="M47" s="16" t="n"/>
      <c r="N47" s="16" t="n"/>
      <c r="O47" s="16" t="n"/>
      <c r="P47" s="16" t="n"/>
    </row>
    <row r="48">
      <c r="A48" s="19">
        <f>IF(B48="","",TEXT(ROW()-5,"GAP-000"))</f>
        <v/>
      </c>
      <c r="B48" s="16" t="n"/>
      <c r="C48" s="16" t="n"/>
      <c r="D48" s="16" t="n"/>
      <c r="E48" s="16" t="n"/>
      <c r="F48" s="16" t="n"/>
      <c r="G48" s="16" t="n"/>
      <c r="H48" s="16" t="n"/>
      <c r="I48" s="16" t="n"/>
      <c r="J48" s="16" t="n"/>
      <c r="K48" s="17" t="n"/>
      <c r="L48" s="16" t="n"/>
      <c r="M48" s="16" t="n"/>
      <c r="N48" s="16" t="n"/>
      <c r="O48" s="16" t="n"/>
      <c r="P48" s="16" t="n"/>
    </row>
    <row r="49">
      <c r="A49" s="19">
        <f>IF(B49="","",TEXT(ROW()-5,"GAP-000"))</f>
        <v/>
      </c>
      <c r="B49" s="16" t="n"/>
      <c r="C49" s="16" t="n"/>
      <c r="D49" s="16" t="n"/>
      <c r="E49" s="16" t="n"/>
      <c r="F49" s="16" t="n"/>
      <c r="G49" s="16" t="n"/>
      <c r="H49" s="16" t="n"/>
      <c r="I49" s="16" t="n"/>
      <c r="J49" s="16" t="n"/>
      <c r="K49" s="17" t="n"/>
      <c r="L49" s="16" t="n"/>
      <c r="M49" s="16" t="n"/>
      <c r="N49" s="16" t="n"/>
      <c r="O49" s="16" t="n"/>
      <c r="P49" s="16" t="n"/>
    </row>
    <row r="50">
      <c r="A50" s="19">
        <f>IF(B50="","",TEXT(ROW()-5,"GAP-000"))</f>
        <v/>
      </c>
      <c r="B50" s="16" t="n"/>
      <c r="C50" s="16" t="n"/>
      <c r="D50" s="16" t="n"/>
      <c r="E50" s="16" t="n"/>
      <c r="F50" s="16" t="n"/>
      <c r="G50" s="16" t="n"/>
      <c r="H50" s="16" t="n"/>
      <c r="I50" s="16" t="n"/>
      <c r="J50" s="16" t="n"/>
      <c r="K50" s="17" t="n"/>
      <c r="L50" s="16" t="n"/>
      <c r="M50" s="16" t="n"/>
      <c r="N50" s="16" t="n"/>
      <c r="O50" s="16" t="n"/>
      <c r="P50" s="16" t="n"/>
    </row>
    <row r="51">
      <c r="A51" s="19">
        <f>IF(B51="","",TEXT(ROW()-5,"GAP-000"))</f>
        <v/>
      </c>
      <c r="B51" s="16" t="n"/>
      <c r="C51" s="16" t="n"/>
      <c r="D51" s="16" t="n"/>
      <c r="E51" s="16" t="n"/>
      <c r="F51" s="16" t="n"/>
      <c r="G51" s="16" t="n"/>
      <c r="H51" s="16" t="n"/>
      <c r="I51" s="16" t="n"/>
      <c r="J51" s="16" t="n"/>
      <c r="K51" s="17" t="n"/>
      <c r="L51" s="16" t="n"/>
      <c r="M51" s="16" t="n"/>
      <c r="N51" s="16" t="n"/>
      <c r="O51" s="16" t="n"/>
      <c r="P51" s="16" t="n"/>
    </row>
    <row r="52">
      <c r="A52" s="19">
        <f>IF(B52="","",TEXT(ROW()-5,"GAP-000"))</f>
        <v/>
      </c>
      <c r="B52" s="16" t="n"/>
      <c r="C52" s="16" t="n"/>
      <c r="D52" s="16" t="n"/>
      <c r="E52" s="16" t="n"/>
      <c r="F52" s="16" t="n"/>
      <c r="G52" s="16" t="n"/>
      <c r="H52" s="16" t="n"/>
      <c r="I52" s="16" t="n"/>
      <c r="J52" s="16" t="n"/>
      <c r="K52" s="17" t="n"/>
      <c r="L52" s="16" t="n"/>
      <c r="M52" s="16" t="n"/>
      <c r="N52" s="16" t="n"/>
      <c r="O52" s="16" t="n"/>
      <c r="P52" s="16" t="n"/>
    </row>
    <row r="53">
      <c r="A53" s="19">
        <f>IF(B53="","",TEXT(ROW()-5,"GAP-000"))</f>
        <v/>
      </c>
      <c r="B53" s="16" t="n"/>
      <c r="C53" s="16" t="n"/>
      <c r="D53" s="16" t="n"/>
      <c r="E53" s="16" t="n"/>
      <c r="F53" s="16" t="n"/>
      <c r="G53" s="16" t="n"/>
      <c r="H53" s="16" t="n"/>
      <c r="I53" s="16" t="n"/>
      <c r="J53" s="16" t="n"/>
      <c r="K53" s="17" t="n"/>
      <c r="L53" s="16" t="n"/>
      <c r="M53" s="16" t="n"/>
      <c r="N53" s="16" t="n"/>
      <c r="O53" s="16" t="n"/>
      <c r="P53" s="16" t="n"/>
    </row>
    <row r="54">
      <c r="A54" s="19">
        <f>IF(B54="","",TEXT(ROW()-5,"GAP-000"))</f>
        <v/>
      </c>
      <c r="B54" s="16" t="n"/>
      <c r="C54" s="16" t="n"/>
      <c r="D54" s="16" t="n"/>
      <c r="E54" s="16" t="n"/>
      <c r="F54" s="16" t="n"/>
      <c r="G54" s="16" t="n"/>
      <c r="H54" s="16" t="n"/>
      <c r="I54" s="16" t="n"/>
      <c r="J54" s="16" t="n"/>
      <c r="K54" s="17" t="n"/>
      <c r="L54" s="16" t="n"/>
      <c r="M54" s="16" t="n"/>
      <c r="N54" s="16" t="n"/>
      <c r="O54" s="16" t="n"/>
      <c r="P54" s="16" t="n"/>
    </row>
    <row r="55">
      <c r="A55" s="19">
        <f>IF(B55="","",TEXT(ROW()-5,"GAP-000"))</f>
        <v/>
      </c>
      <c r="B55" s="16" t="n"/>
      <c r="C55" s="16" t="n"/>
      <c r="D55" s="16" t="n"/>
      <c r="E55" s="16" t="n"/>
      <c r="F55" s="16" t="n"/>
      <c r="G55" s="16" t="n"/>
      <c r="H55" s="16" t="n"/>
      <c r="I55" s="16" t="n"/>
      <c r="J55" s="16" t="n"/>
      <c r="K55" s="17" t="n"/>
      <c r="L55" s="16" t="n"/>
      <c r="M55" s="16" t="n"/>
      <c r="N55" s="16" t="n"/>
      <c r="O55" s="16" t="n"/>
      <c r="P55" s="16" t="n"/>
    </row>
    <row r="56">
      <c r="A56" s="19">
        <f>IF(B56="","",TEXT(ROW()-5,"GAP-000"))</f>
        <v/>
      </c>
      <c r="B56" s="16" t="n"/>
      <c r="C56" s="16" t="n"/>
      <c r="D56" s="16" t="n"/>
      <c r="E56" s="16" t="n"/>
      <c r="F56" s="16" t="n"/>
      <c r="G56" s="16" t="n"/>
      <c r="H56" s="16" t="n"/>
      <c r="I56" s="16" t="n"/>
      <c r="J56" s="16" t="n"/>
      <c r="K56" s="17" t="n"/>
      <c r="L56" s="16" t="n"/>
      <c r="M56" s="16" t="n"/>
      <c r="N56" s="16" t="n"/>
      <c r="O56" s="16" t="n"/>
      <c r="P56" s="16" t="n"/>
    </row>
    <row r="57">
      <c r="A57" s="19">
        <f>IF(B57="","",TEXT(ROW()-5,"GAP-000"))</f>
        <v/>
      </c>
      <c r="B57" s="16" t="n"/>
      <c r="C57" s="16" t="n"/>
      <c r="D57" s="16" t="n"/>
      <c r="E57" s="16" t="n"/>
      <c r="F57" s="16" t="n"/>
      <c r="G57" s="16" t="n"/>
      <c r="H57" s="16" t="n"/>
      <c r="I57" s="16" t="n"/>
      <c r="J57" s="16" t="n"/>
      <c r="K57" s="17" t="n"/>
      <c r="L57" s="16" t="n"/>
      <c r="M57" s="16" t="n"/>
      <c r="N57" s="16" t="n"/>
      <c r="O57" s="16" t="n"/>
      <c r="P57" s="16" t="n"/>
    </row>
    <row r="58">
      <c r="A58" s="19">
        <f>IF(B58="","",TEXT(ROW()-5,"GAP-000"))</f>
        <v/>
      </c>
      <c r="B58" s="16" t="n"/>
      <c r="C58" s="16" t="n"/>
      <c r="D58" s="16" t="n"/>
      <c r="E58" s="16" t="n"/>
      <c r="F58" s="16" t="n"/>
      <c r="G58" s="16" t="n"/>
      <c r="H58" s="16" t="n"/>
      <c r="I58" s="16" t="n"/>
      <c r="J58" s="16" t="n"/>
      <c r="K58" s="17" t="n"/>
      <c r="L58" s="16" t="n"/>
      <c r="M58" s="16" t="n"/>
      <c r="N58" s="16" t="n"/>
      <c r="O58" s="16" t="n"/>
      <c r="P58" s="16" t="n"/>
    </row>
    <row r="59">
      <c r="A59" s="19">
        <f>IF(B59="","",TEXT(ROW()-5,"GAP-000"))</f>
        <v/>
      </c>
      <c r="B59" s="16" t="n"/>
      <c r="C59" s="16" t="n"/>
      <c r="D59" s="16" t="n"/>
      <c r="E59" s="16" t="n"/>
      <c r="F59" s="16" t="n"/>
      <c r="G59" s="16" t="n"/>
      <c r="H59" s="16" t="n"/>
      <c r="I59" s="16" t="n"/>
      <c r="J59" s="16" t="n"/>
      <c r="K59" s="17" t="n"/>
      <c r="L59" s="16" t="n"/>
      <c r="M59" s="16" t="n"/>
      <c r="N59" s="16" t="n"/>
      <c r="O59" s="16" t="n"/>
      <c r="P59" s="16" t="n"/>
    </row>
    <row r="60">
      <c r="A60" s="19">
        <f>IF(B60="","",TEXT(ROW()-5,"GAP-000"))</f>
        <v/>
      </c>
      <c r="B60" s="16" t="n"/>
      <c r="C60" s="16" t="n"/>
      <c r="D60" s="16" t="n"/>
      <c r="E60" s="16" t="n"/>
      <c r="F60" s="16" t="n"/>
      <c r="G60" s="16" t="n"/>
      <c r="H60" s="16" t="n"/>
      <c r="I60" s="16" t="n"/>
      <c r="J60" s="16" t="n"/>
      <c r="K60" s="17" t="n"/>
      <c r="L60" s="16" t="n"/>
      <c r="M60" s="16" t="n"/>
      <c r="N60" s="16" t="n"/>
      <c r="O60" s="16" t="n"/>
      <c r="P60" s="16" t="n"/>
    </row>
    <row r="61">
      <c r="A61" s="19">
        <f>IF(B61="","",TEXT(ROW()-5,"GAP-000"))</f>
        <v/>
      </c>
      <c r="B61" s="16" t="n"/>
      <c r="C61" s="16" t="n"/>
      <c r="D61" s="16" t="n"/>
      <c r="E61" s="16" t="n"/>
      <c r="F61" s="16" t="n"/>
      <c r="G61" s="16" t="n"/>
      <c r="H61" s="16" t="n"/>
      <c r="I61" s="16" t="n"/>
      <c r="J61" s="16" t="n"/>
      <c r="K61" s="17" t="n"/>
      <c r="L61" s="16" t="n"/>
      <c r="M61" s="16" t="n"/>
      <c r="N61" s="16" t="n"/>
      <c r="O61" s="16" t="n"/>
      <c r="P61" s="16" t="n"/>
    </row>
    <row r="62">
      <c r="A62" s="19">
        <f>IF(B62="","",TEXT(ROW()-5,"GAP-000"))</f>
        <v/>
      </c>
      <c r="B62" s="16" t="n"/>
      <c r="C62" s="16" t="n"/>
      <c r="D62" s="16" t="n"/>
      <c r="E62" s="16" t="n"/>
      <c r="F62" s="16" t="n"/>
      <c r="G62" s="16" t="n"/>
      <c r="H62" s="16" t="n"/>
      <c r="I62" s="16" t="n"/>
      <c r="J62" s="16" t="n"/>
      <c r="K62" s="17" t="n"/>
      <c r="L62" s="16" t="n"/>
      <c r="M62" s="16" t="n"/>
      <c r="N62" s="16" t="n"/>
      <c r="O62" s="16" t="n"/>
      <c r="P62" s="16" t="n"/>
    </row>
    <row r="63">
      <c r="A63" s="19">
        <f>IF(B63="","",TEXT(ROW()-5,"GAP-000"))</f>
        <v/>
      </c>
      <c r="B63" s="16" t="n"/>
      <c r="C63" s="16" t="n"/>
      <c r="D63" s="16" t="n"/>
      <c r="E63" s="16" t="n"/>
      <c r="F63" s="16" t="n"/>
      <c r="G63" s="16" t="n"/>
      <c r="H63" s="16" t="n"/>
      <c r="I63" s="16" t="n"/>
      <c r="J63" s="16" t="n"/>
      <c r="K63" s="17" t="n"/>
      <c r="L63" s="16" t="n"/>
      <c r="M63" s="16" t="n"/>
      <c r="N63" s="16" t="n"/>
      <c r="O63" s="16" t="n"/>
      <c r="P63" s="16" t="n"/>
    </row>
    <row r="64">
      <c r="A64" s="19">
        <f>IF(B64="","",TEXT(ROW()-5,"GAP-000"))</f>
        <v/>
      </c>
      <c r="B64" s="16" t="n"/>
      <c r="C64" s="16" t="n"/>
      <c r="D64" s="16" t="n"/>
      <c r="E64" s="16" t="n"/>
      <c r="F64" s="16" t="n"/>
      <c r="G64" s="16" t="n"/>
      <c r="H64" s="16" t="n"/>
      <c r="I64" s="16" t="n"/>
      <c r="J64" s="16" t="n"/>
      <c r="K64" s="17" t="n"/>
      <c r="L64" s="16" t="n"/>
      <c r="M64" s="16" t="n"/>
      <c r="N64" s="16" t="n"/>
      <c r="O64" s="16" t="n"/>
      <c r="P64" s="16" t="n"/>
    </row>
    <row r="65">
      <c r="A65" s="19">
        <f>IF(B65="","",TEXT(ROW()-5,"GAP-000"))</f>
        <v/>
      </c>
      <c r="B65" s="16" t="n"/>
      <c r="C65" s="16" t="n"/>
      <c r="D65" s="16" t="n"/>
      <c r="E65" s="16" t="n"/>
      <c r="F65" s="16" t="n"/>
      <c r="G65" s="16" t="n"/>
      <c r="H65" s="16" t="n"/>
      <c r="I65" s="16" t="n"/>
      <c r="J65" s="16" t="n"/>
      <c r="K65" s="17" t="n"/>
      <c r="L65" s="16" t="n"/>
      <c r="M65" s="16" t="n"/>
      <c r="N65" s="16" t="n"/>
      <c r="O65" s="16" t="n"/>
      <c r="P65" s="16" t="n"/>
    </row>
    <row r="66">
      <c r="A66" s="19">
        <f>IF(B66="","",TEXT(ROW()-5,"GAP-000"))</f>
        <v/>
      </c>
      <c r="B66" s="16" t="n"/>
      <c r="C66" s="16" t="n"/>
      <c r="D66" s="16" t="n"/>
      <c r="E66" s="16" t="n"/>
      <c r="F66" s="16" t="n"/>
      <c r="G66" s="16" t="n"/>
      <c r="H66" s="16" t="n"/>
      <c r="I66" s="16" t="n"/>
      <c r="J66" s="16" t="n"/>
      <c r="K66" s="17" t="n"/>
      <c r="L66" s="16" t="n"/>
      <c r="M66" s="16" t="n"/>
      <c r="N66" s="16" t="n"/>
      <c r="O66" s="16" t="n"/>
      <c r="P66" s="16" t="n"/>
    </row>
    <row r="67">
      <c r="A67" s="19">
        <f>IF(B67="","",TEXT(ROW()-5,"GAP-000"))</f>
        <v/>
      </c>
      <c r="B67" s="16" t="n"/>
      <c r="C67" s="16" t="n"/>
      <c r="D67" s="16" t="n"/>
      <c r="E67" s="16" t="n"/>
      <c r="F67" s="16" t="n"/>
      <c r="G67" s="16" t="n"/>
      <c r="H67" s="16" t="n"/>
      <c r="I67" s="16" t="n"/>
      <c r="J67" s="16" t="n"/>
      <c r="K67" s="17" t="n"/>
      <c r="L67" s="16" t="n"/>
      <c r="M67" s="16" t="n"/>
      <c r="N67" s="16" t="n"/>
      <c r="O67" s="16" t="n"/>
      <c r="P67" s="16" t="n"/>
    </row>
    <row r="68">
      <c r="A68" s="19">
        <f>IF(B68="","",TEXT(ROW()-5,"GAP-000"))</f>
        <v/>
      </c>
      <c r="B68" s="16" t="n"/>
      <c r="C68" s="16" t="n"/>
      <c r="D68" s="16" t="n"/>
      <c r="E68" s="16" t="n"/>
      <c r="F68" s="16" t="n"/>
      <c r="G68" s="16" t="n"/>
      <c r="H68" s="16" t="n"/>
      <c r="I68" s="16" t="n"/>
      <c r="J68" s="16" t="n"/>
      <c r="K68" s="17" t="n"/>
      <c r="L68" s="16" t="n"/>
      <c r="M68" s="16" t="n"/>
      <c r="N68" s="16" t="n"/>
      <c r="O68" s="16" t="n"/>
      <c r="P68" s="16" t="n"/>
    </row>
    <row r="69">
      <c r="A69" s="19">
        <f>IF(B69="","",TEXT(ROW()-5,"GAP-000"))</f>
        <v/>
      </c>
      <c r="B69" s="16" t="n"/>
      <c r="C69" s="16" t="n"/>
      <c r="D69" s="16" t="n"/>
      <c r="E69" s="16" t="n"/>
      <c r="F69" s="16" t="n"/>
      <c r="G69" s="16" t="n"/>
      <c r="H69" s="16" t="n"/>
      <c r="I69" s="16" t="n"/>
      <c r="J69" s="16" t="n"/>
      <c r="K69" s="17" t="n"/>
      <c r="L69" s="16" t="n"/>
      <c r="M69" s="16" t="n"/>
      <c r="N69" s="16" t="n"/>
      <c r="O69" s="16" t="n"/>
      <c r="P69" s="16" t="n"/>
    </row>
    <row r="70">
      <c r="A70" s="19">
        <f>IF(B70="","",TEXT(ROW()-5,"GAP-000"))</f>
        <v/>
      </c>
      <c r="B70" s="16" t="n"/>
      <c r="C70" s="16" t="n"/>
      <c r="D70" s="16" t="n"/>
      <c r="E70" s="16" t="n"/>
      <c r="F70" s="16" t="n"/>
      <c r="G70" s="16" t="n"/>
      <c r="H70" s="16" t="n"/>
      <c r="I70" s="16" t="n"/>
      <c r="J70" s="16" t="n"/>
      <c r="K70" s="17" t="n"/>
      <c r="L70" s="16" t="n"/>
      <c r="M70" s="16" t="n"/>
      <c r="N70" s="16" t="n"/>
      <c r="O70" s="16" t="n"/>
      <c r="P70" s="16" t="n"/>
    </row>
    <row r="71">
      <c r="A71" s="19">
        <f>IF(B71="","",TEXT(ROW()-5,"GAP-000"))</f>
        <v/>
      </c>
      <c r="B71" s="16" t="n"/>
      <c r="C71" s="16" t="n"/>
      <c r="D71" s="16" t="n"/>
      <c r="E71" s="16" t="n"/>
      <c r="F71" s="16" t="n"/>
      <c r="G71" s="16" t="n"/>
      <c r="H71" s="16" t="n"/>
      <c r="I71" s="16" t="n"/>
      <c r="J71" s="16" t="n"/>
      <c r="K71" s="17" t="n"/>
      <c r="L71" s="16" t="n"/>
      <c r="M71" s="16" t="n"/>
      <c r="N71" s="16" t="n"/>
      <c r="O71" s="16" t="n"/>
      <c r="P71" s="16" t="n"/>
    </row>
    <row r="72">
      <c r="A72" s="19">
        <f>IF(B72="","",TEXT(ROW()-5,"GAP-000"))</f>
        <v/>
      </c>
      <c r="B72" s="16" t="n"/>
      <c r="C72" s="16" t="n"/>
      <c r="D72" s="16" t="n"/>
      <c r="E72" s="16" t="n"/>
      <c r="F72" s="16" t="n"/>
      <c r="G72" s="16" t="n"/>
      <c r="H72" s="16" t="n"/>
      <c r="I72" s="16" t="n"/>
      <c r="J72" s="16" t="n"/>
      <c r="K72" s="17" t="n"/>
      <c r="L72" s="16" t="n"/>
      <c r="M72" s="16" t="n"/>
      <c r="N72" s="16" t="n"/>
      <c r="O72" s="16" t="n"/>
      <c r="P72" s="16" t="n"/>
    </row>
    <row r="73">
      <c r="A73" s="19">
        <f>IF(B73="","",TEXT(ROW()-5,"GAP-000"))</f>
        <v/>
      </c>
      <c r="B73" s="16" t="n"/>
      <c r="C73" s="16" t="n"/>
      <c r="D73" s="16" t="n"/>
      <c r="E73" s="16" t="n"/>
      <c r="F73" s="16" t="n"/>
      <c r="G73" s="16" t="n"/>
      <c r="H73" s="16" t="n"/>
      <c r="I73" s="16" t="n"/>
      <c r="J73" s="16" t="n"/>
      <c r="K73" s="17" t="n"/>
      <c r="L73" s="16" t="n"/>
      <c r="M73" s="16" t="n"/>
      <c r="N73" s="16" t="n"/>
      <c r="O73" s="16" t="n"/>
      <c r="P73" s="16" t="n"/>
    </row>
    <row r="74">
      <c r="A74" s="19">
        <f>IF(B74="","",TEXT(ROW()-5,"GAP-000"))</f>
        <v/>
      </c>
      <c r="B74" s="16" t="n"/>
      <c r="C74" s="16" t="n"/>
      <c r="D74" s="16" t="n"/>
      <c r="E74" s="16" t="n"/>
      <c r="F74" s="16" t="n"/>
      <c r="G74" s="16" t="n"/>
      <c r="H74" s="16" t="n"/>
      <c r="I74" s="16" t="n"/>
      <c r="J74" s="16" t="n"/>
      <c r="K74" s="17" t="n"/>
      <c r="L74" s="16" t="n"/>
      <c r="M74" s="16" t="n"/>
      <c r="N74" s="16" t="n"/>
      <c r="O74" s="16" t="n"/>
      <c r="P74" s="16" t="n"/>
    </row>
    <row r="75">
      <c r="A75" s="19">
        <f>IF(B75="","",TEXT(ROW()-5,"GAP-000"))</f>
        <v/>
      </c>
      <c r="B75" s="16" t="n"/>
      <c r="C75" s="16" t="n"/>
      <c r="D75" s="16" t="n"/>
      <c r="E75" s="16" t="n"/>
      <c r="F75" s="16" t="n"/>
      <c r="G75" s="16" t="n"/>
      <c r="H75" s="16" t="n"/>
      <c r="I75" s="16" t="n"/>
      <c r="J75" s="16" t="n"/>
      <c r="K75" s="17" t="n"/>
      <c r="L75" s="16" t="n"/>
      <c r="M75" s="16" t="n"/>
      <c r="N75" s="16" t="n"/>
      <c r="O75" s="16" t="n"/>
      <c r="P75" s="16" t="n"/>
    </row>
    <row r="76">
      <c r="A76" s="19">
        <f>IF(B76="","",TEXT(ROW()-5,"GAP-000"))</f>
        <v/>
      </c>
      <c r="B76" s="16" t="n"/>
      <c r="C76" s="16" t="n"/>
      <c r="D76" s="16" t="n"/>
      <c r="E76" s="16" t="n"/>
      <c r="F76" s="16" t="n"/>
      <c r="G76" s="16" t="n"/>
      <c r="H76" s="16" t="n"/>
      <c r="I76" s="16" t="n"/>
      <c r="J76" s="16" t="n"/>
      <c r="K76" s="17" t="n"/>
      <c r="L76" s="16" t="n"/>
      <c r="M76" s="16" t="n"/>
      <c r="N76" s="16" t="n"/>
      <c r="O76" s="16" t="n"/>
      <c r="P76" s="16" t="n"/>
    </row>
    <row r="77">
      <c r="A77" s="19">
        <f>IF(B77="","",TEXT(ROW()-5,"GAP-000"))</f>
        <v/>
      </c>
      <c r="B77" s="16" t="n"/>
      <c r="C77" s="16" t="n"/>
      <c r="D77" s="16" t="n"/>
      <c r="E77" s="16" t="n"/>
      <c r="F77" s="16" t="n"/>
      <c r="G77" s="16" t="n"/>
      <c r="H77" s="16" t="n"/>
      <c r="I77" s="16" t="n"/>
      <c r="J77" s="16" t="n"/>
      <c r="K77" s="17" t="n"/>
      <c r="L77" s="16" t="n"/>
      <c r="M77" s="16" t="n"/>
      <c r="N77" s="16" t="n"/>
      <c r="O77" s="16" t="n"/>
      <c r="P77" s="16" t="n"/>
    </row>
    <row r="78">
      <c r="A78" s="19">
        <f>IF(B78="","",TEXT(ROW()-5,"GAP-000"))</f>
        <v/>
      </c>
      <c r="B78" s="16" t="n"/>
      <c r="C78" s="16" t="n"/>
      <c r="D78" s="16" t="n"/>
      <c r="E78" s="16" t="n"/>
      <c r="F78" s="16" t="n"/>
      <c r="G78" s="16" t="n"/>
      <c r="H78" s="16" t="n"/>
      <c r="I78" s="16" t="n"/>
      <c r="J78" s="16" t="n"/>
      <c r="K78" s="17" t="n"/>
      <c r="L78" s="16" t="n"/>
      <c r="M78" s="16" t="n"/>
      <c r="N78" s="16" t="n"/>
      <c r="O78" s="16" t="n"/>
      <c r="P78" s="16" t="n"/>
    </row>
    <row r="79">
      <c r="A79" s="19">
        <f>IF(B79="","",TEXT(ROW()-5,"GAP-000"))</f>
        <v/>
      </c>
      <c r="B79" s="16" t="n"/>
      <c r="C79" s="16" t="n"/>
      <c r="D79" s="16" t="n"/>
      <c r="E79" s="16" t="n"/>
      <c r="F79" s="16" t="n"/>
      <c r="G79" s="16" t="n"/>
      <c r="H79" s="16" t="n"/>
      <c r="I79" s="16" t="n"/>
      <c r="J79" s="16" t="n"/>
      <c r="K79" s="17" t="n"/>
      <c r="L79" s="16" t="n"/>
      <c r="M79" s="16" t="n"/>
      <c r="N79" s="16" t="n"/>
      <c r="O79" s="16" t="n"/>
      <c r="P79" s="16" t="n"/>
    </row>
    <row r="80">
      <c r="A80" s="19">
        <f>IF(B80="","",TEXT(ROW()-5,"GAP-000"))</f>
        <v/>
      </c>
      <c r="B80" s="16" t="n"/>
      <c r="C80" s="16" t="n"/>
      <c r="D80" s="16" t="n"/>
      <c r="E80" s="16" t="n"/>
      <c r="F80" s="16" t="n"/>
      <c r="G80" s="16" t="n"/>
      <c r="H80" s="16" t="n"/>
      <c r="I80" s="16" t="n"/>
      <c r="J80" s="16" t="n"/>
      <c r="K80" s="17" t="n"/>
      <c r="L80" s="16" t="n"/>
      <c r="M80" s="16" t="n"/>
      <c r="N80" s="16" t="n"/>
      <c r="O80" s="16" t="n"/>
      <c r="P80" s="16" t="n"/>
    </row>
    <row r="81">
      <c r="A81" s="19">
        <f>IF(B81="","",TEXT(ROW()-5,"GAP-000"))</f>
        <v/>
      </c>
      <c r="B81" s="16" t="n"/>
      <c r="C81" s="16" t="n"/>
      <c r="D81" s="16" t="n"/>
      <c r="E81" s="16" t="n"/>
      <c r="F81" s="16" t="n"/>
      <c r="G81" s="16" t="n"/>
      <c r="H81" s="16" t="n"/>
      <c r="I81" s="16" t="n"/>
      <c r="J81" s="16" t="n"/>
      <c r="K81" s="17" t="n"/>
      <c r="L81" s="16" t="n"/>
      <c r="M81" s="16" t="n"/>
      <c r="N81" s="16" t="n"/>
      <c r="O81" s="16" t="n"/>
      <c r="P81" s="16" t="n"/>
    </row>
    <row r="82">
      <c r="A82" s="19">
        <f>IF(B82="","",TEXT(ROW()-5,"GAP-000"))</f>
        <v/>
      </c>
      <c r="B82" s="16" t="n"/>
      <c r="C82" s="16" t="n"/>
      <c r="D82" s="16" t="n"/>
      <c r="E82" s="16" t="n"/>
      <c r="F82" s="16" t="n"/>
      <c r="G82" s="16" t="n"/>
      <c r="H82" s="16" t="n"/>
      <c r="I82" s="16" t="n"/>
      <c r="J82" s="16" t="n"/>
      <c r="K82" s="17" t="n"/>
      <c r="L82" s="16" t="n"/>
      <c r="M82" s="16" t="n"/>
      <c r="N82" s="16" t="n"/>
      <c r="O82" s="16" t="n"/>
      <c r="P82" s="16" t="n"/>
    </row>
    <row r="83">
      <c r="A83" s="19">
        <f>IF(B83="","",TEXT(ROW()-5,"GAP-000"))</f>
        <v/>
      </c>
      <c r="B83" s="16" t="n"/>
      <c r="C83" s="16" t="n"/>
      <c r="D83" s="16" t="n"/>
      <c r="E83" s="16" t="n"/>
      <c r="F83" s="16" t="n"/>
      <c r="G83" s="16" t="n"/>
      <c r="H83" s="16" t="n"/>
      <c r="I83" s="16" t="n"/>
      <c r="J83" s="16" t="n"/>
      <c r="K83" s="17" t="n"/>
      <c r="L83" s="16" t="n"/>
      <c r="M83" s="16" t="n"/>
      <c r="N83" s="16" t="n"/>
      <c r="O83" s="16" t="n"/>
      <c r="P83" s="16" t="n"/>
    </row>
    <row r="84">
      <c r="A84" s="19">
        <f>IF(B84="","",TEXT(ROW()-5,"GAP-000"))</f>
        <v/>
      </c>
      <c r="B84" s="16" t="n"/>
      <c r="C84" s="16" t="n"/>
      <c r="D84" s="16" t="n"/>
      <c r="E84" s="16" t="n"/>
      <c r="F84" s="16" t="n"/>
      <c r="G84" s="16" t="n"/>
      <c r="H84" s="16" t="n"/>
      <c r="I84" s="16" t="n"/>
      <c r="J84" s="16" t="n"/>
      <c r="K84" s="17" t="n"/>
      <c r="L84" s="16" t="n"/>
      <c r="M84" s="16" t="n"/>
      <c r="N84" s="16" t="n"/>
      <c r="O84" s="16" t="n"/>
      <c r="P84" s="16" t="n"/>
    </row>
    <row r="85">
      <c r="A85" s="19">
        <f>IF(B85="","",TEXT(ROW()-5,"GAP-000"))</f>
        <v/>
      </c>
      <c r="B85" s="16" t="n"/>
      <c r="C85" s="16" t="n"/>
      <c r="D85" s="16" t="n"/>
      <c r="E85" s="16" t="n"/>
      <c r="F85" s="16" t="n"/>
      <c r="G85" s="16" t="n"/>
      <c r="H85" s="16" t="n"/>
      <c r="I85" s="16" t="n"/>
      <c r="J85" s="16" t="n"/>
      <c r="K85" s="17" t="n"/>
      <c r="L85" s="16" t="n"/>
      <c r="M85" s="16" t="n"/>
      <c r="N85" s="16" t="n"/>
      <c r="O85" s="16" t="n"/>
      <c r="P85" s="16" t="n"/>
    </row>
    <row r="86">
      <c r="A86" s="19">
        <f>IF(B86="","",TEXT(ROW()-5,"GAP-000"))</f>
        <v/>
      </c>
      <c r="B86" s="16" t="n"/>
      <c r="C86" s="16" t="n"/>
      <c r="D86" s="16" t="n"/>
      <c r="E86" s="16" t="n"/>
      <c r="F86" s="16" t="n"/>
      <c r="G86" s="16" t="n"/>
      <c r="H86" s="16" t="n"/>
      <c r="I86" s="16" t="n"/>
      <c r="J86" s="16" t="n"/>
      <c r="K86" s="17" t="n"/>
      <c r="L86" s="16" t="n"/>
      <c r="M86" s="16" t="n"/>
      <c r="N86" s="16" t="n"/>
      <c r="O86" s="16" t="n"/>
      <c r="P86" s="16" t="n"/>
    </row>
    <row r="87">
      <c r="A87" s="19">
        <f>IF(B87="","",TEXT(ROW()-5,"GAP-000"))</f>
        <v/>
      </c>
      <c r="B87" s="16" t="n"/>
      <c r="C87" s="16" t="n"/>
      <c r="D87" s="16" t="n"/>
      <c r="E87" s="16" t="n"/>
      <c r="F87" s="16" t="n"/>
      <c r="G87" s="16" t="n"/>
      <c r="H87" s="16" t="n"/>
      <c r="I87" s="16" t="n"/>
      <c r="J87" s="16" t="n"/>
      <c r="K87" s="17" t="n"/>
      <c r="L87" s="16" t="n"/>
      <c r="M87" s="16" t="n"/>
      <c r="N87" s="16" t="n"/>
      <c r="O87" s="16" t="n"/>
      <c r="P87" s="16" t="n"/>
    </row>
    <row r="88">
      <c r="A88" s="19">
        <f>IF(B88="","",TEXT(ROW()-5,"GAP-000"))</f>
        <v/>
      </c>
      <c r="B88" s="16" t="n"/>
      <c r="C88" s="16" t="n"/>
      <c r="D88" s="16" t="n"/>
      <c r="E88" s="16" t="n"/>
      <c r="F88" s="16" t="n"/>
      <c r="G88" s="16" t="n"/>
      <c r="H88" s="16" t="n"/>
      <c r="I88" s="16" t="n"/>
      <c r="J88" s="16" t="n"/>
      <c r="K88" s="17" t="n"/>
      <c r="L88" s="16" t="n"/>
      <c r="M88" s="16" t="n"/>
      <c r="N88" s="16" t="n"/>
      <c r="O88" s="16" t="n"/>
      <c r="P88" s="16" t="n"/>
    </row>
    <row r="89">
      <c r="A89" s="19">
        <f>IF(B89="","",TEXT(ROW()-5,"GAP-000"))</f>
        <v/>
      </c>
      <c r="B89" s="16" t="n"/>
      <c r="C89" s="16" t="n"/>
      <c r="D89" s="16" t="n"/>
      <c r="E89" s="16" t="n"/>
      <c r="F89" s="16" t="n"/>
      <c r="G89" s="16" t="n"/>
      <c r="H89" s="16" t="n"/>
      <c r="I89" s="16" t="n"/>
      <c r="J89" s="16" t="n"/>
      <c r="K89" s="17" t="n"/>
      <c r="L89" s="16" t="n"/>
      <c r="M89" s="16" t="n"/>
      <c r="N89" s="16" t="n"/>
      <c r="O89" s="16" t="n"/>
      <c r="P89" s="16" t="n"/>
    </row>
    <row r="90">
      <c r="A90" s="19">
        <f>IF(B90="","",TEXT(ROW()-5,"GAP-000"))</f>
        <v/>
      </c>
      <c r="B90" s="16" t="n"/>
      <c r="C90" s="16" t="n"/>
      <c r="D90" s="16" t="n"/>
      <c r="E90" s="16" t="n"/>
      <c r="F90" s="16" t="n"/>
      <c r="G90" s="16" t="n"/>
      <c r="H90" s="16" t="n"/>
      <c r="I90" s="16" t="n"/>
      <c r="J90" s="16" t="n"/>
      <c r="K90" s="17" t="n"/>
      <c r="L90" s="16" t="n"/>
      <c r="M90" s="16" t="n"/>
      <c r="N90" s="16" t="n"/>
      <c r="O90" s="16" t="n"/>
      <c r="P90" s="16" t="n"/>
    </row>
    <row r="91">
      <c r="A91" s="19">
        <f>IF(B91="","",TEXT(ROW()-5,"GAP-000"))</f>
        <v/>
      </c>
      <c r="B91" s="16" t="n"/>
      <c r="C91" s="16" t="n"/>
      <c r="D91" s="16" t="n"/>
      <c r="E91" s="16" t="n"/>
      <c r="F91" s="16" t="n"/>
      <c r="G91" s="16" t="n"/>
      <c r="H91" s="16" t="n"/>
      <c r="I91" s="16" t="n"/>
      <c r="J91" s="16" t="n"/>
      <c r="K91" s="17" t="n"/>
      <c r="L91" s="16" t="n"/>
      <c r="M91" s="16" t="n"/>
      <c r="N91" s="16" t="n"/>
      <c r="O91" s="16" t="n"/>
      <c r="P91" s="16" t="n"/>
    </row>
    <row r="92">
      <c r="A92" s="19">
        <f>IF(B92="","",TEXT(ROW()-5,"GAP-000"))</f>
        <v/>
      </c>
      <c r="B92" s="16" t="n"/>
      <c r="C92" s="16" t="n"/>
      <c r="D92" s="16" t="n"/>
      <c r="E92" s="16" t="n"/>
      <c r="F92" s="16" t="n"/>
      <c r="G92" s="16" t="n"/>
      <c r="H92" s="16" t="n"/>
      <c r="I92" s="16" t="n"/>
      <c r="J92" s="16" t="n"/>
      <c r="K92" s="17" t="n"/>
      <c r="L92" s="16" t="n"/>
      <c r="M92" s="16" t="n"/>
      <c r="N92" s="16" t="n"/>
      <c r="O92" s="16" t="n"/>
      <c r="P92" s="16" t="n"/>
    </row>
    <row r="93">
      <c r="A93" s="19">
        <f>IF(B93="","",TEXT(ROW()-5,"GAP-000"))</f>
        <v/>
      </c>
      <c r="B93" s="16" t="n"/>
      <c r="C93" s="16" t="n"/>
      <c r="D93" s="16" t="n"/>
      <c r="E93" s="16" t="n"/>
      <c r="F93" s="16" t="n"/>
      <c r="G93" s="16" t="n"/>
      <c r="H93" s="16" t="n"/>
      <c r="I93" s="16" t="n"/>
      <c r="J93" s="16" t="n"/>
      <c r="K93" s="17" t="n"/>
      <c r="L93" s="16" t="n"/>
      <c r="M93" s="16" t="n"/>
      <c r="N93" s="16" t="n"/>
      <c r="O93" s="16" t="n"/>
      <c r="P93" s="16" t="n"/>
    </row>
    <row r="94">
      <c r="A94" s="19">
        <f>IF(B94="","",TEXT(ROW()-5,"GAP-000"))</f>
        <v/>
      </c>
      <c r="B94" s="16" t="n"/>
      <c r="C94" s="16" t="n"/>
      <c r="D94" s="16" t="n"/>
      <c r="E94" s="16" t="n"/>
      <c r="F94" s="16" t="n"/>
      <c r="G94" s="16" t="n"/>
      <c r="H94" s="16" t="n"/>
      <c r="I94" s="16" t="n"/>
      <c r="J94" s="16" t="n"/>
      <c r="K94" s="17" t="n"/>
      <c r="L94" s="16" t="n"/>
      <c r="M94" s="16" t="n"/>
      <c r="N94" s="16" t="n"/>
      <c r="O94" s="16" t="n"/>
      <c r="P94" s="16" t="n"/>
    </row>
    <row r="95">
      <c r="A95" s="19">
        <f>IF(B95="","",TEXT(ROW()-5,"GAP-000"))</f>
        <v/>
      </c>
      <c r="B95" s="16" t="n"/>
      <c r="C95" s="16" t="n"/>
      <c r="D95" s="16" t="n"/>
      <c r="E95" s="16" t="n"/>
      <c r="F95" s="16" t="n"/>
      <c r="G95" s="16" t="n"/>
      <c r="H95" s="16" t="n"/>
      <c r="I95" s="16" t="n"/>
      <c r="J95" s="16" t="n"/>
      <c r="K95" s="17" t="n"/>
      <c r="L95" s="16" t="n"/>
      <c r="M95" s="16" t="n"/>
      <c r="N95" s="16" t="n"/>
      <c r="O95" s="16" t="n"/>
      <c r="P95" s="16" t="n"/>
    </row>
    <row r="96">
      <c r="A96" s="19">
        <f>IF(B96="","",TEXT(ROW()-5,"GAP-000"))</f>
        <v/>
      </c>
      <c r="B96" s="16" t="n"/>
      <c r="C96" s="16" t="n"/>
      <c r="D96" s="16" t="n"/>
      <c r="E96" s="16" t="n"/>
      <c r="F96" s="16" t="n"/>
      <c r="G96" s="16" t="n"/>
      <c r="H96" s="16" t="n"/>
      <c r="I96" s="16" t="n"/>
      <c r="J96" s="16" t="n"/>
      <c r="K96" s="17" t="n"/>
      <c r="L96" s="16" t="n"/>
      <c r="M96" s="16" t="n"/>
      <c r="N96" s="16" t="n"/>
      <c r="O96" s="16" t="n"/>
      <c r="P96" s="16" t="n"/>
    </row>
    <row r="97">
      <c r="A97" s="19">
        <f>IF(B97="","",TEXT(ROW()-5,"GAP-000"))</f>
        <v/>
      </c>
      <c r="B97" s="16" t="n"/>
      <c r="C97" s="16" t="n"/>
      <c r="D97" s="16" t="n"/>
      <c r="E97" s="16" t="n"/>
      <c r="F97" s="16" t="n"/>
      <c r="G97" s="16" t="n"/>
      <c r="H97" s="16" t="n"/>
      <c r="I97" s="16" t="n"/>
      <c r="J97" s="16" t="n"/>
      <c r="K97" s="17" t="n"/>
      <c r="L97" s="16" t="n"/>
      <c r="M97" s="16" t="n"/>
      <c r="N97" s="16" t="n"/>
      <c r="O97" s="16" t="n"/>
      <c r="P97" s="16" t="n"/>
    </row>
    <row r="98">
      <c r="A98" s="19">
        <f>IF(B98="","",TEXT(ROW()-5,"GAP-000"))</f>
        <v/>
      </c>
      <c r="B98" s="16" t="n"/>
      <c r="C98" s="16" t="n"/>
      <c r="D98" s="16" t="n"/>
      <c r="E98" s="16" t="n"/>
      <c r="F98" s="16" t="n"/>
      <c r="G98" s="16" t="n"/>
      <c r="H98" s="16" t="n"/>
      <c r="I98" s="16" t="n"/>
      <c r="J98" s="16" t="n"/>
      <c r="K98" s="17" t="n"/>
      <c r="L98" s="16" t="n"/>
      <c r="M98" s="16" t="n"/>
      <c r="N98" s="16" t="n"/>
      <c r="O98" s="16" t="n"/>
      <c r="P98" s="16" t="n"/>
    </row>
    <row r="99">
      <c r="A99" s="19">
        <f>IF(B99="","",TEXT(ROW()-5,"GAP-000"))</f>
        <v/>
      </c>
      <c r="B99" s="16" t="n"/>
      <c r="C99" s="16" t="n"/>
      <c r="D99" s="16" t="n"/>
      <c r="E99" s="16" t="n"/>
      <c r="F99" s="16" t="n"/>
      <c r="G99" s="16" t="n"/>
      <c r="H99" s="16" t="n"/>
      <c r="I99" s="16" t="n"/>
      <c r="J99" s="16" t="n"/>
      <c r="K99" s="17" t="n"/>
      <c r="L99" s="16" t="n"/>
      <c r="M99" s="16" t="n"/>
      <c r="N99" s="16" t="n"/>
      <c r="O99" s="16" t="n"/>
      <c r="P99" s="16" t="n"/>
    </row>
    <row r="100">
      <c r="A100" s="19">
        <f>IF(B100="","",TEXT(ROW()-5,"GAP-000"))</f>
        <v/>
      </c>
      <c r="B100" s="16" t="n"/>
      <c r="C100" s="16" t="n"/>
      <c r="D100" s="16" t="n"/>
      <c r="E100" s="16" t="n"/>
      <c r="F100" s="16" t="n"/>
      <c r="G100" s="16" t="n"/>
      <c r="H100" s="16" t="n"/>
      <c r="I100" s="16" t="n"/>
      <c r="J100" s="16" t="n"/>
      <c r="K100" s="17" t="n"/>
      <c r="L100" s="16" t="n"/>
      <c r="M100" s="16" t="n"/>
      <c r="N100" s="16" t="n"/>
      <c r="O100" s="16" t="n"/>
      <c r="P100" s="16" t="n"/>
    </row>
    <row r="101">
      <c r="A101" s="19">
        <f>IF(B101="","",TEXT(ROW()-5,"GAP-000"))</f>
        <v/>
      </c>
      <c r="B101" s="16" t="n"/>
      <c r="C101" s="16" t="n"/>
      <c r="D101" s="16" t="n"/>
      <c r="E101" s="16" t="n"/>
      <c r="F101" s="16" t="n"/>
      <c r="G101" s="16" t="n"/>
      <c r="H101" s="16" t="n"/>
      <c r="I101" s="16" t="n"/>
      <c r="J101" s="16" t="n"/>
      <c r="K101" s="17" t="n"/>
      <c r="L101" s="16" t="n"/>
      <c r="M101" s="16" t="n"/>
      <c r="N101" s="16" t="n"/>
      <c r="O101" s="16" t="n"/>
      <c r="P101" s="16" t="n"/>
    </row>
    <row r="102">
      <c r="A102" s="19">
        <f>IF(B102="","",TEXT(ROW()-5,"GAP-000"))</f>
        <v/>
      </c>
      <c r="B102" s="16" t="n"/>
      <c r="C102" s="16" t="n"/>
      <c r="D102" s="16" t="n"/>
      <c r="E102" s="16" t="n"/>
      <c r="F102" s="16" t="n"/>
      <c r="G102" s="16" t="n"/>
      <c r="H102" s="16" t="n"/>
      <c r="I102" s="16" t="n"/>
      <c r="J102" s="16" t="n"/>
      <c r="K102" s="17" t="n"/>
      <c r="L102" s="16" t="n"/>
      <c r="M102" s="16" t="n"/>
      <c r="N102" s="16" t="n"/>
      <c r="O102" s="16" t="n"/>
      <c r="P102" s="16" t="n"/>
    </row>
    <row r="103">
      <c r="A103" s="19">
        <f>IF(B103="","",TEXT(ROW()-5,"GAP-000"))</f>
        <v/>
      </c>
      <c r="B103" s="16" t="n"/>
      <c r="C103" s="16" t="n"/>
      <c r="D103" s="16" t="n"/>
      <c r="E103" s="16" t="n"/>
      <c r="F103" s="16" t="n"/>
      <c r="G103" s="16" t="n"/>
      <c r="H103" s="16" t="n"/>
      <c r="I103" s="16" t="n"/>
      <c r="J103" s="16" t="n"/>
      <c r="K103" s="17" t="n"/>
      <c r="L103" s="16" t="n"/>
      <c r="M103" s="16" t="n"/>
      <c r="N103" s="16" t="n"/>
      <c r="O103" s="16" t="n"/>
      <c r="P103" s="16" t="n"/>
    </row>
    <row r="104">
      <c r="A104" s="19">
        <f>IF(B104="","",TEXT(ROW()-5,"GAP-000"))</f>
        <v/>
      </c>
      <c r="B104" s="16" t="n"/>
      <c r="C104" s="16" t="n"/>
      <c r="D104" s="16" t="n"/>
      <c r="E104" s="16" t="n"/>
      <c r="F104" s="16" t="n"/>
      <c r="G104" s="16" t="n"/>
      <c r="H104" s="16" t="n"/>
      <c r="I104" s="16" t="n"/>
      <c r="J104" s="16" t="n"/>
      <c r="K104" s="17" t="n"/>
      <c r="L104" s="16" t="n"/>
      <c r="M104" s="16" t="n"/>
      <c r="N104" s="16" t="n"/>
      <c r="O104" s="16" t="n"/>
      <c r="P104" s="16" t="n"/>
    </row>
    <row r="105">
      <c r="A105" s="19">
        <f>IF(B105="","",TEXT(ROW()-5,"GAP-000"))</f>
        <v/>
      </c>
      <c r="B105" s="16" t="n"/>
      <c r="C105" s="16" t="n"/>
      <c r="D105" s="16" t="n"/>
      <c r="E105" s="16" t="n"/>
      <c r="F105" s="16" t="n"/>
      <c r="G105" s="16" t="n"/>
      <c r="H105" s="16" t="n"/>
      <c r="I105" s="16" t="n"/>
      <c r="J105" s="16" t="n"/>
      <c r="K105" s="17" t="n"/>
      <c r="L105" s="16" t="n"/>
      <c r="M105" s="16" t="n"/>
      <c r="N105" s="16" t="n"/>
      <c r="O105" s="16" t="n"/>
      <c r="P105" s="16" t="n"/>
    </row>
  </sheetData>
  <mergeCells count="2">
    <mergeCell ref="A1:P1"/>
    <mergeCell ref="A2:P2"/>
  </mergeCells>
  <dataValidations count="3">
    <dataValidation sqref="F6:F105" showDropDown="0" showInputMessage="0" showErrorMessage="1" allowBlank="1" errorTitle="Invalid Entry" error="Please select from dropdown" type="list">
      <formula1>"Critical,High,Medium,Low"</formula1>
    </dataValidation>
    <dataValidation sqref="L6:L105" showDropDown="0" showInputMessage="0" showErrorMessage="1" allowBlank="1" errorTitle="Invalid Entry" error="Please select from dropdown" type="list">
      <formula1>"&lt;1hr,1-4hrs,1day,2-5days,&gt;1week"</formula1>
    </dataValidation>
    <dataValidation sqref="N6:N105"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2" t="inlineStr">
        <is>
          <t>EVIDENCE REGISTER</t>
        </is>
      </c>
    </row>
    <row r="2">
      <c r="A2" s="23" t="inlineStr">
        <is>
          <t>ISMS-IMP-A.5.1-2-6.1-2.S1 — Policy Framework Assessment Workbook</t>
        </is>
      </c>
    </row>
    <row r="4">
      <c r="A4" s="24" t="inlineStr">
        <is>
          <t>Evidence ID</t>
        </is>
      </c>
      <c r="B4" s="24" t="inlineStr">
        <is>
          <t>Evidence Type</t>
        </is>
      </c>
      <c r="C4" s="24" t="inlineStr">
        <is>
          <t>Description</t>
        </is>
      </c>
      <c r="D4" s="24" t="inlineStr">
        <is>
          <t>Related Control / Section</t>
        </is>
      </c>
      <c r="E4" s="24" t="inlineStr">
        <is>
          <t>Collection Date (DD.MM.YYYY)</t>
        </is>
      </c>
      <c r="F4" s="24" t="inlineStr">
        <is>
          <t>Storage Location / Reference</t>
        </is>
      </c>
      <c r="G4" s="24" t="inlineStr">
        <is>
          <t>Collected By</t>
        </is>
      </c>
      <c r="H4" s="24" t="inlineStr">
        <is>
          <t>Status</t>
        </is>
      </c>
    </row>
    <row r="5">
      <c r="A5" s="25" t="inlineStr">
        <is>
          <t>EV-001</t>
        </is>
      </c>
      <c r="B5" s="25" t="inlineStr">
        <is>
          <t>Document</t>
        </is>
      </c>
      <c r="C5" s="25" t="inlineStr">
        <is>
          <t>Sample evidence entry — replace with actual evidence</t>
        </is>
      </c>
      <c r="D5" s="25" t="inlineStr">
        <is>
          <t>All Controls</t>
        </is>
      </c>
      <c r="E5" s="25" t="inlineStr">
        <is>
          <t>01.01.2026</t>
        </is>
      </c>
      <c r="F5" s="25" t="inlineStr">
        <is>
          <t>SharePoint/ISMS/Evidence/</t>
        </is>
      </c>
      <c r="G5" s="25" t="inlineStr">
        <is>
          <t>ISMS Team</t>
        </is>
      </c>
      <c r="H5" s="25" t="inlineStr">
        <is>
          <t>Active</t>
        </is>
      </c>
    </row>
    <row r="6">
      <c r="A6" s="26" t="n"/>
      <c r="B6" s="26" t="n"/>
      <c r="C6" s="26" t="n"/>
      <c r="D6" s="26" t="n"/>
      <c r="E6" s="26" t="n"/>
      <c r="F6" s="26" t="n"/>
      <c r="G6" s="26" t="n"/>
      <c r="H6" s="26" t="n"/>
    </row>
    <row r="7">
      <c r="A7" s="26" t="n"/>
      <c r="B7" s="26" t="n"/>
      <c r="C7" s="26" t="n"/>
      <c r="D7" s="26" t="n"/>
      <c r="E7" s="26" t="n"/>
      <c r="F7" s="26" t="n"/>
      <c r="G7" s="26" t="n"/>
      <c r="H7" s="26" t="n"/>
    </row>
    <row r="8">
      <c r="A8" s="26" t="n"/>
      <c r="B8" s="26" t="n"/>
      <c r="C8" s="26" t="n"/>
      <c r="D8" s="26" t="n"/>
      <c r="E8" s="26" t="n"/>
      <c r="F8" s="26" t="n"/>
      <c r="G8" s="26" t="n"/>
      <c r="H8" s="26" t="n"/>
    </row>
    <row r="9">
      <c r="A9" s="26" t="n"/>
      <c r="B9" s="26" t="n"/>
      <c r="C9" s="26" t="n"/>
      <c r="D9" s="26" t="n"/>
      <c r="E9" s="26" t="n"/>
      <c r="F9" s="26" t="n"/>
      <c r="G9" s="26" t="n"/>
      <c r="H9" s="26" t="n"/>
    </row>
    <row r="10">
      <c r="A10" s="26" t="n"/>
      <c r="B10" s="26" t="n"/>
      <c r="C10" s="26" t="n"/>
      <c r="D10" s="26" t="n"/>
      <c r="E10" s="26" t="n"/>
      <c r="F10" s="26" t="n"/>
      <c r="G10" s="26" t="n"/>
      <c r="H10" s="26" t="n"/>
    </row>
    <row r="11">
      <c r="A11" s="26" t="n"/>
      <c r="B11" s="26" t="n"/>
      <c r="C11" s="26" t="n"/>
      <c r="D11" s="26" t="n"/>
      <c r="E11" s="26" t="n"/>
      <c r="F11" s="26" t="n"/>
      <c r="G11" s="26" t="n"/>
      <c r="H11" s="26" t="n"/>
    </row>
    <row r="12">
      <c r="A12" s="26" t="n"/>
      <c r="B12" s="26" t="n"/>
      <c r="C12" s="26" t="n"/>
      <c r="D12" s="26" t="n"/>
      <c r="E12" s="26" t="n"/>
      <c r="F12" s="26" t="n"/>
      <c r="G12" s="26" t="n"/>
      <c r="H12" s="26" t="n"/>
    </row>
    <row r="13">
      <c r="A13" s="26" t="n"/>
      <c r="B13" s="26" t="n"/>
      <c r="C13" s="26" t="n"/>
      <c r="D13" s="26" t="n"/>
      <c r="E13" s="26" t="n"/>
      <c r="F13" s="26" t="n"/>
      <c r="G13" s="26" t="n"/>
      <c r="H13" s="26" t="n"/>
    </row>
    <row r="14">
      <c r="A14" s="26" t="n"/>
      <c r="B14" s="26" t="n"/>
      <c r="C14" s="26" t="n"/>
      <c r="D14" s="26" t="n"/>
      <c r="E14" s="26" t="n"/>
      <c r="F14" s="26" t="n"/>
      <c r="G14" s="26" t="n"/>
      <c r="H14" s="26" t="n"/>
    </row>
    <row r="15">
      <c r="A15" s="26" t="n"/>
      <c r="B15" s="26" t="n"/>
      <c r="C15" s="26" t="n"/>
      <c r="D15" s="26" t="n"/>
      <c r="E15" s="26" t="n"/>
      <c r="F15" s="26" t="n"/>
      <c r="G15" s="26" t="n"/>
      <c r="H15" s="26" t="n"/>
    </row>
    <row r="16">
      <c r="A16" s="26" t="n"/>
      <c r="B16" s="26" t="n"/>
      <c r="C16" s="26" t="n"/>
      <c r="D16" s="26" t="n"/>
      <c r="E16" s="26" t="n"/>
      <c r="F16" s="26" t="n"/>
      <c r="G16" s="26" t="n"/>
      <c r="H16" s="26" t="n"/>
    </row>
    <row r="17">
      <c r="A17" s="26" t="n"/>
      <c r="B17" s="26" t="n"/>
      <c r="C17" s="26" t="n"/>
      <c r="D17" s="26" t="n"/>
      <c r="E17" s="26" t="n"/>
      <c r="F17" s="26" t="n"/>
      <c r="G17" s="26" t="n"/>
      <c r="H17" s="26" t="n"/>
    </row>
    <row r="18">
      <c r="A18" s="26" t="n"/>
      <c r="B18" s="26" t="n"/>
      <c r="C18" s="26" t="n"/>
      <c r="D18" s="26" t="n"/>
      <c r="E18" s="26" t="n"/>
      <c r="F18" s="26" t="n"/>
      <c r="G18" s="26" t="n"/>
      <c r="H18" s="26" t="n"/>
    </row>
    <row r="19">
      <c r="A19" s="26" t="n"/>
      <c r="B19" s="26" t="n"/>
      <c r="C19" s="26" t="n"/>
      <c r="D19" s="26" t="n"/>
      <c r="E19" s="26" t="n"/>
      <c r="F19" s="26" t="n"/>
      <c r="G19" s="26" t="n"/>
      <c r="H19" s="26" t="n"/>
    </row>
    <row r="20">
      <c r="A20" s="26" t="n"/>
      <c r="B20" s="26" t="n"/>
      <c r="C20" s="26" t="n"/>
      <c r="D20" s="26" t="n"/>
      <c r="E20" s="26" t="n"/>
      <c r="F20" s="26" t="n"/>
      <c r="G20" s="26" t="n"/>
      <c r="H20" s="26" t="n"/>
    </row>
    <row r="21">
      <c r="A21" s="26" t="n"/>
      <c r="B21" s="26" t="n"/>
      <c r="C21" s="26" t="n"/>
      <c r="D21" s="26" t="n"/>
      <c r="E21" s="26" t="n"/>
      <c r="F21" s="26" t="n"/>
      <c r="G21" s="26" t="n"/>
      <c r="H21" s="26" t="n"/>
    </row>
    <row r="22">
      <c r="A22" s="26" t="n"/>
      <c r="B22" s="26" t="n"/>
      <c r="C22" s="26" t="n"/>
      <c r="D22" s="26" t="n"/>
      <c r="E22" s="26" t="n"/>
      <c r="F22" s="26" t="n"/>
      <c r="G22" s="26" t="n"/>
      <c r="H22" s="26" t="n"/>
    </row>
    <row r="23">
      <c r="A23" s="26" t="n"/>
      <c r="B23" s="26" t="n"/>
      <c r="C23" s="26" t="n"/>
      <c r="D23" s="26" t="n"/>
      <c r="E23" s="26" t="n"/>
      <c r="F23" s="26" t="n"/>
      <c r="G23" s="26" t="n"/>
      <c r="H23" s="26" t="n"/>
    </row>
    <row r="24">
      <c r="A24" s="26" t="n"/>
      <c r="B24" s="26" t="n"/>
      <c r="C24" s="26" t="n"/>
      <c r="D24" s="26" t="n"/>
      <c r="E24" s="26" t="n"/>
      <c r="F24" s="26" t="n"/>
      <c r="G24" s="26" t="n"/>
      <c r="H24" s="26" t="n"/>
    </row>
    <row r="25">
      <c r="A25" s="26" t="n"/>
      <c r="B25" s="26" t="n"/>
      <c r="C25" s="26" t="n"/>
      <c r="D25" s="26" t="n"/>
      <c r="E25" s="26" t="n"/>
      <c r="F25" s="26" t="n"/>
      <c r="G25" s="26" t="n"/>
      <c r="H25" s="26" t="n"/>
    </row>
    <row r="26">
      <c r="A26" s="26" t="n"/>
      <c r="B26" s="26" t="n"/>
      <c r="C26" s="26" t="n"/>
      <c r="D26" s="26" t="n"/>
      <c r="E26" s="26" t="n"/>
      <c r="F26" s="26" t="n"/>
      <c r="G26" s="26" t="n"/>
      <c r="H26" s="26" t="n"/>
    </row>
    <row r="27">
      <c r="A27" s="26" t="n"/>
      <c r="B27" s="26" t="n"/>
      <c r="C27" s="26" t="n"/>
      <c r="D27" s="26" t="n"/>
      <c r="E27" s="26" t="n"/>
      <c r="F27" s="26" t="n"/>
      <c r="G27" s="26" t="n"/>
      <c r="H27" s="26" t="n"/>
    </row>
    <row r="28">
      <c r="A28" s="26" t="n"/>
      <c r="B28" s="26" t="n"/>
      <c r="C28" s="26" t="n"/>
      <c r="D28" s="26" t="n"/>
      <c r="E28" s="26" t="n"/>
      <c r="F28" s="26" t="n"/>
      <c r="G28" s="26" t="n"/>
      <c r="H28" s="26" t="n"/>
    </row>
    <row r="29">
      <c r="A29" s="26" t="n"/>
      <c r="B29" s="26" t="n"/>
      <c r="C29" s="26" t="n"/>
      <c r="D29" s="26" t="n"/>
      <c r="E29" s="26" t="n"/>
      <c r="F29" s="26" t="n"/>
      <c r="G29" s="26" t="n"/>
      <c r="H29" s="26" t="n"/>
    </row>
    <row r="30">
      <c r="A30" s="26" t="n"/>
      <c r="B30" s="26" t="n"/>
      <c r="C30" s="26" t="n"/>
      <c r="D30" s="26" t="n"/>
      <c r="E30" s="26" t="n"/>
      <c r="F30" s="26" t="n"/>
      <c r="G30" s="26" t="n"/>
      <c r="H30" s="26" t="n"/>
    </row>
    <row r="31">
      <c r="A31" s="26" t="n"/>
      <c r="B31" s="26" t="n"/>
      <c r="C31" s="26" t="n"/>
      <c r="D31" s="26" t="n"/>
      <c r="E31" s="26" t="n"/>
      <c r="F31" s="26" t="n"/>
      <c r="G31" s="26" t="n"/>
      <c r="H31" s="26" t="n"/>
    </row>
    <row r="32">
      <c r="A32" s="26" t="n"/>
      <c r="B32" s="26" t="n"/>
      <c r="C32" s="26" t="n"/>
      <c r="D32" s="26" t="n"/>
      <c r="E32" s="26" t="n"/>
      <c r="F32" s="26" t="n"/>
      <c r="G32" s="26" t="n"/>
      <c r="H32" s="26" t="n"/>
    </row>
    <row r="33">
      <c r="A33" s="26" t="n"/>
      <c r="B33" s="26" t="n"/>
      <c r="C33" s="26" t="n"/>
      <c r="D33" s="26" t="n"/>
      <c r="E33" s="26" t="n"/>
      <c r="F33" s="26" t="n"/>
      <c r="G33" s="26" t="n"/>
      <c r="H33" s="26" t="n"/>
    </row>
    <row r="34">
      <c r="A34" s="26" t="n"/>
      <c r="B34" s="26" t="n"/>
      <c r="C34" s="26" t="n"/>
      <c r="D34" s="26" t="n"/>
      <c r="E34" s="26" t="n"/>
      <c r="F34" s="26" t="n"/>
      <c r="G34" s="26" t="n"/>
      <c r="H34" s="26" t="n"/>
    </row>
    <row r="35">
      <c r="A35" s="26" t="n"/>
      <c r="B35" s="26" t="n"/>
      <c r="C35" s="26" t="n"/>
      <c r="D35" s="26" t="n"/>
      <c r="E35" s="26" t="n"/>
      <c r="F35" s="26" t="n"/>
      <c r="G35" s="26" t="n"/>
      <c r="H35" s="26" t="n"/>
    </row>
    <row r="36">
      <c r="A36" s="26" t="n"/>
      <c r="B36" s="26" t="n"/>
      <c r="C36" s="26" t="n"/>
      <c r="D36" s="26" t="n"/>
      <c r="E36" s="26" t="n"/>
      <c r="F36" s="26" t="n"/>
      <c r="G36" s="26" t="n"/>
      <c r="H36" s="26" t="n"/>
    </row>
    <row r="37">
      <c r="A37" s="26" t="n"/>
      <c r="B37" s="26" t="n"/>
      <c r="C37" s="26" t="n"/>
      <c r="D37" s="26" t="n"/>
      <c r="E37" s="26" t="n"/>
      <c r="F37" s="26" t="n"/>
      <c r="G37" s="26" t="n"/>
      <c r="H37" s="26" t="n"/>
    </row>
    <row r="38">
      <c r="A38" s="26" t="n"/>
      <c r="B38" s="26" t="n"/>
      <c r="C38" s="26" t="n"/>
      <c r="D38" s="26" t="n"/>
      <c r="E38" s="26" t="n"/>
      <c r="F38" s="26" t="n"/>
      <c r="G38" s="26" t="n"/>
      <c r="H38" s="26" t="n"/>
    </row>
    <row r="39">
      <c r="A39" s="26" t="n"/>
      <c r="B39" s="26" t="n"/>
      <c r="C39" s="26" t="n"/>
      <c r="D39" s="26" t="n"/>
      <c r="E39" s="26" t="n"/>
      <c r="F39" s="26" t="n"/>
      <c r="G39" s="26" t="n"/>
      <c r="H39" s="26" t="n"/>
    </row>
    <row r="40">
      <c r="A40" s="26" t="n"/>
      <c r="B40" s="26" t="n"/>
      <c r="C40" s="26" t="n"/>
      <c r="D40" s="26" t="n"/>
      <c r="E40" s="26" t="n"/>
      <c r="F40" s="26" t="n"/>
      <c r="G40" s="26" t="n"/>
      <c r="H40" s="26" t="n"/>
    </row>
    <row r="41">
      <c r="A41" s="26" t="n"/>
      <c r="B41" s="26" t="n"/>
      <c r="C41" s="26" t="n"/>
      <c r="D41" s="26" t="n"/>
      <c r="E41" s="26" t="n"/>
      <c r="F41" s="26" t="n"/>
      <c r="G41" s="26" t="n"/>
      <c r="H41" s="26" t="n"/>
    </row>
    <row r="42">
      <c r="A42" s="26" t="n"/>
      <c r="B42" s="26" t="n"/>
      <c r="C42" s="26" t="n"/>
      <c r="D42" s="26" t="n"/>
      <c r="E42" s="26" t="n"/>
      <c r="F42" s="26" t="n"/>
      <c r="G42" s="26" t="n"/>
      <c r="H42" s="26" t="n"/>
    </row>
    <row r="43">
      <c r="A43" s="26" t="n"/>
      <c r="B43" s="26" t="n"/>
      <c r="C43" s="26" t="n"/>
      <c r="D43" s="26" t="n"/>
      <c r="E43" s="26" t="n"/>
      <c r="F43" s="26" t="n"/>
      <c r="G43" s="26" t="n"/>
      <c r="H43" s="26" t="n"/>
    </row>
    <row r="44">
      <c r="A44" s="26" t="n"/>
      <c r="B44" s="26" t="n"/>
      <c r="C44" s="26" t="n"/>
      <c r="D44" s="26" t="n"/>
      <c r="E44" s="26" t="n"/>
      <c r="F44" s="26" t="n"/>
      <c r="G44" s="26" t="n"/>
      <c r="H44" s="26" t="n"/>
    </row>
    <row r="45">
      <c r="A45" s="26" t="n"/>
      <c r="B45" s="26" t="n"/>
      <c r="C45" s="26" t="n"/>
      <c r="D45" s="26" t="n"/>
      <c r="E45" s="26" t="n"/>
      <c r="F45" s="26" t="n"/>
      <c r="G45" s="26" t="n"/>
      <c r="H45" s="26" t="n"/>
    </row>
    <row r="46">
      <c r="A46" s="26" t="n"/>
      <c r="B46" s="26" t="n"/>
      <c r="C46" s="26" t="n"/>
      <c r="D46" s="26" t="n"/>
      <c r="E46" s="26" t="n"/>
      <c r="F46" s="26" t="n"/>
      <c r="G46" s="26" t="n"/>
      <c r="H46" s="26" t="n"/>
    </row>
    <row r="47">
      <c r="A47" s="26" t="n"/>
      <c r="B47" s="26" t="n"/>
      <c r="C47" s="26" t="n"/>
      <c r="D47" s="26" t="n"/>
      <c r="E47" s="26" t="n"/>
      <c r="F47" s="26" t="n"/>
      <c r="G47" s="26" t="n"/>
      <c r="H47" s="26" t="n"/>
    </row>
    <row r="48">
      <c r="A48" s="26" t="n"/>
      <c r="B48" s="26" t="n"/>
      <c r="C48" s="26" t="n"/>
      <c r="D48" s="26" t="n"/>
      <c r="E48" s="26" t="n"/>
      <c r="F48" s="26" t="n"/>
      <c r="G48" s="26" t="n"/>
      <c r="H48" s="26" t="n"/>
    </row>
    <row r="49">
      <c r="A49" s="26" t="n"/>
      <c r="B49" s="26" t="n"/>
      <c r="C49" s="26" t="n"/>
      <c r="D49" s="26" t="n"/>
      <c r="E49" s="26" t="n"/>
      <c r="F49" s="26" t="n"/>
      <c r="G49" s="26" t="n"/>
      <c r="H49" s="26" t="n"/>
    </row>
    <row r="50">
      <c r="A50" s="26" t="n"/>
      <c r="B50" s="26" t="n"/>
      <c r="C50" s="26" t="n"/>
      <c r="D50" s="26" t="n"/>
      <c r="E50" s="26" t="n"/>
      <c r="F50" s="26" t="n"/>
      <c r="G50" s="26" t="n"/>
      <c r="H50" s="26" t="n"/>
    </row>
    <row r="51">
      <c r="A51" s="26" t="n"/>
      <c r="B51" s="26" t="n"/>
      <c r="C51" s="26" t="n"/>
      <c r="D51" s="26" t="n"/>
      <c r="E51" s="26" t="n"/>
      <c r="F51" s="26" t="n"/>
      <c r="G51" s="26" t="n"/>
      <c r="H51" s="26" t="n"/>
    </row>
    <row r="52">
      <c r="A52" s="26" t="n"/>
      <c r="B52" s="26" t="n"/>
      <c r="C52" s="26" t="n"/>
      <c r="D52" s="26" t="n"/>
      <c r="E52" s="26" t="n"/>
      <c r="F52" s="26" t="n"/>
      <c r="G52" s="26" t="n"/>
      <c r="H52" s="26" t="n"/>
    </row>
    <row r="53">
      <c r="A53" s="26" t="n"/>
      <c r="B53" s="26" t="n"/>
      <c r="C53" s="26" t="n"/>
      <c r="D53" s="26" t="n"/>
      <c r="E53" s="26" t="n"/>
      <c r="F53" s="26" t="n"/>
      <c r="G53" s="26" t="n"/>
      <c r="H53" s="26" t="n"/>
    </row>
    <row r="54">
      <c r="A54" s="26" t="n"/>
      <c r="B54" s="26" t="n"/>
      <c r="C54" s="26" t="n"/>
      <c r="D54" s="26" t="n"/>
      <c r="E54" s="26" t="n"/>
      <c r="F54" s="26" t="n"/>
      <c r="G54" s="26" t="n"/>
      <c r="H54" s="26" t="n"/>
    </row>
    <row r="55">
      <c r="A55" s="26" t="n"/>
      <c r="B55" s="26" t="n"/>
      <c r="C55" s="26" t="n"/>
      <c r="D55" s="26" t="n"/>
      <c r="E55" s="26" t="n"/>
      <c r="F55" s="26" t="n"/>
      <c r="G55" s="26" t="n"/>
      <c r="H55" s="26" t="n"/>
    </row>
    <row r="56">
      <c r="A56" s="26" t="n"/>
      <c r="B56" s="26" t="n"/>
      <c r="C56" s="26" t="n"/>
      <c r="D56" s="26" t="n"/>
      <c r="E56" s="26" t="n"/>
      <c r="F56" s="26" t="n"/>
      <c r="G56" s="26" t="n"/>
      <c r="H56" s="26" t="n"/>
    </row>
    <row r="57">
      <c r="A57" s="26" t="n"/>
      <c r="B57" s="26" t="n"/>
      <c r="C57" s="26" t="n"/>
      <c r="D57" s="26" t="n"/>
      <c r="E57" s="26" t="n"/>
      <c r="F57" s="26" t="n"/>
      <c r="G57" s="26" t="n"/>
      <c r="H57" s="26" t="n"/>
    </row>
    <row r="58">
      <c r="A58" s="26" t="n"/>
      <c r="B58" s="26" t="n"/>
      <c r="C58" s="26" t="n"/>
      <c r="D58" s="26" t="n"/>
      <c r="E58" s="26" t="n"/>
      <c r="F58" s="26" t="n"/>
      <c r="G58" s="26" t="n"/>
      <c r="H58" s="26" t="n"/>
    </row>
    <row r="59">
      <c r="A59" s="26" t="n"/>
      <c r="B59" s="26" t="n"/>
      <c r="C59" s="26" t="n"/>
      <c r="D59" s="26" t="n"/>
      <c r="E59" s="26" t="n"/>
      <c r="F59" s="26" t="n"/>
      <c r="G59" s="26" t="n"/>
      <c r="H59" s="26" t="n"/>
    </row>
    <row r="60">
      <c r="A60" s="26" t="n"/>
      <c r="B60" s="26" t="n"/>
      <c r="C60" s="26" t="n"/>
      <c r="D60" s="26" t="n"/>
      <c r="E60" s="26" t="n"/>
      <c r="F60" s="26" t="n"/>
      <c r="G60" s="26" t="n"/>
      <c r="H60" s="26" t="n"/>
    </row>
    <row r="61">
      <c r="A61" s="26" t="n"/>
      <c r="B61" s="26" t="n"/>
      <c r="C61" s="26" t="n"/>
      <c r="D61" s="26" t="n"/>
      <c r="E61" s="26" t="n"/>
      <c r="F61" s="26" t="n"/>
      <c r="G61" s="26" t="n"/>
      <c r="H61" s="26" t="n"/>
    </row>
    <row r="62">
      <c r="A62" s="26" t="n"/>
      <c r="B62" s="26" t="n"/>
      <c r="C62" s="26" t="n"/>
      <c r="D62" s="26" t="n"/>
      <c r="E62" s="26" t="n"/>
      <c r="F62" s="26" t="n"/>
      <c r="G62" s="26" t="n"/>
      <c r="H62" s="26" t="n"/>
    </row>
    <row r="63">
      <c r="A63" s="26" t="n"/>
      <c r="B63" s="26" t="n"/>
      <c r="C63" s="26" t="n"/>
      <c r="D63" s="26" t="n"/>
      <c r="E63" s="26" t="n"/>
      <c r="F63" s="26" t="n"/>
      <c r="G63" s="26" t="n"/>
      <c r="H63" s="26" t="n"/>
    </row>
    <row r="64">
      <c r="A64" s="26" t="n"/>
      <c r="B64" s="26" t="n"/>
      <c r="C64" s="26" t="n"/>
      <c r="D64" s="26" t="n"/>
      <c r="E64" s="26" t="n"/>
      <c r="F64" s="26" t="n"/>
      <c r="G64" s="26" t="n"/>
      <c r="H64" s="26" t="n"/>
    </row>
    <row r="65">
      <c r="A65" s="26" t="n"/>
      <c r="B65" s="26" t="n"/>
      <c r="C65" s="26" t="n"/>
      <c r="D65" s="26" t="n"/>
      <c r="E65" s="26" t="n"/>
      <c r="F65" s="26" t="n"/>
      <c r="G65" s="26" t="n"/>
      <c r="H65" s="26" t="n"/>
    </row>
    <row r="66">
      <c r="A66" s="26" t="n"/>
      <c r="B66" s="26" t="n"/>
      <c r="C66" s="26" t="n"/>
      <c r="D66" s="26" t="n"/>
      <c r="E66" s="26" t="n"/>
      <c r="F66" s="26" t="n"/>
      <c r="G66" s="26" t="n"/>
      <c r="H66" s="26" t="n"/>
    </row>
    <row r="67">
      <c r="A67" s="26" t="n"/>
      <c r="B67" s="26" t="n"/>
      <c r="C67" s="26" t="n"/>
      <c r="D67" s="26" t="n"/>
      <c r="E67" s="26" t="n"/>
      <c r="F67" s="26" t="n"/>
      <c r="G67" s="26" t="n"/>
      <c r="H67" s="26" t="n"/>
    </row>
    <row r="68">
      <c r="A68" s="26" t="n"/>
      <c r="B68" s="26" t="n"/>
      <c r="C68" s="26" t="n"/>
      <c r="D68" s="26" t="n"/>
      <c r="E68" s="26" t="n"/>
      <c r="F68" s="26" t="n"/>
      <c r="G68" s="26" t="n"/>
      <c r="H68" s="26" t="n"/>
    </row>
    <row r="69">
      <c r="A69" s="26" t="n"/>
      <c r="B69" s="26" t="n"/>
      <c r="C69" s="26" t="n"/>
      <c r="D69" s="26" t="n"/>
      <c r="E69" s="26" t="n"/>
      <c r="F69" s="26" t="n"/>
      <c r="G69" s="26" t="n"/>
      <c r="H69" s="26" t="n"/>
    </row>
    <row r="70">
      <c r="A70" s="26" t="n"/>
      <c r="B70" s="26" t="n"/>
      <c r="C70" s="26" t="n"/>
      <c r="D70" s="26" t="n"/>
      <c r="E70" s="26" t="n"/>
      <c r="F70" s="26" t="n"/>
      <c r="G70" s="26" t="n"/>
      <c r="H70" s="26" t="n"/>
    </row>
    <row r="71">
      <c r="A71" s="26" t="n"/>
      <c r="B71" s="26" t="n"/>
      <c r="C71" s="26" t="n"/>
      <c r="D71" s="26" t="n"/>
      <c r="E71" s="26" t="n"/>
      <c r="F71" s="26" t="n"/>
      <c r="G71" s="26" t="n"/>
      <c r="H71" s="26" t="n"/>
    </row>
    <row r="72">
      <c r="A72" s="26" t="n"/>
      <c r="B72" s="26" t="n"/>
      <c r="C72" s="26" t="n"/>
      <c r="D72" s="26" t="n"/>
      <c r="E72" s="26" t="n"/>
      <c r="F72" s="26" t="n"/>
      <c r="G72" s="26" t="n"/>
      <c r="H72" s="26" t="n"/>
    </row>
    <row r="73">
      <c r="A73" s="26" t="n"/>
      <c r="B73" s="26" t="n"/>
      <c r="C73" s="26" t="n"/>
      <c r="D73" s="26" t="n"/>
      <c r="E73" s="26" t="n"/>
      <c r="F73" s="26" t="n"/>
      <c r="G73" s="26" t="n"/>
      <c r="H73" s="26" t="n"/>
    </row>
    <row r="74">
      <c r="A74" s="26" t="n"/>
      <c r="B74" s="26" t="n"/>
      <c r="C74" s="26" t="n"/>
      <c r="D74" s="26" t="n"/>
      <c r="E74" s="26" t="n"/>
      <c r="F74" s="26" t="n"/>
      <c r="G74" s="26" t="n"/>
      <c r="H74" s="26" t="n"/>
    </row>
    <row r="75">
      <c r="A75" s="26" t="n"/>
      <c r="B75" s="26" t="n"/>
      <c r="C75" s="26" t="n"/>
      <c r="D75" s="26" t="n"/>
      <c r="E75" s="26" t="n"/>
      <c r="F75" s="26" t="n"/>
      <c r="G75" s="26" t="n"/>
      <c r="H75" s="26" t="n"/>
    </row>
    <row r="76">
      <c r="A76" s="26" t="n"/>
      <c r="B76" s="26" t="n"/>
      <c r="C76" s="26" t="n"/>
      <c r="D76" s="26" t="n"/>
      <c r="E76" s="26" t="n"/>
      <c r="F76" s="26" t="n"/>
      <c r="G76" s="26" t="n"/>
      <c r="H76" s="26" t="n"/>
    </row>
    <row r="77">
      <c r="A77" s="26" t="n"/>
      <c r="B77" s="26" t="n"/>
      <c r="C77" s="26" t="n"/>
      <c r="D77" s="26" t="n"/>
      <c r="E77" s="26" t="n"/>
      <c r="F77" s="26" t="n"/>
      <c r="G77" s="26" t="n"/>
      <c r="H77" s="26" t="n"/>
    </row>
    <row r="78">
      <c r="A78" s="26" t="n"/>
      <c r="B78" s="26" t="n"/>
      <c r="C78" s="26" t="n"/>
      <c r="D78" s="26" t="n"/>
      <c r="E78" s="26" t="n"/>
      <c r="F78" s="26" t="n"/>
      <c r="G78" s="26" t="n"/>
      <c r="H78" s="26" t="n"/>
    </row>
    <row r="79">
      <c r="A79" s="26" t="n"/>
      <c r="B79" s="26" t="n"/>
      <c r="C79" s="26" t="n"/>
      <c r="D79" s="26" t="n"/>
      <c r="E79" s="26" t="n"/>
      <c r="F79" s="26" t="n"/>
      <c r="G79" s="26" t="n"/>
      <c r="H79" s="26" t="n"/>
    </row>
    <row r="80">
      <c r="A80" s="26" t="n"/>
      <c r="B80" s="26" t="n"/>
      <c r="C80" s="26" t="n"/>
      <c r="D80" s="26" t="n"/>
      <c r="E80" s="26" t="n"/>
      <c r="F80" s="26" t="n"/>
      <c r="G80" s="26" t="n"/>
      <c r="H80" s="26" t="n"/>
    </row>
    <row r="81">
      <c r="A81" s="26" t="n"/>
      <c r="B81" s="26" t="n"/>
      <c r="C81" s="26" t="n"/>
      <c r="D81" s="26" t="n"/>
      <c r="E81" s="26" t="n"/>
      <c r="F81" s="26" t="n"/>
      <c r="G81" s="26" t="n"/>
      <c r="H81" s="26" t="n"/>
    </row>
    <row r="82">
      <c r="A82" s="26" t="n"/>
      <c r="B82" s="26" t="n"/>
      <c r="C82" s="26" t="n"/>
      <c r="D82" s="26" t="n"/>
      <c r="E82" s="26" t="n"/>
      <c r="F82" s="26" t="n"/>
      <c r="G82" s="26" t="n"/>
      <c r="H82" s="26" t="n"/>
    </row>
    <row r="83">
      <c r="A83" s="26" t="n"/>
      <c r="B83" s="26" t="n"/>
      <c r="C83" s="26" t="n"/>
      <c r="D83" s="26" t="n"/>
      <c r="E83" s="26" t="n"/>
      <c r="F83" s="26" t="n"/>
      <c r="G83" s="26" t="n"/>
      <c r="H83" s="26" t="n"/>
    </row>
    <row r="84">
      <c r="A84" s="26" t="n"/>
      <c r="B84" s="26" t="n"/>
      <c r="C84" s="26" t="n"/>
      <c r="D84" s="26" t="n"/>
      <c r="E84" s="26" t="n"/>
      <c r="F84" s="26" t="n"/>
      <c r="G84" s="26" t="n"/>
      <c r="H84" s="26" t="n"/>
    </row>
    <row r="85">
      <c r="A85" s="26" t="n"/>
      <c r="B85" s="26" t="n"/>
      <c r="C85" s="26" t="n"/>
      <c r="D85" s="26" t="n"/>
      <c r="E85" s="26" t="n"/>
      <c r="F85" s="26" t="n"/>
      <c r="G85" s="26" t="n"/>
      <c r="H85" s="26" t="n"/>
    </row>
    <row r="86">
      <c r="A86" s="26" t="n"/>
      <c r="B86" s="26" t="n"/>
      <c r="C86" s="26" t="n"/>
      <c r="D86" s="26" t="n"/>
      <c r="E86" s="26" t="n"/>
      <c r="F86" s="26" t="n"/>
      <c r="G86" s="26" t="n"/>
      <c r="H86" s="26" t="n"/>
    </row>
    <row r="87">
      <c r="A87" s="26" t="n"/>
      <c r="B87" s="26" t="n"/>
      <c r="C87" s="26" t="n"/>
      <c r="D87" s="26" t="n"/>
      <c r="E87" s="26" t="n"/>
      <c r="F87" s="26" t="n"/>
      <c r="G87" s="26" t="n"/>
      <c r="H87" s="26" t="n"/>
    </row>
    <row r="88">
      <c r="A88" s="26" t="n"/>
      <c r="B88" s="26" t="n"/>
      <c r="C88" s="26" t="n"/>
      <c r="D88" s="26" t="n"/>
      <c r="E88" s="26" t="n"/>
      <c r="F88" s="26" t="n"/>
      <c r="G88" s="26" t="n"/>
      <c r="H88" s="26" t="n"/>
    </row>
    <row r="89">
      <c r="A89" s="26" t="n"/>
      <c r="B89" s="26" t="n"/>
      <c r="C89" s="26" t="n"/>
      <c r="D89" s="26" t="n"/>
      <c r="E89" s="26" t="n"/>
      <c r="F89" s="26" t="n"/>
      <c r="G89" s="26" t="n"/>
      <c r="H89" s="26" t="n"/>
    </row>
    <row r="90">
      <c r="A90" s="26" t="n"/>
      <c r="B90" s="26" t="n"/>
      <c r="C90" s="26" t="n"/>
      <c r="D90" s="26" t="n"/>
      <c r="E90" s="26" t="n"/>
      <c r="F90" s="26" t="n"/>
      <c r="G90" s="26" t="n"/>
      <c r="H90" s="26" t="n"/>
    </row>
    <row r="91">
      <c r="A91" s="26" t="n"/>
      <c r="B91" s="26" t="n"/>
      <c r="C91" s="26" t="n"/>
      <c r="D91" s="26" t="n"/>
      <c r="E91" s="26" t="n"/>
      <c r="F91" s="26" t="n"/>
      <c r="G91" s="26" t="n"/>
      <c r="H91" s="26" t="n"/>
    </row>
    <row r="92">
      <c r="A92" s="26" t="n"/>
      <c r="B92" s="26" t="n"/>
      <c r="C92" s="26" t="n"/>
      <c r="D92" s="26" t="n"/>
      <c r="E92" s="26" t="n"/>
      <c r="F92" s="26" t="n"/>
      <c r="G92" s="26" t="n"/>
      <c r="H92" s="26" t="n"/>
    </row>
    <row r="93">
      <c r="A93" s="26" t="n"/>
      <c r="B93" s="26" t="n"/>
      <c r="C93" s="26" t="n"/>
      <c r="D93" s="26" t="n"/>
      <c r="E93" s="26" t="n"/>
      <c r="F93" s="26" t="n"/>
      <c r="G93" s="26" t="n"/>
      <c r="H93" s="26" t="n"/>
    </row>
    <row r="94">
      <c r="A94" s="26" t="n"/>
      <c r="B94" s="26" t="n"/>
      <c r="C94" s="26" t="n"/>
      <c r="D94" s="26" t="n"/>
      <c r="E94" s="26" t="n"/>
      <c r="F94" s="26" t="n"/>
      <c r="G94" s="26" t="n"/>
      <c r="H94" s="26" t="n"/>
    </row>
    <row r="95">
      <c r="A95" s="26" t="n"/>
      <c r="B95" s="26" t="n"/>
      <c r="C95" s="26" t="n"/>
      <c r="D95" s="26" t="n"/>
      <c r="E95" s="26" t="n"/>
      <c r="F95" s="26" t="n"/>
      <c r="G95" s="26" t="n"/>
      <c r="H95" s="26" t="n"/>
    </row>
    <row r="96">
      <c r="A96" s="26" t="n"/>
      <c r="B96" s="26" t="n"/>
      <c r="C96" s="26" t="n"/>
      <c r="D96" s="26" t="n"/>
      <c r="E96" s="26" t="n"/>
      <c r="F96" s="26" t="n"/>
      <c r="G96" s="26" t="n"/>
      <c r="H96" s="26" t="n"/>
    </row>
    <row r="97">
      <c r="A97" s="26" t="n"/>
      <c r="B97" s="26" t="n"/>
      <c r="C97" s="26" t="n"/>
      <c r="D97" s="26" t="n"/>
      <c r="E97" s="26" t="n"/>
      <c r="F97" s="26" t="n"/>
      <c r="G97" s="26" t="n"/>
      <c r="H97" s="26" t="n"/>
    </row>
    <row r="98">
      <c r="A98" s="26" t="n"/>
      <c r="B98" s="26" t="n"/>
      <c r="C98" s="26" t="n"/>
      <c r="D98" s="26" t="n"/>
      <c r="E98" s="26" t="n"/>
      <c r="F98" s="26" t="n"/>
      <c r="G98" s="26" t="n"/>
      <c r="H98" s="26" t="n"/>
    </row>
    <row r="99">
      <c r="A99" s="26" t="n"/>
      <c r="B99" s="26" t="n"/>
      <c r="C99" s="26" t="n"/>
      <c r="D99" s="26" t="n"/>
      <c r="E99" s="26" t="n"/>
      <c r="F99" s="26" t="n"/>
      <c r="G99" s="26" t="n"/>
      <c r="H99" s="26" t="n"/>
    </row>
    <row r="100">
      <c r="A100" s="26" t="n"/>
      <c r="B100" s="26" t="n"/>
      <c r="C100" s="26" t="n"/>
      <c r="D100" s="26" t="n"/>
      <c r="E100" s="26" t="n"/>
      <c r="F100" s="26" t="n"/>
      <c r="G100" s="26" t="n"/>
      <c r="H100" s="26" t="n"/>
    </row>
    <row r="101">
      <c r="A101" s="26" t="n"/>
      <c r="B101" s="26" t="n"/>
      <c r="C101" s="26" t="n"/>
      <c r="D101" s="26" t="n"/>
      <c r="E101" s="26" t="n"/>
      <c r="F101" s="26" t="n"/>
      <c r="G101" s="26" t="n"/>
      <c r="H101" s="26" t="n"/>
    </row>
    <row r="102">
      <c r="A102" s="26" t="n"/>
      <c r="B102" s="26" t="n"/>
      <c r="C102" s="26" t="n"/>
      <c r="D102" s="26" t="n"/>
      <c r="E102" s="26" t="n"/>
      <c r="F102" s="26" t="n"/>
      <c r="G102" s="26" t="n"/>
      <c r="H102" s="26" t="n"/>
    </row>
    <row r="103">
      <c r="A103" s="26" t="n"/>
      <c r="B103" s="26" t="n"/>
      <c r="C103" s="26" t="n"/>
      <c r="D103" s="26" t="n"/>
      <c r="E103" s="26" t="n"/>
      <c r="F103" s="26" t="n"/>
      <c r="G103" s="26" t="n"/>
      <c r="H103" s="26" t="n"/>
    </row>
    <row r="104">
      <c r="A104" s="26" t="n"/>
      <c r="B104" s="26" t="n"/>
      <c r="C104" s="26" t="n"/>
      <c r="D104" s="26" t="n"/>
      <c r="E104" s="26" t="n"/>
      <c r="F104" s="26" t="n"/>
      <c r="G104" s="26" t="n"/>
      <c r="H104" s="26" t="n"/>
    </row>
    <row r="105">
      <c r="A105" s="26" t="n"/>
      <c r="B105" s="26" t="n"/>
      <c r="C105" s="26" t="n"/>
      <c r="D105" s="26" t="n"/>
      <c r="E105" s="26" t="n"/>
      <c r="F105" s="26" t="n"/>
      <c r="G105" s="26" t="n"/>
      <c r="H105" s="26"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40" customWidth="1" min="3" max="3"/>
    <col width="15" customWidth="1" min="4" max="4"/>
    <col width="25" customWidth="1" min="5" max="5"/>
    <col width="15" customWidth="1" min="6" max="6"/>
    <col width="15" customWidth="1" min="7" max="7"/>
    <col width="12" customWidth="1" min="8" max="8"/>
    <col width="12" customWidth="1" min="9" max="9"/>
    <col width="35" customWidth="1" min="10" max="10"/>
    <col width="35" customWidth="1" min="11" max="11"/>
    <col width="15" customWidth="1" min="12" max="12"/>
    <col width="25" customWidth="1" min="13" max="13"/>
  </cols>
  <sheetData>
    <row r="1">
      <c r="A1" s="11" t="inlineStr">
        <is>
          <t>ACTION ITEMS</t>
        </is>
      </c>
    </row>
    <row r="2">
      <c r="A2" s="12" t="inlineStr">
        <is>
          <t>Remediation tracking for identified gaps</t>
        </is>
      </c>
    </row>
    <row r="4">
      <c r="A4" s="13" t="inlineStr">
        <is>
          <t>Action ID</t>
        </is>
      </c>
      <c r="B4" s="13" t="inlineStr">
        <is>
          <t>Related Gap ID</t>
        </is>
      </c>
      <c r="C4" s="13" t="inlineStr">
        <is>
          <t>Action Description</t>
        </is>
      </c>
      <c r="D4" s="13" t="inlineStr">
        <is>
          <t>Priority</t>
        </is>
      </c>
      <c r="E4" s="13" t="inlineStr">
        <is>
          <t>Owner</t>
        </is>
      </c>
      <c r="F4" s="13" t="inlineStr">
        <is>
          <t>Target Date</t>
        </is>
      </c>
      <c r="G4" s="13" t="inlineStr">
        <is>
          <t>Status</t>
        </is>
      </c>
      <c r="H4" s="13" t="inlineStr">
        <is>
          <t>Progress %</t>
        </is>
      </c>
      <c r="I4" s="13" t="inlineStr">
        <is>
          <t>Last Update Date</t>
        </is>
      </c>
      <c r="J4" s="13" t="inlineStr">
        <is>
          <t>Last Update Notes</t>
        </is>
      </c>
      <c r="K4" s="13" t="inlineStr">
        <is>
          <t>Blocking Issues</t>
        </is>
      </c>
      <c r="L4" s="13" t="inlineStr">
        <is>
          <t>Escalation Required</t>
        </is>
      </c>
      <c r="M4" s="13" t="inlineStr">
        <is>
          <t>Escalation To</t>
        </is>
      </c>
    </row>
    <row r="5">
      <c r="A5" s="14" t="inlineStr">
        <is>
          <t>ACT-EXAMPLE</t>
        </is>
      </c>
      <c r="B5" s="14" t="inlineStr">
        <is>
          <t>GAP-EXAMPLE</t>
        </is>
      </c>
      <c r="C5" s="14" t="inlineStr">
        <is>
          <t>Schedule annual review and update policy (example)</t>
        </is>
      </c>
      <c r="D5" s="14" t="inlineStr">
        <is>
          <t>High</t>
        </is>
      </c>
      <c r="E5" s="14" t="inlineStr">
        <is>
          <t>Policy Owner</t>
        </is>
      </c>
      <c r="F5" s="27" t="inlineStr">
        <is>
          <t>30.06.2026</t>
        </is>
      </c>
      <c r="G5" s="14" t="inlineStr">
        <is>
          <t>Not-Started</t>
        </is>
      </c>
      <c r="H5" s="15" t="n">
        <v>0</v>
      </c>
      <c r="I5" s="27" t="inlineStr">
        <is>
          <t>01.01.2026</t>
        </is>
      </c>
      <c r="J5" s="14" t="inlineStr">
        <is>
          <t>Action created (example)</t>
        </is>
      </c>
      <c r="K5" s="14" t="inlineStr">
        <is>
          <t>None</t>
        </is>
      </c>
      <c r="L5" s="14" t="inlineStr">
        <is>
          <t>No</t>
        </is>
      </c>
      <c r="M5" s="14" t="inlineStr"/>
    </row>
    <row r="6">
      <c r="A6" s="19">
        <f>IF('Gap Analysis'!A6="","",SUBSTITUTE('Gap Analysis'!A6,"GAP","ACT"))</f>
        <v/>
      </c>
      <c r="B6" s="19">
        <f>'Gap Analysis'!A6</f>
        <v/>
      </c>
      <c r="C6" s="19">
        <f>IF('Gap Analysis'!I6&lt;&gt;"",'Gap Analysis'!I6,"")</f>
        <v/>
      </c>
      <c r="D6" s="19">
        <f>IF('Gap Analysis'!F6&lt;&gt;"",'Gap Analysis'!F6,"")</f>
        <v/>
      </c>
      <c r="E6" s="19">
        <f>IF('Gap Analysis'!J6&lt;&gt;"",'Gap Analysis'!J6,"")</f>
        <v/>
      </c>
      <c r="F6" s="28">
        <f>IF('Gap Analysis'!K6&lt;&gt;"",'Gap Analysis'!K6,"")</f>
        <v/>
      </c>
      <c r="G6" s="19">
        <f>IF('Gap Analysis'!N6&lt;&gt;"",'Gap Analysis'!N6,"")</f>
        <v/>
      </c>
      <c r="H6" s="18" t="n"/>
      <c r="I6" s="17" t="n"/>
      <c r="J6" s="16" t="n"/>
      <c r="K6" s="16" t="n"/>
      <c r="L6" s="16" t="n"/>
      <c r="M6" s="16" t="n"/>
    </row>
    <row r="7">
      <c r="A7" s="19">
        <f>IF('Gap Analysis'!A7="","",SUBSTITUTE('Gap Analysis'!A7,"GAP","ACT"))</f>
        <v/>
      </c>
      <c r="B7" s="19">
        <f>'Gap Analysis'!A7</f>
        <v/>
      </c>
      <c r="C7" s="19">
        <f>IF('Gap Analysis'!I7&lt;&gt;"",'Gap Analysis'!I7,"")</f>
        <v/>
      </c>
      <c r="D7" s="19">
        <f>IF('Gap Analysis'!F7&lt;&gt;"",'Gap Analysis'!F7,"")</f>
        <v/>
      </c>
      <c r="E7" s="19">
        <f>IF('Gap Analysis'!J7&lt;&gt;"",'Gap Analysis'!J7,"")</f>
        <v/>
      </c>
      <c r="F7" s="28">
        <f>IF('Gap Analysis'!K7&lt;&gt;"",'Gap Analysis'!K7,"")</f>
        <v/>
      </c>
      <c r="G7" s="19">
        <f>IF('Gap Analysis'!N7&lt;&gt;"",'Gap Analysis'!N7,"")</f>
        <v/>
      </c>
      <c r="H7" s="18" t="n"/>
      <c r="I7" s="17" t="n"/>
      <c r="J7" s="16" t="n"/>
      <c r="K7" s="16" t="n"/>
      <c r="L7" s="16" t="n"/>
      <c r="M7" s="16" t="n"/>
    </row>
    <row r="8">
      <c r="A8" s="19">
        <f>IF('Gap Analysis'!A8="","",SUBSTITUTE('Gap Analysis'!A8,"GAP","ACT"))</f>
        <v/>
      </c>
      <c r="B8" s="19">
        <f>'Gap Analysis'!A8</f>
        <v/>
      </c>
      <c r="C8" s="19">
        <f>IF('Gap Analysis'!I8&lt;&gt;"",'Gap Analysis'!I8,"")</f>
        <v/>
      </c>
      <c r="D8" s="19">
        <f>IF('Gap Analysis'!F8&lt;&gt;"",'Gap Analysis'!F8,"")</f>
        <v/>
      </c>
      <c r="E8" s="19">
        <f>IF('Gap Analysis'!J8&lt;&gt;"",'Gap Analysis'!J8,"")</f>
        <v/>
      </c>
      <c r="F8" s="28">
        <f>IF('Gap Analysis'!K8&lt;&gt;"",'Gap Analysis'!K8,"")</f>
        <v/>
      </c>
      <c r="G8" s="19">
        <f>IF('Gap Analysis'!N8&lt;&gt;"",'Gap Analysis'!N8,"")</f>
        <v/>
      </c>
      <c r="H8" s="18" t="n"/>
      <c r="I8" s="17" t="n"/>
      <c r="J8" s="16" t="n"/>
      <c r="K8" s="16" t="n"/>
      <c r="L8" s="16" t="n"/>
      <c r="M8" s="16" t="n"/>
    </row>
    <row r="9">
      <c r="A9" s="19">
        <f>IF('Gap Analysis'!A9="","",SUBSTITUTE('Gap Analysis'!A9,"GAP","ACT"))</f>
        <v/>
      </c>
      <c r="B9" s="19">
        <f>'Gap Analysis'!A9</f>
        <v/>
      </c>
      <c r="C9" s="19">
        <f>IF('Gap Analysis'!I9&lt;&gt;"",'Gap Analysis'!I9,"")</f>
        <v/>
      </c>
      <c r="D9" s="19">
        <f>IF('Gap Analysis'!F9&lt;&gt;"",'Gap Analysis'!F9,"")</f>
        <v/>
      </c>
      <c r="E9" s="19">
        <f>IF('Gap Analysis'!J9&lt;&gt;"",'Gap Analysis'!J9,"")</f>
        <v/>
      </c>
      <c r="F9" s="28">
        <f>IF('Gap Analysis'!K9&lt;&gt;"",'Gap Analysis'!K9,"")</f>
        <v/>
      </c>
      <c r="G9" s="19">
        <f>IF('Gap Analysis'!N9&lt;&gt;"",'Gap Analysis'!N9,"")</f>
        <v/>
      </c>
      <c r="H9" s="18" t="n"/>
      <c r="I9" s="17" t="n"/>
      <c r="J9" s="16" t="n"/>
      <c r="K9" s="16" t="n"/>
      <c r="L9" s="16" t="n"/>
      <c r="M9" s="16" t="n"/>
    </row>
    <row r="10">
      <c r="A10" s="19">
        <f>IF('Gap Analysis'!A10="","",SUBSTITUTE('Gap Analysis'!A10,"GAP","ACT"))</f>
        <v/>
      </c>
      <c r="B10" s="19">
        <f>'Gap Analysis'!A10</f>
        <v/>
      </c>
      <c r="C10" s="19">
        <f>IF('Gap Analysis'!I10&lt;&gt;"",'Gap Analysis'!I10,"")</f>
        <v/>
      </c>
      <c r="D10" s="19">
        <f>IF('Gap Analysis'!F10&lt;&gt;"",'Gap Analysis'!F10,"")</f>
        <v/>
      </c>
      <c r="E10" s="19">
        <f>IF('Gap Analysis'!J10&lt;&gt;"",'Gap Analysis'!J10,"")</f>
        <v/>
      </c>
      <c r="F10" s="28">
        <f>IF('Gap Analysis'!K10&lt;&gt;"",'Gap Analysis'!K10,"")</f>
        <v/>
      </c>
      <c r="G10" s="19">
        <f>IF('Gap Analysis'!N10&lt;&gt;"",'Gap Analysis'!N10,"")</f>
        <v/>
      </c>
      <c r="H10" s="18" t="n"/>
      <c r="I10" s="17" t="n"/>
      <c r="J10" s="16" t="n"/>
      <c r="K10" s="16" t="n"/>
      <c r="L10" s="16" t="n"/>
      <c r="M10" s="16" t="n"/>
    </row>
    <row r="11">
      <c r="A11" s="19">
        <f>IF('Gap Analysis'!A11="","",SUBSTITUTE('Gap Analysis'!A11,"GAP","ACT"))</f>
        <v/>
      </c>
      <c r="B11" s="19">
        <f>'Gap Analysis'!A11</f>
        <v/>
      </c>
      <c r="C11" s="19">
        <f>IF('Gap Analysis'!I11&lt;&gt;"",'Gap Analysis'!I11,"")</f>
        <v/>
      </c>
      <c r="D11" s="19">
        <f>IF('Gap Analysis'!F11&lt;&gt;"",'Gap Analysis'!F11,"")</f>
        <v/>
      </c>
      <c r="E11" s="19">
        <f>IF('Gap Analysis'!J11&lt;&gt;"",'Gap Analysis'!J11,"")</f>
        <v/>
      </c>
      <c r="F11" s="28">
        <f>IF('Gap Analysis'!K11&lt;&gt;"",'Gap Analysis'!K11,"")</f>
        <v/>
      </c>
      <c r="G11" s="19">
        <f>IF('Gap Analysis'!N11&lt;&gt;"",'Gap Analysis'!N11,"")</f>
        <v/>
      </c>
      <c r="H11" s="18" t="n"/>
      <c r="I11" s="17" t="n"/>
      <c r="J11" s="16" t="n"/>
      <c r="K11" s="16" t="n"/>
      <c r="L11" s="16" t="n"/>
      <c r="M11" s="16" t="n"/>
    </row>
    <row r="12">
      <c r="A12" s="19">
        <f>IF('Gap Analysis'!A12="","",SUBSTITUTE('Gap Analysis'!A12,"GAP","ACT"))</f>
        <v/>
      </c>
      <c r="B12" s="19">
        <f>'Gap Analysis'!A12</f>
        <v/>
      </c>
      <c r="C12" s="19">
        <f>IF('Gap Analysis'!I12&lt;&gt;"",'Gap Analysis'!I12,"")</f>
        <v/>
      </c>
      <c r="D12" s="19">
        <f>IF('Gap Analysis'!F12&lt;&gt;"",'Gap Analysis'!F12,"")</f>
        <v/>
      </c>
      <c r="E12" s="19">
        <f>IF('Gap Analysis'!J12&lt;&gt;"",'Gap Analysis'!J12,"")</f>
        <v/>
      </c>
      <c r="F12" s="28">
        <f>IF('Gap Analysis'!K12&lt;&gt;"",'Gap Analysis'!K12,"")</f>
        <v/>
      </c>
      <c r="G12" s="19">
        <f>IF('Gap Analysis'!N12&lt;&gt;"",'Gap Analysis'!N12,"")</f>
        <v/>
      </c>
      <c r="H12" s="18" t="n"/>
      <c r="I12" s="17" t="n"/>
      <c r="J12" s="16" t="n"/>
      <c r="K12" s="16" t="n"/>
      <c r="L12" s="16" t="n"/>
      <c r="M12" s="16" t="n"/>
    </row>
    <row r="13">
      <c r="A13" s="19">
        <f>IF('Gap Analysis'!A13="","",SUBSTITUTE('Gap Analysis'!A13,"GAP","ACT"))</f>
        <v/>
      </c>
      <c r="B13" s="19">
        <f>'Gap Analysis'!A13</f>
        <v/>
      </c>
      <c r="C13" s="19">
        <f>IF('Gap Analysis'!I13&lt;&gt;"",'Gap Analysis'!I13,"")</f>
        <v/>
      </c>
      <c r="D13" s="19">
        <f>IF('Gap Analysis'!F13&lt;&gt;"",'Gap Analysis'!F13,"")</f>
        <v/>
      </c>
      <c r="E13" s="19">
        <f>IF('Gap Analysis'!J13&lt;&gt;"",'Gap Analysis'!J13,"")</f>
        <v/>
      </c>
      <c r="F13" s="28">
        <f>IF('Gap Analysis'!K13&lt;&gt;"",'Gap Analysis'!K13,"")</f>
        <v/>
      </c>
      <c r="G13" s="19">
        <f>IF('Gap Analysis'!N13&lt;&gt;"",'Gap Analysis'!N13,"")</f>
        <v/>
      </c>
      <c r="H13" s="18" t="n"/>
      <c r="I13" s="17" t="n"/>
      <c r="J13" s="16" t="n"/>
      <c r="K13" s="16" t="n"/>
      <c r="L13" s="16" t="n"/>
      <c r="M13" s="16" t="n"/>
    </row>
    <row r="14">
      <c r="A14" s="19">
        <f>IF('Gap Analysis'!A14="","",SUBSTITUTE('Gap Analysis'!A14,"GAP","ACT"))</f>
        <v/>
      </c>
      <c r="B14" s="19">
        <f>'Gap Analysis'!A14</f>
        <v/>
      </c>
      <c r="C14" s="19">
        <f>IF('Gap Analysis'!I14&lt;&gt;"",'Gap Analysis'!I14,"")</f>
        <v/>
      </c>
      <c r="D14" s="19">
        <f>IF('Gap Analysis'!F14&lt;&gt;"",'Gap Analysis'!F14,"")</f>
        <v/>
      </c>
      <c r="E14" s="19">
        <f>IF('Gap Analysis'!J14&lt;&gt;"",'Gap Analysis'!J14,"")</f>
        <v/>
      </c>
      <c r="F14" s="28">
        <f>IF('Gap Analysis'!K14&lt;&gt;"",'Gap Analysis'!K14,"")</f>
        <v/>
      </c>
      <c r="G14" s="19">
        <f>IF('Gap Analysis'!N14&lt;&gt;"",'Gap Analysis'!N14,"")</f>
        <v/>
      </c>
      <c r="H14" s="18" t="n"/>
      <c r="I14" s="17" t="n"/>
      <c r="J14" s="16" t="n"/>
      <c r="K14" s="16" t="n"/>
      <c r="L14" s="16" t="n"/>
      <c r="M14" s="16" t="n"/>
    </row>
    <row r="15">
      <c r="A15" s="19">
        <f>IF('Gap Analysis'!A15="","",SUBSTITUTE('Gap Analysis'!A15,"GAP","ACT"))</f>
        <v/>
      </c>
      <c r="B15" s="19">
        <f>'Gap Analysis'!A15</f>
        <v/>
      </c>
      <c r="C15" s="19">
        <f>IF('Gap Analysis'!I15&lt;&gt;"",'Gap Analysis'!I15,"")</f>
        <v/>
      </c>
      <c r="D15" s="19">
        <f>IF('Gap Analysis'!F15&lt;&gt;"",'Gap Analysis'!F15,"")</f>
        <v/>
      </c>
      <c r="E15" s="19">
        <f>IF('Gap Analysis'!J15&lt;&gt;"",'Gap Analysis'!J15,"")</f>
        <v/>
      </c>
      <c r="F15" s="28">
        <f>IF('Gap Analysis'!K15&lt;&gt;"",'Gap Analysis'!K15,"")</f>
        <v/>
      </c>
      <c r="G15" s="19">
        <f>IF('Gap Analysis'!N15&lt;&gt;"",'Gap Analysis'!N15,"")</f>
        <v/>
      </c>
      <c r="H15" s="18" t="n"/>
      <c r="I15" s="17" t="n"/>
      <c r="J15" s="16" t="n"/>
      <c r="K15" s="16" t="n"/>
      <c r="L15" s="16" t="n"/>
      <c r="M15" s="16" t="n"/>
    </row>
    <row r="16">
      <c r="A16" s="19">
        <f>IF('Gap Analysis'!A16="","",SUBSTITUTE('Gap Analysis'!A16,"GAP","ACT"))</f>
        <v/>
      </c>
      <c r="B16" s="19">
        <f>'Gap Analysis'!A16</f>
        <v/>
      </c>
      <c r="C16" s="19">
        <f>IF('Gap Analysis'!I16&lt;&gt;"",'Gap Analysis'!I16,"")</f>
        <v/>
      </c>
      <c r="D16" s="19">
        <f>IF('Gap Analysis'!F16&lt;&gt;"",'Gap Analysis'!F16,"")</f>
        <v/>
      </c>
      <c r="E16" s="19">
        <f>IF('Gap Analysis'!J16&lt;&gt;"",'Gap Analysis'!J16,"")</f>
        <v/>
      </c>
      <c r="F16" s="28">
        <f>IF('Gap Analysis'!K16&lt;&gt;"",'Gap Analysis'!K16,"")</f>
        <v/>
      </c>
      <c r="G16" s="19">
        <f>IF('Gap Analysis'!N16&lt;&gt;"",'Gap Analysis'!N16,"")</f>
        <v/>
      </c>
      <c r="H16" s="18" t="n"/>
      <c r="I16" s="17" t="n"/>
      <c r="J16" s="16" t="n"/>
      <c r="K16" s="16" t="n"/>
      <c r="L16" s="16" t="n"/>
      <c r="M16" s="16" t="n"/>
    </row>
    <row r="17">
      <c r="A17" s="19">
        <f>IF('Gap Analysis'!A17="","",SUBSTITUTE('Gap Analysis'!A17,"GAP","ACT"))</f>
        <v/>
      </c>
      <c r="B17" s="19">
        <f>'Gap Analysis'!A17</f>
        <v/>
      </c>
      <c r="C17" s="19">
        <f>IF('Gap Analysis'!I17&lt;&gt;"",'Gap Analysis'!I17,"")</f>
        <v/>
      </c>
      <c r="D17" s="19">
        <f>IF('Gap Analysis'!F17&lt;&gt;"",'Gap Analysis'!F17,"")</f>
        <v/>
      </c>
      <c r="E17" s="19">
        <f>IF('Gap Analysis'!J17&lt;&gt;"",'Gap Analysis'!J17,"")</f>
        <v/>
      </c>
      <c r="F17" s="28">
        <f>IF('Gap Analysis'!K17&lt;&gt;"",'Gap Analysis'!K17,"")</f>
        <v/>
      </c>
      <c r="G17" s="19">
        <f>IF('Gap Analysis'!N17&lt;&gt;"",'Gap Analysis'!N17,"")</f>
        <v/>
      </c>
      <c r="H17" s="18" t="n"/>
      <c r="I17" s="17" t="n"/>
      <c r="J17" s="16" t="n"/>
      <c r="K17" s="16" t="n"/>
      <c r="L17" s="16" t="n"/>
      <c r="M17" s="16" t="n"/>
    </row>
    <row r="18">
      <c r="A18" s="19">
        <f>IF('Gap Analysis'!A18="","",SUBSTITUTE('Gap Analysis'!A18,"GAP","ACT"))</f>
        <v/>
      </c>
      <c r="B18" s="19">
        <f>'Gap Analysis'!A18</f>
        <v/>
      </c>
      <c r="C18" s="19">
        <f>IF('Gap Analysis'!I18&lt;&gt;"",'Gap Analysis'!I18,"")</f>
        <v/>
      </c>
      <c r="D18" s="19">
        <f>IF('Gap Analysis'!F18&lt;&gt;"",'Gap Analysis'!F18,"")</f>
        <v/>
      </c>
      <c r="E18" s="19">
        <f>IF('Gap Analysis'!J18&lt;&gt;"",'Gap Analysis'!J18,"")</f>
        <v/>
      </c>
      <c r="F18" s="28">
        <f>IF('Gap Analysis'!K18&lt;&gt;"",'Gap Analysis'!K18,"")</f>
        <v/>
      </c>
      <c r="G18" s="19">
        <f>IF('Gap Analysis'!N18&lt;&gt;"",'Gap Analysis'!N18,"")</f>
        <v/>
      </c>
      <c r="H18" s="18" t="n"/>
      <c r="I18" s="17" t="n"/>
      <c r="J18" s="16" t="n"/>
      <c r="K18" s="16" t="n"/>
      <c r="L18" s="16" t="n"/>
      <c r="M18" s="16" t="n"/>
    </row>
    <row r="19">
      <c r="A19" s="19">
        <f>IF('Gap Analysis'!A19="","",SUBSTITUTE('Gap Analysis'!A19,"GAP","ACT"))</f>
        <v/>
      </c>
      <c r="B19" s="19">
        <f>'Gap Analysis'!A19</f>
        <v/>
      </c>
      <c r="C19" s="19">
        <f>IF('Gap Analysis'!I19&lt;&gt;"",'Gap Analysis'!I19,"")</f>
        <v/>
      </c>
      <c r="D19" s="19">
        <f>IF('Gap Analysis'!F19&lt;&gt;"",'Gap Analysis'!F19,"")</f>
        <v/>
      </c>
      <c r="E19" s="19">
        <f>IF('Gap Analysis'!J19&lt;&gt;"",'Gap Analysis'!J19,"")</f>
        <v/>
      </c>
      <c r="F19" s="28">
        <f>IF('Gap Analysis'!K19&lt;&gt;"",'Gap Analysis'!K19,"")</f>
        <v/>
      </c>
      <c r="G19" s="19">
        <f>IF('Gap Analysis'!N19&lt;&gt;"",'Gap Analysis'!N19,"")</f>
        <v/>
      </c>
      <c r="H19" s="18" t="n"/>
      <c r="I19" s="17" t="n"/>
      <c r="J19" s="16" t="n"/>
      <c r="K19" s="16" t="n"/>
      <c r="L19" s="16" t="n"/>
      <c r="M19" s="16" t="n"/>
    </row>
    <row r="20">
      <c r="A20" s="19">
        <f>IF('Gap Analysis'!A20="","",SUBSTITUTE('Gap Analysis'!A20,"GAP","ACT"))</f>
        <v/>
      </c>
      <c r="B20" s="19">
        <f>'Gap Analysis'!A20</f>
        <v/>
      </c>
      <c r="C20" s="19">
        <f>IF('Gap Analysis'!I20&lt;&gt;"",'Gap Analysis'!I20,"")</f>
        <v/>
      </c>
      <c r="D20" s="19">
        <f>IF('Gap Analysis'!F20&lt;&gt;"",'Gap Analysis'!F20,"")</f>
        <v/>
      </c>
      <c r="E20" s="19">
        <f>IF('Gap Analysis'!J20&lt;&gt;"",'Gap Analysis'!J20,"")</f>
        <v/>
      </c>
      <c r="F20" s="28">
        <f>IF('Gap Analysis'!K20&lt;&gt;"",'Gap Analysis'!K20,"")</f>
        <v/>
      </c>
      <c r="G20" s="19">
        <f>IF('Gap Analysis'!N20&lt;&gt;"",'Gap Analysis'!N20,"")</f>
        <v/>
      </c>
      <c r="H20" s="18" t="n"/>
      <c r="I20" s="17" t="n"/>
      <c r="J20" s="16" t="n"/>
      <c r="K20" s="16" t="n"/>
      <c r="L20" s="16" t="n"/>
      <c r="M20" s="16" t="n"/>
    </row>
    <row r="21">
      <c r="A21" s="19">
        <f>IF('Gap Analysis'!A21="","",SUBSTITUTE('Gap Analysis'!A21,"GAP","ACT"))</f>
        <v/>
      </c>
      <c r="B21" s="19">
        <f>'Gap Analysis'!A21</f>
        <v/>
      </c>
      <c r="C21" s="19">
        <f>IF('Gap Analysis'!I21&lt;&gt;"",'Gap Analysis'!I21,"")</f>
        <v/>
      </c>
      <c r="D21" s="19">
        <f>IF('Gap Analysis'!F21&lt;&gt;"",'Gap Analysis'!F21,"")</f>
        <v/>
      </c>
      <c r="E21" s="19">
        <f>IF('Gap Analysis'!J21&lt;&gt;"",'Gap Analysis'!J21,"")</f>
        <v/>
      </c>
      <c r="F21" s="28">
        <f>IF('Gap Analysis'!K21&lt;&gt;"",'Gap Analysis'!K21,"")</f>
        <v/>
      </c>
      <c r="G21" s="19">
        <f>IF('Gap Analysis'!N21&lt;&gt;"",'Gap Analysis'!N21,"")</f>
        <v/>
      </c>
      <c r="H21" s="18" t="n"/>
      <c r="I21" s="17" t="n"/>
      <c r="J21" s="16" t="n"/>
      <c r="K21" s="16" t="n"/>
      <c r="L21" s="16" t="n"/>
      <c r="M21" s="16" t="n"/>
    </row>
    <row r="22">
      <c r="A22" s="19">
        <f>IF('Gap Analysis'!A22="","",SUBSTITUTE('Gap Analysis'!A22,"GAP","ACT"))</f>
        <v/>
      </c>
      <c r="B22" s="19">
        <f>'Gap Analysis'!A22</f>
        <v/>
      </c>
      <c r="C22" s="19">
        <f>IF('Gap Analysis'!I22&lt;&gt;"",'Gap Analysis'!I22,"")</f>
        <v/>
      </c>
      <c r="D22" s="19">
        <f>IF('Gap Analysis'!F22&lt;&gt;"",'Gap Analysis'!F22,"")</f>
        <v/>
      </c>
      <c r="E22" s="19">
        <f>IF('Gap Analysis'!J22&lt;&gt;"",'Gap Analysis'!J22,"")</f>
        <v/>
      </c>
      <c r="F22" s="28">
        <f>IF('Gap Analysis'!K22&lt;&gt;"",'Gap Analysis'!K22,"")</f>
        <v/>
      </c>
      <c r="G22" s="19">
        <f>IF('Gap Analysis'!N22&lt;&gt;"",'Gap Analysis'!N22,"")</f>
        <v/>
      </c>
      <c r="H22" s="18" t="n"/>
      <c r="I22" s="17" t="n"/>
      <c r="J22" s="16" t="n"/>
      <c r="K22" s="16" t="n"/>
      <c r="L22" s="16" t="n"/>
      <c r="M22" s="16" t="n"/>
    </row>
    <row r="23">
      <c r="A23" s="19">
        <f>IF('Gap Analysis'!A23="","",SUBSTITUTE('Gap Analysis'!A23,"GAP","ACT"))</f>
        <v/>
      </c>
      <c r="B23" s="19">
        <f>'Gap Analysis'!A23</f>
        <v/>
      </c>
      <c r="C23" s="19">
        <f>IF('Gap Analysis'!I23&lt;&gt;"",'Gap Analysis'!I23,"")</f>
        <v/>
      </c>
      <c r="D23" s="19">
        <f>IF('Gap Analysis'!F23&lt;&gt;"",'Gap Analysis'!F23,"")</f>
        <v/>
      </c>
      <c r="E23" s="19">
        <f>IF('Gap Analysis'!J23&lt;&gt;"",'Gap Analysis'!J23,"")</f>
        <v/>
      </c>
      <c r="F23" s="28">
        <f>IF('Gap Analysis'!K23&lt;&gt;"",'Gap Analysis'!K23,"")</f>
        <v/>
      </c>
      <c r="G23" s="19">
        <f>IF('Gap Analysis'!N23&lt;&gt;"",'Gap Analysis'!N23,"")</f>
        <v/>
      </c>
      <c r="H23" s="18" t="n"/>
      <c r="I23" s="17" t="n"/>
      <c r="J23" s="16" t="n"/>
      <c r="K23" s="16" t="n"/>
      <c r="L23" s="16" t="n"/>
      <c r="M23" s="16" t="n"/>
    </row>
    <row r="24">
      <c r="A24" s="19">
        <f>IF('Gap Analysis'!A24="","",SUBSTITUTE('Gap Analysis'!A24,"GAP","ACT"))</f>
        <v/>
      </c>
      <c r="B24" s="19">
        <f>'Gap Analysis'!A24</f>
        <v/>
      </c>
      <c r="C24" s="19">
        <f>IF('Gap Analysis'!I24&lt;&gt;"",'Gap Analysis'!I24,"")</f>
        <v/>
      </c>
      <c r="D24" s="19">
        <f>IF('Gap Analysis'!F24&lt;&gt;"",'Gap Analysis'!F24,"")</f>
        <v/>
      </c>
      <c r="E24" s="19">
        <f>IF('Gap Analysis'!J24&lt;&gt;"",'Gap Analysis'!J24,"")</f>
        <v/>
      </c>
      <c r="F24" s="28">
        <f>IF('Gap Analysis'!K24&lt;&gt;"",'Gap Analysis'!K24,"")</f>
        <v/>
      </c>
      <c r="G24" s="19">
        <f>IF('Gap Analysis'!N24&lt;&gt;"",'Gap Analysis'!N24,"")</f>
        <v/>
      </c>
      <c r="H24" s="18" t="n"/>
      <c r="I24" s="17" t="n"/>
      <c r="J24" s="16" t="n"/>
      <c r="K24" s="16" t="n"/>
      <c r="L24" s="16" t="n"/>
      <c r="M24" s="16" t="n"/>
    </row>
    <row r="25">
      <c r="A25" s="19">
        <f>IF('Gap Analysis'!A25="","",SUBSTITUTE('Gap Analysis'!A25,"GAP","ACT"))</f>
        <v/>
      </c>
      <c r="B25" s="19">
        <f>'Gap Analysis'!A25</f>
        <v/>
      </c>
      <c r="C25" s="19">
        <f>IF('Gap Analysis'!I25&lt;&gt;"",'Gap Analysis'!I25,"")</f>
        <v/>
      </c>
      <c r="D25" s="19">
        <f>IF('Gap Analysis'!F25&lt;&gt;"",'Gap Analysis'!F25,"")</f>
        <v/>
      </c>
      <c r="E25" s="19">
        <f>IF('Gap Analysis'!J25&lt;&gt;"",'Gap Analysis'!J25,"")</f>
        <v/>
      </c>
      <c r="F25" s="28">
        <f>IF('Gap Analysis'!K25&lt;&gt;"",'Gap Analysis'!K25,"")</f>
        <v/>
      </c>
      <c r="G25" s="19">
        <f>IF('Gap Analysis'!N25&lt;&gt;"",'Gap Analysis'!N25,"")</f>
        <v/>
      </c>
      <c r="H25" s="18" t="n"/>
      <c r="I25" s="17" t="n"/>
      <c r="J25" s="16" t="n"/>
      <c r="K25" s="16" t="n"/>
      <c r="L25" s="16" t="n"/>
      <c r="M25" s="16" t="n"/>
    </row>
    <row r="26">
      <c r="A26" s="19">
        <f>IF('Gap Analysis'!A26="","",SUBSTITUTE('Gap Analysis'!A26,"GAP","ACT"))</f>
        <v/>
      </c>
      <c r="B26" s="19">
        <f>'Gap Analysis'!A26</f>
        <v/>
      </c>
      <c r="C26" s="19">
        <f>IF('Gap Analysis'!I26&lt;&gt;"",'Gap Analysis'!I26,"")</f>
        <v/>
      </c>
      <c r="D26" s="19">
        <f>IF('Gap Analysis'!F26&lt;&gt;"",'Gap Analysis'!F26,"")</f>
        <v/>
      </c>
      <c r="E26" s="19">
        <f>IF('Gap Analysis'!J26&lt;&gt;"",'Gap Analysis'!J26,"")</f>
        <v/>
      </c>
      <c r="F26" s="28">
        <f>IF('Gap Analysis'!K26&lt;&gt;"",'Gap Analysis'!K26,"")</f>
        <v/>
      </c>
      <c r="G26" s="19">
        <f>IF('Gap Analysis'!N26&lt;&gt;"",'Gap Analysis'!N26,"")</f>
        <v/>
      </c>
      <c r="H26" s="18" t="n"/>
      <c r="I26" s="17" t="n"/>
      <c r="J26" s="16" t="n"/>
      <c r="K26" s="16" t="n"/>
      <c r="L26" s="16" t="n"/>
      <c r="M26" s="16" t="n"/>
    </row>
    <row r="27">
      <c r="A27" s="19">
        <f>IF('Gap Analysis'!A27="","",SUBSTITUTE('Gap Analysis'!A27,"GAP","ACT"))</f>
        <v/>
      </c>
      <c r="B27" s="19">
        <f>'Gap Analysis'!A27</f>
        <v/>
      </c>
      <c r="C27" s="19">
        <f>IF('Gap Analysis'!I27&lt;&gt;"",'Gap Analysis'!I27,"")</f>
        <v/>
      </c>
      <c r="D27" s="19">
        <f>IF('Gap Analysis'!F27&lt;&gt;"",'Gap Analysis'!F27,"")</f>
        <v/>
      </c>
      <c r="E27" s="19">
        <f>IF('Gap Analysis'!J27&lt;&gt;"",'Gap Analysis'!J27,"")</f>
        <v/>
      </c>
      <c r="F27" s="28">
        <f>IF('Gap Analysis'!K27&lt;&gt;"",'Gap Analysis'!K27,"")</f>
        <v/>
      </c>
      <c r="G27" s="19">
        <f>IF('Gap Analysis'!N27&lt;&gt;"",'Gap Analysis'!N27,"")</f>
        <v/>
      </c>
      <c r="H27" s="18" t="n"/>
      <c r="I27" s="17" t="n"/>
      <c r="J27" s="16" t="n"/>
      <c r="K27" s="16" t="n"/>
      <c r="L27" s="16" t="n"/>
      <c r="M27" s="16" t="n"/>
    </row>
    <row r="28">
      <c r="A28" s="19">
        <f>IF('Gap Analysis'!A28="","",SUBSTITUTE('Gap Analysis'!A28,"GAP","ACT"))</f>
        <v/>
      </c>
      <c r="B28" s="19">
        <f>'Gap Analysis'!A28</f>
        <v/>
      </c>
      <c r="C28" s="19">
        <f>IF('Gap Analysis'!I28&lt;&gt;"",'Gap Analysis'!I28,"")</f>
        <v/>
      </c>
      <c r="D28" s="19">
        <f>IF('Gap Analysis'!F28&lt;&gt;"",'Gap Analysis'!F28,"")</f>
        <v/>
      </c>
      <c r="E28" s="19">
        <f>IF('Gap Analysis'!J28&lt;&gt;"",'Gap Analysis'!J28,"")</f>
        <v/>
      </c>
      <c r="F28" s="28">
        <f>IF('Gap Analysis'!K28&lt;&gt;"",'Gap Analysis'!K28,"")</f>
        <v/>
      </c>
      <c r="G28" s="19">
        <f>IF('Gap Analysis'!N28&lt;&gt;"",'Gap Analysis'!N28,"")</f>
        <v/>
      </c>
      <c r="H28" s="18" t="n"/>
      <c r="I28" s="17" t="n"/>
      <c r="J28" s="16" t="n"/>
      <c r="K28" s="16" t="n"/>
      <c r="L28" s="16" t="n"/>
      <c r="M28" s="16" t="n"/>
    </row>
    <row r="29">
      <c r="A29" s="19">
        <f>IF('Gap Analysis'!A29="","",SUBSTITUTE('Gap Analysis'!A29,"GAP","ACT"))</f>
        <v/>
      </c>
      <c r="B29" s="19">
        <f>'Gap Analysis'!A29</f>
        <v/>
      </c>
      <c r="C29" s="19">
        <f>IF('Gap Analysis'!I29&lt;&gt;"",'Gap Analysis'!I29,"")</f>
        <v/>
      </c>
      <c r="D29" s="19">
        <f>IF('Gap Analysis'!F29&lt;&gt;"",'Gap Analysis'!F29,"")</f>
        <v/>
      </c>
      <c r="E29" s="19">
        <f>IF('Gap Analysis'!J29&lt;&gt;"",'Gap Analysis'!J29,"")</f>
        <v/>
      </c>
      <c r="F29" s="28">
        <f>IF('Gap Analysis'!K29&lt;&gt;"",'Gap Analysis'!K29,"")</f>
        <v/>
      </c>
      <c r="G29" s="19">
        <f>IF('Gap Analysis'!N29&lt;&gt;"",'Gap Analysis'!N29,"")</f>
        <v/>
      </c>
      <c r="H29" s="18" t="n"/>
      <c r="I29" s="17" t="n"/>
      <c r="J29" s="16" t="n"/>
      <c r="K29" s="16" t="n"/>
      <c r="L29" s="16" t="n"/>
      <c r="M29" s="16" t="n"/>
    </row>
    <row r="30">
      <c r="A30" s="19">
        <f>IF('Gap Analysis'!A30="","",SUBSTITUTE('Gap Analysis'!A30,"GAP","ACT"))</f>
        <v/>
      </c>
      <c r="B30" s="19">
        <f>'Gap Analysis'!A30</f>
        <v/>
      </c>
      <c r="C30" s="19">
        <f>IF('Gap Analysis'!I30&lt;&gt;"",'Gap Analysis'!I30,"")</f>
        <v/>
      </c>
      <c r="D30" s="19">
        <f>IF('Gap Analysis'!F30&lt;&gt;"",'Gap Analysis'!F30,"")</f>
        <v/>
      </c>
      <c r="E30" s="19">
        <f>IF('Gap Analysis'!J30&lt;&gt;"",'Gap Analysis'!J30,"")</f>
        <v/>
      </c>
      <c r="F30" s="28">
        <f>IF('Gap Analysis'!K30&lt;&gt;"",'Gap Analysis'!K30,"")</f>
        <v/>
      </c>
      <c r="G30" s="19">
        <f>IF('Gap Analysis'!N30&lt;&gt;"",'Gap Analysis'!N30,"")</f>
        <v/>
      </c>
      <c r="H30" s="18" t="n"/>
      <c r="I30" s="17" t="n"/>
      <c r="J30" s="16" t="n"/>
      <c r="K30" s="16" t="n"/>
      <c r="L30" s="16" t="n"/>
      <c r="M30" s="16" t="n"/>
    </row>
    <row r="31">
      <c r="A31" s="19">
        <f>IF('Gap Analysis'!A31="","",SUBSTITUTE('Gap Analysis'!A31,"GAP","ACT"))</f>
        <v/>
      </c>
      <c r="B31" s="19">
        <f>'Gap Analysis'!A31</f>
        <v/>
      </c>
      <c r="C31" s="19">
        <f>IF('Gap Analysis'!I31&lt;&gt;"",'Gap Analysis'!I31,"")</f>
        <v/>
      </c>
      <c r="D31" s="19">
        <f>IF('Gap Analysis'!F31&lt;&gt;"",'Gap Analysis'!F31,"")</f>
        <v/>
      </c>
      <c r="E31" s="19">
        <f>IF('Gap Analysis'!J31&lt;&gt;"",'Gap Analysis'!J31,"")</f>
        <v/>
      </c>
      <c r="F31" s="28">
        <f>IF('Gap Analysis'!K31&lt;&gt;"",'Gap Analysis'!K31,"")</f>
        <v/>
      </c>
      <c r="G31" s="19">
        <f>IF('Gap Analysis'!N31&lt;&gt;"",'Gap Analysis'!N31,"")</f>
        <v/>
      </c>
      <c r="H31" s="18" t="n"/>
      <c r="I31" s="17" t="n"/>
      <c r="J31" s="16" t="n"/>
      <c r="K31" s="16" t="n"/>
      <c r="L31" s="16" t="n"/>
      <c r="M31" s="16" t="n"/>
    </row>
    <row r="32">
      <c r="A32" s="19">
        <f>IF('Gap Analysis'!A32="","",SUBSTITUTE('Gap Analysis'!A32,"GAP","ACT"))</f>
        <v/>
      </c>
      <c r="B32" s="19">
        <f>'Gap Analysis'!A32</f>
        <v/>
      </c>
      <c r="C32" s="19">
        <f>IF('Gap Analysis'!I32&lt;&gt;"",'Gap Analysis'!I32,"")</f>
        <v/>
      </c>
      <c r="D32" s="19">
        <f>IF('Gap Analysis'!F32&lt;&gt;"",'Gap Analysis'!F32,"")</f>
        <v/>
      </c>
      <c r="E32" s="19">
        <f>IF('Gap Analysis'!J32&lt;&gt;"",'Gap Analysis'!J32,"")</f>
        <v/>
      </c>
      <c r="F32" s="28">
        <f>IF('Gap Analysis'!K32&lt;&gt;"",'Gap Analysis'!K32,"")</f>
        <v/>
      </c>
      <c r="G32" s="19">
        <f>IF('Gap Analysis'!N32&lt;&gt;"",'Gap Analysis'!N32,"")</f>
        <v/>
      </c>
      <c r="H32" s="18" t="n"/>
      <c r="I32" s="17" t="n"/>
      <c r="J32" s="16" t="n"/>
      <c r="K32" s="16" t="n"/>
      <c r="L32" s="16" t="n"/>
      <c r="M32" s="16" t="n"/>
    </row>
    <row r="33">
      <c r="A33" s="19">
        <f>IF('Gap Analysis'!A33="","",SUBSTITUTE('Gap Analysis'!A33,"GAP","ACT"))</f>
        <v/>
      </c>
      <c r="B33" s="19">
        <f>'Gap Analysis'!A33</f>
        <v/>
      </c>
      <c r="C33" s="19">
        <f>IF('Gap Analysis'!I33&lt;&gt;"",'Gap Analysis'!I33,"")</f>
        <v/>
      </c>
      <c r="D33" s="19">
        <f>IF('Gap Analysis'!F33&lt;&gt;"",'Gap Analysis'!F33,"")</f>
        <v/>
      </c>
      <c r="E33" s="19">
        <f>IF('Gap Analysis'!J33&lt;&gt;"",'Gap Analysis'!J33,"")</f>
        <v/>
      </c>
      <c r="F33" s="28">
        <f>IF('Gap Analysis'!K33&lt;&gt;"",'Gap Analysis'!K33,"")</f>
        <v/>
      </c>
      <c r="G33" s="19">
        <f>IF('Gap Analysis'!N33&lt;&gt;"",'Gap Analysis'!N33,"")</f>
        <v/>
      </c>
      <c r="H33" s="18" t="n"/>
      <c r="I33" s="17" t="n"/>
      <c r="J33" s="16" t="n"/>
      <c r="K33" s="16" t="n"/>
      <c r="L33" s="16" t="n"/>
      <c r="M33" s="16" t="n"/>
    </row>
    <row r="34">
      <c r="A34" s="19">
        <f>IF('Gap Analysis'!A34="","",SUBSTITUTE('Gap Analysis'!A34,"GAP","ACT"))</f>
        <v/>
      </c>
      <c r="B34" s="19">
        <f>'Gap Analysis'!A34</f>
        <v/>
      </c>
      <c r="C34" s="19">
        <f>IF('Gap Analysis'!I34&lt;&gt;"",'Gap Analysis'!I34,"")</f>
        <v/>
      </c>
      <c r="D34" s="19">
        <f>IF('Gap Analysis'!F34&lt;&gt;"",'Gap Analysis'!F34,"")</f>
        <v/>
      </c>
      <c r="E34" s="19">
        <f>IF('Gap Analysis'!J34&lt;&gt;"",'Gap Analysis'!J34,"")</f>
        <v/>
      </c>
      <c r="F34" s="28">
        <f>IF('Gap Analysis'!K34&lt;&gt;"",'Gap Analysis'!K34,"")</f>
        <v/>
      </c>
      <c r="G34" s="19">
        <f>IF('Gap Analysis'!N34&lt;&gt;"",'Gap Analysis'!N34,"")</f>
        <v/>
      </c>
      <c r="H34" s="18" t="n"/>
      <c r="I34" s="17" t="n"/>
      <c r="J34" s="16" t="n"/>
      <c r="K34" s="16" t="n"/>
      <c r="L34" s="16" t="n"/>
      <c r="M34" s="16" t="n"/>
    </row>
    <row r="35">
      <c r="A35" s="19">
        <f>IF('Gap Analysis'!A35="","",SUBSTITUTE('Gap Analysis'!A35,"GAP","ACT"))</f>
        <v/>
      </c>
      <c r="B35" s="19">
        <f>'Gap Analysis'!A35</f>
        <v/>
      </c>
      <c r="C35" s="19">
        <f>IF('Gap Analysis'!I35&lt;&gt;"",'Gap Analysis'!I35,"")</f>
        <v/>
      </c>
      <c r="D35" s="19">
        <f>IF('Gap Analysis'!F35&lt;&gt;"",'Gap Analysis'!F35,"")</f>
        <v/>
      </c>
      <c r="E35" s="19">
        <f>IF('Gap Analysis'!J35&lt;&gt;"",'Gap Analysis'!J35,"")</f>
        <v/>
      </c>
      <c r="F35" s="28">
        <f>IF('Gap Analysis'!K35&lt;&gt;"",'Gap Analysis'!K35,"")</f>
        <v/>
      </c>
      <c r="G35" s="19">
        <f>IF('Gap Analysis'!N35&lt;&gt;"",'Gap Analysis'!N35,"")</f>
        <v/>
      </c>
      <c r="H35" s="18" t="n"/>
      <c r="I35" s="17" t="n"/>
      <c r="J35" s="16" t="n"/>
      <c r="K35" s="16" t="n"/>
      <c r="L35" s="16" t="n"/>
      <c r="M35" s="16" t="n"/>
    </row>
    <row r="36">
      <c r="A36" s="19">
        <f>IF('Gap Analysis'!A36="","",SUBSTITUTE('Gap Analysis'!A36,"GAP","ACT"))</f>
        <v/>
      </c>
      <c r="B36" s="19">
        <f>'Gap Analysis'!A36</f>
        <v/>
      </c>
      <c r="C36" s="19">
        <f>IF('Gap Analysis'!I36&lt;&gt;"",'Gap Analysis'!I36,"")</f>
        <v/>
      </c>
      <c r="D36" s="19">
        <f>IF('Gap Analysis'!F36&lt;&gt;"",'Gap Analysis'!F36,"")</f>
        <v/>
      </c>
      <c r="E36" s="19">
        <f>IF('Gap Analysis'!J36&lt;&gt;"",'Gap Analysis'!J36,"")</f>
        <v/>
      </c>
      <c r="F36" s="28">
        <f>IF('Gap Analysis'!K36&lt;&gt;"",'Gap Analysis'!K36,"")</f>
        <v/>
      </c>
      <c r="G36" s="19">
        <f>IF('Gap Analysis'!N36&lt;&gt;"",'Gap Analysis'!N36,"")</f>
        <v/>
      </c>
      <c r="H36" s="18" t="n"/>
      <c r="I36" s="17" t="n"/>
      <c r="J36" s="16" t="n"/>
      <c r="K36" s="16" t="n"/>
      <c r="L36" s="16" t="n"/>
      <c r="M36" s="16" t="n"/>
    </row>
    <row r="37">
      <c r="A37" s="19">
        <f>IF('Gap Analysis'!A37="","",SUBSTITUTE('Gap Analysis'!A37,"GAP","ACT"))</f>
        <v/>
      </c>
      <c r="B37" s="19">
        <f>'Gap Analysis'!A37</f>
        <v/>
      </c>
      <c r="C37" s="19">
        <f>IF('Gap Analysis'!I37&lt;&gt;"",'Gap Analysis'!I37,"")</f>
        <v/>
      </c>
      <c r="D37" s="19">
        <f>IF('Gap Analysis'!F37&lt;&gt;"",'Gap Analysis'!F37,"")</f>
        <v/>
      </c>
      <c r="E37" s="19">
        <f>IF('Gap Analysis'!J37&lt;&gt;"",'Gap Analysis'!J37,"")</f>
        <v/>
      </c>
      <c r="F37" s="28">
        <f>IF('Gap Analysis'!K37&lt;&gt;"",'Gap Analysis'!K37,"")</f>
        <v/>
      </c>
      <c r="G37" s="19">
        <f>IF('Gap Analysis'!N37&lt;&gt;"",'Gap Analysis'!N37,"")</f>
        <v/>
      </c>
      <c r="H37" s="18" t="n"/>
      <c r="I37" s="17" t="n"/>
      <c r="J37" s="16" t="n"/>
      <c r="K37" s="16" t="n"/>
      <c r="L37" s="16" t="n"/>
      <c r="M37" s="16" t="n"/>
    </row>
    <row r="38">
      <c r="A38" s="19">
        <f>IF('Gap Analysis'!A38="","",SUBSTITUTE('Gap Analysis'!A38,"GAP","ACT"))</f>
        <v/>
      </c>
      <c r="B38" s="19">
        <f>'Gap Analysis'!A38</f>
        <v/>
      </c>
      <c r="C38" s="19">
        <f>IF('Gap Analysis'!I38&lt;&gt;"",'Gap Analysis'!I38,"")</f>
        <v/>
      </c>
      <c r="D38" s="19">
        <f>IF('Gap Analysis'!F38&lt;&gt;"",'Gap Analysis'!F38,"")</f>
        <v/>
      </c>
      <c r="E38" s="19">
        <f>IF('Gap Analysis'!J38&lt;&gt;"",'Gap Analysis'!J38,"")</f>
        <v/>
      </c>
      <c r="F38" s="28">
        <f>IF('Gap Analysis'!K38&lt;&gt;"",'Gap Analysis'!K38,"")</f>
        <v/>
      </c>
      <c r="G38" s="19">
        <f>IF('Gap Analysis'!N38&lt;&gt;"",'Gap Analysis'!N38,"")</f>
        <v/>
      </c>
      <c r="H38" s="18" t="n"/>
      <c r="I38" s="17" t="n"/>
      <c r="J38" s="16" t="n"/>
      <c r="K38" s="16" t="n"/>
      <c r="L38" s="16" t="n"/>
      <c r="M38" s="16" t="n"/>
    </row>
    <row r="39">
      <c r="A39" s="19">
        <f>IF('Gap Analysis'!A39="","",SUBSTITUTE('Gap Analysis'!A39,"GAP","ACT"))</f>
        <v/>
      </c>
      <c r="B39" s="19">
        <f>'Gap Analysis'!A39</f>
        <v/>
      </c>
      <c r="C39" s="19">
        <f>IF('Gap Analysis'!I39&lt;&gt;"",'Gap Analysis'!I39,"")</f>
        <v/>
      </c>
      <c r="D39" s="19">
        <f>IF('Gap Analysis'!F39&lt;&gt;"",'Gap Analysis'!F39,"")</f>
        <v/>
      </c>
      <c r="E39" s="19">
        <f>IF('Gap Analysis'!J39&lt;&gt;"",'Gap Analysis'!J39,"")</f>
        <v/>
      </c>
      <c r="F39" s="28">
        <f>IF('Gap Analysis'!K39&lt;&gt;"",'Gap Analysis'!K39,"")</f>
        <v/>
      </c>
      <c r="G39" s="19">
        <f>IF('Gap Analysis'!N39&lt;&gt;"",'Gap Analysis'!N39,"")</f>
        <v/>
      </c>
      <c r="H39" s="18" t="n"/>
      <c r="I39" s="17" t="n"/>
      <c r="J39" s="16" t="n"/>
      <c r="K39" s="16" t="n"/>
      <c r="L39" s="16" t="n"/>
      <c r="M39" s="16" t="n"/>
    </row>
    <row r="40">
      <c r="A40" s="19">
        <f>IF('Gap Analysis'!A40="","",SUBSTITUTE('Gap Analysis'!A40,"GAP","ACT"))</f>
        <v/>
      </c>
      <c r="B40" s="19">
        <f>'Gap Analysis'!A40</f>
        <v/>
      </c>
      <c r="C40" s="19">
        <f>IF('Gap Analysis'!I40&lt;&gt;"",'Gap Analysis'!I40,"")</f>
        <v/>
      </c>
      <c r="D40" s="19">
        <f>IF('Gap Analysis'!F40&lt;&gt;"",'Gap Analysis'!F40,"")</f>
        <v/>
      </c>
      <c r="E40" s="19">
        <f>IF('Gap Analysis'!J40&lt;&gt;"",'Gap Analysis'!J40,"")</f>
        <v/>
      </c>
      <c r="F40" s="28">
        <f>IF('Gap Analysis'!K40&lt;&gt;"",'Gap Analysis'!K40,"")</f>
        <v/>
      </c>
      <c r="G40" s="19">
        <f>IF('Gap Analysis'!N40&lt;&gt;"",'Gap Analysis'!N40,"")</f>
        <v/>
      </c>
      <c r="H40" s="18" t="n"/>
      <c r="I40" s="17" t="n"/>
      <c r="J40" s="16" t="n"/>
      <c r="K40" s="16" t="n"/>
      <c r="L40" s="16" t="n"/>
      <c r="M40" s="16" t="n"/>
    </row>
    <row r="41">
      <c r="A41" s="19">
        <f>IF('Gap Analysis'!A41="","",SUBSTITUTE('Gap Analysis'!A41,"GAP","ACT"))</f>
        <v/>
      </c>
      <c r="B41" s="19">
        <f>'Gap Analysis'!A41</f>
        <v/>
      </c>
      <c r="C41" s="19">
        <f>IF('Gap Analysis'!I41&lt;&gt;"",'Gap Analysis'!I41,"")</f>
        <v/>
      </c>
      <c r="D41" s="19">
        <f>IF('Gap Analysis'!F41&lt;&gt;"",'Gap Analysis'!F41,"")</f>
        <v/>
      </c>
      <c r="E41" s="19">
        <f>IF('Gap Analysis'!J41&lt;&gt;"",'Gap Analysis'!J41,"")</f>
        <v/>
      </c>
      <c r="F41" s="28">
        <f>IF('Gap Analysis'!K41&lt;&gt;"",'Gap Analysis'!K41,"")</f>
        <v/>
      </c>
      <c r="G41" s="19">
        <f>IF('Gap Analysis'!N41&lt;&gt;"",'Gap Analysis'!N41,"")</f>
        <v/>
      </c>
      <c r="H41" s="18" t="n"/>
      <c r="I41" s="17" t="n"/>
      <c r="J41" s="16" t="n"/>
      <c r="K41" s="16" t="n"/>
      <c r="L41" s="16" t="n"/>
      <c r="M41" s="16" t="n"/>
    </row>
    <row r="42">
      <c r="A42" s="19">
        <f>IF('Gap Analysis'!A42="","",SUBSTITUTE('Gap Analysis'!A42,"GAP","ACT"))</f>
        <v/>
      </c>
      <c r="B42" s="19">
        <f>'Gap Analysis'!A42</f>
        <v/>
      </c>
      <c r="C42" s="19">
        <f>IF('Gap Analysis'!I42&lt;&gt;"",'Gap Analysis'!I42,"")</f>
        <v/>
      </c>
      <c r="D42" s="19">
        <f>IF('Gap Analysis'!F42&lt;&gt;"",'Gap Analysis'!F42,"")</f>
        <v/>
      </c>
      <c r="E42" s="19">
        <f>IF('Gap Analysis'!J42&lt;&gt;"",'Gap Analysis'!J42,"")</f>
        <v/>
      </c>
      <c r="F42" s="28">
        <f>IF('Gap Analysis'!K42&lt;&gt;"",'Gap Analysis'!K42,"")</f>
        <v/>
      </c>
      <c r="G42" s="19">
        <f>IF('Gap Analysis'!N42&lt;&gt;"",'Gap Analysis'!N42,"")</f>
        <v/>
      </c>
      <c r="H42" s="18" t="n"/>
      <c r="I42" s="17" t="n"/>
      <c r="J42" s="16" t="n"/>
      <c r="K42" s="16" t="n"/>
      <c r="L42" s="16" t="n"/>
      <c r="M42" s="16" t="n"/>
    </row>
    <row r="43">
      <c r="A43" s="19">
        <f>IF('Gap Analysis'!A43="","",SUBSTITUTE('Gap Analysis'!A43,"GAP","ACT"))</f>
        <v/>
      </c>
      <c r="B43" s="19">
        <f>'Gap Analysis'!A43</f>
        <v/>
      </c>
      <c r="C43" s="19">
        <f>IF('Gap Analysis'!I43&lt;&gt;"",'Gap Analysis'!I43,"")</f>
        <v/>
      </c>
      <c r="D43" s="19">
        <f>IF('Gap Analysis'!F43&lt;&gt;"",'Gap Analysis'!F43,"")</f>
        <v/>
      </c>
      <c r="E43" s="19">
        <f>IF('Gap Analysis'!J43&lt;&gt;"",'Gap Analysis'!J43,"")</f>
        <v/>
      </c>
      <c r="F43" s="28">
        <f>IF('Gap Analysis'!K43&lt;&gt;"",'Gap Analysis'!K43,"")</f>
        <v/>
      </c>
      <c r="G43" s="19">
        <f>IF('Gap Analysis'!N43&lt;&gt;"",'Gap Analysis'!N43,"")</f>
        <v/>
      </c>
      <c r="H43" s="18" t="n"/>
      <c r="I43" s="17" t="n"/>
      <c r="J43" s="16" t="n"/>
      <c r="K43" s="16" t="n"/>
      <c r="L43" s="16" t="n"/>
      <c r="M43" s="16" t="n"/>
    </row>
    <row r="44">
      <c r="A44" s="19">
        <f>IF('Gap Analysis'!A44="","",SUBSTITUTE('Gap Analysis'!A44,"GAP","ACT"))</f>
        <v/>
      </c>
      <c r="B44" s="19">
        <f>'Gap Analysis'!A44</f>
        <v/>
      </c>
      <c r="C44" s="19">
        <f>IF('Gap Analysis'!I44&lt;&gt;"",'Gap Analysis'!I44,"")</f>
        <v/>
      </c>
      <c r="D44" s="19">
        <f>IF('Gap Analysis'!F44&lt;&gt;"",'Gap Analysis'!F44,"")</f>
        <v/>
      </c>
      <c r="E44" s="19">
        <f>IF('Gap Analysis'!J44&lt;&gt;"",'Gap Analysis'!J44,"")</f>
        <v/>
      </c>
      <c r="F44" s="28">
        <f>IF('Gap Analysis'!K44&lt;&gt;"",'Gap Analysis'!K44,"")</f>
        <v/>
      </c>
      <c r="G44" s="19">
        <f>IF('Gap Analysis'!N44&lt;&gt;"",'Gap Analysis'!N44,"")</f>
        <v/>
      </c>
      <c r="H44" s="18" t="n"/>
      <c r="I44" s="17" t="n"/>
      <c r="J44" s="16" t="n"/>
      <c r="K44" s="16" t="n"/>
      <c r="L44" s="16" t="n"/>
      <c r="M44" s="16" t="n"/>
    </row>
    <row r="45">
      <c r="A45" s="19">
        <f>IF('Gap Analysis'!A45="","",SUBSTITUTE('Gap Analysis'!A45,"GAP","ACT"))</f>
        <v/>
      </c>
      <c r="B45" s="19">
        <f>'Gap Analysis'!A45</f>
        <v/>
      </c>
      <c r="C45" s="19">
        <f>IF('Gap Analysis'!I45&lt;&gt;"",'Gap Analysis'!I45,"")</f>
        <v/>
      </c>
      <c r="D45" s="19">
        <f>IF('Gap Analysis'!F45&lt;&gt;"",'Gap Analysis'!F45,"")</f>
        <v/>
      </c>
      <c r="E45" s="19">
        <f>IF('Gap Analysis'!J45&lt;&gt;"",'Gap Analysis'!J45,"")</f>
        <v/>
      </c>
      <c r="F45" s="28">
        <f>IF('Gap Analysis'!K45&lt;&gt;"",'Gap Analysis'!K45,"")</f>
        <v/>
      </c>
      <c r="G45" s="19">
        <f>IF('Gap Analysis'!N45&lt;&gt;"",'Gap Analysis'!N45,"")</f>
        <v/>
      </c>
      <c r="H45" s="18" t="n"/>
      <c r="I45" s="17" t="n"/>
      <c r="J45" s="16" t="n"/>
      <c r="K45" s="16" t="n"/>
      <c r="L45" s="16" t="n"/>
      <c r="M45" s="16" t="n"/>
    </row>
    <row r="46">
      <c r="A46" s="19">
        <f>IF('Gap Analysis'!A46="","",SUBSTITUTE('Gap Analysis'!A46,"GAP","ACT"))</f>
        <v/>
      </c>
      <c r="B46" s="19">
        <f>'Gap Analysis'!A46</f>
        <v/>
      </c>
      <c r="C46" s="19">
        <f>IF('Gap Analysis'!I46&lt;&gt;"",'Gap Analysis'!I46,"")</f>
        <v/>
      </c>
      <c r="D46" s="19">
        <f>IF('Gap Analysis'!F46&lt;&gt;"",'Gap Analysis'!F46,"")</f>
        <v/>
      </c>
      <c r="E46" s="19">
        <f>IF('Gap Analysis'!J46&lt;&gt;"",'Gap Analysis'!J46,"")</f>
        <v/>
      </c>
      <c r="F46" s="28">
        <f>IF('Gap Analysis'!K46&lt;&gt;"",'Gap Analysis'!K46,"")</f>
        <v/>
      </c>
      <c r="G46" s="19">
        <f>IF('Gap Analysis'!N46&lt;&gt;"",'Gap Analysis'!N46,"")</f>
        <v/>
      </c>
      <c r="H46" s="18" t="n"/>
      <c r="I46" s="17" t="n"/>
      <c r="J46" s="16" t="n"/>
      <c r="K46" s="16" t="n"/>
      <c r="L46" s="16" t="n"/>
      <c r="M46" s="16" t="n"/>
    </row>
    <row r="47">
      <c r="A47" s="19">
        <f>IF('Gap Analysis'!A47="","",SUBSTITUTE('Gap Analysis'!A47,"GAP","ACT"))</f>
        <v/>
      </c>
      <c r="B47" s="19">
        <f>'Gap Analysis'!A47</f>
        <v/>
      </c>
      <c r="C47" s="19">
        <f>IF('Gap Analysis'!I47&lt;&gt;"",'Gap Analysis'!I47,"")</f>
        <v/>
      </c>
      <c r="D47" s="19">
        <f>IF('Gap Analysis'!F47&lt;&gt;"",'Gap Analysis'!F47,"")</f>
        <v/>
      </c>
      <c r="E47" s="19">
        <f>IF('Gap Analysis'!J47&lt;&gt;"",'Gap Analysis'!J47,"")</f>
        <v/>
      </c>
      <c r="F47" s="28">
        <f>IF('Gap Analysis'!K47&lt;&gt;"",'Gap Analysis'!K47,"")</f>
        <v/>
      </c>
      <c r="G47" s="19">
        <f>IF('Gap Analysis'!N47&lt;&gt;"",'Gap Analysis'!N47,"")</f>
        <v/>
      </c>
      <c r="H47" s="18" t="n"/>
      <c r="I47" s="17" t="n"/>
      <c r="J47" s="16" t="n"/>
      <c r="K47" s="16" t="n"/>
      <c r="L47" s="16" t="n"/>
      <c r="M47" s="16" t="n"/>
    </row>
    <row r="48">
      <c r="A48" s="19">
        <f>IF('Gap Analysis'!A48="","",SUBSTITUTE('Gap Analysis'!A48,"GAP","ACT"))</f>
        <v/>
      </c>
      <c r="B48" s="19">
        <f>'Gap Analysis'!A48</f>
        <v/>
      </c>
      <c r="C48" s="19">
        <f>IF('Gap Analysis'!I48&lt;&gt;"",'Gap Analysis'!I48,"")</f>
        <v/>
      </c>
      <c r="D48" s="19">
        <f>IF('Gap Analysis'!F48&lt;&gt;"",'Gap Analysis'!F48,"")</f>
        <v/>
      </c>
      <c r="E48" s="19">
        <f>IF('Gap Analysis'!J48&lt;&gt;"",'Gap Analysis'!J48,"")</f>
        <v/>
      </c>
      <c r="F48" s="28">
        <f>IF('Gap Analysis'!K48&lt;&gt;"",'Gap Analysis'!K48,"")</f>
        <v/>
      </c>
      <c r="G48" s="19">
        <f>IF('Gap Analysis'!N48&lt;&gt;"",'Gap Analysis'!N48,"")</f>
        <v/>
      </c>
      <c r="H48" s="18" t="n"/>
      <c r="I48" s="17" t="n"/>
      <c r="J48" s="16" t="n"/>
      <c r="K48" s="16" t="n"/>
      <c r="L48" s="16" t="n"/>
      <c r="M48" s="16" t="n"/>
    </row>
    <row r="49">
      <c r="A49" s="19">
        <f>IF('Gap Analysis'!A49="","",SUBSTITUTE('Gap Analysis'!A49,"GAP","ACT"))</f>
        <v/>
      </c>
      <c r="B49" s="19">
        <f>'Gap Analysis'!A49</f>
        <v/>
      </c>
      <c r="C49" s="19">
        <f>IF('Gap Analysis'!I49&lt;&gt;"",'Gap Analysis'!I49,"")</f>
        <v/>
      </c>
      <c r="D49" s="19">
        <f>IF('Gap Analysis'!F49&lt;&gt;"",'Gap Analysis'!F49,"")</f>
        <v/>
      </c>
      <c r="E49" s="19">
        <f>IF('Gap Analysis'!J49&lt;&gt;"",'Gap Analysis'!J49,"")</f>
        <v/>
      </c>
      <c r="F49" s="28">
        <f>IF('Gap Analysis'!K49&lt;&gt;"",'Gap Analysis'!K49,"")</f>
        <v/>
      </c>
      <c r="G49" s="19">
        <f>IF('Gap Analysis'!N49&lt;&gt;"",'Gap Analysis'!N49,"")</f>
        <v/>
      </c>
      <c r="H49" s="18" t="n"/>
      <c r="I49" s="17" t="n"/>
      <c r="J49" s="16" t="n"/>
      <c r="K49" s="16" t="n"/>
      <c r="L49" s="16" t="n"/>
      <c r="M49" s="16" t="n"/>
    </row>
    <row r="50">
      <c r="A50" s="19">
        <f>IF('Gap Analysis'!A50="","",SUBSTITUTE('Gap Analysis'!A50,"GAP","ACT"))</f>
        <v/>
      </c>
      <c r="B50" s="19">
        <f>'Gap Analysis'!A50</f>
        <v/>
      </c>
      <c r="C50" s="19">
        <f>IF('Gap Analysis'!I50&lt;&gt;"",'Gap Analysis'!I50,"")</f>
        <v/>
      </c>
      <c r="D50" s="19">
        <f>IF('Gap Analysis'!F50&lt;&gt;"",'Gap Analysis'!F50,"")</f>
        <v/>
      </c>
      <c r="E50" s="19">
        <f>IF('Gap Analysis'!J50&lt;&gt;"",'Gap Analysis'!J50,"")</f>
        <v/>
      </c>
      <c r="F50" s="28">
        <f>IF('Gap Analysis'!K50&lt;&gt;"",'Gap Analysis'!K50,"")</f>
        <v/>
      </c>
      <c r="G50" s="19">
        <f>IF('Gap Analysis'!N50&lt;&gt;"",'Gap Analysis'!N50,"")</f>
        <v/>
      </c>
      <c r="H50" s="18" t="n"/>
      <c r="I50" s="17" t="n"/>
      <c r="J50" s="16" t="n"/>
      <c r="K50" s="16" t="n"/>
      <c r="L50" s="16" t="n"/>
      <c r="M50" s="16" t="n"/>
    </row>
    <row r="51">
      <c r="A51" s="19">
        <f>IF('Gap Analysis'!A51="","",SUBSTITUTE('Gap Analysis'!A51,"GAP","ACT"))</f>
        <v/>
      </c>
      <c r="B51" s="19">
        <f>'Gap Analysis'!A51</f>
        <v/>
      </c>
      <c r="C51" s="19">
        <f>IF('Gap Analysis'!I51&lt;&gt;"",'Gap Analysis'!I51,"")</f>
        <v/>
      </c>
      <c r="D51" s="19">
        <f>IF('Gap Analysis'!F51&lt;&gt;"",'Gap Analysis'!F51,"")</f>
        <v/>
      </c>
      <c r="E51" s="19">
        <f>IF('Gap Analysis'!J51&lt;&gt;"",'Gap Analysis'!J51,"")</f>
        <v/>
      </c>
      <c r="F51" s="28">
        <f>IF('Gap Analysis'!K51&lt;&gt;"",'Gap Analysis'!K51,"")</f>
        <v/>
      </c>
      <c r="G51" s="19">
        <f>IF('Gap Analysis'!N51&lt;&gt;"",'Gap Analysis'!N51,"")</f>
        <v/>
      </c>
      <c r="H51" s="18" t="n"/>
      <c r="I51" s="17" t="n"/>
      <c r="J51" s="16" t="n"/>
      <c r="K51" s="16" t="n"/>
      <c r="L51" s="16" t="n"/>
      <c r="M51" s="16" t="n"/>
    </row>
    <row r="52">
      <c r="A52" s="19">
        <f>IF('Gap Analysis'!A52="","",SUBSTITUTE('Gap Analysis'!A52,"GAP","ACT"))</f>
        <v/>
      </c>
      <c r="B52" s="19">
        <f>'Gap Analysis'!A52</f>
        <v/>
      </c>
      <c r="C52" s="19">
        <f>IF('Gap Analysis'!I52&lt;&gt;"",'Gap Analysis'!I52,"")</f>
        <v/>
      </c>
      <c r="D52" s="19">
        <f>IF('Gap Analysis'!F52&lt;&gt;"",'Gap Analysis'!F52,"")</f>
        <v/>
      </c>
      <c r="E52" s="19">
        <f>IF('Gap Analysis'!J52&lt;&gt;"",'Gap Analysis'!J52,"")</f>
        <v/>
      </c>
      <c r="F52" s="28">
        <f>IF('Gap Analysis'!K52&lt;&gt;"",'Gap Analysis'!K52,"")</f>
        <v/>
      </c>
      <c r="G52" s="19">
        <f>IF('Gap Analysis'!N52&lt;&gt;"",'Gap Analysis'!N52,"")</f>
        <v/>
      </c>
      <c r="H52" s="18" t="n"/>
      <c r="I52" s="17" t="n"/>
      <c r="J52" s="16" t="n"/>
      <c r="K52" s="16" t="n"/>
      <c r="L52" s="16" t="n"/>
      <c r="M52" s="16" t="n"/>
    </row>
    <row r="53">
      <c r="A53" s="19">
        <f>IF('Gap Analysis'!A53="","",SUBSTITUTE('Gap Analysis'!A53,"GAP","ACT"))</f>
        <v/>
      </c>
      <c r="B53" s="19">
        <f>'Gap Analysis'!A53</f>
        <v/>
      </c>
      <c r="C53" s="19">
        <f>IF('Gap Analysis'!I53&lt;&gt;"",'Gap Analysis'!I53,"")</f>
        <v/>
      </c>
      <c r="D53" s="19">
        <f>IF('Gap Analysis'!F53&lt;&gt;"",'Gap Analysis'!F53,"")</f>
        <v/>
      </c>
      <c r="E53" s="19">
        <f>IF('Gap Analysis'!J53&lt;&gt;"",'Gap Analysis'!J53,"")</f>
        <v/>
      </c>
      <c r="F53" s="28">
        <f>IF('Gap Analysis'!K53&lt;&gt;"",'Gap Analysis'!K53,"")</f>
        <v/>
      </c>
      <c r="G53" s="19">
        <f>IF('Gap Analysis'!N53&lt;&gt;"",'Gap Analysis'!N53,"")</f>
        <v/>
      </c>
      <c r="H53" s="18" t="n"/>
      <c r="I53" s="17" t="n"/>
      <c r="J53" s="16" t="n"/>
      <c r="K53" s="16" t="n"/>
      <c r="L53" s="16" t="n"/>
      <c r="M53" s="16" t="n"/>
    </row>
    <row r="54">
      <c r="A54" s="19">
        <f>IF('Gap Analysis'!A54="","",SUBSTITUTE('Gap Analysis'!A54,"GAP","ACT"))</f>
        <v/>
      </c>
      <c r="B54" s="19">
        <f>'Gap Analysis'!A54</f>
        <v/>
      </c>
      <c r="C54" s="19">
        <f>IF('Gap Analysis'!I54&lt;&gt;"",'Gap Analysis'!I54,"")</f>
        <v/>
      </c>
      <c r="D54" s="19">
        <f>IF('Gap Analysis'!F54&lt;&gt;"",'Gap Analysis'!F54,"")</f>
        <v/>
      </c>
      <c r="E54" s="19">
        <f>IF('Gap Analysis'!J54&lt;&gt;"",'Gap Analysis'!J54,"")</f>
        <v/>
      </c>
      <c r="F54" s="28">
        <f>IF('Gap Analysis'!K54&lt;&gt;"",'Gap Analysis'!K54,"")</f>
        <v/>
      </c>
      <c r="G54" s="19">
        <f>IF('Gap Analysis'!N54&lt;&gt;"",'Gap Analysis'!N54,"")</f>
        <v/>
      </c>
      <c r="H54" s="18" t="n"/>
      <c r="I54" s="17" t="n"/>
      <c r="J54" s="16" t="n"/>
      <c r="K54" s="16" t="n"/>
      <c r="L54" s="16" t="n"/>
      <c r="M54" s="16" t="n"/>
    </row>
    <row r="55">
      <c r="A55" s="19">
        <f>IF('Gap Analysis'!A55="","",SUBSTITUTE('Gap Analysis'!A55,"GAP","ACT"))</f>
        <v/>
      </c>
      <c r="B55" s="19">
        <f>'Gap Analysis'!A55</f>
        <v/>
      </c>
      <c r="C55" s="19">
        <f>IF('Gap Analysis'!I55&lt;&gt;"",'Gap Analysis'!I55,"")</f>
        <v/>
      </c>
      <c r="D55" s="19">
        <f>IF('Gap Analysis'!F55&lt;&gt;"",'Gap Analysis'!F55,"")</f>
        <v/>
      </c>
      <c r="E55" s="19">
        <f>IF('Gap Analysis'!J55&lt;&gt;"",'Gap Analysis'!J55,"")</f>
        <v/>
      </c>
      <c r="F55" s="28">
        <f>IF('Gap Analysis'!K55&lt;&gt;"",'Gap Analysis'!K55,"")</f>
        <v/>
      </c>
      <c r="G55" s="19">
        <f>IF('Gap Analysis'!N55&lt;&gt;"",'Gap Analysis'!N55,"")</f>
        <v/>
      </c>
      <c r="H55" s="18" t="n"/>
      <c r="I55" s="17" t="n"/>
      <c r="J55" s="16" t="n"/>
      <c r="K55" s="16" t="n"/>
      <c r="L55" s="16" t="n"/>
      <c r="M55" s="16" t="n"/>
    </row>
  </sheetData>
  <mergeCells count="2">
    <mergeCell ref="A2:M2"/>
    <mergeCell ref="A1:M1"/>
  </mergeCells>
  <dataValidations count="1">
    <dataValidation sqref="L6:L55" showDropDown="0" showInputMessage="0" showErrorMessage="1" allowBlank="1" errorTitle="Invalid Entry" error="Please select from dropdown"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7"/>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9" t="inlineStr">
        <is>
          <t>POLICY FRAMEWORK ASSESSMENT — SUMMARY DASHBOARD</t>
        </is>
      </c>
    </row>
    <row r="2">
      <c r="A2" s="30" t="inlineStr">
        <is>
          <t>ISO/IEC 27001:2022 | Control A.5.1-2 | Policy framework compliance status and governance overview</t>
        </is>
      </c>
    </row>
    <row r="4">
      <c r="A4" s="31" t="inlineStr">
        <is>
          <t>TABLE 1: POLICY STATUS DISTRIBUTION</t>
        </is>
      </c>
      <c r="B4" s="32" t="n"/>
      <c r="C4" s="32" t="n"/>
      <c r="D4" s="32" t="n"/>
      <c r="E4" s="32" t="n"/>
      <c r="F4" s="33" t="n"/>
    </row>
    <row r="5">
      <c r="A5" s="34" t="inlineStr">
        <is>
          <t>Policy Inventory — Column M (Policy Status), rows 5:54</t>
        </is>
      </c>
      <c r="B5" s="32" t="n"/>
      <c r="C5" s="32" t="n"/>
      <c r="D5" s="32" t="n"/>
      <c r="E5" s="32" t="n"/>
      <c r="F5" s="33" t="n"/>
    </row>
    <row r="6">
      <c r="A6" s="35" t="inlineStr">
        <is>
          <t>Status</t>
        </is>
      </c>
      <c r="B6" s="35" t="inlineStr">
        <is>
          <t>Count</t>
        </is>
      </c>
      <c r="C6" s="35" t="inlineStr">
        <is>
          <t>% of Total</t>
        </is>
      </c>
    </row>
    <row r="7">
      <c r="A7" s="36" t="inlineStr">
        <is>
          <t>Active</t>
        </is>
      </c>
      <c r="B7" s="37">
        <f>COUNTIF('Policy Inventory'!M5:M54,"Active")</f>
        <v/>
      </c>
      <c r="C7" s="37">
        <f>IF($B$12=0,"—",TEXT(B7/$B$12,"0.0%"))</f>
        <v/>
      </c>
    </row>
    <row r="8">
      <c r="A8" s="36" t="inlineStr">
        <is>
          <t>Draft</t>
        </is>
      </c>
      <c r="B8" s="37">
        <f>COUNTIF('Policy Inventory'!M5:M54,"Draft")</f>
        <v/>
      </c>
      <c r="C8" s="37">
        <f>IF($B$12=0,"—",TEXT(B8/$B$12,"0.0%"))</f>
        <v/>
      </c>
    </row>
    <row r="9">
      <c r="A9" s="36" t="inlineStr">
        <is>
          <t>Under-Review</t>
        </is>
      </c>
      <c r="B9" s="37">
        <f>COUNTIF('Policy Inventory'!M5:M54,"Under-Review")</f>
        <v/>
      </c>
      <c r="C9" s="37">
        <f>IF($B$12=0,"—",TEXT(B9/$B$12,"0.0%"))</f>
        <v/>
      </c>
    </row>
    <row r="10">
      <c r="A10" s="36" t="inlineStr">
        <is>
          <t>Retired</t>
        </is>
      </c>
      <c r="B10" s="37">
        <f>COUNTIF('Policy Inventory'!M5:M54,"Retired")</f>
        <v/>
      </c>
      <c r="C10" s="37">
        <f>IF($B$12=0,"—",TEXT(B10/$B$12,"0.0%"))</f>
        <v/>
      </c>
    </row>
    <row r="11">
      <c r="A11" s="36" t="inlineStr">
        <is>
          <t>Superseded</t>
        </is>
      </c>
      <c r="B11" s="37">
        <f>COUNTIF('Policy Inventory'!M5:M54,"Superseded")</f>
        <v/>
      </c>
      <c r="C11" s="37">
        <f>IF($B$12=0,"—",TEXT(B11/$B$12,"0.0%"))</f>
        <v/>
      </c>
    </row>
    <row r="12">
      <c r="A12" s="38" t="inlineStr">
        <is>
          <t>TOTAL</t>
        </is>
      </c>
      <c r="B12" s="39">
        <f>SUM(B7:B11)</f>
        <v/>
      </c>
      <c r="C12" s="39" t="inlineStr">
        <is>
          <t>—</t>
        </is>
      </c>
    </row>
    <row r="14">
      <c r="A14" s="31" t="inlineStr">
        <is>
          <t>TABLE 2: KEY METRICS</t>
        </is>
      </c>
      <c r="B14" s="32" t="n"/>
      <c r="C14" s="32" t="n"/>
      <c r="D14" s="32" t="n"/>
      <c r="E14" s="32" t="n"/>
      <c r="F14" s="33" t="n"/>
    </row>
    <row r="15">
      <c r="A15" s="40" t="inlineStr">
        <is>
          <t>KPI Metric</t>
        </is>
      </c>
      <c r="B15" s="40" t="inlineStr">
        <is>
          <t>Value</t>
        </is>
      </c>
      <c r="C15" s="41" t="inlineStr">
        <is>
          <t>Notes</t>
        </is>
      </c>
      <c r="D15" s="32" t="n"/>
      <c r="E15" s="32" t="n"/>
      <c r="F15" s="33" t="n"/>
    </row>
    <row r="16">
      <c r="A16" s="36" t="inlineStr">
        <is>
          <t>Total Policies Registered</t>
        </is>
      </c>
      <c r="B16" s="37">
        <f>COUNTA('Policy Inventory'!A5:A54)</f>
        <v/>
      </c>
      <c r="C16" s="36" t="inlineStr">
        <is>
          <t>All policies catalogued in Policy Inventory</t>
        </is>
      </c>
      <c r="D16" s="32" t="n"/>
      <c r="E16" s="32" t="n"/>
      <c r="F16" s="33" t="n"/>
    </row>
    <row r="17">
      <c r="A17" s="36" t="inlineStr">
        <is>
          <t>Active Policies</t>
        </is>
      </c>
      <c r="B17" s="37">
        <f>COUNTIF('Policy Inventory'!M5:M54,"Active")</f>
        <v/>
      </c>
      <c r="C17" s="36" t="inlineStr">
        <is>
          <t>Policies with Active status</t>
        </is>
      </c>
      <c r="D17" s="32" t="n"/>
      <c r="E17" s="32" t="n"/>
      <c r="F17" s="33" t="n"/>
    </row>
    <row r="18">
      <c r="A18" s="36" t="inlineStr">
        <is>
          <t>Policies Under Review</t>
        </is>
      </c>
      <c r="B18" s="37">
        <f>COUNTIF('Policy Inventory'!M5:M54,"Under-Review")</f>
        <v/>
      </c>
      <c r="C18" s="36" t="inlineStr">
        <is>
          <t>Policies currently under review — confirm progress</t>
        </is>
      </c>
      <c r="D18" s="32" t="n"/>
      <c r="E18" s="32" t="n"/>
      <c r="F18" s="33" t="n"/>
    </row>
    <row r="19">
      <c r="A19" s="36" t="inlineStr">
        <is>
          <t>Draft Policies</t>
        </is>
      </c>
      <c r="B19" s="37">
        <f>COUNTIF('Policy Inventory'!M5:M54,"Draft")</f>
        <v/>
      </c>
      <c r="C19" s="36" t="inlineStr">
        <is>
          <t>Draft policies not yet published or approved</t>
        </is>
      </c>
      <c r="D19" s="32" t="n"/>
      <c r="E19" s="32" t="n"/>
      <c r="F19" s="33" t="n"/>
    </row>
    <row r="20">
      <c r="A20" s="36" t="inlineStr">
        <is>
          <t>Critical Gaps Identified</t>
        </is>
      </c>
      <c r="B20" s="37">
        <f>COUNTIF('Gap Analysis'!F6:F105,"Critical")</f>
        <v/>
      </c>
      <c r="C20" s="36" t="inlineStr">
        <is>
          <t>Critical-risk gaps in Gap Analysis sheet</t>
        </is>
      </c>
      <c r="D20" s="32" t="n"/>
      <c r="E20" s="32" t="n"/>
      <c r="F20" s="33" t="n"/>
    </row>
    <row r="21">
      <c r="A21" s="36" t="inlineStr">
        <is>
          <t>Open Remediation Actions</t>
        </is>
      </c>
      <c r="B21" s="37">
        <f>COUNTIF('Gap Analysis'!N6:N105,"Not-Started")+COUNTIF('Gap Analysis'!N6:N105,"In-Progress")</f>
        <v/>
      </c>
      <c r="C21" s="36" t="inlineStr">
        <is>
          <t>Gaps not yet resolved (Not-Started + In-Progress)</t>
        </is>
      </c>
      <c r="D21" s="32" t="n"/>
      <c r="E21" s="32" t="n"/>
      <c r="F21" s="33" t="n"/>
    </row>
    <row r="23">
      <c r="A23" s="42" t="inlineStr">
        <is>
          <t>TABLE 3: CRITICAL FINDINGS</t>
        </is>
      </c>
      <c r="B23" s="32" t="n"/>
      <c r="C23" s="32" t="n"/>
      <c r="D23" s="32" t="n"/>
      <c r="E23" s="32" t="n"/>
      <c r="F23" s="33" t="n"/>
    </row>
    <row r="24">
      <c r="A24" s="40" t="inlineStr">
        <is>
          <t>Finding</t>
        </is>
      </c>
      <c r="B24" s="40" t="inlineStr">
        <is>
          <t>Count</t>
        </is>
      </c>
      <c r="C24" s="41" t="inlineStr">
        <is>
          <t>Action Required</t>
        </is>
      </c>
      <c r="D24" s="32" t="n"/>
      <c r="E24" s="32" t="n"/>
      <c r="F24" s="33" t="n"/>
    </row>
    <row r="25">
      <c r="A25" s="43" t="inlineStr">
        <is>
          <t>Policies with Critical Gap</t>
        </is>
      </c>
      <c r="B25" s="44">
        <f>COUNTIF('Policy Inventory'!S5:S54,"Critical-Gap")</f>
        <v/>
      </c>
      <c r="C25" s="45" t="inlineStr">
        <is>
          <t>Review and remediate policies flagged as Critical-Gap in column S</t>
        </is>
      </c>
      <c r="D25" s="32" t="n"/>
      <c r="E25" s="32" t="n"/>
      <c r="F25" s="33" t="n"/>
    </row>
    <row r="26">
      <c r="A26" s="43" t="inlineStr">
        <is>
          <t>Retired or Superseded Policies</t>
        </is>
      </c>
      <c r="B26" s="44">
        <f>COUNTIF('Policy Inventory'!M5:M54,"Retired")+COUNTIF('Policy Inventory'!M5:M54,"Superseded")</f>
        <v/>
      </c>
      <c r="C26" s="45" t="inlineStr">
        <is>
          <t>Confirm retired/superseded policies are archived and no longer in use</t>
        </is>
      </c>
      <c r="D26" s="32" t="n"/>
      <c r="E26" s="32" t="n"/>
      <c r="F26" s="33" t="n"/>
    </row>
    <row r="27">
      <c r="A27" s="43" t="inlineStr">
        <is>
          <t>Policies Under Review (overdue check)</t>
        </is>
      </c>
      <c r="B27" s="44">
        <f>COUNTIF('Policy Inventory'!M5:M54,"Under-Review")</f>
        <v/>
      </c>
      <c r="C27" s="45" t="inlineStr">
        <is>
          <t>Confirm all Under-Review policies have an assigned owner and target date</t>
        </is>
      </c>
      <c r="D27" s="32" t="n"/>
      <c r="E27" s="32" t="n"/>
      <c r="F27" s="33" t="n"/>
    </row>
  </sheetData>
  <mergeCells count="17">
    <mergeCell ref="A2:F2"/>
    <mergeCell ref="C18:F18"/>
    <mergeCell ref="C17:F17"/>
    <mergeCell ref="A14:F14"/>
    <mergeCell ref="A1:F1"/>
    <mergeCell ref="A5:F5"/>
    <mergeCell ref="C20:F20"/>
    <mergeCell ref="A23:F23"/>
    <mergeCell ref="C26:F26"/>
    <mergeCell ref="C21:F21"/>
    <mergeCell ref="C16:F16"/>
    <mergeCell ref="C27:F27"/>
    <mergeCell ref="C15:F15"/>
    <mergeCell ref="A4:F4"/>
    <mergeCell ref="C25:F25"/>
    <mergeCell ref="C24:F24"/>
    <mergeCell ref="C19:F1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6" t="inlineStr">
        <is>
          <t>ASSESSMENT APPROVAL AND SIGN-OFF</t>
        </is>
      </c>
      <c r="B1" s="6" t="n"/>
      <c r="C1" s="6" t="n"/>
      <c r="D1" s="6" t="n"/>
      <c r="E1" s="6" t="n"/>
    </row>
    <row r="2">
      <c r="A2" s="47" t="inlineStr">
        <is>
          <t>ISO/IEC 27001:2022 - Control A.5.1-2-6.1-2: Information Security Policies and Organisation</t>
        </is>
      </c>
      <c r="B2" s="6" t="n"/>
      <c r="C2" s="6" t="n"/>
      <c r="D2" s="6" t="n"/>
      <c r="E2" s="6" t="n"/>
    </row>
    <row r="3">
      <c r="A3" s="48" t="inlineStr">
        <is>
          <t>ASSESSMENT SUMMARY</t>
        </is>
      </c>
      <c r="B3" s="6" t="n"/>
      <c r="C3" s="6" t="n"/>
      <c r="D3" s="6" t="n"/>
      <c r="E3" s="6" t="n"/>
    </row>
    <row r="4">
      <c r="A4" s="3" t="inlineStr">
        <is>
          <t>Document:</t>
        </is>
      </c>
      <c r="B4" s="6" t="inlineStr">
        <is>
          <t>ISMS-IMP-A.5.1-2-6.1-2.S1 - Policy Framework Assessment Workbook</t>
        </is>
      </c>
      <c r="C4" s="6" t="n"/>
      <c r="D4" s="6" t="n"/>
      <c r="E4" s="6" t="n"/>
    </row>
    <row r="5">
      <c r="A5" s="3" t="inlineStr">
        <is>
          <t>Assessment Period:</t>
        </is>
      </c>
      <c r="B5" s="49" t="inlineStr"/>
      <c r="C5" s="6" t="n"/>
      <c r="D5" s="6" t="n"/>
      <c r="E5" s="6" t="n"/>
    </row>
    <row r="6">
      <c r="A6" s="3" t="inlineStr">
        <is>
          <t>Overall Compliance Rating:</t>
        </is>
      </c>
      <c r="B6" s="50">
        <f>IFERROR(AVERAGE('Summary Dashboard'!G7:G11),"")</f>
        <v/>
      </c>
      <c r="C6" s="6" t="n"/>
      <c r="D6" s="6" t="n"/>
      <c r="E6" s="6" t="n"/>
    </row>
    <row r="7">
      <c r="A7" s="3" t="inlineStr">
        <is>
          <t>Assessment Status:</t>
        </is>
      </c>
      <c r="B7" s="49" t="inlineStr"/>
      <c r="C7" s="6" t="n"/>
      <c r="D7" s="6" t="n"/>
      <c r="E7" s="6" t="n"/>
    </row>
    <row r="8">
      <c r="A8" s="3" t="inlineStr">
        <is>
          <t>Assessed By:</t>
        </is>
      </c>
      <c r="B8" s="49" t="inlineStr"/>
      <c r="C8" s="6" t="n"/>
      <c r="D8" s="6" t="n"/>
      <c r="E8" s="6" t="n"/>
    </row>
    <row r="11">
      <c r="A11" s="48" t="inlineStr">
        <is>
          <t>COMPLETED BY (ASSESSOR)</t>
        </is>
      </c>
      <c r="B11" s="6" t="n"/>
      <c r="C11" s="6" t="n"/>
      <c r="D11" s="6" t="n"/>
      <c r="E11" s="6" t="n"/>
    </row>
    <row r="12">
      <c r="A12" s="3" t="inlineStr">
        <is>
          <t>Name:</t>
        </is>
      </c>
      <c r="B12" s="49" t="n"/>
      <c r="C12" s="6" t="n"/>
      <c r="D12" s="6" t="n"/>
      <c r="E12" s="6" t="n"/>
    </row>
    <row r="13">
      <c r="A13" s="3" t="inlineStr">
        <is>
          <t>Title:</t>
        </is>
      </c>
      <c r="B13" s="49" t="n"/>
      <c r="C13" s="6" t="n"/>
      <c r="D13" s="6" t="n"/>
      <c r="E13" s="6" t="n"/>
    </row>
    <row r="14">
      <c r="A14" s="3" t="inlineStr">
        <is>
          <t>Date:</t>
        </is>
      </c>
      <c r="B14" s="49" t="n"/>
      <c r="C14" s="6" t="n"/>
      <c r="D14" s="6" t="n"/>
      <c r="E14" s="6" t="n"/>
    </row>
    <row r="15">
      <c r="A15" s="3" t="inlineStr">
        <is>
          <t>Signature:</t>
        </is>
      </c>
      <c r="B15" s="49" t="n"/>
      <c r="C15" s="6" t="n"/>
      <c r="D15" s="6" t="n"/>
      <c r="E15" s="6" t="n"/>
    </row>
    <row r="16">
      <c r="A16" s="3" t="inlineStr">
        <is>
          <t>Comments:</t>
        </is>
      </c>
      <c r="B16" s="49" t="n"/>
      <c r="C16" s="6" t="n"/>
      <c r="D16" s="6" t="n"/>
      <c r="E16" s="6" t="n"/>
    </row>
    <row r="18">
      <c r="A18" s="48" t="inlineStr">
        <is>
          <t>REVIEWED BY (INFORMATION SECURITY OFFICER)</t>
        </is>
      </c>
      <c r="B18" s="6" t="n"/>
      <c r="C18" s="6" t="n"/>
      <c r="D18" s="6" t="n"/>
      <c r="E18" s="6" t="n"/>
    </row>
    <row r="19">
      <c r="A19" s="3" t="inlineStr">
        <is>
          <t>Name:</t>
        </is>
      </c>
      <c r="B19" s="49" t="n"/>
      <c r="C19" s="6" t="n"/>
      <c r="D19" s="6" t="n"/>
      <c r="E19" s="6" t="n"/>
    </row>
    <row r="20">
      <c r="A20" s="3" t="inlineStr">
        <is>
          <t>Title:</t>
        </is>
      </c>
      <c r="B20" s="49" t="n"/>
      <c r="C20" s="6" t="n"/>
      <c r="D20" s="6" t="n"/>
      <c r="E20" s="6" t="n"/>
    </row>
    <row r="21">
      <c r="A21" s="3" t="inlineStr">
        <is>
          <t>Date:</t>
        </is>
      </c>
      <c r="B21" s="49" t="n"/>
      <c r="C21" s="6" t="n"/>
      <c r="D21" s="6" t="n"/>
      <c r="E21" s="6" t="n"/>
    </row>
    <row r="22">
      <c r="A22" s="3" t="inlineStr">
        <is>
          <t>Signature:</t>
        </is>
      </c>
      <c r="B22" s="49" t="n"/>
      <c r="C22" s="6" t="n"/>
      <c r="D22" s="6" t="n"/>
      <c r="E22" s="6" t="n"/>
    </row>
    <row r="23">
      <c r="A23" s="3" t="inlineStr">
        <is>
          <t>Comments:</t>
        </is>
      </c>
      <c r="B23" s="49" t="n"/>
      <c r="C23" s="6" t="n"/>
      <c r="D23" s="6" t="n"/>
      <c r="E23" s="6" t="n"/>
    </row>
    <row r="25">
      <c r="A25" s="51" t="inlineStr">
        <is>
          <t>APPROVED BY (CISO)</t>
        </is>
      </c>
      <c r="B25" s="6" t="n"/>
      <c r="C25" s="6" t="n"/>
      <c r="D25" s="6" t="n"/>
      <c r="E25" s="6" t="n"/>
    </row>
    <row r="26">
      <c r="A26" s="3" t="inlineStr">
        <is>
          <t>Name:</t>
        </is>
      </c>
      <c r="B26" s="49" t="n"/>
      <c r="C26" s="6" t="n"/>
      <c r="D26" s="6" t="n"/>
      <c r="E26" s="6" t="n"/>
    </row>
    <row r="27">
      <c r="A27" s="3" t="inlineStr">
        <is>
          <t>Title:</t>
        </is>
      </c>
      <c r="B27" s="49" t="n"/>
      <c r="C27" s="6" t="n"/>
      <c r="D27" s="6" t="n"/>
      <c r="E27" s="6" t="n"/>
    </row>
    <row r="28">
      <c r="A28" s="3" t="inlineStr">
        <is>
          <t>Date:</t>
        </is>
      </c>
      <c r="B28" s="49" t="n"/>
      <c r="C28" s="6" t="n"/>
      <c r="D28" s="6" t="n"/>
      <c r="E28" s="6" t="n"/>
    </row>
    <row r="29">
      <c r="A29" s="3" t="inlineStr">
        <is>
          <t>Signature:</t>
        </is>
      </c>
      <c r="B29" s="49" t="n"/>
      <c r="C29" s="6" t="n"/>
      <c r="D29" s="6" t="n"/>
      <c r="E29" s="6" t="n"/>
    </row>
    <row r="30">
      <c r="A30" s="3" t="inlineStr">
        <is>
          <t>Comments:</t>
        </is>
      </c>
      <c r="B30" s="49" t="n"/>
      <c r="C30" s="6" t="n"/>
      <c r="D30" s="6" t="n"/>
      <c r="E30" s="6" t="n"/>
    </row>
    <row r="32">
      <c r="A32" s="3" t="inlineStr">
        <is>
          <t>FINAL DECISION:</t>
        </is>
      </c>
      <c r="B32" s="49" t="n"/>
      <c r="C32" s="6" t="n"/>
      <c r="D32" s="6" t="n"/>
      <c r="E32" s="6" t="n"/>
    </row>
    <row r="35">
      <c r="A35" s="48" t="inlineStr">
        <is>
          <t>NEXT REVIEW DETAILS</t>
        </is>
      </c>
      <c r="B35" s="6" t="n"/>
      <c r="C35" s="6" t="n"/>
      <c r="D35" s="6" t="n"/>
      <c r="E35" s="6" t="n"/>
    </row>
    <row r="36">
      <c r="A36" s="3" t="inlineStr">
        <is>
          <t>Next Review Date:</t>
        </is>
      </c>
      <c r="B36" s="49" t="n"/>
      <c r="C36" s="6" t="n"/>
      <c r="D36" s="6" t="n"/>
      <c r="E36" s="6" t="n"/>
    </row>
    <row r="37">
      <c r="A37" s="3" t="inlineStr">
        <is>
          <t>Review Responsible:</t>
        </is>
      </c>
      <c r="B37" s="49" t="n"/>
      <c r="C37" s="6" t="n"/>
      <c r="D37" s="6" t="n"/>
      <c r="E37" s="6" t="n"/>
    </row>
    <row r="38">
      <c r="A38" s="3" t="inlineStr">
        <is>
          <t>Special Considerations:</t>
        </is>
      </c>
      <c r="B38" s="4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ISMS-IMP-A.5.1-2-6.1-2.S1 — Policy Framework Assessment Workbook</dc:title>
  <dc:description xmlns:dc="http://purl.org/dc/elements/1.1/">ISMS Implementation Workbook — ISMS-IMP-A.5.1-2-6.1-2.S1</dc:description>
  <dc:subject xmlns:dc="http://purl.org/dc/elements/1.1/">ISO/IEC 27001:2022 — Control A.5.1-2-6.1-2: Information Security Policies and Organisation</dc:subject>
  <dcterms:created xmlns:dcterms="http://purl.org/dc/terms/" xmlns:xsi="http://www.w3.org/2001/XMLSchema-instance" xsi:type="dcterms:W3CDTF">2026-03-07T11:28:35Z</dcterms:created>
  <dcterms:modified xmlns:dcterms="http://purl.org/dc/terms/" xmlns:xsi="http://www.w3.org/2001/XMLSchema-instance" xsi:type="dcterms:W3CDTF">2026-03-07T11:28:35Z</dcterms:modified>
  <cp:keywords>Policy, Governance, ISMS, ISO27001, A.5.1</cp:keywords>
</cp:coreProperties>
</file>