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creening Process Assessment" sheetId="2" state="visible" r:id="rId2"/>
    <sheet xmlns:r="http://schemas.openxmlformats.org/officeDocument/2006/relationships" name="Screening Level Matrix" sheetId="3" state="visible" r:id="rId3"/>
    <sheet xmlns:r="http://schemas.openxmlformats.org/officeDocument/2006/relationships" name="Personnel Screening Registry" sheetId="4" state="visible" r:id="rId4"/>
    <sheet xmlns:r="http://schemas.openxmlformats.org/officeDocument/2006/relationships" name="Screening Compliance Verif" sheetId="5" state="visible" r:id="rId5"/>
    <sheet xmlns:r="http://schemas.openxmlformats.org/officeDocument/2006/relationships" name="Continuous Screening Assessment" sheetId="6" state="visible" r:id="rId6"/>
    <sheet xmlns:r="http://schemas.openxmlformats.org/officeDocument/2006/relationships" name="Legal Compliance Review"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Role_Tier_List">'Screening Level Matrix'!$A$5:$A$66</definedName>
    <definedName name="Employee_ID_List">'Personnel Screening Registry'!$A$5:$A$54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color rgb="00000000"/>
      <sz val="10"/>
    </font>
    <font>
      <name val="Calibri"/>
      <i val="1"/>
      <color rgb="0080808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9" borderId="2" applyAlignment="1" pivotButton="0" quotePrefix="0" xfId="0">
      <alignment horizontal="left" vertical="top" wrapText="1"/>
    </xf>
    <xf numFmtId="0" fontId="8" fillId="10" borderId="2" applyAlignment="1" pivotButton="0" quotePrefix="0" xfId="0">
      <alignment horizontal="left" vertical="top" wrapText="1"/>
    </xf>
    <xf numFmtId="164" fontId="8" fillId="10" borderId="2" applyAlignment="1" pivotButton="0" quotePrefix="0" xfId="0">
      <alignment horizontal="left" vertical="top" wrapText="1"/>
    </xf>
    <xf numFmtId="0" fontId="9" fillId="11" borderId="1" pivotButton="0" quotePrefix="0" xfId="0"/>
    <xf numFmtId="164" fontId="8"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9" fillId="12" borderId="1" pivotButton="0" quotePrefix="0" xfId="0"/>
    <xf numFmtId="0" fontId="0" fillId="10"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0"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ISMS-IMP-A.5.1-2-6.1-2.S3  -  Screening Vetting Assessment Workbook
ISO/IEC 27001:2022 - Control A.5.1-2-6.1-2: Information Security Policies and Organisation</t>
        </is>
      </c>
    </row>
    <row r="3">
      <c r="A3" s="2" t="inlineStr">
        <is>
          <t>Document Information</t>
        </is>
      </c>
    </row>
    <row r="4">
      <c r="A4" s="3" t="inlineStr">
        <is>
          <t>Document ID</t>
        </is>
      </c>
      <c r="B4" t="inlineStr">
        <is>
          <t>ISMS-IMP-A.5.1-2-6.1-2.S3</t>
        </is>
      </c>
    </row>
    <row r="5">
      <c r="A5" s="3" t="inlineStr">
        <is>
          <t>Workbook Title</t>
        </is>
      </c>
      <c r="B5" t="inlineStr">
        <is>
          <t>Screening Vetting Assessment Workbook</t>
        </is>
      </c>
    </row>
    <row r="6">
      <c r="A6" s="3" t="inlineStr">
        <is>
          <t>Control Reference</t>
        </is>
      </c>
      <c r="B6" t="inlineStr">
        <is>
          <t>ISO/IEC 27001:2022 - Control A.5.1-2-6.1-2: Information Security Policies and Organisation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screening compliance overview.</t>
        </is>
      </c>
    </row>
    <row r="14">
      <c r="A14" t="inlineStr">
        <is>
          <t>2. Complete the Candidate Screening Register — record pre-employment checks per role.</t>
        </is>
      </c>
    </row>
    <row r="15">
      <c r="A15" t="inlineStr">
        <is>
          <t>3. Complete Background Verification — confirm identity, criminal record, and reference checks.</t>
        </is>
      </c>
    </row>
    <row r="16">
      <c r="A16" t="inlineStr">
        <is>
          <t>4. Complete the Role Risk Classification — assign screening tier by access level (Privileged/Standard/Limited).</t>
        </is>
      </c>
    </row>
    <row r="17">
      <c r="A17" t="inlineStr">
        <is>
          <t>5. Complete Third-Party Screening — verify contractors and vendors meet equivalent screening standards.</t>
        </is>
      </c>
    </row>
    <row r="18">
      <c r="A18" t="inlineStr">
        <is>
          <t>6. Complete Periodic Re-vetting — track renewal schedules for privileged access roles.</t>
        </is>
      </c>
    </row>
    <row r="19">
      <c r="A19" t="inlineStr">
        <is>
          <t>7. Review the Gap Analysis (auto-populated) — identify missing checks or expired screenings.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5" customWidth="1" min="3" max="3"/>
    <col width="12" customWidth="1" min="4" max="4"/>
    <col width="35" customWidth="1" min="5" max="5"/>
    <col width="15" customWidth="1" min="6" max="6"/>
    <col width="15" customWidth="1" min="7" max="7"/>
    <col width="35" customWidth="1" min="8" max="8"/>
    <col width="15" customWidth="1" min="9" max="9"/>
    <col width="12" customWidth="1" min="10" max="10"/>
    <col width="40" customWidth="1" min="11" max="11"/>
    <col width="40" customWidth="1" min="12" max="12"/>
  </cols>
  <sheetData>
    <row r="1" ht="35" customHeight="1">
      <c r="A1" s="11" t="inlineStr">
        <is>
          <t>SCREENING PROCESS ASSESSMENT</t>
        </is>
      </c>
    </row>
    <row r="2">
      <c r="A2" s="12" t="inlineStr">
        <is>
          <t>Verification of screening process documentation and implementation</t>
        </is>
      </c>
    </row>
    <row r="4">
      <c r="A4" s="13" t="inlineStr">
        <is>
          <t>Process ID</t>
        </is>
      </c>
      <c r="B4" s="13" t="inlineStr">
        <is>
          <t>Process Name</t>
        </is>
      </c>
      <c r="C4" s="13" t="inlineStr">
        <is>
          <t>Process Owner</t>
        </is>
      </c>
      <c r="D4" s="13" t="inlineStr">
        <is>
          <t>Documented</t>
        </is>
      </c>
      <c r="E4" s="13" t="inlineStr">
        <is>
          <t>Document Location</t>
        </is>
      </c>
      <c r="F4" s="13" t="inlineStr">
        <is>
          <t>Last Review Date</t>
        </is>
      </c>
      <c r="G4" s="13" t="inlineStr">
        <is>
          <t>Process Implemented</t>
        </is>
      </c>
      <c r="H4" s="13" t="inlineStr">
        <is>
          <t>Implementation Evidence</t>
        </is>
      </c>
      <c r="I4" s="13" t="inlineStr">
        <is>
          <t>Compliance Status</t>
        </is>
      </c>
      <c r="J4" s="13" t="inlineStr">
        <is>
          <t>Provider Governed</t>
        </is>
      </c>
      <c r="K4" s="13" t="inlineStr">
        <is>
          <t>Gap Description</t>
        </is>
      </c>
      <c r="L4" s="13" t="inlineStr">
        <is>
          <t>Notes</t>
        </is>
      </c>
    </row>
    <row r="5">
      <c r="A5" s="14" t="inlineStr">
        <is>
          <t>SP-01</t>
        </is>
      </c>
      <c r="B5" s="14" t="inlineStr">
        <is>
          <t>Pre-Employment Background Check Process</t>
        </is>
      </c>
      <c r="C5" s="15" t="n"/>
      <c r="D5" s="15" t="n"/>
      <c r="E5" s="15" t="n"/>
      <c r="F5" s="16" t="n"/>
      <c r="G5" s="15" t="n"/>
      <c r="H5" s="15" t="n"/>
      <c r="I5" s="15" t="n"/>
      <c r="J5" s="15" t="n"/>
      <c r="K5" s="15" t="n"/>
      <c r="L5" s="15" t="n"/>
    </row>
    <row r="6">
      <c r="A6" s="14" t="inlineStr">
        <is>
          <t>SP-02</t>
        </is>
      </c>
      <c r="B6" s="14" t="inlineStr">
        <is>
          <t>Identity Verification Process</t>
        </is>
      </c>
      <c r="C6" s="15" t="n"/>
      <c r="D6" s="15" t="n"/>
      <c r="E6" s="15" t="n"/>
      <c r="F6" s="16" t="n"/>
      <c r="G6" s="15" t="n"/>
      <c r="H6" s="15" t="n"/>
      <c r="I6" s="15" t="n"/>
      <c r="J6" s="15" t="n"/>
      <c r="K6" s="15" t="n"/>
      <c r="L6" s="15" t="n"/>
    </row>
    <row r="7">
      <c r="A7" s="14" t="inlineStr">
        <is>
          <t>SP-03</t>
        </is>
      </c>
      <c r="B7" s="14" t="inlineStr">
        <is>
          <t>Employment History Verification</t>
        </is>
      </c>
      <c r="C7" s="15" t="n"/>
      <c r="D7" s="15" t="n"/>
      <c r="E7" s="15" t="n"/>
      <c r="F7" s="16" t="n"/>
      <c r="G7" s="15" t="n"/>
      <c r="H7" s="15" t="n"/>
      <c r="I7" s="15" t="n"/>
      <c r="J7" s="15" t="n"/>
      <c r="K7" s="15" t="n"/>
      <c r="L7" s="15" t="n"/>
    </row>
    <row r="8">
      <c r="A8" s="14" t="inlineStr">
        <is>
          <t>SP-04</t>
        </is>
      </c>
      <c r="B8" s="14" t="inlineStr">
        <is>
          <t>Education Verification Process</t>
        </is>
      </c>
      <c r="C8" s="15" t="n"/>
      <c r="D8" s="15" t="n"/>
      <c r="E8" s="15" t="n"/>
      <c r="F8" s="16" t="n"/>
      <c r="G8" s="15" t="n"/>
      <c r="H8" s="15" t="n"/>
      <c r="I8" s="15" t="n"/>
      <c r="J8" s="15" t="n"/>
      <c r="K8" s="15" t="n"/>
      <c r="L8" s="15" t="n"/>
    </row>
    <row r="9">
      <c r="A9" s="14" t="inlineStr">
        <is>
          <t>SP-05</t>
        </is>
      </c>
      <c r="B9" s="14" t="inlineStr">
        <is>
          <t>Professional Certification Verification</t>
        </is>
      </c>
      <c r="C9" s="15" t="n"/>
      <c r="D9" s="15" t="n"/>
      <c r="E9" s="15" t="n"/>
      <c r="F9" s="16" t="n"/>
      <c r="G9" s="15" t="n"/>
      <c r="H9" s="15" t="n"/>
      <c r="I9" s="15" t="n"/>
      <c r="J9" s="15" t="n"/>
      <c r="K9" s="15" t="n"/>
      <c r="L9" s="15" t="n"/>
    </row>
    <row r="10">
      <c r="A10" s="14" t="inlineStr">
        <is>
          <t>SP-06</t>
        </is>
      </c>
      <c r="B10" s="14" t="inlineStr">
        <is>
          <t>Criminal Record Check Process</t>
        </is>
      </c>
      <c r="C10" s="15" t="n"/>
      <c r="D10" s="15" t="n"/>
      <c r="E10" s="15" t="n"/>
      <c r="F10" s="16" t="n"/>
      <c r="G10" s="15" t="n"/>
      <c r="H10" s="15" t="n"/>
      <c r="I10" s="15" t="n"/>
      <c r="J10" s="15" t="n"/>
      <c r="K10" s="15" t="n"/>
      <c r="L10" s="15" t="n"/>
    </row>
    <row r="11">
      <c r="A11" s="14" t="inlineStr">
        <is>
          <t>SP-07</t>
        </is>
      </c>
      <c r="B11" s="14" t="inlineStr">
        <is>
          <t>Credit Check Process (where applicable)</t>
        </is>
      </c>
      <c r="C11" s="15" t="n"/>
      <c r="D11" s="15" t="n"/>
      <c r="E11" s="15" t="n"/>
      <c r="F11" s="16" t="n"/>
      <c r="G11" s="15" t="n"/>
      <c r="H11" s="15" t="n"/>
      <c r="I11" s="15" t="n"/>
      <c r="J11" s="15" t="n"/>
      <c r="K11" s="15" t="n"/>
      <c r="L11" s="15" t="n"/>
    </row>
    <row r="12">
      <c r="A12" s="14" t="inlineStr">
        <is>
          <t>SP-08</t>
        </is>
      </c>
      <c r="B12" s="14" t="inlineStr">
        <is>
          <t>Reference Check Process</t>
        </is>
      </c>
      <c r="C12" s="15" t="n"/>
      <c r="D12" s="15" t="n"/>
      <c r="E12" s="15" t="n"/>
      <c r="F12" s="16" t="n"/>
      <c r="G12" s="15" t="n"/>
      <c r="H12" s="15" t="n"/>
      <c r="I12" s="15" t="n"/>
      <c r="J12" s="15" t="n"/>
      <c r="K12" s="15" t="n"/>
      <c r="L12" s="15" t="n"/>
    </row>
    <row r="13">
      <c r="A13" s="14" t="inlineStr">
        <is>
          <t>SP-09</t>
        </is>
      </c>
      <c r="B13" s="14" t="inlineStr">
        <is>
          <t>Right-to-Work Verification</t>
        </is>
      </c>
      <c r="C13" s="15" t="n"/>
      <c r="D13" s="15" t="n"/>
      <c r="E13" s="15" t="n"/>
      <c r="F13" s="16" t="n"/>
      <c r="G13" s="15" t="n"/>
      <c r="H13" s="15" t="n"/>
      <c r="I13" s="15" t="n"/>
      <c r="J13" s="15" t="n"/>
      <c r="K13" s="15" t="n"/>
      <c r="L13" s="15" t="n"/>
    </row>
    <row r="14">
      <c r="A14" s="14" t="inlineStr">
        <is>
          <t>SP-10</t>
        </is>
      </c>
      <c r="B14" s="14" t="inlineStr">
        <is>
          <t>Security Clearance Process</t>
        </is>
      </c>
      <c r="C14" s="15" t="n"/>
      <c r="D14" s="15" t="n"/>
      <c r="E14" s="15" t="n"/>
      <c r="F14" s="16" t="n"/>
      <c r="G14" s="15" t="n"/>
      <c r="H14" s="15" t="n"/>
      <c r="I14" s="15" t="n"/>
      <c r="J14" s="15" t="n"/>
      <c r="K14" s="15" t="n"/>
      <c r="L14" s="15" t="n"/>
    </row>
    <row r="15">
      <c r="A15" s="14" t="inlineStr">
        <is>
          <t>SP-11</t>
        </is>
      </c>
      <c r="B15" s="14" t="inlineStr">
        <is>
          <t>Contractor Screening Process</t>
        </is>
      </c>
      <c r="C15" s="15" t="n"/>
      <c r="D15" s="15" t="n"/>
      <c r="E15" s="15" t="n"/>
      <c r="F15" s="16" t="n"/>
      <c r="G15" s="15" t="n"/>
      <c r="H15" s="15" t="n"/>
      <c r="I15" s="15" t="n"/>
      <c r="J15" s="15" t="n"/>
      <c r="K15" s="15" t="n"/>
      <c r="L15" s="15" t="n"/>
    </row>
    <row r="16">
      <c r="A16" s="14" t="inlineStr">
        <is>
          <t>SP-12</t>
        </is>
      </c>
      <c r="B16" s="14" t="inlineStr">
        <is>
          <t>Third-Party Personnel Screening</t>
        </is>
      </c>
      <c r="C16" s="15" t="n"/>
      <c r="D16" s="15" t="n"/>
      <c r="E16" s="15" t="n"/>
      <c r="F16" s="16" t="n"/>
      <c r="G16" s="15" t="n"/>
      <c r="H16" s="15" t="n"/>
      <c r="I16" s="15" t="n"/>
      <c r="J16" s="15" t="n"/>
      <c r="K16" s="15" t="n"/>
      <c r="L16" s="15" t="n"/>
    </row>
    <row r="17">
      <c r="A17" s="14" t="inlineStr">
        <is>
          <t>SP-13</t>
        </is>
      </c>
      <c r="B17" s="14" t="inlineStr">
        <is>
          <t>Re-Screening Trigger Process</t>
        </is>
      </c>
      <c r="C17" s="15" t="n"/>
      <c r="D17" s="15" t="n"/>
      <c r="E17" s="15" t="n"/>
      <c r="F17" s="16" t="n"/>
      <c r="G17" s="15" t="n"/>
      <c r="H17" s="15" t="n"/>
      <c r="I17" s="15" t="n"/>
      <c r="J17" s="15" t="n"/>
      <c r="K17" s="15" t="n"/>
      <c r="L17" s="15" t="n"/>
    </row>
    <row r="18">
      <c r="A18" s="14" t="inlineStr">
        <is>
          <t>SP-14</t>
        </is>
      </c>
      <c r="B18" s="14" t="inlineStr">
        <is>
          <t>Screening Results Documentation</t>
        </is>
      </c>
      <c r="C18" s="15" t="n"/>
      <c r="D18" s="15" t="n"/>
      <c r="E18" s="15" t="n"/>
      <c r="F18" s="16" t="n"/>
      <c r="G18" s="15" t="n"/>
      <c r="H18" s="15" t="n"/>
      <c r="I18" s="15" t="n"/>
      <c r="J18" s="15" t="n"/>
      <c r="K18" s="15" t="n"/>
      <c r="L18" s="15" t="n"/>
    </row>
    <row r="19">
      <c r="A19" s="14" t="inlineStr">
        <is>
          <t>SP-15</t>
        </is>
      </c>
      <c r="B19" s="14" t="inlineStr">
        <is>
          <t>Screening Exception Handling</t>
        </is>
      </c>
      <c r="C19" s="15" t="n"/>
      <c r="D19" s="15" t="n"/>
      <c r="E19" s="15" t="n"/>
      <c r="F19" s="16" t="n"/>
      <c r="G19" s="15" t="n"/>
      <c r="H19" s="15" t="n"/>
      <c r="I19" s="15" t="n"/>
      <c r="J19" s="15" t="n"/>
      <c r="K19" s="15" t="n"/>
      <c r="L19" s="15" t="n"/>
    </row>
    <row r="20">
      <c r="A20" s="14" t="inlineStr">
        <is>
          <t>SP-16</t>
        </is>
      </c>
      <c r="B20" s="14" t="inlineStr">
        <is>
          <t>Screening Provider Management</t>
        </is>
      </c>
      <c r="C20" s="15" t="n"/>
      <c r="D20" s="15" t="n"/>
      <c r="E20" s="15" t="n"/>
      <c r="F20" s="16" t="n"/>
      <c r="G20" s="15" t="n"/>
      <c r="H20" s="15" t="n"/>
      <c r="I20" s="15" t="n"/>
      <c r="J20" s="15" t="n"/>
      <c r="K20" s="15" t="n"/>
      <c r="L20" s="15" t="n"/>
    </row>
    <row r="21">
      <c r="A21" s="14" t="inlineStr">
        <is>
          <t>SP-17</t>
        </is>
      </c>
      <c r="B21" s="14" t="inlineStr">
        <is>
          <t>Consent Management Process</t>
        </is>
      </c>
      <c r="C21" s="15" t="n"/>
      <c r="D21" s="15" t="n"/>
      <c r="E21" s="15" t="n"/>
      <c r="F21" s="16" t="n"/>
      <c r="G21" s="15" t="n"/>
      <c r="H21" s="15" t="n"/>
      <c r="I21" s="15" t="n"/>
      <c r="J21" s="15" t="n"/>
      <c r="K21" s="15" t="n"/>
      <c r="L21" s="15" t="n"/>
    </row>
    <row r="22">
      <c r="A22" s="14" t="inlineStr">
        <is>
          <t>SP-18</t>
        </is>
      </c>
      <c r="B22" s="14" t="inlineStr">
        <is>
          <t>Data Retention Process</t>
        </is>
      </c>
      <c r="C22" s="15" t="n"/>
      <c r="D22" s="15" t="n"/>
      <c r="E22" s="15" t="n"/>
      <c r="F22" s="16" t="n"/>
      <c r="G22" s="15" t="n"/>
      <c r="H22" s="15" t="n"/>
      <c r="I22" s="15" t="n"/>
      <c r="J22" s="15" t="n"/>
      <c r="K22" s="15" t="n"/>
      <c r="L22" s="15" t="n"/>
    </row>
    <row r="23">
      <c r="A23" s="14" t="inlineStr">
        <is>
          <t>SP-19</t>
        </is>
      </c>
      <c r="B23" s="14" t="inlineStr">
        <is>
          <t>Screening Appeals Process</t>
        </is>
      </c>
      <c r="C23" s="15" t="n"/>
      <c r="D23" s="15" t="n"/>
      <c r="E23" s="15" t="n"/>
      <c r="F23" s="16" t="n"/>
      <c r="G23" s="15" t="n"/>
      <c r="H23" s="15" t="n"/>
      <c r="I23" s="15" t="n"/>
      <c r="J23" s="15" t="n"/>
      <c r="K23" s="15" t="n"/>
      <c r="L23" s="15" t="n"/>
    </row>
    <row r="24">
      <c r="A24" s="14" t="inlineStr">
        <is>
          <t>SP-20</t>
        </is>
      </c>
      <c r="B24" s="14" t="inlineStr">
        <is>
          <t>Screening Audit Process</t>
        </is>
      </c>
      <c r="C24" s="15" t="n"/>
      <c r="D24" s="15" t="n"/>
      <c r="E24" s="15" t="n"/>
      <c r="F24" s="16" t="n"/>
      <c r="G24" s="15" t="n"/>
      <c r="H24" s="15" t="n"/>
      <c r="I24" s="15" t="n"/>
      <c r="J24" s="15" t="n"/>
      <c r="K24" s="15" t="n"/>
      <c r="L24" s="15" t="n"/>
    </row>
    <row r="25">
      <c r="A25" s="15" t="n"/>
      <c r="B25" s="15" t="n"/>
      <c r="C25" s="15" t="n"/>
      <c r="D25" s="15" t="n"/>
      <c r="E25" s="15" t="n"/>
      <c r="F25" s="16" t="n"/>
      <c r="G25" s="15" t="n"/>
      <c r="H25" s="15" t="n"/>
      <c r="I25" s="15" t="n"/>
      <c r="J25" s="15" t="n"/>
      <c r="K25" s="15" t="n"/>
      <c r="L25" s="15" t="n"/>
    </row>
    <row r="26">
      <c r="A26" s="15" t="n"/>
      <c r="B26" s="15" t="n"/>
      <c r="C26" s="15" t="n"/>
      <c r="D26" s="15" t="n"/>
      <c r="E26" s="15" t="n"/>
      <c r="F26" s="16" t="n"/>
      <c r="G26" s="15" t="n"/>
      <c r="H26" s="15" t="n"/>
      <c r="I26" s="15" t="n"/>
      <c r="J26" s="15" t="n"/>
      <c r="K26" s="15" t="n"/>
      <c r="L26" s="15" t="n"/>
    </row>
    <row r="27">
      <c r="A27" s="15" t="n"/>
      <c r="B27" s="15" t="n"/>
      <c r="C27" s="15" t="n"/>
      <c r="D27" s="15" t="n"/>
      <c r="E27" s="15" t="n"/>
      <c r="F27" s="16" t="n"/>
      <c r="G27" s="15" t="n"/>
      <c r="H27" s="15" t="n"/>
      <c r="I27" s="15" t="n"/>
      <c r="J27" s="15" t="n"/>
      <c r="K27" s="15" t="n"/>
      <c r="L27" s="15" t="n"/>
    </row>
    <row r="28">
      <c r="A28" s="15" t="n"/>
      <c r="B28" s="15" t="n"/>
      <c r="C28" s="15" t="n"/>
      <c r="D28" s="15" t="n"/>
      <c r="E28" s="15" t="n"/>
      <c r="F28" s="16" t="n"/>
      <c r="G28" s="15" t="n"/>
      <c r="H28" s="15" t="n"/>
      <c r="I28" s="15" t="n"/>
      <c r="J28" s="15" t="n"/>
      <c r="K28" s="15" t="n"/>
      <c r="L28" s="15" t="n"/>
    </row>
    <row r="29">
      <c r="A29" s="15" t="n"/>
      <c r="B29" s="15" t="n"/>
      <c r="C29" s="15" t="n"/>
      <c r="D29" s="15" t="n"/>
      <c r="E29" s="15" t="n"/>
      <c r="F29" s="16" t="n"/>
      <c r="G29" s="15" t="n"/>
      <c r="H29" s="15" t="n"/>
      <c r="I29" s="15" t="n"/>
      <c r="J29" s="15" t="n"/>
      <c r="K29" s="15" t="n"/>
      <c r="L29" s="15" t="n"/>
    </row>
    <row r="30">
      <c r="A30" s="15" t="n"/>
      <c r="B30" s="15" t="n"/>
      <c r="C30" s="15" t="n"/>
      <c r="D30" s="15" t="n"/>
      <c r="E30" s="15" t="n"/>
      <c r="F30" s="16" t="n"/>
      <c r="G30" s="15" t="n"/>
      <c r="H30" s="15" t="n"/>
      <c r="I30" s="15" t="n"/>
      <c r="J30" s="15" t="n"/>
      <c r="K30" s="15" t="n"/>
      <c r="L30" s="15" t="n"/>
    </row>
    <row r="31">
      <c r="A31" s="15" t="n"/>
      <c r="B31" s="15" t="n"/>
      <c r="C31" s="15" t="n"/>
      <c r="D31" s="15" t="n"/>
      <c r="E31" s="15" t="n"/>
      <c r="F31" s="16" t="n"/>
      <c r="G31" s="15" t="n"/>
      <c r="H31" s="15" t="n"/>
      <c r="I31" s="15" t="n"/>
      <c r="J31" s="15" t="n"/>
      <c r="K31" s="15" t="n"/>
      <c r="L31" s="15" t="n"/>
    </row>
    <row r="32">
      <c r="A32" s="15" t="n"/>
      <c r="B32" s="15" t="n"/>
      <c r="C32" s="15" t="n"/>
      <c r="D32" s="15" t="n"/>
      <c r="E32" s="15" t="n"/>
      <c r="F32" s="16" t="n"/>
      <c r="G32" s="15" t="n"/>
      <c r="H32" s="15" t="n"/>
      <c r="I32" s="15" t="n"/>
      <c r="J32" s="15" t="n"/>
      <c r="K32" s="15" t="n"/>
      <c r="L32" s="15" t="n"/>
    </row>
    <row r="33">
      <c r="A33" s="15" t="n"/>
      <c r="B33" s="15" t="n"/>
      <c r="C33" s="15" t="n"/>
      <c r="D33" s="15" t="n"/>
      <c r="E33" s="15" t="n"/>
      <c r="F33" s="16" t="n"/>
      <c r="G33" s="15" t="n"/>
      <c r="H33" s="15" t="n"/>
      <c r="I33" s="15" t="n"/>
      <c r="J33" s="15" t="n"/>
      <c r="K33" s="15" t="n"/>
      <c r="L33" s="15" t="n"/>
    </row>
    <row r="34">
      <c r="A34" s="15" t="n"/>
      <c r="B34" s="15" t="n"/>
      <c r="C34" s="15" t="n"/>
      <c r="D34" s="15" t="n"/>
      <c r="E34" s="15" t="n"/>
      <c r="F34" s="16" t="n"/>
      <c r="G34" s="15" t="n"/>
      <c r="H34" s="15" t="n"/>
      <c r="I34" s="15" t="n"/>
      <c r="J34" s="15" t="n"/>
      <c r="K34" s="15" t="n"/>
      <c r="L34" s="15" t="n"/>
    </row>
    <row r="35">
      <c r="A35" s="15" t="n"/>
      <c r="B35" s="15" t="n"/>
      <c r="C35" s="15" t="n"/>
      <c r="D35" s="15" t="n"/>
      <c r="E35" s="15" t="n"/>
      <c r="F35" s="16" t="n"/>
      <c r="G35" s="15" t="n"/>
      <c r="H35" s="15" t="n"/>
      <c r="I35" s="15" t="n"/>
      <c r="J35" s="15" t="n"/>
      <c r="K35" s="15" t="n"/>
      <c r="L35" s="15" t="n"/>
    </row>
    <row r="36">
      <c r="A36" s="15" t="n"/>
      <c r="B36" s="15" t="n"/>
      <c r="C36" s="15" t="n"/>
      <c r="D36" s="15" t="n"/>
      <c r="E36" s="15" t="n"/>
      <c r="F36" s="16" t="n"/>
      <c r="G36" s="15" t="n"/>
      <c r="H36" s="15" t="n"/>
      <c r="I36" s="15" t="n"/>
      <c r="J36" s="15" t="n"/>
      <c r="K36" s="15" t="n"/>
      <c r="L36" s="15" t="n"/>
    </row>
    <row r="37">
      <c r="A37" s="15" t="n"/>
      <c r="B37" s="15" t="n"/>
      <c r="C37" s="15" t="n"/>
      <c r="D37" s="15" t="n"/>
      <c r="E37" s="15" t="n"/>
      <c r="F37" s="16" t="n"/>
      <c r="G37" s="15" t="n"/>
      <c r="H37" s="15" t="n"/>
      <c r="I37" s="15" t="n"/>
      <c r="J37" s="15" t="n"/>
      <c r="K37" s="15" t="n"/>
      <c r="L37" s="15" t="n"/>
    </row>
    <row r="38">
      <c r="A38" s="15" t="n"/>
      <c r="B38" s="15" t="n"/>
      <c r="C38" s="15" t="n"/>
      <c r="D38" s="15" t="n"/>
      <c r="E38" s="15" t="n"/>
      <c r="F38" s="16" t="n"/>
      <c r="G38" s="15" t="n"/>
      <c r="H38" s="15" t="n"/>
      <c r="I38" s="15" t="n"/>
      <c r="J38" s="15" t="n"/>
      <c r="K38" s="15" t="n"/>
      <c r="L38" s="15" t="n"/>
    </row>
    <row r="39">
      <c r="A39" s="15" t="n"/>
      <c r="B39" s="15" t="n"/>
      <c r="C39" s="15" t="n"/>
      <c r="D39" s="15" t="n"/>
      <c r="E39" s="15" t="n"/>
      <c r="F39" s="16" t="n"/>
      <c r="G39" s="15" t="n"/>
      <c r="H39" s="15" t="n"/>
      <c r="I39" s="15" t="n"/>
      <c r="J39" s="15" t="n"/>
      <c r="K39" s="15" t="n"/>
      <c r="L39" s="15" t="n"/>
    </row>
    <row r="40">
      <c r="A40" s="15" t="n"/>
      <c r="B40" s="15" t="n"/>
      <c r="C40" s="15" t="n"/>
      <c r="D40" s="15" t="n"/>
      <c r="E40" s="15" t="n"/>
      <c r="F40" s="16" t="n"/>
      <c r="G40" s="15" t="n"/>
      <c r="H40" s="15" t="n"/>
      <c r="I40" s="15" t="n"/>
      <c r="J40" s="15" t="n"/>
      <c r="K40" s="15" t="n"/>
      <c r="L40" s="15" t="n"/>
    </row>
    <row r="41">
      <c r="A41" s="15" t="n"/>
      <c r="B41" s="15" t="n"/>
      <c r="C41" s="15" t="n"/>
      <c r="D41" s="15" t="n"/>
      <c r="E41" s="15" t="n"/>
      <c r="F41" s="16" t="n"/>
      <c r="G41" s="15" t="n"/>
      <c r="H41" s="15" t="n"/>
      <c r="I41" s="15" t="n"/>
      <c r="J41" s="15" t="n"/>
      <c r="K41" s="15" t="n"/>
      <c r="L41" s="15" t="n"/>
    </row>
    <row r="42">
      <c r="A42" s="15" t="n"/>
      <c r="B42" s="15" t="n"/>
      <c r="C42" s="15" t="n"/>
      <c r="D42" s="15" t="n"/>
      <c r="E42" s="15" t="n"/>
      <c r="F42" s="16" t="n"/>
      <c r="G42" s="15" t="n"/>
      <c r="H42" s="15" t="n"/>
      <c r="I42" s="15" t="n"/>
      <c r="J42" s="15" t="n"/>
      <c r="K42" s="15" t="n"/>
      <c r="L42" s="15" t="n"/>
    </row>
    <row r="43">
      <c r="A43" s="15" t="n"/>
      <c r="B43" s="15" t="n"/>
      <c r="C43" s="15" t="n"/>
      <c r="D43" s="15" t="n"/>
      <c r="E43" s="15" t="n"/>
      <c r="F43" s="16" t="n"/>
      <c r="G43" s="15" t="n"/>
      <c r="H43" s="15" t="n"/>
      <c r="I43" s="15" t="n"/>
      <c r="J43" s="15" t="n"/>
      <c r="K43" s="15" t="n"/>
      <c r="L43" s="15" t="n"/>
    </row>
    <row r="44">
      <c r="A44" s="15" t="n"/>
      <c r="B44" s="15" t="n"/>
      <c r="C44" s="15" t="n"/>
      <c r="D44" s="15" t="n"/>
      <c r="E44" s="15" t="n"/>
      <c r="F44" s="16" t="n"/>
      <c r="G44" s="15" t="n"/>
      <c r="H44" s="15" t="n"/>
      <c r="I44" s="15" t="n"/>
      <c r="J44" s="15" t="n"/>
      <c r="K44" s="15" t="n"/>
      <c r="L44" s="15" t="n"/>
    </row>
    <row r="45">
      <c r="A45" s="15" t="n"/>
      <c r="B45" s="15" t="n"/>
      <c r="C45" s="15" t="n"/>
      <c r="D45" s="15" t="n"/>
      <c r="E45" s="15" t="n"/>
      <c r="F45" s="16" t="n"/>
      <c r="G45" s="15" t="n"/>
      <c r="H45" s="15" t="n"/>
      <c r="I45" s="15" t="n"/>
      <c r="J45" s="15" t="n"/>
      <c r="K45" s="15" t="n"/>
      <c r="L45" s="15" t="n"/>
    </row>
    <row r="46">
      <c r="A46" s="15" t="n"/>
      <c r="B46" s="15" t="n"/>
      <c r="C46" s="15" t="n"/>
      <c r="D46" s="15" t="n"/>
      <c r="E46" s="15" t="n"/>
      <c r="F46" s="16" t="n"/>
      <c r="G46" s="15" t="n"/>
      <c r="H46" s="15" t="n"/>
      <c r="I46" s="15" t="n"/>
      <c r="J46" s="15" t="n"/>
      <c r="K46" s="15" t="n"/>
      <c r="L46" s="15" t="n"/>
    </row>
    <row r="47">
      <c r="A47" s="15" t="n"/>
      <c r="B47" s="15" t="n"/>
      <c r="C47" s="15" t="n"/>
      <c r="D47" s="15" t="n"/>
      <c r="E47" s="15" t="n"/>
      <c r="F47" s="16" t="n"/>
      <c r="G47" s="15" t="n"/>
      <c r="H47" s="15" t="n"/>
      <c r="I47" s="15" t="n"/>
      <c r="J47" s="15" t="n"/>
      <c r="K47" s="15" t="n"/>
      <c r="L47" s="15" t="n"/>
    </row>
    <row r="48">
      <c r="A48" s="15" t="n"/>
      <c r="B48" s="15" t="n"/>
      <c r="C48" s="15" t="n"/>
      <c r="D48" s="15" t="n"/>
      <c r="E48" s="15" t="n"/>
      <c r="F48" s="16" t="n"/>
      <c r="G48" s="15" t="n"/>
      <c r="H48" s="15" t="n"/>
      <c r="I48" s="15" t="n"/>
      <c r="J48" s="15" t="n"/>
      <c r="K48" s="15" t="n"/>
      <c r="L48" s="15" t="n"/>
    </row>
    <row r="49">
      <c r="A49" s="15" t="n"/>
      <c r="B49" s="15" t="n"/>
      <c r="C49" s="15" t="n"/>
      <c r="D49" s="15" t="n"/>
      <c r="E49" s="15" t="n"/>
      <c r="F49" s="16" t="n"/>
      <c r="G49" s="15" t="n"/>
      <c r="H49" s="15" t="n"/>
      <c r="I49" s="15" t="n"/>
      <c r="J49" s="15" t="n"/>
      <c r="K49" s="15" t="n"/>
      <c r="L49" s="15" t="n"/>
    </row>
    <row r="50">
      <c r="A50" s="15" t="n"/>
      <c r="B50" s="15" t="n"/>
      <c r="C50" s="15" t="n"/>
      <c r="D50" s="15" t="n"/>
      <c r="E50" s="15" t="n"/>
      <c r="F50" s="16" t="n"/>
      <c r="G50" s="15" t="n"/>
      <c r="H50" s="15" t="n"/>
      <c r="I50" s="15" t="n"/>
      <c r="J50" s="15" t="n"/>
      <c r="K50" s="15" t="n"/>
      <c r="L50" s="15" t="n"/>
    </row>
    <row r="51">
      <c r="A51" s="15" t="n"/>
      <c r="B51" s="15" t="n"/>
      <c r="C51" s="15" t="n"/>
      <c r="D51" s="15" t="n"/>
      <c r="E51" s="15" t="n"/>
      <c r="F51" s="16" t="n"/>
      <c r="G51" s="15" t="n"/>
      <c r="H51" s="15" t="n"/>
      <c r="I51" s="15" t="n"/>
      <c r="J51" s="15" t="n"/>
      <c r="K51" s="15" t="n"/>
      <c r="L51" s="15" t="n"/>
    </row>
    <row r="52">
      <c r="A52" s="15" t="n"/>
      <c r="B52" s="15" t="n"/>
      <c r="C52" s="15" t="n"/>
      <c r="D52" s="15" t="n"/>
      <c r="E52" s="15" t="n"/>
      <c r="F52" s="16" t="n"/>
      <c r="G52" s="15" t="n"/>
      <c r="H52" s="15" t="n"/>
      <c r="I52" s="15" t="n"/>
      <c r="J52" s="15" t="n"/>
      <c r="K52" s="15" t="n"/>
      <c r="L52" s="15" t="n"/>
    </row>
    <row r="53">
      <c r="A53" s="15" t="n"/>
      <c r="B53" s="15" t="n"/>
      <c r="C53" s="15" t="n"/>
      <c r="D53" s="15" t="n"/>
      <c r="E53" s="15" t="n"/>
      <c r="F53" s="16" t="n"/>
      <c r="G53" s="15" t="n"/>
      <c r="H53" s="15" t="n"/>
      <c r="I53" s="15" t="n"/>
      <c r="J53" s="15" t="n"/>
      <c r="K53" s="15" t="n"/>
      <c r="L53" s="15" t="n"/>
    </row>
    <row r="54">
      <c r="A54" s="15" t="n"/>
      <c r="B54" s="15" t="n"/>
      <c r="C54" s="15" t="n"/>
      <c r="D54" s="15" t="n"/>
      <c r="E54" s="15" t="n"/>
      <c r="F54" s="16" t="n"/>
      <c r="G54" s="15" t="n"/>
      <c r="H54" s="15" t="n"/>
      <c r="I54" s="15" t="n"/>
      <c r="J54" s="15" t="n"/>
      <c r="K54" s="15" t="n"/>
      <c r="L54" s="15" t="n"/>
    </row>
    <row r="55">
      <c r="A55" s="15" t="n"/>
      <c r="B55" s="15" t="n"/>
      <c r="C55" s="15" t="n"/>
      <c r="D55" s="15" t="n"/>
      <c r="E55" s="15" t="n"/>
      <c r="F55" s="16" t="n"/>
      <c r="G55" s="15" t="n"/>
      <c r="H55" s="15" t="n"/>
      <c r="I55" s="15" t="n"/>
      <c r="J55" s="15" t="n"/>
      <c r="K55" s="15" t="n"/>
      <c r="L55" s="15" t="n"/>
    </row>
    <row r="56">
      <c r="A56" s="15" t="n"/>
      <c r="B56" s="15" t="n"/>
      <c r="C56" s="15" t="n"/>
      <c r="D56" s="15" t="n"/>
      <c r="E56" s="15" t="n"/>
      <c r="F56" s="16" t="n"/>
      <c r="G56" s="15" t="n"/>
      <c r="H56" s="15" t="n"/>
      <c r="I56" s="15" t="n"/>
      <c r="J56" s="15" t="n"/>
      <c r="K56" s="15" t="n"/>
      <c r="L56" s="15" t="n"/>
    </row>
    <row r="57">
      <c r="A57" s="15" t="n"/>
      <c r="B57" s="15" t="n"/>
      <c r="C57" s="15" t="n"/>
      <c r="D57" s="15" t="n"/>
      <c r="E57" s="15" t="n"/>
      <c r="F57" s="16" t="n"/>
      <c r="G57" s="15" t="n"/>
      <c r="H57" s="15" t="n"/>
      <c r="I57" s="15" t="n"/>
      <c r="J57" s="15" t="n"/>
      <c r="K57" s="15" t="n"/>
      <c r="L57" s="15" t="n"/>
    </row>
    <row r="58">
      <c r="A58" s="15" t="n"/>
      <c r="B58" s="15" t="n"/>
      <c r="C58" s="15" t="n"/>
      <c r="D58" s="15" t="n"/>
      <c r="E58" s="15" t="n"/>
      <c r="F58" s="16" t="n"/>
      <c r="G58" s="15" t="n"/>
      <c r="H58" s="15" t="n"/>
      <c r="I58" s="15" t="n"/>
      <c r="J58" s="15" t="n"/>
      <c r="K58" s="15" t="n"/>
      <c r="L58" s="15" t="n"/>
    </row>
    <row r="59">
      <c r="A59" s="15" t="n"/>
      <c r="B59" s="15" t="n"/>
      <c r="C59" s="15" t="n"/>
      <c r="D59" s="15" t="n"/>
      <c r="E59" s="15" t="n"/>
      <c r="F59" s="16" t="n"/>
      <c r="G59" s="15" t="n"/>
      <c r="H59" s="15" t="n"/>
      <c r="I59" s="15" t="n"/>
      <c r="J59" s="15" t="n"/>
      <c r="K59" s="15" t="n"/>
      <c r="L59" s="15" t="n"/>
    </row>
    <row r="60">
      <c r="A60" s="15" t="n"/>
      <c r="B60" s="15" t="n"/>
      <c r="C60" s="15" t="n"/>
      <c r="D60" s="15" t="n"/>
      <c r="E60" s="15" t="n"/>
      <c r="F60" s="16" t="n"/>
      <c r="G60" s="15" t="n"/>
      <c r="H60" s="15" t="n"/>
      <c r="I60" s="15" t="n"/>
      <c r="J60" s="15" t="n"/>
      <c r="K60" s="15" t="n"/>
      <c r="L60" s="15" t="n"/>
    </row>
    <row r="61">
      <c r="A61" s="15" t="n"/>
      <c r="B61" s="15" t="n"/>
      <c r="C61" s="15" t="n"/>
      <c r="D61" s="15" t="n"/>
      <c r="E61" s="15" t="n"/>
      <c r="F61" s="16" t="n"/>
      <c r="G61" s="15" t="n"/>
      <c r="H61" s="15" t="n"/>
      <c r="I61" s="15" t="n"/>
      <c r="J61" s="15" t="n"/>
      <c r="K61" s="15" t="n"/>
      <c r="L61" s="15" t="n"/>
    </row>
    <row r="62">
      <c r="A62" s="15" t="n"/>
      <c r="B62" s="15" t="n"/>
      <c r="C62" s="15" t="n"/>
      <c r="D62" s="15" t="n"/>
      <c r="E62" s="15" t="n"/>
      <c r="F62" s="16" t="n"/>
      <c r="G62" s="15" t="n"/>
      <c r="H62" s="15" t="n"/>
      <c r="I62" s="15" t="n"/>
      <c r="J62" s="15" t="n"/>
      <c r="K62" s="15" t="n"/>
      <c r="L62" s="15" t="n"/>
    </row>
    <row r="63">
      <c r="A63" s="15" t="n"/>
      <c r="B63" s="15" t="n"/>
      <c r="C63" s="15" t="n"/>
      <c r="D63" s="15" t="n"/>
      <c r="E63" s="15" t="n"/>
      <c r="F63" s="16" t="n"/>
      <c r="G63" s="15" t="n"/>
      <c r="H63" s="15" t="n"/>
      <c r="I63" s="15" t="n"/>
      <c r="J63" s="15" t="n"/>
      <c r="K63" s="15" t="n"/>
      <c r="L63" s="15" t="n"/>
    </row>
    <row r="64">
      <c r="A64" s="15" t="n"/>
      <c r="B64" s="15" t="n"/>
      <c r="C64" s="15" t="n"/>
      <c r="D64" s="15" t="n"/>
      <c r="E64" s="15" t="n"/>
      <c r="F64" s="16" t="n"/>
      <c r="G64" s="15" t="n"/>
      <c r="H64" s="15" t="n"/>
      <c r="I64" s="15" t="n"/>
      <c r="J64" s="15" t="n"/>
      <c r="K64" s="15" t="n"/>
      <c r="L64" s="15" t="n"/>
    </row>
    <row r="65">
      <c r="A65" s="15" t="n"/>
      <c r="B65" s="15" t="n"/>
      <c r="C65" s="15" t="n"/>
      <c r="D65" s="15" t="n"/>
      <c r="E65" s="15" t="n"/>
      <c r="F65" s="16" t="n"/>
      <c r="G65" s="15" t="n"/>
      <c r="H65" s="15" t="n"/>
      <c r="I65" s="15" t="n"/>
      <c r="J65" s="15" t="n"/>
      <c r="K65" s="15" t="n"/>
      <c r="L65" s="15" t="n"/>
    </row>
    <row r="66">
      <c r="A66" s="15" t="n"/>
      <c r="B66" s="15" t="n"/>
      <c r="C66" s="15" t="n"/>
      <c r="D66" s="15" t="n"/>
      <c r="E66" s="15" t="n"/>
      <c r="F66" s="16" t="n"/>
      <c r="G66" s="15" t="n"/>
      <c r="H66" s="15" t="n"/>
      <c r="I66" s="15" t="n"/>
      <c r="J66" s="15" t="n"/>
      <c r="K66" s="15" t="n"/>
      <c r="L66" s="15" t="n"/>
    </row>
    <row r="67">
      <c r="A67" s="15" t="n"/>
      <c r="B67" s="15" t="n"/>
      <c r="C67" s="15" t="n"/>
      <c r="D67" s="15" t="n"/>
      <c r="E67" s="15" t="n"/>
      <c r="F67" s="16" t="n"/>
      <c r="G67" s="15" t="n"/>
      <c r="H67" s="15" t="n"/>
      <c r="I67" s="15" t="n"/>
      <c r="J67" s="15" t="n"/>
      <c r="K67" s="15" t="n"/>
      <c r="L67" s="15" t="n"/>
    </row>
    <row r="68">
      <c r="A68" s="15" t="n"/>
      <c r="B68" s="15" t="n"/>
      <c r="C68" s="15" t="n"/>
      <c r="D68" s="15" t="n"/>
      <c r="E68" s="15" t="n"/>
      <c r="F68" s="16" t="n"/>
      <c r="G68" s="15" t="n"/>
      <c r="H68" s="15" t="n"/>
      <c r="I68" s="15" t="n"/>
      <c r="J68" s="15" t="n"/>
      <c r="K68" s="15" t="n"/>
      <c r="L68" s="15" t="n"/>
    </row>
    <row r="69">
      <c r="A69" s="15" t="n"/>
      <c r="B69" s="15" t="n"/>
      <c r="C69" s="15" t="n"/>
      <c r="D69" s="15" t="n"/>
      <c r="E69" s="15" t="n"/>
      <c r="F69" s="16" t="n"/>
      <c r="G69" s="15" t="n"/>
      <c r="H69" s="15" t="n"/>
      <c r="I69" s="15" t="n"/>
      <c r="J69" s="15" t="n"/>
      <c r="K69" s="15" t="n"/>
      <c r="L69" s="15" t="n"/>
    </row>
    <row r="70">
      <c r="A70" s="15" t="n"/>
      <c r="B70" s="15" t="n"/>
      <c r="C70" s="15" t="n"/>
      <c r="D70" s="15" t="n"/>
      <c r="E70" s="15" t="n"/>
      <c r="F70" s="16" t="n"/>
      <c r="G70" s="15" t="n"/>
      <c r="H70" s="15" t="n"/>
      <c r="I70" s="15" t="n"/>
      <c r="J70" s="15" t="n"/>
      <c r="K70" s="15" t="n"/>
      <c r="L70" s="15" t="n"/>
    </row>
    <row r="71">
      <c r="A71" s="15" t="n"/>
      <c r="B71" s="15" t="n"/>
      <c r="C71" s="15" t="n"/>
      <c r="D71" s="15" t="n"/>
      <c r="E71" s="15" t="n"/>
      <c r="F71" s="16" t="n"/>
      <c r="G71" s="15" t="n"/>
      <c r="H71" s="15" t="n"/>
      <c r="I71" s="15" t="n"/>
      <c r="J71" s="15" t="n"/>
      <c r="K71" s="15" t="n"/>
      <c r="L71" s="15" t="n"/>
    </row>
    <row r="72">
      <c r="A72" s="15" t="n"/>
      <c r="B72" s="15" t="n"/>
      <c r="C72" s="15" t="n"/>
      <c r="D72" s="15" t="n"/>
      <c r="E72" s="15" t="n"/>
      <c r="F72" s="16" t="n"/>
      <c r="G72" s="15" t="n"/>
      <c r="H72" s="15" t="n"/>
      <c r="I72" s="15" t="n"/>
      <c r="J72" s="15" t="n"/>
      <c r="K72" s="15" t="n"/>
      <c r="L72" s="15" t="n"/>
    </row>
    <row r="73">
      <c r="A73" s="15" t="n"/>
      <c r="B73" s="15" t="n"/>
      <c r="C73" s="15" t="n"/>
      <c r="D73" s="15" t="n"/>
      <c r="E73" s="15" t="n"/>
      <c r="F73" s="16" t="n"/>
      <c r="G73" s="15" t="n"/>
      <c r="H73" s="15" t="n"/>
      <c r="I73" s="15" t="n"/>
      <c r="J73" s="15" t="n"/>
      <c r="K73" s="15" t="n"/>
      <c r="L73" s="15" t="n"/>
    </row>
    <row r="74">
      <c r="A74" s="15" t="n"/>
      <c r="B74" s="15" t="n"/>
      <c r="C74" s="15" t="n"/>
      <c r="D74" s="15" t="n"/>
      <c r="E74" s="15" t="n"/>
      <c r="F74" s="16" t="n"/>
      <c r="G74" s="15" t="n"/>
      <c r="H74" s="15" t="n"/>
      <c r="I74" s="15" t="n"/>
      <c r="J74" s="15" t="n"/>
      <c r="K74" s="15" t="n"/>
      <c r="L74" s="15" t="n"/>
    </row>
  </sheetData>
  <mergeCells count="2">
    <mergeCell ref="A2:L2"/>
    <mergeCell ref="A1:L1"/>
  </mergeCells>
  <dataValidations count="4">
    <dataValidation sqref="D5:D74" showDropDown="0" showInputMessage="0" showErrorMessage="1" allowBlank="1" errorTitle="Invalid Entry" error="Please select from dropdown" type="list">
      <formula1>"Yes,Partial,No"</formula1>
    </dataValidation>
    <dataValidation sqref="G5:G74" showDropDown="0" showInputMessage="0" showErrorMessage="1" allowBlank="1" errorTitle="Invalid Entry" error="Please select from dropdown" type="list">
      <formula1>"Yes,Partial,No,Not-Required"</formula1>
    </dataValidation>
    <dataValidation sqref="I5:I74" showDropDown="0" showInputMessage="0" showErrorMessage="1" allowBlank="1" errorTitle="Invalid Entry" error="Please select from dropdown" type="list">
      <formula1>"Compliant,Partial,Non-Compliant"</formula1>
    </dataValidation>
    <dataValidation sqref="J5:J7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0" customWidth="1" min="4" max="4"/>
    <col width="12" customWidth="1" min="5" max="5"/>
    <col width="12" customWidth="1" min="6" max="6"/>
    <col width="12" customWidth="1" min="7" max="7"/>
    <col width="12" customWidth="1" min="8" max="8"/>
    <col width="12" customWidth="1" min="9" max="9"/>
    <col width="40" customWidth="1" min="10" max="10"/>
    <col width="40" customWidth="1" min="11" max="11"/>
  </cols>
  <sheetData>
    <row r="1" ht="35" customHeight="1">
      <c r="A1" s="11" t="inlineStr">
        <is>
          <t>SCREENING LEVEL MATRIX</t>
        </is>
      </c>
    </row>
    <row r="2">
      <c r="A2" s="12" t="inlineStr">
        <is>
          <t>Role sensitivity tier to screening level mapping and requirements</t>
        </is>
      </c>
    </row>
    <row r="3">
      <c r="A3" s="13" t="inlineStr">
        <is>
          <t>Role Tier</t>
        </is>
      </c>
      <c r="B3" s="13" t="inlineStr">
        <is>
          <t>Role Category</t>
        </is>
      </c>
      <c r="C3" s="13" t="inlineStr">
        <is>
          <t>Example Roles</t>
        </is>
      </c>
      <c r="D3" s="13" t="inlineStr">
        <is>
          <t>Required Screening Level</t>
        </is>
      </c>
      <c r="E3" s="13" t="inlineStr">
        <is>
          <t>Identity Check</t>
        </is>
      </c>
      <c r="F3" s="13" t="inlineStr">
        <is>
          <t>Employment History</t>
        </is>
      </c>
      <c r="G3" s="13" t="inlineStr">
        <is>
          <t>Criminal Check</t>
        </is>
      </c>
      <c r="H3" s="13" t="inlineStr">
        <is>
          <t>Credit Check</t>
        </is>
      </c>
      <c r="I3" s="13" t="inlineStr">
        <is>
          <t>Mapping Documented</t>
        </is>
      </c>
      <c r="J3" s="13" t="inlineStr">
        <is>
          <t>Gap Description</t>
        </is>
      </c>
      <c r="K3" s="13" t="inlineStr">
        <is>
          <t>Notes</t>
        </is>
      </c>
    </row>
    <row r="4">
      <c r="A4" s="17" t="inlineStr">
        <is>
          <t>Custom-Tier</t>
        </is>
      </c>
      <c r="B4" s="17" t="inlineStr">
        <is>
          <t>Example Role Category</t>
        </is>
      </c>
      <c r="C4" s="17" t="inlineStr">
        <is>
          <t>Example role titles in this category</t>
        </is>
      </c>
      <c r="D4" s="17" t="inlineStr">
        <is>
          <t>Standard</t>
        </is>
      </c>
      <c r="E4" s="17" t="inlineStr">
        <is>
          <t>Required</t>
        </is>
      </c>
      <c r="F4" s="17" t="inlineStr">
        <is>
          <t>Required</t>
        </is>
      </c>
      <c r="G4" s="17" t="inlineStr">
        <is>
          <t>Not-Required</t>
        </is>
      </c>
      <c r="H4" s="17" t="inlineStr">
        <is>
          <t>Not-Required</t>
        </is>
      </c>
      <c r="I4" s="17" t="inlineStr">
        <is>
          <t>Yes</t>
        </is>
      </c>
      <c r="J4" s="17" t="inlineStr"/>
      <c r="K4" s="17" t="inlineStr">
        <is>
          <t>Example entry — replace with your custom tier definition</t>
        </is>
      </c>
    </row>
    <row r="5">
      <c r="A5" s="14" t="inlineStr">
        <is>
          <t>Tier-1</t>
        </is>
      </c>
      <c r="B5" s="14" t="inlineStr">
        <is>
          <t>Executive/C-Suite</t>
        </is>
      </c>
      <c r="C5" s="14" t="inlineStr">
        <is>
          <t>CEO, CFO, CTO, CISO</t>
        </is>
      </c>
      <c r="D5" s="15" t="inlineStr">
        <is>
          <t>Enhanced</t>
        </is>
      </c>
      <c r="E5" s="15" t="n"/>
      <c r="F5" s="15" t="n"/>
      <c r="G5" s="15" t="n"/>
      <c r="H5" s="15" t="n"/>
      <c r="I5" s="15" t="n"/>
      <c r="J5" s="15" t="n"/>
      <c r="K5" s="15" t="n"/>
    </row>
    <row r="6">
      <c r="A6" s="14" t="inlineStr">
        <is>
          <t>Tier-2</t>
        </is>
      </c>
      <c r="B6" s="14" t="inlineStr">
        <is>
          <t>Senior Management</t>
        </is>
      </c>
      <c r="C6" s="14" t="inlineStr">
        <is>
          <t>Directors, VPs, Department Heads</t>
        </is>
      </c>
      <c r="D6" s="15" t="inlineStr">
        <is>
          <t>Enhanced</t>
        </is>
      </c>
      <c r="E6" s="15" t="n"/>
      <c r="F6" s="15" t="n"/>
      <c r="G6" s="15" t="n"/>
      <c r="H6" s="15" t="n"/>
      <c r="I6" s="15" t="n"/>
      <c r="J6" s="15" t="n"/>
      <c r="K6" s="15" t="n"/>
    </row>
    <row r="7">
      <c r="A7" s="14" t="inlineStr">
        <is>
          <t>Tier-3</t>
        </is>
      </c>
      <c r="B7" s="14" t="inlineStr">
        <is>
          <t>Information Security</t>
        </is>
      </c>
      <c r="C7" s="14" t="inlineStr">
        <is>
          <t>Security Analysts, SOC Staff, Admins</t>
        </is>
      </c>
      <c r="D7" s="15" t="inlineStr">
        <is>
          <t>Enhanced</t>
        </is>
      </c>
      <c r="E7" s="15" t="n"/>
      <c r="F7" s="15" t="n"/>
      <c r="G7" s="15" t="n"/>
      <c r="H7" s="15" t="n"/>
      <c r="I7" s="15" t="n"/>
      <c r="J7" s="15" t="n"/>
      <c r="K7" s="15" t="n"/>
    </row>
    <row r="8">
      <c r="A8" s="14" t="inlineStr">
        <is>
          <t>Tier-4</t>
        </is>
      </c>
      <c r="B8" s="14" t="inlineStr">
        <is>
          <t>IT Privileged Access</t>
        </is>
      </c>
      <c r="C8" s="14" t="inlineStr">
        <is>
          <t>System Admins, DBAs, Network Engineers</t>
        </is>
      </c>
      <c r="D8" s="15" t="inlineStr">
        <is>
          <t>Enhanced</t>
        </is>
      </c>
      <c r="E8" s="15" t="n"/>
      <c r="F8" s="15" t="n"/>
      <c r="G8" s="15" t="n"/>
      <c r="H8" s="15" t="n"/>
      <c r="I8" s="15" t="n"/>
      <c r="J8" s="15" t="n"/>
      <c r="K8" s="15" t="n"/>
    </row>
    <row r="9">
      <c r="A9" s="14" t="inlineStr">
        <is>
          <t>Tier-5</t>
        </is>
      </c>
      <c r="B9" s="14" t="inlineStr">
        <is>
          <t>Finance/Treasury</t>
        </is>
      </c>
      <c r="C9" s="14" t="inlineStr">
        <is>
          <t>Accountants, Controllers, Treasury Staff</t>
        </is>
      </c>
      <c r="D9" s="15" t="inlineStr">
        <is>
          <t>Enhanced</t>
        </is>
      </c>
      <c r="E9" s="15" t="n"/>
      <c r="F9" s="15" t="n"/>
      <c r="G9" s="15" t="n"/>
      <c r="H9" s="15" t="n"/>
      <c r="I9" s="15" t="n"/>
      <c r="J9" s="15" t="n"/>
      <c r="K9" s="15" t="n"/>
    </row>
    <row r="10">
      <c r="A10" s="14" t="inlineStr">
        <is>
          <t>Tier-6</t>
        </is>
      </c>
      <c r="B10" s="14" t="inlineStr">
        <is>
          <t>HR/Legal</t>
        </is>
      </c>
      <c r="C10" s="14" t="inlineStr">
        <is>
          <t>HR Managers, Legal Counsel, Recruiters</t>
        </is>
      </c>
      <c r="D10" s="15" t="inlineStr">
        <is>
          <t>Standard-Plus</t>
        </is>
      </c>
      <c r="E10" s="15" t="n"/>
      <c r="F10" s="15" t="n"/>
      <c r="G10" s="15" t="n"/>
      <c r="H10" s="15" t="n"/>
      <c r="I10" s="15" t="n"/>
      <c r="J10" s="15" t="n"/>
      <c r="K10" s="15" t="n"/>
    </row>
    <row r="11">
      <c r="A11" s="14" t="inlineStr">
        <is>
          <t>Tier-7</t>
        </is>
      </c>
      <c r="B11" s="14" t="inlineStr">
        <is>
          <t>Customer Data Access</t>
        </is>
      </c>
      <c r="C11" s="14" t="inlineStr">
        <is>
          <t>Customer Service, Sales, Support</t>
        </is>
      </c>
      <c r="D11" s="15" t="inlineStr">
        <is>
          <t>Standard</t>
        </is>
      </c>
      <c r="E11" s="15" t="n"/>
      <c r="F11" s="15" t="n"/>
      <c r="G11" s="15" t="n"/>
      <c r="H11" s="15" t="n"/>
      <c r="I11" s="15" t="n"/>
      <c r="J11" s="15" t="n"/>
      <c r="K11" s="15" t="n"/>
    </row>
    <row r="12">
      <c r="A12" s="14" t="inlineStr">
        <is>
          <t>Tier-8</t>
        </is>
      </c>
      <c r="B12" s="14" t="inlineStr">
        <is>
          <t>General Staff</t>
        </is>
      </c>
      <c r="C12" s="14" t="inlineStr">
        <is>
          <t>Administrative, Operations</t>
        </is>
      </c>
      <c r="D12" s="15" t="inlineStr">
        <is>
          <t>Standard</t>
        </is>
      </c>
      <c r="E12" s="15" t="n"/>
      <c r="F12" s="15" t="n"/>
      <c r="G12" s="15" t="n"/>
      <c r="H12" s="15" t="n"/>
      <c r="I12" s="15" t="n"/>
      <c r="J12" s="15" t="n"/>
      <c r="K12" s="15" t="n"/>
    </row>
    <row r="13">
      <c r="A13" s="14" t="inlineStr">
        <is>
          <t>Tier-9</t>
        </is>
      </c>
      <c r="B13" s="14" t="inlineStr">
        <is>
          <t>Contractors - High Risk</t>
        </is>
      </c>
      <c r="C13" s="14" t="inlineStr">
        <is>
          <t>IT Contractors, Security Consultants</t>
        </is>
      </c>
      <c r="D13" s="15" t="inlineStr">
        <is>
          <t>Enhanced</t>
        </is>
      </c>
      <c r="E13" s="15" t="n"/>
      <c r="F13" s="15" t="n"/>
      <c r="G13" s="15" t="n"/>
      <c r="H13" s="15" t="n"/>
      <c r="I13" s="15" t="n"/>
      <c r="J13" s="15" t="n"/>
      <c r="K13" s="15" t="n"/>
    </row>
    <row r="14">
      <c r="A14" s="14" t="inlineStr">
        <is>
          <t>Tier-10</t>
        </is>
      </c>
      <c r="B14" s="14" t="inlineStr">
        <is>
          <t>Contractors - Standard</t>
        </is>
      </c>
      <c r="C14" s="14" t="inlineStr">
        <is>
          <t>General Contractors</t>
        </is>
      </c>
      <c r="D14" s="15" t="inlineStr">
        <is>
          <t>Standard</t>
        </is>
      </c>
      <c r="E14" s="15" t="n"/>
      <c r="F14" s="15" t="n"/>
      <c r="G14" s="15" t="n"/>
      <c r="H14" s="15" t="n"/>
      <c r="I14" s="15" t="n"/>
      <c r="J14" s="15" t="n"/>
      <c r="K14" s="15" t="n"/>
    </row>
    <row r="15">
      <c r="A15" s="14" t="inlineStr">
        <is>
          <t>Tier-11</t>
        </is>
      </c>
      <c r="B15" s="14" t="inlineStr">
        <is>
          <t>Temporary Staff</t>
        </is>
      </c>
      <c r="C15" s="14" t="inlineStr">
        <is>
          <t>Temps, Interns</t>
        </is>
      </c>
      <c r="D15" s="15" t="inlineStr">
        <is>
          <t>Basic</t>
        </is>
      </c>
      <c r="E15" s="15" t="n"/>
      <c r="F15" s="15" t="n"/>
      <c r="G15" s="15" t="n"/>
      <c r="H15" s="15" t="n"/>
      <c r="I15" s="15" t="n"/>
      <c r="J15" s="15" t="n"/>
      <c r="K15" s="15" t="n"/>
    </row>
    <row r="16">
      <c r="A16" s="14" t="inlineStr">
        <is>
          <t>Tier-12</t>
        </is>
      </c>
      <c r="B16" s="14" t="inlineStr">
        <is>
          <t>Third-Party On-Site</t>
        </is>
      </c>
      <c r="C16" s="14" t="inlineStr">
        <is>
          <t>Vendors with physical access</t>
        </is>
      </c>
      <c r="D16" s="15" t="inlineStr">
        <is>
          <t>Standard</t>
        </is>
      </c>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row r="57">
      <c r="A57" s="15" t="n"/>
      <c r="B57" s="15" t="n"/>
      <c r="C57" s="15" t="n"/>
      <c r="D57" s="15" t="n"/>
      <c r="E57" s="15" t="n"/>
      <c r="F57" s="15" t="n"/>
      <c r="G57" s="15" t="n"/>
      <c r="H57" s="15" t="n"/>
      <c r="I57" s="15" t="n"/>
      <c r="J57" s="15" t="n"/>
      <c r="K57" s="15" t="n"/>
    </row>
    <row r="58">
      <c r="A58" s="15" t="n"/>
      <c r="B58" s="15" t="n"/>
      <c r="C58" s="15" t="n"/>
      <c r="D58" s="15" t="n"/>
      <c r="E58" s="15" t="n"/>
      <c r="F58" s="15" t="n"/>
      <c r="G58" s="15" t="n"/>
      <c r="H58" s="15" t="n"/>
      <c r="I58" s="15" t="n"/>
      <c r="J58" s="15" t="n"/>
      <c r="K58" s="15" t="n"/>
    </row>
    <row r="59">
      <c r="A59" s="15" t="n"/>
      <c r="B59" s="15" t="n"/>
      <c r="C59" s="15" t="n"/>
      <c r="D59" s="15" t="n"/>
      <c r="E59" s="15" t="n"/>
      <c r="F59" s="15" t="n"/>
      <c r="G59" s="15" t="n"/>
      <c r="H59" s="15" t="n"/>
      <c r="I59" s="15" t="n"/>
      <c r="J59" s="15" t="n"/>
      <c r="K59" s="15" t="n"/>
    </row>
    <row r="60">
      <c r="A60" s="15" t="n"/>
      <c r="B60" s="15" t="n"/>
      <c r="C60" s="15" t="n"/>
      <c r="D60" s="15" t="n"/>
      <c r="E60" s="15" t="n"/>
      <c r="F60" s="15" t="n"/>
      <c r="G60" s="15" t="n"/>
      <c r="H60" s="15" t="n"/>
      <c r="I60" s="15" t="n"/>
      <c r="J60" s="15" t="n"/>
      <c r="K60" s="15" t="n"/>
    </row>
    <row r="61">
      <c r="A61" s="15" t="n"/>
      <c r="B61" s="15" t="n"/>
      <c r="C61" s="15" t="n"/>
      <c r="D61" s="15" t="n"/>
      <c r="E61" s="15" t="n"/>
      <c r="F61" s="15" t="n"/>
      <c r="G61" s="15" t="n"/>
      <c r="H61" s="15" t="n"/>
      <c r="I61" s="15" t="n"/>
      <c r="J61" s="15" t="n"/>
      <c r="K61" s="15" t="n"/>
    </row>
    <row r="62">
      <c r="A62" s="15" t="n"/>
      <c r="B62" s="15" t="n"/>
      <c r="C62" s="15" t="n"/>
      <c r="D62" s="15" t="n"/>
      <c r="E62" s="15" t="n"/>
      <c r="F62" s="15" t="n"/>
      <c r="G62" s="15" t="n"/>
      <c r="H62" s="15" t="n"/>
      <c r="I62" s="15" t="n"/>
      <c r="J62" s="15" t="n"/>
      <c r="K62" s="15" t="n"/>
    </row>
    <row r="63">
      <c r="A63" s="15" t="n"/>
      <c r="B63" s="15" t="n"/>
      <c r="C63" s="15" t="n"/>
      <c r="D63" s="15" t="n"/>
      <c r="E63" s="15" t="n"/>
      <c r="F63" s="15" t="n"/>
      <c r="G63" s="15" t="n"/>
      <c r="H63" s="15" t="n"/>
      <c r="I63" s="15" t="n"/>
      <c r="J63" s="15" t="n"/>
      <c r="K63" s="15" t="n"/>
    </row>
    <row r="64">
      <c r="A64" s="15" t="n"/>
      <c r="B64" s="15" t="n"/>
      <c r="C64" s="15" t="n"/>
      <c r="D64" s="15" t="n"/>
      <c r="E64" s="15" t="n"/>
      <c r="F64" s="15" t="n"/>
      <c r="G64" s="15" t="n"/>
      <c r="H64" s="15" t="n"/>
      <c r="I64" s="15" t="n"/>
      <c r="J64" s="15" t="n"/>
      <c r="K64" s="15" t="n"/>
    </row>
    <row r="65">
      <c r="A65" s="15" t="n"/>
      <c r="B65" s="15" t="n"/>
      <c r="C65" s="15" t="n"/>
      <c r="D65" s="15" t="n"/>
      <c r="E65" s="15" t="n"/>
      <c r="F65" s="15" t="n"/>
      <c r="G65" s="15" t="n"/>
      <c r="H65" s="15" t="n"/>
      <c r="I65" s="15" t="n"/>
      <c r="J65" s="15" t="n"/>
      <c r="K65" s="15" t="n"/>
    </row>
    <row r="66">
      <c r="A66" s="15" t="n"/>
      <c r="B66" s="15" t="n"/>
      <c r="C66" s="15" t="n"/>
      <c r="D66" s="15" t="n"/>
      <c r="E66" s="15" t="n"/>
      <c r="F66" s="15" t="n"/>
      <c r="G66" s="15" t="n"/>
      <c r="H66" s="15" t="n"/>
      <c r="I66" s="15" t="n"/>
      <c r="J66" s="15" t="n"/>
      <c r="K66" s="15" t="n"/>
    </row>
  </sheetData>
  <mergeCells count="2">
    <mergeCell ref="A2:K2"/>
    <mergeCell ref="A1:K1"/>
  </mergeCells>
  <dataValidations count="3">
    <dataValidation sqref="D5:D66" showDropDown="0" showInputMessage="0" showErrorMessage="1" allowBlank="1" errorTitle="Invalid Entry" error="Please select from dropdown" type="list">
      <formula1>"Enhanced,Standard-Plus,Standard,Basic,None"</formula1>
    </dataValidation>
    <dataValidation sqref="E5:H66" showDropDown="0" showInputMessage="0" showErrorMessage="1" allowBlank="1" errorTitle="Invalid Entry" error="Please select from dropdown" type="list">
      <formula1>"Required,Optional,Not-Required"</formula1>
    </dataValidation>
    <dataValidation sqref="I5:I66"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2" customWidth="1" min="5" max="5"/>
    <col width="15" customWidth="1" min="6" max="6"/>
    <col width="12" customWidth="1" min="7" max="7"/>
    <col width="15" customWidth="1" min="8" max="8"/>
    <col width="15" customWidth="1" min="9" max="9"/>
    <col width="12" customWidth="1" min="10" max="10"/>
    <col width="12" customWidth="1" min="11" max="11"/>
    <col width="12" customWidth="1" min="12" max="12"/>
    <col width="20" customWidth="1" min="13" max="13"/>
    <col width="12" customWidth="1" min="14" max="14"/>
    <col width="12" customWidth="1" min="15" max="15"/>
    <col width="15" customWidth="1" min="16" max="16"/>
    <col width="15" customWidth="1" min="17" max="17"/>
    <col width="40" customWidth="1" min="18" max="18"/>
  </cols>
  <sheetData>
    <row r="1" ht="35" customHeight="1">
      <c r="A1" s="11" t="inlineStr">
        <is>
          <t>PERSONNEL SCREENING REGISTRY</t>
        </is>
      </c>
    </row>
    <row r="2">
      <c r="A2" s="12" t="inlineStr">
        <is>
          <t>Master registry of all personnel with screening status and dates</t>
        </is>
      </c>
    </row>
    <row r="3">
      <c r="A3" s="13" t="inlineStr">
        <is>
          <t>Employee ID</t>
        </is>
      </c>
      <c r="B3" s="13" t="inlineStr">
        <is>
          <t>Full Name</t>
        </is>
      </c>
      <c r="C3" s="13" t="inlineStr">
        <is>
          <t>Department</t>
        </is>
      </c>
      <c r="D3" s="13" t="inlineStr">
        <is>
          <t>Job Title</t>
        </is>
      </c>
      <c r="E3" s="13" t="inlineStr">
        <is>
          <t>Role Tier</t>
        </is>
      </c>
      <c r="F3" s="13" t="inlineStr">
        <is>
          <t>Employment Type</t>
        </is>
      </c>
      <c r="G3" s="13" t="inlineStr">
        <is>
          <t>Start Date</t>
        </is>
      </c>
      <c r="H3" s="13" t="inlineStr">
        <is>
          <t>Required Screening Level</t>
        </is>
      </c>
      <c r="I3" s="13" t="inlineStr">
        <is>
          <t>Actual Screening Level</t>
        </is>
      </c>
      <c r="J3" s="13" t="inlineStr">
        <is>
          <t>Screening Complete</t>
        </is>
      </c>
      <c r="K3" s="13" t="inlineStr">
        <is>
          <t>Screening Date</t>
        </is>
      </c>
      <c r="L3" s="13" t="inlineStr">
        <is>
          <t>Screening Expiry</t>
        </is>
      </c>
      <c r="M3" s="13" t="inlineStr">
        <is>
          <t>Screening Provider</t>
        </is>
      </c>
      <c r="N3" s="13" t="inlineStr">
        <is>
          <t>Consent Obtained</t>
        </is>
      </c>
      <c r="O3" s="13" t="inlineStr">
        <is>
          <t>Consent Date</t>
        </is>
      </c>
      <c r="P3" s="13" t="inlineStr">
        <is>
          <t>Screening Status</t>
        </is>
      </c>
      <c r="Q3" s="13" t="inlineStr">
        <is>
          <t>Gap Identified</t>
        </is>
      </c>
      <c r="R3" s="13" t="inlineStr">
        <is>
          <t>Notes</t>
        </is>
      </c>
    </row>
    <row r="4">
      <c r="A4" s="17" t="inlineStr">
        <is>
          <t>EMP-EXAMPLE</t>
        </is>
      </c>
      <c r="B4" s="17" t="inlineStr">
        <is>
          <t>Jane Smith (Example)</t>
        </is>
      </c>
      <c r="C4" s="17" t="inlineStr">
        <is>
          <t>Information Security</t>
        </is>
      </c>
      <c r="D4" s="17" t="inlineStr">
        <is>
          <t>Security Analyst</t>
        </is>
      </c>
      <c r="E4" s="17" t="inlineStr">
        <is>
          <t>Tier-3</t>
        </is>
      </c>
      <c r="F4" s="17" t="inlineStr">
        <is>
          <t>Full-Time</t>
        </is>
      </c>
      <c r="G4" s="17" t="inlineStr">
        <is>
          <t>01.03.2024</t>
        </is>
      </c>
      <c r="H4" s="17" t="inlineStr">
        <is>
          <t>Enhanced</t>
        </is>
      </c>
      <c r="I4" s="17" t="inlineStr">
        <is>
          <t>Enhanced</t>
        </is>
      </c>
      <c r="J4" s="17" t="inlineStr">
        <is>
          <t>Yes</t>
        </is>
      </c>
      <c r="K4" s="17" t="inlineStr">
        <is>
          <t>15.03.2024</t>
        </is>
      </c>
      <c r="L4" s="17" t="inlineStr">
        <is>
          <t>15.03.2027</t>
        </is>
      </c>
      <c r="M4" s="17" t="inlineStr">
        <is>
          <t>Background Direct Ltd</t>
        </is>
      </c>
      <c r="N4" s="17" t="inlineStr">
        <is>
          <t>Yes</t>
        </is>
      </c>
      <c r="O4" s="17" t="inlineStr">
        <is>
          <t>01.03.2024</t>
        </is>
      </c>
      <c r="P4" s="17" t="inlineStr">
        <is>
          <t>Valid</t>
        </is>
      </c>
      <c r="Q4" s="17" t="inlineStr">
        <is>
          <t>No-Gap</t>
        </is>
      </c>
      <c r="R4" s="17" t="inlineStr">
        <is>
          <t>Example entry — replace with your personnel screening records</t>
        </is>
      </c>
    </row>
    <row r="5">
      <c r="A5" s="15" t="n"/>
      <c r="B5" s="15" t="n"/>
      <c r="C5" s="15" t="n"/>
      <c r="D5" s="15" t="n"/>
      <c r="E5" s="15" t="n"/>
      <c r="F5" s="15" t="n"/>
      <c r="G5" s="16" t="n"/>
      <c r="H5" s="15" t="n"/>
      <c r="I5" s="15" t="n"/>
      <c r="J5" s="15" t="n"/>
      <c r="K5" s="16" t="n"/>
      <c r="L5" s="16" t="n"/>
      <c r="M5" s="15" t="n"/>
      <c r="N5" s="15" t="n"/>
      <c r="O5" s="16" t="n"/>
      <c r="P5" s="14">
        <f>IF(A5="","",IF(AND(J5="Yes",L5&gt;=TODAY()),"Valid",IF(AND(J5="Yes",L5&lt;TODAY()),"Expired",IF(J5="In-Progress","Pending","Not-Screened"))))</f>
        <v/>
      </c>
      <c r="Q5" s="14">
        <f>IF(A5="","",IF(AND(H5=I5,J5="Yes",L5&gt;=TODAY()),"No-Gap",IF(OR(J5="No",L5&lt;TODAY()),"Critical-Gap",IF(H5&lt;&gt;I5,"Level-Gap","Minor-Gap"))))</f>
        <v/>
      </c>
      <c r="R5" s="15" t="n"/>
    </row>
    <row r="6">
      <c r="A6" s="15" t="n"/>
      <c r="B6" s="15" t="n"/>
      <c r="C6" s="15" t="n"/>
      <c r="D6" s="15" t="n"/>
      <c r="E6" s="15" t="n"/>
      <c r="F6" s="15" t="n"/>
      <c r="G6" s="16" t="n"/>
      <c r="H6" s="15" t="n"/>
      <c r="I6" s="15" t="n"/>
      <c r="J6" s="15" t="n"/>
      <c r="K6" s="16" t="n"/>
      <c r="L6" s="16" t="n"/>
      <c r="M6" s="15" t="n"/>
      <c r="N6" s="15" t="n"/>
      <c r="O6" s="16" t="n"/>
      <c r="P6" s="14">
        <f>IF(A6="","",IF(AND(J6="Yes",L6&gt;=TODAY()),"Valid",IF(AND(J6="Yes",L6&lt;TODAY()),"Expired",IF(J6="In-Progress","Pending","Not-Screened"))))</f>
        <v/>
      </c>
      <c r="Q6" s="14">
        <f>IF(A6="","",IF(AND(H6=I6,J6="Yes",L6&gt;=TODAY()),"No-Gap",IF(OR(J6="No",L6&lt;TODAY()),"Critical-Gap",IF(H6&lt;&gt;I6,"Level-Gap","Minor-Gap"))))</f>
        <v/>
      </c>
      <c r="R6" s="15" t="n"/>
    </row>
    <row r="7">
      <c r="A7" s="15" t="n"/>
      <c r="B7" s="15" t="n"/>
      <c r="C7" s="15" t="n"/>
      <c r="D7" s="15" t="n"/>
      <c r="E7" s="15" t="n"/>
      <c r="F7" s="15" t="n"/>
      <c r="G7" s="16" t="n"/>
      <c r="H7" s="15" t="n"/>
      <c r="I7" s="15" t="n"/>
      <c r="J7" s="15" t="n"/>
      <c r="K7" s="16" t="n"/>
      <c r="L7" s="16" t="n"/>
      <c r="M7" s="15" t="n"/>
      <c r="N7" s="15" t="n"/>
      <c r="O7" s="16" t="n"/>
      <c r="P7" s="14">
        <f>IF(A7="","",IF(AND(J7="Yes",L7&gt;=TODAY()),"Valid",IF(AND(J7="Yes",L7&lt;TODAY()),"Expired",IF(J7="In-Progress","Pending","Not-Screened"))))</f>
        <v/>
      </c>
      <c r="Q7" s="14">
        <f>IF(A7="","",IF(AND(H7=I7,J7="Yes",L7&gt;=TODAY()),"No-Gap",IF(OR(J7="No",L7&lt;TODAY()),"Critical-Gap",IF(H7&lt;&gt;I7,"Level-Gap","Minor-Gap"))))</f>
        <v/>
      </c>
      <c r="R7" s="15" t="n"/>
    </row>
    <row r="8">
      <c r="A8" s="15" t="n"/>
      <c r="B8" s="15" t="n"/>
      <c r="C8" s="15" t="n"/>
      <c r="D8" s="15" t="n"/>
      <c r="E8" s="15" t="n"/>
      <c r="F8" s="15" t="n"/>
      <c r="G8" s="16" t="n"/>
      <c r="H8" s="15" t="n"/>
      <c r="I8" s="15" t="n"/>
      <c r="J8" s="15" t="n"/>
      <c r="K8" s="16" t="n"/>
      <c r="L8" s="16" t="n"/>
      <c r="M8" s="15" t="n"/>
      <c r="N8" s="15" t="n"/>
      <c r="O8" s="16" t="n"/>
      <c r="P8" s="14">
        <f>IF(A8="","",IF(AND(J8="Yes",L8&gt;=TODAY()),"Valid",IF(AND(J8="Yes",L8&lt;TODAY()),"Expired",IF(J8="In-Progress","Pending","Not-Screened"))))</f>
        <v/>
      </c>
      <c r="Q8" s="14">
        <f>IF(A8="","",IF(AND(H8=I8,J8="Yes",L8&gt;=TODAY()),"No-Gap",IF(OR(J8="No",L8&lt;TODAY()),"Critical-Gap",IF(H8&lt;&gt;I8,"Level-Gap","Minor-Gap"))))</f>
        <v/>
      </c>
      <c r="R8" s="15" t="n"/>
    </row>
    <row r="9">
      <c r="A9" s="15" t="n"/>
      <c r="B9" s="15" t="n"/>
      <c r="C9" s="15" t="n"/>
      <c r="D9" s="15" t="n"/>
      <c r="E9" s="15" t="n"/>
      <c r="F9" s="15" t="n"/>
      <c r="G9" s="16" t="n"/>
      <c r="H9" s="15" t="n"/>
      <c r="I9" s="15" t="n"/>
      <c r="J9" s="15" t="n"/>
      <c r="K9" s="16" t="n"/>
      <c r="L9" s="16" t="n"/>
      <c r="M9" s="15" t="n"/>
      <c r="N9" s="15" t="n"/>
      <c r="O9" s="16" t="n"/>
      <c r="P9" s="14">
        <f>IF(A9="","",IF(AND(J9="Yes",L9&gt;=TODAY()),"Valid",IF(AND(J9="Yes",L9&lt;TODAY()),"Expired",IF(J9="In-Progress","Pending","Not-Screened"))))</f>
        <v/>
      </c>
      <c r="Q9" s="14">
        <f>IF(A9="","",IF(AND(H9=I9,J9="Yes",L9&gt;=TODAY()),"No-Gap",IF(OR(J9="No",L9&lt;TODAY()),"Critical-Gap",IF(H9&lt;&gt;I9,"Level-Gap","Minor-Gap"))))</f>
        <v/>
      </c>
      <c r="R9" s="15" t="n"/>
    </row>
    <row r="10">
      <c r="A10" s="15" t="n"/>
      <c r="B10" s="15" t="n"/>
      <c r="C10" s="15" t="n"/>
      <c r="D10" s="15" t="n"/>
      <c r="E10" s="15" t="n"/>
      <c r="F10" s="15" t="n"/>
      <c r="G10" s="16" t="n"/>
      <c r="H10" s="15" t="n"/>
      <c r="I10" s="15" t="n"/>
      <c r="J10" s="15" t="n"/>
      <c r="K10" s="16" t="n"/>
      <c r="L10" s="16" t="n"/>
      <c r="M10" s="15" t="n"/>
      <c r="N10" s="15" t="n"/>
      <c r="O10" s="16" t="n"/>
      <c r="P10" s="14">
        <f>IF(A10="","",IF(AND(J10="Yes",L10&gt;=TODAY()),"Valid",IF(AND(J10="Yes",L10&lt;TODAY()),"Expired",IF(J10="In-Progress","Pending","Not-Screened"))))</f>
        <v/>
      </c>
      <c r="Q10" s="14">
        <f>IF(A10="","",IF(AND(H10=I10,J10="Yes",L10&gt;=TODAY()),"No-Gap",IF(OR(J10="No",L10&lt;TODAY()),"Critical-Gap",IF(H10&lt;&gt;I10,"Level-Gap","Minor-Gap"))))</f>
        <v/>
      </c>
      <c r="R10" s="15" t="n"/>
    </row>
    <row r="11">
      <c r="A11" s="15" t="n"/>
      <c r="B11" s="15" t="n"/>
      <c r="C11" s="15" t="n"/>
      <c r="D11" s="15" t="n"/>
      <c r="E11" s="15" t="n"/>
      <c r="F11" s="15" t="n"/>
      <c r="G11" s="16" t="n"/>
      <c r="H11" s="15" t="n"/>
      <c r="I11" s="15" t="n"/>
      <c r="J11" s="15" t="n"/>
      <c r="K11" s="16" t="n"/>
      <c r="L11" s="16" t="n"/>
      <c r="M11" s="15" t="n"/>
      <c r="N11" s="15" t="n"/>
      <c r="O11" s="16" t="n"/>
      <c r="P11" s="14">
        <f>IF(A11="","",IF(AND(J11="Yes",L11&gt;=TODAY()),"Valid",IF(AND(J11="Yes",L11&lt;TODAY()),"Expired",IF(J11="In-Progress","Pending","Not-Screened"))))</f>
        <v/>
      </c>
      <c r="Q11" s="14">
        <f>IF(A11="","",IF(AND(H11=I11,J11="Yes",L11&gt;=TODAY()),"No-Gap",IF(OR(J11="No",L11&lt;TODAY()),"Critical-Gap",IF(H11&lt;&gt;I11,"Level-Gap","Minor-Gap"))))</f>
        <v/>
      </c>
      <c r="R11" s="15" t="n"/>
    </row>
    <row r="12">
      <c r="A12" s="15" t="n"/>
      <c r="B12" s="15" t="n"/>
      <c r="C12" s="15" t="n"/>
      <c r="D12" s="15" t="n"/>
      <c r="E12" s="15" t="n"/>
      <c r="F12" s="15" t="n"/>
      <c r="G12" s="16" t="n"/>
      <c r="H12" s="15" t="n"/>
      <c r="I12" s="15" t="n"/>
      <c r="J12" s="15" t="n"/>
      <c r="K12" s="16" t="n"/>
      <c r="L12" s="16" t="n"/>
      <c r="M12" s="15" t="n"/>
      <c r="N12" s="15" t="n"/>
      <c r="O12" s="16" t="n"/>
      <c r="P12" s="14">
        <f>IF(A12="","",IF(AND(J12="Yes",L12&gt;=TODAY()),"Valid",IF(AND(J12="Yes",L12&lt;TODAY()),"Expired",IF(J12="In-Progress","Pending","Not-Screened"))))</f>
        <v/>
      </c>
      <c r="Q12" s="14">
        <f>IF(A12="","",IF(AND(H12=I12,J12="Yes",L12&gt;=TODAY()),"No-Gap",IF(OR(J12="No",L12&lt;TODAY()),"Critical-Gap",IF(H12&lt;&gt;I12,"Level-Gap","Minor-Gap"))))</f>
        <v/>
      </c>
      <c r="R12" s="15" t="n"/>
    </row>
    <row r="13">
      <c r="A13" s="15" t="n"/>
      <c r="B13" s="15" t="n"/>
      <c r="C13" s="15" t="n"/>
      <c r="D13" s="15" t="n"/>
      <c r="E13" s="15" t="n"/>
      <c r="F13" s="15" t="n"/>
      <c r="G13" s="16" t="n"/>
      <c r="H13" s="15" t="n"/>
      <c r="I13" s="15" t="n"/>
      <c r="J13" s="15" t="n"/>
      <c r="K13" s="16" t="n"/>
      <c r="L13" s="16" t="n"/>
      <c r="M13" s="15" t="n"/>
      <c r="N13" s="15" t="n"/>
      <c r="O13" s="16" t="n"/>
      <c r="P13" s="14">
        <f>IF(A13="","",IF(AND(J13="Yes",L13&gt;=TODAY()),"Valid",IF(AND(J13="Yes",L13&lt;TODAY()),"Expired",IF(J13="In-Progress","Pending","Not-Screened"))))</f>
        <v/>
      </c>
      <c r="Q13" s="14">
        <f>IF(A13="","",IF(AND(H13=I13,J13="Yes",L13&gt;=TODAY()),"No-Gap",IF(OR(J13="No",L13&lt;TODAY()),"Critical-Gap",IF(H13&lt;&gt;I13,"Level-Gap","Minor-Gap"))))</f>
        <v/>
      </c>
      <c r="R13" s="15" t="n"/>
    </row>
    <row r="14">
      <c r="A14" s="15" t="n"/>
      <c r="B14" s="15" t="n"/>
      <c r="C14" s="15" t="n"/>
      <c r="D14" s="15" t="n"/>
      <c r="E14" s="15" t="n"/>
      <c r="F14" s="15" t="n"/>
      <c r="G14" s="16" t="n"/>
      <c r="H14" s="15" t="n"/>
      <c r="I14" s="15" t="n"/>
      <c r="J14" s="15" t="n"/>
      <c r="K14" s="16" t="n"/>
      <c r="L14" s="16" t="n"/>
      <c r="M14" s="15" t="n"/>
      <c r="N14" s="15" t="n"/>
      <c r="O14" s="16" t="n"/>
      <c r="P14" s="14">
        <f>IF(A14="","",IF(AND(J14="Yes",L14&gt;=TODAY()),"Valid",IF(AND(J14="Yes",L14&lt;TODAY()),"Expired",IF(J14="In-Progress","Pending","Not-Screened"))))</f>
        <v/>
      </c>
      <c r="Q14" s="14">
        <f>IF(A14="","",IF(AND(H14=I14,J14="Yes",L14&gt;=TODAY()),"No-Gap",IF(OR(J14="No",L14&lt;TODAY()),"Critical-Gap",IF(H14&lt;&gt;I14,"Level-Gap","Minor-Gap"))))</f>
        <v/>
      </c>
      <c r="R14" s="15" t="n"/>
    </row>
    <row r="15">
      <c r="A15" s="15" t="n"/>
      <c r="B15" s="15" t="n"/>
      <c r="C15" s="15" t="n"/>
      <c r="D15" s="15" t="n"/>
      <c r="E15" s="15" t="n"/>
      <c r="F15" s="15" t="n"/>
      <c r="G15" s="16" t="n"/>
      <c r="H15" s="15" t="n"/>
      <c r="I15" s="15" t="n"/>
      <c r="J15" s="15" t="n"/>
      <c r="K15" s="16" t="n"/>
      <c r="L15" s="16" t="n"/>
      <c r="M15" s="15" t="n"/>
      <c r="N15" s="15" t="n"/>
      <c r="O15" s="16" t="n"/>
      <c r="P15" s="14">
        <f>IF(A15="","",IF(AND(J15="Yes",L15&gt;=TODAY()),"Valid",IF(AND(J15="Yes",L15&lt;TODAY()),"Expired",IF(J15="In-Progress","Pending","Not-Screened"))))</f>
        <v/>
      </c>
      <c r="Q15" s="14">
        <f>IF(A15="","",IF(AND(H15=I15,J15="Yes",L15&gt;=TODAY()),"No-Gap",IF(OR(J15="No",L15&lt;TODAY()),"Critical-Gap",IF(H15&lt;&gt;I15,"Level-Gap","Minor-Gap"))))</f>
        <v/>
      </c>
      <c r="R15" s="15" t="n"/>
    </row>
    <row r="16">
      <c r="A16" s="15" t="n"/>
      <c r="B16" s="15" t="n"/>
      <c r="C16" s="15" t="n"/>
      <c r="D16" s="15" t="n"/>
      <c r="E16" s="15" t="n"/>
      <c r="F16" s="15" t="n"/>
      <c r="G16" s="16" t="n"/>
      <c r="H16" s="15" t="n"/>
      <c r="I16" s="15" t="n"/>
      <c r="J16" s="15" t="n"/>
      <c r="K16" s="16" t="n"/>
      <c r="L16" s="16" t="n"/>
      <c r="M16" s="15" t="n"/>
      <c r="N16" s="15" t="n"/>
      <c r="O16" s="16" t="n"/>
      <c r="P16" s="14">
        <f>IF(A16="","",IF(AND(J16="Yes",L16&gt;=TODAY()),"Valid",IF(AND(J16="Yes",L16&lt;TODAY()),"Expired",IF(J16="In-Progress","Pending","Not-Screened"))))</f>
        <v/>
      </c>
      <c r="Q16" s="14">
        <f>IF(A16="","",IF(AND(H16=I16,J16="Yes",L16&gt;=TODAY()),"No-Gap",IF(OR(J16="No",L16&lt;TODAY()),"Critical-Gap",IF(H16&lt;&gt;I16,"Level-Gap","Minor-Gap"))))</f>
        <v/>
      </c>
      <c r="R16" s="15" t="n"/>
    </row>
    <row r="17">
      <c r="A17" s="15" t="n"/>
      <c r="B17" s="15" t="n"/>
      <c r="C17" s="15" t="n"/>
      <c r="D17" s="15" t="n"/>
      <c r="E17" s="15" t="n"/>
      <c r="F17" s="15" t="n"/>
      <c r="G17" s="16" t="n"/>
      <c r="H17" s="15" t="n"/>
      <c r="I17" s="15" t="n"/>
      <c r="J17" s="15" t="n"/>
      <c r="K17" s="16" t="n"/>
      <c r="L17" s="16" t="n"/>
      <c r="M17" s="15" t="n"/>
      <c r="N17" s="15" t="n"/>
      <c r="O17" s="16" t="n"/>
      <c r="P17" s="14">
        <f>IF(A17="","",IF(AND(J17="Yes",L17&gt;=TODAY()),"Valid",IF(AND(J17="Yes",L17&lt;TODAY()),"Expired",IF(J17="In-Progress","Pending","Not-Screened"))))</f>
        <v/>
      </c>
      <c r="Q17" s="14">
        <f>IF(A17="","",IF(AND(H17=I17,J17="Yes",L17&gt;=TODAY()),"No-Gap",IF(OR(J17="No",L17&lt;TODAY()),"Critical-Gap",IF(H17&lt;&gt;I17,"Level-Gap","Minor-Gap"))))</f>
        <v/>
      </c>
      <c r="R17" s="15" t="n"/>
    </row>
    <row r="18">
      <c r="A18" s="15" t="n"/>
      <c r="B18" s="15" t="n"/>
      <c r="C18" s="15" t="n"/>
      <c r="D18" s="15" t="n"/>
      <c r="E18" s="15" t="n"/>
      <c r="F18" s="15" t="n"/>
      <c r="G18" s="16" t="n"/>
      <c r="H18" s="15" t="n"/>
      <c r="I18" s="15" t="n"/>
      <c r="J18" s="15" t="n"/>
      <c r="K18" s="16" t="n"/>
      <c r="L18" s="16" t="n"/>
      <c r="M18" s="15" t="n"/>
      <c r="N18" s="15" t="n"/>
      <c r="O18" s="16" t="n"/>
      <c r="P18" s="14">
        <f>IF(A18="","",IF(AND(J18="Yes",L18&gt;=TODAY()),"Valid",IF(AND(J18="Yes",L18&lt;TODAY()),"Expired",IF(J18="In-Progress","Pending","Not-Screened"))))</f>
        <v/>
      </c>
      <c r="Q18" s="14">
        <f>IF(A18="","",IF(AND(H18=I18,J18="Yes",L18&gt;=TODAY()),"No-Gap",IF(OR(J18="No",L18&lt;TODAY()),"Critical-Gap",IF(H18&lt;&gt;I18,"Level-Gap","Minor-Gap"))))</f>
        <v/>
      </c>
      <c r="R18" s="15" t="n"/>
    </row>
    <row r="19">
      <c r="A19" s="15" t="n"/>
      <c r="B19" s="15" t="n"/>
      <c r="C19" s="15" t="n"/>
      <c r="D19" s="15" t="n"/>
      <c r="E19" s="15" t="n"/>
      <c r="F19" s="15" t="n"/>
      <c r="G19" s="16" t="n"/>
      <c r="H19" s="15" t="n"/>
      <c r="I19" s="15" t="n"/>
      <c r="J19" s="15" t="n"/>
      <c r="K19" s="16" t="n"/>
      <c r="L19" s="16" t="n"/>
      <c r="M19" s="15" t="n"/>
      <c r="N19" s="15" t="n"/>
      <c r="O19" s="16" t="n"/>
      <c r="P19" s="14">
        <f>IF(A19="","",IF(AND(J19="Yes",L19&gt;=TODAY()),"Valid",IF(AND(J19="Yes",L19&lt;TODAY()),"Expired",IF(J19="In-Progress","Pending","Not-Screened"))))</f>
        <v/>
      </c>
      <c r="Q19" s="14">
        <f>IF(A19="","",IF(AND(H19=I19,J19="Yes",L19&gt;=TODAY()),"No-Gap",IF(OR(J19="No",L19&lt;TODAY()),"Critical-Gap",IF(H19&lt;&gt;I19,"Level-Gap","Minor-Gap"))))</f>
        <v/>
      </c>
      <c r="R19" s="15" t="n"/>
    </row>
    <row r="20">
      <c r="A20" s="15" t="n"/>
      <c r="B20" s="15" t="n"/>
      <c r="C20" s="15" t="n"/>
      <c r="D20" s="15" t="n"/>
      <c r="E20" s="15" t="n"/>
      <c r="F20" s="15" t="n"/>
      <c r="G20" s="16" t="n"/>
      <c r="H20" s="15" t="n"/>
      <c r="I20" s="15" t="n"/>
      <c r="J20" s="15" t="n"/>
      <c r="K20" s="16" t="n"/>
      <c r="L20" s="16" t="n"/>
      <c r="M20" s="15" t="n"/>
      <c r="N20" s="15" t="n"/>
      <c r="O20" s="16" t="n"/>
      <c r="P20" s="14">
        <f>IF(A20="","",IF(AND(J20="Yes",L20&gt;=TODAY()),"Valid",IF(AND(J20="Yes",L20&lt;TODAY()),"Expired",IF(J20="In-Progress","Pending","Not-Screened"))))</f>
        <v/>
      </c>
      <c r="Q20" s="14">
        <f>IF(A20="","",IF(AND(H20=I20,J20="Yes",L20&gt;=TODAY()),"No-Gap",IF(OR(J20="No",L20&lt;TODAY()),"Critical-Gap",IF(H20&lt;&gt;I20,"Level-Gap","Minor-Gap"))))</f>
        <v/>
      </c>
      <c r="R20" s="15" t="n"/>
    </row>
    <row r="21">
      <c r="A21" s="15" t="n"/>
      <c r="B21" s="15" t="n"/>
      <c r="C21" s="15" t="n"/>
      <c r="D21" s="15" t="n"/>
      <c r="E21" s="15" t="n"/>
      <c r="F21" s="15" t="n"/>
      <c r="G21" s="16" t="n"/>
      <c r="H21" s="15" t="n"/>
      <c r="I21" s="15" t="n"/>
      <c r="J21" s="15" t="n"/>
      <c r="K21" s="16" t="n"/>
      <c r="L21" s="16" t="n"/>
      <c r="M21" s="15" t="n"/>
      <c r="N21" s="15" t="n"/>
      <c r="O21" s="16" t="n"/>
      <c r="P21" s="14">
        <f>IF(A21="","",IF(AND(J21="Yes",L21&gt;=TODAY()),"Valid",IF(AND(J21="Yes",L21&lt;TODAY()),"Expired",IF(J21="In-Progress","Pending","Not-Screened"))))</f>
        <v/>
      </c>
      <c r="Q21" s="14">
        <f>IF(A21="","",IF(AND(H21=I21,J21="Yes",L21&gt;=TODAY()),"No-Gap",IF(OR(J21="No",L21&lt;TODAY()),"Critical-Gap",IF(H21&lt;&gt;I21,"Level-Gap","Minor-Gap"))))</f>
        <v/>
      </c>
      <c r="R21" s="15" t="n"/>
    </row>
    <row r="22">
      <c r="A22" s="15" t="n"/>
      <c r="B22" s="15" t="n"/>
      <c r="C22" s="15" t="n"/>
      <c r="D22" s="15" t="n"/>
      <c r="E22" s="15" t="n"/>
      <c r="F22" s="15" t="n"/>
      <c r="G22" s="16" t="n"/>
      <c r="H22" s="15" t="n"/>
      <c r="I22" s="15" t="n"/>
      <c r="J22" s="15" t="n"/>
      <c r="K22" s="16" t="n"/>
      <c r="L22" s="16" t="n"/>
      <c r="M22" s="15" t="n"/>
      <c r="N22" s="15" t="n"/>
      <c r="O22" s="16" t="n"/>
      <c r="P22" s="14">
        <f>IF(A22="","",IF(AND(J22="Yes",L22&gt;=TODAY()),"Valid",IF(AND(J22="Yes",L22&lt;TODAY()),"Expired",IF(J22="In-Progress","Pending","Not-Screened"))))</f>
        <v/>
      </c>
      <c r="Q22" s="14">
        <f>IF(A22="","",IF(AND(H22=I22,J22="Yes",L22&gt;=TODAY()),"No-Gap",IF(OR(J22="No",L22&lt;TODAY()),"Critical-Gap",IF(H22&lt;&gt;I22,"Level-Gap","Minor-Gap"))))</f>
        <v/>
      </c>
      <c r="R22" s="15" t="n"/>
    </row>
    <row r="23">
      <c r="A23" s="15" t="n"/>
      <c r="B23" s="15" t="n"/>
      <c r="C23" s="15" t="n"/>
      <c r="D23" s="15" t="n"/>
      <c r="E23" s="15" t="n"/>
      <c r="F23" s="15" t="n"/>
      <c r="G23" s="16" t="n"/>
      <c r="H23" s="15" t="n"/>
      <c r="I23" s="15" t="n"/>
      <c r="J23" s="15" t="n"/>
      <c r="K23" s="16" t="n"/>
      <c r="L23" s="16" t="n"/>
      <c r="M23" s="15" t="n"/>
      <c r="N23" s="15" t="n"/>
      <c r="O23" s="16" t="n"/>
      <c r="P23" s="14">
        <f>IF(A23="","",IF(AND(J23="Yes",L23&gt;=TODAY()),"Valid",IF(AND(J23="Yes",L23&lt;TODAY()),"Expired",IF(J23="In-Progress","Pending","Not-Screened"))))</f>
        <v/>
      </c>
      <c r="Q23" s="14">
        <f>IF(A23="","",IF(AND(H23=I23,J23="Yes",L23&gt;=TODAY()),"No-Gap",IF(OR(J23="No",L23&lt;TODAY()),"Critical-Gap",IF(H23&lt;&gt;I23,"Level-Gap","Minor-Gap"))))</f>
        <v/>
      </c>
      <c r="R23" s="15" t="n"/>
    </row>
    <row r="24">
      <c r="A24" s="15" t="n"/>
      <c r="B24" s="15" t="n"/>
      <c r="C24" s="15" t="n"/>
      <c r="D24" s="15" t="n"/>
      <c r="E24" s="15" t="n"/>
      <c r="F24" s="15" t="n"/>
      <c r="G24" s="16" t="n"/>
      <c r="H24" s="15" t="n"/>
      <c r="I24" s="15" t="n"/>
      <c r="J24" s="15" t="n"/>
      <c r="K24" s="16" t="n"/>
      <c r="L24" s="16" t="n"/>
      <c r="M24" s="15" t="n"/>
      <c r="N24" s="15" t="n"/>
      <c r="O24" s="16" t="n"/>
      <c r="P24" s="14">
        <f>IF(A24="","",IF(AND(J24="Yes",L24&gt;=TODAY()),"Valid",IF(AND(J24="Yes",L24&lt;TODAY()),"Expired",IF(J24="In-Progress","Pending","Not-Screened"))))</f>
        <v/>
      </c>
      <c r="Q24" s="14">
        <f>IF(A24="","",IF(AND(H24=I24,J24="Yes",L24&gt;=TODAY()),"No-Gap",IF(OR(J24="No",L24&lt;TODAY()),"Critical-Gap",IF(H24&lt;&gt;I24,"Level-Gap","Minor-Gap"))))</f>
        <v/>
      </c>
      <c r="R24" s="15" t="n"/>
    </row>
    <row r="25">
      <c r="A25" s="15" t="n"/>
      <c r="B25" s="15" t="n"/>
      <c r="C25" s="15" t="n"/>
      <c r="D25" s="15" t="n"/>
      <c r="E25" s="15" t="n"/>
      <c r="F25" s="15" t="n"/>
      <c r="G25" s="16" t="n"/>
      <c r="H25" s="15" t="n"/>
      <c r="I25" s="15" t="n"/>
      <c r="J25" s="15" t="n"/>
      <c r="K25" s="16" t="n"/>
      <c r="L25" s="16" t="n"/>
      <c r="M25" s="15" t="n"/>
      <c r="N25" s="15" t="n"/>
      <c r="O25" s="16" t="n"/>
      <c r="P25" s="14">
        <f>IF(A25="","",IF(AND(J25="Yes",L25&gt;=TODAY()),"Valid",IF(AND(J25="Yes",L25&lt;TODAY()),"Expired",IF(J25="In-Progress","Pending","Not-Screened"))))</f>
        <v/>
      </c>
      <c r="Q25" s="14">
        <f>IF(A25="","",IF(AND(H25=I25,J25="Yes",L25&gt;=TODAY()),"No-Gap",IF(OR(J25="No",L25&lt;TODAY()),"Critical-Gap",IF(H25&lt;&gt;I25,"Level-Gap","Minor-Gap"))))</f>
        <v/>
      </c>
      <c r="R25" s="15" t="n"/>
    </row>
    <row r="26">
      <c r="A26" s="15" t="n"/>
      <c r="B26" s="15" t="n"/>
      <c r="C26" s="15" t="n"/>
      <c r="D26" s="15" t="n"/>
      <c r="E26" s="15" t="n"/>
      <c r="F26" s="15" t="n"/>
      <c r="G26" s="16" t="n"/>
      <c r="H26" s="15" t="n"/>
      <c r="I26" s="15" t="n"/>
      <c r="J26" s="15" t="n"/>
      <c r="K26" s="16" t="n"/>
      <c r="L26" s="16" t="n"/>
      <c r="M26" s="15" t="n"/>
      <c r="N26" s="15" t="n"/>
      <c r="O26" s="16" t="n"/>
      <c r="P26" s="14">
        <f>IF(A26="","",IF(AND(J26="Yes",L26&gt;=TODAY()),"Valid",IF(AND(J26="Yes",L26&lt;TODAY()),"Expired",IF(J26="In-Progress","Pending","Not-Screened"))))</f>
        <v/>
      </c>
      <c r="Q26" s="14">
        <f>IF(A26="","",IF(AND(H26=I26,J26="Yes",L26&gt;=TODAY()),"No-Gap",IF(OR(J26="No",L26&lt;TODAY()),"Critical-Gap",IF(H26&lt;&gt;I26,"Level-Gap","Minor-Gap"))))</f>
        <v/>
      </c>
      <c r="R26" s="15" t="n"/>
    </row>
    <row r="27">
      <c r="A27" s="15" t="n"/>
      <c r="B27" s="15" t="n"/>
      <c r="C27" s="15" t="n"/>
      <c r="D27" s="15" t="n"/>
      <c r="E27" s="15" t="n"/>
      <c r="F27" s="15" t="n"/>
      <c r="G27" s="16" t="n"/>
      <c r="H27" s="15" t="n"/>
      <c r="I27" s="15" t="n"/>
      <c r="J27" s="15" t="n"/>
      <c r="K27" s="16" t="n"/>
      <c r="L27" s="16" t="n"/>
      <c r="M27" s="15" t="n"/>
      <c r="N27" s="15" t="n"/>
      <c r="O27" s="16" t="n"/>
      <c r="P27" s="14">
        <f>IF(A27="","",IF(AND(J27="Yes",L27&gt;=TODAY()),"Valid",IF(AND(J27="Yes",L27&lt;TODAY()),"Expired",IF(J27="In-Progress","Pending","Not-Screened"))))</f>
        <v/>
      </c>
      <c r="Q27" s="14">
        <f>IF(A27="","",IF(AND(H27=I27,J27="Yes",L27&gt;=TODAY()),"No-Gap",IF(OR(J27="No",L27&lt;TODAY()),"Critical-Gap",IF(H27&lt;&gt;I27,"Level-Gap","Minor-Gap"))))</f>
        <v/>
      </c>
      <c r="R27" s="15" t="n"/>
    </row>
    <row r="28">
      <c r="A28" s="15" t="n"/>
      <c r="B28" s="15" t="n"/>
      <c r="C28" s="15" t="n"/>
      <c r="D28" s="15" t="n"/>
      <c r="E28" s="15" t="n"/>
      <c r="F28" s="15" t="n"/>
      <c r="G28" s="16" t="n"/>
      <c r="H28" s="15" t="n"/>
      <c r="I28" s="15" t="n"/>
      <c r="J28" s="15" t="n"/>
      <c r="K28" s="16" t="n"/>
      <c r="L28" s="16" t="n"/>
      <c r="M28" s="15" t="n"/>
      <c r="N28" s="15" t="n"/>
      <c r="O28" s="16" t="n"/>
      <c r="P28" s="14">
        <f>IF(A28="","",IF(AND(J28="Yes",L28&gt;=TODAY()),"Valid",IF(AND(J28="Yes",L28&lt;TODAY()),"Expired",IF(J28="In-Progress","Pending","Not-Screened"))))</f>
        <v/>
      </c>
      <c r="Q28" s="14">
        <f>IF(A28="","",IF(AND(H28=I28,J28="Yes",L28&gt;=TODAY()),"No-Gap",IF(OR(J28="No",L28&lt;TODAY()),"Critical-Gap",IF(H28&lt;&gt;I28,"Level-Gap","Minor-Gap"))))</f>
        <v/>
      </c>
      <c r="R28" s="15" t="n"/>
    </row>
    <row r="29">
      <c r="A29" s="15" t="n"/>
      <c r="B29" s="15" t="n"/>
      <c r="C29" s="15" t="n"/>
      <c r="D29" s="15" t="n"/>
      <c r="E29" s="15" t="n"/>
      <c r="F29" s="15" t="n"/>
      <c r="G29" s="16" t="n"/>
      <c r="H29" s="15" t="n"/>
      <c r="I29" s="15" t="n"/>
      <c r="J29" s="15" t="n"/>
      <c r="K29" s="16" t="n"/>
      <c r="L29" s="16" t="n"/>
      <c r="M29" s="15" t="n"/>
      <c r="N29" s="15" t="n"/>
      <c r="O29" s="16" t="n"/>
      <c r="P29" s="14">
        <f>IF(A29="","",IF(AND(J29="Yes",L29&gt;=TODAY()),"Valid",IF(AND(J29="Yes",L29&lt;TODAY()),"Expired",IF(J29="In-Progress","Pending","Not-Screened"))))</f>
        <v/>
      </c>
      <c r="Q29" s="14">
        <f>IF(A29="","",IF(AND(H29=I29,J29="Yes",L29&gt;=TODAY()),"No-Gap",IF(OR(J29="No",L29&lt;TODAY()),"Critical-Gap",IF(H29&lt;&gt;I29,"Level-Gap","Minor-Gap"))))</f>
        <v/>
      </c>
      <c r="R29" s="15" t="n"/>
    </row>
    <row r="30">
      <c r="A30" s="15" t="n"/>
      <c r="B30" s="15" t="n"/>
      <c r="C30" s="15" t="n"/>
      <c r="D30" s="15" t="n"/>
      <c r="E30" s="15" t="n"/>
      <c r="F30" s="15" t="n"/>
      <c r="G30" s="16" t="n"/>
      <c r="H30" s="15" t="n"/>
      <c r="I30" s="15" t="n"/>
      <c r="J30" s="15" t="n"/>
      <c r="K30" s="16" t="n"/>
      <c r="L30" s="16" t="n"/>
      <c r="M30" s="15" t="n"/>
      <c r="N30" s="15" t="n"/>
      <c r="O30" s="16" t="n"/>
      <c r="P30" s="14">
        <f>IF(A30="","",IF(AND(J30="Yes",L30&gt;=TODAY()),"Valid",IF(AND(J30="Yes",L30&lt;TODAY()),"Expired",IF(J30="In-Progress","Pending","Not-Screened"))))</f>
        <v/>
      </c>
      <c r="Q30" s="14">
        <f>IF(A30="","",IF(AND(H30=I30,J30="Yes",L30&gt;=TODAY()),"No-Gap",IF(OR(J30="No",L30&lt;TODAY()),"Critical-Gap",IF(H30&lt;&gt;I30,"Level-Gap","Minor-Gap"))))</f>
        <v/>
      </c>
      <c r="R30" s="15" t="n"/>
    </row>
    <row r="31">
      <c r="A31" s="15" t="n"/>
      <c r="B31" s="15" t="n"/>
      <c r="C31" s="15" t="n"/>
      <c r="D31" s="15" t="n"/>
      <c r="E31" s="15" t="n"/>
      <c r="F31" s="15" t="n"/>
      <c r="G31" s="16" t="n"/>
      <c r="H31" s="15" t="n"/>
      <c r="I31" s="15" t="n"/>
      <c r="J31" s="15" t="n"/>
      <c r="K31" s="16" t="n"/>
      <c r="L31" s="16" t="n"/>
      <c r="M31" s="15" t="n"/>
      <c r="N31" s="15" t="n"/>
      <c r="O31" s="16" t="n"/>
      <c r="P31" s="14">
        <f>IF(A31="","",IF(AND(J31="Yes",L31&gt;=TODAY()),"Valid",IF(AND(J31="Yes",L31&lt;TODAY()),"Expired",IF(J31="In-Progress","Pending","Not-Screened"))))</f>
        <v/>
      </c>
      <c r="Q31" s="14">
        <f>IF(A31="","",IF(AND(H31=I31,J31="Yes",L31&gt;=TODAY()),"No-Gap",IF(OR(J31="No",L31&lt;TODAY()),"Critical-Gap",IF(H31&lt;&gt;I31,"Level-Gap","Minor-Gap"))))</f>
        <v/>
      </c>
      <c r="R31" s="15" t="n"/>
    </row>
    <row r="32">
      <c r="A32" s="15" t="n"/>
      <c r="B32" s="15" t="n"/>
      <c r="C32" s="15" t="n"/>
      <c r="D32" s="15" t="n"/>
      <c r="E32" s="15" t="n"/>
      <c r="F32" s="15" t="n"/>
      <c r="G32" s="16" t="n"/>
      <c r="H32" s="15" t="n"/>
      <c r="I32" s="15" t="n"/>
      <c r="J32" s="15" t="n"/>
      <c r="K32" s="16" t="n"/>
      <c r="L32" s="16" t="n"/>
      <c r="M32" s="15" t="n"/>
      <c r="N32" s="15" t="n"/>
      <c r="O32" s="16" t="n"/>
      <c r="P32" s="14">
        <f>IF(A32="","",IF(AND(J32="Yes",L32&gt;=TODAY()),"Valid",IF(AND(J32="Yes",L32&lt;TODAY()),"Expired",IF(J32="In-Progress","Pending","Not-Screened"))))</f>
        <v/>
      </c>
      <c r="Q32" s="14">
        <f>IF(A32="","",IF(AND(H32=I32,J32="Yes",L32&gt;=TODAY()),"No-Gap",IF(OR(J32="No",L32&lt;TODAY()),"Critical-Gap",IF(H32&lt;&gt;I32,"Level-Gap","Minor-Gap"))))</f>
        <v/>
      </c>
      <c r="R32" s="15" t="n"/>
    </row>
    <row r="33">
      <c r="A33" s="15" t="n"/>
      <c r="B33" s="15" t="n"/>
      <c r="C33" s="15" t="n"/>
      <c r="D33" s="15" t="n"/>
      <c r="E33" s="15" t="n"/>
      <c r="F33" s="15" t="n"/>
      <c r="G33" s="16" t="n"/>
      <c r="H33" s="15" t="n"/>
      <c r="I33" s="15" t="n"/>
      <c r="J33" s="15" t="n"/>
      <c r="K33" s="16" t="n"/>
      <c r="L33" s="16" t="n"/>
      <c r="M33" s="15" t="n"/>
      <c r="N33" s="15" t="n"/>
      <c r="O33" s="16" t="n"/>
      <c r="P33" s="14">
        <f>IF(A33="","",IF(AND(J33="Yes",L33&gt;=TODAY()),"Valid",IF(AND(J33="Yes",L33&lt;TODAY()),"Expired",IF(J33="In-Progress","Pending","Not-Screened"))))</f>
        <v/>
      </c>
      <c r="Q33" s="14">
        <f>IF(A33="","",IF(AND(H33=I33,J33="Yes",L33&gt;=TODAY()),"No-Gap",IF(OR(J33="No",L33&lt;TODAY()),"Critical-Gap",IF(H33&lt;&gt;I33,"Level-Gap","Minor-Gap"))))</f>
        <v/>
      </c>
      <c r="R33" s="15" t="n"/>
    </row>
    <row r="34">
      <c r="A34" s="15" t="n"/>
      <c r="B34" s="15" t="n"/>
      <c r="C34" s="15" t="n"/>
      <c r="D34" s="15" t="n"/>
      <c r="E34" s="15" t="n"/>
      <c r="F34" s="15" t="n"/>
      <c r="G34" s="16" t="n"/>
      <c r="H34" s="15" t="n"/>
      <c r="I34" s="15" t="n"/>
      <c r="J34" s="15" t="n"/>
      <c r="K34" s="16" t="n"/>
      <c r="L34" s="16" t="n"/>
      <c r="M34" s="15" t="n"/>
      <c r="N34" s="15" t="n"/>
      <c r="O34" s="16" t="n"/>
      <c r="P34" s="14">
        <f>IF(A34="","",IF(AND(J34="Yes",L34&gt;=TODAY()),"Valid",IF(AND(J34="Yes",L34&lt;TODAY()),"Expired",IF(J34="In-Progress","Pending","Not-Screened"))))</f>
        <v/>
      </c>
      <c r="Q34" s="14">
        <f>IF(A34="","",IF(AND(H34=I34,J34="Yes",L34&gt;=TODAY()),"No-Gap",IF(OR(J34="No",L34&lt;TODAY()),"Critical-Gap",IF(H34&lt;&gt;I34,"Level-Gap","Minor-Gap"))))</f>
        <v/>
      </c>
      <c r="R34" s="15" t="n"/>
    </row>
    <row r="35">
      <c r="A35" s="15" t="n"/>
      <c r="B35" s="15" t="n"/>
      <c r="C35" s="15" t="n"/>
      <c r="D35" s="15" t="n"/>
      <c r="E35" s="15" t="n"/>
      <c r="F35" s="15" t="n"/>
      <c r="G35" s="16" t="n"/>
      <c r="H35" s="15" t="n"/>
      <c r="I35" s="15" t="n"/>
      <c r="J35" s="15" t="n"/>
      <c r="K35" s="16" t="n"/>
      <c r="L35" s="16" t="n"/>
      <c r="M35" s="15" t="n"/>
      <c r="N35" s="15" t="n"/>
      <c r="O35" s="16" t="n"/>
      <c r="P35" s="14">
        <f>IF(A35="","",IF(AND(J35="Yes",L35&gt;=TODAY()),"Valid",IF(AND(J35="Yes",L35&lt;TODAY()),"Expired",IF(J35="In-Progress","Pending","Not-Screened"))))</f>
        <v/>
      </c>
      <c r="Q35" s="14">
        <f>IF(A35="","",IF(AND(H35=I35,J35="Yes",L35&gt;=TODAY()),"No-Gap",IF(OR(J35="No",L35&lt;TODAY()),"Critical-Gap",IF(H35&lt;&gt;I35,"Level-Gap","Minor-Gap"))))</f>
        <v/>
      </c>
      <c r="R35" s="15" t="n"/>
    </row>
    <row r="36">
      <c r="A36" s="15" t="n"/>
      <c r="B36" s="15" t="n"/>
      <c r="C36" s="15" t="n"/>
      <c r="D36" s="15" t="n"/>
      <c r="E36" s="15" t="n"/>
      <c r="F36" s="15" t="n"/>
      <c r="G36" s="16" t="n"/>
      <c r="H36" s="15" t="n"/>
      <c r="I36" s="15" t="n"/>
      <c r="J36" s="15" t="n"/>
      <c r="K36" s="16" t="n"/>
      <c r="L36" s="16" t="n"/>
      <c r="M36" s="15" t="n"/>
      <c r="N36" s="15" t="n"/>
      <c r="O36" s="16" t="n"/>
      <c r="P36" s="14">
        <f>IF(A36="","",IF(AND(J36="Yes",L36&gt;=TODAY()),"Valid",IF(AND(J36="Yes",L36&lt;TODAY()),"Expired",IF(J36="In-Progress","Pending","Not-Screened"))))</f>
        <v/>
      </c>
      <c r="Q36" s="14">
        <f>IF(A36="","",IF(AND(H36=I36,J36="Yes",L36&gt;=TODAY()),"No-Gap",IF(OR(J36="No",L36&lt;TODAY()),"Critical-Gap",IF(H36&lt;&gt;I36,"Level-Gap","Minor-Gap"))))</f>
        <v/>
      </c>
      <c r="R36" s="15" t="n"/>
    </row>
    <row r="37">
      <c r="A37" s="15" t="n"/>
      <c r="B37" s="15" t="n"/>
      <c r="C37" s="15" t="n"/>
      <c r="D37" s="15" t="n"/>
      <c r="E37" s="15" t="n"/>
      <c r="F37" s="15" t="n"/>
      <c r="G37" s="16" t="n"/>
      <c r="H37" s="15" t="n"/>
      <c r="I37" s="15" t="n"/>
      <c r="J37" s="15" t="n"/>
      <c r="K37" s="16" t="n"/>
      <c r="L37" s="16" t="n"/>
      <c r="M37" s="15" t="n"/>
      <c r="N37" s="15" t="n"/>
      <c r="O37" s="16" t="n"/>
      <c r="P37" s="14">
        <f>IF(A37="","",IF(AND(J37="Yes",L37&gt;=TODAY()),"Valid",IF(AND(J37="Yes",L37&lt;TODAY()),"Expired",IF(J37="In-Progress","Pending","Not-Screened"))))</f>
        <v/>
      </c>
      <c r="Q37" s="14">
        <f>IF(A37="","",IF(AND(H37=I37,J37="Yes",L37&gt;=TODAY()),"No-Gap",IF(OR(J37="No",L37&lt;TODAY()),"Critical-Gap",IF(H37&lt;&gt;I37,"Level-Gap","Minor-Gap"))))</f>
        <v/>
      </c>
      <c r="R37" s="15" t="n"/>
    </row>
    <row r="38">
      <c r="A38" s="15" t="n"/>
      <c r="B38" s="15" t="n"/>
      <c r="C38" s="15" t="n"/>
      <c r="D38" s="15" t="n"/>
      <c r="E38" s="15" t="n"/>
      <c r="F38" s="15" t="n"/>
      <c r="G38" s="16" t="n"/>
      <c r="H38" s="15" t="n"/>
      <c r="I38" s="15" t="n"/>
      <c r="J38" s="15" t="n"/>
      <c r="K38" s="16" t="n"/>
      <c r="L38" s="16" t="n"/>
      <c r="M38" s="15" t="n"/>
      <c r="N38" s="15" t="n"/>
      <c r="O38" s="16" t="n"/>
      <c r="P38" s="14">
        <f>IF(A38="","",IF(AND(J38="Yes",L38&gt;=TODAY()),"Valid",IF(AND(J38="Yes",L38&lt;TODAY()),"Expired",IF(J38="In-Progress","Pending","Not-Screened"))))</f>
        <v/>
      </c>
      <c r="Q38" s="14">
        <f>IF(A38="","",IF(AND(H38=I38,J38="Yes",L38&gt;=TODAY()),"No-Gap",IF(OR(J38="No",L38&lt;TODAY()),"Critical-Gap",IF(H38&lt;&gt;I38,"Level-Gap","Minor-Gap"))))</f>
        <v/>
      </c>
      <c r="R38" s="15" t="n"/>
    </row>
    <row r="39">
      <c r="A39" s="15" t="n"/>
      <c r="B39" s="15" t="n"/>
      <c r="C39" s="15" t="n"/>
      <c r="D39" s="15" t="n"/>
      <c r="E39" s="15" t="n"/>
      <c r="F39" s="15" t="n"/>
      <c r="G39" s="16" t="n"/>
      <c r="H39" s="15" t="n"/>
      <c r="I39" s="15" t="n"/>
      <c r="J39" s="15" t="n"/>
      <c r="K39" s="16" t="n"/>
      <c r="L39" s="16" t="n"/>
      <c r="M39" s="15" t="n"/>
      <c r="N39" s="15" t="n"/>
      <c r="O39" s="16" t="n"/>
      <c r="P39" s="14">
        <f>IF(A39="","",IF(AND(J39="Yes",L39&gt;=TODAY()),"Valid",IF(AND(J39="Yes",L39&lt;TODAY()),"Expired",IF(J39="In-Progress","Pending","Not-Screened"))))</f>
        <v/>
      </c>
      <c r="Q39" s="14">
        <f>IF(A39="","",IF(AND(H39=I39,J39="Yes",L39&gt;=TODAY()),"No-Gap",IF(OR(J39="No",L39&lt;TODAY()),"Critical-Gap",IF(H39&lt;&gt;I39,"Level-Gap","Minor-Gap"))))</f>
        <v/>
      </c>
      <c r="R39" s="15" t="n"/>
    </row>
    <row r="40">
      <c r="A40" s="15" t="n"/>
      <c r="B40" s="15" t="n"/>
      <c r="C40" s="15" t="n"/>
      <c r="D40" s="15" t="n"/>
      <c r="E40" s="15" t="n"/>
      <c r="F40" s="15" t="n"/>
      <c r="G40" s="16" t="n"/>
      <c r="H40" s="15" t="n"/>
      <c r="I40" s="15" t="n"/>
      <c r="J40" s="15" t="n"/>
      <c r="K40" s="16" t="n"/>
      <c r="L40" s="16" t="n"/>
      <c r="M40" s="15" t="n"/>
      <c r="N40" s="15" t="n"/>
      <c r="O40" s="16" t="n"/>
      <c r="P40" s="14">
        <f>IF(A40="","",IF(AND(J40="Yes",L40&gt;=TODAY()),"Valid",IF(AND(J40="Yes",L40&lt;TODAY()),"Expired",IF(J40="In-Progress","Pending","Not-Screened"))))</f>
        <v/>
      </c>
      <c r="Q40" s="14">
        <f>IF(A40="","",IF(AND(H40=I40,J40="Yes",L40&gt;=TODAY()),"No-Gap",IF(OR(J40="No",L40&lt;TODAY()),"Critical-Gap",IF(H40&lt;&gt;I40,"Level-Gap","Minor-Gap"))))</f>
        <v/>
      </c>
      <c r="R40" s="15" t="n"/>
    </row>
    <row r="41">
      <c r="A41" s="15" t="n"/>
      <c r="B41" s="15" t="n"/>
      <c r="C41" s="15" t="n"/>
      <c r="D41" s="15" t="n"/>
      <c r="E41" s="15" t="n"/>
      <c r="F41" s="15" t="n"/>
      <c r="G41" s="16" t="n"/>
      <c r="H41" s="15" t="n"/>
      <c r="I41" s="15" t="n"/>
      <c r="J41" s="15" t="n"/>
      <c r="K41" s="16" t="n"/>
      <c r="L41" s="16" t="n"/>
      <c r="M41" s="15" t="n"/>
      <c r="N41" s="15" t="n"/>
      <c r="O41" s="16" t="n"/>
      <c r="P41" s="14">
        <f>IF(A41="","",IF(AND(J41="Yes",L41&gt;=TODAY()),"Valid",IF(AND(J41="Yes",L41&lt;TODAY()),"Expired",IF(J41="In-Progress","Pending","Not-Screened"))))</f>
        <v/>
      </c>
      <c r="Q41" s="14">
        <f>IF(A41="","",IF(AND(H41=I41,J41="Yes",L41&gt;=TODAY()),"No-Gap",IF(OR(J41="No",L41&lt;TODAY()),"Critical-Gap",IF(H41&lt;&gt;I41,"Level-Gap","Minor-Gap"))))</f>
        <v/>
      </c>
      <c r="R41" s="15" t="n"/>
    </row>
    <row r="42">
      <c r="A42" s="15" t="n"/>
      <c r="B42" s="15" t="n"/>
      <c r="C42" s="15" t="n"/>
      <c r="D42" s="15" t="n"/>
      <c r="E42" s="15" t="n"/>
      <c r="F42" s="15" t="n"/>
      <c r="G42" s="16" t="n"/>
      <c r="H42" s="15" t="n"/>
      <c r="I42" s="15" t="n"/>
      <c r="J42" s="15" t="n"/>
      <c r="K42" s="16" t="n"/>
      <c r="L42" s="16" t="n"/>
      <c r="M42" s="15" t="n"/>
      <c r="N42" s="15" t="n"/>
      <c r="O42" s="16" t="n"/>
      <c r="P42" s="14">
        <f>IF(A42="","",IF(AND(J42="Yes",L42&gt;=TODAY()),"Valid",IF(AND(J42="Yes",L42&lt;TODAY()),"Expired",IF(J42="In-Progress","Pending","Not-Screened"))))</f>
        <v/>
      </c>
      <c r="Q42" s="14">
        <f>IF(A42="","",IF(AND(H42=I42,J42="Yes",L42&gt;=TODAY()),"No-Gap",IF(OR(J42="No",L42&lt;TODAY()),"Critical-Gap",IF(H42&lt;&gt;I42,"Level-Gap","Minor-Gap"))))</f>
        <v/>
      </c>
      <c r="R42" s="15" t="n"/>
    </row>
    <row r="43">
      <c r="A43" s="15" t="n"/>
      <c r="B43" s="15" t="n"/>
      <c r="C43" s="15" t="n"/>
      <c r="D43" s="15" t="n"/>
      <c r="E43" s="15" t="n"/>
      <c r="F43" s="15" t="n"/>
      <c r="G43" s="16" t="n"/>
      <c r="H43" s="15" t="n"/>
      <c r="I43" s="15" t="n"/>
      <c r="J43" s="15" t="n"/>
      <c r="K43" s="16" t="n"/>
      <c r="L43" s="16" t="n"/>
      <c r="M43" s="15" t="n"/>
      <c r="N43" s="15" t="n"/>
      <c r="O43" s="16" t="n"/>
      <c r="P43" s="14">
        <f>IF(A43="","",IF(AND(J43="Yes",L43&gt;=TODAY()),"Valid",IF(AND(J43="Yes",L43&lt;TODAY()),"Expired",IF(J43="In-Progress","Pending","Not-Screened"))))</f>
        <v/>
      </c>
      <c r="Q43" s="14">
        <f>IF(A43="","",IF(AND(H43=I43,J43="Yes",L43&gt;=TODAY()),"No-Gap",IF(OR(J43="No",L43&lt;TODAY()),"Critical-Gap",IF(H43&lt;&gt;I43,"Level-Gap","Minor-Gap"))))</f>
        <v/>
      </c>
      <c r="R43" s="15" t="n"/>
    </row>
    <row r="44">
      <c r="A44" s="15" t="n"/>
      <c r="B44" s="15" t="n"/>
      <c r="C44" s="15" t="n"/>
      <c r="D44" s="15" t="n"/>
      <c r="E44" s="15" t="n"/>
      <c r="F44" s="15" t="n"/>
      <c r="G44" s="16" t="n"/>
      <c r="H44" s="15" t="n"/>
      <c r="I44" s="15" t="n"/>
      <c r="J44" s="15" t="n"/>
      <c r="K44" s="16" t="n"/>
      <c r="L44" s="16" t="n"/>
      <c r="M44" s="15" t="n"/>
      <c r="N44" s="15" t="n"/>
      <c r="O44" s="16" t="n"/>
      <c r="P44" s="14">
        <f>IF(A44="","",IF(AND(J44="Yes",L44&gt;=TODAY()),"Valid",IF(AND(J44="Yes",L44&lt;TODAY()),"Expired",IF(J44="In-Progress","Pending","Not-Screened"))))</f>
        <v/>
      </c>
      <c r="Q44" s="14">
        <f>IF(A44="","",IF(AND(H44=I44,J44="Yes",L44&gt;=TODAY()),"No-Gap",IF(OR(J44="No",L44&lt;TODAY()),"Critical-Gap",IF(H44&lt;&gt;I44,"Level-Gap","Minor-Gap"))))</f>
        <v/>
      </c>
      <c r="R44" s="15" t="n"/>
    </row>
    <row r="45">
      <c r="A45" s="15" t="n"/>
      <c r="B45" s="15" t="n"/>
      <c r="C45" s="15" t="n"/>
      <c r="D45" s="15" t="n"/>
      <c r="E45" s="15" t="n"/>
      <c r="F45" s="15" t="n"/>
      <c r="G45" s="16" t="n"/>
      <c r="H45" s="15" t="n"/>
      <c r="I45" s="15" t="n"/>
      <c r="J45" s="15" t="n"/>
      <c r="K45" s="16" t="n"/>
      <c r="L45" s="16" t="n"/>
      <c r="M45" s="15" t="n"/>
      <c r="N45" s="15" t="n"/>
      <c r="O45" s="16" t="n"/>
      <c r="P45" s="14">
        <f>IF(A45="","",IF(AND(J45="Yes",L45&gt;=TODAY()),"Valid",IF(AND(J45="Yes",L45&lt;TODAY()),"Expired",IF(J45="In-Progress","Pending","Not-Screened"))))</f>
        <v/>
      </c>
      <c r="Q45" s="14">
        <f>IF(A45="","",IF(AND(H45=I45,J45="Yes",L45&gt;=TODAY()),"No-Gap",IF(OR(J45="No",L45&lt;TODAY()),"Critical-Gap",IF(H45&lt;&gt;I45,"Level-Gap","Minor-Gap"))))</f>
        <v/>
      </c>
      <c r="R45" s="15" t="n"/>
    </row>
    <row r="46">
      <c r="A46" s="15" t="n"/>
      <c r="B46" s="15" t="n"/>
      <c r="C46" s="15" t="n"/>
      <c r="D46" s="15" t="n"/>
      <c r="E46" s="15" t="n"/>
      <c r="F46" s="15" t="n"/>
      <c r="G46" s="16" t="n"/>
      <c r="H46" s="15" t="n"/>
      <c r="I46" s="15" t="n"/>
      <c r="J46" s="15" t="n"/>
      <c r="K46" s="16" t="n"/>
      <c r="L46" s="16" t="n"/>
      <c r="M46" s="15" t="n"/>
      <c r="N46" s="15" t="n"/>
      <c r="O46" s="16" t="n"/>
      <c r="P46" s="14">
        <f>IF(A46="","",IF(AND(J46="Yes",L46&gt;=TODAY()),"Valid",IF(AND(J46="Yes",L46&lt;TODAY()),"Expired",IF(J46="In-Progress","Pending","Not-Screened"))))</f>
        <v/>
      </c>
      <c r="Q46" s="14">
        <f>IF(A46="","",IF(AND(H46=I46,J46="Yes",L46&gt;=TODAY()),"No-Gap",IF(OR(J46="No",L46&lt;TODAY()),"Critical-Gap",IF(H46&lt;&gt;I46,"Level-Gap","Minor-Gap"))))</f>
        <v/>
      </c>
      <c r="R46" s="15" t="n"/>
    </row>
    <row r="47">
      <c r="A47" s="15" t="n"/>
      <c r="B47" s="15" t="n"/>
      <c r="C47" s="15" t="n"/>
      <c r="D47" s="15" t="n"/>
      <c r="E47" s="15" t="n"/>
      <c r="F47" s="15" t="n"/>
      <c r="G47" s="16" t="n"/>
      <c r="H47" s="15" t="n"/>
      <c r="I47" s="15" t="n"/>
      <c r="J47" s="15" t="n"/>
      <c r="K47" s="16" t="n"/>
      <c r="L47" s="16" t="n"/>
      <c r="M47" s="15" t="n"/>
      <c r="N47" s="15" t="n"/>
      <c r="O47" s="16" t="n"/>
      <c r="P47" s="14">
        <f>IF(A47="","",IF(AND(J47="Yes",L47&gt;=TODAY()),"Valid",IF(AND(J47="Yes",L47&lt;TODAY()),"Expired",IF(J47="In-Progress","Pending","Not-Screened"))))</f>
        <v/>
      </c>
      <c r="Q47" s="14">
        <f>IF(A47="","",IF(AND(H47=I47,J47="Yes",L47&gt;=TODAY()),"No-Gap",IF(OR(J47="No",L47&lt;TODAY()),"Critical-Gap",IF(H47&lt;&gt;I47,"Level-Gap","Minor-Gap"))))</f>
        <v/>
      </c>
      <c r="R47" s="15" t="n"/>
    </row>
    <row r="48">
      <c r="A48" s="15" t="n"/>
      <c r="B48" s="15" t="n"/>
      <c r="C48" s="15" t="n"/>
      <c r="D48" s="15" t="n"/>
      <c r="E48" s="15" t="n"/>
      <c r="F48" s="15" t="n"/>
      <c r="G48" s="16" t="n"/>
      <c r="H48" s="15" t="n"/>
      <c r="I48" s="15" t="n"/>
      <c r="J48" s="15" t="n"/>
      <c r="K48" s="16" t="n"/>
      <c r="L48" s="16" t="n"/>
      <c r="M48" s="15" t="n"/>
      <c r="N48" s="15" t="n"/>
      <c r="O48" s="16" t="n"/>
      <c r="P48" s="14">
        <f>IF(A48="","",IF(AND(J48="Yes",L48&gt;=TODAY()),"Valid",IF(AND(J48="Yes",L48&lt;TODAY()),"Expired",IF(J48="In-Progress","Pending","Not-Screened"))))</f>
        <v/>
      </c>
      <c r="Q48" s="14">
        <f>IF(A48="","",IF(AND(H48=I48,J48="Yes",L48&gt;=TODAY()),"No-Gap",IF(OR(J48="No",L48&lt;TODAY()),"Critical-Gap",IF(H48&lt;&gt;I48,"Level-Gap","Minor-Gap"))))</f>
        <v/>
      </c>
      <c r="R48" s="15" t="n"/>
    </row>
    <row r="49">
      <c r="A49" s="15" t="n"/>
      <c r="B49" s="15" t="n"/>
      <c r="C49" s="15" t="n"/>
      <c r="D49" s="15" t="n"/>
      <c r="E49" s="15" t="n"/>
      <c r="F49" s="15" t="n"/>
      <c r="G49" s="16" t="n"/>
      <c r="H49" s="15" t="n"/>
      <c r="I49" s="15" t="n"/>
      <c r="J49" s="15" t="n"/>
      <c r="K49" s="16" t="n"/>
      <c r="L49" s="16" t="n"/>
      <c r="M49" s="15" t="n"/>
      <c r="N49" s="15" t="n"/>
      <c r="O49" s="16" t="n"/>
      <c r="P49" s="14">
        <f>IF(A49="","",IF(AND(J49="Yes",L49&gt;=TODAY()),"Valid",IF(AND(J49="Yes",L49&lt;TODAY()),"Expired",IF(J49="In-Progress","Pending","Not-Screened"))))</f>
        <v/>
      </c>
      <c r="Q49" s="14">
        <f>IF(A49="","",IF(AND(H49=I49,J49="Yes",L49&gt;=TODAY()),"No-Gap",IF(OR(J49="No",L49&lt;TODAY()),"Critical-Gap",IF(H49&lt;&gt;I49,"Level-Gap","Minor-Gap"))))</f>
        <v/>
      </c>
      <c r="R49" s="15" t="n"/>
    </row>
    <row r="50">
      <c r="A50" s="15" t="n"/>
      <c r="B50" s="15" t="n"/>
      <c r="C50" s="15" t="n"/>
      <c r="D50" s="15" t="n"/>
      <c r="E50" s="15" t="n"/>
      <c r="F50" s="15" t="n"/>
      <c r="G50" s="16" t="n"/>
      <c r="H50" s="15" t="n"/>
      <c r="I50" s="15" t="n"/>
      <c r="J50" s="15" t="n"/>
      <c r="K50" s="16" t="n"/>
      <c r="L50" s="16" t="n"/>
      <c r="M50" s="15" t="n"/>
      <c r="N50" s="15" t="n"/>
      <c r="O50" s="16" t="n"/>
      <c r="P50" s="14">
        <f>IF(A50="","",IF(AND(J50="Yes",L50&gt;=TODAY()),"Valid",IF(AND(J50="Yes",L50&lt;TODAY()),"Expired",IF(J50="In-Progress","Pending","Not-Screened"))))</f>
        <v/>
      </c>
      <c r="Q50" s="14">
        <f>IF(A50="","",IF(AND(H50=I50,J50="Yes",L50&gt;=TODAY()),"No-Gap",IF(OR(J50="No",L50&lt;TODAY()),"Critical-Gap",IF(H50&lt;&gt;I50,"Level-Gap","Minor-Gap"))))</f>
        <v/>
      </c>
      <c r="R50" s="15" t="n"/>
    </row>
    <row r="51">
      <c r="A51" s="15" t="n"/>
      <c r="B51" s="15" t="n"/>
      <c r="C51" s="15" t="n"/>
      <c r="D51" s="15" t="n"/>
      <c r="E51" s="15" t="n"/>
      <c r="F51" s="15" t="n"/>
      <c r="G51" s="16" t="n"/>
      <c r="H51" s="15" t="n"/>
      <c r="I51" s="15" t="n"/>
      <c r="J51" s="15" t="n"/>
      <c r="K51" s="16" t="n"/>
      <c r="L51" s="16" t="n"/>
      <c r="M51" s="15" t="n"/>
      <c r="N51" s="15" t="n"/>
      <c r="O51" s="16" t="n"/>
      <c r="P51" s="14">
        <f>IF(A51="","",IF(AND(J51="Yes",L51&gt;=TODAY()),"Valid",IF(AND(J51="Yes",L51&lt;TODAY()),"Expired",IF(J51="In-Progress","Pending","Not-Screened"))))</f>
        <v/>
      </c>
      <c r="Q51" s="14">
        <f>IF(A51="","",IF(AND(H51=I51,J51="Yes",L51&gt;=TODAY()),"No-Gap",IF(OR(J51="No",L51&lt;TODAY()),"Critical-Gap",IF(H51&lt;&gt;I51,"Level-Gap","Minor-Gap"))))</f>
        <v/>
      </c>
      <c r="R51" s="15" t="n"/>
    </row>
    <row r="52">
      <c r="A52" s="15" t="n"/>
      <c r="B52" s="15" t="n"/>
      <c r="C52" s="15" t="n"/>
      <c r="D52" s="15" t="n"/>
      <c r="E52" s="15" t="n"/>
      <c r="F52" s="15" t="n"/>
      <c r="G52" s="16" t="n"/>
      <c r="H52" s="15" t="n"/>
      <c r="I52" s="15" t="n"/>
      <c r="J52" s="15" t="n"/>
      <c r="K52" s="16" t="n"/>
      <c r="L52" s="16" t="n"/>
      <c r="M52" s="15" t="n"/>
      <c r="N52" s="15" t="n"/>
      <c r="O52" s="16" t="n"/>
      <c r="P52" s="14">
        <f>IF(A52="","",IF(AND(J52="Yes",L52&gt;=TODAY()),"Valid",IF(AND(J52="Yes",L52&lt;TODAY()),"Expired",IF(J52="In-Progress","Pending","Not-Screened"))))</f>
        <v/>
      </c>
      <c r="Q52" s="14">
        <f>IF(A52="","",IF(AND(H52=I52,J52="Yes",L52&gt;=TODAY()),"No-Gap",IF(OR(J52="No",L52&lt;TODAY()),"Critical-Gap",IF(H52&lt;&gt;I52,"Level-Gap","Minor-Gap"))))</f>
        <v/>
      </c>
      <c r="R52" s="15" t="n"/>
    </row>
    <row r="53">
      <c r="A53" s="15" t="n"/>
      <c r="B53" s="15" t="n"/>
      <c r="C53" s="15" t="n"/>
      <c r="D53" s="15" t="n"/>
      <c r="E53" s="15" t="n"/>
      <c r="F53" s="15" t="n"/>
      <c r="G53" s="16" t="n"/>
      <c r="H53" s="15" t="n"/>
      <c r="I53" s="15" t="n"/>
      <c r="J53" s="15" t="n"/>
      <c r="K53" s="16" t="n"/>
      <c r="L53" s="16" t="n"/>
      <c r="M53" s="15" t="n"/>
      <c r="N53" s="15" t="n"/>
      <c r="O53" s="16" t="n"/>
      <c r="P53" s="14">
        <f>IF(A53="","",IF(AND(J53="Yes",L53&gt;=TODAY()),"Valid",IF(AND(J53="Yes",L53&lt;TODAY()),"Expired",IF(J53="In-Progress","Pending","Not-Screened"))))</f>
        <v/>
      </c>
      <c r="Q53" s="14">
        <f>IF(A53="","",IF(AND(H53=I53,J53="Yes",L53&gt;=TODAY()),"No-Gap",IF(OR(J53="No",L53&lt;TODAY()),"Critical-Gap",IF(H53&lt;&gt;I53,"Level-Gap","Minor-Gap"))))</f>
        <v/>
      </c>
      <c r="R53" s="15" t="n"/>
    </row>
    <row r="54">
      <c r="A54" s="15" t="n"/>
      <c r="B54" s="15" t="n"/>
      <c r="C54" s="15" t="n"/>
      <c r="D54" s="15" t="n"/>
      <c r="E54" s="15" t="n"/>
      <c r="F54" s="15" t="n"/>
      <c r="G54" s="16" t="n"/>
      <c r="H54" s="15" t="n"/>
      <c r="I54" s="15" t="n"/>
      <c r="J54" s="15" t="n"/>
      <c r="K54" s="16" t="n"/>
      <c r="L54" s="16" t="n"/>
      <c r="M54" s="15" t="n"/>
      <c r="N54" s="15" t="n"/>
      <c r="O54" s="16" t="n"/>
      <c r="P54" s="14">
        <f>IF(A54="","",IF(AND(J54="Yes",L54&gt;=TODAY()),"Valid",IF(AND(J54="Yes",L54&lt;TODAY()),"Expired",IF(J54="In-Progress","Pending","Not-Screened"))))</f>
        <v/>
      </c>
      <c r="Q54" s="14">
        <f>IF(A54="","",IF(AND(H54=I54,J54="Yes",L54&gt;=TODAY()),"No-Gap",IF(OR(J54="No",L54&lt;TODAY()),"Critical-Gap",IF(H54&lt;&gt;I54,"Level-Gap","Minor-Gap"))))</f>
        <v/>
      </c>
      <c r="R54" s="15" t="n"/>
    </row>
  </sheetData>
  <mergeCells count="2">
    <mergeCell ref="A2:R2"/>
    <mergeCell ref="A1:R1"/>
  </mergeCells>
  <dataValidations count="5">
    <dataValidation sqref="E5:E54" showDropDown="0" showInputMessage="0" showErrorMessage="1" allowBlank="1" errorTitle="Invalid Entry" error="Please select from dropdown" type="list">
      <formula1>"Tier-1,Tier-2,Tier-3,Tier-4,Tier-5,Tier-6,Tier-7,Tier-8,Tier-9,Tier-10,Tier-11,Tier-12"</formula1>
    </dataValidation>
    <dataValidation sqref="F5:F54" showDropDown="0" showInputMessage="0" showErrorMessage="1" allowBlank="1" errorTitle="Invalid Entry" error="Please select from dropdown" type="list">
      <formula1>"Full-Time,Part-Time,Contractor,Temporary,Intern,Third-Party"</formula1>
    </dataValidation>
    <dataValidation sqref="H5:I54" showDropDown="0" showInputMessage="0" showErrorMessage="1" allowBlank="1" errorTitle="Invalid Entry" error="Please select from dropdown" type="list">
      <formula1>"Enhanced,Standard-Plus,Standard,Basic,None"</formula1>
    </dataValidation>
    <dataValidation sqref="J5:J54" showDropDown="0" showInputMessage="0" showErrorMessage="1" allowBlank="1" errorTitle="Invalid Entry" error="Please select from dropdown" type="list">
      <formula1>"Yes,No,In-Progress,Pending"</formula1>
    </dataValidation>
    <dataValidation sqref="N5:N54" showDropDown="0" showInputMessage="0" showErrorMessage="1" allowBlank="1" errorTitle="Invalid Entry" error="Please select from dropdown"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5" customWidth="1" min="11" max="11"/>
    <col width="15" customWidth="1" min="12" max="12"/>
    <col width="15" customWidth="1" min="13" max="13"/>
    <col width="40" customWidth="1" min="14" max="14"/>
    <col width="30" customWidth="1" min="15" max="15"/>
  </cols>
  <sheetData>
    <row r="1" ht="35" customHeight="1">
      <c r="A1" s="11" t="inlineStr">
        <is>
          <t>SCREENING COMPLIANCE VERIFICATION</t>
        </is>
      </c>
    </row>
    <row r="2">
      <c r="A2" s="12" t="inlineStr">
        <is>
          <t>Per-person screening compliance verification and gap identification</t>
        </is>
      </c>
    </row>
    <row r="4">
      <c r="A4" s="13" t="inlineStr">
        <is>
          <t>Employee ID</t>
        </is>
      </c>
      <c r="B4" s="13" t="inlineStr">
        <is>
          <t>Full Name</t>
        </is>
      </c>
      <c r="C4" s="13" t="inlineStr">
        <is>
          <t>Role Tier</t>
        </is>
      </c>
      <c r="D4" s="13" t="inlineStr">
        <is>
          <t>Identity Verified</t>
        </is>
      </c>
      <c r="E4" s="13" t="inlineStr">
        <is>
          <t>Employment History Checked</t>
        </is>
      </c>
      <c r="F4" s="13" t="inlineStr">
        <is>
          <t>Education Verified</t>
        </is>
      </c>
      <c r="G4" s="13" t="inlineStr">
        <is>
          <t>Criminal Check Complete</t>
        </is>
      </c>
      <c r="H4" s="13" t="inlineStr">
        <is>
          <t>Credit Check Complete</t>
        </is>
      </c>
      <c r="I4" s="13" t="inlineStr">
        <is>
          <t>References Checked</t>
        </is>
      </c>
      <c r="J4" s="13" t="inlineStr">
        <is>
          <t>Right to Work Verified</t>
        </is>
      </c>
      <c r="K4" s="13" t="inlineStr">
        <is>
          <t>All Required Checks Complete</t>
        </is>
      </c>
      <c r="L4" s="13" t="inlineStr">
        <is>
          <t>Screening Level Appropriate</t>
        </is>
      </c>
      <c r="M4" s="13" t="inlineStr">
        <is>
          <t>Compliance Status</t>
        </is>
      </c>
      <c r="N4" s="13" t="inlineStr">
        <is>
          <t>Gap Description</t>
        </is>
      </c>
      <c r="O4" s="13" t="inlineStr">
        <is>
          <t>Evidence Reference</t>
        </is>
      </c>
    </row>
    <row r="5">
      <c r="A5" s="14">
        <f>IF(ROW()-4&lt;=COUNTA('Personnel Screening Registry'!$A:$A)-4,INDEX('Personnel Screening Registry'!$A:$A,ROW()-3),"")</f>
        <v/>
      </c>
      <c r="B5" s="14">
        <f>IF(A5&lt;&gt;"",VLOOKUP(A5,'Personnel Screening Registry'!$A:$B,2,FALSE),"")</f>
        <v/>
      </c>
      <c r="C5" s="14">
        <f>IF(A5&lt;&gt;"",VLOOKUP(A5,'Personnel Screening Registry'!$A:$E,5,FALSE),"")</f>
        <v/>
      </c>
      <c r="D5" s="15" t="n"/>
      <c r="E5" s="15" t="n"/>
      <c r="F5" s="15" t="n"/>
      <c r="G5" s="15" t="n"/>
      <c r="H5" s="15" t="n"/>
      <c r="I5" s="15" t="n"/>
      <c r="J5" s="15" t="n"/>
      <c r="K5" s="14">
        <f>IF(A5="","",IF(AND(D5="Yes",E5="Yes",J5="Yes"),"Yes","No"))</f>
        <v/>
      </c>
      <c r="L5" s="14">
        <f>IF(A5="","",IF(VLOOKUP(A5,'Personnel Screening Registry'!$A:$I,8,FALSE)=VLOOKUP(A5,'Personnel Screening Registry'!$A:$I,9,FALSE),"Yes","No"))</f>
        <v/>
      </c>
      <c r="M5" s="14">
        <f>IF(A5="","",IF(AND(K5="Yes",L5="Yes"),"Compliant",IF(OR(K5="No",L5="No"),"Non-Compliant","Partial")))</f>
        <v/>
      </c>
      <c r="N5" s="15" t="n"/>
      <c r="O5" s="15" t="n"/>
    </row>
    <row r="6">
      <c r="A6" s="14">
        <f>IF(ROW()-4&lt;=COUNTA('Personnel Screening Registry'!$A:$A)-4,INDEX('Personnel Screening Registry'!$A:$A,ROW()-3),"")</f>
        <v/>
      </c>
      <c r="B6" s="14">
        <f>IF(A6&lt;&gt;"",VLOOKUP(A6,'Personnel Screening Registry'!$A:$B,2,FALSE),"")</f>
        <v/>
      </c>
      <c r="C6" s="14">
        <f>IF(A6&lt;&gt;"",VLOOKUP(A6,'Personnel Screening Registry'!$A:$E,5,FALSE),"")</f>
        <v/>
      </c>
      <c r="D6" s="15" t="n"/>
      <c r="E6" s="15" t="n"/>
      <c r="F6" s="15" t="n"/>
      <c r="G6" s="15" t="n"/>
      <c r="H6" s="15" t="n"/>
      <c r="I6" s="15" t="n"/>
      <c r="J6" s="15" t="n"/>
      <c r="K6" s="14">
        <f>IF(A6="","",IF(AND(D6="Yes",E6="Yes",J6="Yes"),"Yes","No"))</f>
        <v/>
      </c>
      <c r="L6" s="14">
        <f>IF(A6="","",IF(VLOOKUP(A6,'Personnel Screening Registry'!$A:$I,8,FALSE)=VLOOKUP(A6,'Personnel Screening Registry'!$A:$I,9,FALSE),"Yes","No"))</f>
        <v/>
      </c>
      <c r="M6" s="14">
        <f>IF(A6="","",IF(AND(K6="Yes",L6="Yes"),"Compliant",IF(OR(K6="No",L6="No"),"Non-Compliant","Partial")))</f>
        <v/>
      </c>
      <c r="N6" s="15" t="n"/>
      <c r="O6" s="15" t="n"/>
    </row>
    <row r="7">
      <c r="A7" s="14">
        <f>IF(ROW()-4&lt;=COUNTA('Personnel Screening Registry'!$A:$A)-4,INDEX('Personnel Screening Registry'!$A:$A,ROW()-3),"")</f>
        <v/>
      </c>
      <c r="B7" s="14">
        <f>IF(A7&lt;&gt;"",VLOOKUP(A7,'Personnel Screening Registry'!$A:$B,2,FALSE),"")</f>
        <v/>
      </c>
      <c r="C7" s="14">
        <f>IF(A7&lt;&gt;"",VLOOKUP(A7,'Personnel Screening Registry'!$A:$E,5,FALSE),"")</f>
        <v/>
      </c>
      <c r="D7" s="15" t="n"/>
      <c r="E7" s="15" t="n"/>
      <c r="F7" s="15" t="n"/>
      <c r="G7" s="15" t="n"/>
      <c r="H7" s="15" t="n"/>
      <c r="I7" s="15" t="n"/>
      <c r="J7" s="15" t="n"/>
      <c r="K7" s="14">
        <f>IF(A7="","",IF(AND(D7="Yes",E7="Yes",J7="Yes"),"Yes","No"))</f>
        <v/>
      </c>
      <c r="L7" s="14">
        <f>IF(A7="","",IF(VLOOKUP(A7,'Personnel Screening Registry'!$A:$I,8,FALSE)=VLOOKUP(A7,'Personnel Screening Registry'!$A:$I,9,FALSE),"Yes","No"))</f>
        <v/>
      </c>
      <c r="M7" s="14">
        <f>IF(A7="","",IF(AND(K7="Yes",L7="Yes"),"Compliant",IF(OR(K7="No",L7="No"),"Non-Compliant","Partial")))</f>
        <v/>
      </c>
      <c r="N7" s="15" t="n"/>
      <c r="O7" s="15" t="n"/>
    </row>
    <row r="8">
      <c r="A8" s="14">
        <f>IF(ROW()-4&lt;=COUNTA('Personnel Screening Registry'!$A:$A)-4,INDEX('Personnel Screening Registry'!$A:$A,ROW()-3),"")</f>
        <v/>
      </c>
      <c r="B8" s="14">
        <f>IF(A8&lt;&gt;"",VLOOKUP(A8,'Personnel Screening Registry'!$A:$B,2,FALSE),"")</f>
        <v/>
      </c>
      <c r="C8" s="14">
        <f>IF(A8&lt;&gt;"",VLOOKUP(A8,'Personnel Screening Registry'!$A:$E,5,FALSE),"")</f>
        <v/>
      </c>
      <c r="D8" s="15" t="n"/>
      <c r="E8" s="15" t="n"/>
      <c r="F8" s="15" t="n"/>
      <c r="G8" s="15" t="n"/>
      <c r="H8" s="15" t="n"/>
      <c r="I8" s="15" t="n"/>
      <c r="J8" s="15" t="n"/>
      <c r="K8" s="14">
        <f>IF(A8="","",IF(AND(D8="Yes",E8="Yes",J8="Yes"),"Yes","No"))</f>
        <v/>
      </c>
      <c r="L8" s="14">
        <f>IF(A8="","",IF(VLOOKUP(A8,'Personnel Screening Registry'!$A:$I,8,FALSE)=VLOOKUP(A8,'Personnel Screening Registry'!$A:$I,9,FALSE),"Yes","No"))</f>
        <v/>
      </c>
      <c r="M8" s="14">
        <f>IF(A8="","",IF(AND(K8="Yes",L8="Yes"),"Compliant",IF(OR(K8="No",L8="No"),"Non-Compliant","Partial")))</f>
        <v/>
      </c>
      <c r="N8" s="15" t="n"/>
      <c r="O8" s="15" t="n"/>
    </row>
    <row r="9">
      <c r="A9" s="14">
        <f>IF(ROW()-4&lt;=COUNTA('Personnel Screening Registry'!$A:$A)-4,INDEX('Personnel Screening Registry'!$A:$A,ROW()-3),"")</f>
        <v/>
      </c>
      <c r="B9" s="14">
        <f>IF(A9&lt;&gt;"",VLOOKUP(A9,'Personnel Screening Registry'!$A:$B,2,FALSE),"")</f>
        <v/>
      </c>
      <c r="C9" s="14">
        <f>IF(A9&lt;&gt;"",VLOOKUP(A9,'Personnel Screening Registry'!$A:$E,5,FALSE),"")</f>
        <v/>
      </c>
      <c r="D9" s="15" t="n"/>
      <c r="E9" s="15" t="n"/>
      <c r="F9" s="15" t="n"/>
      <c r="G9" s="15" t="n"/>
      <c r="H9" s="15" t="n"/>
      <c r="I9" s="15" t="n"/>
      <c r="J9" s="15" t="n"/>
      <c r="K9" s="14">
        <f>IF(A9="","",IF(AND(D9="Yes",E9="Yes",J9="Yes"),"Yes","No"))</f>
        <v/>
      </c>
      <c r="L9" s="14">
        <f>IF(A9="","",IF(VLOOKUP(A9,'Personnel Screening Registry'!$A:$I,8,FALSE)=VLOOKUP(A9,'Personnel Screening Registry'!$A:$I,9,FALSE),"Yes","No"))</f>
        <v/>
      </c>
      <c r="M9" s="14">
        <f>IF(A9="","",IF(AND(K9="Yes",L9="Yes"),"Compliant",IF(OR(K9="No",L9="No"),"Non-Compliant","Partial")))</f>
        <v/>
      </c>
      <c r="N9" s="15" t="n"/>
      <c r="O9" s="15" t="n"/>
    </row>
    <row r="10">
      <c r="A10" s="14">
        <f>IF(ROW()-4&lt;=COUNTA('Personnel Screening Registry'!$A:$A)-4,INDEX('Personnel Screening Registry'!$A:$A,ROW()-3),"")</f>
        <v/>
      </c>
      <c r="B10" s="14">
        <f>IF(A10&lt;&gt;"",VLOOKUP(A10,'Personnel Screening Registry'!$A:$B,2,FALSE),"")</f>
        <v/>
      </c>
      <c r="C10" s="14">
        <f>IF(A10&lt;&gt;"",VLOOKUP(A10,'Personnel Screening Registry'!$A:$E,5,FALSE),"")</f>
        <v/>
      </c>
      <c r="D10" s="15" t="n"/>
      <c r="E10" s="15" t="n"/>
      <c r="F10" s="15" t="n"/>
      <c r="G10" s="15" t="n"/>
      <c r="H10" s="15" t="n"/>
      <c r="I10" s="15" t="n"/>
      <c r="J10" s="15" t="n"/>
      <c r="K10" s="14">
        <f>IF(A10="","",IF(AND(D10="Yes",E10="Yes",J10="Yes"),"Yes","No"))</f>
        <v/>
      </c>
      <c r="L10" s="14">
        <f>IF(A10="","",IF(VLOOKUP(A10,'Personnel Screening Registry'!$A:$I,8,FALSE)=VLOOKUP(A10,'Personnel Screening Registry'!$A:$I,9,FALSE),"Yes","No"))</f>
        <v/>
      </c>
      <c r="M10" s="14">
        <f>IF(A10="","",IF(AND(K10="Yes",L10="Yes"),"Compliant",IF(OR(K10="No",L10="No"),"Non-Compliant","Partial")))</f>
        <v/>
      </c>
      <c r="N10" s="15" t="n"/>
      <c r="O10" s="15" t="n"/>
    </row>
    <row r="11">
      <c r="A11" s="14">
        <f>IF(ROW()-4&lt;=COUNTA('Personnel Screening Registry'!$A:$A)-4,INDEX('Personnel Screening Registry'!$A:$A,ROW()-3),"")</f>
        <v/>
      </c>
      <c r="B11" s="14">
        <f>IF(A11&lt;&gt;"",VLOOKUP(A11,'Personnel Screening Registry'!$A:$B,2,FALSE),"")</f>
        <v/>
      </c>
      <c r="C11" s="14">
        <f>IF(A11&lt;&gt;"",VLOOKUP(A11,'Personnel Screening Registry'!$A:$E,5,FALSE),"")</f>
        <v/>
      </c>
      <c r="D11" s="15" t="n"/>
      <c r="E11" s="15" t="n"/>
      <c r="F11" s="15" t="n"/>
      <c r="G11" s="15" t="n"/>
      <c r="H11" s="15" t="n"/>
      <c r="I11" s="15" t="n"/>
      <c r="J11" s="15" t="n"/>
      <c r="K11" s="14">
        <f>IF(A11="","",IF(AND(D11="Yes",E11="Yes",J11="Yes"),"Yes","No"))</f>
        <v/>
      </c>
      <c r="L11" s="14">
        <f>IF(A11="","",IF(VLOOKUP(A11,'Personnel Screening Registry'!$A:$I,8,FALSE)=VLOOKUP(A11,'Personnel Screening Registry'!$A:$I,9,FALSE),"Yes","No"))</f>
        <v/>
      </c>
      <c r="M11" s="14">
        <f>IF(A11="","",IF(AND(K11="Yes",L11="Yes"),"Compliant",IF(OR(K11="No",L11="No"),"Non-Compliant","Partial")))</f>
        <v/>
      </c>
      <c r="N11" s="15" t="n"/>
      <c r="O11" s="15" t="n"/>
    </row>
    <row r="12">
      <c r="A12" s="14">
        <f>IF(ROW()-4&lt;=COUNTA('Personnel Screening Registry'!$A:$A)-4,INDEX('Personnel Screening Registry'!$A:$A,ROW()-3),"")</f>
        <v/>
      </c>
      <c r="B12" s="14">
        <f>IF(A12&lt;&gt;"",VLOOKUP(A12,'Personnel Screening Registry'!$A:$B,2,FALSE),"")</f>
        <v/>
      </c>
      <c r="C12" s="14">
        <f>IF(A12&lt;&gt;"",VLOOKUP(A12,'Personnel Screening Registry'!$A:$E,5,FALSE),"")</f>
        <v/>
      </c>
      <c r="D12" s="15" t="n"/>
      <c r="E12" s="15" t="n"/>
      <c r="F12" s="15" t="n"/>
      <c r="G12" s="15" t="n"/>
      <c r="H12" s="15" t="n"/>
      <c r="I12" s="15" t="n"/>
      <c r="J12" s="15" t="n"/>
      <c r="K12" s="14">
        <f>IF(A12="","",IF(AND(D12="Yes",E12="Yes",J12="Yes"),"Yes","No"))</f>
        <v/>
      </c>
      <c r="L12" s="14">
        <f>IF(A12="","",IF(VLOOKUP(A12,'Personnel Screening Registry'!$A:$I,8,FALSE)=VLOOKUP(A12,'Personnel Screening Registry'!$A:$I,9,FALSE),"Yes","No"))</f>
        <v/>
      </c>
      <c r="M12" s="14">
        <f>IF(A12="","",IF(AND(K12="Yes",L12="Yes"),"Compliant",IF(OR(K12="No",L12="No"),"Non-Compliant","Partial")))</f>
        <v/>
      </c>
      <c r="N12" s="15" t="n"/>
      <c r="O12" s="15" t="n"/>
    </row>
    <row r="13">
      <c r="A13" s="14">
        <f>IF(ROW()-4&lt;=COUNTA('Personnel Screening Registry'!$A:$A)-4,INDEX('Personnel Screening Registry'!$A:$A,ROW()-3),"")</f>
        <v/>
      </c>
      <c r="B13" s="14">
        <f>IF(A13&lt;&gt;"",VLOOKUP(A13,'Personnel Screening Registry'!$A:$B,2,FALSE),"")</f>
        <v/>
      </c>
      <c r="C13" s="14">
        <f>IF(A13&lt;&gt;"",VLOOKUP(A13,'Personnel Screening Registry'!$A:$E,5,FALSE),"")</f>
        <v/>
      </c>
      <c r="D13" s="15" t="n"/>
      <c r="E13" s="15" t="n"/>
      <c r="F13" s="15" t="n"/>
      <c r="G13" s="15" t="n"/>
      <c r="H13" s="15" t="n"/>
      <c r="I13" s="15" t="n"/>
      <c r="J13" s="15" t="n"/>
      <c r="K13" s="14">
        <f>IF(A13="","",IF(AND(D13="Yes",E13="Yes",J13="Yes"),"Yes","No"))</f>
        <v/>
      </c>
      <c r="L13" s="14">
        <f>IF(A13="","",IF(VLOOKUP(A13,'Personnel Screening Registry'!$A:$I,8,FALSE)=VLOOKUP(A13,'Personnel Screening Registry'!$A:$I,9,FALSE),"Yes","No"))</f>
        <v/>
      </c>
      <c r="M13" s="14">
        <f>IF(A13="","",IF(AND(K13="Yes",L13="Yes"),"Compliant",IF(OR(K13="No",L13="No"),"Non-Compliant","Partial")))</f>
        <v/>
      </c>
      <c r="N13" s="15" t="n"/>
      <c r="O13" s="15" t="n"/>
    </row>
    <row r="14">
      <c r="A14" s="14">
        <f>IF(ROW()-4&lt;=COUNTA('Personnel Screening Registry'!$A:$A)-4,INDEX('Personnel Screening Registry'!$A:$A,ROW()-3),"")</f>
        <v/>
      </c>
      <c r="B14" s="14">
        <f>IF(A14&lt;&gt;"",VLOOKUP(A14,'Personnel Screening Registry'!$A:$B,2,FALSE),"")</f>
        <v/>
      </c>
      <c r="C14" s="14">
        <f>IF(A14&lt;&gt;"",VLOOKUP(A14,'Personnel Screening Registry'!$A:$E,5,FALSE),"")</f>
        <v/>
      </c>
      <c r="D14" s="15" t="n"/>
      <c r="E14" s="15" t="n"/>
      <c r="F14" s="15" t="n"/>
      <c r="G14" s="15" t="n"/>
      <c r="H14" s="15" t="n"/>
      <c r="I14" s="15" t="n"/>
      <c r="J14" s="15" t="n"/>
      <c r="K14" s="14">
        <f>IF(A14="","",IF(AND(D14="Yes",E14="Yes",J14="Yes"),"Yes","No"))</f>
        <v/>
      </c>
      <c r="L14" s="14">
        <f>IF(A14="","",IF(VLOOKUP(A14,'Personnel Screening Registry'!$A:$I,8,FALSE)=VLOOKUP(A14,'Personnel Screening Registry'!$A:$I,9,FALSE),"Yes","No"))</f>
        <v/>
      </c>
      <c r="M14" s="14">
        <f>IF(A14="","",IF(AND(K14="Yes",L14="Yes"),"Compliant",IF(OR(K14="No",L14="No"),"Non-Compliant","Partial")))</f>
        <v/>
      </c>
      <c r="N14" s="15" t="n"/>
      <c r="O14" s="15" t="n"/>
    </row>
    <row r="15">
      <c r="A15" s="14">
        <f>IF(ROW()-4&lt;=COUNTA('Personnel Screening Registry'!$A:$A)-4,INDEX('Personnel Screening Registry'!$A:$A,ROW()-3),"")</f>
        <v/>
      </c>
      <c r="B15" s="14">
        <f>IF(A15&lt;&gt;"",VLOOKUP(A15,'Personnel Screening Registry'!$A:$B,2,FALSE),"")</f>
        <v/>
      </c>
      <c r="C15" s="14">
        <f>IF(A15&lt;&gt;"",VLOOKUP(A15,'Personnel Screening Registry'!$A:$E,5,FALSE),"")</f>
        <v/>
      </c>
      <c r="D15" s="15" t="n"/>
      <c r="E15" s="15" t="n"/>
      <c r="F15" s="15" t="n"/>
      <c r="G15" s="15" t="n"/>
      <c r="H15" s="15" t="n"/>
      <c r="I15" s="15" t="n"/>
      <c r="J15" s="15" t="n"/>
      <c r="K15" s="14">
        <f>IF(A15="","",IF(AND(D15="Yes",E15="Yes",J15="Yes"),"Yes","No"))</f>
        <v/>
      </c>
      <c r="L15" s="14">
        <f>IF(A15="","",IF(VLOOKUP(A15,'Personnel Screening Registry'!$A:$I,8,FALSE)=VLOOKUP(A15,'Personnel Screening Registry'!$A:$I,9,FALSE),"Yes","No"))</f>
        <v/>
      </c>
      <c r="M15" s="14">
        <f>IF(A15="","",IF(AND(K15="Yes",L15="Yes"),"Compliant",IF(OR(K15="No",L15="No"),"Non-Compliant","Partial")))</f>
        <v/>
      </c>
      <c r="N15" s="15" t="n"/>
      <c r="O15" s="15" t="n"/>
    </row>
    <row r="16">
      <c r="A16" s="14">
        <f>IF(ROW()-4&lt;=COUNTA('Personnel Screening Registry'!$A:$A)-4,INDEX('Personnel Screening Registry'!$A:$A,ROW()-3),"")</f>
        <v/>
      </c>
      <c r="B16" s="14">
        <f>IF(A16&lt;&gt;"",VLOOKUP(A16,'Personnel Screening Registry'!$A:$B,2,FALSE),"")</f>
        <v/>
      </c>
      <c r="C16" s="14">
        <f>IF(A16&lt;&gt;"",VLOOKUP(A16,'Personnel Screening Registry'!$A:$E,5,FALSE),"")</f>
        <v/>
      </c>
      <c r="D16" s="15" t="n"/>
      <c r="E16" s="15" t="n"/>
      <c r="F16" s="15" t="n"/>
      <c r="G16" s="15" t="n"/>
      <c r="H16" s="15" t="n"/>
      <c r="I16" s="15" t="n"/>
      <c r="J16" s="15" t="n"/>
      <c r="K16" s="14">
        <f>IF(A16="","",IF(AND(D16="Yes",E16="Yes",J16="Yes"),"Yes","No"))</f>
        <v/>
      </c>
      <c r="L16" s="14">
        <f>IF(A16="","",IF(VLOOKUP(A16,'Personnel Screening Registry'!$A:$I,8,FALSE)=VLOOKUP(A16,'Personnel Screening Registry'!$A:$I,9,FALSE),"Yes","No"))</f>
        <v/>
      </c>
      <c r="M16" s="14">
        <f>IF(A16="","",IF(AND(K16="Yes",L16="Yes"),"Compliant",IF(OR(K16="No",L16="No"),"Non-Compliant","Partial")))</f>
        <v/>
      </c>
      <c r="N16" s="15" t="n"/>
      <c r="O16" s="15" t="n"/>
    </row>
    <row r="17">
      <c r="A17" s="14">
        <f>IF(ROW()-4&lt;=COUNTA('Personnel Screening Registry'!$A:$A)-4,INDEX('Personnel Screening Registry'!$A:$A,ROW()-3),"")</f>
        <v/>
      </c>
      <c r="B17" s="14">
        <f>IF(A17&lt;&gt;"",VLOOKUP(A17,'Personnel Screening Registry'!$A:$B,2,FALSE),"")</f>
        <v/>
      </c>
      <c r="C17" s="14">
        <f>IF(A17&lt;&gt;"",VLOOKUP(A17,'Personnel Screening Registry'!$A:$E,5,FALSE),"")</f>
        <v/>
      </c>
      <c r="D17" s="15" t="n"/>
      <c r="E17" s="15" t="n"/>
      <c r="F17" s="15" t="n"/>
      <c r="G17" s="15" t="n"/>
      <c r="H17" s="15" t="n"/>
      <c r="I17" s="15" t="n"/>
      <c r="J17" s="15" t="n"/>
      <c r="K17" s="14">
        <f>IF(A17="","",IF(AND(D17="Yes",E17="Yes",J17="Yes"),"Yes","No"))</f>
        <v/>
      </c>
      <c r="L17" s="14">
        <f>IF(A17="","",IF(VLOOKUP(A17,'Personnel Screening Registry'!$A:$I,8,FALSE)=VLOOKUP(A17,'Personnel Screening Registry'!$A:$I,9,FALSE),"Yes","No"))</f>
        <v/>
      </c>
      <c r="M17" s="14">
        <f>IF(A17="","",IF(AND(K17="Yes",L17="Yes"),"Compliant",IF(OR(K17="No",L17="No"),"Non-Compliant","Partial")))</f>
        <v/>
      </c>
      <c r="N17" s="15" t="n"/>
      <c r="O17" s="15" t="n"/>
    </row>
    <row r="18">
      <c r="A18" s="14">
        <f>IF(ROW()-4&lt;=COUNTA('Personnel Screening Registry'!$A:$A)-4,INDEX('Personnel Screening Registry'!$A:$A,ROW()-3),"")</f>
        <v/>
      </c>
      <c r="B18" s="14">
        <f>IF(A18&lt;&gt;"",VLOOKUP(A18,'Personnel Screening Registry'!$A:$B,2,FALSE),"")</f>
        <v/>
      </c>
      <c r="C18" s="14">
        <f>IF(A18&lt;&gt;"",VLOOKUP(A18,'Personnel Screening Registry'!$A:$E,5,FALSE),"")</f>
        <v/>
      </c>
      <c r="D18" s="15" t="n"/>
      <c r="E18" s="15" t="n"/>
      <c r="F18" s="15" t="n"/>
      <c r="G18" s="15" t="n"/>
      <c r="H18" s="15" t="n"/>
      <c r="I18" s="15" t="n"/>
      <c r="J18" s="15" t="n"/>
      <c r="K18" s="14">
        <f>IF(A18="","",IF(AND(D18="Yes",E18="Yes",J18="Yes"),"Yes","No"))</f>
        <v/>
      </c>
      <c r="L18" s="14">
        <f>IF(A18="","",IF(VLOOKUP(A18,'Personnel Screening Registry'!$A:$I,8,FALSE)=VLOOKUP(A18,'Personnel Screening Registry'!$A:$I,9,FALSE),"Yes","No"))</f>
        <v/>
      </c>
      <c r="M18" s="14">
        <f>IF(A18="","",IF(AND(K18="Yes",L18="Yes"),"Compliant",IF(OR(K18="No",L18="No"),"Non-Compliant","Partial")))</f>
        <v/>
      </c>
      <c r="N18" s="15" t="n"/>
      <c r="O18" s="15" t="n"/>
    </row>
    <row r="19">
      <c r="A19" s="14">
        <f>IF(ROW()-4&lt;=COUNTA('Personnel Screening Registry'!$A:$A)-4,INDEX('Personnel Screening Registry'!$A:$A,ROW()-3),"")</f>
        <v/>
      </c>
      <c r="B19" s="14">
        <f>IF(A19&lt;&gt;"",VLOOKUP(A19,'Personnel Screening Registry'!$A:$B,2,FALSE),"")</f>
        <v/>
      </c>
      <c r="C19" s="14">
        <f>IF(A19&lt;&gt;"",VLOOKUP(A19,'Personnel Screening Registry'!$A:$E,5,FALSE),"")</f>
        <v/>
      </c>
      <c r="D19" s="15" t="n"/>
      <c r="E19" s="15" t="n"/>
      <c r="F19" s="15" t="n"/>
      <c r="G19" s="15" t="n"/>
      <c r="H19" s="15" t="n"/>
      <c r="I19" s="15" t="n"/>
      <c r="J19" s="15" t="n"/>
      <c r="K19" s="14">
        <f>IF(A19="","",IF(AND(D19="Yes",E19="Yes",J19="Yes"),"Yes","No"))</f>
        <v/>
      </c>
      <c r="L19" s="14">
        <f>IF(A19="","",IF(VLOOKUP(A19,'Personnel Screening Registry'!$A:$I,8,FALSE)=VLOOKUP(A19,'Personnel Screening Registry'!$A:$I,9,FALSE),"Yes","No"))</f>
        <v/>
      </c>
      <c r="M19" s="14">
        <f>IF(A19="","",IF(AND(K19="Yes",L19="Yes"),"Compliant",IF(OR(K19="No",L19="No"),"Non-Compliant","Partial")))</f>
        <v/>
      </c>
      <c r="N19" s="15" t="n"/>
      <c r="O19" s="15" t="n"/>
    </row>
    <row r="20">
      <c r="A20" s="14">
        <f>IF(ROW()-4&lt;=COUNTA('Personnel Screening Registry'!$A:$A)-4,INDEX('Personnel Screening Registry'!$A:$A,ROW()-3),"")</f>
        <v/>
      </c>
      <c r="B20" s="14">
        <f>IF(A20&lt;&gt;"",VLOOKUP(A20,'Personnel Screening Registry'!$A:$B,2,FALSE),"")</f>
        <v/>
      </c>
      <c r="C20" s="14">
        <f>IF(A20&lt;&gt;"",VLOOKUP(A20,'Personnel Screening Registry'!$A:$E,5,FALSE),"")</f>
        <v/>
      </c>
      <c r="D20" s="15" t="n"/>
      <c r="E20" s="15" t="n"/>
      <c r="F20" s="15" t="n"/>
      <c r="G20" s="15" t="n"/>
      <c r="H20" s="15" t="n"/>
      <c r="I20" s="15" t="n"/>
      <c r="J20" s="15" t="n"/>
      <c r="K20" s="14">
        <f>IF(A20="","",IF(AND(D20="Yes",E20="Yes",J20="Yes"),"Yes","No"))</f>
        <v/>
      </c>
      <c r="L20" s="14">
        <f>IF(A20="","",IF(VLOOKUP(A20,'Personnel Screening Registry'!$A:$I,8,FALSE)=VLOOKUP(A20,'Personnel Screening Registry'!$A:$I,9,FALSE),"Yes","No"))</f>
        <v/>
      </c>
      <c r="M20" s="14">
        <f>IF(A20="","",IF(AND(K20="Yes",L20="Yes"),"Compliant",IF(OR(K20="No",L20="No"),"Non-Compliant","Partial")))</f>
        <v/>
      </c>
      <c r="N20" s="15" t="n"/>
      <c r="O20" s="15" t="n"/>
    </row>
    <row r="21">
      <c r="A21" s="14">
        <f>IF(ROW()-4&lt;=COUNTA('Personnel Screening Registry'!$A:$A)-4,INDEX('Personnel Screening Registry'!$A:$A,ROW()-3),"")</f>
        <v/>
      </c>
      <c r="B21" s="14">
        <f>IF(A21&lt;&gt;"",VLOOKUP(A21,'Personnel Screening Registry'!$A:$B,2,FALSE),"")</f>
        <v/>
      </c>
      <c r="C21" s="14">
        <f>IF(A21&lt;&gt;"",VLOOKUP(A21,'Personnel Screening Registry'!$A:$E,5,FALSE),"")</f>
        <v/>
      </c>
      <c r="D21" s="15" t="n"/>
      <c r="E21" s="15" t="n"/>
      <c r="F21" s="15" t="n"/>
      <c r="G21" s="15" t="n"/>
      <c r="H21" s="15" t="n"/>
      <c r="I21" s="15" t="n"/>
      <c r="J21" s="15" t="n"/>
      <c r="K21" s="14">
        <f>IF(A21="","",IF(AND(D21="Yes",E21="Yes",J21="Yes"),"Yes","No"))</f>
        <v/>
      </c>
      <c r="L21" s="14">
        <f>IF(A21="","",IF(VLOOKUP(A21,'Personnel Screening Registry'!$A:$I,8,FALSE)=VLOOKUP(A21,'Personnel Screening Registry'!$A:$I,9,FALSE),"Yes","No"))</f>
        <v/>
      </c>
      <c r="M21" s="14">
        <f>IF(A21="","",IF(AND(K21="Yes",L21="Yes"),"Compliant",IF(OR(K21="No",L21="No"),"Non-Compliant","Partial")))</f>
        <v/>
      </c>
      <c r="N21" s="15" t="n"/>
      <c r="O21" s="15" t="n"/>
    </row>
    <row r="22">
      <c r="A22" s="14">
        <f>IF(ROW()-4&lt;=COUNTA('Personnel Screening Registry'!$A:$A)-4,INDEX('Personnel Screening Registry'!$A:$A,ROW()-3),"")</f>
        <v/>
      </c>
      <c r="B22" s="14">
        <f>IF(A22&lt;&gt;"",VLOOKUP(A22,'Personnel Screening Registry'!$A:$B,2,FALSE),"")</f>
        <v/>
      </c>
      <c r="C22" s="14">
        <f>IF(A22&lt;&gt;"",VLOOKUP(A22,'Personnel Screening Registry'!$A:$E,5,FALSE),"")</f>
        <v/>
      </c>
      <c r="D22" s="15" t="n"/>
      <c r="E22" s="15" t="n"/>
      <c r="F22" s="15" t="n"/>
      <c r="G22" s="15" t="n"/>
      <c r="H22" s="15" t="n"/>
      <c r="I22" s="15" t="n"/>
      <c r="J22" s="15" t="n"/>
      <c r="K22" s="14">
        <f>IF(A22="","",IF(AND(D22="Yes",E22="Yes",J22="Yes"),"Yes","No"))</f>
        <v/>
      </c>
      <c r="L22" s="14">
        <f>IF(A22="","",IF(VLOOKUP(A22,'Personnel Screening Registry'!$A:$I,8,FALSE)=VLOOKUP(A22,'Personnel Screening Registry'!$A:$I,9,FALSE),"Yes","No"))</f>
        <v/>
      </c>
      <c r="M22" s="14">
        <f>IF(A22="","",IF(AND(K22="Yes",L22="Yes"),"Compliant",IF(OR(K22="No",L22="No"),"Non-Compliant","Partial")))</f>
        <v/>
      </c>
      <c r="N22" s="15" t="n"/>
      <c r="O22" s="15" t="n"/>
    </row>
    <row r="23">
      <c r="A23" s="14">
        <f>IF(ROW()-4&lt;=COUNTA('Personnel Screening Registry'!$A:$A)-4,INDEX('Personnel Screening Registry'!$A:$A,ROW()-3),"")</f>
        <v/>
      </c>
      <c r="B23" s="14">
        <f>IF(A23&lt;&gt;"",VLOOKUP(A23,'Personnel Screening Registry'!$A:$B,2,FALSE),"")</f>
        <v/>
      </c>
      <c r="C23" s="14">
        <f>IF(A23&lt;&gt;"",VLOOKUP(A23,'Personnel Screening Registry'!$A:$E,5,FALSE),"")</f>
        <v/>
      </c>
      <c r="D23" s="15" t="n"/>
      <c r="E23" s="15" t="n"/>
      <c r="F23" s="15" t="n"/>
      <c r="G23" s="15" t="n"/>
      <c r="H23" s="15" t="n"/>
      <c r="I23" s="15" t="n"/>
      <c r="J23" s="15" t="n"/>
      <c r="K23" s="14">
        <f>IF(A23="","",IF(AND(D23="Yes",E23="Yes",J23="Yes"),"Yes","No"))</f>
        <v/>
      </c>
      <c r="L23" s="14">
        <f>IF(A23="","",IF(VLOOKUP(A23,'Personnel Screening Registry'!$A:$I,8,FALSE)=VLOOKUP(A23,'Personnel Screening Registry'!$A:$I,9,FALSE),"Yes","No"))</f>
        <v/>
      </c>
      <c r="M23" s="14">
        <f>IF(A23="","",IF(AND(K23="Yes",L23="Yes"),"Compliant",IF(OR(K23="No",L23="No"),"Non-Compliant","Partial")))</f>
        <v/>
      </c>
      <c r="N23" s="15" t="n"/>
      <c r="O23" s="15" t="n"/>
    </row>
    <row r="24">
      <c r="A24" s="14">
        <f>IF(ROW()-4&lt;=COUNTA('Personnel Screening Registry'!$A:$A)-4,INDEX('Personnel Screening Registry'!$A:$A,ROW()-3),"")</f>
        <v/>
      </c>
      <c r="B24" s="14">
        <f>IF(A24&lt;&gt;"",VLOOKUP(A24,'Personnel Screening Registry'!$A:$B,2,FALSE),"")</f>
        <v/>
      </c>
      <c r="C24" s="14">
        <f>IF(A24&lt;&gt;"",VLOOKUP(A24,'Personnel Screening Registry'!$A:$E,5,FALSE),"")</f>
        <v/>
      </c>
      <c r="D24" s="15" t="n"/>
      <c r="E24" s="15" t="n"/>
      <c r="F24" s="15" t="n"/>
      <c r="G24" s="15" t="n"/>
      <c r="H24" s="15" t="n"/>
      <c r="I24" s="15" t="n"/>
      <c r="J24" s="15" t="n"/>
      <c r="K24" s="14">
        <f>IF(A24="","",IF(AND(D24="Yes",E24="Yes",J24="Yes"),"Yes","No"))</f>
        <v/>
      </c>
      <c r="L24" s="14">
        <f>IF(A24="","",IF(VLOOKUP(A24,'Personnel Screening Registry'!$A:$I,8,FALSE)=VLOOKUP(A24,'Personnel Screening Registry'!$A:$I,9,FALSE),"Yes","No"))</f>
        <v/>
      </c>
      <c r="M24" s="14">
        <f>IF(A24="","",IF(AND(K24="Yes",L24="Yes"),"Compliant",IF(OR(K24="No",L24="No"),"Non-Compliant","Partial")))</f>
        <v/>
      </c>
      <c r="N24" s="15" t="n"/>
      <c r="O24" s="15" t="n"/>
    </row>
    <row r="25">
      <c r="A25" s="14">
        <f>IF(ROW()-4&lt;=COUNTA('Personnel Screening Registry'!$A:$A)-4,INDEX('Personnel Screening Registry'!$A:$A,ROW()-3),"")</f>
        <v/>
      </c>
      <c r="B25" s="14">
        <f>IF(A25&lt;&gt;"",VLOOKUP(A25,'Personnel Screening Registry'!$A:$B,2,FALSE),"")</f>
        <v/>
      </c>
      <c r="C25" s="14">
        <f>IF(A25&lt;&gt;"",VLOOKUP(A25,'Personnel Screening Registry'!$A:$E,5,FALSE),"")</f>
        <v/>
      </c>
      <c r="D25" s="15" t="n"/>
      <c r="E25" s="15" t="n"/>
      <c r="F25" s="15" t="n"/>
      <c r="G25" s="15" t="n"/>
      <c r="H25" s="15" t="n"/>
      <c r="I25" s="15" t="n"/>
      <c r="J25" s="15" t="n"/>
      <c r="K25" s="14">
        <f>IF(A25="","",IF(AND(D25="Yes",E25="Yes",J25="Yes"),"Yes","No"))</f>
        <v/>
      </c>
      <c r="L25" s="14">
        <f>IF(A25="","",IF(VLOOKUP(A25,'Personnel Screening Registry'!$A:$I,8,FALSE)=VLOOKUP(A25,'Personnel Screening Registry'!$A:$I,9,FALSE),"Yes","No"))</f>
        <v/>
      </c>
      <c r="M25" s="14">
        <f>IF(A25="","",IF(AND(K25="Yes",L25="Yes"),"Compliant",IF(OR(K25="No",L25="No"),"Non-Compliant","Partial")))</f>
        <v/>
      </c>
      <c r="N25" s="15" t="n"/>
      <c r="O25" s="15" t="n"/>
    </row>
    <row r="26">
      <c r="A26" s="14">
        <f>IF(ROW()-4&lt;=COUNTA('Personnel Screening Registry'!$A:$A)-4,INDEX('Personnel Screening Registry'!$A:$A,ROW()-3),"")</f>
        <v/>
      </c>
      <c r="B26" s="14">
        <f>IF(A26&lt;&gt;"",VLOOKUP(A26,'Personnel Screening Registry'!$A:$B,2,FALSE),"")</f>
        <v/>
      </c>
      <c r="C26" s="14">
        <f>IF(A26&lt;&gt;"",VLOOKUP(A26,'Personnel Screening Registry'!$A:$E,5,FALSE),"")</f>
        <v/>
      </c>
      <c r="D26" s="15" t="n"/>
      <c r="E26" s="15" t="n"/>
      <c r="F26" s="15" t="n"/>
      <c r="G26" s="15" t="n"/>
      <c r="H26" s="15" t="n"/>
      <c r="I26" s="15" t="n"/>
      <c r="J26" s="15" t="n"/>
      <c r="K26" s="14">
        <f>IF(A26="","",IF(AND(D26="Yes",E26="Yes",J26="Yes"),"Yes","No"))</f>
        <v/>
      </c>
      <c r="L26" s="14">
        <f>IF(A26="","",IF(VLOOKUP(A26,'Personnel Screening Registry'!$A:$I,8,FALSE)=VLOOKUP(A26,'Personnel Screening Registry'!$A:$I,9,FALSE),"Yes","No"))</f>
        <v/>
      </c>
      <c r="M26" s="14">
        <f>IF(A26="","",IF(AND(K26="Yes",L26="Yes"),"Compliant",IF(OR(K26="No",L26="No"),"Non-Compliant","Partial")))</f>
        <v/>
      </c>
      <c r="N26" s="15" t="n"/>
      <c r="O26" s="15" t="n"/>
    </row>
    <row r="27">
      <c r="A27" s="14">
        <f>IF(ROW()-4&lt;=COUNTA('Personnel Screening Registry'!$A:$A)-4,INDEX('Personnel Screening Registry'!$A:$A,ROW()-3),"")</f>
        <v/>
      </c>
      <c r="B27" s="14">
        <f>IF(A27&lt;&gt;"",VLOOKUP(A27,'Personnel Screening Registry'!$A:$B,2,FALSE),"")</f>
        <v/>
      </c>
      <c r="C27" s="14">
        <f>IF(A27&lt;&gt;"",VLOOKUP(A27,'Personnel Screening Registry'!$A:$E,5,FALSE),"")</f>
        <v/>
      </c>
      <c r="D27" s="15" t="n"/>
      <c r="E27" s="15" t="n"/>
      <c r="F27" s="15" t="n"/>
      <c r="G27" s="15" t="n"/>
      <c r="H27" s="15" t="n"/>
      <c r="I27" s="15" t="n"/>
      <c r="J27" s="15" t="n"/>
      <c r="K27" s="14">
        <f>IF(A27="","",IF(AND(D27="Yes",E27="Yes",J27="Yes"),"Yes","No"))</f>
        <v/>
      </c>
      <c r="L27" s="14">
        <f>IF(A27="","",IF(VLOOKUP(A27,'Personnel Screening Registry'!$A:$I,8,FALSE)=VLOOKUP(A27,'Personnel Screening Registry'!$A:$I,9,FALSE),"Yes","No"))</f>
        <v/>
      </c>
      <c r="M27" s="14">
        <f>IF(A27="","",IF(AND(K27="Yes",L27="Yes"),"Compliant",IF(OR(K27="No",L27="No"),"Non-Compliant","Partial")))</f>
        <v/>
      </c>
      <c r="N27" s="15" t="n"/>
      <c r="O27" s="15" t="n"/>
    </row>
    <row r="28">
      <c r="A28" s="14">
        <f>IF(ROW()-4&lt;=COUNTA('Personnel Screening Registry'!$A:$A)-4,INDEX('Personnel Screening Registry'!$A:$A,ROW()-3),"")</f>
        <v/>
      </c>
      <c r="B28" s="14">
        <f>IF(A28&lt;&gt;"",VLOOKUP(A28,'Personnel Screening Registry'!$A:$B,2,FALSE),"")</f>
        <v/>
      </c>
      <c r="C28" s="14">
        <f>IF(A28&lt;&gt;"",VLOOKUP(A28,'Personnel Screening Registry'!$A:$E,5,FALSE),"")</f>
        <v/>
      </c>
      <c r="D28" s="15" t="n"/>
      <c r="E28" s="15" t="n"/>
      <c r="F28" s="15" t="n"/>
      <c r="G28" s="15" t="n"/>
      <c r="H28" s="15" t="n"/>
      <c r="I28" s="15" t="n"/>
      <c r="J28" s="15" t="n"/>
      <c r="K28" s="14">
        <f>IF(A28="","",IF(AND(D28="Yes",E28="Yes",J28="Yes"),"Yes","No"))</f>
        <v/>
      </c>
      <c r="L28" s="14">
        <f>IF(A28="","",IF(VLOOKUP(A28,'Personnel Screening Registry'!$A:$I,8,FALSE)=VLOOKUP(A28,'Personnel Screening Registry'!$A:$I,9,FALSE),"Yes","No"))</f>
        <v/>
      </c>
      <c r="M28" s="14">
        <f>IF(A28="","",IF(AND(K28="Yes",L28="Yes"),"Compliant",IF(OR(K28="No",L28="No"),"Non-Compliant","Partial")))</f>
        <v/>
      </c>
      <c r="N28" s="15" t="n"/>
      <c r="O28" s="15" t="n"/>
    </row>
    <row r="29">
      <c r="A29" s="14">
        <f>IF(ROW()-4&lt;=COUNTA('Personnel Screening Registry'!$A:$A)-4,INDEX('Personnel Screening Registry'!$A:$A,ROW()-3),"")</f>
        <v/>
      </c>
      <c r="B29" s="14">
        <f>IF(A29&lt;&gt;"",VLOOKUP(A29,'Personnel Screening Registry'!$A:$B,2,FALSE),"")</f>
        <v/>
      </c>
      <c r="C29" s="14">
        <f>IF(A29&lt;&gt;"",VLOOKUP(A29,'Personnel Screening Registry'!$A:$E,5,FALSE),"")</f>
        <v/>
      </c>
      <c r="D29" s="15" t="n"/>
      <c r="E29" s="15" t="n"/>
      <c r="F29" s="15" t="n"/>
      <c r="G29" s="15" t="n"/>
      <c r="H29" s="15" t="n"/>
      <c r="I29" s="15" t="n"/>
      <c r="J29" s="15" t="n"/>
      <c r="K29" s="14">
        <f>IF(A29="","",IF(AND(D29="Yes",E29="Yes",J29="Yes"),"Yes","No"))</f>
        <v/>
      </c>
      <c r="L29" s="14">
        <f>IF(A29="","",IF(VLOOKUP(A29,'Personnel Screening Registry'!$A:$I,8,FALSE)=VLOOKUP(A29,'Personnel Screening Registry'!$A:$I,9,FALSE),"Yes","No"))</f>
        <v/>
      </c>
      <c r="M29" s="14">
        <f>IF(A29="","",IF(AND(K29="Yes",L29="Yes"),"Compliant",IF(OR(K29="No",L29="No"),"Non-Compliant","Partial")))</f>
        <v/>
      </c>
      <c r="N29" s="15" t="n"/>
      <c r="O29" s="15" t="n"/>
    </row>
    <row r="30">
      <c r="A30" s="14">
        <f>IF(ROW()-4&lt;=COUNTA('Personnel Screening Registry'!$A:$A)-4,INDEX('Personnel Screening Registry'!$A:$A,ROW()-3),"")</f>
        <v/>
      </c>
      <c r="B30" s="14">
        <f>IF(A30&lt;&gt;"",VLOOKUP(A30,'Personnel Screening Registry'!$A:$B,2,FALSE),"")</f>
        <v/>
      </c>
      <c r="C30" s="14">
        <f>IF(A30&lt;&gt;"",VLOOKUP(A30,'Personnel Screening Registry'!$A:$E,5,FALSE),"")</f>
        <v/>
      </c>
      <c r="D30" s="15" t="n"/>
      <c r="E30" s="15" t="n"/>
      <c r="F30" s="15" t="n"/>
      <c r="G30" s="15" t="n"/>
      <c r="H30" s="15" t="n"/>
      <c r="I30" s="15" t="n"/>
      <c r="J30" s="15" t="n"/>
      <c r="K30" s="14">
        <f>IF(A30="","",IF(AND(D30="Yes",E30="Yes",J30="Yes"),"Yes","No"))</f>
        <v/>
      </c>
      <c r="L30" s="14">
        <f>IF(A30="","",IF(VLOOKUP(A30,'Personnel Screening Registry'!$A:$I,8,FALSE)=VLOOKUP(A30,'Personnel Screening Registry'!$A:$I,9,FALSE),"Yes","No"))</f>
        <v/>
      </c>
      <c r="M30" s="14">
        <f>IF(A30="","",IF(AND(K30="Yes",L30="Yes"),"Compliant",IF(OR(K30="No",L30="No"),"Non-Compliant","Partial")))</f>
        <v/>
      </c>
      <c r="N30" s="15" t="n"/>
      <c r="O30" s="15" t="n"/>
    </row>
    <row r="31">
      <c r="A31" s="14">
        <f>IF(ROW()-4&lt;=COUNTA('Personnel Screening Registry'!$A:$A)-4,INDEX('Personnel Screening Registry'!$A:$A,ROW()-3),"")</f>
        <v/>
      </c>
      <c r="B31" s="14">
        <f>IF(A31&lt;&gt;"",VLOOKUP(A31,'Personnel Screening Registry'!$A:$B,2,FALSE),"")</f>
        <v/>
      </c>
      <c r="C31" s="14">
        <f>IF(A31&lt;&gt;"",VLOOKUP(A31,'Personnel Screening Registry'!$A:$E,5,FALSE),"")</f>
        <v/>
      </c>
      <c r="D31" s="15" t="n"/>
      <c r="E31" s="15" t="n"/>
      <c r="F31" s="15" t="n"/>
      <c r="G31" s="15" t="n"/>
      <c r="H31" s="15" t="n"/>
      <c r="I31" s="15" t="n"/>
      <c r="J31" s="15" t="n"/>
      <c r="K31" s="14">
        <f>IF(A31="","",IF(AND(D31="Yes",E31="Yes",J31="Yes"),"Yes","No"))</f>
        <v/>
      </c>
      <c r="L31" s="14">
        <f>IF(A31="","",IF(VLOOKUP(A31,'Personnel Screening Registry'!$A:$I,8,FALSE)=VLOOKUP(A31,'Personnel Screening Registry'!$A:$I,9,FALSE),"Yes","No"))</f>
        <v/>
      </c>
      <c r="M31" s="14">
        <f>IF(A31="","",IF(AND(K31="Yes",L31="Yes"),"Compliant",IF(OR(K31="No",L31="No"),"Non-Compliant","Partial")))</f>
        <v/>
      </c>
      <c r="N31" s="15" t="n"/>
      <c r="O31" s="15" t="n"/>
    </row>
    <row r="32">
      <c r="A32" s="14">
        <f>IF(ROW()-4&lt;=COUNTA('Personnel Screening Registry'!$A:$A)-4,INDEX('Personnel Screening Registry'!$A:$A,ROW()-3),"")</f>
        <v/>
      </c>
      <c r="B32" s="14">
        <f>IF(A32&lt;&gt;"",VLOOKUP(A32,'Personnel Screening Registry'!$A:$B,2,FALSE),"")</f>
        <v/>
      </c>
      <c r="C32" s="14">
        <f>IF(A32&lt;&gt;"",VLOOKUP(A32,'Personnel Screening Registry'!$A:$E,5,FALSE),"")</f>
        <v/>
      </c>
      <c r="D32" s="15" t="n"/>
      <c r="E32" s="15" t="n"/>
      <c r="F32" s="15" t="n"/>
      <c r="G32" s="15" t="n"/>
      <c r="H32" s="15" t="n"/>
      <c r="I32" s="15" t="n"/>
      <c r="J32" s="15" t="n"/>
      <c r="K32" s="14">
        <f>IF(A32="","",IF(AND(D32="Yes",E32="Yes",J32="Yes"),"Yes","No"))</f>
        <v/>
      </c>
      <c r="L32" s="14">
        <f>IF(A32="","",IF(VLOOKUP(A32,'Personnel Screening Registry'!$A:$I,8,FALSE)=VLOOKUP(A32,'Personnel Screening Registry'!$A:$I,9,FALSE),"Yes","No"))</f>
        <v/>
      </c>
      <c r="M32" s="14">
        <f>IF(A32="","",IF(AND(K32="Yes",L32="Yes"),"Compliant",IF(OR(K32="No",L32="No"),"Non-Compliant","Partial")))</f>
        <v/>
      </c>
      <c r="N32" s="15" t="n"/>
      <c r="O32" s="15" t="n"/>
    </row>
    <row r="33">
      <c r="A33" s="14">
        <f>IF(ROW()-4&lt;=COUNTA('Personnel Screening Registry'!$A:$A)-4,INDEX('Personnel Screening Registry'!$A:$A,ROW()-3),"")</f>
        <v/>
      </c>
      <c r="B33" s="14">
        <f>IF(A33&lt;&gt;"",VLOOKUP(A33,'Personnel Screening Registry'!$A:$B,2,FALSE),"")</f>
        <v/>
      </c>
      <c r="C33" s="14">
        <f>IF(A33&lt;&gt;"",VLOOKUP(A33,'Personnel Screening Registry'!$A:$E,5,FALSE),"")</f>
        <v/>
      </c>
      <c r="D33" s="15" t="n"/>
      <c r="E33" s="15" t="n"/>
      <c r="F33" s="15" t="n"/>
      <c r="G33" s="15" t="n"/>
      <c r="H33" s="15" t="n"/>
      <c r="I33" s="15" t="n"/>
      <c r="J33" s="15" t="n"/>
      <c r="K33" s="14">
        <f>IF(A33="","",IF(AND(D33="Yes",E33="Yes",J33="Yes"),"Yes","No"))</f>
        <v/>
      </c>
      <c r="L33" s="14">
        <f>IF(A33="","",IF(VLOOKUP(A33,'Personnel Screening Registry'!$A:$I,8,FALSE)=VLOOKUP(A33,'Personnel Screening Registry'!$A:$I,9,FALSE),"Yes","No"))</f>
        <v/>
      </c>
      <c r="M33" s="14">
        <f>IF(A33="","",IF(AND(K33="Yes",L33="Yes"),"Compliant",IF(OR(K33="No",L33="No"),"Non-Compliant","Partial")))</f>
        <v/>
      </c>
      <c r="N33" s="15" t="n"/>
      <c r="O33" s="15" t="n"/>
    </row>
    <row r="34">
      <c r="A34" s="14">
        <f>IF(ROW()-4&lt;=COUNTA('Personnel Screening Registry'!$A:$A)-4,INDEX('Personnel Screening Registry'!$A:$A,ROW()-3),"")</f>
        <v/>
      </c>
      <c r="B34" s="14">
        <f>IF(A34&lt;&gt;"",VLOOKUP(A34,'Personnel Screening Registry'!$A:$B,2,FALSE),"")</f>
        <v/>
      </c>
      <c r="C34" s="14">
        <f>IF(A34&lt;&gt;"",VLOOKUP(A34,'Personnel Screening Registry'!$A:$E,5,FALSE),"")</f>
        <v/>
      </c>
      <c r="D34" s="15" t="n"/>
      <c r="E34" s="15" t="n"/>
      <c r="F34" s="15" t="n"/>
      <c r="G34" s="15" t="n"/>
      <c r="H34" s="15" t="n"/>
      <c r="I34" s="15" t="n"/>
      <c r="J34" s="15" t="n"/>
      <c r="K34" s="14">
        <f>IF(A34="","",IF(AND(D34="Yes",E34="Yes",J34="Yes"),"Yes","No"))</f>
        <v/>
      </c>
      <c r="L34" s="14">
        <f>IF(A34="","",IF(VLOOKUP(A34,'Personnel Screening Registry'!$A:$I,8,FALSE)=VLOOKUP(A34,'Personnel Screening Registry'!$A:$I,9,FALSE),"Yes","No"))</f>
        <v/>
      </c>
      <c r="M34" s="14">
        <f>IF(A34="","",IF(AND(K34="Yes",L34="Yes"),"Compliant",IF(OR(K34="No",L34="No"),"Non-Compliant","Partial")))</f>
        <v/>
      </c>
      <c r="N34" s="15" t="n"/>
      <c r="O34" s="15" t="n"/>
    </row>
    <row r="35">
      <c r="A35" s="14">
        <f>IF(ROW()-4&lt;=COUNTA('Personnel Screening Registry'!$A:$A)-4,INDEX('Personnel Screening Registry'!$A:$A,ROW()-3),"")</f>
        <v/>
      </c>
      <c r="B35" s="14">
        <f>IF(A35&lt;&gt;"",VLOOKUP(A35,'Personnel Screening Registry'!$A:$B,2,FALSE),"")</f>
        <v/>
      </c>
      <c r="C35" s="14">
        <f>IF(A35&lt;&gt;"",VLOOKUP(A35,'Personnel Screening Registry'!$A:$E,5,FALSE),"")</f>
        <v/>
      </c>
      <c r="D35" s="15" t="n"/>
      <c r="E35" s="15" t="n"/>
      <c r="F35" s="15" t="n"/>
      <c r="G35" s="15" t="n"/>
      <c r="H35" s="15" t="n"/>
      <c r="I35" s="15" t="n"/>
      <c r="J35" s="15" t="n"/>
      <c r="K35" s="14">
        <f>IF(A35="","",IF(AND(D35="Yes",E35="Yes",J35="Yes"),"Yes","No"))</f>
        <v/>
      </c>
      <c r="L35" s="14">
        <f>IF(A35="","",IF(VLOOKUP(A35,'Personnel Screening Registry'!$A:$I,8,FALSE)=VLOOKUP(A35,'Personnel Screening Registry'!$A:$I,9,FALSE),"Yes","No"))</f>
        <v/>
      </c>
      <c r="M35" s="14">
        <f>IF(A35="","",IF(AND(K35="Yes",L35="Yes"),"Compliant",IF(OR(K35="No",L35="No"),"Non-Compliant","Partial")))</f>
        <v/>
      </c>
      <c r="N35" s="15" t="n"/>
      <c r="O35" s="15" t="n"/>
    </row>
    <row r="36">
      <c r="A36" s="14">
        <f>IF(ROW()-4&lt;=COUNTA('Personnel Screening Registry'!$A:$A)-4,INDEX('Personnel Screening Registry'!$A:$A,ROW()-3),"")</f>
        <v/>
      </c>
      <c r="B36" s="14">
        <f>IF(A36&lt;&gt;"",VLOOKUP(A36,'Personnel Screening Registry'!$A:$B,2,FALSE),"")</f>
        <v/>
      </c>
      <c r="C36" s="14">
        <f>IF(A36&lt;&gt;"",VLOOKUP(A36,'Personnel Screening Registry'!$A:$E,5,FALSE),"")</f>
        <v/>
      </c>
      <c r="D36" s="15" t="n"/>
      <c r="E36" s="15" t="n"/>
      <c r="F36" s="15" t="n"/>
      <c r="G36" s="15" t="n"/>
      <c r="H36" s="15" t="n"/>
      <c r="I36" s="15" t="n"/>
      <c r="J36" s="15" t="n"/>
      <c r="K36" s="14">
        <f>IF(A36="","",IF(AND(D36="Yes",E36="Yes",J36="Yes"),"Yes","No"))</f>
        <v/>
      </c>
      <c r="L36" s="14">
        <f>IF(A36="","",IF(VLOOKUP(A36,'Personnel Screening Registry'!$A:$I,8,FALSE)=VLOOKUP(A36,'Personnel Screening Registry'!$A:$I,9,FALSE),"Yes","No"))</f>
        <v/>
      </c>
      <c r="M36" s="14">
        <f>IF(A36="","",IF(AND(K36="Yes",L36="Yes"),"Compliant",IF(OR(K36="No",L36="No"),"Non-Compliant","Partial")))</f>
        <v/>
      </c>
      <c r="N36" s="15" t="n"/>
      <c r="O36" s="15" t="n"/>
    </row>
    <row r="37">
      <c r="A37" s="14">
        <f>IF(ROW()-4&lt;=COUNTA('Personnel Screening Registry'!$A:$A)-4,INDEX('Personnel Screening Registry'!$A:$A,ROW()-3),"")</f>
        <v/>
      </c>
      <c r="B37" s="14">
        <f>IF(A37&lt;&gt;"",VLOOKUP(A37,'Personnel Screening Registry'!$A:$B,2,FALSE),"")</f>
        <v/>
      </c>
      <c r="C37" s="14">
        <f>IF(A37&lt;&gt;"",VLOOKUP(A37,'Personnel Screening Registry'!$A:$E,5,FALSE),"")</f>
        <v/>
      </c>
      <c r="D37" s="15" t="n"/>
      <c r="E37" s="15" t="n"/>
      <c r="F37" s="15" t="n"/>
      <c r="G37" s="15" t="n"/>
      <c r="H37" s="15" t="n"/>
      <c r="I37" s="15" t="n"/>
      <c r="J37" s="15" t="n"/>
      <c r="K37" s="14">
        <f>IF(A37="","",IF(AND(D37="Yes",E37="Yes",J37="Yes"),"Yes","No"))</f>
        <v/>
      </c>
      <c r="L37" s="14">
        <f>IF(A37="","",IF(VLOOKUP(A37,'Personnel Screening Registry'!$A:$I,8,FALSE)=VLOOKUP(A37,'Personnel Screening Registry'!$A:$I,9,FALSE),"Yes","No"))</f>
        <v/>
      </c>
      <c r="M37" s="14">
        <f>IF(A37="","",IF(AND(K37="Yes",L37="Yes"),"Compliant",IF(OR(K37="No",L37="No"),"Non-Compliant","Partial")))</f>
        <v/>
      </c>
      <c r="N37" s="15" t="n"/>
      <c r="O37" s="15" t="n"/>
    </row>
    <row r="38">
      <c r="A38" s="14">
        <f>IF(ROW()-4&lt;=COUNTA('Personnel Screening Registry'!$A:$A)-4,INDEX('Personnel Screening Registry'!$A:$A,ROW()-3),"")</f>
        <v/>
      </c>
      <c r="B38" s="14">
        <f>IF(A38&lt;&gt;"",VLOOKUP(A38,'Personnel Screening Registry'!$A:$B,2,FALSE),"")</f>
        <v/>
      </c>
      <c r="C38" s="14">
        <f>IF(A38&lt;&gt;"",VLOOKUP(A38,'Personnel Screening Registry'!$A:$E,5,FALSE),"")</f>
        <v/>
      </c>
      <c r="D38" s="15" t="n"/>
      <c r="E38" s="15" t="n"/>
      <c r="F38" s="15" t="n"/>
      <c r="G38" s="15" t="n"/>
      <c r="H38" s="15" t="n"/>
      <c r="I38" s="15" t="n"/>
      <c r="J38" s="15" t="n"/>
      <c r="K38" s="14">
        <f>IF(A38="","",IF(AND(D38="Yes",E38="Yes",J38="Yes"),"Yes","No"))</f>
        <v/>
      </c>
      <c r="L38" s="14">
        <f>IF(A38="","",IF(VLOOKUP(A38,'Personnel Screening Registry'!$A:$I,8,FALSE)=VLOOKUP(A38,'Personnel Screening Registry'!$A:$I,9,FALSE),"Yes","No"))</f>
        <v/>
      </c>
      <c r="M38" s="14">
        <f>IF(A38="","",IF(AND(K38="Yes",L38="Yes"),"Compliant",IF(OR(K38="No",L38="No"),"Non-Compliant","Partial")))</f>
        <v/>
      </c>
      <c r="N38" s="15" t="n"/>
      <c r="O38" s="15" t="n"/>
    </row>
    <row r="39">
      <c r="A39" s="14">
        <f>IF(ROW()-4&lt;=COUNTA('Personnel Screening Registry'!$A:$A)-4,INDEX('Personnel Screening Registry'!$A:$A,ROW()-3),"")</f>
        <v/>
      </c>
      <c r="B39" s="14">
        <f>IF(A39&lt;&gt;"",VLOOKUP(A39,'Personnel Screening Registry'!$A:$B,2,FALSE),"")</f>
        <v/>
      </c>
      <c r="C39" s="14">
        <f>IF(A39&lt;&gt;"",VLOOKUP(A39,'Personnel Screening Registry'!$A:$E,5,FALSE),"")</f>
        <v/>
      </c>
      <c r="D39" s="15" t="n"/>
      <c r="E39" s="15" t="n"/>
      <c r="F39" s="15" t="n"/>
      <c r="G39" s="15" t="n"/>
      <c r="H39" s="15" t="n"/>
      <c r="I39" s="15" t="n"/>
      <c r="J39" s="15" t="n"/>
      <c r="K39" s="14">
        <f>IF(A39="","",IF(AND(D39="Yes",E39="Yes",J39="Yes"),"Yes","No"))</f>
        <v/>
      </c>
      <c r="L39" s="14">
        <f>IF(A39="","",IF(VLOOKUP(A39,'Personnel Screening Registry'!$A:$I,8,FALSE)=VLOOKUP(A39,'Personnel Screening Registry'!$A:$I,9,FALSE),"Yes","No"))</f>
        <v/>
      </c>
      <c r="M39" s="14">
        <f>IF(A39="","",IF(AND(K39="Yes",L39="Yes"),"Compliant",IF(OR(K39="No",L39="No"),"Non-Compliant","Partial")))</f>
        <v/>
      </c>
      <c r="N39" s="15" t="n"/>
      <c r="O39" s="15" t="n"/>
    </row>
    <row r="40">
      <c r="A40" s="14">
        <f>IF(ROW()-4&lt;=COUNTA('Personnel Screening Registry'!$A:$A)-4,INDEX('Personnel Screening Registry'!$A:$A,ROW()-3),"")</f>
        <v/>
      </c>
      <c r="B40" s="14">
        <f>IF(A40&lt;&gt;"",VLOOKUP(A40,'Personnel Screening Registry'!$A:$B,2,FALSE),"")</f>
        <v/>
      </c>
      <c r="C40" s="14">
        <f>IF(A40&lt;&gt;"",VLOOKUP(A40,'Personnel Screening Registry'!$A:$E,5,FALSE),"")</f>
        <v/>
      </c>
      <c r="D40" s="15" t="n"/>
      <c r="E40" s="15" t="n"/>
      <c r="F40" s="15" t="n"/>
      <c r="G40" s="15" t="n"/>
      <c r="H40" s="15" t="n"/>
      <c r="I40" s="15" t="n"/>
      <c r="J40" s="15" t="n"/>
      <c r="K40" s="14">
        <f>IF(A40="","",IF(AND(D40="Yes",E40="Yes",J40="Yes"),"Yes","No"))</f>
        <v/>
      </c>
      <c r="L40" s="14">
        <f>IF(A40="","",IF(VLOOKUP(A40,'Personnel Screening Registry'!$A:$I,8,FALSE)=VLOOKUP(A40,'Personnel Screening Registry'!$A:$I,9,FALSE),"Yes","No"))</f>
        <v/>
      </c>
      <c r="M40" s="14">
        <f>IF(A40="","",IF(AND(K40="Yes",L40="Yes"),"Compliant",IF(OR(K40="No",L40="No"),"Non-Compliant","Partial")))</f>
        <v/>
      </c>
      <c r="N40" s="15" t="n"/>
      <c r="O40" s="15" t="n"/>
    </row>
    <row r="41">
      <c r="A41" s="14">
        <f>IF(ROW()-4&lt;=COUNTA('Personnel Screening Registry'!$A:$A)-4,INDEX('Personnel Screening Registry'!$A:$A,ROW()-3),"")</f>
        <v/>
      </c>
      <c r="B41" s="14">
        <f>IF(A41&lt;&gt;"",VLOOKUP(A41,'Personnel Screening Registry'!$A:$B,2,FALSE),"")</f>
        <v/>
      </c>
      <c r="C41" s="14">
        <f>IF(A41&lt;&gt;"",VLOOKUP(A41,'Personnel Screening Registry'!$A:$E,5,FALSE),"")</f>
        <v/>
      </c>
      <c r="D41" s="15" t="n"/>
      <c r="E41" s="15" t="n"/>
      <c r="F41" s="15" t="n"/>
      <c r="G41" s="15" t="n"/>
      <c r="H41" s="15" t="n"/>
      <c r="I41" s="15" t="n"/>
      <c r="J41" s="15" t="n"/>
      <c r="K41" s="14">
        <f>IF(A41="","",IF(AND(D41="Yes",E41="Yes",J41="Yes"),"Yes","No"))</f>
        <v/>
      </c>
      <c r="L41" s="14">
        <f>IF(A41="","",IF(VLOOKUP(A41,'Personnel Screening Registry'!$A:$I,8,FALSE)=VLOOKUP(A41,'Personnel Screening Registry'!$A:$I,9,FALSE),"Yes","No"))</f>
        <v/>
      </c>
      <c r="M41" s="14">
        <f>IF(A41="","",IF(AND(K41="Yes",L41="Yes"),"Compliant",IF(OR(K41="No",L41="No"),"Non-Compliant","Partial")))</f>
        <v/>
      </c>
      <c r="N41" s="15" t="n"/>
      <c r="O41" s="15" t="n"/>
    </row>
    <row r="42">
      <c r="A42" s="14">
        <f>IF(ROW()-4&lt;=COUNTA('Personnel Screening Registry'!$A:$A)-4,INDEX('Personnel Screening Registry'!$A:$A,ROW()-3),"")</f>
        <v/>
      </c>
      <c r="B42" s="14">
        <f>IF(A42&lt;&gt;"",VLOOKUP(A42,'Personnel Screening Registry'!$A:$B,2,FALSE),"")</f>
        <v/>
      </c>
      <c r="C42" s="14">
        <f>IF(A42&lt;&gt;"",VLOOKUP(A42,'Personnel Screening Registry'!$A:$E,5,FALSE),"")</f>
        <v/>
      </c>
      <c r="D42" s="15" t="n"/>
      <c r="E42" s="15" t="n"/>
      <c r="F42" s="15" t="n"/>
      <c r="G42" s="15" t="n"/>
      <c r="H42" s="15" t="n"/>
      <c r="I42" s="15" t="n"/>
      <c r="J42" s="15" t="n"/>
      <c r="K42" s="14">
        <f>IF(A42="","",IF(AND(D42="Yes",E42="Yes",J42="Yes"),"Yes","No"))</f>
        <v/>
      </c>
      <c r="L42" s="14">
        <f>IF(A42="","",IF(VLOOKUP(A42,'Personnel Screening Registry'!$A:$I,8,FALSE)=VLOOKUP(A42,'Personnel Screening Registry'!$A:$I,9,FALSE),"Yes","No"))</f>
        <v/>
      </c>
      <c r="M42" s="14">
        <f>IF(A42="","",IF(AND(K42="Yes",L42="Yes"),"Compliant",IF(OR(K42="No",L42="No"),"Non-Compliant","Partial")))</f>
        <v/>
      </c>
      <c r="N42" s="15" t="n"/>
      <c r="O42" s="15" t="n"/>
    </row>
    <row r="43">
      <c r="A43" s="14">
        <f>IF(ROW()-4&lt;=COUNTA('Personnel Screening Registry'!$A:$A)-4,INDEX('Personnel Screening Registry'!$A:$A,ROW()-3),"")</f>
        <v/>
      </c>
      <c r="B43" s="14">
        <f>IF(A43&lt;&gt;"",VLOOKUP(A43,'Personnel Screening Registry'!$A:$B,2,FALSE),"")</f>
        <v/>
      </c>
      <c r="C43" s="14">
        <f>IF(A43&lt;&gt;"",VLOOKUP(A43,'Personnel Screening Registry'!$A:$E,5,FALSE),"")</f>
        <v/>
      </c>
      <c r="D43" s="15" t="n"/>
      <c r="E43" s="15" t="n"/>
      <c r="F43" s="15" t="n"/>
      <c r="G43" s="15" t="n"/>
      <c r="H43" s="15" t="n"/>
      <c r="I43" s="15" t="n"/>
      <c r="J43" s="15" t="n"/>
      <c r="K43" s="14">
        <f>IF(A43="","",IF(AND(D43="Yes",E43="Yes",J43="Yes"),"Yes","No"))</f>
        <v/>
      </c>
      <c r="L43" s="14">
        <f>IF(A43="","",IF(VLOOKUP(A43,'Personnel Screening Registry'!$A:$I,8,FALSE)=VLOOKUP(A43,'Personnel Screening Registry'!$A:$I,9,FALSE),"Yes","No"))</f>
        <v/>
      </c>
      <c r="M43" s="14">
        <f>IF(A43="","",IF(AND(K43="Yes",L43="Yes"),"Compliant",IF(OR(K43="No",L43="No"),"Non-Compliant","Partial")))</f>
        <v/>
      </c>
      <c r="N43" s="15" t="n"/>
      <c r="O43" s="15" t="n"/>
    </row>
    <row r="44">
      <c r="A44" s="14">
        <f>IF(ROW()-4&lt;=COUNTA('Personnel Screening Registry'!$A:$A)-4,INDEX('Personnel Screening Registry'!$A:$A,ROW()-3),"")</f>
        <v/>
      </c>
      <c r="B44" s="14">
        <f>IF(A44&lt;&gt;"",VLOOKUP(A44,'Personnel Screening Registry'!$A:$B,2,FALSE),"")</f>
        <v/>
      </c>
      <c r="C44" s="14">
        <f>IF(A44&lt;&gt;"",VLOOKUP(A44,'Personnel Screening Registry'!$A:$E,5,FALSE),"")</f>
        <v/>
      </c>
      <c r="D44" s="15" t="n"/>
      <c r="E44" s="15" t="n"/>
      <c r="F44" s="15" t="n"/>
      <c r="G44" s="15" t="n"/>
      <c r="H44" s="15" t="n"/>
      <c r="I44" s="15" t="n"/>
      <c r="J44" s="15" t="n"/>
      <c r="K44" s="14">
        <f>IF(A44="","",IF(AND(D44="Yes",E44="Yes",J44="Yes"),"Yes","No"))</f>
        <v/>
      </c>
      <c r="L44" s="14">
        <f>IF(A44="","",IF(VLOOKUP(A44,'Personnel Screening Registry'!$A:$I,8,FALSE)=VLOOKUP(A44,'Personnel Screening Registry'!$A:$I,9,FALSE),"Yes","No"))</f>
        <v/>
      </c>
      <c r="M44" s="14">
        <f>IF(A44="","",IF(AND(K44="Yes",L44="Yes"),"Compliant",IF(OR(K44="No",L44="No"),"Non-Compliant","Partial")))</f>
        <v/>
      </c>
      <c r="N44" s="15" t="n"/>
      <c r="O44" s="15" t="n"/>
    </row>
    <row r="45">
      <c r="A45" s="14">
        <f>IF(ROW()-4&lt;=COUNTA('Personnel Screening Registry'!$A:$A)-4,INDEX('Personnel Screening Registry'!$A:$A,ROW()-3),"")</f>
        <v/>
      </c>
      <c r="B45" s="14">
        <f>IF(A45&lt;&gt;"",VLOOKUP(A45,'Personnel Screening Registry'!$A:$B,2,FALSE),"")</f>
        <v/>
      </c>
      <c r="C45" s="14">
        <f>IF(A45&lt;&gt;"",VLOOKUP(A45,'Personnel Screening Registry'!$A:$E,5,FALSE),"")</f>
        <v/>
      </c>
      <c r="D45" s="15" t="n"/>
      <c r="E45" s="15" t="n"/>
      <c r="F45" s="15" t="n"/>
      <c r="G45" s="15" t="n"/>
      <c r="H45" s="15" t="n"/>
      <c r="I45" s="15" t="n"/>
      <c r="J45" s="15" t="n"/>
      <c r="K45" s="14">
        <f>IF(A45="","",IF(AND(D45="Yes",E45="Yes",J45="Yes"),"Yes","No"))</f>
        <v/>
      </c>
      <c r="L45" s="14">
        <f>IF(A45="","",IF(VLOOKUP(A45,'Personnel Screening Registry'!$A:$I,8,FALSE)=VLOOKUP(A45,'Personnel Screening Registry'!$A:$I,9,FALSE),"Yes","No"))</f>
        <v/>
      </c>
      <c r="M45" s="14">
        <f>IF(A45="","",IF(AND(K45="Yes",L45="Yes"),"Compliant",IF(OR(K45="No",L45="No"),"Non-Compliant","Partial")))</f>
        <v/>
      </c>
      <c r="N45" s="15" t="n"/>
      <c r="O45" s="15" t="n"/>
    </row>
    <row r="46">
      <c r="A46" s="14">
        <f>IF(ROW()-4&lt;=COUNTA('Personnel Screening Registry'!$A:$A)-4,INDEX('Personnel Screening Registry'!$A:$A,ROW()-3),"")</f>
        <v/>
      </c>
      <c r="B46" s="14">
        <f>IF(A46&lt;&gt;"",VLOOKUP(A46,'Personnel Screening Registry'!$A:$B,2,FALSE),"")</f>
        <v/>
      </c>
      <c r="C46" s="14">
        <f>IF(A46&lt;&gt;"",VLOOKUP(A46,'Personnel Screening Registry'!$A:$E,5,FALSE),"")</f>
        <v/>
      </c>
      <c r="D46" s="15" t="n"/>
      <c r="E46" s="15" t="n"/>
      <c r="F46" s="15" t="n"/>
      <c r="G46" s="15" t="n"/>
      <c r="H46" s="15" t="n"/>
      <c r="I46" s="15" t="n"/>
      <c r="J46" s="15" t="n"/>
      <c r="K46" s="14">
        <f>IF(A46="","",IF(AND(D46="Yes",E46="Yes",J46="Yes"),"Yes","No"))</f>
        <v/>
      </c>
      <c r="L46" s="14">
        <f>IF(A46="","",IF(VLOOKUP(A46,'Personnel Screening Registry'!$A:$I,8,FALSE)=VLOOKUP(A46,'Personnel Screening Registry'!$A:$I,9,FALSE),"Yes","No"))</f>
        <v/>
      </c>
      <c r="M46" s="14">
        <f>IF(A46="","",IF(AND(K46="Yes",L46="Yes"),"Compliant",IF(OR(K46="No",L46="No"),"Non-Compliant","Partial")))</f>
        <v/>
      </c>
      <c r="N46" s="15" t="n"/>
      <c r="O46" s="15" t="n"/>
    </row>
    <row r="47">
      <c r="A47" s="14">
        <f>IF(ROW()-4&lt;=COUNTA('Personnel Screening Registry'!$A:$A)-4,INDEX('Personnel Screening Registry'!$A:$A,ROW()-3),"")</f>
        <v/>
      </c>
      <c r="B47" s="14">
        <f>IF(A47&lt;&gt;"",VLOOKUP(A47,'Personnel Screening Registry'!$A:$B,2,FALSE),"")</f>
        <v/>
      </c>
      <c r="C47" s="14">
        <f>IF(A47&lt;&gt;"",VLOOKUP(A47,'Personnel Screening Registry'!$A:$E,5,FALSE),"")</f>
        <v/>
      </c>
      <c r="D47" s="15" t="n"/>
      <c r="E47" s="15" t="n"/>
      <c r="F47" s="15" t="n"/>
      <c r="G47" s="15" t="n"/>
      <c r="H47" s="15" t="n"/>
      <c r="I47" s="15" t="n"/>
      <c r="J47" s="15" t="n"/>
      <c r="K47" s="14">
        <f>IF(A47="","",IF(AND(D47="Yes",E47="Yes",J47="Yes"),"Yes","No"))</f>
        <v/>
      </c>
      <c r="L47" s="14">
        <f>IF(A47="","",IF(VLOOKUP(A47,'Personnel Screening Registry'!$A:$I,8,FALSE)=VLOOKUP(A47,'Personnel Screening Registry'!$A:$I,9,FALSE),"Yes","No"))</f>
        <v/>
      </c>
      <c r="M47" s="14">
        <f>IF(A47="","",IF(AND(K47="Yes",L47="Yes"),"Compliant",IF(OR(K47="No",L47="No"),"Non-Compliant","Partial")))</f>
        <v/>
      </c>
      <c r="N47" s="15" t="n"/>
      <c r="O47" s="15" t="n"/>
    </row>
    <row r="48">
      <c r="A48" s="14">
        <f>IF(ROW()-4&lt;=COUNTA('Personnel Screening Registry'!$A:$A)-4,INDEX('Personnel Screening Registry'!$A:$A,ROW()-3),"")</f>
        <v/>
      </c>
      <c r="B48" s="14">
        <f>IF(A48&lt;&gt;"",VLOOKUP(A48,'Personnel Screening Registry'!$A:$B,2,FALSE),"")</f>
        <v/>
      </c>
      <c r="C48" s="14">
        <f>IF(A48&lt;&gt;"",VLOOKUP(A48,'Personnel Screening Registry'!$A:$E,5,FALSE),"")</f>
        <v/>
      </c>
      <c r="D48" s="15" t="n"/>
      <c r="E48" s="15" t="n"/>
      <c r="F48" s="15" t="n"/>
      <c r="G48" s="15" t="n"/>
      <c r="H48" s="15" t="n"/>
      <c r="I48" s="15" t="n"/>
      <c r="J48" s="15" t="n"/>
      <c r="K48" s="14">
        <f>IF(A48="","",IF(AND(D48="Yes",E48="Yes",J48="Yes"),"Yes","No"))</f>
        <v/>
      </c>
      <c r="L48" s="14">
        <f>IF(A48="","",IF(VLOOKUP(A48,'Personnel Screening Registry'!$A:$I,8,FALSE)=VLOOKUP(A48,'Personnel Screening Registry'!$A:$I,9,FALSE),"Yes","No"))</f>
        <v/>
      </c>
      <c r="M48" s="14">
        <f>IF(A48="","",IF(AND(K48="Yes",L48="Yes"),"Compliant",IF(OR(K48="No",L48="No"),"Non-Compliant","Partial")))</f>
        <v/>
      </c>
      <c r="N48" s="15" t="n"/>
      <c r="O48" s="15" t="n"/>
    </row>
    <row r="49">
      <c r="A49" s="14">
        <f>IF(ROW()-4&lt;=COUNTA('Personnel Screening Registry'!$A:$A)-4,INDEX('Personnel Screening Registry'!$A:$A,ROW()-3),"")</f>
        <v/>
      </c>
      <c r="B49" s="14">
        <f>IF(A49&lt;&gt;"",VLOOKUP(A49,'Personnel Screening Registry'!$A:$B,2,FALSE),"")</f>
        <v/>
      </c>
      <c r="C49" s="14">
        <f>IF(A49&lt;&gt;"",VLOOKUP(A49,'Personnel Screening Registry'!$A:$E,5,FALSE),"")</f>
        <v/>
      </c>
      <c r="D49" s="15" t="n"/>
      <c r="E49" s="15" t="n"/>
      <c r="F49" s="15" t="n"/>
      <c r="G49" s="15" t="n"/>
      <c r="H49" s="15" t="n"/>
      <c r="I49" s="15" t="n"/>
      <c r="J49" s="15" t="n"/>
      <c r="K49" s="14">
        <f>IF(A49="","",IF(AND(D49="Yes",E49="Yes",J49="Yes"),"Yes","No"))</f>
        <v/>
      </c>
      <c r="L49" s="14">
        <f>IF(A49="","",IF(VLOOKUP(A49,'Personnel Screening Registry'!$A:$I,8,FALSE)=VLOOKUP(A49,'Personnel Screening Registry'!$A:$I,9,FALSE),"Yes","No"))</f>
        <v/>
      </c>
      <c r="M49" s="14">
        <f>IF(A49="","",IF(AND(K49="Yes",L49="Yes"),"Compliant",IF(OR(K49="No",L49="No"),"Non-Compliant","Partial")))</f>
        <v/>
      </c>
      <c r="N49" s="15" t="n"/>
      <c r="O49" s="15" t="n"/>
    </row>
    <row r="50">
      <c r="A50" s="14">
        <f>IF(ROW()-4&lt;=COUNTA('Personnel Screening Registry'!$A:$A)-4,INDEX('Personnel Screening Registry'!$A:$A,ROW()-3),"")</f>
        <v/>
      </c>
      <c r="B50" s="14">
        <f>IF(A50&lt;&gt;"",VLOOKUP(A50,'Personnel Screening Registry'!$A:$B,2,FALSE),"")</f>
        <v/>
      </c>
      <c r="C50" s="14">
        <f>IF(A50&lt;&gt;"",VLOOKUP(A50,'Personnel Screening Registry'!$A:$E,5,FALSE),"")</f>
        <v/>
      </c>
      <c r="D50" s="15" t="n"/>
      <c r="E50" s="15" t="n"/>
      <c r="F50" s="15" t="n"/>
      <c r="G50" s="15" t="n"/>
      <c r="H50" s="15" t="n"/>
      <c r="I50" s="15" t="n"/>
      <c r="J50" s="15" t="n"/>
      <c r="K50" s="14">
        <f>IF(A50="","",IF(AND(D50="Yes",E50="Yes",J50="Yes"),"Yes","No"))</f>
        <v/>
      </c>
      <c r="L50" s="14">
        <f>IF(A50="","",IF(VLOOKUP(A50,'Personnel Screening Registry'!$A:$I,8,FALSE)=VLOOKUP(A50,'Personnel Screening Registry'!$A:$I,9,FALSE),"Yes","No"))</f>
        <v/>
      </c>
      <c r="M50" s="14">
        <f>IF(A50="","",IF(AND(K50="Yes",L50="Yes"),"Compliant",IF(OR(K50="No",L50="No"),"Non-Compliant","Partial")))</f>
        <v/>
      </c>
      <c r="N50" s="15" t="n"/>
      <c r="O50" s="15" t="n"/>
    </row>
    <row r="51">
      <c r="A51" s="14">
        <f>IF(ROW()-4&lt;=COUNTA('Personnel Screening Registry'!$A:$A)-4,INDEX('Personnel Screening Registry'!$A:$A,ROW()-3),"")</f>
        <v/>
      </c>
      <c r="B51" s="14">
        <f>IF(A51&lt;&gt;"",VLOOKUP(A51,'Personnel Screening Registry'!$A:$B,2,FALSE),"")</f>
        <v/>
      </c>
      <c r="C51" s="14">
        <f>IF(A51&lt;&gt;"",VLOOKUP(A51,'Personnel Screening Registry'!$A:$E,5,FALSE),"")</f>
        <v/>
      </c>
      <c r="D51" s="15" t="n"/>
      <c r="E51" s="15" t="n"/>
      <c r="F51" s="15" t="n"/>
      <c r="G51" s="15" t="n"/>
      <c r="H51" s="15" t="n"/>
      <c r="I51" s="15" t="n"/>
      <c r="J51" s="15" t="n"/>
      <c r="K51" s="14">
        <f>IF(A51="","",IF(AND(D51="Yes",E51="Yes",J51="Yes"),"Yes","No"))</f>
        <v/>
      </c>
      <c r="L51" s="14">
        <f>IF(A51="","",IF(VLOOKUP(A51,'Personnel Screening Registry'!$A:$I,8,FALSE)=VLOOKUP(A51,'Personnel Screening Registry'!$A:$I,9,FALSE),"Yes","No"))</f>
        <v/>
      </c>
      <c r="M51" s="14">
        <f>IF(A51="","",IF(AND(K51="Yes",L51="Yes"),"Compliant",IF(OR(K51="No",L51="No"),"Non-Compliant","Partial")))</f>
        <v/>
      </c>
      <c r="N51" s="15" t="n"/>
      <c r="O51" s="15" t="n"/>
    </row>
    <row r="52">
      <c r="A52" s="14">
        <f>IF(ROW()-4&lt;=COUNTA('Personnel Screening Registry'!$A:$A)-4,INDEX('Personnel Screening Registry'!$A:$A,ROW()-3),"")</f>
        <v/>
      </c>
      <c r="B52" s="14">
        <f>IF(A52&lt;&gt;"",VLOOKUP(A52,'Personnel Screening Registry'!$A:$B,2,FALSE),"")</f>
        <v/>
      </c>
      <c r="C52" s="14">
        <f>IF(A52&lt;&gt;"",VLOOKUP(A52,'Personnel Screening Registry'!$A:$E,5,FALSE),"")</f>
        <v/>
      </c>
      <c r="D52" s="15" t="n"/>
      <c r="E52" s="15" t="n"/>
      <c r="F52" s="15" t="n"/>
      <c r="G52" s="15" t="n"/>
      <c r="H52" s="15" t="n"/>
      <c r="I52" s="15" t="n"/>
      <c r="J52" s="15" t="n"/>
      <c r="K52" s="14">
        <f>IF(A52="","",IF(AND(D52="Yes",E52="Yes",J52="Yes"),"Yes","No"))</f>
        <v/>
      </c>
      <c r="L52" s="14">
        <f>IF(A52="","",IF(VLOOKUP(A52,'Personnel Screening Registry'!$A:$I,8,FALSE)=VLOOKUP(A52,'Personnel Screening Registry'!$A:$I,9,FALSE),"Yes","No"))</f>
        <v/>
      </c>
      <c r="M52" s="14">
        <f>IF(A52="","",IF(AND(K52="Yes",L52="Yes"),"Compliant",IF(OR(K52="No",L52="No"),"Non-Compliant","Partial")))</f>
        <v/>
      </c>
      <c r="N52" s="15" t="n"/>
      <c r="O52" s="15" t="n"/>
    </row>
    <row r="53">
      <c r="A53" s="14">
        <f>IF(ROW()-4&lt;=COUNTA('Personnel Screening Registry'!$A:$A)-4,INDEX('Personnel Screening Registry'!$A:$A,ROW()-3),"")</f>
        <v/>
      </c>
      <c r="B53" s="14">
        <f>IF(A53&lt;&gt;"",VLOOKUP(A53,'Personnel Screening Registry'!$A:$B,2,FALSE),"")</f>
        <v/>
      </c>
      <c r="C53" s="14">
        <f>IF(A53&lt;&gt;"",VLOOKUP(A53,'Personnel Screening Registry'!$A:$E,5,FALSE),"")</f>
        <v/>
      </c>
      <c r="D53" s="15" t="n"/>
      <c r="E53" s="15" t="n"/>
      <c r="F53" s="15" t="n"/>
      <c r="G53" s="15" t="n"/>
      <c r="H53" s="15" t="n"/>
      <c r="I53" s="15" t="n"/>
      <c r="J53" s="15" t="n"/>
      <c r="K53" s="14">
        <f>IF(A53="","",IF(AND(D53="Yes",E53="Yes",J53="Yes"),"Yes","No"))</f>
        <v/>
      </c>
      <c r="L53" s="14">
        <f>IF(A53="","",IF(VLOOKUP(A53,'Personnel Screening Registry'!$A:$I,8,FALSE)=VLOOKUP(A53,'Personnel Screening Registry'!$A:$I,9,FALSE),"Yes","No"))</f>
        <v/>
      </c>
      <c r="M53" s="14">
        <f>IF(A53="","",IF(AND(K53="Yes",L53="Yes"),"Compliant",IF(OR(K53="No",L53="No"),"Non-Compliant","Partial")))</f>
        <v/>
      </c>
      <c r="N53" s="15" t="n"/>
      <c r="O53" s="15" t="n"/>
    </row>
    <row r="54">
      <c r="A54" s="14">
        <f>IF(ROW()-4&lt;=COUNTA('Personnel Screening Registry'!$A:$A)-4,INDEX('Personnel Screening Registry'!$A:$A,ROW()-3),"")</f>
        <v/>
      </c>
      <c r="B54" s="14">
        <f>IF(A54&lt;&gt;"",VLOOKUP(A54,'Personnel Screening Registry'!$A:$B,2,FALSE),"")</f>
        <v/>
      </c>
      <c r="C54" s="14">
        <f>IF(A54&lt;&gt;"",VLOOKUP(A54,'Personnel Screening Registry'!$A:$E,5,FALSE),"")</f>
        <v/>
      </c>
      <c r="D54" s="15" t="n"/>
      <c r="E54" s="15" t="n"/>
      <c r="F54" s="15" t="n"/>
      <c r="G54" s="15" t="n"/>
      <c r="H54" s="15" t="n"/>
      <c r="I54" s="15" t="n"/>
      <c r="J54" s="15" t="n"/>
      <c r="K54" s="14">
        <f>IF(A54="","",IF(AND(D54="Yes",E54="Yes",J54="Yes"),"Yes","No"))</f>
        <v/>
      </c>
      <c r="L54" s="14">
        <f>IF(A54="","",IF(VLOOKUP(A54,'Personnel Screening Registry'!$A:$I,8,FALSE)=VLOOKUP(A54,'Personnel Screening Registry'!$A:$I,9,FALSE),"Yes","No"))</f>
        <v/>
      </c>
      <c r="M54" s="14">
        <f>IF(A54="","",IF(AND(K54="Yes",L54="Yes"),"Compliant",IF(OR(K54="No",L54="No"),"Non-Compliant","Partial")))</f>
        <v/>
      </c>
      <c r="N54" s="15" t="n"/>
      <c r="O54" s="15" t="n"/>
    </row>
    <row r="55">
      <c r="A55" s="14">
        <f>IF(ROW()-4&lt;=COUNTA('Personnel Screening Registry'!$A:$A)-4,INDEX('Personnel Screening Registry'!$A:$A,ROW()-3),"")</f>
        <v/>
      </c>
      <c r="B55" s="14">
        <f>IF(A55&lt;&gt;"",VLOOKUP(A55,'Personnel Screening Registry'!$A:$B,2,FALSE),"")</f>
        <v/>
      </c>
      <c r="C55" s="14">
        <f>IF(A55&lt;&gt;"",VLOOKUP(A55,'Personnel Screening Registry'!$A:$E,5,FALSE),"")</f>
        <v/>
      </c>
      <c r="D55" s="15" t="n"/>
      <c r="E55" s="15" t="n"/>
      <c r="F55" s="15" t="n"/>
      <c r="G55" s="15" t="n"/>
      <c r="H55" s="15" t="n"/>
      <c r="I55" s="15" t="n"/>
      <c r="J55" s="15" t="n"/>
      <c r="K55" s="14">
        <f>IF(A55="","",IF(AND(D55="Yes",E55="Yes",J55="Yes"),"Yes","No"))</f>
        <v/>
      </c>
      <c r="L55" s="14">
        <f>IF(A55="","",IF(VLOOKUP(A55,'Personnel Screening Registry'!$A:$I,8,FALSE)=VLOOKUP(A55,'Personnel Screening Registry'!$A:$I,9,FALSE),"Yes","No"))</f>
        <v/>
      </c>
      <c r="M55" s="14">
        <f>IF(A55="","",IF(AND(K55="Yes",L55="Yes"),"Compliant",IF(OR(K55="No",L55="No"),"Non-Compliant","Partial")))</f>
        <v/>
      </c>
      <c r="N55" s="15" t="n"/>
      <c r="O55" s="15" t="n"/>
    </row>
    <row r="56">
      <c r="A56" s="14">
        <f>IF(ROW()-4&lt;=COUNTA('Personnel Screening Registry'!$A:$A)-4,INDEX('Personnel Screening Registry'!$A:$A,ROW()-3),"")</f>
        <v/>
      </c>
      <c r="B56" s="14">
        <f>IF(A56&lt;&gt;"",VLOOKUP(A56,'Personnel Screening Registry'!$A:$B,2,FALSE),"")</f>
        <v/>
      </c>
      <c r="C56" s="14">
        <f>IF(A56&lt;&gt;"",VLOOKUP(A56,'Personnel Screening Registry'!$A:$E,5,FALSE),"")</f>
        <v/>
      </c>
      <c r="D56" s="15" t="n"/>
      <c r="E56" s="15" t="n"/>
      <c r="F56" s="15" t="n"/>
      <c r="G56" s="15" t="n"/>
      <c r="H56" s="15" t="n"/>
      <c r="I56" s="15" t="n"/>
      <c r="J56" s="15" t="n"/>
      <c r="K56" s="14">
        <f>IF(A56="","",IF(AND(D56="Yes",E56="Yes",J56="Yes"),"Yes","No"))</f>
        <v/>
      </c>
      <c r="L56" s="14">
        <f>IF(A56="","",IF(VLOOKUP(A56,'Personnel Screening Registry'!$A:$I,8,FALSE)=VLOOKUP(A56,'Personnel Screening Registry'!$A:$I,9,FALSE),"Yes","No"))</f>
        <v/>
      </c>
      <c r="M56" s="14">
        <f>IF(A56="","",IF(AND(K56="Yes",L56="Yes"),"Compliant",IF(OR(K56="No",L56="No"),"Non-Compliant","Partial")))</f>
        <v/>
      </c>
      <c r="N56" s="15" t="n"/>
      <c r="O56" s="15" t="n"/>
    </row>
    <row r="57">
      <c r="A57" s="14">
        <f>IF(ROW()-4&lt;=COUNTA('Personnel Screening Registry'!$A:$A)-4,INDEX('Personnel Screening Registry'!$A:$A,ROW()-3),"")</f>
        <v/>
      </c>
      <c r="B57" s="14">
        <f>IF(A57&lt;&gt;"",VLOOKUP(A57,'Personnel Screening Registry'!$A:$B,2,FALSE),"")</f>
        <v/>
      </c>
      <c r="C57" s="14">
        <f>IF(A57&lt;&gt;"",VLOOKUP(A57,'Personnel Screening Registry'!$A:$E,5,FALSE),"")</f>
        <v/>
      </c>
      <c r="D57" s="15" t="n"/>
      <c r="E57" s="15" t="n"/>
      <c r="F57" s="15" t="n"/>
      <c r="G57" s="15" t="n"/>
      <c r="H57" s="15" t="n"/>
      <c r="I57" s="15" t="n"/>
      <c r="J57" s="15" t="n"/>
      <c r="K57" s="14">
        <f>IF(A57="","",IF(AND(D57="Yes",E57="Yes",J57="Yes"),"Yes","No"))</f>
        <v/>
      </c>
      <c r="L57" s="14">
        <f>IF(A57="","",IF(VLOOKUP(A57,'Personnel Screening Registry'!$A:$I,8,FALSE)=VLOOKUP(A57,'Personnel Screening Registry'!$A:$I,9,FALSE),"Yes","No"))</f>
        <v/>
      </c>
      <c r="M57" s="14">
        <f>IF(A57="","",IF(AND(K57="Yes",L57="Yes"),"Compliant",IF(OR(K57="No",L57="No"),"Non-Compliant","Partial")))</f>
        <v/>
      </c>
      <c r="N57" s="15" t="n"/>
      <c r="O57" s="15" t="n"/>
    </row>
    <row r="58">
      <c r="A58" s="14">
        <f>IF(ROW()-4&lt;=COUNTA('Personnel Screening Registry'!$A:$A)-4,INDEX('Personnel Screening Registry'!$A:$A,ROW()-3),"")</f>
        <v/>
      </c>
      <c r="B58" s="14">
        <f>IF(A58&lt;&gt;"",VLOOKUP(A58,'Personnel Screening Registry'!$A:$B,2,FALSE),"")</f>
        <v/>
      </c>
      <c r="C58" s="14">
        <f>IF(A58&lt;&gt;"",VLOOKUP(A58,'Personnel Screening Registry'!$A:$E,5,FALSE),"")</f>
        <v/>
      </c>
      <c r="D58" s="15" t="n"/>
      <c r="E58" s="15" t="n"/>
      <c r="F58" s="15" t="n"/>
      <c r="G58" s="15" t="n"/>
      <c r="H58" s="15" t="n"/>
      <c r="I58" s="15" t="n"/>
      <c r="J58" s="15" t="n"/>
      <c r="K58" s="14">
        <f>IF(A58="","",IF(AND(D58="Yes",E58="Yes",J58="Yes"),"Yes","No"))</f>
        <v/>
      </c>
      <c r="L58" s="14">
        <f>IF(A58="","",IF(VLOOKUP(A58,'Personnel Screening Registry'!$A:$I,8,FALSE)=VLOOKUP(A58,'Personnel Screening Registry'!$A:$I,9,FALSE),"Yes","No"))</f>
        <v/>
      </c>
      <c r="M58" s="14">
        <f>IF(A58="","",IF(AND(K58="Yes",L58="Yes"),"Compliant",IF(OR(K58="No",L58="No"),"Non-Compliant","Partial")))</f>
        <v/>
      </c>
      <c r="N58" s="15" t="n"/>
      <c r="O58" s="15" t="n"/>
    </row>
    <row r="59">
      <c r="A59" s="14">
        <f>IF(ROW()-4&lt;=COUNTA('Personnel Screening Registry'!$A:$A)-4,INDEX('Personnel Screening Registry'!$A:$A,ROW()-3),"")</f>
        <v/>
      </c>
      <c r="B59" s="14">
        <f>IF(A59&lt;&gt;"",VLOOKUP(A59,'Personnel Screening Registry'!$A:$B,2,FALSE),"")</f>
        <v/>
      </c>
      <c r="C59" s="14">
        <f>IF(A59&lt;&gt;"",VLOOKUP(A59,'Personnel Screening Registry'!$A:$E,5,FALSE),"")</f>
        <v/>
      </c>
      <c r="D59" s="15" t="n"/>
      <c r="E59" s="15" t="n"/>
      <c r="F59" s="15" t="n"/>
      <c r="G59" s="15" t="n"/>
      <c r="H59" s="15" t="n"/>
      <c r="I59" s="15" t="n"/>
      <c r="J59" s="15" t="n"/>
      <c r="K59" s="14">
        <f>IF(A59="","",IF(AND(D59="Yes",E59="Yes",J59="Yes"),"Yes","No"))</f>
        <v/>
      </c>
      <c r="L59" s="14">
        <f>IF(A59="","",IF(VLOOKUP(A59,'Personnel Screening Registry'!$A:$I,8,FALSE)=VLOOKUP(A59,'Personnel Screening Registry'!$A:$I,9,FALSE),"Yes","No"))</f>
        <v/>
      </c>
      <c r="M59" s="14">
        <f>IF(A59="","",IF(AND(K59="Yes",L59="Yes"),"Compliant",IF(OR(K59="No",L59="No"),"Non-Compliant","Partial")))</f>
        <v/>
      </c>
      <c r="N59" s="15" t="n"/>
      <c r="O59" s="15" t="n"/>
    </row>
    <row r="60">
      <c r="A60" s="14">
        <f>IF(ROW()-4&lt;=COUNTA('Personnel Screening Registry'!$A:$A)-4,INDEX('Personnel Screening Registry'!$A:$A,ROW()-3),"")</f>
        <v/>
      </c>
      <c r="B60" s="14">
        <f>IF(A60&lt;&gt;"",VLOOKUP(A60,'Personnel Screening Registry'!$A:$B,2,FALSE),"")</f>
        <v/>
      </c>
      <c r="C60" s="14">
        <f>IF(A60&lt;&gt;"",VLOOKUP(A60,'Personnel Screening Registry'!$A:$E,5,FALSE),"")</f>
        <v/>
      </c>
      <c r="D60" s="15" t="n"/>
      <c r="E60" s="15" t="n"/>
      <c r="F60" s="15" t="n"/>
      <c r="G60" s="15" t="n"/>
      <c r="H60" s="15" t="n"/>
      <c r="I60" s="15" t="n"/>
      <c r="J60" s="15" t="n"/>
      <c r="K60" s="14">
        <f>IF(A60="","",IF(AND(D60="Yes",E60="Yes",J60="Yes"),"Yes","No"))</f>
        <v/>
      </c>
      <c r="L60" s="14">
        <f>IF(A60="","",IF(VLOOKUP(A60,'Personnel Screening Registry'!$A:$I,8,FALSE)=VLOOKUP(A60,'Personnel Screening Registry'!$A:$I,9,FALSE),"Yes","No"))</f>
        <v/>
      </c>
      <c r="M60" s="14">
        <f>IF(A60="","",IF(AND(K60="Yes",L60="Yes"),"Compliant",IF(OR(K60="No",L60="No"),"Non-Compliant","Partial")))</f>
        <v/>
      </c>
      <c r="N60" s="15" t="n"/>
      <c r="O60" s="15" t="n"/>
    </row>
    <row r="61">
      <c r="A61" s="14">
        <f>IF(ROW()-4&lt;=COUNTA('Personnel Screening Registry'!$A:$A)-4,INDEX('Personnel Screening Registry'!$A:$A,ROW()-3),"")</f>
        <v/>
      </c>
      <c r="B61" s="14">
        <f>IF(A61&lt;&gt;"",VLOOKUP(A61,'Personnel Screening Registry'!$A:$B,2,FALSE),"")</f>
        <v/>
      </c>
      <c r="C61" s="14">
        <f>IF(A61&lt;&gt;"",VLOOKUP(A61,'Personnel Screening Registry'!$A:$E,5,FALSE),"")</f>
        <v/>
      </c>
      <c r="D61" s="15" t="n"/>
      <c r="E61" s="15" t="n"/>
      <c r="F61" s="15" t="n"/>
      <c r="G61" s="15" t="n"/>
      <c r="H61" s="15" t="n"/>
      <c r="I61" s="15" t="n"/>
      <c r="J61" s="15" t="n"/>
      <c r="K61" s="14">
        <f>IF(A61="","",IF(AND(D61="Yes",E61="Yes",J61="Yes"),"Yes","No"))</f>
        <v/>
      </c>
      <c r="L61" s="14">
        <f>IF(A61="","",IF(VLOOKUP(A61,'Personnel Screening Registry'!$A:$I,8,FALSE)=VLOOKUP(A61,'Personnel Screening Registry'!$A:$I,9,FALSE),"Yes","No"))</f>
        <v/>
      </c>
      <c r="M61" s="14">
        <f>IF(A61="","",IF(AND(K61="Yes",L61="Yes"),"Compliant",IF(OR(K61="No",L61="No"),"Non-Compliant","Partial")))</f>
        <v/>
      </c>
      <c r="N61" s="15" t="n"/>
      <c r="O61" s="15" t="n"/>
    </row>
    <row r="62">
      <c r="A62" s="14">
        <f>IF(ROW()-4&lt;=COUNTA('Personnel Screening Registry'!$A:$A)-4,INDEX('Personnel Screening Registry'!$A:$A,ROW()-3),"")</f>
        <v/>
      </c>
      <c r="B62" s="14">
        <f>IF(A62&lt;&gt;"",VLOOKUP(A62,'Personnel Screening Registry'!$A:$B,2,FALSE),"")</f>
        <v/>
      </c>
      <c r="C62" s="14">
        <f>IF(A62&lt;&gt;"",VLOOKUP(A62,'Personnel Screening Registry'!$A:$E,5,FALSE),"")</f>
        <v/>
      </c>
      <c r="D62" s="15" t="n"/>
      <c r="E62" s="15" t="n"/>
      <c r="F62" s="15" t="n"/>
      <c r="G62" s="15" t="n"/>
      <c r="H62" s="15" t="n"/>
      <c r="I62" s="15" t="n"/>
      <c r="J62" s="15" t="n"/>
      <c r="K62" s="14">
        <f>IF(A62="","",IF(AND(D62="Yes",E62="Yes",J62="Yes"),"Yes","No"))</f>
        <v/>
      </c>
      <c r="L62" s="14">
        <f>IF(A62="","",IF(VLOOKUP(A62,'Personnel Screening Registry'!$A:$I,8,FALSE)=VLOOKUP(A62,'Personnel Screening Registry'!$A:$I,9,FALSE),"Yes","No"))</f>
        <v/>
      </c>
      <c r="M62" s="14">
        <f>IF(A62="","",IF(AND(K62="Yes",L62="Yes"),"Compliant",IF(OR(K62="No",L62="No"),"Non-Compliant","Partial")))</f>
        <v/>
      </c>
      <c r="N62" s="15" t="n"/>
      <c r="O62" s="15" t="n"/>
    </row>
    <row r="63">
      <c r="A63" s="14">
        <f>IF(ROW()-4&lt;=COUNTA('Personnel Screening Registry'!$A:$A)-4,INDEX('Personnel Screening Registry'!$A:$A,ROW()-3),"")</f>
        <v/>
      </c>
      <c r="B63" s="14">
        <f>IF(A63&lt;&gt;"",VLOOKUP(A63,'Personnel Screening Registry'!$A:$B,2,FALSE),"")</f>
        <v/>
      </c>
      <c r="C63" s="14">
        <f>IF(A63&lt;&gt;"",VLOOKUP(A63,'Personnel Screening Registry'!$A:$E,5,FALSE),"")</f>
        <v/>
      </c>
      <c r="D63" s="15" t="n"/>
      <c r="E63" s="15" t="n"/>
      <c r="F63" s="15" t="n"/>
      <c r="G63" s="15" t="n"/>
      <c r="H63" s="15" t="n"/>
      <c r="I63" s="15" t="n"/>
      <c r="J63" s="15" t="n"/>
      <c r="K63" s="14">
        <f>IF(A63="","",IF(AND(D63="Yes",E63="Yes",J63="Yes"),"Yes","No"))</f>
        <v/>
      </c>
      <c r="L63" s="14">
        <f>IF(A63="","",IF(VLOOKUP(A63,'Personnel Screening Registry'!$A:$I,8,FALSE)=VLOOKUP(A63,'Personnel Screening Registry'!$A:$I,9,FALSE),"Yes","No"))</f>
        <v/>
      </c>
      <c r="M63" s="14">
        <f>IF(A63="","",IF(AND(K63="Yes",L63="Yes"),"Compliant",IF(OR(K63="No",L63="No"),"Non-Compliant","Partial")))</f>
        <v/>
      </c>
      <c r="N63" s="15" t="n"/>
      <c r="O63" s="15" t="n"/>
    </row>
    <row r="64">
      <c r="A64" s="14">
        <f>IF(ROW()-4&lt;=COUNTA('Personnel Screening Registry'!$A:$A)-4,INDEX('Personnel Screening Registry'!$A:$A,ROW()-3),"")</f>
        <v/>
      </c>
      <c r="B64" s="14">
        <f>IF(A64&lt;&gt;"",VLOOKUP(A64,'Personnel Screening Registry'!$A:$B,2,FALSE),"")</f>
        <v/>
      </c>
      <c r="C64" s="14">
        <f>IF(A64&lt;&gt;"",VLOOKUP(A64,'Personnel Screening Registry'!$A:$E,5,FALSE),"")</f>
        <v/>
      </c>
      <c r="D64" s="15" t="n"/>
      <c r="E64" s="15" t="n"/>
      <c r="F64" s="15" t="n"/>
      <c r="G64" s="15" t="n"/>
      <c r="H64" s="15" t="n"/>
      <c r="I64" s="15" t="n"/>
      <c r="J64" s="15" t="n"/>
      <c r="K64" s="14">
        <f>IF(A64="","",IF(AND(D64="Yes",E64="Yes",J64="Yes"),"Yes","No"))</f>
        <v/>
      </c>
      <c r="L64" s="14">
        <f>IF(A64="","",IF(VLOOKUP(A64,'Personnel Screening Registry'!$A:$I,8,FALSE)=VLOOKUP(A64,'Personnel Screening Registry'!$A:$I,9,FALSE),"Yes","No"))</f>
        <v/>
      </c>
      <c r="M64" s="14">
        <f>IF(A64="","",IF(AND(K64="Yes",L64="Yes"),"Compliant",IF(OR(K64="No",L64="No"),"Non-Compliant","Partial")))</f>
        <v/>
      </c>
      <c r="N64" s="15" t="n"/>
      <c r="O64" s="15" t="n"/>
    </row>
    <row r="65">
      <c r="A65" s="14">
        <f>IF(ROW()-4&lt;=COUNTA('Personnel Screening Registry'!$A:$A)-4,INDEX('Personnel Screening Registry'!$A:$A,ROW()-3),"")</f>
        <v/>
      </c>
      <c r="B65" s="14">
        <f>IF(A65&lt;&gt;"",VLOOKUP(A65,'Personnel Screening Registry'!$A:$B,2,FALSE),"")</f>
        <v/>
      </c>
      <c r="C65" s="14">
        <f>IF(A65&lt;&gt;"",VLOOKUP(A65,'Personnel Screening Registry'!$A:$E,5,FALSE),"")</f>
        <v/>
      </c>
      <c r="D65" s="15" t="n"/>
      <c r="E65" s="15" t="n"/>
      <c r="F65" s="15" t="n"/>
      <c r="G65" s="15" t="n"/>
      <c r="H65" s="15" t="n"/>
      <c r="I65" s="15" t="n"/>
      <c r="J65" s="15" t="n"/>
      <c r="K65" s="14">
        <f>IF(A65="","",IF(AND(D65="Yes",E65="Yes",J65="Yes"),"Yes","No"))</f>
        <v/>
      </c>
      <c r="L65" s="14">
        <f>IF(A65="","",IF(VLOOKUP(A65,'Personnel Screening Registry'!$A:$I,8,FALSE)=VLOOKUP(A65,'Personnel Screening Registry'!$A:$I,9,FALSE),"Yes","No"))</f>
        <v/>
      </c>
      <c r="M65" s="14">
        <f>IF(A65="","",IF(AND(K65="Yes",L65="Yes"),"Compliant",IF(OR(K65="No",L65="No"),"Non-Compliant","Partial")))</f>
        <v/>
      </c>
      <c r="N65" s="15" t="n"/>
      <c r="O65" s="15" t="n"/>
    </row>
    <row r="66">
      <c r="A66" s="14">
        <f>IF(ROW()-4&lt;=COUNTA('Personnel Screening Registry'!$A:$A)-4,INDEX('Personnel Screening Registry'!$A:$A,ROW()-3),"")</f>
        <v/>
      </c>
      <c r="B66" s="14">
        <f>IF(A66&lt;&gt;"",VLOOKUP(A66,'Personnel Screening Registry'!$A:$B,2,FALSE),"")</f>
        <v/>
      </c>
      <c r="C66" s="14">
        <f>IF(A66&lt;&gt;"",VLOOKUP(A66,'Personnel Screening Registry'!$A:$E,5,FALSE),"")</f>
        <v/>
      </c>
      <c r="D66" s="15" t="n"/>
      <c r="E66" s="15" t="n"/>
      <c r="F66" s="15" t="n"/>
      <c r="G66" s="15" t="n"/>
      <c r="H66" s="15" t="n"/>
      <c r="I66" s="15" t="n"/>
      <c r="J66" s="15" t="n"/>
      <c r="K66" s="14">
        <f>IF(A66="","",IF(AND(D66="Yes",E66="Yes",J66="Yes"),"Yes","No"))</f>
        <v/>
      </c>
      <c r="L66" s="14">
        <f>IF(A66="","",IF(VLOOKUP(A66,'Personnel Screening Registry'!$A:$I,8,FALSE)=VLOOKUP(A66,'Personnel Screening Registry'!$A:$I,9,FALSE),"Yes","No"))</f>
        <v/>
      </c>
      <c r="M66" s="14">
        <f>IF(A66="","",IF(AND(K66="Yes",L66="Yes"),"Compliant",IF(OR(K66="No",L66="No"),"Non-Compliant","Partial")))</f>
        <v/>
      </c>
      <c r="N66" s="15" t="n"/>
      <c r="O66" s="15" t="n"/>
    </row>
    <row r="67">
      <c r="A67" s="14">
        <f>IF(ROW()-4&lt;=COUNTA('Personnel Screening Registry'!$A:$A)-4,INDEX('Personnel Screening Registry'!$A:$A,ROW()-3),"")</f>
        <v/>
      </c>
      <c r="B67" s="14">
        <f>IF(A67&lt;&gt;"",VLOOKUP(A67,'Personnel Screening Registry'!$A:$B,2,FALSE),"")</f>
        <v/>
      </c>
      <c r="C67" s="14">
        <f>IF(A67&lt;&gt;"",VLOOKUP(A67,'Personnel Screening Registry'!$A:$E,5,FALSE),"")</f>
        <v/>
      </c>
      <c r="D67" s="15" t="n"/>
      <c r="E67" s="15" t="n"/>
      <c r="F67" s="15" t="n"/>
      <c r="G67" s="15" t="n"/>
      <c r="H67" s="15" t="n"/>
      <c r="I67" s="15" t="n"/>
      <c r="J67" s="15" t="n"/>
      <c r="K67" s="14">
        <f>IF(A67="","",IF(AND(D67="Yes",E67="Yes",J67="Yes"),"Yes","No"))</f>
        <v/>
      </c>
      <c r="L67" s="14">
        <f>IF(A67="","",IF(VLOOKUP(A67,'Personnel Screening Registry'!$A:$I,8,FALSE)=VLOOKUP(A67,'Personnel Screening Registry'!$A:$I,9,FALSE),"Yes","No"))</f>
        <v/>
      </c>
      <c r="M67" s="14">
        <f>IF(A67="","",IF(AND(K67="Yes",L67="Yes"),"Compliant",IF(OR(K67="No",L67="No"),"Non-Compliant","Partial")))</f>
        <v/>
      </c>
      <c r="N67" s="15" t="n"/>
      <c r="O67" s="15" t="n"/>
    </row>
    <row r="68">
      <c r="A68" s="14">
        <f>IF(ROW()-4&lt;=COUNTA('Personnel Screening Registry'!$A:$A)-4,INDEX('Personnel Screening Registry'!$A:$A,ROW()-3),"")</f>
        <v/>
      </c>
      <c r="B68" s="14">
        <f>IF(A68&lt;&gt;"",VLOOKUP(A68,'Personnel Screening Registry'!$A:$B,2,FALSE),"")</f>
        <v/>
      </c>
      <c r="C68" s="14">
        <f>IF(A68&lt;&gt;"",VLOOKUP(A68,'Personnel Screening Registry'!$A:$E,5,FALSE),"")</f>
        <v/>
      </c>
      <c r="D68" s="15" t="n"/>
      <c r="E68" s="15" t="n"/>
      <c r="F68" s="15" t="n"/>
      <c r="G68" s="15" t="n"/>
      <c r="H68" s="15" t="n"/>
      <c r="I68" s="15" t="n"/>
      <c r="J68" s="15" t="n"/>
      <c r="K68" s="14">
        <f>IF(A68="","",IF(AND(D68="Yes",E68="Yes",J68="Yes"),"Yes","No"))</f>
        <v/>
      </c>
      <c r="L68" s="14">
        <f>IF(A68="","",IF(VLOOKUP(A68,'Personnel Screening Registry'!$A:$I,8,FALSE)=VLOOKUP(A68,'Personnel Screening Registry'!$A:$I,9,FALSE),"Yes","No"))</f>
        <v/>
      </c>
      <c r="M68" s="14">
        <f>IF(A68="","",IF(AND(K68="Yes",L68="Yes"),"Compliant",IF(OR(K68="No",L68="No"),"Non-Compliant","Partial")))</f>
        <v/>
      </c>
      <c r="N68" s="15" t="n"/>
      <c r="O68" s="15" t="n"/>
    </row>
    <row r="69">
      <c r="A69" s="14">
        <f>IF(ROW()-4&lt;=COUNTA('Personnel Screening Registry'!$A:$A)-4,INDEX('Personnel Screening Registry'!$A:$A,ROW()-3),"")</f>
        <v/>
      </c>
      <c r="B69" s="14">
        <f>IF(A69&lt;&gt;"",VLOOKUP(A69,'Personnel Screening Registry'!$A:$B,2,FALSE),"")</f>
        <v/>
      </c>
      <c r="C69" s="14">
        <f>IF(A69&lt;&gt;"",VLOOKUP(A69,'Personnel Screening Registry'!$A:$E,5,FALSE),"")</f>
        <v/>
      </c>
      <c r="D69" s="15" t="n"/>
      <c r="E69" s="15" t="n"/>
      <c r="F69" s="15" t="n"/>
      <c r="G69" s="15" t="n"/>
      <c r="H69" s="15" t="n"/>
      <c r="I69" s="15" t="n"/>
      <c r="J69" s="15" t="n"/>
      <c r="K69" s="14">
        <f>IF(A69="","",IF(AND(D69="Yes",E69="Yes",J69="Yes"),"Yes","No"))</f>
        <v/>
      </c>
      <c r="L69" s="14">
        <f>IF(A69="","",IF(VLOOKUP(A69,'Personnel Screening Registry'!$A:$I,8,FALSE)=VLOOKUP(A69,'Personnel Screening Registry'!$A:$I,9,FALSE),"Yes","No"))</f>
        <v/>
      </c>
      <c r="M69" s="14">
        <f>IF(A69="","",IF(AND(K69="Yes",L69="Yes"),"Compliant",IF(OR(K69="No",L69="No"),"Non-Compliant","Partial")))</f>
        <v/>
      </c>
      <c r="N69" s="15" t="n"/>
      <c r="O69" s="15" t="n"/>
    </row>
    <row r="70">
      <c r="A70" s="14">
        <f>IF(ROW()-4&lt;=COUNTA('Personnel Screening Registry'!$A:$A)-4,INDEX('Personnel Screening Registry'!$A:$A,ROW()-3),"")</f>
        <v/>
      </c>
      <c r="B70" s="14">
        <f>IF(A70&lt;&gt;"",VLOOKUP(A70,'Personnel Screening Registry'!$A:$B,2,FALSE),"")</f>
        <v/>
      </c>
      <c r="C70" s="14">
        <f>IF(A70&lt;&gt;"",VLOOKUP(A70,'Personnel Screening Registry'!$A:$E,5,FALSE),"")</f>
        <v/>
      </c>
      <c r="D70" s="15" t="n"/>
      <c r="E70" s="15" t="n"/>
      <c r="F70" s="15" t="n"/>
      <c r="G70" s="15" t="n"/>
      <c r="H70" s="15" t="n"/>
      <c r="I70" s="15" t="n"/>
      <c r="J70" s="15" t="n"/>
      <c r="K70" s="14">
        <f>IF(A70="","",IF(AND(D70="Yes",E70="Yes",J70="Yes"),"Yes","No"))</f>
        <v/>
      </c>
      <c r="L70" s="14">
        <f>IF(A70="","",IF(VLOOKUP(A70,'Personnel Screening Registry'!$A:$I,8,FALSE)=VLOOKUP(A70,'Personnel Screening Registry'!$A:$I,9,FALSE),"Yes","No"))</f>
        <v/>
      </c>
      <c r="M70" s="14">
        <f>IF(A70="","",IF(AND(K70="Yes",L70="Yes"),"Compliant",IF(OR(K70="No",L70="No"),"Non-Compliant","Partial")))</f>
        <v/>
      </c>
      <c r="N70" s="15" t="n"/>
      <c r="O70" s="15" t="n"/>
    </row>
    <row r="71">
      <c r="A71" s="14">
        <f>IF(ROW()-4&lt;=COUNTA('Personnel Screening Registry'!$A:$A)-4,INDEX('Personnel Screening Registry'!$A:$A,ROW()-3),"")</f>
        <v/>
      </c>
      <c r="B71" s="14">
        <f>IF(A71&lt;&gt;"",VLOOKUP(A71,'Personnel Screening Registry'!$A:$B,2,FALSE),"")</f>
        <v/>
      </c>
      <c r="C71" s="14">
        <f>IF(A71&lt;&gt;"",VLOOKUP(A71,'Personnel Screening Registry'!$A:$E,5,FALSE),"")</f>
        <v/>
      </c>
      <c r="D71" s="15" t="n"/>
      <c r="E71" s="15" t="n"/>
      <c r="F71" s="15" t="n"/>
      <c r="G71" s="15" t="n"/>
      <c r="H71" s="15" t="n"/>
      <c r="I71" s="15" t="n"/>
      <c r="J71" s="15" t="n"/>
      <c r="K71" s="14">
        <f>IF(A71="","",IF(AND(D71="Yes",E71="Yes",J71="Yes"),"Yes","No"))</f>
        <v/>
      </c>
      <c r="L71" s="14">
        <f>IF(A71="","",IF(VLOOKUP(A71,'Personnel Screening Registry'!$A:$I,8,FALSE)=VLOOKUP(A71,'Personnel Screening Registry'!$A:$I,9,FALSE),"Yes","No"))</f>
        <v/>
      </c>
      <c r="M71" s="14">
        <f>IF(A71="","",IF(AND(K71="Yes",L71="Yes"),"Compliant",IF(OR(K71="No",L71="No"),"Non-Compliant","Partial")))</f>
        <v/>
      </c>
      <c r="N71" s="15" t="n"/>
      <c r="O71" s="15" t="n"/>
    </row>
    <row r="72">
      <c r="A72" s="14">
        <f>IF(ROW()-4&lt;=COUNTA('Personnel Screening Registry'!$A:$A)-4,INDEX('Personnel Screening Registry'!$A:$A,ROW()-3),"")</f>
        <v/>
      </c>
      <c r="B72" s="14">
        <f>IF(A72&lt;&gt;"",VLOOKUP(A72,'Personnel Screening Registry'!$A:$B,2,FALSE),"")</f>
        <v/>
      </c>
      <c r="C72" s="14">
        <f>IF(A72&lt;&gt;"",VLOOKUP(A72,'Personnel Screening Registry'!$A:$E,5,FALSE),"")</f>
        <v/>
      </c>
      <c r="D72" s="15" t="n"/>
      <c r="E72" s="15" t="n"/>
      <c r="F72" s="15" t="n"/>
      <c r="G72" s="15" t="n"/>
      <c r="H72" s="15" t="n"/>
      <c r="I72" s="15" t="n"/>
      <c r="J72" s="15" t="n"/>
      <c r="K72" s="14">
        <f>IF(A72="","",IF(AND(D72="Yes",E72="Yes",J72="Yes"),"Yes","No"))</f>
        <v/>
      </c>
      <c r="L72" s="14">
        <f>IF(A72="","",IF(VLOOKUP(A72,'Personnel Screening Registry'!$A:$I,8,FALSE)=VLOOKUP(A72,'Personnel Screening Registry'!$A:$I,9,FALSE),"Yes","No"))</f>
        <v/>
      </c>
      <c r="M72" s="14">
        <f>IF(A72="","",IF(AND(K72="Yes",L72="Yes"),"Compliant",IF(OR(K72="No",L72="No"),"Non-Compliant","Partial")))</f>
        <v/>
      </c>
      <c r="N72" s="15" t="n"/>
      <c r="O72" s="15" t="n"/>
    </row>
    <row r="73">
      <c r="A73" s="14">
        <f>IF(ROW()-4&lt;=COUNTA('Personnel Screening Registry'!$A:$A)-4,INDEX('Personnel Screening Registry'!$A:$A,ROW()-3),"")</f>
        <v/>
      </c>
      <c r="B73" s="14">
        <f>IF(A73&lt;&gt;"",VLOOKUP(A73,'Personnel Screening Registry'!$A:$B,2,FALSE),"")</f>
        <v/>
      </c>
      <c r="C73" s="14">
        <f>IF(A73&lt;&gt;"",VLOOKUP(A73,'Personnel Screening Registry'!$A:$E,5,FALSE),"")</f>
        <v/>
      </c>
      <c r="D73" s="15" t="n"/>
      <c r="E73" s="15" t="n"/>
      <c r="F73" s="15" t="n"/>
      <c r="G73" s="15" t="n"/>
      <c r="H73" s="15" t="n"/>
      <c r="I73" s="15" t="n"/>
      <c r="J73" s="15" t="n"/>
      <c r="K73" s="14">
        <f>IF(A73="","",IF(AND(D73="Yes",E73="Yes",J73="Yes"),"Yes","No"))</f>
        <v/>
      </c>
      <c r="L73" s="14">
        <f>IF(A73="","",IF(VLOOKUP(A73,'Personnel Screening Registry'!$A:$I,8,FALSE)=VLOOKUP(A73,'Personnel Screening Registry'!$A:$I,9,FALSE),"Yes","No"))</f>
        <v/>
      </c>
      <c r="M73" s="14">
        <f>IF(A73="","",IF(AND(K73="Yes",L73="Yes"),"Compliant",IF(OR(K73="No",L73="No"),"Non-Compliant","Partial")))</f>
        <v/>
      </c>
      <c r="N73" s="15" t="n"/>
      <c r="O73" s="15" t="n"/>
    </row>
    <row r="74">
      <c r="A74" s="14">
        <f>IF(ROW()-4&lt;=COUNTA('Personnel Screening Registry'!$A:$A)-4,INDEX('Personnel Screening Registry'!$A:$A,ROW()-3),"")</f>
        <v/>
      </c>
      <c r="B74" s="14">
        <f>IF(A74&lt;&gt;"",VLOOKUP(A74,'Personnel Screening Registry'!$A:$B,2,FALSE),"")</f>
        <v/>
      </c>
      <c r="C74" s="14">
        <f>IF(A74&lt;&gt;"",VLOOKUP(A74,'Personnel Screening Registry'!$A:$E,5,FALSE),"")</f>
        <v/>
      </c>
      <c r="D74" s="15" t="n"/>
      <c r="E74" s="15" t="n"/>
      <c r="F74" s="15" t="n"/>
      <c r="G74" s="15" t="n"/>
      <c r="H74" s="15" t="n"/>
      <c r="I74" s="15" t="n"/>
      <c r="J74" s="15" t="n"/>
      <c r="K74" s="14">
        <f>IF(A74="","",IF(AND(D74="Yes",E74="Yes",J74="Yes"),"Yes","No"))</f>
        <v/>
      </c>
      <c r="L74" s="14">
        <f>IF(A74="","",IF(VLOOKUP(A74,'Personnel Screening Registry'!$A:$I,8,FALSE)=VLOOKUP(A74,'Personnel Screening Registry'!$A:$I,9,FALSE),"Yes","No"))</f>
        <v/>
      </c>
      <c r="M74" s="14">
        <f>IF(A74="","",IF(AND(K74="Yes",L74="Yes"),"Compliant",IF(OR(K74="No",L74="No"),"Non-Compliant","Partial")))</f>
        <v/>
      </c>
      <c r="N74" s="15" t="n"/>
      <c r="O74" s="15" t="n"/>
    </row>
    <row r="75">
      <c r="A75" s="14">
        <f>IF(ROW()-4&lt;=COUNTA('Personnel Screening Registry'!$A:$A)-4,INDEX('Personnel Screening Registry'!$A:$A,ROW()-3),"")</f>
        <v/>
      </c>
      <c r="B75" s="14">
        <f>IF(A75&lt;&gt;"",VLOOKUP(A75,'Personnel Screening Registry'!$A:$B,2,FALSE),"")</f>
        <v/>
      </c>
      <c r="C75" s="14">
        <f>IF(A75&lt;&gt;"",VLOOKUP(A75,'Personnel Screening Registry'!$A:$E,5,FALSE),"")</f>
        <v/>
      </c>
      <c r="D75" s="15" t="n"/>
      <c r="E75" s="15" t="n"/>
      <c r="F75" s="15" t="n"/>
      <c r="G75" s="15" t="n"/>
      <c r="H75" s="15" t="n"/>
      <c r="I75" s="15" t="n"/>
      <c r="J75" s="15" t="n"/>
      <c r="K75" s="14">
        <f>IF(A75="","",IF(AND(D75="Yes",E75="Yes",J75="Yes"),"Yes","No"))</f>
        <v/>
      </c>
      <c r="L75" s="14">
        <f>IF(A75="","",IF(VLOOKUP(A75,'Personnel Screening Registry'!$A:$I,8,FALSE)=VLOOKUP(A75,'Personnel Screening Registry'!$A:$I,9,FALSE),"Yes","No"))</f>
        <v/>
      </c>
      <c r="M75" s="14">
        <f>IF(A75="","",IF(AND(K75="Yes",L75="Yes"),"Compliant",IF(OR(K75="No",L75="No"),"Non-Compliant","Partial")))</f>
        <v/>
      </c>
      <c r="N75" s="15" t="n"/>
      <c r="O75" s="15" t="n"/>
    </row>
    <row r="76">
      <c r="A76" s="14">
        <f>IF(ROW()-4&lt;=COUNTA('Personnel Screening Registry'!$A:$A)-4,INDEX('Personnel Screening Registry'!$A:$A,ROW()-3),"")</f>
        <v/>
      </c>
      <c r="B76" s="14">
        <f>IF(A76&lt;&gt;"",VLOOKUP(A76,'Personnel Screening Registry'!$A:$B,2,FALSE),"")</f>
        <v/>
      </c>
      <c r="C76" s="14">
        <f>IF(A76&lt;&gt;"",VLOOKUP(A76,'Personnel Screening Registry'!$A:$E,5,FALSE),"")</f>
        <v/>
      </c>
      <c r="D76" s="15" t="n"/>
      <c r="E76" s="15" t="n"/>
      <c r="F76" s="15" t="n"/>
      <c r="G76" s="15" t="n"/>
      <c r="H76" s="15" t="n"/>
      <c r="I76" s="15" t="n"/>
      <c r="J76" s="15" t="n"/>
      <c r="K76" s="14">
        <f>IF(A76="","",IF(AND(D76="Yes",E76="Yes",J76="Yes"),"Yes","No"))</f>
        <v/>
      </c>
      <c r="L76" s="14">
        <f>IF(A76="","",IF(VLOOKUP(A76,'Personnel Screening Registry'!$A:$I,8,FALSE)=VLOOKUP(A76,'Personnel Screening Registry'!$A:$I,9,FALSE),"Yes","No"))</f>
        <v/>
      </c>
      <c r="M76" s="14">
        <f>IF(A76="","",IF(AND(K76="Yes",L76="Yes"),"Compliant",IF(OR(K76="No",L76="No"),"Non-Compliant","Partial")))</f>
        <v/>
      </c>
      <c r="N76" s="15" t="n"/>
      <c r="O76" s="15" t="n"/>
    </row>
    <row r="77">
      <c r="A77" s="14">
        <f>IF(ROW()-4&lt;=COUNTA('Personnel Screening Registry'!$A:$A)-4,INDEX('Personnel Screening Registry'!$A:$A,ROW()-3),"")</f>
        <v/>
      </c>
      <c r="B77" s="14">
        <f>IF(A77&lt;&gt;"",VLOOKUP(A77,'Personnel Screening Registry'!$A:$B,2,FALSE),"")</f>
        <v/>
      </c>
      <c r="C77" s="14">
        <f>IF(A77&lt;&gt;"",VLOOKUP(A77,'Personnel Screening Registry'!$A:$E,5,FALSE),"")</f>
        <v/>
      </c>
      <c r="D77" s="15" t="n"/>
      <c r="E77" s="15" t="n"/>
      <c r="F77" s="15" t="n"/>
      <c r="G77" s="15" t="n"/>
      <c r="H77" s="15" t="n"/>
      <c r="I77" s="15" t="n"/>
      <c r="J77" s="15" t="n"/>
      <c r="K77" s="14">
        <f>IF(A77="","",IF(AND(D77="Yes",E77="Yes",J77="Yes"),"Yes","No"))</f>
        <v/>
      </c>
      <c r="L77" s="14">
        <f>IF(A77="","",IF(VLOOKUP(A77,'Personnel Screening Registry'!$A:$I,8,FALSE)=VLOOKUP(A77,'Personnel Screening Registry'!$A:$I,9,FALSE),"Yes","No"))</f>
        <v/>
      </c>
      <c r="M77" s="14">
        <f>IF(A77="","",IF(AND(K77="Yes",L77="Yes"),"Compliant",IF(OR(K77="No",L77="No"),"Non-Compliant","Partial")))</f>
        <v/>
      </c>
      <c r="N77" s="15" t="n"/>
      <c r="O77" s="15" t="n"/>
    </row>
    <row r="78">
      <c r="A78" s="14">
        <f>IF(ROW()-4&lt;=COUNTA('Personnel Screening Registry'!$A:$A)-4,INDEX('Personnel Screening Registry'!$A:$A,ROW()-3),"")</f>
        <v/>
      </c>
      <c r="B78" s="14">
        <f>IF(A78&lt;&gt;"",VLOOKUP(A78,'Personnel Screening Registry'!$A:$B,2,FALSE),"")</f>
        <v/>
      </c>
      <c r="C78" s="14">
        <f>IF(A78&lt;&gt;"",VLOOKUP(A78,'Personnel Screening Registry'!$A:$E,5,FALSE),"")</f>
        <v/>
      </c>
      <c r="D78" s="15" t="n"/>
      <c r="E78" s="15" t="n"/>
      <c r="F78" s="15" t="n"/>
      <c r="G78" s="15" t="n"/>
      <c r="H78" s="15" t="n"/>
      <c r="I78" s="15" t="n"/>
      <c r="J78" s="15" t="n"/>
      <c r="K78" s="14">
        <f>IF(A78="","",IF(AND(D78="Yes",E78="Yes",J78="Yes"),"Yes","No"))</f>
        <v/>
      </c>
      <c r="L78" s="14">
        <f>IF(A78="","",IF(VLOOKUP(A78,'Personnel Screening Registry'!$A:$I,8,FALSE)=VLOOKUP(A78,'Personnel Screening Registry'!$A:$I,9,FALSE),"Yes","No"))</f>
        <v/>
      </c>
      <c r="M78" s="14">
        <f>IF(A78="","",IF(AND(K78="Yes",L78="Yes"),"Compliant",IF(OR(K78="No",L78="No"),"Non-Compliant","Partial")))</f>
        <v/>
      </c>
      <c r="N78" s="15" t="n"/>
      <c r="O78" s="15" t="n"/>
    </row>
    <row r="79">
      <c r="A79" s="14">
        <f>IF(ROW()-4&lt;=COUNTA('Personnel Screening Registry'!$A:$A)-4,INDEX('Personnel Screening Registry'!$A:$A,ROW()-3),"")</f>
        <v/>
      </c>
      <c r="B79" s="14">
        <f>IF(A79&lt;&gt;"",VLOOKUP(A79,'Personnel Screening Registry'!$A:$B,2,FALSE),"")</f>
        <v/>
      </c>
      <c r="C79" s="14">
        <f>IF(A79&lt;&gt;"",VLOOKUP(A79,'Personnel Screening Registry'!$A:$E,5,FALSE),"")</f>
        <v/>
      </c>
      <c r="D79" s="15" t="n"/>
      <c r="E79" s="15" t="n"/>
      <c r="F79" s="15" t="n"/>
      <c r="G79" s="15" t="n"/>
      <c r="H79" s="15" t="n"/>
      <c r="I79" s="15" t="n"/>
      <c r="J79" s="15" t="n"/>
      <c r="K79" s="14">
        <f>IF(A79="","",IF(AND(D79="Yes",E79="Yes",J79="Yes"),"Yes","No"))</f>
        <v/>
      </c>
      <c r="L79" s="14">
        <f>IF(A79="","",IF(VLOOKUP(A79,'Personnel Screening Registry'!$A:$I,8,FALSE)=VLOOKUP(A79,'Personnel Screening Registry'!$A:$I,9,FALSE),"Yes","No"))</f>
        <v/>
      </c>
      <c r="M79" s="14">
        <f>IF(A79="","",IF(AND(K79="Yes",L79="Yes"),"Compliant",IF(OR(K79="No",L79="No"),"Non-Compliant","Partial")))</f>
        <v/>
      </c>
      <c r="N79" s="15" t="n"/>
      <c r="O79" s="15" t="n"/>
    </row>
    <row r="80">
      <c r="A80" s="14">
        <f>IF(ROW()-4&lt;=COUNTA('Personnel Screening Registry'!$A:$A)-4,INDEX('Personnel Screening Registry'!$A:$A,ROW()-3),"")</f>
        <v/>
      </c>
      <c r="B80" s="14">
        <f>IF(A80&lt;&gt;"",VLOOKUP(A80,'Personnel Screening Registry'!$A:$B,2,FALSE),"")</f>
        <v/>
      </c>
      <c r="C80" s="14">
        <f>IF(A80&lt;&gt;"",VLOOKUP(A80,'Personnel Screening Registry'!$A:$E,5,FALSE),"")</f>
        <v/>
      </c>
      <c r="D80" s="15" t="n"/>
      <c r="E80" s="15" t="n"/>
      <c r="F80" s="15" t="n"/>
      <c r="G80" s="15" t="n"/>
      <c r="H80" s="15" t="n"/>
      <c r="I80" s="15" t="n"/>
      <c r="J80" s="15" t="n"/>
      <c r="K80" s="14">
        <f>IF(A80="","",IF(AND(D80="Yes",E80="Yes",J80="Yes"),"Yes","No"))</f>
        <v/>
      </c>
      <c r="L80" s="14">
        <f>IF(A80="","",IF(VLOOKUP(A80,'Personnel Screening Registry'!$A:$I,8,FALSE)=VLOOKUP(A80,'Personnel Screening Registry'!$A:$I,9,FALSE),"Yes","No"))</f>
        <v/>
      </c>
      <c r="M80" s="14">
        <f>IF(A80="","",IF(AND(K80="Yes",L80="Yes"),"Compliant",IF(OR(K80="No",L80="No"),"Non-Compliant","Partial")))</f>
        <v/>
      </c>
      <c r="N80" s="15" t="n"/>
      <c r="O80" s="15" t="n"/>
    </row>
    <row r="81">
      <c r="A81" s="14">
        <f>IF(ROW()-4&lt;=COUNTA('Personnel Screening Registry'!$A:$A)-4,INDEX('Personnel Screening Registry'!$A:$A,ROW()-3),"")</f>
        <v/>
      </c>
      <c r="B81" s="14">
        <f>IF(A81&lt;&gt;"",VLOOKUP(A81,'Personnel Screening Registry'!$A:$B,2,FALSE),"")</f>
        <v/>
      </c>
      <c r="C81" s="14">
        <f>IF(A81&lt;&gt;"",VLOOKUP(A81,'Personnel Screening Registry'!$A:$E,5,FALSE),"")</f>
        <v/>
      </c>
      <c r="D81" s="15" t="n"/>
      <c r="E81" s="15" t="n"/>
      <c r="F81" s="15" t="n"/>
      <c r="G81" s="15" t="n"/>
      <c r="H81" s="15" t="n"/>
      <c r="I81" s="15" t="n"/>
      <c r="J81" s="15" t="n"/>
      <c r="K81" s="14">
        <f>IF(A81="","",IF(AND(D81="Yes",E81="Yes",J81="Yes"),"Yes","No"))</f>
        <v/>
      </c>
      <c r="L81" s="14">
        <f>IF(A81="","",IF(VLOOKUP(A81,'Personnel Screening Registry'!$A:$I,8,FALSE)=VLOOKUP(A81,'Personnel Screening Registry'!$A:$I,9,FALSE),"Yes","No"))</f>
        <v/>
      </c>
      <c r="M81" s="14">
        <f>IF(A81="","",IF(AND(K81="Yes",L81="Yes"),"Compliant",IF(OR(K81="No",L81="No"),"Non-Compliant","Partial")))</f>
        <v/>
      </c>
      <c r="N81" s="15" t="n"/>
      <c r="O81" s="15" t="n"/>
    </row>
    <row r="82">
      <c r="A82" s="14">
        <f>IF(ROW()-4&lt;=COUNTA('Personnel Screening Registry'!$A:$A)-4,INDEX('Personnel Screening Registry'!$A:$A,ROW()-3),"")</f>
        <v/>
      </c>
      <c r="B82" s="14">
        <f>IF(A82&lt;&gt;"",VLOOKUP(A82,'Personnel Screening Registry'!$A:$B,2,FALSE),"")</f>
        <v/>
      </c>
      <c r="C82" s="14">
        <f>IF(A82&lt;&gt;"",VLOOKUP(A82,'Personnel Screening Registry'!$A:$E,5,FALSE),"")</f>
        <v/>
      </c>
      <c r="D82" s="15" t="n"/>
      <c r="E82" s="15" t="n"/>
      <c r="F82" s="15" t="n"/>
      <c r="G82" s="15" t="n"/>
      <c r="H82" s="15" t="n"/>
      <c r="I82" s="15" t="n"/>
      <c r="J82" s="15" t="n"/>
      <c r="K82" s="14">
        <f>IF(A82="","",IF(AND(D82="Yes",E82="Yes",J82="Yes"),"Yes","No"))</f>
        <v/>
      </c>
      <c r="L82" s="14">
        <f>IF(A82="","",IF(VLOOKUP(A82,'Personnel Screening Registry'!$A:$I,8,FALSE)=VLOOKUP(A82,'Personnel Screening Registry'!$A:$I,9,FALSE),"Yes","No"))</f>
        <v/>
      </c>
      <c r="M82" s="14">
        <f>IF(A82="","",IF(AND(K82="Yes",L82="Yes"),"Compliant",IF(OR(K82="No",L82="No"),"Non-Compliant","Partial")))</f>
        <v/>
      </c>
      <c r="N82" s="15" t="n"/>
      <c r="O82" s="15" t="n"/>
    </row>
    <row r="83">
      <c r="A83" s="14">
        <f>IF(ROW()-4&lt;=COUNTA('Personnel Screening Registry'!$A:$A)-4,INDEX('Personnel Screening Registry'!$A:$A,ROW()-3),"")</f>
        <v/>
      </c>
      <c r="B83" s="14">
        <f>IF(A83&lt;&gt;"",VLOOKUP(A83,'Personnel Screening Registry'!$A:$B,2,FALSE),"")</f>
        <v/>
      </c>
      <c r="C83" s="14">
        <f>IF(A83&lt;&gt;"",VLOOKUP(A83,'Personnel Screening Registry'!$A:$E,5,FALSE),"")</f>
        <v/>
      </c>
      <c r="D83" s="15" t="n"/>
      <c r="E83" s="15" t="n"/>
      <c r="F83" s="15" t="n"/>
      <c r="G83" s="15" t="n"/>
      <c r="H83" s="15" t="n"/>
      <c r="I83" s="15" t="n"/>
      <c r="J83" s="15" t="n"/>
      <c r="K83" s="14">
        <f>IF(A83="","",IF(AND(D83="Yes",E83="Yes",J83="Yes"),"Yes","No"))</f>
        <v/>
      </c>
      <c r="L83" s="14">
        <f>IF(A83="","",IF(VLOOKUP(A83,'Personnel Screening Registry'!$A:$I,8,FALSE)=VLOOKUP(A83,'Personnel Screening Registry'!$A:$I,9,FALSE),"Yes","No"))</f>
        <v/>
      </c>
      <c r="M83" s="14">
        <f>IF(A83="","",IF(AND(K83="Yes",L83="Yes"),"Compliant",IF(OR(K83="No",L83="No"),"Non-Compliant","Partial")))</f>
        <v/>
      </c>
      <c r="N83" s="15" t="n"/>
      <c r="O83" s="15" t="n"/>
    </row>
    <row r="84">
      <c r="A84" s="14">
        <f>IF(ROW()-4&lt;=COUNTA('Personnel Screening Registry'!$A:$A)-4,INDEX('Personnel Screening Registry'!$A:$A,ROW()-3),"")</f>
        <v/>
      </c>
      <c r="B84" s="14">
        <f>IF(A84&lt;&gt;"",VLOOKUP(A84,'Personnel Screening Registry'!$A:$B,2,FALSE),"")</f>
        <v/>
      </c>
      <c r="C84" s="14">
        <f>IF(A84&lt;&gt;"",VLOOKUP(A84,'Personnel Screening Registry'!$A:$E,5,FALSE),"")</f>
        <v/>
      </c>
      <c r="D84" s="15" t="n"/>
      <c r="E84" s="15" t="n"/>
      <c r="F84" s="15" t="n"/>
      <c r="G84" s="15" t="n"/>
      <c r="H84" s="15" t="n"/>
      <c r="I84" s="15" t="n"/>
      <c r="J84" s="15" t="n"/>
      <c r="K84" s="14">
        <f>IF(A84="","",IF(AND(D84="Yes",E84="Yes",J84="Yes"),"Yes","No"))</f>
        <v/>
      </c>
      <c r="L84" s="14">
        <f>IF(A84="","",IF(VLOOKUP(A84,'Personnel Screening Registry'!$A:$I,8,FALSE)=VLOOKUP(A84,'Personnel Screening Registry'!$A:$I,9,FALSE),"Yes","No"))</f>
        <v/>
      </c>
      <c r="M84" s="14">
        <f>IF(A84="","",IF(AND(K84="Yes",L84="Yes"),"Compliant",IF(OR(K84="No",L84="No"),"Non-Compliant","Partial")))</f>
        <v/>
      </c>
      <c r="N84" s="15" t="n"/>
      <c r="O84" s="15" t="n"/>
    </row>
    <row r="85">
      <c r="A85" s="14">
        <f>IF(ROW()-4&lt;=COUNTA('Personnel Screening Registry'!$A:$A)-4,INDEX('Personnel Screening Registry'!$A:$A,ROW()-3),"")</f>
        <v/>
      </c>
      <c r="B85" s="14">
        <f>IF(A85&lt;&gt;"",VLOOKUP(A85,'Personnel Screening Registry'!$A:$B,2,FALSE),"")</f>
        <v/>
      </c>
      <c r="C85" s="14">
        <f>IF(A85&lt;&gt;"",VLOOKUP(A85,'Personnel Screening Registry'!$A:$E,5,FALSE),"")</f>
        <v/>
      </c>
      <c r="D85" s="15" t="n"/>
      <c r="E85" s="15" t="n"/>
      <c r="F85" s="15" t="n"/>
      <c r="G85" s="15" t="n"/>
      <c r="H85" s="15" t="n"/>
      <c r="I85" s="15" t="n"/>
      <c r="J85" s="15" t="n"/>
      <c r="K85" s="14">
        <f>IF(A85="","",IF(AND(D85="Yes",E85="Yes",J85="Yes"),"Yes","No"))</f>
        <v/>
      </c>
      <c r="L85" s="14">
        <f>IF(A85="","",IF(VLOOKUP(A85,'Personnel Screening Registry'!$A:$I,8,FALSE)=VLOOKUP(A85,'Personnel Screening Registry'!$A:$I,9,FALSE),"Yes","No"))</f>
        <v/>
      </c>
      <c r="M85" s="14">
        <f>IF(A85="","",IF(AND(K85="Yes",L85="Yes"),"Compliant",IF(OR(K85="No",L85="No"),"Non-Compliant","Partial")))</f>
        <v/>
      </c>
      <c r="N85" s="15" t="n"/>
      <c r="O85" s="15" t="n"/>
    </row>
    <row r="86">
      <c r="A86" s="14">
        <f>IF(ROW()-4&lt;=COUNTA('Personnel Screening Registry'!$A:$A)-4,INDEX('Personnel Screening Registry'!$A:$A,ROW()-3),"")</f>
        <v/>
      </c>
      <c r="B86" s="14">
        <f>IF(A86&lt;&gt;"",VLOOKUP(A86,'Personnel Screening Registry'!$A:$B,2,FALSE),"")</f>
        <v/>
      </c>
      <c r="C86" s="14">
        <f>IF(A86&lt;&gt;"",VLOOKUP(A86,'Personnel Screening Registry'!$A:$E,5,FALSE),"")</f>
        <v/>
      </c>
      <c r="D86" s="15" t="n"/>
      <c r="E86" s="15" t="n"/>
      <c r="F86" s="15" t="n"/>
      <c r="G86" s="15" t="n"/>
      <c r="H86" s="15" t="n"/>
      <c r="I86" s="15" t="n"/>
      <c r="J86" s="15" t="n"/>
      <c r="K86" s="14">
        <f>IF(A86="","",IF(AND(D86="Yes",E86="Yes",J86="Yes"),"Yes","No"))</f>
        <v/>
      </c>
      <c r="L86" s="14">
        <f>IF(A86="","",IF(VLOOKUP(A86,'Personnel Screening Registry'!$A:$I,8,FALSE)=VLOOKUP(A86,'Personnel Screening Registry'!$A:$I,9,FALSE),"Yes","No"))</f>
        <v/>
      </c>
      <c r="M86" s="14">
        <f>IF(A86="","",IF(AND(K86="Yes",L86="Yes"),"Compliant",IF(OR(K86="No",L86="No"),"Non-Compliant","Partial")))</f>
        <v/>
      </c>
      <c r="N86" s="15" t="n"/>
      <c r="O86" s="15" t="n"/>
    </row>
    <row r="87">
      <c r="A87" s="14">
        <f>IF(ROW()-4&lt;=COUNTA('Personnel Screening Registry'!$A:$A)-4,INDEX('Personnel Screening Registry'!$A:$A,ROW()-3),"")</f>
        <v/>
      </c>
      <c r="B87" s="14">
        <f>IF(A87&lt;&gt;"",VLOOKUP(A87,'Personnel Screening Registry'!$A:$B,2,FALSE),"")</f>
        <v/>
      </c>
      <c r="C87" s="14">
        <f>IF(A87&lt;&gt;"",VLOOKUP(A87,'Personnel Screening Registry'!$A:$E,5,FALSE),"")</f>
        <v/>
      </c>
      <c r="D87" s="15" t="n"/>
      <c r="E87" s="15" t="n"/>
      <c r="F87" s="15" t="n"/>
      <c r="G87" s="15" t="n"/>
      <c r="H87" s="15" t="n"/>
      <c r="I87" s="15" t="n"/>
      <c r="J87" s="15" t="n"/>
      <c r="K87" s="14">
        <f>IF(A87="","",IF(AND(D87="Yes",E87="Yes",J87="Yes"),"Yes","No"))</f>
        <v/>
      </c>
      <c r="L87" s="14">
        <f>IF(A87="","",IF(VLOOKUP(A87,'Personnel Screening Registry'!$A:$I,8,FALSE)=VLOOKUP(A87,'Personnel Screening Registry'!$A:$I,9,FALSE),"Yes","No"))</f>
        <v/>
      </c>
      <c r="M87" s="14">
        <f>IF(A87="","",IF(AND(K87="Yes",L87="Yes"),"Compliant",IF(OR(K87="No",L87="No"),"Non-Compliant","Partial")))</f>
        <v/>
      </c>
      <c r="N87" s="15" t="n"/>
      <c r="O87" s="15" t="n"/>
    </row>
    <row r="88">
      <c r="A88" s="14">
        <f>IF(ROW()-4&lt;=COUNTA('Personnel Screening Registry'!$A:$A)-4,INDEX('Personnel Screening Registry'!$A:$A,ROW()-3),"")</f>
        <v/>
      </c>
      <c r="B88" s="14">
        <f>IF(A88&lt;&gt;"",VLOOKUP(A88,'Personnel Screening Registry'!$A:$B,2,FALSE),"")</f>
        <v/>
      </c>
      <c r="C88" s="14">
        <f>IF(A88&lt;&gt;"",VLOOKUP(A88,'Personnel Screening Registry'!$A:$E,5,FALSE),"")</f>
        <v/>
      </c>
      <c r="D88" s="15" t="n"/>
      <c r="E88" s="15" t="n"/>
      <c r="F88" s="15" t="n"/>
      <c r="G88" s="15" t="n"/>
      <c r="H88" s="15" t="n"/>
      <c r="I88" s="15" t="n"/>
      <c r="J88" s="15" t="n"/>
      <c r="K88" s="14">
        <f>IF(A88="","",IF(AND(D88="Yes",E88="Yes",J88="Yes"),"Yes","No"))</f>
        <v/>
      </c>
      <c r="L88" s="14">
        <f>IF(A88="","",IF(VLOOKUP(A88,'Personnel Screening Registry'!$A:$I,8,FALSE)=VLOOKUP(A88,'Personnel Screening Registry'!$A:$I,9,FALSE),"Yes","No"))</f>
        <v/>
      </c>
      <c r="M88" s="14">
        <f>IF(A88="","",IF(AND(K88="Yes",L88="Yes"),"Compliant",IF(OR(K88="No",L88="No"),"Non-Compliant","Partial")))</f>
        <v/>
      </c>
      <c r="N88" s="15" t="n"/>
      <c r="O88" s="15" t="n"/>
    </row>
    <row r="89">
      <c r="A89" s="14">
        <f>IF(ROW()-4&lt;=COUNTA('Personnel Screening Registry'!$A:$A)-4,INDEX('Personnel Screening Registry'!$A:$A,ROW()-3),"")</f>
        <v/>
      </c>
      <c r="B89" s="14">
        <f>IF(A89&lt;&gt;"",VLOOKUP(A89,'Personnel Screening Registry'!$A:$B,2,FALSE),"")</f>
        <v/>
      </c>
      <c r="C89" s="14">
        <f>IF(A89&lt;&gt;"",VLOOKUP(A89,'Personnel Screening Registry'!$A:$E,5,FALSE),"")</f>
        <v/>
      </c>
      <c r="D89" s="15" t="n"/>
      <c r="E89" s="15" t="n"/>
      <c r="F89" s="15" t="n"/>
      <c r="G89" s="15" t="n"/>
      <c r="H89" s="15" t="n"/>
      <c r="I89" s="15" t="n"/>
      <c r="J89" s="15" t="n"/>
      <c r="K89" s="14">
        <f>IF(A89="","",IF(AND(D89="Yes",E89="Yes",J89="Yes"),"Yes","No"))</f>
        <v/>
      </c>
      <c r="L89" s="14">
        <f>IF(A89="","",IF(VLOOKUP(A89,'Personnel Screening Registry'!$A:$I,8,FALSE)=VLOOKUP(A89,'Personnel Screening Registry'!$A:$I,9,FALSE),"Yes","No"))</f>
        <v/>
      </c>
      <c r="M89" s="14">
        <f>IF(A89="","",IF(AND(K89="Yes",L89="Yes"),"Compliant",IF(OR(K89="No",L89="No"),"Non-Compliant","Partial")))</f>
        <v/>
      </c>
      <c r="N89" s="15" t="n"/>
      <c r="O89" s="15" t="n"/>
    </row>
    <row r="90">
      <c r="A90" s="14">
        <f>IF(ROW()-4&lt;=COUNTA('Personnel Screening Registry'!$A:$A)-4,INDEX('Personnel Screening Registry'!$A:$A,ROW()-3),"")</f>
        <v/>
      </c>
      <c r="B90" s="14">
        <f>IF(A90&lt;&gt;"",VLOOKUP(A90,'Personnel Screening Registry'!$A:$B,2,FALSE),"")</f>
        <v/>
      </c>
      <c r="C90" s="14">
        <f>IF(A90&lt;&gt;"",VLOOKUP(A90,'Personnel Screening Registry'!$A:$E,5,FALSE),"")</f>
        <v/>
      </c>
      <c r="D90" s="15" t="n"/>
      <c r="E90" s="15" t="n"/>
      <c r="F90" s="15" t="n"/>
      <c r="G90" s="15" t="n"/>
      <c r="H90" s="15" t="n"/>
      <c r="I90" s="15" t="n"/>
      <c r="J90" s="15" t="n"/>
      <c r="K90" s="14">
        <f>IF(A90="","",IF(AND(D90="Yes",E90="Yes",J90="Yes"),"Yes","No"))</f>
        <v/>
      </c>
      <c r="L90" s="14">
        <f>IF(A90="","",IF(VLOOKUP(A90,'Personnel Screening Registry'!$A:$I,8,FALSE)=VLOOKUP(A90,'Personnel Screening Registry'!$A:$I,9,FALSE),"Yes","No"))</f>
        <v/>
      </c>
      <c r="M90" s="14">
        <f>IF(A90="","",IF(AND(K90="Yes",L90="Yes"),"Compliant",IF(OR(K90="No",L90="No"),"Non-Compliant","Partial")))</f>
        <v/>
      </c>
      <c r="N90" s="15" t="n"/>
      <c r="O90" s="15" t="n"/>
    </row>
    <row r="91">
      <c r="A91" s="14">
        <f>IF(ROW()-4&lt;=COUNTA('Personnel Screening Registry'!$A:$A)-4,INDEX('Personnel Screening Registry'!$A:$A,ROW()-3),"")</f>
        <v/>
      </c>
      <c r="B91" s="14">
        <f>IF(A91&lt;&gt;"",VLOOKUP(A91,'Personnel Screening Registry'!$A:$B,2,FALSE),"")</f>
        <v/>
      </c>
      <c r="C91" s="14">
        <f>IF(A91&lt;&gt;"",VLOOKUP(A91,'Personnel Screening Registry'!$A:$E,5,FALSE),"")</f>
        <v/>
      </c>
      <c r="D91" s="15" t="n"/>
      <c r="E91" s="15" t="n"/>
      <c r="F91" s="15" t="n"/>
      <c r="G91" s="15" t="n"/>
      <c r="H91" s="15" t="n"/>
      <c r="I91" s="15" t="n"/>
      <c r="J91" s="15" t="n"/>
      <c r="K91" s="14">
        <f>IF(A91="","",IF(AND(D91="Yes",E91="Yes",J91="Yes"),"Yes","No"))</f>
        <v/>
      </c>
      <c r="L91" s="14">
        <f>IF(A91="","",IF(VLOOKUP(A91,'Personnel Screening Registry'!$A:$I,8,FALSE)=VLOOKUP(A91,'Personnel Screening Registry'!$A:$I,9,FALSE),"Yes","No"))</f>
        <v/>
      </c>
      <c r="M91" s="14">
        <f>IF(A91="","",IF(AND(K91="Yes",L91="Yes"),"Compliant",IF(OR(K91="No",L91="No"),"Non-Compliant","Partial")))</f>
        <v/>
      </c>
      <c r="N91" s="15" t="n"/>
      <c r="O91" s="15" t="n"/>
    </row>
    <row r="92">
      <c r="A92" s="14">
        <f>IF(ROW()-4&lt;=COUNTA('Personnel Screening Registry'!$A:$A)-4,INDEX('Personnel Screening Registry'!$A:$A,ROW()-3),"")</f>
        <v/>
      </c>
      <c r="B92" s="14">
        <f>IF(A92&lt;&gt;"",VLOOKUP(A92,'Personnel Screening Registry'!$A:$B,2,FALSE),"")</f>
        <v/>
      </c>
      <c r="C92" s="14">
        <f>IF(A92&lt;&gt;"",VLOOKUP(A92,'Personnel Screening Registry'!$A:$E,5,FALSE),"")</f>
        <v/>
      </c>
      <c r="D92" s="15" t="n"/>
      <c r="E92" s="15" t="n"/>
      <c r="F92" s="15" t="n"/>
      <c r="G92" s="15" t="n"/>
      <c r="H92" s="15" t="n"/>
      <c r="I92" s="15" t="n"/>
      <c r="J92" s="15" t="n"/>
      <c r="K92" s="14">
        <f>IF(A92="","",IF(AND(D92="Yes",E92="Yes",J92="Yes"),"Yes","No"))</f>
        <v/>
      </c>
      <c r="L92" s="14">
        <f>IF(A92="","",IF(VLOOKUP(A92,'Personnel Screening Registry'!$A:$I,8,FALSE)=VLOOKUP(A92,'Personnel Screening Registry'!$A:$I,9,FALSE),"Yes","No"))</f>
        <v/>
      </c>
      <c r="M92" s="14">
        <f>IF(A92="","",IF(AND(K92="Yes",L92="Yes"),"Compliant",IF(OR(K92="No",L92="No"),"Non-Compliant","Partial")))</f>
        <v/>
      </c>
      <c r="N92" s="15" t="n"/>
      <c r="O92" s="15" t="n"/>
    </row>
    <row r="93">
      <c r="A93" s="14">
        <f>IF(ROW()-4&lt;=COUNTA('Personnel Screening Registry'!$A:$A)-4,INDEX('Personnel Screening Registry'!$A:$A,ROW()-3),"")</f>
        <v/>
      </c>
      <c r="B93" s="14">
        <f>IF(A93&lt;&gt;"",VLOOKUP(A93,'Personnel Screening Registry'!$A:$B,2,FALSE),"")</f>
        <v/>
      </c>
      <c r="C93" s="14">
        <f>IF(A93&lt;&gt;"",VLOOKUP(A93,'Personnel Screening Registry'!$A:$E,5,FALSE),"")</f>
        <v/>
      </c>
      <c r="D93" s="15" t="n"/>
      <c r="E93" s="15" t="n"/>
      <c r="F93" s="15" t="n"/>
      <c r="G93" s="15" t="n"/>
      <c r="H93" s="15" t="n"/>
      <c r="I93" s="15" t="n"/>
      <c r="J93" s="15" t="n"/>
      <c r="K93" s="14">
        <f>IF(A93="","",IF(AND(D93="Yes",E93="Yes",J93="Yes"),"Yes","No"))</f>
        <v/>
      </c>
      <c r="L93" s="14">
        <f>IF(A93="","",IF(VLOOKUP(A93,'Personnel Screening Registry'!$A:$I,8,FALSE)=VLOOKUP(A93,'Personnel Screening Registry'!$A:$I,9,FALSE),"Yes","No"))</f>
        <v/>
      </c>
      <c r="M93" s="14">
        <f>IF(A93="","",IF(AND(K93="Yes",L93="Yes"),"Compliant",IF(OR(K93="No",L93="No"),"Non-Compliant","Partial")))</f>
        <v/>
      </c>
      <c r="N93" s="15" t="n"/>
      <c r="O93" s="15" t="n"/>
    </row>
    <row r="94">
      <c r="A94" s="14">
        <f>IF(ROW()-4&lt;=COUNTA('Personnel Screening Registry'!$A:$A)-4,INDEX('Personnel Screening Registry'!$A:$A,ROW()-3),"")</f>
        <v/>
      </c>
      <c r="B94" s="14">
        <f>IF(A94&lt;&gt;"",VLOOKUP(A94,'Personnel Screening Registry'!$A:$B,2,FALSE),"")</f>
        <v/>
      </c>
      <c r="C94" s="14">
        <f>IF(A94&lt;&gt;"",VLOOKUP(A94,'Personnel Screening Registry'!$A:$E,5,FALSE),"")</f>
        <v/>
      </c>
      <c r="D94" s="15" t="n"/>
      <c r="E94" s="15" t="n"/>
      <c r="F94" s="15" t="n"/>
      <c r="G94" s="15" t="n"/>
      <c r="H94" s="15" t="n"/>
      <c r="I94" s="15" t="n"/>
      <c r="J94" s="15" t="n"/>
      <c r="K94" s="14">
        <f>IF(A94="","",IF(AND(D94="Yes",E94="Yes",J94="Yes"),"Yes","No"))</f>
        <v/>
      </c>
      <c r="L94" s="14">
        <f>IF(A94="","",IF(VLOOKUP(A94,'Personnel Screening Registry'!$A:$I,8,FALSE)=VLOOKUP(A94,'Personnel Screening Registry'!$A:$I,9,FALSE),"Yes","No"))</f>
        <v/>
      </c>
      <c r="M94" s="14">
        <f>IF(A94="","",IF(AND(K94="Yes",L94="Yes"),"Compliant",IF(OR(K94="No",L94="No"),"Non-Compliant","Partial")))</f>
        <v/>
      </c>
      <c r="N94" s="15" t="n"/>
      <c r="O94" s="15" t="n"/>
    </row>
    <row r="95">
      <c r="A95" s="14">
        <f>IF(ROW()-4&lt;=COUNTA('Personnel Screening Registry'!$A:$A)-4,INDEX('Personnel Screening Registry'!$A:$A,ROW()-3),"")</f>
        <v/>
      </c>
      <c r="B95" s="14">
        <f>IF(A95&lt;&gt;"",VLOOKUP(A95,'Personnel Screening Registry'!$A:$B,2,FALSE),"")</f>
        <v/>
      </c>
      <c r="C95" s="14">
        <f>IF(A95&lt;&gt;"",VLOOKUP(A95,'Personnel Screening Registry'!$A:$E,5,FALSE),"")</f>
        <v/>
      </c>
      <c r="D95" s="15" t="n"/>
      <c r="E95" s="15" t="n"/>
      <c r="F95" s="15" t="n"/>
      <c r="G95" s="15" t="n"/>
      <c r="H95" s="15" t="n"/>
      <c r="I95" s="15" t="n"/>
      <c r="J95" s="15" t="n"/>
      <c r="K95" s="14">
        <f>IF(A95="","",IF(AND(D95="Yes",E95="Yes",J95="Yes"),"Yes","No"))</f>
        <v/>
      </c>
      <c r="L95" s="14">
        <f>IF(A95="","",IF(VLOOKUP(A95,'Personnel Screening Registry'!$A:$I,8,FALSE)=VLOOKUP(A95,'Personnel Screening Registry'!$A:$I,9,FALSE),"Yes","No"))</f>
        <v/>
      </c>
      <c r="M95" s="14">
        <f>IF(A95="","",IF(AND(K95="Yes",L95="Yes"),"Compliant",IF(OR(K95="No",L95="No"),"Non-Compliant","Partial")))</f>
        <v/>
      </c>
      <c r="N95" s="15" t="n"/>
      <c r="O95" s="15" t="n"/>
    </row>
    <row r="96">
      <c r="A96" s="14">
        <f>IF(ROW()-4&lt;=COUNTA('Personnel Screening Registry'!$A:$A)-4,INDEX('Personnel Screening Registry'!$A:$A,ROW()-3),"")</f>
        <v/>
      </c>
      <c r="B96" s="14">
        <f>IF(A96&lt;&gt;"",VLOOKUP(A96,'Personnel Screening Registry'!$A:$B,2,FALSE),"")</f>
        <v/>
      </c>
      <c r="C96" s="14">
        <f>IF(A96&lt;&gt;"",VLOOKUP(A96,'Personnel Screening Registry'!$A:$E,5,FALSE),"")</f>
        <v/>
      </c>
      <c r="D96" s="15" t="n"/>
      <c r="E96" s="15" t="n"/>
      <c r="F96" s="15" t="n"/>
      <c r="G96" s="15" t="n"/>
      <c r="H96" s="15" t="n"/>
      <c r="I96" s="15" t="n"/>
      <c r="J96" s="15" t="n"/>
      <c r="K96" s="14">
        <f>IF(A96="","",IF(AND(D96="Yes",E96="Yes",J96="Yes"),"Yes","No"))</f>
        <v/>
      </c>
      <c r="L96" s="14">
        <f>IF(A96="","",IF(VLOOKUP(A96,'Personnel Screening Registry'!$A:$I,8,FALSE)=VLOOKUP(A96,'Personnel Screening Registry'!$A:$I,9,FALSE),"Yes","No"))</f>
        <v/>
      </c>
      <c r="M96" s="14">
        <f>IF(A96="","",IF(AND(K96="Yes",L96="Yes"),"Compliant",IF(OR(K96="No",L96="No"),"Non-Compliant","Partial")))</f>
        <v/>
      </c>
      <c r="N96" s="15" t="n"/>
      <c r="O96" s="15" t="n"/>
    </row>
    <row r="97">
      <c r="A97" s="14">
        <f>IF(ROW()-4&lt;=COUNTA('Personnel Screening Registry'!$A:$A)-4,INDEX('Personnel Screening Registry'!$A:$A,ROW()-3),"")</f>
        <v/>
      </c>
      <c r="B97" s="14">
        <f>IF(A97&lt;&gt;"",VLOOKUP(A97,'Personnel Screening Registry'!$A:$B,2,FALSE),"")</f>
        <v/>
      </c>
      <c r="C97" s="14">
        <f>IF(A97&lt;&gt;"",VLOOKUP(A97,'Personnel Screening Registry'!$A:$E,5,FALSE),"")</f>
        <v/>
      </c>
      <c r="D97" s="15" t="n"/>
      <c r="E97" s="15" t="n"/>
      <c r="F97" s="15" t="n"/>
      <c r="G97" s="15" t="n"/>
      <c r="H97" s="15" t="n"/>
      <c r="I97" s="15" t="n"/>
      <c r="J97" s="15" t="n"/>
      <c r="K97" s="14">
        <f>IF(A97="","",IF(AND(D97="Yes",E97="Yes",J97="Yes"),"Yes","No"))</f>
        <v/>
      </c>
      <c r="L97" s="14">
        <f>IF(A97="","",IF(VLOOKUP(A97,'Personnel Screening Registry'!$A:$I,8,FALSE)=VLOOKUP(A97,'Personnel Screening Registry'!$A:$I,9,FALSE),"Yes","No"))</f>
        <v/>
      </c>
      <c r="M97" s="14">
        <f>IF(A97="","",IF(AND(K97="Yes",L97="Yes"),"Compliant",IF(OR(K97="No",L97="No"),"Non-Compliant","Partial")))</f>
        <v/>
      </c>
      <c r="N97" s="15" t="n"/>
      <c r="O97" s="15" t="n"/>
    </row>
    <row r="98">
      <c r="A98" s="14">
        <f>IF(ROW()-4&lt;=COUNTA('Personnel Screening Registry'!$A:$A)-4,INDEX('Personnel Screening Registry'!$A:$A,ROW()-3),"")</f>
        <v/>
      </c>
      <c r="B98" s="14">
        <f>IF(A98&lt;&gt;"",VLOOKUP(A98,'Personnel Screening Registry'!$A:$B,2,FALSE),"")</f>
        <v/>
      </c>
      <c r="C98" s="14">
        <f>IF(A98&lt;&gt;"",VLOOKUP(A98,'Personnel Screening Registry'!$A:$E,5,FALSE),"")</f>
        <v/>
      </c>
      <c r="D98" s="15" t="n"/>
      <c r="E98" s="15" t="n"/>
      <c r="F98" s="15" t="n"/>
      <c r="G98" s="15" t="n"/>
      <c r="H98" s="15" t="n"/>
      <c r="I98" s="15" t="n"/>
      <c r="J98" s="15" t="n"/>
      <c r="K98" s="14">
        <f>IF(A98="","",IF(AND(D98="Yes",E98="Yes",J98="Yes"),"Yes","No"))</f>
        <v/>
      </c>
      <c r="L98" s="14">
        <f>IF(A98="","",IF(VLOOKUP(A98,'Personnel Screening Registry'!$A:$I,8,FALSE)=VLOOKUP(A98,'Personnel Screening Registry'!$A:$I,9,FALSE),"Yes","No"))</f>
        <v/>
      </c>
      <c r="M98" s="14">
        <f>IF(A98="","",IF(AND(K98="Yes",L98="Yes"),"Compliant",IF(OR(K98="No",L98="No"),"Non-Compliant","Partial")))</f>
        <v/>
      </c>
      <c r="N98" s="15" t="n"/>
      <c r="O98" s="15" t="n"/>
    </row>
    <row r="99">
      <c r="A99" s="14">
        <f>IF(ROW()-4&lt;=COUNTA('Personnel Screening Registry'!$A:$A)-4,INDEX('Personnel Screening Registry'!$A:$A,ROW()-3),"")</f>
        <v/>
      </c>
      <c r="B99" s="14">
        <f>IF(A99&lt;&gt;"",VLOOKUP(A99,'Personnel Screening Registry'!$A:$B,2,FALSE),"")</f>
        <v/>
      </c>
      <c r="C99" s="14">
        <f>IF(A99&lt;&gt;"",VLOOKUP(A99,'Personnel Screening Registry'!$A:$E,5,FALSE),"")</f>
        <v/>
      </c>
      <c r="D99" s="15" t="n"/>
      <c r="E99" s="15" t="n"/>
      <c r="F99" s="15" t="n"/>
      <c r="G99" s="15" t="n"/>
      <c r="H99" s="15" t="n"/>
      <c r="I99" s="15" t="n"/>
      <c r="J99" s="15" t="n"/>
      <c r="K99" s="14">
        <f>IF(A99="","",IF(AND(D99="Yes",E99="Yes",J99="Yes"),"Yes","No"))</f>
        <v/>
      </c>
      <c r="L99" s="14">
        <f>IF(A99="","",IF(VLOOKUP(A99,'Personnel Screening Registry'!$A:$I,8,FALSE)=VLOOKUP(A99,'Personnel Screening Registry'!$A:$I,9,FALSE),"Yes","No"))</f>
        <v/>
      </c>
      <c r="M99" s="14">
        <f>IF(A99="","",IF(AND(K99="Yes",L99="Yes"),"Compliant",IF(OR(K99="No",L99="No"),"Non-Compliant","Partial")))</f>
        <v/>
      </c>
      <c r="N99" s="15" t="n"/>
      <c r="O99" s="15" t="n"/>
    </row>
    <row r="100">
      <c r="A100" s="14">
        <f>IF(ROW()-4&lt;=COUNTA('Personnel Screening Registry'!$A:$A)-4,INDEX('Personnel Screening Registry'!$A:$A,ROW()-3),"")</f>
        <v/>
      </c>
      <c r="B100" s="14">
        <f>IF(A100&lt;&gt;"",VLOOKUP(A100,'Personnel Screening Registry'!$A:$B,2,FALSE),"")</f>
        <v/>
      </c>
      <c r="C100" s="14">
        <f>IF(A100&lt;&gt;"",VLOOKUP(A100,'Personnel Screening Registry'!$A:$E,5,FALSE),"")</f>
        <v/>
      </c>
      <c r="D100" s="15" t="n"/>
      <c r="E100" s="15" t="n"/>
      <c r="F100" s="15" t="n"/>
      <c r="G100" s="15" t="n"/>
      <c r="H100" s="15" t="n"/>
      <c r="I100" s="15" t="n"/>
      <c r="J100" s="15" t="n"/>
      <c r="K100" s="14">
        <f>IF(A100="","",IF(AND(D100="Yes",E100="Yes",J100="Yes"),"Yes","No"))</f>
        <v/>
      </c>
      <c r="L100" s="14">
        <f>IF(A100="","",IF(VLOOKUP(A100,'Personnel Screening Registry'!$A:$I,8,FALSE)=VLOOKUP(A100,'Personnel Screening Registry'!$A:$I,9,FALSE),"Yes","No"))</f>
        <v/>
      </c>
      <c r="M100" s="14">
        <f>IF(A100="","",IF(AND(K100="Yes",L100="Yes"),"Compliant",IF(OR(K100="No",L100="No"),"Non-Compliant","Partial")))</f>
        <v/>
      </c>
      <c r="N100" s="15" t="n"/>
      <c r="O100" s="15" t="n"/>
    </row>
    <row r="101">
      <c r="A101" s="14">
        <f>IF(ROW()-4&lt;=COUNTA('Personnel Screening Registry'!$A:$A)-4,INDEX('Personnel Screening Registry'!$A:$A,ROW()-3),"")</f>
        <v/>
      </c>
      <c r="B101" s="14">
        <f>IF(A101&lt;&gt;"",VLOOKUP(A101,'Personnel Screening Registry'!$A:$B,2,FALSE),"")</f>
        <v/>
      </c>
      <c r="C101" s="14">
        <f>IF(A101&lt;&gt;"",VLOOKUP(A101,'Personnel Screening Registry'!$A:$E,5,FALSE),"")</f>
        <v/>
      </c>
      <c r="D101" s="15" t="n"/>
      <c r="E101" s="15" t="n"/>
      <c r="F101" s="15" t="n"/>
      <c r="G101" s="15" t="n"/>
      <c r="H101" s="15" t="n"/>
      <c r="I101" s="15" t="n"/>
      <c r="J101" s="15" t="n"/>
      <c r="K101" s="14">
        <f>IF(A101="","",IF(AND(D101="Yes",E101="Yes",J101="Yes"),"Yes","No"))</f>
        <v/>
      </c>
      <c r="L101" s="14">
        <f>IF(A101="","",IF(VLOOKUP(A101,'Personnel Screening Registry'!$A:$I,8,FALSE)=VLOOKUP(A101,'Personnel Screening Registry'!$A:$I,9,FALSE),"Yes","No"))</f>
        <v/>
      </c>
      <c r="M101" s="14">
        <f>IF(A101="","",IF(AND(K101="Yes",L101="Yes"),"Compliant",IF(OR(K101="No",L101="No"),"Non-Compliant","Partial")))</f>
        <v/>
      </c>
      <c r="N101" s="15" t="n"/>
      <c r="O101" s="15" t="n"/>
    </row>
    <row r="102">
      <c r="A102" s="14">
        <f>IF(ROW()-4&lt;=COUNTA('Personnel Screening Registry'!$A:$A)-4,INDEX('Personnel Screening Registry'!$A:$A,ROW()-3),"")</f>
        <v/>
      </c>
      <c r="B102" s="14">
        <f>IF(A102&lt;&gt;"",VLOOKUP(A102,'Personnel Screening Registry'!$A:$B,2,FALSE),"")</f>
        <v/>
      </c>
      <c r="C102" s="14">
        <f>IF(A102&lt;&gt;"",VLOOKUP(A102,'Personnel Screening Registry'!$A:$E,5,FALSE),"")</f>
        <v/>
      </c>
      <c r="D102" s="15" t="n"/>
      <c r="E102" s="15" t="n"/>
      <c r="F102" s="15" t="n"/>
      <c r="G102" s="15" t="n"/>
      <c r="H102" s="15" t="n"/>
      <c r="I102" s="15" t="n"/>
      <c r="J102" s="15" t="n"/>
      <c r="K102" s="14">
        <f>IF(A102="","",IF(AND(D102="Yes",E102="Yes",J102="Yes"),"Yes","No"))</f>
        <v/>
      </c>
      <c r="L102" s="14">
        <f>IF(A102="","",IF(VLOOKUP(A102,'Personnel Screening Registry'!$A:$I,8,FALSE)=VLOOKUP(A102,'Personnel Screening Registry'!$A:$I,9,FALSE),"Yes","No"))</f>
        <v/>
      </c>
      <c r="M102" s="14">
        <f>IF(A102="","",IF(AND(K102="Yes",L102="Yes"),"Compliant",IF(OR(K102="No",L102="No"),"Non-Compliant","Partial")))</f>
        <v/>
      </c>
      <c r="N102" s="15" t="n"/>
      <c r="O102" s="15" t="n"/>
    </row>
    <row r="103">
      <c r="A103" s="14">
        <f>IF(ROW()-4&lt;=COUNTA('Personnel Screening Registry'!$A:$A)-4,INDEX('Personnel Screening Registry'!$A:$A,ROW()-3),"")</f>
        <v/>
      </c>
      <c r="B103" s="14">
        <f>IF(A103&lt;&gt;"",VLOOKUP(A103,'Personnel Screening Registry'!$A:$B,2,FALSE),"")</f>
        <v/>
      </c>
      <c r="C103" s="14">
        <f>IF(A103&lt;&gt;"",VLOOKUP(A103,'Personnel Screening Registry'!$A:$E,5,FALSE),"")</f>
        <v/>
      </c>
      <c r="D103" s="15" t="n"/>
      <c r="E103" s="15" t="n"/>
      <c r="F103" s="15" t="n"/>
      <c r="G103" s="15" t="n"/>
      <c r="H103" s="15" t="n"/>
      <c r="I103" s="15" t="n"/>
      <c r="J103" s="15" t="n"/>
      <c r="K103" s="14">
        <f>IF(A103="","",IF(AND(D103="Yes",E103="Yes",J103="Yes"),"Yes","No"))</f>
        <v/>
      </c>
      <c r="L103" s="14">
        <f>IF(A103="","",IF(VLOOKUP(A103,'Personnel Screening Registry'!$A:$I,8,FALSE)=VLOOKUP(A103,'Personnel Screening Registry'!$A:$I,9,FALSE),"Yes","No"))</f>
        <v/>
      </c>
      <c r="M103" s="14">
        <f>IF(A103="","",IF(AND(K103="Yes",L103="Yes"),"Compliant",IF(OR(K103="No",L103="No"),"Non-Compliant","Partial")))</f>
        <v/>
      </c>
      <c r="N103" s="15" t="n"/>
      <c r="O103" s="15" t="n"/>
    </row>
    <row r="104">
      <c r="A104" s="14">
        <f>IF(ROW()-4&lt;=COUNTA('Personnel Screening Registry'!$A:$A)-4,INDEX('Personnel Screening Registry'!$A:$A,ROW()-3),"")</f>
        <v/>
      </c>
      <c r="B104" s="14">
        <f>IF(A104&lt;&gt;"",VLOOKUP(A104,'Personnel Screening Registry'!$A:$B,2,FALSE),"")</f>
        <v/>
      </c>
      <c r="C104" s="14">
        <f>IF(A104&lt;&gt;"",VLOOKUP(A104,'Personnel Screening Registry'!$A:$E,5,FALSE),"")</f>
        <v/>
      </c>
      <c r="D104" s="15" t="n"/>
      <c r="E104" s="15" t="n"/>
      <c r="F104" s="15" t="n"/>
      <c r="G104" s="15" t="n"/>
      <c r="H104" s="15" t="n"/>
      <c r="I104" s="15" t="n"/>
      <c r="J104" s="15" t="n"/>
      <c r="K104" s="14">
        <f>IF(A104="","",IF(AND(D104="Yes",E104="Yes",J104="Yes"),"Yes","No"))</f>
        <v/>
      </c>
      <c r="L104" s="14">
        <f>IF(A104="","",IF(VLOOKUP(A104,'Personnel Screening Registry'!$A:$I,8,FALSE)=VLOOKUP(A104,'Personnel Screening Registry'!$A:$I,9,FALSE),"Yes","No"))</f>
        <v/>
      </c>
      <c r="M104" s="14">
        <f>IF(A104="","",IF(AND(K104="Yes",L104="Yes"),"Compliant",IF(OR(K104="No",L104="No"),"Non-Compliant","Partial")))</f>
        <v/>
      </c>
      <c r="N104" s="15" t="n"/>
      <c r="O104" s="15" t="n"/>
    </row>
    <row r="105">
      <c r="A105" s="14">
        <f>IF(ROW()-4&lt;=COUNTA('Personnel Screening Registry'!$A:$A)-4,INDEX('Personnel Screening Registry'!$A:$A,ROW()-3),"")</f>
        <v/>
      </c>
      <c r="B105" s="14">
        <f>IF(A105&lt;&gt;"",VLOOKUP(A105,'Personnel Screening Registry'!$A:$B,2,FALSE),"")</f>
        <v/>
      </c>
      <c r="C105" s="14">
        <f>IF(A105&lt;&gt;"",VLOOKUP(A105,'Personnel Screening Registry'!$A:$E,5,FALSE),"")</f>
        <v/>
      </c>
      <c r="D105" s="15" t="n"/>
      <c r="E105" s="15" t="n"/>
      <c r="F105" s="15" t="n"/>
      <c r="G105" s="15" t="n"/>
      <c r="H105" s="15" t="n"/>
      <c r="I105" s="15" t="n"/>
      <c r="J105" s="15" t="n"/>
      <c r="K105" s="14">
        <f>IF(A105="","",IF(AND(D105="Yes",E105="Yes",J105="Yes"),"Yes","No"))</f>
        <v/>
      </c>
      <c r="L105" s="14">
        <f>IF(A105="","",IF(VLOOKUP(A105,'Personnel Screening Registry'!$A:$I,8,FALSE)=VLOOKUP(A105,'Personnel Screening Registry'!$A:$I,9,FALSE),"Yes","No"))</f>
        <v/>
      </c>
      <c r="M105" s="14">
        <f>IF(A105="","",IF(AND(K105="Yes",L105="Yes"),"Compliant",IF(OR(K105="No",L105="No"),"Non-Compliant","Partial")))</f>
        <v/>
      </c>
      <c r="N105" s="15" t="n"/>
      <c r="O105" s="15" t="n"/>
    </row>
    <row r="106">
      <c r="A106" s="14">
        <f>IF(ROW()-4&lt;=COUNTA('Personnel Screening Registry'!$A:$A)-4,INDEX('Personnel Screening Registry'!$A:$A,ROW()-3),"")</f>
        <v/>
      </c>
      <c r="B106" s="14">
        <f>IF(A106&lt;&gt;"",VLOOKUP(A106,'Personnel Screening Registry'!$A:$B,2,FALSE),"")</f>
        <v/>
      </c>
      <c r="C106" s="14">
        <f>IF(A106&lt;&gt;"",VLOOKUP(A106,'Personnel Screening Registry'!$A:$E,5,FALSE),"")</f>
        <v/>
      </c>
      <c r="D106" s="15" t="n"/>
      <c r="E106" s="15" t="n"/>
      <c r="F106" s="15" t="n"/>
      <c r="G106" s="15" t="n"/>
      <c r="H106" s="15" t="n"/>
      <c r="I106" s="15" t="n"/>
      <c r="J106" s="15" t="n"/>
      <c r="K106" s="14">
        <f>IF(A106="","",IF(AND(D106="Yes",E106="Yes",J106="Yes"),"Yes","No"))</f>
        <v/>
      </c>
      <c r="L106" s="14">
        <f>IF(A106="","",IF(VLOOKUP(A106,'Personnel Screening Registry'!$A:$I,8,FALSE)=VLOOKUP(A106,'Personnel Screening Registry'!$A:$I,9,FALSE),"Yes","No"))</f>
        <v/>
      </c>
      <c r="M106" s="14">
        <f>IF(A106="","",IF(AND(K106="Yes",L106="Yes"),"Compliant",IF(OR(K106="No",L106="No"),"Non-Compliant","Partial")))</f>
        <v/>
      </c>
      <c r="N106" s="15" t="n"/>
      <c r="O106" s="15" t="n"/>
    </row>
    <row r="107">
      <c r="A107" s="14">
        <f>IF(ROW()-4&lt;=COUNTA('Personnel Screening Registry'!$A:$A)-4,INDEX('Personnel Screening Registry'!$A:$A,ROW()-3),"")</f>
        <v/>
      </c>
      <c r="B107" s="14">
        <f>IF(A107&lt;&gt;"",VLOOKUP(A107,'Personnel Screening Registry'!$A:$B,2,FALSE),"")</f>
        <v/>
      </c>
      <c r="C107" s="14">
        <f>IF(A107&lt;&gt;"",VLOOKUP(A107,'Personnel Screening Registry'!$A:$E,5,FALSE),"")</f>
        <v/>
      </c>
      <c r="D107" s="15" t="n"/>
      <c r="E107" s="15" t="n"/>
      <c r="F107" s="15" t="n"/>
      <c r="G107" s="15" t="n"/>
      <c r="H107" s="15" t="n"/>
      <c r="I107" s="15" t="n"/>
      <c r="J107" s="15" t="n"/>
      <c r="K107" s="14">
        <f>IF(A107="","",IF(AND(D107="Yes",E107="Yes",J107="Yes"),"Yes","No"))</f>
        <v/>
      </c>
      <c r="L107" s="14">
        <f>IF(A107="","",IF(VLOOKUP(A107,'Personnel Screening Registry'!$A:$I,8,FALSE)=VLOOKUP(A107,'Personnel Screening Registry'!$A:$I,9,FALSE),"Yes","No"))</f>
        <v/>
      </c>
      <c r="M107" s="14">
        <f>IF(A107="","",IF(AND(K107="Yes",L107="Yes"),"Compliant",IF(OR(K107="No",L107="No"),"Non-Compliant","Partial")))</f>
        <v/>
      </c>
      <c r="N107" s="15" t="n"/>
      <c r="O107" s="15" t="n"/>
    </row>
    <row r="108">
      <c r="A108" s="14">
        <f>IF(ROW()-4&lt;=COUNTA('Personnel Screening Registry'!$A:$A)-4,INDEX('Personnel Screening Registry'!$A:$A,ROW()-3),"")</f>
        <v/>
      </c>
      <c r="B108" s="14">
        <f>IF(A108&lt;&gt;"",VLOOKUP(A108,'Personnel Screening Registry'!$A:$B,2,FALSE),"")</f>
        <v/>
      </c>
      <c r="C108" s="14">
        <f>IF(A108&lt;&gt;"",VLOOKUP(A108,'Personnel Screening Registry'!$A:$E,5,FALSE),"")</f>
        <v/>
      </c>
      <c r="D108" s="15" t="n"/>
      <c r="E108" s="15" t="n"/>
      <c r="F108" s="15" t="n"/>
      <c r="G108" s="15" t="n"/>
      <c r="H108" s="15" t="n"/>
      <c r="I108" s="15" t="n"/>
      <c r="J108" s="15" t="n"/>
      <c r="K108" s="14">
        <f>IF(A108="","",IF(AND(D108="Yes",E108="Yes",J108="Yes"),"Yes","No"))</f>
        <v/>
      </c>
      <c r="L108" s="14">
        <f>IF(A108="","",IF(VLOOKUP(A108,'Personnel Screening Registry'!$A:$I,8,FALSE)=VLOOKUP(A108,'Personnel Screening Registry'!$A:$I,9,FALSE),"Yes","No"))</f>
        <v/>
      </c>
      <c r="M108" s="14">
        <f>IF(A108="","",IF(AND(K108="Yes",L108="Yes"),"Compliant",IF(OR(K108="No",L108="No"),"Non-Compliant","Partial")))</f>
        <v/>
      </c>
      <c r="N108" s="15" t="n"/>
      <c r="O108" s="15" t="n"/>
    </row>
    <row r="109">
      <c r="A109" s="14">
        <f>IF(ROW()-4&lt;=COUNTA('Personnel Screening Registry'!$A:$A)-4,INDEX('Personnel Screening Registry'!$A:$A,ROW()-3),"")</f>
        <v/>
      </c>
      <c r="B109" s="14">
        <f>IF(A109&lt;&gt;"",VLOOKUP(A109,'Personnel Screening Registry'!$A:$B,2,FALSE),"")</f>
        <v/>
      </c>
      <c r="C109" s="14">
        <f>IF(A109&lt;&gt;"",VLOOKUP(A109,'Personnel Screening Registry'!$A:$E,5,FALSE),"")</f>
        <v/>
      </c>
      <c r="D109" s="15" t="n"/>
      <c r="E109" s="15" t="n"/>
      <c r="F109" s="15" t="n"/>
      <c r="G109" s="15" t="n"/>
      <c r="H109" s="15" t="n"/>
      <c r="I109" s="15" t="n"/>
      <c r="J109" s="15" t="n"/>
      <c r="K109" s="14">
        <f>IF(A109="","",IF(AND(D109="Yes",E109="Yes",J109="Yes"),"Yes","No"))</f>
        <v/>
      </c>
      <c r="L109" s="14">
        <f>IF(A109="","",IF(VLOOKUP(A109,'Personnel Screening Registry'!$A:$I,8,FALSE)=VLOOKUP(A109,'Personnel Screening Registry'!$A:$I,9,FALSE),"Yes","No"))</f>
        <v/>
      </c>
      <c r="M109" s="14">
        <f>IF(A109="","",IF(AND(K109="Yes",L109="Yes"),"Compliant",IF(OR(K109="No",L109="No"),"Non-Compliant","Partial")))</f>
        <v/>
      </c>
      <c r="N109" s="15" t="n"/>
      <c r="O109" s="15" t="n"/>
    </row>
    <row r="110">
      <c r="A110" s="14">
        <f>IF(ROW()-4&lt;=COUNTA('Personnel Screening Registry'!$A:$A)-4,INDEX('Personnel Screening Registry'!$A:$A,ROW()-3),"")</f>
        <v/>
      </c>
      <c r="B110" s="14">
        <f>IF(A110&lt;&gt;"",VLOOKUP(A110,'Personnel Screening Registry'!$A:$B,2,FALSE),"")</f>
        <v/>
      </c>
      <c r="C110" s="14">
        <f>IF(A110&lt;&gt;"",VLOOKUP(A110,'Personnel Screening Registry'!$A:$E,5,FALSE),"")</f>
        <v/>
      </c>
      <c r="D110" s="15" t="n"/>
      <c r="E110" s="15" t="n"/>
      <c r="F110" s="15" t="n"/>
      <c r="G110" s="15" t="n"/>
      <c r="H110" s="15" t="n"/>
      <c r="I110" s="15" t="n"/>
      <c r="J110" s="15" t="n"/>
      <c r="K110" s="14">
        <f>IF(A110="","",IF(AND(D110="Yes",E110="Yes",J110="Yes"),"Yes","No"))</f>
        <v/>
      </c>
      <c r="L110" s="14">
        <f>IF(A110="","",IF(VLOOKUP(A110,'Personnel Screening Registry'!$A:$I,8,FALSE)=VLOOKUP(A110,'Personnel Screening Registry'!$A:$I,9,FALSE),"Yes","No"))</f>
        <v/>
      </c>
      <c r="M110" s="14">
        <f>IF(A110="","",IF(AND(K110="Yes",L110="Yes"),"Compliant",IF(OR(K110="No",L110="No"),"Non-Compliant","Partial")))</f>
        <v/>
      </c>
      <c r="N110" s="15" t="n"/>
      <c r="O110" s="15" t="n"/>
    </row>
    <row r="111">
      <c r="A111" s="14">
        <f>IF(ROW()-4&lt;=COUNTA('Personnel Screening Registry'!$A:$A)-4,INDEX('Personnel Screening Registry'!$A:$A,ROW()-3),"")</f>
        <v/>
      </c>
      <c r="B111" s="14">
        <f>IF(A111&lt;&gt;"",VLOOKUP(A111,'Personnel Screening Registry'!$A:$B,2,FALSE),"")</f>
        <v/>
      </c>
      <c r="C111" s="14">
        <f>IF(A111&lt;&gt;"",VLOOKUP(A111,'Personnel Screening Registry'!$A:$E,5,FALSE),"")</f>
        <v/>
      </c>
      <c r="D111" s="15" t="n"/>
      <c r="E111" s="15" t="n"/>
      <c r="F111" s="15" t="n"/>
      <c r="G111" s="15" t="n"/>
      <c r="H111" s="15" t="n"/>
      <c r="I111" s="15" t="n"/>
      <c r="J111" s="15" t="n"/>
      <c r="K111" s="14">
        <f>IF(A111="","",IF(AND(D111="Yes",E111="Yes",J111="Yes"),"Yes","No"))</f>
        <v/>
      </c>
      <c r="L111" s="14">
        <f>IF(A111="","",IF(VLOOKUP(A111,'Personnel Screening Registry'!$A:$I,8,FALSE)=VLOOKUP(A111,'Personnel Screening Registry'!$A:$I,9,FALSE),"Yes","No"))</f>
        <v/>
      </c>
      <c r="M111" s="14">
        <f>IF(A111="","",IF(AND(K111="Yes",L111="Yes"),"Compliant",IF(OR(K111="No",L111="No"),"Non-Compliant","Partial")))</f>
        <v/>
      </c>
      <c r="N111" s="15" t="n"/>
      <c r="O111" s="15" t="n"/>
    </row>
    <row r="112">
      <c r="A112" s="14">
        <f>IF(ROW()-4&lt;=COUNTA('Personnel Screening Registry'!$A:$A)-4,INDEX('Personnel Screening Registry'!$A:$A,ROW()-3),"")</f>
        <v/>
      </c>
      <c r="B112" s="14">
        <f>IF(A112&lt;&gt;"",VLOOKUP(A112,'Personnel Screening Registry'!$A:$B,2,FALSE),"")</f>
        <v/>
      </c>
      <c r="C112" s="14">
        <f>IF(A112&lt;&gt;"",VLOOKUP(A112,'Personnel Screening Registry'!$A:$E,5,FALSE),"")</f>
        <v/>
      </c>
      <c r="D112" s="15" t="n"/>
      <c r="E112" s="15" t="n"/>
      <c r="F112" s="15" t="n"/>
      <c r="G112" s="15" t="n"/>
      <c r="H112" s="15" t="n"/>
      <c r="I112" s="15" t="n"/>
      <c r="J112" s="15" t="n"/>
      <c r="K112" s="14">
        <f>IF(A112="","",IF(AND(D112="Yes",E112="Yes",J112="Yes"),"Yes","No"))</f>
        <v/>
      </c>
      <c r="L112" s="14">
        <f>IF(A112="","",IF(VLOOKUP(A112,'Personnel Screening Registry'!$A:$I,8,FALSE)=VLOOKUP(A112,'Personnel Screening Registry'!$A:$I,9,FALSE),"Yes","No"))</f>
        <v/>
      </c>
      <c r="M112" s="14">
        <f>IF(A112="","",IF(AND(K112="Yes",L112="Yes"),"Compliant",IF(OR(K112="No",L112="No"),"Non-Compliant","Partial")))</f>
        <v/>
      </c>
      <c r="N112" s="15" t="n"/>
      <c r="O112" s="15" t="n"/>
    </row>
    <row r="113">
      <c r="A113" s="14">
        <f>IF(ROW()-4&lt;=COUNTA('Personnel Screening Registry'!$A:$A)-4,INDEX('Personnel Screening Registry'!$A:$A,ROW()-3),"")</f>
        <v/>
      </c>
      <c r="B113" s="14">
        <f>IF(A113&lt;&gt;"",VLOOKUP(A113,'Personnel Screening Registry'!$A:$B,2,FALSE),"")</f>
        <v/>
      </c>
      <c r="C113" s="14">
        <f>IF(A113&lt;&gt;"",VLOOKUP(A113,'Personnel Screening Registry'!$A:$E,5,FALSE),"")</f>
        <v/>
      </c>
      <c r="D113" s="15" t="n"/>
      <c r="E113" s="15" t="n"/>
      <c r="F113" s="15" t="n"/>
      <c r="G113" s="15" t="n"/>
      <c r="H113" s="15" t="n"/>
      <c r="I113" s="15" t="n"/>
      <c r="J113" s="15" t="n"/>
      <c r="K113" s="14">
        <f>IF(A113="","",IF(AND(D113="Yes",E113="Yes",J113="Yes"),"Yes","No"))</f>
        <v/>
      </c>
      <c r="L113" s="14">
        <f>IF(A113="","",IF(VLOOKUP(A113,'Personnel Screening Registry'!$A:$I,8,FALSE)=VLOOKUP(A113,'Personnel Screening Registry'!$A:$I,9,FALSE),"Yes","No"))</f>
        <v/>
      </c>
      <c r="M113" s="14">
        <f>IF(A113="","",IF(AND(K113="Yes",L113="Yes"),"Compliant",IF(OR(K113="No",L113="No"),"Non-Compliant","Partial")))</f>
        <v/>
      </c>
      <c r="N113" s="15" t="n"/>
      <c r="O113" s="15" t="n"/>
    </row>
    <row r="114">
      <c r="A114" s="14">
        <f>IF(ROW()-4&lt;=COUNTA('Personnel Screening Registry'!$A:$A)-4,INDEX('Personnel Screening Registry'!$A:$A,ROW()-3),"")</f>
        <v/>
      </c>
      <c r="B114" s="14">
        <f>IF(A114&lt;&gt;"",VLOOKUP(A114,'Personnel Screening Registry'!$A:$B,2,FALSE),"")</f>
        <v/>
      </c>
      <c r="C114" s="14">
        <f>IF(A114&lt;&gt;"",VLOOKUP(A114,'Personnel Screening Registry'!$A:$E,5,FALSE),"")</f>
        <v/>
      </c>
      <c r="D114" s="15" t="n"/>
      <c r="E114" s="15" t="n"/>
      <c r="F114" s="15" t="n"/>
      <c r="G114" s="15" t="n"/>
      <c r="H114" s="15" t="n"/>
      <c r="I114" s="15" t="n"/>
      <c r="J114" s="15" t="n"/>
      <c r="K114" s="14">
        <f>IF(A114="","",IF(AND(D114="Yes",E114="Yes",J114="Yes"),"Yes","No"))</f>
        <v/>
      </c>
      <c r="L114" s="14">
        <f>IF(A114="","",IF(VLOOKUP(A114,'Personnel Screening Registry'!$A:$I,8,FALSE)=VLOOKUP(A114,'Personnel Screening Registry'!$A:$I,9,FALSE),"Yes","No"))</f>
        <v/>
      </c>
      <c r="M114" s="14">
        <f>IF(A114="","",IF(AND(K114="Yes",L114="Yes"),"Compliant",IF(OR(K114="No",L114="No"),"Non-Compliant","Partial")))</f>
        <v/>
      </c>
      <c r="N114" s="15" t="n"/>
      <c r="O114" s="15" t="n"/>
    </row>
    <row r="115">
      <c r="A115" s="14">
        <f>IF(ROW()-4&lt;=COUNTA('Personnel Screening Registry'!$A:$A)-4,INDEX('Personnel Screening Registry'!$A:$A,ROW()-3),"")</f>
        <v/>
      </c>
      <c r="B115" s="14">
        <f>IF(A115&lt;&gt;"",VLOOKUP(A115,'Personnel Screening Registry'!$A:$B,2,FALSE),"")</f>
        <v/>
      </c>
      <c r="C115" s="14">
        <f>IF(A115&lt;&gt;"",VLOOKUP(A115,'Personnel Screening Registry'!$A:$E,5,FALSE),"")</f>
        <v/>
      </c>
      <c r="D115" s="15" t="n"/>
      <c r="E115" s="15" t="n"/>
      <c r="F115" s="15" t="n"/>
      <c r="G115" s="15" t="n"/>
      <c r="H115" s="15" t="n"/>
      <c r="I115" s="15" t="n"/>
      <c r="J115" s="15" t="n"/>
      <c r="K115" s="14">
        <f>IF(A115="","",IF(AND(D115="Yes",E115="Yes",J115="Yes"),"Yes","No"))</f>
        <v/>
      </c>
      <c r="L115" s="14">
        <f>IF(A115="","",IF(VLOOKUP(A115,'Personnel Screening Registry'!$A:$I,8,FALSE)=VLOOKUP(A115,'Personnel Screening Registry'!$A:$I,9,FALSE),"Yes","No"))</f>
        <v/>
      </c>
      <c r="M115" s="14">
        <f>IF(A115="","",IF(AND(K115="Yes",L115="Yes"),"Compliant",IF(OR(K115="No",L115="No"),"Non-Compliant","Partial")))</f>
        <v/>
      </c>
      <c r="N115" s="15" t="n"/>
      <c r="O115" s="15" t="n"/>
    </row>
    <row r="116">
      <c r="A116" s="14">
        <f>IF(ROW()-4&lt;=COUNTA('Personnel Screening Registry'!$A:$A)-4,INDEX('Personnel Screening Registry'!$A:$A,ROW()-3),"")</f>
        <v/>
      </c>
      <c r="B116" s="14">
        <f>IF(A116&lt;&gt;"",VLOOKUP(A116,'Personnel Screening Registry'!$A:$B,2,FALSE),"")</f>
        <v/>
      </c>
      <c r="C116" s="14">
        <f>IF(A116&lt;&gt;"",VLOOKUP(A116,'Personnel Screening Registry'!$A:$E,5,FALSE),"")</f>
        <v/>
      </c>
      <c r="D116" s="15" t="n"/>
      <c r="E116" s="15" t="n"/>
      <c r="F116" s="15" t="n"/>
      <c r="G116" s="15" t="n"/>
      <c r="H116" s="15" t="n"/>
      <c r="I116" s="15" t="n"/>
      <c r="J116" s="15" t="n"/>
      <c r="K116" s="14">
        <f>IF(A116="","",IF(AND(D116="Yes",E116="Yes",J116="Yes"),"Yes","No"))</f>
        <v/>
      </c>
      <c r="L116" s="14">
        <f>IF(A116="","",IF(VLOOKUP(A116,'Personnel Screening Registry'!$A:$I,8,FALSE)=VLOOKUP(A116,'Personnel Screening Registry'!$A:$I,9,FALSE),"Yes","No"))</f>
        <v/>
      </c>
      <c r="M116" s="14">
        <f>IF(A116="","",IF(AND(K116="Yes",L116="Yes"),"Compliant",IF(OR(K116="No",L116="No"),"Non-Compliant","Partial")))</f>
        <v/>
      </c>
      <c r="N116" s="15" t="n"/>
      <c r="O116" s="15" t="n"/>
    </row>
    <row r="117">
      <c r="A117" s="14">
        <f>IF(ROW()-4&lt;=COUNTA('Personnel Screening Registry'!$A:$A)-4,INDEX('Personnel Screening Registry'!$A:$A,ROW()-3),"")</f>
        <v/>
      </c>
      <c r="B117" s="14">
        <f>IF(A117&lt;&gt;"",VLOOKUP(A117,'Personnel Screening Registry'!$A:$B,2,FALSE),"")</f>
        <v/>
      </c>
      <c r="C117" s="14">
        <f>IF(A117&lt;&gt;"",VLOOKUP(A117,'Personnel Screening Registry'!$A:$E,5,FALSE),"")</f>
        <v/>
      </c>
      <c r="D117" s="15" t="n"/>
      <c r="E117" s="15" t="n"/>
      <c r="F117" s="15" t="n"/>
      <c r="G117" s="15" t="n"/>
      <c r="H117" s="15" t="n"/>
      <c r="I117" s="15" t="n"/>
      <c r="J117" s="15" t="n"/>
      <c r="K117" s="14">
        <f>IF(A117="","",IF(AND(D117="Yes",E117="Yes",J117="Yes"),"Yes","No"))</f>
        <v/>
      </c>
      <c r="L117" s="14">
        <f>IF(A117="","",IF(VLOOKUP(A117,'Personnel Screening Registry'!$A:$I,8,FALSE)=VLOOKUP(A117,'Personnel Screening Registry'!$A:$I,9,FALSE),"Yes","No"))</f>
        <v/>
      </c>
      <c r="M117" s="14">
        <f>IF(A117="","",IF(AND(K117="Yes",L117="Yes"),"Compliant",IF(OR(K117="No",L117="No"),"Non-Compliant","Partial")))</f>
        <v/>
      </c>
      <c r="N117" s="15" t="n"/>
      <c r="O117" s="15" t="n"/>
    </row>
    <row r="118">
      <c r="A118" s="14">
        <f>IF(ROW()-4&lt;=COUNTA('Personnel Screening Registry'!$A:$A)-4,INDEX('Personnel Screening Registry'!$A:$A,ROW()-3),"")</f>
        <v/>
      </c>
      <c r="B118" s="14">
        <f>IF(A118&lt;&gt;"",VLOOKUP(A118,'Personnel Screening Registry'!$A:$B,2,FALSE),"")</f>
        <v/>
      </c>
      <c r="C118" s="14">
        <f>IF(A118&lt;&gt;"",VLOOKUP(A118,'Personnel Screening Registry'!$A:$E,5,FALSE),"")</f>
        <v/>
      </c>
      <c r="D118" s="15" t="n"/>
      <c r="E118" s="15" t="n"/>
      <c r="F118" s="15" t="n"/>
      <c r="G118" s="15" t="n"/>
      <c r="H118" s="15" t="n"/>
      <c r="I118" s="15" t="n"/>
      <c r="J118" s="15" t="n"/>
      <c r="K118" s="14">
        <f>IF(A118="","",IF(AND(D118="Yes",E118="Yes",J118="Yes"),"Yes","No"))</f>
        <v/>
      </c>
      <c r="L118" s="14">
        <f>IF(A118="","",IF(VLOOKUP(A118,'Personnel Screening Registry'!$A:$I,8,FALSE)=VLOOKUP(A118,'Personnel Screening Registry'!$A:$I,9,FALSE),"Yes","No"))</f>
        <v/>
      </c>
      <c r="M118" s="14">
        <f>IF(A118="","",IF(AND(K118="Yes",L118="Yes"),"Compliant",IF(OR(K118="No",L118="No"),"Non-Compliant","Partial")))</f>
        <v/>
      </c>
      <c r="N118" s="15" t="n"/>
      <c r="O118" s="15" t="n"/>
    </row>
    <row r="119">
      <c r="A119" s="14">
        <f>IF(ROW()-4&lt;=COUNTA('Personnel Screening Registry'!$A:$A)-4,INDEX('Personnel Screening Registry'!$A:$A,ROW()-3),"")</f>
        <v/>
      </c>
      <c r="B119" s="14">
        <f>IF(A119&lt;&gt;"",VLOOKUP(A119,'Personnel Screening Registry'!$A:$B,2,FALSE),"")</f>
        <v/>
      </c>
      <c r="C119" s="14">
        <f>IF(A119&lt;&gt;"",VLOOKUP(A119,'Personnel Screening Registry'!$A:$E,5,FALSE),"")</f>
        <v/>
      </c>
      <c r="D119" s="15" t="n"/>
      <c r="E119" s="15" t="n"/>
      <c r="F119" s="15" t="n"/>
      <c r="G119" s="15" t="n"/>
      <c r="H119" s="15" t="n"/>
      <c r="I119" s="15" t="n"/>
      <c r="J119" s="15" t="n"/>
      <c r="K119" s="14">
        <f>IF(A119="","",IF(AND(D119="Yes",E119="Yes",J119="Yes"),"Yes","No"))</f>
        <v/>
      </c>
      <c r="L119" s="14">
        <f>IF(A119="","",IF(VLOOKUP(A119,'Personnel Screening Registry'!$A:$I,8,FALSE)=VLOOKUP(A119,'Personnel Screening Registry'!$A:$I,9,FALSE),"Yes","No"))</f>
        <v/>
      </c>
      <c r="M119" s="14">
        <f>IF(A119="","",IF(AND(K119="Yes",L119="Yes"),"Compliant",IF(OR(K119="No",L119="No"),"Non-Compliant","Partial")))</f>
        <v/>
      </c>
      <c r="N119" s="15" t="n"/>
      <c r="O119" s="15" t="n"/>
    </row>
    <row r="120">
      <c r="A120" s="14">
        <f>IF(ROW()-4&lt;=COUNTA('Personnel Screening Registry'!$A:$A)-4,INDEX('Personnel Screening Registry'!$A:$A,ROW()-3),"")</f>
        <v/>
      </c>
      <c r="B120" s="14">
        <f>IF(A120&lt;&gt;"",VLOOKUP(A120,'Personnel Screening Registry'!$A:$B,2,FALSE),"")</f>
        <v/>
      </c>
      <c r="C120" s="14">
        <f>IF(A120&lt;&gt;"",VLOOKUP(A120,'Personnel Screening Registry'!$A:$E,5,FALSE),"")</f>
        <v/>
      </c>
      <c r="D120" s="15" t="n"/>
      <c r="E120" s="15" t="n"/>
      <c r="F120" s="15" t="n"/>
      <c r="G120" s="15" t="n"/>
      <c r="H120" s="15" t="n"/>
      <c r="I120" s="15" t="n"/>
      <c r="J120" s="15" t="n"/>
      <c r="K120" s="14">
        <f>IF(A120="","",IF(AND(D120="Yes",E120="Yes",J120="Yes"),"Yes","No"))</f>
        <v/>
      </c>
      <c r="L120" s="14">
        <f>IF(A120="","",IF(VLOOKUP(A120,'Personnel Screening Registry'!$A:$I,8,FALSE)=VLOOKUP(A120,'Personnel Screening Registry'!$A:$I,9,FALSE),"Yes","No"))</f>
        <v/>
      </c>
      <c r="M120" s="14">
        <f>IF(A120="","",IF(AND(K120="Yes",L120="Yes"),"Compliant",IF(OR(K120="No",L120="No"),"Non-Compliant","Partial")))</f>
        <v/>
      </c>
      <c r="N120" s="15" t="n"/>
      <c r="O120" s="15" t="n"/>
    </row>
    <row r="121">
      <c r="A121" s="14">
        <f>IF(ROW()-4&lt;=COUNTA('Personnel Screening Registry'!$A:$A)-4,INDEX('Personnel Screening Registry'!$A:$A,ROW()-3),"")</f>
        <v/>
      </c>
      <c r="B121" s="14">
        <f>IF(A121&lt;&gt;"",VLOOKUP(A121,'Personnel Screening Registry'!$A:$B,2,FALSE),"")</f>
        <v/>
      </c>
      <c r="C121" s="14">
        <f>IF(A121&lt;&gt;"",VLOOKUP(A121,'Personnel Screening Registry'!$A:$E,5,FALSE),"")</f>
        <v/>
      </c>
      <c r="D121" s="15" t="n"/>
      <c r="E121" s="15" t="n"/>
      <c r="F121" s="15" t="n"/>
      <c r="G121" s="15" t="n"/>
      <c r="H121" s="15" t="n"/>
      <c r="I121" s="15" t="n"/>
      <c r="J121" s="15" t="n"/>
      <c r="K121" s="14">
        <f>IF(A121="","",IF(AND(D121="Yes",E121="Yes",J121="Yes"),"Yes","No"))</f>
        <v/>
      </c>
      <c r="L121" s="14">
        <f>IF(A121="","",IF(VLOOKUP(A121,'Personnel Screening Registry'!$A:$I,8,FALSE)=VLOOKUP(A121,'Personnel Screening Registry'!$A:$I,9,FALSE),"Yes","No"))</f>
        <v/>
      </c>
      <c r="M121" s="14">
        <f>IF(A121="","",IF(AND(K121="Yes",L121="Yes"),"Compliant",IF(OR(K121="No",L121="No"),"Non-Compliant","Partial")))</f>
        <v/>
      </c>
      <c r="N121" s="15" t="n"/>
      <c r="O121" s="15" t="n"/>
    </row>
    <row r="122">
      <c r="A122" s="14">
        <f>IF(ROW()-4&lt;=COUNTA('Personnel Screening Registry'!$A:$A)-4,INDEX('Personnel Screening Registry'!$A:$A,ROW()-3),"")</f>
        <v/>
      </c>
      <c r="B122" s="14">
        <f>IF(A122&lt;&gt;"",VLOOKUP(A122,'Personnel Screening Registry'!$A:$B,2,FALSE),"")</f>
        <v/>
      </c>
      <c r="C122" s="14">
        <f>IF(A122&lt;&gt;"",VLOOKUP(A122,'Personnel Screening Registry'!$A:$E,5,FALSE),"")</f>
        <v/>
      </c>
      <c r="D122" s="15" t="n"/>
      <c r="E122" s="15" t="n"/>
      <c r="F122" s="15" t="n"/>
      <c r="G122" s="15" t="n"/>
      <c r="H122" s="15" t="n"/>
      <c r="I122" s="15" t="n"/>
      <c r="J122" s="15" t="n"/>
      <c r="K122" s="14">
        <f>IF(A122="","",IF(AND(D122="Yes",E122="Yes",J122="Yes"),"Yes","No"))</f>
        <v/>
      </c>
      <c r="L122" s="14">
        <f>IF(A122="","",IF(VLOOKUP(A122,'Personnel Screening Registry'!$A:$I,8,FALSE)=VLOOKUP(A122,'Personnel Screening Registry'!$A:$I,9,FALSE),"Yes","No"))</f>
        <v/>
      </c>
      <c r="M122" s="14">
        <f>IF(A122="","",IF(AND(K122="Yes",L122="Yes"),"Compliant",IF(OR(K122="No",L122="No"),"Non-Compliant","Partial")))</f>
        <v/>
      </c>
      <c r="N122" s="15" t="n"/>
      <c r="O122" s="15" t="n"/>
    </row>
    <row r="123">
      <c r="A123" s="14">
        <f>IF(ROW()-4&lt;=COUNTA('Personnel Screening Registry'!$A:$A)-4,INDEX('Personnel Screening Registry'!$A:$A,ROW()-3),"")</f>
        <v/>
      </c>
      <c r="B123" s="14">
        <f>IF(A123&lt;&gt;"",VLOOKUP(A123,'Personnel Screening Registry'!$A:$B,2,FALSE),"")</f>
        <v/>
      </c>
      <c r="C123" s="14">
        <f>IF(A123&lt;&gt;"",VLOOKUP(A123,'Personnel Screening Registry'!$A:$E,5,FALSE),"")</f>
        <v/>
      </c>
      <c r="D123" s="15" t="n"/>
      <c r="E123" s="15" t="n"/>
      <c r="F123" s="15" t="n"/>
      <c r="G123" s="15" t="n"/>
      <c r="H123" s="15" t="n"/>
      <c r="I123" s="15" t="n"/>
      <c r="J123" s="15" t="n"/>
      <c r="K123" s="14">
        <f>IF(A123="","",IF(AND(D123="Yes",E123="Yes",J123="Yes"),"Yes","No"))</f>
        <v/>
      </c>
      <c r="L123" s="14">
        <f>IF(A123="","",IF(VLOOKUP(A123,'Personnel Screening Registry'!$A:$I,8,FALSE)=VLOOKUP(A123,'Personnel Screening Registry'!$A:$I,9,FALSE),"Yes","No"))</f>
        <v/>
      </c>
      <c r="M123" s="14">
        <f>IF(A123="","",IF(AND(K123="Yes",L123="Yes"),"Compliant",IF(OR(K123="No",L123="No"),"Non-Compliant","Partial")))</f>
        <v/>
      </c>
      <c r="N123" s="15" t="n"/>
      <c r="O123" s="15" t="n"/>
    </row>
    <row r="124">
      <c r="A124" s="14">
        <f>IF(ROW()-4&lt;=COUNTA('Personnel Screening Registry'!$A:$A)-4,INDEX('Personnel Screening Registry'!$A:$A,ROW()-3),"")</f>
        <v/>
      </c>
      <c r="B124" s="14">
        <f>IF(A124&lt;&gt;"",VLOOKUP(A124,'Personnel Screening Registry'!$A:$B,2,FALSE),"")</f>
        <v/>
      </c>
      <c r="C124" s="14">
        <f>IF(A124&lt;&gt;"",VLOOKUP(A124,'Personnel Screening Registry'!$A:$E,5,FALSE),"")</f>
        <v/>
      </c>
      <c r="D124" s="15" t="n"/>
      <c r="E124" s="15" t="n"/>
      <c r="F124" s="15" t="n"/>
      <c r="G124" s="15" t="n"/>
      <c r="H124" s="15" t="n"/>
      <c r="I124" s="15" t="n"/>
      <c r="J124" s="15" t="n"/>
      <c r="K124" s="14">
        <f>IF(A124="","",IF(AND(D124="Yes",E124="Yes",J124="Yes"),"Yes","No"))</f>
        <v/>
      </c>
      <c r="L124" s="14">
        <f>IF(A124="","",IF(VLOOKUP(A124,'Personnel Screening Registry'!$A:$I,8,FALSE)=VLOOKUP(A124,'Personnel Screening Registry'!$A:$I,9,FALSE),"Yes","No"))</f>
        <v/>
      </c>
      <c r="M124" s="14">
        <f>IF(A124="","",IF(AND(K124="Yes",L124="Yes"),"Compliant",IF(OR(K124="No",L124="No"),"Non-Compliant","Partial")))</f>
        <v/>
      </c>
      <c r="N124" s="15" t="n"/>
      <c r="O124" s="15" t="n"/>
    </row>
    <row r="125">
      <c r="A125" s="14">
        <f>IF(ROW()-4&lt;=COUNTA('Personnel Screening Registry'!$A:$A)-4,INDEX('Personnel Screening Registry'!$A:$A,ROW()-3),"")</f>
        <v/>
      </c>
      <c r="B125" s="14">
        <f>IF(A125&lt;&gt;"",VLOOKUP(A125,'Personnel Screening Registry'!$A:$B,2,FALSE),"")</f>
        <v/>
      </c>
      <c r="C125" s="14">
        <f>IF(A125&lt;&gt;"",VLOOKUP(A125,'Personnel Screening Registry'!$A:$E,5,FALSE),"")</f>
        <v/>
      </c>
      <c r="D125" s="15" t="n"/>
      <c r="E125" s="15" t="n"/>
      <c r="F125" s="15" t="n"/>
      <c r="G125" s="15" t="n"/>
      <c r="H125" s="15" t="n"/>
      <c r="I125" s="15" t="n"/>
      <c r="J125" s="15" t="n"/>
      <c r="K125" s="14">
        <f>IF(A125="","",IF(AND(D125="Yes",E125="Yes",J125="Yes"),"Yes","No"))</f>
        <v/>
      </c>
      <c r="L125" s="14">
        <f>IF(A125="","",IF(VLOOKUP(A125,'Personnel Screening Registry'!$A:$I,8,FALSE)=VLOOKUP(A125,'Personnel Screening Registry'!$A:$I,9,FALSE),"Yes","No"))</f>
        <v/>
      </c>
      <c r="M125" s="14">
        <f>IF(A125="","",IF(AND(K125="Yes",L125="Yes"),"Compliant",IF(OR(K125="No",L125="No"),"Non-Compliant","Partial")))</f>
        <v/>
      </c>
      <c r="N125" s="15" t="n"/>
      <c r="O125" s="15" t="n"/>
    </row>
    <row r="126">
      <c r="A126" s="14">
        <f>IF(ROW()-4&lt;=COUNTA('Personnel Screening Registry'!$A:$A)-4,INDEX('Personnel Screening Registry'!$A:$A,ROW()-3),"")</f>
        <v/>
      </c>
      <c r="B126" s="14">
        <f>IF(A126&lt;&gt;"",VLOOKUP(A126,'Personnel Screening Registry'!$A:$B,2,FALSE),"")</f>
        <v/>
      </c>
      <c r="C126" s="14">
        <f>IF(A126&lt;&gt;"",VLOOKUP(A126,'Personnel Screening Registry'!$A:$E,5,FALSE),"")</f>
        <v/>
      </c>
      <c r="D126" s="15" t="n"/>
      <c r="E126" s="15" t="n"/>
      <c r="F126" s="15" t="n"/>
      <c r="G126" s="15" t="n"/>
      <c r="H126" s="15" t="n"/>
      <c r="I126" s="15" t="n"/>
      <c r="J126" s="15" t="n"/>
      <c r="K126" s="14">
        <f>IF(A126="","",IF(AND(D126="Yes",E126="Yes",J126="Yes"),"Yes","No"))</f>
        <v/>
      </c>
      <c r="L126" s="14">
        <f>IF(A126="","",IF(VLOOKUP(A126,'Personnel Screening Registry'!$A:$I,8,FALSE)=VLOOKUP(A126,'Personnel Screening Registry'!$A:$I,9,FALSE),"Yes","No"))</f>
        <v/>
      </c>
      <c r="M126" s="14">
        <f>IF(A126="","",IF(AND(K126="Yes",L126="Yes"),"Compliant",IF(OR(K126="No",L126="No"),"Non-Compliant","Partial")))</f>
        <v/>
      </c>
      <c r="N126" s="15" t="n"/>
      <c r="O126" s="15" t="n"/>
    </row>
    <row r="127">
      <c r="A127" s="14">
        <f>IF(ROW()-4&lt;=COUNTA('Personnel Screening Registry'!$A:$A)-4,INDEX('Personnel Screening Registry'!$A:$A,ROW()-3),"")</f>
        <v/>
      </c>
      <c r="B127" s="14">
        <f>IF(A127&lt;&gt;"",VLOOKUP(A127,'Personnel Screening Registry'!$A:$B,2,FALSE),"")</f>
        <v/>
      </c>
      <c r="C127" s="14">
        <f>IF(A127&lt;&gt;"",VLOOKUP(A127,'Personnel Screening Registry'!$A:$E,5,FALSE),"")</f>
        <v/>
      </c>
      <c r="D127" s="15" t="n"/>
      <c r="E127" s="15" t="n"/>
      <c r="F127" s="15" t="n"/>
      <c r="G127" s="15" t="n"/>
      <c r="H127" s="15" t="n"/>
      <c r="I127" s="15" t="n"/>
      <c r="J127" s="15" t="n"/>
      <c r="K127" s="14">
        <f>IF(A127="","",IF(AND(D127="Yes",E127="Yes",J127="Yes"),"Yes","No"))</f>
        <v/>
      </c>
      <c r="L127" s="14">
        <f>IF(A127="","",IF(VLOOKUP(A127,'Personnel Screening Registry'!$A:$I,8,FALSE)=VLOOKUP(A127,'Personnel Screening Registry'!$A:$I,9,FALSE),"Yes","No"))</f>
        <v/>
      </c>
      <c r="M127" s="14">
        <f>IF(A127="","",IF(AND(K127="Yes",L127="Yes"),"Compliant",IF(OR(K127="No",L127="No"),"Non-Compliant","Partial")))</f>
        <v/>
      </c>
      <c r="N127" s="15" t="n"/>
      <c r="O127" s="15" t="n"/>
    </row>
    <row r="128">
      <c r="A128" s="14">
        <f>IF(ROW()-4&lt;=COUNTA('Personnel Screening Registry'!$A:$A)-4,INDEX('Personnel Screening Registry'!$A:$A,ROW()-3),"")</f>
        <v/>
      </c>
      <c r="B128" s="14">
        <f>IF(A128&lt;&gt;"",VLOOKUP(A128,'Personnel Screening Registry'!$A:$B,2,FALSE),"")</f>
        <v/>
      </c>
      <c r="C128" s="14">
        <f>IF(A128&lt;&gt;"",VLOOKUP(A128,'Personnel Screening Registry'!$A:$E,5,FALSE),"")</f>
        <v/>
      </c>
      <c r="D128" s="15" t="n"/>
      <c r="E128" s="15" t="n"/>
      <c r="F128" s="15" t="n"/>
      <c r="G128" s="15" t="n"/>
      <c r="H128" s="15" t="n"/>
      <c r="I128" s="15" t="n"/>
      <c r="J128" s="15" t="n"/>
      <c r="K128" s="14">
        <f>IF(A128="","",IF(AND(D128="Yes",E128="Yes",J128="Yes"),"Yes","No"))</f>
        <v/>
      </c>
      <c r="L128" s="14">
        <f>IF(A128="","",IF(VLOOKUP(A128,'Personnel Screening Registry'!$A:$I,8,FALSE)=VLOOKUP(A128,'Personnel Screening Registry'!$A:$I,9,FALSE),"Yes","No"))</f>
        <v/>
      </c>
      <c r="M128" s="14">
        <f>IF(A128="","",IF(AND(K128="Yes",L128="Yes"),"Compliant",IF(OR(K128="No",L128="No"),"Non-Compliant","Partial")))</f>
        <v/>
      </c>
      <c r="N128" s="15" t="n"/>
      <c r="O128" s="15" t="n"/>
    </row>
    <row r="129">
      <c r="A129" s="14">
        <f>IF(ROW()-4&lt;=COUNTA('Personnel Screening Registry'!$A:$A)-4,INDEX('Personnel Screening Registry'!$A:$A,ROW()-3),"")</f>
        <v/>
      </c>
      <c r="B129" s="14">
        <f>IF(A129&lt;&gt;"",VLOOKUP(A129,'Personnel Screening Registry'!$A:$B,2,FALSE),"")</f>
        <v/>
      </c>
      <c r="C129" s="14">
        <f>IF(A129&lt;&gt;"",VLOOKUP(A129,'Personnel Screening Registry'!$A:$E,5,FALSE),"")</f>
        <v/>
      </c>
      <c r="D129" s="15" t="n"/>
      <c r="E129" s="15" t="n"/>
      <c r="F129" s="15" t="n"/>
      <c r="G129" s="15" t="n"/>
      <c r="H129" s="15" t="n"/>
      <c r="I129" s="15" t="n"/>
      <c r="J129" s="15" t="n"/>
      <c r="K129" s="14">
        <f>IF(A129="","",IF(AND(D129="Yes",E129="Yes",J129="Yes"),"Yes","No"))</f>
        <v/>
      </c>
      <c r="L129" s="14">
        <f>IF(A129="","",IF(VLOOKUP(A129,'Personnel Screening Registry'!$A:$I,8,FALSE)=VLOOKUP(A129,'Personnel Screening Registry'!$A:$I,9,FALSE),"Yes","No"))</f>
        <v/>
      </c>
      <c r="M129" s="14">
        <f>IF(A129="","",IF(AND(K129="Yes",L129="Yes"),"Compliant",IF(OR(K129="No",L129="No"),"Non-Compliant","Partial")))</f>
        <v/>
      </c>
      <c r="N129" s="15" t="n"/>
      <c r="O129" s="15" t="n"/>
    </row>
    <row r="130">
      <c r="A130" s="14">
        <f>IF(ROW()-4&lt;=COUNTA('Personnel Screening Registry'!$A:$A)-4,INDEX('Personnel Screening Registry'!$A:$A,ROW()-3),"")</f>
        <v/>
      </c>
      <c r="B130" s="14">
        <f>IF(A130&lt;&gt;"",VLOOKUP(A130,'Personnel Screening Registry'!$A:$B,2,FALSE),"")</f>
        <v/>
      </c>
      <c r="C130" s="14">
        <f>IF(A130&lt;&gt;"",VLOOKUP(A130,'Personnel Screening Registry'!$A:$E,5,FALSE),"")</f>
        <v/>
      </c>
      <c r="D130" s="15" t="n"/>
      <c r="E130" s="15" t="n"/>
      <c r="F130" s="15" t="n"/>
      <c r="G130" s="15" t="n"/>
      <c r="H130" s="15" t="n"/>
      <c r="I130" s="15" t="n"/>
      <c r="J130" s="15" t="n"/>
      <c r="K130" s="14">
        <f>IF(A130="","",IF(AND(D130="Yes",E130="Yes",J130="Yes"),"Yes","No"))</f>
        <v/>
      </c>
      <c r="L130" s="14">
        <f>IF(A130="","",IF(VLOOKUP(A130,'Personnel Screening Registry'!$A:$I,8,FALSE)=VLOOKUP(A130,'Personnel Screening Registry'!$A:$I,9,FALSE),"Yes","No"))</f>
        <v/>
      </c>
      <c r="M130" s="14">
        <f>IF(A130="","",IF(AND(K130="Yes",L130="Yes"),"Compliant",IF(OR(K130="No",L130="No"),"Non-Compliant","Partial")))</f>
        <v/>
      </c>
      <c r="N130" s="15" t="n"/>
      <c r="O130" s="15" t="n"/>
    </row>
    <row r="131">
      <c r="A131" s="14">
        <f>IF(ROW()-4&lt;=COUNTA('Personnel Screening Registry'!$A:$A)-4,INDEX('Personnel Screening Registry'!$A:$A,ROW()-3),"")</f>
        <v/>
      </c>
      <c r="B131" s="14">
        <f>IF(A131&lt;&gt;"",VLOOKUP(A131,'Personnel Screening Registry'!$A:$B,2,FALSE),"")</f>
        <v/>
      </c>
      <c r="C131" s="14">
        <f>IF(A131&lt;&gt;"",VLOOKUP(A131,'Personnel Screening Registry'!$A:$E,5,FALSE),"")</f>
        <v/>
      </c>
      <c r="D131" s="15" t="n"/>
      <c r="E131" s="15" t="n"/>
      <c r="F131" s="15" t="n"/>
      <c r="G131" s="15" t="n"/>
      <c r="H131" s="15" t="n"/>
      <c r="I131" s="15" t="n"/>
      <c r="J131" s="15" t="n"/>
      <c r="K131" s="14">
        <f>IF(A131="","",IF(AND(D131="Yes",E131="Yes",J131="Yes"),"Yes","No"))</f>
        <v/>
      </c>
      <c r="L131" s="14">
        <f>IF(A131="","",IF(VLOOKUP(A131,'Personnel Screening Registry'!$A:$I,8,FALSE)=VLOOKUP(A131,'Personnel Screening Registry'!$A:$I,9,FALSE),"Yes","No"))</f>
        <v/>
      </c>
      <c r="M131" s="14">
        <f>IF(A131="","",IF(AND(K131="Yes",L131="Yes"),"Compliant",IF(OR(K131="No",L131="No"),"Non-Compliant","Partial")))</f>
        <v/>
      </c>
      <c r="N131" s="15" t="n"/>
      <c r="O131" s="15" t="n"/>
    </row>
    <row r="132">
      <c r="A132" s="14">
        <f>IF(ROW()-4&lt;=COUNTA('Personnel Screening Registry'!$A:$A)-4,INDEX('Personnel Screening Registry'!$A:$A,ROW()-3),"")</f>
        <v/>
      </c>
      <c r="B132" s="14">
        <f>IF(A132&lt;&gt;"",VLOOKUP(A132,'Personnel Screening Registry'!$A:$B,2,FALSE),"")</f>
        <v/>
      </c>
      <c r="C132" s="14">
        <f>IF(A132&lt;&gt;"",VLOOKUP(A132,'Personnel Screening Registry'!$A:$E,5,FALSE),"")</f>
        <v/>
      </c>
      <c r="D132" s="15" t="n"/>
      <c r="E132" s="15" t="n"/>
      <c r="F132" s="15" t="n"/>
      <c r="G132" s="15" t="n"/>
      <c r="H132" s="15" t="n"/>
      <c r="I132" s="15" t="n"/>
      <c r="J132" s="15" t="n"/>
      <c r="K132" s="14">
        <f>IF(A132="","",IF(AND(D132="Yes",E132="Yes",J132="Yes"),"Yes","No"))</f>
        <v/>
      </c>
      <c r="L132" s="14">
        <f>IF(A132="","",IF(VLOOKUP(A132,'Personnel Screening Registry'!$A:$I,8,FALSE)=VLOOKUP(A132,'Personnel Screening Registry'!$A:$I,9,FALSE),"Yes","No"))</f>
        <v/>
      </c>
      <c r="M132" s="14">
        <f>IF(A132="","",IF(AND(K132="Yes",L132="Yes"),"Compliant",IF(OR(K132="No",L132="No"),"Non-Compliant","Partial")))</f>
        <v/>
      </c>
      <c r="N132" s="15" t="n"/>
      <c r="O132" s="15" t="n"/>
    </row>
    <row r="133">
      <c r="A133" s="14">
        <f>IF(ROW()-4&lt;=COUNTA('Personnel Screening Registry'!$A:$A)-4,INDEX('Personnel Screening Registry'!$A:$A,ROW()-3),"")</f>
        <v/>
      </c>
      <c r="B133" s="14">
        <f>IF(A133&lt;&gt;"",VLOOKUP(A133,'Personnel Screening Registry'!$A:$B,2,FALSE),"")</f>
        <v/>
      </c>
      <c r="C133" s="14">
        <f>IF(A133&lt;&gt;"",VLOOKUP(A133,'Personnel Screening Registry'!$A:$E,5,FALSE),"")</f>
        <v/>
      </c>
      <c r="D133" s="15" t="n"/>
      <c r="E133" s="15" t="n"/>
      <c r="F133" s="15" t="n"/>
      <c r="G133" s="15" t="n"/>
      <c r="H133" s="15" t="n"/>
      <c r="I133" s="15" t="n"/>
      <c r="J133" s="15" t="n"/>
      <c r="K133" s="14">
        <f>IF(A133="","",IF(AND(D133="Yes",E133="Yes",J133="Yes"),"Yes","No"))</f>
        <v/>
      </c>
      <c r="L133" s="14">
        <f>IF(A133="","",IF(VLOOKUP(A133,'Personnel Screening Registry'!$A:$I,8,FALSE)=VLOOKUP(A133,'Personnel Screening Registry'!$A:$I,9,FALSE),"Yes","No"))</f>
        <v/>
      </c>
      <c r="M133" s="14">
        <f>IF(A133="","",IF(AND(K133="Yes",L133="Yes"),"Compliant",IF(OR(K133="No",L133="No"),"Non-Compliant","Partial")))</f>
        <v/>
      </c>
      <c r="N133" s="15" t="n"/>
      <c r="O133" s="15" t="n"/>
    </row>
    <row r="134">
      <c r="A134" s="14">
        <f>IF(ROW()-4&lt;=COUNTA('Personnel Screening Registry'!$A:$A)-4,INDEX('Personnel Screening Registry'!$A:$A,ROW()-3),"")</f>
        <v/>
      </c>
      <c r="B134" s="14">
        <f>IF(A134&lt;&gt;"",VLOOKUP(A134,'Personnel Screening Registry'!$A:$B,2,FALSE),"")</f>
        <v/>
      </c>
      <c r="C134" s="14">
        <f>IF(A134&lt;&gt;"",VLOOKUP(A134,'Personnel Screening Registry'!$A:$E,5,FALSE),"")</f>
        <v/>
      </c>
      <c r="D134" s="15" t="n"/>
      <c r="E134" s="15" t="n"/>
      <c r="F134" s="15" t="n"/>
      <c r="G134" s="15" t="n"/>
      <c r="H134" s="15" t="n"/>
      <c r="I134" s="15" t="n"/>
      <c r="J134" s="15" t="n"/>
      <c r="K134" s="14">
        <f>IF(A134="","",IF(AND(D134="Yes",E134="Yes",J134="Yes"),"Yes","No"))</f>
        <v/>
      </c>
      <c r="L134" s="14">
        <f>IF(A134="","",IF(VLOOKUP(A134,'Personnel Screening Registry'!$A:$I,8,FALSE)=VLOOKUP(A134,'Personnel Screening Registry'!$A:$I,9,FALSE),"Yes","No"))</f>
        <v/>
      </c>
      <c r="M134" s="14">
        <f>IF(A134="","",IF(AND(K134="Yes",L134="Yes"),"Compliant",IF(OR(K134="No",L134="No"),"Non-Compliant","Partial")))</f>
        <v/>
      </c>
      <c r="N134" s="15" t="n"/>
      <c r="O134" s="15" t="n"/>
    </row>
    <row r="135">
      <c r="A135" s="14">
        <f>IF(ROW()-4&lt;=COUNTA('Personnel Screening Registry'!$A:$A)-4,INDEX('Personnel Screening Registry'!$A:$A,ROW()-3),"")</f>
        <v/>
      </c>
      <c r="B135" s="14">
        <f>IF(A135&lt;&gt;"",VLOOKUP(A135,'Personnel Screening Registry'!$A:$B,2,FALSE),"")</f>
        <v/>
      </c>
      <c r="C135" s="14">
        <f>IF(A135&lt;&gt;"",VLOOKUP(A135,'Personnel Screening Registry'!$A:$E,5,FALSE),"")</f>
        <v/>
      </c>
      <c r="D135" s="15" t="n"/>
      <c r="E135" s="15" t="n"/>
      <c r="F135" s="15" t="n"/>
      <c r="G135" s="15" t="n"/>
      <c r="H135" s="15" t="n"/>
      <c r="I135" s="15" t="n"/>
      <c r="J135" s="15" t="n"/>
      <c r="K135" s="14">
        <f>IF(A135="","",IF(AND(D135="Yes",E135="Yes",J135="Yes"),"Yes","No"))</f>
        <v/>
      </c>
      <c r="L135" s="14">
        <f>IF(A135="","",IF(VLOOKUP(A135,'Personnel Screening Registry'!$A:$I,8,FALSE)=VLOOKUP(A135,'Personnel Screening Registry'!$A:$I,9,FALSE),"Yes","No"))</f>
        <v/>
      </c>
      <c r="M135" s="14">
        <f>IF(A135="","",IF(AND(K135="Yes",L135="Yes"),"Compliant",IF(OR(K135="No",L135="No"),"Non-Compliant","Partial")))</f>
        <v/>
      </c>
      <c r="N135" s="15" t="n"/>
      <c r="O135" s="15" t="n"/>
    </row>
    <row r="136">
      <c r="A136" s="14">
        <f>IF(ROW()-4&lt;=COUNTA('Personnel Screening Registry'!$A:$A)-4,INDEX('Personnel Screening Registry'!$A:$A,ROW()-3),"")</f>
        <v/>
      </c>
      <c r="B136" s="14">
        <f>IF(A136&lt;&gt;"",VLOOKUP(A136,'Personnel Screening Registry'!$A:$B,2,FALSE),"")</f>
        <v/>
      </c>
      <c r="C136" s="14">
        <f>IF(A136&lt;&gt;"",VLOOKUP(A136,'Personnel Screening Registry'!$A:$E,5,FALSE),"")</f>
        <v/>
      </c>
      <c r="D136" s="15" t="n"/>
      <c r="E136" s="15" t="n"/>
      <c r="F136" s="15" t="n"/>
      <c r="G136" s="15" t="n"/>
      <c r="H136" s="15" t="n"/>
      <c r="I136" s="15" t="n"/>
      <c r="J136" s="15" t="n"/>
      <c r="K136" s="14">
        <f>IF(A136="","",IF(AND(D136="Yes",E136="Yes",J136="Yes"),"Yes","No"))</f>
        <v/>
      </c>
      <c r="L136" s="14">
        <f>IF(A136="","",IF(VLOOKUP(A136,'Personnel Screening Registry'!$A:$I,8,FALSE)=VLOOKUP(A136,'Personnel Screening Registry'!$A:$I,9,FALSE),"Yes","No"))</f>
        <v/>
      </c>
      <c r="M136" s="14">
        <f>IF(A136="","",IF(AND(K136="Yes",L136="Yes"),"Compliant",IF(OR(K136="No",L136="No"),"Non-Compliant","Partial")))</f>
        <v/>
      </c>
      <c r="N136" s="15" t="n"/>
      <c r="O136" s="15" t="n"/>
    </row>
    <row r="137">
      <c r="A137" s="14">
        <f>IF(ROW()-4&lt;=COUNTA('Personnel Screening Registry'!$A:$A)-4,INDEX('Personnel Screening Registry'!$A:$A,ROW()-3),"")</f>
        <v/>
      </c>
      <c r="B137" s="14">
        <f>IF(A137&lt;&gt;"",VLOOKUP(A137,'Personnel Screening Registry'!$A:$B,2,FALSE),"")</f>
        <v/>
      </c>
      <c r="C137" s="14">
        <f>IF(A137&lt;&gt;"",VLOOKUP(A137,'Personnel Screening Registry'!$A:$E,5,FALSE),"")</f>
        <v/>
      </c>
      <c r="D137" s="15" t="n"/>
      <c r="E137" s="15" t="n"/>
      <c r="F137" s="15" t="n"/>
      <c r="G137" s="15" t="n"/>
      <c r="H137" s="15" t="n"/>
      <c r="I137" s="15" t="n"/>
      <c r="J137" s="15" t="n"/>
      <c r="K137" s="14">
        <f>IF(A137="","",IF(AND(D137="Yes",E137="Yes",J137="Yes"),"Yes","No"))</f>
        <v/>
      </c>
      <c r="L137" s="14">
        <f>IF(A137="","",IF(VLOOKUP(A137,'Personnel Screening Registry'!$A:$I,8,FALSE)=VLOOKUP(A137,'Personnel Screening Registry'!$A:$I,9,FALSE),"Yes","No"))</f>
        <v/>
      </c>
      <c r="M137" s="14">
        <f>IF(A137="","",IF(AND(K137="Yes",L137="Yes"),"Compliant",IF(OR(K137="No",L137="No"),"Non-Compliant","Partial")))</f>
        <v/>
      </c>
      <c r="N137" s="15" t="n"/>
      <c r="O137" s="15" t="n"/>
    </row>
    <row r="138">
      <c r="A138" s="14">
        <f>IF(ROW()-4&lt;=COUNTA('Personnel Screening Registry'!$A:$A)-4,INDEX('Personnel Screening Registry'!$A:$A,ROW()-3),"")</f>
        <v/>
      </c>
      <c r="B138" s="14">
        <f>IF(A138&lt;&gt;"",VLOOKUP(A138,'Personnel Screening Registry'!$A:$B,2,FALSE),"")</f>
        <v/>
      </c>
      <c r="C138" s="14">
        <f>IF(A138&lt;&gt;"",VLOOKUP(A138,'Personnel Screening Registry'!$A:$E,5,FALSE),"")</f>
        <v/>
      </c>
      <c r="D138" s="15" t="n"/>
      <c r="E138" s="15" t="n"/>
      <c r="F138" s="15" t="n"/>
      <c r="G138" s="15" t="n"/>
      <c r="H138" s="15" t="n"/>
      <c r="I138" s="15" t="n"/>
      <c r="J138" s="15" t="n"/>
      <c r="K138" s="14">
        <f>IF(A138="","",IF(AND(D138="Yes",E138="Yes",J138="Yes"),"Yes","No"))</f>
        <v/>
      </c>
      <c r="L138" s="14">
        <f>IF(A138="","",IF(VLOOKUP(A138,'Personnel Screening Registry'!$A:$I,8,FALSE)=VLOOKUP(A138,'Personnel Screening Registry'!$A:$I,9,FALSE),"Yes","No"))</f>
        <v/>
      </c>
      <c r="M138" s="14">
        <f>IF(A138="","",IF(AND(K138="Yes",L138="Yes"),"Compliant",IF(OR(K138="No",L138="No"),"Non-Compliant","Partial")))</f>
        <v/>
      </c>
      <c r="N138" s="15" t="n"/>
      <c r="O138" s="15" t="n"/>
    </row>
    <row r="139">
      <c r="A139" s="14">
        <f>IF(ROW()-4&lt;=COUNTA('Personnel Screening Registry'!$A:$A)-4,INDEX('Personnel Screening Registry'!$A:$A,ROW()-3),"")</f>
        <v/>
      </c>
      <c r="B139" s="14">
        <f>IF(A139&lt;&gt;"",VLOOKUP(A139,'Personnel Screening Registry'!$A:$B,2,FALSE),"")</f>
        <v/>
      </c>
      <c r="C139" s="14">
        <f>IF(A139&lt;&gt;"",VLOOKUP(A139,'Personnel Screening Registry'!$A:$E,5,FALSE),"")</f>
        <v/>
      </c>
      <c r="D139" s="15" t="n"/>
      <c r="E139" s="15" t="n"/>
      <c r="F139" s="15" t="n"/>
      <c r="G139" s="15" t="n"/>
      <c r="H139" s="15" t="n"/>
      <c r="I139" s="15" t="n"/>
      <c r="J139" s="15" t="n"/>
      <c r="K139" s="14">
        <f>IF(A139="","",IF(AND(D139="Yes",E139="Yes",J139="Yes"),"Yes","No"))</f>
        <v/>
      </c>
      <c r="L139" s="14">
        <f>IF(A139="","",IF(VLOOKUP(A139,'Personnel Screening Registry'!$A:$I,8,FALSE)=VLOOKUP(A139,'Personnel Screening Registry'!$A:$I,9,FALSE),"Yes","No"))</f>
        <v/>
      </c>
      <c r="M139" s="14">
        <f>IF(A139="","",IF(AND(K139="Yes",L139="Yes"),"Compliant",IF(OR(K139="No",L139="No"),"Non-Compliant","Partial")))</f>
        <v/>
      </c>
      <c r="N139" s="15" t="n"/>
      <c r="O139" s="15" t="n"/>
    </row>
    <row r="140">
      <c r="A140" s="14">
        <f>IF(ROW()-4&lt;=COUNTA('Personnel Screening Registry'!$A:$A)-4,INDEX('Personnel Screening Registry'!$A:$A,ROW()-3),"")</f>
        <v/>
      </c>
      <c r="B140" s="14">
        <f>IF(A140&lt;&gt;"",VLOOKUP(A140,'Personnel Screening Registry'!$A:$B,2,FALSE),"")</f>
        <v/>
      </c>
      <c r="C140" s="14">
        <f>IF(A140&lt;&gt;"",VLOOKUP(A140,'Personnel Screening Registry'!$A:$E,5,FALSE),"")</f>
        <v/>
      </c>
      <c r="D140" s="15" t="n"/>
      <c r="E140" s="15" t="n"/>
      <c r="F140" s="15" t="n"/>
      <c r="G140" s="15" t="n"/>
      <c r="H140" s="15" t="n"/>
      <c r="I140" s="15" t="n"/>
      <c r="J140" s="15" t="n"/>
      <c r="K140" s="14">
        <f>IF(A140="","",IF(AND(D140="Yes",E140="Yes",J140="Yes"),"Yes","No"))</f>
        <v/>
      </c>
      <c r="L140" s="14">
        <f>IF(A140="","",IF(VLOOKUP(A140,'Personnel Screening Registry'!$A:$I,8,FALSE)=VLOOKUP(A140,'Personnel Screening Registry'!$A:$I,9,FALSE),"Yes","No"))</f>
        <v/>
      </c>
      <c r="M140" s="14">
        <f>IF(A140="","",IF(AND(K140="Yes",L140="Yes"),"Compliant",IF(OR(K140="No",L140="No"),"Non-Compliant","Partial")))</f>
        <v/>
      </c>
      <c r="N140" s="15" t="n"/>
      <c r="O140" s="15" t="n"/>
    </row>
    <row r="141">
      <c r="A141" s="14">
        <f>IF(ROW()-4&lt;=COUNTA('Personnel Screening Registry'!$A:$A)-4,INDEX('Personnel Screening Registry'!$A:$A,ROW()-3),"")</f>
        <v/>
      </c>
      <c r="B141" s="14">
        <f>IF(A141&lt;&gt;"",VLOOKUP(A141,'Personnel Screening Registry'!$A:$B,2,FALSE),"")</f>
        <v/>
      </c>
      <c r="C141" s="14">
        <f>IF(A141&lt;&gt;"",VLOOKUP(A141,'Personnel Screening Registry'!$A:$E,5,FALSE),"")</f>
        <v/>
      </c>
      <c r="D141" s="15" t="n"/>
      <c r="E141" s="15" t="n"/>
      <c r="F141" s="15" t="n"/>
      <c r="G141" s="15" t="n"/>
      <c r="H141" s="15" t="n"/>
      <c r="I141" s="15" t="n"/>
      <c r="J141" s="15" t="n"/>
      <c r="K141" s="14">
        <f>IF(A141="","",IF(AND(D141="Yes",E141="Yes",J141="Yes"),"Yes","No"))</f>
        <v/>
      </c>
      <c r="L141" s="14">
        <f>IF(A141="","",IF(VLOOKUP(A141,'Personnel Screening Registry'!$A:$I,8,FALSE)=VLOOKUP(A141,'Personnel Screening Registry'!$A:$I,9,FALSE),"Yes","No"))</f>
        <v/>
      </c>
      <c r="M141" s="14">
        <f>IF(A141="","",IF(AND(K141="Yes",L141="Yes"),"Compliant",IF(OR(K141="No",L141="No"),"Non-Compliant","Partial")))</f>
        <v/>
      </c>
      <c r="N141" s="15" t="n"/>
      <c r="O141" s="15" t="n"/>
    </row>
    <row r="142">
      <c r="A142" s="14">
        <f>IF(ROW()-4&lt;=COUNTA('Personnel Screening Registry'!$A:$A)-4,INDEX('Personnel Screening Registry'!$A:$A,ROW()-3),"")</f>
        <v/>
      </c>
      <c r="B142" s="14">
        <f>IF(A142&lt;&gt;"",VLOOKUP(A142,'Personnel Screening Registry'!$A:$B,2,FALSE),"")</f>
        <v/>
      </c>
      <c r="C142" s="14">
        <f>IF(A142&lt;&gt;"",VLOOKUP(A142,'Personnel Screening Registry'!$A:$E,5,FALSE),"")</f>
        <v/>
      </c>
      <c r="D142" s="15" t="n"/>
      <c r="E142" s="15" t="n"/>
      <c r="F142" s="15" t="n"/>
      <c r="G142" s="15" t="n"/>
      <c r="H142" s="15" t="n"/>
      <c r="I142" s="15" t="n"/>
      <c r="J142" s="15" t="n"/>
      <c r="K142" s="14">
        <f>IF(A142="","",IF(AND(D142="Yes",E142="Yes",J142="Yes"),"Yes","No"))</f>
        <v/>
      </c>
      <c r="L142" s="14">
        <f>IF(A142="","",IF(VLOOKUP(A142,'Personnel Screening Registry'!$A:$I,8,FALSE)=VLOOKUP(A142,'Personnel Screening Registry'!$A:$I,9,FALSE),"Yes","No"))</f>
        <v/>
      </c>
      <c r="M142" s="14">
        <f>IF(A142="","",IF(AND(K142="Yes",L142="Yes"),"Compliant",IF(OR(K142="No",L142="No"),"Non-Compliant","Partial")))</f>
        <v/>
      </c>
      <c r="N142" s="15" t="n"/>
      <c r="O142" s="15" t="n"/>
    </row>
    <row r="143">
      <c r="A143" s="14">
        <f>IF(ROW()-4&lt;=COUNTA('Personnel Screening Registry'!$A:$A)-4,INDEX('Personnel Screening Registry'!$A:$A,ROW()-3),"")</f>
        <v/>
      </c>
      <c r="B143" s="14">
        <f>IF(A143&lt;&gt;"",VLOOKUP(A143,'Personnel Screening Registry'!$A:$B,2,FALSE),"")</f>
        <v/>
      </c>
      <c r="C143" s="14">
        <f>IF(A143&lt;&gt;"",VLOOKUP(A143,'Personnel Screening Registry'!$A:$E,5,FALSE),"")</f>
        <v/>
      </c>
      <c r="D143" s="15" t="n"/>
      <c r="E143" s="15" t="n"/>
      <c r="F143" s="15" t="n"/>
      <c r="G143" s="15" t="n"/>
      <c r="H143" s="15" t="n"/>
      <c r="I143" s="15" t="n"/>
      <c r="J143" s="15" t="n"/>
      <c r="K143" s="14">
        <f>IF(A143="","",IF(AND(D143="Yes",E143="Yes",J143="Yes"),"Yes","No"))</f>
        <v/>
      </c>
      <c r="L143" s="14">
        <f>IF(A143="","",IF(VLOOKUP(A143,'Personnel Screening Registry'!$A:$I,8,FALSE)=VLOOKUP(A143,'Personnel Screening Registry'!$A:$I,9,FALSE),"Yes","No"))</f>
        <v/>
      </c>
      <c r="M143" s="14">
        <f>IF(A143="","",IF(AND(K143="Yes",L143="Yes"),"Compliant",IF(OR(K143="No",L143="No"),"Non-Compliant","Partial")))</f>
        <v/>
      </c>
      <c r="N143" s="15" t="n"/>
      <c r="O143" s="15" t="n"/>
    </row>
    <row r="144">
      <c r="A144" s="14">
        <f>IF(ROW()-4&lt;=COUNTA('Personnel Screening Registry'!$A:$A)-4,INDEX('Personnel Screening Registry'!$A:$A,ROW()-3),"")</f>
        <v/>
      </c>
      <c r="B144" s="14">
        <f>IF(A144&lt;&gt;"",VLOOKUP(A144,'Personnel Screening Registry'!$A:$B,2,FALSE),"")</f>
        <v/>
      </c>
      <c r="C144" s="14">
        <f>IF(A144&lt;&gt;"",VLOOKUP(A144,'Personnel Screening Registry'!$A:$E,5,FALSE),"")</f>
        <v/>
      </c>
      <c r="D144" s="15" t="n"/>
      <c r="E144" s="15" t="n"/>
      <c r="F144" s="15" t="n"/>
      <c r="G144" s="15" t="n"/>
      <c r="H144" s="15" t="n"/>
      <c r="I144" s="15" t="n"/>
      <c r="J144" s="15" t="n"/>
      <c r="K144" s="14">
        <f>IF(A144="","",IF(AND(D144="Yes",E144="Yes",J144="Yes"),"Yes","No"))</f>
        <v/>
      </c>
      <c r="L144" s="14">
        <f>IF(A144="","",IF(VLOOKUP(A144,'Personnel Screening Registry'!$A:$I,8,FALSE)=VLOOKUP(A144,'Personnel Screening Registry'!$A:$I,9,FALSE),"Yes","No"))</f>
        <v/>
      </c>
      <c r="M144" s="14">
        <f>IF(A144="","",IF(AND(K144="Yes",L144="Yes"),"Compliant",IF(OR(K144="No",L144="No"),"Non-Compliant","Partial")))</f>
        <v/>
      </c>
      <c r="N144" s="15" t="n"/>
      <c r="O144" s="15" t="n"/>
    </row>
    <row r="145">
      <c r="A145" s="14">
        <f>IF(ROW()-4&lt;=COUNTA('Personnel Screening Registry'!$A:$A)-4,INDEX('Personnel Screening Registry'!$A:$A,ROW()-3),"")</f>
        <v/>
      </c>
      <c r="B145" s="14">
        <f>IF(A145&lt;&gt;"",VLOOKUP(A145,'Personnel Screening Registry'!$A:$B,2,FALSE),"")</f>
        <v/>
      </c>
      <c r="C145" s="14">
        <f>IF(A145&lt;&gt;"",VLOOKUP(A145,'Personnel Screening Registry'!$A:$E,5,FALSE),"")</f>
        <v/>
      </c>
      <c r="D145" s="15" t="n"/>
      <c r="E145" s="15" t="n"/>
      <c r="F145" s="15" t="n"/>
      <c r="G145" s="15" t="n"/>
      <c r="H145" s="15" t="n"/>
      <c r="I145" s="15" t="n"/>
      <c r="J145" s="15" t="n"/>
      <c r="K145" s="14">
        <f>IF(A145="","",IF(AND(D145="Yes",E145="Yes",J145="Yes"),"Yes","No"))</f>
        <v/>
      </c>
      <c r="L145" s="14">
        <f>IF(A145="","",IF(VLOOKUP(A145,'Personnel Screening Registry'!$A:$I,8,FALSE)=VLOOKUP(A145,'Personnel Screening Registry'!$A:$I,9,FALSE),"Yes","No"))</f>
        <v/>
      </c>
      <c r="M145" s="14">
        <f>IF(A145="","",IF(AND(K145="Yes",L145="Yes"),"Compliant",IF(OR(K145="No",L145="No"),"Non-Compliant","Partial")))</f>
        <v/>
      </c>
      <c r="N145" s="15" t="n"/>
      <c r="O145" s="15" t="n"/>
    </row>
    <row r="146">
      <c r="A146" s="14">
        <f>IF(ROW()-4&lt;=COUNTA('Personnel Screening Registry'!$A:$A)-4,INDEX('Personnel Screening Registry'!$A:$A,ROW()-3),"")</f>
        <v/>
      </c>
      <c r="B146" s="14">
        <f>IF(A146&lt;&gt;"",VLOOKUP(A146,'Personnel Screening Registry'!$A:$B,2,FALSE),"")</f>
        <v/>
      </c>
      <c r="C146" s="14">
        <f>IF(A146&lt;&gt;"",VLOOKUP(A146,'Personnel Screening Registry'!$A:$E,5,FALSE),"")</f>
        <v/>
      </c>
      <c r="D146" s="15" t="n"/>
      <c r="E146" s="15" t="n"/>
      <c r="F146" s="15" t="n"/>
      <c r="G146" s="15" t="n"/>
      <c r="H146" s="15" t="n"/>
      <c r="I146" s="15" t="n"/>
      <c r="J146" s="15" t="n"/>
      <c r="K146" s="14">
        <f>IF(A146="","",IF(AND(D146="Yes",E146="Yes",J146="Yes"),"Yes","No"))</f>
        <v/>
      </c>
      <c r="L146" s="14">
        <f>IF(A146="","",IF(VLOOKUP(A146,'Personnel Screening Registry'!$A:$I,8,FALSE)=VLOOKUP(A146,'Personnel Screening Registry'!$A:$I,9,FALSE),"Yes","No"))</f>
        <v/>
      </c>
      <c r="M146" s="14">
        <f>IF(A146="","",IF(AND(K146="Yes",L146="Yes"),"Compliant",IF(OR(K146="No",L146="No"),"Non-Compliant","Partial")))</f>
        <v/>
      </c>
      <c r="N146" s="15" t="n"/>
      <c r="O146" s="15" t="n"/>
    </row>
    <row r="147">
      <c r="A147" s="14">
        <f>IF(ROW()-4&lt;=COUNTA('Personnel Screening Registry'!$A:$A)-4,INDEX('Personnel Screening Registry'!$A:$A,ROW()-3),"")</f>
        <v/>
      </c>
      <c r="B147" s="14">
        <f>IF(A147&lt;&gt;"",VLOOKUP(A147,'Personnel Screening Registry'!$A:$B,2,FALSE),"")</f>
        <v/>
      </c>
      <c r="C147" s="14">
        <f>IF(A147&lt;&gt;"",VLOOKUP(A147,'Personnel Screening Registry'!$A:$E,5,FALSE),"")</f>
        <v/>
      </c>
      <c r="D147" s="15" t="n"/>
      <c r="E147" s="15" t="n"/>
      <c r="F147" s="15" t="n"/>
      <c r="G147" s="15" t="n"/>
      <c r="H147" s="15" t="n"/>
      <c r="I147" s="15" t="n"/>
      <c r="J147" s="15" t="n"/>
      <c r="K147" s="14">
        <f>IF(A147="","",IF(AND(D147="Yes",E147="Yes",J147="Yes"),"Yes","No"))</f>
        <v/>
      </c>
      <c r="L147" s="14">
        <f>IF(A147="","",IF(VLOOKUP(A147,'Personnel Screening Registry'!$A:$I,8,FALSE)=VLOOKUP(A147,'Personnel Screening Registry'!$A:$I,9,FALSE),"Yes","No"))</f>
        <v/>
      </c>
      <c r="M147" s="14">
        <f>IF(A147="","",IF(AND(K147="Yes",L147="Yes"),"Compliant",IF(OR(K147="No",L147="No"),"Non-Compliant","Partial")))</f>
        <v/>
      </c>
      <c r="N147" s="15" t="n"/>
      <c r="O147" s="15" t="n"/>
    </row>
    <row r="148">
      <c r="A148" s="14">
        <f>IF(ROW()-4&lt;=COUNTA('Personnel Screening Registry'!$A:$A)-4,INDEX('Personnel Screening Registry'!$A:$A,ROW()-3),"")</f>
        <v/>
      </c>
      <c r="B148" s="14">
        <f>IF(A148&lt;&gt;"",VLOOKUP(A148,'Personnel Screening Registry'!$A:$B,2,FALSE),"")</f>
        <v/>
      </c>
      <c r="C148" s="14">
        <f>IF(A148&lt;&gt;"",VLOOKUP(A148,'Personnel Screening Registry'!$A:$E,5,FALSE),"")</f>
        <v/>
      </c>
      <c r="D148" s="15" t="n"/>
      <c r="E148" s="15" t="n"/>
      <c r="F148" s="15" t="n"/>
      <c r="G148" s="15" t="n"/>
      <c r="H148" s="15" t="n"/>
      <c r="I148" s="15" t="n"/>
      <c r="J148" s="15" t="n"/>
      <c r="K148" s="14">
        <f>IF(A148="","",IF(AND(D148="Yes",E148="Yes",J148="Yes"),"Yes","No"))</f>
        <v/>
      </c>
      <c r="L148" s="14">
        <f>IF(A148="","",IF(VLOOKUP(A148,'Personnel Screening Registry'!$A:$I,8,FALSE)=VLOOKUP(A148,'Personnel Screening Registry'!$A:$I,9,FALSE),"Yes","No"))</f>
        <v/>
      </c>
      <c r="M148" s="14">
        <f>IF(A148="","",IF(AND(K148="Yes",L148="Yes"),"Compliant",IF(OR(K148="No",L148="No"),"Non-Compliant","Partial")))</f>
        <v/>
      </c>
      <c r="N148" s="15" t="n"/>
      <c r="O148" s="15" t="n"/>
    </row>
    <row r="149">
      <c r="A149" s="14">
        <f>IF(ROW()-4&lt;=COUNTA('Personnel Screening Registry'!$A:$A)-4,INDEX('Personnel Screening Registry'!$A:$A,ROW()-3),"")</f>
        <v/>
      </c>
      <c r="B149" s="14">
        <f>IF(A149&lt;&gt;"",VLOOKUP(A149,'Personnel Screening Registry'!$A:$B,2,FALSE),"")</f>
        <v/>
      </c>
      <c r="C149" s="14">
        <f>IF(A149&lt;&gt;"",VLOOKUP(A149,'Personnel Screening Registry'!$A:$E,5,FALSE),"")</f>
        <v/>
      </c>
      <c r="D149" s="15" t="n"/>
      <c r="E149" s="15" t="n"/>
      <c r="F149" s="15" t="n"/>
      <c r="G149" s="15" t="n"/>
      <c r="H149" s="15" t="n"/>
      <c r="I149" s="15" t="n"/>
      <c r="J149" s="15" t="n"/>
      <c r="K149" s="14">
        <f>IF(A149="","",IF(AND(D149="Yes",E149="Yes",J149="Yes"),"Yes","No"))</f>
        <v/>
      </c>
      <c r="L149" s="14">
        <f>IF(A149="","",IF(VLOOKUP(A149,'Personnel Screening Registry'!$A:$I,8,FALSE)=VLOOKUP(A149,'Personnel Screening Registry'!$A:$I,9,FALSE),"Yes","No"))</f>
        <v/>
      </c>
      <c r="M149" s="14">
        <f>IF(A149="","",IF(AND(K149="Yes",L149="Yes"),"Compliant",IF(OR(K149="No",L149="No"),"Non-Compliant","Partial")))</f>
        <v/>
      </c>
      <c r="N149" s="15" t="n"/>
      <c r="O149" s="15" t="n"/>
    </row>
    <row r="150">
      <c r="A150" s="14">
        <f>IF(ROW()-4&lt;=COUNTA('Personnel Screening Registry'!$A:$A)-4,INDEX('Personnel Screening Registry'!$A:$A,ROW()-3),"")</f>
        <v/>
      </c>
      <c r="B150" s="14">
        <f>IF(A150&lt;&gt;"",VLOOKUP(A150,'Personnel Screening Registry'!$A:$B,2,FALSE),"")</f>
        <v/>
      </c>
      <c r="C150" s="14">
        <f>IF(A150&lt;&gt;"",VLOOKUP(A150,'Personnel Screening Registry'!$A:$E,5,FALSE),"")</f>
        <v/>
      </c>
      <c r="D150" s="15" t="n"/>
      <c r="E150" s="15" t="n"/>
      <c r="F150" s="15" t="n"/>
      <c r="G150" s="15" t="n"/>
      <c r="H150" s="15" t="n"/>
      <c r="I150" s="15" t="n"/>
      <c r="J150" s="15" t="n"/>
      <c r="K150" s="14">
        <f>IF(A150="","",IF(AND(D150="Yes",E150="Yes",J150="Yes"),"Yes","No"))</f>
        <v/>
      </c>
      <c r="L150" s="14">
        <f>IF(A150="","",IF(VLOOKUP(A150,'Personnel Screening Registry'!$A:$I,8,FALSE)=VLOOKUP(A150,'Personnel Screening Registry'!$A:$I,9,FALSE),"Yes","No"))</f>
        <v/>
      </c>
      <c r="M150" s="14">
        <f>IF(A150="","",IF(AND(K150="Yes",L150="Yes"),"Compliant",IF(OR(K150="No",L150="No"),"Non-Compliant","Partial")))</f>
        <v/>
      </c>
      <c r="N150" s="15" t="n"/>
      <c r="O150" s="15" t="n"/>
    </row>
    <row r="151">
      <c r="A151" s="14">
        <f>IF(ROW()-4&lt;=COUNTA('Personnel Screening Registry'!$A:$A)-4,INDEX('Personnel Screening Registry'!$A:$A,ROW()-3),"")</f>
        <v/>
      </c>
      <c r="B151" s="14">
        <f>IF(A151&lt;&gt;"",VLOOKUP(A151,'Personnel Screening Registry'!$A:$B,2,FALSE),"")</f>
        <v/>
      </c>
      <c r="C151" s="14">
        <f>IF(A151&lt;&gt;"",VLOOKUP(A151,'Personnel Screening Registry'!$A:$E,5,FALSE),"")</f>
        <v/>
      </c>
      <c r="D151" s="15" t="n"/>
      <c r="E151" s="15" t="n"/>
      <c r="F151" s="15" t="n"/>
      <c r="G151" s="15" t="n"/>
      <c r="H151" s="15" t="n"/>
      <c r="I151" s="15" t="n"/>
      <c r="J151" s="15" t="n"/>
      <c r="K151" s="14">
        <f>IF(A151="","",IF(AND(D151="Yes",E151="Yes",J151="Yes"),"Yes","No"))</f>
        <v/>
      </c>
      <c r="L151" s="14">
        <f>IF(A151="","",IF(VLOOKUP(A151,'Personnel Screening Registry'!$A:$I,8,FALSE)=VLOOKUP(A151,'Personnel Screening Registry'!$A:$I,9,FALSE),"Yes","No"))</f>
        <v/>
      </c>
      <c r="M151" s="14">
        <f>IF(A151="","",IF(AND(K151="Yes",L151="Yes"),"Compliant",IF(OR(K151="No",L151="No"),"Non-Compliant","Partial")))</f>
        <v/>
      </c>
      <c r="N151" s="15" t="n"/>
      <c r="O151" s="15" t="n"/>
    </row>
    <row r="152">
      <c r="A152" s="14">
        <f>IF(ROW()-4&lt;=COUNTA('Personnel Screening Registry'!$A:$A)-4,INDEX('Personnel Screening Registry'!$A:$A,ROW()-3),"")</f>
        <v/>
      </c>
      <c r="B152" s="14">
        <f>IF(A152&lt;&gt;"",VLOOKUP(A152,'Personnel Screening Registry'!$A:$B,2,FALSE),"")</f>
        <v/>
      </c>
      <c r="C152" s="14">
        <f>IF(A152&lt;&gt;"",VLOOKUP(A152,'Personnel Screening Registry'!$A:$E,5,FALSE),"")</f>
        <v/>
      </c>
      <c r="D152" s="15" t="n"/>
      <c r="E152" s="15" t="n"/>
      <c r="F152" s="15" t="n"/>
      <c r="G152" s="15" t="n"/>
      <c r="H152" s="15" t="n"/>
      <c r="I152" s="15" t="n"/>
      <c r="J152" s="15" t="n"/>
      <c r="K152" s="14">
        <f>IF(A152="","",IF(AND(D152="Yes",E152="Yes",J152="Yes"),"Yes","No"))</f>
        <v/>
      </c>
      <c r="L152" s="14">
        <f>IF(A152="","",IF(VLOOKUP(A152,'Personnel Screening Registry'!$A:$I,8,FALSE)=VLOOKUP(A152,'Personnel Screening Registry'!$A:$I,9,FALSE),"Yes","No"))</f>
        <v/>
      </c>
      <c r="M152" s="14">
        <f>IF(A152="","",IF(AND(K152="Yes",L152="Yes"),"Compliant",IF(OR(K152="No",L152="No"),"Non-Compliant","Partial")))</f>
        <v/>
      </c>
      <c r="N152" s="15" t="n"/>
      <c r="O152" s="15" t="n"/>
    </row>
    <row r="153">
      <c r="A153" s="14">
        <f>IF(ROW()-4&lt;=COUNTA('Personnel Screening Registry'!$A:$A)-4,INDEX('Personnel Screening Registry'!$A:$A,ROW()-3),"")</f>
        <v/>
      </c>
      <c r="B153" s="14">
        <f>IF(A153&lt;&gt;"",VLOOKUP(A153,'Personnel Screening Registry'!$A:$B,2,FALSE),"")</f>
        <v/>
      </c>
      <c r="C153" s="14">
        <f>IF(A153&lt;&gt;"",VLOOKUP(A153,'Personnel Screening Registry'!$A:$E,5,FALSE),"")</f>
        <v/>
      </c>
      <c r="D153" s="15" t="n"/>
      <c r="E153" s="15" t="n"/>
      <c r="F153" s="15" t="n"/>
      <c r="G153" s="15" t="n"/>
      <c r="H153" s="15" t="n"/>
      <c r="I153" s="15" t="n"/>
      <c r="J153" s="15" t="n"/>
      <c r="K153" s="14">
        <f>IF(A153="","",IF(AND(D153="Yes",E153="Yes",J153="Yes"),"Yes","No"))</f>
        <v/>
      </c>
      <c r="L153" s="14">
        <f>IF(A153="","",IF(VLOOKUP(A153,'Personnel Screening Registry'!$A:$I,8,FALSE)=VLOOKUP(A153,'Personnel Screening Registry'!$A:$I,9,FALSE),"Yes","No"))</f>
        <v/>
      </c>
      <c r="M153" s="14">
        <f>IF(A153="","",IF(AND(K153="Yes",L153="Yes"),"Compliant",IF(OR(K153="No",L153="No"),"Non-Compliant","Partial")))</f>
        <v/>
      </c>
      <c r="N153" s="15" t="n"/>
      <c r="O153" s="15" t="n"/>
    </row>
    <row r="154">
      <c r="A154" s="14">
        <f>IF(ROW()-4&lt;=COUNTA('Personnel Screening Registry'!$A:$A)-4,INDEX('Personnel Screening Registry'!$A:$A,ROW()-3),"")</f>
        <v/>
      </c>
      <c r="B154" s="14">
        <f>IF(A154&lt;&gt;"",VLOOKUP(A154,'Personnel Screening Registry'!$A:$B,2,FALSE),"")</f>
        <v/>
      </c>
      <c r="C154" s="14">
        <f>IF(A154&lt;&gt;"",VLOOKUP(A154,'Personnel Screening Registry'!$A:$E,5,FALSE),"")</f>
        <v/>
      </c>
      <c r="D154" s="15" t="n"/>
      <c r="E154" s="15" t="n"/>
      <c r="F154" s="15" t="n"/>
      <c r="G154" s="15" t="n"/>
      <c r="H154" s="15" t="n"/>
      <c r="I154" s="15" t="n"/>
      <c r="J154" s="15" t="n"/>
      <c r="K154" s="14">
        <f>IF(A154="","",IF(AND(D154="Yes",E154="Yes",J154="Yes"),"Yes","No"))</f>
        <v/>
      </c>
      <c r="L154" s="14">
        <f>IF(A154="","",IF(VLOOKUP(A154,'Personnel Screening Registry'!$A:$I,8,FALSE)=VLOOKUP(A154,'Personnel Screening Registry'!$A:$I,9,FALSE),"Yes","No"))</f>
        <v/>
      </c>
      <c r="M154" s="14">
        <f>IF(A154="","",IF(AND(K154="Yes",L154="Yes"),"Compliant",IF(OR(K154="No",L154="No"),"Non-Compliant","Partial")))</f>
        <v/>
      </c>
      <c r="N154" s="15" t="n"/>
      <c r="O154" s="15" t="n"/>
    </row>
    <row r="155">
      <c r="A155" s="14">
        <f>IF(ROW()-4&lt;=COUNTA('Personnel Screening Registry'!$A:$A)-4,INDEX('Personnel Screening Registry'!$A:$A,ROW()-3),"")</f>
        <v/>
      </c>
      <c r="B155" s="14">
        <f>IF(A155&lt;&gt;"",VLOOKUP(A155,'Personnel Screening Registry'!$A:$B,2,FALSE),"")</f>
        <v/>
      </c>
      <c r="C155" s="14">
        <f>IF(A155&lt;&gt;"",VLOOKUP(A155,'Personnel Screening Registry'!$A:$E,5,FALSE),"")</f>
        <v/>
      </c>
      <c r="D155" s="15" t="n"/>
      <c r="E155" s="15" t="n"/>
      <c r="F155" s="15" t="n"/>
      <c r="G155" s="15" t="n"/>
      <c r="H155" s="15" t="n"/>
      <c r="I155" s="15" t="n"/>
      <c r="J155" s="15" t="n"/>
      <c r="K155" s="14">
        <f>IF(A155="","",IF(AND(D155="Yes",E155="Yes",J155="Yes"),"Yes","No"))</f>
        <v/>
      </c>
      <c r="L155" s="14">
        <f>IF(A155="","",IF(VLOOKUP(A155,'Personnel Screening Registry'!$A:$I,8,FALSE)=VLOOKUP(A155,'Personnel Screening Registry'!$A:$I,9,FALSE),"Yes","No"))</f>
        <v/>
      </c>
      <c r="M155" s="14">
        <f>IF(A155="","",IF(AND(K155="Yes",L155="Yes"),"Compliant",IF(OR(K155="No",L155="No"),"Non-Compliant","Partial")))</f>
        <v/>
      </c>
      <c r="N155" s="15" t="n"/>
      <c r="O155" s="15" t="n"/>
    </row>
    <row r="156">
      <c r="A156" s="14">
        <f>IF(ROW()-4&lt;=COUNTA('Personnel Screening Registry'!$A:$A)-4,INDEX('Personnel Screening Registry'!$A:$A,ROW()-3),"")</f>
        <v/>
      </c>
      <c r="B156" s="14">
        <f>IF(A156&lt;&gt;"",VLOOKUP(A156,'Personnel Screening Registry'!$A:$B,2,FALSE),"")</f>
        <v/>
      </c>
      <c r="C156" s="14">
        <f>IF(A156&lt;&gt;"",VLOOKUP(A156,'Personnel Screening Registry'!$A:$E,5,FALSE),"")</f>
        <v/>
      </c>
      <c r="D156" s="15" t="n"/>
      <c r="E156" s="15" t="n"/>
      <c r="F156" s="15" t="n"/>
      <c r="G156" s="15" t="n"/>
      <c r="H156" s="15" t="n"/>
      <c r="I156" s="15" t="n"/>
      <c r="J156" s="15" t="n"/>
      <c r="K156" s="14">
        <f>IF(A156="","",IF(AND(D156="Yes",E156="Yes",J156="Yes"),"Yes","No"))</f>
        <v/>
      </c>
      <c r="L156" s="14">
        <f>IF(A156="","",IF(VLOOKUP(A156,'Personnel Screening Registry'!$A:$I,8,FALSE)=VLOOKUP(A156,'Personnel Screening Registry'!$A:$I,9,FALSE),"Yes","No"))</f>
        <v/>
      </c>
      <c r="M156" s="14">
        <f>IF(A156="","",IF(AND(K156="Yes",L156="Yes"),"Compliant",IF(OR(K156="No",L156="No"),"Non-Compliant","Partial")))</f>
        <v/>
      </c>
      <c r="N156" s="15" t="n"/>
      <c r="O156" s="15" t="n"/>
    </row>
    <row r="157">
      <c r="A157" s="14">
        <f>IF(ROW()-4&lt;=COUNTA('Personnel Screening Registry'!$A:$A)-4,INDEX('Personnel Screening Registry'!$A:$A,ROW()-3),"")</f>
        <v/>
      </c>
      <c r="B157" s="14">
        <f>IF(A157&lt;&gt;"",VLOOKUP(A157,'Personnel Screening Registry'!$A:$B,2,FALSE),"")</f>
        <v/>
      </c>
      <c r="C157" s="14">
        <f>IF(A157&lt;&gt;"",VLOOKUP(A157,'Personnel Screening Registry'!$A:$E,5,FALSE),"")</f>
        <v/>
      </c>
      <c r="D157" s="15" t="n"/>
      <c r="E157" s="15" t="n"/>
      <c r="F157" s="15" t="n"/>
      <c r="G157" s="15" t="n"/>
      <c r="H157" s="15" t="n"/>
      <c r="I157" s="15" t="n"/>
      <c r="J157" s="15" t="n"/>
      <c r="K157" s="14">
        <f>IF(A157="","",IF(AND(D157="Yes",E157="Yes",J157="Yes"),"Yes","No"))</f>
        <v/>
      </c>
      <c r="L157" s="14">
        <f>IF(A157="","",IF(VLOOKUP(A157,'Personnel Screening Registry'!$A:$I,8,FALSE)=VLOOKUP(A157,'Personnel Screening Registry'!$A:$I,9,FALSE),"Yes","No"))</f>
        <v/>
      </c>
      <c r="M157" s="14">
        <f>IF(A157="","",IF(AND(K157="Yes",L157="Yes"),"Compliant",IF(OR(K157="No",L157="No"),"Non-Compliant","Partial")))</f>
        <v/>
      </c>
      <c r="N157" s="15" t="n"/>
      <c r="O157" s="15" t="n"/>
    </row>
    <row r="158">
      <c r="A158" s="14">
        <f>IF(ROW()-4&lt;=COUNTA('Personnel Screening Registry'!$A:$A)-4,INDEX('Personnel Screening Registry'!$A:$A,ROW()-3),"")</f>
        <v/>
      </c>
      <c r="B158" s="14">
        <f>IF(A158&lt;&gt;"",VLOOKUP(A158,'Personnel Screening Registry'!$A:$B,2,FALSE),"")</f>
        <v/>
      </c>
      <c r="C158" s="14">
        <f>IF(A158&lt;&gt;"",VLOOKUP(A158,'Personnel Screening Registry'!$A:$E,5,FALSE),"")</f>
        <v/>
      </c>
      <c r="D158" s="15" t="n"/>
      <c r="E158" s="15" t="n"/>
      <c r="F158" s="15" t="n"/>
      <c r="G158" s="15" t="n"/>
      <c r="H158" s="15" t="n"/>
      <c r="I158" s="15" t="n"/>
      <c r="J158" s="15" t="n"/>
      <c r="K158" s="14">
        <f>IF(A158="","",IF(AND(D158="Yes",E158="Yes",J158="Yes"),"Yes","No"))</f>
        <v/>
      </c>
      <c r="L158" s="14">
        <f>IF(A158="","",IF(VLOOKUP(A158,'Personnel Screening Registry'!$A:$I,8,FALSE)=VLOOKUP(A158,'Personnel Screening Registry'!$A:$I,9,FALSE),"Yes","No"))</f>
        <v/>
      </c>
      <c r="M158" s="14">
        <f>IF(A158="","",IF(AND(K158="Yes",L158="Yes"),"Compliant",IF(OR(K158="No",L158="No"),"Non-Compliant","Partial")))</f>
        <v/>
      </c>
      <c r="N158" s="15" t="n"/>
      <c r="O158" s="15" t="n"/>
    </row>
    <row r="159">
      <c r="A159" s="14">
        <f>IF(ROW()-4&lt;=COUNTA('Personnel Screening Registry'!$A:$A)-4,INDEX('Personnel Screening Registry'!$A:$A,ROW()-3),"")</f>
        <v/>
      </c>
      <c r="B159" s="14">
        <f>IF(A159&lt;&gt;"",VLOOKUP(A159,'Personnel Screening Registry'!$A:$B,2,FALSE),"")</f>
        <v/>
      </c>
      <c r="C159" s="14">
        <f>IF(A159&lt;&gt;"",VLOOKUP(A159,'Personnel Screening Registry'!$A:$E,5,FALSE),"")</f>
        <v/>
      </c>
      <c r="D159" s="15" t="n"/>
      <c r="E159" s="15" t="n"/>
      <c r="F159" s="15" t="n"/>
      <c r="G159" s="15" t="n"/>
      <c r="H159" s="15" t="n"/>
      <c r="I159" s="15" t="n"/>
      <c r="J159" s="15" t="n"/>
      <c r="K159" s="14">
        <f>IF(A159="","",IF(AND(D159="Yes",E159="Yes",J159="Yes"),"Yes","No"))</f>
        <v/>
      </c>
      <c r="L159" s="14">
        <f>IF(A159="","",IF(VLOOKUP(A159,'Personnel Screening Registry'!$A:$I,8,FALSE)=VLOOKUP(A159,'Personnel Screening Registry'!$A:$I,9,FALSE),"Yes","No"))</f>
        <v/>
      </c>
      <c r="M159" s="14">
        <f>IF(A159="","",IF(AND(K159="Yes",L159="Yes"),"Compliant",IF(OR(K159="No",L159="No"),"Non-Compliant","Partial")))</f>
        <v/>
      </c>
      <c r="N159" s="15" t="n"/>
      <c r="O159" s="15" t="n"/>
    </row>
    <row r="160">
      <c r="A160" s="14">
        <f>IF(ROW()-4&lt;=COUNTA('Personnel Screening Registry'!$A:$A)-4,INDEX('Personnel Screening Registry'!$A:$A,ROW()-3),"")</f>
        <v/>
      </c>
      <c r="B160" s="14">
        <f>IF(A160&lt;&gt;"",VLOOKUP(A160,'Personnel Screening Registry'!$A:$B,2,FALSE),"")</f>
        <v/>
      </c>
      <c r="C160" s="14">
        <f>IF(A160&lt;&gt;"",VLOOKUP(A160,'Personnel Screening Registry'!$A:$E,5,FALSE),"")</f>
        <v/>
      </c>
      <c r="D160" s="15" t="n"/>
      <c r="E160" s="15" t="n"/>
      <c r="F160" s="15" t="n"/>
      <c r="G160" s="15" t="n"/>
      <c r="H160" s="15" t="n"/>
      <c r="I160" s="15" t="n"/>
      <c r="J160" s="15" t="n"/>
      <c r="K160" s="14">
        <f>IF(A160="","",IF(AND(D160="Yes",E160="Yes",J160="Yes"),"Yes","No"))</f>
        <v/>
      </c>
      <c r="L160" s="14">
        <f>IF(A160="","",IF(VLOOKUP(A160,'Personnel Screening Registry'!$A:$I,8,FALSE)=VLOOKUP(A160,'Personnel Screening Registry'!$A:$I,9,FALSE),"Yes","No"))</f>
        <v/>
      </c>
      <c r="M160" s="14">
        <f>IF(A160="","",IF(AND(K160="Yes",L160="Yes"),"Compliant",IF(OR(K160="No",L160="No"),"Non-Compliant","Partial")))</f>
        <v/>
      </c>
      <c r="N160" s="15" t="n"/>
      <c r="O160" s="15" t="n"/>
    </row>
    <row r="161">
      <c r="A161" s="14">
        <f>IF(ROW()-4&lt;=COUNTA('Personnel Screening Registry'!$A:$A)-4,INDEX('Personnel Screening Registry'!$A:$A,ROW()-3),"")</f>
        <v/>
      </c>
      <c r="B161" s="14">
        <f>IF(A161&lt;&gt;"",VLOOKUP(A161,'Personnel Screening Registry'!$A:$B,2,FALSE),"")</f>
        <v/>
      </c>
      <c r="C161" s="14">
        <f>IF(A161&lt;&gt;"",VLOOKUP(A161,'Personnel Screening Registry'!$A:$E,5,FALSE),"")</f>
        <v/>
      </c>
      <c r="D161" s="15" t="n"/>
      <c r="E161" s="15" t="n"/>
      <c r="F161" s="15" t="n"/>
      <c r="G161" s="15" t="n"/>
      <c r="H161" s="15" t="n"/>
      <c r="I161" s="15" t="n"/>
      <c r="J161" s="15" t="n"/>
      <c r="K161" s="14">
        <f>IF(A161="","",IF(AND(D161="Yes",E161="Yes",J161="Yes"),"Yes","No"))</f>
        <v/>
      </c>
      <c r="L161" s="14">
        <f>IF(A161="","",IF(VLOOKUP(A161,'Personnel Screening Registry'!$A:$I,8,FALSE)=VLOOKUP(A161,'Personnel Screening Registry'!$A:$I,9,FALSE),"Yes","No"))</f>
        <v/>
      </c>
      <c r="M161" s="14">
        <f>IF(A161="","",IF(AND(K161="Yes",L161="Yes"),"Compliant",IF(OR(K161="No",L161="No"),"Non-Compliant","Partial")))</f>
        <v/>
      </c>
      <c r="N161" s="15" t="n"/>
      <c r="O161" s="15" t="n"/>
    </row>
    <row r="162">
      <c r="A162" s="14">
        <f>IF(ROW()-4&lt;=COUNTA('Personnel Screening Registry'!$A:$A)-4,INDEX('Personnel Screening Registry'!$A:$A,ROW()-3),"")</f>
        <v/>
      </c>
      <c r="B162" s="14">
        <f>IF(A162&lt;&gt;"",VLOOKUP(A162,'Personnel Screening Registry'!$A:$B,2,FALSE),"")</f>
        <v/>
      </c>
      <c r="C162" s="14">
        <f>IF(A162&lt;&gt;"",VLOOKUP(A162,'Personnel Screening Registry'!$A:$E,5,FALSE),"")</f>
        <v/>
      </c>
      <c r="D162" s="15" t="n"/>
      <c r="E162" s="15" t="n"/>
      <c r="F162" s="15" t="n"/>
      <c r="G162" s="15" t="n"/>
      <c r="H162" s="15" t="n"/>
      <c r="I162" s="15" t="n"/>
      <c r="J162" s="15" t="n"/>
      <c r="K162" s="14">
        <f>IF(A162="","",IF(AND(D162="Yes",E162="Yes",J162="Yes"),"Yes","No"))</f>
        <v/>
      </c>
      <c r="L162" s="14">
        <f>IF(A162="","",IF(VLOOKUP(A162,'Personnel Screening Registry'!$A:$I,8,FALSE)=VLOOKUP(A162,'Personnel Screening Registry'!$A:$I,9,FALSE),"Yes","No"))</f>
        <v/>
      </c>
      <c r="M162" s="14">
        <f>IF(A162="","",IF(AND(K162="Yes",L162="Yes"),"Compliant",IF(OR(K162="No",L162="No"),"Non-Compliant","Partial")))</f>
        <v/>
      </c>
      <c r="N162" s="15" t="n"/>
      <c r="O162" s="15" t="n"/>
    </row>
    <row r="163">
      <c r="A163" s="14">
        <f>IF(ROW()-4&lt;=COUNTA('Personnel Screening Registry'!$A:$A)-4,INDEX('Personnel Screening Registry'!$A:$A,ROW()-3),"")</f>
        <v/>
      </c>
      <c r="B163" s="14">
        <f>IF(A163&lt;&gt;"",VLOOKUP(A163,'Personnel Screening Registry'!$A:$B,2,FALSE),"")</f>
        <v/>
      </c>
      <c r="C163" s="14">
        <f>IF(A163&lt;&gt;"",VLOOKUP(A163,'Personnel Screening Registry'!$A:$E,5,FALSE),"")</f>
        <v/>
      </c>
      <c r="D163" s="15" t="n"/>
      <c r="E163" s="15" t="n"/>
      <c r="F163" s="15" t="n"/>
      <c r="G163" s="15" t="n"/>
      <c r="H163" s="15" t="n"/>
      <c r="I163" s="15" t="n"/>
      <c r="J163" s="15" t="n"/>
      <c r="K163" s="14">
        <f>IF(A163="","",IF(AND(D163="Yes",E163="Yes",J163="Yes"),"Yes","No"))</f>
        <v/>
      </c>
      <c r="L163" s="14">
        <f>IF(A163="","",IF(VLOOKUP(A163,'Personnel Screening Registry'!$A:$I,8,FALSE)=VLOOKUP(A163,'Personnel Screening Registry'!$A:$I,9,FALSE),"Yes","No"))</f>
        <v/>
      </c>
      <c r="M163" s="14">
        <f>IF(A163="","",IF(AND(K163="Yes",L163="Yes"),"Compliant",IF(OR(K163="No",L163="No"),"Non-Compliant","Partial")))</f>
        <v/>
      </c>
      <c r="N163" s="15" t="n"/>
      <c r="O163" s="15" t="n"/>
    </row>
    <row r="164">
      <c r="A164" s="14">
        <f>IF(ROW()-4&lt;=COUNTA('Personnel Screening Registry'!$A:$A)-4,INDEX('Personnel Screening Registry'!$A:$A,ROW()-3),"")</f>
        <v/>
      </c>
      <c r="B164" s="14">
        <f>IF(A164&lt;&gt;"",VLOOKUP(A164,'Personnel Screening Registry'!$A:$B,2,FALSE),"")</f>
        <v/>
      </c>
      <c r="C164" s="14">
        <f>IF(A164&lt;&gt;"",VLOOKUP(A164,'Personnel Screening Registry'!$A:$E,5,FALSE),"")</f>
        <v/>
      </c>
      <c r="D164" s="15" t="n"/>
      <c r="E164" s="15" t="n"/>
      <c r="F164" s="15" t="n"/>
      <c r="G164" s="15" t="n"/>
      <c r="H164" s="15" t="n"/>
      <c r="I164" s="15" t="n"/>
      <c r="J164" s="15" t="n"/>
      <c r="K164" s="14">
        <f>IF(A164="","",IF(AND(D164="Yes",E164="Yes",J164="Yes"),"Yes","No"))</f>
        <v/>
      </c>
      <c r="L164" s="14">
        <f>IF(A164="","",IF(VLOOKUP(A164,'Personnel Screening Registry'!$A:$I,8,FALSE)=VLOOKUP(A164,'Personnel Screening Registry'!$A:$I,9,FALSE),"Yes","No"))</f>
        <v/>
      </c>
      <c r="M164" s="14">
        <f>IF(A164="","",IF(AND(K164="Yes",L164="Yes"),"Compliant",IF(OR(K164="No",L164="No"),"Non-Compliant","Partial")))</f>
        <v/>
      </c>
      <c r="N164" s="15" t="n"/>
      <c r="O164" s="15" t="n"/>
    </row>
    <row r="165">
      <c r="A165" s="14">
        <f>IF(ROW()-4&lt;=COUNTA('Personnel Screening Registry'!$A:$A)-4,INDEX('Personnel Screening Registry'!$A:$A,ROW()-3),"")</f>
        <v/>
      </c>
      <c r="B165" s="14">
        <f>IF(A165&lt;&gt;"",VLOOKUP(A165,'Personnel Screening Registry'!$A:$B,2,FALSE),"")</f>
        <v/>
      </c>
      <c r="C165" s="14">
        <f>IF(A165&lt;&gt;"",VLOOKUP(A165,'Personnel Screening Registry'!$A:$E,5,FALSE),"")</f>
        <v/>
      </c>
      <c r="D165" s="15" t="n"/>
      <c r="E165" s="15" t="n"/>
      <c r="F165" s="15" t="n"/>
      <c r="G165" s="15" t="n"/>
      <c r="H165" s="15" t="n"/>
      <c r="I165" s="15" t="n"/>
      <c r="J165" s="15" t="n"/>
      <c r="K165" s="14">
        <f>IF(A165="","",IF(AND(D165="Yes",E165="Yes",J165="Yes"),"Yes","No"))</f>
        <v/>
      </c>
      <c r="L165" s="14">
        <f>IF(A165="","",IF(VLOOKUP(A165,'Personnel Screening Registry'!$A:$I,8,FALSE)=VLOOKUP(A165,'Personnel Screening Registry'!$A:$I,9,FALSE),"Yes","No"))</f>
        <v/>
      </c>
      <c r="M165" s="14">
        <f>IF(A165="","",IF(AND(K165="Yes",L165="Yes"),"Compliant",IF(OR(K165="No",L165="No"),"Non-Compliant","Partial")))</f>
        <v/>
      </c>
      <c r="N165" s="15" t="n"/>
      <c r="O165" s="15" t="n"/>
    </row>
    <row r="166">
      <c r="A166" s="14">
        <f>IF(ROW()-4&lt;=COUNTA('Personnel Screening Registry'!$A:$A)-4,INDEX('Personnel Screening Registry'!$A:$A,ROW()-3),"")</f>
        <v/>
      </c>
      <c r="B166" s="14">
        <f>IF(A166&lt;&gt;"",VLOOKUP(A166,'Personnel Screening Registry'!$A:$B,2,FALSE),"")</f>
        <v/>
      </c>
      <c r="C166" s="14">
        <f>IF(A166&lt;&gt;"",VLOOKUP(A166,'Personnel Screening Registry'!$A:$E,5,FALSE),"")</f>
        <v/>
      </c>
      <c r="D166" s="15" t="n"/>
      <c r="E166" s="15" t="n"/>
      <c r="F166" s="15" t="n"/>
      <c r="G166" s="15" t="n"/>
      <c r="H166" s="15" t="n"/>
      <c r="I166" s="15" t="n"/>
      <c r="J166" s="15" t="n"/>
      <c r="K166" s="14">
        <f>IF(A166="","",IF(AND(D166="Yes",E166="Yes",J166="Yes"),"Yes","No"))</f>
        <v/>
      </c>
      <c r="L166" s="14">
        <f>IF(A166="","",IF(VLOOKUP(A166,'Personnel Screening Registry'!$A:$I,8,FALSE)=VLOOKUP(A166,'Personnel Screening Registry'!$A:$I,9,FALSE),"Yes","No"))</f>
        <v/>
      </c>
      <c r="M166" s="14">
        <f>IF(A166="","",IF(AND(K166="Yes",L166="Yes"),"Compliant",IF(OR(K166="No",L166="No"),"Non-Compliant","Partial")))</f>
        <v/>
      </c>
      <c r="N166" s="15" t="n"/>
      <c r="O166" s="15" t="n"/>
    </row>
    <row r="167">
      <c r="A167" s="14">
        <f>IF(ROW()-4&lt;=COUNTA('Personnel Screening Registry'!$A:$A)-4,INDEX('Personnel Screening Registry'!$A:$A,ROW()-3),"")</f>
        <v/>
      </c>
      <c r="B167" s="14">
        <f>IF(A167&lt;&gt;"",VLOOKUP(A167,'Personnel Screening Registry'!$A:$B,2,FALSE),"")</f>
        <v/>
      </c>
      <c r="C167" s="14">
        <f>IF(A167&lt;&gt;"",VLOOKUP(A167,'Personnel Screening Registry'!$A:$E,5,FALSE),"")</f>
        <v/>
      </c>
      <c r="D167" s="15" t="n"/>
      <c r="E167" s="15" t="n"/>
      <c r="F167" s="15" t="n"/>
      <c r="G167" s="15" t="n"/>
      <c r="H167" s="15" t="n"/>
      <c r="I167" s="15" t="n"/>
      <c r="J167" s="15" t="n"/>
      <c r="K167" s="14">
        <f>IF(A167="","",IF(AND(D167="Yes",E167="Yes",J167="Yes"),"Yes","No"))</f>
        <v/>
      </c>
      <c r="L167" s="14">
        <f>IF(A167="","",IF(VLOOKUP(A167,'Personnel Screening Registry'!$A:$I,8,FALSE)=VLOOKUP(A167,'Personnel Screening Registry'!$A:$I,9,FALSE),"Yes","No"))</f>
        <v/>
      </c>
      <c r="M167" s="14">
        <f>IF(A167="","",IF(AND(K167="Yes",L167="Yes"),"Compliant",IF(OR(K167="No",L167="No"),"Non-Compliant","Partial")))</f>
        <v/>
      </c>
      <c r="N167" s="15" t="n"/>
      <c r="O167" s="15" t="n"/>
    </row>
    <row r="168">
      <c r="A168" s="14">
        <f>IF(ROW()-4&lt;=COUNTA('Personnel Screening Registry'!$A:$A)-4,INDEX('Personnel Screening Registry'!$A:$A,ROW()-3),"")</f>
        <v/>
      </c>
      <c r="B168" s="14">
        <f>IF(A168&lt;&gt;"",VLOOKUP(A168,'Personnel Screening Registry'!$A:$B,2,FALSE),"")</f>
        <v/>
      </c>
      <c r="C168" s="14">
        <f>IF(A168&lt;&gt;"",VLOOKUP(A168,'Personnel Screening Registry'!$A:$E,5,FALSE),"")</f>
        <v/>
      </c>
      <c r="D168" s="15" t="n"/>
      <c r="E168" s="15" t="n"/>
      <c r="F168" s="15" t="n"/>
      <c r="G168" s="15" t="n"/>
      <c r="H168" s="15" t="n"/>
      <c r="I168" s="15" t="n"/>
      <c r="J168" s="15" t="n"/>
      <c r="K168" s="14">
        <f>IF(A168="","",IF(AND(D168="Yes",E168="Yes",J168="Yes"),"Yes","No"))</f>
        <v/>
      </c>
      <c r="L168" s="14">
        <f>IF(A168="","",IF(VLOOKUP(A168,'Personnel Screening Registry'!$A:$I,8,FALSE)=VLOOKUP(A168,'Personnel Screening Registry'!$A:$I,9,FALSE),"Yes","No"))</f>
        <v/>
      </c>
      <c r="M168" s="14">
        <f>IF(A168="","",IF(AND(K168="Yes",L168="Yes"),"Compliant",IF(OR(K168="No",L168="No"),"Non-Compliant","Partial")))</f>
        <v/>
      </c>
      <c r="N168" s="15" t="n"/>
      <c r="O168" s="15" t="n"/>
    </row>
    <row r="169">
      <c r="A169" s="14">
        <f>IF(ROW()-4&lt;=COUNTA('Personnel Screening Registry'!$A:$A)-4,INDEX('Personnel Screening Registry'!$A:$A,ROW()-3),"")</f>
        <v/>
      </c>
      <c r="B169" s="14">
        <f>IF(A169&lt;&gt;"",VLOOKUP(A169,'Personnel Screening Registry'!$A:$B,2,FALSE),"")</f>
        <v/>
      </c>
      <c r="C169" s="14">
        <f>IF(A169&lt;&gt;"",VLOOKUP(A169,'Personnel Screening Registry'!$A:$E,5,FALSE),"")</f>
        <v/>
      </c>
      <c r="D169" s="15" t="n"/>
      <c r="E169" s="15" t="n"/>
      <c r="F169" s="15" t="n"/>
      <c r="G169" s="15" t="n"/>
      <c r="H169" s="15" t="n"/>
      <c r="I169" s="15" t="n"/>
      <c r="J169" s="15" t="n"/>
      <c r="K169" s="14">
        <f>IF(A169="","",IF(AND(D169="Yes",E169="Yes",J169="Yes"),"Yes","No"))</f>
        <v/>
      </c>
      <c r="L169" s="14">
        <f>IF(A169="","",IF(VLOOKUP(A169,'Personnel Screening Registry'!$A:$I,8,FALSE)=VLOOKUP(A169,'Personnel Screening Registry'!$A:$I,9,FALSE),"Yes","No"))</f>
        <v/>
      </c>
      <c r="M169" s="14">
        <f>IF(A169="","",IF(AND(K169="Yes",L169="Yes"),"Compliant",IF(OR(K169="No",L169="No"),"Non-Compliant","Partial")))</f>
        <v/>
      </c>
      <c r="N169" s="15" t="n"/>
      <c r="O169" s="15" t="n"/>
    </row>
    <row r="170">
      <c r="A170" s="14">
        <f>IF(ROW()-4&lt;=COUNTA('Personnel Screening Registry'!$A:$A)-4,INDEX('Personnel Screening Registry'!$A:$A,ROW()-3),"")</f>
        <v/>
      </c>
      <c r="B170" s="14">
        <f>IF(A170&lt;&gt;"",VLOOKUP(A170,'Personnel Screening Registry'!$A:$B,2,FALSE),"")</f>
        <v/>
      </c>
      <c r="C170" s="14">
        <f>IF(A170&lt;&gt;"",VLOOKUP(A170,'Personnel Screening Registry'!$A:$E,5,FALSE),"")</f>
        <v/>
      </c>
      <c r="D170" s="15" t="n"/>
      <c r="E170" s="15" t="n"/>
      <c r="F170" s="15" t="n"/>
      <c r="G170" s="15" t="n"/>
      <c r="H170" s="15" t="n"/>
      <c r="I170" s="15" t="n"/>
      <c r="J170" s="15" t="n"/>
      <c r="K170" s="14">
        <f>IF(A170="","",IF(AND(D170="Yes",E170="Yes",J170="Yes"),"Yes","No"))</f>
        <v/>
      </c>
      <c r="L170" s="14">
        <f>IF(A170="","",IF(VLOOKUP(A170,'Personnel Screening Registry'!$A:$I,8,FALSE)=VLOOKUP(A170,'Personnel Screening Registry'!$A:$I,9,FALSE),"Yes","No"))</f>
        <v/>
      </c>
      <c r="M170" s="14">
        <f>IF(A170="","",IF(AND(K170="Yes",L170="Yes"),"Compliant",IF(OR(K170="No",L170="No"),"Non-Compliant","Partial")))</f>
        <v/>
      </c>
      <c r="N170" s="15" t="n"/>
      <c r="O170" s="15" t="n"/>
    </row>
    <row r="171">
      <c r="A171" s="14">
        <f>IF(ROW()-4&lt;=COUNTA('Personnel Screening Registry'!$A:$A)-4,INDEX('Personnel Screening Registry'!$A:$A,ROW()-3),"")</f>
        <v/>
      </c>
      <c r="B171" s="14">
        <f>IF(A171&lt;&gt;"",VLOOKUP(A171,'Personnel Screening Registry'!$A:$B,2,FALSE),"")</f>
        <v/>
      </c>
      <c r="C171" s="14">
        <f>IF(A171&lt;&gt;"",VLOOKUP(A171,'Personnel Screening Registry'!$A:$E,5,FALSE),"")</f>
        <v/>
      </c>
      <c r="D171" s="15" t="n"/>
      <c r="E171" s="15" t="n"/>
      <c r="F171" s="15" t="n"/>
      <c r="G171" s="15" t="n"/>
      <c r="H171" s="15" t="n"/>
      <c r="I171" s="15" t="n"/>
      <c r="J171" s="15" t="n"/>
      <c r="K171" s="14">
        <f>IF(A171="","",IF(AND(D171="Yes",E171="Yes",J171="Yes"),"Yes","No"))</f>
        <v/>
      </c>
      <c r="L171" s="14">
        <f>IF(A171="","",IF(VLOOKUP(A171,'Personnel Screening Registry'!$A:$I,8,FALSE)=VLOOKUP(A171,'Personnel Screening Registry'!$A:$I,9,FALSE),"Yes","No"))</f>
        <v/>
      </c>
      <c r="M171" s="14">
        <f>IF(A171="","",IF(AND(K171="Yes",L171="Yes"),"Compliant",IF(OR(K171="No",L171="No"),"Non-Compliant","Partial")))</f>
        <v/>
      </c>
      <c r="N171" s="15" t="n"/>
      <c r="O171" s="15" t="n"/>
    </row>
    <row r="172">
      <c r="A172" s="14">
        <f>IF(ROW()-4&lt;=COUNTA('Personnel Screening Registry'!$A:$A)-4,INDEX('Personnel Screening Registry'!$A:$A,ROW()-3),"")</f>
        <v/>
      </c>
      <c r="B172" s="14">
        <f>IF(A172&lt;&gt;"",VLOOKUP(A172,'Personnel Screening Registry'!$A:$B,2,FALSE),"")</f>
        <v/>
      </c>
      <c r="C172" s="14">
        <f>IF(A172&lt;&gt;"",VLOOKUP(A172,'Personnel Screening Registry'!$A:$E,5,FALSE),"")</f>
        <v/>
      </c>
      <c r="D172" s="15" t="n"/>
      <c r="E172" s="15" t="n"/>
      <c r="F172" s="15" t="n"/>
      <c r="G172" s="15" t="n"/>
      <c r="H172" s="15" t="n"/>
      <c r="I172" s="15" t="n"/>
      <c r="J172" s="15" t="n"/>
      <c r="K172" s="14">
        <f>IF(A172="","",IF(AND(D172="Yes",E172="Yes",J172="Yes"),"Yes","No"))</f>
        <v/>
      </c>
      <c r="L172" s="14">
        <f>IF(A172="","",IF(VLOOKUP(A172,'Personnel Screening Registry'!$A:$I,8,FALSE)=VLOOKUP(A172,'Personnel Screening Registry'!$A:$I,9,FALSE),"Yes","No"))</f>
        <v/>
      </c>
      <c r="M172" s="14">
        <f>IF(A172="","",IF(AND(K172="Yes",L172="Yes"),"Compliant",IF(OR(K172="No",L172="No"),"Non-Compliant","Partial")))</f>
        <v/>
      </c>
      <c r="N172" s="15" t="n"/>
      <c r="O172" s="15" t="n"/>
    </row>
    <row r="173">
      <c r="A173" s="14">
        <f>IF(ROW()-4&lt;=COUNTA('Personnel Screening Registry'!$A:$A)-4,INDEX('Personnel Screening Registry'!$A:$A,ROW()-3),"")</f>
        <v/>
      </c>
      <c r="B173" s="14">
        <f>IF(A173&lt;&gt;"",VLOOKUP(A173,'Personnel Screening Registry'!$A:$B,2,FALSE),"")</f>
        <v/>
      </c>
      <c r="C173" s="14">
        <f>IF(A173&lt;&gt;"",VLOOKUP(A173,'Personnel Screening Registry'!$A:$E,5,FALSE),"")</f>
        <v/>
      </c>
      <c r="D173" s="15" t="n"/>
      <c r="E173" s="15" t="n"/>
      <c r="F173" s="15" t="n"/>
      <c r="G173" s="15" t="n"/>
      <c r="H173" s="15" t="n"/>
      <c r="I173" s="15" t="n"/>
      <c r="J173" s="15" t="n"/>
      <c r="K173" s="14">
        <f>IF(A173="","",IF(AND(D173="Yes",E173="Yes",J173="Yes"),"Yes","No"))</f>
        <v/>
      </c>
      <c r="L173" s="14">
        <f>IF(A173="","",IF(VLOOKUP(A173,'Personnel Screening Registry'!$A:$I,8,FALSE)=VLOOKUP(A173,'Personnel Screening Registry'!$A:$I,9,FALSE),"Yes","No"))</f>
        <v/>
      </c>
      <c r="M173" s="14">
        <f>IF(A173="","",IF(AND(K173="Yes",L173="Yes"),"Compliant",IF(OR(K173="No",L173="No"),"Non-Compliant","Partial")))</f>
        <v/>
      </c>
      <c r="N173" s="15" t="n"/>
      <c r="O173" s="15" t="n"/>
    </row>
    <row r="174">
      <c r="A174" s="14">
        <f>IF(ROW()-4&lt;=COUNTA('Personnel Screening Registry'!$A:$A)-4,INDEX('Personnel Screening Registry'!$A:$A,ROW()-3),"")</f>
        <v/>
      </c>
      <c r="B174" s="14">
        <f>IF(A174&lt;&gt;"",VLOOKUP(A174,'Personnel Screening Registry'!$A:$B,2,FALSE),"")</f>
        <v/>
      </c>
      <c r="C174" s="14">
        <f>IF(A174&lt;&gt;"",VLOOKUP(A174,'Personnel Screening Registry'!$A:$E,5,FALSE),"")</f>
        <v/>
      </c>
      <c r="D174" s="15" t="n"/>
      <c r="E174" s="15" t="n"/>
      <c r="F174" s="15" t="n"/>
      <c r="G174" s="15" t="n"/>
      <c r="H174" s="15" t="n"/>
      <c r="I174" s="15" t="n"/>
      <c r="J174" s="15" t="n"/>
      <c r="K174" s="14">
        <f>IF(A174="","",IF(AND(D174="Yes",E174="Yes",J174="Yes"),"Yes","No"))</f>
        <v/>
      </c>
      <c r="L174" s="14">
        <f>IF(A174="","",IF(VLOOKUP(A174,'Personnel Screening Registry'!$A:$I,8,FALSE)=VLOOKUP(A174,'Personnel Screening Registry'!$A:$I,9,FALSE),"Yes","No"))</f>
        <v/>
      </c>
      <c r="M174" s="14">
        <f>IF(A174="","",IF(AND(K174="Yes",L174="Yes"),"Compliant",IF(OR(K174="No",L174="No"),"Non-Compliant","Partial")))</f>
        <v/>
      </c>
      <c r="N174" s="15" t="n"/>
      <c r="O174" s="15" t="n"/>
    </row>
    <row r="175">
      <c r="A175" s="14">
        <f>IF(ROW()-4&lt;=COUNTA('Personnel Screening Registry'!$A:$A)-4,INDEX('Personnel Screening Registry'!$A:$A,ROW()-3),"")</f>
        <v/>
      </c>
      <c r="B175" s="14">
        <f>IF(A175&lt;&gt;"",VLOOKUP(A175,'Personnel Screening Registry'!$A:$B,2,FALSE),"")</f>
        <v/>
      </c>
      <c r="C175" s="14">
        <f>IF(A175&lt;&gt;"",VLOOKUP(A175,'Personnel Screening Registry'!$A:$E,5,FALSE),"")</f>
        <v/>
      </c>
      <c r="D175" s="15" t="n"/>
      <c r="E175" s="15" t="n"/>
      <c r="F175" s="15" t="n"/>
      <c r="G175" s="15" t="n"/>
      <c r="H175" s="15" t="n"/>
      <c r="I175" s="15" t="n"/>
      <c r="J175" s="15" t="n"/>
      <c r="K175" s="14">
        <f>IF(A175="","",IF(AND(D175="Yes",E175="Yes",J175="Yes"),"Yes","No"))</f>
        <v/>
      </c>
      <c r="L175" s="14">
        <f>IF(A175="","",IF(VLOOKUP(A175,'Personnel Screening Registry'!$A:$I,8,FALSE)=VLOOKUP(A175,'Personnel Screening Registry'!$A:$I,9,FALSE),"Yes","No"))</f>
        <v/>
      </c>
      <c r="M175" s="14">
        <f>IF(A175="","",IF(AND(K175="Yes",L175="Yes"),"Compliant",IF(OR(K175="No",L175="No"),"Non-Compliant","Partial")))</f>
        <v/>
      </c>
      <c r="N175" s="15" t="n"/>
      <c r="O175" s="15" t="n"/>
    </row>
    <row r="176">
      <c r="A176" s="14">
        <f>IF(ROW()-4&lt;=COUNTA('Personnel Screening Registry'!$A:$A)-4,INDEX('Personnel Screening Registry'!$A:$A,ROW()-3),"")</f>
        <v/>
      </c>
      <c r="B176" s="14">
        <f>IF(A176&lt;&gt;"",VLOOKUP(A176,'Personnel Screening Registry'!$A:$B,2,FALSE),"")</f>
        <v/>
      </c>
      <c r="C176" s="14">
        <f>IF(A176&lt;&gt;"",VLOOKUP(A176,'Personnel Screening Registry'!$A:$E,5,FALSE),"")</f>
        <v/>
      </c>
      <c r="D176" s="15" t="n"/>
      <c r="E176" s="15" t="n"/>
      <c r="F176" s="15" t="n"/>
      <c r="G176" s="15" t="n"/>
      <c r="H176" s="15" t="n"/>
      <c r="I176" s="15" t="n"/>
      <c r="J176" s="15" t="n"/>
      <c r="K176" s="14">
        <f>IF(A176="","",IF(AND(D176="Yes",E176="Yes",J176="Yes"),"Yes","No"))</f>
        <v/>
      </c>
      <c r="L176" s="14">
        <f>IF(A176="","",IF(VLOOKUP(A176,'Personnel Screening Registry'!$A:$I,8,FALSE)=VLOOKUP(A176,'Personnel Screening Registry'!$A:$I,9,FALSE),"Yes","No"))</f>
        <v/>
      </c>
      <c r="M176" s="14">
        <f>IF(A176="","",IF(AND(K176="Yes",L176="Yes"),"Compliant",IF(OR(K176="No",L176="No"),"Non-Compliant","Partial")))</f>
        <v/>
      </c>
      <c r="N176" s="15" t="n"/>
      <c r="O176" s="15" t="n"/>
    </row>
    <row r="177">
      <c r="A177" s="14">
        <f>IF(ROW()-4&lt;=COUNTA('Personnel Screening Registry'!$A:$A)-4,INDEX('Personnel Screening Registry'!$A:$A,ROW()-3),"")</f>
        <v/>
      </c>
      <c r="B177" s="14">
        <f>IF(A177&lt;&gt;"",VLOOKUP(A177,'Personnel Screening Registry'!$A:$B,2,FALSE),"")</f>
        <v/>
      </c>
      <c r="C177" s="14">
        <f>IF(A177&lt;&gt;"",VLOOKUP(A177,'Personnel Screening Registry'!$A:$E,5,FALSE),"")</f>
        <v/>
      </c>
      <c r="D177" s="15" t="n"/>
      <c r="E177" s="15" t="n"/>
      <c r="F177" s="15" t="n"/>
      <c r="G177" s="15" t="n"/>
      <c r="H177" s="15" t="n"/>
      <c r="I177" s="15" t="n"/>
      <c r="J177" s="15" t="n"/>
      <c r="K177" s="14">
        <f>IF(A177="","",IF(AND(D177="Yes",E177="Yes",J177="Yes"),"Yes","No"))</f>
        <v/>
      </c>
      <c r="L177" s="14">
        <f>IF(A177="","",IF(VLOOKUP(A177,'Personnel Screening Registry'!$A:$I,8,FALSE)=VLOOKUP(A177,'Personnel Screening Registry'!$A:$I,9,FALSE),"Yes","No"))</f>
        <v/>
      </c>
      <c r="M177" s="14">
        <f>IF(A177="","",IF(AND(K177="Yes",L177="Yes"),"Compliant",IF(OR(K177="No",L177="No"),"Non-Compliant","Partial")))</f>
        <v/>
      </c>
      <c r="N177" s="15" t="n"/>
      <c r="O177" s="15" t="n"/>
    </row>
    <row r="178">
      <c r="A178" s="14">
        <f>IF(ROW()-4&lt;=COUNTA('Personnel Screening Registry'!$A:$A)-4,INDEX('Personnel Screening Registry'!$A:$A,ROW()-3),"")</f>
        <v/>
      </c>
      <c r="B178" s="14">
        <f>IF(A178&lt;&gt;"",VLOOKUP(A178,'Personnel Screening Registry'!$A:$B,2,FALSE),"")</f>
        <v/>
      </c>
      <c r="C178" s="14">
        <f>IF(A178&lt;&gt;"",VLOOKUP(A178,'Personnel Screening Registry'!$A:$E,5,FALSE),"")</f>
        <v/>
      </c>
      <c r="D178" s="15" t="n"/>
      <c r="E178" s="15" t="n"/>
      <c r="F178" s="15" t="n"/>
      <c r="G178" s="15" t="n"/>
      <c r="H178" s="15" t="n"/>
      <c r="I178" s="15" t="n"/>
      <c r="J178" s="15" t="n"/>
      <c r="K178" s="14">
        <f>IF(A178="","",IF(AND(D178="Yes",E178="Yes",J178="Yes"),"Yes","No"))</f>
        <v/>
      </c>
      <c r="L178" s="14">
        <f>IF(A178="","",IF(VLOOKUP(A178,'Personnel Screening Registry'!$A:$I,8,FALSE)=VLOOKUP(A178,'Personnel Screening Registry'!$A:$I,9,FALSE),"Yes","No"))</f>
        <v/>
      </c>
      <c r="M178" s="14">
        <f>IF(A178="","",IF(AND(K178="Yes",L178="Yes"),"Compliant",IF(OR(K178="No",L178="No"),"Non-Compliant","Partial")))</f>
        <v/>
      </c>
      <c r="N178" s="15" t="n"/>
      <c r="O178" s="15" t="n"/>
    </row>
    <row r="179">
      <c r="A179" s="14">
        <f>IF(ROW()-4&lt;=COUNTA('Personnel Screening Registry'!$A:$A)-4,INDEX('Personnel Screening Registry'!$A:$A,ROW()-3),"")</f>
        <v/>
      </c>
      <c r="B179" s="14">
        <f>IF(A179&lt;&gt;"",VLOOKUP(A179,'Personnel Screening Registry'!$A:$B,2,FALSE),"")</f>
        <v/>
      </c>
      <c r="C179" s="14">
        <f>IF(A179&lt;&gt;"",VLOOKUP(A179,'Personnel Screening Registry'!$A:$E,5,FALSE),"")</f>
        <v/>
      </c>
      <c r="D179" s="15" t="n"/>
      <c r="E179" s="15" t="n"/>
      <c r="F179" s="15" t="n"/>
      <c r="G179" s="15" t="n"/>
      <c r="H179" s="15" t="n"/>
      <c r="I179" s="15" t="n"/>
      <c r="J179" s="15" t="n"/>
      <c r="K179" s="14">
        <f>IF(A179="","",IF(AND(D179="Yes",E179="Yes",J179="Yes"),"Yes","No"))</f>
        <v/>
      </c>
      <c r="L179" s="14">
        <f>IF(A179="","",IF(VLOOKUP(A179,'Personnel Screening Registry'!$A:$I,8,FALSE)=VLOOKUP(A179,'Personnel Screening Registry'!$A:$I,9,FALSE),"Yes","No"))</f>
        <v/>
      </c>
      <c r="M179" s="14">
        <f>IF(A179="","",IF(AND(K179="Yes",L179="Yes"),"Compliant",IF(OR(K179="No",L179="No"),"Non-Compliant","Partial")))</f>
        <v/>
      </c>
      <c r="N179" s="15" t="n"/>
      <c r="O179" s="15" t="n"/>
    </row>
    <row r="180">
      <c r="A180" s="14">
        <f>IF(ROW()-4&lt;=COUNTA('Personnel Screening Registry'!$A:$A)-4,INDEX('Personnel Screening Registry'!$A:$A,ROW()-3),"")</f>
        <v/>
      </c>
      <c r="B180" s="14">
        <f>IF(A180&lt;&gt;"",VLOOKUP(A180,'Personnel Screening Registry'!$A:$B,2,FALSE),"")</f>
        <v/>
      </c>
      <c r="C180" s="14">
        <f>IF(A180&lt;&gt;"",VLOOKUP(A180,'Personnel Screening Registry'!$A:$E,5,FALSE),"")</f>
        <v/>
      </c>
      <c r="D180" s="15" t="n"/>
      <c r="E180" s="15" t="n"/>
      <c r="F180" s="15" t="n"/>
      <c r="G180" s="15" t="n"/>
      <c r="H180" s="15" t="n"/>
      <c r="I180" s="15" t="n"/>
      <c r="J180" s="15" t="n"/>
      <c r="K180" s="14">
        <f>IF(A180="","",IF(AND(D180="Yes",E180="Yes",J180="Yes"),"Yes","No"))</f>
        <v/>
      </c>
      <c r="L180" s="14">
        <f>IF(A180="","",IF(VLOOKUP(A180,'Personnel Screening Registry'!$A:$I,8,FALSE)=VLOOKUP(A180,'Personnel Screening Registry'!$A:$I,9,FALSE),"Yes","No"))</f>
        <v/>
      </c>
      <c r="M180" s="14">
        <f>IF(A180="","",IF(AND(K180="Yes",L180="Yes"),"Compliant",IF(OR(K180="No",L180="No"),"Non-Compliant","Partial")))</f>
        <v/>
      </c>
      <c r="N180" s="15" t="n"/>
      <c r="O180" s="15" t="n"/>
    </row>
    <row r="181">
      <c r="A181" s="14">
        <f>IF(ROW()-4&lt;=COUNTA('Personnel Screening Registry'!$A:$A)-4,INDEX('Personnel Screening Registry'!$A:$A,ROW()-3),"")</f>
        <v/>
      </c>
      <c r="B181" s="14">
        <f>IF(A181&lt;&gt;"",VLOOKUP(A181,'Personnel Screening Registry'!$A:$B,2,FALSE),"")</f>
        <v/>
      </c>
      <c r="C181" s="14">
        <f>IF(A181&lt;&gt;"",VLOOKUP(A181,'Personnel Screening Registry'!$A:$E,5,FALSE),"")</f>
        <v/>
      </c>
      <c r="D181" s="15" t="n"/>
      <c r="E181" s="15" t="n"/>
      <c r="F181" s="15" t="n"/>
      <c r="G181" s="15" t="n"/>
      <c r="H181" s="15" t="n"/>
      <c r="I181" s="15" t="n"/>
      <c r="J181" s="15" t="n"/>
      <c r="K181" s="14">
        <f>IF(A181="","",IF(AND(D181="Yes",E181="Yes",J181="Yes"),"Yes","No"))</f>
        <v/>
      </c>
      <c r="L181" s="14">
        <f>IF(A181="","",IF(VLOOKUP(A181,'Personnel Screening Registry'!$A:$I,8,FALSE)=VLOOKUP(A181,'Personnel Screening Registry'!$A:$I,9,FALSE),"Yes","No"))</f>
        <v/>
      </c>
      <c r="M181" s="14">
        <f>IF(A181="","",IF(AND(K181="Yes",L181="Yes"),"Compliant",IF(OR(K181="No",L181="No"),"Non-Compliant","Partial")))</f>
        <v/>
      </c>
      <c r="N181" s="15" t="n"/>
      <c r="O181" s="15" t="n"/>
    </row>
    <row r="182">
      <c r="A182" s="14">
        <f>IF(ROW()-4&lt;=COUNTA('Personnel Screening Registry'!$A:$A)-4,INDEX('Personnel Screening Registry'!$A:$A,ROW()-3),"")</f>
        <v/>
      </c>
      <c r="B182" s="14">
        <f>IF(A182&lt;&gt;"",VLOOKUP(A182,'Personnel Screening Registry'!$A:$B,2,FALSE),"")</f>
        <v/>
      </c>
      <c r="C182" s="14">
        <f>IF(A182&lt;&gt;"",VLOOKUP(A182,'Personnel Screening Registry'!$A:$E,5,FALSE),"")</f>
        <v/>
      </c>
      <c r="D182" s="15" t="n"/>
      <c r="E182" s="15" t="n"/>
      <c r="F182" s="15" t="n"/>
      <c r="G182" s="15" t="n"/>
      <c r="H182" s="15" t="n"/>
      <c r="I182" s="15" t="n"/>
      <c r="J182" s="15" t="n"/>
      <c r="K182" s="14">
        <f>IF(A182="","",IF(AND(D182="Yes",E182="Yes",J182="Yes"),"Yes","No"))</f>
        <v/>
      </c>
      <c r="L182" s="14">
        <f>IF(A182="","",IF(VLOOKUP(A182,'Personnel Screening Registry'!$A:$I,8,FALSE)=VLOOKUP(A182,'Personnel Screening Registry'!$A:$I,9,FALSE),"Yes","No"))</f>
        <v/>
      </c>
      <c r="M182" s="14">
        <f>IF(A182="","",IF(AND(K182="Yes",L182="Yes"),"Compliant",IF(OR(K182="No",L182="No"),"Non-Compliant","Partial")))</f>
        <v/>
      </c>
      <c r="N182" s="15" t="n"/>
      <c r="O182" s="15" t="n"/>
    </row>
    <row r="183">
      <c r="A183" s="14">
        <f>IF(ROW()-4&lt;=COUNTA('Personnel Screening Registry'!$A:$A)-4,INDEX('Personnel Screening Registry'!$A:$A,ROW()-3),"")</f>
        <v/>
      </c>
      <c r="B183" s="14">
        <f>IF(A183&lt;&gt;"",VLOOKUP(A183,'Personnel Screening Registry'!$A:$B,2,FALSE),"")</f>
        <v/>
      </c>
      <c r="C183" s="14">
        <f>IF(A183&lt;&gt;"",VLOOKUP(A183,'Personnel Screening Registry'!$A:$E,5,FALSE),"")</f>
        <v/>
      </c>
      <c r="D183" s="15" t="n"/>
      <c r="E183" s="15" t="n"/>
      <c r="F183" s="15" t="n"/>
      <c r="G183" s="15" t="n"/>
      <c r="H183" s="15" t="n"/>
      <c r="I183" s="15" t="n"/>
      <c r="J183" s="15" t="n"/>
      <c r="K183" s="14">
        <f>IF(A183="","",IF(AND(D183="Yes",E183="Yes",J183="Yes"),"Yes","No"))</f>
        <v/>
      </c>
      <c r="L183" s="14">
        <f>IF(A183="","",IF(VLOOKUP(A183,'Personnel Screening Registry'!$A:$I,8,FALSE)=VLOOKUP(A183,'Personnel Screening Registry'!$A:$I,9,FALSE),"Yes","No"))</f>
        <v/>
      </c>
      <c r="M183" s="14">
        <f>IF(A183="","",IF(AND(K183="Yes",L183="Yes"),"Compliant",IF(OR(K183="No",L183="No"),"Non-Compliant","Partial")))</f>
        <v/>
      </c>
      <c r="N183" s="15" t="n"/>
      <c r="O183" s="15" t="n"/>
    </row>
    <row r="184">
      <c r="A184" s="14">
        <f>IF(ROW()-4&lt;=COUNTA('Personnel Screening Registry'!$A:$A)-4,INDEX('Personnel Screening Registry'!$A:$A,ROW()-3),"")</f>
        <v/>
      </c>
      <c r="B184" s="14">
        <f>IF(A184&lt;&gt;"",VLOOKUP(A184,'Personnel Screening Registry'!$A:$B,2,FALSE),"")</f>
        <v/>
      </c>
      <c r="C184" s="14">
        <f>IF(A184&lt;&gt;"",VLOOKUP(A184,'Personnel Screening Registry'!$A:$E,5,FALSE),"")</f>
        <v/>
      </c>
      <c r="D184" s="15" t="n"/>
      <c r="E184" s="15" t="n"/>
      <c r="F184" s="15" t="n"/>
      <c r="G184" s="15" t="n"/>
      <c r="H184" s="15" t="n"/>
      <c r="I184" s="15" t="n"/>
      <c r="J184" s="15" t="n"/>
      <c r="K184" s="14">
        <f>IF(A184="","",IF(AND(D184="Yes",E184="Yes",J184="Yes"),"Yes","No"))</f>
        <v/>
      </c>
      <c r="L184" s="14">
        <f>IF(A184="","",IF(VLOOKUP(A184,'Personnel Screening Registry'!$A:$I,8,FALSE)=VLOOKUP(A184,'Personnel Screening Registry'!$A:$I,9,FALSE),"Yes","No"))</f>
        <v/>
      </c>
      <c r="M184" s="14">
        <f>IF(A184="","",IF(AND(K184="Yes",L184="Yes"),"Compliant",IF(OR(K184="No",L184="No"),"Non-Compliant","Partial")))</f>
        <v/>
      </c>
      <c r="N184" s="15" t="n"/>
      <c r="O184" s="15" t="n"/>
    </row>
    <row r="185">
      <c r="A185" s="14">
        <f>IF(ROW()-4&lt;=COUNTA('Personnel Screening Registry'!$A:$A)-4,INDEX('Personnel Screening Registry'!$A:$A,ROW()-3),"")</f>
        <v/>
      </c>
      <c r="B185" s="14">
        <f>IF(A185&lt;&gt;"",VLOOKUP(A185,'Personnel Screening Registry'!$A:$B,2,FALSE),"")</f>
        <v/>
      </c>
      <c r="C185" s="14">
        <f>IF(A185&lt;&gt;"",VLOOKUP(A185,'Personnel Screening Registry'!$A:$E,5,FALSE),"")</f>
        <v/>
      </c>
      <c r="D185" s="15" t="n"/>
      <c r="E185" s="15" t="n"/>
      <c r="F185" s="15" t="n"/>
      <c r="G185" s="15" t="n"/>
      <c r="H185" s="15" t="n"/>
      <c r="I185" s="15" t="n"/>
      <c r="J185" s="15" t="n"/>
      <c r="K185" s="14">
        <f>IF(A185="","",IF(AND(D185="Yes",E185="Yes",J185="Yes"),"Yes","No"))</f>
        <v/>
      </c>
      <c r="L185" s="14">
        <f>IF(A185="","",IF(VLOOKUP(A185,'Personnel Screening Registry'!$A:$I,8,FALSE)=VLOOKUP(A185,'Personnel Screening Registry'!$A:$I,9,FALSE),"Yes","No"))</f>
        <v/>
      </c>
      <c r="M185" s="14">
        <f>IF(A185="","",IF(AND(K185="Yes",L185="Yes"),"Compliant",IF(OR(K185="No",L185="No"),"Non-Compliant","Partial")))</f>
        <v/>
      </c>
      <c r="N185" s="15" t="n"/>
      <c r="O185" s="15" t="n"/>
    </row>
    <row r="186">
      <c r="A186" s="14">
        <f>IF(ROW()-4&lt;=COUNTA('Personnel Screening Registry'!$A:$A)-4,INDEX('Personnel Screening Registry'!$A:$A,ROW()-3),"")</f>
        <v/>
      </c>
      <c r="B186" s="14">
        <f>IF(A186&lt;&gt;"",VLOOKUP(A186,'Personnel Screening Registry'!$A:$B,2,FALSE),"")</f>
        <v/>
      </c>
      <c r="C186" s="14">
        <f>IF(A186&lt;&gt;"",VLOOKUP(A186,'Personnel Screening Registry'!$A:$E,5,FALSE),"")</f>
        <v/>
      </c>
      <c r="D186" s="15" t="n"/>
      <c r="E186" s="15" t="n"/>
      <c r="F186" s="15" t="n"/>
      <c r="G186" s="15" t="n"/>
      <c r="H186" s="15" t="n"/>
      <c r="I186" s="15" t="n"/>
      <c r="J186" s="15" t="n"/>
      <c r="K186" s="14">
        <f>IF(A186="","",IF(AND(D186="Yes",E186="Yes",J186="Yes"),"Yes","No"))</f>
        <v/>
      </c>
      <c r="L186" s="14">
        <f>IF(A186="","",IF(VLOOKUP(A186,'Personnel Screening Registry'!$A:$I,8,FALSE)=VLOOKUP(A186,'Personnel Screening Registry'!$A:$I,9,FALSE),"Yes","No"))</f>
        <v/>
      </c>
      <c r="M186" s="14">
        <f>IF(A186="","",IF(AND(K186="Yes",L186="Yes"),"Compliant",IF(OR(K186="No",L186="No"),"Non-Compliant","Partial")))</f>
        <v/>
      </c>
      <c r="N186" s="15" t="n"/>
      <c r="O186" s="15" t="n"/>
    </row>
    <row r="187">
      <c r="A187" s="14">
        <f>IF(ROW()-4&lt;=COUNTA('Personnel Screening Registry'!$A:$A)-4,INDEX('Personnel Screening Registry'!$A:$A,ROW()-3),"")</f>
        <v/>
      </c>
      <c r="B187" s="14">
        <f>IF(A187&lt;&gt;"",VLOOKUP(A187,'Personnel Screening Registry'!$A:$B,2,FALSE),"")</f>
        <v/>
      </c>
      <c r="C187" s="14">
        <f>IF(A187&lt;&gt;"",VLOOKUP(A187,'Personnel Screening Registry'!$A:$E,5,FALSE),"")</f>
        <v/>
      </c>
      <c r="D187" s="15" t="n"/>
      <c r="E187" s="15" t="n"/>
      <c r="F187" s="15" t="n"/>
      <c r="G187" s="15" t="n"/>
      <c r="H187" s="15" t="n"/>
      <c r="I187" s="15" t="n"/>
      <c r="J187" s="15" t="n"/>
      <c r="K187" s="14">
        <f>IF(A187="","",IF(AND(D187="Yes",E187="Yes",J187="Yes"),"Yes","No"))</f>
        <v/>
      </c>
      <c r="L187" s="14">
        <f>IF(A187="","",IF(VLOOKUP(A187,'Personnel Screening Registry'!$A:$I,8,FALSE)=VLOOKUP(A187,'Personnel Screening Registry'!$A:$I,9,FALSE),"Yes","No"))</f>
        <v/>
      </c>
      <c r="M187" s="14">
        <f>IF(A187="","",IF(AND(K187="Yes",L187="Yes"),"Compliant",IF(OR(K187="No",L187="No"),"Non-Compliant","Partial")))</f>
        <v/>
      </c>
      <c r="N187" s="15" t="n"/>
      <c r="O187" s="15" t="n"/>
    </row>
    <row r="188">
      <c r="A188" s="14">
        <f>IF(ROW()-4&lt;=COUNTA('Personnel Screening Registry'!$A:$A)-4,INDEX('Personnel Screening Registry'!$A:$A,ROW()-3),"")</f>
        <v/>
      </c>
      <c r="B188" s="14">
        <f>IF(A188&lt;&gt;"",VLOOKUP(A188,'Personnel Screening Registry'!$A:$B,2,FALSE),"")</f>
        <v/>
      </c>
      <c r="C188" s="14">
        <f>IF(A188&lt;&gt;"",VLOOKUP(A188,'Personnel Screening Registry'!$A:$E,5,FALSE),"")</f>
        <v/>
      </c>
      <c r="D188" s="15" t="n"/>
      <c r="E188" s="15" t="n"/>
      <c r="F188" s="15" t="n"/>
      <c r="G188" s="15" t="n"/>
      <c r="H188" s="15" t="n"/>
      <c r="I188" s="15" t="n"/>
      <c r="J188" s="15" t="n"/>
      <c r="K188" s="14">
        <f>IF(A188="","",IF(AND(D188="Yes",E188="Yes",J188="Yes"),"Yes","No"))</f>
        <v/>
      </c>
      <c r="L188" s="14">
        <f>IF(A188="","",IF(VLOOKUP(A188,'Personnel Screening Registry'!$A:$I,8,FALSE)=VLOOKUP(A188,'Personnel Screening Registry'!$A:$I,9,FALSE),"Yes","No"))</f>
        <v/>
      </c>
      <c r="M188" s="14">
        <f>IF(A188="","",IF(AND(K188="Yes",L188="Yes"),"Compliant",IF(OR(K188="No",L188="No"),"Non-Compliant","Partial")))</f>
        <v/>
      </c>
      <c r="N188" s="15" t="n"/>
      <c r="O188" s="15" t="n"/>
    </row>
    <row r="189">
      <c r="A189" s="14">
        <f>IF(ROW()-4&lt;=COUNTA('Personnel Screening Registry'!$A:$A)-4,INDEX('Personnel Screening Registry'!$A:$A,ROW()-3),"")</f>
        <v/>
      </c>
      <c r="B189" s="14">
        <f>IF(A189&lt;&gt;"",VLOOKUP(A189,'Personnel Screening Registry'!$A:$B,2,FALSE),"")</f>
        <v/>
      </c>
      <c r="C189" s="14">
        <f>IF(A189&lt;&gt;"",VLOOKUP(A189,'Personnel Screening Registry'!$A:$E,5,FALSE),"")</f>
        <v/>
      </c>
      <c r="D189" s="15" t="n"/>
      <c r="E189" s="15" t="n"/>
      <c r="F189" s="15" t="n"/>
      <c r="G189" s="15" t="n"/>
      <c r="H189" s="15" t="n"/>
      <c r="I189" s="15" t="n"/>
      <c r="J189" s="15" t="n"/>
      <c r="K189" s="14">
        <f>IF(A189="","",IF(AND(D189="Yes",E189="Yes",J189="Yes"),"Yes","No"))</f>
        <v/>
      </c>
      <c r="L189" s="14">
        <f>IF(A189="","",IF(VLOOKUP(A189,'Personnel Screening Registry'!$A:$I,8,FALSE)=VLOOKUP(A189,'Personnel Screening Registry'!$A:$I,9,FALSE),"Yes","No"))</f>
        <v/>
      </c>
      <c r="M189" s="14">
        <f>IF(A189="","",IF(AND(K189="Yes",L189="Yes"),"Compliant",IF(OR(K189="No",L189="No"),"Non-Compliant","Partial")))</f>
        <v/>
      </c>
      <c r="N189" s="15" t="n"/>
      <c r="O189" s="15" t="n"/>
    </row>
    <row r="190">
      <c r="A190" s="14">
        <f>IF(ROW()-4&lt;=COUNTA('Personnel Screening Registry'!$A:$A)-4,INDEX('Personnel Screening Registry'!$A:$A,ROW()-3),"")</f>
        <v/>
      </c>
      <c r="B190" s="14">
        <f>IF(A190&lt;&gt;"",VLOOKUP(A190,'Personnel Screening Registry'!$A:$B,2,FALSE),"")</f>
        <v/>
      </c>
      <c r="C190" s="14">
        <f>IF(A190&lt;&gt;"",VLOOKUP(A190,'Personnel Screening Registry'!$A:$E,5,FALSE),"")</f>
        <v/>
      </c>
      <c r="D190" s="15" t="n"/>
      <c r="E190" s="15" t="n"/>
      <c r="F190" s="15" t="n"/>
      <c r="G190" s="15" t="n"/>
      <c r="H190" s="15" t="n"/>
      <c r="I190" s="15" t="n"/>
      <c r="J190" s="15" t="n"/>
      <c r="K190" s="14">
        <f>IF(A190="","",IF(AND(D190="Yes",E190="Yes",J190="Yes"),"Yes","No"))</f>
        <v/>
      </c>
      <c r="L190" s="14">
        <f>IF(A190="","",IF(VLOOKUP(A190,'Personnel Screening Registry'!$A:$I,8,FALSE)=VLOOKUP(A190,'Personnel Screening Registry'!$A:$I,9,FALSE),"Yes","No"))</f>
        <v/>
      </c>
      <c r="M190" s="14">
        <f>IF(A190="","",IF(AND(K190="Yes",L190="Yes"),"Compliant",IF(OR(K190="No",L190="No"),"Non-Compliant","Partial")))</f>
        <v/>
      </c>
      <c r="N190" s="15" t="n"/>
      <c r="O190" s="15" t="n"/>
    </row>
    <row r="191">
      <c r="A191" s="14">
        <f>IF(ROW()-4&lt;=COUNTA('Personnel Screening Registry'!$A:$A)-4,INDEX('Personnel Screening Registry'!$A:$A,ROW()-3),"")</f>
        <v/>
      </c>
      <c r="B191" s="14">
        <f>IF(A191&lt;&gt;"",VLOOKUP(A191,'Personnel Screening Registry'!$A:$B,2,FALSE),"")</f>
        <v/>
      </c>
      <c r="C191" s="14">
        <f>IF(A191&lt;&gt;"",VLOOKUP(A191,'Personnel Screening Registry'!$A:$E,5,FALSE),"")</f>
        <v/>
      </c>
      <c r="D191" s="15" t="n"/>
      <c r="E191" s="15" t="n"/>
      <c r="F191" s="15" t="n"/>
      <c r="G191" s="15" t="n"/>
      <c r="H191" s="15" t="n"/>
      <c r="I191" s="15" t="n"/>
      <c r="J191" s="15" t="n"/>
      <c r="K191" s="14">
        <f>IF(A191="","",IF(AND(D191="Yes",E191="Yes",J191="Yes"),"Yes","No"))</f>
        <v/>
      </c>
      <c r="L191" s="14">
        <f>IF(A191="","",IF(VLOOKUP(A191,'Personnel Screening Registry'!$A:$I,8,FALSE)=VLOOKUP(A191,'Personnel Screening Registry'!$A:$I,9,FALSE),"Yes","No"))</f>
        <v/>
      </c>
      <c r="M191" s="14">
        <f>IF(A191="","",IF(AND(K191="Yes",L191="Yes"),"Compliant",IF(OR(K191="No",L191="No"),"Non-Compliant","Partial")))</f>
        <v/>
      </c>
      <c r="N191" s="15" t="n"/>
      <c r="O191" s="15" t="n"/>
    </row>
    <row r="192">
      <c r="A192" s="14">
        <f>IF(ROW()-4&lt;=COUNTA('Personnel Screening Registry'!$A:$A)-4,INDEX('Personnel Screening Registry'!$A:$A,ROW()-3),"")</f>
        <v/>
      </c>
      <c r="B192" s="14">
        <f>IF(A192&lt;&gt;"",VLOOKUP(A192,'Personnel Screening Registry'!$A:$B,2,FALSE),"")</f>
        <v/>
      </c>
      <c r="C192" s="14">
        <f>IF(A192&lt;&gt;"",VLOOKUP(A192,'Personnel Screening Registry'!$A:$E,5,FALSE),"")</f>
        <v/>
      </c>
      <c r="D192" s="15" t="n"/>
      <c r="E192" s="15" t="n"/>
      <c r="F192" s="15" t="n"/>
      <c r="G192" s="15" t="n"/>
      <c r="H192" s="15" t="n"/>
      <c r="I192" s="15" t="n"/>
      <c r="J192" s="15" t="n"/>
      <c r="K192" s="14">
        <f>IF(A192="","",IF(AND(D192="Yes",E192="Yes",J192="Yes"),"Yes","No"))</f>
        <v/>
      </c>
      <c r="L192" s="14">
        <f>IF(A192="","",IF(VLOOKUP(A192,'Personnel Screening Registry'!$A:$I,8,FALSE)=VLOOKUP(A192,'Personnel Screening Registry'!$A:$I,9,FALSE),"Yes","No"))</f>
        <v/>
      </c>
      <c r="M192" s="14">
        <f>IF(A192="","",IF(AND(K192="Yes",L192="Yes"),"Compliant",IF(OR(K192="No",L192="No"),"Non-Compliant","Partial")))</f>
        <v/>
      </c>
      <c r="N192" s="15" t="n"/>
      <c r="O192" s="15" t="n"/>
    </row>
    <row r="193">
      <c r="A193" s="14">
        <f>IF(ROW()-4&lt;=COUNTA('Personnel Screening Registry'!$A:$A)-4,INDEX('Personnel Screening Registry'!$A:$A,ROW()-3),"")</f>
        <v/>
      </c>
      <c r="B193" s="14">
        <f>IF(A193&lt;&gt;"",VLOOKUP(A193,'Personnel Screening Registry'!$A:$B,2,FALSE),"")</f>
        <v/>
      </c>
      <c r="C193" s="14">
        <f>IF(A193&lt;&gt;"",VLOOKUP(A193,'Personnel Screening Registry'!$A:$E,5,FALSE),"")</f>
        <v/>
      </c>
      <c r="D193" s="15" t="n"/>
      <c r="E193" s="15" t="n"/>
      <c r="F193" s="15" t="n"/>
      <c r="G193" s="15" t="n"/>
      <c r="H193" s="15" t="n"/>
      <c r="I193" s="15" t="n"/>
      <c r="J193" s="15" t="n"/>
      <c r="K193" s="14">
        <f>IF(A193="","",IF(AND(D193="Yes",E193="Yes",J193="Yes"),"Yes","No"))</f>
        <v/>
      </c>
      <c r="L193" s="14">
        <f>IF(A193="","",IF(VLOOKUP(A193,'Personnel Screening Registry'!$A:$I,8,FALSE)=VLOOKUP(A193,'Personnel Screening Registry'!$A:$I,9,FALSE),"Yes","No"))</f>
        <v/>
      </c>
      <c r="M193" s="14">
        <f>IF(A193="","",IF(AND(K193="Yes",L193="Yes"),"Compliant",IF(OR(K193="No",L193="No"),"Non-Compliant","Partial")))</f>
        <v/>
      </c>
      <c r="N193" s="15" t="n"/>
      <c r="O193" s="15" t="n"/>
    </row>
    <row r="194">
      <c r="A194" s="14">
        <f>IF(ROW()-4&lt;=COUNTA('Personnel Screening Registry'!$A:$A)-4,INDEX('Personnel Screening Registry'!$A:$A,ROW()-3),"")</f>
        <v/>
      </c>
      <c r="B194" s="14">
        <f>IF(A194&lt;&gt;"",VLOOKUP(A194,'Personnel Screening Registry'!$A:$B,2,FALSE),"")</f>
        <v/>
      </c>
      <c r="C194" s="14">
        <f>IF(A194&lt;&gt;"",VLOOKUP(A194,'Personnel Screening Registry'!$A:$E,5,FALSE),"")</f>
        <v/>
      </c>
      <c r="D194" s="15" t="n"/>
      <c r="E194" s="15" t="n"/>
      <c r="F194" s="15" t="n"/>
      <c r="G194" s="15" t="n"/>
      <c r="H194" s="15" t="n"/>
      <c r="I194" s="15" t="n"/>
      <c r="J194" s="15" t="n"/>
      <c r="K194" s="14">
        <f>IF(A194="","",IF(AND(D194="Yes",E194="Yes",J194="Yes"),"Yes","No"))</f>
        <v/>
      </c>
      <c r="L194" s="14">
        <f>IF(A194="","",IF(VLOOKUP(A194,'Personnel Screening Registry'!$A:$I,8,FALSE)=VLOOKUP(A194,'Personnel Screening Registry'!$A:$I,9,FALSE),"Yes","No"))</f>
        <v/>
      </c>
      <c r="M194" s="14">
        <f>IF(A194="","",IF(AND(K194="Yes",L194="Yes"),"Compliant",IF(OR(K194="No",L194="No"),"Non-Compliant","Partial")))</f>
        <v/>
      </c>
      <c r="N194" s="15" t="n"/>
      <c r="O194" s="15" t="n"/>
    </row>
    <row r="195">
      <c r="A195" s="14">
        <f>IF(ROW()-4&lt;=COUNTA('Personnel Screening Registry'!$A:$A)-4,INDEX('Personnel Screening Registry'!$A:$A,ROW()-3),"")</f>
        <v/>
      </c>
      <c r="B195" s="14">
        <f>IF(A195&lt;&gt;"",VLOOKUP(A195,'Personnel Screening Registry'!$A:$B,2,FALSE),"")</f>
        <v/>
      </c>
      <c r="C195" s="14">
        <f>IF(A195&lt;&gt;"",VLOOKUP(A195,'Personnel Screening Registry'!$A:$E,5,FALSE),"")</f>
        <v/>
      </c>
      <c r="D195" s="15" t="n"/>
      <c r="E195" s="15" t="n"/>
      <c r="F195" s="15" t="n"/>
      <c r="G195" s="15" t="n"/>
      <c r="H195" s="15" t="n"/>
      <c r="I195" s="15" t="n"/>
      <c r="J195" s="15" t="n"/>
      <c r="K195" s="14">
        <f>IF(A195="","",IF(AND(D195="Yes",E195="Yes",J195="Yes"),"Yes","No"))</f>
        <v/>
      </c>
      <c r="L195" s="14">
        <f>IF(A195="","",IF(VLOOKUP(A195,'Personnel Screening Registry'!$A:$I,8,FALSE)=VLOOKUP(A195,'Personnel Screening Registry'!$A:$I,9,FALSE),"Yes","No"))</f>
        <v/>
      </c>
      <c r="M195" s="14">
        <f>IF(A195="","",IF(AND(K195="Yes",L195="Yes"),"Compliant",IF(OR(K195="No",L195="No"),"Non-Compliant","Partial")))</f>
        <v/>
      </c>
      <c r="N195" s="15" t="n"/>
      <c r="O195" s="15" t="n"/>
    </row>
    <row r="196">
      <c r="A196" s="14">
        <f>IF(ROW()-4&lt;=COUNTA('Personnel Screening Registry'!$A:$A)-4,INDEX('Personnel Screening Registry'!$A:$A,ROW()-3),"")</f>
        <v/>
      </c>
      <c r="B196" s="14">
        <f>IF(A196&lt;&gt;"",VLOOKUP(A196,'Personnel Screening Registry'!$A:$B,2,FALSE),"")</f>
        <v/>
      </c>
      <c r="C196" s="14">
        <f>IF(A196&lt;&gt;"",VLOOKUP(A196,'Personnel Screening Registry'!$A:$E,5,FALSE),"")</f>
        <v/>
      </c>
      <c r="D196" s="15" t="n"/>
      <c r="E196" s="15" t="n"/>
      <c r="F196" s="15" t="n"/>
      <c r="G196" s="15" t="n"/>
      <c r="H196" s="15" t="n"/>
      <c r="I196" s="15" t="n"/>
      <c r="J196" s="15" t="n"/>
      <c r="K196" s="14">
        <f>IF(A196="","",IF(AND(D196="Yes",E196="Yes",J196="Yes"),"Yes","No"))</f>
        <v/>
      </c>
      <c r="L196" s="14">
        <f>IF(A196="","",IF(VLOOKUP(A196,'Personnel Screening Registry'!$A:$I,8,FALSE)=VLOOKUP(A196,'Personnel Screening Registry'!$A:$I,9,FALSE),"Yes","No"))</f>
        <v/>
      </c>
      <c r="M196" s="14">
        <f>IF(A196="","",IF(AND(K196="Yes",L196="Yes"),"Compliant",IF(OR(K196="No",L196="No"),"Non-Compliant","Partial")))</f>
        <v/>
      </c>
      <c r="N196" s="15" t="n"/>
      <c r="O196" s="15" t="n"/>
    </row>
    <row r="197">
      <c r="A197" s="14">
        <f>IF(ROW()-4&lt;=COUNTA('Personnel Screening Registry'!$A:$A)-4,INDEX('Personnel Screening Registry'!$A:$A,ROW()-3),"")</f>
        <v/>
      </c>
      <c r="B197" s="14">
        <f>IF(A197&lt;&gt;"",VLOOKUP(A197,'Personnel Screening Registry'!$A:$B,2,FALSE),"")</f>
        <v/>
      </c>
      <c r="C197" s="14">
        <f>IF(A197&lt;&gt;"",VLOOKUP(A197,'Personnel Screening Registry'!$A:$E,5,FALSE),"")</f>
        <v/>
      </c>
      <c r="D197" s="15" t="n"/>
      <c r="E197" s="15" t="n"/>
      <c r="F197" s="15" t="n"/>
      <c r="G197" s="15" t="n"/>
      <c r="H197" s="15" t="n"/>
      <c r="I197" s="15" t="n"/>
      <c r="J197" s="15" t="n"/>
      <c r="K197" s="14">
        <f>IF(A197="","",IF(AND(D197="Yes",E197="Yes",J197="Yes"),"Yes","No"))</f>
        <v/>
      </c>
      <c r="L197" s="14">
        <f>IF(A197="","",IF(VLOOKUP(A197,'Personnel Screening Registry'!$A:$I,8,FALSE)=VLOOKUP(A197,'Personnel Screening Registry'!$A:$I,9,FALSE),"Yes","No"))</f>
        <v/>
      </c>
      <c r="M197" s="14">
        <f>IF(A197="","",IF(AND(K197="Yes",L197="Yes"),"Compliant",IF(OR(K197="No",L197="No"),"Non-Compliant","Partial")))</f>
        <v/>
      </c>
      <c r="N197" s="15" t="n"/>
      <c r="O197" s="15" t="n"/>
    </row>
    <row r="198">
      <c r="A198" s="14">
        <f>IF(ROW()-4&lt;=COUNTA('Personnel Screening Registry'!$A:$A)-4,INDEX('Personnel Screening Registry'!$A:$A,ROW()-3),"")</f>
        <v/>
      </c>
      <c r="B198" s="14">
        <f>IF(A198&lt;&gt;"",VLOOKUP(A198,'Personnel Screening Registry'!$A:$B,2,FALSE),"")</f>
        <v/>
      </c>
      <c r="C198" s="14">
        <f>IF(A198&lt;&gt;"",VLOOKUP(A198,'Personnel Screening Registry'!$A:$E,5,FALSE),"")</f>
        <v/>
      </c>
      <c r="D198" s="15" t="n"/>
      <c r="E198" s="15" t="n"/>
      <c r="F198" s="15" t="n"/>
      <c r="G198" s="15" t="n"/>
      <c r="H198" s="15" t="n"/>
      <c r="I198" s="15" t="n"/>
      <c r="J198" s="15" t="n"/>
      <c r="K198" s="14">
        <f>IF(A198="","",IF(AND(D198="Yes",E198="Yes",J198="Yes"),"Yes","No"))</f>
        <v/>
      </c>
      <c r="L198" s="14">
        <f>IF(A198="","",IF(VLOOKUP(A198,'Personnel Screening Registry'!$A:$I,8,FALSE)=VLOOKUP(A198,'Personnel Screening Registry'!$A:$I,9,FALSE),"Yes","No"))</f>
        <v/>
      </c>
      <c r="M198" s="14">
        <f>IF(A198="","",IF(AND(K198="Yes",L198="Yes"),"Compliant",IF(OR(K198="No",L198="No"),"Non-Compliant","Partial")))</f>
        <v/>
      </c>
      <c r="N198" s="15" t="n"/>
      <c r="O198" s="15" t="n"/>
    </row>
    <row r="199">
      <c r="A199" s="14">
        <f>IF(ROW()-4&lt;=COUNTA('Personnel Screening Registry'!$A:$A)-4,INDEX('Personnel Screening Registry'!$A:$A,ROW()-3),"")</f>
        <v/>
      </c>
      <c r="B199" s="14">
        <f>IF(A199&lt;&gt;"",VLOOKUP(A199,'Personnel Screening Registry'!$A:$B,2,FALSE),"")</f>
        <v/>
      </c>
      <c r="C199" s="14">
        <f>IF(A199&lt;&gt;"",VLOOKUP(A199,'Personnel Screening Registry'!$A:$E,5,FALSE),"")</f>
        <v/>
      </c>
      <c r="D199" s="15" t="n"/>
      <c r="E199" s="15" t="n"/>
      <c r="F199" s="15" t="n"/>
      <c r="G199" s="15" t="n"/>
      <c r="H199" s="15" t="n"/>
      <c r="I199" s="15" t="n"/>
      <c r="J199" s="15" t="n"/>
      <c r="K199" s="14">
        <f>IF(A199="","",IF(AND(D199="Yes",E199="Yes",J199="Yes"),"Yes","No"))</f>
        <v/>
      </c>
      <c r="L199" s="14">
        <f>IF(A199="","",IF(VLOOKUP(A199,'Personnel Screening Registry'!$A:$I,8,FALSE)=VLOOKUP(A199,'Personnel Screening Registry'!$A:$I,9,FALSE),"Yes","No"))</f>
        <v/>
      </c>
      <c r="M199" s="14">
        <f>IF(A199="","",IF(AND(K199="Yes",L199="Yes"),"Compliant",IF(OR(K199="No",L199="No"),"Non-Compliant","Partial")))</f>
        <v/>
      </c>
      <c r="N199" s="15" t="n"/>
      <c r="O199" s="15" t="n"/>
    </row>
    <row r="200">
      <c r="A200" s="14">
        <f>IF(ROW()-4&lt;=COUNTA('Personnel Screening Registry'!$A:$A)-4,INDEX('Personnel Screening Registry'!$A:$A,ROW()-3),"")</f>
        <v/>
      </c>
      <c r="B200" s="14">
        <f>IF(A200&lt;&gt;"",VLOOKUP(A200,'Personnel Screening Registry'!$A:$B,2,FALSE),"")</f>
        <v/>
      </c>
      <c r="C200" s="14">
        <f>IF(A200&lt;&gt;"",VLOOKUP(A200,'Personnel Screening Registry'!$A:$E,5,FALSE),"")</f>
        <v/>
      </c>
      <c r="D200" s="15" t="n"/>
      <c r="E200" s="15" t="n"/>
      <c r="F200" s="15" t="n"/>
      <c r="G200" s="15" t="n"/>
      <c r="H200" s="15" t="n"/>
      <c r="I200" s="15" t="n"/>
      <c r="J200" s="15" t="n"/>
      <c r="K200" s="14">
        <f>IF(A200="","",IF(AND(D200="Yes",E200="Yes",J200="Yes"),"Yes","No"))</f>
        <v/>
      </c>
      <c r="L200" s="14">
        <f>IF(A200="","",IF(VLOOKUP(A200,'Personnel Screening Registry'!$A:$I,8,FALSE)=VLOOKUP(A200,'Personnel Screening Registry'!$A:$I,9,FALSE),"Yes","No"))</f>
        <v/>
      </c>
      <c r="M200" s="14">
        <f>IF(A200="","",IF(AND(K200="Yes",L200="Yes"),"Compliant",IF(OR(K200="No",L200="No"),"Non-Compliant","Partial")))</f>
        <v/>
      </c>
      <c r="N200" s="15" t="n"/>
      <c r="O200" s="15" t="n"/>
    </row>
    <row r="201">
      <c r="A201" s="14">
        <f>IF(ROW()-4&lt;=COUNTA('Personnel Screening Registry'!$A:$A)-4,INDEX('Personnel Screening Registry'!$A:$A,ROW()-3),"")</f>
        <v/>
      </c>
      <c r="B201" s="14">
        <f>IF(A201&lt;&gt;"",VLOOKUP(A201,'Personnel Screening Registry'!$A:$B,2,FALSE),"")</f>
        <v/>
      </c>
      <c r="C201" s="14">
        <f>IF(A201&lt;&gt;"",VLOOKUP(A201,'Personnel Screening Registry'!$A:$E,5,FALSE),"")</f>
        <v/>
      </c>
      <c r="D201" s="15" t="n"/>
      <c r="E201" s="15" t="n"/>
      <c r="F201" s="15" t="n"/>
      <c r="G201" s="15" t="n"/>
      <c r="H201" s="15" t="n"/>
      <c r="I201" s="15" t="n"/>
      <c r="J201" s="15" t="n"/>
      <c r="K201" s="14">
        <f>IF(A201="","",IF(AND(D201="Yes",E201="Yes",J201="Yes"),"Yes","No"))</f>
        <v/>
      </c>
      <c r="L201" s="14">
        <f>IF(A201="","",IF(VLOOKUP(A201,'Personnel Screening Registry'!$A:$I,8,FALSE)=VLOOKUP(A201,'Personnel Screening Registry'!$A:$I,9,FALSE),"Yes","No"))</f>
        <v/>
      </c>
      <c r="M201" s="14">
        <f>IF(A201="","",IF(AND(K201="Yes",L201="Yes"),"Compliant",IF(OR(K201="No",L201="No"),"Non-Compliant","Partial")))</f>
        <v/>
      </c>
      <c r="N201" s="15" t="n"/>
      <c r="O201" s="15" t="n"/>
    </row>
    <row r="202">
      <c r="A202" s="14">
        <f>IF(ROW()-4&lt;=COUNTA('Personnel Screening Registry'!$A:$A)-4,INDEX('Personnel Screening Registry'!$A:$A,ROW()-3),"")</f>
        <v/>
      </c>
      <c r="B202" s="14">
        <f>IF(A202&lt;&gt;"",VLOOKUP(A202,'Personnel Screening Registry'!$A:$B,2,FALSE),"")</f>
        <v/>
      </c>
      <c r="C202" s="14">
        <f>IF(A202&lt;&gt;"",VLOOKUP(A202,'Personnel Screening Registry'!$A:$E,5,FALSE),"")</f>
        <v/>
      </c>
      <c r="D202" s="15" t="n"/>
      <c r="E202" s="15" t="n"/>
      <c r="F202" s="15" t="n"/>
      <c r="G202" s="15" t="n"/>
      <c r="H202" s="15" t="n"/>
      <c r="I202" s="15" t="n"/>
      <c r="J202" s="15" t="n"/>
      <c r="K202" s="14">
        <f>IF(A202="","",IF(AND(D202="Yes",E202="Yes",J202="Yes"),"Yes","No"))</f>
        <v/>
      </c>
      <c r="L202" s="14">
        <f>IF(A202="","",IF(VLOOKUP(A202,'Personnel Screening Registry'!$A:$I,8,FALSE)=VLOOKUP(A202,'Personnel Screening Registry'!$A:$I,9,FALSE),"Yes","No"))</f>
        <v/>
      </c>
      <c r="M202" s="14">
        <f>IF(A202="","",IF(AND(K202="Yes",L202="Yes"),"Compliant",IF(OR(K202="No",L202="No"),"Non-Compliant","Partial")))</f>
        <v/>
      </c>
      <c r="N202" s="15" t="n"/>
      <c r="O202" s="15" t="n"/>
    </row>
    <row r="203">
      <c r="A203" s="14">
        <f>IF(ROW()-4&lt;=COUNTA('Personnel Screening Registry'!$A:$A)-4,INDEX('Personnel Screening Registry'!$A:$A,ROW()-3),"")</f>
        <v/>
      </c>
      <c r="B203" s="14">
        <f>IF(A203&lt;&gt;"",VLOOKUP(A203,'Personnel Screening Registry'!$A:$B,2,FALSE),"")</f>
        <v/>
      </c>
      <c r="C203" s="14">
        <f>IF(A203&lt;&gt;"",VLOOKUP(A203,'Personnel Screening Registry'!$A:$E,5,FALSE),"")</f>
        <v/>
      </c>
      <c r="D203" s="15" t="n"/>
      <c r="E203" s="15" t="n"/>
      <c r="F203" s="15" t="n"/>
      <c r="G203" s="15" t="n"/>
      <c r="H203" s="15" t="n"/>
      <c r="I203" s="15" t="n"/>
      <c r="J203" s="15" t="n"/>
      <c r="K203" s="14">
        <f>IF(A203="","",IF(AND(D203="Yes",E203="Yes",J203="Yes"),"Yes","No"))</f>
        <v/>
      </c>
      <c r="L203" s="14">
        <f>IF(A203="","",IF(VLOOKUP(A203,'Personnel Screening Registry'!$A:$I,8,FALSE)=VLOOKUP(A203,'Personnel Screening Registry'!$A:$I,9,FALSE),"Yes","No"))</f>
        <v/>
      </c>
      <c r="M203" s="14">
        <f>IF(A203="","",IF(AND(K203="Yes",L203="Yes"),"Compliant",IF(OR(K203="No",L203="No"),"Non-Compliant","Partial")))</f>
        <v/>
      </c>
      <c r="N203" s="15" t="n"/>
      <c r="O203" s="15" t="n"/>
    </row>
    <row r="204">
      <c r="A204" s="14">
        <f>IF(ROW()-4&lt;=COUNTA('Personnel Screening Registry'!$A:$A)-4,INDEX('Personnel Screening Registry'!$A:$A,ROW()-3),"")</f>
        <v/>
      </c>
      <c r="B204" s="14">
        <f>IF(A204&lt;&gt;"",VLOOKUP(A204,'Personnel Screening Registry'!$A:$B,2,FALSE),"")</f>
        <v/>
      </c>
      <c r="C204" s="14">
        <f>IF(A204&lt;&gt;"",VLOOKUP(A204,'Personnel Screening Registry'!$A:$E,5,FALSE),"")</f>
        <v/>
      </c>
      <c r="D204" s="15" t="n"/>
      <c r="E204" s="15" t="n"/>
      <c r="F204" s="15" t="n"/>
      <c r="G204" s="15" t="n"/>
      <c r="H204" s="15" t="n"/>
      <c r="I204" s="15" t="n"/>
      <c r="J204" s="15" t="n"/>
      <c r="K204" s="14">
        <f>IF(A204="","",IF(AND(D204="Yes",E204="Yes",J204="Yes"),"Yes","No"))</f>
        <v/>
      </c>
      <c r="L204" s="14">
        <f>IF(A204="","",IF(VLOOKUP(A204,'Personnel Screening Registry'!$A:$I,8,FALSE)=VLOOKUP(A204,'Personnel Screening Registry'!$A:$I,9,FALSE),"Yes","No"))</f>
        <v/>
      </c>
      <c r="M204" s="14">
        <f>IF(A204="","",IF(AND(K204="Yes",L204="Yes"),"Compliant",IF(OR(K204="No",L204="No"),"Non-Compliant","Partial")))</f>
        <v/>
      </c>
      <c r="N204" s="15" t="n"/>
      <c r="O204" s="15" t="n"/>
    </row>
    <row r="205">
      <c r="A205" s="14">
        <f>IF(ROW()-4&lt;=COUNTA('Personnel Screening Registry'!$A:$A)-4,INDEX('Personnel Screening Registry'!$A:$A,ROW()-3),"")</f>
        <v/>
      </c>
      <c r="B205" s="14">
        <f>IF(A205&lt;&gt;"",VLOOKUP(A205,'Personnel Screening Registry'!$A:$B,2,FALSE),"")</f>
        <v/>
      </c>
      <c r="C205" s="14">
        <f>IF(A205&lt;&gt;"",VLOOKUP(A205,'Personnel Screening Registry'!$A:$E,5,FALSE),"")</f>
        <v/>
      </c>
      <c r="D205" s="15" t="n"/>
      <c r="E205" s="15" t="n"/>
      <c r="F205" s="15" t="n"/>
      <c r="G205" s="15" t="n"/>
      <c r="H205" s="15" t="n"/>
      <c r="I205" s="15" t="n"/>
      <c r="J205" s="15" t="n"/>
      <c r="K205" s="14">
        <f>IF(A205="","",IF(AND(D205="Yes",E205="Yes",J205="Yes"),"Yes","No"))</f>
        <v/>
      </c>
      <c r="L205" s="14">
        <f>IF(A205="","",IF(VLOOKUP(A205,'Personnel Screening Registry'!$A:$I,8,FALSE)=VLOOKUP(A205,'Personnel Screening Registry'!$A:$I,9,FALSE),"Yes","No"))</f>
        <v/>
      </c>
      <c r="M205" s="14">
        <f>IF(A205="","",IF(AND(K205="Yes",L205="Yes"),"Compliant",IF(OR(K205="No",L205="No"),"Non-Compliant","Partial")))</f>
        <v/>
      </c>
      <c r="N205" s="15" t="n"/>
      <c r="O205" s="15" t="n"/>
    </row>
    <row r="206">
      <c r="A206" s="14">
        <f>IF(ROW()-4&lt;=COUNTA('Personnel Screening Registry'!$A:$A)-4,INDEX('Personnel Screening Registry'!$A:$A,ROW()-3),"")</f>
        <v/>
      </c>
      <c r="B206" s="14">
        <f>IF(A206&lt;&gt;"",VLOOKUP(A206,'Personnel Screening Registry'!$A:$B,2,FALSE),"")</f>
        <v/>
      </c>
      <c r="C206" s="14">
        <f>IF(A206&lt;&gt;"",VLOOKUP(A206,'Personnel Screening Registry'!$A:$E,5,FALSE),"")</f>
        <v/>
      </c>
      <c r="D206" s="15" t="n"/>
      <c r="E206" s="15" t="n"/>
      <c r="F206" s="15" t="n"/>
      <c r="G206" s="15" t="n"/>
      <c r="H206" s="15" t="n"/>
      <c r="I206" s="15" t="n"/>
      <c r="J206" s="15" t="n"/>
      <c r="K206" s="14">
        <f>IF(A206="","",IF(AND(D206="Yes",E206="Yes",J206="Yes"),"Yes","No"))</f>
        <v/>
      </c>
      <c r="L206" s="14">
        <f>IF(A206="","",IF(VLOOKUP(A206,'Personnel Screening Registry'!$A:$I,8,FALSE)=VLOOKUP(A206,'Personnel Screening Registry'!$A:$I,9,FALSE),"Yes","No"))</f>
        <v/>
      </c>
      <c r="M206" s="14">
        <f>IF(A206="","",IF(AND(K206="Yes",L206="Yes"),"Compliant",IF(OR(K206="No",L206="No"),"Non-Compliant","Partial")))</f>
        <v/>
      </c>
      <c r="N206" s="15" t="n"/>
      <c r="O206" s="15" t="n"/>
    </row>
    <row r="207">
      <c r="A207" s="14">
        <f>IF(ROW()-4&lt;=COUNTA('Personnel Screening Registry'!$A:$A)-4,INDEX('Personnel Screening Registry'!$A:$A,ROW()-3),"")</f>
        <v/>
      </c>
      <c r="B207" s="14">
        <f>IF(A207&lt;&gt;"",VLOOKUP(A207,'Personnel Screening Registry'!$A:$B,2,FALSE),"")</f>
        <v/>
      </c>
      <c r="C207" s="14">
        <f>IF(A207&lt;&gt;"",VLOOKUP(A207,'Personnel Screening Registry'!$A:$E,5,FALSE),"")</f>
        <v/>
      </c>
      <c r="D207" s="15" t="n"/>
      <c r="E207" s="15" t="n"/>
      <c r="F207" s="15" t="n"/>
      <c r="G207" s="15" t="n"/>
      <c r="H207" s="15" t="n"/>
      <c r="I207" s="15" t="n"/>
      <c r="J207" s="15" t="n"/>
      <c r="K207" s="14">
        <f>IF(A207="","",IF(AND(D207="Yes",E207="Yes",J207="Yes"),"Yes","No"))</f>
        <v/>
      </c>
      <c r="L207" s="14">
        <f>IF(A207="","",IF(VLOOKUP(A207,'Personnel Screening Registry'!$A:$I,8,FALSE)=VLOOKUP(A207,'Personnel Screening Registry'!$A:$I,9,FALSE),"Yes","No"))</f>
        <v/>
      </c>
      <c r="M207" s="14">
        <f>IF(A207="","",IF(AND(K207="Yes",L207="Yes"),"Compliant",IF(OR(K207="No",L207="No"),"Non-Compliant","Partial")))</f>
        <v/>
      </c>
      <c r="N207" s="15" t="n"/>
      <c r="O207" s="15" t="n"/>
    </row>
    <row r="208">
      <c r="A208" s="14">
        <f>IF(ROW()-4&lt;=COUNTA('Personnel Screening Registry'!$A:$A)-4,INDEX('Personnel Screening Registry'!$A:$A,ROW()-3),"")</f>
        <v/>
      </c>
      <c r="B208" s="14">
        <f>IF(A208&lt;&gt;"",VLOOKUP(A208,'Personnel Screening Registry'!$A:$B,2,FALSE),"")</f>
        <v/>
      </c>
      <c r="C208" s="14">
        <f>IF(A208&lt;&gt;"",VLOOKUP(A208,'Personnel Screening Registry'!$A:$E,5,FALSE),"")</f>
        <v/>
      </c>
      <c r="D208" s="15" t="n"/>
      <c r="E208" s="15" t="n"/>
      <c r="F208" s="15" t="n"/>
      <c r="G208" s="15" t="n"/>
      <c r="H208" s="15" t="n"/>
      <c r="I208" s="15" t="n"/>
      <c r="J208" s="15" t="n"/>
      <c r="K208" s="14">
        <f>IF(A208="","",IF(AND(D208="Yes",E208="Yes",J208="Yes"),"Yes","No"))</f>
        <v/>
      </c>
      <c r="L208" s="14">
        <f>IF(A208="","",IF(VLOOKUP(A208,'Personnel Screening Registry'!$A:$I,8,FALSE)=VLOOKUP(A208,'Personnel Screening Registry'!$A:$I,9,FALSE),"Yes","No"))</f>
        <v/>
      </c>
      <c r="M208" s="14">
        <f>IF(A208="","",IF(AND(K208="Yes",L208="Yes"),"Compliant",IF(OR(K208="No",L208="No"),"Non-Compliant","Partial")))</f>
        <v/>
      </c>
      <c r="N208" s="15" t="n"/>
      <c r="O208" s="15" t="n"/>
    </row>
    <row r="209">
      <c r="A209" s="14">
        <f>IF(ROW()-4&lt;=COUNTA('Personnel Screening Registry'!$A:$A)-4,INDEX('Personnel Screening Registry'!$A:$A,ROW()-3),"")</f>
        <v/>
      </c>
      <c r="B209" s="14">
        <f>IF(A209&lt;&gt;"",VLOOKUP(A209,'Personnel Screening Registry'!$A:$B,2,FALSE),"")</f>
        <v/>
      </c>
      <c r="C209" s="14">
        <f>IF(A209&lt;&gt;"",VLOOKUP(A209,'Personnel Screening Registry'!$A:$E,5,FALSE),"")</f>
        <v/>
      </c>
      <c r="D209" s="15" t="n"/>
      <c r="E209" s="15" t="n"/>
      <c r="F209" s="15" t="n"/>
      <c r="G209" s="15" t="n"/>
      <c r="H209" s="15" t="n"/>
      <c r="I209" s="15" t="n"/>
      <c r="J209" s="15" t="n"/>
      <c r="K209" s="14">
        <f>IF(A209="","",IF(AND(D209="Yes",E209="Yes",J209="Yes"),"Yes","No"))</f>
        <v/>
      </c>
      <c r="L209" s="14">
        <f>IF(A209="","",IF(VLOOKUP(A209,'Personnel Screening Registry'!$A:$I,8,FALSE)=VLOOKUP(A209,'Personnel Screening Registry'!$A:$I,9,FALSE),"Yes","No"))</f>
        <v/>
      </c>
      <c r="M209" s="14">
        <f>IF(A209="","",IF(AND(K209="Yes",L209="Yes"),"Compliant",IF(OR(K209="No",L209="No"),"Non-Compliant","Partial")))</f>
        <v/>
      </c>
      <c r="N209" s="15" t="n"/>
      <c r="O209" s="15" t="n"/>
    </row>
    <row r="210">
      <c r="A210" s="14">
        <f>IF(ROW()-4&lt;=COUNTA('Personnel Screening Registry'!$A:$A)-4,INDEX('Personnel Screening Registry'!$A:$A,ROW()-3),"")</f>
        <v/>
      </c>
      <c r="B210" s="14">
        <f>IF(A210&lt;&gt;"",VLOOKUP(A210,'Personnel Screening Registry'!$A:$B,2,FALSE),"")</f>
        <v/>
      </c>
      <c r="C210" s="14">
        <f>IF(A210&lt;&gt;"",VLOOKUP(A210,'Personnel Screening Registry'!$A:$E,5,FALSE),"")</f>
        <v/>
      </c>
      <c r="D210" s="15" t="n"/>
      <c r="E210" s="15" t="n"/>
      <c r="F210" s="15" t="n"/>
      <c r="G210" s="15" t="n"/>
      <c r="H210" s="15" t="n"/>
      <c r="I210" s="15" t="n"/>
      <c r="J210" s="15" t="n"/>
      <c r="K210" s="14">
        <f>IF(A210="","",IF(AND(D210="Yes",E210="Yes",J210="Yes"),"Yes","No"))</f>
        <v/>
      </c>
      <c r="L210" s="14">
        <f>IF(A210="","",IF(VLOOKUP(A210,'Personnel Screening Registry'!$A:$I,8,FALSE)=VLOOKUP(A210,'Personnel Screening Registry'!$A:$I,9,FALSE),"Yes","No"))</f>
        <v/>
      </c>
      <c r="M210" s="14">
        <f>IF(A210="","",IF(AND(K210="Yes",L210="Yes"),"Compliant",IF(OR(K210="No",L210="No"),"Non-Compliant","Partial")))</f>
        <v/>
      </c>
      <c r="N210" s="15" t="n"/>
      <c r="O210" s="15" t="n"/>
    </row>
    <row r="211">
      <c r="A211" s="14">
        <f>IF(ROW()-4&lt;=COUNTA('Personnel Screening Registry'!$A:$A)-4,INDEX('Personnel Screening Registry'!$A:$A,ROW()-3),"")</f>
        <v/>
      </c>
      <c r="B211" s="14">
        <f>IF(A211&lt;&gt;"",VLOOKUP(A211,'Personnel Screening Registry'!$A:$B,2,FALSE),"")</f>
        <v/>
      </c>
      <c r="C211" s="14">
        <f>IF(A211&lt;&gt;"",VLOOKUP(A211,'Personnel Screening Registry'!$A:$E,5,FALSE),"")</f>
        <v/>
      </c>
      <c r="D211" s="15" t="n"/>
      <c r="E211" s="15" t="n"/>
      <c r="F211" s="15" t="n"/>
      <c r="G211" s="15" t="n"/>
      <c r="H211" s="15" t="n"/>
      <c r="I211" s="15" t="n"/>
      <c r="J211" s="15" t="n"/>
      <c r="K211" s="14">
        <f>IF(A211="","",IF(AND(D211="Yes",E211="Yes",J211="Yes"),"Yes","No"))</f>
        <v/>
      </c>
      <c r="L211" s="14">
        <f>IF(A211="","",IF(VLOOKUP(A211,'Personnel Screening Registry'!$A:$I,8,FALSE)=VLOOKUP(A211,'Personnel Screening Registry'!$A:$I,9,FALSE),"Yes","No"))</f>
        <v/>
      </c>
      <c r="M211" s="14">
        <f>IF(A211="","",IF(AND(K211="Yes",L211="Yes"),"Compliant",IF(OR(K211="No",L211="No"),"Non-Compliant","Partial")))</f>
        <v/>
      </c>
      <c r="N211" s="15" t="n"/>
      <c r="O211" s="15" t="n"/>
    </row>
    <row r="212">
      <c r="A212" s="14">
        <f>IF(ROW()-4&lt;=COUNTA('Personnel Screening Registry'!$A:$A)-4,INDEX('Personnel Screening Registry'!$A:$A,ROW()-3),"")</f>
        <v/>
      </c>
      <c r="B212" s="14">
        <f>IF(A212&lt;&gt;"",VLOOKUP(A212,'Personnel Screening Registry'!$A:$B,2,FALSE),"")</f>
        <v/>
      </c>
      <c r="C212" s="14">
        <f>IF(A212&lt;&gt;"",VLOOKUP(A212,'Personnel Screening Registry'!$A:$E,5,FALSE),"")</f>
        <v/>
      </c>
      <c r="D212" s="15" t="n"/>
      <c r="E212" s="15" t="n"/>
      <c r="F212" s="15" t="n"/>
      <c r="G212" s="15" t="n"/>
      <c r="H212" s="15" t="n"/>
      <c r="I212" s="15" t="n"/>
      <c r="J212" s="15" t="n"/>
      <c r="K212" s="14">
        <f>IF(A212="","",IF(AND(D212="Yes",E212="Yes",J212="Yes"),"Yes","No"))</f>
        <v/>
      </c>
      <c r="L212" s="14">
        <f>IF(A212="","",IF(VLOOKUP(A212,'Personnel Screening Registry'!$A:$I,8,FALSE)=VLOOKUP(A212,'Personnel Screening Registry'!$A:$I,9,FALSE),"Yes","No"))</f>
        <v/>
      </c>
      <c r="M212" s="14">
        <f>IF(A212="","",IF(AND(K212="Yes",L212="Yes"),"Compliant",IF(OR(K212="No",L212="No"),"Non-Compliant","Partial")))</f>
        <v/>
      </c>
      <c r="N212" s="15" t="n"/>
      <c r="O212" s="15" t="n"/>
    </row>
    <row r="213">
      <c r="A213" s="14">
        <f>IF(ROW()-4&lt;=COUNTA('Personnel Screening Registry'!$A:$A)-4,INDEX('Personnel Screening Registry'!$A:$A,ROW()-3),"")</f>
        <v/>
      </c>
      <c r="B213" s="14">
        <f>IF(A213&lt;&gt;"",VLOOKUP(A213,'Personnel Screening Registry'!$A:$B,2,FALSE),"")</f>
        <v/>
      </c>
      <c r="C213" s="14">
        <f>IF(A213&lt;&gt;"",VLOOKUP(A213,'Personnel Screening Registry'!$A:$E,5,FALSE),"")</f>
        <v/>
      </c>
      <c r="D213" s="15" t="n"/>
      <c r="E213" s="15" t="n"/>
      <c r="F213" s="15" t="n"/>
      <c r="G213" s="15" t="n"/>
      <c r="H213" s="15" t="n"/>
      <c r="I213" s="15" t="n"/>
      <c r="J213" s="15" t="n"/>
      <c r="K213" s="14">
        <f>IF(A213="","",IF(AND(D213="Yes",E213="Yes",J213="Yes"),"Yes","No"))</f>
        <v/>
      </c>
      <c r="L213" s="14">
        <f>IF(A213="","",IF(VLOOKUP(A213,'Personnel Screening Registry'!$A:$I,8,FALSE)=VLOOKUP(A213,'Personnel Screening Registry'!$A:$I,9,FALSE),"Yes","No"))</f>
        <v/>
      </c>
      <c r="M213" s="14">
        <f>IF(A213="","",IF(AND(K213="Yes",L213="Yes"),"Compliant",IF(OR(K213="No",L213="No"),"Non-Compliant","Partial")))</f>
        <v/>
      </c>
      <c r="N213" s="15" t="n"/>
      <c r="O213" s="15" t="n"/>
    </row>
    <row r="214">
      <c r="A214" s="14">
        <f>IF(ROW()-4&lt;=COUNTA('Personnel Screening Registry'!$A:$A)-4,INDEX('Personnel Screening Registry'!$A:$A,ROW()-3),"")</f>
        <v/>
      </c>
      <c r="B214" s="14">
        <f>IF(A214&lt;&gt;"",VLOOKUP(A214,'Personnel Screening Registry'!$A:$B,2,FALSE),"")</f>
        <v/>
      </c>
      <c r="C214" s="14">
        <f>IF(A214&lt;&gt;"",VLOOKUP(A214,'Personnel Screening Registry'!$A:$E,5,FALSE),"")</f>
        <v/>
      </c>
      <c r="D214" s="15" t="n"/>
      <c r="E214" s="15" t="n"/>
      <c r="F214" s="15" t="n"/>
      <c r="G214" s="15" t="n"/>
      <c r="H214" s="15" t="n"/>
      <c r="I214" s="15" t="n"/>
      <c r="J214" s="15" t="n"/>
      <c r="K214" s="14">
        <f>IF(A214="","",IF(AND(D214="Yes",E214="Yes",J214="Yes"),"Yes","No"))</f>
        <v/>
      </c>
      <c r="L214" s="14">
        <f>IF(A214="","",IF(VLOOKUP(A214,'Personnel Screening Registry'!$A:$I,8,FALSE)=VLOOKUP(A214,'Personnel Screening Registry'!$A:$I,9,FALSE),"Yes","No"))</f>
        <v/>
      </c>
      <c r="M214" s="14">
        <f>IF(A214="","",IF(AND(K214="Yes",L214="Yes"),"Compliant",IF(OR(K214="No",L214="No"),"Non-Compliant","Partial")))</f>
        <v/>
      </c>
      <c r="N214" s="15" t="n"/>
      <c r="O214" s="15" t="n"/>
    </row>
    <row r="215">
      <c r="A215" s="14">
        <f>IF(ROW()-4&lt;=COUNTA('Personnel Screening Registry'!$A:$A)-4,INDEX('Personnel Screening Registry'!$A:$A,ROW()-3),"")</f>
        <v/>
      </c>
      <c r="B215" s="14">
        <f>IF(A215&lt;&gt;"",VLOOKUP(A215,'Personnel Screening Registry'!$A:$B,2,FALSE),"")</f>
        <v/>
      </c>
      <c r="C215" s="14">
        <f>IF(A215&lt;&gt;"",VLOOKUP(A215,'Personnel Screening Registry'!$A:$E,5,FALSE),"")</f>
        <v/>
      </c>
      <c r="D215" s="15" t="n"/>
      <c r="E215" s="15" t="n"/>
      <c r="F215" s="15" t="n"/>
      <c r="G215" s="15" t="n"/>
      <c r="H215" s="15" t="n"/>
      <c r="I215" s="15" t="n"/>
      <c r="J215" s="15" t="n"/>
      <c r="K215" s="14">
        <f>IF(A215="","",IF(AND(D215="Yes",E215="Yes",J215="Yes"),"Yes","No"))</f>
        <v/>
      </c>
      <c r="L215" s="14">
        <f>IF(A215="","",IF(VLOOKUP(A215,'Personnel Screening Registry'!$A:$I,8,FALSE)=VLOOKUP(A215,'Personnel Screening Registry'!$A:$I,9,FALSE),"Yes","No"))</f>
        <v/>
      </c>
      <c r="M215" s="14">
        <f>IF(A215="","",IF(AND(K215="Yes",L215="Yes"),"Compliant",IF(OR(K215="No",L215="No"),"Non-Compliant","Partial")))</f>
        <v/>
      </c>
      <c r="N215" s="15" t="n"/>
      <c r="O215" s="15" t="n"/>
    </row>
    <row r="216">
      <c r="A216" s="14">
        <f>IF(ROW()-4&lt;=COUNTA('Personnel Screening Registry'!$A:$A)-4,INDEX('Personnel Screening Registry'!$A:$A,ROW()-3),"")</f>
        <v/>
      </c>
      <c r="B216" s="14">
        <f>IF(A216&lt;&gt;"",VLOOKUP(A216,'Personnel Screening Registry'!$A:$B,2,FALSE),"")</f>
        <v/>
      </c>
      <c r="C216" s="14">
        <f>IF(A216&lt;&gt;"",VLOOKUP(A216,'Personnel Screening Registry'!$A:$E,5,FALSE),"")</f>
        <v/>
      </c>
      <c r="D216" s="15" t="n"/>
      <c r="E216" s="15" t="n"/>
      <c r="F216" s="15" t="n"/>
      <c r="G216" s="15" t="n"/>
      <c r="H216" s="15" t="n"/>
      <c r="I216" s="15" t="n"/>
      <c r="J216" s="15" t="n"/>
      <c r="K216" s="14">
        <f>IF(A216="","",IF(AND(D216="Yes",E216="Yes",J216="Yes"),"Yes","No"))</f>
        <v/>
      </c>
      <c r="L216" s="14">
        <f>IF(A216="","",IF(VLOOKUP(A216,'Personnel Screening Registry'!$A:$I,8,FALSE)=VLOOKUP(A216,'Personnel Screening Registry'!$A:$I,9,FALSE),"Yes","No"))</f>
        <v/>
      </c>
      <c r="M216" s="14">
        <f>IF(A216="","",IF(AND(K216="Yes",L216="Yes"),"Compliant",IF(OR(K216="No",L216="No"),"Non-Compliant","Partial")))</f>
        <v/>
      </c>
      <c r="N216" s="15" t="n"/>
      <c r="O216" s="15" t="n"/>
    </row>
    <row r="217">
      <c r="A217" s="14">
        <f>IF(ROW()-4&lt;=COUNTA('Personnel Screening Registry'!$A:$A)-4,INDEX('Personnel Screening Registry'!$A:$A,ROW()-3),"")</f>
        <v/>
      </c>
      <c r="B217" s="14">
        <f>IF(A217&lt;&gt;"",VLOOKUP(A217,'Personnel Screening Registry'!$A:$B,2,FALSE),"")</f>
        <v/>
      </c>
      <c r="C217" s="14">
        <f>IF(A217&lt;&gt;"",VLOOKUP(A217,'Personnel Screening Registry'!$A:$E,5,FALSE),"")</f>
        <v/>
      </c>
      <c r="D217" s="15" t="n"/>
      <c r="E217" s="15" t="n"/>
      <c r="F217" s="15" t="n"/>
      <c r="G217" s="15" t="n"/>
      <c r="H217" s="15" t="n"/>
      <c r="I217" s="15" t="n"/>
      <c r="J217" s="15" t="n"/>
      <c r="K217" s="14">
        <f>IF(A217="","",IF(AND(D217="Yes",E217="Yes",J217="Yes"),"Yes","No"))</f>
        <v/>
      </c>
      <c r="L217" s="14">
        <f>IF(A217="","",IF(VLOOKUP(A217,'Personnel Screening Registry'!$A:$I,8,FALSE)=VLOOKUP(A217,'Personnel Screening Registry'!$A:$I,9,FALSE),"Yes","No"))</f>
        <v/>
      </c>
      <c r="M217" s="14">
        <f>IF(A217="","",IF(AND(K217="Yes",L217="Yes"),"Compliant",IF(OR(K217="No",L217="No"),"Non-Compliant","Partial")))</f>
        <v/>
      </c>
      <c r="N217" s="15" t="n"/>
      <c r="O217" s="15" t="n"/>
    </row>
    <row r="218">
      <c r="A218" s="14">
        <f>IF(ROW()-4&lt;=COUNTA('Personnel Screening Registry'!$A:$A)-4,INDEX('Personnel Screening Registry'!$A:$A,ROW()-3),"")</f>
        <v/>
      </c>
      <c r="B218" s="14">
        <f>IF(A218&lt;&gt;"",VLOOKUP(A218,'Personnel Screening Registry'!$A:$B,2,FALSE),"")</f>
        <v/>
      </c>
      <c r="C218" s="14">
        <f>IF(A218&lt;&gt;"",VLOOKUP(A218,'Personnel Screening Registry'!$A:$E,5,FALSE),"")</f>
        <v/>
      </c>
      <c r="D218" s="15" t="n"/>
      <c r="E218" s="15" t="n"/>
      <c r="F218" s="15" t="n"/>
      <c r="G218" s="15" t="n"/>
      <c r="H218" s="15" t="n"/>
      <c r="I218" s="15" t="n"/>
      <c r="J218" s="15" t="n"/>
      <c r="K218" s="14">
        <f>IF(A218="","",IF(AND(D218="Yes",E218="Yes",J218="Yes"),"Yes","No"))</f>
        <v/>
      </c>
      <c r="L218" s="14">
        <f>IF(A218="","",IF(VLOOKUP(A218,'Personnel Screening Registry'!$A:$I,8,FALSE)=VLOOKUP(A218,'Personnel Screening Registry'!$A:$I,9,FALSE),"Yes","No"))</f>
        <v/>
      </c>
      <c r="M218" s="14">
        <f>IF(A218="","",IF(AND(K218="Yes",L218="Yes"),"Compliant",IF(OR(K218="No",L218="No"),"Non-Compliant","Partial")))</f>
        <v/>
      </c>
      <c r="N218" s="15" t="n"/>
      <c r="O218" s="15" t="n"/>
    </row>
    <row r="219">
      <c r="A219" s="14">
        <f>IF(ROW()-4&lt;=COUNTA('Personnel Screening Registry'!$A:$A)-4,INDEX('Personnel Screening Registry'!$A:$A,ROW()-3),"")</f>
        <v/>
      </c>
      <c r="B219" s="14">
        <f>IF(A219&lt;&gt;"",VLOOKUP(A219,'Personnel Screening Registry'!$A:$B,2,FALSE),"")</f>
        <v/>
      </c>
      <c r="C219" s="14">
        <f>IF(A219&lt;&gt;"",VLOOKUP(A219,'Personnel Screening Registry'!$A:$E,5,FALSE),"")</f>
        <v/>
      </c>
      <c r="D219" s="15" t="n"/>
      <c r="E219" s="15" t="n"/>
      <c r="F219" s="15" t="n"/>
      <c r="G219" s="15" t="n"/>
      <c r="H219" s="15" t="n"/>
      <c r="I219" s="15" t="n"/>
      <c r="J219" s="15" t="n"/>
      <c r="K219" s="14">
        <f>IF(A219="","",IF(AND(D219="Yes",E219="Yes",J219="Yes"),"Yes","No"))</f>
        <v/>
      </c>
      <c r="L219" s="14">
        <f>IF(A219="","",IF(VLOOKUP(A219,'Personnel Screening Registry'!$A:$I,8,FALSE)=VLOOKUP(A219,'Personnel Screening Registry'!$A:$I,9,FALSE),"Yes","No"))</f>
        <v/>
      </c>
      <c r="M219" s="14">
        <f>IF(A219="","",IF(AND(K219="Yes",L219="Yes"),"Compliant",IF(OR(K219="No",L219="No"),"Non-Compliant","Partial")))</f>
        <v/>
      </c>
      <c r="N219" s="15" t="n"/>
      <c r="O219" s="15" t="n"/>
    </row>
    <row r="220">
      <c r="A220" s="14">
        <f>IF(ROW()-4&lt;=COUNTA('Personnel Screening Registry'!$A:$A)-4,INDEX('Personnel Screening Registry'!$A:$A,ROW()-3),"")</f>
        <v/>
      </c>
      <c r="B220" s="14">
        <f>IF(A220&lt;&gt;"",VLOOKUP(A220,'Personnel Screening Registry'!$A:$B,2,FALSE),"")</f>
        <v/>
      </c>
      <c r="C220" s="14">
        <f>IF(A220&lt;&gt;"",VLOOKUP(A220,'Personnel Screening Registry'!$A:$E,5,FALSE),"")</f>
        <v/>
      </c>
      <c r="D220" s="15" t="n"/>
      <c r="E220" s="15" t="n"/>
      <c r="F220" s="15" t="n"/>
      <c r="G220" s="15" t="n"/>
      <c r="H220" s="15" t="n"/>
      <c r="I220" s="15" t="n"/>
      <c r="J220" s="15" t="n"/>
      <c r="K220" s="14">
        <f>IF(A220="","",IF(AND(D220="Yes",E220="Yes",J220="Yes"),"Yes","No"))</f>
        <v/>
      </c>
      <c r="L220" s="14">
        <f>IF(A220="","",IF(VLOOKUP(A220,'Personnel Screening Registry'!$A:$I,8,FALSE)=VLOOKUP(A220,'Personnel Screening Registry'!$A:$I,9,FALSE),"Yes","No"))</f>
        <v/>
      </c>
      <c r="M220" s="14">
        <f>IF(A220="","",IF(AND(K220="Yes",L220="Yes"),"Compliant",IF(OR(K220="No",L220="No"),"Non-Compliant","Partial")))</f>
        <v/>
      </c>
      <c r="N220" s="15" t="n"/>
      <c r="O220" s="15" t="n"/>
    </row>
    <row r="221">
      <c r="A221" s="14">
        <f>IF(ROW()-4&lt;=COUNTA('Personnel Screening Registry'!$A:$A)-4,INDEX('Personnel Screening Registry'!$A:$A,ROW()-3),"")</f>
        <v/>
      </c>
      <c r="B221" s="14">
        <f>IF(A221&lt;&gt;"",VLOOKUP(A221,'Personnel Screening Registry'!$A:$B,2,FALSE),"")</f>
        <v/>
      </c>
      <c r="C221" s="14">
        <f>IF(A221&lt;&gt;"",VLOOKUP(A221,'Personnel Screening Registry'!$A:$E,5,FALSE),"")</f>
        <v/>
      </c>
      <c r="D221" s="15" t="n"/>
      <c r="E221" s="15" t="n"/>
      <c r="F221" s="15" t="n"/>
      <c r="G221" s="15" t="n"/>
      <c r="H221" s="15" t="n"/>
      <c r="I221" s="15" t="n"/>
      <c r="J221" s="15" t="n"/>
      <c r="K221" s="14">
        <f>IF(A221="","",IF(AND(D221="Yes",E221="Yes",J221="Yes"),"Yes","No"))</f>
        <v/>
      </c>
      <c r="L221" s="14">
        <f>IF(A221="","",IF(VLOOKUP(A221,'Personnel Screening Registry'!$A:$I,8,FALSE)=VLOOKUP(A221,'Personnel Screening Registry'!$A:$I,9,FALSE),"Yes","No"))</f>
        <v/>
      </c>
      <c r="M221" s="14">
        <f>IF(A221="","",IF(AND(K221="Yes",L221="Yes"),"Compliant",IF(OR(K221="No",L221="No"),"Non-Compliant","Partial")))</f>
        <v/>
      </c>
      <c r="N221" s="15" t="n"/>
      <c r="O221" s="15" t="n"/>
    </row>
    <row r="222">
      <c r="A222" s="14">
        <f>IF(ROW()-4&lt;=COUNTA('Personnel Screening Registry'!$A:$A)-4,INDEX('Personnel Screening Registry'!$A:$A,ROW()-3),"")</f>
        <v/>
      </c>
      <c r="B222" s="14">
        <f>IF(A222&lt;&gt;"",VLOOKUP(A222,'Personnel Screening Registry'!$A:$B,2,FALSE),"")</f>
        <v/>
      </c>
      <c r="C222" s="14">
        <f>IF(A222&lt;&gt;"",VLOOKUP(A222,'Personnel Screening Registry'!$A:$E,5,FALSE),"")</f>
        <v/>
      </c>
      <c r="D222" s="15" t="n"/>
      <c r="E222" s="15" t="n"/>
      <c r="F222" s="15" t="n"/>
      <c r="G222" s="15" t="n"/>
      <c r="H222" s="15" t="n"/>
      <c r="I222" s="15" t="n"/>
      <c r="J222" s="15" t="n"/>
      <c r="K222" s="14">
        <f>IF(A222="","",IF(AND(D222="Yes",E222="Yes",J222="Yes"),"Yes","No"))</f>
        <v/>
      </c>
      <c r="L222" s="14">
        <f>IF(A222="","",IF(VLOOKUP(A222,'Personnel Screening Registry'!$A:$I,8,FALSE)=VLOOKUP(A222,'Personnel Screening Registry'!$A:$I,9,FALSE),"Yes","No"))</f>
        <v/>
      </c>
      <c r="M222" s="14">
        <f>IF(A222="","",IF(AND(K222="Yes",L222="Yes"),"Compliant",IF(OR(K222="No",L222="No"),"Non-Compliant","Partial")))</f>
        <v/>
      </c>
      <c r="N222" s="15" t="n"/>
      <c r="O222" s="15" t="n"/>
    </row>
    <row r="223">
      <c r="A223" s="14">
        <f>IF(ROW()-4&lt;=COUNTA('Personnel Screening Registry'!$A:$A)-4,INDEX('Personnel Screening Registry'!$A:$A,ROW()-3),"")</f>
        <v/>
      </c>
      <c r="B223" s="14">
        <f>IF(A223&lt;&gt;"",VLOOKUP(A223,'Personnel Screening Registry'!$A:$B,2,FALSE),"")</f>
        <v/>
      </c>
      <c r="C223" s="14">
        <f>IF(A223&lt;&gt;"",VLOOKUP(A223,'Personnel Screening Registry'!$A:$E,5,FALSE),"")</f>
        <v/>
      </c>
      <c r="D223" s="15" t="n"/>
      <c r="E223" s="15" t="n"/>
      <c r="F223" s="15" t="n"/>
      <c r="G223" s="15" t="n"/>
      <c r="H223" s="15" t="n"/>
      <c r="I223" s="15" t="n"/>
      <c r="J223" s="15" t="n"/>
      <c r="K223" s="14">
        <f>IF(A223="","",IF(AND(D223="Yes",E223="Yes",J223="Yes"),"Yes","No"))</f>
        <v/>
      </c>
      <c r="L223" s="14">
        <f>IF(A223="","",IF(VLOOKUP(A223,'Personnel Screening Registry'!$A:$I,8,FALSE)=VLOOKUP(A223,'Personnel Screening Registry'!$A:$I,9,FALSE),"Yes","No"))</f>
        <v/>
      </c>
      <c r="M223" s="14">
        <f>IF(A223="","",IF(AND(K223="Yes",L223="Yes"),"Compliant",IF(OR(K223="No",L223="No"),"Non-Compliant","Partial")))</f>
        <v/>
      </c>
      <c r="N223" s="15" t="n"/>
      <c r="O223" s="15" t="n"/>
    </row>
    <row r="224">
      <c r="A224" s="14">
        <f>IF(ROW()-4&lt;=COUNTA('Personnel Screening Registry'!$A:$A)-4,INDEX('Personnel Screening Registry'!$A:$A,ROW()-3),"")</f>
        <v/>
      </c>
      <c r="B224" s="14">
        <f>IF(A224&lt;&gt;"",VLOOKUP(A224,'Personnel Screening Registry'!$A:$B,2,FALSE),"")</f>
        <v/>
      </c>
      <c r="C224" s="14">
        <f>IF(A224&lt;&gt;"",VLOOKUP(A224,'Personnel Screening Registry'!$A:$E,5,FALSE),"")</f>
        <v/>
      </c>
      <c r="D224" s="15" t="n"/>
      <c r="E224" s="15" t="n"/>
      <c r="F224" s="15" t="n"/>
      <c r="G224" s="15" t="n"/>
      <c r="H224" s="15" t="n"/>
      <c r="I224" s="15" t="n"/>
      <c r="J224" s="15" t="n"/>
      <c r="K224" s="14">
        <f>IF(A224="","",IF(AND(D224="Yes",E224="Yes",J224="Yes"),"Yes","No"))</f>
        <v/>
      </c>
      <c r="L224" s="14">
        <f>IF(A224="","",IF(VLOOKUP(A224,'Personnel Screening Registry'!$A:$I,8,FALSE)=VLOOKUP(A224,'Personnel Screening Registry'!$A:$I,9,FALSE),"Yes","No"))</f>
        <v/>
      </c>
      <c r="M224" s="14">
        <f>IF(A224="","",IF(AND(K224="Yes",L224="Yes"),"Compliant",IF(OR(K224="No",L224="No"),"Non-Compliant","Partial")))</f>
        <v/>
      </c>
      <c r="N224" s="15" t="n"/>
      <c r="O224" s="15" t="n"/>
    </row>
    <row r="225">
      <c r="A225" s="14">
        <f>IF(ROW()-4&lt;=COUNTA('Personnel Screening Registry'!$A:$A)-4,INDEX('Personnel Screening Registry'!$A:$A,ROW()-3),"")</f>
        <v/>
      </c>
      <c r="B225" s="14">
        <f>IF(A225&lt;&gt;"",VLOOKUP(A225,'Personnel Screening Registry'!$A:$B,2,FALSE),"")</f>
        <v/>
      </c>
      <c r="C225" s="14">
        <f>IF(A225&lt;&gt;"",VLOOKUP(A225,'Personnel Screening Registry'!$A:$E,5,FALSE),"")</f>
        <v/>
      </c>
      <c r="D225" s="15" t="n"/>
      <c r="E225" s="15" t="n"/>
      <c r="F225" s="15" t="n"/>
      <c r="G225" s="15" t="n"/>
      <c r="H225" s="15" t="n"/>
      <c r="I225" s="15" t="n"/>
      <c r="J225" s="15" t="n"/>
      <c r="K225" s="14">
        <f>IF(A225="","",IF(AND(D225="Yes",E225="Yes",J225="Yes"),"Yes","No"))</f>
        <v/>
      </c>
      <c r="L225" s="14">
        <f>IF(A225="","",IF(VLOOKUP(A225,'Personnel Screening Registry'!$A:$I,8,FALSE)=VLOOKUP(A225,'Personnel Screening Registry'!$A:$I,9,FALSE),"Yes","No"))</f>
        <v/>
      </c>
      <c r="M225" s="14">
        <f>IF(A225="","",IF(AND(K225="Yes",L225="Yes"),"Compliant",IF(OR(K225="No",L225="No"),"Non-Compliant","Partial")))</f>
        <v/>
      </c>
      <c r="N225" s="15" t="n"/>
      <c r="O225" s="15" t="n"/>
    </row>
    <row r="226">
      <c r="A226" s="14">
        <f>IF(ROW()-4&lt;=COUNTA('Personnel Screening Registry'!$A:$A)-4,INDEX('Personnel Screening Registry'!$A:$A,ROW()-3),"")</f>
        <v/>
      </c>
      <c r="B226" s="14">
        <f>IF(A226&lt;&gt;"",VLOOKUP(A226,'Personnel Screening Registry'!$A:$B,2,FALSE),"")</f>
        <v/>
      </c>
      <c r="C226" s="14">
        <f>IF(A226&lt;&gt;"",VLOOKUP(A226,'Personnel Screening Registry'!$A:$E,5,FALSE),"")</f>
        <v/>
      </c>
      <c r="D226" s="15" t="n"/>
      <c r="E226" s="15" t="n"/>
      <c r="F226" s="15" t="n"/>
      <c r="G226" s="15" t="n"/>
      <c r="H226" s="15" t="n"/>
      <c r="I226" s="15" t="n"/>
      <c r="J226" s="15" t="n"/>
      <c r="K226" s="14">
        <f>IF(A226="","",IF(AND(D226="Yes",E226="Yes",J226="Yes"),"Yes","No"))</f>
        <v/>
      </c>
      <c r="L226" s="14">
        <f>IF(A226="","",IF(VLOOKUP(A226,'Personnel Screening Registry'!$A:$I,8,FALSE)=VLOOKUP(A226,'Personnel Screening Registry'!$A:$I,9,FALSE),"Yes","No"))</f>
        <v/>
      </c>
      <c r="M226" s="14">
        <f>IF(A226="","",IF(AND(K226="Yes",L226="Yes"),"Compliant",IF(OR(K226="No",L226="No"),"Non-Compliant","Partial")))</f>
        <v/>
      </c>
      <c r="N226" s="15" t="n"/>
      <c r="O226" s="15" t="n"/>
    </row>
    <row r="227">
      <c r="A227" s="14">
        <f>IF(ROW()-4&lt;=COUNTA('Personnel Screening Registry'!$A:$A)-4,INDEX('Personnel Screening Registry'!$A:$A,ROW()-3),"")</f>
        <v/>
      </c>
      <c r="B227" s="14">
        <f>IF(A227&lt;&gt;"",VLOOKUP(A227,'Personnel Screening Registry'!$A:$B,2,FALSE),"")</f>
        <v/>
      </c>
      <c r="C227" s="14">
        <f>IF(A227&lt;&gt;"",VLOOKUP(A227,'Personnel Screening Registry'!$A:$E,5,FALSE),"")</f>
        <v/>
      </c>
      <c r="D227" s="15" t="n"/>
      <c r="E227" s="15" t="n"/>
      <c r="F227" s="15" t="n"/>
      <c r="G227" s="15" t="n"/>
      <c r="H227" s="15" t="n"/>
      <c r="I227" s="15" t="n"/>
      <c r="J227" s="15" t="n"/>
      <c r="K227" s="14">
        <f>IF(A227="","",IF(AND(D227="Yes",E227="Yes",J227="Yes"),"Yes","No"))</f>
        <v/>
      </c>
      <c r="L227" s="14">
        <f>IF(A227="","",IF(VLOOKUP(A227,'Personnel Screening Registry'!$A:$I,8,FALSE)=VLOOKUP(A227,'Personnel Screening Registry'!$A:$I,9,FALSE),"Yes","No"))</f>
        <v/>
      </c>
      <c r="M227" s="14">
        <f>IF(A227="","",IF(AND(K227="Yes",L227="Yes"),"Compliant",IF(OR(K227="No",L227="No"),"Non-Compliant","Partial")))</f>
        <v/>
      </c>
      <c r="N227" s="15" t="n"/>
      <c r="O227" s="15" t="n"/>
    </row>
    <row r="228">
      <c r="A228" s="14">
        <f>IF(ROW()-4&lt;=COUNTA('Personnel Screening Registry'!$A:$A)-4,INDEX('Personnel Screening Registry'!$A:$A,ROW()-3),"")</f>
        <v/>
      </c>
      <c r="B228" s="14">
        <f>IF(A228&lt;&gt;"",VLOOKUP(A228,'Personnel Screening Registry'!$A:$B,2,FALSE),"")</f>
        <v/>
      </c>
      <c r="C228" s="14">
        <f>IF(A228&lt;&gt;"",VLOOKUP(A228,'Personnel Screening Registry'!$A:$E,5,FALSE),"")</f>
        <v/>
      </c>
      <c r="D228" s="15" t="n"/>
      <c r="E228" s="15" t="n"/>
      <c r="F228" s="15" t="n"/>
      <c r="G228" s="15" t="n"/>
      <c r="H228" s="15" t="n"/>
      <c r="I228" s="15" t="n"/>
      <c r="J228" s="15" t="n"/>
      <c r="K228" s="14">
        <f>IF(A228="","",IF(AND(D228="Yes",E228="Yes",J228="Yes"),"Yes","No"))</f>
        <v/>
      </c>
      <c r="L228" s="14">
        <f>IF(A228="","",IF(VLOOKUP(A228,'Personnel Screening Registry'!$A:$I,8,FALSE)=VLOOKUP(A228,'Personnel Screening Registry'!$A:$I,9,FALSE),"Yes","No"))</f>
        <v/>
      </c>
      <c r="M228" s="14">
        <f>IF(A228="","",IF(AND(K228="Yes",L228="Yes"),"Compliant",IF(OR(K228="No",L228="No"),"Non-Compliant","Partial")))</f>
        <v/>
      </c>
      <c r="N228" s="15" t="n"/>
      <c r="O228" s="15" t="n"/>
    </row>
    <row r="229">
      <c r="A229" s="14">
        <f>IF(ROW()-4&lt;=COUNTA('Personnel Screening Registry'!$A:$A)-4,INDEX('Personnel Screening Registry'!$A:$A,ROW()-3),"")</f>
        <v/>
      </c>
      <c r="B229" s="14">
        <f>IF(A229&lt;&gt;"",VLOOKUP(A229,'Personnel Screening Registry'!$A:$B,2,FALSE),"")</f>
        <v/>
      </c>
      <c r="C229" s="14">
        <f>IF(A229&lt;&gt;"",VLOOKUP(A229,'Personnel Screening Registry'!$A:$E,5,FALSE),"")</f>
        <v/>
      </c>
      <c r="D229" s="15" t="n"/>
      <c r="E229" s="15" t="n"/>
      <c r="F229" s="15" t="n"/>
      <c r="G229" s="15" t="n"/>
      <c r="H229" s="15" t="n"/>
      <c r="I229" s="15" t="n"/>
      <c r="J229" s="15" t="n"/>
      <c r="K229" s="14">
        <f>IF(A229="","",IF(AND(D229="Yes",E229="Yes",J229="Yes"),"Yes","No"))</f>
        <v/>
      </c>
      <c r="L229" s="14">
        <f>IF(A229="","",IF(VLOOKUP(A229,'Personnel Screening Registry'!$A:$I,8,FALSE)=VLOOKUP(A229,'Personnel Screening Registry'!$A:$I,9,FALSE),"Yes","No"))</f>
        <v/>
      </c>
      <c r="M229" s="14">
        <f>IF(A229="","",IF(AND(K229="Yes",L229="Yes"),"Compliant",IF(OR(K229="No",L229="No"),"Non-Compliant","Partial")))</f>
        <v/>
      </c>
      <c r="N229" s="15" t="n"/>
      <c r="O229" s="15" t="n"/>
    </row>
    <row r="230">
      <c r="A230" s="14">
        <f>IF(ROW()-4&lt;=COUNTA('Personnel Screening Registry'!$A:$A)-4,INDEX('Personnel Screening Registry'!$A:$A,ROW()-3),"")</f>
        <v/>
      </c>
      <c r="B230" s="14">
        <f>IF(A230&lt;&gt;"",VLOOKUP(A230,'Personnel Screening Registry'!$A:$B,2,FALSE),"")</f>
        <v/>
      </c>
      <c r="C230" s="14">
        <f>IF(A230&lt;&gt;"",VLOOKUP(A230,'Personnel Screening Registry'!$A:$E,5,FALSE),"")</f>
        <v/>
      </c>
      <c r="D230" s="15" t="n"/>
      <c r="E230" s="15" t="n"/>
      <c r="F230" s="15" t="n"/>
      <c r="G230" s="15" t="n"/>
      <c r="H230" s="15" t="n"/>
      <c r="I230" s="15" t="n"/>
      <c r="J230" s="15" t="n"/>
      <c r="K230" s="14">
        <f>IF(A230="","",IF(AND(D230="Yes",E230="Yes",J230="Yes"),"Yes","No"))</f>
        <v/>
      </c>
      <c r="L230" s="14">
        <f>IF(A230="","",IF(VLOOKUP(A230,'Personnel Screening Registry'!$A:$I,8,FALSE)=VLOOKUP(A230,'Personnel Screening Registry'!$A:$I,9,FALSE),"Yes","No"))</f>
        <v/>
      </c>
      <c r="M230" s="14">
        <f>IF(A230="","",IF(AND(K230="Yes",L230="Yes"),"Compliant",IF(OR(K230="No",L230="No"),"Non-Compliant","Partial")))</f>
        <v/>
      </c>
      <c r="N230" s="15" t="n"/>
      <c r="O230" s="15" t="n"/>
    </row>
    <row r="231">
      <c r="A231" s="14">
        <f>IF(ROW()-4&lt;=COUNTA('Personnel Screening Registry'!$A:$A)-4,INDEX('Personnel Screening Registry'!$A:$A,ROW()-3),"")</f>
        <v/>
      </c>
      <c r="B231" s="14">
        <f>IF(A231&lt;&gt;"",VLOOKUP(A231,'Personnel Screening Registry'!$A:$B,2,FALSE),"")</f>
        <v/>
      </c>
      <c r="C231" s="14">
        <f>IF(A231&lt;&gt;"",VLOOKUP(A231,'Personnel Screening Registry'!$A:$E,5,FALSE),"")</f>
        <v/>
      </c>
      <c r="D231" s="15" t="n"/>
      <c r="E231" s="15" t="n"/>
      <c r="F231" s="15" t="n"/>
      <c r="G231" s="15" t="n"/>
      <c r="H231" s="15" t="n"/>
      <c r="I231" s="15" t="n"/>
      <c r="J231" s="15" t="n"/>
      <c r="K231" s="14">
        <f>IF(A231="","",IF(AND(D231="Yes",E231="Yes",J231="Yes"),"Yes","No"))</f>
        <v/>
      </c>
      <c r="L231" s="14">
        <f>IF(A231="","",IF(VLOOKUP(A231,'Personnel Screening Registry'!$A:$I,8,FALSE)=VLOOKUP(A231,'Personnel Screening Registry'!$A:$I,9,FALSE),"Yes","No"))</f>
        <v/>
      </c>
      <c r="M231" s="14">
        <f>IF(A231="","",IF(AND(K231="Yes",L231="Yes"),"Compliant",IF(OR(K231="No",L231="No"),"Non-Compliant","Partial")))</f>
        <v/>
      </c>
      <c r="N231" s="15" t="n"/>
      <c r="O231" s="15" t="n"/>
    </row>
    <row r="232">
      <c r="A232" s="14">
        <f>IF(ROW()-4&lt;=COUNTA('Personnel Screening Registry'!$A:$A)-4,INDEX('Personnel Screening Registry'!$A:$A,ROW()-3),"")</f>
        <v/>
      </c>
      <c r="B232" s="14">
        <f>IF(A232&lt;&gt;"",VLOOKUP(A232,'Personnel Screening Registry'!$A:$B,2,FALSE),"")</f>
        <v/>
      </c>
      <c r="C232" s="14">
        <f>IF(A232&lt;&gt;"",VLOOKUP(A232,'Personnel Screening Registry'!$A:$E,5,FALSE),"")</f>
        <v/>
      </c>
      <c r="D232" s="15" t="n"/>
      <c r="E232" s="15" t="n"/>
      <c r="F232" s="15" t="n"/>
      <c r="G232" s="15" t="n"/>
      <c r="H232" s="15" t="n"/>
      <c r="I232" s="15" t="n"/>
      <c r="J232" s="15" t="n"/>
      <c r="K232" s="14">
        <f>IF(A232="","",IF(AND(D232="Yes",E232="Yes",J232="Yes"),"Yes","No"))</f>
        <v/>
      </c>
      <c r="L232" s="14">
        <f>IF(A232="","",IF(VLOOKUP(A232,'Personnel Screening Registry'!$A:$I,8,FALSE)=VLOOKUP(A232,'Personnel Screening Registry'!$A:$I,9,FALSE),"Yes","No"))</f>
        <v/>
      </c>
      <c r="M232" s="14">
        <f>IF(A232="","",IF(AND(K232="Yes",L232="Yes"),"Compliant",IF(OR(K232="No",L232="No"),"Non-Compliant","Partial")))</f>
        <v/>
      </c>
      <c r="N232" s="15" t="n"/>
      <c r="O232" s="15" t="n"/>
    </row>
    <row r="233">
      <c r="A233" s="14">
        <f>IF(ROW()-4&lt;=COUNTA('Personnel Screening Registry'!$A:$A)-4,INDEX('Personnel Screening Registry'!$A:$A,ROW()-3),"")</f>
        <v/>
      </c>
      <c r="B233" s="14">
        <f>IF(A233&lt;&gt;"",VLOOKUP(A233,'Personnel Screening Registry'!$A:$B,2,FALSE),"")</f>
        <v/>
      </c>
      <c r="C233" s="14">
        <f>IF(A233&lt;&gt;"",VLOOKUP(A233,'Personnel Screening Registry'!$A:$E,5,FALSE),"")</f>
        <v/>
      </c>
      <c r="D233" s="15" t="n"/>
      <c r="E233" s="15" t="n"/>
      <c r="F233" s="15" t="n"/>
      <c r="G233" s="15" t="n"/>
      <c r="H233" s="15" t="n"/>
      <c r="I233" s="15" t="n"/>
      <c r="J233" s="15" t="n"/>
      <c r="K233" s="14">
        <f>IF(A233="","",IF(AND(D233="Yes",E233="Yes",J233="Yes"),"Yes","No"))</f>
        <v/>
      </c>
      <c r="L233" s="14">
        <f>IF(A233="","",IF(VLOOKUP(A233,'Personnel Screening Registry'!$A:$I,8,FALSE)=VLOOKUP(A233,'Personnel Screening Registry'!$A:$I,9,FALSE),"Yes","No"))</f>
        <v/>
      </c>
      <c r="M233" s="14">
        <f>IF(A233="","",IF(AND(K233="Yes",L233="Yes"),"Compliant",IF(OR(K233="No",L233="No"),"Non-Compliant","Partial")))</f>
        <v/>
      </c>
      <c r="N233" s="15" t="n"/>
      <c r="O233" s="15" t="n"/>
    </row>
    <row r="234">
      <c r="A234" s="14">
        <f>IF(ROW()-4&lt;=COUNTA('Personnel Screening Registry'!$A:$A)-4,INDEX('Personnel Screening Registry'!$A:$A,ROW()-3),"")</f>
        <v/>
      </c>
      <c r="B234" s="14">
        <f>IF(A234&lt;&gt;"",VLOOKUP(A234,'Personnel Screening Registry'!$A:$B,2,FALSE),"")</f>
        <v/>
      </c>
      <c r="C234" s="14">
        <f>IF(A234&lt;&gt;"",VLOOKUP(A234,'Personnel Screening Registry'!$A:$E,5,FALSE),"")</f>
        <v/>
      </c>
      <c r="D234" s="15" t="n"/>
      <c r="E234" s="15" t="n"/>
      <c r="F234" s="15" t="n"/>
      <c r="G234" s="15" t="n"/>
      <c r="H234" s="15" t="n"/>
      <c r="I234" s="15" t="n"/>
      <c r="J234" s="15" t="n"/>
      <c r="K234" s="14">
        <f>IF(A234="","",IF(AND(D234="Yes",E234="Yes",J234="Yes"),"Yes","No"))</f>
        <v/>
      </c>
      <c r="L234" s="14">
        <f>IF(A234="","",IF(VLOOKUP(A234,'Personnel Screening Registry'!$A:$I,8,FALSE)=VLOOKUP(A234,'Personnel Screening Registry'!$A:$I,9,FALSE),"Yes","No"))</f>
        <v/>
      </c>
      <c r="M234" s="14">
        <f>IF(A234="","",IF(AND(K234="Yes",L234="Yes"),"Compliant",IF(OR(K234="No",L234="No"),"Non-Compliant","Partial")))</f>
        <v/>
      </c>
      <c r="N234" s="15" t="n"/>
      <c r="O234" s="15" t="n"/>
    </row>
    <row r="235">
      <c r="A235" s="14">
        <f>IF(ROW()-4&lt;=COUNTA('Personnel Screening Registry'!$A:$A)-4,INDEX('Personnel Screening Registry'!$A:$A,ROW()-3),"")</f>
        <v/>
      </c>
      <c r="B235" s="14">
        <f>IF(A235&lt;&gt;"",VLOOKUP(A235,'Personnel Screening Registry'!$A:$B,2,FALSE),"")</f>
        <v/>
      </c>
      <c r="C235" s="14">
        <f>IF(A235&lt;&gt;"",VLOOKUP(A235,'Personnel Screening Registry'!$A:$E,5,FALSE),"")</f>
        <v/>
      </c>
      <c r="D235" s="15" t="n"/>
      <c r="E235" s="15" t="n"/>
      <c r="F235" s="15" t="n"/>
      <c r="G235" s="15" t="n"/>
      <c r="H235" s="15" t="n"/>
      <c r="I235" s="15" t="n"/>
      <c r="J235" s="15" t="n"/>
      <c r="K235" s="14">
        <f>IF(A235="","",IF(AND(D235="Yes",E235="Yes",J235="Yes"),"Yes","No"))</f>
        <v/>
      </c>
      <c r="L235" s="14">
        <f>IF(A235="","",IF(VLOOKUP(A235,'Personnel Screening Registry'!$A:$I,8,FALSE)=VLOOKUP(A235,'Personnel Screening Registry'!$A:$I,9,FALSE),"Yes","No"))</f>
        <v/>
      </c>
      <c r="M235" s="14">
        <f>IF(A235="","",IF(AND(K235="Yes",L235="Yes"),"Compliant",IF(OR(K235="No",L235="No"),"Non-Compliant","Partial")))</f>
        <v/>
      </c>
      <c r="N235" s="15" t="n"/>
      <c r="O235" s="15" t="n"/>
    </row>
    <row r="236">
      <c r="A236" s="14">
        <f>IF(ROW()-4&lt;=COUNTA('Personnel Screening Registry'!$A:$A)-4,INDEX('Personnel Screening Registry'!$A:$A,ROW()-3),"")</f>
        <v/>
      </c>
      <c r="B236" s="14">
        <f>IF(A236&lt;&gt;"",VLOOKUP(A236,'Personnel Screening Registry'!$A:$B,2,FALSE),"")</f>
        <v/>
      </c>
      <c r="C236" s="14">
        <f>IF(A236&lt;&gt;"",VLOOKUP(A236,'Personnel Screening Registry'!$A:$E,5,FALSE),"")</f>
        <v/>
      </c>
      <c r="D236" s="15" t="n"/>
      <c r="E236" s="15" t="n"/>
      <c r="F236" s="15" t="n"/>
      <c r="G236" s="15" t="n"/>
      <c r="H236" s="15" t="n"/>
      <c r="I236" s="15" t="n"/>
      <c r="J236" s="15" t="n"/>
      <c r="K236" s="14">
        <f>IF(A236="","",IF(AND(D236="Yes",E236="Yes",J236="Yes"),"Yes","No"))</f>
        <v/>
      </c>
      <c r="L236" s="14">
        <f>IF(A236="","",IF(VLOOKUP(A236,'Personnel Screening Registry'!$A:$I,8,FALSE)=VLOOKUP(A236,'Personnel Screening Registry'!$A:$I,9,FALSE),"Yes","No"))</f>
        <v/>
      </c>
      <c r="M236" s="14">
        <f>IF(A236="","",IF(AND(K236="Yes",L236="Yes"),"Compliant",IF(OR(K236="No",L236="No"),"Non-Compliant","Partial")))</f>
        <v/>
      </c>
      <c r="N236" s="15" t="n"/>
      <c r="O236" s="15" t="n"/>
    </row>
    <row r="237">
      <c r="A237" s="14">
        <f>IF(ROW()-4&lt;=COUNTA('Personnel Screening Registry'!$A:$A)-4,INDEX('Personnel Screening Registry'!$A:$A,ROW()-3),"")</f>
        <v/>
      </c>
      <c r="B237" s="14">
        <f>IF(A237&lt;&gt;"",VLOOKUP(A237,'Personnel Screening Registry'!$A:$B,2,FALSE),"")</f>
        <v/>
      </c>
      <c r="C237" s="14">
        <f>IF(A237&lt;&gt;"",VLOOKUP(A237,'Personnel Screening Registry'!$A:$E,5,FALSE),"")</f>
        <v/>
      </c>
      <c r="D237" s="15" t="n"/>
      <c r="E237" s="15" t="n"/>
      <c r="F237" s="15" t="n"/>
      <c r="G237" s="15" t="n"/>
      <c r="H237" s="15" t="n"/>
      <c r="I237" s="15" t="n"/>
      <c r="J237" s="15" t="n"/>
      <c r="K237" s="14">
        <f>IF(A237="","",IF(AND(D237="Yes",E237="Yes",J237="Yes"),"Yes","No"))</f>
        <v/>
      </c>
      <c r="L237" s="14">
        <f>IF(A237="","",IF(VLOOKUP(A237,'Personnel Screening Registry'!$A:$I,8,FALSE)=VLOOKUP(A237,'Personnel Screening Registry'!$A:$I,9,FALSE),"Yes","No"))</f>
        <v/>
      </c>
      <c r="M237" s="14">
        <f>IF(A237="","",IF(AND(K237="Yes",L237="Yes"),"Compliant",IF(OR(K237="No",L237="No"),"Non-Compliant","Partial")))</f>
        <v/>
      </c>
      <c r="N237" s="15" t="n"/>
      <c r="O237" s="15" t="n"/>
    </row>
    <row r="238">
      <c r="A238" s="14">
        <f>IF(ROW()-4&lt;=COUNTA('Personnel Screening Registry'!$A:$A)-4,INDEX('Personnel Screening Registry'!$A:$A,ROW()-3),"")</f>
        <v/>
      </c>
      <c r="B238" s="14">
        <f>IF(A238&lt;&gt;"",VLOOKUP(A238,'Personnel Screening Registry'!$A:$B,2,FALSE),"")</f>
        <v/>
      </c>
      <c r="C238" s="14">
        <f>IF(A238&lt;&gt;"",VLOOKUP(A238,'Personnel Screening Registry'!$A:$E,5,FALSE),"")</f>
        <v/>
      </c>
      <c r="D238" s="15" t="n"/>
      <c r="E238" s="15" t="n"/>
      <c r="F238" s="15" t="n"/>
      <c r="G238" s="15" t="n"/>
      <c r="H238" s="15" t="n"/>
      <c r="I238" s="15" t="n"/>
      <c r="J238" s="15" t="n"/>
      <c r="K238" s="14">
        <f>IF(A238="","",IF(AND(D238="Yes",E238="Yes",J238="Yes"),"Yes","No"))</f>
        <v/>
      </c>
      <c r="L238" s="14">
        <f>IF(A238="","",IF(VLOOKUP(A238,'Personnel Screening Registry'!$A:$I,8,FALSE)=VLOOKUP(A238,'Personnel Screening Registry'!$A:$I,9,FALSE),"Yes","No"))</f>
        <v/>
      </c>
      <c r="M238" s="14">
        <f>IF(A238="","",IF(AND(K238="Yes",L238="Yes"),"Compliant",IF(OR(K238="No",L238="No"),"Non-Compliant","Partial")))</f>
        <v/>
      </c>
      <c r="N238" s="15" t="n"/>
      <c r="O238" s="15" t="n"/>
    </row>
    <row r="239">
      <c r="A239" s="14">
        <f>IF(ROW()-4&lt;=COUNTA('Personnel Screening Registry'!$A:$A)-4,INDEX('Personnel Screening Registry'!$A:$A,ROW()-3),"")</f>
        <v/>
      </c>
      <c r="B239" s="14">
        <f>IF(A239&lt;&gt;"",VLOOKUP(A239,'Personnel Screening Registry'!$A:$B,2,FALSE),"")</f>
        <v/>
      </c>
      <c r="C239" s="14">
        <f>IF(A239&lt;&gt;"",VLOOKUP(A239,'Personnel Screening Registry'!$A:$E,5,FALSE),"")</f>
        <v/>
      </c>
      <c r="D239" s="15" t="n"/>
      <c r="E239" s="15" t="n"/>
      <c r="F239" s="15" t="n"/>
      <c r="G239" s="15" t="n"/>
      <c r="H239" s="15" t="n"/>
      <c r="I239" s="15" t="n"/>
      <c r="J239" s="15" t="n"/>
      <c r="K239" s="14">
        <f>IF(A239="","",IF(AND(D239="Yes",E239="Yes",J239="Yes"),"Yes","No"))</f>
        <v/>
      </c>
      <c r="L239" s="14">
        <f>IF(A239="","",IF(VLOOKUP(A239,'Personnel Screening Registry'!$A:$I,8,FALSE)=VLOOKUP(A239,'Personnel Screening Registry'!$A:$I,9,FALSE),"Yes","No"))</f>
        <v/>
      </c>
      <c r="M239" s="14">
        <f>IF(A239="","",IF(AND(K239="Yes",L239="Yes"),"Compliant",IF(OR(K239="No",L239="No"),"Non-Compliant","Partial")))</f>
        <v/>
      </c>
      <c r="N239" s="15" t="n"/>
      <c r="O239" s="15" t="n"/>
    </row>
    <row r="240">
      <c r="A240" s="14">
        <f>IF(ROW()-4&lt;=COUNTA('Personnel Screening Registry'!$A:$A)-4,INDEX('Personnel Screening Registry'!$A:$A,ROW()-3),"")</f>
        <v/>
      </c>
      <c r="B240" s="14">
        <f>IF(A240&lt;&gt;"",VLOOKUP(A240,'Personnel Screening Registry'!$A:$B,2,FALSE),"")</f>
        <v/>
      </c>
      <c r="C240" s="14">
        <f>IF(A240&lt;&gt;"",VLOOKUP(A240,'Personnel Screening Registry'!$A:$E,5,FALSE),"")</f>
        <v/>
      </c>
      <c r="D240" s="15" t="n"/>
      <c r="E240" s="15" t="n"/>
      <c r="F240" s="15" t="n"/>
      <c r="G240" s="15" t="n"/>
      <c r="H240" s="15" t="n"/>
      <c r="I240" s="15" t="n"/>
      <c r="J240" s="15" t="n"/>
      <c r="K240" s="14">
        <f>IF(A240="","",IF(AND(D240="Yes",E240="Yes",J240="Yes"),"Yes","No"))</f>
        <v/>
      </c>
      <c r="L240" s="14">
        <f>IF(A240="","",IF(VLOOKUP(A240,'Personnel Screening Registry'!$A:$I,8,FALSE)=VLOOKUP(A240,'Personnel Screening Registry'!$A:$I,9,FALSE),"Yes","No"))</f>
        <v/>
      </c>
      <c r="M240" s="14">
        <f>IF(A240="","",IF(AND(K240="Yes",L240="Yes"),"Compliant",IF(OR(K240="No",L240="No"),"Non-Compliant","Partial")))</f>
        <v/>
      </c>
      <c r="N240" s="15" t="n"/>
      <c r="O240" s="15" t="n"/>
    </row>
    <row r="241">
      <c r="A241" s="14">
        <f>IF(ROW()-4&lt;=COUNTA('Personnel Screening Registry'!$A:$A)-4,INDEX('Personnel Screening Registry'!$A:$A,ROW()-3),"")</f>
        <v/>
      </c>
      <c r="B241" s="14">
        <f>IF(A241&lt;&gt;"",VLOOKUP(A241,'Personnel Screening Registry'!$A:$B,2,FALSE),"")</f>
        <v/>
      </c>
      <c r="C241" s="14">
        <f>IF(A241&lt;&gt;"",VLOOKUP(A241,'Personnel Screening Registry'!$A:$E,5,FALSE),"")</f>
        <v/>
      </c>
      <c r="D241" s="15" t="n"/>
      <c r="E241" s="15" t="n"/>
      <c r="F241" s="15" t="n"/>
      <c r="G241" s="15" t="n"/>
      <c r="H241" s="15" t="n"/>
      <c r="I241" s="15" t="n"/>
      <c r="J241" s="15" t="n"/>
      <c r="K241" s="14">
        <f>IF(A241="","",IF(AND(D241="Yes",E241="Yes",J241="Yes"),"Yes","No"))</f>
        <v/>
      </c>
      <c r="L241" s="14">
        <f>IF(A241="","",IF(VLOOKUP(A241,'Personnel Screening Registry'!$A:$I,8,FALSE)=VLOOKUP(A241,'Personnel Screening Registry'!$A:$I,9,FALSE),"Yes","No"))</f>
        <v/>
      </c>
      <c r="M241" s="14">
        <f>IF(A241="","",IF(AND(K241="Yes",L241="Yes"),"Compliant",IF(OR(K241="No",L241="No"),"Non-Compliant","Partial")))</f>
        <v/>
      </c>
      <c r="N241" s="15" t="n"/>
      <c r="O241" s="15" t="n"/>
    </row>
    <row r="242">
      <c r="A242" s="14">
        <f>IF(ROW()-4&lt;=COUNTA('Personnel Screening Registry'!$A:$A)-4,INDEX('Personnel Screening Registry'!$A:$A,ROW()-3),"")</f>
        <v/>
      </c>
      <c r="B242" s="14">
        <f>IF(A242&lt;&gt;"",VLOOKUP(A242,'Personnel Screening Registry'!$A:$B,2,FALSE),"")</f>
        <v/>
      </c>
      <c r="C242" s="14">
        <f>IF(A242&lt;&gt;"",VLOOKUP(A242,'Personnel Screening Registry'!$A:$E,5,FALSE),"")</f>
        <v/>
      </c>
      <c r="D242" s="15" t="n"/>
      <c r="E242" s="15" t="n"/>
      <c r="F242" s="15" t="n"/>
      <c r="G242" s="15" t="n"/>
      <c r="H242" s="15" t="n"/>
      <c r="I242" s="15" t="n"/>
      <c r="J242" s="15" t="n"/>
      <c r="K242" s="14">
        <f>IF(A242="","",IF(AND(D242="Yes",E242="Yes",J242="Yes"),"Yes","No"))</f>
        <v/>
      </c>
      <c r="L242" s="14">
        <f>IF(A242="","",IF(VLOOKUP(A242,'Personnel Screening Registry'!$A:$I,8,FALSE)=VLOOKUP(A242,'Personnel Screening Registry'!$A:$I,9,FALSE),"Yes","No"))</f>
        <v/>
      </c>
      <c r="M242" s="14">
        <f>IF(A242="","",IF(AND(K242="Yes",L242="Yes"),"Compliant",IF(OR(K242="No",L242="No"),"Non-Compliant","Partial")))</f>
        <v/>
      </c>
      <c r="N242" s="15" t="n"/>
      <c r="O242" s="15" t="n"/>
    </row>
    <row r="243">
      <c r="A243" s="14">
        <f>IF(ROW()-4&lt;=COUNTA('Personnel Screening Registry'!$A:$A)-4,INDEX('Personnel Screening Registry'!$A:$A,ROW()-3),"")</f>
        <v/>
      </c>
      <c r="B243" s="14">
        <f>IF(A243&lt;&gt;"",VLOOKUP(A243,'Personnel Screening Registry'!$A:$B,2,FALSE),"")</f>
        <v/>
      </c>
      <c r="C243" s="14">
        <f>IF(A243&lt;&gt;"",VLOOKUP(A243,'Personnel Screening Registry'!$A:$E,5,FALSE),"")</f>
        <v/>
      </c>
      <c r="D243" s="15" t="n"/>
      <c r="E243" s="15" t="n"/>
      <c r="F243" s="15" t="n"/>
      <c r="G243" s="15" t="n"/>
      <c r="H243" s="15" t="n"/>
      <c r="I243" s="15" t="n"/>
      <c r="J243" s="15" t="n"/>
      <c r="K243" s="14">
        <f>IF(A243="","",IF(AND(D243="Yes",E243="Yes",J243="Yes"),"Yes","No"))</f>
        <v/>
      </c>
      <c r="L243" s="14">
        <f>IF(A243="","",IF(VLOOKUP(A243,'Personnel Screening Registry'!$A:$I,8,FALSE)=VLOOKUP(A243,'Personnel Screening Registry'!$A:$I,9,FALSE),"Yes","No"))</f>
        <v/>
      </c>
      <c r="M243" s="14">
        <f>IF(A243="","",IF(AND(K243="Yes",L243="Yes"),"Compliant",IF(OR(K243="No",L243="No"),"Non-Compliant","Partial")))</f>
        <v/>
      </c>
      <c r="N243" s="15" t="n"/>
      <c r="O243" s="15" t="n"/>
    </row>
    <row r="244">
      <c r="A244" s="14">
        <f>IF(ROW()-4&lt;=COUNTA('Personnel Screening Registry'!$A:$A)-4,INDEX('Personnel Screening Registry'!$A:$A,ROW()-3),"")</f>
        <v/>
      </c>
      <c r="B244" s="14">
        <f>IF(A244&lt;&gt;"",VLOOKUP(A244,'Personnel Screening Registry'!$A:$B,2,FALSE),"")</f>
        <v/>
      </c>
      <c r="C244" s="14">
        <f>IF(A244&lt;&gt;"",VLOOKUP(A244,'Personnel Screening Registry'!$A:$E,5,FALSE),"")</f>
        <v/>
      </c>
      <c r="D244" s="15" t="n"/>
      <c r="E244" s="15" t="n"/>
      <c r="F244" s="15" t="n"/>
      <c r="G244" s="15" t="n"/>
      <c r="H244" s="15" t="n"/>
      <c r="I244" s="15" t="n"/>
      <c r="J244" s="15" t="n"/>
      <c r="K244" s="14">
        <f>IF(A244="","",IF(AND(D244="Yes",E244="Yes",J244="Yes"),"Yes","No"))</f>
        <v/>
      </c>
      <c r="L244" s="14">
        <f>IF(A244="","",IF(VLOOKUP(A244,'Personnel Screening Registry'!$A:$I,8,FALSE)=VLOOKUP(A244,'Personnel Screening Registry'!$A:$I,9,FALSE),"Yes","No"))</f>
        <v/>
      </c>
      <c r="M244" s="14">
        <f>IF(A244="","",IF(AND(K244="Yes",L244="Yes"),"Compliant",IF(OR(K244="No",L244="No"),"Non-Compliant","Partial")))</f>
        <v/>
      </c>
      <c r="N244" s="15" t="n"/>
      <c r="O244" s="15" t="n"/>
    </row>
    <row r="245">
      <c r="A245" s="14">
        <f>IF(ROW()-4&lt;=COUNTA('Personnel Screening Registry'!$A:$A)-4,INDEX('Personnel Screening Registry'!$A:$A,ROW()-3),"")</f>
        <v/>
      </c>
      <c r="B245" s="14">
        <f>IF(A245&lt;&gt;"",VLOOKUP(A245,'Personnel Screening Registry'!$A:$B,2,FALSE),"")</f>
        <v/>
      </c>
      <c r="C245" s="14">
        <f>IF(A245&lt;&gt;"",VLOOKUP(A245,'Personnel Screening Registry'!$A:$E,5,FALSE),"")</f>
        <v/>
      </c>
      <c r="D245" s="15" t="n"/>
      <c r="E245" s="15" t="n"/>
      <c r="F245" s="15" t="n"/>
      <c r="G245" s="15" t="n"/>
      <c r="H245" s="15" t="n"/>
      <c r="I245" s="15" t="n"/>
      <c r="J245" s="15" t="n"/>
      <c r="K245" s="14">
        <f>IF(A245="","",IF(AND(D245="Yes",E245="Yes",J245="Yes"),"Yes","No"))</f>
        <v/>
      </c>
      <c r="L245" s="14">
        <f>IF(A245="","",IF(VLOOKUP(A245,'Personnel Screening Registry'!$A:$I,8,FALSE)=VLOOKUP(A245,'Personnel Screening Registry'!$A:$I,9,FALSE),"Yes","No"))</f>
        <v/>
      </c>
      <c r="M245" s="14">
        <f>IF(A245="","",IF(AND(K245="Yes",L245="Yes"),"Compliant",IF(OR(K245="No",L245="No"),"Non-Compliant","Partial")))</f>
        <v/>
      </c>
      <c r="N245" s="15" t="n"/>
      <c r="O245" s="15" t="n"/>
    </row>
    <row r="246">
      <c r="A246" s="14">
        <f>IF(ROW()-4&lt;=COUNTA('Personnel Screening Registry'!$A:$A)-4,INDEX('Personnel Screening Registry'!$A:$A,ROW()-3),"")</f>
        <v/>
      </c>
      <c r="B246" s="14">
        <f>IF(A246&lt;&gt;"",VLOOKUP(A246,'Personnel Screening Registry'!$A:$B,2,FALSE),"")</f>
        <v/>
      </c>
      <c r="C246" s="14">
        <f>IF(A246&lt;&gt;"",VLOOKUP(A246,'Personnel Screening Registry'!$A:$E,5,FALSE),"")</f>
        <v/>
      </c>
      <c r="D246" s="15" t="n"/>
      <c r="E246" s="15" t="n"/>
      <c r="F246" s="15" t="n"/>
      <c r="G246" s="15" t="n"/>
      <c r="H246" s="15" t="n"/>
      <c r="I246" s="15" t="n"/>
      <c r="J246" s="15" t="n"/>
      <c r="K246" s="14">
        <f>IF(A246="","",IF(AND(D246="Yes",E246="Yes",J246="Yes"),"Yes","No"))</f>
        <v/>
      </c>
      <c r="L246" s="14">
        <f>IF(A246="","",IF(VLOOKUP(A246,'Personnel Screening Registry'!$A:$I,8,FALSE)=VLOOKUP(A246,'Personnel Screening Registry'!$A:$I,9,FALSE),"Yes","No"))</f>
        <v/>
      </c>
      <c r="M246" s="14">
        <f>IF(A246="","",IF(AND(K246="Yes",L246="Yes"),"Compliant",IF(OR(K246="No",L246="No"),"Non-Compliant","Partial")))</f>
        <v/>
      </c>
      <c r="N246" s="15" t="n"/>
      <c r="O246" s="15" t="n"/>
    </row>
    <row r="247">
      <c r="A247" s="14">
        <f>IF(ROW()-4&lt;=COUNTA('Personnel Screening Registry'!$A:$A)-4,INDEX('Personnel Screening Registry'!$A:$A,ROW()-3),"")</f>
        <v/>
      </c>
      <c r="B247" s="14">
        <f>IF(A247&lt;&gt;"",VLOOKUP(A247,'Personnel Screening Registry'!$A:$B,2,FALSE),"")</f>
        <v/>
      </c>
      <c r="C247" s="14">
        <f>IF(A247&lt;&gt;"",VLOOKUP(A247,'Personnel Screening Registry'!$A:$E,5,FALSE),"")</f>
        <v/>
      </c>
      <c r="D247" s="15" t="n"/>
      <c r="E247" s="15" t="n"/>
      <c r="F247" s="15" t="n"/>
      <c r="G247" s="15" t="n"/>
      <c r="H247" s="15" t="n"/>
      <c r="I247" s="15" t="n"/>
      <c r="J247" s="15" t="n"/>
      <c r="K247" s="14">
        <f>IF(A247="","",IF(AND(D247="Yes",E247="Yes",J247="Yes"),"Yes","No"))</f>
        <v/>
      </c>
      <c r="L247" s="14">
        <f>IF(A247="","",IF(VLOOKUP(A247,'Personnel Screening Registry'!$A:$I,8,FALSE)=VLOOKUP(A247,'Personnel Screening Registry'!$A:$I,9,FALSE),"Yes","No"))</f>
        <v/>
      </c>
      <c r="M247" s="14">
        <f>IF(A247="","",IF(AND(K247="Yes",L247="Yes"),"Compliant",IF(OR(K247="No",L247="No"),"Non-Compliant","Partial")))</f>
        <v/>
      </c>
      <c r="N247" s="15" t="n"/>
      <c r="O247" s="15" t="n"/>
    </row>
    <row r="248">
      <c r="A248" s="14">
        <f>IF(ROW()-4&lt;=COUNTA('Personnel Screening Registry'!$A:$A)-4,INDEX('Personnel Screening Registry'!$A:$A,ROW()-3),"")</f>
        <v/>
      </c>
      <c r="B248" s="14">
        <f>IF(A248&lt;&gt;"",VLOOKUP(A248,'Personnel Screening Registry'!$A:$B,2,FALSE),"")</f>
        <v/>
      </c>
      <c r="C248" s="14">
        <f>IF(A248&lt;&gt;"",VLOOKUP(A248,'Personnel Screening Registry'!$A:$E,5,FALSE),"")</f>
        <v/>
      </c>
      <c r="D248" s="15" t="n"/>
      <c r="E248" s="15" t="n"/>
      <c r="F248" s="15" t="n"/>
      <c r="G248" s="15" t="n"/>
      <c r="H248" s="15" t="n"/>
      <c r="I248" s="15" t="n"/>
      <c r="J248" s="15" t="n"/>
      <c r="K248" s="14">
        <f>IF(A248="","",IF(AND(D248="Yes",E248="Yes",J248="Yes"),"Yes","No"))</f>
        <v/>
      </c>
      <c r="L248" s="14">
        <f>IF(A248="","",IF(VLOOKUP(A248,'Personnel Screening Registry'!$A:$I,8,FALSE)=VLOOKUP(A248,'Personnel Screening Registry'!$A:$I,9,FALSE),"Yes","No"))</f>
        <v/>
      </c>
      <c r="M248" s="14">
        <f>IF(A248="","",IF(AND(K248="Yes",L248="Yes"),"Compliant",IF(OR(K248="No",L248="No"),"Non-Compliant","Partial")))</f>
        <v/>
      </c>
      <c r="N248" s="15" t="n"/>
      <c r="O248" s="15" t="n"/>
    </row>
    <row r="249">
      <c r="A249" s="14">
        <f>IF(ROW()-4&lt;=COUNTA('Personnel Screening Registry'!$A:$A)-4,INDEX('Personnel Screening Registry'!$A:$A,ROW()-3),"")</f>
        <v/>
      </c>
      <c r="B249" s="14">
        <f>IF(A249&lt;&gt;"",VLOOKUP(A249,'Personnel Screening Registry'!$A:$B,2,FALSE),"")</f>
        <v/>
      </c>
      <c r="C249" s="14">
        <f>IF(A249&lt;&gt;"",VLOOKUP(A249,'Personnel Screening Registry'!$A:$E,5,FALSE),"")</f>
        <v/>
      </c>
      <c r="D249" s="15" t="n"/>
      <c r="E249" s="15" t="n"/>
      <c r="F249" s="15" t="n"/>
      <c r="G249" s="15" t="n"/>
      <c r="H249" s="15" t="n"/>
      <c r="I249" s="15" t="n"/>
      <c r="J249" s="15" t="n"/>
      <c r="K249" s="14">
        <f>IF(A249="","",IF(AND(D249="Yes",E249="Yes",J249="Yes"),"Yes","No"))</f>
        <v/>
      </c>
      <c r="L249" s="14">
        <f>IF(A249="","",IF(VLOOKUP(A249,'Personnel Screening Registry'!$A:$I,8,FALSE)=VLOOKUP(A249,'Personnel Screening Registry'!$A:$I,9,FALSE),"Yes","No"))</f>
        <v/>
      </c>
      <c r="M249" s="14">
        <f>IF(A249="","",IF(AND(K249="Yes",L249="Yes"),"Compliant",IF(OR(K249="No",L249="No"),"Non-Compliant","Partial")))</f>
        <v/>
      </c>
      <c r="N249" s="15" t="n"/>
      <c r="O249" s="15" t="n"/>
    </row>
    <row r="250">
      <c r="A250" s="14">
        <f>IF(ROW()-4&lt;=COUNTA('Personnel Screening Registry'!$A:$A)-4,INDEX('Personnel Screening Registry'!$A:$A,ROW()-3),"")</f>
        <v/>
      </c>
      <c r="B250" s="14">
        <f>IF(A250&lt;&gt;"",VLOOKUP(A250,'Personnel Screening Registry'!$A:$B,2,FALSE),"")</f>
        <v/>
      </c>
      <c r="C250" s="14">
        <f>IF(A250&lt;&gt;"",VLOOKUP(A250,'Personnel Screening Registry'!$A:$E,5,FALSE),"")</f>
        <v/>
      </c>
      <c r="D250" s="15" t="n"/>
      <c r="E250" s="15" t="n"/>
      <c r="F250" s="15" t="n"/>
      <c r="G250" s="15" t="n"/>
      <c r="H250" s="15" t="n"/>
      <c r="I250" s="15" t="n"/>
      <c r="J250" s="15" t="n"/>
      <c r="K250" s="14">
        <f>IF(A250="","",IF(AND(D250="Yes",E250="Yes",J250="Yes"),"Yes","No"))</f>
        <v/>
      </c>
      <c r="L250" s="14">
        <f>IF(A250="","",IF(VLOOKUP(A250,'Personnel Screening Registry'!$A:$I,8,FALSE)=VLOOKUP(A250,'Personnel Screening Registry'!$A:$I,9,FALSE),"Yes","No"))</f>
        <v/>
      </c>
      <c r="M250" s="14">
        <f>IF(A250="","",IF(AND(K250="Yes",L250="Yes"),"Compliant",IF(OR(K250="No",L250="No"),"Non-Compliant","Partial")))</f>
        <v/>
      </c>
      <c r="N250" s="15" t="n"/>
      <c r="O250" s="15" t="n"/>
    </row>
    <row r="251">
      <c r="A251" s="14">
        <f>IF(ROW()-4&lt;=COUNTA('Personnel Screening Registry'!$A:$A)-4,INDEX('Personnel Screening Registry'!$A:$A,ROW()-3),"")</f>
        <v/>
      </c>
      <c r="B251" s="14">
        <f>IF(A251&lt;&gt;"",VLOOKUP(A251,'Personnel Screening Registry'!$A:$B,2,FALSE),"")</f>
        <v/>
      </c>
      <c r="C251" s="14">
        <f>IF(A251&lt;&gt;"",VLOOKUP(A251,'Personnel Screening Registry'!$A:$E,5,FALSE),"")</f>
        <v/>
      </c>
      <c r="D251" s="15" t="n"/>
      <c r="E251" s="15" t="n"/>
      <c r="F251" s="15" t="n"/>
      <c r="G251" s="15" t="n"/>
      <c r="H251" s="15" t="n"/>
      <c r="I251" s="15" t="n"/>
      <c r="J251" s="15" t="n"/>
      <c r="K251" s="14">
        <f>IF(A251="","",IF(AND(D251="Yes",E251="Yes",J251="Yes"),"Yes","No"))</f>
        <v/>
      </c>
      <c r="L251" s="14">
        <f>IF(A251="","",IF(VLOOKUP(A251,'Personnel Screening Registry'!$A:$I,8,FALSE)=VLOOKUP(A251,'Personnel Screening Registry'!$A:$I,9,FALSE),"Yes","No"))</f>
        <v/>
      </c>
      <c r="M251" s="14">
        <f>IF(A251="","",IF(AND(K251="Yes",L251="Yes"),"Compliant",IF(OR(K251="No",L251="No"),"Non-Compliant","Partial")))</f>
        <v/>
      </c>
      <c r="N251" s="15" t="n"/>
      <c r="O251" s="15" t="n"/>
    </row>
    <row r="252">
      <c r="A252" s="14">
        <f>IF(ROW()-4&lt;=COUNTA('Personnel Screening Registry'!$A:$A)-4,INDEX('Personnel Screening Registry'!$A:$A,ROW()-3),"")</f>
        <v/>
      </c>
      <c r="B252" s="14">
        <f>IF(A252&lt;&gt;"",VLOOKUP(A252,'Personnel Screening Registry'!$A:$B,2,FALSE),"")</f>
        <v/>
      </c>
      <c r="C252" s="14">
        <f>IF(A252&lt;&gt;"",VLOOKUP(A252,'Personnel Screening Registry'!$A:$E,5,FALSE),"")</f>
        <v/>
      </c>
      <c r="D252" s="15" t="n"/>
      <c r="E252" s="15" t="n"/>
      <c r="F252" s="15" t="n"/>
      <c r="G252" s="15" t="n"/>
      <c r="H252" s="15" t="n"/>
      <c r="I252" s="15" t="n"/>
      <c r="J252" s="15" t="n"/>
      <c r="K252" s="14">
        <f>IF(A252="","",IF(AND(D252="Yes",E252="Yes",J252="Yes"),"Yes","No"))</f>
        <v/>
      </c>
      <c r="L252" s="14">
        <f>IF(A252="","",IF(VLOOKUP(A252,'Personnel Screening Registry'!$A:$I,8,FALSE)=VLOOKUP(A252,'Personnel Screening Registry'!$A:$I,9,FALSE),"Yes","No"))</f>
        <v/>
      </c>
      <c r="M252" s="14">
        <f>IF(A252="","",IF(AND(K252="Yes",L252="Yes"),"Compliant",IF(OR(K252="No",L252="No"),"Non-Compliant","Partial")))</f>
        <v/>
      </c>
      <c r="N252" s="15" t="n"/>
      <c r="O252" s="15" t="n"/>
    </row>
    <row r="253">
      <c r="A253" s="14">
        <f>IF(ROW()-4&lt;=COUNTA('Personnel Screening Registry'!$A:$A)-4,INDEX('Personnel Screening Registry'!$A:$A,ROW()-3),"")</f>
        <v/>
      </c>
      <c r="B253" s="14">
        <f>IF(A253&lt;&gt;"",VLOOKUP(A253,'Personnel Screening Registry'!$A:$B,2,FALSE),"")</f>
        <v/>
      </c>
      <c r="C253" s="14">
        <f>IF(A253&lt;&gt;"",VLOOKUP(A253,'Personnel Screening Registry'!$A:$E,5,FALSE),"")</f>
        <v/>
      </c>
      <c r="D253" s="15" t="n"/>
      <c r="E253" s="15" t="n"/>
      <c r="F253" s="15" t="n"/>
      <c r="G253" s="15" t="n"/>
      <c r="H253" s="15" t="n"/>
      <c r="I253" s="15" t="n"/>
      <c r="J253" s="15" t="n"/>
      <c r="K253" s="14">
        <f>IF(A253="","",IF(AND(D253="Yes",E253="Yes",J253="Yes"),"Yes","No"))</f>
        <v/>
      </c>
      <c r="L253" s="14">
        <f>IF(A253="","",IF(VLOOKUP(A253,'Personnel Screening Registry'!$A:$I,8,FALSE)=VLOOKUP(A253,'Personnel Screening Registry'!$A:$I,9,FALSE),"Yes","No"))</f>
        <v/>
      </c>
      <c r="M253" s="14">
        <f>IF(A253="","",IF(AND(K253="Yes",L253="Yes"),"Compliant",IF(OR(K253="No",L253="No"),"Non-Compliant","Partial")))</f>
        <v/>
      </c>
      <c r="N253" s="15" t="n"/>
      <c r="O253" s="15" t="n"/>
    </row>
    <row r="254">
      <c r="A254" s="14">
        <f>IF(ROW()-4&lt;=COUNTA('Personnel Screening Registry'!$A:$A)-4,INDEX('Personnel Screening Registry'!$A:$A,ROW()-3),"")</f>
        <v/>
      </c>
      <c r="B254" s="14">
        <f>IF(A254&lt;&gt;"",VLOOKUP(A254,'Personnel Screening Registry'!$A:$B,2,FALSE),"")</f>
        <v/>
      </c>
      <c r="C254" s="14">
        <f>IF(A254&lt;&gt;"",VLOOKUP(A254,'Personnel Screening Registry'!$A:$E,5,FALSE),"")</f>
        <v/>
      </c>
      <c r="D254" s="15" t="n"/>
      <c r="E254" s="15" t="n"/>
      <c r="F254" s="15" t="n"/>
      <c r="G254" s="15" t="n"/>
      <c r="H254" s="15" t="n"/>
      <c r="I254" s="15" t="n"/>
      <c r="J254" s="15" t="n"/>
      <c r="K254" s="14">
        <f>IF(A254="","",IF(AND(D254="Yes",E254="Yes",J254="Yes"),"Yes","No"))</f>
        <v/>
      </c>
      <c r="L254" s="14">
        <f>IF(A254="","",IF(VLOOKUP(A254,'Personnel Screening Registry'!$A:$I,8,FALSE)=VLOOKUP(A254,'Personnel Screening Registry'!$A:$I,9,FALSE),"Yes","No"))</f>
        <v/>
      </c>
      <c r="M254" s="14">
        <f>IF(A254="","",IF(AND(K254="Yes",L254="Yes"),"Compliant",IF(OR(K254="No",L254="No"),"Non-Compliant","Partial")))</f>
        <v/>
      </c>
      <c r="N254" s="15" t="n"/>
      <c r="O254" s="15" t="n"/>
    </row>
  </sheetData>
  <mergeCells count="2">
    <mergeCell ref="A1:O1"/>
    <mergeCell ref="A2:O2"/>
  </mergeCells>
  <dataValidations count="1">
    <dataValidation sqref="D5:J254" showDropDown="0" showInputMessage="0" showErrorMessage="1" allowBlank="1" errorTitle="Invalid Entry" error="Please select from dropdown" type="list">
      <formula1>"Yes,No,N/A,Pending"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15" customWidth="1" min="4" max="4"/>
    <col width="15" customWidth="1" min="5" max="5"/>
    <col width="15" customWidth="1" min="6" max="6"/>
    <col width="15" customWidth="1" min="7" max="7"/>
    <col width="15" customWidth="1" min="8" max="8"/>
    <col width="15" customWidth="1" min="9" max="9"/>
    <col width="30" customWidth="1" min="10" max="10"/>
    <col width="15" customWidth="1" min="11" max="11"/>
    <col width="15" customWidth="1" min="12" max="12"/>
    <col width="40" customWidth="1" min="13" max="13"/>
    <col width="30" customWidth="1" min="14" max="14"/>
  </cols>
  <sheetData>
    <row r="1" ht="35" customHeight="1">
      <c r="A1" s="11" t="inlineStr">
        <is>
          <t>CONTINUOUS SCREENING ASSESSMENT</t>
        </is>
      </c>
    </row>
    <row r="2">
      <c r="A2" s="12" t="inlineStr">
        <is>
          <t>Re-screening schedule tracking and continuous monitoring compliance</t>
        </is>
      </c>
    </row>
    <row r="4">
      <c r="A4" s="13" t="inlineStr">
        <is>
          <t>Employee ID</t>
        </is>
      </c>
      <c r="B4" s="13" t="inlineStr">
        <is>
          <t>Full Name</t>
        </is>
      </c>
      <c r="C4" s="13" t="inlineStr">
        <is>
          <t>Role Tier</t>
        </is>
      </c>
      <c r="D4" s="13" t="inlineStr">
        <is>
          <t>Initial Screening Date</t>
        </is>
      </c>
      <c r="E4" s="13" t="inlineStr">
        <is>
          <t>Re Screening Interval</t>
        </is>
      </c>
      <c r="F4" s="13" t="inlineStr">
        <is>
          <t>Last Re Screening Date</t>
        </is>
      </c>
      <c r="G4" s="13" t="inlineStr">
        <is>
          <t>Next Re Screening Due</t>
        </is>
      </c>
      <c r="H4" s="13" t="inlineStr">
        <is>
          <t>Re Screening Status</t>
        </is>
      </c>
      <c r="I4" s="13" t="inlineStr">
        <is>
          <t>Trigger Event Occurred</t>
        </is>
      </c>
      <c r="J4" s="13" t="inlineStr">
        <is>
          <t>Trigger Event Details</t>
        </is>
      </c>
      <c r="K4" s="13" t="inlineStr">
        <is>
          <t>Continuous Monitoring Active</t>
        </is>
      </c>
      <c r="L4" s="13" t="inlineStr">
        <is>
          <t>Compliance Status</t>
        </is>
      </c>
      <c r="M4" s="13" t="inlineStr">
        <is>
          <t>Gap Description</t>
        </is>
      </c>
      <c r="N4" s="13" t="inlineStr">
        <is>
          <t>Evidence Reference</t>
        </is>
      </c>
    </row>
    <row r="5">
      <c r="A5" s="14">
        <f>IF(ROW()-4&lt;=COUNTA('Personnel Screening Registry'!$A:$A)-4,INDEX('Personnel Screening Registry'!$A:$A,ROW()-3),"")</f>
        <v/>
      </c>
      <c r="B5" s="14">
        <f>IF(A5&lt;&gt;"",VLOOKUP(A5,'Personnel Screening Registry'!$A:$B,2,FALSE),"")</f>
        <v/>
      </c>
      <c r="C5" s="14">
        <f>IF(A5&lt;&gt;"",VLOOKUP(A5,'Personnel Screening Registry'!$A:$E,5,FALSE),"")</f>
        <v/>
      </c>
      <c r="D5" s="18">
        <f>IF(A5&lt;&gt;"",VLOOKUP(A5,'Personnel Screening Registry'!$A:$K,11,FALSE),"")</f>
        <v/>
      </c>
      <c r="E5" s="15" t="n"/>
      <c r="F5" s="16" t="n"/>
      <c r="G5" s="18">
        <f>IF(OR(A5="",F5="",E5=""),"",IF(E5="Annual",F5+365,IF(E5="Biennial",F5+730,IF(E5="3-Year",F5+1095,F5+365))))</f>
        <v/>
      </c>
      <c r="H5" s="14">
        <f>IF(A5="","",IF(G5="","Not-Scheduled",IF(G5&gt;=TODAY(),"Current",IF(G5&gt;=TODAY()-30,"Due-Soon","Overdue"))))</f>
        <v/>
      </c>
      <c r="I5" s="15" t="n"/>
      <c r="J5" s="15" t="n"/>
      <c r="K5" s="15" t="n"/>
      <c r="L5" s="14">
        <f>IF(A5="","",IF(AND(OR(H5="Current",H5="Due-Soon"),OR(I5="No",I5="N/A",AND(I5="Yes",K5="Yes"))),"Compliant",IF(H5="Overdue","Non-Compliant","Partial")))</f>
        <v/>
      </c>
      <c r="M5" s="15" t="n"/>
      <c r="N5" s="15" t="n"/>
    </row>
    <row r="6">
      <c r="A6" s="14">
        <f>IF(ROW()-4&lt;=COUNTA('Personnel Screening Registry'!$A:$A)-4,INDEX('Personnel Screening Registry'!$A:$A,ROW()-3),"")</f>
        <v/>
      </c>
      <c r="B6" s="14">
        <f>IF(A6&lt;&gt;"",VLOOKUP(A6,'Personnel Screening Registry'!$A:$B,2,FALSE),"")</f>
        <v/>
      </c>
      <c r="C6" s="14">
        <f>IF(A6&lt;&gt;"",VLOOKUP(A6,'Personnel Screening Registry'!$A:$E,5,FALSE),"")</f>
        <v/>
      </c>
      <c r="D6" s="18">
        <f>IF(A6&lt;&gt;"",VLOOKUP(A6,'Personnel Screening Registry'!$A:$K,11,FALSE),"")</f>
        <v/>
      </c>
      <c r="E6" s="15" t="n"/>
      <c r="F6" s="16" t="n"/>
      <c r="G6" s="18">
        <f>IF(OR(A6="",F6="",E6=""),"",IF(E6="Annual",F6+365,IF(E6="Biennial",F6+730,IF(E6="3-Year",F6+1095,F6+365))))</f>
        <v/>
      </c>
      <c r="H6" s="14">
        <f>IF(A6="","",IF(G6="","Not-Scheduled",IF(G6&gt;=TODAY(),"Current",IF(G6&gt;=TODAY()-30,"Due-Soon","Overdue"))))</f>
        <v/>
      </c>
      <c r="I6" s="15" t="n"/>
      <c r="J6" s="15" t="n"/>
      <c r="K6" s="15" t="n"/>
      <c r="L6" s="14">
        <f>IF(A6="","",IF(AND(OR(H6="Current",H6="Due-Soon"),OR(I6="No",I6="N/A",AND(I6="Yes",K6="Yes"))),"Compliant",IF(H6="Overdue","Non-Compliant","Partial")))</f>
        <v/>
      </c>
      <c r="M6" s="15" t="n"/>
      <c r="N6" s="15" t="n"/>
    </row>
    <row r="7">
      <c r="A7" s="14">
        <f>IF(ROW()-4&lt;=COUNTA('Personnel Screening Registry'!$A:$A)-4,INDEX('Personnel Screening Registry'!$A:$A,ROW()-3),"")</f>
        <v/>
      </c>
      <c r="B7" s="14">
        <f>IF(A7&lt;&gt;"",VLOOKUP(A7,'Personnel Screening Registry'!$A:$B,2,FALSE),"")</f>
        <v/>
      </c>
      <c r="C7" s="14">
        <f>IF(A7&lt;&gt;"",VLOOKUP(A7,'Personnel Screening Registry'!$A:$E,5,FALSE),"")</f>
        <v/>
      </c>
      <c r="D7" s="18">
        <f>IF(A7&lt;&gt;"",VLOOKUP(A7,'Personnel Screening Registry'!$A:$K,11,FALSE),"")</f>
        <v/>
      </c>
      <c r="E7" s="15" t="n"/>
      <c r="F7" s="16" t="n"/>
      <c r="G7" s="18">
        <f>IF(OR(A7="",F7="",E7=""),"",IF(E7="Annual",F7+365,IF(E7="Biennial",F7+730,IF(E7="3-Year",F7+1095,F7+365))))</f>
        <v/>
      </c>
      <c r="H7" s="14">
        <f>IF(A7="","",IF(G7="","Not-Scheduled",IF(G7&gt;=TODAY(),"Current",IF(G7&gt;=TODAY()-30,"Due-Soon","Overdue"))))</f>
        <v/>
      </c>
      <c r="I7" s="15" t="n"/>
      <c r="J7" s="15" t="n"/>
      <c r="K7" s="15" t="n"/>
      <c r="L7" s="14">
        <f>IF(A7="","",IF(AND(OR(H7="Current",H7="Due-Soon"),OR(I7="No",I7="N/A",AND(I7="Yes",K7="Yes"))),"Compliant",IF(H7="Overdue","Non-Compliant","Partial")))</f>
        <v/>
      </c>
      <c r="M7" s="15" t="n"/>
      <c r="N7" s="15" t="n"/>
    </row>
    <row r="8">
      <c r="A8" s="14">
        <f>IF(ROW()-4&lt;=COUNTA('Personnel Screening Registry'!$A:$A)-4,INDEX('Personnel Screening Registry'!$A:$A,ROW()-3),"")</f>
        <v/>
      </c>
      <c r="B8" s="14">
        <f>IF(A8&lt;&gt;"",VLOOKUP(A8,'Personnel Screening Registry'!$A:$B,2,FALSE),"")</f>
        <v/>
      </c>
      <c r="C8" s="14">
        <f>IF(A8&lt;&gt;"",VLOOKUP(A8,'Personnel Screening Registry'!$A:$E,5,FALSE),"")</f>
        <v/>
      </c>
      <c r="D8" s="18">
        <f>IF(A8&lt;&gt;"",VLOOKUP(A8,'Personnel Screening Registry'!$A:$K,11,FALSE),"")</f>
        <v/>
      </c>
      <c r="E8" s="15" t="n"/>
      <c r="F8" s="16" t="n"/>
      <c r="G8" s="18">
        <f>IF(OR(A8="",F8="",E8=""),"",IF(E8="Annual",F8+365,IF(E8="Biennial",F8+730,IF(E8="3-Year",F8+1095,F8+365))))</f>
        <v/>
      </c>
      <c r="H8" s="14">
        <f>IF(A8="","",IF(G8="","Not-Scheduled",IF(G8&gt;=TODAY(),"Current",IF(G8&gt;=TODAY()-30,"Due-Soon","Overdue"))))</f>
        <v/>
      </c>
      <c r="I8" s="15" t="n"/>
      <c r="J8" s="15" t="n"/>
      <c r="K8" s="15" t="n"/>
      <c r="L8" s="14">
        <f>IF(A8="","",IF(AND(OR(H8="Current",H8="Due-Soon"),OR(I8="No",I8="N/A",AND(I8="Yes",K8="Yes"))),"Compliant",IF(H8="Overdue","Non-Compliant","Partial")))</f>
        <v/>
      </c>
      <c r="M8" s="15" t="n"/>
      <c r="N8" s="15" t="n"/>
    </row>
    <row r="9">
      <c r="A9" s="14">
        <f>IF(ROW()-4&lt;=COUNTA('Personnel Screening Registry'!$A:$A)-4,INDEX('Personnel Screening Registry'!$A:$A,ROW()-3),"")</f>
        <v/>
      </c>
      <c r="B9" s="14">
        <f>IF(A9&lt;&gt;"",VLOOKUP(A9,'Personnel Screening Registry'!$A:$B,2,FALSE),"")</f>
        <v/>
      </c>
      <c r="C9" s="14">
        <f>IF(A9&lt;&gt;"",VLOOKUP(A9,'Personnel Screening Registry'!$A:$E,5,FALSE),"")</f>
        <v/>
      </c>
      <c r="D9" s="18">
        <f>IF(A9&lt;&gt;"",VLOOKUP(A9,'Personnel Screening Registry'!$A:$K,11,FALSE),"")</f>
        <v/>
      </c>
      <c r="E9" s="15" t="n"/>
      <c r="F9" s="16" t="n"/>
      <c r="G9" s="18">
        <f>IF(OR(A9="",F9="",E9=""),"",IF(E9="Annual",F9+365,IF(E9="Biennial",F9+730,IF(E9="3-Year",F9+1095,F9+365))))</f>
        <v/>
      </c>
      <c r="H9" s="14">
        <f>IF(A9="","",IF(G9="","Not-Scheduled",IF(G9&gt;=TODAY(),"Current",IF(G9&gt;=TODAY()-30,"Due-Soon","Overdue"))))</f>
        <v/>
      </c>
      <c r="I9" s="15" t="n"/>
      <c r="J9" s="15" t="n"/>
      <c r="K9" s="15" t="n"/>
      <c r="L9" s="14">
        <f>IF(A9="","",IF(AND(OR(H9="Current",H9="Due-Soon"),OR(I9="No",I9="N/A",AND(I9="Yes",K9="Yes"))),"Compliant",IF(H9="Overdue","Non-Compliant","Partial")))</f>
        <v/>
      </c>
      <c r="M9" s="15" t="n"/>
      <c r="N9" s="15" t="n"/>
    </row>
    <row r="10">
      <c r="A10" s="14">
        <f>IF(ROW()-4&lt;=COUNTA('Personnel Screening Registry'!$A:$A)-4,INDEX('Personnel Screening Registry'!$A:$A,ROW()-3),"")</f>
        <v/>
      </c>
      <c r="B10" s="14">
        <f>IF(A10&lt;&gt;"",VLOOKUP(A10,'Personnel Screening Registry'!$A:$B,2,FALSE),"")</f>
        <v/>
      </c>
      <c r="C10" s="14">
        <f>IF(A10&lt;&gt;"",VLOOKUP(A10,'Personnel Screening Registry'!$A:$E,5,FALSE),"")</f>
        <v/>
      </c>
      <c r="D10" s="18">
        <f>IF(A10&lt;&gt;"",VLOOKUP(A10,'Personnel Screening Registry'!$A:$K,11,FALSE),"")</f>
        <v/>
      </c>
      <c r="E10" s="15" t="n"/>
      <c r="F10" s="16" t="n"/>
      <c r="G10" s="18">
        <f>IF(OR(A10="",F10="",E10=""),"",IF(E10="Annual",F10+365,IF(E10="Biennial",F10+730,IF(E10="3-Year",F10+1095,F10+365))))</f>
        <v/>
      </c>
      <c r="H10" s="14">
        <f>IF(A10="","",IF(G10="","Not-Scheduled",IF(G10&gt;=TODAY(),"Current",IF(G10&gt;=TODAY()-30,"Due-Soon","Overdue"))))</f>
        <v/>
      </c>
      <c r="I10" s="15" t="n"/>
      <c r="J10" s="15" t="n"/>
      <c r="K10" s="15" t="n"/>
      <c r="L10" s="14">
        <f>IF(A10="","",IF(AND(OR(H10="Current",H10="Due-Soon"),OR(I10="No",I10="N/A",AND(I10="Yes",K10="Yes"))),"Compliant",IF(H10="Overdue","Non-Compliant","Partial")))</f>
        <v/>
      </c>
      <c r="M10" s="15" t="n"/>
      <c r="N10" s="15" t="n"/>
    </row>
    <row r="11">
      <c r="A11" s="14">
        <f>IF(ROW()-4&lt;=COUNTA('Personnel Screening Registry'!$A:$A)-4,INDEX('Personnel Screening Registry'!$A:$A,ROW()-3),"")</f>
        <v/>
      </c>
      <c r="B11" s="14">
        <f>IF(A11&lt;&gt;"",VLOOKUP(A11,'Personnel Screening Registry'!$A:$B,2,FALSE),"")</f>
        <v/>
      </c>
      <c r="C11" s="14">
        <f>IF(A11&lt;&gt;"",VLOOKUP(A11,'Personnel Screening Registry'!$A:$E,5,FALSE),"")</f>
        <v/>
      </c>
      <c r="D11" s="18">
        <f>IF(A11&lt;&gt;"",VLOOKUP(A11,'Personnel Screening Registry'!$A:$K,11,FALSE),"")</f>
        <v/>
      </c>
      <c r="E11" s="15" t="n"/>
      <c r="F11" s="16" t="n"/>
      <c r="G11" s="18">
        <f>IF(OR(A11="",F11="",E11=""),"",IF(E11="Annual",F11+365,IF(E11="Biennial",F11+730,IF(E11="3-Year",F11+1095,F11+365))))</f>
        <v/>
      </c>
      <c r="H11" s="14">
        <f>IF(A11="","",IF(G11="","Not-Scheduled",IF(G11&gt;=TODAY(),"Current",IF(G11&gt;=TODAY()-30,"Due-Soon","Overdue"))))</f>
        <v/>
      </c>
      <c r="I11" s="15" t="n"/>
      <c r="J11" s="15" t="n"/>
      <c r="K11" s="15" t="n"/>
      <c r="L11" s="14">
        <f>IF(A11="","",IF(AND(OR(H11="Current",H11="Due-Soon"),OR(I11="No",I11="N/A",AND(I11="Yes",K11="Yes"))),"Compliant",IF(H11="Overdue","Non-Compliant","Partial")))</f>
        <v/>
      </c>
      <c r="M11" s="15" t="n"/>
      <c r="N11" s="15" t="n"/>
    </row>
    <row r="12">
      <c r="A12" s="14">
        <f>IF(ROW()-4&lt;=COUNTA('Personnel Screening Registry'!$A:$A)-4,INDEX('Personnel Screening Registry'!$A:$A,ROW()-3),"")</f>
        <v/>
      </c>
      <c r="B12" s="14">
        <f>IF(A12&lt;&gt;"",VLOOKUP(A12,'Personnel Screening Registry'!$A:$B,2,FALSE),"")</f>
        <v/>
      </c>
      <c r="C12" s="14">
        <f>IF(A12&lt;&gt;"",VLOOKUP(A12,'Personnel Screening Registry'!$A:$E,5,FALSE),"")</f>
        <v/>
      </c>
      <c r="D12" s="18">
        <f>IF(A12&lt;&gt;"",VLOOKUP(A12,'Personnel Screening Registry'!$A:$K,11,FALSE),"")</f>
        <v/>
      </c>
      <c r="E12" s="15" t="n"/>
      <c r="F12" s="16" t="n"/>
      <c r="G12" s="18">
        <f>IF(OR(A12="",F12="",E12=""),"",IF(E12="Annual",F12+365,IF(E12="Biennial",F12+730,IF(E12="3-Year",F12+1095,F12+365))))</f>
        <v/>
      </c>
      <c r="H12" s="14">
        <f>IF(A12="","",IF(G12="","Not-Scheduled",IF(G12&gt;=TODAY(),"Current",IF(G12&gt;=TODAY()-30,"Due-Soon","Overdue"))))</f>
        <v/>
      </c>
      <c r="I12" s="15" t="n"/>
      <c r="J12" s="15" t="n"/>
      <c r="K12" s="15" t="n"/>
      <c r="L12" s="14">
        <f>IF(A12="","",IF(AND(OR(H12="Current",H12="Due-Soon"),OR(I12="No",I12="N/A",AND(I12="Yes",K12="Yes"))),"Compliant",IF(H12="Overdue","Non-Compliant","Partial")))</f>
        <v/>
      </c>
      <c r="M12" s="15" t="n"/>
      <c r="N12" s="15" t="n"/>
    </row>
    <row r="13">
      <c r="A13" s="14">
        <f>IF(ROW()-4&lt;=COUNTA('Personnel Screening Registry'!$A:$A)-4,INDEX('Personnel Screening Registry'!$A:$A,ROW()-3),"")</f>
        <v/>
      </c>
      <c r="B13" s="14">
        <f>IF(A13&lt;&gt;"",VLOOKUP(A13,'Personnel Screening Registry'!$A:$B,2,FALSE),"")</f>
        <v/>
      </c>
      <c r="C13" s="14">
        <f>IF(A13&lt;&gt;"",VLOOKUP(A13,'Personnel Screening Registry'!$A:$E,5,FALSE),"")</f>
        <v/>
      </c>
      <c r="D13" s="18">
        <f>IF(A13&lt;&gt;"",VLOOKUP(A13,'Personnel Screening Registry'!$A:$K,11,FALSE),"")</f>
        <v/>
      </c>
      <c r="E13" s="15" t="n"/>
      <c r="F13" s="16" t="n"/>
      <c r="G13" s="18">
        <f>IF(OR(A13="",F13="",E13=""),"",IF(E13="Annual",F13+365,IF(E13="Biennial",F13+730,IF(E13="3-Year",F13+1095,F13+365))))</f>
        <v/>
      </c>
      <c r="H13" s="14">
        <f>IF(A13="","",IF(G13="","Not-Scheduled",IF(G13&gt;=TODAY(),"Current",IF(G13&gt;=TODAY()-30,"Due-Soon","Overdue"))))</f>
        <v/>
      </c>
      <c r="I13" s="15" t="n"/>
      <c r="J13" s="15" t="n"/>
      <c r="K13" s="15" t="n"/>
      <c r="L13" s="14">
        <f>IF(A13="","",IF(AND(OR(H13="Current",H13="Due-Soon"),OR(I13="No",I13="N/A",AND(I13="Yes",K13="Yes"))),"Compliant",IF(H13="Overdue","Non-Compliant","Partial")))</f>
        <v/>
      </c>
      <c r="M13" s="15" t="n"/>
      <c r="N13" s="15" t="n"/>
    </row>
    <row r="14">
      <c r="A14" s="14">
        <f>IF(ROW()-4&lt;=COUNTA('Personnel Screening Registry'!$A:$A)-4,INDEX('Personnel Screening Registry'!$A:$A,ROW()-3),"")</f>
        <v/>
      </c>
      <c r="B14" s="14">
        <f>IF(A14&lt;&gt;"",VLOOKUP(A14,'Personnel Screening Registry'!$A:$B,2,FALSE),"")</f>
        <v/>
      </c>
      <c r="C14" s="14">
        <f>IF(A14&lt;&gt;"",VLOOKUP(A14,'Personnel Screening Registry'!$A:$E,5,FALSE),"")</f>
        <v/>
      </c>
      <c r="D14" s="18">
        <f>IF(A14&lt;&gt;"",VLOOKUP(A14,'Personnel Screening Registry'!$A:$K,11,FALSE),"")</f>
        <v/>
      </c>
      <c r="E14" s="15" t="n"/>
      <c r="F14" s="16" t="n"/>
      <c r="G14" s="18">
        <f>IF(OR(A14="",F14="",E14=""),"",IF(E14="Annual",F14+365,IF(E14="Biennial",F14+730,IF(E14="3-Year",F14+1095,F14+365))))</f>
        <v/>
      </c>
      <c r="H14" s="14">
        <f>IF(A14="","",IF(G14="","Not-Scheduled",IF(G14&gt;=TODAY(),"Current",IF(G14&gt;=TODAY()-30,"Due-Soon","Overdue"))))</f>
        <v/>
      </c>
      <c r="I14" s="15" t="n"/>
      <c r="J14" s="15" t="n"/>
      <c r="K14" s="15" t="n"/>
      <c r="L14" s="14">
        <f>IF(A14="","",IF(AND(OR(H14="Current",H14="Due-Soon"),OR(I14="No",I14="N/A",AND(I14="Yes",K14="Yes"))),"Compliant",IF(H14="Overdue","Non-Compliant","Partial")))</f>
        <v/>
      </c>
      <c r="M14" s="15" t="n"/>
      <c r="N14" s="15" t="n"/>
    </row>
    <row r="15">
      <c r="A15" s="14">
        <f>IF(ROW()-4&lt;=COUNTA('Personnel Screening Registry'!$A:$A)-4,INDEX('Personnel Screening Registry'!$A:$A,ROW()-3),"")</f>
        <v/>
      </c>
      <c r="B15" s="14">
        <f>IF(A15&lt;&gt;"",VLOOKUP(A15,'Personnel Screening Registry'!$A:$B,2,FALSE),"")</f>
        <v/>
      </c>
      <c r="C15" s="14">
        <f>IF(A15&lt;&gt;"",VLOOKUP(A15,'Personnel Screening Registry'!$A:$E,5,FALSE),"")</f>
        <v/>
      </c>
      <c r="D15" s="18">
        <f>IF(A15&lt;&gt;"",VLOOKUP(A15,'Personnel Screening Registry'!$A:$K,11,FALSE),"")</f>
        <v/>
      </c>
      <c r="E15" s="15" t="n"/>
      <c r="F15" s="16" t="n"/>
      <c r="G15" s="18">
        <f>IF(OR(A15="",F15="",E15=""),"",IF(E15="Annual",F15+365,IF(E15="Biennial",F15+730,IF(E15="3-Year",F15+1095,F15+365))))</f>
        <v/>
      </c>
      <c r="H15" s="14">
        <f>IF(A15="","",IF(G15="","Not-Scheduled",IF(G15&gt;=TODAY(),"Current",IF(G15&gt;=TODAY()-30,"Due-Soon","Overdue"))))</f>
        <v/>
      </c>
      <c r="I15" s="15" t="n"/>
      <c r="J15" s="15" t="n"/>
      <c r="K15" s="15" t="n"/>
      <c r="L15" s="14">
        <f>IF(A15="","",IF(AND(OR(H15="Current",H15="Due-Soon"),OR(I15="No",I15="N/A",AND(I15="Yes",K15="Yes"))),"Compliant",IF(H15="Overdue","Non-Compliant","Partial")))</f>
        <v/>
      </c>
      <c r="M15" s="15" t="n"/>
      <c r="N15" s="15" t="n"/>
    </row>
    <row r="16">
      <c r="A16" s="14">
        <f>IF(ROW()-4&lt;=COUNTA('Personnel Screening Registry'!$A:$A)-4,INDEX('Personnel Screening Registry'!$A:$A,ROW()-3),"")</f>
        <v/>
      </c>
      <c r="B16" s="14">
        <f>IF(A16&lt;&gt;"",VLOOKUP(A16,'Personnel Screening Registry'!$A:$B,2,FALSE),"")</f>
        <v/>
      </c>
      <c r="C16" s="14">
        <f>IF(A16&lt;&gt;"",VLOOKUP(A16,'Personnel Screening Registry'!$A:$E,5,FALSE),"")</f>
        <v/>
      </c>
      <c r="D16" s="18">
        <f>IF(A16&lt;&gt;"",VLOOKUP(A16,'Personnel Screening Registry'!$A:$K,11,FALSE),"")</f>
        <v/>
      </c>
      <c r="E16" s="15" t="n"/>
      <c r="F16" s="16" t="n"/>
      <c r="G16" s="18">
        <f>IF(OR(A16="",F16="",E16=""),"",IF(E16="Annual",F16+365,IF(E16="Biennial",F16+730,IF(E16="3-Year",F16+1095,F16+365))))</f>
        <v/>
      </c>
      <c r="H16" s="14">
        <f>IF(A16="","",IF(G16="","Not-Scheduled",IF(G16&gt;=TODAY(),"Current",IF(G16&gt;=TODAY()-30,"Due-Soon","Overdue"))))</f>
        <v/>
      </c>
      <c r="I16" s="15" t="n"/>
      <c r="J16" s="15" t="n"/>
      <c r="K16" s="15" t="n"/>
      <c r="L16" s="14">
        <f>IF(A16="","",IF(AND(OR(H16="Current",H16="Due-Soon"),OR(I16="No",I16="N/A",AND(I16="Yes",K16="Yes"))),"Compliant",IF(H16="Overdue","Non-Compliant","Partial")))</f>
        <v/>
      </c>
      <c r="M16" s="15" t="n"/>
      <c r="N16" s="15" t="n"/>
    </row>
    <row r="17">
      <c r="A17" s="14">
        <f>IF(ROW()-4&lt;=COUNTA('Personnel Screening Registry'!$A:$A)-4,INDEX('Personnel Screening Registry'!$A:$A,ROW()-3),"")</f>
        <v/>
      </c>
      <c r="B17" s="14">
        <f>IF(A17&lt;&gt;"",VLOOKUP(A17,'Personnel Screening Registry'!$A:$B,2,FALSE),"")</f>
        <v/>
      </c>
      <c r="C17" s="14">
        <f>IF(A17&lt;&gt;"",VLOOKUP(A17,'Personnel Screening Registry'!$A:$E,5,FALSE),"")</f>
        <v/>
      </c>
      <c r="D17" s="18">
        <f>IF(A17&lt;&gt;"",VLOOKUP(A17,'Personnel Screening Registry'!$A:$K,11,FALSE),"")</f>
        <v/>
      </c>
      <c r="E17" s="15" t="n"/>
      <c r="F17" s="16" t="n"/>
      <c r="G17" s="18">
        <f>IF(OR(A17="",F17="",E17=""),"",IF(E17="Annual",F17+365,IF(E17="Biennial",F17+730,IF(E17="3-Year",F17+1095,F17+365))))</f>
        <v/>
      </c>
      <c r="H17" s="14">
        <f>IF(A17="","",IF(G17="","Not-Scheduled",IF(G17&gt;=TODAY(),"Current",IF(G17&gt;=TODAY()-30,"Due-Soon","Overdue"))))</f>
        <v/>
      </c>
      <c r="I17" s="15" t="n"/>
      <c r="J17" s="15" t="n"/>
      <c r="K17" s="15" t="n"/>
      <c r="L17" s="14">
        <f>IF(A17="","",IF(AND(OR(H17="Current",H17="Due-Soon"),OR(I17="No",I17="N/A",AND(I17="Yes",K17="Yes"))),"Compliant",IF(H17="Overdue","Non-Compliant","Partial")))</f>
        <v/>
      </c>
      <c r="M17" s="15" t="n"/>
      <c r="N17" s="15" t="n"/>
    </row>
    <row r="18">
      <c r="A18" s="14">
        <f>IF(ROW()-4&lt;=COUNTA('Personnel Screening Registry'!$A:$A)-4,INDEX('Personnel Screening Registry'!$A:$A,ROW()-3),"")</f>
        <v/>
      </c>
      <c r="B18" s="14">
        <f>IF(A18&lt;&gt;"",VLOOKUP(A18,'Personnel Screening Registry'!$A:$B,2,FALSE),"")</f>
        <v/>
      </c>
      <c r="C18" s="14">
        <f>IF(A18&lt;&gt;"",VLOOKUP(A18,'Personnel Screening Registry'!$A:$E,5,FALSE),"")</f>
        <v/>
      </c>
      <c r="D18" s="18">
        <f>IF(A18&lt;&gt;"",VLOOKUP(A18,'Personnel Screening Registry'!$A:$K,11,FALSE),"")</f>
        <v/>
      </c>
      <c r="E18" s="15" t="n"/>
      <c r="F18" s="16" t="n"/>
      <c r="G18" s="18">
        <f>IF(OR(A18="",F18="",E18=""),"",IF(E18="Annual",F18+365,IF(E18="Biennial",F18+730,IF(E18="3-Year",F18+1095,F18+365))))</f>
        <v/>
      </c>
      <c r="H18" s="14">
        <f>IF(A18="","",IF(G18="","Not-Scheduled",IF(G18&gt;=TODAY(),"Current",IF(G18&gt;=TODAY()-30,"Due-Soon","Overdue"))))</f>
        <v/>
      </c>
      <c r="I18" s="15" t="n"/>
      <c r="J18" s="15" t="n"/>
      <c r="K18" s="15" t="n"/>
      <c r="L18" s="14">
        <f>IF(A18="","",IF(AND(OR(H18="Current",H18="Due-Soon"),OR(I18="No",I18="N/A",AND(I18="Yes",K18="Yes"))),"Compliant",IF(H18="Overdue","Non-Compliant","Partial")))</f>
        <v/>
      </c>
      <c r="M18" s="15" t="n"/>
      <c r="N18" s="15" t="n"/>
    </row>
    <row r="19">
      <c r="A19" s="14">
        <f>IF(ROW()-4&lt;=COUNTA('Personnel Screening Registry'!$A:$A)-4,INDEX('Personnel Screening Registry'!$A:$A,ROW()-3),"")</f>
        <v/>
      </c>
      <c r="B19" s="14">
        <f>IF(A19&lt;&gt;"",VLOOKUP(A19,'Personnel Screening Registry'!$A:$B,2,FALSE),"")</f>
        <v/>
      </c>
      <c r="C19" s="14">
        <f>IF(A19&lt;&gt;"",VLOOKUP(A19,'Personnel Screening Registry'!$A:$E,5,FALSE),"")</f>
        <v/>
      </c>
      <c r="D19" s="18">
        <f>IF(A19&lt;&gt;"",VLOOKUP(A19,'Personnel Screening Registry'!$A:$K,11,FALSE),"")</f>
        <v/>
      </c>
      <c r="E19" s="15" t="n"/>
      <c r="F19" s="16" t="n"/>
      <c r="G19" s="18">
        <f>IF(OR(A19="",F19="",E19=""),"",IF(E19="Annual",F19+365,IF(E19="Biennial",F19+730,IF(E19="3-Year",F19+1095,F19+365))))</f>
        <v/>
      </c>
      <c r="H19" s="14">
        <f>IF(A19="","",IF(G19="","Not-Scheduled",IF(G19&gt;=TODAY(),"Current",IF(G19&gt;=TODAY()-30,"Due-Soon","Overdue"))))</f>
        <v/>
      </c>
      <c r="I19" s="15" t="n"/>
      <c r="J19" s="15" t="n"/>
      <c r="K19" s="15" t="n"/>
      <c r="L19" s="14">
        <f>IF(A19="","",IF(AND(OR(H19="Current",H19="Due-Soon"),OR(I19="No",I19="N/A",AND(I19="Yes",K19="Yes"))),"Compliant",IF(H19="Overdue","Non-Compliant","Partial")))</f>
        <v/>
      </c>
      <c r="M19" s="15" t="n"/>
      <c r="N19" s="15" t="n"/>
    </row>
    <row r="20">
      <c r="A20" s="14">
        <f>IF(ROW()-4&lt;=COUNTA('Personnel Screening Registry'!$A:$A)-4,INDEX('Personnel Screening Registry'!$A:$A,ROW()-3),"")</f>
        <v/>
      </c>
      <c r="B20" s="14">
        <f>IF(A20&lt;&gt;"",VLOOKUP(A20,'Personnel Screening Registry'!$A:$B,2,FALSE),"")</f>
        <v/>
      </c>
      <c r="C20" s="14">
        <f>IF(A20&lt;&gt;"",VLOOKUP(A20,'Personnel Screening Registry'!$A:$E,5,FALSE),"")</f>
        <v/>
      </c>
      <c r="D20" s="18">
        <f>IF(A20&lt;&gt;"",VLOOKUP(A20,'Personnel Screening Registry'!$A:$K,11,FALSE),"")</f>
        <v/>
      </c>
      <c r="E20" s="15" t="n"/>
      <c r="F20" s="16" t="n"/>
      <c r="G20" s="18">
        <f>IF(OR(A20="",F20="",E20=""),"",IF(E20="Annual",F20+365,IF(E20="Biennial",F20+730,IF(E20="3-Year",F20+1095,F20+365))))</f>
        <v/>
      </c>
      <c r="H20" s="14">
        <f>IF(A20="","",IF(G20="","Not-Scheduled",IF(G20&gt;=TODAY(),"Current",IF(G20&gt;=TODAY()-30,"Due-Soon","Overdue"))))</f>
        <v/>
      </c>
      <c r="I20" s="15" t="n"/>
      <c r="J20" s="15" t="n"/>
      <c r="K20" s="15" t="n"/>
      <c r="L20" s="14">
        <f>IF(A20="","",IF(AND(OR(H20="Current",H20="Due-Soon"),OR(I20="No",I20="N/A",AND(I20="Yes",K20="Yes"))),"Compliant",IF(H20="Overdue","Non-Compliant","Partial")))</f>
        <v/>
      </c>
      <c r="M20" s="15" t="n"/>
      <c r="N20" s="15" t="n"/>
    </row>
    <row r="21">
      <c r="A21" s="14">
        <f>IF(ROW()-4&lt;=COUNTA('Personnel Screening Registry'!$A:$A)-4,INDEX('Personnel Screening Registry'!$A:$A,ROW()-3),"")</f>
        <v/>
      </c>
      <c r="B21" s="14">
        <f>IF(A21&lt;&gt;"",VLOOKUP(A21,'Personnel Screening Registry'!$A:$B,2,FALSE),"")</f>
        <v/>
      </c>
      <c r="C21" s="14">
        <f>IF(A21&lt;&gt;"",VLOOKUP(A21,'Personnel Screening Registry'!$A:$E,5,FALSE),"")</f>
        <v/>
      </c>
      <c r="D21" s="18">
        <f>IF(A21&lt;&gt;"",VLOOKUP(A21,'Personnel Screening Registry'!$A:$K,11,FALSE),"")</f>
        <v/>
      </c>
      <c r="E21" s="15" t="n"/>
      <c r="F21" s="16" t="n"/>
      <c r="G21" s="18">
        <f>IF(OR(A21="",F21="",E21=""),"",IF(E21="Annual",F21+365,IF(E21="Biennial",F21+730,IF(E21="3-Year",F21+1095,F21+365))))</f>
        <v/>
      </c>
      <c r="H21" s="14">
        <f>IF(A21="","",IF(G21="","Not-Scheduled",IF(G21&gt;=TODAY(),"Current",IF(G21&gt;=TODAY()-30,"Due-Soon","Overdue"))))</f>
        <v/>
      </c>
      <c r="I21" s="15" t="n"/>
      <c r="J21" s="15" t="n"/>
      <c r="K21" s="15" t="n"/>
      <c r="L21" s="14">
        <f>IF(A21="","",IF(AND(OR(H21="Current",H21="Due-Soon"),OR(I21="No",I21="N/A",AND(I21="Yes",K21="Yes"))),"Compliant",IF(H21="Overdue","Non-Compliant","Partial")))</f>
        <v/>
      </c>
      <c r="M21" s="15" t="n"/>
      <c r="N21" s="15" t="n"/>
    </row>
    <row r="22">
      <c r="A22" s="14">
        <f>IF(ROW()-4&lt;=COUNTA('Personnel Screening Registry'!$A:$A)-4,INDEX('Personnel Screening Registry'!$A:$A,ROW()-3),"")</f>
        <v/>
      </c>
      <c r="B22" s="14">
        <f>IF(A22&lt;&gt;"",VLOOKUP(A22,'Personnel Screening Registry'!$A:$B,2,FALSE),"")</f>
        <v/>
      </c>
      <c r="C22" s="14">
        <f>IF(A22&lt;&gt;"",VLOOKUP(A22,'Personnel Screening Registry'!$A:$E,5,FALSE),"")</f>
        <v/>
      </c>
      <c r="D22" s="18">
        <f>IF(A22&lt;&gt;"",VLOOKUP(A22,'Personnel Screening Registry'!$A:$K,11,FALSE),"")</f>
        <v/>
      </c>
      <c r="E22" s="15" t="n"/>
      <c r="F22" s="16" t="n"/>
      <c r="G22" s="18">
        <f>IF(OR(A22="",F22="",E22=""),"",IF(E22="Annual",F22+365,IF(E22="Biennial",F22+730,IF(E22="3-Year",F22+1095,F22+365))))</f>
        <v/>
      </c>
      <c r="H22" s="14">
        <f>IF(A22="","",IF(G22="","Not-Scheduled",IF(G22&gt;=TODAY(),"Current",IF(G22&gt;=TODAY()-30,"Due-Soon","Overdue"))))</f>
        <v/>
      </c>
      <c r="I22" s="15" t="n"/>
      <c r="J22" s="15" t="n"/>
      <c r="K22" s="15" t="n"/>
      <c r="L22" s="14">
        <f>IF(A22="","",IF(AND(OR(H22="Current",H22="Due-Soon"),OR(I22="No",I22="N/A",AND(I22="Yes",K22="Yes"))),"Compliant",IF(H22="Overdue","Non-Compliant","Partial")))</f>
        <v/>
      </c>
      <c r="M22" s="15" t="n"/>
      <c r="N22" s="15" t="n"/>
    </row>
    <row r="23">
      <c r="A23" s="14">
        <f>IF(ROW()-4&lt;=COUNTA('Personnel Screening Registry'!$A:$A)-4,INDEX('Personnel Screening Registry'!$A:$A,ROW()-3),"")</f>
        <v/>
      </c>
      <c r="B23" s="14">
        <f>IF(A23&lt;&gt;"",VLOOKUP(A23,'Personnel Screening Registry'!$A:$B,2,FALSE),"")</f>
        <v/>
      </c>
      <c r="C23" s="14">
        <f>IF(A23&lt;&gt;"",VLOOKUP(A23,'Personnel Screening Registry'!$A:$E,5,FALSE),"")</f>
        <v/>
      </c>
      <c r="D23" s="18">
        <f>IF(A23&lt;&gt;"",VLOOKUP(A23,'Personnel Screening Registry'!$A:$K,11,FALSE),"")</f>
        <v/>
      </c>
      <c r="E23" s="15" t="n"/>
      <c r="F23" s="16" t="n"/>
      <c r="G23" s="18">
        <f>IF(OR(A23="",F23="",E23=""),"",IF(E23="Annual",F23+365,IF(E23="Biennial",F23+730,IF(E23="3-Year",F23+1095,F23+365))))</f>
        <v/>
      </c>
      <c r="H23" s="14">
        <f>IF(A23="","",IF(G23="","Not-Scheduled",IF(G23&gt;=TODAY(),"Current",IF(G23&gt;=TODAY()-30,"Due-Soon","Overdue"))))</f>
        <v/>
      </c>
      <c r="I23" s="15" t="n"/>
      <c r="J23" s="15" t="n"/>
      <c r="K23" s="15" t="n"/>
      <c r="L23" s="14">
        <f>IF(A23="","",IF(AND(OR(H23="Current",H23="Due-Soon"),OR(I23="No",I23="N/A",AND(I23="Yes",K23="Yes"))),"Compliant",IF(H23="Overdue","Non-Compliant","Partial")))</f>
        <v/>
      </c>
      <c r="M23" s="15" t="n"/>
      <c r="N23" s="15" t="n"/>
    </row>
    <row r="24">
      <c r="A24" s="14">
        <f>IF(ROW()-4&lt;=COUNTA('Personnel Screening Registry'!$A:$A)-4,INDEX('Personnel Screening Registry'!$A:$A,ROW()-3),"")</f>
        <v/>
      </c>
      <c r="B24" s="14">
        <f>IF(A24&lt;&gt;"",VLOOKUP(A24,'Personnel Screening Registry'!$A:$B,2,FALSE),"")</f>
        <v/>
      </c>
      <c r="C24" s="14">
        <f>IF(A24&lt;&gt;"",VLOOKUP(A24,'Personnel Screening Registry'!$A:$E,5,FALSE),"")</f>
        <v/>
      </c>
      <c r="D24" s="18">
        <f>IF(A24&lt;&gt;"",VLOOKUP(A24,'Personnel Screening Registry'!$A:$K,11,FALSE),"")</f>
        <v/>
      </c>
      <c r="E24" s="15" t="n"/>
      <c r="F24" s="16" t="n"/>
      <c r="G24" s="18">
        <f>IF(OR(A24="",F24="",E24=""),"",IF(E24="Annual",F24+365,IF(E24="Biennial",F24+730,IF(E24="3-Year",F24+1095,F24+365))))</f>
        <v/>
      </c>
      <c r="H24" s="14">
        <f>IF(A24="","",IF(G24="","Not-Scheduled",IF(G24&gt;=TODAY(),"Current",IF(G24&gt;=TODAY()-30,"Due-Soon","Overdue"))))</f>
        <v/>
      </c>
      <c r="I24" s="15" t="n"/>
      <c r="J24" s="15" t="n"/>
      <c r="K24" s="15" t="n"/>
      <c r="L24" s="14">
        <f>IF(A24="","",IF(AND(OR(H24="Current",H24="Due-Soon"),OR(I24="No",I24="N/A",AND(I24="Yes",K24="Yes"))),"Compliant",IF(H24="Overdue","Non-Compliant","Partial")))</f>
        <v/>
      </c>
      <c r="M24" s="15" t="n"/>
      <c r="N24" s="15" t="n"/>
    </row>
    <row r="25">
      <c r="A25" s="14">
        <f>IF(ROW()-4&lt;=COUNTA('Personnel Screening Registry'!$A:$A)-4,INDEX('Personnel Screening Registry'!$A:$A,ROW()-3),"")</f>
        <v/>
      </c>
      <c r="B25" s="14">
        <f>IF(A25&lt;&gt;"",VLOOKUP(A25,'Personnel Screening Registry'!$A:$B,2,FALSE),"")</f>
        <v/>
      </c>
      <c r="C25" s="14">
        <f>IF(A25&lt;&gt;"",VLOOKUP(A25,'Personnel Screening Registry'!$A:$E,5,FALSE),"")</f>
        <v/>
      </c>
      <c r="D25" s="18">
        <f>IF(A25&lt;&gt;"",VLOOKUP(A25,'Personnel Screening Registry'!$A:$K,11,FALSE),"")</f>
        <v/>
      </c>
      <c r="E25" s="15" t="n"/>
      <c r="F25" s="16" t="n"/>
      <c r="G25" s="18">
        <f>IF(OR(A25="",F25="",E25=""),"",IF(E25="Annual",F25+365,IF(E25="Biennial",F25+730,IF(E25="3-Year",F25+1095,F25+365))))</f>
        <v/>
      </c>
      <c r="H25" s="14">
        <f>IF(A25="","",IF(G25="","Not-Scheduled",IF(G25&gt;=TODAY(),"Current",IF(G25&gt;=TODAY()-30,"Due-Soon","Overdue"))))</f>
        <v/>
      </c>
      <c r="I25" s="15" t="n"/>
      <c r="J25" s="15" t="n"/>
      <c r="K25" s="15" t="n"/>
      <c r="L25" s="14">
        <f>IF(A25="","",IF(AND(OR(H25="Current",H25="Due-Soon"),OR(I25="No",I25="N/A",AND(I25="Yes",K25="Yes"))),"Compliant",IF(H25="Overdue","Non-Compliant","Partial")))</f>
        <v/>
      </c>
      <c r="M25" s="15" t="n"/>
      <c r="N25" s="15" t="n"/>
    </row>
    <row r="26">
      <c r="A26" s="14">
        <f>IF(ROW()-4&lt;=COUNTA('Personnel Screening Registry'!$A:$A)-4,INDEX('Personnel Screening Registry'!$A:$A,ROW()-3),"")</f>
        <v/>
      </c>
      <c r="B26" s="14">
        <f>IF(A26&lt;&gt;"",VLOOKUP(A26,'Personnel Screening Registry'!$A:$B,2,FALSE),"")</f>
        <v/>
      </c>
      <c r="C26" s="14">
        <f>IF(A26&lt;&gt;"",VLOOKUP(A26,'Personnel Screening Registry'!$A:$E,5,FALSE),"")</f>
        <v/>
      </c>
      <c r="D26" s="18">
        <f>IF(A26&lt;&gt;"",VLOOKUP(A26,'Personnel Screening Registry'!$A:$K,11,FALSE),"")</f>
        <v/>
      </c>
      <c r="E26" s="15" t="n"/>
      <c r="F26" s="16" t="n"/>
      <c r="G26" s="18">
        <f>IF(OR(A26="",F26="",E26=""),"",IF(E26="Annual",F26+365,IF(E26="Biennial",F26+730,IF(E26="3-Year",F26+1095,F26+365))))</f>
        <v/>
      </c>
      <c r="H26" s="14">
        <f>IF(A26="","",IF(G26="","Not-Scheduled",IF(G26&gt;=TODAY(),"Current",IF(G26&gt;=TODAY()-30,"Due-Soon","Overdue"))))</f>
        <v/>
      </c>
      <c r="I26" s="15" t="n"/>
      <c r="J26" s="15" t="n"/>
      <c r="K26" s="15" t="n"/>
      <c r="L26" s="14">
        <f>IF(A26="","",IF(AND(OR(H26="Current",H26="Due-Soon"),OR(I26="No",I26="N/A",AND(I26="Yes",K26="Yes"))),"Compliant",IF(H26="Overdue","Non-Compliant","Partial")))</f>
        <v/>
      </c>
      <c r="M26" s="15" t="n"/>
      <c r="N26" s="15" t="n"/>
    </row>
    <row r="27">
      <c r="A27" s="14">
        <f>IF(ROW()-4&lt;=COUNTA('Personnel Screening Registry'!$A:$A)-4,INDEX('Personnel Screening Registry'!$A:$A,ROW()-3),"")</f>
        <v/>
      </c>
      <c r="B27" s="14">
        <f>IF(A27&lt;&gt;"",VLOOKUP(A27,'Personnel Screening Registry'!$A:$B,2,FALSE),"")</f>
        <v/>
      </c>
      <c r="C27" s="14">
        <f>IF(A27&lt;&gt;"",VLOOKUP(A27,'Personnel Screening Registry'!$A:$E,5,FALSE),"")</f>
        <v/>
      </c>
      <c r="D27" s="18">
        <f>IF(A27&lt;&gt;"",VLOOKUP(A27,'Personnel Screening Registry'!$A:$K,11,FALSE),"")</f>
        <v/>
      </c>
      <c r="E27" s="15" t="n"/>
      <c r="F27" s="16" t="n"/>
      <c r="G27" s="18">
        <f>IF(OR(A27="",F27="",E27=""),"",IF(E27="Annual",F27+365,IF(E27="Biennial",F27+730,IF(E27="3-Year",F27+1095,F27+365))))</f>
        <v/>
      </c>
      <c r="H27" s="14">
        <f>IF(A27="","",IF(G27="","Not-Scheduled",IF(G27&gt;=TODAY(),"Current",IF(G27&gt;=TODAY()-30,"Due-Soon","Overdue"))))</f>
        <v/>
      </c>
      <c r="I27" s="15" t="n"/>
      <c r="J27" s="15" t="n"/>
      <c r="K27" s="15" t="n"/>
      <c r="L27" s="14">
        <f>IF(A27="","",IF(AND(OR(H27="Current",H27="Due-Soon"),OR(I27="No",I27="N/A",AND(I27="Yes",K27="Yes"))),"Compliant",IF(H27="Overdue","Non-Compliant","Partial")))</f>
        <v/>
      </c>
      <c r="M27" s="15" t="n"/>
      <c r="N27" s="15" t="n"/>
    </row>
    <row r="28">
      <c r="A28" s="14">
        <f>IF(ROW()-4&lt;=COUNTA('Personnel Screening Registry'!$A:$A)-4,INDEX('Personnel Screening Registry'!$A:$A,ROW()-3),"")</f>
        <v/>
      </c>
      <c r="B28" s="14">
        <f>IF(A28&lt;&gt;"",VLOOKUP(A28,'Personnel Screening Registry'!$A:$B,2,FALSE),"")</f>
        <v/>
      </c>
      <c r="C28" s="14">
        <f>IF(A28&lt;&gt;"",VLOOKUP(A28,'Personnel Screening Registry'!$A:$E,5,FALSE),"")</f>
        <v/>
      </c>
      <c r="D28" s="18">
        <f>IF(A28&lt;&gt;"",VLOOKUP(A28,'Personnel Screening Registry'!$A:$K,11,FALSE),"")</f>
        <v/>
      </c>
      <c r="E28" s="15" t="n"/>
      <c r="F28" s="16" t="n"/>
      <c r="G28" s="18">
        <f>IF(OR(A28="",F28="",E28=""),"",IF(E28="Annual",F28+365,IF(E28="Biennial",F28+730,IF(E28="3-Year",F28+1095,F28+365))))</f>
        <v/>
      </c>
      <c r="H28" s="14">
        <f>IF(A28="","",IF(G28="","Not-Scheduled",IF(G28&gt;=TODAY(),"Current",IF(G28&gt;=TODAY()-30,"Due-Soon","Overdue"))))</f>
        <v/>
      </c>
      <c r="I28" s="15" t="n"/>
      <c r="J28" s="15" t="n"/>
      <c r="K28" s="15" t="n"/>
      <c r="L28" s="14">
        <f>IF(A28="","",IF(AND(OR(H28="Current",H28="Due-Soon"),OR(I28="No",I28="N/A",AND(I28="Yes",K28="Yes"))),"Compliant",IF(H28="Overdue","Non-Compliant","Partial")))</f>
        <v/>
      </c>
      <c r="M28" s="15" t="n"/>
      <c r="N28" s="15" t="n"/>
    </row>
    <row r="29">
      <c r="A29" s="14">
        <f>IF(ROW()-4&lt;=COUNTA('Personnel Screening Registry'!$A:$A)-4,INDEX('Personnel Screening Registry'!$A:$A,ROW()-3),"")</f>
        <v/>
      </c>
      <c r="B29" s="14">
        <f>IF(A29&lt;&gt;"",VLOOKUP(A29,'Personnel Screening Registry'!$A:$B,2,FALSE),"")</f>
        <v/>
      </c>
      <c r="C29" s="14">
        <f>IF(A29&lt;&gt;"",VLOOKUP(A29,'Personnel Screening Registry'!$A:$E,5,FALSE),"")</f>
        <v/>
      </c>
      <c r="D29" s="18">
        <f>IF(A29&lt;&gt;"",VLOOKUP(A29,'Personnel Screening Registry'!$A:$K,11,FALSE),"")</f>
        <v/>
      </c>
      <c r="E29" s="15" t="n"/>
      <c r="F29" s="16" t="n"/>
      <c r="G29" s="18">
        <f>IF(OR(A29="",F29="",E29=""),"",IF(E29="Annual",F29+365,IF(E29="Biennial",F29+730,IF(E29="3-Year",F29+1095,F29+365))))</f>
        <v/>
      </c>
      <c r="H29" s="14">
        <f>IF(A29="","",IF(G29="","Not-Scheduled",IF(G29&gt;=TODAY(),"Current",IF(G29&gt;=TODAY()-30,"Due-Soon","Overdue"))))</f>
        <v/>
      </c>
      <c r="I29" s="15" t="n"/>
      <c r="J29" s="15" t="n"/>
      <c r="K29" s="15" t="n"/>
      <c r="L29" s="14">
        <f>IF(A29="","",IF(AND(OR(H29="Current",H29="Due-Soon"),OR(I29="No",I29="N/A",AND(I29="Yes",K29="Yes"))),"Compliant",IF(H29="Overdue","Non-Compliant","Partial")))</f>
        <v/>
      </c>
      <c r="M29" s="15" t="n"/>
      <c r="N29" s="15" t="n"/>
    </row>
    <row r="30">
      <c r="A30" s="14">
        <f>IF(ROW()-4&lt;=COUNTA('Personnel Screening Registry'!$A:$A)-4,INDEX('Personnel Screening Registry'!$A:$A,ROW()-3),"")</f>
        <v/>
      </c>
      <c r="B30" s="14">
        <f>IF(A30&lt;&gt;"",VLOOKUP(A30,'Personnel Screening Registry'!$A:$B,2,FALSE),"")</f>
        <v/>
      </c>
      <c r="C30" s="14">
        <f>IF(A30&lt;&gt;"",VLOOKUP(A30,'Personnel Screening Registry'!$A:$E,5,FALSE),"")</f>
        <v/>
      </c>
      <c r="D30" s="18">
        <f>IF(A30&lt;&gt;"",VLOOKUP(A30,'Personnel Screening Registry'!$A:$K,11,FALSE),"")</f>
        <v/>
      </c>
      <c r="E30" s="15" t="n"/>
      <c r="F30" s="16" t="n"/>
      <c r="G30" s="18">
        <f>IF(OR(A30="",F30="",E30=""),"",IF(E30="Annual",F30+365,IF(E30="Biennial",F30+730,IF(E30="3-Year",F30+1095,F30+365))))</f>
        <v/>
      </c>
      <c r="H30" s="14">
        <f>IF(A30="","",IF(G30="","Not-Scheduled",IF(G30&gt;=TODAY(),"Current",IF(G30&gt;=TODAY()-30,"Due-Soon","Overdue"))))</f>
        <v/>
      </c>
      <c r="I30" s="15" t="n"/>
      <c r="J30" s="15" t="n"/>
      <c r="K30" s="15" t="n"/>
      <c r="L30" s="14">
        <f>IF(A30="","",IF(AND(OR(H30="Current",H30="Due-Soon"),OR(I30="No",I30="N/A",AND(I30="Yes",K30="Yes"))),"Compliant",IF(H30="Overdue","Non-Compliant","Partial")))</f>
        <v/>
      </c>
      <c r="M30" s="15" t="n"/>
      <c r="N30" s="15" t="n"/>
    </row>
    <row r="31">
      <c r="A31" s="14">
        <f>IF(ROW()-4&lt;=COUNTA('Personnel Screening Registry'!$A:$A)-4,INDEX('Personnel Screening Registry'!$A:$A,ROW()-3),"")</f>
        <v/>
      </c>
      <c r="B31" s="14">
        <f>IF(A31&lt;&gt;"",VLOOKUP(A31,'Personnel Screening Registry'!$A:$B,2,FALSE),"")</f>
        <v/>
      </c>
      <c r="C31" s="14">
        <f>IF(A31&lt;&gt;"",VLOOKUP(A31,'Personnel Screening Registry'!$A:$E,5,FALSE),"")</f>
        <v/>
      </c>
      <c r="D31" s="18">
        <f>IF(A31&lt;&gt;"",VLOOKUP(A31,'Personnel Screening Registry'!$A:$K,11,FALSE),"")</f>
        <v/>
      </c>
      <c r="E31" s="15" t="n"/>
      <c r="F31" s="16" t="n"/>
      <c r="G31" s="18">
        <f>IF(OR(A31="",F31="",E31=""),"",IF(E31="Annual",F31+365,IF(E31="Biennial",F31+730,IF(E31="3-Year",F31+1095,F31+365))))</f>
        <v/>
      </c>
      <c r="H31" s="14">
        <f>IF(A31="","",IF(G31="","Not-Scheduled",IF(G31&gt;=TODAY(),"Current",IF(G31&gt;=TODAY()-30,"Due-Soon","Overdue"))))</f>
        <v/>
      </c>
      <c r="I31" s="15" t="n"/>
      <c r="J31" s="15" t="n"/>
      <c r="K31" s="15" t="n"/>
      <c r="L31" s="14">
        <f>IF(A31="","",IF(AND(OR(H31="Current",H31="Due-Soon"),OR(I31="No",I31="N/A",AND(I31="Yes",K31="Yes"))),"Compliant",IF(H31="Overdue","Non-Compliant","Partial")))</f>
        <v/>
      </c>
      <c r="M31" s="15" t="n"/>
      <c r="N31" s="15" t="n"/>
    </row>
    <row r="32">
      <c r="A32" s="14">
        <f>IF(ROW()-4&lt;=COUNTA('Personnel Screening Registry'!$A:$A)-4,INDEX('Personnel Screening Registry'!$A:$A,ROW()-3),"")</f>
        <v/>
      </c>
      <c r="B32" s="14">
        <f>IF(A32&lt;&gt;"",VLOOKUP(A32,'Personnel Screening Registry'!$A:$B,2,FALSE),"")</f>
        <v/>
      </c>
      <c r="C32" s="14">
        <f>IF(A32&lt;&gt;"",VLOOKUP(A32,'Personnel Screening Registry'!$A:$E,5,FALSE),"")</f>
        <v/>
      </c>
      <c r="D32" s="18">
        <f>IF(A32&lt;&gt;"",VLOOKUP(A32,'Personnel Screening Registry'!$A:$K,11,FALSE),"")</f>
        <v/>
      </c>
      <c r="E32" s="15" t="n"/>
      <c r="F32" s="16" t="n"/>
      <c r="G32" s="18">
        <f>IF(OR(A32="",F32="",E32=""),"",IF(E32="Annual",F32+365,IF(E32="Biennial",F32+730,IF(E32="3-Year",F32+1095,F32+365))))</f>
        <v/>
      </c>
      <c r="H32" s="14">
        <f>IF(A32="","",IF(G32="","Not-Scheduled",IF(G32&gt;=TODAY(),"Current",IF(G32&gt;=TODAY()-30,"Due-Soon","Overdue"))))</f>
        <v/>
      </c>
      <c r="I32" s="15" t="n"/>
      <c r="J32" s="15" t="n"/>
      <c r="K32" s="15" t="n"/>
      <c r="L32" s="14">
        <f>IF(A32="","",IF(AND(OR(H32="Current",H32="Due-Soon"),OR(I32="No",I32="N/A",AND(I32="Yes",K32="Yes"))),"Compliant",IF(H32="Overdue","Non-Compliant","Partial")))</f>
        <v/>
      </c>
      <c r="M32" s="15" t="n"/>
      <c r="N32" s="15" t="n"/>
    </row>
    <row r="33">
      <c r="A33" s="14">
        <f>IF(ROW()-4&lt;=COUNTA('Personnel Screening Registry'!$A:$A)-4,INDEX('Personnel Screening Registry'!$A:$A,ROW()-3),"")</f>
        <v/>
      </c>
      <c r="B33" s="14">
        <f>IF(A33&lt;&gt;"",VLOOKUP(A33,'Personnel Screening Registry'!$A:$B,2,FALSE),"")</f>
        <v/>
      </c>
      <c r="C33" s="14">
        <f>IF(A33&lt;&gt;"",VLOOKUP(A33,'Personnel Screening Registry'!$A:$E,5,FALSE),"")</f>
        <v/>
      </c>
      <c r="D33" s="18">
        <f>IF(A33&lt;&gt;"",VLOOKUP(A33,'Personnel Screening Registry'!$A:$K,11,FALSE),"")</f>
        <v/>
      </c>
      <c r="E33" s="15" t="n"/>
      <c r="F33" s="16" t="n"/>
      <c r="G33" s="18">
        <f>IF(OR(A33="",F33="",E33=""),"",IF(E33="Annual",F33+365,IF(E33="Biennial",F33+730,IF(E33="3-Year",F33+1095,F33+365))))</f>
        <v/>
      </c>
      <c r="H33" s="14">
        <f>IF(A33="","",IF(G33="","Not-Scheduled",IF(G33&gt;=TODAY(),"Current",IF(G33&gt;=TODAY()-30,"Due-Soon","Overdue"))))</f>
        <v/>
      </c>
      <c r="I33" s="15" t="n"/>
      <c r="J33" s="15" t="n"/>
      <c r="K33" s="15" t="n"/>
      <c r="L33" s="14">
        <f>IF(A33="","",IF(AND(OR(H33="Current",H33="Due-Soon"),OR(I33="No",I33="N/A",AND(I33="Yes",K33="Yes"))),"Compliant",IF(H33="Overdue","Non-Compliant","Partial")))</f>
        <v/>
      </c>
      <c r="M33" s="15" t="n"/>
      <c r="N33" s="15" t="n"/>
    </row>
    <row r="34">
      <c r="A34" s="14">
        <f>IF(ROW()-4&lt;=COUNTA('Personnel Screening Registry'!$A:$A)-4,INDEX('Personnel Screening Registry'!$A:$A,ROW()-3),"")</f>
        <v/>
      </c>
      <c r="B34" s="14">
        <f>IF(A34&lt;&gt;"",VLOOKUP(A34,'Personnel Screening Registry'!$A:$B,2,FALSE),"")</f>
        <v/>
      </c>
      <c r="C34" s="14">
        <f>IF(A34&lt;&gt;"",VLOOKUP(A34,'Personnel Screening Registry'!$A:$E,5,FALSE),"")</f>
        <v/>
      </c>
      <c r="D34" s="18">
        <f>IF(A34&lt;&gt;"",VLOOKUP(A34,'Personnel Screening Registry'!$A:$K,11,FALSE),"")</f>
        <v/>
      </c>
      <c r="E34" s="15" t="n"/>
      <c r="F34" s="16" t="n"/>
      <c r="G34" s="18">
        <f>IF(OR(A34="",F34="",E34=""),"",IF(E34="Annual",F34+365,IF(E34="Biennial",F34+730,IF(E34="3-Year",F34+1095,F34+365))))</f>
        <v/>
      </c>
      <c r="H34" s="14">
        <f>IF(A34="","",IF(G34="","Not-Scheduled",IF(G34&gt;=TODAY(),"Current",IF(G34&gt;=TODAY()-30,"Due-Soon","Overdue"))))</f>
        <v/>
      </c>
      <c r="I34" s="15" t="n"/>
      <c r="J34" s="15" t="n"/>
      <c r="K34" s="15" t="n"/>
      <c r="L34" s="14">
        <f>IF(A34="","",IF(AND(OR(H34="Current",H34="Due-Soon"),OR(I34="No",I34="N/A",AND(I34="Yes",K34="Yes"))),"Compliant",IF(H34="Overdue","Non-Compliant","Partial")))</f>
        <v/>
      </c>
      <c r="M34" s="15" t="n"/>
      <c r="N34" s="15" t="n"/>
    </row>
    <row r="35">
      <c r="A35" s="14">
        <f>IF(ROW()-4&lt;=COUNTA('Personnel Screening Registry'!$A:$A)-4,INDEX('Personnel Screening Registry'!$A:$A,ROW()-3),"")</f>
        <v/>
      </c>
      <c r="B35" s="14">
        <f>IF(A35&lt;&gt;"",VLOOKUP(A35,'Personnel Screening Registry'!$A:$B,2,FALSE),"")</f>
        <v/>
      </c>
      <c r="C35" s="14">
        <f>IF(A35&lt;&gt;"",VLOOKUP(A35,'Personnel Screening Registry'!$A:$E,5,FALSE),"")</f>
        <v/>
      </c>
      <c r="D35" s="18">
        <f>IF(A35&lt;&gt;"",VLOOKUP(A35,'Personnel Screening Registry'!$A:$K,11,FALSE),"")</f>
        <v/>
      </c>
      <c r="E35" s="15" t="n"/>
      <c r="F35" s="16" t="n"/>
      <c r="G35" s="18">
        <f>IF(OR(A35="",F35="",E35=""),"",IF(E35="Annual",F35+365,IF(E35="Biennial",F35+730,IF(E35="3-Year",F35+1095,F35+365))))</f>
        <v/>
      </c>
      <c r="H35" s="14">
        <f>IF(A35="","",IF(G35="","Not-Scheduled",IF(G35&gt;=TODAY(),"Current",IF(G35&gt;=TODAY()-30,"Due-Soon","Overdue"))))</f>
        <v/>
      </c>
      <c r="I35" s="15" t="n"/>
      <c r="J35" s="15" t="n"/>
      <c r="K35" s="15" t="n"/>
      <c r="L35" s="14">
        <f>IF(A35="","",IF(AND(OR(H35="Current",H35="Due-Soon"),OR(I35="No",I35="N/A",AND(I35="Yes",K35="Yes"))),"Compliant",IF(H35="Overdue","Non-Compliant","Partial")))</f>
        <v/>
      </c>
      <c r="M35" s="15" t="n"/>
      <c r="N35" s="15" t="n"/>
    </row>
    <row r="36">
      <c r="A36" s="14">
        <f>IF(ROW()-4&lt;=COUNTA('Personnel Screening Registry'!$A:$A)-4,INDEX('Personnel Screening Registry'!$A:$A,ROW()-3),"")</f>
        <v/>
      </c>
      <c r="B36" s="14">
        <f>IF(A36&lt;&gt;"",VLOOKUP(A36,'Personnel Screening Registry'!$A:$B,2,FALSE),"")</f>
        <v/>
      </c>
      <c r="C36" s="14">
        <f>IF(A36&lt;&gt;"",VLOOKUP(A36,'Personnel Screening Registry'!$A:$E,5,FALSE),"")</f>
        <v/>
      </c>
      <c r="D36" s="18">
        <f>IF(A36&lt;&gt;"",VLOOKUP(A36,'Personnel Screening Registry'!$A:$K,11,FALSE),"")</f>
        <v/>
      </c>
      <c r="E36" s="15" t="n"/>
      <c r="F36" s="16" t="n"/>
      <c r="G36" s="18">
        <f>IF(OR(A36="",F36="",E36=""),"",IF(E36="Annual",F36+365,IF(E36="Biennial",F36+730,IF(E36="3-Year",F36+1095,F36+365))))</f>
        <v/>
      </c>
      <c r="H36" s="14">
        <f>IF(A36="","",IF(G36="","Not-Scheduled",IF(G36&gt;=TODAY(),"Current",IF(G36&gt;=TODAY()-30,"Due-Soon","Overdue"))))</f>
        <v/>
      </c>
      <c r="I36" s="15" t="n"/>
      <c r="J36" s="15" t="n"/>
      <c r="K36" s="15" t="n"/>
      <c r="L36" s="14">
        <f>IF(A36="","",IF(AND(OR(H36="Current",H36="Due-Soon"),OR(I36="No",I36="N/A",AND(I36="Yes",K36="Yes"))),"Compliant",IF(H36="Overdue","Non-Compliant","Partial")))</f>
        <v/>
      </c>
      <c r="M36" s="15" t="n"/>
      <c r="N36" s="15" t="n"/>
    </row>
    <row r="37">
      <c r="A37" s="14">
        <f>IF(ROW()-4&lt;=COUNTA('Personnel Screening Registry'!$A:$A)-4,INDEX('Personnel Screening Registry'!$A:$A,ROW()-3),"")</f>
        <v/>
      </c>
      <c r="B37" s="14">
        <f>IF(A37&lt;&gt;"",VLOOKUP(A37,'Personnel Screening Registry'!$A:$B,2,FALSE),"")</f>
        <v/>
      </c>
      <c r="C37" s="14">
        <f>IF(A37&lt;&gt;"",VLOOKUP(A37,'Personnel Screening Registry'!$A:$E,5,FALSE),"")</f>
        <v/>
      </c>
      <c r="D37" s="18">
        <f>IF(A37&lt;&gt;"",VLOOKUP(A37,'Personnel Screening Registry'!$A:$K,11,FALSE),"")</f>
        <v/>
      </c>
      <c r="E37" s="15" t="n"/>
      <c r="F37" s="16" t="n"/>
      <c r="G37" s="18">
        <f>IF(OR(A37="",F37="",E37=""),"",IF(E37="Annual",F37+365,IF(E37="Biennial",F37+730,IF(E37="3-Year",F37+1095,F37+365))))</f>
        <v/>
      </c>
      <c r="H37" s="14">
        <f>IF(A37="","",IF(G37="","Not-Scheduled",IF(G37&gt;=TODAY(),"Current",IF(G37&gt;=TODAY()-30,"Due-Soon","Overdue"))))</f>
        <v/>
      </c>
      <c r="I37" s="15" t="n"/>
      <c r="J37" s="15" t="n"/>
      <c r="K37" s="15" t="n"/>
      <c r="L37" s="14">
        <f>IF(A37="","",IF(AND(OR(H37="Current",H37="Due-Soon"),OR(I37="No",I37="N/A",AND(I37="Yes",K37="Yes"))),"Compliant",IF(H37="Overdue","Non-Compliant","Partial")))</f>
        <v/>
      </c>
      <c r="M37" s="15" t="n"/>
      <c r="N37" s="15" t="n"/>
    </row>
    <row r="38">
      <c r="A38" s="14">
        <f>IF(ROW()-4&lt;=COUNTA('Personnel Screening Registry'!$A:$A)-4,INDEX('Personnel Screening Registry'!$A:$A,ROW()-3),"")</f>
        <v/>
      </c>
      <c r="B38" s="14">
        <f>IF(A38&lt;&gt;"",VLOOKUP(A38,'Personnel Screening Registry'!$A:$B,2,FALSE),"")</f>
        <v/>
      </c>
      <c r="C38" s="14">
        <f>IF(A38&lt;&gt;"",VLOOKUP(A38,'Personnel Screening Registry'!$A:$E,5,FALSE),"")</f>
        <v/>
      </c>
      <c r="D38" s="18">
        <f>IF(A38&lt;&gt;"",VLOOKUP(A38,'Personnel Screening Registry'!$A:$K,11,FALSE),"")</f>
        <v/>
      </c>
      <c r="E38" s="15" t="n"/>
      <c r="F38" s="16" t="n"/>
      <c r="G38" s="18">
        <f>IF(OR(A38="",F38="",E38=""),"",IF(E38="Annual",F38+365,IF(E38="Biennial",F38+730,IF(E38="3-Year",F38+1095,F38+365))))</f>
        <v/>
      </c>
      <c r="H38" s="14">
        <f>IF(A38="","",IF(G38="","Not-Scheduled",IF(G38&gt;=TODAY(),"Current",IF(G38&gt;=TODAY()-30,"Due-Soon","Overdue"))))</f>
        <v/>
      </c>
      <c r="I38" s="15" t="n"/>
      <c r="J38" s="15" t="n"/>
      <c r="K38" s="15" t="n"/>
      <c r="L38" s="14">
        <f>IF(A38="","",IF(AND(OR(H38="Current",H38="Due-Soon"),OR(I38="No",I38="N/A",AND(I38="Yes",K38="Yes"))),"Compliant",IF(H38="Overdue","Non-Compliant","Partial")))</f>
        <v/>
      </c>
      <c r="M38" s="15" t="n"/>
      <c r="N38" s="15" t="n"/>
    </row>
    <row r="39">
      <c r="A39" s="14">
        <f>IF(ROW()-4&lt;=COUNTA('Personnel Screening Registry'!$A:$A)-4,INDEX('Personnel Screening Registry'!$A:$A,ROW()-3),"")</f>
        <v/>
      </c>
      <c r="B39" s="14">
        <f>IF(A39&lt;&gt;"",VLOOKUP(A39,'Personnel Screening Registry'!$A:$B,2,FALSE),"")</f>
        <v/>
      </c>
      <c r="C39" s="14">
        <f>IF(A39&lt;&gt;"",VLOOKUP(A39,'Personnel Screening Registry'!$A:$E,5,FALSE),"")</f>
        <v/>
      </c>
      <c r="D39" s="18">
        <f>IF(A39&lt;&gt;"",VLOOKUP(A39,'Personnel Screening Registry'!$A:$K,11,FALSE),"")</f>
        <v/>
      </c>
      <c r="E39" s="15" t="n"/>
      <c r="F39" s="16" t="n"/>
      <c r="G39" s="18">
        <f>IF(OR(A39="",F39="",E39=""),"",IF(E39="Annual",F39+365,IF(E39="Biennial",F39+730,IF(E39="3-Year",F39+1095,F39+365))))</f>
        <v/>
      </c>
      <c r="H39" s="14">
        <f>IF(A39="","",IF(G39="","Not-Scheduled",IF(G39&gt;=TODAY(),"Current",IF(G39&gt;=TODAY()-30,"Due-Soon","Overdue"))))</f>
        <v/>
      </c>
      <c r="I39" s="15" t="n"/>
      <c r="J39" s="15" t="n"/>
      <c r="K39" s="15" t="n"/>
      <c r="L39" s="14">
        <f>IF(A39="","",IF(AND(OR(H39="Current",H39="Due-Soon"),OR(I39="No",I39="N/A",AND(I39="Yes",K39="Yes"))),"Compliant",IF(H39="Overdue","Non-Compliant","Partial")))</f>
        <v/>
      </c>
      <c r="M39" s="15" t="n"/>
      <c r="N39" s="15" t="n"/>
    </row>
    <row r="40">
      <c r="A40" s="14">
        <f>IF(ROW()-4&lt;=COUNTA('Personnel Screening Registry'!$A:$A)-4,INDEX('Personnel Screening Registry'!$A:$A,ROW()-3),"")</f>
        <v/>
      </c>
      <c r="B40" s="14">
        <f>IF(A40&lt;&gt;"",VLOOKUP(A40,'Personnel Screening Registry'!$A:$B,2,FALSE),"")</f>
        <v/>
      </c>
      <c r="C40" s="14">
        <f>IF(A40&lt;&gt;"",VLOOKUP(A40,'Personnel Screening Registry'!$A:$E,5,FALSE),"")</f>
        <v/>
      </c>
      <c r="D40" s="18">
        <f>IF(A40&lt;&gt;"",VLOOKUP(A40,'Personnel Screening Registry'!$A:$K,11,FALSE),"")</f>
        <v/>
      </c>
      <c r="E40" s="15" t="n"/>
      <c r="F40" s="16" t="n"/>
      <c r="G40" s="18">
        <f>IF(OR(A40="",F40="",E40=""),"",IF(E40="Annual",F40+365,IF(E40="Biennial",F40+730,IF(E40="3-Year",F40+1095,F40+365))))</f>
        <v/>
      </c>
      <c r="H40" s="14">
        <f>IF(A40="","",IF(G40="","Not-Scheduled",IF(G40&gt;=TODAY(),"Current",IF(G40&gt;=TODAY()-30,"Due-Soon","Overdue"))))</f>
        <v/>
      </c>
      <c r="I40" s="15" t="n"/>
      <c r="J40" s="15" t="n"/>
      <c r="K40" s="15" t="n"/>
      <c r="L40" s="14">
        <f>IF(A40="","",IF(AND(OR(H40="Current",H40="Due-Soon"),OR(I40="No",I40="N/A",AND(I40="Yes",K40="Yes"))),"Compliant",IF(H40="Overdue","Non-Compliant","Partial")))</f>
        <v/>
      </c>
      <c r="M40" s="15" t="n"/>
      <c r="N40" s="15" t="n"/>
    </row>
    <row r="41">
      <c r="A41" s="14">
        <f>IF(ROW()-4&lt;=COUNTA('Personnel Screening Registry'!$A:$A)-4,INDEX('Personnel Screening Registry'!$A:$A,ROW()-3),"")</f>
        <v/>
      </c>
      <c r="B41" s="14">
        <f>IF(A41&lt;&gt;"",VLOOKUP(A41,'Personnel Screening Registry'!$A:$B,2,FALSE),"")</f>
        <v/>
      </c>
      <c r="C41" s="14">
        <f>IF(A41&lt;&gt;"",VLOOKUP(A41,'Personnel Screening Registry'!$A:$E,5,FALSE),"")</f>
        <v/>
      </c>
      <c r="D41" s="18">
        <f>IF(A41&lt;&gt;"",VLOOKUP(A41,'Personnel Screening Registry'!$A:$K,11,FALSE),"")</f>
        <v/>
      </c>
      <c r="E41" s="15" t="n"/>
      <c r="F41" s="16" t="n"/>
      <c r="G41" s="18">
        <f>IF(OR(A41="",F41="",E41=""),"",IF(E41="Annual",F41+365,IF(E41="Biennial",F41+730,IF(E41="3-Year",F41+1095,F41+365))))</f>
        <v/>
      </c>
      <c r="H41" s="14">
        <f>IF(A41="","",IF(G41="","Not-Scheduled",IF(G41&gt;=TODAY(),"Current",IF(G41&gt;=TODAY()-30,"Due-Soon","Overdue"))))</f>
        <v/>
      </c>
      <c r="I41" s="15" t="n"/>
      <c r="J41" s="15" t="n"/>
      <c r="K41" s="15" t="n"/>
      <c r="L41" s="14">
        <f>IF(A41="","",IF(AND(OR(H41="Current",H41="Due-Soon"),OR(I41="No",I41="N/A",AND(I41="Yes",K41="Yes"))),"Compliant",IF(H41="Overdue","Non-Compliant","Partial")))</f>
        <v/>
      </c>
      <c r="M41" s="15" t="n"/>
      <c r="N41" s="15" t="n"/>
    </row>
    <row r="42">
      <c r="A42" s="14">
        <f>IF(ROW()-4&lt;=COUNTA('Personnel Screening Registry'!$A:$A)-4,INDEX('Personnel Screening Registry'!$A:$A,ROW()-3),"")</f>
        <v/>
      </c>
      <c r="B42" s="14">
        <f>IF(A42&lt;&gt;"",VLOOKUP(A42,'Personnel Screening Registry'!$A:$B,2,FALSE),"")</f>
        <v/>
      </c>
      <c r="C42" s="14">
        <f>IF(A42&lt;&gt;"",VLOOKUP(A42,'Personnel Screening Registry'!$A:$E,5,FALSE),"")</f>
        <v/>
      </c>
      <c r="D42" s="18">
        <f>IF(A42&lt;&gt;"",VLOOKUP(A42,'Personnel Screening Registry'!$A:$K,11,FALSE),"")</f>
        <v/>
      </c>
      <c r="E42" s="15" t="n"/>
      <c r="F42" s="16" t="n"/>
      <c r="G42" s="18">
        <f>IF(OR(A42="",F42="",E42=""),"",IF(E42="Annual",F42+365,IF(E42="Biennial",F42+730,IF(E42="3-Year",F42+1095,F42+365))))</f>
        <v/>
      </c>
      <c r="H42" s="14">
        <f>IF(A42="","",IF(G42="","Not-Scheduled",IF(G42&gt;=TODAY(),"Current",IF(G42&gt;=TODAY()-30,"Due-Soon","Overdue"))))</f>
        <v/>
      </c>
      <c r="I42" s="15" t="n"/>
      <c r="J42" s="15" t="n"/>
      <c r="K42" s="15" t="n"/>
      <c r="L42" s="14">
        <f>IF(A42="","",IF(AND(OR(H42="Current",H42="Due-Soon"),OR(I42="No",I42="N/A",AND(I42="Yes",K42="Yes"))),"Compliant",IF(H42="Overdue","Non-Compliant","Partial")))</f>
        <v/>
      </c>
      <c r="M42" s="15" t="n"/>
      <c r="N42" s="15" t="n"/>
    </row>
    <row r="43">
      <c r="A43" s="14">
        <f>IF(ROW()-4&lt;=COUNTA('Personnel Screening Registry'!$A:$A)-4,INDEX('Personnel Screening Registry'!$A:$A,ROW()-3),"")</f>
        <v/>
      </c>
      <c r="B43" s="14">
        <f>IF(A43&lt;&gt;"",VLOOKUP(A43,'Personnel Screening Registry'!$A:$B,2,FALSE),"")</f>
        <v/>
      </c>
      <c r="C43" s="14">
        <f>IF(A43&lt;&gt;"",VLOOKUP(A43,'Personnel Screening Registry'!$A:$E,5,FALSE),"")</f>
        <v/>
      </c>
      <c r="D43" s="18">
        <f>IF(A43&lt;&gt;"",VLOOKUP(A43,'Personnel Screening Registry'!$A:$K,11,FALSE),"")</f>
        <v/>
      </c>
      <c r="E43" s="15" t="n"/>
      <c r="F43" s="16" t="n"/>
      <c r="G43" s="18">
        <f>IF(OR(A43="",F43="",E43=""),"",IF(E43="Annual",F43+365,IF(E43="Biennial",F43+730,IF(E43="3-Year",F43+1095,F43+365))))</f>
        <v/>
      </c>
      <c r="H43" s="14">
        <f>IF(A43="","",IF(G43="","Not-Scheduled",IF(G43&gt;=TODAY(),"Current",IF(G43&gt;=TODAY()-30,"Due-Soon","Overdue"))))</f>
        <v/>
      </c>
      <c r="I43" s="15" t="n"/>
      <c r="J43" s="15" t="n"/>
      <c r="K43" s="15" t="n"/>
      <c r="L43" s="14">
        <f>IF(A43="","",IF(AND(OR(H43="Current",H43="Due-Soon"),OR(I43="No",I43="N/A",AND(I43="Yes",K43="Yes"))),"Compliant",IF(H43="Overdue","Non-Compliant","Partial")))</f>
        <v/>
      </c>
      <c r="M43" s="15" t="n"/>
      <c r="N43" s="15" t="n"/>
    </row>
    <row r="44">
      <c r="A44" s="14">
        <f>IF(ROW()-4&lt;=COUNTA('Personnel Screening Registry'!$A:$A)-4,INDEX('Personnel Screening Registry'!$A:$A,ROW()-3),"")</f>
        <v/>
      </c>
      <c r="B44" s="14">
        <f>IF(A44&lt;&gt;"",VLOOKUP(A44,'Personnel Screening Registry'!$A:$B,2,FALSE),"")</f>
        <v/>
      </c>
      <c r="C44" s="14">
        <f>IF(A44&lt;&gt;"",VLOOKUP(A44,'Personnel Screening Registry'!$A:$E,5,FALSE),"")</f>
        <v/>
      </c>
      <c r="D44" s="18">
        <f>IF(A44&lt;&gt;"",VLOOKUP(A44,'Personnel Screening Registry'!$A:$K,11,FALSE),"")</f>
        <v/>
      </c>
      <c r="E44" s="15" t="n"/>
      <c r="F44" s="16" t="n"/>
      <c r="G44" s="18">
        <f>IF(OR(A44="",F44="",E44=""),"",IF(E44="Annual",F44+365,IF(E44="Biennial",F44+730,IF(E44="3-Year",F44+1095,F44+365))))</f>
        <v/>
      </c>
      <c r="H44" s="14">
        <f>IF(A44="","",IF(G44="","Not-Scheduled",IF(G44&gt;=TODAY(),"Current",IF(G44&gt;=TODAY()-30,"Due-Soon","Overdue"))))</f>
        <v/>
      </c>
      <c r="I44" s="15" t="n"/>
      <c r="J44" s="15" t="n"/>
      <c r="K44" s="15" t="n"/>
      <c r="L44" s="14">
        <f>IF(A44="","",IF(AND(OR(H44="Current",H44="Due-Soon"),OR(I44="No",I44="N/A",AND(I44="Yes",K44="Yes"))),"Compliant",IF(H44="Overdue","Non-Compliant","Partial")))</f>
        <v/>
      </c>
      <c r="M44" s="15" t="n"/>
      <c r="N44" s="15" t="n"/>
    </row>
    <row r="45">
      <c r="A45" s="14">
        <f>IF(ROW()-4&lt;=COUNTA('Personnel Screening Registry'!$A:$A)-4,INDEX('Personnel Screening Registry'!$A:$A,ROW()-3),"")</f>
        <v/>
      </c>
      <c r="B45" s="14">
        <f>IF(A45&lt;&gt;"",VLOOKUP(A45,'Personnel Screening Registry'!$A:$B,2,FALSE),"")</f>
        <v/>
      </c>
      <c r="C45" s="14">
        <f>IF(A45&lt;&gt;"",VLOOKUP(A45,'Personnel Screening Registry'!$A:$E,5,FALSE),"")</f>
        <v/>
      </c>
      <c r="D45" s="18">
        <f>IF(A45&lt;&gt;"",VLOOKUP(A45,'Personnel Screening Registry'!$A:$K,11,FALSE),"")</f>
        <v/>
      </c>
      <c r="E45" s="15" t="n"/>
      <c r="F45" s="16" t="n"/>
      <c r="G45" s="18">
        <f>IF(OR(A45="",F45="",E45=""),"",IF(E45="Annual",F45+365,IF(E45="Biennial",F45+730,IF(E45="3-Year",F45+1095,F45+365))))</f>
        <v/>
      </c>
      <c r="H45" s="14">
        <f>IF(A45="","",IF(G45="","Not-Scheduled",IF(G45&gt;=TODAY(),"Current",IF(G45&gt;=TODAY()-30,"Due-Soon","Overdue"))))</f>
        <v/>
      </c>
      <c r="I45" s="15" t="n"/>
      <c r="J45" s="15" t="n"/>
      <c r="K45" s="15" t="n"/>
      <c r="L45" s="14">
        <f>IF(A45="","",IF(AND(OR(H45="Current",H45="Due-Soon"),OR(I45="No",I45="N/A",AND(I45="Yes",K45="Yes"))),"Compliant",IF(H45="Overdue","Non-Compliant","Partial")))</f>
        <v/>
      </c>
      <c r="M45" s="15" t="n"/>
      <c r="N45" s="15" t="n"/>
    </row>
    <row r="46">
      <c r="A46" s="14">
        <f>IF(ROW()-4&lt;=COUNTA('Personnel Screening Registry'!$A:$A)-4,INDEX('Personnel Screening Registry'!$A:$A,ROW()-3),"")</f>
        <v/>
      </c>
      <c r="B46" s="14">
        <f>IF(A46&lt;&gt;"",VLOOKUP(A46,'Personnel Screening Registry'!$A:$B,2,FALSE),"")</f>
        <v/>
      </c>
      <c r="C46" s="14">
        <f>IF(A46&lt;&gt;"",VLOOKUP(A46,'Personnel Screening Registry'!$A:$E,5,FALSE),"")</f>
        <v/>
      </c>
      <c r="D46" s="18">
        <f>IF(A46&lt;&gt;"",VLOOKUP(A46,'Personnel Screening Registry'!$A:$K,11,FALSE),"")</f>
        <v/>
      </c>
      <c r="E46" s="15" t="n"/>
      <c r="F46" s="16" t="n"/>
      <c r="G46" s="18">
        <f>IF(OR(A46="",F46="",E46=""),"",IF(E46="Annual",F46+365,IF(E46="Biennial",F46+730,IF(E46="3-Year",F46+1095,F46+365))))</f>
        <v/>
      </c>
      <c r="H46" s="14">
        <f>IF(A46="","",IF(G46="","Not-Scheduled",IF(G46&gt;=TODAY(),"Current",IF(G46&gt;=TODAY()-30,"Due-Soon","Overdue"))))</f>
        <v/>
      </c>
      <c r="I46" s="15" t="n"/>
      <c r="J46" s="15" t="n"/>
      <c r="K46" s="15" t="n"/>
      <c r="L46" s="14">
        <f>IF(A46="","",IF(AND(OR(H46="Current",H46="Due-Soon"),OR(I46="No",I46="N/A",AND(I46="Yes",K46="Yes"))),"Compliant",IF(H46="Overdue","Non-Compliant","Partial")))</f>
        <v/>
      </c>
      <c r="M46" s="15" t="n"/>
      <c r="N46" s="15" t="n"/>
    </row>
    <row r="47">
      <c r="A47" s="14">
        <f>IF(ROW()-4&lt;=COUNTA('Personnel Screening Registry'!$A:$A)-4,INDEX('Personnel Screening Registry'!$A:$A,ROW()-3),"")</f>
        <v/>
      </c>
      <c r="B47" s="14">
        <f>IF(A47&lt;&gt;"",VLOOKUP(A47,'Personnel Screening Registry'!$A:$B,2,FALSE),"")</f>
        <v/>
      </c>
      <c r="C47" s="14">
        <f>IF(A47&lt;&gt;"",VLOOKUP(A47,'Personnel Screening Registry'!$A:$E,5,FALSE),"")</f>
        <v/>
      </c>
      <c r="D47" s="18">
        <f>IF(A47&lt;&gt;"",VLOOKUP(A47,'Personnel Screening Registry'!$A:$K,11,FALSE),"")</f>
        <v/>
      </c>
      <c r="E47" s="15" t="n"/>
      <c r="F47" s="16" t="n"/>
      <c r="G47" s="18">
        <f>IF(OR(A47="",F47="",E47=""),"",IF(E47="Annual",F47+365,IF(E47="Biennial",F47+730,IF(E47="3-Year",F47+1095,F47+365))))</f>
        <v/>
      </c>
      <c r="H47" s="14">
        <f>IF(A47="","",IF(G47="","Not-Scheduled",IF(G47&gt;=TODAY(),"Current",IF(G47&gt;=TODAY()-30,"Due-Soon","Overdue"))))</f>
        <v/>
      </c>
      <c r="I47" s="15" t="n"/>
      <c r="J47" s="15" t="n"/>
      <c r="K47" s="15" t="n"/>
      <c r="L47" s="14">
        <f>IF(A47="","",IF(AND(OR(H47="Current",H47="Due-Soon"),OR(I47="No",I47="N/A",AND(I47="Yes",K47="Yes"))),"Compliant",IF(H47="Overdue","Non-Compliant","Partial")))</f>
        <v/>
      </c>
      <c r="M47" s="15" t="n"/>
      <c r="N47" s="15" t="n"/>
    </row>
    <row r="48">
      <c r="A48" s="14">
        <f>IF(ROW()-4&lt;=COUNTA('Personnel Screening Registry'!$A:$A)-4,INDEX('Personnel Screening Registry'!$A:$A,ROW()-3),"")</f>
        <v/>
      </c>
      <c r="B48" s="14">
        <f>IF(A48&lt;&gt;"",VLOOKUP(A48,'Personnel Screening Registry'!$A:$B,2,FALSE),"")</f>
        <v/>
      </c>
      <c r="C48" s="14">
        <f>IF(A48&lt;&gt;"",VLOOKUP(A48,'Personnel Screening Registry'!$A:$E,5,FALSE),"")</f>
        <v/>
      </c>
      <c r="D48" s="18">
        <f>IF(A48&lt;&gt;"",VLOOKUP(A48,'Personnel Screening Registry'!$A:$K,11,FALSE),"")</f>
        <v/>
      </c>
      <c r="E48" s="15" t="n"/>
      <c r="F48" s="16" t="n"/>
      <c r="G48" s="18">
        <f>IF(OR(A48="",F48="",E48=""),"",IF(E48="Annual",F48+365,IF(E48="Biennial",F48+730,IF(E48="3-Year",F48+1095,F48+365))))</f>
        <v/>
      </c>
      <c r="H48" s="14">
        <f>IF(A48="","",IF(G48="","Not-Scheduled",IF(G48&gt;=TODAY(),"Current",IF(G48&gt;=TODAY()-30,"Due-Soon","Overdue"))))</f>
        <v/>
      </c>
      <c r="I48" s="15" t="n"/>
      <c r="J48" s="15" t="n"/>
      <c r="K48" s="15" t="n"/>
      <c r="L48" s="14">
        <f>IF(A48="","",IF(AND(OR(H48="Current",H48="Due-Soon"),OR(I48="No",I48="N/A",AND(I48="Yes",K48="Yes"))),"Compliant",IF(H48="Overdue","Non-Compliant","Partial")))</f>
        <v/>
      </c>
      <c r="M48" s="15" t="n"/>
      <c r="N48" s="15" t="n"/>
    </row>
    <row r="49">
      <c r="A49" s="14">
        <f>IF(ROW()-4&lt;=COUNTA('Personnel Screening Registry'!$A:$A)-4,INDEX('Personnel Screening Registry'!$A:$A,ROW()-3),"")</f>
        <v/>
      </c>
      <c r="B49" s="14">
        <f>IF(A49&lt;&gt;"",VLOOKUP(A49,'Personnel Screening Registry'!$A:$B,2,FALSE),"")</f>
        <v/>
      </c>
      <c r="C49" s="14">
        <f>IF(A49&lt;&gt;"",VLOOKUP(A49,'Personnel Screening Registry'!$A:$E,5,FALSE),"")</f>
        <v/>
      </c>
      <c r="D49" s="18">
        <f>IF(A49&lt;&gt;"",VLOOKUP(A49,'Personnel Screening Registry'!$A:$K,11,FALSE),"")</f>
        <v/>
      </c>
      <c r="E49" s="15" t="n"/>
      <c r="F49" s="16" t="n"/>
      <c r="G49" s="18">
        <f>IF(OR(A49="",F49="",E49=""),"",IF(E49="Annual",F49+365,IF(E49="Biennial",F49+730,IF(E49="3-Year",F49+1095,F49+365))))</f>
        <v/>
      </c>
      <c r="H49" s="14">
        <f>IF(A49="","",IF(G49="","Not-Scheduled",IF(G49&gt;=TODAY(),"Current",IF(G49&gt;=TODAY()-30,"Due-Soon","Overdue"))))</f>
        <v/>
      </c>
      <c r="I49" s="15" t="n"/>
      <c r="J49" s="15" t="n"/>
      <c r="K49" s="15" t="n"/>
      <c r="L49" s="14">
        <f>IF(A49="","",IF(AND(OR(H49="Current",H49="Due-Soon"),OR(I49="No",I49="N/A",AND(I49="Yes",K49="Yes"))),"Compliant",IF(H49="Overdue","Non-Compliant","Partial")))</f>
        <v/>
      </c>
      <c r="M49" s="15" t="n"/>
      <c r="N49" s="15" t="n"/>
    </row>
    <row r="50">
      <c r="A50" s="14">
        <f>IF(ROW()-4&lt;=COUNTA('Personnel Screening Registry'!$A:$A)-4,INDEX('Personnel Screening Registry'!$A:$A,ROW()-3),"")</f>
        <v/>
      </c>
      <c r="B50" s="14">
        <f>IF(A50&lt;&gt;"",VLOOKUP(A50,'Personnel Screening Registry'!$A:$B,2,FALSE),"")</f>
        <v/>
      </c>
      <c r="C50" s="14">
        <f>IF(A50&lt;&gt;"",VLOOKUP(A50,'Personnel Screening Registry'!$A:$E,5,FALSE),"")</f>
        <v/>
      </c>
      <c r="D50" s="18">
        <f>IF(A50&lt;&gt;"",VLOOKUP(A50,'Personnel Screening Registry'!$A:$K,11,FALSE),"")</f>
        <v/>
      </c>
      <c r="E50" s="15" t="n"/>
      <c r="F50" s="16" t="n"/>
      <c r="G50" s="18">
        <f>IF(OR(A50="",F50="",E50=""),"",IF(E50="Annual",F50+365,IF(E50="Biennial",F50+730,IF(E50="3-Year",F50+1095,F50+365))))</f>
        <v/>
      </c>
      <c r="H50" s="14">
        <f>IF(A50="","",IF(G50="","Not-Scheduled",IF(G50&gt;=TODAY(),"Current",IF(G50&gt;=TODAY()-30,"Due-Soon","Overdue"))))</f>
        <v/>
      </c>
      <c r="I50" s="15" t="n"/>
      <c r="J50" s="15" t="n"/>
      <c r="K50" s="15" t="n"/>
      <c r="L50" s="14">
        <f>IF(A50="","",IF(AND(OR(H50="Current",H50="Due-Soon"),OR(I50="No",I50="N/A",AND(I50="Yes",K50="Yes"))),"Compliant",IF(H50="Overdue","Non-Compliant","Partial")))</f>
        <v/>
      </c>
      <c r="M50" s="15" t="n"/>
      <c r="N50" s="15" t="n"/>
    </row>
    <row r="51">
      <c r="A51" s="14">
        <f>IF(ROW()-4&lt;=COUNTA('Personnel Screening Registry'!$A:$A)-4,INDEX('Personnel Screening Registry'!$A:$A,ROW()-3),"")</f>
        <v/>
      </c>
      <c r="B51" s="14">
        <f>IF(A51&lt;&gt;"",VLOOKUP(A51,'Personnel Screening Registry'!$A:$B,2,FALSE),"")</f>
        <v/>
      </c>
      <c r="C51" s="14">
        <f>IF(A51&lt;&gt;"",VLOOKUP(A51,'Personnel Screening Registry'!$A:$E,5,FALSE),"")</f>
        <v/>
      </c>
      <c r="D51" s="18">
        <f>IF(A51&lt;&gt;"",VLOOKUP(A51,'Personnel Screening Registry'!$A:$K,11,FALSE),"")</f>
        <v/>
      </c>
      <c r="E51" s="15" t="n"/>
      <c r="F51" s="16" t="n"/>
      <c r="G51" s="18">
        <f>IF(OR(A51="",F51="",E51=""),"",IF(E51="Annual",F51+365,IF(E51="Biennial",F51+730,IF(E51="3-Year",F51+1095,F51+365))))</f>
        <v/>
      </c>
      <c r="H51" s="14">
        <f>IF(A51="","",IF(G51="","Not-Scheduled",IF(G51&gt;=TODAY(),"Current",IF(G51&gt;=TODAY()-30,"Due-Soon","Overdue"))))</f>
        <v/>
      </c>
      <c r="I51" s="15" t="n"/>
      <c r="J51" s="15" t="n"/>
      <c r="K51" s="15" t="n"/>
      <c r="L51" s="14">
        <f>IF(A51="","",IF(AND(OR(H51="Current",H51="Due-Soon"),OR(I51="No",I51="N/A",AND(I51="Yes",K51="Yes"))),"Compliant",IF(H51="Overdue","Non-Compliant","Partial")))</f>
        <v/>
      </c>
      <c r="M51" s="15" t="n"/>
      <c r="N51" s="15" t="n"/>
    </row>
    <row r="52">
      <c r="A52" s="14">
        <f>IF(ROW()-4&lt;=COUNTA('Personnel Screening Registry'!$A:$A)-4,INDEX('Personnel Screening Registry'!$A:$A,ROW()-3),"")</f>
        <v/>
      </c>
      <c r="B52" s="14">
        <f>IF(A52&lt;&gt;"",VLOOKUP(A52,'Personnel Screening Registry'!$A:$B,2,FALSE),"")</f>
        <v/>
      </c>
      <c r="C52" s="14">
        <f>IF(A52&lt;&gt;"",VLOOKUP(A52,'Personnel Screening Registry'!$A:$E,5,FALSE),"")</f>
        <v/>
      </c>
      <c r="D52" s="18">
        <f>IF(A52&lt;&gt;"",VLOOKUP(A52,'Personnel Screening Registry'!$A:$K,11,FALSE),"")</f>
        <v/>
      </c>
      <c r="E52" s="15" t="n"/>
      <c r="F52" s="16" t="n"/>
      <c r="G52" s="18">
        <f>IF(OR(A52="",F52="",E52=""),"",IF(E52="Annual",F52+365,IF(E52="Biennial",F52+730,IF(E52="3-Year",F52+1095,F52+365))))</f>
        <v/>
      </c>
      <c r="H52" s="14">
        <f>IF(A52="","",IF(G52="","Not-Scheduled",IF(G52&gt;=TODAY(),"Current",IF(G52&gt;=TODAY()-30,"Due-Soon","Overdue"))))</f>
        <v/>
      </c>
      <c r="I52" s="15" t="n"/>
      <c r="J52" s="15" t="n"/>
      <c r="K52" s="15" t="n"/>
      <c r="L52" s="14">
        <f>IF(A52="","",IF(AND(OR(H52="Current",H52="Due-Soon"),OR(I52="No",I52="N/A",AND(I52="Yes",K52="Yes"))),"Compliant",IF(H52="Overdue","Non-Compliant","Partial")))</f>
        <v/>
      </c>
      <c r="M52" s="15" t="n"/>
      <c r="N52" s="15" t="n"/>
    </row>
    <row r="53">
      <c r="A53" s="14">
        <f>IF(ROW()-4&lt;=COUNTA('Personnel Screening Registry'!$A:$A)-4,INDEX('Personnel Screening Registry'!$A:$A,ROW()-3),"")</f>
        <v/>
      </c>
      <c r="B53" s="14">
        <f>IF(A53&lt;&gt;"",VLOOKUP(A53,'Personnel Screening Registry'!$A:$B,2,FALSE),"")</f>
        <v/>
      </c>
      <c r="C53" s="14">
        <f>IF(A53&lt;&gt;"",VLOOKUP(A53,'Personnel Screening Registry'!$A:$E,5,FALSE),"")</f>
        <v/>
      </c>
      <c r="D53" s="18">
        <f>IF(A53&lt;&gt;"",VLOOKUP(A53,'Personnel Screening Registry'!$A:$K,11,FALSE),"")</f>
        <v/>
      </c>
      <c r="E53" s="15" t="n"/>
      <c r="F53" s="16" t="n"/>
      <c r="G53" s="18">
        <f>IF(OR(A53="",F53="",E53=""),"",IF(E53="Annual",F53+365,IF(E53="Biennial",F53+730,IF(E53="3-Year",F53+1095,F53+365))))</f>
        <v/>
      </c>
      <c r="H53" s="14">
        <f>IF(A53="","",IF(G53="","Not-Scheduled",IF(G53&gt;=TODAY(),"Current",IF(G53&gt;=TODAY()-30,"Due-Soon","Overdue"))))</f>
        <v/>
      </c>
      <c r="I53" s="15" t="n"/>
      <c r="J53" s="15" t="n"/>
      <c r="K53" s="15" t="n"/>
      <c r="L53" s="14">
        <f>IF(A53="","",IF(AND(OR(H53="Current",H53="Due-Soon"),OR(I53="No",I53="N/A",AND(I53="Yes",K53="Yes"))),"Compliant",IF(H53="Overdue","Non-Compliant","Partial")))</f>
        <v/>
      </c>
      <c r="M53" s="15" t="n"/>
      <c r="N53" s="15" t="n"/>
    </row>
    <row r="54">
      <c r="A54" s="14">
        <f>IF(ROW()-4&lt;=COUNTA('Personnel Screening Registry'!$A:$A)-4,INDEX('Personnel Screening Registry'!$A:$A,ROW()-3),"")</f>
        <v/>
      </c>
      <c r="B54" s="14">
        <f>IF(A54&lt;&gt;"",VLOOKUP(A54,'Personnel Screening Registry'!$A:$B,2,FALSE),"")</f>
        <v/>
      </c>
      <c r="C54" s="14">
        <f>IF(A54&lt;&gt;"",VLOOKUP(A54,'Personnel Screening Registry'!$A:$E,5,FALSE),"")</f>
        <v/>
      </c>
      <c r="D54" s="18">
        <f>IF(A54&lt;&gt;"",VLOOKUP(A54,'Personnel Screening Registry'!$A:$K,11,FALSE),"")</f>
        <v/>
      </c>
      <c r="E54" s="15" t="n"/>
      <c r="F54" s="16" t="n"/>
      <c r="G54" s="18">
        <f>IF(OR(A54="",F54="",E54=""),"",IF(E54="Annual",F54+365,IF(E54="Biennial",F54+730,IF(E54="3-Year",F54+1095,F54+365))))</f>
        <v/>
      </c>
      <c r="H54" s="14">
        <f>IF(A54="","",IF(G54="","Not-Scheduled",IF(G54&gt;=TODAY(),"Current",IF(G54&gt;=TODAY()-30,"Due-Soon","Overdue"))))</f>
        <v/>
      </c>
      <c r="I54" s="15" t="n"/>
      <c r="J54" s="15" t="n"/>
      <c r="K54" s="15" t="n"/>
      <c r="L54" s="14">
        <f>IF(A54="","",IF(AND(OR(H54="Current",H54="Due-Soon"),OR(I54="No",I54="N/A",AND(I54="Yes",K54="Yes"))),"Compliant",IF(H54="Overdue","Non-Compliant","Partial")))</f>
        <v/>
      </c>
      <c r="M54" s="15" t="n"/>
      <c r="N54" s="15" t="n"/>
    </row>
    <row r="55">
      <c r="A55" s="14">
        <f>IF(ROW()-4&lt;=COUNTA('Personnel Screening Registry'!$A:$A)-4,INDEX('Personnel Screening Registry'!$A:$A,ROW()-3),"")</f>
        <v/>
      </c>
      <c r="B55" s="14">
        <f>IF(A55&lt;&gt;"",VLOOKUP(A55,'Personnel Screening Registry'!$A:$B,2,FALSE),"")</f>
        <v/>
      </c>
      <c r="C55" s="14">
        <f>IF(A55&lt;&gt;"",VLOOKUP(A55,'Personnel Screening Registry'!$A:$E,5,FALSE),"")</f>
        <v/>
      </c>
      <c r="D55" s="18">
        <f>IF(A55&lt;&gt;"",VLOOKUP(A55,'Personnel Screening Registry'!$A:$K,11,FALSE),"")</f>
        <v/>
      </c>
      <c r="E55" s="15" t="n"/>
      <c r="F55" s="16" t="n"/>
      <c r="G55" s="18">
        <f>IF(OR(A55="",F55="",E55=""),"",IF(E55="Annual",F55+365,IF(E55="Biennial",F55+730,IF(E55="3-Year",F55+1095,F55+365))))</f>
        <v/>
      </c>
      <c r="H55" s="14">
        <f>IF(A55="","",IF(G55="","Not-Scheduled",IF(G55&gt;=TODAY(),"Current",IF(G55&gt;=TODAY()-30,"Due-Soon","Overdue"))))</f>
        <v/>
      </c>
      <c r="I55" s="15" t="n"/>
      <c r="J55" s="15" t="n"/>
      <c r="K55" s="15" t="n"/>
      <c r="L55" s="14">
        <f>IF(A55="","",IF(AND(OR(H55="Current",H55="Due-Soon"),OR(I55="No",I55="N/A",AND(I55="Yes",K55="Yes"))),"Compliant",IF(H55="Overdue","Non-Compliant","Partial")))</f>
        <v/>
      </c>
      <c r="M55" s="15" t="n"/>
      <c r="N55" s="15" t="n"/>
    </row>
    <row r="56">
      <c r="A56" s="14">
        <f>IF(ROW()-4&lt;=COUNTA('Personnel Screening Registry'!$A:$A)-4,INDEX('Personnel Screening Registry'!$A:$A,ROW()-3),"")</f>
        <v/>
      </c>
      <c r="B56" s="14">
        <f>IF(A56&lt;&gt;"",VLOOKUP(A56,'Personnel Screening Registry'!$A:$B,2,FALSE),"")</f>
        <v/>
      </c>
      <c r="C56" s="14">
        <f>IF(A56&lt;&gt;"",VLOOKUP(A56,'Personnel Screening Registry'!$A:$E,5,FALSE),"")</f>
        <v/>
      </c>
      <c r="D56" s="18">
        <f>IF(A56&lt;&gt;"",VLOOKUP(A56,'Personnel Screening Registry'!$A:$K,11,FALSE),"")</f>
        <v/>
      </c>
      <c r="E56" s="15" t="n"/>
      <c r="F56" s="16" t="n"/>
      <c r="G56" s="18">
        <f>IF(OR(A56="",F56="",E56=""),"",IF(E56="Annual",F56+365,IF(E56="Biennial",F56+730,IF(E56="3-Year",F56+1095,F56+365))))</f>
        <v/>
      </c>
      <c r="H56" s="14">
        <f>IF(A56="","",IF(G56="","Not-Scheduled",IF(G56&gt;=TODAY(),"Current",IF(G56&gt;=TODAY()-30,"Due-Soon","Overdue"))))</f>
        <v/>
      </c>
      <c r="I56" s="15" t="n"/>
      <c r="J56" s="15" t="n"/>
      <c r="K56" s="15" t="n"/>
      <c r="L56" s="14">
        <f>IF(A56="","",IF(AND(OR(H56="Current",H56="Due-Soon"),OR(I56="No",I56="N/A",AND(I56="Yes",K56="Yes"))),"Compliant",IF(H56="Overdue","Non-Compliant","Partial")))</f>
        <v/>
      </c>
      <c r="M56" s="15" t="n"/>
      <c r="N56" s="15" t="n"/>
    </row>
    <row r="57">
      <c r="A57" s="14">
        <f>IF(ROW()-4&lt;=COUNTA('Personnel Screening Registry'!$A:$A)-4,INDEX('Personnel Screening Registry'!$A:$A,ROW()-3),"")</f>
        <v/>
      </c>
      <c r="B57" s="14">
        <f>IF(A57&lt;&gt;"",VLOOKUP(A57,'Personnel Screening Registry'!$A:$B,2,FALSE),"")</f>
        <v/>
      </c>
      <c r="C57" s="14">
        <f>IF(A57&lt;&gt;"",VLOOKUP(A57,'Personnel Screening Registry'!$A:$E,5,FALSE),"")</f>
        <v/>
      </c>
      <c r="D57" s="18">
        <f>IF(A57&lt;&gt;"",VLOOKUP(A57,'Personnel Screening Registry'!$A:$K,11,FALSE),"")</f>
        <v/>
      </c>
      <c r="E57" s="15" t="n"/>
      <c r="F57" s="16" t="n"/>
      <c r="G57" s="18">
        <f>IF(OR(A57="",F57="",E57=""),"",IF(E57="Annual",F57+365,IF(E57="Biennial",F57+730,IF(E57="3-Year",F57+1095,F57+365))))</f>
        <v/>
      </c>
      <c r="H57" s="14">
        <f>IF(A57="","",IF(G57="","Not-Scheduled",IF(G57&gt;=TODAY(),"Current",IF(G57&gt;=TODAY()-30,"Due-Soon","Overdue"))))</f>
        <v/>
      </c>
      <c r="I57" s="15" t="n"/>
      <c r="J57" s="15" t="n"/>
      <c r="K57" s="15" t="n"/>
      <c r="L57" s="14">
        <f>IF(A57="","",IF(AND(OR(H57="Current",H57="Due-Soon"),OR(I57="No",I57="N/A",AND(I57="Yes",K57="Yes"))),"Compliant",IF(H57="Overdue","Non-Compliant","Partial")))</f>
        <v/>
      </c>
      <c r="M57" s="15" t="n"/>
      <c r="N57" s="15" t="n"/>
    </row>
    <row r="58">
      <c r="A58" s="14">
        <f>IF(ROW()-4&lt;=COUNTA('Personnel Screening Registry'!$A:$A)-4,INDEX('Personnel Screening Registry'!$A:$A,ROW()-3),"")</f>
        <v/>
      </c>
      <c r="B58" s="14">
        <f>IF(A58&lt;&gt;"",VLOOKUP(A58,'Personnel Screening Registry'!$A:$B,2,FALSE),"")</f>
        <v/>
      </c>
      <c r="C58" s="14">
        <f>IF(A58&lt;&gt;"",VLOOKUP(A58,'Personnel Screening Registry'!$A:$E,5,FALSE),"")</f>
        <v/>
      </c>
      <c r="D58" s="18">
        <f>IF(A58&lt;&gt;"",VLOOKUP(A58,'Personnel Screening Registry'!$A:$K,11,FALSE),"")</f>
        <v/>
      </c>
      <c r="E58" s="15" t="n"/>
      <c r="F58" s="16" t="n"/>
      <c r="G58" s="18">
        <f>IF(OR(A58="",F58="",E58=""),"",IF(E58="Annual",F58+365,IF(E58="Biennial",F58+730,IF(E58="3-Year",F58+1095,F58+365))))</f>
        <v/>
      </c>
      <c r="H58" s="14">
        <f>IF(A58="","",IF(G58="","Not-Scheduled",IF(G58&gt;=TODAY(),"Current",IF(G58&gt;=TODAY()-30,"Due-Soon","Overdue"))))</f>
        <v/>
      </c>
      <c r="I58" s="15" t="n"/>
      <c r="J58" s="15" t="n"/>
      <c r="K58" s="15" t="n"/>
      <c r="L58" s="14">
        <f>IF(A58="","",IF(AND(OR(H58="Current",H58="Due-Soon"),OR(I58="No",I58="N/A",AND(I58="Yes",K58="Yes"))),"Compliant",IF(H58="Overdue","Non-Compliant","Partial")))</f>
        <v/>
      </c>
      <c r="M58" s="15" t="n"/>
      <c r="N58" s="15" t="n"/>
    </row>
    <row r="59">
      <c r="A59" s="14">
        <f>IF(ROW()-4&lt;=COUNTA('Personnel Screening Registry'!$A:$A)-4,INDEX('Personnel Screening Registry'!$A:$A,ROW()-3),"")</f>
        <v/>
      </c>
      <c r="B59" s="14">
        <f>IF(A59&lt;&gt;"",VLOOKUP(A59,'Personnel Screening Registry'!$A:$B,2,FALSE),"")</f>
        <v/>
      </c>
      <c r="C59" s="14">
        <f>IF(A59&lt;&gt;"",VLOOKUP(A59,'Personnel Screening Registry'!$A:$E,5,FALSE),"")</f>
        <v/>
      </c>
      <c r="D59" s="18">
        <f>IF(A59&lt;&gt;"",VLOOKUP(A59,'Personnel Screening Registry'!$A:$K,11,FALSE),"")</f>
        <v/>
      </c>
      <c r="E59" s="15" t="n"/>
      <c r="F59" s="16" t="n"/>
      <c r="G59" s="18">
        <f>IF(OR(A59="",F59="",E59=""),"",IF(E59="Annual",F59+365,IF(E59="Biennial",F59+730,IF(E59="3-Year",F59+1095,F59+365))))</f>
        <v/>
      </c>
      <c r="H59" s="14">
        <f>IF(A59="","",IF(G59="","Not-Scheduled",IF(G59&gt;=TODAY(),"Current",IF(G59&gt;=TODAY()-30,"Due-Soon","Overdue"))))</f>
        <v/>
      </c>
      <c r="I59" s="15" t="n"/>
      <c r="J59" s="15" t="n"/>
      <c r="K59" s="15" t="n"/>
      <c r="L59" s="14">
        <f>IF(A59="","",IF(AND(OR(H59="Current",H59="Due-Soon"),OR(I59="No",I59="N/A",AND(I59="Yes",K59="Yes"))),"Compliant",IF(H59="Overdue","Non-Compliant","Partial")))</f>
        <v/>
      </c>
      <c r="M59" s="15" t="n"/>
      <c r="N59" s="15" t="n"/>
    </row>
    <row r="60">
      <c r="A60" s="14">
        <f>IF(ROW()-4&lt;=COUNTA('Personnel Screening Registry'!$A:$A)-4,INDEX('Personnel Screening Registry'!$A:$A,ROW()-3),"")</f>
        <v/>
      </c>
      <c r="B60" s="14">
        <f>IF(A60&lt;&gt;"",VLOOKUP(A60,'Personnel Screening Registry'!$A:$B,2,FALSE),"")</f>
        <v/>
      </c>
      <c r="C60" s="14">
        <f>IF(A60&lt;&gt;"",VLOOKUP(A60,'Personnel Screening Registry'!$A:$E,5,FALSE),"")</f>
        <v/>
      </c>
      <c r="D60" s="18">
        <f>IF(A60&lt;&gt;"",VLOOKUP(A60,'Personnel Screening Registry'!$A:$K,11,FALSE),"")</f>
        <v/>
      </c>
      <c r="E60" s="15" t="n"/>
      <c r="F60" s="16" t="n"/>
      <c r="G60" s="18">
        <f>IF(OR(A60="",F60="",E60=""),"",IF(E60="Annual",F60+365,IF(E60="Biennial",F60+730,IF(E60="3-Year",F60+1095,F60+365))))</f>
        <v/>
      </c>
      <c r="H60" s="14">
        <f>IF(A60="","",IF(G60="","Not-Scheduled",IF(G60&gt;=TODAY(),"Current",IF(G60&gt;=TODAY()-30,"Due-Soon","Overdue"))))</f>
        <v/>
      </c>
      <c r="I60" s="15" t="n"/>
      <c r="J60" s="15" t="n"/>
      <c r="K60" s="15" t="n"/>
      <c r="L60" s="14">
        <f>IF(A60="","",IF(AND(OR(H60="Current",H60="Due-Soon"),OR(I60="No",I60="N/A",AND(I60="Yes",K60="Yes"))),"Compliant",IF(H60="Overdue","Non-Compliant","Partial")))</f>
        <v/>
      </c>
      <c r="M60" s="15" t="n"/>
      <c r="N60" s="15" t="n"/>
    </row>
    <row r="61">
      <c r="A61" s="14">
        <f>IF(ROW()-4&lt;=COUNTA('Personnel Screening Registry'!$A:$A)-4,INDEX('Personnel Screening Registry'!$A:$A,ROW()-3),"")</f>
        <v/>
      </c>
      <c r="B61" s="14">
        <f>IF(A61&lt;&gt;"",VLOOKUP(A61,'Personnel Screening Registry'!$A:$B,2,FALSE),"")</f>
        <v/>
      </c>
      <c r="C61" s="14">
        <f>IF(A61&lt;&gt;"",VLOOKUP(A61,'Personnel Screening Registry'!$A:$E,5,FALSE),"")</f>
        <v/>
      </c>
      <c r="D61" s="18">
        <f>IF(A61&lt;&gt;"",VLOOKUP(A61,'Personnel Screening Registry'!$A:$K,11,FALSE),"")</f>
        <v/>
      </c>
      <c r="E61" s="15" t="n"/>
      <c r="F61" s="16" t="n"/>
      <c r="G61" s="18">
        <f>IF(OR(A61="",F61="",E61=""),"",IF(E61="Annual",F61+365,IF(E61="Biennial",F61+730,IF(E61="3-Year",F61+1095,F61+365))))</f>
        <v/>
      </c>
      <c r="H61" s="14">
        <f>IF(A61="","",IF(G61="","Not-Scheduled",IF(G61&gt;=TODAY(),"Current",IF(G61&gt;=TODAY()-30,"Due-Soon","Overdue"))))</f>
        <v/>
      </c>
      <c r="I61" s="15" t="n"/>
      <c r="J61" s="15" t="n"/>
      <c r="K61" s="15" t="n"/>
      <c r="L61" s="14">
        <f>IF(A61="","",IF(AND(OR(H61="Current",H61="Due-Soon"),OR(I61="No",I61="N/A",AND(I61="Yes",K61="Yes"))),"Compliant",IF(H61="Overdue","Non-Compliant","Partial")))</f>
        <v/>
      </c>
      <c r="M61" s="15" t="n"/>
      <c r="N61" s="15" t="n"/>
    </row>
    <row r="62">
      <c r="A62" s="14">
        <f>IF(ROW()-4&lt;=COUNTA('Personnel Screening Registry'!$A:$A)-4,INDEX('Personnel Screening Registry'!$A:$A,ROW()-3),"")</f>
        <v/>
      </c>
      <c r="B62" s="14">
        <f>IF(A62&lt;&gt;"",VLOOKUP(A62,'Personnel Screening Registry'!$A:$B,2,FALSE),"")</f>
        <v/>
      </c>
      <c r="C62" s="14">
        <f>IF(A62&lt;&gt;"",VLOOKUP(A62,'Personnel Screening Registry'!$A:$E,5,FALSE),"")</f>
        <v/>
      </c>
      <c r="D62" s="18">
        <f>IF(A62&lt;&gt;"",VLOOKUP(A62,'Personnel Screening Registry'!$A:$K,11,FALSE),"")</f>
        <v/>
      </c>
      <c r="E62" s="15" t="n"/>
      <c r="F62" s="16" t="n"/>
      <c r="G62" s="18">
        <f>IF(OR(A62="",F62="",E62=""),"",IF(E62="Annual",F62+365,IF(E62="Biennial",F62+730,IF(E62="3-Year",F62+1095,F62+365))))</f>
        <v/>
      </c>
      <c r="H62" s="14">
        <f>IF(A62="","",IF(G62="","Not-Scheduled",IF(G62&gt;=TODAY(),"Current",IF(G62&gt;=TODAY()-30,"Due-Soon","Overdue"))))</f>
        <v/>
      </c>
      <c r="I62" s="15" t="n"/>
      <c r="J62" s="15" t="n"/>
      <c r="K62" s="15" t="n"/>
      <c r="L62" s="14">
        <f>IF(A62="","",IF(AND(OR(H62="Current",H62="Due-Soon"),OR(I62="No",I62="N/A",AND(I62="Yes",K62="Yes"))),"Compliant",IF(H62="Overdue","Non-Compliant","Partial")))</f>
        <v/>
      </c>
      <c r="M62" s="15" t="n"/>
      <c r="N62" s="15" t="n"/>
    </row>
    <row r="63">
      <c r="A63" s="14">
        <f>IF(ROW()-4&lt;=COUNTA('Personnel Screening Registry'!$A:$A)-4,INDEX('Personnel Screening Registry'!$A:$A,ROW()-3),"")</f>
        <v/>
      </c>
      <c r="B63" s="14">
        <f>IF(A63&lt;&gt;"",VLOOKUP(A63,'Personnel Screening Registry'!$A:$B,2,FALSE),"")</f>
        <v/>
      </c>
      <c r="C63" s="14">
        <f>IF(A63&lt;&gt;"",VLOOKUP(A63,'Personnel Screening Registry'!$A:$E,5,FALSE),"")</f>
        <v/>
      </c>
      <c r="D63" s="18">
        <f>IF(A63&lt;&gt;"",VLOOKUP(A63,'Personnel Screening Registry'!$A:$K,11,FALSE),"")</f>
        <v/>
      </c>
      <c r="E63" s="15" t="n"/>
      <c r="F63" s="16" t="n"/>
      <c r="G63" s="18">
        <f>IF(OR(A63="",F63="",E63=""),"",IF(E63="Annual",F63+365,IF(E63="Biennial",F63+730,IF(E63="3-Year",F63+1095,F63+365))))</f>
        <v/>
      </c>
      <c r="H63" s="14">
        <f>IF(A63="","",IF(G63="","Not-Scheduled",IF(G63&gt;=TODAY(),"Current",IF(G63&gt;=TODAY()-30,"Due-Soon","Overdue"))))</f>
        <v/>
      </c>
      <c r="I63" s="15" t="n"/>
      <c r="J63" s="15" t="n"/>
      <c r="K63" s="15" t="n"/>
      <c r="L63" s="14">
        <f>IF(A63="","",IF(AND(OR(H63="Current",H63="Due-Soon"),OR(I63="No",I63="N/A",AND(I63="Yes",K63="Yes"))),"Compliant",IF(H63="Overdue","Non-Compliant","Partial")))</f>
        <v/>
      </c>
      <c r="M63" s="15" t="n"/>
      <c r="N63" s="15" t="n"/>
    </row>
    <row r="64">
      <c r="A64" s="14">
        <f>IF(ROW()-4&lt;=COUNTA('Personnel Screening Registry'!$A:$A)-4,INDEX('Personnel Screening Registry'!$A:$A,ROW()-3),"")</f>
        <v/>
      </c>
      <c r="B64" s="14">
        <f>IF(A64&lt;&gt;"",VLOOKUP(A64,'Personnel Screening Registry'!$A:$B,2,FALSE),"")</f>
        <v/>
      </c>
      <c r="C64" s="14">
        <f>IF(A64&lt;&gt;"",VLOOKUP(A64,'Personnel Screening Registry'!$A:$E,5,FALSE),"")</f>
        <v/>
      </c>
      <c r="D64" s="18">
        <f>IF(A64&lt;&gt;"",VLOOKUP(A64,'Personnel Screening Registry'!$A:$K,11,FALSE),"")</f>
        <v/>
      </c>
      <c r="E64" s="15" t="n"/>
      <c r="F64" s="16" t="n"/>
      <c r="G64" s="18">
        <f>IF(OR(A64="",F64="",E64=""),"",IF(E64="Annual",F64+365,IF(E64="Biennial",F64+730,IF(E64="3-Year",F64+1095,F64+365))))</f>
        <v/>
      </c>
      <c r="H64" s="14">
        <f>IF(A64="","",IF(G64="","Not-Scheduled",IF(G64&gt;=TODAY(),"Current",IF(G64&gt;=TODAY()-30,"Due-Soon","Overdue"))))</f>
        <v/>
      </c>
      <c r="I64" s="15" t="n"/>
      <c r="J64" s="15" t="n"/>
      <c r="K64" s="15" t="n"/>
      <c r="L64" s="14">
        <f>IF(A64="","",IF(AND(OR(H64="Current",H64="Due-Soon"),OR(I64="No",I64="N/A",AND(I64="Yes",K64="Yes"))),"Compliant",IF(H64="Overdue","Non-Compliant","Partial")))</f>
        <v/>
      </c>
      <c r="M64" s="15" t="n"/>
      <c r="N64" s="15" t="n"/>
    </row>
    <row r="65">
      <c r="A65" s="14">
        <f>IF(ROW()-4&lt;=COUNTA('Personnel Screening Registry'!$A:$A)-4,INDEX('Personnel Screening Registry'!$A:$A,ROW()-3),"")</f>
        <v/>
      </c>
      <c r="B65" s="14">
        <f>IF(A65&lt;&gt;"",VLOOKUP(A65,'Personnel Screening Registry'!$A:$B,2,FALSE),"")</f>
        <v/>
      </c>
      <c r="C65" s="14">
        <f>IF(A65&lt;&gt;"",VLOOKUP(A65,'Personnel Screening Registry'!$A:$E,5,FALSE),"")</f>
        <v/>
      </c>
      <c r="D65" s="18">
        <f>IF(A65&lt;&gt;"",VLOOKUP(A65,'Personnel Screening Registry'!$A:$K,11,FALSE),"")</f>
        <v/>
      </c>
      <c r="E65" s="15" t="n"/>
      <c r="F65" s="16" t="n"/>
      <c r="G65" s="18">
        <f>IF(OR(A65="",F65="",E65=""),"",IF(E65="Annual",F65+365,IF(E65="Biennial",F65+730,IF(E65="3-Year",F65+1095,F65+365))))</f>
        <v/>
      </c>
      <c r="H65" s="14">
        <f>IF(A65="","",IF(G65="","Not-Scheduled",IF(G65&gt;=TODAY(),"Current",IF(G65&gt;=TODAY()-30,"Due-Soon","Overdue"))))</f>
        <v/>
      </c>
      <c r="I65" s="15" t="n"/>
      <c r="J65" s="15" t="n"/>
      <c r="K65" s="15" t="n"/>
      <c r="L65" s="14">
        <f>IF(A65="","",IF(AND(OR(H65="Current",H65="Due-Soon"),OR(I65="No",I65="N/A",AND(I65="Yes",K65="Yes"))),"Compliant",IF(H65="Overdue","Non-Compliant","Partial")))</f>
        <v/>
      </c>
      <c r="M65" s="15" t="n"/>
      <c r="N65" s="15" t="n"/>
    </row>
    <row r="66">
      <c r="A66" s="14">
        <f>IF(ROW()-4&lt;=COUNTA('Personnel Screening Registry'!$A:$A)-4,INDEX('Personnel Screening Registry'!$A:$A,ROW()-3),"")</f>
        <v/>
      </c>
      <c r="B66" s="14">
        <f>IF(A66&lt;&gt;"",VLOOKUP(A66,'Personnel Screening Registry'!$A:$B,2,FALSE),"")</f>
        <v/>
      </c>
      <c r="C66" s="14">
        <f>IF(A66&lt;&gt;"",VLOOKUP(A66,'Personnel Screening Registry'!$A:$E,5,FALSE),"")</f>
        <v/>
      </c>
      <c r="D66" s="18">
        <f>IF(A66&lt;&gt;"",VLOOKUP(A66,'Personnel Screening Registry'!$A:$K,11,FALSE),"")</f>
        <v/>
      </c>
      <c r="E66" s="15" t="n"/>
      <c r="F66" s="16" t="n"/>
      <c r="G66" s="18">
        <f>IF(OR(A66="",F66="",E66=""),"",IF(E66="Annual",F66+365,IF(E66="Biennial",F66+730,IF(E66="3-Year",F66+1095,F66+365))))</f>
        <v/>
      </c>
      <c r="H66" s="14">
        <f>IF(A66="","",IF(G66="","Not-Scheduled",IF(G66&gt;=TODAY(),"Current",IF(G66&gt;=TODAY()-30,"Due-Soon","Overdue"))))</f>
        <v/>
      </c>
      <c r="I66" s="15" t="n"/>
      <c r="J66" s="15" t="n"/>
      <c r="K66" s="15" t="n"/>
      <c r="L66" s="14">
        <f>IF(A66="","",IF(AND(OR(H66="Current",H66="Due-Soon"),OR(I66="No",I66="N/A",AND(I66="Yes",K66="Yes"))),"Compliant",IF(H66="Overdue","Non-Compliant","Partial")))</f>
        <v/>
      </c>
      <c r="M66" s="15" t="n"/>
      <c r="N66" s="15" t="n"/>
    </row>
    <row r="67">
      <c r="A67" s="14">
        <f>IF(ROW()-4&lt;=COUNTA('Personnel Screening Registry'!$A:$A)-4,INDEX('Personnel Screening Registry'!$A:$A,ROW()-3),"")</f>
        <v/>
      </c>
      <c r="B67" s="14">
        <f>IF(A67&lt;&gt;"",VLOOKUP(A67,'Personnel Screening Registry'!$A:$B,2,FALSE),"")</f>
        <v/>
      </c>
      <c r="C67" s="14">
        <f>IF(A67&lt;&gt;"",VLOOKUP(A67,'Personnel Screening Registry'!$A:$E,5,FALSE),"")</f>
        <v/>
      </c>
      <c r="D67" s="18">
        <f>IF(A67&lt;&gt;"",VLOOKUP(A67,'Personnel Screening Registry'!$A:$K,11,FALSE),"")</f>
        <v/>
      </c>
      <c r="E67" s="15" t="n"/>
      <c r="F67" s="16" t="n"/>
      <c r="G67" s="18">
        <f>IF(OR(A67="",F67="",E67=""),"",IF(E67="Annual",F67+365,IF(E67="Biennial",F67+730,IF(E67="3-Year",F67+1095,F67+365))))</f>
        <v/>
      </c>
      <c r="H67" s="14">
        <f>IF(A67="","",IF(G67="","Not-Scheduled",IF(G67&gt;=TODAY(),"Current",IF(G67&gt;=TODAY()-30,"Due-Soon","Overdue"))))</f>
        <v/>
      </c>
      <c r="I67" s="15" t="n"/>
      <c r="J67" s="15" t="n"/>
      <c r="K67" s="15" t="n"/>
      <c r="L67" s="14">
        <f>IF(A67="","",IF(AND(OR(H67="Current",H67="Due-Soon"),OR(I67="No",I67="N/A",AND(I67="Yes",K67="Yes"))),"Compliant",IF(H67="Overdue","Non-Compliant","Partial")))</f>
        <v/>
      </c>
      <c r="M67" s="15" t="n"/>
      <c r="N67" s="15" t="n"/>
    </row>
    <row r="68">
      <c r="A68" s="14">
        <f>IF(ROW()-4&lt;=COUNTA('Personnel Screening Registry'!$A:$A)-4,INDEX('Personnel Screening Registry'!$A:$A,ROW()-3),"")</f>
        <v/>
      </c>
      <c r="B68" s="14">
        <f>IF(A68&lt;&gt;"",VLOOKUP(A68,'Personnel Screening Registry'!$A:$B,2,FALSE),"")</f>
        <v/>
      </c>
      <c r="C68" s="14">
        <f>IF(A68&lt;&gt;"",VLOOKUP(A68,'Personnel Screening Registry'!$A:$E,5,FALSE),"")</f>
        <v/>
      </c>
      <c r="D68" s="18">
        <f>IF(A68&lt;&gt;"",VLOOKUP(A68,'Personnel Screening Registry'!$A:$K,11,FALSE),"")</f>
        <v/>
      </c>
      <c r="E68" s="15" t="n"/>
      <c r="F68" s="16" t="n"/>
      <c r="G68" s="18">
        <f>IF(OR(A68="",F68="",E68=""),"",IF(E68="Annual",F68+365,IF(E68="Biennial",F68+730,IF(E68="3-Year",F68+1095,F68+365))))</f>
        <v/>
      </c>
      <c r="H68" s="14">
        <f>IF(A68="","",IF(G68="","Not-Scheduled",IF(G68&gt;=TODAY(),"Current",IF(G68&gt;=TODAY()-30,"Due-Soon","Overdue"))))</f>
        <v/>
      </c>
      <c r="I68" s="15" t="n"/>
      <c r="J68" s="15" t="n"/>
      <c r="K68" s="15" t="n"/>
      <c r="L68" s="14">
        <f>IF(A68="","",IF(AND(OR(H68="Current",H68="Due-Soon"),OR(I68="No",I68="N/A",AND(I68="Yes",K68="Yes"))),"Compliant",IF(H68="Overdue","Non-Compliant","Partial")))</f>
        <v/>
      </c>
      <c r="M68" s="15" t="n"/>
      <c r="N68" s="15" t="n"/>
    </row>
    <row r="69">
      <c r="A69" s="14">
        <f>IF(ROW()-4&lt;=COUNTA('Personnel Screening Registry'!$A:$A)-4,INDEX('Personnel Screening Registry'!$A:$A,ROW()-3),"")</f>
        <v/>
      </c>
      <c r="B69" s="14">
        <f>IF(A69&lt;&gt;"",VLOOKUP(A69,'Personnel Screening Registry'!$A:$B,2,FALSE),"")</f>
        <v/>
      </c>
      <c r="C69" s="14">
        <f>IF(A69&lt;&gt;"",VLOOKUP(A69,'Personnel Screening Registry'!$A:$E,5,FALSE),"")</f>
        <v/>
      </c>
      <c r="D69" s="18">
        <f>IF(A69&lt;&gt;"",VLOOKUP(A69,'Personnel Screening Registry'!$A:$K,11,FALSE),"")</f>
        <v/>
      </c>
      <c r="E69" s="15" t="n"/>
      <c r="F69" s="16" t="n"/>
      <c r="G69" s="18">
        <f>IF(OR(A69="",F69="",E69=""),"",IF(E69="Annual",F69+365,IF(E69="Biennial",F69+730,IF(E69="3-Year",F69+1095,F69+365))))</f>
        <v/>
      </c>
      <c r="H69" s="14">
        <f>IF(A69="","",IF(G69="","Not-Scheduled",IF(G69&gt;=TODAY(),"Current",IF(G69&gt;=TODAY()-30,"Due-Soon","Overdue"))))</f>
        <v/>
      </c>
      <c r="I69" s="15" t="n"/>
      <c r="J69" s="15" t="n"/>
      <c r="K69" s="15" t="n"/>
      <c r="L69" s="14">
        <f>IF(A69="","",IF(AND(OR(H69="Current",H69="Due-Soon"),OR(I69="No",I69="N/A",AND(I69="Yes",K69="Yes"))),"Compliant",IF(H69="Overdue","Non-Compliant","Partial")))</f>
        <v/>
      </c>
      <c r="M69" s="15" t="n"/>
      <c r="N69" s="15" t="n"/>
    </row>
    <row r="70">
      <c r="A70" s="14">
        <f>IF(ROW()-4&lt;=COUNTA('Personnel Screening Registry'!$A:$A)-4,INDEX('Personnel Screening Registry'!$A:$A,ROW()-3),"")</f>
        <v/>
      </c>
      <c r="B70" s="14">
        <f>IF(A70&lt;&gt;"",VLOOKUP(A70,'Personnel Screening Registry'!$A:$B,2,FALSE),"")</f>
        <v/>
      </c>
      <c r="C70" s="14">
        <f>IF(A70&lt;&gt;"",VLOOKUP(A70,'Personnel Screening Registry'!$A:$E,5,FALSE),"")</f>
        <v/>
      </c>
      <c r="D70" s="18">
        <f>IF(A70&lt;&gt;"",VLOOKUP(A70,'Personnel Screening Registry'!$A:$K,11,FALSE),"")</f>
        <v/>
      </c>
      <c r="E70" s="15" t="n"/>
      <c r="F70" s="16" t="n"/>
      <c r="G70" s="18">
        <f>IF(OR(A70="",F70="",E70=""),"",IF(E70="Annual",F70+365,IF(E70="Biennial",F70+730,IF(E70="3-Year",F70+1095,F70+365))))</f>
        <v/>
      </c>
      <c r="H70" s="14">
        <f>IF(A70="","",IF(G70="","Not-Scheduled",IF(G70&gt;=TODAY(),"Current",IF(G70&gt;=TODAY()-30,"Due-Soon","Overdue"))))</f>
        <v/>
      </c>
      <c r="I70" s="15" t="n"/>
      <c r="J70" s="15" t="n"/>
      <c r="K70" s="15" t="n"/>
      <c r="L70" s="14">
        <f>IF(A70="","",IF(AND(OR(H70="Current",H70="Due-Soon"),OR(I70="No",I70="N/A",AND(I70="Yes",K70="Yes"))),"Compliant",IF(H70="Overdue","Non-Compliant","Partial")))</f>
        <v/>
      </c>
      <c r="M70" s="15" t="n"/>
      <c r="N70" s="15" t="n"/>
    </row>
    <row r="71">
      <c r="A71" s="14">
        <f>IF(ROW()-4&lt;=COUNTA('Personnel Screening Registry'!$A:$A)-4,INDEX('Personnel Screening Registry'!$A:$A,ROW()-3),"")</f>
        <v/>
      </c>
      <c r="B71" s="14">
        <f>IF(A71&lt;&gt;"",VLOOKUP(A71,'Personnel Screening Registry'!$A:$B,2,FALSE),"")</f>
        <v/>
      </c>
      <c r="C71" s="14">
        <f>IF(A71&lt;&gt;"",VLOOKUP(A71,'Personnel Screening Registry'!$A:$E,5,FALSE),"")</f>
        <v/>
      </c>
      <c r="D71" s="18">
        <f>IF(A71&lt;&gt;"",VLOOKUP(A71,'Personnel Screening Registry'!$A:$K,11,FALSE),"")</f>
        <v/>
      </c>
      <c r="E71" s="15" t="n"/>
      <c r="F71" s="16" t="n"/>
      <c r="G71" s="18">
        <f>IF(OR(A71="",F71="",E71=""),"",IF(E71="Annual",F71+365,IF(E71="Biennial",F71+730,IF(E71="3-Year",F71+1095,F71+365))))</f>
        <v/>
      </c>
      <c r="H71" s="14">
        <f>IF(A71="","",IF(G71="","Not-Scheduled",IF(G71&gt;=TODAY(),"Current",IF(G71&gt;=TODAY()-30,"Due-Soon","Overdue"))))</f>
        <v/>
      </c>
      <c r="I71" s="15" t="n"/>
      <c r="J71" s="15" t="n"/>
      <c r="K71" s="15" t="n"/>
      <c r="L71" s="14">
        <f>IF(A71="","",IF(AND(OR(H71="Current",H71="Due-Soon"),OR(I71="No",I71="N/A",AND(I71="Yes",K71="Yes"))),"Compliant",IF(H71="Overdue","Non-Compliant","Partial")))</f>
        <v/>
      </c>
      <c r="M71" s="15" t="n"/>
      <c r="N71" s="15" t="n"/>
    </row>
    <row r="72">
      <c r="A72" s="14">
        <f>IF(ROW()-4&lt;=COUNTA('Personnel Screening Registry'!$A:$A)-4,INDEX('Personnel Screening Registry'!$A:$A,ROW()-3),"")</f>
        <v/>
      </c>
      <c r="B72" s="14">
        <f>IF(A72&lt;&gt;"",VLOOKUP(A72,'Personnel Screening Registry'!$A:$B,2,FALSE),"")</f>
        <v/>
      </c>
      <c r="C72" s="14">
        <f>IF(A72&lt;&gt;"",VLOOKUP(A72,'Personnel Screening Registry'!$A:$E,5,FALSE),"")</f>
        <v/>
      </c>
      <c r="D72" s="18">
        <f>IF(A72&lt;&gt;"",VLOOKUP(A72,'Personnel Screening Registry'!$A:$K,11,FALSE),"")</f>
        <v/>
      </c>
      <c r="E72" s="15" t="n"/>
      <c r="F72" s="16" t="n"/>
      <c r="G72" s="18">
        <f>IF(OR(A72="",F72="",E72=""),"",IF(E72="Annual",F72+365,IF(E72="Biennial",F72+730,IF(E72="3-Year",F72+1095,F72+365))))</f>
        <v/>
      </c>
      <c r="H72" s="14">
        <f>IF(A72="","",IF(G72="","Not-Scheduled",IF(G72&gt;=TODAY(),"Current",IF(G72&gt;=TODAY()-30,"Due-Soon","Overdue"))))</f>
        <v/>
      </c>
      <c r="I72" s="15" t="n"/>
      <c r="J72" s="15" t="n"/>
      <c r="K72" s="15" t="n"/>
      <c r="L72" s="14">
        <f>IF(A72="","",IF(AND(OR(H72="Current",H72="Due-Soon"),OR(I72="No",I72="N/A",AND(I72="Yes",K72="Yes"))),"Compliant",IF(H72="Overdue","Non-Compliant","Partial")))</f>
        <v/>
      </c>
      <c r="M72" s="15" t="n"/>
      <c r="N72" s="15" t="n"/>
    </row>
    <row r="73">
      <c r="A73" s="14">
        <f>IF(ROW()-4&lt;=COUNTA('Personnel Screening Registry'!$A:$A)-4,INDEX('Personnel Screening Registry'!$A:$A,ROW()-3),"")</f>
        <v/>
      </c>
      <c r="B73" s="14">
        <f>IF(A73&lt;&gt;"",VLOOKUP(A73,'Personnel Screening Registry'!$A:$B,2,FALSE),"")</f>
        <v/>
      </c>
      <c r="C73" s="14">
        <f>IF(A73&lt;&gt;"",VLOOKUP(A73,'Personnel Screening Registry'!$A:$E,5,FALSE),"")</f>
        <v/>
      </c>
      <c r="D73" s="18">
        <f>IF(A73&lt;&gt;"",VLOOKUP(A73,'Personnel Screening Registry'!$A:$K,11,FALSE),"")</f>
        <v/>
      </c>
      <c r="E73" s="15" t="n"/>
      <c r="F73" s="16" t="n"/>
      <c r="G73" s="18">
        <f>IF(OR(A73="",F73="",E73=""),"",IF(E73="Annual",F73+365,IF(E73="Biennial",F73+730,IF(E73="3-Year",F73+1095,F73+365))))</f>
        <v/>
      </c>
      <c r="H73" s="14">
        <f>IF(A73="","",IF(G73="","Not-Scheduled",IF(G73&gt;=TODAY(),"Current",IF(G73&gt;=TODAY()-30,"Due-Soon","Overdue"))))</f>
        <v/>
      </c>
      <c r="I73" s="15" t="n"/>
      <c r="J73" s="15" t="n"/>
      <c r="K73" s="15" t="n"/>
      <c r="L73" s="14">
        <f>IF(A73="","",IF(AND(OR(H73="Current",H73="Due-Soon"),OR(I73="No",I73="N/A",AND(I73="Yes",K73="Yes"))),"Compliant",IF(H73="Overdue","Non-Compliant","Partial")))</f>
        <v/>
      </c>
      <c r="M73" s="15" t="n"/>
      <c r="N73" s="15" t="n"/>
    </row>
    <row r="74">
      <c r="A74" s="14">
        <f>IF(ROW()-4&lt;=COUNTA('Personnel Screening Registry'!$A:$A)-4,INDEX('Personnel Screening Registry'!$A:$A,ROW()-3),"")</f>
        <v/>
      </c>
      <c r="B74" s="14">
        <f>IF(A74&lt;&gt;"",VLOOKUP(A74,'Personnel Screening Registry'!$A:$B,2,FALSE),"")</f>
        <v/>
      </c>
      <c r="C74" s="14">
        <f>IF(A74&lt;&gt;"",VLOOKUP(A74,'Personnel Screening Registry'!$A:$E,5,FALSE),"")</f>
        <v/>
      </c>
      <c r="D74" s="18">
        <f>IF(A74&lt;&gt;"",VLOOKUP(A74,'Personnel Screening Registry'!$A:$K,11,FALSE),"")</f>
        <v/>
      </c>
      <c r="E74" s="15" t="n"/>
      <c r="F74" s="16" t="n"/>
      <c r="G74" s="18">
        <f>IF(OR(A74="",F74="",E74=""),"",IF(E74="Annual",F74+365,IF(E74="Biennial",F74+730,IF(E74="3-Year",F74+1095,F74+365))))</f>
        <v/>
      </c>
      <c r="H74" s="14">
        <f>IF(A74="","",IF(G74="","Not-Scheduled",IF(G74&gt;=TODAY(),"Current",IF(G74&gt;=TODAY()-30,"Due-Soon","Overdue"))))</f>
        <v/>
      </c>
      <c r="I74" s="15" t="n"/>
      <c r="J74" s="15" t="n"/>
      <c r="K74" s="15" t="n"/>
      <c r="L74" s="14">
        <f>IF(A74="","",IF(AND(OR(H74="Current",H74="Due-Soon"),OR(I74="No",I74="N/A",AND(I74="Yes",K74="Yes"))),"Compliant",IF(H74="Overdue","Non-Compliant","Partial")))</f>
        <v/>
      </c>
      <c r="M74" s="15" t="n"/>
      <c r="N74" s="15" t="n"/>
    </row>
    <row r="75">
      <c r="A75" s="14">
        <f>IF(ROW()-4&lt;=COUNTA('Personnel Screening Registry'!$A:$A)-4,INDEX('Personnel Screening Registry'!$A:$A,ROW()-3),"")</f>
        <v/>
      </c>
      <c r="B75" s="14">
        <f>IF(A75&lt;&gt;"",VLOOKUP(A75,'Personnel Screening Registry'!$A:$B,2,FALSE),"")</f>
        <v/>
      </c>
      <c r="C75" s="14">
        <f>IF(A75&lt;&gt;"",VLOOKUP(A75,'Personnel Screening Registry'!$A:$E,5,FALSE),"")</f>
        <v/>
      </c>
      <c r="D75" s="18">
        <f>IF(A75&lt;&gt;"",VLOOKUP(A75,'Personnel Screening Registry'!$A:$K,11,FALSE),"")</f>
        <v/>
      </c>
      <c r="E75" s="15" t="n"/>
      <c r="F75" s="16" t="n"/>
      <c r="G75" s="18">
        <f>IF(OR(A75="",F75="",E75=""),"",IF(E75="Annual",F75+365,IF(E75="Biennial",F75+730,IF(E75="3-Year",F75+1095,F75+365))))</f>
        <v/>
      </c>
      <c r="H75" s="14">
        <f>IF(A75="","",IF(G75="","Not-Scheduled",IF(G75&gt;=TODAY(),"Current",IF(G75&gt;=TODAY()-30,"Due-Soon","Overdue"))))</f>
        <v/>
      </c>
      <c r="I75" s="15" t="n"/>
      <c r="J75" s="15" t="n"/>
      <c r="K75" s="15" t="n"/>
      <c r="L75" s="14">
        <f>IF(A75="","",IF(AND(OR(H75="Current",H75="Due-Soon"),OR(I75="No",I75="N/A",AND(I75="Yes",K75="Yes"))),"Compliant",IF(H75="Overdue","Non-Compliant","Partial")))</f>
        <v/>
      </c>
      <c r="M75" s="15" t="n"/>
      <c r="N75" s="15" t="n"/>
    </row>
    <row r="76">
      <c r="A76" s="14">
        <f>IF(ROW()-4&lt;=COUNTA('Personnel Screening Registry'!$A:$A)-4,INDEX('Personnel Screening Registry'!$A:$A,ROW()-3),"")</f>
        <v/>
      </c>
      <c r="B76" s="14">
        <f>IF(A76&lt;&gt;"",VLOOKUP(A76,'Personnel Screening Registry'!$A:$B,2,FALSE),"")</f>
        <v/>
      </c>
      <c r="C76" s="14">
        <f>IF(A76&lt;&gt;"",VLOOKUP(A76,'Personnel Screening Registry'!$A:$E,5,FALSE),"")</f>
        <v/>
      </c>
      <c r="D76" s="18">
        <f>IF(A76&lt;&gt;"",VLOOKUP(A76,'Personnel Screening Registry'!$A:$K,11,FALSE),"")</f>
        <v/>
      </c>
      <c r="E76" s="15" t="n"/>
      <c r="F76" s="16" t="n"/>
      <c r="G76" s="18">
        <f>IF(OR(A76="",F76="",E76=""),"",IF(E76="Annual",F76+365,IF(E76="Biennial",F76+730,IF(E76="3-Year",F76+1095,F76+365))))</f>
        <v/>
      </c>
      <c r="H76" s="14">
        <f>IF(A76="","",IF(G76="","Not-Scheduled",IF(G76&gt;=TODAY(),"Current",IF(G76&gt;=TODAY()-30,"Due-Soon","Overdue"))))</f>
        <v/>
      </c>
      <c r="I76" s="15" t="n"/>
      <c r="J76" s="15" t="n"/>
      <c r="K76" s="15" t="n"/>
      <c r="L76" s="14">
        <f>IF(A76="","",IF(AND(OR(H76="Current",H76="Due-Soon"),OR(I76="No",I76="N/A",AND(I76="Yes",K76="Yes"))),"Compliant",IF(H76="Overdue","Non-Compliant","Partial")))</f>
        <v/>
      </c>
      <c r="M76" s="15" t="n"/>
      <c r="N76" s="15" t="n"/>
    </row>
    <row r="77">
      <c r="A77" s="14">
        <f>IF(ROW()-4&lt;=COUNTA('Personnel Screening Registry'!$A:$A)-4,INDEX('Personnel Screening Registry'!$A:$A,ROW()-3),"")</f>
        <v/>
      </c>
      <c r="B77" s="14">
        <f>IF(A77&lt;&gt;"",VLOOKUP(A77,'Personnel Screening Registry'!$A:$B,2,FALSE),"")</f>
        <v/>
      </c>
      <c r="C77" s="14">
        <f>IF(A77&lt;&gt;"",VLOOKUP(A77,'Personnel Screening Registry'!$A:$E,5,FALSE),"")</f>
        <v/>
      </c>
      <c r="D77" s="18">
        <f>IF(A77&lt;&gt;"",VLOOKUP(A77,'Personnel Screening Registry'!$A:$K,11,FALSE),"")</f>
        <v/>
      </c>
      <c r="E77" s="15" t="n"/>
      <c r="F77" s="16" t="n"/>
      <c r="G77" s="18">
        <f>IF(OR(A77="",F77="",E77=""),"",IF(E77="Annual",F77+365,IF(E77="Biennial",F77+730,IF(E77="3-Year",F77+1095,F77+365))))</f>
        <v/>
      </c>
      <c r="H77" s="14">
        <f>IF(A77="","",IF(G77="","Not-Scheduled",IF(G77&gt;=TODAY(),"Current",IF(G77&gt;=TODAY()-30,"Due-Soon","Overdue"))))</f>
        <v/>
      </c>
      <c r="I77" s="15" t="n"/>
      <c r="J77" s="15" t="n"/>
      <c r="K77" s="15" t="n"/>
      <c r="L77" s="14">
        <f>IF(A77="","",IF(AND(OR(H77="Current",H77="Due-Soon"),OR(I77="No",I77="N/A",AND(I77="Yes",K77="Yes"))),"Compliant",IF(H77="Overdue","Non-Compliant","Partial")))</f>
        <v/>
      </c>
      <c r="M77" s="15" t="n"/>
      <c r="N77" s="15" t="n"/>
    </row>
    <row r="78">
      <c r="A78" s="14">
        <f>IF(ROW()-4&lt;=COUNTA('Personnel Screening Registry'!$A:$A)-4,INDEX('Personnel Screening Registry'!$A:$A,ROW()-3),"")</f>
        <v/>
      </c>
      <c r="B78" s="14">
        <f>IF(A78&lt;&gt;"",VLOOKUP(A78,'Personnel Screening Registry'!$A:$B,2,FALSE),"")</f>
        <v/>
      </c>
      <c r="C78" s="14">
        <f>IF(A78&lt;&gt;"",VLOOKUP(A78,'Personnel Screening Registry'!$A:$E,5,FALSE),"")</f>
        <v/>
      </c>
      <c r="D78" s="18">
        <f>IF(A78&lt;&gt;"",VLOOKUP(A78,'Personnel Screening Registry'!$A:$K,11,FALSE),"")</f>
        <v/>
      </c>
      <c r="E78" s="15" t="n"/>
      <c r="F78" s="16" t="n"/>
      <c r="G78" s="18">
        <f>IF(OR(A78="",F78="",E78=""),"",IF(E78="Annual",F78+365,IF(E78="Biennial",F78+730,IF(E78="3-Year",F78+1095,F78+365))))</f>
        <v/>
      </c>
      <c r="H78" s="14">
        <f>IF(A78="","",IF(G78="","Not-Scheduled",IF(G78&gt;=TODAY(),"Current",IF(G78&gt;=TODAY()-30,"Due-Soon","Overdue"))))</f>
        <v/>
      </c>
      <c r="I78" s="15" t="n"/>
      <c r="J78" s="15" t="n"/>
      <c r="K78" s="15" t="n"/>
      <c r="L78" s="14">
        <f>IF(A78="","",IF(AND(OR(H78="Current",H78="Due-Soon"),OR(I78="No",I78="N/A",AND(I78="Yes",K78="Yes"))),"Compliant",IF(H78="Overdue","Non-Compliant","Partial")))</f>
        <v/>
      </c>
      <c r="M78" s="15" t="n"/>
      <c r="N78" s="15" t="n"/>
    </row>
    <row r="79">
      <c r="A79" s="14">
        <f>IF(ROW()-4&lt;=COUNTA('Personnel Screening Registry'!$A:$A)-4,INDEX('Personnel Screening Registry'!$A:$A,ROW()-3),"")</f>
        <v/>
      </c>
      <c r="B79" s="14">
        <f>IF(A79&lt;&gt;"",VLOOKUP(A79,'Personnel Screening Registry'!$A:$B,2,FALSE),"")</f>
        <v/>
      </c>
      <c r="C79" s="14">
        <f>IF(A79&lt;&gt;"",VLOOKUP(A79,'Personnel Screening Registry'!$A:$E,5,FALSE),"")</f>
        <v/>
      </c>
      <c r="D79" s="18">
        <f>IF(A79&lt;&gt;"",VLOOKUP(A79,'Personnel Screening Registry'!$A:$K,11,FALSE),"")</f>
        <v/>
      </c>
      <c r="E79" s="15" t="n"/>
      <c r="F79" s="16" t="n"/>
      <c r="G79" s="18">
        <f>IF(OR(A79="",F79="",E79=""),"",IF(E79="Annual",F79+365,IF(E79="Biennial",F79+730,IF(E79="3-Year",F79+1095,F79+365))))</f>
        <v/>
      </c>
      <c r="H79" s="14">
        <f>IF(A79="","",IF(G79="","Not-Scheduled",IF(G79&gt;=TODAY(),"Current",IF(G79&gt;=TODAY()-30,"Due-Soon","Overdue"))))</f>
        <v/>
      </c>
      <c r="I79" s="15" t="n"/>
      <c r="J79" s="15" t="n"/>
      <c r="K79" s="15" t="n"/>
      <c r="L79" s="14">
        <f>IF(A79="","",IF(AND(OR(H79="Current",H79="Due-Soon"),OR(I79="No",I79="N/A",AND(I79="Yes",K79="Yes"))),"Compliant",IF(H79="Overdue","Non-Compliant","Partial")))</f>
        <v/>
      </c>
      <c r="M79" s="15" t="n"/>
      <c r="N79" s="15" t="n"/>
    </row>
    <row r="80">
      <c r="A80" s="14">
        <f>IF(ROW()-4&lt;=COUNTA('Personnel Screening Registry'!$A:$A)-4,INDEX('Personnel Screening Registry'!$A:$A,ROW()-3),"")</f>
        <v/>
      </c>
      <c r="B80" s="14">
        <f>IF(A80&lt;&gt;"",VLOOKUP(A80,'Personnel Screening Registry'!$A:$B,2,FALSE),"")</f>
        <v/>
      </c>
      <c r="C80" s="14">
        <f>IF(A80&lt;&gt;"",VLOOKUP(A80,'Personnel Screening Registry'!$A:$E,5,FALSE),"")</f>
        <v/>
      </c>
      <c r="D80" s="18">
        <f>IF(A80&lt;&gt;"",VLOOKUP(A80,'Personnel Screening Registry'!$A:$K,11,FALSE),"")</f>
        <v/>
      </c>
      <c r="E80" s="15" t="n"/>
      <c r="F80" s="16" t="n"/>
      <c r="G80" s="18">
        <f>IF(OR(A80="",F80="",E80=""),"",IF(E80="Annual",F80+365,IF(E80="Biennial",F80+730,IF(E80="3-Year",F80+1095,F80+365))))</f>
        <v/>
      </c>
      <c r="H80" s="14">
        <f>IF(A80="","",IF(G80="","Not-Scheduled",IF(G80&gt;=TODAY(),"Current",IF(G80&gt;=TODAY()-30,"Due-Soon","Overdue"))))</f>
        <v/>
      </c>
      <c r="I80" s="15" t="n"/>
      <c r="J80" s="15" t="n"/>
      <c r="K80" s="15" t="n"/>
      <c r="L80" s="14">
        <f>IF(A80="","",IF(AND(OR(H80="Current",H80="Due-Soon"),OR(I80="No",I80="N/A",AND(I80="Yes",K80="Yes"))),"Compliant",IF(H80="Overdue","Non-Compliant","Partial")))</f>
        <v/>
      </c>
      <c r="M80" s="15" t="n"/>
      <c r="N80" s="15" t="n"/>
    </row>
    <row r="81">
      <c r="A81" s="14">
        <f>IF(ROW()-4&lt;=COUNTA('Personnel Screening Registry'!$A:$A)-4,INDEX('Personnel Screening Registry'!$A:$A,ROW()-3),"")</f>
        <v/>
      </c>
      <c r="B81" s="14">
        <f>IF(A81&lt;&gt;"",VLOOKUP(A81,'Personnel Screening Registry'!$A:$B,2,FALSE),"")</f>
        <v/>
      </c>
      <c r="C81" s="14">
        <f>IF(A81&lt;&gt;"",VLOOKUP(A81,'Personnel Screening Registry'!$A:$E,5,FALSE),"")</f>
        <v/>
      </c>
      <c r="D81" s="18">
        <f>IF(A81&lt;&gt;"",VLOOKUP(A81,'Personnel Screening Registry'!$A:$K,11,FALSE),"")</f>
        <v/>
      </c>
      <c r="E81" s="15" t="n"/>
      <c r="F81" s="16" t="n"/>
      <c r="G81" s="18">
        <f>IF(OR(A81="",F81="",E81=""),"",IF(E81="Annual",F81+365,IF(E81="Biennial",F81+730,IF(E81="3-Year",F81+1095,F81+365))))</f>
        <v/>
      </c>
      <c r="H81" s="14">
        <f>IF(A81="","",IF(G81="","Not-Scheduled",IF(G81&gt;=TODAY(),"Current",IF(G81&gt;=TODAY()-30,"Due-Soon","Overdue"))))</f>
        <v/>
      </c>
      <c r="I81" s="15" t="n"/>
      <c r="J81" s="15" t="n"/>
      <c r="K81" s="15" t="n"/>
      <c r="L81" s="14">
        <f>IF(A81="","",IF(AND(OR(H81="Current",H81="Due-Soon"),OR(I81="No",I81="N/A",AND(I81="Yes",K81="Yes"))),"Compliant",IF(H81="Overdue","Non-Compliant","Partial")))</f>
        <v/>
      </c>
      <c r="M81" s="15" t="n"/>
      <c r="N81" s="15" t="n"/>
    </row>
    <row r="82">
      <c r="A82" s="14">
        <f>IF(ROW()-4&lt;=COUNTA('Personnel Screening Registry'!$A:$A)-4,INDEX('Personnel Screening Registry'!$A:$A,ROW()-3),"")</f>
        <v/>
      </c>
      <c r="B82" s="14">
        <f>IF(A82&lt;&gt;"",VLOOKUP(A82,'Personnel Screening Registry'!$A:$B,2,FALSE),"")</f>
        <v/>
      </c>
      <c r="C82" s="14">
        <f>IF(A82&lt;&gt;"",VLOOKUP(A82,'Personnel Screening Registry'!$A:$E,5,FALSE),"")</f>
        <v/>
      </c>
      <c r="D82" s="18">
        <f>IF(A82&lt;&gt;"",VLOOKUP(A82,'Personnel Screening Registry'!$A:$K,11,FALSE),"")</f>
        <v/>
      </c>
      <c r="E82" s="15" t="n"/>
      <c r="F82" s="16" t="n"/>
      <c r="G82" s="18">
        <f>IF(OR(A82="",F82="",E82=""),"",IF(E82="Annual",F82+365,IF(E82="Biennial",F82+730,IF(E82="3-Year",F82+1095,F82+365))))</f>
        <v/>
      </c>
      <c r="H82" s="14">
        <f>IF(A82="","",IF(G82="","Not-Scheduled",IF(G82&gt;=TODAY(),"Current",IF(G82&gt;=TODAY()-30,"Due-Soon","Overdue"))))</f>
        <v/>
      </c>
      <c r="I82" s="15" t="n"/>
      <c r="J82" s="15" t="n"/>
      <c r="K82" s="15" t="n"/>
      <c r="L82" s="14">
        <f>IF(A82="","",IF(AND(OR(H82="Current",H82="Due-Soon"),OR(I82="No",I82="N/A",AND(I82="Yes",K82="Yes"))),"Compliant",IF(H82="Overdue","Non-Compliant","Partial")))</f>
        <v/>
      </c>
      <c r="M82" s="15" t="n"/>
      <c r="N82" s="15" t="n"/>
    </row>
    <row r="83">
      <c r="A83" s="14">
        <f>IF(ROW()-4&lt;=COUNTA('Personnel Screening Registry'!$A:$A)-4,INDEX('Personnel Screening Registry'!$A:$A,ROW()-3),"")</f>
        <v/>
      </c>
      <c r="B83" s="14">
        <f>IF(A83&lt;&gt;"",VLOOKUP(A83,'Personnel Screening Registry'!$A:$B,2,FALSE),"")</f>
        <v/>
      </c>
      <c r="C83" s="14">
        <f>IF(A83&lt;&gt;"",VLOOKUP(A83,'Personnel Screening Registry'!$A:$E,5,FALSE),"")</f>
        <v/>
      </c>
      <c r="D83" s="18">
        <f>IF(A83&lt;&gt;"",VLOOKUP(A83,'Personnel Screening Registry'!$A:$K,11,FALSE),"")</f>
        <v/>
      </c>
      <c r="E83" s="15" t="n"/>
      <c r="F83" s="16" t="n"/>
      <c r="G83" s="18">
        <f>IF(OR(A83="",F83="",E83=""),"",IF(E83="Annual",F83+365,IF(E83="Biennial",F83+730,IF(E83="3-Year",F83+1095,F83+365))))</f>
        <v/>
      </c>
      <c r="H83" s="14">
        <f>IF(A83="","",IF(G83="","Not-Scheduled",IF(G83&gt;=TODAY(),"Current",IF(G83&gt;=TODAY()-30,"Due-Soon","Overdue"))))</f>
        <v/>
      </c>
      <c r="I83" s="15" t="n"/>
      <c r="J83" s="15" t="n"/>
      <c r="K83" s="15" t="n"/>
      <c r="L83" s="14">
        <f>IF(A83="","",IF(AND(OR(H83="Current",H83="Due-Soon"),OR(I83="No",I83="N/A",AND(I83="Yes",K83="Yes"))),"Compliant",IF(H83="Overdue","Non-Compliant","Partial")))</f>
        <v/>
      </c>
      <c r="M83" s="15" t="n"/>
      <c r="N83" s="15" t="n"/>
    </row>
    <row r="84">
      <c r="A84" s="14">
        <f>IF(ROW()-4&lt;=COUNTA('Personnel Screening Registry'!$A:$A)-4,INDEX('Personnel Screening Registry'!$A:$A,ROW()-3),"")</f>
        <v/>
      </c>
      <c r="B84" s="14">
        <f>IF(A84&lt;&gt;"",VLOOKUP(A84,'Personnel Screening Registry'!$A:$B,2,FALSE),"")</f>
        <v/>
      </c>
      <c r="C84" s="14">
        <f>IF(A84&lt;&gt;"",VLOOKUP(A84,'Personnel Screening Registry'!$A:$E,5,FALSE),"")</f>
        <v/>
      </c>
      <c r="D84" s="18">
        <f>IF(A84&lt;&gt;"",VLOOKUP(A84,'Personnel Screening Registry'!$A:$K,11,FALSE),"")</f>
        <v/>
      </c>
      <c r="E84" s="15" t="n"/>
      <c r="F84" s="16" t="n"/>
      <c r="G84" s="18">
        <f>IF(OR(A84="",F84="",E84=""),"",IF(E84="Annual",F84+365,IF(E84="Biennial",F84+730,IF(E84="3-Year",F84+1095,F84+365))))</f>
        <v/>
      </c>
      <c r="H84" s="14">
        <f>IF(A84="","",IF(G84="","Not-Scheduled",IF(G84&gt;=TODAY(),"Current",IF(G84&gt;=TODAY()-30,"Due-Soon","Overdue"))))</f>
        <v/>
      </c>
      <c r="I84" s="15" t="n"/>
      <c r="J84" s="15" t="n"/>
      <c r="K84" s="15" t="n"/>
      <c r="L84" s="14">
        <f>IF(A84="","",IF(AND(OR(H84="Current",H84="Due-Soon"),OR(I84="No",I84="N/A",AND(I84="Yes",K84="Yes"))),"Compliant",IF(H84="Overdue","Non-Compliant","Partial")))</f>
        <v/>
      </c>
      <c r="M84" s="15" t="n"/>
      <c r="N84" s="15" t="n"/>
    </row>
    <row r="85">
      <c r="A85" s="14">
        <f>IF(ROW()-4&lt;=COUNTA('Personnel Screening Registry'!$A:$A)-4,INDEX('Personnel Screening Registry'!$A:$A,ROW()-3),"")</f>
        <v/>
      </c>
      <c r="B85" s="14">
        <f>IF(A85&lt;&gt;"",VLOOKUP(A85,'Personnel Screening Registry'!$A:$B,2,FALSE),"")</f>
        <v/>
      </c>
      <c r="C85" s="14">
        <f>IF(A85&lt;&gt;"",VLOOKUP(A85,'Personnel Screening Registry'!$A:$E,5,FALSE),"")</f>
        <v/>
      </c>
      <c r="D85" s="18">
        <f>IF(A85&lt;&gt;"",VLOOKUP(A85,'Personnel Screening Registry'!$A:$K,11,FALSE),"")</f>
        <v/>
      </c>
      <c r="E85" s="15" t="n"/>
      <c r="F85" s="16" t="n"/>
      <c r="G85" s="18">
        <f>IF(OR(A85="",F85="",E85=""),"",IF(E85="Annual",F85+365,IF(E85="Biennial",F85+730,IF(E85="3-Year",F85+1095,F85+365))))</f>
        <v/>
      </c>
      <c r="H85" s="14">
        <f>IF(A85="","",IF(G85="","Not-Scheduled",IF(G85&gt;=TODAY(),"Current",IF(G85&gt;=TODAY()-30,"Due-Soon","Overdue"))))</f>
        <v/>
      </c>
      <c r="I85" s="15" t="n"/>
      <c r="J85" s="15" t="n"/>
      <c r="K85" s="15" t="n"/>
      <c r="L85" s="14">
        <f>IF(A85="","",IF(AND(OR(H85="Current",H85="Due-Soon"),OR(I85="No",I85="N/A",AND(I85="Yes",K85="Yes"))),"Compliant",IF(H85="Overdue","Non-Compliant","Partial")))</f>
        <v/>
      </c>
      <c r="M85" s="15" t="n"/>
      <c r="N85" s="15" t="n"/>
    </row>
    <row r="86">
      <c r="A86" s="14">
        <f>IF(ROW()-4&lt;=COUNTA('Personnel Screening Registry'!$A:$A)-4,INDEX('Personnel Screening Registry'!$A:$A,ROW()-3),"")</f>
        <v/>
      </c>
      <c r="B86" s="14">
        <f>IF(A86&lt;&gt;"",VLOOKUP(A86,'Personnel Screening Registry'!$A:$B,2,FALSE),"")</f>
        <v/>
      </c>
      <c r="C86" s="14">
        <f>IF(A86&lt;&gt;"",VLOOKUP(A86,'Personnel Screening Registry'!$A:$E,5,FALSE),"")</f>
        <v/>
      </c>
      <c r="D86" s="18">
        <f>IF(A86&lt;&gt;"",VLOOKUP(A86,'Personnel Screening Registry'!$A:$K,11,FALSE),"")</f>
        <v/>
      </c>
      <c r="E86" s="15" t="n"/>
      <c r="F86" s="16" t="n"/>
      <c r="G86" s="18">
        <f>IF(OR(A86="",F86="",E86=""),"",IF(E86="Annual",F86+365,IF(E86="Biennial",F86+730,IF(E86="3-Year",F86+1095,F86+365))))</f>
        <v/>
      </c>
      <c r="H86" s="14">
        <f>IF(A86="","",IF(G86="","Not-Scheduled",IF(G86&gt;=TODAY(),"Current",IF(G86&gt;=TODAY()-30,"Due-Soon","Overdue"))))</f>
        <v/>
      </c>
      <c r="I86" s="15" t="n"/>
      <c r="J86" s="15" t="n"/>
      <c r="K86" s="15" t="n"/>
      <c r="L86" s="14">
        <f>IF(A86="","",IF(AND(OR(H86="Current",H86="Due-Soon"),OR(I86="No",I86="N/A",AND(I86="Yes",K86="Yes"))),"Compliant",IF(H86="Overdue","Non-Compliant","Partial")))</f>
        <v/>
      </c>
      <c r="M86" s="15" t="n"/>
      <c r="N86" s="15" t="n"/>
    </row>
    <row r="87">
      <c r="A87" s="14">
        <f>IF(ROW()-4&lt;=COUNTA('Personnel Screening Registry'!$A:$A)-4,INDEX('Personnel Screening Registry'!$A:$A,ROW()-3),"")</f>
        <v/>
      </c>
      <c r="B87" s="14">
        <f>IF(A87&lt;&gt;"",VLOOKUP(A87,'Personnel Screening Registry'!$A:$B,2,FALSE),"")</f>
        <v/>
      </c>
      <c r="C87" s="14">
        <f>IF(A87&lt;&gt;"",VLOOKUP(A87,'Personnel Screening Registry'!$A:$E,5,FALSE),"")</f>
        <v/>
      </c>
      <c r="D87" s="18">
        <f>IF(A87&lt;&gt;"",VLOOKUP(A87,'Personnel Screening Registry'!$A:$K,11,FALSE),"")</f>
        <v/>
      </c>
      <c r="E87" s="15" t="n"/>
      <c r="F87" s="16" t="n"/>
      <c r="G87" s="18">
        <f>IF(OR(A87="",F87="",E87=""),"",IF(E87="Annual",F87+365,IF(E87="Biennial",F87+730,IF(E87="3-Year",F87+1095,F87+365))))</f>
        <v/>
      </c>
      <c r="H87" s="14">
        <f>IF(A87="","",IF(G87="","Not-Scheduled",IF(G87&gt;=TODAY(),"Current",IF(G87&gt;=TODAY()-30,"Due-Soon","Overdue"))))</f>
        <v/>
      </c>
      <c r="I87" s="15" t="n"/>
      <c r="J87" s="15" t="n"/>
      <c r="K87" s="15" t="n"/>
      <c r="L87" s="14">
        <f>IF(A87="","",IF(AND(OR(H87="Current",H87="Due-Soon"),OR(I87="No",I87="N/A",AND(I87="Yes",K87="Yes"))),"Compliant",IF(H87="Overdue","Non-Compliant","Partial")))</f>
        <v/>
      </c>
      <c r="M87" s="15" t="n"/>
      <c r="N87" s="15" t="n"/>
    </row>
    <row r="88">
      <c r="A88" s="14">
        <f>IF(ROW()-4&lt;=COUNTA('Personnel Screening Registry'!$A:$A)-4,INDEX('Personnel Screening Registry'!$A:$A,ROW()-3),"")</f>
        <v/>
      </c>
      <c r="B88" s="14">
        <f>IF(A88&lt;&gt;"",VLOOKUP(A88,'Personnel Screening Registry'!$A:$B,2,FALSE),"")</f>
        <v/>
      </c>
      <c r="C88" s="14">
        <f>IF(A88&lt;&gt;"",VLOOKUP(A88,'Personnel Screening Registry'!$A:$E,5,FALSE),"")</f>
        <v/>
      </c>
      <c r="D88" s="18">
        <f>IF(A88&lt;&gt;"",VLOOKUP(A88,'Personnel Screening Registry'!$A:$K,11,FALSE),"")</f>
        <v/>
      </c>
      <c r="E88" s="15" t="n"/>
      <c r="F88" s="16" t="n"/>
      <c r="G88" s="18">
        <f>IF(OR(A88="",F88="",E88=""),"",IF(E88="Annual",F88+365,IF(E88="Biennial",F88+730,IF(E88="3-Year",F88+1095,F88+365))))</f>
        <v/>
      </c>
      <c r="H88" s="14">
        <f>IF(A88="","",IF(G88="","Not-Scheduled",IF(G88&gt;=TODAY(),"Current",IF(G88&gt;=TODAY()-30,"Due-Soon","Overdue"))))</f>
        <v/>
      </c>
      <c r="I88" s="15" t="n"/>
      <c r="J88" s="15" t="n"/>
      <c r="K88" s="15" t="n"/>
      <c r="L88" s="14">
        <f>IF(A88="","",IF(AND(OR(H88="Current",H88="Due-Soon"),OR(I88="No",I88="N/A",AND(I88="Yes",K88="Yes"))),"Compliant",IF(H88="Overdue","Non-Compliant","Partial")))</f>
        <v/>
      </c>
      <c r="M88" s="15" t="n"/>
      <c r="N88" s="15" t="n"/>
    </row>
    <row r="89">
      <c r="A89" s="14">
        <f>IF(ROW()-4&lt;=COUNTA('Personnel Screening Registry'!$A:$A)-4,INDEX('Personnel Screening Registry'!$A:$A,ROW()-3),"")</f>
        <v/>
      </c>
      <c r="B89" s="14">
        <f>IF(A89&lt;&gt;"",VLOOKUP(A89,'Personnel Screening Registry'!$A:$B,2,FALSE),"")</f>
        <v/>
      </c>
      <c r="C89" s="14">
        <f>IF(A89&lt;&gt;"",VLOOKUP(A89,'Personnel Screening Registry'!$A:$E,5,FALSE),"")</f>
        <v/>
      </c>
      <c r="D89" s="18">
        <f>IF(A89&lt;&gt;"",VLOOKUP(A89,'Personnel Screening Registry'!$A:$K,11,FALSE),"")</f>
        <v/>
      </c>
      <c r="E89" s="15" t="n"/>
      <c r="F89" s="16" t="n"/>
      <c r="G89" s="18">
        <f>IF(OR(A89="",F89="",E89=""),"",IF(E89="Annual",F89+365,IF(E89="Biennial",F89+730,IF(E89="3-Year",F89+1095,F89+365))))</f>
        <v/>
      </c>
      <c r="H89" s="14">
        <f>IF(A89="","",IF(G89="","Not-Scheduled",IF(G89&gt;=TODAY(),"Current",IF(G89&gt;=TODAY()-30,"Due-Soon","Overdue"))))</f>
        <v/>
      </c>
      <c r="I89" s="15" t="n"/>
      <c r="J89" s="15" t="n"/>
      <c r="K89" s="15" t="n"/>
      <c r="L89" s="14">
        <f>IF(A89="","",IF(AND(OR(H89="Current",H89="Due-Soon"),OR(I89="No",I89="N/A",AND(I89="Yes",K89="Yes"))),"Compliant",IF(H89="Overdue","Non-Compliant","Partial")))</f>
        <v/>
      </c>
      <c r="M89" s="15" t="n"/>
      <c r="N89" s="15" t="n"/>
    </row>
    <row r="90">
      <c r="A90" s="14">
        <f>IF(ROW()-4&lt;=COUNTA('Personnel Screening Registry'!$A:$A)-4,INDEX('Personnel Screening Registry'!$A:$A,ROW()-3),"")</f>
        <v/>
      </c>
      <c r="B90" s="14">
        <f>IF(A90&lt;&gt;"",VLOOKUP(A90,'Personnel Screening Registry'!$A:$B,2,FALSE),"")</f>
        <v/>
      </c>
      <c r="C90" s="14">
        <f>IF(A90&lt;&gt;"",VLOOKUP(A90,'Personnel Screening Registry'!$A:$E,5,FALSE),"")</f>
        <v/>
      </c>
      <c r="D90" s="18">
        <f>IF(A90&lt;&gt;"",VLOOKUP(A90,'Personnel Screening Registry'!$A:$K,11,FALSE),"")</f>
        <v/>
      </c>
      <c r="E90" s="15" t="n"/>
      <c r="F90" s="16" t="n"/>
      <c r="G90" s="18">
        <f>IF(OR(A90="",F90="",E90=""),"",IF(E90="Annual",F90+365,IF(E90="Biennial",F90+730,IF(E90="3-Year",F90+1095,F90+365))))</f>
        <v/>
      </c>
      <c r="H90" s="14">
        <f>IF(A90="","",IF(G90="","Not-Scheduled",IF(G90&gt;=TODAY(),"Current",IF(G90&gt;=TODAY()-30,"Due-Soon","Overdue"))))</f>
        <v/>
      </c>
      <c r="I90" s="15" t="n"/>
      <c r="J90" s="15" t="n"/>
      <c r="K90" s="15" t="n"/>
      <c r="L90" s="14">
        <f>IF(A90="","",IF(AND(OR(H90="Current",H90="Due-Soon"),OR(I90="No",I90="N/A",AND(I90="Yes",K90="Yes"))),"Compliant",IF(H90="Overdue","Non-Compliant","Partial")))</f>
        <v/>
      </c>
      <c r="M90" s="15" t="n"/>
      <c r="N90" s="15" t="n"/>
    </row>
    <row r="91">
      <c r="A91" s="14">
        <f>IF(ROW()-4&lt;=COUNTA('Personnel Screening Registry'!$A:$A)-4,INDEX('Personnel Screening Registry'!$A:$A,ROW()-3),"")</f>
        <v/>
      </c>
      <c r="B91" s="14">
        <f>IF(A91&lt;&gt;"",VLOOKUP(A91,'Personnel Screening Registry'!$A:$B,2,FALSE),"")</f>
        <v/>
      </c>
      <c r="C91" s="14">
        <f>IF(A91&lt;&gt;"",VLOOKUP(A91,'Personnel Screening Registry'!$A:$E,5,FALSE),"")</f>
        <v/>
      </c>
      <c r="D91" s="18">
        <f>IF(A91&lt;&gt;"",VLOOKUP(A91,'Personnel Screening Registry'!$A:$K,11,FALSE),"")</f>
        <v/>
      </c>
      <c r="E91" s="15" t="n"/>
      <c r="F91" s="16" t="n"/>
      <c r="G91" s="18">
        <f>IF(OR(A91="",F91="",E91=""),"",IF(E91="Annual",F91+365,IF(E91="Biennial",F91+730,IF(E91="3-Year",F91+1095,F91+365))))</f>
        <v/>
      </c>
      <c r="H91" s="14">
        <f>IF(A91="","",IF(G91="","Not-Scheduled",IF(G91&gt;=TODAY(),"Current",IF(G91&gt;=TODAY()-30,"Due-Soon","Overdue"))))</f>
        <v/>
      </c>
      <c r="I91" s="15" t="n"/>
      <c r="J91" s="15" t="n"/>
      <c r="K91" s="15" t="n"/>
      <c r="L91" s="14">
        <f>IF(A91="","",IF(AND(OR(H91="Current",H91="Due-Soon"),OR(I91="No",I91="N/A",AND(I91="Yes",K91="Yes"))),"Compliant",IF(H91="Overdue","Non-Compliant","Partial")))</f>
        <v/>
      </c>
      <c r="M91" s="15" t="n"/>
      <c r="N91" s="15" t="n"/>
    </row>
    <row r="92">
      <c r="A92" s="14">
        <f>IF(ROW()-4&lt;=COUNTA('Personnel Screening Registry'!$A:$A)-4,INDEX('Personnel Screening Registry'!$A:$A,ROW()-3),"")</f>
        <v/>
      </c>
      <c r="B92" s="14">
        <f>IF(A92&lt;&gt;"",VLOOKUP(A92,'Personnel Screening Registry'!$A:$B,2,FALSE),"")</f>
        <v/>
      </c>
      <c r="C92" s="14">
        <f>IF(A92&lt;&gt;"",VLOOKUP(A92,'Personnel Screening Registry'!$A:$E,5,FALSE),"")</f>
        <v/>
      </c>
      <c r="D92" s="18">
        <f>IF(A92&lt;&gt;"",VLOOKUP(A92,'Personnel Screening Registry'!$A:$K,11,FALSE),"")</f>
        <v/>
      </c>
      <c r="E92" s="15" t="n"/>
      <c r="F92" s="16" t="n"/>
      <c r="G92" s="18">
        <f>IF(OR(A92="",F92="",E92=""),"",IF(E92="Annual",F92+365,IF(E92="Biennial",F92+730,IF(E92="3-Year",F92+1095,F92+365))))</f>
        <v/>
      </c>
      <c r="H92" s="14">
        <f>IF(A92="","",IF(G92="","Not-Scheduled",IF(G92&gt;=TODAY(),"Current",IF(G92&gt;=TODAY()-30,"Due-Soon","Overdue"))))</f>
        <v/>
      </c>
      <c r="I92" s="15" t="n"/>
      <c r="J92" s="15" t="n"/>
      <c r="K92" s="15" t="n"/>
      <c r="L92" s="14">
        <f>IF(A92="","",IF(AND(OR(H92="Current",H92="Due-Soon"),OR(I92="No",I92="N/A",AND(I92="Yes",K92="Yes"))),"Compliant",IF(H92="Overdue","Non-Compliant","Partial")))</f>
        <v/>
      </c>
      <c r="M92" s="15" t="n"/>
      <c r="N92" s="15" t="n"/>
    </row>
    <row r="93">
      <c r="A93" s="14">
        <f>IF(ROW()-4&lt;=COUNTA('Personnel Screening Registry'!$A:$A)-4,INDEX('Personnel Screening Registry'!$A:$A,ROW()-3),"")</f>
        <v/>
      </c>
      <c r="B93" s="14">
        <f>IF(A93&lt;&gt;"",VLOOKUP(A93,'Personnel Screening Registry'!$A:$B,2,FALSE),"")</f>
        <v/>
      </c>
      <c r="C93" s="14">
        <f>IF(A93&lt;&gt;"",VLOOKUP(A93,'Personnel Screening Registry'!$A:$E,5,FALSE),"")</f>
        <v/>
      </c>
      <c r="D93" s="18">
        <f>IF(A93&lt;&gt;"",VLOOKUP(A93,'Personnel Screening Registry'!$A:$K,11,FALSE),"")</f>
        <v/>
      </c>
      <c r="E93" s="15" t="n"/>
      <c r="F93" s="16" t="n"/>
      <c r="G93" s="18">
        <f>IF(OR(A93="",F93="",E93=""),"",IF(E93="Annual",F93+365,IF(E93="Biennial",F93+730,IF(E93="3-Year",F93+1095,F93+365))))</f>
        <v/>
      </c>
      <c r="H93" s="14">
        <f>IF(A93="","",IF(G93="","Not-Scheduled",IF(G93&gt;=TODAY(),"Current",IF(G93&gt;=TODAY()-30,"Due-Soon","Overdue"))))</f>
        <v/>
      </c>
      <c r="I93" s="15" t="n"/>
      <c r="J93" s="15" t="n"/>
      <c r="K93" s="15" t="n"/>
      <c r="L93" s="14">
        <f>IF(A93="","",IF(AND(OR(H93="Current",H93="Due-Soon"),OR(I93="No",I93="N/A",AND(I93="Yes",K93="Yes"))),"Compliant",IF(H93="Overdue","Non-Compliant","Partial")))</f>
        <v/>
      </c>
      <c r="M93" s="15" t="n"/>
      <c r="N93" s="15" t="n"/>
    </row>
    <row r="94">
      <c r="A94" s="14">
        <f>IF(ROW()-4&lt;=COUNTA('Personnel Screening Registry'!$A:$A)-4,INDEX('Personnel Screening Registry'!$A:$A,ROW()-3),"")</f>
        <v/>
      </c>
      <c r="B94" s="14">
        <f>IF(A94&lt;&gt;"",VLOOKUP(A94,'Personnel Screening Registry'!$A:$B,2,FALSE),"")</f>
        <v/>
      </c>
      <c r="C94" s="14">
        <f>IF(A94&lt;&gt;"",VLOOKUP(A94,'Personnel Screening Registry'!$A:$E,5,FALSE),"")</f>
        <v/>
      </c>
      <c r="D94" s="18">
        <f>IF(A94&lt;&gt;"",VLOOKUP(A94,'Personnel Screening Registry'!$A:$K,11,FALSE),"")</f>
        <v/>
      </c>
      <c r="E94" s="15" t="n"/>
      <c r="F94" s="16" t="n"/>
      <c r="G94" s="18">
        <f>IF(OR(A94="",F94="",E94=""),"",IF(E94="Annual",F94+365,IF(E94="Biennial",F94+730,IF(E94="3-Year",F94+1095,F94+365))))</f>
        <v/>
      </c>
      <c r="H94" s="14">
        <f>IF(A94="","",IF(G94="","Not-Scheduled",IF(G94&gt;=TODAY(),"Current",IF(G94&gt;=TODAY()-30,"Due-Soon","Overdue"))))</f>
        <v/>
      </c>
      <c r="I94" s="15" t="n"/>
      <c r="J94" s="15" t="n"/>
      <c r="K94" s="15" t="n"/>
      <c r="L94" s="14">
        <f>IF(A94="","",IF(AND(OR(H94="Current",H94="Due-Soon"),OR(I94="No",I94="N/A",AND(I94="Yes",K94="Yes"))),"Compliant",IF(H94="Overdue","Non-Compliant","Partial")))</f>
        <v/>
      </c>
      <c r="M94" s="15" t="n"/>
      <c r="N94" s="15" t="n"/>
    </row>
    <row r="95">
      <c r="A95" s="14">
        <f>IF(ROW()-4&lt;=COUNTA('Personnel Screening Registry'!$A:$A)-4,INDEX('Personnel Screening Registry'!$A:$A,ROW()-3),"")</f>
        <v/>
      </c>
      <c r="B95" s="14">
        <f>IF(A95&lt;&gt;"",VLOOKUP(A95,'Personnel Screening Registry'!$A:$B,2,FALSE),"")</f>
        <v/>
      </c>
      <c r="C95" s="14">
        <f>IF(A95&lt;&gt;"",VLOOKUP(A95,'Personnel Screening Registry'!$A:$E,5,FALSE),"")</f>
        <v/>
      </c>
      <c r="D95" s="18">
        <f>IF(A95&lt;&gt;"",VLOOKUP(A95,'Personnel Screening Registry'!$A:$K,11,FALSE),"")</f>
        <v/>
      </c>
      <c r="E95" s="15" t="n"/>
      <c r="F95" s="16" t="n"/>
      <c r="G95" s="18">
        <f>IF(OR(A95="",F95="",E95=""),"",IF(E95="Annual",F95+365,IF(E95="Biennial",F95+730,IF(E95="3-Year",F95+1095,F95+365))))</f>
        <v/>
      </c>
      <c r="H95" s="14">
        <f>IF(A95="","",IF(G95="","Not-Scheduled",IF(G95&gt;=TODAY(),"Current",IF(G95&gt;=TODAY()-30,"Due-Soon","Overdue"))))</f>
        <v/>
      </c>
      <c r="I95" s="15" t="n"/>
      <c r="J95" s="15" t="n"/>
      <c r="K95" s="15" t="n"/>
      <c r="L95" s="14">
        <f>IF(A95="","",IF(AND(OR(H95="Current",H95="Due-Soon"),OR(I95="No",I95="N/A",AND(I95="Yes",K95="Yes"))),"Compliant",IF(H95="Overdue","Non-Compliant","Partial")))</f>
        <v/>
      </c>
      <c r="M95" s="15" t="n"/>
      <c r="N95" s="15" t="n"/>
    </row>
    <row r="96">
      <c r="A96" s="14">
        <f>IF(ROW()-4&lt;=COUNTA('Personnel Screening Registry'!$A:$A)-4,INDEX('Personnel Screening Registry'!$A:$A,ROW()-3),"")</f>
        <v/>
      </c>
      <c r="B96" s="14">
        <f>IF(A96&lt;&gt;"",VLOOKUP(A96,'Personnel Screening Registry'!$A:$B,2,FALSE),"")</f>
        <v/>
      </c>
      <c r="C96" s="14">
        <f>IF(A96&lt;&gt;"",VLOOKUP(A96,'Personnel Screening Registry'!$A:$E,5,FALSE),"")</f>
        <v/>
      </c>
      <c r="D96" s="18">
        <f>IF(A96&lt;&gt;"",VLOOKUP(A96,'Personnel Screening Registry'!$A:$K,11,FALSE),"")</f>
        <v/>
      </c>
      <c r="E96" s="15" t="n"/>
      <c r="F96" s="16" t="n"/>
      <c r="G96" s="18">
        <f>IF(OR(A96="",F96="",E96=""),"",IF(E96="Annual",F96+365,IF(E96="Biennial",F96+730,IF(E96="3-Year",F96+1095,F96+365))))</f>
        <v/>
      </c>
      <c r="H96" s="14">
        <f>IF(A96="","",IF(G96="","Not-Scheduled",IF(G96&gt;=TODAY(),"Current",IF(G96&gt;=TODAY()-30,"Due-Soon","Overdue"))))</f>
        <v/>
      </c>
      <c r="I96" s="15" t="n"/>
      <c r="J96" s="15" t="n"/>
      <c r="K96" s="15" t="n"/>
      <c r="L96" s="14">
        <f>IF(A96="","",IF(AND(OR(H96="Current",H96="Due-Soon"),OR(I96="No",I96="N/A",AND(I96="Yes",K96="Yes"))),"Compliant",IF(H96="Overdue","Non-Compliant","Partial")))</f>
        <v/>
      </c>
      <c r="M96" s="15" t="n"/>
      <c r="N96" s="15" t="n"/>
    </row>
    <row r="97">
      <c r="A97" s="14">
        <f>IF(ROW()-4&lt;=COUNTA('Personnel Screening Registry'!$A:$A)-4,INDEX('Personnel Screening Registry'!$A:$A,ROW()-3),"")</f>
        <v/>
      </c>
      <c r="B97" s="14">
        <f>IF(A97&lt;&gt;"",VLOOKUP(A97,'Personnel Screening Registry'!$A:$B,2,FALSE),"")</f>
        <v/>
      </c>
      <c r="C97" s="14">
        <f>IF(A97&lt;&gt;"",VLOOKUP(A97,'Personnel Screening Registry'!$A:$E,5,FALSE),"")</f>
        <v/>
      </c>
      <c r="D97" s="18">
        <f>IF(A97&lt;&gt;"",VLOOKUP(A97,'Personnel Screening Registry'!$A:$K,11,FALSE),"")</f>
        <v/>
      </c>
      <c r="E97" s="15" t="n"/>
      <c r="F97" s="16" t="n"/>
      <c r="G97" s="18">
        <f>IF(OR(A97="",F97="",E97=""),"",IF(E97="Annual",F97+365,IF(E97="Biennial",F97+730,IF(E97="3-Year",F97+1095,F97+365))))</f>
        <v/>
      </c>
      <c r="H97" s="14">
        <f>IF(A97="","",IF(G97="","Not-Scheduled",IF(G97&gt;=TODAY(),"Current",IF(G97&gt;=TODAY()-30,"Due-Soon","Overdue"))))</f>
        <v/>
      </c>
      <c r="I97" s="15" t="n"/>
      <c r="J97" s="15" t="n"/>
      <c r="K97" s="15" t="n"/>
      <c r="L97" s="14">
        <f>IF(A97="","",IF(AND(OR(H97="Current",H97="Due-Soon"),OR(I97="No",I97="N/A",AND(I97="Yes",K97="Yes"))),"Compliant",IF(H97="Overdue","Non-Compliant","Partial")))</f>
        <v/>
      </c>
      <c r="M97" s="15" t="n"/>
      <c r="N97" s="15" t="n"/>
    </row>
    <row r="98">
      <c r="A98" s="14">
        <f>IF(ROW()-4&lt;=COUNTA('Personnel Screening Registry'!$A:$A)-4,INDEX('Personnel Screening Registry'!$A:$A,ROW()-3),"")</f>
        <v/>
      </c>
      <c r="B98" s="14">
        <f>IF(A98&lt;&gt;"",VLOOKUP(A98,'Personnel Screening Registry'!$A:$B,2,FALSE),"")</f>
        <v/>
      </c>
      <c r="C98" s="14">
        <f>IF(A98&lt;&gt;"",VLOOKUP(A98,'Personnel Screening Registry'!$A:$E,5,FALSE),"")</f>
        <v/>
      </c>
      <c r="D98" s="18">
        <f>IF(A98&lt;&gt;"",VLOOKUP(A98,'Personnel Screening Registry'!$A:$K,11,FALSE),"")</f>
        <v/>
      </c>
      <c r="E98" s="15" t="n"/>
      <c r="F98" s="16" t="n"/>
      <c r="G98" s="18">
        <f>IF(OR(A98="",F98="",E98=""),"",IF(E98="Annual",F98+365,IF(E98="Biennial",F98+730,IF(E98="3-Year",F98+1095,F98+365))))</f>
        <v/>
      </c>
      <c r="H98" s="14">
        <f>IF(A98="","",IF(G98="","Not-Scheduled",IF(G98&gt;=TODAY(),"Current",IF(G98&gt;=TODAY()-30,"Due-Soon","Overdue"))))</f>
        <v/>
      </c>
      <c r="I98" s="15" t="n"/>
      <c r="J98" s="15" t="n"/>
      <c r="K98" s="15" t="n"/>
      <c r="L98" s="14">
        <f>IF(A98="","",IF(AND(OR(H98="Current",H98="Due-Soon"),OR(I98="No",I98="N/A",AND(I98="Yes",K98="Yes"))),"Compliant",IF(H98="Overdue","Non-Compliant","Partial")))</f>
        <v/>
      </c>
      <c r="M98" s="15" t="n"/>
      <c r="N98" s="15" t="n"/>
    </row>
    <row r="99">
      <c r="A99" s="14">
        <f>IF(ROW()-4&lt;=COUNTA('Personnel Screening Registry'!$A:$A)-4,INDEX('Personnel Screening Registry'!$A:$A,ROW()-3),"")</f>
        <v/>
      </c>
      <c r="B99" s="14">
        <f>IF(A99&lt;&gt;"",VLOOKUP(A99,'Personnel Screening Registry'!$A:$B,2,FALSE),"")</f>
        <v/>
      </c>
      <c r="C99" s="14">
        <f>IF(A99&lt;&gt;"",VLOOKUP(A99,'Personnel Screening Registry'!$A:$E,5,FALSE),"")</f>
        <v/>
      </c>
      <c r="D99" s="18">
        <f>IF(A99&lt;&gt;"",VLOOKUP(A99,'Personnel Screening Registry'!$A:$K,11,FALSE),"")</f>
        <v/>
      </c>
      <c r="E99" s="15" t="n"/>
      <c r="F99" s="16" t="n"/>
      <c r="G99" s="18">
        <f>IF(OR(A99="",F99="",E99=""),"",IF(E99="Annual",F99+365,IF(E99="Biennial",F99+730,IF(E99="3-Year",F99+1095,F99+365))))</f>
        <v/>
      </c>
      <c r="H99" s="14">
        <f>IF(A99="","",IF(G99="","Not-Scheduled",IF(G99&gt;=TODAY(),"Current",IF(G99&gt;=TODAY()-30,"Due-Soon","Overdue"))))</f>
        <v/>
      </c>
      <c r="I99" s="15" t="n"/>
      <c r="J99" s="15" t="n"/>
      <c r="K99" s="15" t="n"/>
      <c r="L99" s="14">
        <f>IF(A99="","",IF(AND(OR(H99="Current",H99="Due-Soon"),OR(I99="No",I99="N/A",AND(I99="Yes",K99="Yes"))),"Compliant",IF(H99="Overdue","Non-Compliant","Partial")))</f>
        <v/>
      </c>
      <c r="M99" s="15" t="n"/>
      <c r="N99" s="15" t="n"/>
    </row>
    <row r="100">
      <c r="A100" s="14">
        <f>IF(ROW()-4&lt;=COUNTA('Personnel Screening Registry'!$A:$A)-4,INDEX('Personnel Screening Registry'!$A:$A,ROW()-3),"")</f>
        <v/>
      </c>
      <c r="B100" s="14">
        <f>IF(A100&lt;&gt;"",VLOOKUP(A100,'Personnel Screening Registry'!$A:$B,2,FALSE),"")</f>
        <v/>
      </c>
      <c r="C100" s="14">
        <f>IF(A100&lt;&gt;"",VLOOKUP(A100,'Personnel Screening Registry'!$A:$E,5,FALSE),"")</f>
        <v/>
      </c>
      <c r="D100" s="18">
        <f>IF(A100&lt;&gt;"",VLOOKUP(A100,'Personnel Screening Registry'!$A:$K,11,FALSE),"")</f>
        <v/>
      </c>
      <c r="E100" s="15" t="n"/>
      <c r="F100" s="16" t="n"/>
      <c r="G100" s="18">
        <f>IF(OR(A100="",F100="",E100=""),"",IF(E100="Annual",F100+365,IF(E100="Biennial",F100+730,IF(E100="3-Year",F100+1095,F100+365))))</f>
        <v/>
      </c>
      <c r="H100" s="14">
        <f>IF(A100="","",IF(G100="","Not-Scheduled",IF(G100&gt;=TODAY(),"Current",IF(G100&gt;=TODAY()-30,"Due-Soon","Overdue"))))</f>
        <v/>
      </c>
      <c r="I100" s="15" t="n"/>
      <c r="J100" s="15" t="n"/>
      <c r="K100" s="15" t="n"/>
      <c r="L100" s="14">
        <f>IF(A100="","",IF(AND(OR(H100="Current",H100="Due-Soon"),OR(I100="No",I100="N/A",AND(I100="Yes",K100="Yes"))),"Compliant",IF(H100="Overdue","Non-Compliant","Partial")))</f>
        <v/>
      </c>
      <c r="M100" s="15" t="n"/>
      <c r="N100" s="15" t="n"/>
    </row>
    <row r="101">
      <c r="A101" s="14">
        <f>IF(ROW()-4&lt;=COUNTA('Personnel Screening Registry'!$A:$A)-4,INDEX('Personnel Screening Registry'!$A:$A,ROW()-3),"")</f>
        <v/>
      </c>
      <c r="B101" s="14">
        <f>IF(A101&lt;&gt;"",VLOOKUP(A101,'Personnel Screening Registry'!$A:$B,2,FALSE),"")</f>
        <v/>
      </c>
      <c r="C101" s="14">
        <f>IF(A101&lt;&gt;"",VLOOKUP(A101,'Personnel Screening Registry'!$A:$E,5,FALSE),"")</f>
        <v/>
      </c>
      <c r="D101" s="18">
        <f>IF(A101&lt;&gt;"",VLOOKUP(A101,'Personnel Screening Registry'!$A:$K,11,FALSE),"")</f>
        <v/>
      </c>
      <c r="E101" s="15" t="n"/>
      <c r="F101" s="16" t="n"/>
      <c r="G101" s="18">
        <f>IF(OR(A101="",F101="",E101=""),"",IF(E101="Annual",F101+365,IF(E101="Biennial",F101+730,IF(E101="3-Year",F101+1095,F101+365))))</f>
        <v/>
      </c>
      <c r="H101" s="14">
        <f>IF(A101="","",IF(G101="","Not-Scheduled",IF(G101&gt;=TODAY(),"Current",IF(G101&gt;=TODAY()-30,"Due-Soon","Overdue"))))</f>
        <v/>
      </c>
      <c r="I101" s="15" t="n"/>
      <c r="J101" s="15" t="n"/>
      <c r="K101" s="15" t="n"/>
      <c r="L101" s="14">
        <f>IF(A101="","",IF(AND(OR(H101="Current",H101="Due-Soon"),OR(I101="No",I101="N/A",AND(I101="Yes",K101="Yes"))),"Compliant",IF(H101="Overdue","Non-Compliant","Partial")))</f>
        <v/>
      </c>
      <c r="M101" s="15" t="n"/>
      <c r="N101" s="15" t="n"/>
    </row>
    <row r="102">
      <c r="A102" s="14">
        <f>IF(ROW()-4&lt;=COUNTA('Personnel Screening Registry'!$A:$A)-4,INDEX('Personnel Screening Registry'!$A:$A,ROW()-3),"")</f>
        <v/>
      </c>
      <c r="B102" s="14">
        <f>IF(A102&lt;&gt;"",VLOOKUP(A102,'Personnel Screening Registry'!$A:$B,2,FALSE),"")</f>
        <v/>
      </c>
      <c r="C102" s="14">
        <f>IF(A102&lt;&gt;"",VLOOKUP(A102,'Personnel Screening Registry'!$A:$E,5,FALSE),"")</f>
        <v/>
      </c>
      <c r="D102" s="18">
        <f>IF(A102&lt;&gt;"",VLOOKUP(A102,'Personnel Screening Registry'!$A:$K,11,FALSE),"")</f>
        <v/>
      </c>
      <c r="E102" s="15" t="n"/>
      <c r="F102" s="16" t="n"/>
      <c r="G102" s="18">
        <f>IF(OR(A102="",F102="",E102=""),"",IF(E102="Annual",F102+365,IF(E102="Biennial",F102+730,IF(E102="3-Year",F102+1095,F102+365))))</f>
        <v/>
      </c>
      <c r="H102" s="14">
        <f>IF(A102="","",IF(G102="","Not-Scheduled",IF(G102&gt;=TODAY(),"Current",IF(G102&gt;=TODAY()-30,"Due-Soon","Overdue"))))</f>
        <v/>
      </c>
      <c r="I102" s="15" t="n"/>
      <c r="J102" s="15" t="n"/>
      <c r="K102" s="15" t="n"/>
      <c r="L102" s="14">
        <f>IF(A102="","",IF(AND(OR(H102="Current",H102="Due-Soon"),OR(I102="No",I102="N/A",AND(I102="Yes",K102="Yes"))),"Compliant",IF(H102="Overdue","Non-Compliant","Partial")))</f>
        <v/>
      </c>
      <c r="M102" s="15" t="n"/>
      <c r="N102" s="15" t="n"/>
    </row>
    <row r="103">
      <c r="A103" s="14">
        <f>IF(ROW()-4&lt;=COUNTA('Personnel Screening Registry'!$A:$A)-4,INDEX('Personnel Screening Registry'!$A:$A,ROW()-3),"")</f>
        <v/>
      </c>
      <c r="B103" s="14">
        <f>IF(A103&lt;&gt;"",VLOOKUP(A103,'Personnel Screening Registry'!$A:$B,2,FALSE),"")</f>
        <v/>
      </c>
      <c r="C103" s="14">
        <f>IF(A103&lt;&gt;"",VLOOKUP(A103,'Personnel Screening Registry'!$A:$E,5,FALSE),"")</f>
        <v/>
      </c>
      <c r="D103" s="18">
        <f>IF(A103&lt;&gt;"",VLOOKUP(A103,'Personnel Screening Registry'!$A:$K,11,FALSE),"")</f>
        <v/>
      </c>
      <c r="E103" s="15" t="n"/>
      <c r="F103" s="16" t="n"/>
      <c r="G103" s="18">
        <f>IF(OR(A103="",F103="",E103=""),"",IF(E103="Annual",F103+365,IF(E103="Biennial",F103+730,IF(E103="3-Year",F103+1095,F103+365))))</f>
        <v/>
      </c>
      <c r="H103" s="14">
        <f>IF(A103="","",IF(G103="","Not-Scheduled",IF(G103&gt;=TODAY(),"Current",IF(G103&gt;=TODAY()-30,"Due-Soon","Overdue"))))</f>
        <v/>
      </c>
      <c r="I103" s="15" t="n"/>
      <c r="J103" s="15" t="n"/>
      <c r="K103" s="15" t="n"/>
      <c r="L103" s="14">
        <f>IF(A103="","",IF(AND(OR(H103="Current",H103="Due-Soon"),OR(I103="No",I103="N/A",AND(I103="Yes",K103="Yes"))),"Compliant",IF(H103="Overdue","Non-Compliant","Partial")))</f>
        <v/>
      </c>
      <c r="M103" s="15" t="n"/>
      <c r="N103" s="15" t="n"/>
    </row>
    <row r="104">
      <c r="A104" s="14">
        <f>IF(ROW()-4&lt;=COUNTA('Personnel Screening Registry'!$A:$A)-4,INDEX('Personnel Screening Registry'!$A:$A,ROW()-3),"")</f>
        <v/>
      </c>
      <c r="B104" s="14">
        <f>IF(A104&lt;&gt;"",VLOOKUP(A104,'Personnel Screening Registry'!$A:$B,2,FALSE),"")</f>
        <v/>
      </c>
      <c r="C104" s="14">
        <f>IF(A104&lt;&gt;"",VLOOKUP(A104,'Personnel Screening Registry'!$A:$E,5,FALSE),"")</f>
        <v/>
      </c>
      <c r="D104" s="18">
        <f>IF(A104&lt;&gt;"",VLOOKUP(A104,'Personnel Screening Registry'!$A:$K,11,FALSE),"")</f>
        <v/>
      </c>
      <c r="E104" s="15" t="n"/>
      <c r="F104" s="16" t="n"/>
      <c r="G104" s="18">
        <f>IF(OR(A104="",F104="",E104=""),"",IF(E104="Annual",F104+365,IF(E104="Biennial",F104+730,IF(E104="3-Year",F104+1095,F104+365))))</f>
        <v/>
      </c>
      <c r="H104" s="14">
        <f>IF(A104="","",IF(G104="","Not-Scheduled",IF(G104&gt;=TODAY(),"Current",IF(G104&gt;=TODAY()-30,"Due-Soon","Overdue"))))</f>
        <v/>
      </c>
      <c r="I104" s="15" t="n"/>
      <c r="J104" s="15" t="n"/>
      <c r="K104" s="15" t="n"/>
      <c r="L104" s="14">
        <f>IF(A104="","",IF(AND(OR(H104="Current",H104="Due-Soon"),OR(I104="No",I104="N/A",AND(I104="Yes",K104="Yes"))),"Compliant",IF(H104="Overdue","Non-Compliant","Partial")))</f>
        <v/>
      </c>
      <c r="M104" s="15" t="n"/>
      <c r="N104" s="15" t="n"/>
    </row>
    <row r="105">
      <c r="A105" s="14">
        <f>IF(ROW()-4&lt;=COUNTA('Personnel Screening Registry'!$A:$A)-4,INDEX('Personnel Screening Registry'!$A:$A,ROW()-3),"")</f>
        <v/>
      </c>
      <c r="B105" s="14">
        <f>IF(A105&lt;&gt;"",VLOOKUP(A105,'Personnel Screening Registry'!$A:$B,2,FALSE),"")</f>
        <v/>
      </c>
      <c r="C105" s="14">
        <f>IF(A105&lt;&gt;"",VLOOKUP(A105,'Personnel Screening Registry'!$A:$E,5,FALSE),"")</f>
        <v/>
      </c>
      <c r="D105" s="18">
        <f>IF(A105&lt;&gt;"",VLOOKUP(A105,'Personnel Screening Registry'!$A:$K,11,FALSE),"")</f>
        <v/>
      </c>
      <c r="E105" s="15" t="n"/>
      <c r="F105" s="16" t="n"/>
      <c r="G105" s="18">
        <f>IF(OR(A105="",F105="",E105=""),"",IF(E105="Annual",F105+365,IF(E105="Biennial",F105+730,IF(E105="3-Year",F105+1095,F105+365))))</f>
        <v/>
      </c>
      <c r="H105" s="14">
        <f>IF(A105="","",IF(G105="","Not-Scheduled",IF(G105&gt;=TODAY(),"Current",IF(G105&gt;=TODAY()-30,"Due-Soon","Overdue"))))</f>
        <v/>
      </c>
      <c r="I105" s="15" t="n"/>
      <c r="J105" s="15" t="n"/>
      <c r="K105" s="15" t="n"/>
      <c r="L105" s="14">
        <f>IF(A105="","",IF(AND(OR(H105="Current",H105="Due-Soon"),OR(I105="No",I105="N/A",AND(I105="Yes",K105="Yes"))),"Compliant",IF(H105="Overdue","Non-Compliant","Partial")))</f>
        <v/>
      </c>
      <c r="M105" s="15" t="n"/>
      <c r="N105" s="15" t="n"/>
    </row>
    <row r="106">
      <c r="A106" s="14">
        <f>IF(ROW()-4&lt;=COUNTA('Personnel Screening Registry'!$A:$A)-4,INDEX('Personnel Screening Registry'!$A:$A,ROW()-3),"")</f>
        <v/>
      </c>
      <c r="B106" s="14">
        <f>IF(A106&lt;&gt;"",VLOOKUP(A106,'Personnel Screening Registry'!$A:$B,2,FALSE),"")</f>
        <v/>
      </c>
      <c r="C106" s="14">
        <f>IF(A106&lt;&gt;"",VLOOKUP(A106,'Personnel Screening Registry'!$A:$E,5,FALSE),"")</f>
        <v/>
      </c>
      <c r="D106" s="18">
        <f>IF(A106&lt;&gt;"",VLOOKUP(A106,'Personnel Screening Registry'!$A:$K,11,FALSE),"")</f>
        <v/>
      </c>
      <c r="E106" s="15" t="n"/>
      <c r="F106" s="16" t="n"/>
      <c r="G106" s="18">
        <f>IF(OR(A106="",F106="",E106=""),"",IF(E106="Annual",F106+365,IF(E106="Biennial",F106+730,IF(E106="3-Year",F106+1095,F106+365))))</f>
        <v/>
      </c>
      <c r="H106" s="14">
        <f>IF(A106="","",IF(G106="","Not-Scheduled",IF(G106&gt;=TODAY(),"Current",IF(G106&gt;=TODAY()-30,"Due-Soon","Overdue"))))</f>
        <v/>
      </c>
      <c r="I106" s="15" t="n"/>
      <c r="J106" s="15" t="n"/>
      <c r="K106" s="15" t="n"/>
      <c r="L106" s="14">
        <f>IF(A106="","",IF(AND(OR(H106="Current",H106="Due-Soon"),OR(I106="No",I106="N/A",AND(I106="Yes",K106="Yes"))),"Compliant",IF(H106="Overdue","Non-Compliant","Partial")))</f>
        <v/>
      </c>
      <c r="M106" s="15" t="n"/>
      <c r="N106" s="15" t="n"/>
    </row>
    <row r="107">
      <c r="A107" s="14">
        <f>IF(ROW()-4&lt;=COUNTA('Personnel Screening Registry'!$A:$A)-4,INDEX('Personnel Screening Registry'!$A:$A,ROW()-3),"")</f>
        <v/>
      </c>
      <c r="B107" s="14">
        <f>IF(A107&lt;&gt;"",VLOOKUP(A107,'Personnel Screening Registry'!$A:$B,2,FALSE),"")</f>
        <v/>
      </c>
      <c r="C107" s="14">
        <f>IF(A107&lt;&gt;"",VLOOKUP(A107,'Personnel Screening Registry'!$A:$E,5,FALSE),"")</f>
        <v/>
      </c>
      <c r="D107" s="18">
        <f>IF(A107&lt;&gt;"",VLOOKUP(A107,'Personnel Screening Registry'!$A:$K,11,FALSE),"")</f>
        <v/>
      </c>
      <c r="E107" s="15" t="n"/>
      <c r="F107" s="16" t="n"/>
      <c r="G107" s="18">
        <f>IF(OR(A107="",F107="",E107=""),"",IF(E107="Annual",F107+365,IF(E107="Biennial",F107+730,IF(E107="3-Year",F107+1095,F107+365))))</f>
        <v/>
      </c>
      <c r="H107" s="14">
        <f>IF(A107="","",IF(G107="","Not-Scheduled",IF(G107&gt;=TODAY(),"Current",IF(G107&gt;=TODAY()-30,"Due-Soon","Overdue"))))</f>
        <v/>
      </c>
      <c r="I107" s="15" t="n"/>
      <c r="J107" s="15" t="n"/>
      <c r="K107" s="15" t="n"/>
      <c r="L107" s="14">
        <f>IF(A107="","",IF(AND(OR(H107="Current",H107="Due-Soon"),OR(I107="No",I107="N/A",AND(I107="Yes",K107="Yes"))),"Compliant",IF(H107="Overdue","Non-Compliant","Partial")))</f>
        <v/>
      </c>
      <c r="M107" s="15" t="n"/>
      <c r="N107" s="15" t="n"/>
    </row>
    <row r="108">
      <c r="A108" s="14">
        <f>IF(ROW()-4&lt;=COUNTA('Personnel Screening Registry'!$A:$A)-4,INDEX('Personnel Screening Registry'!$A:$A,ROW()-3),"")</f>
        <v/>
      </c>
      <c r="B108" s="14">
        <f>IF(A108&lt;&gt;"",VLOOKUP(A108,'Personnel Screening Registry'!$A:$B,2,FALSE),"")</f>
        <v/>
      </c>
      <c r="C108" s="14">
        <f>IF(A108&lt;&gt;"",VLOOKUP(A108,'Personnel Screening Registry'!$A:$E,5,FALSE),"")</f>
        <v/>
      </c>
      <c r="D108" s="18">
        <f>IF(A108&lt;&gt;"",VLOOKUP(A108,'Personnel Screening Registry'!$A:$K,11,FALSE),"")</f>
        <v/>
      </c>
      <c r="E108" s="15" t="n"/>
      <c r="F108" s="16" t="n"/>
      <c r="G108" s="18">
        <f>IF(OR(A108="",F108="",E108=""),"",IF(E108="Annual",F108+365,IF(E108="Biennial",F108+730,IF(E108="3-Year",F108+1095,F108+365))))</f>
        <v/>
      </c>
      <c r="H108" s="14">
        <f>IF(A108="","",IF(G108="","Not-Scheduled",IF(G108&gt;=TODAY(),"Current",IF(G108&gt;=TODAY()-30,"Due-Soon","Overdue"))))</f>
        <v/>
      </c>
      <c r="I108" s="15" t="n"/>
      <c r="J108" s="15" t="n"/>
      <c r="K108" s="15" t="n"/>
      <c r="L108" s="14">
        <f>IF(A108="","",IF(AND(OR(H108="Current",H108="Due-Soon"),OR(I108="No",I108="N/A",AND(I108="Yes",K108="Yes"))),"Compliant",IF(H108="Overdue","Non-Compliant","Partial")))</f>
        <v/>
      </c>
      <c r="M108" s="15" t="n"/>
      <c r="N108" s="15" t="n"/>
    </row>
    <row r="109">
      <c r="A109" s="14">
        <f>IF(ROW()-4&lt;=COUNTA('Personnel Screening Registry'!$A:$A)-4,INDEX('Personnel Screening Registry'!$A:$A,ROW()-3),"")</f>
        <v/>
      </c>
      <c r="B109" s="14">
        <f>IF(A109&lt;&gt;"",VLOOKUP(A109,'Personnel Screening Registry'!$A:$B,2,FALSE),"")</f>
        <v/>
      </c>
      <c r="C109" s="14">
        <f>IF(A109&lt;&gt;"",VLOOKUP(A109,'Personnel Screening Registry'!$A:$E,5,FALSE),"")</f>
        <v/>
      </c>
      <c r="D109" s="18">
        <f>IF(A109&lt;&gt;"",VLOOKUP(A109,'Personnel Screening Registry'!$A:$K,11,FALSE),"")</f>
        <v/>
      </c>
      <c r="E109" s="15" t="n"/>
      <c r="F109" s="16" t="n"/>
      <c r="G109" s="18">
        <f>IF(OR(A109="",F109="",E109=""),"",IF(E109="Annual",F109+365,IF(E109="Biennial",F109+730,IF(E109="3-Year",F109+1095,F109+365))))</f>
        <v/>
      </c>
      <c r="H109" s="14">
        <f>IF(A109="","",IF(G109="","Not-Scheduled",IF(G109&gt;=TODAY(),"Current",IF(G109&gt;=TODAY()-30,"Due-Soon","Overdue"))))</f>
        <v/>
      </c>
      <c r="I109" s="15" t="n"/>
      <c r="J109" s="15" t="n"/>
      <c r="K109" s="15" t="n"/>
      <c r="L109" s="14">
        <f>IF(A109="","",IF(AND(OR(H109="Current",H109="Due-Soon"),OR(I109="No",I109="N/A",AND(I109="Yes",K109="Yes"))),"Compliant",IF(H109="Overdue","Non-Compliant","Partial")))</f>
        <v/>
      </c>
      <c r="M109" s="15" t="n"/>
      <c r="N109" s="15" t="n"/>
    </row>
    <row r="110">
      <c r="A110" s="14">
        <f>IF(ROW()-4&lt;=COUNTA('Personnel Screening Registry'!$A:$A)-4,INDEX('Personnel Screening Registry'!$A:$A,ROW()-3),"")</f>
        <v/>
      </c>
      <c r="B110" s="14">
        <f>IF(A110&lt;&gt;"",VLOOKUP(A110,'Personnel Screening Registry'!$A:$B,2,FALSE),"")</f>
        <v/>
      </c>
      <c r="C110" s="14">
        <f>IF(A110&lt;&gt;"",VLOOKUP(A110,'Personnel Screening Registry'!$A:$E,5,FALSE),"")</f>
        <v/>
      </c>
      <c r="D110" s="18">
        <f>IF(A110&lt;&gt;"",VLOOKUP(A110,'Personnel Screening Registry'!$A:$K,11,FALSE),"")</f>
        <v/>
      </c>
      <c r="E110" s="15" t="n"/>
      <c r="F110" s="16" t="n"/>
      <c r="G110" s="18">
        <f>IF(OR(A110="",F110="",E110=""),"",IF(E110="Annual",F110+365,IF(E110="Biennial",F110+730,IF(E110="3-Year",F110+1095,F110+365))))</f>
        <v/>
      </c>
      <c r="H110" s="14">
        <f>IF(A110="","",IF(G110="","Not-Scheduled",IF(G110&gt;=TODAY(),"Current",IF(G110&gt;=TODAY()-30,"Due-Soon","Overdue"))))</f>
        <v/>
      </c>
      <c r="I110" s="15" t="n"/>
      <c r="J110" s="15" t="n"/>
      <c r="K110" s="15" t="n"/>
      <c r="L110" s="14">
        <f>IF(A110="","",IF(AND(OR(H110="Current",H110="Due-Soon"),OR(I110="No",I110="N/A",AND(I110="Yes",K110="Yes"))),"Compliant",IF(H110="Overdue","Non-Compliant","Partial")))</f>
        <v/>
      </c>
      <c r="M110" s="15" t="n"/>
      <c r="N110" s="15" t="n"/>
    </row>
    <row r="111">
      <c r="A111" s="14">
        <f>IF(ROW()-4&lt;=COUNTA('Personnel Screening Registry'!$A:$A)-4,INDEX('Personnel Screening Registry'!$A:$A,ROW()-3),"")</f>
        <v/>
      </c>
      <c r="B111" s="14">
        <f>IF(A111&lt;&gt;"",VLOOKUP(A111,'Personnel Screening Registry'!$A:$B,2,FALSE),"")</f>
        <v/>
      </c>
      <c r="C111" s="14">
        <f>IF(A111&lt;&gt;"",VLOOKUP(A111,'Personnel Screening Registry'!$A:$E,5,FALSE),"")</f>
        <v/>
      </c>
      <c r="D111" s="18">
        <f>IF(A111&lt;&gt;"",VLOOKUP(A111,'Personnel Screening Registry'!$A:$K,11,FALSE),"")</f>
        <v/>
      </c>
      <c r="E111" s="15" t="n"/>
      <c r="F111" s="16" t="n"/>
      <c r="G111" s="18">
        <f>IF(OR(A111="",F111="",E111=""),"",IF(E111="Annual",F111+365,IF(E111="Biennial",F111+730,IF(E111="3-Year",F111+1095,F111+365))))</f>
        <v/>
      </c>
      <c r="H111" s="14">
        <f>IF(A111="","",IF(G111="","Not-Scheduled",IF(G111&gt;=TODAY(),"Current",IF(G111&gt;=TODAY()-30,"Due-Soon","Overdue"))))</f>
        <v/>
      </c>
      <c r="I111" s="15" t="n"/>
      <c r="J111" s="15" t="n"/>
      <c r="K111" s="15" t="n"/>
      <c r="L111" s="14">
        <f>IF(A111="","",IF(AND(OR(H111="Current",H111="Due-Soon"),OR(I111="No",I111="N/A",AND(I111="Yes",K111="Yes"))),"Compliant",IF(H111="Overdue","Non-Compliant","Partial")))</f>
        <v/>
      </c>
      <c r="M111" s="15" t="n"/>
      <c r="N111" s="15" t="n"/>
    </row>
    <row r="112">
      <c r="A112" s="14">
        <f>IF(ROW()-4&lt;=COUNTA('Personnel Screening Registry'!$A:$A)-4,INDEX('Personnel Screening Registry'!$A:$A,ROW()-3),"")</f>
        <v/>
      </c>
      <c r="B112" s="14">
        <f>IF(A112&lt;&gt;"",VLOOKUP(A112,'Personnel Screening Registry'!$A:$B,2,FALSE),"")</f>
        <v/>
      </c>
      <c r="C112" s="14">
        <f>IF(A112&lt;&gt;"",VLOOKUP(A112,'Personnel Screening Registry'!$A:$E,5,FALSE),"")</f>
        <v/>
      </c>
      <c r="D112" s="18">
        <f>IF(A112&lt;&gt;"",VLOOKUP(A112,'Personnel Screening Registry'!$A:$K,11,FALSE),"")</f>
        <v/>
      </c>
      <c r="E112" s="15" t="n"/>
      <c r="F112" s="16" t="n"/>
      <c r="G112" s="18">
        <f>IF(OR(A112="",F112="",E112=""),"",IF(E112="Annual",F112+365,IF(E112="Biennial",F112+730,IF(E112="3-Year",F112+1095,F112+365))))</f>
        <v/>
      </c>
      <c r="H112" s="14">
        <f>IF(A112="","",IF(G112="","Not-Scheduled",IF(G112&gt;=TODAY(),"Current",IF(G112&gt;=TODAY()-30,"Due-Soon","Overdue"))))</f>
        <v/>
      </c>
      <c r="I112" s="15" t="n"/>
      <c r="J112" s="15" t="n"/>
      <c r="K112" s="15" t="n"/>
      <c r="L112" s="14">
        <f>IF(A112="","",IF(AND(OR(H112="Current",H112="Due-Soon"),OR(I112="No",I112="N/A",AND(I112="Yes",K112="Yes"))),"Compliant",IF(H112="Overdue","Non-Compliant","Partial")))</f>
        <v/>
      </c>
      <c r="M112" s="15" t="n"/>
      <c r="N112" s="15" t="n"/>
    </row>
    <row r="113">
      <c r="A113" s="14">
        <f>IF(ROW()-4&lt;=COUNTA('Personnel Screening Registry'!$A:$A)-4,INDEX('Personnel Screening Registry'!$A:$A,ROW()-3),"")</f>
        <v/>
      </c>
      <c r="B113" s="14">
        <f>IF(A113&lt;&gt;"",VLOOKUP(A113,'Personnel Screening Registry'!$A:$B,2,FALSE),"")</f>
        <v/>
      </c>
      <c r="C113" s="14">
        <f>IF(A113&lt;&gt;"",VLOOKUP(A113,'Personnel Screening Registry'!$A:$E,5,FALSE),"")</f>
        <v/>
      </c>
      <c r="D113" s="18">
        <f>IF(A113&lt;&gt;"",VLOOKUP(A113,'Personnel Screening Registry'!$A:$K,11,FALSE),"")</f>
        <v/>
      </c>
      <c r="E113" s="15" t="n"/>
      <c r="F113" s="16" t="n"/>
      <c r="G113" s="18">
        <f>IF(OR(A113="",F113="",E113=""),"",IF(E113="Annual",F113+365,IF(E113="Biennial",F113+730,IF(E113="3-Year",F113+1095,F113+365))))</f>
        <v/>
      </c>
      <c r="H113" s="14">
        <f>IF(A113="","",IF(G113="","Not-Scheduled",IF(G113&gt;=TODAY(),"Current",IF(G113&gt;=TODAY()-30,"Due-Soon","Overdue"))))</f>
        <v/>
      </c>
      <c r="I113" s="15" t="n"/>
      <c r="J113" s="15" t="n"/>
      <c r="K113" s="15" t="n"/>
      <c r="L113" s="14">
        <f>IF(A113="","",IF(AND(OR(H113="Current",H113="Due-Soon"),OR(I113="No",I113="N/A",AND(I113="Yes",K113="Yes"))),"Compliant",IF(H113="Overdue","Non-Compliant","Partial")))</f>
        <v/>
      </c>
      <c r="M113" s="15" t="n"/>
      <c r="N113" s="15" t="n"/>
    </row>
    <row r="114">
      <c r="A114" s="14">
        <f>IF(ROW()-4&lt;=COUNTA('Personnel Screening Registry'!$A:$A)-4,INDEX('Personnel Screening Registry'!$A:$A,ROW()-3),"")</f>
        <v/>
      </c>
      <c r="B114" s="14">
        <f>IF(A114&lt;&gt;"",VLOOKUP(A114,'Personnel Screening Registry'!$A:$B,2,FALSE),"")</f>
        <v/>
      </c>
      <c r="C114" s="14">
        <f>IF(A114&lt;&gt;"",VLOOKUP(A114,'Personnel Screening Registry'!$A:$E,5,FALSE),"")</f>
        <v/>
      </c>
      <c r="D114" s="18">
        <f>IF(A114&lt;&gt;"",VLOOKUP(A114,'Personnel Screening Registry'!$A:$K,11,FALSE),"")</f>
        <v/>
      </c>
      <c r="E114" s="15" t="n"/>
      <c r="F114" s="16" t="n"/>
      <c r="G114" s="18">
        <f>IF(OR(A114="",F114="",E114=""),"",IF(E114="Annual",F114+365,IF(E114="Biennial",F114+730,IF(E114="3-Year",F114+1095,F114+365))))</f>
        <v/>
      </c>
      <c r="H114" s="14">
        <f>IF(A114="","",IF(G114="","Not-Scheduled",IF(G114&gt;=TODAY(),"Current",IF(G114&gt;=TODAY()-30,"Due-Soon","Overdue"))))</f>
        <v/>
      </c>
      <c r="I114" s="15" t="n"/>
      <c r="J114" s="15" t="n"/>
      <c r="K114" s="15" t="n"/>
      <c r="L114" s="14">
        <f>IF(A114="","",IF(AND(OR(H114="Current",H114="Due-Soon"),OR(I114="No",I114="N/A",AND(I114="Yes",K114="Yes"))),"Compliant",IF(H114="Overdue","Non-Compliant","Partial")))</f>
        <v/>
      </c>
      <c r="M114" s="15" t="n"/>
      <c r="N114" s="15" t="n"/>
    </row>
    <row r="115">
      <c r="A115" s="14">
        <f>IF(ROW()-4&lt;=COUNTA('Personnel Screening Registry'!$A:$A)-4,INDEX('Personnel Screening Registry'!$A:$A,ROW()-3),"")</f>
        <v/>
      </c>
      <c r="B115" s="14">
        <f>IF(A115&lt;&gt;"",VLOOKUP(A115,'Personnel Screening Registry'!$A:$B,2,FALSE),"")</f>
        <v/>
      </c>
      <c r="C115" s="14">
        <f>IF(A115&lt;&gt;"",VLOOKUP(A115,'Personnel Screening Registry'!$A:$E,5,FALSE),"")</f>
        <v/>
      </c>
      <c r="D115" s="18">
        <f>IF(A115&lt;&gt;"",VLOOKUP(A115,'Personnel Screening Registry'!$A:$K,11,FALSE),"")</f>
        <v/>
      </c>
      <c r="E115" s="15" t="n"/>
      <c r="F115" s="16" t="n"/>
      <c r="G115" s="18">
        <f>IF(OR(A115="",F115="",E115=""),"",IF(E115="Annual",F115+365,IF(E115="Biennial",F115+730,IF(E115="3-Year",F115+1095,F115+365))))</f>
        <v/>
      </c>
      <c r="H115" s="14">
        <f>IF(A115="","",IF(G115="","Not-Scheduled",IF(G115&gt;=TODAY(),"Current",IF(G115&gt;=TODAY()-30,"Due-Soon","Overdue"))))</f>
        <v/>
      </c>
      <c r="I115" s="15" t="n"/>
      <c r="J115" s="15" t="n"/>
      <c r="K115" s="15" t="n"/>
      <c r="L115" s="14">
        <f>IF(A115="","",IF(AND(OR(H115="Current",H115="Due-Soon"),OR(I115="No",I115="N/A",AND(I115="Yes",K115="Yes"))),"Compliant",IF(H115="Overdue","Non-Compliant","Partial")))</f>
        <v/>
      </c>
      <c r="M115" s="15" t="n"/>
      <c r="N115" s="15" t="n"/>
    </row>
    <row r="116">
      <c r="A116" s="14">
        <f>IF(ROW()-4&lt;=COUNTA('Personnel Screening Registry'!$A:$A)-4,INDEX('Personnel Screening Registry'!$A:$A,ROW()-3),"")</f>
        <v/>
      </c>
      <c r="B116" s="14">
        <f>IF(A116&lt;&gt;"",VLOOKUP(A116,'Personnel Screening Registry'!$A:$B,2,FALSE),"")</f>
        <v/>
      </c>
      <c r="C116" s="14">
        <f>IF(A116&lt;&gt;"",VLOOKUP(A116,'Personnel Screening Registry'!$A:$E,5,FALSE),"")</f>
        <v/>
      </c>
      <c r="D116" s="18">
        <f>IF(A116&lt;&gt;"",VLOOKUP(A116,'Personnel Screening Registry'!$A:$K,11,FALSE),"")</f>
        <v/>
      </c>
      <c r="E116" s="15" t="n"/>
      <c r="F116" s="16" t="n"/>
      <c r="G116" s="18">
        <f>IF(OR(A116="",F116="",E116=""),"",IF(E116="Annual",F116+365,IF(E116="Biennial",F116+730,IF(E116="3-Year",F116+1095,F116+365))))</f>
        <v/>
      </c>
      <c r="H116" s="14">
        <f>IF(A116="","",IF(G116="","Not-Scheduled",IF(G116&gt;=TODAY(),"Current",IF(G116&gt;=TODAY()-30,"Due-Soon","Overdue"))))</f>
        <v/>
      </c>
      <c r="I116" s="15" t="n"/>
      <c r="J116" s="15" t="n"/>
      <c r="K116" s="15" t="n"/>
      <c r="L116" s="14">
        <f>IF(A116="","",IF(AND(OR(H116="Current",H116="Due-Soon"),OR(I116="No",I116="N/A",AND(I116="Yes",K116="Yes"))),"Compliant",IF(H116="Overdue","Non-Compliant","Partial")))</f>
        <v/>
      </c>
      <c r="M116" s="15" t="n"/>
      <c r="N116" s="15" t="n"/>
    </row>
    <row r="117">
      <c r="A117" s="14">
        <f>IF(ROW()-4&lt;=COUNTA('Personnel Screening Registry'!$A:$A)-4,INDEX('Personnel Screening Registry'!$A:$A,ROW()-3),"")</f>
        <v/>
      </c>
      <c r="B117" s="14">
        <f>IF(A117&lt;&gt;"",VLOOKUP(A117,'Personnel Screening Registry'!$A:$B,2,FALSE),"")</f>
        <v/>
      </c>
      <c r="C117" s="14">
        <f>IF(A117&lt;&gt;"",VLOOKUP(A117,'Personnel Screening Registry'!$A:$E,5,FALSE),"")</f>
        <v/>
      </c>
      <c r="D117" s="18">
        <f>IF(A117&lt;&gt;"",VLOOKUP(A117,'Personnel Screening Registry'!$A:$K,11,FALSE),"")</f>
        <v/>
      </c>
      <c r="E117" s="15" t="n"/>
      <c r="F117" s="16" t="n"/>
      <c r="G117" s="18">
        <f>IF(OR(A117="",F117="",E117=""),"",IF(E117="Annual",F117+365,IF(E117="Biennial",F117+730,IF(E117="3-Year",F117+1095,F117+365))))</f>
        <v/>
      </c>
      <c r="H117" s="14">
        <f>IF(A117="","",IF(G117="","Not-Scheduled",IF(G117&gt;=TODAY(),"Current",IF(G117&gt;=TODAY()-30,"Due-Soon","Overdue"))))</f>
        <v/>
      </c>
      <c r="I117" s="15" t="n"/>
      <c r="J117" s="15" t="n"/>
      <c r="K117" s="15" t="n"/>
      <c r="L117" s="14">
        <f>IF(A117="","",IF(AND(OR(H117="Current",H117="Due-Soon"),OR(I117="No",I117="N/A",AND(I117="Yes",K117="Yes"))),"Compliant",IF(H117="Overdue","Non-Compliant","Partial")))</f>
        <v/>
      </c>
      <c r="M117" s="15" t="n"/>
      <c r="N117" s="15" t="n"/>
    </row>
    <row r="118">
      <c r="A118" s="14">
        <f>IF(ROW()-4&lt;=COUNTA('Personnel Screening Registry'!$A:$A)-4,INDEX('Personnel Screening Registry'!$A:$A,ROW()-3),"")</f>
        <v/>
      </c>
      <c r="B118" s="14">
        <f>IF(A118&lt;&gt;"",VLOOKUP(A118,'Personnel Screening Registry'!$A:$B,2,FALSE),"")</f>
        <v/>
      </c>
      <c r="C118" s="14">
        <f>IF(A118&lt;&gt;"",VLOOKUP(A118,'Personnel Screening Registry'!$A:$E,5,FALSE),"")</f>
        <v/>
      </c>
      <c r="D118" s="18">
        <f>IF(A118&lt;&gt;"",VLOOKUP(A118,'Personnel Screening Registry'!$A:$K,11,FALSE),"")</f>
        <v/>
      </c>
      <c r="E118" s="15" t="n"/>
      <c r="F118" s="16" t="n"/>
      <c r="G118" s="18">
        <f>IF(OR(A118="",F118="",E118=""),"",IF(E118="Annual",F118+365,IF(E118="Biennial",F118+730,IF(E118="3-Year",F118+1095,F118+365))))</f>
        <v/>
      </c>
      <c r="H118" s="14">
        <f>IF(A118="","",IF(G118="","Not-Scheduled",IF(G118&gt;=TODAY(),"Current",IF(G118&gt;=TODAY()-30,"Due-Soon","Overdue"))))</f>
        <v/>
      </c>
      <c r="I118" s="15" t="n"/>
      <c r="J118" s="15" t="n"/>
      <c r="K118" s="15" t="n"/>
      <c r="L118" s="14">
        <f>IF(A118="","",IF(AND(OR(H118="Current",H118="Due-Soon"),OR(I118="No",I118="N/A",AND(I118="Yes",K118="Yes"))),"Compliant",IF(H118="Overdue","Non-Compliant","Partial")))</f>
        <v/>
      </c>
      <c r="M118" s="15" t="n"/>
      <c r="N118" s="15" t="n"/>
    </row>
    <row r="119">
      <c r="A119" s="14">
        <f>IF(ROW()-4&lt;=COUNTA('Personnel Screening Registry'!$A:$A)-4,INDEX('Personnel Screening Registry'!$A:$A,ROW()-3),"")</f>
        <v/>
      </c>
      <c r="B119" s="14">
        <f>IF(A119&lt;&gt;"",VLOOKUP(A119,'Personnel Screening Registry'!$A:$B,2,FALSE),"")</f>
        <v/>
      </c>
      <c r="C119" s="14">
        <f>IF(A119&lt;&gt;"",VLOOKUP(A119,'Personnel Screening Registry'!$A:$E,5,FALSE),"")</f>
        <v/>
      </c>
      <c r="D119" s="18">
        <f>IF(A119&lt;&gt;"",VLOOKUP(A119,'Personnel Screening Registry'!$A:$K,11,FALSE),"")</f>
        <v/>
      </c>
      <c r="E119" s="15" t="n"/>
      <c r="F119" s="16" t="n"/>
      <c r="G119" s="18">
        <f>IF(OR(A119="",F119="",E119=""),"",IF(E119="Annual",F119+365,IF(E119="Biennial",F119+730,IF(E119="3-Year",F119+1095,F119+365))))</f>
        <v/>
      </c>
      <c r="H119" s="14">
        <f>IF(A119="","",IF(G119="","Not-Scheduled",IF(G119&gt;=TODAY(),"Current",IF(G119&gt;=TODAY()-30,"Due-Soon","Overdue"))))</f>
        <v/>
      </c>
      <c r="I119" s="15" t="n"/>
      <c r="J119" s="15" t="n"/>
      <c r="K119" s="15" t="n"/>
      <c r="L119" s="14">
        <f>IF(A119="","",IF(AND(OR(H119="Current",H119="Due-Soon"),OR(I119="No",I119="N/A",AND(I119="Yes",K119="Yes"))),"Compliant",IF(H119="Overdue","Non-Compliant","Partial")))</f>
        <v/>
      </c>
      <c r="M119" s="15" t="n"/>
      <c r="N119" s="15" t="n"/>
    </row>
    <row r="120">
      <c r="A120" s="14">
        <f>IF(ROW()-4&lt;=COUNTA('Personnel Screening Registry'!$A:$A)-4,INDEX('Personnel Screening Registry'!$A:$A,ROW()-3),"")</f>
        <v/>
      </c>
      <c r="B120" s="14">
        <f>IF(A120&lt;&gt;"",VLOOKUP(A120,'Personnel Screening Registry'!$A:$B,2,FALSE),"")</f>
        <v/>
      </c>
      <c r="C120" s="14">
        <f>IF(A120&lt;&gt;"",VLOOKUP(A120,'Personnel Screening Registry'!$A:$E,5,FALSE),"")</f>
        <v/>
      </c>
      <c r="D120" s="18">
        <f>IF(A120&lt;&gt;"",VLOOKUP(A120,'Personnel Screening Registry'!$A:$K,11,FALSE),"")</f>
        <v/>
      </c>
      <c r="E120" s="15" t="n"/>
      <c r="F120" s="16" t="n"/>
      <c r="G120" s="18">
        <f>IF(OR(A120="",F120="",E120=""),"",IF(E120="Annual",F120+365,IF(E120="Biennial",F120+730,IF(E120="3-Year",F120+1095,F120+365))))</f>
        <v/>
      </c>
      <c r="H120" s="14">
        <f>IF(A120="","",IF(G120="","Not-Scheduled",IF(G120&gt;=TODAY(),"Current",IF(G120&gt;=TODAY()-30,"Due-Soon","Overdue"))))</f>
        <v/>
      </c>
      <c r="I120" s="15" t="n"/>
      <c r="J120" s="15" t="n"/>
      <c r="K120" s="15" t="n"/>
      <c r="L120" s="14">
        <f>IF(A120="","",IF(AND(OR(H120="Current",H120="Due-Soon"),OR(I120="No",I120="N/A",AND(I120="Yes",K120="Yes"))),"Compliant",IF(H120="Overdue","Non-Compliant","Partial")))</f>
        <v/>
      </c>
      <c r="M120" s="15" t="n"/>
      <c r="N120" s="15" t="n"/>
    </row>
    <row r="121">
      <c r="A121" s="14">
        <f>IF(ROW()-4&lt;=COUNTA('Personnel Screening Registry'!$A:$A)-4,INDEX('Personnel Screening Registry'!$A:$A,ROW()-3),"")</f>
        <v/>
      </c>
      <c r="B121" s="14">
        <f>IF(A121&lt;&gt;"",VLOOKUP(A121,'Personnel Screening Registry'!$A:$B,2,FALSE),"")</f>
        <v/>
      </c>
      <c r="C121" s="14">
        <f>IF(A121&lt;&gt;"",VLOOKUP(A121,'Personnel Screening Registry'!$A:$E,5,FALSE),"")</f>
        <v/>
      </c>
      <c r="D121" s="18">
        <f>IF(A121&lt;&gt;"",VLOOKUP(A121,'Personnel Screening Registry'!$A:$K,11,FALSE),"")</f>
        <v/>
      </c>
      <c r="E121" s="15" t="n"/>
      <c r="F121" s="16" t="n"/>
      <c r="G121" s="18">
        <f>IF(OR(A121="",F121="",E121=""),"",IF(E121="Annual",F121+365,IF(E121="Biennial",F121+730,IF(E121="3-Year",F121+1095,F121+365))))</f>
        <v/>
      </c>
      <c r="H121" s="14">
        <f>IF(A121="","",IF(G121="","Not-Scheduled",IF(G121&gt;=TODAY(),"Current",IF(G121&gt;=TODAY()-30,"Due-Soon","Overdue"))))</f>
        <v/>
      </c>
      <c r="I121" s="15" t="n"/>
      <c r="J121" s="15" t="n"/>
      <c r="K121" s="15" t="n"/>
      <c r="L121" s="14">
        <f>IF(A121="","",IF(AND(OR(H121="Current",H121="Due-Soon"),OR(I121="No",I121="N/A",AND(I121="Yes",K121="Yes"))),"Compliant",IF(H121="Overdue","Non-Compliant","Partial")))</f>
        <v/>
      </c>
      <c r="M121" s="15" t="n"/>
      <c r="N121" s="15" t="n"/>
    </row>
    <row r="122">
      <c r="A122" s="14">
        <f>IF(ROW()-4&lt;=COUNTA('Personnel Screening Registry'!$A:$A)-4,INDEX('Personnel Screening Registry'!$A:$A,ROW()-3),"")</f>
        <v/>
      </c>
      <c r="B122" s="14">
        <f>IF(A122&lt;&gt;"",VLOOKUP(A122,'Personnel Screening Registry'!$A:$B,2,FALSE),"")</f>
        <v/>
      </c>
      <c r="C122" s="14">
        <f>IF(A122&lt;&gt;"",VLOOKUP(A122,'Personnel Screening Registry'!$A:$E,5,FALSE),"")</f>
        <v/>
      </c>
      <c r="D122" s="18">
        <f>IF(A122&lt;&gt;"",VLOOKUP(A122,'Personnel Screening Registry'!$A:$K,11,FALSE),"")</f>
        <v/>
      </c>
      <c r="E122" s="15" t="n"/>
      <c r="F122" s="16" t="n"/>
      <c r="G122" s="18">
        <f>IF(OR(A122="",F122="",E122=""),"",IF(E122="Annual",F122+365,IF(E122="Biennial",F122+730,IF(E122="3-Year",F122+1095,F122+365))))</f>
        <v/>
      </c>
      <c r="H122" s="14">
        <f>IF(A122="","",IF(G122="","Not-Scheduled",IF(G122&gt;=TODAY(),"Current",IF(G122&gt;=TODAY()-30,"Due-Soon","Overdue"))))</f>
        <v/>
      </c>
      <c r="I122" s="15" t="n"/>
      <c r="J122" s="15" t="n"/>
      <c r="K122" s="15" t="n"/>
      <c r="L122" s="14">
        <f>IF(A122="","",IF(AND(OR(H122="Current",H122="Due-Soon"),OR(I122="No",I122="N/A",AND(I122="Yes",K122="Yes"))),"Compliant",IF(H122="Overdue","Non-Compliant","Partial")))</f>
        <v/>
      </c>
      <c r="M122" s="15" t="n"/>
      <c r="N122" s="15" t="n"/>
    </row>
    <row r="123">
      <c r="A123" s="14">
        <f>IF(ROW()-4&lt;=COUNTA('Personnel Screening Registry'!$A:$A)-4,INDEX('Personnel Screening Registry'!$A:$A,ROW()-3),"")</f>
        <v/>
      </c>
      <c r="B123" s="14">
        <f>IF(A123&lt;&gt;"",VLOOKUP(A123,'Personnel Screening Registry'!$A:$B,2,FALSE),"")</f>
        <v/>
      </c>
      <c r="C123" s="14">
        <f>IF(A123&lt;&gt;"",VLOOKUP(A123,'Personnel Screening Registry'!$A:$E,5,FALSE),"")</f>
        <v/>
      </c>
      <c r="D123" s="18">
        <f>IF(A123&lt;&gt;"",VLOOKUP(A123,'Personnel Screening Registry'!$A:$K,11,FALSE),"")</f>
        <v/>
      </c>
      <c r="E123" s="15" t="n"/>
      <c r="F123" s="16" t="n"/>
      <c r="G123" s="18">
        <f>IF(OR(A123="",F123="",E123=""),"",IF(E123="Annual",F123+365,IF(E123="Biennial",F123+730,IF(E123="3-Year",F123+1095,F123+365))))</f>
        <v/>
      </c>
      <c r="H123" s="14">
        <f>IF(A123="","",IF(G123="","Not-Scheduled",IF(G123&gt;=TODAY(),"Current",IF(G123&gt;=TODAY()-30,"Due-Soon","Overdue"))))</f>
        <v/>
      </c>
      <c r="I123" s="15" t="n"/>
      <c r="J123" s="15" t="n"/>
      <c r="K123" s="15" t="n"/>
      <c r="L123" s="14">
        <f>IF(A123="","",IF(AND(OR(H123="Current",H123="Due-Soon"),OR(I123="No",I123="N/A",AND(I123="Yes",K123="Yes"))),"Compliant",IF(H123="Overdue","Non-Compliant","Partial")))</f>
        <v/>
      </c>
      <c r="M123" s="15" t="n"/>
      <c r="N123" s="15" t="n"/>
    </row>
    <row r="124">
      <c r="A124" s="14">
        <f>IF(ROW()-4&lt;=COUNTA('Personnel Screening Registry'!$A:$A)-4,INDEX('Personnel Screening Registry'!$A:$A,ROW()-3),"")</f>
        <v/>
      </c>
      <c r="B124" s="14">
        <f>IF(A124&lt;&gt;"",VLOOKUP(A124,'Personnel Screening Registry'!$A:$B,2,FALSE),"")</f>
        <v/>
      </c>
      <c r="C124" s="14">
        <f>IF(A124&lt;&gt;"",VLOOKUP(A124,'Personnel Screening Registry'!$A:$E,5,FALSE),"")</f>
        <v/>
      </c>
      <c r="D124" s="18">
        <f>IF(A124&lt;&gt;"",VLOOKUP(A124,'Personnel Screening Registry'!$A:$K,11,FALSE),"")</f>
        <v/>
      </c>
      <c r="E124" s="15" t="n"/>
      <c r="F124" s="16" t="n"/>
      <c r="G124" s="18">
        <f>IF(OR(A124="",F124="",E124=""),"",IF(E124="Annual",F124+365,IF(E124="Biennial",F124+730,IF(E124="3-Year",F124+1095,F124+365))))</f>
        <v/>
      </c>
      <c r="H124" s="14">
        <f>IF(A124="","",IF(G124="","Not-Scheduled",IF(G124&gt;=TODAY(),"Current",IF(G124&gt;=TODAY()-30,"Due-Soon","Overdue"))))</f>
        <v/>
      </c>
      <c r="I124" s="15" t="n"/>
      <c r="J124" s="15" t="n"/>
      <c r="K124" s="15" t="n"/>
      <c r="L124" s="14">
        <f>IF(A124="","",IF(AND(OR(H124="Current",H124="Due-Soon"),OR(I124="No",I124="N/A",AND(I124="Yes",K124="Yes"))),"Compliant",IF(H124="Overdue","Non-Compliant","Partial")))</f>
        <v/>
      </c>
      <c r="M124" s="15" t="n"/>
      <c r="N124" s="15" t="n"/>
    </row>
    <row r="125">
      <c r="A125" s="14">
        <f>IF(ROW()-4&lt;=COUNTA('Personnel Screening Registry'!$A:$A)-4,INDEX('Personnel Screening Registry'!$A:$A,ROW()-3),"")</f>
        <v/>
      </c>
      <c r="B125" s="14">
        <f>IF(A125&lt;&gt;"",VLOOKUP(A125,'Personnel Screening Registry'!$A:$B,2,FALSE),"")</f>
        <v/>
      </c>
      <c r="C125" s="14">
        <f>IF(A125&lt;&gt;"",VLOOKUP(A125,'Personnel Screening Registry'!$A:$E,5,FALSE),"")</f>
        <v/>
      </c>
      <c r="D125" s="18">
        <f>IF(A125&lt;&gt;"",VLOOKUP(A125,'Personnel Screening Registry'!$A:$K,11,FALSE),"")</f>
        <v/>
      </c>
      <c r="E125" s="15" t="n"/>
      <c r="F125" s="16" t="n"/>
      <c r="G125" s="18">
        <f>IF(OR(A125="",F125="",E125=""),"",IF(E125="Annual",F125+365,IF(E125="Biennial",F125+730,IF(E125="3-Year",F125+1095,F125+365))))</f>
        <v/>
      </c>
      <c r="H125" s="14">
        <f>IF(A125="","",IF(G125="","Not-Scheduled",IF(G125&gt;=TODAY(),"Current",IF(G125&gt;=TODAY()-30,"Due-Soon","Overdue"))))</f>
        <v/>
      </c>
      <c r="I125" s="15" t="n"/>
      <c r="J125" s="15" t="n"/>
      <c r="K125" s="15" t="n"/>
      <c r="L125" s="14">
        <f>IF(A125="","",IF(AND(OR(H125="Current",H125="Due-Soon"),OR(I125="No",I125="N/A",AND(I125="Yes",K125="Yes"))),"Compliant",IF(H125="Overdue","Non-Compliant","Partial")))</f>
        <v/>
      </c>
      <c r="M125" s="15" t="n"/>
      <c r="N125" s="15" t="n"/>
    </row>
    <row r="126">
      <c r="A126" s="14">
        <f>IF(ROW()-4&lt;=COUNTA('Personnel Screening Registry'!$A:$A)-4,INDEX('Personnel Screening Registry'!$A:$A,ROW()-3),"")</f>
        <v/>
      </c>
      <c r="B126" s="14">
        <f>IF(A126&lt;&gt;"",VLOOKUP(A126,'Personnel Screening Registry'!$A:$B,2,FALSE),"")</f>
        <v/>
      </c>
      <c r="C126" s="14">
        <f>IF(A126&lt;&gt;"",VLOOKUP(A126,'Personnel Screening Registry'!$A:$E,5,FALSE),"")</f>
        <v/>
      </c>
      <c r="D126" s="18">
        <f>IF(A126&lt;&gt;"",VLOOKUP(A126,'Personnel Screening Registry'!$A:$K,11,FALSE),"")</f>
        <v/>
      </c>
      <c r="E126" s="15" t="n"/>
      <c r="F126" s="16" t="n"/>
      <c r="G126" s="18">
        <f>IF(OR(A126="",F126="",E126=""),"",IF(E126="Annual",F126+365,IF(E126="Biennial",F126+730,IF(E126="3-Year",F126+1095,F126+365))))</f>
        <v/>
      </c>
      <c r="H126" s="14">
        <f>IF(A126="","",IF(G126="","Not-Scheduled",IF(G126&gt;=TODAY(),"Current",IF(G126&gt;=TODAY()-30,"Due-Soon","Overdue"))))</f>
        <v/>
      </c>
      <c r="I126" s="15" t="n"/>
      <c r="J126" s="15" t="n"/>
      <c r="K126" s="15" t="n"/>
      <c r="L126" s="14">
        <f>IF(A126="","",IF(AND(OR(H126="Current",H126="Due-Soon"),OR(I126="No",I126="N/A",AND(I126="Yes",K126="Yes"))),"Compliant",IF(H126="Overdue","Non-Compliant","Partial")))</f>
        <v/>
      </c>
      <c r="M126" s="15" t="n"/>
      <c r="N126" s="15" t="n"/>
    </row>
    <row r="127">
      <c r="A127" s="14">
        <f>IF(ROW()-4&lt;=COUNTA('Personnel Screening Registry'!$A:$A)-4,INDEX('Personnel Screening Registry'!$A:$A,ROW()-3),"")</f>
        <v/>
      </c>
      <c r="B127" s="14">
        <f>IF(A127&lt;&gt;"",VLOOKUP(A127,'Personnel Screening Registry'!$A:$B,2,FALSE),"")</f>
        <v/>
      </c>
      <c r="C127" s="14">
        <f>IF(A127&lt;&gt;"",VLOOKUP(A127,'Personnel Screening Registry'!$A:$E,5,FALSE),"")</f>
        <v/>
      </c>
      <c r="D127" s="18">
        <f>IF(A127&lt;&gt;"",VLOOKUP(A127,'Personnel Screening Registry'!$A:$K,11,FALSE),"")</f>
        <v/>
      </c>
      <c r="E127" s="15" t="n"/>
      <c r="F127" s="16" t="n"/>
      <c r="G127" s="18">
        <f>IF(OR(A127="",F127="",E127=""),"",IF(E127="Annual",F127+365,IF(E127="Biennial",F127+730,IF(E127="3-Year",F127+1095,F127+365))))</f>
        <v/>
      </c>
      <c r="H127" s="14">
        <f>IF(A127="","",IF(G127="","Not-Scheduled",IF(G127&gt;=TODAY(),"Current",IF(G127&gt;=TODAY()-30,"Due-Soon","Overdue"))))</f>
        <v/>
      </c>
      <c r="I127" s="15" t="n"/>
      <c r="J127" s="15" t="n"/>
      <c r="K127" s="15" t="n"/>
      <c r="L127" s="14">
        <f>IF(A127="","",IF(AND(OR(H127="Current",H127="Due-Soon"),OR(I127="No",I127="N/A",AND(I127="Yes",K127="Yes"))),"Compliant",IF(H127="Overdue","Non-Compliant","Partial")))</f>
        <v/>
      </c>
      <c r="M127" s="15" t="n"/>
      <c r="N127" s="15" t="n"/>
    </row>
    <row r="128">
      <c r="A128" s="14">
        <f>IF(ROW()-4&lt;=COUNTA('Personnel Screening Registry'!$A:$A)-4,INDEX('Personnel Screening Registry'!$A:$A,ROW()-3),"")</f>
        <v/>
      </c>
      <c r="B128" s="14">
        <f>IF(A128&lt;&gt;"",VLOOKUP(A128,'Personnel Screening Registry'!$A:$B,2,FALSE),"")</f>
        <v/>
      </c>
      <c r="C128" s="14">
        <f>IF(A128&lt;&gt;"",VLOOKUP(A128,'Personnel Screening Registry'!$A:$E,5,FALSE),"")</f>
        <v/>
      </c>
      <c r="D128" s="18">
        <f>IF(A128&lt;&gt;"",VLOOKUP(A128,'Personnel Screening Registry'!$A:$K,11,FALSE),"")</f>
        <v/>
      </c>
      <c r="E128" s="15" t="n"/>
      <c r="F128" s="16" t="n"/>
      <c r="G128" s="18">
        <f>IF(OR(A128="",F128="",E128=""),"",IF(E128="Annual",F128+365,IF(E128="Biennial",F128+730,IF(E128="3-Year",F128+1095,F128+365))))</f>
        <v/>
      </c>
      <c r="H128" s="14">
        <f>IF(A128="","",IF(G128="","Not-Scheduled",IF(G128&gt;=TODAY(),"Current",IF(G128&gt;=TODAY()-30,"Due-Soon","Overdue"))))</f>
        <v/>
      </c>
      <c r="I128" s="15" t="n"/>
      <c r="J128" s="15" t="n"/>
      <c r="K128" s="15" t="n"/>
      <c r="L128" s="14">
        <f>IF(A128="","",IF(AND(OR(H128="Current",H128="Due-Soon"),OR(I128="No",I128="N/A",AND(I128="Yes",K128="Yes"))),"Compliant",IF(H128="Overdue","Non-Compliant","Partial")))</f>
        <v/>
      </c>
      <c r="M128" s="15" t="n"/>
      <c r="N128" s="15" t="n"/>
    </row>
    <row r="129">
      <c r="A129" s="14">
        <f>IF(ROW()-4&lt;=COUNTA('Personnel Screening Registry'!$A:$A)-4,INDEX('Personnel Screening Registry'!$A:$A,ROW()-3),"")</f>
        <v/>
      </c>
      <c r="B129" s="14">
        <f>IF(A129&lt;&gt;"",VLOOKUP(A129,'Personnel Screening Registry'!$A:$B,2,FALSE),"")</f>
        <v/>
      </c>
      <c r="C129" s="14">
        <f>IF(A129&lt;&gt;"",VLOOKUP(A129,'Personnel Screening Registry'!$A:$E,5,FALSE),"")</f>
        <v/>
      </c>
      <c r="D129" s="18">
        <f>IF(A129&lt;&gt;"",VLOOKUP(A129,'Personnel Screening Registry'!$A:$K,11,FALSE),"")</f>
        <v/>
      </c>
      <c r="E129" s="15" t="n"/>
      <c r="F129" s="16" t="n"/>
      <c r="G129" s="18">
        <f>IF(OR(A129="",F129="",E129=""),"",IF(E129="Annual",F129+365,IF(E129="Biennial",F129+730,IF(E129="3-Year",F129+1095,F129+365))))</f>
        <v/>
      </c>
      <c r="H129" s="14">
        <f>IF(A129="","",IF(G129="","Not-Scheduled",IF(G129&gt;=TODAY(),"Current",IF(G129&gt;=TODAY()-30,"Due-Soon","Overdue"))))</f>
        <v/>
      </c>
      <c r="I129" s="15" t="n"/>
      <c r="J129" s="15" t="n"/>
      <c r="K129" s="15" t="n"/>
      <c r="L129" s="14">
        <f>IF(A129="","",IF(AND(OR(H129="Current",H129="Due-Soon"),OR(I129="No",I129="N/A",AND(I129="Yes",K129="Yes"))),"Compliant",IF(H129="Overdue","Non-Compliant","Partial")))</f>
        <v/>
      </c>
      <c r="M129" s="15" t="n"/>
      <c r="N129" s="15" t="n"/>
    </row>
    <row r="130">
      <c r="A130" s="14">
        <f>IF(ROW()-4&lt;=COUNTA('Personnel Screening Registry'!$A:$A)-4,INDEX('Personnel Screening Registry'!$A:$A,ROW()-3),"")</f>
        <v/>
      </c>
      <c r="B130" s="14">
        <f>IF(A130&lt;&gt;"",VLOOKUP(A130,'Personnel Screening Registry'!$A:$B,2,FALSE),"")</f>
        <v/>
      </c>
      <c r="C130" s="14">
        <f>IF(A130&lt;&gt;"",VLOOKUP(A130,'Personnel Screening Registry'!$A:$E,5,FALSE),"")</f>
        <v/>
      </c>
      <c r="D130" s="18">
        <f>IF(A130&lt;&gt;"",VLOOKUP(A130,'Personnel Screening Registry'!$A:$K,11,FALSE),"")</f>
        <v/>
      </c>
      <c r="E130" s="15" t="n"/>
      <c r="F130" s="16" t="n"/>
      <c r="G130" s="18">
        <f>IF(OR(A130="",F130="",E130=""),"",IF(E130="Annual",F130+365,IF(E130="Biennial",F130+730,IF(E130="3-Year",F130+1095,F130+365))))</f>
        <v/>
      </c>
      <c r="H130" s="14">
        <f>IF(A130="","",IF(G130="","Not-Scheduled",IF(G130&gt;=TODAY(),"Current",IF(G130&gt;=TODAY()-30,"Due-Soon","Overdue"))))</f>
        <v/>
      </c>
      <c r="I130" s="15" t="n"/>
      <c r="J130" s="15" t="n"/>
      <c r="K130" s="15" t="n"/>
      <c r="L130" s="14">
        <f>IF(A130="","",IF(AND(OR(H130="Current",H130="Due-Soon"),OR(I130="No",I130="N/A",AND(I130="Yes",K130="Yes"))),"Compliant",IF(H130="Overdue","Non-Compliant","Partial")))</f>
        <v/>
      </c>
      <c r="M130" s="15" t="n"/>
      <c r="N130" s="15" t="n"/>
    </row>
    <row r="131">
      <c r="A131" s="14">
        <f>IF(ROW()-4&lt;=COUNTA('Personnel Screening Registry'!$A:$A)-4,INDEX('Personnel Screening Registry'!$A:$A,ROW()-3),"")</f>
        <v/>
      </c>
      <c r="B131" s="14">
        <f>IF(A131&lt;&gt;"",VLOOKUP(A131,'Personnel Screening Registry'!$A:$B,2,FALSE),"")</f>
        <v/>
      </c>
      <c r="C131" s="14">
        <f>IF(A131&lt;&gt;"",VLOOKUP(A131,'Personnel Screening Registry'!$A:$E,5,FALSE),"")</f>
        <v/>
      </c>
      <c r="D131" s="18">
        <f>IF(A131&lt;&gt;"",VLOOKUP(A131,'Personnel Screening Registry'!$A:$K,11,FALSE),"")</f>
        <v/>
      </c>
      <c r="E131" s="15" t="n"/>
      <c r="F131" s="16" t="n"/>
      <c r="G131" s="18">
        <f>IF(OR(A131="",F131="",E131=""),"",IF(E131="Annual",F131+365,IF(E131="Biennial",F131+730,IF(E131="3-Year",F131+1095,F131+365))))</f>
        <v/>
      </c>
      <c r="H131" s="14">
        <f>IF(A131="","",IF(G131="","Not-Scheduled",IF(G131&gt;=TODAY(),"Current",IF(G131&gt;=TODAY()-30,"Due-Soon","Overdue"))))</f>
        <v/>
      </c>
      <c r="I131" s="15" t="n"/>
      <c r="J131" s="15" t="n"/>
      <c r="K131" s="15" t="n"/>
      <c r="L131" s="14">
        <f>IF(A131="","",IF(AND(OR(H131="Current",H131="Due-Soon"),OR(I131="No",I131="N/A",AND(I131="Yes",K131="Yes"))),"Compliant",IF(H131="Overdue","Non-Compliant","Partial")))</f>
        <v/>
      </c>
      <c r="M131" s="15" t="n"/>
      <c r="N131" s="15" t="n"/>
    </row>
    <row r="132">
      <c r="A132" s="14">
        <f>IF(ROW()-4&lt;=COUNTA('Personnel Screening Registry'!$A:$A)-4,INDEX('Personnel Screening Registry'!$A:$A,ROW()-3),"")</f>
        <v/>
      </c>
      <c r="B132" s="14">
        <f>IF(A132&lt;&gt;"",VLOOKUP(A132,'Personnel Screening Registry'!$A:$B,2,FALSE),"")</f>
        <v/>
      </c>
      <c r="C132" s="14">
        <f>IF(A132&lt;&gt;"",VLOOKUP(A132,'Personnel Screening Registry'!$A:$E,5,FALSE),"")</f>
        <v/>
      </c>
      <c r="D132" s="18">
        <f>IF(A132&lt;&gt;"",VLOOKUP(A132,'Personnel Screening Registry'!$A:$K,11,FALSE),"")</f>
        <v/>
      </c>
      <c r="E132" s="15" t="n"/>
      <c r="F132" s="16" t="n"/>
      <c r="G132" s="18">
        <f>IF(OR(A132="",F132="",E132=""),"",IF(E132="Annual",F132+365,IF(E132="Biennial",F132+730,IF(E132="3-Year",F132+1095,F132+365))))</f>
        <v/>
      </c>
      <c r="H132" s="14">
        <f>IF(A132="","",IF(G132="","Not-Scheduled",IF(G132&gt;=TODAY(),"Current",IF(G132&gt;=TODAY()-30,"Due-Soon","Overdue"))))</f>
        <v/>
      </c>
      <c r="I132" s="15" t="n"/>
      <c r="J132" s="15" t="n"/>
      <c r="K132" s="15" t="n"/>
      <c r="L132" s="14">
        <f>IF(A132="","",IF(AND(OR(H132="Current",H132="Due-Soon"),OR(I132="No",I132="N/A",AND(I132="Yes",K132="Yes"))),"Compliant",IF(H132="Overdue","Non-Compliant","Partial")))</f>
        <v/>
      </c>
      <c r="M132" s="15" t="n"/>
      <c r="N132" s="15" t="n"/>
    </row>
    <row r="133">
      <c r="A133" s="14">
        <f>IF(ROW()-4&lt;=COUNTA('Personnel Screening Registry'!$A:$A)-4,INDEX('Personnel Screening Registry'!$A:$A,ROW()-3),"")</f>
        <v/>
      </c>
      <c r="B133" s="14">
        <f>IF(A133&lt;&gt;"",VLOOKUP(A133,'Personnel Screening Registry'!$A:$B,2,FALSE),"")</f>
        <v/>
      </c>
      <c r="C133" s="14">
        <f>IF(A133&lt;&gt;"",VLOOKUP(A133,'Personnel Screening Registry'!$A:$E,5,FALSE),"")</f>
        <v/>
      </c>
      <c r="D133" s="18">
        <f>IF(A133&lt;&gt;"",VLOOKUP(A133,'Personnel Screening Registry'!$A:$K,11,FALSE),"")</f>
        <v/>
      </c>
      <c r="E133" s="15" t="n"/>
      <c r="F133" s="16" t="n"/>
      <c r="G133" s="18">
        <f>IF(OR(A133="",F133="",E133=""),"",IF(E133="Annual",F133+365,IF(E133="Biennial",F133+730,IF(E133="3-Year",F133+1095,F133+365))))</f>
        <v/>
      </c>
      <c r="H133" s="14">
        <f>IF(A133="","",IF(G133="","Not-Scheduled",IF(G133&gt;=TODAY(),"Current",IF(G133&gt;=TODAY()-30,"Due-Soon","Overdue"))))</f>
        <v/>
      </c>
      <c r="I133" s="15" t="n"/>
      <c r="J133" s="15" t="n"/>
      <c r="K133" s="15" t="n"/>
      <c r="L133" s="14">
        <f>IF(A133="","",IF(AND(OR(H133="Current",H133="Due-Soon"),OR(I133="No",I133="N/A",AND(I133="Yes",K133="Yes"))),"Compliant",IF(H133="Overdue","Non-Compliant","Partial")))</f>
        <v/>
      </c>
      <c r="M133" s="15" t="n"/>
      <c r="N133" s="15" t="n"/>
    </row>
    <row r="134">
      <c r="A134" s="14">
        <f>IF(ROW()-4&lt;=COUNTA('Personnel Screening Registry'!$A:$A)-4,INDEX('Personnel Screening Registry'!$A:$A,ROW()-3),"")</f>
        <v/>
      </c>
      <c r="B134" s="14">
        <f>IF(A134&lt;&gt;"",VLOOKUP(A134,'Personnel Screening Registry'!$A:$B,2,FALSE),"")</f>
        <v/>
      </c>
      <c r="C134" s="14">
        <f>IF(A134&lt;&gt;"",VLOOKUP(A134,'Personnel Screening Registry'!$A:$E,5,FALSE),"")</f>
        <v/>
      </c>
      <c r="D134" s="18">
        <f>IF(A134&lt;&gt;"",VLOOKUP(A134,'Personnel Screening Registry'!$A:$K,11,FALSE),"")</f>
        <v/>
      </c>
      <c r="E134" s="15" t="n"/>
      <c r="F134" s="16" t="n"/>
      <c r="G134" s="18">
        <f>IF(OR(A134="",F134="",E134=""),"",IF(E134="Annual",F134+365,IF(E134="Biennial",F134+730,IF(E134="3-Year",F134+1095,F134+365))))</f>
        <v/>
      </c>
      <c r="H134" s="14">
        <f>IF(A134="","",IF(G134="","Not-Scheduled",IF(G134&gt;=TODAY(),"Current",IF(G134&gt;=TODAY()-30,"Due-Soon","Overdue"))))</f>
        <v/>
      </c>
      <c r="I134" s="15" t="n"/>
      <c r="J134" s="15" t="n"/>
      <c r="K134" s="15" t="n"/>
      <c r="L134" s="14">
        <f>IF(A134="","",IF(AND(OR(H134="Current",H134="Due-Soon"),OR(I134="No",I134="N/A",AND(I134="Yes",K134="Yes"))),"Compliant",IF(H134="Overdue","Non-Compliant","Partial")))</f>
        <v/>
      </c>
      <c r="M134" s="15" t="n"/>
      <c r="N134" s="15" t="n"/>
    </row>
    <row r="135">
      <c r="A135" s="14">
        <f>IF(ROW()-4&lt;=COUNTA('Personnel Screening Registry'!$A:$A)-4,INDEX('Personnel Screening Registry'!$A:$A,ROW()-3),"")</f>
        <v/>
      </c>
      <c r="B135" s="14">
        <f>IF(A135&lt;&gt;"",VLOOKUP(A135,'Personnel Screening Registry'!$A:$B,2,FALSE),"")</f>
        <v/>
      </c>
      <c r="C135" s="14">
        <f>IF(A135&lt;&gt;"",VLOOKUP(A135,'Personnel Screening Registry'!$A:$E,5,FALSE),"")</f>
        <v/>
      </c>
      <c r="D135" s="18">
        <f>IF(A135&lt;&gt;"",VLOOKUP(A135,'Personnel Screening Registry'!$A:$K,11,FALSE),"")</f>
        <v/>
      </c>
      <c r="E135" s="15" t="n"/>
      <c r="F135" s="16" t="n"/>
      <c r="G135" s="18">
        <f>IF(OR(A135="",F135="",E135=""),"",IF(E135="Annual",F135+365,IF(E135="Biennial",F135+730,IF(E135="3-Year",F135+1095,F135+365))))</f>
        <v/>
      </c>
      <c r="H135" s="14">
        <f>IF(A135="","",IF(G135="","Not-Scheduled",IF(G135&gt;=TODAY(),"Current",IF(G135&gt;=TODAY()-30,"Due-Soon","Overdue"))))</f>
        <v/>
      </c>
      <c r="I135" s="15" t="n"/>
      <c r="J135" s="15" t="n"/>
      <c r="K135" s="15" t="n"/>
      <c r="L135" s="14">
        <f>IF(A135="","",IF(AND(OR(H135="Current",H135="Due-Soon"),OR(I135="No",I135="N/A",AND(I135="Yes",K135="Yes"))),"Compliant",IF(H135="Overdue","Non-Compliant","Partial")))</f>
        <v/>
      </c>
      <c r="M135" s="15" t="n"/>
      <c r="N135" s="15" t="n"/>
    </row>
    <row r="136">
      <c r="A136" s="14">
        <f>IF(ROW()-4&lt;=COUNTA('Personnel Screening Registry'!$A:$A)-4,INDEX('Personnel Screening Registry'!$A:$A,ROW()-3),"")</f>
        <v/>
      </c>
      <c r="B136" s="14">
        <f>IF(A136&lt;&gt;"",VLOOKUP(A136,'Personnel Screening Registry'!$A:$B,2,FALSE),"")</f>
        <v/>
      </c>
      <c r="C136" s="14">
        <f>IF(A136&lt;&gt;"",VLOOKUP(A136,'Personnel Screening Registry'!$A:$E,5,FALSE),"")</f>
        <v/>
      </c>
      <c r="D136" s="18">
        <f>IF(A136&lt;&gt;"",VLOOKUP(A136,'Personnel Screening Registry'!$A:$K,11,FALSE),"")</f>
        <v/>
      </c>
      <c r="E136" s="15" t="n"/>
      <c r="F136" s="16" t="n"/>
      <c r="G136" s="18">
        <f>IF(OR(A136="",F136="",E136=""),"",IF(E136="Annual",F136+365,IF(E136="Biennial",F136+730,IF(E136="3-Year",F136+1095,F136+365))))</f>
        <v/>
      </c>
      <c r="H136" s="14">
        <f>IF(A136="","",IF(G136="","Not-Scheduled",IF(G136&gt;=TODAY(),"Current",IF(G136&gt;=TODAY()-30,"Due-Soon","Overdue"))))</f>
        <v/>
      </c>
      <c r="I136" s="15" t="n"/>
      <c r="J136" s="15" t="n"/>
      <c r="K136" s="15" t="n"/>
      <c r="L136" s="14">
        <f>IF(A136="","",IF(AND(OR(H136="Current",H136="Due-Soon"),OR(I136="No",I136="N/A",AND(I136="Yes",K136="Yes"))),"Compliant",IF(H136="Overdue","Non-Compliant","Partial")))</f>
        <v/>
      </c>
      <c r="M136" s="15" t="n"/>
      <c r="N136" s="15" t="n"/>
    </row>
    <row r="137">
      <c r="A137" s="14">
        <f>IF(ROW()-4&lt;=COUNTA('Personnel Screening Registry'!$A:$A)-4,INDEX('Personnel Screening Registry'!$A:$A,ROW()-3),"")</f>
        <v/>
      </c>
      <c r="B137" s="14">
        <f>IF(A137&lt;&gt;"",VLOOKUP(A137,'Personnel Screening Registry'!$A:$B,2,FALSE),"")</f>
        <v/>
      </c>
      <c r="C137" s="14">
        <f>IF(A137&lt;&gt;"",VLOOKUP(A137,'Personnel Screening Registry'!$A:$E,5,FALSE),"")</f>
        <v/>
      </c>
      <c r="D137" s="18">
        <f>IF(A137&lt;&gt;"",VLOOKUP(A137,'Personnel Screening Registry'!$A:$K,11,FALSE),"")</f>
        <v/>
      </c>
      <c r="E137" s="15" t="n"/>
      <c r="F137" s="16" t="n"/>
      <c r="G137" s="18">
        <f>IF(OR(A137="",F137="",E137=""),"",IF(E137="Annual",F137+365,IF(E137="Biennial",F137+730,IF(E137="3-Year",F137+1095,F137+365))))</f>
        <v/>
      </c>
      <c r="H137" s="14">
        <f>IF(A137="","",IF(G137="","Not-Scheduled",IF(G137&gt;=TODAY(),"Current",IF(G137&gt;=TODAY()-30,"Due-Soon","Overdue"))))</f>
        <v/>
      </c>
      <c r="I137" s="15" t="n"/>
      <c r="J137" s="15" t="n"/>
      <c r="K137" s="15" t="n"/>
      <c r="L137" s="14">
        <f>IF(A137="","",IF(AND(OR(H137="Current",H137="Due-Soon"),OR(I137="No",I137="N/A",AND(I137="Yes",K137="Yes"))),"Compliant",IF(H137="Overdue","Non-Compliant","Partial")))</f>
        <v/>
      </c>
      <c r="M137" s="15" t="n"/>
      <c r="N137" s="15" t="n"/>
    </row>
    <row r="138">
      <c r="A138" s="14">
        <f>IF(ROW()-4&lt;=COUNTA('Personnel Screening Registry'!$A:$A)-4,INDEX('Personnel Screening Registry'!$A:$A,ROW()-3),"")</f>
        <v/>
      </c>
      <c r="B138" s="14">
        <f>IF(A138&lt;&gt;"",VLOOKUP(A138,'Personnel Screening Registry'!$A:$B,2,FALSE),"")</f>
        <v/>
      </c>
      <c r="C138" s="14">
        <f>IF(A138&lt;&gt;"",VLOOKUP(A138,'Personnel Screening Registry'!$A:$E,5,FALSE),"")</f>
        <v/>
      </c>
      <c r="D138" s="18">
        <f>IF(A138&lt;&gt;"",VLOOKUP(A138,'Personnel Screening Registry'!$A:$K,11,FALSE),"")</f>
        <v/>
      </c>
      <c r="E138" s="15" t="n"/>
      <c r="F138" s="16" t="n"/>
      <c r="G138" s="18">
        <f>IF(OR(A138="",F138="",E138=""),"",IF(E138="Annual",F138+365,IF(E138="Biennial",F138+730,IF(E138="3-Year",F138+1095,F138+365))))</f>
        <v/>
      </c>
      <c r="H138" s="14">
        <f>IF(A138="","",IF(G138="","Not-Scheduled",IF(G138&gt;=TODAY(),"Current",IF(G138&gt;=TODAY()-30,"Due-Soon","Overdue"))))</f>
        <v/>
      </c>
      <c r="I138" s="15" t="n"/>
      <c r="J138" s="15" t="n"/>
      <c r="K138" s="15" t="n"/>
      <c r="L138" s="14">
        <f>IF(A138="","",IF(AND(OR(H138="Current",H138="Due-Soon"),OR(I138="No",I138="N/A",AND(I138="Yes",K138="Yes"))),"Compliant",IF(H138="Overdue","Non-Compliant","Partial")))</f>
        <v/>
      </c>
      <c r="M138" s="15" t="n"/>
      <c r="N138" s="15" t="n"/>
    </row>
    <row r="139">
      <c r="A139" s="14">
        <f>IF(ROW()-4&lt;=COUNTA('Personnel Screening Registry'!$A:$A)-4,INDEX('Personnel Screening Registry'!$A:$A,ROW()-3),"")</f>
        <v/>
      </c>
      <c r="B139" s="14">
        <f>IF(A139&lt;&gt;"",VLOOKUP(A139,'Personnel Screening Registry'!$A:$B,2,FALSE),"")</f>
        <v/>
      </c>
      <c r="C139" s="14">
        <f>IF(A139&lt;&gt;"",VLOOKUP(A139,'Personnel Screening Registry'!$A:$E,5,FALSE),"")</f>
        <v/>
      </c>
      <c r="D139" s="18">
        <f>IF(A139&lt;&gt;"",VLOOKUP(A139,'Personnel Screening Registry'!$A:$K,11,FALSE),"")</f>
        <v/>
      </c>
      <c r="E139" s="15" t="n"/>
      <c r="F139" s="16" t="n"/>
      <c r="G139" s="18">
        <f>IF(OR(A139="",F139="",E139=""),"",IF(E139="Annual",F139+365,IF(E139="Biennial",F139+730,IF(E139="3-Year",F139+1095,F139+365))))</f>
        <v/>
      </c>
      <c r="H139" s="14">
        <f>IF(A139="","",IF(G139="","Not-Scheduled",IF(G139&gt;=TODAY(),"Current",IF(G139&gt;=TODAY()-30,"Due-Soon","Overdue"))))</f>
        <v/>
      </c>
      <c r="I139" s="15" t="n"/>
      <c r="J139" s="15" t="n"/>
      <c r="K139" s="15" t="n"/>
      <c r="L139" s="14">
        <f>IF(A139="","",IF(AND(OR(H139="Current",H139="Due-Soon"),OR(I139="No",I139="N/A",AND(I139="Yes",K139="Yes"))),"Compliant",IF(H139="Overdue","Non-Compliant","Partial")))</f>
        <v/>
      </c>
      <c r="M139" s="15" t="n"/>
      <c r="N139" s="15" t="n"/>
    </row>
    <row r="140">
      <c r="A140" s="14">
        <f>IF(ROW()-4&lt;=COUNTA('Personnel Screening Registry'!$A:$A)-4,INDEX('Personnel Screening Registry'!$A:$A,ROW()-3),"")</f>
        <v/>
      </c>
      <c r="B140" s="14">
        <f>IF(A140&lt;&gt;"",VLOOKUP(A140,'Personnel Screening Registry'!$A:$B,2,FALSE),"")</f>
        <v/>
      </c>
      <c r="C140" s="14">
        <f>IF(A140&lt;&gt;"",VLOOKUP(A140,'Personnel Screening Registry'!$A:$E,5,FALSE),"")</f>
        <v/>
      </c>
      <c r="D140" s="18">
        <f>IF(A140&lt;&gt;"",VLOOKUP(A140,'Personnel Screening Registry'!$A:$K,11,FALSE),"")</f>
        <v/>
      </c>
      <c r="E140" s="15" t="n"/>
      <c r="F140" s="16" t="n"/>
      <c r="G140" s="18">
        <f>IF(OR(A140="",F140="",E140=""),"",IF(E140="Annual",F140+365,IF(E140="Biennial",F140+730,IF(E140="3-Year",F140+1095,F140+365))))</f>
        <v/>
      </c>
      <c r="H140" s="14">
        <f>IF(A140="","",IF(G140="","Not-Scheduled",IF(G140&gt;=TODAY(),"Current",IF(G140&gt;=TODAY()-30,"Due-Soon","Overdue"))))</f>
        <v/>
      </c>
      <c r="I140" s="15" t="n"/>
      <c r="J140" s="15" t="n"/>
      <c r="K140" s="15" t="n"/>
      <c r="L140" s="14">
        <f>IF(A140="","",IF(AND(OR(H140="Current",H140="Due-Soon"),OR(I140="No",I140="N/A",AND(I140="Yes",K140="Yes"))),"Compliant",IF(H140="Overdue","Non-Compliant","Partial")))</f>
        <v/>
      </c>
      <c r="M140" s="15" t="n"/>
      <c r="N140" s="15" t="n"/>
    </row>
    <row r="141">
      <c r="A141" s="14">
        <f>IF(ROW()-4&lt;=COUNTA('Personnel Screening Registry'!$A:$A)-4,INDEX('Personnel Screening Registry'!$A:$A,ROW()-3),"")</f>
        <v/>
      </c>
      <c r="B141" s="14">
        <f>IF(A141&lt;&gt;"",VLOOKUP(A141,'Personnel Screening Registry'!$A:$B,2,FALSE),"")</f>
        <v/>
      </c>
      <c r="C141" s="14">
        <f>IF(A141&lt;&gt;"",VLOOKUP(A141,'Personnel Screening Registry'!$A:$E,5,FALSE),"")</f>
        <v/>
      </c>
      <c r="D141" s="18">
        <f>IF(A141&lt;&gt;"",VLOOKUP(A141,'Personnel Screening Registry'!$A:$K,11,FALSE),"")</f>
        <v/>
      </c>
      <c r="E141" s="15" t="n"/>
      <c r="F141" s="16" t="n"/>
      <c r="G141" s="18">
        <f>IF(OR(A141="",F141="",E141=""),"",IF(E141="Annual",F141+365,IF(E141="Biennial",F141+730,IF(E141="3-Year",F141+1095,F141+365))))</f>
        <v/>
      </c>
      <c r="H141" s="14">
        <f>IF(A141="","",IF(G141="","Not-Scheduled",IF(G141&gt;=TODAY(),"Current",IF(G141&gt;=TODAY()-30,"Due-Soon","Overdue"))))</f>
        <v/>
      </c>
      <c r="I141" s="15" t="n"/>
      <c r="J141" s="15" t="n"/>
      <c r="K141" s="15" t="n"/>
      <c r="L141" s="14">
        <f>IF(A141="","",IF(AND(OR(H141="Current",H141="Due-Soon"),OR(I141="No",I141="N/A",AND(I141="Yes",K141="Yes"))),"Compliant",IF(H141="Overdue","Non-Compliant","Partial")))</f>
        <v/>
      </c>
      <c r="M141" s="15" t="n"/>
      <c r="N141" s="15" t="n"/>
    </row>
    <row r="142">
      <c r="A142" s="14">
        <f>IF(ROW()-4&lt;=COUNTA('Personnel Screening Registry'!$A:$A)-4,INDEX('Personnel Screening Registry'!$A:$A,ROW()-3),"")</f>
        <v/>
      </c>
      <c r="B142" s="14">
        <f>IF(A142&lt;&gt;"",VLOOKUP(A142,'Personnel Screening Registry'!$A:$B,2,FALSE),"")</f>
        <v/>
      </c>
      <c r="C142" s="14">
        <f>IF(A142&lt;&gt;"",VLOOKUP(A142,'Personnel Screening Registry'!$A:$E,5,FALSE),"")</f>
        <v/>
      </c>
      <c r="D142" s="18">
        <f>IF(A142&lt;&gt;"",VLOOKUP(A142,'Personnel Screening Registry'!$A:$K,11,FALSE),"")</f>
        <v/>
      </c>
      <c r="E142" s="15" t="n"/>
      <c r="F142" s="16" t="n"/>
      <c r="G142" s="18">
        <f>IF(OR(A142="",F142="",E142=""),"",IF(E142="Annual",F142+365,IF(E142="Biennial",F142+730,IF(E142="3-Year",F142+1095,F142+365))))</f>
        <v/>
      </c>
      <c r="H142" s="14">
        <f>IF(A142="","",IF(G142="","Not-Scheduled",IF(G142&gt;=TODAY(),"Current",IF(G142&gt;=TODAY()-30,"Due-Soon","Overdue"))))</f>
        <v/>
      </c>
      <c r="I142" s="15" t="n"/>
      <c r="J142" s="15" t="n"/>
      <c r="K142" s="15" t="n"/>
      <c r="L142" s="14">
        <f>IF(A142="","",IF(AND(OR(H142="Current",H142="Due-Soon"),OR(I142="No",I142="N/A",AND(I142="Yes",K142="Yes"))),"Compliant",IF(H142="Overdue","Non-Compliant","Partial")))</f>
        <v/>
      </c>
      <c r="M142" s="15" t="n"/>
      <c r="N142" s="15" t="n"/>
    </row>
    <row r="143">
      <c r="A143" s="14">
        <f>IF(ROW()-4&lt;=COUNTA('Personnel Screening Registry'!$A:$A)-4,INDEX('Personnel Screening Registry'!$A:$A,ROW()-3),"")</f>
        <v/>
      </c>
      <c r="B143" s="14">
        <f>IF(A143&lt;&gt;"",VLOOKUP(A143,'Personnel Screening Registry'!$A:$B,2,FALSE),"")</f>
        <v/>
      </c>
      <c r="C143" s="14">
        <f>IF(A143&lt;&gt;"",VLOOKUP(A143,'Personnel Screening Registry'!$A:$E,5,FALSE),"")</f>
        <v/>
      </c>
      <c r="D143" s="18">
        <f>IF(A143&lt;&gt;"",VLOOKUP(A143,'Personnel Screening Registry'!$A:$K,11,FALSE),"")</f>
        <v/>
      </c>
      <c r="E143" s="15" t="n"/>
      <c r="F143" s="16" t="n"/>
      <c r="G143" s="18">
        <f>IF(OR(A143="",F143="",E143=""),"",IF(E143="Annual",F143+365,IF(E143="Biennial",F143+730,IF(E143="3-Year",F143+1095,F143+365))))</f>
        <v/>
      </c>
      <c r="H143" s="14">
        <f>IF(A143="","",IF(G143="","Not-Scheduled",IF(G143&gt;=TODAY(),"Current",IF(G143&gt;=TODAY()-30,"Due-Soon","Overdue"))))</f>
        <v/>
      </c>
      <c r="I143" s="15" t="n"/>
      <c r="J143" s="15" t="n"/>
      <c r="K143" s="15" t="n"/>
      <c r="L143" s="14">
        <f>IF(A143="","",IF(AND(OR(H143="Current",H143="Due-Soon"),OR(I143="No",I143="N/A",AND(I143="Yes",K143="Yes"))),"Compliant",IF(H143="Overdue","Non-Compliant","Partial")))</f>
        <v/>
      </c>
      <c r="M143" s="15" t="n"/>
      <c r="N143" s="15" t="n"/>
    </row>
    <row r="144">
      <c r="A144" s="14">
        <f>IF(ROW()-4&lt;=COUNTA('Personnel Screening Registry'!$A:$A)-4,INDEX('Personnel Screening Registry'!$A:$A,ROW()-3),"")</f>
        <v/>
      </c>
      <c r="B144" s="14">
        <f>IF(A144&lt;&gt;"",VLOOKUP(A144,'Personnel Screening Registry'!$A:$B,2,FALSE),"")</f>
        <v/>
      </c>
      <c r="C144" s="14">
        <f>IF(A144&lt;&gt;"",VLOOKUP(A144,'Personnel Screening Registry'!$A:$E,5,FALSE),"")</f>
        <v/>
      </c>
      <c r="D144" s="18">
        <f>IF(A144&lt;&gt;"",VLOOKUP(A144,'Personnel Screening Registry'!$A:$K,11,FALSE),"")</f>
        <v/>
      </c>
      <c r="E144" s="15" t="n"/>
      <c r="F144" s="16" t="n"/>
      <c r="G144" s="18">
        <f>IF(OR(A144="",F144="",E144=""),"",IF(E144="Annual",F144+365,IF(E144="Biennial",F144+730,IF(E144="3-Year",F144+1095,F144+365))))</f>
        <v/>
      </c>
      <c r="H144" s="14">
        <f>IF(A144="","",IF(G144="","Not-Scheduled",IF(G144&gt;=TODAY(),"Current",IF(G144&gt;=TODAY()-30,"Due-Soon","Overdue"))))</f>
        <v/>
      </c>
      <c r="I144" s="15" t="n"/>
      <c r="J144" s="15" t="n"/>
      <c r="K144" s="15" t="n"/>
      <c r="L144" s="14">
        <f>IF(A144="","",IF(AND(OR(H144="Current",H144="Due-Soon"),OR(I144="No",I144="N/A",AND(I144="Yes",K144="Yes"))),"Compliant",IF(H144="Overdue","Non-Compliant","Partial")))</f>
        <v/>
      </c>
      <c r="M144" s="15" t="n"/>
      <c r="N144" s="15" t="n"/>
    </row>
    <row r="145">
      <c r="A145" s="14">
        <f>IF(ROW()-4&lt;=COUNTA('Personnel Screening Registry'!$A:$A)-4,INDEX('Personnel Screening Registry'!$A:$A,ROW()-3),"")</f>
        <v/>
      </c>
      <c r="B145" s="14">
        <f>IF(A145&lt;&gt;"",VLOOKUP(A145,'Personnel Screening Registry'!$A:$B,2,FALSE),"")</f>
        <v/>
      </c>
      <c r="C145" s="14">
        <f>IF(A145&lt;&gt;"",VLOOKUP(A145,'Personnel Screening Registry'!$A:$E,5,FALSE),"")</f>
        <v/>
      </c>
      <c r="D145" s="18">
        <f>IF(A145&lt;&gt;"",VLOOKUP(A145,'Personnel Screening Registry'!$A:$K,11,FALSE),"")</f>
        <v/>
      </c>
      <c r="E145" s="15" t="n"/>
      <c r="F145" s="16" t="n"/>
      <c r="G145" s="18">
        <f>IF(OR(A145="",F145="",E145=""),"",IF(E145="Annual",F145+365,IF(E145="Biennial",F145+730,IF(E145="3-Year",F145+1095,F145+365))))</f>
        <v/>
      </c>
      <c r="H145" s="14">
        <f>IF(A145="","",IF(G145="","Not-Scheduled",IF(G145&gt;=TODAY(),"Current",IF(G145&gt;=TODAY()-30,"Due-Soon","Overdue"))))</f>
        <v/>
      </c>
      <c r="I145" s="15" t="n"/>
      <c r="J145" s="15" t="n"/>
      <c r="K145" s="15" t="n"/>
      <c r="L145" s="14">
        <f>IF(A145="","",IF(AND(OR(H145="Current",H145="Due-Soon"),OR(I145="No",I145="N/A",AND(I145="Yes",K145="Yes"))),"Compliant",IF(H145="Overdue","Non-Compliant","Partial")))</f>
        <v/>
      </c>
      <c r="M145" s="15" t="n"/>
      <c r="N145" s="15" t="n"/>
    </row>
    <row r="146">
      <c r="A146" s="14">
        <f>IF(ROW()-4&lt;=COUNTA('Personnel Screening Registry'!$A:$A)-4,INDEX('Personnel Screening Registry'!$A:$A,ROW()-3),"")</f>
        <v/>
      </c>
      <c r="B146" s="14">
        <f>IF(A146&lt;&gt;"",VLOOKUP(A146,'Personnel Screening Registry'!$A:$B,2,FALSE),"")</f>
        <v/>
      </c>
      <c r="C146" s="14">
        <f>IF(A146&lt;&gt;"",VLOOKUP(A146,'Personnel Screening Registry'!$A:$E,5,FALSE),"")</f>
        <v/>
      </c>
      <c r="D146" s="18">
        <f>IF(A146&lt;&gt;"",VLOOKUP(A146,'Personnel Screening Registry'!$A:$K,11,FALSE),"")</f>
        <v/>
      </c>
      <c r="E146" s="15" t="n"/>
      <c r="F146" s="16" t="n"/>
      <c r="G146" s="18">
        <f>IF(OR(A146="",F146="",E146=""),"",IF(E146="Annual",F146+365,IF(E146="Biennial",F146+730,IF(E146="3-Year",F146+1095,F146+365))))</f>
        <v/>
      </c>
      <c r="H146" s="14">
        <f>IF(A146="","",IF(G146="","Not-Scheduled",IF(G146&gt;=TODAY(),"Current",IF(G146&gt;=TODAY()-30,"Due-Soon","Overdue"))))</f>
        <v/>
      </c>
      <c r="I146" s="15" t="n"/>
      <c r="J146" s="15" t="n"/>
      <c r="K146" s="15" t="n"/>
      <c r="L146" s="14">
        <f>IF(A146="","",IF(AND(OR(H146="Current",H146="Due-Soon"),OR(I146="No",I146="N/A",AND(I146="Yes",K146="Yes"))),"Compliant",IF(H146="Overdue","Non-Compliant","Partial")))</f>
        <v/>
      </c>
      <c r="M146" s="15" t="n"/>
      <c r="N146" s="15" t="n"/>
    </row>
    <row r="147">
      <c r="A147" s="14">
        <f>IF(ROW()-4&lt;=COUNTA('Personnel Screening Registry'!$A:$A)-4,INDEX('Personnel Screening Registry'!$A:$A,ROW()-3),"")</f>
        <v/>
      </c>
      <c r="B147" s="14">
        <f>IF(A147&lt;&gt;"",VLOOKUP(A147,'Personnel Screening Registry'!$A:$B,2,FALSE),"")</f>
        <v/>
      </c>
      <c r="C147" s="14">
        <f>IF(A147&lt;&gt;"",VLOOKUP(A147,'Personnel Screening Registry'!$A:$E,5,FALSE),"")</f>
        <v/>
      </c>
      <c r="D147" s="18">
        <f>IF(A147&lt;&gt;"",VLOOKUP(A147,'Personnel Screening Registry'!$A:$K,11,FALSE),"")</f>
        <v/>
      </c>
      <c r="E147" s="15" t="n"/>
      <c r="F147" s="16" t="n"/>
      <c r="G147" s="18">
        <f>IF(OR(A147="",F147="",E147=""),"",IF(E147="Annual",F147+365,IF(E147="Biennial",F147+730,IF(E147="3-Year",F147+1095,F147+365))))</f>
        <v/>
      </c>
      <c r="H147" s="14">
        <f>IF(A147="","",IF(G147="","Not-Scheduled",IF(G147&gt;=TODAY(),"Current",IF(G147&gt;=TODAY()-30,"Due-Soon","Overdue"))))</f>
        <v/>
      </c>
      <c r="I147" s="15" t="n"/>
      <c r="J147" s="15" t="n"/>
      <c r="K147" s="15" t="n"/>
      <c r="L147" s="14">
        <f>IF(A147="","",IF(AND(OR(H147="Current",H147="Due-Soon"),OR(I147="No",I147="N/A",AND(I147="Yes",K147="Yes"))),"Compliant",IF(H147="Overdue","Non-Compliant","Partial")))</f>
        <v/>
      </c>
      <c r="M147" s="15" t="n"/>
      <c r="N147" s="15" t="n"/>
    </row>
    <row r="148">
      <c r="A148" s="14">
        <f>IF(ROW()-4&lt;=COUNTA('Personnel Screening Registry'!$A:$A)-4,INDEX('Personnel Screening Registry'!$A:$A,ROW()-3),"")</f>
        <v/>
      </c>
      <c r="B148" s="14">
        <f>IF(A148&lt;&gt;"",VLOOKUP(A148,'Personnel Screening Registry'!$A:$B,2,FALSE),"")</f>
        <v/>
      </c>
      <c r="C148" s="14">
        <f>IF(A148&lt;&gt;"",VLOOKUP(A148,'Personnel Screening Registry'!$A:$E,5,FALSE),"")</f>
        <v/>
      </c>
      <c r="D148" s="18">
        <f>IF(A148&lt;&gt;"",VLOOKUP(A148,'Personnel Screening Registry'!$A:$K,11,FALSE),"")</f>
        <v/>
      </c>
      <c r="E148" s="15" t="n"/>
      <c r="F148" s="16" t="n"/>
      <c r="G148" s="18">
        <f>IF(OR(A148="",F148="",E148=""),"",IF(E148="Annual",F148+365,IF(E148="Biennial",F148+730,IF(E148="3-Year",F148+1095,F148+365))))</f>
        <v/>
      </c>
      <c r="H148" s="14">
        <f>IF(A148="","",IF(G148="","Not-Scheduled",IF(G148&gt;=TODAY(),"Current",IF(G148&gt;=TODAY()-30,"Due-Soon","Overdue"))))</f>
        <v/>
      </c>
      <c r="I148" s="15" t="n"/>
      <c r="J148" s="15" t="n"/>
      <c r="K148" s="15" t="n"/>
      <c r="L148" s="14">
        <f>IF(A148="","",IF(AND(OR(H148="Current",H148="Due-Soon"),OR(I148="No",I148="N/A",AND(I148="Yes",K148="Yes"))),"Compliant",IF(H148="Overdue","Non-Compliant","Partial")))</f>
        <v/>
      </c>
      <c r="M148" s="15" t="n"/>
      <c r="N148" s="15" t="n"/>
    </row>
    <row r="149">
      <c r="A149" s="14">
        <f>IF(ROW()-4&lt;=COUNTA('Personnel Screening Registry'!$A:$A)-4,INDEX('Personnel Screening Registry'!$A:$A,ROW()-3),"")</f>
        <v/>
      </c>
      <c r="B149" s="14">
        <f>IF(A149&lt;&gt;"",VLOOKUP(A149,'Personnel Screening Registry'!$A:$B,2,FALSE),"")</f>
        <v/>
      </c>
      <c r="C149" s="14">
        <f>IF(A149&lt;&gt;"",VLOOKUP(A149,'Personnel Screening Registry'!$A:$E,5,FALSE),"")</f>
        <v/>
      </c>
      <c r="D149" s="18">
        <f>IF(A149&lt;&gt;"",VLOOKUP(A149,'Personnel Screening Registry'!$A:$K,11,FALSE),"")</f>
        <v/>
      </c>
      <c r="E149" s="15" t="n"/>
      <c r="F149" s="16" t="n"/>
      <c r="G149" s="18">
        <f>IF(OR(A149="",F149="",E149=""),"",IF(E149="Annual",F149+365,IF(E149="Biennial",F149+730,IF(E149="3-Year",F149+1095,F149+365))))</f>
        <v/>
      </c>
      <c r="H149" s="14">
        <f>IF(A149="","",IF(G149="","Not-Scheduled",IF(G149&gt;=TODAY(),"Current",IF(G149&gt;=TODAY()-30,"Due-Soon","Overdue"))))</f>
        <v/>
      </c>
      <c r="I149" s="15" t="n"/>
      <c r="J149" s="15" t="n"/>
      <c r="K149" s="15" t="n"/>
      <c r="L149" s="14">
        <f>IF(A149="","",IF(AND(OR(H149="Current",H149="Due-Soon"),OR(I149="No",I149="N/A",AND(I149="Yes",K149="Yes"))),"Compliant",IF(H149="Overdue","Non-Compliant","Partial")))</f>
        <v/>
      </c>
      <c r="M149" s="15" t="n"/>
      <c r="N149" s="15" t="n"/>
    </row>
    <row r="150">
      <c r="A150" s="14">
        <f>IF(ROW()-4&lt;=COUNTA('Personnel Screening Registry'!$A:$A)-4,INDEX('Personnel Screening Registry'!$A:$A,ROW()-3),"")</f>
        <v/>
      </c>
      <c r="B150" s="14">
        <f>IF(A150&lt;&gt;"",VLOOKUP(A150,'Personnel Screening Registry'!$A:$B,2,FALSE),"")</f>
        <v/>
      </c>
      <c r="C150" s="14">
        <f>IF(A150&lt;&gt;"",VLOOKUP(A150,'Personnel Screening Registry'!$A:$E,5,FALSE),"")</f>
        <v/>
      </c>
      <c r="D150" s="18">
        <f>IF(A150&lt;&gt;"",VLOOKUP(A150,'Personnel Screening Registry'!$A:$K,11,FALSE),"")</f>
        <v/>
      </c>
      <c r="E150" s="15" t="n"/>
      <c r="F150" s="16" t="n"/>
      <c r="G150" s="18">
        <f>IF(OR(A150="",F150="",E150=""),"",IF(E150="Annual",F150+365,IF(E150="Biennial",F150+730,IF(E150="3-Year",F150+1095,F150+365))))</f>
        <v/>
      </c>
      <c r="H150" s="14">
        <f>IF(A150="","",IF(G150="","Not-Scheduled",IF(G150&gt;=TODAY(),"Current",IF(G150&gt;=TODAY()-30,"Due-Soon","Overdue"))))</f>
        <v/>
      </c>
      <c r="I150" s="15" t="n"/>
      <c r="J150" s="15" t="n"/>
      <c r="K150" s="15" t="n"/>
      <c r="L150" s="14">
        <f>IF(A150="","",IF(AND(OR(H150="Current",H150="Due-Soon"),OR(I150="No",I150="N/A",AND(I150="Yes",K150="Yes"))),"Compliant",IF(H150="Overdue","Non-Compliant","Partial")))</f>
        <v/>
      </c>
      <c r="M150" s="15" t="n"/>
      <c r="N150" s="15" t="n"/>
    </row>
    <row r="151">
      <c r="A151" s="14">
        <f>IF(ROW()-4&lt;=COUNTA('Personnel Screening Registry'!$A:$A)-4,INDEX('Personnel Screening Registry'!$A:$A,ROW()-3),"")</f>
        <v/>
      </c>
      <c r="B151" s="14">
        <f>IF(A151&lt;&gt;"",VLOOKUP(A151,'Personnel Screening Registry'!$A:$B,2,FALSE),"")</f>
        <v/>
      </c>
      <c r="C151" s="14">
        <f>IF(A151&lt;&gt;"",VLOOKUP(A151,'Personnel Screening Registry'!$A:$E,5,FALSE),"")</f>
        <v/>
      </c>
      <c r="D151" s="18">
        <f>IF(A151&lt;&gt;"",VLOOKUP(A151,'Personnel Screening Registry'!$A:$K,11,FALSE),"")</f>
        <v/>
      </c>
      <c r="E151" s="15" t="n"/>
      <c r="F151" s="16" t="n"/>
      <c r="G151" s="18">
        <f>IF(OR(A151="",F151="",E151=""),"",IF(E151="Annual",F151+365,IF(E151="Biennial",F151+730,IF(E151="3-Year",F151+1095,F151+365))))</f>
        <v/>
      </c>
      <c r="H151" s="14">
        <f>IF(A151="","",IF(G151="","Not-Scheduled",IF(G151&gt;=TODAY(),"Current",IF(G151&gt;=TODAY()-30,"Due-Soon","Overdue"))))</f>
        <v/>
      </c>
      <c r="I151" s="15" t="n"/>
      <c r="J151" s="15" t="n"/>
      <c r="K151" s="15" t="n"/>
      <c r="L151" s="14">
        <f>IF(A151="","",IF(AND(OR(H151="Current",H151="Due-Soon"),OR(I151="No",I151="N/A",AND(I151="Yes",K151="Yes"))),"Compliant",IF(H151="Overdue","Non-Compliant","Partial")))</f>
        <v/>
      </c>
      <c r="M151" s="15" t="n"/>
      <c r="N151" s="15" t="n"/>
    </row>
    <row r="152">
      <c r="A152" s="14">
        <f>IF(ROW()-4&lt;=COUNTA('Personnel Screening Registry'!$A:$A)-4,INDEX('Personnel Screening Registry'!$A:$A,ROW()-3),"")</f>
        <v/>
      </c>
      <c r="B152" s="14">
        <f>IF(A152&lt;&gt;"",VLOOKUP(A152,'Personnel Screening Registry'!$A:$B,2,FALSE),"")</f>
        <v/>
      </c>
      <c r="C152" s="14">
        <f>IF(A152&lt;&gt;"",VLOOKUP(A152,'Personnel Screening Registry'!$A:$E,5,FALSE),"")</f>
        <v/>
      </c>
      <c r="D152" s="18">
        <f>IF(A152&lt;&gt;"",VLOOKUP(A152,'Personnel Screening Registry'!$A:$K,11,FALSE),"")</f>
        <v/>
      </c>
      <c r="E152" s="15" t="n"/>
      <c r="F152" s="16" t="n"/>
      <c r="G152" s="18">
        <f>IF(OR(A152="",F152="",E152=""),"",IF(E152="Annual",F152+365,IF(E152="Biennial",F152+730,IF(E152="3-Year",F152+1095,F152+365))))</f>
        <v/>
      </c>
      <c r="H152" s="14">
        <f>IF(A152="","",IF(G152="","Not-Scheduled",IF(G152&gt;=TODAY(),"Current",IF(G152&gt;=TODAY()-30,"Due-Soon","Overdue"))))</f>
        <v/>
      </c>
      <c r="I152" s="15" t="n"/>
      <c r="J152" s="15" t="n"/>
      <c r="K152" s="15" t="n"/>
      <c r="L152" s="14">
        <f>IF(A152="","",IF(AND(OR(H152="Current",H152="Due-Soon"),OR(I152="No",I152="N/A",AND(I152="Yes",K152="Yes"))),"Compliant",IF(H152="Overdue","Non-Compliant","Partial")))</f>
        <v/>
      </c>
      <c r="M152" s="15" t="n"/>
      <c r="N152" s="15" t="n"/>
    </row>
    <row r="153">
      <c r="A153" s="14">
        <f>IF(ROW()-4&lt;=COUNTA('Personnel Screening Registry'!$A:$A)-4,INDEX('Personnel Screening Registry'!$A:$A,ROW()-3),"")</f>
        <v/>
      </c>
      <c r="B153" s="14">
        <f>IF(A153&lt;&gt;"",VLOOKUP(A153,'Personnel Screening Registry'!$A:$B,2,FALSE),"")</f>
        <v/>
      </c>
      <c r="C153" s="14">
        <f>IF(A153&lt;&gt;"",VLOOKUP(A153,'Personnel Screening Registry'!$A:$E,5,FALSE),"")</f>
        <v/>
      </c>
      <c r="D153" s="18">
        <f>IF(A153&lt;&gt;"",VLOOKUP(A153,'Personnel Screening Registry'!$A:$K,11,FALSE),"")</f>
        <v/>
      </c>
      <c r="E153" s="15" t="n"/>
      <c r="F153" s="16" t="n"/>
      <c r="G153" s="18">
        <f>IF(OR(A153="",F153="",E153=""),"",IF(E153="Annual",F153+365,IF(E153="Biennial",F153+730,IF(E153="3-Year",F153+1095,F153+365))))</f>
        <v/>
      </c>
      <c r="H153" s="14">
        <f>IF(A153="","",IF(G153="","Not-Scheduled",IF(G153&gt;=TODAY(),"Current",IF(G153&gt;=TODAY()-30,"Due-Soon","Overdue"))))</f>
        <v/>
      </c>
      <c r="I153" s="15" t="n"/>
      <c r="J153" s="15" t="n"/>
      <c r="K153" s="15" t="n"/>
      <c r="L153" s="14">
        <f>IF(A153="","",IF(AND(OR(H153="Current",H153="Due-Soon"),OR(I153="No",I153="N/A",AND(I153="Yes",K153="Yes"))),"Compliant",IF(H153="Overdue","Non-Compliant","Partial")))</f>
        <v/>
      </c>
      <c r="M153" s="15" t="n"/>
      <c r="N153" s="15" t="n"/>
    </row>
    <row r="154">
      <c r="A154" s="14">
        <f>IF(ROW()-4&lt;=COUNTA('Personnel Screening Registry'!$A:$A)-4,INDEX('Personnel Screening Registry'!$A:$A,ROW()-3),"")</f>
        <v/>
      </c>
      <c r="B154" s="14">
        <f>IF(A154&lt;&gt;"",VLOOKUP(A154,'Personnel Screening Registry'!$A:$B,2,FALSE),"")</f>
        <v/>
      </c>
      <c r="C154" s="14">
        <f>IF(A154&lt;&gt;"",VLOOKUP(A154,'Personnel Screening Registry'!$A:$E,5,FALSE),"")</f>
        <v/>
      </c>
      <c r="D154" s="18">
        <f>IF(A154&lt;&gt;"",VLOOKUP(A154,'Personnel Screening Registry'!$A:$K,11,FALSE),"")</f>
        <v/>
      </c>
      <c r="E154" s="15" t="n"/>
      <c r="F154" s="16" t="n"/>
      <c r="G154" s="18">
        <f>IF(OR(A154="",F154="",E154=""),"",IF(E154="Annual",F154+365,IF(E154="Biennial",F154+730,IF(E154="3-Year",F154+1095,F154+365))))</f>
        <v/>
      </c>
      <c r="H154" s="14">
        <f>IF(A154="","",IF(G154="","Not-Scheduled",IF(G154&gt;=TODAY(),"Current",IF(G154&gt;=TODAY()-30,"Due-Soon","Overdue"))))</f>
        <v/>
      </c>
      <c r="I154" s="15" t="n"/>
      <c r="J154" s="15" t="n"/>
      <c r="K154" s="15" t="n"/>
      <c r="L154" s="14">
        <f>IF(A154="","",IF(AND(OR(H154="Current",H154="Due-Soon"),OR(I154="No",I154="N/A",AND(I154="Yes",K154="Yes"))),"Compliant",IF(H154="Overdue","Non-Compliant","Partial")))</f>
        <v/>
      </c>
      <c r="M154" s="15" t="n"/>
      <c r="N154" s="15" t="n"/>
    </row>
    <row r="155">
      <c r="A155" s="14">
        <f>IF(ROW()-4&lt;=COUNTA('Personnel Screening Registry'!$A:$A)-4,INDEX('Personnel Screening Registry'!$A:$A,ROW()-3),"")</f>
        <v/>
      </c>
      <c r="B155" s="14">
        <f>IF(A155&lt;&gt;"",VLOOKUP(A155,'Personnel Screening Registry'!$A:$B,2,FALSE),"")</f>
        <v/>
      </c>
      <c r="C155" s="14">
        <f>IF(A155&lt;&gt;"",VLOOKUP(A155,'Personnel Screening Registry'!$A:$E,5,FALSE),"")</f>
        <v/>
      </c>
      <c r="D155" s="18">
        <f>IF(A155&lt;&gt;"",VLOOKUP(A155,'Personnel Screening Registry'!$A:$K,11,FALSE),"")</f>
        <v/>
      </c>
      <c r="E155" s="15" t="n"/>
      <c r="F155" s="16" t="n"/>
      <c r="G155" s="18">
        <f>IF(OR(A155="",F155="",E155=""),"",IF(E155="Annual",F155+365,IF(E155="Biennial",F155+730,IF(E155="3-Year",F155+1095,F155+365))))</f>
        <v/>
      </c>
      <c r="H155" s="14">
        <f>IF(A155="","",IF(G155="","Not-Scheduled",IF(G155&gt;=TODAY(),"Current",IF(G155&gt;=TODAY()-30,"Due-Soon","Overdue"))))</f>
        <v/>
      </c>
      <c r="I155" s="15" t="n"/>
      <c r="J155" s="15" t="n"/>
      <c r="K155" s="15" t="n"/>
      <c r="L155" s="14">
        <f>IF(A155="","",IF(AND(OR(H155="Current",H155="Due-Soon"),OR(I155="No",I155="N/A",AND(I155="Yes",K155="Yes"))),"Compliant",IF(H155="Overdue","Non-Compliant","Partial")))</f>
        <v/>
      </c>
      <c r="M155" s="15" t="n"/>
      <c r="N155" s="15" t="n"/>
    </row>
    <row r="156">
      <c r="A156" s="14">
        <f>IF(ROW()-4&lt;=COUNTA('Personnel Screening Registry'!$A:$A)-4,INDEX('Personnel Screening Registry'!$A:$A,ROW()-3),"")</f>
        <v/>
      </c>
      <c r="B156" s="14">
        <f>IF(A156&lt;&gt;"",VLOOKUP(A156,'Personnel Screening Registry'!$A:$B,2,FALSE),"")</f>
        <v/>
      </c>
      <c r="C156" s="14">
        <f>IF(A156&lt;&gt;"",VLOOKUP(A156,'Personnel Screening Registry'!$A:$E,5,FALSE),"")</f>
        <v/>
      </c>
      <c r="D156" s="18">
        <f>IF(A156&lt;&gt;"",VLOOKUP(A156,'Personnel Screening Registry'!$A:$K,11,FALSE),"")</f>
        <v/>
      </c>
      <c r="E156" s="15" t="n"/>
      <c r="F156" s="16" t="n"/>
      <c r="G156" s="18">
        <f>IF(OR(A156="",F156="",E156=""),"",IF(E156="Annual",F156+365,IF(E156="Biennial",F156+730,IF(E156="3-Year",F156+1095,F156+365))))</f>
        <v/>
      </c>
      <c r="H156" s="14">
        <f>IF(A156="","",IF(G156="","Not-Scheduled",IF(G156&gt;=TODAY(),"Current",IF(G156&gt;=TODAY()-30,"Due-Soon","Overdue"))))</f>
        <v/>
      </c>
      <c r="I156" s="15" t="n"/>
      <c r="J156" s="15" t="n"/>
      <c r="K156" s="15" t="n"/>
      <c r="L156" s="14">
        <f>IF(A156="","",IF(AND(OR(H156="Current",H156="Due-Soon"),OR(I156="No",I156="N/A",AND(I156="Yes",K156="Yes"))),"Compliant",IF(H156="Overdue","Non-Compliant","Partial")))</f>
        <v/>
      </c>
      <c r="M156" s="15" t="n"/>
      <c r="N156" s="15" t="n"/>
    </row>
    <row r="157">
      <c r="A157" s="14">
        <f>IF(ROW()-4&lt;=COUNTA('Personnel Screening Registry'!$A:$A)-4,INDEX('Personnel Screening Registry'!$A:$A,ROW()-3),"")</f>
        <v/>
      </c>
      <c r="B157" s="14">
        <f>IF(A157&lt;&gt;"",VLOOKUP(A157,'Personnel Screening Registry'!$A:$B,2,FALSE),"")</f>
        <v/>
      </c>
      <c r="C157" s="14">
        <f>IF(A157&lt;&gt;"",VLOOKUP(A157,'Personnel Screening Registry'!$A:$E,5,FALSE),"")</f>
        <v/>
      </c>
      <c r="D157" s="18">
        <f>IF(A157&lt;&gt;"",VLOOKUP(A157,'Personnel Screening Registry'!$A:$K,11,FALSE),"")</f>
        <v/>
      </c>
      <c r="E157" s="15" t="n"/>
      <c r="F157" s="16" t="n"/>
      <c r="G157" s="18">
        <f>IF(OR(A157="",F157="",E157=""),"",IF(E157="Annual",F157+365,IF(E157="Biennial",F157+730,IF(E157="3-Year",F157+1095,F157+365))))</f>
        <v/>
      </c>
      <c r="H157" s="14">
        <f>IF(A157="","",IF(G157="","Not-Scheduled",IF(G157&gt;=TODAY(),"Current",IF(G157&gt;=TODAY()-30,"Due-Soon","Overdue"))))</f>
        <v/>
      </c>
      <c r="I157" s="15" t="n"/>
      <c r="J157" s="15" t="n"/>
      <c r="K157" s="15" t="n"/>
      <c r="L157" s="14">
        <f>IF(A157="","",IF(AND(OR(H157="Current",H157="Due-Soon"),OR(I157="No",I157="N/A",AND(I157="Yes",K157="Yes"))),"Compliant",IF(H157="Overdue","Non-Compliant","Partial")))</f>
        <v/>
      </c>
      <c r="M157" s="15" t="n"/>
      <c r="N157" s="15" t="n"/>
    </row>
    <row r="158">
      <c r="A158" s="14">
        <f>IF(ROW()-4&lt;=COUNTA('Personnel Screening Registry'!$A:$A)-4,INDEX('Personnel Screening Registry'!$A:$A,ROW()-3),"")</f>
        <v/>
      </c>
      <c r="B158" s="14">
        <f>IF(A158&lt;&gt;"",VLOOKUP(A158,'Personnel Screening Registry'!$A:$B,2,FALSE),"")</f>
        <v/>
      </c>
      <c r="C158" s="14">
        <f>IF(A158&lt;&gt;"",VLOOKUP(A158,'Personnel Screening Registry'!$A:$E,5,FALSE),"")</f>
        <v/>
      </c>
      <c r="D158" s="18">
        <f>IF(A158&lt;&gt;"",VLOOKUP(A158,'Personnel Screening Registry'!$A:$K,11,FALSE),"")</f>
        <v/>
      </c>
      <c r="E158" s="15" t="n"/>
      <c r="F158" s="16" t="n"/>
      <c r="G158" s="18">
        <f>IF(OR(A158="",F158="",E158=""),"",IF(E158="Annual",F158+365,IF(E158="Biennial",F158+730,IF(E158="3-Year",F158+1095,F158+365))))</f>
        <v/>
      </c>
      <c r="H158" s="14">
        <f>IF(A158="","",IF(G158="","Not-Scheduled",IF(G158&gt;=TODAY(),"Current",IF(G158&gt;=TODAY()-30,"Due-Soon","Overdue"))))</f>
        <v/>
      </c>
      <c r="I158" s="15" t="n"/>
      <c r="J158" s="15" t="n"/>
      <c r="K158" s="15" t="n"/>
      <c r="L158" s="14">
        <f>IF(A158="","",IF(AND(OR(H158="Current",H158="Due-Soon"),OR(I158="No",I158="N/A",AND(I158="Yes",K158="Yes"))),"Compliant",IF(H158="Overdue","Non-Compliant","Partial")))</f>
        <v/>
      </c>
      <c r="M158" s="15" t="n"/>
      <c r="N158" s="15" t="n"/>
    </row>
    <row r="159">
      <c r="A159" s="14">
        <f>IF(ROW()-4&lt;=COUNTA('Personnel Screening Registry'!$A:$A)-4,INDEX('Personnel Screening Registry'!$A:$A,ROW()-3),"")</f>
        <v/>
      </c>
      <c r="B159" s="14">
        <f>IF(A159&lt;&gt;"",VLOOKUP(A159,'Personnel Screening Registry'!$A:$B,2,FALSE),"")</f>
        <v/>
      </c>
      <c r="C159" s="14">
        <f>IF(A159&lt;&gt;"",VLOOKUP(A159,'Personnel Screening Registry'!$A:$E,5,FALSE),"")</f>
        <v/>
      </c>
      <c r="D159" s="18">
        <f>IF(A159&lt;&gt;"",VLOOKUP(A159,'Personnel Screening Registry'!$A:$K,11,FALSE),"")</f>
        <v/>
      </c>
      <c r="E159" s="15" t="n"/>
      <c r="F159" s="16" t="n"/>
      <c r="G159" s="18">
        <f>IF(OR(A159="",F159="",E159=""),"",IF(E159="Annual",F159+365,IF(E159="Biennial",F159+730,IF(E159="3-Year",F159+1095,F159+365))))</f>
        <v/>
      </c>
      <c r="H159" s="14">
        <f>IF(A159="","",IF(G159="","Not-Scheduled",IF(G159&gt;=TODAY(),"Current",IF(G159&gt;=TODAY()-30,"Due-Soon","Overdue"))))</f>
        <v/>
      </c>
      <c r="I159" s="15" t="n"/>
      <c r="J159" s="15" t="n"/>
      <c r="K159" s="15" t="n"/>
      <c r="L159" s="14">
        <f>IF(A159="","",IF(AND(OR(H159="Current",H159="Due-Soon"),OR(I159="No",I159="N/A",AND(I159="Yes",K159="Yes"))),"Compliant",IF(H159="Overdue","Non-Compliant","Partial")))</f>
        <v/>
      </c>
      <c r="M159" s="15" t="n"/>
      <c r="N159" s="15" t="n"/>
    </row>
    <row r="160">
      <c r="A160" s="14">
        <f>IF(ROW()-4&lt;=COUNTA('Personnel Screening Registry'!$A:$A)-4,INDEX('Personnel Screening Registry'!$A:$A,ROW()-3),"")</f>
        <v/>
      </c>
      <c r="B160" s="14">
        <f>IF(A160&lt;&gt;"",VLOOKUP(A160,'Personnel Screening Registry'!$A:$B,2,FALSE),"")</f>
        <v/>
      </c>
      <c r="C160" s="14">
        <f>IF(A160&lt;&gt;"",VLOOKUP(A160,'Personnel Screening Registry'!$A:$E,5,FALSE),"")</f>
        <v/>
      </c>
      <c r="D160" s="18">
        <f>IF(A160&lt;&gt;"",VLOOKUP(A160,'Personnel Screening Registry'!$A:$K,11,FALSE),"")</f>
        <v/>
      </c>
      <c r="E160" s="15" t="n"/>
      <c r="F160" s="16" t="n"/>
      <c r="G160" s="18">
        <f>IF(OR(A160="",F160="",E160=""),"",IF(E160="Annual",F160+365,IF(E160="Biennial",F160+730,IF(E160="3-Year",F160+1095,F160+365))))</f>
        <v/>
      </c>
      <c r="H160" s="14">
        <f>IF(A160="","",IF(G160="","Not-Scheduled",IF(G160&gt;=TODAY(),"Current",IF(G160&gt;=TODAY()-30,"Due-Soon","Overdue"))))</f>
        <v/>
      </c>
      <c r="I160" s="15" t="n"/>
      <c r="J160" s="15" t="n"/>
      <c r="K160" s="15" t="n"/>
      <c r="L160" s="14">
        <f>IF(A160="","",IF(AND(OR(H160="Current",H160="Due-Soon"),OR(I160="No",I160="N/A",AND(I160="Yes",K160="Yes"))),"Compliant",IF(H160="Overdue","Non-Compliant","Partial")))</f>
        <v/>
      </c>
      <c r="M160" s="15" t="n"/>
      <c r="N160" s="15" t="n"/>
    </row>
    <row r="161">
      <c r="A161" s="14">
        <f>IF(ROW()-4&lt;=COUNTA('Personnel Screening Registry'!$A:$A)-4,INDEX('Personnel Screening Registry'!$A:$A,ROW()-3),"")</f>
        <v/>
      </c>
      <c r="B161" s="14">
        <f>IF(A161&lt;&gt;"",VLOOKUP(A161,'Personnel Screening Registry'!$A:$B,2,FALSE),"")</f>
        <v/>
      </c>
      <c r="C161" s="14">
        <f>IF(A161&lt;&gt;"",VLOOKUP(A161,'Personnel Screening Registry'!$A:$E,5,FALSE),"")</f>
        <v/>
      </c>
      <c r="D161" s="18">
        <f>IF(A161&lt;&gt;"",VLOOKUP(A161,'Personnel Screening Registry'!$A:$K,11,FALSE),"")</f>
        <v/>
      </c>
      <c r="E161" s="15" t="n"/>
      <c r="F161" s="16" t="n"/>
      <c r="G161" s="18">
        <f>IF(OR(A161="",F161="",E161=""),"",IF(E161="Annual",F161+365,IF(E161="Biennial",F161+730,IF(E161="3-Year",F161+1095,F161+365))))</f>
        <v/>
      </c>
      <c r="H161" s="14">
        <f>IF(A161="","",IF(G161="","Not-Scheduled",IF(G161&gt;=TODAY(),"Current",IF(G161&gt;=TODAY()-30,"Due-Soon","Overdue"))))</f>
        <v/>
      </c>
      <c r="I161" s="15" t="n"/>
      <c r="J161" s="15" t="n"/>
      <c r="K161" s="15" t="n"/>
      <c r="L161" s="14">
        <f>IF(A161="","",IF(AND(OR(H161="Current",H161="Due-Soon"),OR(I161="No",I161="N/A",AND(I161="Yes",K161="Yes"))),"Compliant",IF(H161="Overdue","Non-Compliant","Partial")))</f>
        <v/>
      </c>
      <c r="M161" s="15" t="n"/>
      <c r="N161" s="15" t="n"/>
    </row>
    <row r="162">
      <c r="A162" s="14">
        <f>IF(ROW()-4&lt;=COUNTA('Personnel Screening Registry'!$A:$A)-4,INDEX('Personnel Screening Registry'!$A:$A,ROW()-3),"")</f>
        <v/>
      </c>
      <c r="B162" s="14">
        <f>IF(A162&lt;&gt;"",VLOOKUP(A162,'Personnel Screening Registry'!$A:$B,2,FALSE),"")</f>
        <v/>
      </c>
      <c r="C162" s="14">
        <f>IF(A162&lt;&gt;"",VLOOKUP(A162,'Personnel Screening Registry'!$A:$E,5,FALSE),"")</f>
        <v/>
      </c>
      <c r="D162" s="18">
        <f>IF(A162&lt;&gt;"",VLOOKUP(A162,'Personnel Screening Registry'!$A:$K,11,FALSE),"")</f>
        <v/>
      </c>
      <c r="E162" s="15" t="n"/>
      <c r="F162" s="16" t="n"/>
      <c r="G162" s="18">
        <f>IF(OR(A162="",F162="",E162=""),"",IF(E162="Annual",F162+365,IF(E162="Biennial",F162+730,IF(E162="3-Year",F162+1095,F162+365))))</f>
        <v/>
      </c>
      <c r="H162" s="14">
        <f>IF(A162="","",IF(G162="","Not-Scheduled",IF(G162&gt;=TODAY(),"Current",IF(G162&gt;=TODAY()-30,"Due-Soon","Overdue"))))</f>
        <v/>
      </c>
      <c r="I162" s="15" t="n"/>
      <c r="J162" s="15" t="n"/>
      <c r="K162" s="15" t="n"/>
      <c r="L162" s="14">
        <f>IF(A162="","",IF(AND(OR(H162="Current",H162="Due-Soon"),OR(I162="No",I162="N/A",AND(I162="Yes",K162="Yes"))),"Compliant",IF(H162="Overdue","Non-Compliant","Partial")))</f>
        <v/>
      </c>
      <c r="M162" s="15" t="n"/>
      <c r="N162" s="15" t="n"/>
    </row>
    <row r="163">
      <c r="A163" s="14">
        <f>IF(ROW()-4&lt;=COUNTA('Personnel Screening Registry'!$A:$A)-4,INDEX('Personnel Screening Registry'!$A:$A,ROW()-3),"")</f>
        <v/>
      </c>
      <c r="B163" s="14">
        <f>IF(A163&lt;&gt;"",VLOOKUP(A163,'Personnel Screening Registry'!$A:$B,2,FALSE),"")</f>
        <v/>
      </c>
      <c r="C163" s="14">
        <f>IF(A163&lt;&gt;"",VLOOKUP(A163,'Personnel Screening Registry'!$A:$E,5,FALSE),"")</f>
        <v/>
      </c>
      <c r="D163" s="18">
        <f>IF(A163&lt;&gt;"",VLOOKUP(A163,'Personnel Screening Registry'!$A:$K,11,FALSE),"")</f>
        <v/>
      </c>
      <c r="E163" s="15" t="n"/>
      <c r="F163" s="16" t="n"/>
      <c r="G163" s="18">
        <f>IF(OR(A163="",F163="",E163=""),"",IF(E163="Annual",F163+365,IF(E163="Biennial",F163+730,IF(E163="3-Year",F163+1095,F163+365))))</f>
        <v/>
      </c>
      <c r="H163" s="14">
        <f>IF(A163="","",IF(G163="","Not-Scheduled",IF(G163&gt;=TODAY(),"Current",IF(G163&gt;=TODAY()-30,"Due-Soon","Overdue"))))</f>
        <v/>
      </c>
      <c r="I163" s="15" t="n"/>
      <c r="J163" s="15" t="n"/>
      <c r="K163" s="15" t="n"/>
      <c r="L163" s="14">
        <f>IF(A163="","",IF(AND(OR(H163="Current",H163="Due-Soon"),OR(I163="No",I163="N/A",AND(I163="Yes",K163="Yes"))),"Compliant",IF(H163="Overdue","Non-Compliant","Partial")))</f>
        <v/>
      </c>
      <c r="M163" s="15" t="n"/>
      <c r="N163" s="15" t="n"/>
    </row>
    <row r="164">
      <c r="A164" s="14">
        <f>IF(ROW()-4&lt;=COUNTA('Personnel Screening Registry'!$A:$A)-4,INDEX('Personnel Screening Registry'!$A:$A,ROW()-3),"")</f>
        <v/>
      </c>
      <c r="B164" s="14">
        <f>IF(A164&lt;&gt;"",VLOOKUP(A164,'Personnel Screening Registry'!$A:$B,2,FALSE),"")</f>
        <v/>
      </c>
      <c r="C164" s="14">
        <f>IF(A164&lt;&gt;"",VLOOKUP(A164,'Personnel Screening Registry'!$A:$E,5,FALSE),"")</f>
        <v/>
      </c>
      <c r="D164" s="18">
        <f>IF(A164&lt;&gt;"",VLOOKUP(A164,'Personnel Screening Registry'!$A:$K,11,FALSE),"")</f>
        <v/>
      </c>
      <c r="E164" s="15" t="n"/>
      <c r="F164" s="16" t="n"/>
      <c r="G164" s="18">
        <f>IF(OR(A164="",F164="",E164=""),"",IF(E164="Annual",F164+365,IF(E164="Biennial",F164+730,IF(E164="3-Year",F164+1095,F164+365))))</f>
        <v/>
      </c>
      <c r="H164" s="14">
        <f>IF(A164="","",IF(G164="","Not-Scheduled",IF(G164&gt;=TODAY(),"Current",IF(G164&gt;=TODAY()-30,"Due-Soon","Overdue"))))</f>
        <v/>
      </c>
      <c r="I164" s="15" t="n"/>
      <c r="J164" s="15" t="n"/>
      <c r="K164" s="15" t="n"/>
      <c r="L164" s="14">
        <f>IF(A164="","",IF(AND(OR(H164="Current",H164="Due-Soon"),OR(I164="No",I164="N/A",AND(I164="Yes",K164="Yes"))),"Compliant",IF(H164="Overdue","Non-Compliant","Partial")))</f>
        <v/>
      </c>
      <c r="M164" s="15" t="n"/>
      <c r="N164" s="15" t="n"/>
    </row>
    <row r="165">
      <c r="A165" s="14">
        <f>IF(ROW()-4&lt;=COUNTA('Personnel Screening Registry'!$A:$A)-4,INDEX('Personnel Screening Registry'!$A:$A,ROW()-3),"")</f>
        <v/>
      </c>
      <c r="B165" s="14">
        <f>IF(A165&lt;&gt;"",VLOOKUP(A165,'Personnel Screening Registry'!$A:$B,2,FALSE),"")</f>
        <v/>
      </c>
      <c r="C165" s="14">
        <f>IF(A165&lt;&gt;"",VLOOKUP(A165,'Personnel Screening Registry'!$A:$E,5,FALSE),"")</f>
        <v/>
      </c>
      <c r="D165" s="18">
        <f>IF(A165&lt;&gt;"",VLOOKUP(A165,'Personnel Screening Registry'!$A:$K,11,FALSE),"")</f>
        <v/>
      </c>
      <c r="E165" s="15" t="n"/>
      <c r="F165" s="16" t="n"/>
      <c r="G165" s="18">
        <f>IF(OR(A165="",F165="",E165=""),"",IF(E165="Annual",F165+365,IF(E165="Biennial",F165+730,IF(E165="3-Year",F165+1095,F165+365))))</f>
        <v/>
      </c>
      <c r="H165" s="14">
        <f>IF(A165="","",IF(G165="","Not-Scheduled",IF(G165&gt;=TODAY(),"Current",IF(G165&gt;=TODAY()-30,"Due-Soon","Overdue"))))</f>
        <v/>
      </c>
      <c r="I165" s="15" t="n"/>
      <c r="J165" s="15" t="n"/>
      <c r="K165" s="15" t="n"/>
      <c r="L165" s="14">
        <f>IF(A165="","",IF(AND(OR(H165="Current",H165="Due-Soon"),OR(I165="No",I165="N/A",AND(I165="Yes",K165="Yes"))),"Compliant",IF(H165="Overdue","Non-Compliant","Partial")))</f>
        <v/>
      </c>
      <c r="M165" s="15" t="n"/>
      <c r="N165" s="15" t="n"/>
    </row>
    <row r="166">
      <c r="A166" s="14">
        <f>IF(ROW()-4&lt;=COUNTA('Personnel Screening Registry'!$A:$A)-4,INDEX('Personnel Screening Registry'!$A:$A,ROW()-3),"")</f>
        <v/>
      </c>
      <c r="B166" s="14">
        <f>IF(A166&lt;&gt;"",VLOOKUP(A166,'Personnel Screening Registry'!$A:$B,2,FALSE),"")</f>
        <v/>
      </c>
      <c r="C166" s="14">
        <f>IF(A166&lt;&gt;"",VLOOKUP(A166,'Personnel Screening Registry'!$A:$E,5,FALSE),"")</f>
        <v/>
      </c>
      <c r="D166" s="18">
        <f>IF(A166&lt;&gt;"",VLOOKUP(A166,'Personnel Screening Registry'!$A:$K,11,FALSE),"")</f>
        <v/>
      </c>
      <c r="E166" s="15" t="n"/>
      <c r="F166" s="16" t="n"/>
      <c r="G166" s="18">
        <f>IF(OR(A166="",F166="",E166=""),"",IF(E166="Annual",F166+365,IF(E166="Biennial",F166+730,IF(E166="3-Year",F166+1095,F166+365))))</f>
        <v/>
      </c>
      <c r="H166" s="14">
        <f>IF(A166="","",IF(G166="","Not-Scheduled",IF(G166&gt;=TODAY(),"Current",IF(G166&gt;=TODAY()-30,"Due-Soon","Overdue"))))</f>
        <v/>
      </c>
      <c r="I166" s="15" t="n"/>
      <c r="J166" s="15" t="n"/>
      <c r="K166" s="15" t="n"/>
      <c r="L166" s="14">
        <f>IF(A166="","",IF(AND(OR(H166="Current",H166="Due-Soon"),OR(I166="No",I166="N/A",AND(I166="Yes",K166="Yes"))),"Compliant",IF(H166="Overdue","Non-Compliant","Partial")))</f>
        <v/>
      </c>
      <c r="M166" s="15" t="n"/>
      <c r="N166" s="15" t="n"/>
    </row>
    <row r="167">
      <c r="A167" s="14">
        <f>IF(ROW()-4&lt;=COUNTA('Personnel Screening Registry'!$A:$A)-4,INDEX('Personnel Screening Registry'!$A:$A,ROW()-3),"")</f>
        <v/>
      </c>
      <c r="B167" s="14">
        <f>IF(A167&lt;&gt;"",VLOOKUP(A167,'Personnel Screening Registry'!$A:$B,2,FALSE),"")</f>
        <v/>
      </c>
      <c r="C167" s="14">
        <f>IF(A167&lt;&gt;"",VLOOKUP(A167,'Personnel Screening Registry'!$A:$E,5,FALSE),"")</f>
        <v/>
      </c>
      <c r="D167" s="18">
        <f>IF(A167&lt;&gt;"",VLOOKUP(A167,'Personnel Screening Registry'!$A:$K,11,FALSE),"")</f>
        <v/>
      </c>
      <c r="E167" s="15" t="n"/>
      <c r="F167" s="16" t="n"/>
      <c r="G167" s="18">
        <f>IF(OR(A167="",F167="",E167=""),"",IF(E167="Annual",F167+365,IF(E167="Biennial",F167+730,IF(E167="3-Year",F167+1095,F167+365))))</f>
        <v/>
      </c>
      <c r="H167" s="14">
        <f>IF(A167="","",IF(G167="","Not-Scheduled",IF(G167&gt;=TODAY(),"Current",IF(G167&gt;=TODAY()-30,"Due-Soon","Overdue"))))</f>
        <v/>
      </c>
      <c r="I167" s="15" t="n"/>
      <c r="J167" s="15" t="n"/>
      <c r="K167" s="15" t="n"/>
      <c r="L167" s="14">
        <f>IF(A167="","",IF(AND(OR(H167="Current",H167="Due-Soon"),OR(I167="No",I167="N/A",AND(I167="Yes",K167="Yes"))),"Compliant",IF(H167="Overdue","Non-Compliant","Partial")))</f>
        <v/>
      </c>
      <c r="M167" s="15" t="n"/>
      <c r="N167" s="15" t="n"/>
    </row>
    <row r="168">
      <c r="A168" s="14">
        <f>IF(ROW()-4&lt;=COUNTA('Personnel Screening Registry'!$A:$A)-4,INDEX('Personnel Screening Registry'!$A:$A,ROW()-3),"")</f>
        <v/>
      </c>
      <c r="B168" s="14">
        <f>IF(A168&lt;&gt;"",VLOOKUP(A168,'Personnel Screening Registry'!$A:$B,2,FALSE),"")</f>
        <v/>
      </c>
      <c r="C168" s="14">
        <f>IF(A168&lt;&gt;"",VLOOKUP(A168,'Personnel Screening Registry'!$A:$E,5,FALSE),"")</f>
        <v/>
      </c>
      <c r="D168" s="18">
        <f>IF(A168&lt;&gt;"",VLOOKUP(A168,'Personnel Screening Registry'!$A:$K,11,FALSE),"")</f>
        <v/>
      </c>
      <c r="E168" s="15" t="n"/>
      <c r="F168" s="16" t="n"/>
      <c r="G168" s="18">
        <f>IF(OR(A168="",F168="",E168=""),"",IF(E168="Annual",F168+365,IF(E168="Biennial",F168+730,IF(E168="3-Year",F168+1095,F168+365))))</f>
        <v/>
      </c>
      <c r="H168" s="14">
        <f>IF(A168="","",IF(G168="","Not-Scheduled",IF(G168&gt;=TODAY(),"Current",IF(G168&gt;=TODAY()-30,"Due-Soon","Overdue"))))</f>
        <v/>
      </c>
      <c r="I168" s="15" t="n"/>
      <c r="J168" s="15" t="n"/>
      <c r="K168" s="15" t="n"/>
      <c r="L168" s="14">
        <f>IF(A168="","",IF(AND(OR(H168="Current",H168="Due-Soon"),OR(I168="No",I168="N/A",AND(I168="Yes",K168="Yes"))),"Compliant",IF(H168="Overdue","Non-Compliant","Partial")))</f>
        <v/>
      </c>
      <c r="M168" s="15" t="n"/>
      <c r="N168" s="15" t="n"/>
    </row>
    <row r="169">
      <c r="A169" s="14">
        <f>IF(ROW()-4&lt;=COUNTA('Personnel Screening Registry'!$A:$A)-4,INDEX('Personnel Screening Registry'!$A:$A,ROW()-3),"")</f>
        <v/>
      </c>
      <c r="B169" s="14">
        <f>IF(A169&lt;&gt;"",VLOOKUP(A169,'Personnel Screening Registry'!$A:$B,2,FALSE),"")</f>
        <v/>
      </c>
      <c r="C169" s="14">
        <f>IF(A169&lt;&gt;"",VLOOKUP(A169,'Personnel Screening Registry'!$A:$E,5,FALSE),"")</f>
        <v/>
      </c>
      <c r="D169" s="18">
        <f>IF(A169&lt;&gt;"",VLOOKUP(A169,'Personnel Screening Registry'!$A:$K,11,FALSE),"")</f>
        <v/>
      </c>
      <c r="E169" s="15" t="n"/>
      <c r="F169" s="16" t="n"/>
      <c r="G169" s="18">
        <f>IF(OR(A169="",F169="",E169=""),"",IF(E169="Annual",F169+365,IF(E169="Biennial",F169+730,IF(E169="3-Year",F169+1095,F169+365))))</f>
        <v/>
      </c>
      <c r="H169" s="14">
        <f>IF(A169="","",IF(G169="","Not-Scheduled",IF(G169&gt;=TODAY(),"Current",IF(G169&gt;=TODAY()-30,"Due-Soon","Overdue"))))</f>
        <v/>
      </c>
      <c r="I169" s="15" t="n"/>
      <c r="J169" s="15" t="n"/>
      <c r="K169" s="15" t="n"/>
      <c r="L169" s="14">
        <f>IF(A169="","",IF(AND(OR(H169="Current",H169="Due-Soon"),OR(I169="No",I169="N/A",AND(I169="Yes",K169="Yes"))),"Compliant",IF(H169="Overdue","Non-Compliant","Partial")))</f>
        <v/>
      </c>
      <c r="M169" s="15" t="n"/>
      <c r="N169" s="15" t="n"/>
    </row>
    <row r="170">
      <c r="A170" s="14">
        <f>IF(ROW()-4&lt;=COUNTA('Personnel Screening Registry'!$A:$A)-4,INDEX('Personnel Screening Registry'!$A:$A,ROW()-3),"")</f>
        <v/>
      </c>
      <c r="B170" s="14">
        <f>IF(A170&lt;&gt;"",VLOOKUP(A170,'Personnel Screening Registry'!$A:$B,2,FALSE),"")</f>
        <v/>
      </c>
      <c r="C170" s="14">
        <f>IF(A170&lt;&gt;"",VLOOKUP(A170,'Personnel Screening Registry'!$A:$E,5,FALSE),"")</f>
        <v/>
      </c>
      <c r="D170" s="18">
        <f>IF(A170&lt;&gt;"",VLOOKUP(A170,'Personnel Screening Registry'!$A:$K,11,FALSE),"")</f>
        <v/>
      </c>
      <c r="E170" s="15" t="n"/>
      <c r="F170" s="16" t="n"/>
      <c r="G170" s="18">
        <f>IF(OR(A170="",F170="",E170=""),"",IF(E170="Annual",F170+365,IF(E170="Biennial",F170+730,IF(E170="3-Year",F170+1095,F170+365))))</f>
        <v/>
      </c>
      <c r="H170" s="14">
        <f>IF(A170="","",IF(G170="","Not-Scheduled",IF(G170&gt;=TODAY(),"Current",IF(G170&gt;=TODAY()-30,"Due-Soon","Overdue"))))</f>
        <v/>
      </c>
      <c r="I170" s="15" t="n"/>
      <c r="J170" s="15" t="n"/>
      <c r="K170" s="15" t="n"/>
      <c r="L170" s="14">
        <f>IF(A170="","",IF(AND(OR(H170="Current",H170="Due-Soon"),OR(I170="No",I170="N/A",AND(I170="Yes",K170="Yes"))),"Compliant",IF(H170="Overdue","Non-Compliant","Partial")))</f>
        <v/>
      </c>
      <c r="M170" s="15" t="n"/>
      <c r="N170" s="15" t="n"/>
    </row>
    <row r="171">
      <c r="A171" s="14">
        <f>IF(ROW()-4&lt;=COUNTA('Personnel Screening Registry'!$A:$A)-4,INDEX('Personnel Screening Registry'!$A:$A,ROW()-3),"")</f>
        <v/>
      </c>
      <c r="B171" s="14">
        <f>IF(A171&lt;&gt;"",VLOOKUP(A171,'Personnel Screening Registry'!$A:$B,2,FALSE),"")</f>
        <v/>
      </c>
      <c r="C171" s="14">
        <f>IF(A171&lt;&gt;"",VLOOKUP(A171,'Personnel Screening Registry'!$A:$E,5,FALSE),"")</f>
        <v/>
      </c>
      <c r="D171" s="18">
        <f>IF(A171&lt;&gt;"",VLOOKUP(A171,'Personnel Screening Registry'!$A:$K,11,FALSE),"")</f>
        <v/>
      </c>
      <c r="E171" s="15" t="n"/>
      <c r="F171" s="16" t="n"/>
      <c r="G171" s="18">
        <f>IF(OR(A171="",F171="",E171=""),"",IF(E171="Annual",F171+365,IF(E171="Biennial",F171+730,IF(E171="3-Year",F171+1095,F171+365))))</f>
        <v/>
      </c>
      <c r="H171" s="14">
        <f>IF(A171="","",IF(G171="","Not-Scheduled",IF(G171&gt;=TODAY(),"Current",IF(G171&gt;=TODAY()-30,"Due-Soon","Overdue"))))</f>
        <v/>
      </c>
      <c r="I171" s="15" t="n"/>
      <c r="J171" s="15" t="n"/>
      <c r="K171" s="15" t="n"/>
      <c r="L171" s="14">
        <f>IF(A171="","",IF(AND(OR(H171="Current",H171="Due-Soon"),OR(I171="No",I171="N/A",AND(I171="Yes",K171="Yes"))),"Compliant",IF(H171="Overdue","Non-Compliant","Partial")))</f>
        <v/>
      </c>
      <c r="M171" s="15" t="n"/>
      <c r="N171" s="15" t="n"/>
    </row>
    <row r="172">
      <c r="A172" s="14">
        <f>IF(ROW()-4&lt;=COUNTA('Personnel Screening Registry'!$A:$A)-4,INDEX('Personnel Screening Registry'!$A:$A,ROW()-3),"")</f>
        <v/>
      </c>
      <c r="B172" s="14">
        <f>IF(A172&lt;&gt;"",VLOOKUP(A172,'Personnel Screening Registry'!$A:$B,2,FALSE),"")</f>
        <v/>
      </c>
      <c r="C172" s="14">
        <f>IF(A172&lt;&gt;"",VLOOKUP(A172,'Personnel Screening Registry'!$A:$E,5,FALSE),"")</f>
        <v/>
      </c>
      <c r="D172" s="18">
        <f>IF(A172&lt;&gt;"",VLOOKUP(A172,'Personnel Screening Registry'!$A:$K,11,FALSE),"")</f>
        <v/>
      </c>
      <c r="E172" s="15" t="n"/>
      <c r="F172" s="16" t="n"/>
      <c r="G172" s="18">
        <f>IF(OR(A172="",F172="",E172=""),"",IF(E172="Annual",F172+365,IF(E172="Biennial",F172+730,IF(E172="3-Year",F172+1095,F172+365))))</f>
        <v/>
      </c>
      <c r="H172" s="14">
        <f>IF(A172="","",IF(G172="","Not-Scheduled",IF(G172&gt;=TODAY(),"Current",IF(G172&gt;=TODAY()-30,"Due-Soon","Overdue"))))</f>
        <v/>
      </c>
      <c r="I172" s="15" t="n"/>
      <c r="J172" s="15" t="n"/>
      <c r="K172" s="15" t="n"/>
      <c r="L172" s="14">
        <f>IF(A172="","",IF(AND(OR(H172="Current",H172="Due-Soon"),OR(I172="No",I172="N/A",AND(I172="Yes",K172="Yes"))),"Compliant",IF(H172="Overdue","Non-Compliant","Partial")))</f>
        <v/>
      </c>
      <c r="M172" s="15" t="n"/>
      <c r="N172" s="15" t="n"/>
    </row>
    <row r="173">
      <c r="A173" s="14">
        <f>IF(ROW()-4&lt;=COUNTA('Personnel Screening Registry'!$A:$A)-4,INDEX('Personnel Screening Registry'!$A:$A,ROW()-3),"")</f>
        <v/>
      </c>
      <c r="B173" s="14">
        <f>IF(A173&lt;&gt;"",VLOOKUP(A173,'Personnel Screening Registry'!$A:$B,2,FALSE),"")</f>
        <v/>
      </c>
      <c r="C173" s="14">
        <f>IF(A173&lt;&gt;"",VLOOKUP(A173,'Personnel Screening Registry'!$A:$E,5,FALSE),"")</f>
        <v/>
      </c>
      <c r="D173" s="18">
        <f>IF(A173&lt;&gt;"",VLOOKUP(A173,'Personnel Screening Registry'!$A:$K,11,FALSE),"")</f>
        <v/>
      </c>
      <c r="E173" s="15" t="n"/>
      <c r="F173" s="16" t="n"/>
      <c r="G173" s="18">
        <f>IF(OR(A173="",F173="",E173=""),"",IF(E173="Annual",F173+365,IF(E173="Biennial",F173+730,IF(E173="3-Year",F173+1095,F173+365))))</f>
        <v/>
      </c>
      <c r="H173" s="14">
        <f>IF(A173="","",IF(G173="","Not-Scheduled",IF(G173&gt;=TODAY(),"Current",IF(G173&gt;=TODAY()-30,"Due-Soon","Overdue"))))</f>
        <v/>
      </c>
      <c r="I173" s="15" t="n"/>
      <c r="J173" s="15" t="n"/>
      <c r="K173" s="15" t="n"/>
      <c r="L173" s="14">
        <f>IF(A173="","",IF(AND(OR(H173="Current",H173="Due-Soon"),OR(I173="No",I173="N/A",AND(I173="Yes",K173="Yes"))),"Compliant",IF(H173="Overdue","Non-Compliant","Partial")))</f>
        <v/>
      </c>
      <c r="M173" s="15" t="n"/>
      <c r="N173" s="15" t="n"/>
    </row>
    <row r="174">
      <c r="A174" s="14">
        <f>IF(ROW()-4&lt;=COUNTA('Personnel Screening Registry'!$A:$A)-4,INDEX('Personnel Screening Registry'!$A:$A,ROW()-3),"")</f>
        <v/>
      </c>
      <c r="B174" s="14">
        <f>IF(A174&lt;&gt;"",VLOOKUP(A174,'Personnel Screening Registry'!$A:$B,2,FALSE),"")</f>
        <v/>
      </c>
      <c r="C174" s="14">
        <f>IF(A174&lt;&gt;"",VLOOKUP(A174,'Personnel Screening Registry'!$A:$E,5,FALSE),"")</f>
        <v/>
      </c>
      <c r="D174" s="18">
        <f>IF(A174&lt;&gt;"",VLOOKUP(A174,'Personnel Screening Registry'!$A:$K,11,FALSE),"")</f>
        <v/>
      </c>
      <c r="E174" s="15" t="n"/>
      <c r="F174" s="16" t="n"/>
      <c r="G174" s="18">
        <f>IF(OR(A174="",F174="",E174=""),"",IF(E174="Annual",F174+365,IF(E174="Biennial",F174+730,IF(E174="3-Year",F174+1095,F174+365))))</f>
        <v/>
      </c>
      <c r="H174" s="14">
        <f>IF(A174="","",IF(G174="","Not-Scheduled",IF(G174&gt;=TODAY(),"Current",IF(G174&gt;=TODAY()-30,"Due-Soon","Overdue"))))</f>
        <v/>
      </c>
      <c r="I174" s="15" t="n"/>
      <c r="J174" s="15" t="n"/>
      <c r="K174" s="15" t="n"/>
      <c r="L174" s="14">
        <f>IF(A174="","",IF(AND(OR(H174="Current",H174="Due-Soon"),OR(I174="No",I174="N/A",AND(I174="Yes",K174="Yes"))),"Compliant",IF(H174="Overdue","Non-Compliant","Partial")))</f>
        <v/>
      </c>
      <c r="M174" s="15" t="n"/>
      <c r="N174" s="15" t="n"/>
    </row>
    <row r="175">
      <c r="A175" s="14">
        <f>IF(ROW()-4&lt;=COUNTA('Personnel Screening Registry'!$A:$A)-4,INDEX('Personnel Screening Registry'!$A:$A,ROW()-3),"")</f>
        <v/>
      </c>
      <c r="B175" s="14">
        <f>IF(A175&lt;&gt;"",VLOOKUP(A175,'Personnel Screening Registry'!$A:$B,2,FALSE),"")</f>
        <v/>
      </c>
      <c r="C175" s="14">
        <f>IF(A175&lt;&gt;"",VLOOKUP(A175,'Personnel Screening Registry'!$A:$E,5,FALSE),"")</f>
        <v/>
      </c>
      <c r="D175" s="18">
        <f>IF(A175&lt;&gt;"",VLOOKUP(A175,'Personnel Screening Registry'!$A:$K,11,FALSE),"")</f>
        <v/>
      </c>
      <c r="E175" s="15" t="n"/>
      <c r="F175" s="16" t="n"/>
      <c r="G175" s="18">
        <f>IF(OR(A175="",F175="",E175=""),"",IF(E175="Annual",F175+365,IF(E175="Biennial",F175+730,IF(E175="3-Year",F175+1095,F175+365))))</f>
        <v/>
      </c>
      <c r="H175" s="14">
        <f>IF(A175="","",IF(G175="","Not-Scheduled",IF(G175&gt;=TODAY(),"Current",IF(G175&gt;=TODAY()-30,"Due-Soon","Overdue"))))</f>
        <v/>
      </c>
      <c r="I175" s="15" t="n"/>
      <c r="J175" s="15" t="n"/>
      <c r="K175" s="15" t="n"/>
      <c r="L175" s="14">
        <f>IF(A175="","",IF(AND(OR(H175="Current",H175="Due-Soon"),OR(I175="No",I175="N/A",AND(I175="Yes",K175="Yes"))),"Compliant",IF(H175="Overdue","Non-Compliant","Partial")))</f>
        <v/>
      </c>
      <c r="M175" s="15" t="n"/>
      <c r="N175" s="15" t="n"/>
    </row>
    <row r="176">
      <c r="A176" s="14">
        <f>IF(ROW()-4&lt;=COUNTA('Personnel Screening Registry'!$A:$A)-4,INDEX('Personnel Screening Registry'!$A:$A,ROW()-3),"")</f>
        <v/>
      </c>
      <c r="B176" s="14">
        <f>IF(A176&lt;&gt;"",VLOOKUP(A176,'Personnel Screening Registry'!$A:$B,2,FALSE),"")</f>
        <v/>
      </c>
      <c r="C176" s="14">
        <f>IF(A176&lt;&gt;"",VLOOKUP(A176,'Personnel Screening Registry'!$A:$E,5,FALSE),"")</f>
        <v/>
      </c>
      <c r="D176" s="18">
        <f>IF(A176&lt;&gt;"",VLOOKUP(A176,'Personnel Screening Registry'!$A:$K,11,FALSE),"")</f>
        <v/>
      </c>
      <c r="E176" s="15" t="n"/>
      <c r="F176" s="16" t="n"/>
      <c r="G176" s="18">
        <f>IF(OR(A176="",F176="",E176=""),"",IF(E176="Annual",F176+365,IF(E176="Biennial",F176+730,IF(E176="3-Year",F176+1095,F176+365))))</f>
        <v/>
      </c>
      <c r="H176" s="14">
        <f>IF(A176="","",IF(G176="","Not-Scheduled",IF(G176&gt;=TODAY(),"Current",IF(G176&gt;=TODAY()-30,"Due-Soon","Overdue"))))</f>
        <v/>
      </c>
      <c r="I176" s="15" t="n"/>
      <c r="J176" s="15" t="n"/>
      <c r="K176" s="15" t="n"/>
      <c r="L176" s="14">
        <f>IF(A176="","",IF(AND(OR(H176="Current",H176="Due-Soon"),OR(I176="No",I176="N/A",AND(I176="Yes",K176="Yes"))),"Compliant",IF(H176="Overdue","Non-Compliant","Partial")))</f>
        <v/>
      </c>
      <c r="M176" s="15" t="n"/>
      <c r="N176" s="15" t="n"/>
    </row>
    <row r="177">
      <c r="A177" s="14">
        <f>IF(ROW()-4&lt;=COUNTA('Personnel Screening Registry'!$A:$A)-4,INDEX('Personnel Screening Registry'!$A:$A,ROW()-3),"")</f>
        <v/>
      </c>
      <c r="B177" s="14">
        <f>IF(A177&lt;&gt;"",VLOOKUP(A177,'Personnel Screening Registry'!$A:$B,2,FALSE),"")</f>
        <v/>
      </c>
      <c r="C177" s="14">
        <f>IF(A177&lt;&gt;"",VLOOKUP(A177,'Personnel Screening Registry'!$A:$E,5,FALSE),"")</f>
        <v/>
      </c>
      <c r="D177" s="18">
        <f>IF(A177&lt;&gt;"",VLOOKUP(A177,'Personnel Screening Registry'!$A:$K,11,FALSE),"")</f>
        <v/>
      </c>
      <c r="E177" s="15" t="n"/>
      <c r="F177" s="16" t="n"/>
      <c r="G177" s="18">
        <f>IF(OR(A177="",F177="",E177=""),"",IF(E177="Annual",F177+365,IF(E177="Biennial",F177+730,IF(E177="3-Year",F177+1095,F177+365))))</f>
        <v/>
      </c>
      <c r="H177" s="14">
        <f>IF(A177="","",IF(G177="","Not-Scheduled",IF(G177&gt;=TODAY(),"Current",IF(G177&gt;=TODAY()-30,"Due-Soon","Overdue"))))</f>
        <v/>
      </c>
      <c r="I177" s="15" t="n"/>
      <c r="J177" s="15" t="n"/>
      <c r="K177" s="15" t="n"/>
      <c r="L177" s="14">
        <f>IF(A177="","",IF(AND(OR(H177="Current",H177="Due-Soon"),OR(I177="No",I177="N/A",AND(I177="Yes",K177="Yes"))),"Compliant",IF(H177="Overdue","Non-Compliant","Partial")))</f>
        <v/>
      </c>
      <c r="M177" s="15" t="n"/>
      <c r="N177" s="15" t="n"/>
    </row>
    <row r="178">
      <c r="A178" s="14">
        <f>IF(ROW()-4&lt;=COUNTA('Personnel Screening Registry'!$A:$A)-4,INDEX('Personnel Screening Registry'!$A:$A,ROW()-3),"")</f>
        <v/>
      </c>
      <c r="B178" s="14">
        <f>IF(A178&lt;&gt;"",VLOOKUP(A178,'Personnel Screening Registry'!$A:$B,2,FALSE),"")</f>
        <v/>
      </c>
      <c r="C178" s="14">
        <f>IF(A178&lt;&gt;"",VLOOKUP(A178,'Personnel Screening Registry'!$A:$E,5,FALSE),"")</f>
        <v/>
      </c>
      <c r="D178" s="18">
        <f>IF(A178&lt;&gt;"",VLOOKUP(A178,'Personnel Screening Registry'!$A:$K,11,FALSE),"")</f>
        <v/>
      </c>
      <c r="E178" s="15" t="n"/>
      <c r="F178" s="16" t="n"/>
      <c r="G178" s="18">
        <f>IF(OR(A178="",F178="",E178=""),"",IF(E178="Annual",F178+365,IF(E178="Biennial",F178+730,IF(E178="3-Year",F178+1095,F178+365))))</f>
        <v/>
      </c>
      <c r="H178" s="14">
        <f>IF(A178="","",IF(G178="","Not-Scheduled",IF(G178&gt;=TODAY(),"Current",IF(G178&gt;=TODAY()-30,"Due-Soon","Overdue"))))</f>
        <v/>
      </c>
      <c r="I178" s="15" t="n"/>
      <c r="J178" s="15" t="n"/>
      <c r="K178" s="15" t="n"/>
      <c r="L178" s="14">
        <f>IF(A178="","",IF(AND(OR(H178="Current",H178="Due-Soon"),OR(I178="No",I178="N/A",AND(I178="Yes",K178="Yes"))),"Compliant",IF(H178="Overdue","Non-Compliant","Partial")))</f>
        <v/>
      </c>
      <c r="M178" s="15" t="n"/>
      <c r="N178" s="15" t="n"/>
    </row>
    <row r="179">
      <c r="A179" s="14">
        <f>IF(ROW()-4&lt;=COUNTA('Personnel Screening Registry'!$A:$A)-4,INDEX('Personnel Screening Registry'!$A:$A,ROW()-3),"")</f>
        <v/>
      </c>
      <c r="B179" s="14">
        <f>IF(A179&lt;&gt;"",VLOOKUP(A179,'Personnel Screening Registry'!$A:$B,2,FALSE),"")</f>
        <v/>
      </c>
      <c r="C179" s="14">
        <f>IF(A179&lt;&gt;"",VLOOKUP(A179,'Personnel Screening Registry'!$A:$E,5,FALSE),"")</f>
        <v/>
      </c>
      <c r="D179" s="18">
        <f>IF(A179&lt;&gt;"",VLOOKUP(A179,'Personnel Screening Registry'!$A:$K,11,FALSE),"")</f>
        <v/>
      </c>
      <c r="E179" s="15" t="n"/>
      <c r="F179" s="16" t="n"/>
      <c r="G179" s="18">
        <f>IF(OR(A179="",F179="",E179=""),"",IF(E179="Annual",F179+365,IF(E179="Biennial",F179+730,IF(E179="3-Year",F179+1095,F179+365))))</f>
        <v/>
      </c>
      <c r="H179" s="14">
        <f>IF(A179="","",IF(G179="","Not-Scheduled",IF(G179&gt;=TODAY(),"Current",IF(G179&gt;=TODAY()-30,"Due-Soon","Overdue"))))</f>
        <v/>
      </c>
      <c r="I179" s="15" t="n"/>
      <c r="J179" s="15" t="n"/>
      <c r="K179" s="15" t="n"/>
      <c r="L179" s="14">
        <f>IF(A179="","",IF(AND(OR(H179="Current",H179="Due-Soon"),OR(I179="No",I179="N/A",AND(I179="Yes",K179="Yes"))),"Compliant",IF(H179="Overdue","Non-Compliant","Partial")))</f>
        <v/>
      </c>
      <c r="M179" s="15" t="n"/>
      <c r="N179" s="15" t="n"/>
    </row>
    <row r="180">
      <c r="A180" s="14">
        <f>IF(ROW()-4&lt;=COUNTA('Personnel Screening Registry'!$A:$A)-4,INDEX('Personnel Screening Registry'!$A:$A,ROW()-3),"")</f>
        <v/>
      </c>
      <c r="B180" s="14">
        <f>IF(A180&lt;&gt;"",VLOOKUP(A180,'Personnel Screening Registry'!$A:$B,2,FALSE),"")</f>
        <v/>
      </c>
      <c r="C180" s="14">
        <f>IF(A180&lt;&gt;"",VLOOKUP(A180,'Personnel Screening Registry'!$A:$E,5,FALSE),"")</f>
        <v/>
      </c>
      <c r="D180" s="18">
        <f>IF(A180&lt;&gt;"",VLOOKUP(A180,'Personnel Screening Registry'!$A:$K,11,FALSE),"")</f>
        <v/>
      </c>
      <c r="E180" s="15" t="n"/>
      <c r="F180" s="16" t="n"/>
      <c r="G180" s="18">
        <f>IF(OR(A180="",F180="",E180=""),"",IF(E180="Annual",F180+365,IF(E180="Biennial",F180+730,IF(E180="3-Year",F180+1095,F180+365))))</f>
        <v/>
      </c>
      <c r="H180" s="14">
        <f>IF(A180="","",IF(G180="","Not-Scheduled",IF(G180&gt;=TODAY(),"Current",IF(G180&gt;=TODAY()-30,"Due-Soon","Overdue"))))</f>
        <v/>
      </c>
      <c r="I180" s="15" t="n"/>
      <c r="J180" s="15" t="n"/>
      <c r="K180" s="15" t="n"/>
      <c r="L180" s="14">
        <f>IF(A180="","",IF(AND(OR(H180="Current",H180="Due-Soon"),OR(I180="No",I180="N/A",AND(I180="Yes",K180="Yes"))),"Compliant",IF(H180="Overdue","Non-Compliant","Partial")))</f>
        <v/>
      </c>
      <c r="M180" s="15" t="n"/>
      <c r="N180" s="15" t="n"/>
    </row>
    <row r="181">
      <c r="A181" s="14">
        <f>IF(ROW()-4&lt;=COUNTA('Personnel Screening Registry'!$A:$A)-4,INDEX('Personnel Screening Registry'!$A:$A,ROW()-3),"")</f>
        <v/>
      </c>
      <c r="B181" s="14">
        <f>IF(A181&lt;&gt;"",VLOOKUP(A181,'Personnel Screening Registry'!$A:$B,2,FALSE),"")</f>
        <v/>
      </c>
      <c r="C181" s="14">
        <f>IF(A181&lt;&gt;"",VLOOKUP(A181,'Personnel Screening Registry'!$A:$E,5,FALSE),"")</f>
        <v/>
      </c>
      <c r="D181" s="18">
        <f>IF(A181&lt;&gt;"",VLOOKUP(A181,'Personnel Screening Registry'!$A:$K,11,FALSE),"")</f>
        <v/>
      </c>
      <c r="E181" s="15" t="n"/>
      <c r="F181" s="16" t="n"/>
      <c r="G181" s="18">
        <f>IF(OR(A181="",F181="",E181=""),"",IF(E181="Annual",F181+365,IF(E181="Biennial",F181+730,IF(E181="3-Year",F181+1095,F181+365))))</f>
        <v/>
      </c>
      <c r="H181" s="14">
        <f>IF(A181="","",IF(G181="","Not-Scheduled",IF(G181&gt;=TODAY(),"Current",IF(G181&gt;=TODAY()-30,"Due-Soon","Overdue"))))</f>
        <v/>
      </c>
      <c r="I181" s="15" t="n"/>
      <c r="J181" s="15" t="n"/>
      <c r="K181" s="15" t="n"/>
      <c r="L181" s="14">
        <f>IF(A181="","",IF(AND(OR(H181="Current",H181="Due-Soon"),OR(I181="No",I181="N/A",AND(I181="Yes",K181="Yes"))),"Compliant",IF(H181="Overdue","Non-Compliant","Partial")))</f>
        <v/>
      </c>
      <c r="M181" s="15" t="n"/>
      <c r="N181" s="15" t="n"/>
    </row>
    <row r="182">
      <c r="A182" s="14">
        <f>IF(ROW()-4&lt;=COUNTA('Personnel Screening Registry'!$A:$A)-4,INDEX('Personnel Screening Registry'!$A:$A,ROW()-3),"")</f>
        <v/>
      </c>
      <c r="B182" s="14">
        <f>IF(A182&lt;&gt;"",VLOOKUP(A182,'Personnel Screening Registry'!$A:$B,2,FALSE),"")</f>
        <v/>
      </c>
      <c r="C182" s="14">
        <f>IF(A182&lt;&gt;"",VLOOKUP(A182,'Personnel Screening Registry'!$A:$E,5,FALSE),"")</f>
        <v/>
      </c>
      <c r="D182" s="18">
        <f>IF(A182&lt;&gt;"",VLOOKUP(A182,'Personnel Screening Registry'!$A:$K,11,FALSE),"")</f>
        <v/>
      </c>
      <c r="E182" s="15" t="n"/>
      <c r="F182" s="16" t="n"/>
      <c r="G182" s="18">
        <f>IF(OR(A182="",F182="",E182=""),"",IF(E182="Annual",F182+365,IF(E182="Biennial",F182+730,IF(E182="3-Year",F182+1095,F182+365))))</f>
        <v/>
      </c>
      <c r="H182" s="14">
        <f>IF(A182="","",IF(G182="","Not-Scheduled",IF(G182&gt;=TODAY(),"Current",IF(G182&gt;=TODAY()-30,"Due-Soon","Overdue"))))</f>
        <v/>
      </c>
      <c r="I182" s="15" t="n"/>
      <c r="J182" s="15" t="n"/>
      <c r="K182" s="15" t="n"/>
      <c r="L182" s="14">
        <f>IF(A182="","",IF(AND(OR(H182="Current",H182="Due-Soon"),OR(I182="No",I182="N/A",AND(I182="Yes",K182="Yes"))),"Compliant",IF(H182="Overdue","Non-Compliant","Partial")))</f>
        <v/>
      </c>
      <c r="M182" s="15" t="n"/>
      <c r="N182" s="15" t="n"/>
    </row>
    <row r="183">
      <c r="A183" s="14">
        <f>IF(ROW()-4&lt;=COUNTA('Personnel Screening Registry'!$A:$A)-4,INDEX('Personnel Screening Registry'!$A:$A,ROW()-3),"")</f>
        <v/>
      </c>
      <c r="B183" s="14">
        <f>IF(A183&lt;&gt;"",VLOOKUP(A183,'Personnel Screening Registry'!$A:$B,2,FALSE),"")</f>
        <v/>
      </c>
      <c r="C183" s="14">
        <f>IF(A183&lt;&gt;"",VLOOKUP(A183,'Personnel Screening Registry'!$A:$E,5,FALSE),"")</f>
        <v/>
      </c>
      <c r="D183" s="18">
        <f>IF(A183&lt;&gt;"",VLOOKUP(A183,'Personnel Screening Registry'!$A:$K,11,FALSE),"")</f>
        <v/>
      </c>
      <c r="E183" s="15" t="n"/>
      <c r="F183" s="16" t="n"/>
      <c r="G183" s="18">
        <f>IF(OR(A183="",F183="",E183=""),"",IF(E183="Annual",F183+365,IF(E183="Biennial",F183+730,IF(E183="3-Year",F183+1095,F183+365))))</f>
        <v/>
      </c>
      <c r="H183" s="14">
        <f>IF(A183="","",IF(G183="","Not-Scheduled",IF(G183&gt;=TODAY(),"Current",IF(G183&gt;=TODAY()-30,"Due-Soon","Overdue"))))</f>
        <v/>
      </c>
      <c r="I183" s="15" t="n"/>
      <c r="J183" s="15" t="n"/>
      <c r="K183" s="15" t="n"/>
      <c r="L183" s="14">
        <f>IF(A183="","",IF(AND(OR(H183="Current",H183="Due-Soon"),OR(I183="No",I183="N/A",AND(I183="Yes",K183="Yes"))),"Compliant",IF(H183="Overdue","Non-Compliant","Partial")))</f>
        <v/>
      </c>
      <c r="M183" s="15" t="n"/>
      <c r="N183" s="15" t="n"/>
    </row>
    <row r="184">
      <c r="A184" s="14">
        <f>IF(ROW()-4&lt;=COUNTA('Personnel Screening Registry'!$A:$A)-4,INDEX('Personnel Screening Registry'!$A:$A,ROW()-3),"")</f>
        <v/>
      </c>
      <c r="B184" s="14">
        <f>IF(A184&lt;&gt;"",VLOOKUP(A184,'Personnel Screening Registry'!$A:$B,2,FALSE),"")</f>
        <v/>
      </c>
      <c r="C184" s="14">
        <f>IF(A184&lt;&gt;"",VLOOKUP(A184,'Personnel Screening Registry'!$A:$E,5,FALSE),"")</f>
        <v/>
      </c>
      <c r="D184" s="18">
        <f>IF(A184&lt;&gt;"",VLOOKUP(A184,'Personnel Screening Registry'!$A:$K,11,FALSE),"")</f>
        <v/>
      </c>
      <c r="E184" s="15" t="n"/>
      <c r="F184" s="16" t="n"/>
      <c r="G184" s="18">
        <f>IF(OR(A184="",F184="",E184=""),"",IF(E184="Annual",F184+365,IF(E184="Biennial",F184+730,IF(E184="3-Year",F184+1095,F184+365))))</f>
        <v/>
      </c>
      <c r="H184" s="14">
        <f>IF(A184="","",IF(G184="","Not-Scheduled",IF(G184&gt;=TODAY(),"Current",IF(G184&gt;=TODAY()-30,"Due-Soon","Overdue"))))</f>
        <v/>
      </c>
      <c r="I184" s="15" t="n"/>
      <c r="J184" s="15" t="n"/>
      <c r="K184" s="15" t="n"/>
      <c r="L184" s="14">
        <f>IF(A184="","",IF(AND(OR(H184="Current",H184="Due-Soon"),OR(I184="No",I184="N/A",AND(I184="Yes",K184="Yes"))),"Compliant",IF(H184="Overdue","Non-Compliant","Partial")))</f>
        <v/>
      </c>
      <c r="M184" s="15" t="n"/>
      <c r="N184" s="15" t="n"/>
    </row>
    <row r="185">
      <c r="A185" s="14">
        <f>IF(ROW()-4&lt;=COUNTA('Personnel Screening Registry'!$A:$A)-4,INDEX('Personnel Screening Registry'!$A:$A,ROW()-3),"")</f>
        <v/>
      </c>
      <c r="B185" s="14">
        <f>IF(A185&lt;&gt;"",VLOOKUP(A185,'Personnel Screening Registry'!$A:$B,2,FALSE),"")</f>
        <v/>
      </c>
      <c r="C185" s="14">
        <f>IF(A185&lt;&gt;"",VLOOKUP(A185,'Personnel Screening Registry'!$A:$E,5,FALSE),"")</f>
        <v/>
      </c>
      <c r="D185" s="18">
        <f>IF(A185&lt;&gt;"",VLOOKUP(A185,'Personnel Screening Registry'!$A:$K,11,FALSE),"")</f>
        <v/>
      </c>
      <c r="E185" s="15" t="n"/>
      <c r="F185" s="16" t="n"/>
      <c r="G185" s="18">
        <f>IF(OR(A185="",F185="",E185=""),"",IF(E185="Annual",F185+365,IF(E185="Biennial",F185+730,IF(E185="3-Year",F185+1095,F185+365))))</f>
        <v/>
      </c>
      <c r="H185" s="14">
        <f>IF(A185="","",IF(G185="","Not-Scheduled",IF(G185&gt;=TODAY(),"Current",IF(G185&gt;=TODAY()-30,"Due-Soon","Overdue"))))</f>
        <v/>
      </c>
      <c r="I185" s="15" t="n"/>
      <c r="J185" s="15" t="n"/>
      <c r="K185" s="15" t="n"/>
      <c r="L185" s="14">
        <f>IF(A185="","",IF(AND(OR(H185="Current",H185="Due-Soon"),OR(I185="No",I185="N/A",AND(I185="Yes",K185="Yes"))),"Compliant",IF(H185="Overdue","Non-Compliant","Partial")))</f>
        <v/>
      </c>
      <c r="M185" s="15" t="n"/>
      <c r="N185" s="15" t="n"/>
    </row>
    <row r="186">
      <c r="A186" s="14">
        <f>IF(ROW()-4&lt;=COUNTA('Personnel Screening Registry'!$A:$A)-4,INDEX('Personnel Screening Registry'!$A:$A,ROW()-3),"")</f>
        <v/>
      </c>
      <c r="B186" s="14">
        <f>IF(A186&lt;&gt;"",VLOOKUP(A186,'Personnel Screening Registry'!$A:$B,2,FALSE),"")</f>
        <v/>
      </c>
      <c r="C186" s="14">
        <f>IF(A186&lt;&gt;"",VLOOKUP(A186,'Personnel Screening Registry'!$A:$E,5,FALSE),"")</f>
        <v/>
      </c>
      <c r="D186" s="18">
        <f>IF(A186&lt;&gt;"",VLOOKUP(A186,'Personnel Screening Registry'!$A:$K,11,FALSE),"")</f>
        <v/>
      </c>
      <c r="E186" s="15" t="n"/>
      <c r="F186" s="16" t="n"/>
      <c r="G186" s="18">
        <f>IF(OR(A186="",F186="",E186=""),"",IF(E186="Annual",F186+365,IF(E186="Biennial",F186+730,IF(E186="3-Year",F186+1095,F186+365))))</f>
        <v/>
      </c>
      <c r="H186" s="14">
        <f>IF(A186="","",IF(G186="","Not-Scheduled",IF(G186&gt;=TODAY(),"Current",IF(G186&gt;=TODAY()-30,"Due-Soon","Overdue"))))</f>
        <v/>
      </c>
      <c r="I186" s="15" t="n"/>
      <c r="J186" s="15" t="n"/>
      <c r="K186" s="15" t="n"/>
      <c r="L186" s="14">
        <f>IF(A186="","",IF(AND(OR(H186="Current",H186="Due-Soon"),OR(I186="No",I186="N/A",AND(I186="Yes",K186="Yes"))),"Compliant",IF(H186="Overdue","Non-Compliant","Partial")))</f>
        <v/>
      </c>
      <c r="M186" s="15" t="n"/>
      <c r="N186" s="15" t="n"/>
    </row>
    <row r="187">
      <c r="A187" s="14">
        <f>IF(ROW()-4&lt;=COUNTA('Personnel Screening Registry'!$A:$A)-4,INDEX('Personnel Screening Registry'!$A:$A,ROW()-3),"")</f>
        <v/>
      </c>
      <c r="B187" s="14">
        <f>IF(A187&lt;&gt;"",VLOOKUP(A187,'Personnel Screening Registry'!$A:$B,2,FALSE),"")</f>
        <v/>
      </c>
      <c r="C187" s="14">
        <f>IF(A187&lt;&gt;"",VLOOKUP(A187,'Personnel Screening Registry'!$A:$E,5,FALSE),"")</f>
        <v/>
      </c>
      <c r="D187" s="18">
        <f>IF(A187&lt;&gt;"",VLOOKUP(A187,'Personnel Screening Registry'!$A:$K,11,FALSE),"")</f>
        <v/>
      </c>
      <c r="E187" s="15" t="n"/>
      <c r="F187" s="16" t="n"/>
      <c r="G187" s="18">
        <f>IF(OR(A187="",F187="",E187=""),"",IF(E187="Annual",F187+365,IF(E187="Biennial",F187+730,IF(E187="3-Year",F187+1095,F187+365))))</f>
        <v/>
      </c>
      <c r="H187" s="14">
        <f>IF(A187="","",IF(G187="","Not-Scheduled",IF(G187&gt;=TODAY(),"Current",IF(G187&gt;=TODAY()-30,"Due-Soon","Overdue"))))</f>
        <v/>
      </c>
      <c r="I187" s="15" t="n"/>
      <c r="J187" s="15" t="n"/>
      <c r="K187" s="15" t="n"/>
      <c r="L187" s="14">
        <f>IF(A187="","",IF(AND(OR(H187="Current",H187="Due-Soon"),OR(I187="No",I187="N/A",AND(I187="Yes",K187="Yes"))),"Compliant",IF(H187="Overdue","Non-Compliant","Partial")))</f>
        <v/>
      </c>
      <c r="M187" s="15" t="n"/>
      <c r="N187" s="15" t="n"/>
    </row>
    <row r="188">
      <c r="A188" s="14">
        <f>IF(ROW()-4&lt;=COUNTA('Personnel Screening Registry'!$A:$A)-4,INDEX('Personnel Screening Registry'!$A:$A,ROW()-3),"")</f>
        <v/>
      </c>
      <c r="B188" s="14">
        <f>IF(A188&lt;&gt;"",VLOOKUP(A188,'Personnel Screening Registry'!$A:$B,2,FALSE),"")</f>
        <v/>
      </c>
      <c r="C188" s="14">
        <f>IF(A188&lt;&gt;"",VLOOKUP(A188,'Personnel Screening Registry'!$A:$E,5,FALSE),"")</f>
        <v/>
      </c>
      <c r="D188" s="18">
        <f>IF(A188&lt;&gt;"",VLOOKUP(A188,'Personnel Screening Registry'!$A:$K,11,FALSE),"")</f>
        <v/>
      </c>
      <c r="E188" s="15" t="n"/>
      <c r="F188" s="16" t="n"/>
      <c r="G188" s="18">
        <f>IF(OR(A188="",F188="",E188=""),"",IF(E188="Annual",F188+365,IF(E188="Biennial",F188+730,IF(E188="3-Year",F188+1095,F188+365))))</f>
        <v/>
      </c>
      <c r="H188" s="14">
        <f>IF(A188="","",IF(G188="","Not-Scheduled",IF(G188&gt;=TODAY(),"Current",IF(G188&gt;=TODAY()-30,"Due-Soon","Overdue"))))</f>
        <v/>
      </c>
      <c r="I188" s="15" t="n"/>
      <c r="J188" s="15" t="n"/>
      <c r="K188" s="15" t="n"/>
      <c r="L188" s="14">
        <f>IF(A188="","",IF(AND(OR(H188="Current",H188="Due-Soon"),OR(I188="No",I188="N/A",AND(I188="Yes",K188="Yes"))),"Compliant",IF(H188="Overdue","Non-Compliant","Partial")))</f>
        <v/>
      </c>
      <c r="M188" s="15" t="n"/>
      <c r="N188" s="15" t="n"/>
    </row>
    <row r="189">
      <c r="A189" s="14">
        <f>IF(ROW()-4&lt;=COUNTA('Personnel Screening Registry'!$A:$A)-4,INDEX('Personnel Screening Registry'!$A:$A,ROW()-3),"")</f>
        <v/>
      </c>
      <c r="B189" s="14">
        <f>IF(A189&lt;&gt;"",VLOOKUP(A189,'Personnel Screening Registry'!$A:$B,2,FALSE),"")</f>
        <v/>
      </c>
      <c r="C189" s="14">
        <f>IF(A189&lt;&gt;"",VLOOKUP(A189,'Personnel Screening Registry'!$A:$E,5,FALSE),"")</f>
        <v/>
      </c>
      <c r="D189" s="18">
        <f>IF(A189&lt;&gt;"",VLOOKUP(A189,'Personnel Screening Registry'!$A:$K,11,FALSE),"")</f>
        <v/>
      </c>
      <c r="E189" s="15" t="n"/>
      <c r="F189" s="16" t="n"/>
      <c r="G189" s="18">
        <f>IF(OR(A189="",F189="",E189=""),"",IF(E189="Annual",F189+365,IF(E189="Biennial",F189+730,IF(E189="3-Year",F189+1095,F189+365))))</f>
        <v/>
      </c>
      <c r="H189" s="14">
        <f>IF(A189="","",IF(G189="","Not-Scheduled",IF(G189&gt;=TODAY(),"Current",IF(G189&gt;=TODAY()-30,"Due-Soon","Overdue"))))</f>
        <v/>
      </c>
      <c r="I189" s="15" t="n"/>
      <c r="J189" s="15" t="n"/>
      <c r="K189" s="15" t="n"/>
      <c r="L189" s="14">
        <f>IF(A189="","",IF(AND(OR(H189="Current",H189="Due-Soon"),OR(I189="No",I189="N/A",AND(I189="Yes",K189="Yes"))),"Compliant",IF(H189="Overdue","Non-Compliant","Partial")))</f>
        <v/>
      </c>
      <c r="M189" s="15" t="n"/>
      <c r="N189" s="15" t="n"/>
    </row>
    <row r="190">
      <c r="A190" s="14">
        <f>IF(ROW()-4&lt;=COUNTA('Personnel Screening Registry'!$A:$A)-4,INDEX('Personnel Screening Registry'!$A:$A,ROW()-3),"")</f>
        <v/>
      </c>
      <c r="B190" s="14">
        <f>IF(A190&lt;&gt;"",VLOOKUP(A190,'Personnel Screening Registry'!$A:$B,2,FALSE),"")</f>
        <v/>
      </c>
      <c r="C190" s="14">
        <f>IF(A190&lt;&gt;"",VLOOKUP(A190,'Personnel Screening Registry'!$A:$E,5,FALSE),"")</f>
        <v/>
      </c>
      <c r="D190" s="18">
        <f>IF(A190&lt;&gt;"",VLOOKUP(A190,'Personnel Screening Registry'!$A:$K,11,FALSE),"")</f>
        <v/>
      </c>
      <c r="E190" s="15" t="n"/>
      <c r="F190" s="16" t="n"/>
      <c r="G190" s="18">
        <f>IF(OR(A190="",F190="",E190=""),"",IF(E190="Annual",F190+365,IF(E190="Biennial",F190+730,IF(E190="3-Year",F190+1095,F190+365))))</f>
        <v/>
      </c>
      <c r="H190" s="14">
        <f>IF(A190="","",IF(G190="","Not-Scheduled",IF(G190&gt;=TODAY(),"Current",IF(G190&gt;=TODAY()-30,"Due-Soon","Overdue"))))</f>
        <v/>
      </c>
      <c r="I190" s="15" t="n"/>
      <c r="J190" s="15" t="n"/>
      <c r="K190" s="15" t="n"/>
      <c r="L190" s="14">
        <f>IF(A190="","",IF(AND(OR(H190="Current",H190="Due-Soon"),OR(I190="No",I190="N/A",AND(I190="Yes",K190="Yes"))),"Compliant",IF(H190="Overdue","Non-Compliant","Partial")))</f>
        <v/>
      </c>
      <c r="M190" s="15" t="n"/>
      <c r="N190" s="15" t="n"/>
    </row>
    <row r="191">
      <c r="A191" s="14">
        <f>IF(ROW()-4&lt;=COUNTA('Personnel Screening Registry'!$A:$A)-4,INDEX('Personnel Screening Registry'!$A:$A,ROW()-3),"")</f>
        <v/>
      </c>
      <c r="B191" s="14">
        <f>IF(A191&lt;&gt;"",VLOOKUP(A191,'Personnel Screening Registry'!$A:$B,2,FALSE),"")</f>
        <v/>
      </c>
      <c r="C191" s="14">
        <f>IF(A191&lt;&gt;"",VLOOKUP(A191,'Personnel Screening Registry'!$A:$E,5,FALSE),"")</f>
        <v/>
      </c>
      <c r="D191" s="18">
        <f>IF(A191&lt;&gt;"",VLOOKUP(A191,'Personnel Screening Registry'!$A:$K,11,FALSE),"")</f>
        <v/>
      </c>
      <c r="E191" s="15" t="n"/>
      <c r="F191" s="16" t="n"/>
      <c r="G191" s="18">
        <f>IF(OR(A191="",F191="",E191=""),"",IF(E191="Annual",F191+365,IF(E191="Biennial",F191+730,IF(E191="3-Year",F191+1095,F191+365))))</f>
        <v/>
      </c>
      <c r="H191" s="14">
        <f>IF(A191="","",IF(G191="","Not-Scheduled",IF(G191&gt;=TODAY(),"Current",IF(G191&gt;=TODAY()-30,"Due-Soon","Overdue"))))</f>
        <v/>
      </c>
      <c r="I191" s="15" t="n"/>
      <c r="J191" s="15" t="n"/>
      <c r="K191" s="15" t="n"/>
      <c r="L191" s="14">
        <f>IF(A191="","",IF(AND(OR(H191="Current",H191="Due-Soon"),OR(I191="No",I191="N/A",AND(I191="Yes",K191="Yes"))),"Compliant",IF(H191="Overdue","Non-Compliant","Partial")))</f>
        <v/>
      </c>
      <c r="M191" s="15" t="n"/>
      <c r="N191" s="15" t="n"/>
    </row>
    <row r="192">
      <c r="A192" s="14">
        <f>IF(ROW()-4&lt;=COUNTA('Personnel Screening Registry'!$A:$A)-4,INDEX('Personnel Screening Registry'!$A:$A,ROW()-3),"")</f>
        <v/>
      </c>
      <c r="B192" s="14">
        <f>IF(A192&lt;&gt;"",VLOOKUP(A192,'Personnel Screening Registry'!$A:$B,2,FALSE),"")</f>
        <v/>
      </c>
      <c r="C192" s="14">
        <f>IF(A192&lt;&gt;"",VLOOKUP(A192,'Personnel Screening Registry'!$A:$E,5,FALSE),"")</f>
        <v/>
      </c>
      <c r="D192" s="18">
        <f>IF(A192&lt;&gt;"",VLOOKUP(A192,'Personnel Screening Registry'!$A:$K,11,FALSE),"")</f>
        <v/>
      </c>
      <c r="E192" s="15" t="n"/>
      <c r="F192" s="16" t="n"/>
      <c r="G192" s="18">
        <f>IF(OR(A192="",F192="",E192=""),"",IF(E192="Annual",F192+365,IF(E192="Biennial",F192+730,IF(E192="3-Year",F192+1095,F192+365))))</f>
        <v/>
      </c>
      <c r="H192" s="14">
        <f>IF(A192="","",IF(G192="","Not-Scheduled",IF(G192&gt;=TODAY(),"Current",IF(G192&gt;=TODAY()-30,"Due-Soon","Overdue"))))</f>
        <v/>
      </c>
      <c r="I192" s="15" t="n"/>
      <c r="J192" s="15" t="n"/>
      <c r="K192" s="15" t="n"/>
      <c r="L192" s="14">
        <f>IF(A192="","",IF(AND(OR(H192="Current",H192="Due-Soon"),OR(I192="No",I192="N/A",AND(I192="Yes",K192="Yes"))),"Compliant",IF(H192="Overdue","Non-Compliant","Partial")))</f>
        <v/>
      </c>
      <c r="M192" s="15" t="n"/>
      <c r="N192" s="15" t="n"/>
    </row>
    <row r="193">
      <c r="A193" s="14">
        <f>IF(ROW()-4&lt;=COUNTA('Personnel Screening Registry'!$A:$A)-4,INDEX('Personnel Screening Registry'!$A:$A,ROW()-3),"")</f>
        <v/>
      </c>
      <c r="B193" s="14">
        <f>IF(A193&lt;&gt;"",VLOOKUP(A193,'Personnel Screening Registry'!$A:$B,2,FALSE),"")</f>
        <v/>
      </c>
      <c r="C193" s="14">
        <f>IF(A193&lt;&gt;"",VLOOKUP(A193,'Personnel Screening Registry'!$A:$E,5,FALSE),"")</f>
        <v/>
      </c>
      <c r="D193" s="18">
        <f>IF(A193&lt;&gt;"",VLOOKUP(A193,'Personnel Screening Registry'!$A:$K,11,FALSE),"")</f>
        <v/>
      </c>
      <c r="E193" s="15" t="n"/>
      <c r="F193" s="16" t="n"/>
      <c r="G193" s="18">
        <f>IF(OR(A193="",F193="",E193=""),"",IF(E193="Annual",F193+365,IF(E193="Biennial",F193+730,IF(E193="3-Year",F193+1095,F193+365))))</f>
        <v/>
      </c>
      <c r="H193" s="14">
        <f>IF(A193="","",IF(G193="","Not-Scheduled",IF(G193&gt;=TODAY(),"Current",IF(G193&gt;=TODAY()-30,"Due-Soon","Overdue"))))</f>
        <v/>
      </c>
      <c r="I193" s="15" t="n"/>
      <c r="J193" s="15" t="n"/>
      <c r="K193" s="15" t="n"/>
      <c r="L193" s="14">
        <f>IF(A193="","",IF(AND(OR(H193="Current",H193="Due-Soon"),OR(I193="No",I193="N/A",AND(I193="Yes",K193="Yes"))),"Compliant",IF(H193="Overdue","Non-Compliant","Partial")))</f>
        <v/>
      </c>
      <c r="M193" s="15" t="n"/>
      <c r="N193" s="15" t="n"/>
    </row>
    <row r="194">
      <c r="A194" s="14">
        <f>IF(ROW()-4&lt;=COUNTA('Personnel Screening Registry'!$A:$A)-4,INDEX('Personnel Screening Registry'!$A:$A,ROW()-3),"")</f>
        <v/>
      </c>
      <c r="B194" s="14">
        <f>IF(A194&lt;&gt;"",VLOOKUP(A194,'Personnel Screening Registry'!$A:$B,2,FALSE),"")</f>
        <v/>
      </c>
      <c r="C194" s="14">
        <f>IF(A194&lt;&gt;"",VLOOKUP(A194,'Personnel Screening Registry'!$A:$E,5,FALSE),"")</f>
        <v/>
      </c>
      <c r="D194" s="18">
        <f>IF(A194&lt;&gt;"",VLOOKUP(A194,'Personnel Screening Registry'!$A:$K,11,FALSE),"")</f>
        <v/>
      </c>
      <c r="E194" s="15" t="n"/>
      <c r="F194" s="16" t="n"/>
      <c r="G194" s="18">
        <f>IF(OR(A194="",F194="",E194=""),"",IF(E194="Annual",F194+365,IF(E194="Biennial",F194+730,IF(E194="3-Year",F194+1095,F194+365))))</f>
        <v/>
      </c>
      <c r="H194" s="14">
        <f>IF(A194="","",IF(G194="","Not-Scheduled",IF(G194&gt;=TODAY(),"Current",IF(G194&gt;=TODAY()-30,"Due-Soon","Overdue"))))</f>
        <v/>
      </c>
      <c r="I194" s="15" t="n"/>
      <c r="J194" s="15" t="n"/>
      <c r="K194" s="15" t="n"/>
      <c r="L194" s="14">
        <f>IF(A194="","",IF(AND(OR(H194="Current",H194="Due-Soon"),OR(I194="No",I194="N/A",AND(I194="Yes",K194="Yes"))),"Compliant",IF(H194="Overdue","Non-Compliant","Partial")))</f>
        <v/>
      </c>
      <c r="M194" s="15" t="n"/>
      <c r="N194" s="15" t="n"/>
    </row>
    <row r="195">
      <c r="A195" s="14">
        <f>IF(ROW()-4&lt;=COUNTA('Personnel Screening Registry'!$A:$A)-4,INDEX('Personnel Screening Registry'!$A:$A,ROW()-3),"")</f>
        <v/>
      </c>
      <c r="B195" s="14">
        <f>IF(A195&lt;&gt;"",VLOOKUP(A195,'Personnel Screening Registry'!$A:$B,2,FALSE),"")</f>
        <v/>
      </c>
      <c r="C195" s="14">
        <f>IF(A195&lt;&gt;"",VLOOKUP(A195,'Personnel Screening Registry'!$A:$E,5,FALSE),"")</f>
        <v/>
      </c>
      <c r="D195" s="18">
        <f>IF(A195&lt;&gt;"",VLOOKUP(A195,'Personnel Screening Registry'!$A:$K,11,FALSE),"")</f>
        <v/>
      </c>
      <c r="E195" s="15" t="n"/>
      <c r="F195" s="16" t="n"/>
      <c r="G195" s="18">
        <f>IF(OR(A195="",F195="",E195=""),"",IF(E195="Annual",F195+365,IF(E195="Biennial",F195+730,IF(E195="3-Year",F195+1095,F195+365))))</f>
        <v/>
      </c>
      <c r="H195" s="14">
        <f>IF(A195="","",IF(G195="","Not-Scheduled",IF(G195&gt;=TODAY(),"Current",IF(G195&gt;=TODAY()-30,"Due-Soon","Overdue"))))</f>
        <v/>
      </c>
      <c r="I195" s="15" t="n"/>
      <c r="J195" s="15" t="n"/>
      <c r="K195" s="15" t="n"/>
      <c r="L195" s="14">
        <f>IF(A195="","",IF(AND(OR(H195="Current",H195="Due-Soon"),OR(I195="No",I195="N/A",AND(I195="Yes",K195="Yes"))),"Compliant",IF(H195="Overdue","Non-Compliant","Partial")))</f>
        <v/>
      </c>
      <c r="M195" s="15" t="n"/>
      <c r="N195" s="15" t="n"/>
    </row>
    <row r="196">
      <c r="A196" s="14">
        <f>IF(ROW()-4&lt;=COUNTA('Personnel Screening Registry'!$A:$A)-4,INDEX('Personnel Screening Registry'!$A:$A,ROW()-3),"")</f>
        <v/>
      </c>
      <c r="B196" s="14">
        <f>IF(A196&lt;&gt;"",VLOOKUP(A196,'Personnel Screening Registry'!$A:$B,2,FALSE),"")</f>
        <v/>
      </c>
      <c r="C196" s="14">
        <f>IF(A196&lt;&gt;"",VLOOKUP(A196,'Personnel Screening Registry'!$A:$E,5,FALSE),"")</f>
        <v/>
      </c>
      <c r="D196" s="18">
        <f>IF(A196&lt;&gt;"",VLOOKUP(A196,'Personnel Screening Registry'!$A:$K,11,FALSE),"")</f>
        <v/>
      </c>
      <c r="E196" s="15" t="n"/>
      <c r="F196" s="16" t="n"/>
      <c r="G196" s="18">
        <f>IF(OR(A196="",F196="",E196=""),"",IF(E196="Annual",F196+365,IF(E196="Biennial",F196+730,IF(E196="3-Year",F196+1095,F196+365))))</f>
        <v/>
      </c>
      <c r="H196" s="14">
        <f>IF(A196="","",IF(G196="","Not-Scheduled",IF(G196&gt;=TODAY(),"Current",IF(G196&gt;=TODAY()-30,"Due-Soon","Overdue"))))</f>
        <v/>
      </c>
      <c r="I196" s="15" t="n"/>
      <c r="J196" s="15" t="n"/>
      <c r="K196" s="15" t="n"/>
      <c r="L196" s="14">
        <f>IF(A196="","",IF(AND(OR(H196="Current",H196="Due-Soon"),OR(I196="No",I196="N/A",AND(I196="Yes",K196="Yes"))),"Compliant",IF(H196="Overdue","Non-Compliant","Partial")))</f>
        <v/>
      </c>
      <c r="M196" s="15" t="n"/>
      <c r="N196" s="15" t="n"/>
    </row>
    <row r="197">
      <c r="A197" s="14">
        <f>IF(ROW()-4&lt;=COUNTA('Personnel Screening Registry'!$A:$A)-4,INDEX('Personnel Screening Registry'!$A:$A,ROW()-3),"")</f>
        <v/>
      </c>
      <c r="B197" s="14">
        <f>IF(A197&lt;&gt;"",VLOOKUP(A197,'Personnel Screening Registry'!$A:$B,2,FALSE),"")</f>
        <v/>
      </c>
      <c r="C197" s="14">
        <f>IF(A197&lt;&gt;"",VLOOKUP(A197,'Personnel Screening Registry'!$A:$E,5,FALSE),"")</f>
        <v/>
      </c>
      <c r="D197" s="18">
        <f>IF(A197&lt;&gt;"",VLOOKUP(A197,'Personnel Screening Registry'!$A:$K,11,FALSE),"")</f>
        <v/>
      </c>
      <c r="E197" s="15" t="n"/>
      <c r="F197" s="16" t="n"/>
      <c r="G197" s="18">
        <f>IF(OR(A197="",F197="",E197=""),"",IF(E197="Annual",F197+365,IF(E197="Biennial",F197+730,IF(E197="3-Year",F197+1095,F197+365))))</f>
        <v/>
      </c>
      <c r="H197" s="14">
        <f>IF(A197="","",IF(G197="","Not-Scheduled",IF(G197&gt;=TODAY(),"Current",IF(G197&gt;=TODAY()-30,"Due-Soon","Overdue"))))</f>
        <v/>
      </c>
      <c r="I197" s="15" t="n"/>
      <c r="J197" s="15" t="n"/>
      <c r="K197" s="15" t="n"/>
      <c r="L197" s="14">
        <f>IF(A197="","",IF(AND(OR(H197="Current",H197="Due-Soon"),OR(I197="No",I197="N/A",AND(I197="Yes",K197="Yes"))),"Compliant",IF(H197="Overdue","Non-Compliant","Partial")))</f>
        <v/>
      </c>
      <c r="M197" s="15" t="n"/>
      <c r="N197" s="15" t="n"/>
    </row>
    <row r="198">
      <c r="A198" s="14">
        <f>IF(ROW()-4&lt;=COUNTA('Personnel Screening Registry'!$A:$A)-4,INDEX('Personnel Screening Registry'!$A:$A,ROW()-3),"")</f>
        <v/>
      </c>
      <c r="B198" s="14">
        <f>IF(A198&lt;&gt;"",VLOOKUP(A198,'Personnel Screening Registry'!$A:$B,2,FALSE),"")</f>
        <v/>
      </c>
      <c r="C198" s="14">
        <f>IF(A198&lt;&gt;"",VLOOKUP(A198,'Personnel Screening Registry'!$A:$E,5,FALSE),"")</f>
        <v/>
      </c>
      <c r="D198" s="18">
        <f>IF(A198&lt;&gt;"",VLOOKUP(A198,'Personnel Screening Registry'!$A:$K,11,FALSE),"")</f>
        <v/>
      </c>
      <c r="E198" s="15" t="n"/>
      <c r="F198" s="16" t="n"/>
      <c r="G198" s="18">
        <f>IF(OR(A198="",F198="",E198=""),"",IF(E198="Annual",F198+365,IF(E198="Biennial",F198+730,IF(E198="3-Year",F198+1095,F198+365))))</f>
        <v/>
      </c>
      <c r="H198" s="14">
        <f>IF(A198="","",IF(G198="","Not-Scheduled",IF(G198&gt;=TODAY(),"Current",IF(G198&gt;=TODAY()-30,"Due-Soon","Overdue"))))</f>
        <v/>
      </c>
      <c r="I198" s="15" t="n"/>
      <c r="J198" s="15" t="n"/>
      <c r="K198" s="15" t="n"/>
      <c r="L198" s="14">
        <f>IF(A198="","",IF(AND(OR(H198="Current",H198="Due-Soon"),OR(I198="No",I198="N/A",AND(I198="Yes",K198="Yes"))),"Compliant",IF(H198="Overdue","Non-Compliant","Partial")))</f>
        <v/>
      </c>
      <c r="M198" s="15" t="n"/>
      <c r="N198" s="15" t="n"/>
    </row>
    <row r="199">
      <c r="A199" s="14">
        <f>IF(ROW()-4&lt;=COUNTA('Personnel Screening Registry'!$A:$A)-4,INDEX('Personnel Screening Registry'!$A:$A,ROW()-3),"")</f>
        <v/>
      </c>
      <c r="B199" s="14">
        <f>IF(A199&lt;&gt;"",VLOOKUP(A199,'Personnel Screening Registry'!$A:$B,2,FALSE),"")</f>
        <v/>
      </c>
      <c r="C199" s="14">
        <f>IF(A199&lt;&gt;"",VLOOKUP(A199,'Personnel Screening Registry'!$A:$E,5,FALSE),"")</f>
        <v/>
      </c>
      <c r="D199" s="18">
        <f>IF(A199&lt;&gt;"",VLOOKUP(A199,'Personnel Screening Registry'!$A:$K,11,FALSE),"")</f>
        <v/>
      </c>
      <c r="E199" s="15" t="n"/>
      <c r="F199" s="16" t="n"/>
      <c r="G199" s="18">
        <f>IF(OR(A199="",F199="",E199=""),"",IF(E199="Annual",F199+365,IF(E199="Biennial",F199+730,IF(E199="3-Year",F199+1095,F199+365))))</f>
        <v/>
      </c>
      <c r="H199" s="14">
        <f>IF(A199="","",IF(G199="","Not-Scheduled",IF(G199&gt;=TODAY(),"Current",IF(G199&gt;=TODAY()-30,"Due-Soon","Overdue"))))</f>
        <v/>
      </c>
      <c r="I199" s="15" t="n"/>
      <c r="J199" s="15" t="n"/>
      <c r="K199" s="15" t="n"/>
      <c r="L199" s="14">
        <f>IF(A199="","",IF(AND(OR(H199="Current",H199="Due-Soon"),OR(I199="No",I199="N/A",AND(I199="Yes",K199="Yes"))),"Compliant",IF(H199="Overdue","Non-Compliant","Partial")))</f>
        <v/>
      </c>
      <c r="M199" s="15" t="n"/>
      <c r="N199" s="15" t="n"/>
    </row>
    <row r="200">
      <c r="A200" s="14">
        <f>IF(ROW()-4&lt;=COUNTA('Personnel Screening Registry'!$A:$A)-4,INDEX('Personnel Screening Registry'!$A:$A,ROW()-3),"")</f>
        <v/>
      </c>
      <c r="B200" s="14">
        <f>IF(A200&lt;&gt;"",VLOOKUP(A200,'Personnel Screening Registry'!$A:$B,2,FALSE),"")</f>
        <v/>
      </c>
      <c r="C200" s="14">
        <f>IF(A200&lt;&gt;"",VLOOKUP(A200,'Personnel Screening Registry'!$A:$E,5,FALSE),"")</f>
        <v/>
      </c>
      <c r="D200" s="18">
        <f>IF(A200&lt;&gt;"",VLOOKUP(A200,'Personnel Screening Registry'!$A:$K,11,FALSE),"")</f>
        <v/>
      </c>
      <c r="E200" s="15" t="n"/>
      <c r="F200" s="16" t="n"/>
      <c r="G200" s="18">
        <f>IF(OR(A200="",F200="",E200=""),"",IF(E200="Annual",F200+365,IF(E200="Biennial",F200+730,IF(E200="3-Year",F200+1095,F200+365))))</f>
        <v/>
      </c>
      <c r="H200" s="14">
        <f>IF(A200="","",IF(G200="","Not-Scheduled",IF(G200&gt;=TODAY(),"Current",IF(G200&gt;=TODAY()-30,"Due-Soon","Overdue"))))</f>
        <v/>
      </c>
      <c r="I200" s="15" t="n"/>
      <c r="J200" s="15" t="n"/>
      <c r="K200" s="15" t="n"/>
      <c r="L200" s="14">
        <f>IF(A200="","",IF(AND(OR(H200="Current",H200="Due-Soon"),OR(I200="No",I200="N/A",AND(I200="Yes",K200="Yes"))),"Compliant",IF(H200="Overdue","Non-Compliant","Partial")))</f>
        <v/>
      </c>
      <c r="M200" s="15" t="n"/>
      <c r="N200" s="15" t="n"/>
    </row>
    <row r="201">
      <c r="A201" s="14">
        <f>IF(ROW()-4&lt;=COUNTA('Personnel Screening Registry'!$A:$A)-4,INDEX('Personnel Screening Registry'!$A:$A,ROW()-3),"")</f>
        <v/>
      </c>
      <c r="B201" s="14">
        <f>IF(A201&lt;&gt;"",VLOOKUP(A201,'Personnel Screening Registry'!$A:$B,2,FALSE),"")</f>
        <v/>
      </c>
      <c r="C201" s="14">
        <f>IF(A201&lt;&gt;"",VLOOKUP(A201,'Personnel Screening Registry'!$A:$E,5,FALSE),"")</f>
        <v/>
      </c>
      <c r="D201" s="18">
        <f>IF(A201&lt;&gt;"",VLOOKUP(A201,'Personnel Screening Registry'!$A:$K,11,FALSE),"")</f>
        <v/>
      </c>
      <c r="E201" s="15" t="n"/>
      <c r="F201" s="16" t="n"/>
      <c r="G201" s="18">
        <f>IF(OR(A201="",F201="",E201=""),"",IF(E201="Annual",F201+365,IF(E201="Biennial",F201+730,IF(E201="3-Year",F201+1095,F201+365))))</f>
        <v/>
      </c>
      <c r="H201" s="14">
        <f>IF(A201="","",IF(G201="","Not-Scheduled",IF(G201&gt;=TODAY(),"Current",IF(G201&gt;=TODAY()-30,"Due-Soon","Overdue"))))</f>
        <v/>
      </c>
      <c r="I201" s="15" t="n"/>
      <c r="J201" s="15" t="n"/>
      <c r="K201" s="15" t="n"/>
      <c r="L201" s="14">
        <f>IF(A201="","",IF(AND(OR(H201="Current",H201="Due-Soon"),OR(I201="No",I201="N/A",AND(I201="Yes",K201="Yes"))),"Compliant",IF(H201="Overdue","Non-Compliant","Partial")))</f>
        <v/>
      </c>
      <c r="M201" s="15" t="n"/>
      <c r="N201" s="15" t="n"/>
    </row>
    <row r="202">
      <c r="A202" s="14">
        <f>IF(ROW()-4&lt;=COUNTA('Personnel Screening Registry'!$A:$A)-4,INDEX('Personnel Screening Registry'!$A:$A,ROW()-3),"")</f>
        <v/>
      </c>
      <c r="B202" s="14">
        <f>IF(A202&lt;&gt;"",VLOOKUP(A202,'Personnel Screening Registry'!$A:$B,2,FALSE),"")</f>
        <v/>
      </c>
      <c r="C202" s="14">
        <f>IF(A202&lt;&gt;"",VLOOKUP(A202,'Personnel Screening Registry'!$A:$E,5,FALSE),"")</f>
        <v/>
      </c>
      <c r="D202" s="18">
        <f>IF(A202&lt;&gt;"",VLOOKUP(A202,'Personnel Screening Registry'!$A:$K,11,FALSE),"")</f>
        <v/>
      </c>
      <c r="E202" s="15" t="n"/>
      <c r="F202" s="16" t="n"/>
      <c r="G202" s="18">
        <f>IF(OR(A202="",F202="",E202=""),"",IF(E202="Annual",F202+365,IF(E202="Biennial",F202+730,IF(E202="3-Year",F202+1095,F202+365))))</f>
        <v/>
      </c>
      <c r="H202" s="14">
        <f>IF(A202="","",IF(G202="","Not-Scheduled",IF(G202&gt;=TODAY(),"Current",IF(G202&gt;=TODAY()-30,"Due-Soon","Overdue"))))</f>
        <v/>
      </c>
      <c r="I202" s="15" t="n"/>
      <c r="J202" s="15" t="n"/>
      <c r="K202" s="15" t="n"/>
      <c r="L202" s="14">
        <f>IF(A202="","",IF(AND(OR(H202="Current",H202="Due-Soon"),OR(I202="No",I202="N/A",AND(I202="Yes",K202="Yes"))),"Compliant",IF(H202="Overdue","Non-Compliant","Partial")))</f>
        <v/>
      </c>
      <c r="M202" s="15" t="n"/>
      <c r="N202" s="15" t="n"/>
    </row>
    <row r="203">
      <c r="A203" s="14">
        <f>IF(ROW()-4&lt;=COUNTA('Personnel Screening Registry'!$A:$A)-4,INDEX('Personnel Screening Registry'!$A:$A,ROW()-3),"")</f>
        <v/>
      </c>
      <c r="B203" s="14">
        <f>IF(A203&lt;&gt;"",VLOOKUP(A203,'Personnel Screening Registry'!$A:$B,2,FALSE),"")</f>
        <v/>
      </c>
      <c r="C203" s="14">
        <f>IF(A203&lt;&gt;"",VLOOKUP(A203,'Personnel Screening Registry'!$A:$E,5,FALSE),"")</f>
        <v/>
      </c>
      <c r="D203" s="18">
        <f>IF(A203&lt;&gt;"",VLOOKUP(A203,'Personnel Screening Registry'!$A:$K,11,FALSE),"")</f>
        <v/>
      </c>
      <c r="E203" s="15" t="n"/>
      <c r="F203" s="16" t="n"/>
      <c r="G203" s="18">
        <f>IF(OR(A203="",F203="",E203=""),"",IF(E203="Annual",F203+365,IF(E203="Biennial",F203+730,IF(E203="3-Year",F203+1095,F203+365))))</f>
        <v/>
      </c>
      <c r="H203" s="14">
        <f>IF(A203="","",IF(G203="","Not-Scheduled",IF(G203&gt;=TODAY(),"Current",IF(G203&gt;=TODAY()-30,"Due-Soon","Overdue"))))</f>
        <v/>
      </c>
      <c r="I203" s="15" t="n"/>
      <c r="J203" s="15" t="n"/>
      <c r="K203" s="15" t="n"/>
      <c r="L203" s="14">
        <f>IF(A203="","",IF(AND(OR(H203="Current",H203="Due-Soon"),OR(I203="No",I203="N/A",AND(I203="Yes",K203="Yes"))),"Compliant",IF(H203="Overdue","Non-Compliant","Partial")))</f>
        <v/>
      </c>
      <c r="M203" s="15" t="n"/>
      <c r="N203" s="15" t="n"/>
    </row>
    <row r="204">
      <c r="A204" s="14">
        <f>IF(ROW()-4&lt;=COUNTA('Personnel Screening Registry'!$A:$A)-4,INDEX('Personnel Screening Registry'!$A:$A,ROW()-3),"")</f>
        <v/>
      </c>
      <c r="B204" s="14">
        <f>IF(A204&lt;&gt;"",VLOOKUP(A204,'Personnel Screening Registry'!$A:$B,2,FALSE),"")</f>
        <v/>
      </c>
      <c r="C204" s="14">
        <f>IF(A204&lt;&gt;"",VLOOKUP(A204,'Personnel Screening Registry'!$A:$E,5,FALSE),"")</f>
        <v/>
      </c>
      <c r="D204" s="18">
        <f>IF(A204&lt;&gt;"",VLOOKUP(A204,'Personnel Screening Registry'!$A:$K,11,FALSE),"")</f>
        <v/>
      </c>
      <c r="E204" s="15" t="n"/>
      <c r="F204" s="16" t="n"/>
      <c r="G204" s="18">
        <f>IF(OR(A204="",F204="",E204=""),"",IF(E204="Annual",F204+365,IF(E204="Biennial",F204+730,IF(E204="3-Year",F204+1095,F204+365))))</f>
        <v/>
      </c>
      <c r="H204" s="14">
        <f>IF(A204="","",IF(G204="","Not-Scheduled",IF(G204&gt;=TODAY(),"Current",IF(G204&gt;=TODAY()-30,"Due-Soon","Overdue"))))</f>
        <v/>
      </c>
      <c r="I204" s="15" t="n"/>
      <c r="J204" s="15" t="n"/>
      <c r="K204" s="15" t="n"/>
      <c r="L204" s="14">
        <f>IF(A204="","",IF(AND(OR(H204="Current",H204="Due-Soon"),OR(I204="No",I204="N/A",AND(I204="Yes",K204="Yes"))),"Compliant",IF(H204="Overdue","Non-Compliant","Partial")))</f>
        <v/>
      </c>
      <c r="M204" s="15" t="n"/>
      <c r="N204" s="15" t="n"/>
    </row>
    <row r="205">
      <c r="A205" s="14">
        <f>IF(ROW()-4&lt;=COUNTA('Personnel Screening Registry'!$A:$A)-4,INDEX('Personnel Screening Registry'!$A:$A,ROW()-3),"")</f>
        <v/>
      </c>
      <c r="B205" s="14">
        <f>IF(A205&lt;&gt;"",VLOOKUP(A205,'Personnel Screening Registry'!$A:$B,2,FALSE),"")</f>
        <v/>
      </c>
      <c r="C205" s="14">
        <f>IF(A205&lt;&gt;"",VLOOKUP(A205,'Personnel Screening Registry'!$A:$E,5,FALSE),"")</f>
        <v/>
      </c>
      <c r="D205" s="18">
        <f>IF(A205&lt;&gt;"",VLOOKUP(A205,'Personnel Screening Registry'!$A:$K,11,FALSE),"")</f>
        <v/>
      </c>
      <c r="E205" s="15" t="n"/>
      <c r="F205" s="16" t="n"/>
      <c r="G205" s="18">
        <f>IF(OR(A205="",F205="",E205=""),"",IF(E205="Annual",F205+365,IF(E205="Biennial",F205+730,IF(E205="3-Year",F205+1095,F205+365))))</f>
        <v/>
      </c>
      <c r="H205" s="14">
        <f>IF(A205="","",IF(G205="","Not-Scheduled",IF(G205&gt;=TODAY(),"Current",IF(G205&gt;=TODAY()-30,"Due-Soon","Overdue"))))</f>
        <v/>
      </c>
      <c r="I205" s="15" t="n"/>
      <c r="J205" s="15" t="n"/>
      <c r="K205" s="15" t="n"/>
      <c r="L205" s="14">
        <f>IF(A205="","",IF(AND(OR(H205="Current",H205="Due-Soon"),OR(I205="No",I205="N/A",AND(I205="Yes",K205="Yes"))),"Compliant",IF(H205="Overdue","Non-Compliant","Partial")))</f>
        <v/>
      </c>
      <c r="M205" s="15" t="n"/>
      <c r="N205" s="15" t="n"/>
    </row>
    <row r="206">
      <c r="A206" s="14">
        <f>IF(ROW()-4&lt;=COUNTA('Personnel Screening Registry'!$A:$A)-4,INDEX('Personnel Screening Registry'!$A:$A,ROW()-3),"")</f>
        <v/>
      </c>
      <c r="B206" s="14">
        <f>IF(A206&lt;&gt;"",VLOOKUP(A206,'Personnel Screening Registry'!$A:$B,2,FALSE),"")</f>
        <v/>
      </c>
      <c r="C206" s="14">
        <f>IF(A206&lt;&gt;"",VLOOKUP(A206,'Personnel Screening Registry'!$A:$E,5,FALSE),"")</f>
        <v/>
      </c>
      <c r="D206" s="18">
        <f>IF(A206&lt;&gt;"",VLOOKUP(A206,'Personnel Screening Registry'!$A:$K,11,FALSE),"")</f>
        <v/>
      </c>
      <c r="E206" s="15" t="n"/>
      <c r="F206" s="16" t="n"/>
      <c r="G206" s="18">
        <f>IF(OR(A206="",F206="",E206=""),"",IF(E206="Annual",F206+365,IF(E206="Biennial",F206+730,IF(E206="3-Year",F206+1095,F206+365))))</f>
        <v/>
      </c>
      <c r="H206" s="14">
        <f>IF(A206="","",IF(G206="","Not-Scheduled",IF(G206&gt;=TODAY(),"Current",IF(G206&gt;=TODAY()-30,"Due-Soon","Overdue"))))</f>
        <v/>
      </c>
      <c r="I206" s="15" t="n"/>
      <c r="J206" s="15" t="n"/>
      <c r="K206" s="15" t="n"/>
      <c r="L206" s="14">
        <f>IF(A206="","",IF(AND(OR(H206="Current",H206="Due-Soon"),OR(I206="No",I206="N/A",AND(I206="Yes",K206="Yes"))),"Compliant",IF(H206="Overdue","Non-Compliant","Partial")))</f>
        <v/>
      </c>
      <c r="M206" s="15" t="n"/>
      <c r="N206" s="15" t="n"/>
    </row>
    <row r="207">
      <c r="A207" s="14">
        <f>IF(ROW()-4&lt;=COUNTA('Personnel Screening Registry'!$A:$A)-4,INDEX('Personnel Screening Registry'!$A:$A,ROW()-3),"")</f>
        <v/>
      </c>
      <c r="B207" s="14">
        <f>IF(A207&lt;&gt;"",VLOOKUP(A207,'Personnel Screening Registry'!$A:$B,2,FALSE),"")</f>
        <v/>
      </c>
      <c r="C207" s="14">
        <f>IF(A207&lt;&gt;"",VLOOKUP(A207,'Personnel Screening Registry'!$A:$E,5,FALSE),"")</f>
        <v/>
      </c>
      <c r="D207" s="18">
        <f>IF(A207&lt;&gt;"",VLOOKUP(A207,'Personnel Screening Registry'!$A:$K,11,FALSE),"")</f>
        <v/>
      </c>
      <c r="E207" s="15" t="n"/>
      <c r="F207" s="16" t="n"/>
      <c r="G207" s="18">
        <f>IF(OR(A207="",F207="",E207=""),"",IF(E207="Annual",F207+365,IF(E207="Biennial",F207+730,IF(E207="3-Year",F207+1095,F207+365))))</f>
        <v/>
      </c>
      <c r="H207" s="14">
        <f>IF(A207="","",IF(G207="","Not-Scheduled",IF(G207&gt;=TODAY(),"Current",IF(G207&gt;=TODAY()-30,"Due-Soon","Overdue"))))</f>
        <v/>
      </c>
      <c r="I207" s="15" t="n"/>
      <c r="J207" s="15" t="n"/>
      <c r="K207" s="15" t="n"/>
      <c r="L207" s="14">
        <f>IF(A207="","",IF(AND(OR(H207="Current",H207="Due-Soon"),OR(I207="No",I207="N/A",AND(I207="Yes",K207="Yes"))),"Compliant",IF(H207="Overdue","Non-Compliant","Partial")))</f>
        <v/>
      </c>
      <c r="M207" s="15" t="n"/>
      <c r="N207" s="15" t="n"/>
    </row>
    <row r="208">
      <c r="A208" s="14">
        <f>IF(ROW()-4&lt;=COUNTA('Personnel Screening Registry'!$A:$A)-4,INDEX('Personnel Screening Registry'!$A:$A,ROW()-3),"")</f>
        <v/>
      </c>
      <c r="B208" s="14">
        <f>IF(A208&lt;&gt;"",VLOOKUP(A208,'Personnel Screening Registry'!$A:$B,2,FALSE),"")</f>
        <v/>
      </c>
      <c r="C208" s="14">
        <f>IF(A208&lt;&gt;"",VLOOKUP(A208,'Personnel Screening Registry'!$A:$E,5,FALSE),"")</f>
        <v/>
      </c>
      <c r="D208" s="18">
        <f>IF(A208&lt;&gt;"",VLOOKUP(A208,'Personnel Screening Registry'!$A:$K,11,FALSE),"")</f>
        <v/>
      </c>
      <c r="E208" s="15" t="n"/>
      <c r="F208" s="16" t="n"/>
      <c r="G208" s="18">
        <f>IF(OR(A208="",F208="",E208=""),"",IF(E208="Annual",F208+365,IF(E208="Biennial",F208+730,IF(E208="3-Year",F208+1095,F208+365))))</f>
        <v/>
      </c>
      <c r="H208" s="14">
        <f>IF(A208="","",IF(G208="","Not-Scheduled",IF(G208&gt;=TODAY(),"Current",IF(G208&gt;=TODAY()-30,"Due-Soon","Overdue"))))</f>
        <v/>
      </c>
      <c r="I208" s="15" t="n"/>
      <c r="J208" s="15" t="n"/>
      <c r="K208" s="15" t="n"/>
      <c r="L208" s="14">
        <f>IF(A208="","",IF(AND(OR(H208="Current",H208="Due-Soon"),OR(I208="No",I208="N/A",AND(I208="Yes",K208="Yes"))),"Compliant",IF(H208="Overdue","Non-Compliant","Partial")))</f>
        <v/>
      </c>
      <c r="M208" s="15" t="n"/>
      <c r="N208" s="15" t="n"/>
    </row>
    <row r="209">
      <c r="A209" s="14">
        <f>IF(ROW()-4&lt;=COUNTA('Personnel Screening Registry'!$A:$A)-4,INDEX('Personnel Screening Registry'!$A:$A,ROW()-3),"")</f>
        <v/>
      </c>
      <c r="B209" s="14">
        <f>IF(A209&lt;&gt;"",VLOOKUP(A209,'Personnel Screening Registry'!$A:$B,2,FALSE),"")</f>
        <v/>
      </c>
      <c r="C209" s="14">
        <f>IF(A209&lt;&gt;"",VLOOKUP(A209,'Personnel Screening Registry'!$A:$E,5,FALSE),"")</f>
        <v/>
      </c>
      <c r="D209" s="18">
        <f>IF(A209&lt;&gt;"",VLOOKUP(A209,'Personnel Screening Registry'!$A:$K,11,FALSE),"")</f>
        <v/>
      </c>
      <c r="E209" s="15" t="n"/>
      <c r="F209" s="16" t="n"/>
      <c r="G209" s="18">
        <f>IF(OR(A209="",F209="",E209=""),"",IF(E209="Annual",F209+365,IF(E209="Biennial",F209+730,IF(E209="3-Year",F209+1095,F209+365))))</f>
        <v/>
      </c>
      <c r="H209" s="14">
        <f>IF(A209="","",IF(G209="","Not-Scheduled",IF(G209&gt;=TODAY(),"Current",IF(G209&gt;=TODAY()-30,"Due-Soon","Overdue"))))</f>
        <v/>
      </c>
      <c r="I209" s="15" t="n"/>
      <c r="J209" s="15" t="n"/>
      <c r="K209" s="15" t="n"/>
      <c r="L209" s="14">
        <f>IF(A209="","",IF(AND(OR(H209="Current",H209="Due-Soon"),OR(I209="No",I209="N/A",AND(I209="Yes",K209="Yes"))),"Compliant",IF(H209="Overdue","Non-Compliant","Partial")))</f>
        <v/>
      </c>
      <c r="M209" s="15" t="n"/>
      <c r="N209" s="15" t="n"/>
    </row>
    <row r="210">
      <c r="A210" s="14">
        <f>IF(ROW()-4&lt;=COUNTA('Personnel Screening Registry'!$A:$A)-4,INDEX('Personnel Screening Registry'!$A:$A,ROW()-3),"")</f>
        <v/>
      </c>
      <c r="B210" s="14">
        <f>IF(A210&lt;&gt;"",VLOOKUP(A210,'Personnel Screening Registry'!$A:$B,2,FALSE),"")</f>
        <v/>
      </c>
      <c r="C210" s="14">
        <f>IF(A210&lt;&gt;"",VLOOKUP(A210,'Personnel Screening Registry'!$A:$E,5,FALSE),"")</f>
        <v/>
      </c>
      <c r="D210" s="18">
        <f>IF(A210&lt;&gt;"",VLOOKUP(A210,'Personnel Screening Registry'!$A:$K,11,FALSE),"")</f>
        <v/>
      </c>
      <c r="E210" s="15" t="n"/>
      <c r="F210" s="16" t="n"/>
      <c r="G210" s="18">
        <f>IF(OR(A210="",F210="",E210=""),"",IF(E210="Annual",F210+365,IF(E210="Biennial",F210+730,IF(E210="3-Year",F210+1095,F210+365))))</f>
        <v/>
      </c>
      <c r="H210" s="14">
        <f>IF(A210="","",IF(G210="","Not-Scheduled",IF(G210&gt;=TODAY(),"Current",IF(G210&gt;=TODAY()-30,"Due-Soon","Overdue"))))</f>
        <v/>
      </c>
      <c r="I210" s="15" t="n"/>
      <c r="J210" s="15" t="n"/>
      <c r="K210" s="15" t="n"/>
      <c r="L210" s="14">
        <f>IF(A210="","",IF(AND(OR(H210="Current",H210="Due-Soon"),OR(I210="No",I210="N/A",AND(I210="Yes",K210="Yes"))),"Compliant",IF(H210="Overdue","Non-Compliant","Partial")))</f>
        <v/>
      </c>
      <c r="M210" s="15" t="n"/>
      <c r="N210" s="15" t="n"/>
    </row>
    <row r="211">
      <c r="A211" s="14">
        <f>IF(ROW()-4&lt;=COUNTA('Personnel Screening Registry'!$A:$A)-4,INDEX('Personnel Screening Registry'!$A:$A,ROW()-3),"")</f>
        <v/>
      </c>
      <c r="B211" s="14">
        <f>IF(A211&lt;&gt;"",VLOOKUP(A211,'Personnel Screening Registry'!$A:$B,2,FALSE),"")</f>
        <v/>
      </c>
      <c r="C211" s="14">
        <f>IF(A211&lt;&gt;"",VLOOKUP(A211,'Personnel Screening Registry'!$A:$E,5,FALSE),"")</f>
        <v/>
      </c>
      <c r="D211" s="18">
        <f>IF(A211&lt;&gt;"",VLOOKUP(A211,'Personnel Screening Registry'!$A:$K,11,FALSE),"")</f>
        <v/>
      </c>
      <c r="E211" s="15" t="n"/>
      <c r="F211" s="16" t="n"/>
      <c r="G211" s="18">
        <f>IF(OR(A211="",F211="",E211=""),"",IF(E211="Annual",F211+365,IF(E211="Biennial",F211+730,IF(E211="3-Year",F211+1095,F211+365))))</f>
        <v/>
      </c>
      <c r="H211" s="14">
        <f>IF(A211="","",IF(G211="","Not-Scheduled",IF(G211&gt;=TODAY(),"Current",IF(G211&gt;=TODAY()-30,"Due-Soon","Overdue"))))</f>
        <v/>
      </c>
      <c r="I211" s="15" t="n"/>
      <c r="J211" s="15" t="n"/>
      <c r="K211" s="15" t="n"/>
      <c r="L211" s="14">
        <f>IF(A211="","",IF(AND(OR(H211="Current",H211="Due-Soon"),OR(I211="No",I211="N/A",AND(I211="Yes",K211="Yes"))),"Compliant",IF(H211="Overdue","Non-Compliant","Partial")))</f>
        <v/>
      </c>
      <c r="M211" s="15" t="n"/>
      <c r="N211" s="15" t="n"/>
    </row>
    <row r="212">
      <c r="A212" s="14">
        <f>IF(ROW()-4&lt;=COUNTA('Personnel Screening Registry'!$A:$A)-4,INDEX('Personnel Screening Registry'!$A:$A,ROW()-3),"")</f>
        <v/>
      </c>
      <c r="B212" s="14">
        <f>IF(A212&lt;&gt;"",VLOOKUP(A212,'Personnel Screening Registry'!$A:$B,2,FALSE),"")</f>
        <v/>
      </c>
      <c r="C212" s="14">
        <f>IF(A212&lt;&gt;"",VLOOKUP(A212,'Personnel Screening Registry'!$A:$E,5,FALSE),"")</f>
        <v/>
      </c>
      <c r="D212" s="18">
        <f>IF(A212&lt;&gt;"",VLOOKUP(A212,'Personnel Screening Registry'!$A:$K,11,FALSE),"")</f>
        <v/>
      </c>
      <c r="E212" s="15" t="n"/>
      <c r="F212" s="16" t="n"/>
      <c r="G212" s="18">
        <f>IF(OR(A212="",F212="",E212=""),"",IF(E212="Annual",F212+365,IF(E212="Biennial",F212+730,IF(E212="3-Year",F212+1095,F212+365))))</f>
        <v/>
      </c>
      <c r="H212" s="14">
        <f>IF(A212="","",IF(G212="","Not-Scheduled",IF(G212&gt;=TODAY(),"Current",IF(G212&gt;=TODAY()-30,"Due-Soon","Overdue"))))</f>
        <v/>
      </c>
      <c r="I212" s="15" t="n"/>
      <c r="J212" s="15" t="n"/>
      <c r="K212" s="15" t="n"/>
      <c r="L212" s="14">
        <f>IF(A212="","",IF(AND(OR(H212="Current",H212="Due-Soon"),OR(I212="No",I212="N/A",AND(I212="Yes",K212="Yes"))),"Compliant",IF(H212="Overdue","Non-Compliant","Partial")))</f>
        <v/>
      </c>
      <c r="M212" s="15" t="n"/>
      <c r="N212" s="15" t="n"/>
    </row>
    <row r="213">
      <c r="A213" s="14">
        <f>IF(ROW()-4&lt;=COUNTA('Personnel Screening Registry'!$A:$A)-4,INDEX('Personnel Screening Registry'!$A:$A,ROW()-3),"")</f>
        <v/>
      </c>
      <c r="B213" s="14">
        <f>IF(A213&lt;&gt;"",VLOOKUP(A213,'Personnel Screening Registry'!$A:$B,2,FALSE),"")</f>
        <v/>
      </c>
      <c r="C213" s="14">
        <f>IF(A213&lt;&gt;"",VLOOKUP(A213,'Personnel Screening Registry'!$A:$E,5,FALSE),"")</f>
        <v/>
      </c>
      <c r="D213" s="18">
        <f>IF(A213&lt;&gt;"",VLOOKUP(A213,'Personnel Screening Registry'!$A:$K,11,FALSE),"")</f>
        <v/>
      </c>
      <c r="E213" s="15" t="n"/>
      <c r="F213" s="16" t="n"/>
      <c r="G213" s="18">
        <f>IF(OR(A213="",F213="",E213=""),"",IF(E213="Annual",F213+365,IF(E213="Biennial",F213+730,IF(E213="3-Year",F213+1095,F213+365))))</f>
        <v/>
      </c>
      <c r="H213" s="14">
        <f>IF(A213="","",IF(G213="","Not-Scheduled",IF(G213&gt;=TODAY(),"Current",IF(G213&gt;=TODAY()-30,"Due-Soon","Overdue"))))</f>
        <v/>
      </c>
      <c r="I213" s="15" t="n"/>
      <c r="J213" s="15" t="n"/>
      <c r="K213" s="15" t="n"/>
      <c r="L213" s="14">
        <f>IF(A213="","",IF(AND(OR(H213="Current",H213="Due-Soon"),OR(I213="No",I213="N/A",AND(I213="Yes",K213="Yes"))),"Compliant",IF(H213="Overdue","Non-Compliant","Partial")))</f>
        <v/>
      </c>
      <c r="M213" s="15" t="n"/>
      <c r="N213" s="15" t="n"/>
    </row>
    <row r="214">
      <c r="A214" s="14">
        <f>IF(ROW()-4&lt;=COUNTA('Personnel Screening Registry'!$A:$A)-4,INDEX('Personnel Screening Registry'!$A:$A,ROW()-3),"")</f>
        <v/>
      </c>
      <c r="B214" s="14">
        <f>IF(A214&lt;&gt;"",VLOOKUP(A214,'Personnel Screening Registry'!$A:$B,2,FALSE),"")</f>
        <v/>
      </c>
      <c r="C214" s="14">
        <f>IF(A214&lt;&gt;"",VLOOKUP(A214,'Personnel Screening Registry'!$A:$E,5,FALSE),"")</f>
        <v/>
      </c>
      <c r="D214" s="18">
        <f>IF(A214&lt;&gt;"",VLOOKUP(A214,'Personnel Screening Registry'!$A:$K,11,FALSE),"")</f>
        <v/>
      </c>
      <c r="E214" s="15" t="n"/>
      <c r="F214" s="16" t="n"/>
      <c r="G214" s="18">
        <f>IF(OR(A214="",F214="",E214=""),"",IF(E214="Annual",F214+365,IF(E214="Biennial",F214+730,IF(E214="3-Year",F214+1095,F214+365))))</f>
        <v/>
      </c>
      <c r="H214" s="14">
        <f>IF(A214="","",IF(G214="","Not-Scheduled",IF(G214&gt;=TODAY(),"Current",IF(G214&gt;=TODAY()-30,"Due-Soon","Overdue"))))</f>
        <v/>
      </c>
      <c r="I214" s="15" t="n"/>
      <c r="J214" s="15" t="n"/>
      <c r="K214" s="15" t="n"/>
      <c r="L214" s="14">
        <f>IF(A214="","",IF(AND(OR(H214="Current",H214="Due-Soon"),OR(I214="No",I214="N/A",AND(I214="Yes",K214="Yes"))),"Compliant",IF(H214="Overdue","Non-Compliant","Partial")))</f>
        <v/>
      </c>
      <c r="M214" s="15" t="n"/>
      <c r="N214" s="15" t="n"/>
    </row>
    <row r="215">
      <c r="A215" s="14">
        <f>IF(ROW()-4&lt;=COUNTA('Personnel Screening Registry'!$A:$A)-4,INDEX('Personnel Screening Registry'!$A:$A,ROW()-3),"")</f>
        <v/>
      </c>
      <c r="B215" s="14">
        <f>IF(A215&lt;&gt;"",VLOOKUP(A215,'Personnel Screening Registry'!$A:$B,2,FALSE),"")</f>
        <v/>
      </c>
      <c r="C215" s="14">
        <f>IF(A215&lt;&gt;"",VLOOKUP(A215,'Personnel Screening Registry'!$A:$E,5,FALSE),"")</f>
        <v/>
      </c>
      <c r="D215" s="18">
        <f>IF(A215&lt;&gt;"",VLOOKUP(A215,'Personnel Screening Registry'!$A:$K,11,FALSE),"")</f>
        <v/>
      </c>
      <c r="E215" s="15" t="n"/>
      <c r="F215" s="16" t="n"/>
      <c r="G215" s="18">
        <f>IF(OR(A215="",F215="",E215=""),"",IF(E215="Annual",F215+365,IF(E215="Biennial",F215+730,IF(E215="3-Year",F215+1095,F215+365))))</f>
        <v/>
      </c>
      <c r="H215" s="14">
        <f>IF(A215="","",IF(G215="","Not-Scheduled",IF(G215&gt;=TODAY(),"Current",IF(G215&gt;=TODAY()-30,"Due-Soon","Overdue"))))</f>
        <v/>
      </c>
      <c r="I215" s="15" t="n"/>
      <c r="J215" s="15" t="n"/>
      <c r="K215" s="15" t="n"/>
      <c r="L215" s="14">
        <f>IF(A215="","",IF(AND(OR(H215="Current",H215="Due-Soon"),OR(I215="No",I215="N/A",AND(I215="Yes",K215="Yes"))),"Compliant",IF(H215="Overdue","Non-Compliant","Partial")))</f>
        <v/>
      </c>
      <c r="M215" s="15" t="n"/>
      <c r="N215" s="15" t="n"/>
    </row>
    <row r="216">
      <c r="A216" s="14">
        <f>IF(ROW()-4&lt;=COUNTA('Personnel Screening Registry'!$A:$A)-4,INDEX('Personnel Screening Registry'!$A:$A,ROW()-3),"")</f>
        <v/>
      </c>
      <c r="B216" s="14">
        <f>IF(A216&lt;&gt;"",VLOOKUP(A216,'Personnel Screening Registry'!$A:$B,2,FALSE),"")</f>
        <v/>
      </c>
      <c r="C216" s="14">
        <f>IF(A216&lt;&gt;"",VLOOKUP(A216,'Personnel Screening Registry'!$A:$E,5,FALSE),"")</f>
        <v/>
      </c>
      <c r="D216" s="18">
        <f>IF(A216&lt;&gt;"",VLOOKUP(A216,'Personnel Screening Registry'!$A:$K,11,FALSE),"")</f>
        <v/>
      </c>
      <c r="E216" s="15" t="n"/>
      <c r="F216" s="16" t="n"/>
      <c r="G216" s="18">
        <f>IF(OR(A216="",F216="",E216=""),"",IF(E216="Annual",F216+365,IF(E216="Biennial",F216+730,IF(E216="3-Year",F216+1095,F216+365))))</f>
        <v/>
      </c>
      <c r="H216" s="14">
        <f>IF(A216="","",IF(G216="","Not-Scheduled",IF(G216&gt;=TODAY(),"Current",IF(G216&gt;=TODAY()-30,"Due-Soon","Overdue"))))</f>
        <v/>
      </c>
      <c r="I216" s="15" t="n"/>
      <c r="J216" s="15" t="n"/>
      <c r="K216" s="15" t="n"/>
      <c r="L216" s="14">
        <f>IF(A216="","",IF(AND(OR(H216="Current",H216="Due-Soon"),OR(I216="No",I216="N/A",AND(I216="Yes",K216="Yes"))),"Compliant",IF(H216="Overdue","Non-Compliant","Partial")))</f>
        <v/>
      </c>
      <c r="M216" s="15" t="n"/>
      <c r="N216" s="15" t="n"/>
    </row>
    <row r="217">
      <c r="A217" s="14">
        <f>IF(ROW()-4&lt;=COUNTA('Personnel Screening Registry'!$A:$A)-4,INDEX('Personnel Screening Registry'!$A:$A,ROW()-3),"")</f>
        <v/>
      </c>
      <c r="B217" s="14">
        <f>IF(A217&lt;&gt;"",VLOOKUP(A217,'Personnel Screening Registry'!$A:$B,2,FALSE),"")</f>
        <v/>
      </c>
      <c r="C217" s="14">
        <f>IF(A217&lt;&gt;"",VLOOKUP(A217,'Personnel Screening Registry'!$A:$E,5,FALSE),"")</f>
        <v/>
      </c>
      <c r="D217" s="18">
        <f>IF(A217&lt;&gt;"",VLOOKUP(A217,'Personnel Screening Registry'!$A:$K,11,FALSE),"")</f>
        <v/>
      </c>
      <c r="E217" s="15" t="n"/>
      <c r="F217" s="16" t="n"/>
      <c r="G217" s="18">
        <f>IF(OR(A217="",F217="",E217=""),"",IF(E217="Annual",F217+365,IF(E217="Biennial",F217+730,IF(E217="3-Year",F217+1095,F217+365))))</f>
        <v/>
      </c>
      <c r="H217" s="14">
        <f>IF(A217="","",IF(G217="","Not-Scheduled",IF(G217&gt;=TODAY(),"Current",IF(G217&gt;=TODAY()-30,"Due-Soon","Overdue"))))</f>
        <v/>
      </c>
      <c r="I217" s="15" t="n"/>
      <c r="J217" s="15" t="n"/>
      <c r="K217" s="15" t="n"/>
      <c r="L217" s="14">
        <f>IF(A217="","",IF(AND(OR(H217="Current",H217="Due-Soon"),OR(I217="No",I217="N/A",AND(I217="Yes",K217="Yes"))),"Compliant",IF(H217="Overdue","Non-Compliant","Partial")))</f>
        <v/>
      </c>
      <c r="M217" s="15" t="n"/>
      <c r="N217" s="15" t="n"/>
    </row>
    <row r="218">
      <c r="A218" s="14">
        <f>IF(ROW()-4&lt;=COUNTA('Personnel Screening Registry'!$A:$A)-4,INDEX('Personnel Screening Registry'!$A:$A,ROW()-3),"")</f>
        <v/>
      </c>
      <c r="B218" s="14">
        <f>IF(A218&lt;&gt;"",VLOOKUP(A218,'Personnel Screening Registry'!$A:$B,2,FALSE),"")</f>
        <v/>
      </c>
      <c r="C218" s="14">
        <f>IF(A218&lt;&gt;"",VLOOKUP(A218,'Personnel Screening Registry'!$A:$E,5,FALSE),"")</f>
        <v/>
      </c>
      <c r="D218" s="18">
        <f>IF(A218&lt;&gt;"",VLOOKUP(A218,'Personnel Screening Registry'!$A:$K,11,FALSE),"")</f>
        <v/>
      </c>
      <c r="E218" s="15" t="n"/>
      <c r="F218" s="16" t="n"/>
      <c r="G218" s="18">
        <f>IF(OR(A218="",F218="",E218=""),"",IF(E218="Annual",F218+365,IF(E218="Biennial",F218+730,IF(E218="3-Year",F218+1095,F218+365))))</f>
        <v/>
      </c>
      <c r="H218" s="14">
        <f>IF(A218="","",IF(G218="","Not-Scheduled",IF(G218&gt;=TODAY(),"Current",IF(G218&gt;=TODAY()-30,"Due-Soon","Overdue"))))</f>
        <v/>
      </c>
      <c r="I218" s="15" t="n"/>
      <c r="J218" s="15" t="n"/>
      <c r="K218" s="15" t="n"/>
      <c r="L218" s="14">
        <f>IF(A218="","",IF(AND(OR(H218="Current",H218="Due-Soon"),OR(I218="No",I218="N/A",AND(I218="Yes",K218="Yes"))),"Compliant",IF(H218="Overdue","Non-Compliant","Partial")))</f>
        <v/>
      </c>
      <c r="M218" s="15" t="n"/>
      <c r="N218" s="15" t="n"/>
    </row>
    <row r="219">
      <c r="A219" s="14">
        <f>IF(ROW()-4&lt;=COUNTA('Personnel Screening Registry'!$A:$A)-4,INDEX('Personnel Screening Registry'!$A:$A,ROW()-3),"")</f>
        <v/>
      </c>
      <c r="B219" s="14">
        <f>IF(A219&lt;&gt;"",VLOOKUP(A219,'Personnel Screening Registry'!$A:$B,2,FALSE),"")</f>
        <v/>
      </c>
      <c r="C219" s="14">
        <f>IF(A219&lt;&gt;"",VLOOKUP(A219,'Personnel Screening Registry'!$A:$E,5,FALSE),"")</f>
        <v/>
      </c>
      <c r="D219" s="18">
        <f>IF(A219&lt;&gt;"",VLOOKUP(A219,'Personnel Screening Registry'!$A:$K,11,FALSE),"")</f>
        <v/>
      </c>
      <c r="E219" s="15" t="n"/>
      <c r="F219" s="16" t="n"/>
      <c r="G219" s="18">
        <f>IF(OR(A219="",F219="",E219=""),"",IF(E219="Annual",F219+365,IF(E219="Biennial",F219+730,IF(E219="3-Year",F219+1095,F219+365))))</f>
        <v/>
      </c>
      <c r="H219" s="14">
        <f>IF(A219="","",IF(G219="","Not-Scheduled",IF(G219&gt;=TODAY(),"Current",IF(G219&gt;=TODAY()-30,"Due-Soon","Overdue"))))</f>
        <v/>
      </c>
      <c r="I219" s="15" t="n"/>
      <c r="J219" s="15" t="n"/>
      <c r="K219" s="15" t="n"/>
      <c r="L219" s="14">
        <f>IF(A219="","",IF(AND(OR(H219="Current",H219="Due-Soon"),OR(I219="No",I219="N/A",AND(I219="Yes",K219="Yes"))),"Compliant",IF(H219="Overdue","Non-Compliant","Partial")))</f>
        <v/>
      </c>
      <c r="M219" s="15" t="n"/>
      <c r="N219" s="15" t="n"/>
    </row>
    <row r="220">
      <c r="A220" s="14">
        <f>IF(ROW()-4&lt;=COUNTA('Personnel Screening Registry'!$A:$A)-4,INDEX('Personnel Screening Registry'!$A:$A,ROW()-3),"")</f>
        <v/>
      </c>
      <c r="B220" s="14">
        <f>IF(A220&lt;&gt;"",VLOOKUP(A220,'Personnel Screening Registry'!$A:$B,2,FALSE),"")</f>
        <v/>
      </c>
      <c r="C220" s="14">
        <f>IF(A220&lt;&gt;"",VLOOKUP(A220,'Personnel Screening Registry'!$A:$E,5,FALSE),"")</f>
        <v/>
      </c>
      <c r="D220" s="18">
        <f>IF(A220&lt;&gt;"",VLOOKUP(A220,'Personnel Screening Registry'!$A:$K,11,FALSE),"")</f>
        <v/>
      </c>
      <c r="E220" s="15" t="n"/>
      <c r="F220" s="16" t="n"/>
      <c r="G220" s="18">
        <f>IF(OR(A220="",F220="",E220=""),"",IF(E220="Annual",F220+365,IF(E220="Biennial",F220+730,IF(E220="3-Year",F220+1095,F220+365))))</f>
        <v/>
      </c>
      <c r="H220" s="14">
        <f>IF(A220="","",IF(G220="","Not-Scheduled",IF(G220&gt;=TODAY(),"Current",IF(G220&gt;=TODAY()-30,"Due-Soon","Overdue"))))</f>
        <v/>
      </c>
      <c r="I220" s="15" t="n"/>
      <c r="J220" s="15" t="n"/>
      <c r="K220" s="15" t="n"/>
      <c r="L220" s="14">
        <f>IF(A220="","",IF(AND(OR(H220="Current",H220="Due-Soon"),OR(I220="No",I220="N/A",AND(I220="Yes",K220="Yes"))),"Compliant",IF(H220="Overdue","Non-Compliant","Partial")))</f>
        <v/>
      </c>
      <c r="M220" s="15" t="n"/>
      <c r="N220" s="15" t="n"/>
    </row>
    <row r="221">
      <c r="A221" s="14">
        <f>IF(ROW()-4&lt;=COUNTA('Personnel Screening Registry'!$A:$A)-4,INDEX('Personnel Screening Registry'!$A:$A,ROW()-3),"")</f>
        <v/>
      </c>
      <c r="B221" s="14">
        <f>IF(A221&lt;&gt;"",VLOOKUP(A221,'Personnel Screening Registry'!$A:$B,2,FALSE),"")</f>
        <v/>
      </c>
      <c r="C221" s="14">
        <f>IF(A221&lt;&gt;"",VLOOKUP(A221,'Personnel Screening Registry'!$A:$E,5,FALSE),"")</f>
        <v/>
      </c>
      <c r="D221" s="18">
        <f>IF(A221&lt;&gt;"",VLOOKUP(A221,'Personnel Screening Registry'!$A:$K,11,FALSE),"")</f>
        <v/>
      </c>
      <c r="E221" s="15" t="n"/>
      <c r="F221" s="16" t="n"/>
      <c r="G221" s="18">
        <f>IF(OR(A221="",F221="",E221=""),"",IF(E221="Annual",F221+365,IF(E221="Biennial",F221+730,IF(E221="3-Year",F221+1095,F221+365))))</f>
        <v/>
      </c>
      <c r="H221" s="14">
        <f>IF(A221="","",IF(G221="","Not-Scheduled",IF(G221&gt;=TODAY(),"Current",IF(G221&gt;=TODAY()-30,"Due-Soon","Overdue"))))</f>
        <v/>
      </c>
      <c r="I221" s="15" t="n"/>
      <c r="J221" s="15" t="n"/>
      <c r="K221" s="15" t="n"/>
      <c r="L221" s="14">
        <f>IF(A221="","",IF(AND(OR(H221="Current",H221="Due-Soon"),OR(I221="No",I221="N/A",AND(I221="Yes",K221="Yes"))),"Compliant",IF(H221="Overdue","Non-Compliant","Partial")))</f>
        <v/>
      </c>
      <c r="M221" s="15" t="n"/>
      <c r="N221" s="15" t="n"/>
    </row>
    <row r="222">
      <c r="A222" s="14">
        <f>IF(ROW()-4&lt;=COUNTA('Personnel Screening Registry'!$A:$A)-4,INDEX('Personnel Screening Registry'!$A:$A,ROW()-3),"")</f>
        <v/>
      </c>
      <c r="B222" s="14">
        <f>IF(A222&lt;&gt;"",VLOOKUP(A222,'Personnel Screening Registry'!$A:$B,2,FALSE),"")</f>
        <v/>
      </c>
      <c r="C222" s="14">
        <f>IF(A222&lt;&gt;"",VLOOKUP(A222,'Personnel Screening Registry'!$A:$E,5,FALSE),"")</f>
        <v/>
      </c>
      <c r="D222" s="18">
        <f>IF(A222&lt;&gt;"",VLOOKUP(A222,'Personnel Screening Registry'!$A:$K,11,FALSE),"")</f>
        <v/>
      </c>
      <c r="E222" s="15" t="n"/>
      <c r="F222" s="16" t="n"/>
      <c r="G222" s="18">
        <f>IF(OR(A222="",F222="",E222=""),"",IF(E222="Annual",F222+365,IF(E222="Biennial",F222+730,IF(E222="3-Year",F222+1095,F222+365))))</f>
        <v/>
      </c>
      <c r="H222" s="14">
        <f>IF(A222="","",IF(G222="","Not-Scheduled",IF(G222&gt;=TODAY(),"Current",IF(G222&gt;=TODAY()-30,"Due-Soon","Overdue"))))</f>
        <v/>
      </c>
      <c r="I222" s="15" t="n"/>
      <c r="J222" s="15" t="n"/>
      <c r="K222" s="15" t="n"/>
      <c r="L222" s="14">
        <f>IF(A222="","",IF(AND(OR(H222="Current",H222="Due-Soon"),OR(I222="No",I222="N/A",AND(I222="Yes",K222="Yes"))),"Compliant",IF(H222="Overdue","Non-Compliant","Partial")))</f>
        <v/>
      </c>
      <c r="M222" s="15" t="n"/>
      <c r="N222" s="15" t="n"/>
    </row>
    <row r="223">
      <c r="A223" s="14">
        <f>IF(ROW()-4&lt;=COUNTA('Personnel Screening Registry'!$A:$A)-4,INDEX('Personnel Screening Registry'!$A:$A,ROW()-3),"")</f>
        <v/>
      </c>
      <c r="B223" s="14">
        <f>IF(A223&lt;&gt;"",VLOOKUP(A223,'Personnel Screening Registry'!$A:$B,2,FALSE),"")</f>
        <v/>
      </c>
      <c r="C223" s="14">
        <f>IF(A223&lt;&gt;"",VLOOKUP(A223,'Personnel Screening Registry'!$A:$E,5,FALSE),"")</f>
        <v/>
      </c>
      <c r="D223" s="18">
        <f>IF(A223&lt;&gt;"",VLOOKUP(A223,'Personnel Screening Registry'!$A:$K,11,FALSE),"")</f>
        <v/>
      </c>
      <c r="E223" s="15" t="n"/>
      <c r="F223" s="16" t="n"/>
      <c r="G223" s="18">
        <f>IF(OR(A223="",F223="",E223=""),"",IF(E223="Annual",F223+365,IF(E223="Biennial",F223+730,IF(E223="3-Year",F223+1095,F223+365))))</f>
        <v/>
      </c>
      <c r="H223" s="14">
        <f>IF(A223="","",IF(G223="","Not-Scheduled",IF(G223&gt;=TODAY(),"Current",IF(G223&gt;=TODAY()-30,"Due-Soon","Overdue"))))</f>
        <v/>
      </c>
      <c r="I223" s="15" t="n"/>
      <c r="J223" s="15" t="n"/>
      <c r="K223" s="15" t="n"/>
      <c r="L223" s="14">
        <f>IF(A223="","",IF(AND(OR(H223="Current",H223="Due-Soon"),OR(I223="No",I223="N/A",AND(I223="Yes",K223="Yes"))),"Compliant",IF(H223="Overdue","Non-Compliant","Partial")))</f>
        <v/>
      </c>
      <c r="M223" s="15" t="n"/>
      <c r="N223" s="15" t="n"/>
    </row>
    <row r="224">
      <c r="A224" s="14">
        <f>IF(ROW()-4&lt;=COUNTA('Personnel Screening Registry'!$A:$A)-4,INDEX('Personnel Screening Registry'!$A:$A,ROW()-3),"")</f>
        <v/>
      </c>
      <c r="B224" s="14">
        <f>IF(A224&lt;&gt;"",VLOOKUP(A224,'Personnel Screening Registry'!$A:$B,2,FALSE),"")</f>
        <v/>
      </c>
      <c r="C224" s="14">
        <f>IF(A224&lt;&gt;"",VLOOKUP(A224,'Personnel Screening Registry'!$A:$E,5,FALSE),"")</f>
        <v/>
      </c>
      <c r="D224" s="18">
        <f>IF(A224&lt;&gt;"",VLOOKUP(A224,'Personnel Screening Registry'!$A:$K,11,FALSE),"")</f>
        <v/>
      </c>
      <c r="E224" s="15" t="n"/>
      <c r="F224" s="16" t="n"/>
      <c r="G224" s="18">
        <f>IF(OR(A224="",F224="",E224=""),"",IF(E224="Annual",F224+365,IF(E224="Biennial",F224+730,IF(E224="3-Year",F224+1095,F224+365))))</f>
        <v/>
      </c>
      <c r="H224" s="14">
        <f>IF(A224="","",IF(G224="","Not-Scheduled",IF(G224&gt;=TODAY(),"Current",IF(G224&gt;=TODAY()-30,"Due-Soon","Overdue"))))</f>
        <v/>
      </c>
      <c r="I224" s="15" t="n"/>
      <c r="J224" s="15" t="n"/>
      <c r="K224" s="15" t="n"/>
      <c r="L224" s="14">
        <f>IF(A224="","",IF(AND(OR(H224="Current",H224="Due-Soon"),OR(I224="No",I224="N/A",AND(I224="Yes",K224="Yes"))),"Compliant",IF(H224="Overdue","Non-Compliant","Partial")))</f>
        <v/>
      </c>
      <c r="M224" s="15" t="n"/>
      <c r="N224" s="15" t="n"/>
    </row>
    <row r="225">
      <c r="A225" s="14">
        <f>IF(ROW()-4&lt;=COUNTA('Personnel Screening Registry'!$A:$A)-4,INDEX('Personnel Screening Registry'!$A:$A,ROW()-3),"")</f>
        <v/>
      </c>
      <c r="B225" s="14">
        <f>IF(A225&lt;&gt;"",VLOOKUP(A225,'Personnel Screening Registry'!$A:$B,2,FALSE),"")</f>
        <v/>
      </c>
      <c r="C225" s="14">
        <f>IF(A225&lt;&gt;"",VLOOKUP(A225,'Personnel Screening Registry'!$A:$E,5,FALSE),"")</f>
        <v/>
      </c>
      <c r="D225" s="18">
        <f>IF(A225&lt;&gt;"",VLOOKUP(A225,'Personnel Screening Registry'!$A:$K,11,FALSE),"")</f>
        <v/>
      </c>
      <c r="E225" s="15" t="n"/>
      <c r="F225" s="16" t="n"/>
      <c r="G225" s="18">
        <f>IF(OR(A225="",F225="",E225=""),"",IF(E225="Annual",F225+365,IF(E225="Biennial",F225+730,IF(E225="3-Year",F225+1095,F225+365))))</f>
        <v/>
      </c>
      <c r="H225" s="14">
        <f>IF(A225="","",IF(G225="","Not-Scheduled",IF(G225&gt;=TODAY(),"Current",IF(G225&gt;=TODAY()-30,"Due-Soon","Overdue"))))</f>
        <v/>
      </c>
      <c r="I225" s="15" t="n"/>
      <c r="J225" s="15" t="n"/>
      <c r="K225" s="15" t="n"/>
      <c r="L225" s="14">
        <f>IF(A225="","",IF(AND(OR(H225="Current",H225="Due-Soon"),OR(I225="No",I225="N/A",AND(I225="Yes",K225="Yes"))),"Compliant",IF(H225="Overdue","Non-Compliant","Partial")))</f>
        <v/>
      </c>
      <c r="M225" s="15" t="n"/>
      <c r="N225" s="15" t="n"/>
    </row>
    <row r="226">
      <c r="A226" s="14">
        <f>IF(ROW()-4&lt;=COUNTA('Personnel Screening Registry'!$A:$A)-4,INDEX('Personnel Screening Registry'!$A:$A,ROW()-3),"")</f>
        <v/>
      </c>
      <c r="B226" s="14">
        <f>IF(A226&lt;&gt;"",VLOOKUP(A226,'Personnel Screening Registry'!$A:$B,2,FALSE),"")</f>
        <v/>
      </c>
      <c r="C226" s="14">
        <f>IF(A226&lt;&gt;"",VLOOKUP(A226,'Personnel Screening Registry'!$A:$E,5,FALSE),"")</f>
        <v/>
      </c>
      <c r="D226" s="18">
        <f>IF(A226&lt;&gt;"",VLOOKUP(A226,'Personnel Screening Registry'!$A:$K,11,FALSE),"")</f>
        <v/>
      </c>
      <c r="E226" s="15" t="n"/>
      <c r="F226" s="16" t="n"/>
      <c r="G226" s="18">
        <f>IF(OR(A226="",F226="",E226=""),"",IF(E226="Annual",F226+365,IF(E226="Biennial",F226+730,IF(E226="3-Year",F226+1095,F226+365))))</f>
        <v/>
      </c>
      <c r="H226" s="14">
        <f>IF(A226="","",IF(G226="","Not-Scheduled",IF(G226&gt;=TODAY(),"Current",IF(G226&gt;=TODAY()-30,"Due-Soon","Overdue"))))</f>
        <v/>
      </c>
      <c r="I226" s="15" t="n"/>
      <c r="J226" s="15" t="n"/>
      <c r="K226" s="15" t="n"/>
      <c r="L226" s="14">
        <f>IF(A226="","",IF(AND(OR(H226="Current",H226="Due-Soon"),OR(I226="No",I226="N/A",AND(I226="Yes",K226="Yes"))),"Compliant",IF(H226="Overdue","Non-Compliant","Partial")))</f>
        <v/>
      </c>
      <c r="M226" s="15" t="n"/>
      <c r="N226" s="15" t="n"/>
    </row>
    <row r="227">
      <c r="A227" s="14">
        <f>IF(ROW()-4&lt;=COUNTA('Personnel Screening Registry'!$A:$A)-4,INDEX('Personnel Screening Registry'!$A:$A,ROW()-3),"")</f>
        <v/>
      </c>
      <c r="B227" s="14">
        <f>IF(A227&lt;&gt;"",VLOOKUP(A227,'Personnel Screening Registry'!$A:$B,2,FALSE),"")</f>
        <v/>
      </c>
      <c r="C227" s="14">
        <f>IF(A227&lt;&gt;"",VLOOKUP(A227,'Personnel Screening Registry'!$A:$E,5,FALSE),"")</f>
        <v/>
      </c>
      <c r="D227" s="18">
        <f>IF(A227&lt;&gt;"",VLOOKUP(A227,'Personnel Screening Registry'!$A:$K,11,FALSE),"")</f>
        <v/>
      </c>
      <c r="E227" s="15" t="n"/>
      <c r="F227" s="16" t="n"/>
      <c r="G227" s="18">
        <f>IF(OR(A227="",F227="",E227=""),"",IF(E227="Annual",F227+365,IF(E227="Biennial",F227+730,IF(E227="3-Year",F227+1095,F227+365))))</f>
        <v/>
      </c>
      <c r="H227" s="14">
        <f>IF(A227="","",IF(G227="","Not-Scheduled",IF(G227&gt;=TODAY(),"Current",IF(G227&gt;=TODAY()-30,"Due-Soon","Overdue"))))</f>
        <v/>
      </c>
      <c r="I227" s="15" t="n"/>
      <c r="J227" s="15" t="n"/>
      <c r="K227" s="15" t="n"/>
      <c r="L227" s="14">
        <f>IF(A227="","",IF(AND(OR(H227="Current",H227="Due-Soon"),OR(I227="No",I227="N/A",AND(I227="Yes",K227="Yes"))),"Compliant",IF(H227="Overdue","Non-Compliant","Partial")))</f>
        <v/>
      </c>
      <c r="M227" s="15" t="n"/>
      <c r="N227" s="15" t="n"/>
    </row>
    <row r="228">
      <c r="A228" s="14">
        <f>IF(ROW()-4&lt;=COUNTA('Personnel Screening Registry'!$A:$A)-4,INDEX('Personnel Screening Registry'!$A:$A,ROW()-3),"")</f>
        <v/>
      </c>
      <c r="B228" s="14">
        <f>IF(A228&lt;&gt;"",VLOOKUP(A228,'Personnel Screening Registry'!$A:$B,2,FALSE),"")</f>
        <v/>
      </c>
      <c r="C228" s="14">
        <f>IF(A228&lt;&gt;"",VLOOKUP(A228,'Personnel Screening Registry'!$A:$E,5,FALSE),"")</f>
        <v/>
      </c>
      <c r="D228" s="18">
        <f>IF(A228&lt;&gt;"",VLOOKUP(A228,'Personnel Screening Registry'!$A:$K,11,FALSE),"")</f>
        <v/>
      </c>
      <c r="E228" s="15" t="n"/>
      <c r="F228" s="16" t="n"/>
      <c r="G228" s="18">
        <f>IF(OR(A228="",F228="",E228=""),"",IF(E228="Annual",F228+365,IF(E228="Biennial",F228+730,IF(E228="3-Year",F228+1095,F228+365))))</f>
        <v/>
      </c>
      <c r="H228" s="14">
        <f>IF(A228="","",IF(G228="","Not-Scheduled",IF(G228&gt;=TODAY(),"Current",IF(G228&gt;=TODAY()-30,"Due-Soon","Overdue"))))</f>
        <v/>
      </c>
      <c r="I228" s="15" t="n"/>
      <c r="J228" s="15" t="n"/>
      <c r="K228" s="15" t="n"/>
      <c r="L228" s="14">
        <f>IF(A228="","",IF(AND(OR(H228="Current",H228="Due-Soon"),OR(I228="No",I228="N/A",AND(I228="Yes",K228="Yes"))),"Compliant",IF(H228="Overdue","Non-Compliant","Partial")))</f>
        <v/>
      </c>
      <c r="M228" s="15" t="n"/>
      <c r="N228" s="15" t="n"/>
    </row>
    <row r="229">
      <c r="A229" s="14">
        <f>IF(ROW()-4&lt;=COUNTA('Personnel Screening Registry'!$A:$A)-4,INDEX('Personnel Screening Registry'!$A:$A,ROW()-3),"")</f>
        <v/>
      </c>
      <c r="B229" s="14">
        <f>IF(A229&lt;&gt;"",VLOOKUP(A229,'Personnel Screening Registry'!$A:$B,2,FALSE),"")</f>
        <v/>
      </c>
      <c r="C229" s="14">
        <f>IF(A229&lt;&gt;"",VLOOKUP(A229,'Personnel Screening Registry'!$A:$E,5,FALSE),"")</f>
        <v/>
      </c>
      <c r="D229" s="18">
        <f>IF(A229&lt;&gt;"",VLOOKUP(A229,'Personnel Screening Registry'!$A:$K,11,FALSE),"")</f>
        <v/>
      </c>
      <c r="E229" s="15" t="n"/>
      <c r="F229" s="16" t="n"/>
      <c r="G229" s="18">
        <f>IF(OR(A229="",F229="",E229=""),"",IF(E229="Annual",F229+365,IF(E229="Biennial",F229+730,IF(E229="3-Year",F229+1095,F229+365))))</f>
        <v/>
      </c>
      <c r="H229" s="14">
        <f>IF(A229="","",IF(G229="","Not-Scheduled",IF(G229&gt;=TODAY(),"Current",IF(G229&gt;=TODAY()-30,"Due-Soon","Overdue"))))</f>
        <v/>
      </c>
      <c r="I229" s="15" t="n"/>
      <c r="J229" s="15" t="n"/>
      <c r="K229" s="15" t="n"/>
      <c r="L229" s="14">
        <f>IF(A229="","",IF(AND(OR(H229="Current",H229="Due-Soon"),OR(I229="No",I229="N/A",AND(I229="Yes",K229="Yes"))),"Compliant",IF(H229="Overdue","Non-Compliant","Partial")))</f>
        <v/>
      </c>
      <c r="M229" s="15" t="n"/>
      <c r="N229" s="15" t="n"/>
    </row>
    <row r="230">
      <c r="A230" s="14">
        <f>IF(ROW()-4&lt;=COUNTA('Personnel Screening Registry'!$A:$A)-4,INDEX('Personnel Screening Registry'!$A:$A,ROW()-3),"")</f>
        <v/>
      </c>
      <c r="B230" s="14">
        <f>IF(A230&lt;&gt;"",VLOOKUP(A230,'Personnel Screening Registry'!$A:$B,2,FALSE),"")</f>
        <v/>
      </c>
      <c r="C230" s="14">
        <f>IF(A230&lt;&gt;"",VLOOKUP(A230,'Personnel Screening Registry'!$A:$E,5,FALSE),"")</f>
        <v/>
      </c>
      <c r="D230" s="18">
        <f>IF(A230&lt;&gt;"",VLOOKUP(A230,'Personnel Screening Registry'!$A:$K,11,FALSE),"")</f>
        <v/>
      </c>
      <c r="E230" s="15" t="n"/>
      <c r="F230" s="16" t="n"/>
      <c r="G230" s="18">
        <f>IF(OR(A230="",F230="",E230=""),"",IF(E230="Annual",F230+365,IF(E230="Biennial",F230+730,IF(E230="3-Year",F230+1095,F230+365))))</f>
        <v/>
      </c>
      <c r="H230" s="14">
        <f>IF(A230="","",IF(G230="","Not-Scheduled",IF(G230&gt;=TODAY(),"Current",IF(G230&gt;=TODAY()-30,"Due-Soon","Overdue"))))</f>
        <v/>
      </c>
      <c r="I230" s="15" t="n"/>
      <c r="J230" s="15" t="n"/>
      <c r="K230" s="15" t="n"/>
      <c r="L230" s="14">
        <f>IF(A230="","",IF(AND(OR(H230="Current",H230="Due-Soon"),OR(I230="No",I230="N/A",AND(I230="Yes",K230="Yes"))),"Compliant",IF(H230="Overdue","Non-Compliant","Partial")))</f>
        <v/>
      </c>
      <c r="M230" s="15" t="n"/>
      <c r="N230" s="15" t="n"/>
    </row>
    <row r="231">
      <c r="A231" s="14">
        <f>IF(ROW()-4&lt;=COUNTA('Personnel Screening Registry'!$A:$A)-4,INDEX('Personnel Screening Registry'!$A:$A,ROW()-3),"")</f>
        <v/>
      </c>
      <c r="B231" s="14">
        <f>IF(A231&lt;&gt;"",VLOOKUP(A231,'Personnel Screening Registry'!$A:$B,2,FALSE),"")</f>
        <v/>
      </c>
      <c r="C231" s="14">
        <f>IF(A231&lt;&gt;"",VLOOKUP(A231,'Personnel Screening Registry'!$A:$E,5,FALSE),"")</f>
        <v/>
      </c>
      <c r="D231" s="18">
        <f>IF(A231&lt;&gt;"",VLOOKUP(A231,'Personnel Screening Registry'!$A:$K,11,FALSE),"")</f>
        <v/>
      </c>
      <c r="E231" s="15" t="n"/>
      <c r="F231" s="16" t="n"/>
      <c r="G231" s="18">
        <f>IF(OR(A231="",F231="",E231=""),"",IF(E231="Annual",F231+365,IF(E231="Biennial",F231+730,IF(E231="3-Year",F231+1095,F231+365))))</f>
        <v/>
      </c>
      <c r="H231" s="14">
        <f>IF(A231="","",IF(G231="","Not-Scheduled",IF(G231&gt;=TODAY(),"Current",IF(G231&gt;=TODAY()-30,"Due-Soon","Overdue"))))</f>
        <v/>
      </c>
      <c r="I231" s="15" t="n"/>
      <c r="J231" s="15" t="n"/>
      <c r="K231" s="15" t="n"/>
      <c r="L231" s="14">
        <f>IF(A231="","",IF(AND(OR(H231="Current",H231="Due-Soon"),OR(I231="No",I231="N/A",AND(I231="Yes",K231="Yes"))),"Compliant",IF(H231="Overdue","Non-Compliant","Partial")))</f>
        <v/>
      </c>
      <c r="M231" s="15" t="n"/>
      <c r="N231" s="15" t="n"/>
    </row>
    <row r="232">
      <c r="A232" s="14">
        <f>IF(ROW()-4&lt;=COUNTA('Personnel Screening Registry'!$A:$A)-4,INDEX('Personnel Screening Registry'!$A:$A,ROW()-3),"")</f>
        <v/>
      </c>
      <c r="B232" s="14">
        <f>IF(A232&lt;&gt;"",VLOOKUP(A232,'Personnel Screening Registry'!$A:$B,2,FALSE),"")</f>
        <v/>
      </c>
      <c r="C232" s="14">
        <f>IF(A232&lt;&gt;"",VLOOKUP(A232,'Personnel Screening Registry'!$A:$E,5,FALSE),"")</f>
        <v/>
      </c>
      <c r="D232" s="18">
        <f>IF(A232&lt;&gt;"",VLOOKUP(A232,'Personnel Screening Registry'!$A:$K,11,FALSE),"")</f>
        <v/>
      </c>
      <c r="E232" s="15" t="n"/>
      <c r="F232" s="16" t="n"/>
      <c r="G232" s="18">
        <f>IF(OR(A232="",F232="",E232=""),"",IF(E232="Annual",F232+365,IF(E232="Biennial",F232+730,IF(E232="3-Year",F232+1095,F232+365))))</f>
        <v/>
      </c>
      <c r="H232" s="14">
        <f>IF(A232="","",IF(G232="","Not-Scheduled",IF(G232&gt;=TODAY(),"Current",IF(G232&gt;=TODAY()-30,"Due-Soon","Overdue"))))</f>
        <v/>
      </c>
      <c r="I232" s="15" t="n"/>
      <c r="J232" s="15" t="n"/>
      <c r="K232" s="15" t="n"/>
      <c r="L232" s="14">
        <f>IF(A232="","",IF(AND(OR(H232="Current",H232="Due-Soon"),OR(I232="No",I232="N/A",AND(I232="Yes",K232="Yes"))),"Compliant",IF(H232="Overdue","Non-Compliant","Partial")))</f>
        <v/>
      </c>
      <c r="M232" s="15" t="n"/>
      <c r="N232" s="15" t="n"/>
    </row>
    <row r="233">
      <c r="A233" s="14">
        <f>IF(ROW()-4&lt;=COUNTA('Personnel Screening Registry'!$A:$A)-4,INDEX('Personnel Screening Registry'!$A:$A,ROW()-3),"")</f>
        <v/>
      </c>
      <c r="B233" s="14">
        <f>IF(A233&lt;&gt;"",VLOOKUP(A233,'Personnel Screening Registry'!$A:$B,2,FALSE),"")</f>
        <v/>
      </c>
      <c r="C233" s="14">
        <f>IF(A233&lt;&gt;"",VLOOKUP(A233,'Personnel Screening Registry'!$A:$E,5,FALSE),"")</f>
        <v/>
      </c>
      <c r="D233" s="18">
        <f>IF(A233&lt;&gt;"",VLOOKUP(A233,'Personnel Screening Registry'!$A:$K,11,FALSE),"")</f>
        <v/>
      </c>
      <c r="E233" s="15" t="n"/>
      <c r="F233" s="16" t="n"/>
      <c r="G233" s="18">
        <f>IF(OR(A233="",F233="",E233=""),"",IF(E233="Annual",F233+365,IF(E233="Biennial",F233+730,IF(E233="3-Year",F233+1095,F233+365))))</f>
        <v/>
      </c>
      <c r="H233" s="14">
        <f>IF(A233="","",IF(G233="","Not-Scheduled",IF(G233&gt;=TODAY(),"Current",IF(G233&gt;=TODAY()-30,"Due-Soon","Overdue"))))</f>
        <v/>
      </c>
      <c r="I233" s="15" t="n"/>
      <c r="J233" s="15" t="n"/>
      <c r="K233" s="15" t="n"/>
      <c r="L233" s="14">
        <f>IF(A233="","",IF(AND(OR(H233="Current",H233="Due-Soon"),OR(I233="No",I233="N/A",AND(I233="Yes",K233="Yes"))),"Compliant",IF(H233="Overdue","Non-Compliant","Partial")))</f>
        <v/>
      </c>
      <c r="M233" s="15" t="n"/>
      <c r="N233" s="15" t="n"/>
    </row>
    <row r="234">
      <c r="A234" s="14">
        <f>IF(ROW()-4&lt;=COUNTA('Personnel Screening Registry'!$A:$A)-4,INDEX('Personnel Screening Registry'!$A:$A,ROW()-3),"")</f>
        <v/>
      </c>
      <c r="B234" s="14">
        <f>IF(A234&lt;&gt;"",VLOOKUP(A234,'Personnel Screening Registry'!$A:$B,2,FALSE),"")</f>
        <v/>
      </c>
      <c r="C234" s="14">
        <f>IF(A234&lt;&gt;"",VLOOKUP(A234,'Personnel Screening Registry'!$A:$E,5,FALSE),"")</f>
        <v/>
      </c>
      <c r="D234" s="18">
        <f>IF(A234&lt;&gt;"",VLOOKUP(A234,'Personnel Screening Registry'!$A:$K,11,FALSE),"")</f>
        <v/>
      </c>
      <c r="E234" s="15" t="n"/>
      <c r="F234" s="16" t="n"/>
      <c r="G234" s="18">
        <f>IF(OR(A234="",F234="",E234=""),"",IF(E234="Annual",F234+365,IF(E234="Biennial",F234+730,IF(E234="3-Year",F234+1095,F234+365))))</f>
        <v/>
      </c>
      <c r="H234" s="14">
        <f>IF(A234="","",IF(G234="","Not-Scheduled",IF(G234&gt;=TODAY(),"Current",IF(G234&gt;=TODAY()-30,"Due-Soon","Overdue"))))</f>
        <v/>
      </c>
      <c r="I234" s="15" t="n"/>
      <c r="J234" s="15" t="n"/>
      <c r="K234" s="15" t="n"/>
      <c r="L234" s="14">
        <f>IF(A234="","",IF(AND(OR(H234="Current",H234="Due-Soon"),OR(I234="No",I234="N/A",AND(I234="Yes",K234="Yes"))),"Compliant",IF(H234="Overdue","Non-Compliant","Partial")))</f>
        <v/>
      </c>
      <c r="M234" s="15" t="n"/>
      <c r="N234" s="15" t="n"/>
    </row>
    <row r="235">
      <c r="A235" s="14">
        <f>IF(ROW()-4&lt;=COUNTA('Personnel Screening Registry'!$A:$A)-4,INDEX('Personnel Screening Registry'!$A:$A,ROW()-3),"")</f>
        <v/>
      </c>
      <c r="B235" s="14">
        <f>IF(A235&lt;&gt;"",VLOOKUP(A235,'Personnel Screening Registry'!$A:$B,2,FALSE),"")</f>
        <v/>
      </c>
      <c r="C235" s="14">
        <f>IF(A235&lt;&gt;"",VLOOKUP(A235,'Personnel Screening Registry'!$A:$E,5,FALSE),"")</f>
        <v/>
      </c>
      <c r="D235" s="18">
        <f>IF(A235&lt;&gt;"",VLOOKUP(A235,'Personnel Screening Registry'!$A:$K,11,FALSE),"")</f>
        <v/>
      </c>
      <c r="E235" s="15" t="n"/>
      <c r="F235" s="16" t="n"/>
      <c r="G235" s="18">
        <f>IF(OR(A235="",F235="",E235=""),"",IF(E235="Annual",F235+365,IF(E235="Biennial",F235+730,IF(E235="3-Year",F235+1095,F235+365))))</f>
        <v/>
      </c>
      <c r="H235" s="14">
        <f>IF(A235="","",IF(G235="","Not-Scheduled",IF(G235&gt;=TODAY(),"Current",IF(G235&gt;=TODAY()-30,"Due-Soon","Overdue"))))</f>
        <v/>
      </c>
      <c r="I235" s="15" t="n"/>
      <c r="J235" s="15" t="n"/>
      <c r="K235" s="15" t="n"/>
      <c r="L235" s="14">
        <f>IF(A235="","",IF(AND(OR(H235="Current",H235="Due-Soon"),OR(I235="No",I235="N/A",AND(I235="Yes",K235="Yes"))),"Compliant",IF(H235="Overdue","Non-Compliant","Partial")))</f>
        <v/>
      </c>
      <c r="M235" s="15" t="n"/>
      <c r="N235" s="15" t="n"/>
    </row>
    <row r="236">
      <c r="A236" s="14">
        <f>IF(ROW()-4&lt;=COUNTA('Personnel Screening Registry'!$A:$A)-4,INDEX('Personnel Screening Registry'!$A:$A,ROW()-3),"")</f>
        <v/>
      </c>
      <c r="B236" s="14">
        <f>IF(A236&lt;&gt;"",VLOOKUP(A236,'Personnel Screening Registry'!$A:$B,2,FALSE),"")</f>
        <v/>
      </c>
      <c r="C236" s="14">
        <f>IF(A236&lt;&gt;"",VLOOKUP(A236,'Personnel Screening Registry'!$A:$E,5,FALSE),"")</f>
        <v/>
      </c>
      <c r="D236" s="18">
        <f>IF(A236&lt;&gt;"",VLOOKUP(A236,'Personnel Screening Registry'!$A:$K,11,FALSE),"")</f>
        <v/>
      </c>
      <c r="E236" s="15" t="n"/>
      <c r="F236" s="16" t="n"/>
      <c r="G236" s="18">
        <f>IF(OR(A236="",F236="",E236=""),"",IF(E236="Annual",F236+365,IF(E236="Biennial",F236+730,IF(E236="3-Year",F236+1095,F236+365))))</f>
        <v/>
      </c>
      <c r="H236" s="14">
        <f>IF(A236="","",IF(G236="","Not-Scheduled",IF(G236&gt;=TODAY(),"Current",IF(G236&gt;=TODAY()-30,"Due-Soon","Overdue"))))</f>
        <v/>
      </c>
      <c r="I236" s="15" t="n"/>
      <c r="J236" s="15" t="n"/>
      <c r="K236" s="15" t="n"/>
      <c r="L236" s="14">
        <f>IF(A236="","",IF(AND(OR(H236="Current",H236="Due-Soon"),OR(I236="No",I236="N/A",AND(I236="Yes",K236="Yes"))),"Compliant",IF(H236="Overdue","Non-Compliant","Partial")))</f>
        <v/>
      </c>
      <c r="M236" s="15" t="n"/>
      <c r="N236" s="15" t="n"/>
    </row>
    <row r="237">
      <c r="A237" s="14">
        <f>IF(ROW()-4&lt;=COUNTA('Personnel Screening Registry'!$A:$A)-4,INDEX('Personnel Screening Registry'!$A:$A,ROW()-3),"")</f>
        <v/>
      </c>
      <c r="B237" s="14">
        <f>IF(A237&lt;&gt;"",VLOOKUP(A237,'Personnel Screening Registry'!$A:$B,2,FALSE),"")</f>
        <v/>
      </c>
      <c r="C237" s="14">
        <f>IF(A237&lt;&gt;"",VLOOKUP(A237,'Personnel Screening Registry'!$A:$E,5,FALSE),"")</f>
        <v/>
      </c>
      <c r="D237" s="18">
        <f>IF(A237&lt;&gt;"",VLOOKUP(A237,'Personnel Screening Registry'!$A:$K,11,FALSE),"")</f>
        <v/>
      </c>
      <c r="E237" s="15" t="n"/>
      <c r="F237" s="16" t="n"/>
      <c r="G237" s="18">
        <f>IF(OR(A237="",F237="",E237=""),"",IF(E237="Annual",F237+365,IF(E237="Biennial",F237+730,IF(E237="3-Year",F237+1095,F237+365))))</f>
        <v/>
      </c>
      <c r="H237" s="14">
        <f>IF(A237="","",IF(G237="","Not-Scheduled",IF(G237&gt;=TODAY(),"Current",IF(G237&gt;=TODAY()-30,"Due-Soon","Overdue"))))</f>
        <v/>
      </c>
      <c r="I237" s="15" t="n"/>
      <c r="J237" s="15" t="n"/>
      <c r="K237" s="15" t="n"/>
      <c r="L237" s="14">
        <f>IF(A237="","",IF(AND(OR(H237="Current",H237="Due-Soon"),OR(I237="No",I237="N/A",AND(I237="Yes",K237="Yes"))),"Compliant",IF(H237="Overdue","Non-Compliant","Partial")))</f>
        <v/>
      </c>
      <c r="M237" s="15" t="n"/>
      <c r="N237" s="15" t="n"/>
    </row>
    <row r="238">
      <c r="A238" s="14">
        <f>IF(ROW()-4&lt;=COUNTA('Personnel Screening Registry'!$A:$A)-4,INDEX('Personnel Screening Registry'!$A:$A,ROW()-3),"")</f>
        <v/>
      </c>
      <c r="B238" s="14">
        <f>IF(A238&lt;&gt;"",VLOOKUP(A238,'Personnel Screening Registry'!$A:$B,2,FALSE),"")</f>
        <v/>
      </c>
      <c r="C238" s="14">
        <f>IF(A238&lt;&gt;"",VLOOKUP(A238,'Personnel Screening Registry'!$A:$E,5,FALSE),"")</f>
        <v/>
      </c>
      <c r="D238" s="18">
        <f>IF(A238&lt;&gt;"",VLOOKUP(A238,'Personnel Screening Registry'!$A:$K,11,FALSE),"")</f>
        <v/>
      </c>
      <c r="E238" s="15" t="n"/>
      <c r="F238" s="16" t="n"/>
      <c r="G238" s="18">
        <f>IF(OR(A238="",F238="",E238=""),"",IF(E238="Annual",F238+365,IF(E238="Biennial",F238+730,IF(E238="3-Year",F238+1095,F238+365))))</f>
        <v/>
      </c>
      <c r="H238" s="14">
        <f>IF(A238="","",IF(G238="","Not-Scheduled",IF(G238&gt;=TODAY(),"Current",IF(G238&gt;=TODAY()-30,"Due-Soon","Overdue"))))</f>
        <v/>
      </c>
      <c r="I238" s="15" t="n"/>
      <c r="J238" s="15" t="n"/>
      <c r="K238" s="15" t="n"/>
      <c r="L238" s="14">
        <f>IF(A238="","",IF(AND(OR(H238="Current",H238="Due-Soon"),OR(I238="No",I238="N/A",AND(I238="Yes",K238="Yes"))),"Compliant",IF(H238="Overdue","Non-Compliant","Partial")))</f>
        <v/>
      </c>
      <c r="M238" s="15" t="n"/>
      <c r="N238" s="15" t="n"/>
    </row>
    <row r="239">
      <c r="A239" s="14">
        <f>IF(ROW()-4&lt;=COUNTA('Personnel Screening Registry'!$A:$A)-4,INDEX('Personnel Screening Registry'!$A:$A,ROW()-3),"")</f>
        <v/>
      </c>
      <c r="B239" s="14">
        <f>IF(A239&lt;&gt;"",VLOOKUP(A239,'Personnel Screening Registry'!$A:$B,2,FALSE),"")</f>
        <v/>
      </c>
      <c r="C239" s="14">
        <f>IF(A239&lt;&gt;"",VLOOKUP(A239,'Personnel Screening Registry'!$A:$E,5,FALSE),"")</f>
        <v/>
      </c>
      <c r="D239" s="18">
        <f>IF(A239&lt;&gt;"",VLOOKUP(A239,'Personnel Screening Registry'!$A:$K,11,FALSE),"")</f>
        <v/>
      </c>
      <c r="E239" s="15" t="n"/>
      <c r="F239" s="16" t="n"/>
      <c r="G239" s="18">
        <f>IF(OR(A239="",F239="",E239=""),"",IF(E239="Annual",F239+365,IF(E239="Biennial",F239+730,IF(E239="3-Year",F239+1095,F239+365))))</f>
        <v/>
      </c>
      <c r="H239" s="14">
        <f>IF(A239="","",IF(G239="","Not-Scheduled",IF(G239&gt;=TODAY(),"Current",IF(G239&gt;=TODAY()-30,"Due-Soon","Overdue"))))</f>
        <v/>
      </c>
      <c r="I239" s="15" t="n"/>
      <c r="J239" s="15" t="n"/>
      <c r="K239" s="15" t="n"/>
      <c r="L239" s="14">
        <f>IF(A239="","",IF(AND(OR(H239="Current",H239="Due-Soon"),OR(I239="No",I239="N/A",AND(I239="Yes",K239="Yes"))),"Compliant",IF(H239="Overdue","Non-Compliant","Partial")))</f>
        <v/>
      </c>
      <c r="M239" s="15" t="n"/>
      <c r="N239" s="15" t="n"/>
    </row>
    <row r="240">
      <c r="A240" s="14">
        <f>IF(ROW()-4&lt;=COUNTA('Personnel Screening Registry'!$A:$A)-4,INDEX('Personnel Screening Registry'!$A:$A,ROW()-3),"")</f>
        <v/>
      </c>
      <c r="B240" s="14">
        <f>IF(A240&lt;&gt;"",VLOOKUP(A240,'Personnel Screening Registry'!$A:$B,2,FALSE),"")</f>
        <v/>
      </c>
      <c r="C240" s="14">
        <f>IF(A240&lt;&gt;"",VLOOKUP(A240,'Personnel Screening Registry'!$A:$E,5,FALSE),"")</f>
        <v/>
      </c>
      <c r="D240" s="18">
        <f>IF(A240&lt;&gt;"",VLOOKUP(A240,'Personnel Screening Registry'!$A:$K,11,FALSE),"")</f>
        <v/>
      </c>
      <c r="E240" s="15" t="n"/>
      <c r="F240" s="16" t="n"/>
      <c r="G240" s="18">
        <f>IF(OR(A240="",F240="",E240=""),"",IF(E240="Annual",F240+365,IF(E240="Biennial",F240+730,IF(E240="3-Year",F240+1095,F240+365))))</f>
        <v/>
      </c>
      <c r="H240" s="14">
        <f>IF(A240="","",IF(G240="","Not-Scheduled",IF(G240&gt;=TODAY(),"Current",IF(G240&gt;=TODAY()-30,"Due-Soon","Overdue"))))</f>
        <v/>
      </c>
      <c r="I240" s="15" t="n"/>
      <c r="J240" s="15" t="n"/>
      <c r="K240" s="15" t="n"/>
      <c r="L240" s="14">
        <f>IF(A240="","",IF(AND(OR(H240="Current",H240="Due-Soon"),OR(I240="No",I240="N/A",AND(I240="Yes",K240="Yes"))),"Compliant",IF(H240="Overdue","Non-Compliant","Partial")))</f>
        <v/>
      </c>
      <c r="M240" s="15" t="n"/>
      <c r="N240" s="15" t="n"/>
    </row>
    <row r="241">
      <c r="A241" s="14">
        <f>IF(ROW()-4&lt;=COUNTA('Personnel Screening Registry'!$A:$A)-4,INDEX('Personnel Screening Registry'!$A:$A,ROW()-3),"")</f>
        <v/>
      </c>
      <c r="B241" s="14">
        <f>IF(A241&lt;&gt;"",VLOOKUP(A241,'Personnel Screening Registry'!$A:$B,2,FALSE),"")</f>
        <v/>
      </c>
      <c r="C241" s="14">
        <f>IF(A241&lt;&gt;"",VLOOKUP(A241,'Personnel Screening Registry'!$A:$E,5,FALSE),"")</f>
        <v/>
      </c>
      <c r="D241" s="18">
        <f>IF(A241&lt;&gt;"",VLOOKUP(A241,'Personnel Screening Registry'!$A:$K,11,FALSE),"")</f>
        <v/>
      </c>
      <c r="E241" s="15" t="n"/>
      <c r="F241" s="16" t="n"/>
      <c r="G241" s="18">
        <f>IF(OR(A241="",F241="",E241=""),"",IF(E241="Annual",F241+365,IF(E241="Biennial",F241+730,IF(E241="3-Year",F241+1095,F241+365))))</f>
        <v/>
      </c>
      <c r="H241" s="14">
        <f>IF(A241="","",IF(G241="","Not-Scheduled",IF(G241&gt;=TODAY(),"Current",IF(G241&gt;=TODAY()-30,"Due-Soon","Overdue"))))</f>
        <v/>
      </c>
      <c r="I241" s="15" t="n"/>
      <c r="J241" s="15" t="n"/>
      <c r="K241" s="15" t="n"/>
      <c r="L241" s="14">
        <f>IF(A241="","",IF(AND(OR(H241="Current",H241="Due-Soon"),OR(I241="No",I241="N/A",AND(I241="Yes",K241="Yes"))),"Compliant",IF(H241="Overdue","Non-Compliant","Partial")))</f>
        <v/>
      </c>
      <c r="M241" s="15" t="n"/>
      <c r="N241" s="15" t="n"/>
    </row>
    <row r="242">
      <c r="A242" s="14">
        <f>IF(ROW()-4&lt;=COUNTA('Personnel Screening Registry'!$A:$A)-4,INDEX('Personnel Screening Registry'!$A:$A,ROW()-3),"")</f>
        <v/>
      </c>
      <c r="B242" s="14">
        <f>IF(A242&lt;&gt;"",VLOOKUP(A242,'Personnel Screening Registry'!$A:$B,2,FALSE),"")</f>
        <v/>
      </c>
      <c r="C242" s="14">
        <f>IF(A242&lt;&gt;"",VLOOKUP(A242,'Personnel Screening Registry'!$A:$E,5,FALSE),"")</f>
        <v/>
      </c>
      <c r="D242" s="18">
        <f>IF(A242&lt;&gt;"",VLOOKUP(A242,'Personnel Screening Registry'!$A:$K,11,FALSE),"")</f>
        <v/>
      </c>
      <c r="E242" s="15" t="n"/>
      <c r="F242" s="16" t="n"/>
      <c r="G242" s="18">
        <f>IF(OR(A242="",F242="",E242=""),"",IF(E242="Annual",F242+365,IF(E242="Biennial",F242+730,IF(E242="3-Year",F242+1095,F242+365))))</f>
        <v/>
      </c>
      <c r="H242" s="14">
        <f>IF(A242="","",IF(G242="","Not-Scheduled",IF(G242&gt;=TODAY(),"Current",IF(G242&gt;=TODAY()-30,"Due-Soon","Overdue"))))</f>
        <v/>
      </c>
      <c r="I242" s="15" t="n"/>
      <c r="J242" s="15" t="n"/>
      <c r="K242" s="15" t="n"/>
      <c r="L242" s="14">
        <f>IF(A242="","",IF(AND(OR(H242="Current",H242="Due-Soon"),OR(I242="No",I242="N/A",AND(I242="Yes",K242="Yes"))),"Compliant",IF(H242="Overdue","Non-Compliant","Partial")))</f>
        <v/>
      </c>
      <c r="M242" s="15" t="n"/>
      <c r="N242" s="15" t="n"/>
    </row>
    <row r="243">
      <c r="A243" s="14">
        <f>IF(ROW()-4&lt;=COUNTA('Personnel Screening Registry'!$A:$A)-4,INDEX('Personnel Screening Registry'!$A:$A,ROW()-3),"")</f>
        <v/>
      </c>
      <c r="B243" s="14">
        <f>IF(A243&lt;&gt;"",VLOOKUP(A243,'Personnel Screening Registry'!$A:$B,2,FALSE),"")</f>
        <v/>
      </c>
      <c r="C243" s="14">
        <f>IF(A243&lt;&gt;"",VLOOKUP(A243,'Personnel Screening Registry'!$A:$E,5,FALSE),"")</f>
        <v/>
      </c>
      <c r="D243" s="18">
        <f>IF(A243&lt;&gt;"",VLOOKUP(A243,'Personnel Screening Registry'!$A:$K,11,FALSE),"")</f>
        <v/>
      </c>
      <c r="E243" s="15" t="n"/>
      <c r="F243" s="16" t="n"/>
      <c r="G243" s="18">
        <f>IF(OR(A243="",F243="",E243=""),"",IF(E243="Annual",F243+365,IF(E243="Biennial",F243+730,IF(E243="3-Year",F243+1095,F243+365))))</f>
        <v/>
      </c>
      <c r="H243" s="14">
        <f>IF(A243="","",IF(G243="","Not-Scheduled",IF(G243&gt;=TODAY(),"Current",IF(G243&gt;=TODAY()-30,"Due-Soon","Overdue"))))</f>
        <v/>
      </c>
      <c r="I243" s="15" t="n"/>
      <c r="J243" s="15" t="n"/>
      <c r="K243" s="15" t="n"/>
      <c r="L243" s="14">
        <f>IF(A243="","",IF(AND(OR(H243="Current",H243="Due-Soon"),OR(I243="No",I243="N/A",AND(I243="Yes",K243="Yes"))),"Compliant",IF(H243="Overdue","Non-Compliant","Partial")))</f>
        <v/>
      </c>
      <c r="M243" s="15" t="n"/>
      <c r="N243" s="15" t="n"/>
    </row>
    <row r="244">
      <c r="A244" s="14">
        <f>IF(ROW()-4&lt;=COUNTA('Personnel Screening Registry'!$A:$A)-4,INDEX('Personnel Screening Registry'!$A:$A,ROW()-3),"")</f>
        <v/>
      </c>
      <c r="B244" s="14">
        <f>IF(A244&lt;&gt;"",VLOOKUP(A244,'Personnel Screening Registry'!$A:$B,2,FALSE),"")</f>
        <v/>
      </c>
      <c r="C244" s="14">
        <f>IF(A244&lt;&gt;"",VLOOKUP(A244,'Personnel Screening Registry'!$A:$E,5,FALSE),"")</f>
        <v/>
      </c>
      <c r="D244" s="18">
        <f>IF(A244&lt;&gt;"",VLOOKUP(A244,'Personnel Screening Registry'!$A:$K,11,FALSE),"")</f>
        <v/>
      </c>
      <c r="E244" s="15" t="n"/>
      <c r="F244" s="16" t="n"/>
      <c r="G244" s="18">
        <f>IF(OR(A244="",F244="",E244=""),"",IF(E244="Annual",F244+365,IF(E244="Biennial",F244+730,IF(E244="3-Year",F244+1095,F244+365))))</f>
        <v/>
      </c>
      <c r="H244" s="14">
        <f>IF(A244="","",IF(G244="","Not-Scheduled",IF(G244&gt;=TODAY(),"Current",IF(G244&gt;=TODAY()-30,"Due-Soon","Overdue"))))</f>
        <v/>
      </c>
      <c r="I244" s="15" t="n"/>
      <c r="J244" s="15" t="n"/>
      <c r="K244" s="15" t="n"/>
      <c r="L244" s="14">
        <f>IF(A244="","",IF(AND(OR(H244="Current",H244="Due-Soon"),OR(I244="No",I244="N/A",AND(I244="Yes",K244="Yes"))),"Compliant",IF(H244="Overdue","Non-Compliant","Partial")))</f>
        <v/>
      </c>
      <c r="M244" s="15" t="n"/>
      <c r="N244" s="15" t="n"/>
    </row>
    <row r="245">
      <c r="A245" s="14">
        <f>IF(ROW()-4&lt;=COUNTA('Personnel Screening Registry'!$A:$A)-4,INDEX('Personnel Screening Registry'!$A:$A,ROW()-3),"")</f>
        <v/>
      </c>
      <c r="B245" s="14">
        <f>IF(A245&lt;&gt;"",VLOOKUP(A245,'Personnel Screening Registry'!$A:$B,2,FALSE),"")</f>
        <v/>
      </c>
      <c r="C245" s="14">
        <f>IF(A245&lt;&gt;"",VLOOKUP(A245,'Personnel Screening Registry'!$A:$E,5,FALSE),"")</f>
        <v/>
      </c>
      <c r="D245" s="18">
        <f>IF(A245&lt;&gt;"",VLOOKUP(A245,'Personnel Screening Registry'!$A:$K,11,FALSE),"")</f>
        <v/>
      </c>
      <c r="E245" s="15" t="n"/>
      <c r="F245" s="16" t="n"/>
      <c r="G245" s="18">
        <f>IF(OR(A245="",F245="",E245=""),"",IF(E245="Annual",F245+365,IF(E245="Biennial",F245+730,IF(E245="3-Year",F245+1095,F245+365))))</f>
        <v/>
      </c>
      <c r="H245" s="14">
        <f>IF(A245="","",IF(G245="","Not-Scheduled",IF(G245&gt;=TODAY(),"Current",IF(G245&gt;=TODAY()-30,"Due-Soon","Overdue"))))</f>
        <v/>
      </c>
      <c r="I245" s="15" t="n"/>
      <c r="J245" s="15" t="n"/>
      <c r="K245" s="15" t="n"/>
      <c r="L245" s="14">
        <f>IF(A245="","",IF(AND(OR(H245="Current",H245="Due-Soon"),OR(I245="No",I245="N/A",AND(I245="Yes",K245="Yes"))),"Compliant",IF(H245="Overdue","Non-Compliant","Partial")))</f>
        <v/>
      </c>
      <c r="M245" s="15" t="n"/>
      <c r="N245" s="15" t="n"/>
    </row>
    <row r="246">
      <c r="A246" s="14">
        <f>IF(ROW()-4&lt;=COUNTA('Personnel Screening Registry'!$A:$A)-4,INDEX('Personnel Screening Registry'!$A:$A,ROW()-3),"")</f>
        <v/>
      </c>
      <c r="B246" s="14">
        <f>IF(A246&lt;&gt;"",VLOOKUP(A246,'Personnel Screening Registry'!$A:$B,2,FALSE),"")</f>
        <v/>
      </c>
      <c r="C246" s="14">
        <f>IF(A246&lt;&gt;"",VLOOKUP(A246,'Personnel Screening Registry'!$A:$E,5,FALSE),"")</f>
        <v/>
      </c>
      <c r="D246" s="18">
        <f>IF(A246&lt;&gt;"",VLOOKUP(A246,'Personnel Screening Registry'!$A:$K,11,FALSE),"")</f>
        <v/>
      </c>
      <c r="E246" s="15" t="n"/>
      <c r="F246" s="16" t="n"/>
      <c r="G246" s="18">
        <f>IF(OR(A246="",F246="",E246=""),"",IF(E246="Annual",F246+365,IF(E246="Biennial",F246+730,IF(E246="3-Year",F246+1095,F246+365))))</f>
        <v/>
      </c>
      <c r="H246" s="14">
        <f>IF(A246="","",IF(G246="","Not-Scheduled",IF(G246&gt;=TODAY(),"Current",IF(G246&gt;=TODAY()-30,"Due-Soon","Overdue"))))</f>
        <v/>
      </c>
      <c r="I246" s="15" t="n"/>
      <c r="J246" s="15" t="n"/>
      <c r="K246" s="15" t="n"/>
      <c r="L246" s="14">
        <f>IF(A246="","",IF(AND(OR(H246="Current",H246="Due-Soon"),OR(I246="No",I246="N/A",AND(I246="Yes",K246="Yes"))),"Compliant",IF(H246="Overdue","Non-Compliant","Partial")))</f>
        <v/>
      </c>
      <c r="M246" s="15" t="n"/>
      <c r="N246" s="15" t="n"/>
    </row>
    <row r="247">
      <c r="A247" s="14">
        <f>IF(ROW()-4&lt;=COUNTA('Personnel Screening Registry'!$A:$A)-4,INDEX('Personnel Screening Registry'!$A:$A,ROW()-3),"")</f>
        <v/>
      </c>
      <c r="B247" s="14">
        <f>IF(A247&lt;&gt;"",VLOOKUP(A247,'Personnel Screening Registry'!$A:$B,2,FALSE),"")</f>
        <v/>
      </c>
      <c r="C247" s="14">
        <f>IF(A247&lt;&gt;"",VLOOKUP(A247,'Personnel Screening Registry'!$A:$E,5,FALSE),"")</f>
        <v/>
      </c>
      <c r="D247" s="18">
        <f>IF(A247&lt;&gt;"",VLOOKUP(A247,'Personnel Screening Registry'!$A:$K,11,FALSE),"")</f>
        <v/>
      </c>
      <c r="E247" s="15" t="n"/>
      <c r="F247" s="16" t="n"/>
      <c r="G247" s="18">
        <f>IF(OR(A247="",F247="",E247=""),"",IF(E247="Annual",F247+365,IF(E247="Biennial",F247+730,IF(E247="3-Year",F247+1095,F247+365))))</f>
        <v/>
      </c>
      <c r="H247" s="14">
        <f>IF(A247="","",IF(G247="","Not-Scheduled",IF(G247&gt;=TODAY(),"Current",IF(G247&gt;=TODAY()-30,"Due-Soon","Overdue"))))</f>
        <v/>
      </c>
      <c r="I247" s="15" t="n"/>
      <c r="J247" s="15" t="n"/>
      <c r="K247" s="15" t="n"/>
      <c r="L247" s="14">
        <f>IF(A247="","",IF(AND(OR(H247="Current",H247="Due-Soon"),OR(I247="No",I247="N/A",AND(I247="Yes",K247="Yes"))),"Compliant",IF(H247="Overdue","Non-Compliant","Partial")))</f>
        <v/>
      </c>
      <c r="M247" s="15" t="n"/>
      <c r="N247" s="15" t="n"/>
    </row>
    <row r="248">
      <c r="A248" s="14">
        <f>IF(ROW()-4&lt;=COUNTA('Personnel Screening Registry'!$A:$A)-4,INDEX('Personnel Screening Registry'!$A:$A,ROW()-3),"")</f>
        <v/>
      </c>
      <c r="B248" s="14">
        <f>IF(A248&lt;&gt;"",VLOOKUP(A248,'Personnel Screening Registry'!$A:$B,2,FALSE),"")</f>
        <v/>
      </c>
      <c r="C248" s="14">
        <f>IF(A248&lt;&gt;"",VLOOKUP(A248,'Personnel Screening Registry'!$A:$E,5,FALSE),"")</f>
        <v/>
      </c>
      <c r="D248" s="18">
        <f>IF(A248&lt;&gt;"",VLOOKUP(A248,'Personnel Screening Registry'!$A:$K,11,FALSE),"")</f>
        <v/>
      </c>
      <c r="E248" s="15" t="n"/>
      <c r="F248" s="16" t="n"/>
      <c r="G248" s="18">
        <f>IF(OR(A248="",F248="",E248=""),"",IF(E248="Annual",F248+365,IF(E248="Biennial",F248+730,IF(E248="3-Year",F248+1095,F248+365))))</f>
        <v/>
      </c>
      <c r="H248" s="14">
        <f>IF(A248="","",IF(G248="","Not-Scheduled",IF(G248&gt;=TODAY(),"Current",IF(G248&gt;=TODAY()-30,"Due-Soon","Overdue"))))</f>
        <v/>
      </c>
      <c r="I248" s="15" t="n"/>
      <c r="J248" s="15" t="n"/>
      <c r="K248" s="15" t="n"/>
      <c r="L248" s="14">
        <f>IF(A248="","",IF(AND(OR(H248="Current",H248="Due-Soon"),OR(I248="No",I248="N/A",AND(I248="Yes",K248="Yes"))),"Compliant",IF(H248="Overdue","Non-Compliant","Partial")))</f>
        <v/>
      </c>
      <c r="M248" s="15" t="n"/>
      <c r="N248" s="15" t="n"/>
    </row>
    <row r="249">
      <c r="A249" s="14">
        <f>IF(ROW()-4&lt;=COUNTA('Personnel Screening Registry'!$A:$A)-4,INDEX('Personnel Screening Registry'!$A:$A,ROW()-3),"")</f>
        <v/>
      </c>
      <c r="B249" s="14">
        <f>IF(A249&lt;&gt;"",VLOOKUP(A249,'Personnel Screening Registry'!$A:$B,2,FALSE),"")</f>
        <v/>
      </c>
      <c r="C249" s="14">
        <f>IF(A249&lt;&gt;"",VLOOKUP(A249,'Personnel Screening Registry'!$A:$E,5,FALSE),"")</f>
        <v/>
      </c>
      <c r="D249" s="18">
        <f>IF(A249&lt;&gt;"",VLOOKUP(A249,'Personnel Screening Registry'!$A:$K,11,FALSE),"")</f>
        <v/>
      </c>
      <c r="E249" s="15" t="n"/>
      <c r="F249" s="16" t="n"/>
      <c r="G249" s="18">
        <f>IF(OR(A249="",F249="",E249=""),"",IF(E249="Annual",F249+365,IF(E249="Biennial",F249+730,IF(E249="3-Year",F249+1095,F249+365))))</f>
        <v/>
      </c>
      <c r="H249" s="14">
        <f>IF(A249="","",IF(G249="","Not-Scheduled",IF(G249&gt;=TODAY(),"Current",IF(G249&gt;=TODAY()-30,"Due-Soon","Overdue"))))</f>
        <v/>
      </c>
      <c r="I249" s="15" t="n"/>
      <c r="J249" s="15" t="n"/>
      <c r="K249" s="15" t="n"/>
      <c r="L249" s="14">
        <f>IF(A249="","",IF(AND(OR(H249="Current",H249="Due-Soon"),OR(I249="No",I249="N/A",AND(I249="Yes",K249="Yes"))),"Compliant",IF(H249="Overdue","Non-Compliant","Partial")))</f>
        <v/>
      </c>
      <c r="M249" s="15" t="n"/>
      <c r="N249" s="15" t="n"/>
    </row>
    <row r="250">
      <c r="A250" s="14">
        <f>IF(ROW()-4&lt;=COUNTA('Personnel Screening Registry'!$A:$A)-4,INDEX('Personnel Screening Registry'!$A:$A,ROW()-3),"")</f>
        <v/>
      </c>
      <c r="B250" s="14">
        <f>IF(A250&lt;&gt;"",VLOOKUP(A250,'Personnel Screening Registry'!$A:$B,2,FALSE),"")</f>
        <v/>
      </c>
      <c r="C250" s="14">
        <f>IF(A250&lt;&gt;"",VLOOKUP(A250,'Personnel Screening Registry'!$A:$E,5,FALSE),"")</f>
        <v/>
      </c>
      <c r="D250" s="18">
        <f>IF(A250&lt;&gt;"",VLOOKUP(A250,'Personnel Screening Registry'!$A:$K,11,FALSE),"")</f>
        <v/>
      </c>
      <c r="E250" s="15" t="n"/>
      <c r="F250" s="16" t="n"/>
      <c r="G250" s="18">
        <f>IF(OR(A250="",F250="",E250=""),"",IF(E250="Annual",F250+365,IF(E250="Biennial",F250+730,IF(E250="3-Year",F250+1095,F250+365))))</f>
        <v/>
      </c>
      <c r="H250" s="14">
        <f>IF(A250="","",IF(G250="","Not-Scheduled",IF(G250&gt;=TODAY(),"Current",IF(G250&gt;=TODAY()-30,"Due-Soon","Overdue"))))</f>
        <v/>
      </c>
      <c r="I250" s="15" t="n"/>
      <c r="J250" s="15" t="n"/>
      <c r="K250" s="15" t="n"/>
      <c r="L250" s="14">
        <f>IF(A250="","",IF(AND(OR(H250="Current",H250="Due-Soon"),OR(I250="No",I250="N/A",AND(I250="Yes",K250="Yes"))),"Compliant",IF(H250="Overdue","Non-Compliant","Partial")))</f>
        <v/>
      </c>
      <c r="M250" s="15" t="n"/>
      <c r="N250" s="15" t="n"/>
    </row>
    <row r="251">
      <c r="A251" s="14">
        <f>IF(ROW()-4&lt;=COUNTA('Personnel Screening Registry'!$A:$A)-4,INDEX('Personnel Screening Registry'!$A:$A,ROW()-3),"")</f>
        <v/>
      </c>
      <c r="B251" s="14">
        <f>IF(A251&lt;&gt;"",VLOOKUP(A251,'Personnel Screening Registry'!$A:$B,2,FALSE),"")</f>
        <v/>
      </c>
      <c r="C251" s="14">
        <f>IF(A251&lt;&gt;"",VLOOKUP(A251,'Personnel Screening Registry'!$A:$E,5,FALSE),"")</f>
        <v/>
      </c>
      <c r="D251" s="18">
        <f>IF(A251&lt;&gt;"",VLOOKUP(A251,'Personnel Screening Registry'!$A:$K,11,FALSE),"")</f>
        <v/>
      </c>
      <c r="E251" s="15" t="n"/>
      <c r="F251" s="16" t="n"/>
      <c r="G251" s="18">
        <f>IF(OR(A251="",F251="",E251=""),"",IF(E251="Annual",F251+365,IF(E251="Biennial",F251+730,IF(E251="3-Year",F251+1095,F251+365))))</f>
        <v/>
      </c>
      <c r="H251" s="14">
        <f>IF(A251="","",IF(G251="","Not-Scheduled",IF(G251&gt;=TODAY(),"Current",IF(G251&gt;=TODAY()-30,"Due-Soon","Overdue"))))</f>
        <v/>
      </c>
      <c r="I251" s="15" t="n"/>
      <c r="J251" s="15" t="n"/>
      <c r="K251" s="15" t="n"/>
      <c r="L251" s="14">
        <f>IF(A251="","",IF(AND(OR(H251="Current",H251="Due-Soon"),OR(I251="No",I251="N/A",AND(I251="Yes",K251="Yes"))),"Compliant",IF(H251="Overdue","Non-Compliant","Partial")))</f>
        <v/>
      </c>
      <c r="M251" s="15" t="n"/>
      <c r="N251" s="15" t="n"/>
    </row>
    <row r="252">
      <c r="A252" s="14">
        <f>IF(ROW()-4&lt;=COUNTA('Personnel Screening Registry'!$A:$A)-4,INDEX('Personnel Screening Registry'!$A:$A,ROW()-3),"")</f>
        <v/>
      </c>
      <c r="B252" s="14">
        <f>IF(A252&lt;&gt;"",VLOOKUP(A252,'Personnel Screening Registry'!$A:$B,2,FALSE),"")</f>
        <v/>
      </c>
      <c r="C252" s="14">
        <f>IF(A252&lt;&gt;"",VLOOKUP(A252,'Personnel Screening Registry'!$A:$E,5,FALSE),"")</f>
        <v/>
      </c>
      <c r="D252" s="18">
        <f>IF(A252&lt;&gt;"",VLOOKUP(A252,'Personnel Screening Registry'!$A:$K,11,FALSE),"")</f>
        <v/>
      </c>
      <c r="E252" s="15" t="n"/>
      <c r="F252" s="16" t="n"/>
      <c r="G252" s="18">
        <f>IF(OR(A252="",F252="",E252=""),"",IF(E252="Annual",F252+365,IF(E252="Biennial",F252+730,IF(E252="3-Year",F252+1095,F252+365))))</f>
        <v/>
      </c>
      <c r="H252" s="14">
        <f>IF(A252="","",IF(G252="","Not-Scheduled",IF(G252&gt;=TODAY(),"Current",IF(G252&gt;=TODAY()-30,"Due-Soon","Overdue"))))</f>
        <v/>
      </c>
      <c r="I252" s="15" t="n"/>
      <c r="J252" s="15" t="n"/>
      <c r="K252" s="15" t="n"/>
      <c r="L252" s="14">
        <f>IF(A252="","",IF(AND(OR(H252="Current",H252="Due-Soon"),OR(I252="No",I252="N/A",AND(I252="Yes",K252="Yes"))),"Compliant",IF(H252="Overdue","Non-Compliant","Partial")))</f>
        <v/>
      </c>
      <c r="M252" s="15" t="n"/>
      <c r="N252" s="15" t="n"/>
    </row>
    <row r="253">
      <c r="A253" s="14">
        <f>IF(ROW()-4&lt;=COUNTA('Personnel Screening Registry'!$A:$A)-4,INDEX('Personnel Screening Registry'!$A:$A,ROW()-3),"")</f>
        <v/>
      </c>
      <c r="B253" s="14">
        <f>IF(A253&lt;&gt;"",VLOOKUP(A253,'Personnel Screening Registry'!$A:$B,2,FALSE),"")</f>
        <v/>
      </c>
      <c r="C253" s="14">
        <f>IF(A253&lt;&gt;"",VLOOKUP(A253,'Personnel Screening Registry'!$A:$E,5,FALSE),"")</f>
        <v/>
      </c>
      <c r="D253" s="18">
        <f>IF(A253&lt;&gt;"",VLOOKUP(A253,'Personnel Screening Registry'!$A:$K,11,FALSE),"")</f>
        <v/>
      </c>
      <c r="E253" s="15" t="n"/>
      <c r="F253" s="16" t="n"/>
      <c r="G253" s="18">
        <f>IF(OR(A253="",F253="",E253=""),"",IF(E253="Annual",F253+365,IF(E253="Biennial",F253+730,IF(E253="3-Year",F253+1095,F253+365))))</f>
        <v/>
      </c>
      <c r="H253" s="14">
        <f>IF(A253="","",IF(G253="","Not-Scheduled",IF(G253&gt;=TODAY(),"Current",IF(G253&gt;=TODAY()-30,"Due-Soon","Overdue"))))</f>
        <v/>
      </c>
      <c r="I253" s="15" t="n"/>
      <c r="J253" s="15" t="n"/>
      <c r="K253" s="15" t="n"/>
      <c r="L253" s="14">
        <f>IF(A253="","",IF(AND(OR(H253="Current",H253="Due-Soon"),OR(I253="No",I253="N/A",AND(I253="Yes",K253="Yes"))),"Compliant",IF(H253="Overdue","Non-Compliant","Partial")))</f>
        <v/>
      </c>
      <c r="M253" s="15" t="n"/>
      <c r="N253" s="15" t="n"/>
    </row>
    <row r="254">
      <c r="A254" s="14">
        <f>IF(ROW()-4&lt;=COUNTA('Personnel Screening Registry'!$A:$A)-4,INDEX('Personnel Screening Registry'!$A:$A,ROW()-3),"")</f>
        <v/>
      </c>
      <c r="B254" s="14">
        <f>IF(A254&lt;&gt;"",VLOOKUP(A254,'Personnel Screening Registry'!$A:$B,2,FALSE),"")</f>
        <v/>
      </c>
      <c r="C254" s="14">
        <f>IF(A254&lt;&gt;"",VLOOKUP(A254,'Personnel Screening Registry'!$A:$E,5,FALSE),"")</f>
        <v/>
      </c>
      <c r="D254" s="18">
        <f>IF(A254&lt;&gt;"",VLOOKUP(A254,'Personnel Screening Registry'!$A:$K,11,FALSE),"")</f>
        <v/>
      </c>
      <c r="E254" s="15" t="n"/>
      <c r="F254" s="16" t="n"/>
      <c r="G254" s="18">
        <f>IF(OR(A254="",F254="",E254=""),"",IF(E254="Annual",F254+365,IF(E254="Biennial",F254+730,IF(E254="3-Year",F254+1095,F254+365))))</f>
        <v/>
      </c>
      <c r="H254" s="14">
        <f>IF(A254="","",IF(G254="","Not-Scheduled",IF(G254&gt;=TODAY(),"Current",IF(G254&gt;=TODAY()-30,"Due-Soon","Overdue"))))</f>
        <v/>
      </c>
      <c r="I254" s="15" t="n"/>
      <c r="J254" s="15" t="n"/>
      <c r="K254" s="15" t="n"/>
      <c r="L254" s="14">
        <f>IF(A254="","",IF(AND(OR(H254="Current",H254="Due-Soon"),OR(I254="No",I254="N/A",AND(I254="Yes",K254="Yes"))),"Compliant",IF(H254="Overdue","Non-Compliant","Partial")))</f>
        <v/>
      </c>
      <c r="M254" s="15" t="n"/>
      <c r="N254" s="15" t="n"/>
    </row>
  </sheetData>
  <mergeCells count="2">
    <mergeCell ref="A2:N2"/>
    <mergeCell ref="A1:N1"/>
  </mergeCells>
  <dataValidations count="3">
    <dataValidation sqref="E5:E254" showDropDown="0" showInputMessage="0" showErrorMessage="1" allowBlank="1" errorTitle="Invalid Entry" error="Please select from dropdown" type="list">
      <formula1>"Annual,Biennial,3-Year,Triggered-Only,N/A"</formula1>
    </dataValidation>
    <dataValidation sqref="I5:I254" showDropDown="0" showInputMessage="0" showErrorMessage="1" allowBlank="1" errorTitle="Invalid Entry" error="Please select from dropdown" type="list">
      <formula1>"Yes,No,N/A"</formula1>
    </dataValidation>
    <dataValidation sqref="K5:K25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50" customWidth="1" min="3" max="3"/>
    <col width="20" customWidth="1" min="4" max="4"/>
    <col width="15" customWidth="1" min="5" max="5"/>
    <col width="35" customWidth="1" min="6" max="6"/>
    <col width="15" customWidth="1" min="7" max="7"/>
    <col width="25" customWidth="1" min="8" max="8"/>
    <col width="15" customWidth="1" min="9" max="9"/>
    <col width="40" customWidth="1" min="10" max="10"/>
    <col width="40" customWidth="1" min="11" max="11"/>
  </cols>
  <sheetData>
    <row r="1" ht="35" customHeight="1">
      <c r="A1" s="11" t="inlineStr">
        <is>
          <t>LEGAL COMPLIANCE REVIEW</t>
        </is>
      </c>
    </row>
    <row r="2">
      <c r="A2" s="12" t="inlineStr">
        <is>
          <t>Swiss FADP and GDPR screening legality verification</t>
        </is>
      </c>
    </row>
    <row r="4">
      <c r="A4" s="13" t="inlineStr">
        <is>
          <t>Requirement ID</t>
        </is>
      </c>
      <c r="B4" s="13" t="inlineStr">
        <is>
          <t>Requirement Category</t>
        </is>
      </c>
      <c r="C4" s="13" t="inlineStr">
        <is>
          <t>Requirement Description</t>
        </is>
      </c>
      <c r="D4" s="13" t="inlineStr">
        <is>
          <t>Applicable Regulation</t>
        </is>
      </c>
      <c r="E4" s="13" t="inlineStr">
        <is>
          <t>Implementation Status</t>
        </is>
      </c>
      <c r="F4" s="13" t="inlineStr">
        <is>
          <t>Implementation Evidence</t>
        </is>
      </c>
      <c r="G4" s="13" t="inlineStr">
        <is>
          <t>Last Review Date</t>
        </is>
      </c>
      <c r="H4" s="13" t="inlineStr">
        <is>
          <t>Responsible Party</t>
        </is>
      </c>
      <c r="I4" s="13" t="inlineStr">
        <is>
          <t>Compliance Status</t>
        </is>
      </c>
      <c r="J4" s="13" t="inlineStr">
        <is>
          <t>Gap Description</t>
        </is>
      </c>
      <c r="K4" s="13" t="inlineStr">
        <is>
          <t>Notes</t>
        </is>
      </c>
    </row>
    <row r="5">
      <c r="A5" s="14" t="inlineStr">
        <is>
          <t>LR-01</t>
        </is>
      </c>
      <c r="B5" s="14" t="inlineStr">
        <is>
          <t>Consent</t>
        </is>
      </c>
      <c r="C5" s="14" t="inlineStr">
        <is>
          <t>Written consent obtained before screening</t>
        </is>
      </c>
      <c r="D5" s="14" t="inlineStr">
        <is>
          <t>FADP Art. 6</t>
        </is>
      </c>
      <c r="E5" s="15" t="n"/>
      <c r="F5" s="15" t="n"/>
      <c r="G5" s="16" t="n"/>
      <c r="H5" s="15" t="n"/>
      <c r="I5" s="15" t="n"/>
      <c r="J5" s="15" t="n"/>
      <c r="K5" s="15" t="n"/>
    </row>
    <row r="6">
      <c r="A6" s="14" t="inlineStr">
        <is>
          <t>LR-02</t>
        </is>
      </c>
      <c r="B6" s="14" t="inlineStr">
        <is>
          <t>Consent</t>
        </is>
      </c>
      <c r="C6" s="14" t="inlineStr">
        <is>
          <t>Consent is informed (purpose, scope, retention)</t>
        </is>
      </c>
      <c r="D6" s="14" t="inlineStr">
        <is>
          <t>FADP Art. 6</t>
        </is>
      </c>
      <c r="E6" s="15" t="n"/>
      <c r="F6" s="15" t="n"/>
      <c r="G6" s="16" t="n"/>
      <c r="H6" s="15" t="n"/>
      <c r="I6" s="15" t="n"/>
      <c r="J6" s="15" t="n"/>
      <c r="K6" s="15" t="n"/>
    </row>
    <row r="7">
      <c r="A7" s="14" t="inlineStr">
        <is>
          <t>LR-03</t>
        </is>
      </c>
      <c r="B7" s="14" t="inlineStr">
        <is>
          <t>Consent</t>
        </is>
      </c>
      <c r="C7" s="14" t="inlineStr">
        <is>
          <t>Consent is freely given (not condition of employment)</t>
        </is>
      </c>
      <c r="D7" s="14" t="inlineStr">
        <is>
          <t>FADP Art. 6</t>
        </is>
      </c>
      <c r="E7" s="15" t="n"/>
      <c r="F7" s="15" t="n"/>
      <c r="G7" s="16" t="n"/>
      <c r="H7" s="15" t="n"/>
      <c r="I7" s="15" t="n"/>
      <c r="J7" s="15" t="n"/>
      <c r="K7" s="15" t="n"/>
    </row>
    <row r="8">
      <c r="A8" s="14" t="inlineStr">
        <is>
          <t>LR-04</t>
        </is>
      </c>
      <c r="B8" s="14" t="inlineStr">
        <is>
          <t>Consent</t>
        </is>
      </c>
      <c r="C8" s="14" t="inlineStr">
        <is>
          <t>Consent withdrawal mechanism documented</t>
        </is>
      </c>
      <c r="D8" s="14" t="inlineStr">
        <is>
          <t>FADP Art. 6</t>
        </is>
      </c>
      <c r="E8" s="15" t="n"/>
      <c r="F8" s="15" t="n"/>
      <c r="G8" s="16" t="n"/>
      <c r="H8" s="15" t="n"/>
      <c r="I8" s="15" t="n"/>
      <c r="J8" s="15" t="n"/>
      <c r="K8" s="15" t="n"/>
    </row>
    <row r="9">
      <c r="A9" s="14" t="inlineStr">
        <is>
          <t>LR-05</t>
        </is>
      </c>
      <c r="B9" s="14" t="inlineStr">
        <is>
          <t>Purpose Limitation</t>
        </is>
      </c>
      <c r="C9" s="14" t="inlineStr">
        <is>
          <t>Screening limited to job-relevant checks</t>
        </is>
      </c>
      <c r="D9" s="14" t="inlineStr">
        <is>
          <t>FADP Art. 6</t>
        </is>
      </c>
      <c r="E9" s="15" t="n"/>
      <c r="F9" s="15" t="n"/>
      <c r="G9" s="16" t="n"/>
      <c r="H9" s="15" t="n"/>
      <c r="I9" s="15" t="n"/>
      <c r="J9" s="15" t="n"/>
      <c r="K9" s="15" t="n"/>
    </row>
    <row r="10">
      <c r="A10" s="14" t="inlineStr">
        <is>
          <t>LR-06</t>
        </is>
      </c>
      <c r="B10" s="14" t="inlineStr">
        <is>
          <t>Purpose Limitation</t>
        </is>
      </c>
      <c r="C10" s="14" t="inlineStr">
        <is>
          <t>No excessive data collection</t>
        </is>
      </c>
      <c r="D10" s="14" t="inlineStr">
        <is>
          <t>FADP Art. 6</t>
        </is>
      </c>
      <c r="E10" s="15" t="n"/>
      <c r="F10" s="15" t="n"/>
      <c r="G10" s="16" t="n"/>
      <c r="H10" s="15" t="n"/>
      <c r="I10" s="15" t="n"/>
      <c r="J10" s="15" t="n"/>
      <c r="K10" s="15" t="n"/>
    </row>
    <row r="11">
      <c r="A11" s="14" t="inlineStr">
        <is>
          <t>LR-07</t>
        </is>
      </c>
      <c r="B11" s="14" t="inlineStr">
        <is>
          <t>Data Minimization</t>
        </is>
      </c>
      <c r="C11" s="14" t="inlineStr">
        <is>
          <t>Only necessary data collected</t>
        </is>
      </c>
      <c r="D11" s="14" t="inlineStr">
        <is>
          <t>GDPR Art. 5</t>
        </is>
      </c>
      <c r="E11" s="15" t="n"/>
      <c r="F11" s="15" t="n"/>
      <c r="G11" s="16" t="n"/>
      <c r="H11" s="15" t="n"/>
      <c r="I11" s="15" t="n"/>
      <c r="J11" s="15" t="n"/>
      <c r="K11" s="15" t="n"/>
    </row>
    <row r="12">
      <c r="A12" s="14" t="inlineStr">
        <is>
          <t>LR-08</t>
        </is>
      </c>
      <c r="B12" s="14" t="inlineStr">
        <is>
          <t>Data Minimization</t>
        </is>
      </c>
      <c r="C12" s="14" t="inlineStr">
        <is>
          <t>Screening scope proportionate to role</t>
        </is>
      </c>
      <c r="D12" s="14" t="inlineStr">
        <is>
          <t>FADP Art. 6</t>
        </is>
      </c>
      <c r="E12" s="15" t="n"/>
      <c r="F12" s="15" t="n"/>
      <c r="G12" s="16" t="n"/>
      <c r="H12" s="15" t="n"/>
      <c r="I12" s="15" t="n"/>
      <c r="J12" s="15" t="n"/>
      <c r="K12" s="15" t="n"/>
    </row>
    <row r="13">
      <c r="A13" s="14" t="inlineStr">
        <is>
          <t>LR-09</t>
        </is>
      </c>
      <c r="B13" s="14" t="inlineStr">
        <is>
          <t>Data Retention</t>
        </is>
      </c>
      <c r="C13" s="14" t="inlineStr">
        <is>
          <t>Retention period defined and documented</t>
        </is>
      </c>
      <c r="D13" s="14" t="inlineStr">
        <is>
          <t>FADP Art. 6</t>
        </is>
      </c>
      <c r="E13" s="15" t="n"/>
      <c r="F13" s="15" t="n"/>
      <c r="G13" s="16" t="n"/>
      <c r="H13" s="15" t="n"/>
      <c r="I13" s="15" t="n"/>
      <c r="J13" s="15" t="n"/>
      <c r="K13" s="15" t="n"/>
    </row>
    <row r="14">
      <c r="A14" s="14" t="inlineStr">
        <is>
          <t>LR-10</t>
        </is>
      </c>
      <c r="B14" s="14" t="inlineStr">
        <is>
          <t>Data Retention</t>
        </is>
      </c>
      <c r="C14" s="14" t="inlineStr">
        <is>
          <t>Data deleted after retention period</t>
        </is>
      </c>
      <c r="D14" s="14" t="inlineStr">
        <is>
          <t>FADP Art. 6</t>
        </is>
      </c>
      <c r="E14" s="15" t="n"/>
      <c r="F14" s="15" t="n"/>
      <c r="G14" s="16" t="n"/>
      <c r="H14" s="15" t="n"/>
      <c r="I14" s="15" t="n"/>
      <c r="J14" s="15" t="n"/>
      <c r="K14" s="15" t="n"/>
    </row>
    <row r="15">
      <c r="A15" s="14" t="inlineStr">
        <is>
          <t>LR-11</t>
        </is>
      </c>
      <c r="B15" s="14" t="inlineStr">
        <is>
          <t>Data Retention</t>
        </is>
      </c>
      <c r="C15" s="14" t="inlineStr">
        <is>
          <t>Unsuccessful applicant data deleted (max 3 months)</t>
        </is>
      </c>
      <c r="D15" s="14" t="inlineStr">
        <is>
          <t>FADP Art. 6</t>
        </is>
      </c>
      <c r="E15" s="15" t="n"/>
      <c r="F15" s="15" t="n"/>
      <c r="G15" s="16" t="n"/>
      <c r="H15" s="15" t="n"/>
      <c r="I15" s="15" t="n"/>
      <c r="J15" s="15" t="n"/>
      <c r="K15" s="15" t="n"/>
    </row>
    <row r="16">
      <c r="A16" s="14" t="inlineStr">
        <is>
          <t>LR-12</t>
        </is>
      </c>
      <c r="B16" s="14" t="inlineStr">
        <is>
          <t>Transparency</t>
        </is>
      </c>
      <c r="C16" s="14" t="inlineStr">
        <is>
          <t>Candidate informed of screening results</t>
        </is>
      </c>
      <c r="D16" s="14" t="inlineStr">
        <is>
          <t>FADP Art. 25</t>
        </is>
      </c>
      <c r="E16" s="15" t="n"/>
      <c r="F16" s="15" t="n"/>
      <c r="G16" s="16" t="n"/>
      <c r="H16" s="15" t="n"/>
      <c r="I16" s="15" t="n"/>
      <c r="J16" s="15" t="n"/>
      <c r="K16" s="15" t="n"/>
    </row>
    <row r="17">
      <c r="A17" s="14" t="inlineStr">
        <is>
          <t>LR-13</t>
        </is>
      </c>
      <c r="B17" s="14" t="inlineStr">
        <is>
          <t>Transparency</t>
        </is>
      </c>
      <c r="C17" s="14" t="inlineStr">
        <is>
          <t>Candidate can access their screening data</t>
        </is>
      </c>
      <c r="D17" s="14" t="inlineStr">
        <is>
          <t>FADP Art. 25</t>
        </is>
      </c>
      <c r="E17" s="15" t="n"/>
      <c r="F17" s="15" t="n"/>
      <c r="G17" s="16" t="n"/>
      <c r="H17" s="15" t="n"/>
      <c r="I17" s="15" t="n"/>
      <c r="J17" s="15" t="n"/>
      <c r="K17" s="15" t="n"/>
    </row>
    <row r="18">
      <c r="A18" s="14" t="inlineStr">
        <is>
          <t>LR-14</t>
        </is>
      </c>
      <c r="B18" s="14" t="inlineStr">
        <is>
          <t>Transparency</t>
        </is>
      </c>
      <c r="C18" s="14" t="inlineStr">
        <is>
          <t>Right to rectification documented</t>
        </is>
      </c>
      <c r="D18" s="14" t="inlineStr">
        <is>
          <t>FADP Art. 32</t>
        </is>
      </c>
      <c r="E18" s="15" t="n"/>
      <c r="F18" s="15" t="n"/>
      <c r="G18" s="16" t="n"/>
      <c r="H18" s="15" t="n"/>
      <c r="I18" s="15" t="n"/>
      <c r="J18" s="15" t="n"/>
      <c r="K18" s="15" t="n"/>
    </row>
    <row r="19">
      <c r="A19" s="14" t="inlineStr">
        <is>
          <t>LR-15</t>
        </is>
      </c>
      <c r="B19" s="14" t="inlineStr">
        <is>
          <t>Third-Party</t>
        </is>
      </c>
      <c r="C19" s="14" t="inlineStr">
        <is>
          <t>Screening provider DPA in place</t>
        </is>
      </c>
      <c r="D19" s="14" t="inlineStr">
        <is>
          <t>FADP Art. 9</t>
        </is>
      </c>
      <c r="E19" s="15" t="n"/>
      <c r="F19" s="15" t="n"/>
      <c r="G19" s="16" t="n"/>
      <c r="H19" s="15" t="n"/>
      <c r="I19" s="15" t="n"/>
      <c r="J19" s="15" t="n"/>
      <c r="K19" s="15" t="n"/>
    </row>
    <row r="20">
      <c r="A20" s="14" t="inlineStr">
        <is>
          <t>LR-16</t>
        </is>
      </c>
      <c r="B20" s="14" t="inlineStr">
        <is>
          <t>Third-Party</t>
        </is>
      </c>
      <c r="C20" s="14" t="inlineStr">
        <is>
          <t>Provider data handling compliant</t>
        </is>
      </c>
      <c r="D20" s="14" t="inlineStr">
        <is>
          <t>FADP Art. 9</t>
        </is>
      </c>
      <c r="E20" s="15" t="n"/>
      <c r="F20" s="15" t="n"/>
      <c r="G20" s="16" t="n"/>
      <c r="H20" s="15" t="n"/>
      <c r="I20" s="15" t="n"/>
      <c r="J20" s="15" t="n"/>
      <c r="K20" s="15" t="n"/>
    </row>
    <row r="21">
      <c r="A21" s="14" t="inlineStr">
        <is>
          <t>LR-17</t>
        </is>
      </c>
      <c r="B21" s="14" t="inlineStr">
        <is>
          <t>Cross-Border</t>
        </is>
      </c>
      <c r="C21" s="14" t="inlineStr">
        <is>
          <t>Cross-border transfer safeguards (if applicable)</t>
        </is>
      </c>
      <c r="D21" s="14" t="inlineStr">
        <is>
          <t>FADP Art. 16-17</t>
        </is>
      </c>
      <c r="E21" s="15" t="n"/>
      <c r="F21" s="15" t="n"/>
      <c r="G21" s="16" t="n"/>
      <c r="H21" s="15" t="n"/>
      <c r="I21" s="15" t="n"/>
      <c r="J21" s="15" t="n"/>
      <c r="K21" s="15" t="n"/>
    </row>
    <row r="22">
      <c r="A22" s="14" t="inlineStr">
        <is>
          <t>LR-18</t>
        </is>
      </c>
      <c r="B22" s="14" t="inlineStr">
        <is>
          <t>Criminal Records</t>
        </is>
      </c>
      <c r="C22" s="14" t="inlineStr">
        <is>
          <t>Criminal check legally permitted for role</t>
        </is>
      </c>
      <c r="D22" s="14" t="inlineStr">
        <is>
          <t>Swiss Criminal Records Act</t>
        </is>
      </c>
      <c r="E22" s="15" t="n"/>
      <c r="F22" s="15" t="n"/>
      <c r="G22" s="16" t="n"/>
      <c r="H22" s="15" t="n"/>
      <c r="I22" s="15" t="n"/>
      <c r="J22" s="15" t="n"/>
      <c r="K22" s="15" t="n"/>
    </row>
    <row r="23">
      <c r="A23" s="14" t="inlineStr">
        <is>
          <t>LR-19</t>
        </is>
      </c>
      <c r="B23" s="14" t="inlineStr">
        <is>
          <t>Credit Check</t>
        </is>
      </c>
      <c r="C23" s="14" t="inlineStr">
        <is>
          <t>Credit check legally permitted for role</t>
        </is>
      </c>
      <c r="D23" s="14" t="inlineStr">
        <is>
          <t>FADP Art. 6</t>
        </is>
      </c>
      <c r="E23" s="15" t="n"/>
      <c r="F23" s="15" t="n"/>
      <c r="G23" s="16" t="n"/>
      <c r="H23" s="15" t="n"/>
      <c r="I23" s="15" t="n"/>
      <c r="J23" s="15" t="n"/>
      <c r="K23" s="15" t="n"/>
    </row>
    <row r="24">
      <c r="A24" s="14" t="inlineStr">
        <is>
          <t>LR-20</t>
        </is>
      </c>
      <c r="B24" s="14" t="inlineStr">
        <is>
          <t>Appeals</t>
        </is>
      </c>
      <c r="C24" s="14" t="inlineStr">
        <is>
          <t>Adverse decision appeal process documented</t>
        </is>
      </c>
      <c r="D24" s="14" t="inlineStr">
        <is>
          <t>Best Practice</t>
        </is>
      </c>
      <c r="E24" s="15" t="n"/>
      <c r="F24" s="15" t="n"/>
      <c r="G24" s="16" t="n"/>
      <c r="H24" s="15" t="n"/>
      <c r="I24" s="15" t="n"/>
      <c r="J24" s="15" t="n"/>
      <c r="K24" s="15" t="n"/>
    </row>
    <row r="25">
      <c r="A25" s="15" t="n"/>
      <c r="B25" s="15" t="n"/>
      <c r="C25" s="15" t="n"/>
      <c r="D25" s="15" t="n"/>
      <c r="E25" s="15" t="n"/>
      <c r="F25" s="15" t="n"/>
      <c r="G25" s="16" t="n"/>
      <c r="H25" s="15" t="n"/>
      <c r="I25" s="15" t="n"/>
      <c r="J25" s="15" t="n"/>
      <c r="K25" s="15" t="n"/>
    </row>
    <row r="26">
      <c r="A26" s="15" t="n"/>
      <c r="B26" s="15" t="n"/>
      <c r="C26" s="15" t="n"/>
      <c r="D26" s="15" t="n"/>
      <c r="E26" s="15" t="n"/>
      <c r="F26" s="15" t="n"/>
      <c r="G26" s="16" t="n"/>
      <c r="H26" s="15" t="n"/>
      <c r="I26" s="15" t="n"/>
      <c r="J26" s="15" t="n"/>
      <c r="K26" s="15" t="n"/>
    </row>
    <row r="27">
      <c r="A27" s="15" t="n"/>
      <c r="B27" s="15" t="n"/>
      <c r="C27" s="15" t="n"/>
      <c r="D27" s="15" t="n"/>
      <c r="E27" s="15" t="n"/>
      <c r="F27" s="15" t="n"/>
      <c r="G27" s="16" t="n"/>
      <c r="H27" s="15" t="n"/>
      <c r="I27" s="15" t="n"/>
      <c r="J27" s="15" t="n"/>
      <c r="K27" s="15" t="n"/>
    </row>
    <row r="28">
      <c r="A28" s="15" t="n"/>
      <c r="B28" s="15" t="n"/>
      <c r="C28" s="15" t="n"/>
      <c r="D28" s="15" t="n"/>
      <c r="E28" s="15" t="n"/>
      <c r="F28" s="15" t="n"/>
      <c r="G28" s="16" t="n"/>
      <c r="H28" s="15" t="n"/>
      <c r="I28" s="15" t="n"/>
      <c r="J28" s="15" t="n"/>
      <c r="K28" s="15" t="n"/>
    </row>
    <row r="29">
      <c r="A29" s="15" t="n"/>
      <c r="B29" s="15" t="n"/>
      <c r="C29" s="15" t="n"/>
      <c r="D29" s="15" t="n"/>
      <c r="E29" s="15" t="n"/>
      <c r="F29" s="15" t="n"/>
      <c r="G29" s="16" t="n"/>
      <c r="H29" s="15" t="n"/>
      <c r="I29" s="15" t="n"/>
      <c r="J29" s="15" t="n"/>
      <c r="K29" s="15" t="n"/>
    </row>
    <row r="30">
      <c r="A30" s="15" t="n"/>
      <c r="B30" s="15" t="n"/>
      <c r="C30" s="15" t="n"/>
      <c r="D30" s="15" t="n"/>
      <c r="E30" s="15" t="n"/>
      <c r="F30" s="15" t="n"/>
      <c r="G30" s="16" t="n"/>
      <c r="H30" s="15" t="n"/>
      <c r="I30" s="15" t="n"/>
      <c r="J30" s="15" t="n"/>
      <c r="K30" s="15" t="n"/>
    </row>
    <row r="31">
      <c r="A31" s="15" t="n"/>
      <c r="B31" s="15" t="n"/>
      <c r="C31" s="15" t="n"/>
      <c r="D31" s="15" t="n"/>
      <c r="E31" s="15" t="n"/>
      <c r="F31" s="15" t="n"/>
      <c r="G31" s="16" t="n"/>
      <c r="H31" s="15" t="n"/>
      <c r="I31" s="15" t="n"/>
      <c r="J31" s="15" t="n"/>
      <c r="K31" s="15" t="n"/>
    </row>
    <row r="32">
      <c r="A32" s="15" t="n"/>
      <c r="B32" s="15" t="n"/>
      <c r="C32" s="15" t="n"/>
      <c r="D32" s="15" t="n"/>
      <c r="E32" s="15" t="n"/>
      <c r="F32" s="15" t="n"/>
      <c r="G32" s="16" t="n"/>
      <c r="H32" s="15" t="n"/>
      <c r="I32" s="15" t="n"/>
      <c r="J32" s="15" t="n"/>
      <c r="K32" s="15" t="n"/>
    </row>
    <row r="33">
      <c r="A33" s="15" t="n"/>
      <c r="B33" s="15" t="n"/>
      <c r="C33" s="15" t="n"/>
      <c r="D33" s="15" t="n"/>
      <c r="E33" s="15" t="n"/>
      <c r="F33" s="15" t="n"/>
      <c r="G33" s="16" t="n"/>
      <c r="H33" s="15" t="n"/>
      <c r="I33" s="15" t="n"/>
      <c r="J33" s="15" t="n"/>
      <c r="K33" s="15" t="n"/>
    </row>
    <row r="34">
      <c r="A34" s="15" t="n"/>
      <c r="B34" s="15" t="n"/>
      <c r="C34" s="15" t="n"/>
      <c r="D34" s="15" t="n"/>
      <c r="E34" s="15" t="n"/>
      <c r="F34" s="15" t="n"/>
      <c r="G34" s="16" t="n"/>
      <c r="H34" s="15" t="n"/>
      <c r="I34" s="15" t="n"/>
      <c r="J34" s="15" t="n"/>
      <c r="K34" s="15" t="n"/>
    </row>
    <row r="35">
      <c r="A35" s="15" t="n"/>
      <c r="B35" s="15" t="n"/>
      <c r="C35" s="15" t="n"/>
      <c r="D35" s="15" t="n"/>
      <c r="E35" s="15" t="n"/>
      <c r="F35" s="15" t="n"/>
      <c r="G35" s="16" t="n"/>
      <c r="H35" s="15" t="n"/>
      <c r="I35" s="15" t="n"/>
      <c r="J35" s="15" t="n"/>
      <c r="K35" s="15" t="n"/>
    </row>
    <row r="36">
      <c r="A36" s="15" t="n"/>
      <c r="B36" s="15" t="n"/>
      <c r="C36" s="15" t="n"/>
      <c r="D36" s="15" t="n"/>
      <c r="E36" s="15" t="n"/>
      <c r="F36" s="15" t="n"/>
      <c r="G36" s="16" t="n"/>
      <c r="H36" s="15" t="n"/>
      <c r="I36" s="15" t="n"/>
      <c r="J36" s="15" t="n"/>
      <c r="K36" s="15" t="n"/>
    </row>
    <row r="37">
      <c r="A37" s="15" t="n"/>
      <c r="B37" s="15" t="n"/>
      <c r="C37" s="15" t="n"/>
      <c r="D37" s="15" t="n"/>
      <c r="E37" s="15" t="n"/>
      <c r="F37" s="15" t="n"/>
      <c r="G37" s="16" t="n"/>
      <c r="H37" s="15" t="n"/>
      <c r="I37" s="15" t="n"/>
      <c r="J37" s="15" t="n"/>
      <c r="K37" s="15" t="n"/>
    </row>
    <row r="38">
      <c r="A38" s="15" t="n"/>
      <c r="B38" s="15" t="n"/>
      <c r="C38" s="15" t="n"/>
      <c r="D38" s="15" t="n"/>
      <c r="E38" s="15" t="n"/>
      <c r="F38" s="15" t="n"/>
      <c r="G38" s="16" t="n"/>
      <c r="H38" s="15" t="n"/>
      <c r="I38" s="15" t="n"/>
      <c r="J38" s="15" t="n"/>
      <c r="K38" s="15" t="n"/>
    </row>
    <row r="39">
      <c r="A39" s="15" t="n"/>
      <c r="B39" s="15" t="n"/>
      <c r="C39" s="15" t="n"/>
      <c r="D39" s="15" t="n"/>
      <c r="E39" s="15" t="n"/>
      <c r="F39" s="15" t="n"/>
      <c r="G39" s="16" t="n"/>
      <c r="H39" s="15" t="n"/>
      <c r="I39" s="15" t="n"/>
      <c r="J39" s="15" t="n"/>
      <c r="K39" s="15" t="n"/>
    </row>
    <row r="40">
      <c r="A40" s="15" t="n"/>
      <c r="B40" s="15" t="n"/>
      <c r="C40" s="15" t="n"/>
      <c r="D40" s="15" t="n"/>
      <c r="E40" s="15" t="n"/>
      <c r="F40" s="15" t="n"/>
      <c r="G40" s="16" t="n"/>
      <c r="H40" s="15" t="n"/>
      <c r="I40" s="15" t="n"/>
      <c r="J40" s="15" t="n"/>
      <c r="K40" s="15" t="n"/>
    </row>
    <row r="41">
      <c r="A41" s="15" t="n"/>
      <c r="B41" s="15" t="n"/>
      <c r="C41" s="15" t="n"/>
      <c r="D41" s="15" t="n"/>
      <c r="E41" s="15" t="n"/>
      <c r="F41" s="15" t="n"/>
      <c r="G41" s="16" t="n"/>
      <c r="H41" s="15" t="n"/>
      <c r="I41" s="15" t="n"/>
      <c r="J41" s="15" t="n"/>
      <c r="K41" s="15" t="n"/>
    </row>
    <row r="42">
      <c r="A42" s="15" t="n"/>
      <c r="B42" s="15" t="n"/>
      <c r="C42" s="15" t="n"/>
      <c r="D42" s="15" t="n"/>
      <c r="E42" s="15" t="n"/>
      <c r="F42" s="15" t="n"/>
      <c r="G42" s="16" t="n"/>
      <c r="H42" s="15" t="n"/>
      <c r="I42" s="15" t="n"/>
      <c r="J42" s="15" t="n"/>
      <c r="K42" s="15" t="n"/>
    </row>
    <row r="43">
      <c r="A43" s="15" t="n"/>
      <c r="B43" s="15" t="n"/>
      <c r="C43" s="15" t="n"/>
      <c r="D43" s="15" t="n"/>
      <c r="E43" s="15" t="n"/>
      <c r="F43" s="15" t="n"/>
      <c r="G43" s="16" t="n"/>
      <c r="H43" s="15" t="n"/>
      <c r="I43" s="15" t="n"/>
      <c r="J43" s="15" t="n"/>
      <c r="K43" s="15" t="n"/>
    </row>
    <row r="44">
      <c r="A44" s="15" t="n"/>
      <c r="B44" s="15" t="n"/>
      <c r="C44" s="15" t="n"/>
      <c r="D44" s="15" t="n"/>
      <c r="E44" s="15" t="n"/>
      <c r="F44" s="15" t="n"/>
      <c r="G44" s="16" t="n"/>
      <c r="H44" s="15" t="n"/>
      <c r="I44" s="15" t="n"/>
      <c r="J44" s="15" t="n"/>
      <c r="K44" s="15" t="n"/>
    </row>
    <row r="45">
      <c r="A45" s="15" t="n"/>
      <c r="B45" s="15" t="n"/>
      <c r="C45" s="15" t="n"/>
      <c r="D45" s="15" t="n"/>
      <c r="E45" s="15" t="n"/>
      <c r="F45" s="15" t="n"/>
      <c r="G45" s="16" t="n"/>
      <c r="H45" s="15" t="n"/>
      <c r="I45" s="15" t="n"/>
      <c r="J45" s="15" t="n"/>
      <c r="K45" s="15" t="n"/>
    </row>
    <row r="46">
      <c r="A46" s="15" t="n"/>
      <c r="B46" s="15" t="n"/>
      <c r="C46" s="15" t="n"/>
      <c r="D46" s="15" t="n"/>
      <c r="E46" s="15" t="n"/>
      <c r="F46" s="15" t="n"/>
      <c r="G46" s="16" t="n"/>
      <c r="H46" s="15" t="n"/>
      <c r="I46" s="15" t="n"/>
      <c r="J46" s="15" t="n"/>
      <c r="K46" s="15" t="n"/>
    </row>
    <row r="47">
      <c r="A47" s="15" t="n"/>
      <c r="B47" s="15" t="n"/>
      <c r="C47" s="15" t="n"/>
      <c r="D47" s="15" t="n"/>
      <c r="E47" s="15" t="n"/>
      <c r="F47" s="15" t="n"/>
      <c r="G47" s="16" t="n"/>
      <c r="H47" s="15" t="n"/>
      <c r="I47" s="15" t="n"/>
      <c r="J47" s="15" t="n"/>
      <c r="K47" s="15" t="n"/>
    </row>
    <row r="48">
      <c r="A48" s="15" t="n"/>
      <c r="B48" s="15" t="n"/>
      <c r="C48" s="15" t="n"/>
      <c r="D48" s="15" t="n"/>
      <c r="E48" s="15" t="n"/>
      <c r="F48" s="15" t="n"/>
      <c r="G48" s="16" t="n"/>
      <c r="H48" s="15" t="n"/>
      <c r="I48" s="15" t="n"/>
      <c r="J48" s="15" t="n"/>
      <c r="K48" s="15" t="n"/>
    </row>
    <row r="49">
      <c r="A49" s="15" t="n"/>
      <c r="B49" s="15" t="n"/>
      <c r="C49" s="15" t="n"/>
      <c r="D49" s="15" t="n"/>
      <c r="E49" s="15" t="n"/>
      <c r="F49" s="15" t="n"/>
      <c r="G49" s="16" t="n"/>
      <c r="H49" s="15" t="n"/>
      <c r="I49" s="15" t="n"/>
      <c r="J49" s="15" t="n"/>
      <c r="K49" s="15" t="n"/>
    </row>
    <row r="50">
      <c r="A50" s="15" t="n"/>
      <c r="B50" s="15" t="n"/>
      <c r="C50" s="15" t="n"/>
      <c r="D50" s="15" t="n"/>
      <c r="E50" s="15" t="n"/>
      <c r="F50" s="15" t="n"/>
      <c r="G50" s="16" t="n"/>
      <c r="H50" s="15" t="n"/>
      <c r="I50" s="15" t="n"/>
      <c r="J50" s="15" t="n"/>
      <c r="K50" s="15" t="n"/>
    </row>
    <row r="51">
      <c r="A51" s="15" t="n"/>
      <c r="B51" s="15" t="n"/>
      <c r="C51" s="15" t="n"/>
      <c r="D51" s="15" t="n"/>
      <c r="E51" s="15" t="n"/>
      <c r="F51" s="15" t="n"/>
      <c r="G51" s="16" t="n"/>
      <c r="H51" s="15" t="n"/>
      <c r="I51" s="15" t="n"/>
      <c r="J51" s="15" t="n"/>
      <c r="K51" s="15" t="n"/>
    </row>
    <row r="52">
      <c r="A52" s="15" t="n"/>
      <c r="B52" s="15" t="n"/>
      <c r="C52" s="15" t="n"/>
      <c r="D52" s="15" t="n"/>
      <c r="E52" s="15" t="n"/>
      <c r="F52" s="15" t="n"/>
      <c r="G52" s="16" t="n"/>
      <c r="H52" s="15" t="n"/>
      <c r="I52" s="15" t="n"/>
      <c r="J52" s="15" t="n"/>
      <c r="K52" s="15" t="n"/>
    </row>
    <row r="53">
      <c r="A53" s="15" t="n"/>
      <c r="B53" s="15" t="n"/>
      <c r="C53" s="15" t="n"/>
      <c r="D53" s="15" t="n"/>
      <c r="E53" s="15" t="n"/>
      <c r="F53" s="15" t="n"/>
      <c r="G53" s="16" t="n"/>
      <c r="H53" s="15" t="n"/>
      <c r="I53" s="15" t="n"/>
      <c r="J53" s="15" t="n"/>
      <c r="K53" s="15" t="n"/>
    </row>
    <row r="54">
      <c r="A54" s="15" t="n"/>
      <c r="B54" s="15" t="n"/>
      <c r="C54" s="15" t="n"/>
      <c r="D54" s="15" t="n"/>
      <c r="E54" s="15" t="n"/>
      <c r="F54" s="15" t="n"/>
      <c r="G54" s="16" t="n"/>
      <c r="H54" s="15" t="n"/>
      <c r="I54" s="15" t="n"/>
      <c r="J54" s="15" t="n"/>
      <c r="K54" s="15" t="n"/>
    </row>
    <row r="55">
      <c r="A55" s="15" t="n"/>
      <c r="B55" s="15" t="n"/>
      <c r="C55" s="15" t="n"/>
      <c r="D55" s="15" t="n"/>
      <c r="E55" s="15" t="n"/>
      <c r="F55" s="15" t="n"/>
      <c r="G55" s="16" t="n"/>
      <c r="H55" s="15" t="n"/>
      <c r="I55" s="15" t="n"/>
      <c r="J55" s="15" t="n"/>
      <c r="K55" s="15" t="n"/>
    </row>
    <row r="56">
      <c r="A56" s="15" t="n"/>
      <c r="B56" s="15" t="n"/>
      <c r="C56" s="15" t="n"/>
      <c r="D56" s="15" t="n"/>
      <c r="E56" s="15" t="n"/>
      <c r="F56" s="15" t="n"/>
      <c r="G56" s="16" t="n"/>
      <c r="H56" s="15" t="n"/>
      <c r="I56" s="15" t="n"/>
      <c r="J56" s="15" t="n"/>
      <c r="K56" s="15" t="n"/>
    </row>
    <row r="57">
      <c r="A57" s="15" t="n"/>
      <c r="B57" s="15" t="n"/>
      <c r="C57" s="15" t="n"/>
      <c r="D57" s="15" t="n"/>
      <c r="E57" s="15" t="n"/>
      <c r="F57" s="15" t="n"/>
      <c r="G57" s="16" t="n"/>
      <c r="H57" s="15" t="n"/>
      <c r="I57" s="15" t="n"/>
      <c r="J57" s="15" t="n"/>
      <c r="K57" s="15" t="n"/>
    </row>
    <row r="58">
      <c r="A58" s="15" t="n"/>
      <c r="B58" s="15" t="n"/>
      <c r="C58" s="15" t="n"/>
      <c r="D58" s="15" t="n"/>
      <c r="E58" s="15" t="n"/>
      <c r="F58" s="15" t="n"/>
      <c r="G58" s="16" t="n"/>
      <c r="H58" s="15" t="n"/>
      <c r="I58" s="15" t="n"/>
      <c r="J58" s="15" t="n"/>
      <c r="K58" s="15" t="n"/>
    </row>
    <row r="59">
      <c r="A59" s="15" t="n"/>
      <c r="B59" s="15" t="n"/>
      <c r="C59" s="15" t="n"/>
      <c r="D59" s="15" t="n"/>
      <c r="E59" s="15" t="n"/>
      <c r="F59" s="15" t="n"/>
      <c r="G59" s="16" t="n"/>
      <c r="H59" s="15" t="n"/>
      <c r="I59" s="15" t="n"/>
      <c r="J59" s="15" t="n"/>
      <c r="K59" s="15" t="n"/>
    </row>
    <row r="60">
      <c r="A60" s="15" t="n"/>
      <c r="B60" s="15" t="n"/>
      <c r="C60" s="15" t="n"/>
      <c r="D60" s="15" t="n"/>
      <c r="E60" s="15" t="n"/>
      <c r="F60" s="15" t="n"/>
      <c r="G60" s="16" t="n"/>
      <c r="H60" s="15" t="n"/>
      <c r="I60" s="15" t="n"/>
      <c r="J60" s="15" t="n"/>
      <c r="K60" s="15" t="n"/>
    </row>
    <row r="61">
      <c r="A61" s="15" t="n"/>
      <c r="B61" s="15" t="n"/>
      <c r="C61" s="15" t="n"/>
      <c r="D61" s="15" t="n"/>
      <c r="E61" s="15" t="n"/>
      <c r="F61" s="15" t="n"/>
      <c r="G61" s="16" t="n"/>
      <c r="H61" s="15" t="n"/>
      <c r="I61" s="15" t="n"/>
      <c r="J61" s="15" t="n"/>
      <c r="K61" s="15" t="n"/>
    </row>
    <row r="62">
      <c r="A62" s="15" t="n"/>
      <c r="B62" s="15" t="n"/>
      <c r="C62" s="15" t="n"/>
      <c r="D62" s="15" t="n"/>
      <c r="E62" s="15" t="n"/>
      <c r="F62" s="15" t="n"/>
      <c r="G62" s="16" t="n"/>
      <c r="H62" s="15" t="n"/>
      <c r="I62" s="15" t="n"/>
      <c r="J62" s="15" t="n"/>
      <c r="K62" s="15" t="n"/>
    </row>
    <row r="63">
      <c r="A63" s="15" t="n"/>
      <c r="B63" s="15" t="n"/>
      <c r="C63" s="15" t="n"/>
      <c r="D63" s="15" t="n"/>
      <c r="E63" s="15" t="n"/>
      <c r="F63" s="15" t="n"/>
      <c r="G63" s="16" t="n"/>
      <c r="H63" s="15" t="n"/>
      <c r="I63" s="15" t="n"/>
      <c r="J63" s="15" t="n"/>
      <c r="K63" s="15" t="n"/>
    </row>
    <row r="64">
      <c r="A64" s="15" t="n"/>
      <c r="B64" s="15" t="n"/>
      <c r="C64" s="15" t="n"/>
      <c r="D64" s="15" t="n"/>
      <c r="E64" s="15" t="n"/>
      <c r="F64" s="15" t="n"/>
      <c r="G64" s="16" t="n"/>
      <c r="H64" s="15" t="n"/>
      <c r="I64" s="15" t="n"/>
      <c r="J64" s="15" t="n"/>
      <c r="K64" s="15" t="n"/>
    </row>
    <row r="65">
      <c r="A65" s="15" t="n"/>
      <c r="B65" s="15" t="n"/>
      <c r="C65" s="15" t="n"/>
      <c r="D65" s="15" t="n"/>
      <c r="E65" s="15" t="n"/>
      <c r="F65" s="15" t="n"/>
      <c r="G65" s="16" t="n"/>
      <c r="H65" s="15" t="n"/>
      <c r="I65" s="15" t="n"/>
      <c r="J65" s="15" t="n"/>
      <c r="K65" s="15" t="n"/>
    </row>
    <row r="66">
      <c r="A66" s="15" t="n"/>
      <c r="B66" s="15" t="n"/>
      <c r="C66" s="15" t="n"/>
      <c r="D66" s="15" t="n"/>
      <c r="E66" s="15" t="n"/>
      <c r="F66" s="15" t="n"/>
      <c r="G66" s="16" t="n"/>
      <c r="H66" s="15" t="n"/>
      <c r="I66" s="15" t="n"/>
      <c r="J66" s="15" t="n"/>
      <c r="K66" s="15" t="n"/>
    </row>
    <row r="67">
      <c r="A67" s="15" t="n"/>
      <c r="B67" s="15" t="n"/>
      <c r="C67" s="15" t="n"/>
      <c r="D67" s="15" t="n"/>
      <c r="E67" s="15" t="n"/>
      <c r="F67" s="15" t="n"/>
      <c r="G67" s="16" t="n"/>
      <c r="H67" s="15" t="n"/>
      <c r="I67" s="15" t="n"/>
      <c r="J67" s="15" t="n"/>
      <c r="K67" s="15" t="n"/>
    </row>
    <row r="68">
      <c r="A68" s="15" t="n"/>
      <c r="B68" s="15" t="n"/>
      <c r="C68" s="15" t="n"/>
      <c r="D68" s="15" t="n"/>
      <c r="E68" s="15" t="n"/>
      <c r="F68" s="15" t="n"/>
      <c r="G68" s="16" t="n"/>
      <c r="H68" s="15" t="n"/>
      <c r="I68" s="15" t="n"/>
      <c r="J68" s="15" t="n"/>
      <c r="K68" s="15" t="n"/>
    </row>
    <row r="69">
      <c r="A69" s="15" t="n"/>
      <c r="B69" s="15" t="n"/>
      <c r="C69" s="15" t="n"/>
      <c r="D69" s="15" t="n"/>
      <c r="E69" s="15" t="n"/>
      <c r="F69" s="15" t="n"/>
      <c r="G69" s="16" t="n"/>
      <c r="H69" s="15" t="n"/>
      <c r="I69" s="15" t="n"/>
      <c r="J69" s="15" t="n"/>
      <c r="K69" s="15" t="n"/>
    </row>
    <row r="70">
      <c r="A70" s="15" t="n"/>
      <c r="B70" s="15" t="n"/>
      <c r="C70" s="15" t="n"/>
      <c r="D70" s="15" t="n"/>
      <c r="E70" s="15" t="n"/>
      <c r="F70" s="15" t="n"/>
      <c r="G70" s="16" t="n"/>
      <c r="H70" s="15" t="n"/>
      <c r="I70" s="15" t="n"/>
      <c r="J70" s="15" t="n"/>
      <c r="K70" s="15" t="n"/>
    </row>
    <row r="71">
      <c r="A71" s="15" t="n"/>
      <c r="B71" s="15" t="n"/>
      <c r="C71" s="15" t="n"/>
      <c r="D71" s="15" t="n"/>
      <c r="E71" s="15" t="n"/>
      <c r="F71" s="15" t="n"/>
      <c r="G71" s="16" t="n"/>
      <c r="H71" s="15" t="n"/>
      <c r="I71" s="15" t="n"/>
      <c r="J71" s="15" t="n"/>
      <c r="K71" s="15" t="n"/>
    </row>
    <row r="72">
      <c r="A72" s="15" t="n"/>
      <c r="B72" s="15" t="n"/>
      <c r="C72" s="15" t="n"/>
      <c r="D72" s="15" t="n"/>
      <c r="E72" s="15" t="n"/>
      <c r="F72" s="15" t="n"/>
      <c r="G72" s="16" t="n"/>
      <c r="H72" s="15" t="n"/>
      <c r="I72" s="15" t="n"/>
      <c r="J72" s="15" t="n"/>
      <c r="K72" s="15" t="n"/>
    </row>
    <row r="73">
      <c r="A73" s="15" t="n"/>
      <c r="B73" s="15" t="n"/>
      <c r="C73" s="15" t="n"/>
      <c r="D73" s="15" t="n"/>
      <c r="E73" s="15" t="n"/>
      <c r="F73" s="15" t="n"/>
      <c r="G73" s="16" t="n"/>
      <c r="H73" s="15" t="n"/>
      <c r="I73" s="15" t="n"/>
      <c r="J73" s="15" t="n"/>
      <c r="K73" s="15" t="n"/>
    </row>
    <row r="74">
      <c r="A74" s="15" t="n"/>
      <c r="B74" s="15" t="n"/>
      <c r="C74" s="15" t="n"/>
      <c r="D74" s="15" t="n"/>
      <c r="E74" s="15" t="n"/>
      <c r="F74" s="15" t="n"/>
      <c r="G74" s="16" t="n"/>
      <c r="H74" s="15" t="n"/>
      <c r="I74" s="15" t="n"/>
      <c r="J74" s="15" t="n"/>
      <c r="K74" s="15" t="n"/>
    </row>
  </sheetData>
  <mergeCells count="2">
    <mergeCell ref="A2:K2"/>
    <mergeCell ref="A1:K1"/>
  </mergeCells>
  <dataValidations count="2">
    <dataValidation sqref="E5:E74" showDropDown="0" showInputMessage="0" showErrorMessage="1" allowBlank="1" errorTitle="Invalid Entry" error="Please select from dropdown" type="list">
      <formula1>"Implemented,Partial,Not-Implemented,N/A"</formula1>
    </dataValidation>
    <dataValidation sqref="I5:I74" showDropDown="0" showInputMessage="0" showErrorMessage="1" allowBlank="1" errorTitle="Invalid Entry" error="Please select from dropdown"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5" customWidth="1" min="3" max="3"/>
    <col width="20" customWidth="1" min="4" max="4"/>
    <col width="40" customWidth="1" min="5" max="5"/>
    <col width="12"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screening gaps from all assessment domains with risk levels and remediation plans</t>
        </is>
      </c>
    </row>
    <row r="4">
      <c r="A4" s="13" t="inlineStr">
        <is>
          <t>Gap ID</t>
        </is>
      </c>
      <c r="B4" s="13" t="inlineStr">
        <is>
          <t>Source Sheet</t>
        </is>
      </c>
      <c r="C4" s="13" t="inlineStr">
        <is>
          <t>Employee ID</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4">
        <f>IF(B5="","",TEXT(ROW()-4,"SCR-GAP-000"))</f>
        <v/>
      </c>
      <c r="B5" s="15" t="n"/>
      <c r="C5" s="15" t="n"/>
      <c r="D5" s="15" t="n"/>
      <c r="E5" s="15" t="n"/>
      <c r="F5" s="15" t="n"/>
      <c r="G5" s="15" t="n"/>
      <c r="H5" s="15" t="n"/>
      <c r="I5" s="15" t="n"/>
      <c r="J5" s="15" t="n"/>
      <c r="K5" s="16" t="n"/>
      <c r="L5" s="15" t="n"/>
      <c r="M5" s="15" t="n"/>
      <c r="N5" s="15" t="n"/>
      <c r="O5" s="15" t="n"/>
      <c r="P5" s="15" t="n"/>
    </row>
    <row r="6">
      <c r="A6" s="14">
        <f>IF(B6="","",TEXT(ROW()-4,"SCR-GAP-000"))</f>
        <v/>
      </c>
      <c r="B6" s="15" t="n"/>
      <c r="C6" s="15" t="n"/>
      <c r="D6" s="15" t="n"/>
      <c r="E6" s="15" t="n"/>
      <c r="F6" s="15" t="n"/>
      <c r="G6" s="15" t="n"/>
      <c r="H6" s="15" t="n"/>
      <c r="I6" s="15" t="n"/>
      <c r="J6" s="15" t="n"/>
      <c r="K6" s="16" t="n"/>
      <c r="L6" s="15" t="n"/>
      <c r="M6" s="15" t="n"/>
      <c r="N6" s="15" t="n"/>
      <c r="O6" s="15" t="n"/>
      <c r="P6" s="15" t="n"/>
    </row>
    <row r="7">
      <c r="A7" s="14">
        <f>IF(B7="","",TEXT(ROW()-4,"SCR-GAP-000"))</f>
        <v/>
      </c>
      <c r="B7" s="15" t="n"/>
      <c r="C7" s="15" t="n"/>
      <c r="D7" s="15" t="n"/>
      <c r="E7" s="15" t="n"/>
      <c r="F7" s="15" t="n"/>
      <c r="G7" s="15" t="n"/>
      <c r="H7" s="15" t="n"/>
      <c r="I7" s="15" t="n"/>
      <c r="J7" s="15" t="n"/>
      <c r="K7" s="16" t="n"/>
      <c r="L7" s="15" t="n"/>
      <c r="M7" s="15" t="n"/>
      <c r="N7" s="15" t="n"/>
      <c r="O7" s="15" t="n"/>
      <c r="P7" s="15" t="n"/>
    </row>
    <row r="8">
      <c r="A8" s="14">
        <f>IF(B8="","",TEXT(ROW()-4,"SCR-GAP-000"))</f>
        <v/>
      </c>
      <c r="B8" s="15" t="n"/>
      <c r="C8" s="15" t="n"/>
      <c r="D8" s="15" t="n"/>
      <c r="E8" s="15" t="n"/>
      <c r="F8" s="15" t="n"/>
      <c r="G8" s="15" t="n"/>
      <c r="H8" s="15" t="n"/>
      <c r="I8" s="15" t="n"/>
      <c r="J8" s="15" t="n"/>
      <c r="K8" s="16" t="n"/>
      <c r="L8" s="15" t="n"/>
      <c r="M8" s="15" t="n"/>
      <c r="N8" s="15" t="n"/>
      <c r="O8" s="15" t="n"/>
      <c r="P8" s="15" t="n"/>
    </row>
    <row r="9">
      <c r="A9" s="14">
        <f>IF(B9="","",TEXT(ROW()-4,"SCR-GAP-000"))</f>
        <v/>
      </c>
      <c r="B9" s="15" t="n"/>
      <c r="C9" s="15" t="n"/>
      <c r="D9" s="15" t="n"/>
      <c r="E9" s="15" t="n"/>
      <c r="F9" s="15" t="n"/>
      <c r="G9" s="15" t="n"/>
      <c r="H9" s="15" t="n"/>
      <c r="I9" s="15" t="n"/>
      <c r="J9" s="15" t="n"/>
      <c r="K9" s="16" t="n"/>
      <c r="L9" s="15" t="n"/>
      <c r="M9" s="15" t="n"/>
      <c r="N9" s="15" t="n"/>
      <c r="O9" s="15" t="n"/>
      <c r="P9" s="15" t="n"/>
    </row>
    <row r="10">
      <c r="A10" s="14">
        <f>IF(B10="","",TEXT(ROW()-4,"SCR-GAP-000"))</f>
        <v/>
      </c>
      <c r="B10" s="15" t="n"/>
      <c r="C10" s="15" t="n"/>
      <c r="D10" s="15" t="n"/>
      <c r="E10" s="15" t="n"/>
      <c r="F10" s="15" t="n"/>
      <c r="G10" s="15" t="n"/>
      <c r="H10" s="15" t="n"/>
      <c r="I10" s="15" t="n"/>
      <c r="J10" s="15" t="n"/>
      <c r="K10" s="16" t="n"/>
      <c r="L10" s="15" t="n"/>
      <c r="M10" s="15" t="n"/>
      <c r="N10" s="15" t="n"/>
      <c r="O10" s="15" t="n"/>
      <c r="P10" s="15" t="n"/>
    </row>
    <row r="11">
      <c r="A11" s="14">
        <f>IF(B11="","",TEXT(ROW()-4,"SCR-GAP-000"))</f>
        <v/>
      </c>
      <c r="B11" s="15" t="n"/>
      <c r="C11" s="15" t="n"/>
      <c r="D11" s="15" t="n"/>
      <c r="E11" s="15" t="n"/>
      <c r="F11" s="15" t="n"/>
      <c r="G11" s="15" t="n"/>
      <c r="H11" s="15" t="n"/>
      <c r="I11" s="15" t="n"/>
      <c r="J11" s="15" t="n"/>
      <c r="K11" s="16" t="n"/>
      <c r="L11" s="15" t="n"/>
      <c r="M11" s="15" t="n"/>
      <c r="N11" s="15" t="n"/>
      <c r="O11" s="15" t="n"/>
      <c r="P11" s="15" t="n"/>
    </row>
    <row r="12">
      <c r="A12" s="14">
        <f>IF(B12="","",TEXT(ROW()-4,"SCR-GAP-000"))</f>
        <v/>
      </c>
      <c r="B12" s="15" t="n"/>
      <c r="C12" s="15" t="n"/>
      <c r="D12" s="15" t="n"/>
      <c r="E12" s="15" t="n"/>
      <c r="F12" s="15" t="n"/>
      <c r="G12" s="15" t="n"/>
      <c r="H12" s="15" t="n"/>
      <c r="I12" s="15" t="n"/>
      <c r="J12" s="15" t="n"/>
      <c r="K12" s="16" t="n"/>
      <c r="L12" s="15" t="n"/>
      <c r="M12" s="15" t="n"/>
      <c r="N12" s="15" t="n"/>
      <c r="O12" s="15" t="n"/>
      <c r="P12" s="15" t="n"/>
    </row>
    <row r="13">
      <c r="A13" s="14">
        <f>IF(B13="","",TEXT(ROW()-4,"SCR-GAP-000"))</f>
        <v/>
      </c>
      <c r="B13" s="15" t="n"/>
      <c r="C13" s="15" t="n"/>
      <c r="D13" s="15" t="n"/>
      <c r="E13" s="15" t="n"/>
      <c r="F13" s="15" t="n"/>
      <c r="G13" s="15" t="n"/>
      <c r="H13" s="15" t="n"/>
      <c r="I13" s="15" t="n"/>
      <c r="J13" s="15" t="n"/>
      <c r="K13" s="16" t="n"/>
      <c r="L13" s="15" t="n"/>
      <c r="M13" s="15" t="n"/>
      <c r="N13" s="15" t="n"/>
      <c r="O13" s="15" t="n"/>
      <c r="P13" s="15" t="n"/>
    </row>
    <row r="14">
      <c r="A14" s="14">
        <f>IF(B14="","",TEXT(ROW()-4,"SCR-GAP-000"))</f>
        <v/>
      </c>
      <c r="B14" s="15" t="n"/>
      <c r="C14" s="15" t="n"/>
      <c r="D14" s="15" t="n"/>
      <c r="E14" s="15" t="n"/>
      <c r="F14" s="15" t="n"/>
      <c r="G14" s="15" t="n"/>
      <c r="H14" s="15" t="n"/>
      <c r="I14" s="15" t="n"/>
      <c r="J14" s="15" t="n"/>
      <c r="K14" s="16" t="n"/>
      <c r="L14" s="15" t="n"/>
      <c r="M14" s="15" t="n"/>
      <c r="N14" s="15" t="n"/>
      <c r="O14" s="15" t="n"/>
      <c r="P14" s="15" t="n"/>
    </row>
    <row r="15">
      <c r="A15" s="14">
        <f>IF(B15="","",TEXT(ROW()-4,"SCR-GAP-000"))</f>
        <v/>
      </c>
      <c r="B15" s="15" t="n"/>
      <c r="C15" s="15" t="n"/>
      <c r="D15" s="15" t="n"/>
      <c r="E15" s="15" t="n"/>
      <c r="F15" s="15" t="n"/>
      <c r="G15" s="15" t="n"/>
      <c r="H15" s="15" t="n"/>
      <c r="I15" s="15" t="n"/>
      <c r="J15" s="15" t="n"/>
      <c r="K15" s="16" t="n"/>
      <c r="L15" s="15" t="n"/>
      <c r="M15" s="15" t="n"/>
      <c r="N15" s="15" t="n"/>
      <c r="O15" s="15" t="n"/>
      <c r="P15" s="15" t="n"/>
    </row>
    <row r="16">
      <c r="A16" s="14">
        <f>IF(B16="","",TEXT(ROW()-4,"SCR-GAP-000"))</f>
        <v/>
      </c>
      <c r="B16" s="15" t="n"/>
      <c r="C16" s="15" t="n"/>
      <c r="D16" s="15" t="n"/>
      <c r="E16" s="15" t="n"/>
      <c r="F16" s="15" t="n"/>
      <c r="G16" s="15" t="n"/>
      <c r="H16" s="15" t="n"/>
      <c r="I16" s="15" t="n"/>
      <c r="J16" s="15" t="n"/>
      <c r="K16" s="16" t="n"/>
      <c r="L16" s="15" t="n"/>
      <c r="M16" s="15" t="n"/>
      <c r="N16" s="15" t="n"/>
      <c r="O16" s="15" t="n"/>
      <c r="P16" s="15" t="n"/>
    </row>
    <row r="17">
      <c r="A17" s="14">
        <f>IF(B17="","",TEXT(ROW()-4,"SCR-GAP-000"))</f>
        <v/>
      </c>
      <c r="B17" s="15" t="n"/>
      <c r="C17" s="15" t="n"/>
      <c r="D17" s="15" t="n"/>
      <c r="E17" s="15" t="n"/>
      <c r="F17" s="15" t="n"/>
      <c r="G17" s="15" t="n"/>
      <c r="H17" s="15" t="n"/>
      <c r="I17" s="15" t="n"/>
      <c r="J17" s="15" t="n"/>
      <c r="K17" s="16" t="n"/>
      <c r="L17" s="15" t="n"/>
      <c r="M17" s="15" t="n"/>
      <c r="N17" s="15" t="n"/>
      <c r="O17" s="15" t="n"/>
      <c r="P17" s="15" t="n"/>
    </row>
    <row r="18">
      <c r="A18" s="14">
        <f>IF(B18="","",TEXT(ROW()-4,"SCR-GAP-000"))</f>
        <v/>
      </c>
      <c r="B18" s="15" t="n"/>
      <c r="C18" s="15" t="n"/>
      <c r="D18" s="15" t="n"/>
      <c r="E18" s="15" t="n"/>
      <c r="F18" s="15" t="n"/>
      <c r="G18" s="15" t="n"/>
      <c r="H18" s="15" t="n"/>
      <c r="I18" s="15" t="n"/>
      <c r="J18" s="15" t="n"/>
      <c r="K18" s="16" t="n"/>
      <c r="L18" s="15" t="n"/>
      <c r="M18" s="15" t="n"/>
      <c r="N18" s="15" t="n"/>
      <c r="O18" s="15" t="n"/>
      <c r="P18" s="15" t="n"/>
    </row>
    <row r="19">
      <c r="A19" s="14">
        <f>IF(B19="","",TEXT(ROW()-4,"SCR-GAP-000"))</f>
        <v/>
      </c>
      <c r="B19" s="15" t="n"/>
      <c r="C19" s="15" t="n"/>
      <c r="D19" s="15" t="n"/>
      <c r="E19" s="15" t="n"/>
      <c r="F19" s="15" t="n"/>
      <c r="G19" s="15" t="n"/>
      <c r="H19" s="15" t="n"/>
      <c r="I19" s="15" t="n"/>
      <c r="J19" s="15" t="n"/>
      <c r="K19" s="16" t="n"/>
      <c r="L19" s="15" t="n"/>
      <c r="M19" s="15" t="n"/>
      <c r="N19" s="15" t="n"/>
      <c r="O19" s="15" t="n"/>
      <c r="P19" s="15" t="n"/>
    </row>
    <row r="20">
      <c r="A20" s="14">
        <f>IF(B20="","",TEXT(ROW()-4,"SCR-GAP-000"))</f>
        <v/>
      </c>
      <c r="B20" s="15" t="n"/>
      <c r="C20" s="15" t="n"/>
      <c r="D20" s="15" t="n"/>
      <c r="E20" s="15" t="n"/>
      <c r="F20" s="15" t="n"/>
      <c r="G20" s="15" t="n"/>
      <c r="H20" s="15" t="n"/>
      <c r="I20" s="15" t="n"/>
      <c r="J20" s="15" t="n"/>
      <c r="K20" s="16" t="n"/>
      <c r="L20" s="15" t="n"/>
      <c r="M20" s="15" t="n"/>
      <c r="N20" s="15" t="n"/>
      <c r="O20" s="15" t="n"/>
      <c r="P20" s="15" t="n"/>
    </row>
    <row r="21">
      <c r="A21" s="14">
        <f>IF(B21="","",TEXT(ROW()-4,"SCR-GAP-000"))</f>
        <v/>
      </c>
      <c r="B21" s="15" t="n"/>
      <c r="C21" s="15" t="n"/>
      <c r="D21" s="15" t="n"/>
      <c r="E21" s="15" t="n"/>
      <c r="F21" s="15" t="n"/>
      <c r="G21" s="15" t="n"/>
      <c r="H21" s="15" t="n"/>
      <c r="I21" s="15" t="n"/>
      <c r="J21" s="15" t="n"/>
      <c r="K21" s="16" t="n"/>
      <c r="L21" s="15" t="n"/>
      <c r="M21" s="15" t="n"/>
      <c r="N21" s="15" t="n"/>
      <c r="O21" s="15" t="n"/>
      <c r="P21" s="15" t="n"/>
    </row>
    <row r="22">
      <c r="A22" s="14">
        <f>IF(B22="","",TEXT(ROW()-4,"SCR-GAP-000"))</f>
        <v/>
      </c>
      <c r="B22" s="15" t="n"/>
      <c r="C22" s="15" t="n"/>
      <c r="D22" s="15" t="n"/>
      <c r="E22" s="15" t="n"/>
      <c r="F22" s="15" t="n"/>
      <c r="G22" s="15" t="n"/>
      <c r="H22" s="15" t="n"/>
      <c r="I22" s="15" t="n"/>
      <c r="J22" s="15" t="n"/>
      <c r="K22" s="16" t="n"/>
      <c r="L22" s="15" t="n"/>
      <c r="M22" s="15" t="n"/>
      <c r="N22" s="15" t="n"/>
      <c r="O22" s="15" t="n"/>
      <c r="P22" s="15" t="n"/>
    </row>
    <row r="23">
      <c r="A23" s="14">
        <f>IF(B23="","",TEXT(ROW()-4,"SCR-GAP-000"))</f>
        <v/>
      </c>
      <c r="B23" s="15" t="n"/>
      <c r="C23" s="15" t="n"/>
      <c r="D23" s="15" t="n"/>
      <c r="E23" s="15" t="n"/>
      <c r="F23" s="15" t="n"/>
      <c r="G23" s="15" t="n"/>
      <c r="H23" s="15" t="n"/>
      <c r="I23" s="15" t="n"/>
      <c r="J23" s="15" t="n"/>
      <c r="K23" s="16" t="n"/>
      <c r="L23" s="15" t="n"/>
      <c r="M23" s="15" t="n"/>
      <c r="N23" s="15" t="n"/>
      <c r="O23" s="15" t="n"/>
      <c r="P23" s="15" t="n"/>
    </row>
    <row r="24">
      <c r="A24" s="14">
        <f>IF(B24="","",TEXT(ROW()-4,"SCR-GAP-000"))</f>
        <v/>
      </c>
      <c r="B24" s="15" t="n"/>
      <c r="C24" s="15" t="n"/>
      <c r="D24" s="15" t="n"/>
      <c r="E24" s="15" t="n"/>
      <c r="F24" s="15" t="n"/>
      <c r="G24" s="15" t="n"/>
      <c r="H24" s="15" t="n"/>
      <c r="I24" s="15" t="n"/>
      <c r="J24" s="15" t="n"/>
      <c r="K24" s="16" t="n"/>
      <c r="L24" s="15" t="n"/>
      <c r="M24" s="15" t="n"/>
      <c r="N24" s="15" t="n"/>
      <c r="O24" s="15" t="n"/>
      <c r="P24" s="15" t="n"/>
    </row>
    <row r="25">
      <c r="A25" s="14">
        <f>IF(B25="","",TEXT(ROW()-4,"SCR-GAP-000"))</f>
        <v/>
      </c>
      <c r="B25" s="15" t="n"/>
      <c r="C25" s="15" t="n"/>
      <c r="D25" s="15" t="n"/>
      <c r="E25" s="15" t="n"/>
      <c r="F25" s="15" t="n"/>
      <c r="G25" s="15" t="n"/>
      <c r="H25" s="15" t="n"/>
      <c r="I25" s="15" t="n"/>
      <c r="J25" s="15" t="n"/>
      <c r="K25" s="16" t="n"/>
      <c r="L25" s="15" t="n"/>
      <c r="M25" s="15" t="n"/>
      <c r="N25" s="15" t="n"/>
      <c r="O25" s="15" t="n"/>
      <c r="P25" s="15" t="n"/>
    </row>
    <row r="26">
      <c r="A26" s="14">
        <f>IF(B26="","",TEXT(ROW()-4,"SCR-GAP-000"))</f>
        <v/>
      </c>
      <c r="B26" s="15" t="n"/>
      <c r="C26" s="15" t="n"/>
      <c r="D26" s="15" t="n"/>
      <c r="E26" s="15" t="n"/>
      <c r="F26" s="15" t="n"/>
      <c r="G26" s="15" t="n"/>
      <c r="H26" s="15" t="n"/>
      <c r="I26" s="15" t="n"/>
      <c r="J26" s="15" t="n"/>
      <c r="K26" s="16" t="n"/>
      <c r="L26" s="15" t="n"/>
      <c r="M26" s="15" t="n"/>
      <c r="N26" s="15" t="n"/>
      <c r="O26" s="15" t="n"/>
      <c r="P26" s="15" t="n"/>
    </row>
    <row r="27">
      <c r="A27" s="14">
        <f>IF(B27="","",TEXT(ROW()-4,"SCR-GAP-000"))</f>
        <v/>
      </c>
      <c r="B27" s="15" t="n"/>
      <c r="C27" s="15" t="n"/>
      <c r="D27" s="15" t="n"/>
      <c r="E27" s="15" t="n"/>
      <c r="F27" s="15" t="n"/>
      <c r="G27" s="15" t="n"/>
      <c r="H27" s="15" t="n"/>
      <c r="I27" s="15" t="n"/>
      <c r="J27" s="15" t="n"/>
      <c r="K27" s="16" t="n"/>
      <c r="L27" s="15" t="n"/>
      <c r="M27" s="15" t="n"/>
      <c r="N27" s="15" t="n"/>
      <c r="O27" s="15" t="n"/>
      <c r="P27" s="15" t="n"/>
    </row>
    <row r="28">
      <c r="A28" s="14">
        <f>IF(B28="","",TEXT(ROW()-4,"SCR-GAP-000"))</f>
        <v/>
      </c>
      <c r="B28" s="15" t="n"/>
      <c r="C28" s="15" t="n"/>
      <c r="D28" s="15" t="n"/>
      <c r="E28" s="15" t="n"/>
      <c r="F28" s="15" t="n"/>
      <c r="G28" s="15" t="n"/>
      <c r="H28" s="15" t="n"/>
      <c r="I28" s="15" t="n"/>
      <c r="J28" s="15" t="n"/>
      <c r="K28" s="16" t="n"/>
      <c r="L28" s="15" t="n"/>
      <c r="M28" s="15" t="n"/>
      <c r="N28" s="15" t="n"/>
      <c r="O28" s="15" t="n"/>
      <c r="P28" s="15" t="n"/>
    </row>
    <row r="29">
      <c r="A29" s="14">
        <f>IF(B29="","",TEXT(ROW()-4,"SCR-GAP-000"))</f>
        <v/>
      </c>
      <c r="B29" s="15" t="n"/>
      <c r="C29" s="15" t="n"/>
      <c r="D29" s="15" t="n"/>
      <c r="E29" s="15" t="n"/>
      <c r="F29" s="15" t="n"/>
      <c r="G29" s="15" t="n"/>
      <c r="H29" s="15" t="n"/>
      <c r="I29" s="15" t="n"/>
      <c r="J29" s="15" t="n"/>
      <c r="K29" s="16" t="n"/>
      <c r="L29" s="15" t="n"/>
      <c r="M29" s="15" t="n"/>
      <c r="N29" s="15" t="n"/>
      <c r="O29" s="15" t="n"/>
      <c r="P29" s="15" t="n"/>
    </row>
    <row r="30">
      <c r="A30" s="14">
        <f>IF(B30="","",TEXT(ROW()-4,"SCR-GAP-000"))</f>
        <v/>
      </c>
      <c r="B30" s="15" t="n"/>
      <c r="C30" s="15" t="n"/>
      <c r="D30" s="15" t="n"/>
      <c r="E30" s="15" t="n"/>
      <c r="F30" s="15" t="n"/>
      <c r="G30" s="15" t="n"/>
      <c r="H30" s="15" t="n"/>
      <c r="I30" s="15" t="n"/>
      <c r="J30" s="15" t="n"/>
      <c r="K30" s="16" t="n"/>
      <c r="L30" s="15" t="n"/>
      <c r="M30" s="15" t="n"/>
      <c r="N30" s="15" t="n"/>
      <c r="O30" s="15" t="n"/>
      <c r="P30" s="15" t="n"/>
    </row>
    <row r="31">
      <c r="A31" s="14">
        <f>IF(B31="","",TEXT(ROW()-4,"SCR-GAP-000"))</f>
        <v/>
      </c>
      <c r="B31" s="15" t="n"/>
      <c r="C31" s="15" t="n"/>
      <c r="D31" s="15" t="n"/>
      <c r="E31" s="15" t="n"/>
      <c r="F31" s="15" t="n"/>
      <c r="G31" s="15" t="n"/>
      <c r="H31" s="15" t="n"/>
      <c r="I31" s="15" t="n"/>
      <c r="J31" s="15" t="n"/>
      <c r="K31" s="16" t="n"/>
      <c r="L31" s="15" t="n"/>
      <c r="M31" s="15" t="n"/>
      <c r="N31" s="15" t="n"/>
      <c r="O31" s="15" t="n"/>
      <c r="P31" s="15" t="n"/>
    </row>
    <row r="32">
      <c r="A32" s="14">
        <f>IF(B32="","",TEXT(ROW()-4,"SCR-GAP-000"))</f>
        <v/>
      </c>
      <c r="B32" s="15" t="n"/>
      <c r="C32" s="15" t="n"/>
      <c r="D32" s="15" t="n"/>
      <c r="E32" s="15" t="n"/>
      <c r="F32" s="15" t="n"/>
      <c r="G32" s="15" t="n"/>
      <c r="H32" s="15" t="n"/>
      <c r="I32" s="15" t="n"/>
      <c r="J32" s="15" t="n"/>
      <c r="K32" s="16" t="n"/>
      <c r="L32" s="15" t="n"/>
      <c r="M32" s="15" t="n"/>
      <c r="N32" s="15" t="n"/>
      <c r="O32" s="15" t="n"/>
      <c r="P32" s="15" t="n"/>
    </row>
    <row r="33">
      <c r="A33" s="14">
        <f>IF(B33="","",TEXT(ROW()-4,"SCR-GAP-000"))</f>
        <v/>
      </c>
      <c r="B33" s="15" t="n"/>
      <c r="C33" s="15" t="n"/>
      <c r="D33" s="15" t="n"/>
      <c r="E33" s="15" t="n"/>
      <c r="F33" s="15" t="n"/>
      <c r="G33" s="15" t="n"/>
      <c r="H33" s="15" t="n"/>
      <c r="I33" s="15" t="n"/>
      <c r="J33" s="15" t="n"/>
      <c r="K33" s="16" t="n"/>
      <c r="L33" s="15" t="n"/>
      <c r="M33" s="15" t="n"/>
      <c r="N33" s="15" t="n"/>
      <c r="O33" s="15" t="n"/>
      <c r="P33" s="15" t="n"/>
    </row>
    <row r="34">
      <c r="A34" s="14">
        <f>IF(B34="","",TEXT(ROW()-4,"SCR-GAP-000"))</f>
        <v/>
      </c>
      <c r="B34" s="15" t="n"/>
      <c r="C34" s="15" t="n"/>
      <c r="D34" s="15" t="n"/>
      <c r="E34" s="15" t="n"/>
      <c r="F34" s="15" t="n"/>
      <c r="G34" s="15" t="n"/>
      <c r="H34" s="15" t="n"/>
      <c r="I34" s="15" t="n"/>
      <c r="J34" s="15" t="n"/>
      <c r="K34" s="16" t="n"/>
      <c r="L34" s="15" t="n"/>
      <c r="M34" s="15" t="n"/>
      <c r="N34" s="15" t="n"/>
      <c r="O34" s="15" t="n"/>
      <c r="P34" s="15" t="n"/>
    </row>
    <row r="35">
      <c r="A35" s="14">
        <f>IF(B35="","",TEXT(ROW()-4,"SCR-GAP-000"))</f>
        <v/>
      </c>
      <c r="B35" s="15" t="n"/>
      <c r="C35" s="15" t="n"/>
      <c r="D35" s="15" t="n"/>
      <c r="E35" s="15" t="n"/>
      <c r="F35" s="15" t="n"/>
      <c r="G35" s="15" t="n"/>
      <c r="H35" s="15" t="n"/>
      <c r="I35" s="15" t="n"/>
      <c r="J35" s="15" t="n"/>
      <c r="K35" s="16" t="n"/>
      <c r="L35" s="15" t="n"/>
      <c r="M35" s="15" t="n"/>
      <c r="N35" s="15" t="n"/>
      <c r="O35" s="15" t="n"/>
      <c r="P35" s="15" t="n"/>
    </row>
    <row r="36">
      <c r="A36" s="14">
        <f>IF(B36="","",TEXT(ROW()-4,"SCR-GAP-000"))</f>
        <v/>
      </c>
      <c r="B36" s="15" t="n"/>
      <c r="C36" s="15" t="n"/>
      <c r="D36" s="15" t="n"/>
      <c r="E36" s="15" t="n"/>
      <c r="F36" s="15" t="n"/>
      <c r="G36" s="15" t="n"/>
      <c r="H36" s="15" t="n"/>
      <c r="I36" s="15" t="n"/>
      <c r="J36" s="15" t="n"/>
      <c r="K36" s="16" t="n"/>
      <c r="L36" s="15" t="n"/>
      <c r="M36" s="15" t="n"/>
      <c r="N36" s="15" t="n"/>
      <c r="O36" s="15" t="n"/>
      <c r="P36" s="15" t="n"/>
    </row>
    <row r="37">
      <c r="A37" s="14">
        <f>IF(B37="","",TEXT(ROW()-4,"SCR-GAP-000"))</f>
        <v/>
      </c>
      <c r="B37" s="15" t="n"/>
      <c r="C37" s="15" t="n"/>
      <c r="D37" s="15" t="n"/>
      <c r="E37" s="15" t="n"/>
      <c r="F37" s="15" t="n"/>
      <c r="G37" s="15" t="n"/>
      <c r="H37" s="15" t="n"/>
      <c r="I37" s="15" t="n"/>
      <c r="J37" s="15" t="n"/>
      <c r="K37" s="16" t="n"/>
      <c r="L37" s="15" t="n"/>
      <c r="M37" s="15" t="n"/>
      <c r="N37" s="15" t="n"/>
      <c r="O37" s="15" t="n"/>
      <c r="P37" s="15" t="n"/>
    </row>
    <row r="38">
      <c r="A38" s="14">
        <f>IF(B38="","",TEXT(ROW()-4,"SCR-GAP-000"))</f>
        <v/>
      </c>
      <c r="B38" s="15" t="n"/>
      <c r="C38" s="15" t="n"/>
      <c r="D38" s="15" t="n"/>
      <c r="E38" s="15" t="n"/>
      <c r="F38" s="15" t="n"/>
      <c r="G38" s="15" t="n"/>
      <c r="H38" s="15" t="n"/>
      <c r="I38" s="15" t="n"/>
      <c r="J38" s="15" t="n"/>
      <c r="K38" s="16" t="n"/>
      <c r="L38" s="15" t="n"/>
      <c r="M38" s="15" t="n"/>
      <c r="N38" s="15" t="n"/>
      <c r="O38" s="15" t="n"/>
      <c r="P38" s="15" t="n"/>
    </row>
    <row r="39">
      <c r="A39" s="14">
        <f>IF(B39="","",TEXT(ROW()-4,"SCR-GAP-000"))</f>
        <v/>
      </c>
      <c r="B39" s="15" t="n"/>
      <c r="C39" s="15" t="n"/>
      <c r="D39" s="15" t="n"/>
      <c r="E39" s="15" t="n"/>
      <c r="F39" s="15" t="n"/>
      <c r="G39" s="15" t="n"/>
      <c r="H39" s="15" t="n"/>
      <c r="I39" s="15" t="n"/>
      <c r="J39" s="15" t="n"/>
      <c r="K39" s="16" t="n"/>
      <c r="L39" s="15" t="n"/>
      <c r="M39" s="15" t="n"/>
      <c r="N39" s="15" t="n"/>
      <c r="O39" s="15" t="n"/>
      <c r="P39" s="15" t="n"/>
    </row>
    <row r="40">
      <c r="A40" s="14">
        <f>IF(B40="","",TEXT(ROW()-4,"SCR-GAP-000"))</f>
        <v/>
      </c>
      <c r="B40" s="15" t="n"/>
      <c r="C40" s="15" t="n"/>
      <c r="D40" s="15" t="n"/>
      <c r="E40" s="15" t="n"/>
      <c r="F40" s="15" t="n"/>
      <c r="G40" s="15" t="n"/>
      <c r="H40" s="15" t="n"/>
      <c r="I40" s="15" t="n"/>
      <c r="J40" s="15" t="n"/>
      <c r="K40" s="16" t="n"/>
      <c r="L40" s="15" t="n"/>
      <c r="M40" s="15" t="n"/>
      <c r="N40" s="15" t="n"/>
      <c r="O40" s="15" t="n"/>
      <c r="P40" s="15" t="n"/>
    </row>
    <row r="41">
      <c r="A41" s="14">
        <f>IF(B41="","",TEXT(ROW()-4,"SCR-GAP-000"))</f>
        <v/>
      </c>
      <c r="B41" s="15" t="n"/>
      <c r="C41" s="15" t="n"/>
      <c r="D41" s="15" t="n"/>
      <c r="E41" s="15" t="n"/>
      <c r="F41" s="15" t="n"/>
      <c r="G41" s="15" t="n"/>
      <c r="H41" s="15" t="n"/>
      <c r="I41" s="15" t="n"/>
      <c r="J41" s="15" t="n"/>
      <c r="K41" s="16" t="n"/>
      <c r="L41" s="15" t="n"/>
      <c r="M41" s="15" t="n"/>
      <c r="N41" s="15" t="n"/>
      <c r="O41" s="15" t="n"/>
      <c r="P41" s="15" t="n"/>
    </row>
    <row r="42">
      <c r="A42" s="14">
        <f>IF(B42="","",TEXT(ROW()-4,"SCR-GAP-000"))</f>
        <v/>
      </c>
      <c r="B42" s="15" t="n"/>
      <c r="C42" s="15" t="n"/>
      <c r="D42" s="15" t="n"/>
      <c r="E42" s="15" t="n"/>
      <c r="F42" s="15" t="n"/>
      <c r="G42" s="15" t="n"/>
      <c r="H42" s="15" t="n"/>
      <c r="I42" s="15" t="n"/>
      <c r="J42" s="15" t="n"/>
      <c r="K42" s="16" t="n"/>
      <c r="L42" s="15" t="n"/>
      <c r="M42" s="15" t="n"/>
      <c r="N42" s="15" t="n"/>
      <c r="O42" s="15" t="n"/>
      <c r="P42" s="15" t="n"/>
    </row>
    <row r="43">
      <c r="A43" s="14">
        <f>IF(B43="","",TEXT(ROW()-4,"SCR-GAP-000"))</f>
        <v/>
      </c>
      <c r="B43" s="15" t="n"/>
      <c r="C43" s="15" t="n"/>
      <c r="D43" s="15" t="n"/>
      <c r="E43" s="15" t="n"/>
      <c r="F43" s="15" t="n"/>
      <c r="G43" s="15" t="n"/>
      <c r="H43" s="15" t="n"/>
      <c r="I43" s="15" t="n"/>
      <c r="J43" s="15" t="n"/>
      <c r="K43" s="16" t="n"/>
      <c r="L43" s="15" t="n"/>
      <c r="M43" s="15" t="n"/>
      <c r="N43" s="15" t="n"/>
      <c r="O43" s="15" t="n"/>
      <c r="P43" s="15" t="n"/>
    </row>
    <row r="44">
      <c r="A44" s="14">
        <f>IF(B44="","",TEXT(ROW()-4,"SCR-GAP-000"))</f>
        <v/>
      </c>
      <c r="B44" s="15" t="n"/>
      <c r="C44" s="15" t="n"/>
      <c r="D44" s="15" t="n"/>
      <c r="E44" s="15" t="n"/>
      <c r="F44" s="15" t="n"/>
      <c r="G44" s="15" t="n"/>
      <c r="H44" s="15" t="n"/>
      <c r="I44" s="15" t="n"/>
      <c r="J44" s="15" t="n"/>
      <c r="K44" s="16" t="n"/>
      <c r="L44" s="15" t="n"/>
      <c r="M44" s="15" t="n"/>
      <c r="N44" s="15" t="n"/>
      <c r="O44" s="15" t="n"/>
      <c r="P44" s="15" t="n"/>
    </row>
    <row r="45">
      <c r="A45" s="14">
        <f>IF(B45="","",TEXT(ROW()-4,"SCR-GAP-000"))</f>
        <v/>
      </c>
      <c r="B45" s="15" t="n"/>
      <c r="C45" s="15" t="n"/>
      <c r="D45" s="15" t="n"/>
      <c r="E45" s="15" t="n"/>
      <c r="F45" s="15" t="n"/>
      <c r="G45" s="15" t="n"/>
      <c r="H45" s="15" t="n"/>
      <c r="I45" s="15" t="n"/>
      <c r="J45" s="15" t="n"/>
      <c r="K45" s="16" t="n"/>
      <c r="L45" s="15" t="n"/>
      <c r="M45" s="15" t="n"/>
      <c r="N45" s="15" t="n"/>
      <c r="O45" s="15" t="n"/>
      <c r="P45" s="15" t="n"/>
    </row>
    <row r="46">
      <c r="A46" s="14">
        <f>IF(B46="","",TEXT(ROW()-4,"SCR-GAP-000"))</f>
        <v/>
      </c>
      <c r="B46" s="15" t="n"/>
      <c r="C46" s="15" t="n"/>
      <c r="D46" s="15" t="n"/>
      <c r="E46" s="15" t="n"/>
      <c r="F46" s="15" t="n"/>
      <c r="G46" s="15" t="n"/>
      <c r="H46" s="15" t="n"/>
      <c r="I46" s="15" t="n"/>
      <c r="J46" s="15" t="n"/>
      <c r="K46" s="16" t="n"/>
      <c r="L46" s="15" t="n"/>
      <c r="M46" s="15" t="n"/>
      <c r="N46" s="15" t="n"/>
      <c r="O46" s="15" t="n"/>
      <c r="P46" s="15" t="n"/>
    </row>
    <row r="47">
      <c r="A47" s="14">
        <f>IF(B47="","",TEXT(ROW()-4,"SCR-GAP-000"))</f>
        <v/>
      </c>
      <c r="B47" s="15" t="n"/>
      <c r="C47" s="15" t="n"/>
      <c r="D47" s="15" t="n"/>
      <c r="E47" s="15" t="n"/>
      <c r="F47" s="15" t="n"/>
      <c r="G47" s="15" t="n"/>
      <c r="H47" s="15" t="n"/>
      <c r="I47" s="15" t="n"/>
      <c r="J47" s="15" t="n"/>
      <c r="K47" s="16" t="n"/>
      <c r="L47" s="15" t="n"/>
      <c r="M47" s="15" t="n"/>
      <c r="N47" s="15" t="n"/>
      <c r="O47" s="15" t="n"/>
      <c r="P47" s="15" t="n"/>
    </row>
    <row r="48">
      <c r="A48" s="14">
        <f>IF(B48="","",TEXT(ROW()-4,"SCR-GAP-000"))</f>
        <v/>
      </c>
      <c r="B48" s="15" t="n"/>
      <c r="C48" s="15" t="n"/>
      <c r="D48" s="15" t="n"/>
      <c r="E48" s="15" t="n"/>
      <c r="F48" s="15" t="n"/>
      <c r="G48" s="15" t="n"/>
      <c r="H48" s="15" t="n"/>
      <c r="I48" s="15" t="n"/>
      <c r="J48" s="15" t="n"/>
      <c r="K48" s="16" t="n"/>
      <c r="L48" s="15" t="n"/>
      <c r="M48" s="15" t="n"/>
      <c r="N48" s="15" t="n"/>
      <c r="O48" s="15" t="n"/>
      <c r="P48" s="15" t="n"/>
    </row>
    <row r="49">
      <c r="A49" s="14">
        <f>IF(B49="","",TEXT(ROW()-4,"SCR-GAP-000"))</f>
        <v/>
      </c>
      <c r="B49" s="15" t="n"/>
      <c r="C49" s="15" t="n"/>
      <c r="D49" s="15" t="n"/>
      <c r="E49" s="15" t="n"/>
      <c r="F49" s="15" t="n"/>
      <c r="G49" s="15" t="n"/>
      <c r="H49" s="15" t="n"/>
      <c r="I49" s="15" t="n"/>
      <c r="J49" s="15" t="n"/>
      <c r="K49" s="16" t="n"/>
      <c r="L49" s="15" t="n"/>
      <c r="M49" s="15" t="n"/>
      <c r="N49" s="15" t="n"/>
      <c r="O49" s="15" t="n"/>
      <c r="P49" s="15" t="n"/>
    </row>
    <row r="50">
      <c r="A50" s="14">
        <f>IF(B50="","",TEXT(ROW()-4,"SCR-GAP-000"))</f>
        <v/>
      </c>
      <c r="B50" s="15" t="n"/>
      <c r="C50" s="15" t="n"/>
      <c r="D50" s="15" t="n"/>
      <c r="E50" s="15" t="n"/>
      <c r="F50" s="15" t="n"/>
      <c r="G50" s="15" t="n"/>
      <c r="H50" s="15" t="n"/>
      <c r="I50" s="15" t="n"/>
      <c r="J50" s="15" t="n"/>
      <c r="K50" s="16" t="n"/>
      <c r="L50" s="15" t="n"/>
      <c r="M50" s="15" t="n"/>
      <c r="N50" s="15" t="n"/>
      <c r="O50" s="15" t="n"/>
      <c r="P50" s="15" t="n"/>
    </row>
    <row r="51">
      <c r="A51" s="14">
        <f>IF(B51="","",TEXT(ROW()-4,"SCR-GAP-000"))</f>
        <v/>
      </c>
      <c r="B51" s="15" t="n"/>
      <c r="C51" s="15" t="n"/>
      <c r="D51" s="15" t="n"/>
      <c r="E51" s="15" t="n"/>
      <c r="F51" s="15" t="n"/>
      <c r="G51" s="15" t="n"/>
      <c r="H51" s="15" t="n"/>
      <c r="I51" s="15" t="n"/>
      <c r="J51" s="15" t="n"/>
      <c r="K51" s="16" t="n"/>
      <c r="L51" s="15" t="n"/>
      <c r="M51" s="15" t="n"/>
      <c r="N51" s="15" t="n"/>
      <c r="O51" s="15" t="n"/>
      <c r="P51" s="15" t="n"/>
    </row>
    <row r="52">
      <c r="A52" s="14">
        <f>IF(B52="","",TEXT(ROW()-4,"SCR-GAP-000"))</f>
        <v/>
      </c>
      <c r="B52" s="15" t="n"/>
      <c r="C52" s="15" t="n"/>
      <c r="D52" s="15" t="n"/>
      <c r="E52" s="15" t="n"/>
      <c r="F52" s="15" t="n"/>
      <c r="G52" s="15" t="n"/>
      <c r="H52" s="15" t="n"/>
      <c r="I52" s="15" t="n"/>
      <c r="J52" s="15" t="n"/>
      <c r="K52" s="16" t="n"/>
      <c r="L52" s="15" t="n"/>
      <c r="M52" s="15" t="n"/>
      <c r="N52" s="15" t="n"/>
      <c r="O52" s="15" t="n"/>
      <c r="P52" s="15" t="n"/>
    </row>
    <row r="53">
      <c r="A53" s="14">
        <f>IF(B53="","",TEXT(ROW()-4,"SCR-GAP-000"))</f>
        <v/>
      </c>
      <c r="B53" s="15" t="n"/>
      <c r="C53" s="15" t="n"/>
      <c r="D53" s="15" t="n"/>
      <c r="E53" s="15" t="n"/>
      <c r="F53" s="15" t="n"/>
      <c r="G53" s="15" t="n"/>
      <c r="H53" s="15" t="n"/>
      <c r="I53" s="15" t="n"/>
      <c r="J53" s="15" t="n"/>
      <c r="K53" s="16" t="n"/>
      <c r="L53" s="15" t="n"/>
      <c r="M53" s="15" t="n"/>
      <c r="N53" s="15" t="n"/>
      <c r="O53" s="15" t="n"/>
      <c r="P53" s="15" t="n"/>
    </row>
    <row r="54">
      <c r="A54" s="14">
        <f>IF(B54="","",TEXT(ROW()-4,"SCR-GAP-000"))</f>
        <v/>
      </c>
      <c r="B54" s="15" t="n"/>
      <c r="C54" s="15" t="n"/>
      <c r="D54" s="15" t="n"/>
      <c r="E54" s="15" t="n"/>
      <c r="F54" s="15" t="n"/>
      <c r="G54" s="15" t="n"/>
      <c r="H54" s="15" t="n"/>
      <c r="I54" s="15" t="n"/>
      <c r="J54" s="15" t="n"/>
      <c r="K54" s="16" t="n"/>
      <c r="L54" s="15" t="n"/>
      <c r="M54" s="15" t="n"/>
      <c r="N54" s="15" t="n"/>
      <c r="O54" s="15" t="n"/>
      <c r="P54" s="15" t="n"/>
    </row>
    <row r="55">
      <c r="A55" s="14">
        <f>IF(B55="","",TEXT(ROW()-4,"SCR-GAP-000"))</f>
        <v/>
      </c>
      <c r="B55" s="15" t="n"/>
      <c r="C55" s="15" t="n"/>
      <c r="D55" s="15" t="n"/>
      <c r="E55" s="15" t="n"/>
      <c r="F55" s="15" t="n"/>
      <c r="G55" s="15" t="n"/>
      <c r="H55" s="15" t="n"/>
      <c r="I55" s="15" t="n"/>
      <c r="J55" s="15" t="n"/>
      <c r="K55" s="16" t="n"/>
      <c r="L55" s="15" t="n"/>
      <c r="M55" s="15" t="n"/>
      <c r="N55" s="15" t="n"/>
      <c r="O55" s="15" t="n"/>
      <c r="P55" s="15" t="n"/>
    </row>
    <row r="56">
      <c r="A56" s="14">
        <f>IF(B56="","",TEXT(ROW()-4,"SCR-GAP-000"))</f>
        <v/>
      </c>
      <c r="B56" s="15" t="n"/>
      <c r="C56" s="15" t="n"/>
      <c r="D56" s="15" t="n"/>
      <c r="E56" s="15" t="n"/>
      <c r="F56" s="15" t="n"/>
      <c r="G56" s="15" t="n"/>
      <c r="H56" s="15" t="n"/>
      <c r="I56" s="15" t="n"/>
      <c r="J56" s="15" t="n"/>
      <c r="K56" s="16" t="n"/>
      <c r="L56" s="15" t="n"/>
      <c r="M56" s="15" t="n"/>
      <c r="N56" s="15" t="n"/>
      <c r="O56" s="15" t="n"/>
      <c r="P56" s="15" t="n"/>
    </row>
    <row r="57">
      <c r="A57" s="14">
        <f>IF(B57="","",TEXT(ROW()-4,"SCR-GAP-000"))</f>
        <v/>
      </c>
      <c r="B57" s="15" t="n"/>
      <c r="C57" s="15" t="n"/>
      <c r="D57" s="15" t="n"/>
      <c r="E57" s="15" t="n"/>
      <c r="F57" s="15" t="n"/>
      <c r="G57" s="15" t="n"/>
      <c r="H57" s="15" t="n"/>
      <c r="I57" s="15" t="n"/>
      <c r="J57" s="15" t="n"/>
      <c r="K57" s="16" t="n"/>
      <c r="L57" s="15" t="n"/>
      <c r="M57" s="15" t="n"/>
      <c r="N57" s="15" t="n"/>
      <c r="O57" s="15" t="n"/>
      <c r="P57" s="15" t="n"/>
    </row>
    <row r="58">
      <c r="A58" s="14">
        <f>IF(B58="","",TEXT(ROW()-4,"SCR-GAP-000"))</f>
        <v/>
      </c>
      <c r="B58" s="15" t="n"/>
      <c r="C58" s="15" t="n"/>
      <c r="D58" s="15" t="n"/>
      <c r="E58" s="15" t="n"/>
      <c r="F58" s="15" t="n"/>
      <c r="G58" s="15" t="n"/>
      <c r="H58" s="15" t="n"/>
      <c r="I58" s="15" t="n"/>
      <c r="J58" s="15" t="n"/>
      <c r="K58" s="16" t="n"/>
      <c r="L58" s="15" t="n"/>
      <c r="M58" s="15" t="n"/>
      <c r="N58" s="15" t="n"/>
      <c r="O58" s="15" t="n"/>
      <c r="P58" s="15" t="n"/>
    </row>
    <row r="59">
      <c r="A59" s="14">
        <f>IF(B59="","",TEXT(ROW()-4,"SCR-GAP-000"))</f>
        <v/>
      </c>
      <c r="B59" s="15" t="n"/>
      <c r="C59" s="15" t="n"/>
      <c r="D59" s="15" t="n"/>
      <c r="E59" s="15" t="n"/>
      <c r="F59" s="15" t="n"/>
      <c r="G59" s="15" t="n"/>
      <c r="H59" s="15" t="n"/>
      <c r="I59" s="15" t="n"/>
      <c r="J59" s="15" t="n"/>
      <c r="K59" s="16" t="n"/>
      <c r="L59" s="15" t="n"/>
      <c r="M59" s="15" t="n"/>
      <c r="N59" s="15" t="n"/>
      <c r="O59" s="15" t="n"/>
      <c r="P59" s="15" t="n"/>
    </row>
    <row r="60">
      <c r="A60" s="14">
        <f>IF(B60="","",TEXT(ROW()-4,"SCR-GAP-000"))</f>
        <v/>
      </c>
      <c r="B60" s="15" t="n"/>
      <c r="C60" s="15" t="n"/>
      <c r="D60" s="15" t="n"/>
      <c r="E60" s="15" t="n"/>
      <c r="F60" s="15" t="n"/>
      <c r="G60" s="15" t="n"/>
      <c r="H60" s="15" t="n"/>
      <c r="I60" s="15" t="n"/>
      <c r="J60" s="15" t="n"/>
      <c r="K60" s="16" t="n"/>
      <c r="L60" s="15" t="n"/>
      <c r="M60" s="15" t="n"/>
      <c r="N60" s="15" t="n"/>
      <c r="O60" s="15" t="n"/>
      <c r="P60" s="15" t="n"/>
    </row>
    <row r="61">
      <c r="A61" s="14">
        <f>IF(B61="","",TEXT(ROW()-4,"SCR-GAP-000"))</f>
        <v/>
      </c>
      <c r="B61" s="15" t="n"/>
      <c r="C61" s="15" t="n"/>
      <c r="D61" s="15" t="n"/>
      <c r="E61" s="15" t="n"/>
      <c r="F61" s="15" t="n"/>
      <c r="G61" s="15" t="n"/>
      <c r="H61" s="15" t="n"/>
      <c r="I61" s="15" t="n"/>
      <c r="J61" s="15" t="n"/>
      <c r="K61" s="16" t="n"/>
      <c r="L61" s="15" t="n"/>
      <c r="M61" s="15" t="n"/>
      <c r="N61" s="15" t="n"/>
      <c r="O61" s="15" t="n"/>
      <c r="P61" s="15" t="n"/>
    </row>
    <row r="62">
      <c r="A62" s="14">
        <f>IF(B62="","",TEXT(ROW()-4,"SCR-GAP-000"))</f>
        <v/>
      </c>
      <c r="B62" s="15" t="n"/>
      <c r="C62" s="15" t="n"/>
      <c r="D62" s="15" t="n"/>
      <c r="E62" s="15" t="n"/>
      <c r="F62" s="15" t="n"/>
      <c r="G62" s="15" t="n"/>
      <c r="H62" s="15" t="n"/>
      <c r="I62" s="15" t="n"/>
      <c r="J62" s="15" t="n"/>
      <c r="K62" s="16" t="n"/>
      <c r="L62" s="15" t="n"/>
      <c r="M62" s="15" t="n"/>
      <c r="N62" s="15" t="n"/>
      <c r="O62" s="15" t="n"/>
      <c r="P62" s="15" t="n"/>
    </row>
    <row r="63">
      <c r="A63" s="14">
        <f>IF(B63="","",TEXT(ROW()-4,"SCR-GAP-000"))</f>
        <v/>
      </c>
      <c r="B63" s="15" t="n"/>
      <c r="C63" s="15" t="n"/>
      <c r="D63" s="15" t="n"/>
      <c r="E63" s="15" t="n"/>
      <c r="F63" s="15" t="n"/>
      <c r="G63" s="15" t="n"/>
      <c r="H63" s="15" t="n"/>
      <c r="I63" s="15" t="n"/>
      <c r="J63" s="15" t="n"/>
      <c r="K63" s="16" t="n"/>
      <c r="L63" s="15" t="n"/>
      <c r="M63" s="15" t="n"/>
      <c r="N63" s="15" t="n"/>
      <c r="O63" s="15" t="n"/>
      <c r="P63" s="15" t="n"/>
    </row>
    <row r="64">
      <c r="A64" s="14">
        <f>IF(B64="","",TEXT(ROW()-4,"SCR-GAP-000"))</f>
        <v/>
      </c>
      <c r="B64" s="15" t="n"/>
      <c r="C64" s="15" t="n"/>
      <c r="D64" s="15" t="n"/>
      <c r="E64" s="15" t="n"/>
      <c r="F64" s="15" t="n"/>
      <c r="G64" s="15" t="n"/>
      <c r="H64" s="15" t="n"/>
      <c r="I64" s="15" t="n"/>
      <c r="J64" s="15" t="n"/>
      <c r="K64" s="16" t="n"/>
      <c r="L64" s="15" t="n"/>
      <c r="M64" s="15" t="n"/>
      <c r="N64" s="15" t="n"/>
      <c r="O64" s="15" t="n"/>
      <c r="P64" s="15" t="n"/>
    </row>
    <row r="65">
      <c r="A65" s="14">
        <f>IF(B65="","",TEXT(ROW()-4,"SCR-GAP-000"))</f>
        <v/>
      </c>
      <c r="B65" s="15" t="n"/>
      <c r="C65" s="15" t="n"/>
      <c r="D65" s="15" t="n"/>
      <c r="E65" s="15" t="n"/>
      <c r="F65" s="15" t="n"/>
      <c r="G65" s="15" t="n"/>
      <c r="H65" s="15" t="n"/>
      <c r="I65" s="15" t="n"/>
      <c r="J65" s="15" t="n"/>
      <c r="K65" s="16" t="n"/>
      <c r="L65" s="15" t="n"/>
      <c r="M65" s="15" t="n"/>
      <c r="N65" s="15" t="n"/>
      <c r="O65" s="15" t="n"/>
      <c r="P65" s="15" t="n"/>
    </row>
    <row r="66">
      <c r="A66" s="14">
        <f>IF(B66="","",TEXT(ROW()-4,"SCR-GAP-000"))</f>
        <v/>
      </c>
      <c r="B66" s="15" t="n"/>
      <c r="C66" s="15" t="n"/>
      <c r="D66" s="15" t="n"/>
      <c r="E66" s="15" t="n"/>
      <c r="F66" s="15" t="n"/>
      <c r="G66" s="15" t="n"/>
      <c r="H66" s="15" t="n"/>
      <c r="I66" s="15" t="n"/>
      <c r="J66" s="15" t="n"/>
      <c r="K66" s="16" t="n"/>
      <c r="L66" s="15" t="n"/>
      <c r="M66" s="15" t="n"/>
      <c r="N66" s="15" t="n"/>
      <c r="O66" s="15" t="n"/>
      <c r="P66" s="15" t="n"/>
    </row>
    <row r="67">
      <c r="A67" s="14">
        <f>IF(B67="","",TEXT(ROW()-4,"SCR-GAP-000"))</f>
        <v/>
      </c>
      <c r="B67" s="15" t="n"/>
      <c r="C67" s="15" t="n"/>
      <c r="D67" s="15" t="n"/>
      <c r="E67" s="15" t="n"/>
      <c r="F67" s="15" t="n"/>
      <c r="G67" s="15" t="n"/>
      <c r="H67" s="15" t="n"/>
      <c r="I67" s="15" t="n"/>
      <c r="J67" s="15" t="n"/>
      <c r="K67" s="16" t="n"/>
      <c r="L67" s="15" t="n"/>
      <c r="M67" s="15" t="n"/>
      <c r="N67" s="15" t="n"/>
      <c r="O67" s="15" t="n"/>
      <c r="P67" s="15" t="n"/>
    </row>
    <row r="68">
      <c r="A68" s="14">
        <f>IF(B68="","",TEXT(ROW()-4,"SCR-GAP-000"))</f>
        <v/>
      </c>
      <c r="B68" s="15" t="n"/>
      <c r="C68" s="15" t="n"/>
      <c r="D68" s="15" t="n"/>
      <c r="E68" s="15" t="n"/>
      <c r="F68" s="15" t="n"/>
      <c r="G68" s="15" t="n"/>
      <c r="H68" s="15" t="n"/>
      <c r="I68" s="15" t="n"/>
      <c r="J68" s="15" t="n"/>
      <c r="K68" s="16" t="n"/>
      <c r="L68" s="15" t="n"/>
      <c r="M68" s="15" t="n"/>
      <c r="N68" s="15" t="n"/>
      <c r="O68" s="15" t="n"/>
      <c r="P68" s="15" t="n"/>
    </row>
    <row r="69">
      <c r="A69" s="14">
        <f>IF(B69="","",TEXT(ROW()-4,"SCR-GAP-000"))</f>
        <v/>
      </c>
      <c r="B69" s="15" t="n"/>
      <c r="C69" s="15" t="n"/>
      <c r="D69" s="15" t="n"/>
      <c r="E69" s="15" t="n"/>
      <c r="F69" s="15" t="n"/>
      <c r="G69" s="15" t="n"/>
      <c r="H69" s="15" t="n"/>
      <c r="I69" s="15" t="n"/>
      <c r="J69" s="15" t="n"/>
      <c r="K69" s="16" t="n"/>
      <c r="L69" s="15" t="n"/>
      <c r="M69" s="15" t="n"/>
      <c r="N69" s="15" t="n"/>
      <c r="O69" s="15" t="n"/>
      <c r="P69" s="15" t="n"/>
    </row>
    <row r="70">
      <c r="A70" s="14">
        <f>IF(B70="","",TEXT(ROW()-4,"SCR-GAP-000"))</f>
        <v/>
      </c>
      <c r="B70" s="15" t="n"/>
      <c r="C70" s="15" t="n"/>
      <c r="D70" s="15" t="n"/>
      <c r="E70" s="15" t="n"/>
      <c r="F70" s="15" t="n"/>
      <c r="G70" s="15" t="n"/>
      <c r="H70" s="15" t="n"/>
      <c r="I70" s="15" t="n"/>
      <c r="J70" s="15" t="n"/>
      <c r="K70" s="16" t="n"/>
      <c r="L70" s="15" t="n"/>
      <c r="M70" s="15" t="n"/>
      <c r="N70" s="15" t="n"/>
      <c r="O70" s="15" t="n"/>
      <c r="P70" s="15" t="n"/>
    </row>
    <row r="71">
      <c r="A71" s="14">
        <f>IF(B71="","",TEXT(ROW()-4,"SCR-GAP-000"))</f>
        <v/>
      </c>
      <c r="B71" s="15" t="n"/>
      <c r="C71" s="15" t="n"/>
      <c r="D71" s="15" t="n"/>
      <c r="E71" s="15" t="n"/>
      <c r="F71" s="15" t="n"/>
      <c r="G71" s="15" t="n"/>
      <c r="H71" s="15" t="n"/>
      <c r="I71" s="15" t="n"/>
      <c r="J71" s="15" t="n"/>
      <c r="K71" s="16" t="n"/>
      <c r="L71" s="15" t="n"/>
      <c r="M71" s="15" t="n"/>
      <c r="N71" s="15" t="n"/>
      <c r="O71" s="15" t="n"/>
      <c r="P71" s="15" t="n"/>
    </row>
    <row r="72">
      <c r="A72" s="14">
        <f>IF(B72="","",TEXT(ROW()-4,"SCR-GAP-000"))</f>
        <v/>
      </c>
      <c r="B72" s="15" t="n"/>
      <c r="C72" s="15" t="n"/>
      <c r="D72" s="15" t="n"/>
      <c r="E72" s="15" t="n"/>
      <c r="F72" s="15" t="n"/>
      <c r="G72" s="15" t="n"/>
      <c r="H72" s="15" t="n"/>
      <c r="I72" s="15" t="n"/>
      <c r="J72" s="15" t="n"/>
      <c r="K72" s="16" t="n"/>
      <c r="L72" s="15" t="n"/>
      <c r="M72" s="15" t="n"/>
      <c r="N72" s="15" t="n"/>
      <c r="O72" s="15" t="n"/>
      <c r="P72" s="15" t="n"/>
    </row>
    <row r="73">
      <c r="A73" s="14">
        <f>IF(B73="","",TEXT(ROW()-4,"SCR-GAP-000"))</f>
        <v/>
      </c>
      <c r="B73" s="15" t="n"/>
      <c r="C73" s="15" t="n"/>
      <c r="D73" s="15" t="n"/>
      <c r="E73" s="15" t="n"/>
      <c r="F73" s="15" t="n"/>
      <c r="G73" s="15" t="n"/>
      <c r="H73" s="15" t="n"/>
      <c r="I73" s="15" t="n"/>
      <c r="J73" s="15" t="n"/>
      <c r="K73" s="16" t="n"/>
      <c r="L73" s="15" t="n"/>
      <c r="M73" s="15" t="n"/>
      <c r="N73" s="15" t="n"/>
      <c r="O73" s="15" t="n"/>
      <c r="P73" s="15" t="n"/>
    </row>
    <row r="74">
      <c r="A74" s="14">
        <f>IF(B74="","",TEXT(ROW()-4,"SCR-GAP-000"))</f>
        <v/>
      </c>
      <c r="B74" s="15" t="n"/>
      <c r="C74" s="15" t="n"/>
      <c r="D74" s="15" t="n"/>
      <c r="E74" s="15" t="n"/>
      <c r="F74" s="15" t="n"/>
      <c r="G74" s="15" t="n"/>
      <c r="H74" s="15" t="n"/>
      <c r="I74" s="15" t="n"/>
      <c r="J74" s="15" t="n"/>
      <c r="K74" s="16" t="n"/>
      <c r="L74" s="15" t="n"/>
      <c r="M74" s="15" t="n"/>
      <c r="N74" s="15" t="n"/>
      <c r="O74" s="15" t="n"/>
      <c r="P74" s="15" t="n"/>
    </row>
    <row r="75">
      <c r="A75" s="14">
        <f>IF(B75="","",TEXT(ROW()-4,"SCR-GAP-000"))</f>
        <v/>
      </c>
      <c r="B75" s="15" t="n"/>
      <c r="C75" s="15" t="n"/>
      <c r="D75" s="15" t="n"/>
      <c r="E75" s="15" t="n"/>
      <c r="F75" s="15" t="n"/>
      <c r="G75" s="15" t="n"/>
      <c r="H75" s="15" t="n"/>
      <c r="I75" s="15" t="n"/>
      <c r="J75" s="15" t="n"/>
      <c r="K75" s="16" t="n"/>
      <c r="L75" s="15" t="n"/>
      <c r="M75" s="15" t="n"/>
      <c r="N75" s="15" t="n"/>
      <c r="O75" s="15" t="n"/>
      <c r="P75" s="15" t="n"/>
    </row>
    <row r="76">
      <c r="A76" s="14">
        <f>IF(B76="","",TEXT(ROW()-4,"SCR-GAP-000"))</f>
        <v/>
      </c>
      <c r="B76" s="15" t="n"/>
      <c r="C76" s="15" t="n"/>
      <c r="D76" s="15" t="n"/>
      <c r="E76" s="15" t="n"/>
      <c r="F76" s="15" t="n"/>
      <c r="G76" s="15" t="n"/>
      <c r="H76" s="15" t="n"/>
      <c r="I76" s="15" t="n"/>
      <c r="J76" s="15" t="n"/>
      <c r="K76" s="16" t="n"/>
      <c r="L76" s="15" t="n"/>
      <c r="M76" s="15" t="n"/>
      <c r="N76" s="15" t="n"/>
      <c r="O76" s="15" t="n"/>
      <c r="P76" s="15" t="n"/>
    </row>
    <row r="77">
      <c r="A77" s="14">
        <f>IF(B77="","",TEXT(ROW()-4,"SCR-GAP-000"))</f>
        <v/>
      </c>
      <c r="B77" s="15" t="n"/>
      <c r="C77" s="15" t="n"/>
      <c r="D77" s="15" t="n"/>
      <c r="E77" s="15" t="n"/>
      <c r="F77" s="15" t="n"/>
      <c r="G77" s="15" t="n"/>
      <c r="H77" s="15" t="n"/>
      <c r="I77" s="15" t="n"/>
      <c r="J77" s="15" t="n"/>
      <c r="K77" s="16" t="n"/>
      <c r="L77" s="15" t="n"/>
      <c r="M77" s="15" t="n"/>
      <c r="N77" s="15" t="n"/>
      <c r="O77" s="15" t="n"/>
      <c r="P77" s="15" t="n"/>
    </row>
    <row r="78">
      <c r="A78" s="14">
        <f>IF(B78="","",TEXT(ROW()-4,"SCR-GAP-000"))</f>
        <v/>
      </c>
      <c r="B78" s="15" t="n"/>
      <c r="C78" s="15" t="n"/>
      <c r="D78" s="15" t="n"/>
      <c r="E78" s="15" t="n"/>
      <c r="F78" s="15" t="n"/>
      <c r="G78" s="15" t="n"/>
      <c r="H78" s="15" t="n"/>
      <c r="I78" s="15" t="n"/>
      <c r="J78" s="15" t="n"/>
      <c r="K78" s="16" t="n"/>
      <c r="L78" s="15" t="n"/>
      <c r="M78" s="15" t="n"/>
      <c r="N78" s="15" t="n"/>
      <c r="O78" s="15" t="n"/>
      <c r="P78" s="15" t="n"/>
    </row>
    <row r="79">
      <c r="A79" s="14">
        <f>IF(B79="","",TEXT(ROW()-4,"SCR-GAP-000"))</f>
        <v/>
      </c>
      <c r="B79" s="15" t="n"/>
      <c r="C79" s="15" t="n"/>
      <c r="D79" s="15" t="n"/>
      <c r="E79" s="15" t="n"/>
      <c r="F79" s="15" t="n"/>
      <c r="G79" s="15" t="n"/>
      <c r="H79" s="15" t="n"/>
      <c r="I79" s="15" t="n"/>
      <c r="J79" s="15" t="n"/>
      <c r="K79" s="16" t="n"/>
      <c r="L79" s="15" t="n"/>
      <c r="M79" s="15" t="n"/>
      <c r="N79" s="15" t="n"/>
      <c r="O79" s="15" t="n"/>
      <c r="P79" s="15" t="n"/>
    </row>
    <row r="80">
      <c r="A80" s="14">
        <f>IF(B80="","",TEXT(ROW()-4,"SCR-GAP-000"))</f>
        <v/>
      </c>
      <c r="B80" s="15" t="n"/>
      <c r="C80" s="15" t="n"/>
      <c r="D80" s="15" t="n"/>
      <c r="E80" s="15" t="n"/>
      <c r="F80" s="15" t="n"/>
      <c r="G80" s="15" t="n"/>
      <c r="H80" s="15" t="n"/>
      <c r="I80" s="15" t="n"/>
      <c r="J80" s="15" t="n"/>
      <c r="K80" s="16" t="n"/>
      <c r="L80" s="15" t="n"/>
      <c r="M80" s="15" t="n"/>
      <c r="N80" s="15" t="n"/>
      <c r="O80" s="15" t="n"/>
      <c r="P80" s="15" t="n"/>
    </row>
    <row r="81">
      <c r="A81" s="14">
        <f>IF(B81="","",TEXT(ROW()-4,"SCR-GAP-000"))</f>
        <v/>
      </c>
      <c r="B81" s="15" t="n"/>
      <c r="C81" s="15" t="n"/>
      <c r="D81" s="15" t="n"/>
      <c r="E81" s="15" t="n"/>
      <c r="F81" s="15" t="n"/>
      <c r="G81" s="15" t="n"/>
      <c r="H81" s="15" t="n"/>
      <c r="I81" s="15" t="n"/>
      <c r="J81" s="15" t="n"/>
      <c r="K81" s="16" t="n"/>
      <c r="L81" s="15" t="n"/>
      <c r="M81" s="15" t="n"/>
      <c r="N81" s="15" t="n"/>
      <c r="O81" s="15" t="n"/>
      <c r="P81" s="15" t="n"/>
    </row>
    <row r="82">
      <c r="A82" s="14">
        <f>IF(B82="","",TEXT(ROW()-4,"SCR-GAP-000"))</f>
        <v/>
      </c>
      <c r="B82" s="15" t="n"/>
      <c r="C82" s="15" t="n"/>
      <c r="D82" s="15" t="n"/>
      <c r="E82" s="15" t="n"/>
      <c r="F82" s="15" t="n"/>
      <c r="G82" s="15" t="n"/>
      <c r="H82" s="15" t="n"/>
      <c r="I82" s="15" t="n"/>
      <c r="J82" s="15" t="n"/>
      <c r="K82" s="16" t="n"/>
      <c r="L82" s="15" t="n"/>
      <c r="M82" s="15" t="n"/>
      <c r="N82" s="15" t="n"/>
      <c r="O82" s="15" t="n"/>
      <c r="P82" s="15" t="n"/>
    </row>
    <row r="83">
      <c r="A83" s="14">
        <f>IF(B83="","",TEXT(ROW()-4,"SCR-GAP-000"))</f>
        <v/>
      </c>
      <c r="B83" s="15" t="n"/>
      <c r="C83" s="15" t="n"/>
      <c r="D83" s="15" t="n"/>
      <c r="E83" s="15" t="n"/>
      <c r="F83" s="15" t="n"/>
      <c r="G83" s="15" t="n"/>
      <c r="H83" s="15" t="n"/>
      <c r="I83" s="15" t="n"/>
      <c r="J83" s="15" t="n"/>
      <c r="K83" s="16" t="n"/>
      <c r="L83" s="15" t="n"/>
      <c r="M83" s="15" t="n"/>
      <c r="N83" s="15" t="n"/>
      <c r="O83" s="15" t="n"/>
      <c r="P83" s="15" t="n"/>
    </row>
    <row r="84">
      <c r="A84" s="14">
        <f>IF(B84="","",TEXT(ROW()-4,"SCR-GAP-000"))</f>
        <v/>
      </c>
      <c r="B84" s="15" t="n"/>
      <c r="C84" s="15" t="n"/>
      <c r="D84" s="15" t="n"/>
      <c r="E84" s="15" t="n"/>
      <c r="F84" s="15" t="n"/>
      <c r="G84" s="15" t="n"/>
      <c r="H84" s="15" t="n"/>
      <c r="I84" s="15" t="n"/>
      <c r="J84" s="15" t="n"/>
      <c r="K84" s="16" t="n"/>
      <c r="L84" s="15" t="n"/>
      <c r="M84" s="15" t="n"/>
      <c r="N84" s="15" t="n"/>
      <c r="O84" s="15" t="n"/>
      <c r="P84" s="15" t="n"/>
    </row>
    <row r="85">
      <c r="A85" s="14">
        <f>IF(B85="","",TEXT(ROW()-4,"SCR-GAP-000"))</f>
        <v/>
      </c>
      <c r="B85" s="15" t="n"/>
      <c r="C85" s="15" t="n"/>
      <c r="D85" s="15" t="n"/>
      <c r="E85" s="15" t="n"/>
      <c r="F85" s="15" t="n"/>
      <c r="G85" s="15" t="n"/>
      <c r="H85" s="15" t="n"/>
      <c r="I85" s="15" t="n"/>
      <c r="J85" s="15" t="n"/>
      <c r="K85" s="16" t="n"/>
      <c r="L85" s="15" t="n"/>
      <c r="M85" s="15" t="n"/>
      <c r="N85" s="15" t="n"/>
      <c r="O85" s="15" t="n"/>
      <c r="P85" s="15" t="n"/>
    </row>
    <row r="86">
      <c r="A86" s="14">
        <f>IF(B86="","",TEXT(ROW()-4,"SCR-GAP-000"))</f>
        <v/>
      </c>
      <c r="B86" s="15" t="n"/>
      <c r="C86" s="15" t="n"/>
      <c r="D86" s="15" t="n"/>
      <c r="E86" s="15" t="n"/>
      <c r="F86" s="15" t="n"/>
      <c r="G86" s="15" t="n"/>
      <c r="H86" s="15" t="n"/>
      <c r="I86" s="15" t="n"/>
      <c r="J86" s="15" t="n"/>
      <c r="K86" s="16" t="n"/>
      <c r="L86" s="15" t="n"/>
      <c r="M86" s="15" t="n"/>
      <c r="N86" s="15" t="n"/>
      <c r="O86" s="15" t="n"/>
      <c r="P86" s="15" t="n"/>
    </row>
    <row r="87">
      <c r="A87" s="14">
        <f>IF(B87="","",TEXT(ROW()-4,"SCR-GAP-000"))</f>
        <v/>
      </c>
      <c r="B87" s="15" t="n"/>
      <c r="C87" s="15" t="n"/>
      <c r="D87" s="15" t="n"/>
      <c r="E87" s="15" t="n"/>
      <c r="F87" s="15" t="n"/>
      <c r="G87" s="15" t="n"/>
      <c r="H87" s="15" t="n"/>
      <c r="I87" s="15" t="n"/>
      <c r="J87" s="15" t="n"/>
      <c r="K87" s="16" t="n"/>
      <c r="L87" s="15" t="n"/>
      <c r="M87" s="15" t="n"/>
      <c r="N87" s="15" t="n"/>
      <c r="O87" s="15" t="n"/>
      <c r="P87" s="15" t="n"/>
    </row>
    <row r="88">
      <c r="A88" s="14">
        <f>IF(B88="","",TEXT(ROW()-4,"SCR-GAP-000"))</f>
        <v/>
      </c>
      <c r="B88" s="15" t="n"/>
      <c r="C88" s="15" t="n"/>
      <c r="D88" s="15" t="n"/>
      <c r="E88" s="15" t="n"/>
      <c r="F88" s="15" t="n"/>
      <c r="G88" s="15" t="n"/>
      <c r="H88" s="15" t="n"/>
      <c r="I88" s="15" t="n"/>
      <c r="J88" s="15" t="n"/>
      <c r="K88" s="16" t="n"/>
      <c r="L88" s="15" t="n"/>
      <c r="M88" s="15" t="n"/>
      <c r="N88" s="15" t="n"/>
      <c r="O88" s="15" t="n"/>
      <c r="P88" s="15" t="n"/>
    </row>
    <row r="89">
      <c r="A89" s="14">
        <f>IF(B89="","",TEXT(ROW()-4,"SCR-GAP-000"))</f>
        <v/>
      </c>
      <c r="B89" s="15" t="n"/>
      <c r="C89" s="15" t="n"/>
      <c r="D89" s="15" t="n"/>
      <c r="E89" s="15" t="n"/>
      <c r="F89" s="15" t="n"/>
      <c r="G89" s="15" t="n"/>
      <c r="H89" s="15" t="n"/>
      <c r="I89" s="15" t="n"/>
      <c r="J89" s="15" t="n"/>
      <c r="K89" s="16" t="n"/>
      <c r="L89" s="15" t="n"/>
      <c r="M89" s="15" t="n"/>
      <c r="N89" s="15" t="n"/>
      <c r="O89" s="15" t="n"/>
      <c r="P89" s="15" t="n"/>
    </row>
    <row r="90">
      <c r="A90" s="14">
        <f>IF(B90="","",TEXT(ROW()-4,"SCR-GAP-000"))</f>
        <v/>
      </c>
      <c r="B90" s="15" t="n"/>
      <c r="C90" s="15" t="n"/>
      <c r="D90" s="15" t="n"/>
      <c r="E90" s="15" t="n"/>
      <c r="F90" s="15" t="n"/>
      <c r="G90" s="15" t="n"/>
      <c r="H90" s="15" t="n"/>
      <c r="I90" s="15" t="n"/>
      <c r="J90" s="15" t="n"/>
      <c r="K90" s="16" t="n"/>
      <c r="L90" s="15" t="n"/>
      <c r="M90" s="15" t="n"/>
      <c r="N90" s="15" t="n"/>
      <c r="O90" s="15" t="n"/>
      <c r="P90" s="15" t="n"/>
    </row>
    <row r="91">
      <c r="A91" s="14">
        <f>IF(B91="","",TEXT(ROW()-4,"SCR-GAP-000"))</f>
        <v/>
      </c>
      <c r="B91" s="15" t="n"/>
      <c r="C91" s="15" t="n"/>
      <c r="D91" s="15" t="n"/>
      <c r="E91" s="15" t="n"/>
      <c r="F91" s="15" t="n"/>
      <c r="G91" s="15" t="n"/>
      <c r="H91" s="15" t="n"/>
      <c r="I91" s="15" t="n"/>
      <c r="J91" s="15" t="n"/>
      <c r="K91" s="16" t="n"/>
      <c r="L91" s="15" t="n"/>
      <c r="M91" s="15" t="n"/>
      <c r="N91" s="15" t="n"/>
      <c r="O91" s="15" t="n"/>
      <c r="P91" s="15" t="n"/>
    </row>
    <row r="92">
      <c r="A92" s="14">
        <f>IF(B92="","",TEXT(ROW()-4,"SCR-GAP-000"))</f>
        <v/>
      </c>
      <c r="B92" s="15" t="n"/>
      <c r="C92" s="15" t="n"/>
      <c r="D92" s="15" t="n"/>
      <c r="E92" s="15" t="n"/>
      <c r="F92" s="15" t="n"/>
      <c r="G92" s="15" t="n"/>
      <c r="H92" s="15" t="n"/>
      <c r="I92" s="15" t="n"/>
      <c r="J92" s="15" t="n"/>
      <c r="K92" s="16" t="n"/>
      <c r="L92" s="15" t="n"/>
      <c r="M92" s="15" t="n"/>
      <c r="N92" s="15" t="n"/>
      <c r="O92" s="15" t="n"/>
      <c r="P92" s="15" t="n"/>
    </row>
    <row r="93">
      <c r="A93" s="14">
        <f>IF(B93="","",TEXT(ROW()-4,"SCR-GAP-000"))</f>
        <v/>
      </c>
      <c r="B93" s="15" t="n"/>
      <c r="C93" s="15" t="n"/>
      <c r="D93" s="15" t="n"/>
      <c r="E93" s="15" t="n"/>
      <c r="F93" s="15" t="n"/>
      <c r="G93" s="15" t="n"/>
      <c r="H93" s="15" t="n"/>
      <c r="I93" s="15" t="n"/>
      <c r="J93" s="15" t="n"/>
      <c r="K93" s="16" t="n"/>
      <c r="L93" s="15" t="n"/>
      <c r="M93" s="15" t="n"/>
      <c r="N93" s="15" t="n"/>
      <c r="O93" s="15" t="n"/>
      <c r="P93" s="15" t="n"/>
    </row>
    <row r="94">
      <c r="A94" s="14">
        <f>IF(B94="","",TEXT(ROW()-4,"SCR-GAP-000"))</f>
        <v/>
      </c>
      <c r="B94" s="15" t="n"/>
      <c r="C94" s="15" t="n"/>
      <c r="D94" s="15" t="n"/>
      <c r="E94" s="15" t="n"/>
      <c r="F94" s="15" t="n"/>
      <c r="G94" s="15" t="n"/>
      <c r="H94" s="15" t="n"/>
      <c r="I94" s="15" t="n"/>
      <c r="J94" s="15" t="n"/>
      <c r="K94" s="16" t="n"/>
      <c r="L94" s="15" t="n"/>
      <c r="M94" s="15" t="n"/>
      <c r="N94" s="15" t="n"/>
      <c r="O94" s="15" t="n"/>
      <c r="P94" s="15" t="n"/>
    </row>
    <row r="95">
      <c r="A95" s="14">
        <f>IF(B95="","",TEXT(ROW()-4,"SCR-GAP-000"))</f>
        <v/>
      </c>
      <c r="B95" s="15" t="n"/>
      <c r="C95" s="15" t="n"/>
      <c r="D95" s="15" t="n"/>
      <c r="E95" s="15" t="n"/>
      <c r="F95" s="15" t="n"/>
      <c r="G95" s="15" t="n"/>
      <c r="H95" s="15" t="n"/>
      <c r="I95" s="15" t="n"/>
      <c r="J95" s="15" t="n"/>
      <c r="K95" s="16" t="n"/>
      <c r="L95" s="15" t="n"/>
      <c r="M95" s="15" t="n"/>
      <c r="N95" s="15" t="n"/>
      <c r="O95" s="15" t="n"/>
      <c r="P95" s="15" t="n"/>
    </row>
    <row r="96">
      <c r="A96" s="14">
        <f>IF(B96="","",TEXT(ROW()-4,"SCR-GAP-000"))</f>
        <v/>
      </c>
      <c r="B96" s="15" t="n"/>
      <c r="C96" s="15" t="n"/>
      <c r="D96" s="15" t="n"/>
      <c r="E96" s="15" t="n"/>
      <c r="F96" s="15" t="n"/>
      <c r="G96" s="15" t="n"/>
      <c r="H96" s="15" t="n"/>
      <c r="I96" s="15" t="n"/>
      <c r="J96" s="15" t="n"/>
      <c r="K96" s="16" t="n"/>
      <c r="L96" s="15" t="n"/>
      <c r="M96" s="15" t="n"/>
      <c r="N96" s="15" t="n"/>
      <c r="O96" s="15" t="n"/>
      <c r="P96" s="15" t="n"/>
    </row>
    <row r="97">
      <c r="A97" s="14">
        <f>IF(B97="","",TEXT(ROW()-4,"SCR-GAP-000"))</f>
        <v/>
      </c>
      <c r="B97" s="15" t="n"/>
      <c r="C97" s="15" t="n"/>
      <c r="D97" s="15" t="n"/>
      <c r="E97" s="15" t="n"/>
      <c r="F97" s="15" t="n"/>
      <c r="G97" s="15" t="n"/>
      <c r="H97" s="15" t="n"/>
      <c r="I97" s="15" t="n"/>
      <c r="J97" s="15" t="n"/>
      <c r="K97" s="16" t="n"/>
      <c r="L97" s="15" t="n"/>
      <c r="M97" s="15" t="n"/>
      <c r="N97" s="15" t="n"/>
      <c r="O97" s="15" t="n"/>
      <c r="P97" s="15" t="n"/>
    </row>
    <row r="98">
      <c r="A98" s="14">
        <f>IF(B98="","",TEXT(ROW()-4,"SCR-GAP-000"))</f>
        <v/>
      </c>
      <c r="B98" s="15" t="n"/>
      <c r="C98" s="15" t="n"/>
      <c r="D98" s="15" t="n"/>
      <c r="E98" s="15" t="n"/>
      <c r="F98" s="15" t="n"/>
      <c r="G98" s="15" t="n"/>
      <c r="H98" s="15" t="n"/>
      <c r="I98" s="15" t="n"/>
      <c r="J98" s="15" t="n"/>
      <c r="K98" s="16" t="n"/>
      <c r="L98" s="15" t="n"/>
      <c r="M98" s="15" t="n"/>
      <c r="N98" s="15" t="n"/>
      <c r="O98" s="15" t="n"/>
      <c r="P98" s="15" t="n"/>
    </row>
    <row r="99">
      <c r="A99" s="14">
        <f>IF(B99="","",TEXT(ROW()-4,"SCR-GAP-000"))</f>
        <v/>
      </c>
      <c r="B99" s="15" t="n"/>
      <c r="C99" s="15" t="n"/>
      <c r="D99" s="15" t="n"/>
      <c r="E99" s="15" t="n"/>
      <c r="F99" s="15" t="n"/>
      <c r="G99" s="15" t="n"/>
      <c r="H99" s="15" t="n"/>
      <c r="I99" s="15" t="n"/>
      <c r="J99" s="15" t="n"/>
      <c r="K99" s="16" t="n"/>
      <c r="L99" s="15" t="n"/>
      <c r="M99" s="15" t="n"/>
      <c r="N99" s="15" t="n"/>
      <c r="O99" s="15" t="n"/>
      <c r="P99" s="15" t="n"/>
    </row>
    <row r="100">
      <c r="A100" s="14">
        <f>IF(B100="","",TEXT(ROW()-4,"SCR-GAP-000"))</f>
        <v/>
      </c>
      <c r="B100" s="15" t="n"/>
      <c r="C100" s="15" t="n"/>
      <c r="D100" s="15" t="n"/>
      <c r="E100" s="15" t="n"/>
      <c r="F100" s="15" t="n"/>
      <c r="G100" s="15" t="n"/>
      <c r="H100" s="15" t="n"/>
      <c r="I100" s="15" t="n"/>
      <c r="J100" s="15" t="n"/>
      <c r="K100" s="16" t="n"/>
      <c r="L100" s="15" t="n"/>
      <c r="M100" s="15" t="n"/>
      <c r="N100" s="15" t="n"/>
      <c r="O100" s="15" t="n"/>
      <c r="P100" s="15" t="n"/>
    </row>
    <row r="101">
      <c r="A101" s="14">
        <f>IF(B101="","",TEXT(ROW()-4,"SCR-GAP-000"))</f>
        <v/>
      </c>
      <c r="B101" s="15" t="n"/>
      <c r="C101" s="15" t="n"/>
      <c r="D101" s="15" t="n"/>
      <c r="E101" s="15" t="n"/>
      <c r="F101" s="15" t="n"/>
      <c r="G101" s="15" t="n"/>
      <c r="H101" s="15" t="n"/>
      <c r="I101" s="15" t="n"/>
      <c r="J101" s="15" t="n"/>
      <c r="K101" s="16" t="n"/>
      <c r="L101" s="15" t="n"/>
      <c r="M101" s="15" t="n"/>
      <c r="N101" s="15" t="n"/>
      <c r="O101" s="15" t="n"/>
      <c r="P101" s="15" t="n"/>
    </row>
    <row r="102">
      <c r="A102" s="14">
        <f>IF(B102="","",TEXT(ROW()-4,"SCR-GAP-000"))</f>
        <v/>
      </c>
      <c r="B102" s="15" t="n"/>
      <c r="C102" s="15" t="n"/>
      <c r="D102" s="15" t="n"/>
      <c r="E102" s="15" t="n"/>
      <c r="F102" s="15" t="n"/>
      <c r="G102" s="15" t="n"/>
      <c r="H102" s="15" t="n"/>
      <c r="I102" s="15" t="n"/>
      <c r="J102" s="15" t="n"/>
      <c r="K102" s="16" t="n"/>
      <c r="L102" s="15" t="n"/>
      <c r="M102" s="15" t="n"/>
      <c r="N102" s="15" t="n"/>
      <c r="O102" s="15" t="n"/>
      <c r="P102" s="15" t="n"/>
    </row>
    <row r="103">
      <c r="A103" s="14">
        <f>IF(B103="","",TEXT(ROW()-4,"SCR-GAP-000"))</f>
        <v/>
      </c>
      <c r="B103" s="15" t="n"/>
      <c r="C103" s="15" t="n"/>
      <c r="D103" s="15" t="n"/>
      <c r="E103" s="15" t="n"/>
      <c r="F103" s="15" t="n"/>
      <c r="G103" s="15" t="n"/>
      <c r="H103" s="15" t="n"/>
      <c r="I103" s="15" t="n"/>
      <c r="J103" s="15" t="n"/>
      <c r="K103" s="16" t="n"/>
      <c r="L103" s="15" t="n"/>
      <c r="M103" s="15" t="n"/>
      <c r="N103" s="15" t="n"/>
      <c r="O103" s="15" t="n"/>
      <c r="P103" s="15" t="n"/>
    </row>
    <row r="104">
      <c r="A104" s="14">
        <f>IF(B104="","",TEXT(ROW()-4,"SCR-GAP-000"))</f>
        <v/>
      </c>
      <c r="B104" s="15" t="n"/>
      <c r="C104" s="15" t="n"/>
      <c r="D104" s="15" t="n"/>
      <c r="E104" s="15" t="n"/>
      <c r="F104" s="15" t="n"/>
      <c r="G104" s="15" t="n"/>
      <c r="H104" s="15" t="n"/>
      <c r="I104" s="15" t="n"/>
      <c r="J104" s="15" t="n"/>
      <c r="K104" s="16" t="n"/>
      <c r="L104" s="15" t="n"/>
      <c r="M104" s="15" t="n"/>
      <c r="N104" s="15" t="n"/>
      <c r="O104" s="15" t="n"/>
      <c r="P104" s="15" t="n"/>
    </row>
    <row r="105">
      <c r="A105" s="14">
        <f>IF(B105="","",TEXT(ROW()-4,"SCR-GAP-000"))</f>
        <v/>
      </c>
      <c r="B105" s="15" t="n"/>
      <c r="C105" s="15" t="n"/>
      <c r="D105" s="15" t="n"/>
      <c r="E105" s="15" t="n"/>
      <c r="F105" s="15" t="n"/>
      <c r="G105" s="15" t="n"/>
      <c r="H105" s="15" t="n"/>
      <c r="I105" s="15" t="n"/>
      <c r="J105" s="15" t="n"/>
      <c r="K105" s="16" t="n"/>
      <c r="L105" s="15" t="n"/>
      <c r="M105" s="15" t="n"/>
      <c r="N105" s="15" t="n"/>
      <c r="O105" s="15" t="n"/>
      <c r="P105" s="15" t="n"/>
    </row>
    <row r="106">
      <c r="A106" s="14">
        <f>IF(B106="","",TEXT(ROW()-4,"SCR-GAP-000"))</f>
        <v/>
      </c>
      <c r="B106" s="15" t="n"/>
      <c r="C106" s="15" t="n"/>
      <c r="D106" s="15" t="n"/>
      <c r="E106" s="15" t="n"/>
      <c r="F106" s="15" t="n"/>
      <c r="G106" s="15" t="n"/>
      <c r="H106" s="15" t="n"/>
      <c r="I106" s="15" t="n"/>
      <c r="J106" s="15" t="n"/>
      <c r="K106" s="16" t="n"/>
      <c r="L106" s="15" t="n"/>
      <c r="M106" s="15" t="n"/>
      <c r="N106" s="15" t="n"/>
      <c r="O106" s="15" t="n"/>
      <c r="P106" s="15" t="n"/>
    </row>
    <row r="107">
      <c r="A107" s="14">
        <f>IF(B107="","",TEXT(ROW()-4,"SCR-GAP-000"))</f>
        <v/>
      </c>
      <c r="B107" s="15" t="n"/>
      <c r="C107" s="15" t="n"/>
      <c r="D107" s="15" t="n"/>
      <c r="E107" s="15" t="n"/>
      <c r="F107" s="15" t="n"/>
      <c r="G107" s="15" t="n"/>
      <c r="H107" s="15" t="n"/>
      <c r="I107" s="15" t="n"/>
      <c r="J107" s="15" t="n"/>
      <c r="K107" s="16" t="n"/>
      <c r="L107" s="15" t="n"/>
      <c r="M107" s="15" t="n"/>
      <c r="N107" s="15" t="n"/>
      <c r="O107" s="15" t="n"/>
      <c r="P107" s="15" t="n"/>
    </row>
    <row r="108">
      <c r="A108" s="14">
        <f>IF(B108="","",TEXT(ROW()-4,"SCR-GAP-000"))</f>
        <v/>
      </c>
      <c r="B108" s="15" t="n"/>
      <c r="C108" s="15" t="n"/>
      <c r="D108" s="15" t="n"/>
      <c r="E108" s="15" t="n"/>
      <c r="F108" s="15" t="n"/>
      <c r="G108" s="15" t="n"/>
      <c r="H108" s="15" t="n"/>
      <c r="I108" s="15" t="n"/>
      <c r="J108" s="15" t="n"/>
      <c r="K108" s="16" t="n"/>
      <c r="L108" s="15" t="n"/>
      <c r="M108" s="15" t="n"/>
      <c r="N108" s="15" t="n"/>
      <c r="O108" s="15" t="n"/>
      <c r="P108" s="15" t="n"/>
    </row>
    <row r="109">
      <c r="A109" s="14">
        <f>IF(B109="","",TEXT(ROW()-4,"SCR-GAP-000"))</f>
        <v/>
      </c>
      <c r="B109" s="15" t="n"/>
      <c r="C109" s="15" t="n"/>
      <c r="D109" s="15" t="n"/>
      <c r="E109" s="15" t="n"/>
      <c r="F109" s="15" t="n"/>
      <c r="G109" s="15" t="n"/>
      <c r="H109" s="15" t="n"/>
      <c r="I109" s="15" t="n"/>
      <c r="J109" s="15" t="n"/>
      <c r="K109" s="16" t="n"/>
      <c r="L109" s="15" t="n"/>
      <c r="M109" s="15" t="n"/>
      <c r="N109" s="15" t="n"/>
      <c r="O109" s="15" t="n"/>
      <c r="P109" s="15" t="n"/>
    </row>
    <row r="110">
      <c r="A110" s="14">
        <f>IF(B110="","",TEXT(ROW()-4,"SCR-GAP-000"))</f>
        <v/>
      </c>
      <c r="B110" s="15" t="n"/>
      <c r="C110" s="15" t="n"/>
      <c r="D110" s="15" t="n"/>
      <c r="E110" s="15" t="n"/>
      <c r="F110" s="15" t="n"/>
      <c r="G110" s="15" t="n"/>
      <c r="H110" s="15" t="n"/>
      <c r="I110" s="15" t="n"/>
      <c r="J110" s="15" t="n"/>
      <c r="K110" s="16" t="n"/>
      <c r="L110" s="15" t="n"/>
      <c r="M110" s="15" t="n"/>
      <c r="N110" s="15" t="n"/>
      <c r="O110" s="15" t="n"/>
      <c r="P110" s="15" t="n"/>
    </row>
    <row r="111">
      <c r="A111" s="14">
        <f>IF(B111="","",TEXT(ROW()-4,"SCR-GAP-000"))</f>
        <v/>
      </c>
      <c r="B111" s="15" t="n"/>
      <c r="C111" s="15" t="n"/>
      <c r="D111" s="15" t="n"/>
      <c r="E111" s="15" t="n"/>
      <c r="F111" s="15" t="n"/>
      <c r="G111" s="15" t="n"/>
      <c r="H111" s="15" t="n"/>
      <c r="I111" s="15" t="n"/>
      <c r="J111" s="15" t="n"/>
      <c r="K111" s="16" t="n"/>
      <c r="L111" s="15" t="n"/>
      <c r="M111" s="15" t="n"/>
      <c r="N111" s="15" t="n"/>
      <c r="O111" s="15" t="n"/>
      <c r="P111" s="15" t="n"/>
    </row>
    <row r="112">
      <c r="A112" s="14">
        <f>IF(B112="","",TEXT(ROW()-4,"SCR-GAP-000"))</f>
        <v/>
      </c>
      <c r="B112" s="15" t="n"/>
      <c r="C112" s="15" t="n"/>
      <c r="D112" s="15" t="n"/>
      <c r="E112" s="15" t="n"/>
      <c r="F112" s="15" t="n"/>
      <c r="G112" s="15" t="n"/>
      <c r="H112" s="15" t="n"/>
      <c r="I112" s="15" t="n"/>
      <c r="J112" s="15" t="n"/>
      <c r="K112" s="16" t="n"/>
      <c r="L112" s="15" t="n"/>
      <c r="M112" s="15" t="n"/>
      <c r="N112" s="15" t="n"/>
      <c r="O112" s="15" t="n"/>
      <c r="P112" s="15" t="n"/>
    </row>
    <row r="113">
      <c r="A113" s="14">
        <f>IF(B113="","",TEXT(ROW()-4,"SCR-GAP-000"))</f>
        <v/>
      </c>
      <c r="B113" s="15" t="n"/>
      <c r="C113" s="15" t="n"/>
      <c r="D113" s="15" t="n"/>
      <c r="E113" s="15" t="n"/>
      <c r="F113" s="15" t="n"/>
      <c r="G113" s="15" t="n"/>
      <c r="H113" s="15" t="n"/>
      <c r="I113" s="15" t="n"/>
      <c r="J113" s="15" t="n"/>
      <c r="K113" s="16" t="n"/>
      <c r="L113" s="15" t="n"/>
      <c r="M113" s="15" t="n"/>
      <c r="N113" s="15" t="n"/>
      <c r="O113" s="15" t="n"/>
      <c r="P113" s="15" t="n"/>
    </row>
    <row r="114">
      <c r="A114" s="14">
        <f>IF(B114="","",TEXT(ROW()-4,"SCR-GAP-000"))</f>
        <v/>
      </c>
      <c r="B114" s="15" t="n"/>
      <c r="C114" s="15" t="n"/>
      <c r="D114" s="15" t="n"/>
      <c r="E114" s="15" t="n"/>
      <c r="F114" s="15" t="n"/>
      <c r="G114" s="15" t="n"/>
      <c r="H114" s="15" t="n"/>
      <c r="I114" s="15" t="n"/>
      <c r="J114" s="15" t="n"/>
      <c r="K114" s="16" t="n"/>
      <c r="L114" s="15" t="n"/>
      <c r="M114" s="15" t="n"/>
      <c r="N114" s="15" t="n"/>
      <c r="O114" s="15" t="n"/>
      <c r="P114" s="15" t="n"/>
    </row>
    <row r="115">
      <c r="A115" s="14">
        <f>IF(B115="","",TEXT(ROW()-4,"SCR-GAP-000"))</f>
        <v/>
      </c>
      <c r="B115" s="15" t="n"/>
      <c r="C115" s="15" t="n"/>
      <c r="D115" s="15" t="n"/>
      <c r="E115" s="15" t="n"/>
      <c r="F115" s="15" t="n"/>
      <c r="G115" s="15" t="n"/>
      <c r="H115" s="15" t="n"/>
      <c r="I115" s="15" t="n"/>
      <c r="J115" s="15" t="n"/>
      <c r="K115" s="16" t="n"/>
      <c r="L115" s="15" t="n"/>
      <c r="M115" s="15" t="n"/>
      <c r="N115" s="15" t="n"/>
      <c r="O115" s="15" t="n"/>
      <c r="P115" s="15" t="n"/>
    </row>
    <row r="116">
      <c r="A116" s="14">
        <f>IF(B116="","",TEXT(ROW()-4,"SCR-GAP-000"))</f>
        <v/>
      </c>
      <c r="B116" s="15" t="n"/>
      <c r="C116" s="15" t="n"/>
      <c r="D116" s="15" t="n"/>
      <c r="E116" s="15" t="n"/>
      <c r="F116" s="15" t="n"/>
      <c r="G116" s="15" t="n"/>
      <c r="H116" s="15" t="n"/>
      <c r="I116" s="15" t="n"/>
      <c r="J116" s="15" t="n"/>
      <c r="K116" s="16" t="n"/>
      <c r="L116" s="15" t="n"/>
      <c r="M116" s="15" t="n"/>
      <c r="N116" s="15" t="n"/>
      <c r="O116" s="15" t="n"/>
      <c r="P116" s="15" t="n"/>
    </row>
    <row r="117">
      <c r="A117" s="14">
        <f>IF(B117="","",TEXT(ROW()-4,"SCR-GAP-000"))</f>
        <v/>
      </c>
      <c r="B117" s="15" t="n"/>
      <c r="C117" s="15" t="n"/>
      <c r="D117" s="15" t="n"/>
      <c r="E117" s="15" t="n"/>
      <c r="F117" s="15" t="n"/>
      <c r="G117" s="15" t="n"/>
      <c r="H117" s="15" t="n"/>
      <c r="I117" s="15" t="n"/>
      <c r="J117" s="15" t="n"/>
      <c r="K117" s="16" t="n"/>
      <c r="L117" s="15" t="n"/>
      <c r="M117" s="15" t="n"/>
      <c r="N117" s="15" t="n"/>
      <c r="O117" s="15" t="n"/>
      <c r="P117" s="15" t="n"/>
    </row>
    <row r="118">
      <c r="A118" s="14">
        <f>IF(B118="","",TEXT(ROW()-4,"SCR-GAP-000"))</f>
        <v/>
      </c>
      <c r="B118" s="15" t="n"/>
      <c r="C118" s="15" t="n"/>
      <c r="D118" s="15" t="n"/>
      <c r="E118" s="15" t="n"/>
      <c r="F118" s="15" t="n"/>
      <c r="G118" s="15" t="n"/>
      <c r="H118" s="15" t="n"/>
      <c r="I118" s="15" t="n"/>
      <c r="J118" s="15" t="n"/>
      <c r="K118" s="16" t="n"/>
      <c r="L118" s="15" t="n"/>
      <c r="M118" s="15" t="n"/>
      <c r="N118" s="15" t="n"/>
      <c r="O118" s="15" t="n"/>
      <c r="P118" s="15" t="n"/>
    </row>
    <row r="119">
      <c r="A119" s="14">
        <f>IF(B119="","",TEXT(ROW()-4,"SCR-GAP-000"))</f>
        <v/>
      </c>
      <c r="B119" s="15" t="n"/>
      <c r="C119" s="15" t="n"/>
      <c r="D119" s="15" t="n"/>
      <c r="E119" s="15" t="n"/>
      <c r="F119" s="15" t="n"/>
      <c r="G119" s="15" t="n"/>
      <c r="H119" s="15" t="n"/>
      <c r="I119" s="15" t="n"/>
      <c r="J119" s="15" t="n"/>
      <c r="K119" s="16" t="n"/>
      <c r="L119" s="15" t="n"/>
      <c r="M119" s="15" t="n"/>
      <c r="N119" s="15" t="n"/>
      <c r="O119" s="15" t="n"/>
      <c r="P119" s="15" t="n"/>
    </row>
    <row r="120">
      <c r="A120" s="14">
        <f>IF(B120="","",TEXT(ROW()-4,"SCR-GAP-000"))</f>
        <v/>
      </c>
      <c r="B120" s="15" t="n"/>
      <c r="C120" s="15" t="n"/>
      <c r="D120" s="15" t="n"/>
      <c r="E120" s="15" t="n"/>
      <c r="F120" s="15" t="n"/>
      <c r="G120" s="15" t="n"/>
      <c r="H120" s="15" t="n"/>
      <c r="I120" s="15" t="n"/>
      <c r="J120" s="15" t="n"/>
      <c r="K120" s="16" t="n"/>
      <c r="L120" s="15" t="n"/>
      <c r="M120" s="15" t="n"/>
      <c r="N120" s="15" t="n"/>
      <c r="O120" s="15" t="n"/>
      <c r="P120" s="15" t="n"/>
    </row>
    <row r="121">
      <c r="A121" s="14">
        <f>IF(B121="","",TEXT(ROW()-4,"SCR-GAP-000"))</f>
        <v/>
      </c>
      <c r="B121" s="15" t="n"/>
      <c r="C121" s="15" t="n"/>
      <c r="D121" s="15" t="n"/>
      <c r="E121" s="15" t="n"/>
      <c r="F121" s="15" t="n"/>
      <c r="G121" s="15" t="n"/>
      <c r="H121" s="15" t="n"/>
      <c r="I121" s="15" t="n"/>
      <c r="J121" s="15" t="n"/>
      <c r="K121" s="16" t="n"/>
      <c r="L121" s="15" t="n"/>
      <c r="M121" s="15" t="n"/>
      <c r="N121" s="15" t="n"/>
      <c r="O121" s="15" t="n"/>
      <c r="P121" s="15" t="n"/>
    </row>
    <row r="122">
      <c r="A122" s="14">
        <f>IF(B122="","",TEXT(ROW()-4,"SCR-GAP-000"))</f>
        <v/>
      </c>
      <c r="B122" s="15" t="n"/>
      <c r="C122" s="15" t="n"/>
      <c r="D122" s="15" t="n"/>
      <c r="E122" s="15" t="n"/>
      <c r="F122" s="15" t="n"/>
      <c r="G122" s="15" t="n"/>
      <c r="H122" s="15" t="n"/>
      <c r="I122" s="15" t="n"/>
      <c r="J122" s="15" t="n"/>
      <c r="K122" s="16" t="n"/>
      <c r="L122" s="15" t="n"/>
      <c r="M122" s="15" t="n"/>
      <c r="N122" s="15" t="n"/>
      <c r="O122" s="15" t="n"/>
      <c r="P122" s="15" t="n"/>
    </row>
    <row r="123">
      <c r="A123" s="14">
        <f>IF(B123="","",TEXT(ROW()-4,"SCR-GAP-000"))</f>
        <v/>
      </c>
      <c r="B123" s="15" t="n"/>
      <c r="C123" s="15" t="n"/>
      <c r="D123" s="15" t="n"/>
      <c r="E123" s="15" t="n"/>
      <c r="F123" s="15" t="n"/>
      <c r="G123" s="15" t="n"/>
      <c r="H123" s="15" t="n"/>
      <c r="I123" s="15" t="n"/>
      <c r="J123" s="15" t="n"/>
      <c r="K123" s="16" t="n"/>
      <c r="L123" s="15" t="n"/>
      <c r="M123" s="15" t="n"/>
      <c r="N123" s="15" t="n"/>
      <c r="O123" s="15" t="n"/>
      <c r="P123" s="15" t="n"/>
    </row>
    <row r="124">
      <c r="A124" s="14">
        <f>IF(B124="","",TEXT(ROW()-4,"SCR-GAP-000"))</f>
        <v/>
      </c>
      <c r="B124" s="15" t="n"/>
      <c r="C124" s="15" t="n"/>
      <c r="D124" s="15" t="n"/>
      <c r="E124" s="15" t="n"/>
      <c r="F124" s="15" t="n"/>
      <c r="G124" s="15" t="n"/>
      <c r="H124" s="15" t="n"/>
      <c r="I124" s="15" t="n"/>
      <c r="J124" s="15" t="n"/>
      <c r="K124" s="16" t="n"/>
      <c r="L124" s="15" t="n"/>
      <c r="M124" s="15" t="n"/>
      <c r="N124" s="15" t="n"/>
      <c r="O124" s="15" t="n"/>
      <c r="P124" s="15" t="n"/>
    </row>
    <row r="125">
      <c r="A125" s="14">
        <f>IF(B125="","",TEXT(ROW()-4,"SCR-GAP-000"))</f>
        <v/>
      </c>
      <c r="B125" s="15" t="n"/>
      <c r="C125" s="15" t="n"/>
      <c r="D125" s="15" t="n"/>
      <c r="E125" s="15" t="n"/>
      <c r="F125" s="15" t="n"/>
      <c r="G125" s="15" t="n"/>
      <c r="H125" s="15" t="n"/>
      <c r="I125" s="15" t="n"/>
      <c r="J125" s="15" t="n"/>
      <c r="K125" s="16" t="n"/>
      <c r="L125" s="15" t="n"/>
      <c r="M125" s="15" t="n"/>
      <c r="N125" s="15" t="n"/>
      <c r="O125" s="15" t="n"/>
      <c r="P125" s="15" t="n"/>
    </row>
    <row r="126">
      <c r="A126" s="14">
        <f>IF(B126="","",TEXT(ROW()-4,"SCR-GAP-000"))</f>
        <v/>
      </c>
      <c r="B126" s="15" t="n"/>
      <c r="C126" s="15" t="n"/>
      <c r="D126" s="15" t="n"/>
      <c r="E126" s="15" t="n"/>
      <c r="F126" s="15" t="n"/>
      <c r="G126" s="15" t="n"/>
      <c r="H126" s="15" t="n"/>
      <c r="I126" s="15" t="n"/>
      <c r="J126" s="15" t="n"/>
      <c r="K126" s="16" t="n"/>
      <c r="L126" s="15" t="n"/>
      <c r="M126" s="15" t="n"/>
      <c r="N126" s="15" t="n"/>
      <c r="O126" s="15" t="n"/>
      <c r="P126" s="15" t="n"/>
    </row>
    <row r="127">
      <c r="A127" s="14">
        <f>IF(B127="","",TEXT(ROW()-4,"SCR-GAP-000"))</f>
        <v/>
      </c>
      <c r="B127" s="15" t="n"/>
      <c r="C127" s="15" t="n"/>
      <c r="D127" s="15" t="n"/>
      <c r="E127" s="15" t="n"/>
      <c r="F127" s="15" t="n"/>
      <c r="G127" s="15" t="n"/>
      <c r="H127" s="15" t="n"/>
      <c r="I127" s="15" t="n"/>
      <c r="J127" s="15" t="n"/>
      <c r="K127" s="16" t="n"/>
      <c r="L127" s="15" t="n"/>
      <c r="M127" s="15" t="n"/>
      <c r="N127" s="15" t="n"/>
      <c r="O127" s="15" t="n"/>
      <c r="P127" s="15" t="n"/>
    </row>
    <row r="128">
      <c r="A128" s="14">
        <f>IF(B128="","",TEXT(ROW()-4,"SCR-GAP-000"))</f>
        <v/>
      </c>
      <c r="B128" s="15" t="n"/>
      <c r="C128" s="15" t="n"/>
      <c r="D128" s="15" t="n"/>
      <c r="E128" s="15" t="n"/>
      <c r="F128" s="15" t="n"/>
      <c r="G128" s="15" t="n"/>
      <c r="H128" s="15" t="n"/>
      <c r="I128" s="15" t="n"/>
      <c r="J128" s="15" t="n"/>
      <c r="K128" s="16" t="n"/>
      <c r="L128" s="15" t="n"/>
      <c r="M128" s="15" t="n"/>
      <c r="N128" s="15" t="n"/>
      <c r="O128" s="15" t="n"/>
      <c r="P128" s="15" t="n"/>
    </row>
    <row r="129">
      <c r="A129" s="14">
        <f>IF(B129="","",TEXT(ROW()-4,"SCR-GAP-000"))</f>
        <v/>
      </c>
      <c r="B129" s="15" t="n"/>
      <c r="C129" s="15" t="n"/>
      <c r="D129" s="15" t="n"/>
      <c r="E129" s="15" t="n"/>
      <c r="F129" s="15" t="n"/>
      <c r="G129" s="15" t="n"/>
      <c r="H129" s="15" t="n"/>
      <c r="I129" s="15" t="n"/>
      <c r="J129" s="15" t="n"/>
      <c r="K129" s="16" t="n"/>
      <c r="L129" s="15" t="n"/>
      <c r="M129" s="15" t="n"/>
      <c r="N129" s="15" t="n"/>
      <c r="O129" s="15" t="n"/>
      <c r="P129" s="15" t="n"/>
    </row>
    <row r="130">
      <c r="A130" s="14">
        <f>IF(B130="","",TEXT(ROW()-4,"SCR-GAP-000"))</f>
        <v/>
      </c>
      <c r="B130" s="15" t="n"/>
      <c r="C130" s="15" t="n"/>
      <c r="D130" s="15" t="n"/>
      <c r="E130" s="15" t="n"/>
      <c r="F130" s="15" t="n"/>
      <c r="G130" s="15" t="n"/>
      <c r="H130" s="15" t="n"/>
      <c r="I130" s="15" t="n"/>
      <c r="J130" s="15" t="n"/>
      <c r="K130" s="16" t="n"/>
      <c r="L130" s="15" t="n"/>
      <c r="M130" s="15" t="n"/>
      <c r="N130" s="15" t="n"/>
      <c r="O130" s="15" t="n"/>
      <c r="P130" s="15" t="n"/>
    </row>
    <row r="131">
      <c r="A131" s="14">
        <f>IF(B131="","",TEXT(ROW()-4,"SCR-GAP-000"))</f>
        <v/>
      </c>
      <c r="B131" s="15" t="n"/>
      <c r="C131" s="15" t="n"/>
      <c r="D131" s="15" t="n"/>
      <c r="E131" s="15" t="n"/>
      <c r="F131" s="15" t="n"/>
      <c r="G131" s="15" t="n"/>
      <c r="H131" s="15" t="n"/>
      <c r="I131" s="15" t="n"/>
      <c r="J131" s="15" t="n"/>
      <c r="K131" s="16" t="n"/>
      <c r="L131" s="15" t="n"/>
      <c r="M131" s="15" t="n"/>
      <c r="N131" s="15" t="n"/>
      <c r="O131" s="15" t="n"/>
      <c r="P131" s="15" t="n"/>
    </row>
    <row r="132">
      <c r="A132" s="14">
        <f>IF(B132="","",TEXT(ROW()-4,"SCR-GAP-000"))</f>
        <v/>
      </c>
      <c r="B132" s="15" t="n"/>
      <c r="C132" s="15" t="n"/>
      <c r="D132" s="15" t="n"/>
      <c r="E132" s="15" t="n"/>
      <c r="F132" s="15" t="n"/>
      <c r="G132" s="15" t="n"/>
      <c r="H132" s="15" t="n"/>
      <c r="I132" s="15" t="n"/>
      <c r="J132" s="15" t="n"/>
      <c r="K132" s="16" t="n"/>
      <c r="L132" s="15" t="n"/>
      <c r="M132" s="15" t="n"/>
      <c r="N132" s="15" t="n"/>
      <c r="O132" s="15" t="n"/>
      <c r="P132" s="15" t="n"/>
    </row>
    <row r="133">
      <c r="A133" s="14">
        <f>IF(B133="","",TEXT(ROW()-4,"SCR-GAP-000"))</f>
        <v/>
      </c>
      <c r="B133" s="15" t="n"/>
      <c r="C133" s="15" t="n"/>
      <c r="D133" s="15" t="n"/>
      <c r="E133" s="15" t="n"/>
      <c r="F133" s="15" t="n"/>
      <c r="G133" s="15" t="n"/>
      <c r="H133" s="15" t="n"/>
      <c r="I133" s="15" t="n"/>
      <c r="J133" s="15" t="n"/>
      <c r="K133" s="16" t="n"/>
      <c r="L133" s="15" t="n"/>
      <c r="M133" s="15" t="n"/>
      <c r="N133" s="15" t="n"/>
      <c r="O133" s="15" t="n"/>
      <c r="P133" s="15" t="n"/>
    </row>
    <row r="134">
      <c r="A134" s="14">
        <f>IF(B134="","",TEXT(ROW()-4,"SCR-GAP-000"))</f>
        <v/>
      </c>
      <c r="B134" s="15" t="n"/>
      <c r="C134" s="15" t="n"/>
      <c r="D134" s="15" t="n"/>
      <c r="E134" s="15" t="n"/>
      <c r="F134" s="15" t="n"/>
      <c r="G134" s="15" t="n"/>
      <c r="H134" s="15" t="n"/>
      <c r="I134" s="15" t="n"/>
      <c r="J134" s="15" t="n"/>
      <c r="K134" s="16" t="n"/>
      <c r="L134" s="15" t="n"/>
      <c r="M134" s="15" t="n"/>
      <c r="N134" s="15" t="n"/>
      <c r="O134" s="15" t="n"/>
      <c r="P134" s="15" t="n"/>
    </row>
    <row r="135">
      <c r="A135" s="14">
        <f>IF(B135="","",TEXT(ROW()-4,"SCR-GAP-000"))</f>
        <v/>
      </c>
      <c r="B135" s="15" t="n"/>
      <c r="C135" s="15" t="n"/>
      <c r="D135" s="15" t="n"/>
      <c r="E135" s="15" t="n"/>
      <c r="F135" s="15" t="n"/>
      <c r="G135" s="15" t="n"/>
      <c r="H135" s="15" t="n"/>
      <c r="I135" s="15" t="n"/>
      <c r="J135" s="15" t="n"/>
      <c r="K135" s="16" t="n"/>
      <c r="L135" s="15" t="n"/>
      <c r="M135" s="15" t="n"/>
      <c r="N135" s="15" t="n"/>
      <c r="O135" s="15" t="n"/>
      <c r="P135" s="15" t="n"/>
    </row>
    <row r="136">
      <c r="A136" s="14">
        <f>IF(B136="","",TEXT(ROW()-4,"SCR-GAP-000"))</f>
        <v/>
      </c>
      <c r="B136" s="15" t="n"/>
      <c r="C136" s="15" t="n"/>
      <c r="D136" s="15" t="n"/>
      <c r="E136" s="15" t="n"/>
      <c r="F136" s="15" t="n"/>
      <c r="G136" s="15" t="n"/>
      <c r="H136" s="15" t="n"/>
      <c r="I136" s="15" t="n"/>
      <c r="J136" s="15" t="n"/>
      <c r="K136" s="16" t="n"/>
      <c r="L136" s="15" t="n"/>
      <c r="M136" s="15" t="n"/>
      <c r="N136" s="15" t="n"/>
      <c r="O136" s="15" t="n"/>
      <c r="P136" s="15" t="n"/>
    </row>
    <row r="137">
      <c r="A137" s="14">
        <f>IF(B137="","",TEXT(ROW()-4,"SCR-GAP-000"))</f>
        <v/>
      </c>
      <c r="B137" s="15" t="n"/>
      <c r="C137" s="15" t="n"/>
      <c r="D137" s="15" t="n"/>
      <c r="E137" s="15" t="n"/>
      <c r="F137" s="15" t="n"/>
      <c r="G137" s="15" t="n"/>
      <c r="H137" s="15" t="n"/>
      <c r="I137" s="15" t="n"/>
      <c r="J137" s="15" t="n"/>
      <c r="K137" s="16" t="n"/>
      <c r="L137" s="15" t="n"/>
      <c r="M137" s="15" t="n"/>
      <c r="N137" s="15" t="n"/>
      <c r="O137" s="15" t="n"/>
      <c r="P137" s="15" t="n"/>
    </row>
    <row r="138">
      <c r="A138" s="14">
        <f>IF(B138="","",TEXT(ROW()-4,"SCR-GAP-000"))</f>
        <v/>
      </c>
      <c r="B138" s="15" t="n"/>
      <c r="C138" s="15" t="n"/>
      <c r="D138" s="15" t="n"/>
      <c r="E138" s="15" t="n"/>
      <c r="F138" s="15" t="n"/>
      <c r="G138" s="15" t="n"/>
      <c r="H138" s="15" t="n"/>
      <c r="I138" s="15" t="n"/>
      <c r="J138" s="15" t="n"/>
      <c r="K138" s="16" t="n"/>
      <c r="L138" s="15" t="n"/>
      <c r="M138" s="15" t="n"/>
      <c r="N138" s="15" t="n"/>
      <c r="O138" s="15" t="n"/>
      <c r="P138" s="15" t="n"/>
    </row>
    <row r="139">
      <c r="A139" s="14">
        <f>IF(B139="","",TEXT(ROW()-4,"SCR-GAP-000"))</f>
        <v/>
      </c>
      <c r="B139" s="15" t="n"/>
      <c r="C139" s="15" t="n"/>
      <c r="D139" s="15" t="n"/>
      <c r="E139" s="15" t="n"/>
      <c r="F139" s="15" t="n"/>
      <c r="G139" s="15" t="n"/>
      <c r="H139" s="15" t="n"/>
      <c r="I139" s="15" t="n"/>
      <c r="J139" s="15" t="n"/>
      <c r="K139" s="16" t="n"/>
      <c r="L139" s="15" t="n"/>
      <c r="M139" s="15" t="n"/>
      <c r="N139" s="15" t="n"/>
      <c r="O139" s="15" t="n"/>
      <c r="P139" s="15" t="n"/>
    </row>
    <row r="140">
      <c r="A140" s="14">
        <f>IF(B140="","",TEXT(ROW()-4,"SCR-GAP-000"))</f>
        <v/>
      </c>
      <c r="B140" s="15" t="n"/>
      <c r="C140" s="15" t="n"/>
      <c r="D140" s="15" t="n"/>
      <c r="E140" s="15" t="n"/>
      <c r="F140" s="15" t="n"/>
      <c r="G140" s="15" t="n"/>
      <c r="H140" s="15" t="n"/>
      <c r="I140" s="15" t="n"/>
      <c r="J140" s="15" t="n"/>
      <c r="K140" s="16" t="n"/>
      <c r="L140" s="15" t="n"/>
      <c r="M140" s="15" t="n"/>
      <c r="N140" s="15" t="n"/>
      <c r="O140" s="15" t="n"/>
      <c r="P140" s="15" t="n"/>
    </row>
    <row r="141">
      <c r="A141" s="14">
        <f>IF(B141="","",TEXT(ROW()-4,"SCR-GAP-000"))</f>
        <v/>
      </c>
      <c r="B141" s="15" t="n"/>
      <c r="C141" s="15" t="n"/>
      <c r="D141" s="15" t="n"/>
      <c r="E141" s="15" t="n"/>
      <c r="F141" s="15" t="n"/>
      <c r="G141" s="15" t="n"/>
      <c r="H141" s="15" t="n"/>
      <c r="I141" s="15" t="n"/>
      <c r="J141" s="15" t="n"/>
      <c r="K141" s="16" t="n"/>
      <c r="L141" s="15" t="n"/>
      <c r="M141" s="15" t="n"/>
      <c r="N141" s="15" t="n"/>
      <c r="O141" s="15" t="n"/>
      <c r="P141" s="15" t="n"/>
    </row>
    <row r="142">
      <c r="A142" s="14">
        <f>IF(B142="","",TEXT(ROW()-4,"SCR-GAP-000"))</f>
        <v/>
      </c>
      <c r="B142" s="15" t="n"/>
      <c r="C142" s="15" t="n"/>
      <c r="D142" s="15" t="n"/>
      <c r="E142" s="15" t="n"/>
      <c r="F142" s="15" t="n"/>
      <c r="G142" s="15" t="n"/>
      <c r="H142" s="15" t="n"/>
      <c r="I142" s="15" t="n"/>
      <c r="J142" s="15" t="n"/>
      <c r="K142" s="16" t="n"/>
      <c r="L142" s="15" t="n"/>
      <c r="M142" s="15" t="n"/>
      <c r="N142" s="15" t="n"/>
      <c r="O142" s="15" t="n"/>
      <c r="P142" s="15" t="n"/>
    </row>
    <row r="143">
      <c r="A143" s="14">
        <f>IF(B143="","",TEXT(ROW()-4,"SCR-GAP-000"))</f>
        <v/>
      </c>
      <c r="B143" s="15" t="n"/>
      <c r="C143" s="15" t="n"/>
      <c r="D143" s="15" t="n"/>
      <c r="E143" s="15" t="n"/>
      <c r="F143" s="15" t="n"/>
      <c r="G143" s="15" t="n"/>
      <c r="H143" s="15" t="n"/>
      <c r="I143" s="15" t="n"/>
      <c r="J143" s="15" t="n"/>
      <c r="K143" s="16" t="n"/>
      <c r="L143" s="15" t="n"/>
      <c r="M143" s="15" t="n"/>
      <c r="N143" s="15" t="n"/>
      <c r="O143" s="15" t="n"/>
      <c r="P143" s="15" t="n"/>
    </row>
    <row r="144">
      <c r="A144" s="14">
        <f>IF(B144="","",TEXT(ROW()-4,"SCR-GAP-000"))</f>
        <v/>
      </c>
      <c r="B144" s="15" t="n"/>
      <c r="C144" s="15" t="n"/>
      <c r="D144" s="15" t="n"/>
      <c r="E144" s="15" t="n"/>
      <c r="F144" s="15" t="n"/>
      <c r="G144" s="15" t="n"/>
      <c r="H144" s="15" t="n"/>
      <c r="I144" s="15" t="n"/>
      <c r="J144" s="15" t="n"/>
      <c r="K144" s="16" t="n"/>
      <c r="L144" s="15" t="n"/>
      <c r="M144" s="15" t="n"/>
      <c r="N144" s="15" t="n"/>
      <c r="O144" s="15" t="n"/>
      <c r="P144" s="15" t="n"/>
    </row>
    <row r="145">
      <c r="A145" s="14">
        <f>IF(B145="","",TEXT(ROW()-4,"SCR-GAP-000"))</f>
        <v/>
      </c>
      <c r="B145" s="15" t="n"/>
      <c r="C145" s="15" t="n"/>
      <c r="D145" s="15" t="n"/>
      <c r="E145" s="15" t="n"/>
      <c r="F145" s="15" t="n"/>
      <c r="G145" s="15" t="n"/>
      <c r="H145" s="15" t="n"/>
      <c r="I145" s="15" t="n"/>
      <c r="J145" s="15" t="n"/>
      <c r="K145" s="16" t="n"/>
      <c r="L145" s="15" t="n"/>
      <c r="M145" s="15" t="n"/>
      <c r="N145" s="15" t="n"/>
      <c r="O145" s="15" t="n"/>
      <c r="P145" s="15" t="n"/>
    </row>
    <row r="146">
      <c r="A146" s="14">
        <f>IF(B146="","",TEXT(ROW()-4,"SCR-GAP-000"))</f>
        <v/>
      </c>
      <c r="B146" s="15" t="n"/>
      <c r="C146" s="15" t="n"/>
      <c r="D146" s="15" t="n"/>
      <c r="E146" s="15" t="n"/>
      <c r="F146" s="15" t="n"/>
      <c r="G146" s="15" t="n"/>
      <c r="H146" s="15" t="n"/>
      <c r="I146" s="15" t="n"/>
      <c r="J146" s="15" t="n"/>
      <c r="K146" s="16" t="n"/>
      <c r="L146" s="15" t="n"/>
      <c r="M146" s="15" t="n"/>
      <c r="N146" s="15" t="n"/>
      <c r="O146" s="15" t="n"/>
      <c r="P146" s="15" t="n"/>
    </row>
    <row r="147">
      <c r="A147" s="14">
        <f>IF(B147="","",TEXT(ROW()-4,"SCR-GAP-000"))</f>
        <v/>
      </c>
      <c r="B147" s="15" t="n"/>
      <c r="C147" s="15" t="n"/>
      <c r="D147" s="15" t="n"/>
      <c r="E147" s="15" t="n"/>
      <c r="F147" s="15" t="n"/>
      <c r="G147" s="15" t="n"/>
      <c r="H147" s="15" t="n"/>
      <c r="I147" s="15" t="n"/>
      <c r="J147" s="15" t="n"/>
      <c r="K147" s="16" t="n"/>
      <c r="L147" s="15" t="n"/>
      <c r="M147" s="15" t="n"/>
      <c r="N147" s="15" t="n"/>
      <c r="O147" s="15" t="n"/>
      <c r="P147" s="15" t="n"/>
    </row>
    <row r="148">
      <c r="A148" s="14">
        <f>IF(B148="","",TEXT(ROW()-4,"SCR-GAP-000"))</f>
        <v/>
      </c>
      <c r="B148" s="15" t="n"/>
      <c r="C148" s="15" t="n"/>
      <c r="D148" s="15" t="n"/>
      <c r="E148" s="15" t="n"/>
      <c r="F148" s="15" t="n"/>
      <c r="G148" s="15" t="n"/>
      <c r="H148" s="15" t="n"/>
      <c r="I148" s="15" t="n"/>
      <c r="J148" s="15" t="n"/>
      <c r="K148" s="16" t="n"/>
      <c r="L148" s="15" t="n"/>
      <c r="M148" s="15" t="n"/>
      <c r="N148" s="15" t="n"/>
      <c r="O148" s="15" t="n"/>
      <c r="P148" s="15" t="n"/>
    </row>
    <row r="149">
      <c r="A149" s="14">
        <f>IF(B149="","",TEXT(ROW()-4,"SCR-GAP-000"))</f>
        <v/>
      </c>
      <c r="B149" s="15" t="n"/>
      <c r="C149" s="15" t="n"/>
      <c r="D149" s="15" t="n"/>
      <c r="E149" s="15" t="n"/>
      <c r="F149" s="15" t="n"/>
      <c r="G149" s="15" t="n"/>
      <c r="H149" s="15" t="n"/>
      <c r="I149" s="15" t="n"/>
      <c r="J149" s="15" t="n"/>
      <c r="K149" s="16" t="n"/>
      <c r="L149" s="15" t="n"/>
      <c r="M149" s="15" t="n"/>
      <c r="N149" s="15" t="n"/>
      <c r="O149" s="15" t="n"/>
      <c r="P149" s="15" t="n"/>
    </row>
    <row r="150">
      <c r="A150" s="14">
        <f>IF(B150="","",TEXT(ROW()-4,"SCR-GAP-000"))</f>
        <v/>
      </c>
      <c r="B150" s="15" t="n"/>
      <c r="C150" s="15" t="n"/>
      <c r="D150" s="15" t="n"/>
      <c r="E150" s="15" t="n"/>
      <c r="F150" s="15" t="n"/>
      <c r="G150" s="15" t="n"/>
      <c r="H150" s="15" t="n"/>
      <c r="I150" s="15" t="n"/>
      <c r="J150" s="15" t="n"/>
      <c r="K150" s="16" t="n"/>
      <c r="L150" s="15" t="n"/>
      <c r="M150" s="15" t="n"/>
      <c r="N150" s="15" t="n"/>
      <c r="O150" s="15" t="n"/>
      <c r="P150" s="15" t="n"/>
    </row>
    <row r="151">
      <c r="A151" s="14">
        <f>IF(B151="","",TEXT(ROW()-4,"SCR-GAP-000"))</f>
        <v/>
      </c>
      <c r="B151" s="15" t="n"/>
      <c r="C151" s="15" t="n"/>
      <c r="D151" s="15" t="n"/>
      <c r="E151" s="15" t="n"/>
      <c r="F151" s="15" t="n"/>
      <c r="G151" s="15" t="n"/>
      <c r="H151" s="15" t="n"/>
      <c r="I151" s="15" t="n"/>
      <c r="J151" s="15" t="n"/>
      <c r="K151" s="16" t="n"/>
      <c r="L151" s="15" t="n"/>
      <c r="M151" s="15" t="n"/>
      <c r="N151" s="15" t="n"/>
      <c r="O151" s="15" t="n"/>
      <c r="P151" s="15" t="n"/>
    </row>
    <row r="152">
      <c r="A152" s="14">
        <f>IF(B152="","",TEXT(ROW()-4,"SCR-GAP-000"))</f>
        <v/>
      </c>
      <c r="B152" s="15" t="n"/>
      <c r="C152" s="15" t="n"/>
      <c r="D152" s="15" t="n"/>
      <c r="E152" s="15" t="n"/>
      <c r="F152" s="15" t="n"/>
      <c r="G152" s="15" t="n"/>
      <c r="H152" s="15" t="n"/>
      <c r="I152" s="15" t="n"/>
      <c r="J152" s="15" t="n"/>
      <c r="K152" s="16" t="n"/>
      <c r="L152" s="15" t="n"/>
      <c r="M152" s="15" t="n"/>
      <c r="N152" s="15" t="n"/>
      <c r="O152" s="15" t="n"/>
      <c r="P152" s="15" t="n"/>
    </row>
    <row r="153">
      <c r="A153" s="14">
        <f>IF(B153="","",TEXT(ROW()-4,"SCR-GAP-000"))</f>
        <v/>
      </c>
      <c r="B153" s="15" t="n"/>
      <c r="C153" s="15" t="n"/>
      <c r="D153" s="15" t="n"/>
      <c r="E153" s="15" t="n"/>
      <c r="F153" s="15" t="n"/>
      <c r="G153" s="15" t="n"/>
      <c r="H153" s="15" t="n"/>
      <c r="I153" s="15" t="n"/>
      <c r="J153" s="15" t="n"/>
      <c r="K153" s="16" t="n"/>
      <c r="L153" s="15" t="n"/>
      <c r="M153" s="15" t="n"/>
      <c r="N153" s="15" t="n"/>
      <c r="O153" s="15" t="n"/>
      <c r="P153" s="15" t="n"/>
    </row>
    <row r="154">
      <c r="A154" s="14">
        <f>IF(B154="","",TEXT(ROW()-4,"SCR-GAP-000"))</f>
        <v/>
      </c>
      <c r="B154" s="15" t="n"/>
      <c r="C154" s="15" t="n"/>
      <c r="D154" s="15" t="n"/>
      <c r="E154" s="15" t="n"/>
      <c r="F154" s="15" t="n"/>
      <c r="G154" s="15" t="n"/>
      <c r="H154" s="15" t="n"/>
      <c r="I154" s="15" t="n"/>
      <c r="J154" s="15" t="n"/>
      <c r="K154" s="16" t="n"/>
      <c r="L154" s="15" t="n"/>
      <c r="M154" s="15" t="n"/>
      <c r="N154" s="15" t="n"/>
      <c r="O154" s="15" t="n"/>
      <c r="P154" s="15" t="n"/>
    </row>
  </sheetData>
  <mergeCells count="2">
    <mergeCell ref="A1:P1"/>
    <mergeCell ref="A2:P2"/>
  </mergeCells>
  <dataValidations count="5">
    <dataValidation sqref="B5:B154" showDropDown="0" showInputMessage="0" showErrorMessage="1" allowBlank="1" errorTitle="Invalid Entry" error="Please select from dropdown" type="list">
      <formula1>"Screening Process Assessment,Screening Level Matrix,Personnel Screening Registry,Screening Compliance Verif,Continuous Screening Assessment,Legal Compliance Review"</formula1>
    </dataValidation>
    <dataValidation sqref="D5:D154" showDropDown="0" showInputMessage="0" showErrorMessage="1" allowBlank="1" errorTitle="Invalid Entry" error="Please select from dropdown" type="list">
      <formula1>"Process-Gap,Documentation-Gap,Screening-Level-Gap,Personnel-Gap,Re-Screening-Gap,Legal-Gap,Provider-Gap,Consent-Gap,Retention-Gap"</formula1>
    </dataValidation>
    <dataValidation sqref="F5:F154" showDropDown="0" showInputMessage="0" showErrorMessage="1" allowBlank="1" errorTitle="Invalid Entry" error="Please select from dropdown" type="list">
      <formula1>"Critical,High,Medium,Low"</formula1>
    </dataValidation>
    <dataValidation sqref="L5:L154" showDropDown="0" showInputMessage="0" showErrorMessage="1" allowBlank="1" errorTitle="Invalid Entry" error="Please select from dropdown" type="list">
      <formula1>"&lt;1hr,1-4hrs,1day,2-5days,&gt;1week"</formula1>
    </dataValidation>
    <dataValidation sqref="N5:N15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9" t="inlineStr">
        <is>
          <t>EVIDENCE REGISTER</t>
        </is>
      </c>
    </row>
    <row r="2">
      <c r="A2" s="20" t="inlineStr">
        <is>
          <t>ISMS-IMP-A.5.1-2-6.1-2.S3 — Screening Vetting Assessment Workbook</t>
        </is>
      </c>
    </row>
    <row r="4">
      <c r="A4" s="21" t="inlineStr">
        <is>
          <t>Evidence ID</t>
        </is>
      </c>
      <c r="B4" s="21" t="inlineStr">
        <is>
          <t>Evidence Type</t>
        </is>
      </c>
      <c r="C4" s="21" t="inlineStr">
        <is>
          <t>Description</t>
        </is>
      </c>
      <c r="D4" s="21" t="inlineStr">
        <is>
          <t>Related Control / Section</t>
        </is>
      </c>
      <c r="E4" s="21" t="inlineStr">
        <is>
          <t>Collection Date (DD.MM.YYYY)</t>
        </is>
      </c>
      <c r="F4" s="21" t="inlineStr">
        <is>
          <t>Storage Location / Reference</t>
        </is>
      </c>
      <c r="G4" s="21" t="inlineStr">
        <is>
          <t>Collected By</t>
        </is>
      </c>
      <c r="H4" s="21" t="inlineStr">
        <is>
          <t>Status</t>
        </is>
      </c>
    </row>
    <row r="5">
      <c r="A5" s="22" t="inlineStr">
        <is>
          <t>EV-001</t>
        </is>
      </c>
      <c r="B5" s="22" t="inlineStr">
        <is>
          <t>Document</t>
        </is>
      </c>
      <c r="C5" s="22" t="inlineStr">
        <is>
          <t>Sample evidence entry — replace with actual evidence</t>
        </is>
      </c>
      <c r="D5" s="22" t="inlineStr">
        <is>
          <t>All Controls</t>
        </is>
      </c>
      <c r="E5" s="22" t="inlineStr">
        <is>
          <t>01.01.2026</t>
        </is>
      </c>
      <c r="F5" s="22" t="inlineStr">
        <is>
          <t>SharePoint/ISMS/Evidence/</t>
        </is>
      </c>
      <c r="G5" s="22" t="inlineStr">
        <is>
          <t>ISMS Team</t>
        </is>
      </c>
      <c r="H5" s="22"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4" t="inlineStr">
        <is>
          <t>SCREENING &amp; VETTING ASSESSMENT — SUMMARY DASHBOARD</t>
        </is>
      </c>
    </row>
    <row r="2">
      <c r="A2" s="25" t="inlineStr">
        <is>
          <t>ISO/IEC 27001:2022 | Control A.6.1 | Personnel screening completion and consent compliance summary</t>
        </is>
      </c>
    </row>
    <row r="4">
      <c r="A4" s="26" t="inlineStr">
        <is>
          <t>TABLE 1: SCREENING COMPLETION STATUS</t>
        </is>
      </c>
      <c r="B4" s="27" t="n"/>
      <c r="C4" s="27" t="n"/>
      <c r="D4" s="27" t="n"/>
      <c r="E4" s="27" t="n"/>
      <c r="F4" s="28" t="n"/>
    </row>
    <row r="5">
      <c r="A5" s="29" t="inlineStr">
        <is>
          <t>Personnel Screening Registry — Column J (Screening Complete), rows 5:54</t>
        </is>
      </c>
      <c r="B5" s="27" t="n"/>
      <c r="C5" s="27" t="n"/>
      <c r="D5" s="27" t="n"/>
      <c r="E5" s="27" t="n"/>
      <c r="F5" s="28" t="n"/>
    </row>
    <row r="6">
      <c r="A6" s="30" t="inlineStr">
        <is>
          <t>Status</t>
        </is>
      </c>
      <c r="B6" s="30" t="inlineStr">
        <is>
          <t>Count</t>
        </is>
      </c>
      <c r="C6" s="30" t="inlineStr">
        <is>
          <t>% of Total</t>
        </is>
      </c>
    </row>
    <row r="7">
      <c r="A7" s="31" t="inlineStr">
        <is>
          <t>Yes</t>
        </is>
      </c>
      <c r="B7" s="32">
        <f>COUNTIF('Personnel Screening Registry'!J5:J54,"Yes")</f>
        <v/>
      </c>
      <c r="C7" s="32">
        <f>IF($B$11=0,"—",TEXT(B7/$B$11,"0.0%"))</f>
        <v/>
      </c>
    </row>
    <row r="8">
      <c r="A8" s="31" t="inlineStr">
        <is>
          <t>No</t>
        </is>
      </c>
      <c r="B8" s="32">
        <f>COUNTIF('Personnel Screening Registry'!J5:J54,"No")</f>
        <v/>
      </c>
      <c r="C8" s="32">
        <f>IF($B$11=0,"—",TEXT(B8/$B$11,"0.0%"))</f>
        <v/>
      </c>
    </row>
    <row r="9">
      <c r="A9" s="31" t="inlineStr">
        <is>
          <t>In-Progress</t>
        </is>
      </c>
      <c r="B9" s="32">
        <f>COUNTIF('Personnel Screening Registry'!J5:J54,"In-Progress")</f>
        <v/>
      </c>
      <c r="C9" s="32">
        <f>IF($B$11=0,"—",TEXT(B9/$B$11,"0.0%"))</f>
        <v/>
      </c>
    </row>
    <row r="10">
      <c r="A10" s="31" t="inlineStr">
        <is>
          <t>Pending</t>
        </is>
      </c>
      <c r="B10" s="32">
        <f>COUNTIF('Personnel Screening Registry'!J5:J54,"Pending")</f>
        <v/>
      </c>
      <c r="C10" s="32">
        <f>IF($B$11=0,"—",TEXT(B10/$B$11,"0.0%"))</f>
        <v/>
      </c>
    </row>
    <row r="11">
      <c r="A11" s="33" t="inlineStr">
        <is>
          <t>TOTAL</t>
        </is>
      </c>
      <c r="B11" s="34">
        <f>SUM(B7:B10)</f>
        <v/>
      </c>
      <c r="C11" s="34" t="inlineStr">
        <is>
          <t>—</t>
        </is>
      </c>
    </row>
    <row r="13">
      <c r="A13" s="26" t="inlineStr">
        <is>
          <t>TABLE 2: KEY METRICS</t>
        </is>
      </c>
      <c r="B13" s="27" t="n"/>
      <c r="C13" s="27" t="n"/>
      <c r="D13" s="27" t="n"/>
      <c r="E13" s="27" t="n"/>
      <c r="F13" s="28" t="n"/>
    </row>
    <row r="14">
      <c r="A14" s="35" t="inlineStr">
        <is>
          <t>KPI Metric</t>
        </is>
      </c>
      <c r="B14" s="35" t="inlineStr">
        <is>
          <t>Value</t>
        </is>
      </c>
      <c r="C14" s="36" t="inlineStr">
        <is>
          <t>Notes</t>
        </is>
      </c>
      <c r="D14" s="27" t="n"/>
      <c r="E14" s="27" t="n"/>
      <c r="F14" s="28" t="n"/>
    </row>
    <row r="15">
      <c r="A15" s="31" t="inlineStr">
        <is>
          <t>Total Personnel Registered</t>
        </is>
      </c>
      <c r="B15" s="32">
        <f>COUNTA('Personnel Screening Registry'!A5:A54)</f>
        <v/>
      </c>
      <c r="C15" s="31" t="inlineStr">
        <is>
          <t>All personnel records in Personnel Screening Registry</t>
        </is>
      </c>
      <c r="D15" s="27" t="n"/>
      <c r="E15" s="27" t="n"/>
      <c r="F15" s="28" t="n"/>
    </row>
    <row r="16">
      <c r="A16" s="31" t="inlineStr">
        <is>
          <t>Screening Complete</t>
        </is>
      </c>
      <c r="B16" s="32">
        <f>COUNTIF('Personnel Screening Registry'!J5:J54,"Yes")</f>
        <v/>
      </c>
      <c r="C16" s="31" t="inlineStr">
        <is>
          <t>Personnel with fully completed screening</t>
        </is>
      </c>
      <c r="D16" s="27" t="n"/>
      <c r="E16" s="27" t="n"/>
      <c r="F16" s="28" t="n"/>
    </row>
    <row r="17">
      <c r="A17" s="31" t="inlineStr">
        <is>
          <t>Screening In-Progress</t>
        </is>
      </c>
      <c r="B17" s="32">
        <f>COUNTIF('Personnel Screening Registry'!J5:J54,"In-Progress")</f>
        <v/>
      </c>
      <c r="C17" s="31" t="inlineStr">
        <is>
          <t>Screening currently under way — monitor for completion</t>
        </is>
      </c>
      <c r="D17" s="27" t="n"/>
      <c r="E17" s="27" t="n"/>
      <c r="F17" s="28" t="n"/>
    </row>
    <row r="18">
      <c r="A18" s="31" t="inlineStr">
        <is>
          <t>Consent Not Obtained</t>
        </is>
      </c>
      <c r="B18" s="32">
        <f>COUNTIF('Personnel Screening Registry'!N5:N54,"No")+COUNTIF('Personnel Screening Registry'!N5:N54,"Pending")</f>
        <v/>
      </c>
      <c r="C18" s="31" t="inlineStr">
        <is>
          <t>Personnel where consent is No or Pending — legal risk</t>
        </is>
      </c>
      <c r="D18" s="27" t="n"/>
      <c r="E18" s="27" t="n"/>
      <c r="F18" s="28" t="n"/>
    </row>
    <row r="19">
      <c r="A19" s="31" t="inlineStr">
        <is>
          <t>Critical Gaps Identified</t>
        </is>
      </c>
      <c r="B19" s="32">
        <f>COUNTIF('Gap Analysis'!F5:F154,"Critical")</f>
        <v/>
      </c>
      <c r="C19" s="31" t="inlineStr">
        <is>
          <t>Critical-risk gaps in Gap Analysis sheet</t>
        </is>
      </c>
      <c r="D19" s="27" t="n"/>
      <c r="E19" s="27" t="n"/>
      <c r="F19" s="28" t="n"/>
    </row>
    <row r="20">
      <c r="A20" s="31" t="inlineStr">
        <is>
          <t>Open Remediation Actions</t>
        </is>
      </c>
      <c r="B20" s="32">
        <f>COUNTIF('Gap Analysis'!N5:N154,"Not-Started")+COUNTIF('Gap Analysis'!N5:N154,"In-Progress")</f>
        <v/>
      </c>
      <c r="C20" s="31" t="inlineStr">
        <is>
          <t>Gaps not yet resolved (Not-Started + In-Progress)</t>
        </is>
      </c>
      <c r="D20" s="27" t="n"/>
      <c r="E20" s="27" t="n"/>
      <c r="F20" s="28" t="n"/>
    </row>
    <row r="22">
      <c r="A22" s="37" t="inlineStr">
        <is>
          <t>TABLE 3: CRITICAL FINDINGS</t>
        </is>
      </c>
      <c r="B22" s="27" t="n"/>
      <c r="C22" s="27" t="n"/>
      <c r="D22" s="27" t="n"/>
      <c r="E22" s="27" t="n"/>
      <c r="F22" s="28" t="n"/>
    </row>
    <row r="23">
      <c r="A23" s="35" t="inlineStr">
        <is>
          <t>Finding</t>
        </is>
      </c>
      <c r="B23" s="35" t="inlineStr">
        <is>
          <t>Count</t>
        </is>
      </c>
      <c r="C23" s="36" t="inlineStr">
        <is>
          <t>Action Required</t>
        </is>
      </c>
      <c r="D23" s="27" t="n"/>
      <c r="E23" s="27" t="n"/>
      <c r="F23" s="28" t="n"/>
    </row>
    <row r="24">
      <c r="A24" s="38" t="inlineStr">
        <is>
          <t>Screening Not Completed</t>
        </is>
      </c>
      <c r="B24" s="39">
        <f>COUNTIF('Personnel Screening Registry'!J5:J54,"No")</f>
        <v/>
      </c>
      <c r="C24" s="40" t="inlineStr">
        <is>
          <t>Initiate screening for all personnel without completed screening records</t>
        </is>
      </c>
      <c r="D24" s="27" t="n"/>
      <c r="E24" s="27" t="n"/>
      <c r="F24" s="28" t="n"/>
    </row>
    <row r="25">
      <c r="A25" s="38" t="inlineStr">
        <is>
          <t>Consent Not Obtained</t>
        </is>
      </c>
      <c r="B25" s="39">
        <f>COUNTIF('Personnel Screening Registry'!N5:N54,"No")</f>
        <v/>
      </c>
      <c r="C25" s="40" t="inlineStr">
        <is>
          <t>Obtain written consent before processing screening data — nFADP/GDPR risk</t>
        </is>
      </c>
      <c r="D25" s="27" t="n"/>
      <c r="E25" s="27" t="n"/>
      <c r="F25" s="28" t="n"/>
    </row>
    <row r="26">
      <c r="A26" s="38" t="inlineStr">
        <is>
          <t>Consent Pending Resolution</t>
        </is>
      </c>
      <c r="B26" s="39">
        <f>COUNTIF('Personnel Screening Registry'!N5:N54,"Pending")</f>
        <v/>
      </c>
      <c r="C26" s="40" t="inlineStr">
        <is>
          <t>Progress all pending consent records — set a deadline for resolution</t>
        </is>
      </c>
      <c r="D26" s="27" t="n"/>
      <c r="E26" s="27" t="n"/>
      <c r="F26" s="28" t="n"/>
    </row>
  </sheetData>
  <mergeCells count="17">
    <mergeCell ref="A2:F2"/>
    <mergeCell ref="C18:F18"/>
    <mergeCell ref="C17:F17"/>
    <mergeCell ref="C23:F23"/>
    <mergeCell ref="A13:F13"/>
    <mergeCell ref="A1:F1"/>
    <mergeCell ref="A5:F5"/>
    <mergeCell ref="C20:F20"/>
    <mergeCell ref="C26:F26"/>
    <mergeCell ref="C16:F16"/>
    <mergeCell ref="A22:F22"/>
    <mergeCell ref="C15:F15"/>
    <mergeCell ref="A4:F4"/>
    <mergeCell ref="C25:F25"/>
    <mergeCell ref="C24:F24"/>
    <mergeCell ref="C19:F19"/>
    <mergeCell ref="C14:F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2">
      <c r="A2" s="42" t="inlineStr">
        <is>
          <t>ISO/IEC 27001:2022 - Control A.5.1-2-6.1-2: Information Security Policies and Organisation</t>
        </is>
      </c>
      <c r="B2" s="6" t="n"/>
      <c r="C2" s="6" t="n"/>
      <c r="D2" s="6" t="n"/>
      <c r="E2" s="6" t="n"/>
    </row>
    <row r="3">
      <c r="A3" s="43" t="inlineStr">
        <is>
          <t>ASSESSMENT SUMMARY</t>
        </is>
      </c>
      <c r="B3" s="6" t="n"/>
      <c r="C3" s="6" t="n"/>
      <c r="D3" s="6" t="n"/>
      <c r="E3" s="6" t="n"/>
    </row>
    <row r="4">
      <c r="A4" s="3" t="inlineStr">
        <is>
          <t>Document:</t>
        </is>
      </c>
      <c r="B4" s="6" t="inlineStr">
        <is>
          <t>ISMS-IMP-A.5.1-2-6.1-2.S3 - Screening Vetting Assessment Workbook</t>
        </is>
      </c>
      <c r="C4" s="6" t="n"/>
      <c r="D4" s="6" t="n"/>
      <c r="E4" s="6" t="n"/>
    </row>
    <row r="5">
      <c r="A5" s="3" t="inlineStr">
        <is>
          <t>Assessment Period:</t>
        </is>
      </c>
      <c r="B5" s="44" t="inlineStr"/>
      <c r="C5" s="6" t="n"/>
      <c r="D5" s="6" t="n"/>
      <c r="E5" s="6" t="n"/>
    </row>
    <row r="6">
      <c r="A6" s="3" t="inlineStr">
        <is>
          <t>Overall Compliance Rating:</t>
        </is>
      </c>
      <c r="B6" s="45">
        <f>IFERROR(AVERAGE('Summary Dashboard'!G7:G11),"")</f>
        <v/>
      </c>
      <c r="C6" s="6" t="n"/>
      <c r="D6" s="6" t="n"/>
      <c r="E6" s="6" t="n"/>
    </row>
    <row r="7">
      <c r="A7" s="3" t="inlineStr">
        <is>
          <t>Assessment Status:</t>
        </is>
      </c>
      <c r="B7" s="44" t="inlineStr"/>
      <c r="C7" s="6" t="n"/>
      <c r="D7" s="6" t="n"/>
      <c r="E7" s="6" t="n"/>
    </row>
    <row r="8">
      <c r="A8" s="3" t="inlineStr">
        <is>
          <t>Assessed By:</t>
        </is>
      </c>
      <c r="B8" s="44" t="inlineStr"/>
      <c r="C8" s="6" t="n"/>
      <c r="D8" s="6" t="n"/>
      <c r="E8" s="6" t="n"/>
    </row>
    <row r="11">
      <c r="A11" s="43" t="inlineStr">
        <is>
          <t>COMPLETED BY (ASSESSOR)</t>
        </is>
      </c>
      <c r="B11" s="6" t="n"/>
      <c r="C11" s="6" t="n"/>
      <c r="D11" s="6" t="n"/>
      <c r="E11" s="6" t="n"/>
    </row>
    <row r="12">
      <c r="A12" s="3" t="inlineStr">
        <is>
          <t>Name:</t>
        </is>
      </c>
      <c r="B12" s="44" t="n"/>
      <c r="C12" s="6" t="n"/>
      <c r="D12" s="6" t="n"/>
      <c r="E12" s="6" t="n"/>
    </row>
    <row r="13">
      <c r="A13" s="3" t="inlineStr">
        <is>
          <t>Title:</t>
        </is>
      </c>
      <c r="B13" s="44" t="n"/>
      <c r="C13" s="6" t="n"/>
      <c r="D13" s="6" t="n"/>
      <c r="E13" s="6" t="n"/>
    </row>
    <row r="14">
      <c r="A14" s="3" t="inlineStr">
        <is>
          <t>Date:</t>
        </is>
      </c>
      <c r="B14" s="44" t="n"/>
      <c r="C14" s="6" t="n"/>
      <c r="D14" s="6" t="n"/>
      <c r="E14" s="6" t="n"/>
    </row>
    <row r="15">
      <c r="A15" s="3" t="inlineStr">
        <is>
          <t>Signature:</t>
        </is>
      </c>
      <c r="B15" s="44" t="n"/>
      <c r="C15" s="6" t="n"/>
      <c r="D15" s="6" t="n"/>
      <c r="E15" s="6" t="n"/>
    </row>
    <row r="16">
      <c r="A16" s="3" t="inlineStr">
        <is>
          <t>Comments:</t>
        </is>
      </c>
      <c r="B16" s="44" t="n"/>
      <c r="C16" s="6" t="n"/>
      <c r="D16" s="6" t="n"/>
      <c r="E16" s="6" t="n"/>
    </row>
    <row r="18">
      <c r="A18" s="43" t="inlineStr">
        <is>
          <t>REVIEWED BY (INFORMATION SECURITY OFFICER)</t>
        </is>
      </c>
      <c r="B18" s="6" t="n"/>
      <c r="C18" s="6" t="n"/>
      <c r="D18" s="6" t="n"/>
      <c r="E18" s="6" t="n"/>
    </row>
    <row r="19">
      <c r="A19" s="3" t="inlineStr">
        <is>
          <t>Name:</t>
        </is>
      </c>
      <c r="B19" s="44" t="n"/>
      <c r="C19" s="6" t="n"/>
      <c r="D19" s="6" t="n"/>
      <c r="E19" s="6" t="n"/>
    </row>
    <row r="20">
      <c r="A20" s="3" t="inlineStr">
        <is>
          <t>Title:</t>
        </is>
      </c>
      <c r="B20" s="44" t="n"/>
      <c r="C20" s="6" t="n"/>
      <c r="D20" s="6" t="n"/>
      <c r="E20" s="6" t="n"/>
    </row>
    <row r="21">
      <c r="A21" s="3" t="inlineStr">
        <is>
          <t>Date:</t>
        </is>
      </c>
      <c r="B21" s="44" t="n"/>
      <c r="C21" s="6" t="n"/>
      <c r="D21" s="6" t="n"/>
      <c r="E21" s="6" t="n"/>
    </row>
    <row r="22">
      <c r="A22" s="3" t="inlineStr">
        <is>
          <t>Signature:</t>
        </is>
      </c>
      <c r="B22" s="44" t="n"/>
      <c r="C22" s="6" t="n"/>
      <c r="D22" s="6" t="n"/>
      <c r="E22" s="6" t="n"/>
    </row>
    <row r="23">
      <c r="A23" s="3" t="inlineStr">
        <is>
          <t>Comments:</t>
        </is>
      </c>
      <c r="B23" s="44" t="n"/>
      <c r="C23" s="6" t="n"/>
      <c r="D23" s="6" t="n"/>
      <c r="E23" s="6" t="n"/>
    </row>
    <row r="25">
      <c r="A25" s="46" t="inlineStr">
        <is>
          <t>APPROVED BY (CISO)</t>
        </is>
      </c>
      <c r="B25" s="6" t="n"/>
      <c r="C25" s="6" t="n"/>
      <c r="D25" s="6" t="n"/>
      <c r="E25" s="6" t="n"/>
    </row>
    <row r="26">
      <c r="A26" s="3" t="inlineStr">
        <is>
          <t>Name:</t>
        </is>
      </c>
      <c r="B26" s="44" t="n"/>
      <c r="C26" s="6" t="n"/>
      <c r="D26" s="6" t="n"/>
      <c r="E26" s="6" t="n"/>
    </row>
    <row r="27">
      <c r="A27" s="3" t="inlineStr">
        <is>
          <t>Title:</t>
        </is>
      </c>
      <c r="B27" s="44" t="n"/>
      <c r="C27" s="6" t="n"/>
      <c r="D27" s="6" t="n"/>
      <c r="E27" s="6" t="n"/>
    </row>
    <row r="28">
      <c r="A28" s="3" t="inlineStr">
        <is>
          <t>Date:</t>
        </is>
      </c>
      <c r="B28" s="44" t="n"/>
      <c r="C28" s="6" t="n"/>
      <c r="D28" s="6" t="n"/>
      <c r="E28" s="6" t="n"/>
    </row>
    <row r="29">
      <c r="A29" s="3" t="inlineStr">
        <is>
          <t>Signature:</t>
        </is>
      </c>
      <c r="B29" s="44" t="n"/>
      <c r="C29" s="6" t="n"/>
      <c r="D29" s="6" t="n"/>
      <c r="E29" s="6" t="n"/>
    </row>
    <row r="30">
      <c r="A30" s="3" t="inlineStr">
        <is>
          <t>Comments:</t>
        </is>
      </c>
      <c r="B30" s="44" t="n"/>
      <c r="C30" s="6" t="n"/>
      <c r="D30" s="6" t="n"/>
      <c r="E30" s="6" t="n"/>
    </row>
    <row r="32">
      <c r="A32" s="3" t="inlineStr">
        <is>
          <t>FINAL DECISION:</t>
        </is>
      </c>
      <c r="B32" s="44" t="n"/>
      <c r="C32" s="6" t="n"/>
      <c r="D32" s="6" t="n"/>
      <c r="E32" s="6" t="n"/>
    </row>
    <row r="35">
      <c r="A35" s="43" t="inlineStr">
        <is>
          <t>NEXT REVIEW DETAILS</t>
        </is>
      </c>
      <c r="B35" s="6" t="n"/>
      <c r="C35" s="6" t="n"/>
      <c r="D35" s="6" t="n"/>
      <c r="E35" s="6" t="n"/>
    </row>
    <row r="36">
      <c r="A36" s="3" t="inlineStr">
        <is>
          <t>Next Review Date:</t>
        </is>
      </c>
      <c r="B36" s="44" t="n"/>
      <c r="C36" s="6" t="n"/>
      <c r="D36" s="6" t="n"/>
      <c r="E36" s="6" t="n"/>
    </row>
    <row r="37">
      <c r="A37" s="3" t="inlineStr">
        <is>
          <t>Review Responsible:</t>
        </is>
      </c>
      <c r="B37" s="44" t="n"/>
      <c r="C37" s="6" t="n"/>
      <c r="D37" s="6" t="n"/>
      <c r="E37" s="6" t="n"/>
    </row>
    <row r="38">
      <c r="A38" s="3" t="inlineStr">
        <is>
          <t>Special Considerations:</t>
        </is>
      </c>
      <c r="B38" s="4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ISMS-IMP-A.5.1-2-6.1-2.S3 — Screening Vetting Assessment Workbook</dc:title>
  <dc:description xmlns:dc="http://purl.org/dc/elements/1.1/">ISMS Implementation Workbook — ISMS-IMP-A.5.1-2-6.1-2.S3</dc:description>
  <dc:subject xmlns:dc="http://purl.org/dc/elements/1.1/">ISO/IEC 27001:2022 — Control A.5.1-2-6.1-2: Information Security Policies and Organisation</dc:subject>
  <dcterms:created xmlns:dcterms="http://purl.org/dc/terms/" xmlns:xsi="http://www.w3.org/2001/XMLSchema-instance" xsi:type="dcterms:W3CDTF">2026-03-07T11:27:18Z</dcterms:created>
  <dcterms:modified xmlns:dcterms="http://purl.org/dc/terms/" xmlns:xsi="http://www.w3.org/2001/XMLSchema-instance" xsi:type="dcterms:W3CDTF">2026-03-07T11:27:19Z</dcterms:modified>
  <cp:keywords>Screening, Vetting, Background Check, ISMS, ISO27001, A.6.1, FADP, GDPR</cp:keywords>
</cp:coreProperties>
</file>