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Contract Template Assessment" sheetId="2" state="visible" r:id="rId2"/>
    <sheet xmlns:r="http://schemas.openxmlformats.org/officeDocument/2006/relationships" name="Required Clause Registry" sheetId="3" state="visible" r:id="rId3"/>
    <sheet xmlns:r="http://schemas.openxmlformats.org/officeDocument/2006/relationships" name="Personnel Contract Compliance" sheetId="4" state="visible" r:id="rId4"/>
    <sheet xmlns:r="http://schemas.openxmlformats.org/officeDocument/2006/relationships" name="Confidentiality NDA Tracking" sheetId="5" state="visible" r:id="rId5"/>
    <sheet xmlns:r="http://schemas.openxmlformats.org/officeDocument/2006/relationships" name="Post Employment Obligations" sheetId="6" state="visible" r:id="rId6"/>
    <sheet xmlns:r="http://schemas.openxmlformats.org/officeDocument/2006/relationships" name="Contractor Agreement Assessment" sheetId="7" state="visible" r:id="rId7"/>
    <sheet xmlns:r="http://schemas.openxmlformats.org/officeDocument/2006/relationships" name="Gap Analysis" sheetId="8" state="visible" r:id="rId8"/>
    <sheet xmlns:r="http://schemas.openxmlformats.org/officeDocument/2006/relationships" name="Evidence Register" sheetId="9" state="visible" r:id="rId9"/>
    <sheet xmlns:r="http://schemas.openxmlformats.org/officeDocument/2006/relationships" name="Summary Dashboard" sheetId="10" state="visible" r:id="rId10"/>
    <sheet xmlns:r="http://schemas.openxmlformats.org/officeDocument/2006/relationships" name="Approval Sign-Off" sheetId="11" state="visible" r:id="rId11"/>
  </sheets>
  <definedNames>
    <definedName name="Template_ID_List">'Contract Template Assessment'!$A$5:$A$54</definedName>
    <definedName name="Employee_ID_List">'Personnel Contract Compliance'!$A$5:$A$54</definedName>
  </definedNames>
  <calcPr calcId="124519" fullCalcOnLoad="1"/>
</workbook>
</file>

<file path=xl/styles.xml><?xml version="1.0" encoding="utf-8"?>
<styleSheet xmlns="http://schemas.openxmlformats.org/spreadsheetml/2006/main">
  <numFmts count="2">
    <numFmt numFmtId="164" formatCode="DD.MM.YYYY"/>
    <numFmt numFmtId="165" formatCode="0.0%"/>
  </numFmts>
  <fonts count="17">
    <font>
      <name val="Calibri"/>
      <family val="2"/>
      <color theme="1"/>
      <sz val="11"/>
      <scheme val="minor"/>
    </font>
    <font>
      <name val="Calibri"/>
      <b val="1"/>
      <color rgb="00FFFFFF"/>
      <sz val="14"/>
    </font>
    <font>
      <name val="Calibri"/>
      <b val="1"/>
      <sz val="12"/>
    </font>
    <font>
      <name val="Calibri"/>
      <b val="1"/>
    </font>
    <font>
      <name val="Calibri"/>
      <b val="1"/>
      <sz val="10"/>
    </font>
    <font>
      <name val="Calibri"/>
      <b val="1"/>
      <color rgb="00FFFFFF"/>
      <sz val="18"/>
    </font>
    <font>
      <name val="Calibri"/>
      <color rgb="00FFFFFF"/>
      <sz val="12"/>
    </font>
    <font>
      <name val="Calibri"/>
      <b val="1"/>
      <color rgb="00000000"/>
      <sz val="10"/>
    </font>
    <font>
      <name val="Calibri"/>
      <i val="1"/>
      <color rgb="00808080"/>
      <sz val="10"/>
    </font>
    <font>
      <name val="Calibri"/>
      <color rgb="00000000"/>
      <sz val="10"/>
    </font>
    <font>
      <name val="Calibri"/>
      <i val="1"/>
      <sz val="10"/>
    </font>
    <font>
      <name val="Calibri"/>
      <b val="1"/>
      <color rgb="00FFFFFF"/>
      <sz val="10"/>
    </font>
    <font>
      <name val="Calibri"/>
      <i val="1"/>
      <color rgb="00003366"/>
      <sz val="10"/>
    </font>
    <font>
      <name val="Calibri"/>
      <b val="1"/>
      <color rgb="00FFFFFF"/>
      <sz val="12"/>
    </font>
    <font>
      <name val="Calibri"/>
      <color rgb="00000000"/>
    </font>
    <font>
      <name val="Calibri"/>
      <b val="1"/>
      <color rgb="00000000"/>
    </font>
    <font>
      <name val="Calibri"/>
      <b val="1"/>
      <color rgb="00FFFFFF"/>
      <sz val="11"/>
    </font>
  </fonts>
  <fills count="17">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003366"/>
        <bgColor rgb="00003366"/>
      </patternFill>
    </fill>
    <fill>
      <patternFill patternType="solid">
        <fgColor rgb="00D9D9D9"/>
        <bgColor rgb="00D9D9D9"/>
      </patternFill>
    </fill>
    <fill>
      <patternFill patternType="solid">
        <fgColor rgb="00F2F2F2"/>
      </patternFill>
    </fill>
    <fill>
      <patternFill patternType="solid">
        <fgColor rgb="00FFFFCC"/>
        <bgColor rgb="00FFFFCC"/>
      </patternFill>
    </fill>
    <fill>
      <patternFill patternType="solid">
        <fgColor rgb="00F2F2F2"/>
        <bgColor rgb="00F2F2F2"/>
      </patternFill>
    </fill>
    <fill>
      <patternFill patternType="solid">
        <fgColor rgb="004472C4"/>
      </patternFill>
    </fill>
    <fill>
      <patternFill patternType="solid">
        <fgColor rgb="00C00000"/>
      </patternFill>
    </fill>
    <fill>
      <patternFill patternType="solid">
        <fgColor rgb="00FFFFFF"/>
      </patternFill>
    </fill>
    <fill>
      <patternFill patternType="solid">
        <fgColor rgb="004472C4"/>
        <bgColor rgb="004472C4"/>
      </patternFill>
    </fill>
  </fills>
  <borders count="7">
    <border>
      <left/>
      <right/>
      <top/>
      <bottom/>
      <diagonal/>
    </border>
    <border>
      <left style="thin"/>
      <right style="thin"/>
      <top style="thin"/>
      <bottom style="thin"/>
    </border>
    <border>
      <left style="thin">
        <color rgb="00000000"/>
      </left>
      <right style="thin">
        <color rgb="00000000"/>
      </right>
      <top style="thin">
        <color rgb="00000000"/>
      </top>
      <bottom style="thin">
        <color rgb="00000000"/>
      </bottom>
    </border>
    <border>
      <left/>
      <right/>
      <top style="thin">
        <color rgb="00000000"/>
      </top>
      <bottom/>
      <diagonal/>
    </border>
    <border>
      <left/>
      <right style="thin">
        <color rgb="00000000"/>
      </right>
      <top style="thin">
        <color rgb="00000000"/>
      </top>
      <bottom/>
      <diagonal/>
    </border>
    <border>
      <left/>
      <right/>
      <top style="thin">
        <color rgb="00000000"/>
      </top>
      <bottom style="thin">
        <color rgb="00000000"/>
      </bottom>
      <diagonal/>
    </border>
    <border>
      <left/>
      <right style="thin">
        <color rgb="00000000"/>
      </right>
      <top style="thin">
        <color rgb="00000000"/>
      </top>
      <bottom style="thin">
        <color rgb="00000000"/>
      </bottom>
      <diagonal/>
    </border>
  </borders>
  <cellStyleXfs count="1">
    <xf numFmtId="0" fontId="0" fillId="0" borderId="0"/>
  </cellStyleXfs>
  <cellXfs count="46">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5" fillId="8" borderId="0" applyAlignment="1" pivotButton="0" quotePrefix="0" xfId="0">
      <alignment horizontal="center" vertical="center" wrapText="1"/>
    </xf>
    <xf numFmtId="0" fontId="6" fillId="8" borderId="0" applyAlignment="1" pivotButton="0" quotePrefix="0" xfId="0">
      <alignment horizontal="center" vertical="center" wrapText="1"/>
    </xf>
    <xf numFmtId="0" fontId="7" fillId="9" borderId="2" applyAlignment="1" pivotButton="0" quotePrefix="0" xfId="0">
      <alignment horizontal="center" vertical="center" wrapText="1"/>
    </xf>
    <xf numFmtId="0" fontId="8" fillId="10" borderId="1" pivotButton="0" quotePrefix="0" xfId="0"/>
    <xf numFmtId="0" fontId="9" fillId="11" borderId="2" applyAlignment="1" pivotButton="0" quotePrefix="0" xfId="0">
      <alignment horizontal="left" vertical="top" wrapText="1"/>
    </xf>
    <xf numFmtId="164" fontId="9" fillId="11" borderId="2" applyAlignment="1" pivotButton="0" quotePrefix="0" xfId="0">
      <alignment horizontal="left" vertical="top" wrapText="1"/>
    </xf>
    <xf numFmtId="0" fontId="9" fillId="9" borderId="2" applyAlignment="1" pivotButton="0" quotePrefix="0" xfId="0">
      <alignment horizontal="left" vertical="top" wrapText="1"/>
    </xf>
    <xf numFmtId="0" fontId="1" fillId="8" borderId="1" applyAlignment="1" pivotButton="0" quotePrefix="0" xfId="0">
      <alignment horizontal="center" vertical="center"/>
    </xf>
    <xf numFmtId="0" fontId="10" fillId="0" borderId="1" applyAlignment="1" pivotButton="0" quotePrefix="0" xfId="0">
      <alignment horizontal="center" vertical="center"/>
    </xf>
    <xf numFmtId="0" fontId="11" fillId="8" borderId="1" applyAlignment="1" pivotButton="0" quotePrefix="0" xfId="0">
      <alignment horizontal="center" vertical="center" wrapText="1"/>
    </xf>
    <xf numFmtId="0" fontId="8" fillId="12" borderId="1" pivotButton="0" quotePrefix="0" xfId="0"/>
    <xf numFmtId="0" fontId="0" fillId="11" borderId="1" applyAlignment="1" pivotButton="0" quotePrefix="0" xfId="0">
      <alignment vertical="center"/>
    </xf>
    <xf numFmtId="0" fontId="1" fillId="2" borderId="2" applyAlignment="1" pivotButton="0" quotePrefix="0" xfId="0">
      <alignment horizontal="center" vertical="center" wrapText="1"/>
    </xf>
    <xf numFmtId="0" fontId="12" fillId="0" borderId="2" applyAlignment="1" pivotButton="0" quotePrefix="0" xfId="0">
      <alignment horizontal="left" vertical="center"/>
    </xf>
    <xf numFmtId="0" fontId="13" fillId="2" borderId="2" applyAlignment="1" pivotButton="0" quotePrefix="0" xfId="0">
      <alignment horizontal="left" vertical="center" wrapText="1"/>
    </xf>
    <xf numFmtId="0" fontId="0" fillId="0" borderId="5" pivotButton="0" quotePrefix="0" xfId="0"/>
    <xf numFmtId="0" fontId="0" fillId="0" borderId="6" pivotButton="0" quotePrefix="0" xfId="0"/>
    <xf numFmtId="0" fontId="11" fillId="13" borderId="2" applyAlignment="1" pivotButton="0" quotePrefix="0" xfId="0">
      <alignment horizontal="left" vertical="center" wrapText="1"/>
    </xf>
    <xf numFmtId="0" fontId="11" fillId="13" borderId="2" applyAlignment="1" pivotButton="0" quotePrefix="0" xfId="0">
      <alignment horizontal="center" vertical="center" wrapText="1"/>
    </xf>
    <xf numFmtId="0" fontId="14" fillId="3" borderId="2" applyAlignment="1" pivotButton="0" quotePrefix="0" xfId="0">
      <alignment horizontal="left" vertical="center" wrapText="1"/>
    </xf>
    <xf numFmtId="0" fontId="14" fillId="3" borderId="2" applyAlignment="1" pivotButton="0" quotePrefix="0" xfId="0">
      <alignment horizontal="center" vertical="center" wrapText="1"/>
    </xf>
    <xf numFmtId="0" fontId="15" fillId="4" borderId="2" applyAlignment="1" pivotButton="0" quotePrefix="0" xfId="0">
      <alignment horizontal="left" vertical="center" wrapText="1"/>
    </xf>
    <xf numFmtId="0" fontId="14" fillId="4" borderId="2" applyAlignment="1" pivotButton="0" quotePrefix="0" xfId="0">
      <alignment horizontal="center" vertical="center" wrapText="1"/>
    </xf>
    <xf numFmtId="0" fontId="7" fillId="4" borderId="2" applyAlignment="1" pivotButton="0" quotePrefix="0" xfId="0">
      <alignment horizontal="center" vertical="center" wrapText="1"/>
    </xf>
    <xf numFmtId="0" fontId="7" fillId="4" borderId="2" applyAlignment="1" pivotButton="0" quotePrefix="0" xfId="0">
      <alignment horizontal="left" vertical="center" wrapText="1"/>
    </xf>
    <xf numFmtId="0" fontId="13" fillId="14" borderId="2" applyAlignment="1" pivotButton="0" quotePrefix="0" xfId="0">
      <alignment horizontal="left" vertical="center" wrapText="1"/>
    </xf>
    <xf numFmtId="0" fontId="15" fillId="15" borderId="2" applyAlignment="1" pivotButton="0" quotePrefix="0" xfId="0">
      <alignment horizontal="left" vertical="center" wrapText="1"/>
    </xf>
    <xf numFmtId="0" fontId="14" fillId="15" borderId="2" applyAlignment="1" pivotButton="0" quotePrefix="0" xfId="0">
      <alignment horizontal="center" vertical="center"/>
    </xf>
    <xf numFmtId="0" fontId="14" fillId="15" borderId="2" applyAlignment="1" pivotButton="0" quotePrefix="0" xfId="0">
      <alignment horizontal="left" vertical="center" wrapText="1"/>
    </xf>
    <xf numFmtId="0" fontId="1" fillId="8" borderId="1" applyAlignment="1" pivotButton="0" quotePrefix="0" xfId="0">
      <alignment horizontal="center" vertical="center" wrapText="1"/>
    </xf>
    <xf numFmtId="0" fontId="12" fillId="0" borderId="1" applyAlignment="1" pivotButton="0" quotePrefix="0" xfId="0">
      <alignment horizontal="center" vertical="center"/>
    </xf>
    <xf numFmtId="0" fontId="16" fillId="16" borderId="1" pivotButton="0" quotePrefix="0" xfId="0"/>
    <xf numFmtId="0" fontId="0" fillId="11" borderId="1" pivotButton="0" quotePrefix="0" xfId="0"/>
    <xf numFmtId="165" fontId="0" fillId="0" borderId="1" pivotButton="0" quotePrefix="0" xfId="0"/>
    <xf numFmtId="0" fontId="16" fillId="8"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9"/>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ISMS-IMP-A.5.1-2-6.1-2.S4  -  Employment Contract Assessment
ISO/IEC 27001:2022 - Control A.5.1-2-6.1-2: Secure Employment and Roles</t>
        </is>
      </c>
    </row>
    <row r="3">
      <c r="A3" s="2" t="inlineStr">
        <is>
          <t>Document Information</t>
        </is>
      </c>
    </row>
    <row r="4">
      <c r="A4" s="3" t="inlineStr">
        <is>
          <t>Document ID</t>
        </is>
      </c>
      <c r="B4" t="inlineStr">
        <is>
          <t>ISMS-IMP-A.5.1-2-6.1-2.S4</t>
        </is>
      </c>
    </row>
    <row r="5">
      <c r="A5" s="3" t="inlineStr">
        <is>
          <t>Workbook Title</t>
        </is>
      </c>
      <c r="B5" t="inlineStr">
        <is>
          <t>Employment Contract Assessment</t>
        </is>
      </c>
    </row>
    <row r="6">
      <c r="A6" s="3" t="inlineStr">
        <is>
          <t>Control Reference</t>
        </is>
      </c>
      <c r="B6" t="inlineStr">
        <is>
          <t>ISO/IEC 27001:2022 - Control A.5.1-2-6.1-2: Secure Employment and Roles</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Review the Dashboard (auto-calculated) for a high-level contractual compliance overview.</t>
        </is>
      </c>
    </row>
    <row r="14">
      <c r="A14" t="inlineStr">
        <is>
          <t>2. Complete the Contract Inventory — list all employment and contractor agreements with security clauses.</t>
        </is>
      </c>
    </row>
    <row r="15">
      <c r="A15" t="inlineStr">
        <is>
          <t>3. Complete Security Clause Verification — confirm NDA, acceptable use, data handling, and incident reporting clauses.</t>
        </is>
      </c>
    </row>
    <row r="16">
      <c r="A16" t="inlineStr">
        <is>
          <t>4. Complete the Onboarding Checklist — verify security briefing, system access provisioning, and device assignment.</t>
        </is>
      </c>
    </row>
    <row r="17">
      <c r="A17" t="inlineStr">
        <is>
          <t>5. Complete the Offboarding Checklist — verify access revocation, device return, and exit interview completion.</t>
        </is>
      </c>
    </row>
    <row r="18">
      <c r="A18" t="inlineStr">
        <is>
          <t>6. Complete the Change Management Register — track contract amendments triggered by role or access changes.</t>
        </is>
      </c>
    </row>
    <row r="19">
      <c r="A19" t="inlineStr">
        <is>
          <t>7. Review the Gap Analysis (auto-populated) — identify missing clauses or unsigned agreements.</t>
        </is>
      </c>
    </row>
    <row r="20">
      <c r="A20" t="inlineStr">
        <is>
          <t>8. Attach audit evidence in the Evidence Register (EV-xxx references).</t>
        </is>
      </c>
    </row>
    <row r="21">
      <c r="A21" t="inlineStr">
        <is>
          <t>9. Create remediation actions in Action Items with owners and target dates.</t>
        </is>
      </c>
    </row>
    <row r="22">
      <c r="A22" t="inlineStr">
        <is>
          <t>10. Obtain three-level stakeholder approval in the Approval Sign-Off sheet.</t>
        </is>
      </c>
    </row>
    <row r="24">
      <c r="A24" s="2" t="inlineStr">
        <is>
          <t>Status Legend</t>
        </is>
      </c>
    </row>
    <row r="25">
      <c r="A25" s="5" t="inlineStr">
        <is>
          <t>Symbol</t>
        </is>
      </c>
      <c r="B25" s="5" t="inlineStr">
        <is>
          <t>Status</t>
        </is>
      </c>
      <c r="C25" s="5" t="inlineStr">
        <is>
          <t>Description</t>
        </is>
      </c>
    </row>
    <row r="26">
      <c r="A26" s="6" t="inlineStr">
        <is>
          <t>✓</t>
        </is>
      </c>
      <c r="B26" s="7" t="inlineStr">
        <is>
          <t>Compliant / Complete</t>
        </is>
      </c>
      <c r="C26" s="8" t="inlineStr">
        <is>
          <t>Requirement fully met</t>
        </is>
      </c>
    </row>
    <row r="27">
      <c r="A27" s="6" t="inlineStr">
        <is>
          <t>⚠</t>
        </is>
      </c>
      <c r="B27" s="9" t="inlineStr">
        <is>
          <t>Partial / In Progress</t>
        </is>
      </c>
      <c r="C27" s="8" t="inlineStr">
        <is>
          <t>Partially met or in progress</t>
        </is>
      </c>
    </row>
    <row r="28">
      <c r="A28" s="6" t="inlineStr">
        <is>
          <t>✗</t>
        </is>
      </c>
      <c r="B28" s="10" t="inlineStr">
        <is>
          <t>Non-Compliant / Not Started</t>
        </is>
      </c>
      <c r="C28" s="8" t="inlineStr">
        <is>
          <t>Requirement not met</t>
        </is>
      </c>
    </row>
    <row r="29">
      <c r="A29" s="6" t="inlineStr">
        <is>
          <t>—</t>
        </is>
      </c>
      <c r="B29" s="8" t="inlineStr">
        <is>
          <t>Not Applicable</t>
        </is>
      </c>
      <c r="C29" s="8" t="inlineStr">
        <is>
          <t>Not applicable to this assessment</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54"/>
  <sheetViews>
    <sheetView showGridLines="0" workbookViewId="0">
      <pane ySplit="3" topLeftCell="A4" activePane="bottomLeft" state="frozen"/>
      <selection pane="bottomLeft" activeCell="A1" sqref="A1"/>
    </sheetView>
  </sheetViews>
  <sheetFormatPr baseColWidth="8" defaultRowHeight="15"/>
  <cols>
    <col width="15" customWidth="1" min="1" max="1"/>
    <col width="35" customWidth="1" min="2" max="2"/>
    <col width="20" customWidth="1" min="3" max="3"/>
    <col width="20" customWidth="1" min="4" max="4"/>
    <col width="12" customWidth="1" min="5" max="5"/>
    <col width="12" customWidth="1" min="6" max="6"/>
    <col width="12" customWidth="1" min="7" max="7"/>
    <col width="12" customWidth="1" min="8" max="8"/>
    <col width="15" customWidth="1" min="9" max="9"/>
    <col width="15" customWidth="1" min="10" max="10"/>
    <col width="12" customWidth="1" min="11" max="11"/>
    <col width="15" customWidth="1" min="12" max="12"/>
    <col width="15" customWidth="1" min="13" max="13"/>
    <col width="40" customWidth="1" min="14" max="14"/>
  </cols>
  <sheetData>
    <row r="1" ht="35" customHeight="1">
      <c r="A1" s="11" t="inlineStr">
        <is>
          <t>CONTRACT TEMPLATE ASSESSMENT</t>
        </is>
      </c>
    </row>
    <row r="2">
      <c r="A2" s="12" t="inlineStr">
        <is>
          <t>Verification of employment contract templates for security clause completeness</t>
        </is>
      </c>
    </row>
    <row r="3">
      <c r="A3" s="13" t="inlineStr">
        <is>
          <t>Template ID</t>
        </is>
      </c>
      <c r="B3" s="13" t="inlineStr">
        <is>
          <t>Template Name</t>
        </is>
      </c>
      <c r="C3" s="13" t="inlineStr">
        <is>
          <t>Template Type</t>
        </is>
      </c>
      <c r="D3" s="13" t="inlineStr">
        <is>
          <t>Personnel Category</t>
        </is>
      </c>
      <c r="E3" s="13" t="inlineStr">
        <is>
          <t>Current Version</t>
        </is>
      </c>
      <c r="F3" s="13" t="inlineStr">
        <is>
          <t>Version Date</t>
        </is>
      </c>
      <c r="G3" s="13" t="inlineStr">
        <is>
          <t>Last Review Date</t>
        </is>
      </c>
      <c r="H3" s="13" t="inlineStr">
        <is>
          <t>Next Review Date</t>
        </is>
      </c>
      <c r="I3" s="13" t="inlineStr">
        <is>
          <t>Security Clauses Count</t>
        </is>
      </c>
      <c r="J3" s="13" t="inlineStr">
        <is>
          <t>Required Clauses Met</t>
        </is>
      </c>
      <c r="K3" s="13" t="inlineStr">
        <is>
          <t>Legal Review Date</t>
        </is>
      </c>
      <c r="L3" s="13" t="inlineStr">
        <is>
          <t>Legal Approved</t>
        </is>
      </c>
      <c r="M3" s="13" t="inlineStr">
        <is>
          <t>Compliance Status</t>
        </is>
      </c>
      <c r="N3" s="13" t="inlineStr">
        <is>
          <t>Notes</t>
        </is>
      </c>
    </row>
    <row r="4">
      <c r="A4" s="14" t="inlineStr">
        <is>
          <t>CTA-EXAMPLE</t>
        </is>
      </c>
      <c r="B4" s="14" t="inlineStr">
        <is>
          <t>Standard Employment Contract</t>
        </is>
      </c>
      <c r="C4" s="14" t="inlineStr">
        <is>
          <t>Employee-Permanent</t>
        </is>
      </c>
      <c r="D4" s="14" t="inlineStr">
        <is>
          <t>All-Personnel</t>
        </is>
      </c>
      <c r="E4" s="14" t="inlineStr">
        <is>
          <t>v2.1</t>
        </is>
      </c>
      <c r="F4" s="14" t="inlineStr">
        <is>
          <t>01.01.2025</t>
        </is>
      </c>
      <c r="G4" s="14" t="inlineStr">
        <is>
          <t>15.01.2026</t>
        </is>
      </c>
      <c r="H4" s="14" t="inlineStr">
        <is>
          <t>15.01.2027</t>
        </is>
      </c>
      <c r="I4" s="14" t="n">
        <v>15</v>
      </c>
      <c r="J4" s="14" t="inlineStr">
        <is>
          <t>Yes</t>
        </is>
      </c>
      <c r="K4" s="14" t="inlineStr">
        <is>
          <t>15.01.2026</t>
        </is>
      </c>
      <c r="L4" s="14" t="inlineStr">
        <is>
          <t>Yes</t>
        </is>
      </c>
      <c r="M4" s="14" t="inlineStr">
        <is>
          <t>Compliant</t>
        </is>
      </c>
      <c r="N4" s="14" t="inlineStr">
        <is>
          <t>Example entry — replace with your contract template details</t>
        </is>
      </c>
    </row>
    <row r="5">
      <c r="A5" s="15" t="n"/>
      <c r="B5" s="15" t="n"/>
      <c r="C5" s="15" t="n"/>
      <c r="D5" s="15" t="n"/>
      <c r="E5" s="15" t="n"/>
      <c r="F5" s="16" t="n"/>
      <c r="G5" s="16" t="n"/>
      <c r="H5" s="16" t="n"/>
      <c r="I5" s="15" t="n"/>
      <c r="J5" s="15" t="n"/>
      <c r="K5" s="16" t="n"/>
      <c r="L5" s="15" t="n"/>
      <c r="M5" s="17">
        <f>IF(B5="","",IF(AND(J5="Yes",L5="Yes",H5&gt;=TODAY()),"Compliant",IF(OR(J5="No",L5="No"),"Non-Compliant","Partial")))</f>
        <v/>
      </c>
      <c r="N5" s="15" t="n"/>
    </row>
    <row r="6">
      <c r="A6" s="15" t="n"/>
      <c r="B6" s="15" t="n"/>
      <c r="C6" s="15" t="n"/>
      <c r="D6" s="15" t="n"/>
      <c r="E6" s="15" t="n"/>
      <c r="F6" s="16" t="n"/>
      <c r="G6" s="16" t="n"/>
      <c r="H6" s="16" t="n"/>
      <c r="I6" s="15" t="n"/>
      <c r="J6" s="15" t="n"/>
      <c r="K6" s="16" t="n"/>
      <c r="L6" s="15" t="n"/>
      <c r="M6" s="17">
        <f>IF(B6="","",IF(AND(J6="Yes",L6="Yes",H6&gt;=TODAY()),"Compliant",IF(OR(J6="No",L6="No"),"Non-Compliant","Partial")))</f>
        <v/>
      </c>
      <c r="N6" s="15" t="n"/>
    </row>
    <row r="7">
      <c r="A7" s="15" t="n"/>
      <c r="B7" s="15" t="n"/>
      <c r="C7" s="15" t="n"/>
      <c r="D7" s="15" t="n"/>
      <c r="E7" s="15" t="n"/>
      <c r="F7" s="16" t="n"/>
      <c r="G7" s="16" t="n"/>
      <c r="H7" s="16" t="n"/>
      <c r="I7" s="15" t="n"/>
      <c r="J7" s="15" t="n"/>
      <c r="K7" s="16" t="n"/>
      <c r="L7" s="15" t="n"/>
      <c r="M7" s="17">
        <f>IF(B7="","",IF(AND(J7="Yes",L7="Yes",H7&gt;=TODAY()),"Compliant",IF(OR(J7="No",L7="No"),"Non-Compliant","Partial")))</f>
        <v/>
      </c>
      <c r="N7" s="15" t="n"/>
    </row>
    <row r="8">
      <c r="A8" s="15" t="n"/>
      <c r="B8" s="15" t="n"/>
      <c r="C8" s="15" t="n"/>
      <c r="D8" s="15" t="n"/>
      <c r="E8" s="15" t="n"/>
      <c r="F8" s="16" t="n"/>
      <c r="G8" s="16" t="n"/>
      <c r="H8" s="16" t="n"/>
      <c r="I8" s="15" t="n"/>
      <c r="J8" s="15" t="n"/>
      <c r="K8" s="16" t="n"/>
      <c r="L8" s="15" t="n"/>
      <c r="M8" s="17">
        <f>IF(B8="","",IF(AND(J8="Yes",L8="Yes",H8&gt;=TODAY()),"Compliant",IF(OR(J8="No",L8="No"),"Non-Compliant","Partial")))</f>
        <v/>
      </c>
      <c r="N8" s="15" t="n"/>
    </row>
    <row r="9">
      <c r="A9" s="15" t="n"/>
      <c r="B9" s="15" t="n"/>
      <c r="C9" s="15" t="n"/>
      <c r="D9" s="15" t="n"/>
      <c r="E9" s="15" t="n"/>
      <c r="F9" s="16" t="n"/>
      <c r="G9" s="16" t="n"/>
      <c r="H9" s="16" t="n"/>
      <c r="I9" s="15" t="n"/>
      <c r="J9" s="15" t="n"/>
      <c r="K9" s="16" t="n"/>
      <c r="L9" s="15" t="n"/>
      <c r="M9" s="17">
        <f>IF(B9="","",IF(AND(J9="Yes",L9="Yes",H9&gt;=TODAY()),"Compliant",IF(OR(J9="No",L9="No"),"Non-Compliant","Partial")))</f>
        <v/>
      </c>
      <c r="N9" s="15" t="n"/>
    </row>
    <row r="10">
      <c r="A10" s="15" t="n"/>
      <c r="B10" s="15" t="n"/>
      <c r="C10" s="15" t="n"/>
      <c r="D10" s="15" t="n"/>
      <c r="E10" s="15" t="n"/>
      <c r="F10" s="16" t="n"/>
      <c r="G10" s="16" t="n"/>
      <c r="H10" s="16" t="n"/>
      <c r="I10" s="15" t="n"/>
      <c r="J10" s="15" t="n"/>
      <c r="K10" s="16" t="n"/>
      <c r="L10" s="15" t="n"/>
      <c r="M10" s="17">
        <f>IF(B10="","",IF(AND(J10="Yes",L10="Yes",H10&gt;=TODAY()),"Compliant",IF(OR(J10="No",L10="No"),"Non-Compliant","Partial")))</f>
        <v/>
      </c>
      <c r="N10" s="15" t="n"/>
    </row>
    <row r="11">
      <c r="A11" s="15" t="n"/>
      <c r="B11" s="15" t="n"/>
      <c r="C11" s="15" t="n"/>
      <c r="D11" s="15" t="n"/>
      <c r="E11" s="15" t="n"/>
      <c r="F11" s="16" t="n"/>
      <c r="G11" s="16" t="n"/>
      <c r="H11" s="16" t="n"/>
      <c r="I11" s="15" t="n"/>
      <c r="J11" s="15" t="n"/>
      <c r="K11" s="16" t="n"/>
      <c r="L11" s="15" t="n"/>
      <c r="M11" s="17">
        <f>IF(B11="","",IF(AND(J11="Yes",L11="Yes",H11&gt;=TODAY()),"Compliant",IF(OR(J11="No",L11="No"),"Non-Compliant","Partial")))</f>
        <v/>
      </c>
      <c r="N11" s="15" t="n"/>
    </row>
    <row r="12">
      <c r="A12" s="15" t="n"/>
      <c r="B12" s="15" t="n"/>
      <c r="C12" s="15" t="n"/>
      <c r="D12" s="15" t="n"/>
      <c r="E12" s="15" t="n"/>
      <c r="F12" s="16" t="n"/>
      <c r="G12" s="16" t="n"/>
      <c r="H12" s="16" t="n"/>
      <c r="I12" s="15" t="n"/>
      <c r="J12" s="15" t="n"/>
      <c r="K12" s="16" t="n"/>
      <c r="L12" s="15" t="n"/>
      <c r="M12" s="17">
        <f>IF(B12="","",IF(AND(J12="Yes",L12="Yes",H12&gt;=TODAY()),"Compliant",IF(OR(J12="No",L12="No"),"Non-Compliant","Partial")))</f>
        <v/>
      </c>
      <c r="N12" s="15" t="n"/>
    </row>
    <row r="13">
      <c r="A13" s="15" t="n"/>
      <c r="B13" s="15" t="n"/>
      <c r="C13" s="15" t="n"/>
      <c r="D13" s="15" t="n"/>
      <c r="E13" s="15" t="n"/>
      <c r="F13" s="16" t="n"/>
      <c r="G13" s="16" t="n"/>
      <c r="H13" s="16" t="n"/>
      <c r="I13" s="15" t="n"/>
      <c r="J13" s="15" t="n"/>
      <c r="K13" s="16" t="n"/>
      <c r="L13" s="15" t="n"/>
      <c r="M13" s="17">
        <f>IF(B13="","",IF(AND(J13="Yes",L13="Yes",H13&gt;=TODAY()),"Compliant",IF(OR(J13="No",L13="No"),"Non-Compliant","Partial")))</f>
        <v/>
      </c>
      <c r="N13" s="15" t="n"/>
    </row>
    <row r="14">
      <c r="A14" s="15" t="n"/>
      <c r="B14" s="15" t="n"/>
      <c r="C14" s="15" t="n"/>
      <c r="D14" s="15" t="n"/>
      <c r="E14" s="15" t="n"/>
      <c r="F14" s="16" t="n"/>
      <c r="G14" s="16" t="n"/>
      <c r="H14" s="16" t="n"/>
      <c r="I14" s="15" t="n"/>
      <c r="J14" s="15" t="n"/>
      <c r="K14" s="16" t="n"/>
      <c r="L14" s="15" t="n"/>
      <c r="M14" s="17">
        <f>IF(B14="","",IF(AND(J14="Yes",L14="Yes",H14&gt;=TODAY()),"Compliant",IF(OR(J14="No",L14="No"),"Non-Compliant","Partial")))</f>
        <v/>
      </c>
      <c r="N14" s="15" t="n"/>
    </row>
    <row r="15">
      <c r="A15" s="15" t="n"/>
      <c r="B15" s="15" t="n"/>
      <c r="C15" s="15" t="n"/>
      <c r="D15" s="15" t="n"/>
      <c r="E15" s="15" t="n"/>
      <c r="F15" s="16" t="n"/>
      <c r="G15" s="16" t="n"/>
      <c r="H15" s="16" t="n"/>
      <c r="I15" s="15" t="n"/>
      <c r="J15" s="15" t="n"/>
      <c r="K15" s="16" t="n"/>
      <c r="L15" s="15" t="n"/>
      <c r="M15" s="17">
        <f>IF(B15="","",IF(AND(J15="Yes",L15="Yes",H15&gt;=TODAY()),"Compliant",IF(OR(J15="No",L15="No"),"Non-Compliant","Partial")))</f>
        <v/>
      </c>
      <c r="N15" s="15" t="n"/>
    </row>
    <row r="16">
      <c r="A16" s="15" t="n"/>
      <c r="B16" s="15" t="n"/>
      <c r="C16" s="15" t="n"/>
      <c r="D16" s="15" t="n"/>
      <c r="E16" s="15" t="n"/>
      <c r="F16" s="16" t="n"/>
      <c r="G16" s="16" t="n"/>
      <c r="H16" s="16" t="n"/>
      <c r="I16" s="15" t="n"/>
      <c r="J16" s="15" t="n"/>
      <c r="K16" s="16" t="n"/>
      <c r="L16" s="15" t="n"/>
      <c r="M16" s="17">
        <f>IF(B16="","",IF(AND(J16="Yes",L16="Yes",H16&gt;=TODAY()),"Compliant",IF(OR(J16="No",L16="No"),"Non-Compliant","Partial")))</f>
        <v/>
      </c>
      <c r="N16" s="15" t="n"/>
    </row>
    <row r="17">
      <c r="A17" s="15" t="n"/>
      <c r="B17" s="15" t="n"/>
      <c r="C17" s="15" t="n"/>
      <c r="D17" s="15" t="n"/>
      <c r="E17" s="15" t="n"/>
      <c r="F17" s="16" t="n"/>
      <c r="G17" s="16" t="n"/>
      <c r="H17" s="16" t="n"/>
      <c r="I17" s="15" t="n"/>
      <c r="J17" s="15" t="n"/>
      <c r="K17" s="16" t="n"/>
      <c r="L17" s="15" t="n"/>
      <c r="M17" s="17">
        <f>IF(B17="","",IF(AND(J17="Yes",L17="Yes",H17&gt;=TODAY()),"Compliant",IF(OR(J17="No",L17="No"),"Non-Compliant","Partial")))</f>
        <v/>
      </c>
      <c r="N17" s="15" t="n"/>
    </row>
    <row r="18">
      <c r="A18" s="15" t="n"/>
      <c r="B18" s="15" t="n"/>
      <c r="C18" s="15" t="n"/>
      <c r="D18" s="15" t="n"/>
      <c r="E18" s="15" t="n"/>
      <c r="F18" s="16" t="n"/>
      <c r="G18" s="16" t="n"/>
      <c r="H18" s="16" t="n"/>
      <c r="I18" s="15" t="n"/>
      <c r="J18" s="15" t="n"/>
      <c r="K18" s="16" t="n"/>
      <c r="L18" s="15" t="n"/>
      <c r="M18" s="17">
        <f>IF(B18="","",IF(AND(J18="Yes",L18="Yes",H18&gt;=TODAY()),"Compliant",IF(OR(J18="No",L18="No"),"Non-Compliant","Partial")))</f>
        <v/>
      </c>
      <c r="N18" s="15" t="n"/>
    </row>
    <row r="19">
      <c r="A19" s="15" t="n"/>
      <c r="B19" s="15" t="n"/>
      <c r="C19" s="15" t="n"/>
      <c r="D19" s="15" t="n"/>
      <c r="E19" s="15" t="n"/>
      <c r="F19" s="16" t="n"/>
      <c r="G19" s="16" t="n"/>
      <c r="H19" s="16" t="n"/>
      <c r="I19" s="15" t="n"/>
      <c r="J19" s="15" t="n"/>
      <c r="K19" s="16" t="n"/>
      <c r="L19" s="15" t="n"/>
      <c r="M19" s="17">
        <f>IF(B19="","",IF(AND(J19="Yes",L19="Yes",H19&gt;=TODAY()),"Compliant",IF(OR(J19="No",L19="No"),"Non-Compliant","Partial")))</f>
        <v/>
      </c>
      <c r="N19" s="15" t="n"/>
    </row>
    <row r="20">
      <c r="A20" s="15" t="n"/>
      <c r="B20" s="15" t="n"/>
      <c r="C20" s="15" t="n"/>
      <c r="D20" s="15" t="n"/>
      <c r="E20" s="15" t="n"/>
      <c r="F20" s="16" t="n"/>
      <c r="G20" s="16" t="n"/>
      <c r="H20" s="16" t="n"/>
      <c r="I20" s="15" t="n"/>
      <c r="J20" s="15" t="n"/>
      <c r="K20" s="16" t="n"/>
      <c r="L20" s="15" t="n"/>
      <c r="M20" s="17">
        <f>IF(B20="","",IF(AND(J20="Yes",L20="Yes",H20&gt;=TODAY()),"Compliant",IF(OR(J20="No",L20="No"),"Non-Compliant","Partial")))</f>
        <v/>
      </c>
      <c r="N20" s="15" t="n"/>
    </row>
    <row r="21">
      <c r="A21" s="15" t="n"/>
      <c r="B21" s="15" t="n"/>
      <c r="C21" s="15" t="n"/>
      <c r="D21" s="15" t="n"/>
      <c r="E21" s="15" t="n"/>
      <c r="F21" s="16" t="n"/>
      <c r="G21" s="16" t="n"/>
      <c r="H21" s="16" t="n"/>
      <c r="I21" s="15" t="n"/>
      <c r="J21" s="15" t="n"/>
      <c r="K21" s="16" t="n"/>
      <c r="L21" s="15" t="n"/>
      <c r="M21" s="17">
        <f>IF(B21="","",IF(AND(J21="Yes",L21="Yes",H21&gt;=TODAY()),"Compliant",IF(OR(J21="No",L21="No"),"Non-Compliant","Partial")))</f>
        <v/>
      </c>
      <c r="N21" s="15" t="n"/>
    </row>
    <row r="22">
      <c r="A22" s="15" t="n"/>
      <c r="B22" s="15" t="n"/>
      <c r="C22" s="15" t="n"/>
      <c r="D22" s="15" t="n"/>
      <c r="E22" s="15" t="n"/>
      <c r="F22" s="16" t="n"/>
      <c r="G22" s="16" t="n"/>
      <c r="H22" s="16" t="n"/>
      <c r="I22" s="15" t="n"/>
      <c r="J22" s="15" t="n"/>
      <c r="K22" s="16" t="n"/>
      <c r="L22" s="15" t="n"/>
      <c r="M22" s="17">
        <f>IF(B22="","",IF(AND(J22="Yes",L22="Yes",H22&gt;=TODAY()),"Compliant",IF(OR(J22="No",L22="No"),"Non-Compliant","Partial")))</f>
        <v/>
      </c>
      <c r="N22" s="15" t="n"/>
    </row>
    <row r="23">
      <c r="A23" s="15" t="n"/>
      <c r="B23" s="15" t="n"/>
      <c r="C23" s="15" t="n"/>
      <c r="D23" s="15" t="n"/>
      <c r="E23" s="15" t="n"/>
      <c r="F23" s="16" t="n"/>
      <c r="G23" s="16" t="n"/>
      <c r="H23" s="16" t="n"/>
      <c r="I23" s="15" t="n"/>
      <c r="J23" s="15" t="n"/>
      <c r="K23" s="16" t="n"/>
      <c r="L23" s="15" t="n"/>
      <c r="M23" s="17">
        <f>IF(B23="","",IF(AND(J23="Yes",L23="Yes",H23&gt;=TODAY()),"Compliant",IF(OR(J23="No",L23="No"),"Non-Compliant","Partial")))</f>
        <v/>
      </c>
      <c r="N23" s="15" t="n"/>
    </row>
    <row r="24">
      <c r="A24" s="15" t="n"/>
      <c r="B24" s="15" t="n"/>
      <c r="C24" s="15" t="n"/>
      <c r="D24" s="15" t="n"/>
      <c r="E24" s="15" t="n"/>
      <c r="F24" s="16" t="n"/>
      <c r="G24" s="16" t="n"/>
      <c r="H24" s="16" t="n"/>
      <c r="I24" s="15" t="n"/>
      <c r="J24" s="15" t="n"/>
      <c r="K24" s="16" t="n"/>
      <c r="L24" s="15" t="n"/>
      <c r="M24" s="17">
        <f>IF(B24="","",IF(AND(J24="Yes",L24="Yes",H24&gt;=TODAY()),"Compliant",IF(OR(J24="No",L24="No"),"Non-Compliant","Partial")))</f>
        <v/>
      </c>
      <c r="N24" s="15" t="n"/>
    </row>
    <row r="25">
      <c r="A25" s="15" t="n"/>
      <c r="B25" s="15" t="n"/>
      <c r="C25" s="15" t="n"/>
      <c r="D25" s="15" t="n"/>
      <c r="E25" s="15" t="n"/>
      <c r="F25" s="16" t="n"/>
      <c r="G25" s="16" t="n"/>
      <c r="H25" s="16" t="n"/>
      <c r="I25" s="15" t="n"/>
      <c r="J25" s="15" t="n"/>
      <c r="K25" s="16" t="n"/>
      <c r="L25" s="15" t="n"/>
      <c r="M25" s="17">
        <f>IF(B25="","",IF(AND(J25="Yes",L25="Yes",H25&gt;=TODAY()),"Compliant",IF(OR(J25="No",L25="No"),"Non-Compliant","Partial")))</f>
        <v/>
      </c>
      <c r="N25" s="15" t="n"/>
    </row>
    <row r="26">
      <c r="A26" s="15" t="n"/>
      <c r="B26" s="15" t="n"/>
      <c r="C26" s="15" t="n"/>
      <c r="D26" s="15" t="n"/>
      <c r="E26" s="15" t="n"/>
      <c r="F26" s="16" t="n"/>
      <c r="G26" s="16" t="n"/>
      <c r="H26" s="16" t="n"/>
      <c r="I26" s="15" t="n"/>
      <c r="J26" s="15" t="n"/>
      <c r="K26" s="16" t="n"/>
      <c r="L26" s="15" t="n"/>
      <c r="M26" s="17">
        <f>IF(B26="","",IF(AND(J26="Yes",L26="Yes",H26&gt;=TODAY()),"Compliant",IF(OR(J26="No",L26="No"),"Non-Compliant","Partial")))</f>
        <v/>
      </c>
      <c r="N26" s="15" t="n"/>
    </row>
    <row r="27">
      <c r="A27" s="15" t="n"/>
      <c r="B27" s="15" t="n"/>
      <c r="C27" s="15" t="n"/>
      <c r="D27" s="15" t="n"/>
      <c r="E27" s="15" t="n"/>
      <c r="F27" s="16" t="n"/>
      <c r="G27" s="16" t="n"/>
      <c r="H27" s="16" t="n"/>
      <c r="I27" s="15" t="n"/>
      <c r="J27" s="15" t="n"/>
      <c r="K27" s="16" t="n"/>
      <c r="L27" s="15" t="n"/>
      <c r="M27" s="17">
        <f>IF(B27="","",IF(AND(J27="Yes",L27="Yes",H27&gt;=TODAY()),"Compliant",IF(OR(J27="No",L27="No"),"Non-Compliant","Partial")))</f>
        <v/>
      </c>
      <c r="N27" s="15" t="n"/>
    </row>
    <row r="28">
      <c r="A28" s="15" t="n"/>
      <c r="B28" s="15" t="n"/>
      <c r="C28" s="15" t="n"/>
      <c r="D28" s="15" t="n"/>
      <c r="E28" s="15" t="n"/>
      <c r="F28" s="16" t="n"/>
      <c r="G28" s="16" t="n"/>
      <c r="H28" s="16" t="n"/>
      <c r="I28" s="15" t="n"/>
      <c r="J28" s="15" t="n"/>
      <c r="K28" s="16" t="n"/>
      <c r="L28" s="15" t="n"/>
      <c r="M28" s="17">
        <f>IF(B28="","",IF(AND(J28="Yes",L28="Yes",H28&gt;=TODAY()),"Compliant",IF(OR(J28="No",L28="No"),"Non-Compliant","Partial")))</f>
        <v/>
      </c>
      <c r="N28" s="15" t="n"/>
    </row>
    <row r="29">
      <c r="A29" s="15" t="n"/>
      <c r="B29" s="15" t="n"/>
      <c r="C29" s="15" t="n"/>
      <c r="D29" s="15" t="n"/>
      <c r="E29" s="15" t="n"/>
      <c r="F29" s="16" t="n"/>
      <c r="G29" s="16" t="n"/>
      <c r="H29" s="16" t="n"/>
      <c r="I29" s="15" t="n"/>
      <c r="J29" s="15" t="n"/>
      <c r="K29" s="16" t="n"/>
      <c r="L29" s="15" t="n"/>
      <c r="M29" s="17">
        <f>IF(B29="","",IF(AND(J29="Yes",L29="Yes",H29&gt;=TODAY()),"Compliant",IF(OR(J29="No",L29="No"),"Non-Compliant","Partial")))</f>
        <v/>
      </c>
      <c r="N29" s="15" t="n"/>
    </row>
    <row r="30">
      <c r="A30" s="15" t="n"/>
      <c r="B30" s="15" t="n"/>
      <c r="C30" s="15" t="n"/>
      <c r="D30" s="15" t="n"/>
      <c r="E30" s="15" t="n"/>
      <c r="F30" s="16" t="n"/>
      <c r="G30" s="16" t="n"/>
      <c r="H30" s="16" t="n"/>
      <c r="I30" s="15" t="n"/>
      <c r="J30" s="15" t="n"/>
      <c r="K30" s="16" t="n"/>
      <c r="L30" s="15" t="n"/>
      <c r="M30" s="17">
        <f>IF(B30="","",IF(AND(J30="Yes",L30="Yes",H30&gt;=TODAY()),"Compliant",IF(OR(J30="No",L30="No"),"Non-Compliant","Partial")))</f>
        <v/>
      </c>
      <c r="N30" s="15" t="n"/>
    </row>
    <row r="31">
      <c r="A31" s="15" t="n"/>
      <c r="B31" s="15" t="n"/>
      <c r="C31" s="15" t="n"/>
      <c r="D31" s="15" t="n"/>
      <c r="E31" s="15" t="n"/>
      <c r="F31" s="16" t="n"/>
      <c r="G31" s="16" t="n"/>
      <c r="H31" s="16" t="n"/>
      <c r="I31" s="15" t="n"/>
      <c r="J31" s="15" t="n"/>
      <c r="K31" s="16" t="n"/>
      <c r="L31" s="15" t="n"/>
      <c r="M31" s="17">
        <f>IF(B31="","",IF(AND(J31="Yes",L31="Yes",H31&gt;=TODAY()),"Compliant",IF(OR(J31="No",L31="No"),"Non-Compliant","Partial")))</f>
        <v/>
      </c>
      <c r="N31" s="15" t="n"/>
    </row>
    <row r="32">
      <c r="A32" s="15" t="n"/>
      <c r="B32" s="15" t="n"/>
      <c r="C32" s="15" t="n"/>
      <c r="D32" s="15" t="n"/>
      <c r="E32" s="15" t="n"/>
      <c r="F32" s="16" t="n"/>
      <c r="G32" s="16" t="n"/>
      <c r="H32" s="16" t="n"/>
      <c r="I32" s="15" t="n"/>
      <c r="J32" s="15" t="n"/>
      <c r="K32" s="16" t="n"/>
      <c r="L32" s="15" t="n"/>
      <c r="M32" s="17">
        <f>IF(B32="","",IF(AND(J32="Yes",L32="Yes",H32&gt;=TODAY()),"Compliant",IF(OR(J32="No",L32="No"),"Non-Compliant","Partial")))</f>
        <v/>
      </c>
      <c r="N32" s="15" t="n"/>
    </row>
    <row r="33">
      <c r="A33" s="15" t="n"/>
      <c r="B33" s="15" t="n"/>
      <c r="C33" s="15" t="n"/>
      <c r="D33" s="15" t="n"/>
      <c r="E33" s="15" t="n"/>
      <c r="F33" s="16" t="n"/>
      <c r="G33" s="16" t="n"/>
      <c r="H33" s="16" t="n"/>
      <c r="I33" s="15" t="n"/>
      <c r="J33" s="15" t="n"/>
      <c r="K33" s="16" t="n"/>
      <c r="L33" s="15" t="n"/>
      <c r="M33" s="17">
        <f>IF(B33="","",IF(AND(J33="Yes",L33="Yes",H33&gt;=TODAY()),"Compliant",IF(OR(J33="No",L33="No"),"Non-Compliant","Partial")))</f>
        <v/>
      </c>
      <c r="N33" s="15" t="n"/>
    </row>
    <row r="34">
      <c r="A34" s="15" t="n"/>
      <c r="B34" s="15" t="n"/>
      <c r="C34" s="15" t="n"/>
      <c r="D34" s="15" t="n"/>
      <c r="E34" s="15" t="n"/>
      <c r="F34" s="16" t="n"/>
      <c r="G34" s="16" t="n"/>
      <c r="H34" s="16" t="n"/>
      <c r="I34" s="15" t="n"/>
      <c r="J34" s="15" t="n"/>
      <c r="K34" s="16" t="n"/>
      <c r="L34" s="15" t="n"/>
      <c r="M34" s="17">
        <f>IF(B34="","",IF(AND(J34="Yes",L34="Yes",H34&gt;=TODAY()),"Compliant",IF(OR(J34="No",L34="No"),"Non-Compliant","Partial")))</f>
        <v/>
      </c>
      <c r="N34" s="15" t="n"/>
    </row>
    <row r="35">
      <c r="A35" s="15" t="n"/>
      <c r="B35" s="15" t="n"/>
      <c r="C35" s="15" t="n"/>
      <c r="D35" s="15" t="n"/>
      <c r="E35" s="15" t="n"/>
      <c r="F35" s="16" t="n"/>
      <c r="G35" s="16" t="n"/>
      <c r="H35" s="16" t="n"/>
      <c r="I35" s="15" t="n"/>
      <c r="J35" s="15" t="n"/>
      <c r="K35" s="16" t="n"/>
      <c r="L35" s="15" t="n"/>
      <c r="M35" s="17">
        <f>IF(B35="","",IF(AND(J35="Yes",L35="Yes",H35&gt;=TODAY()),"Compliant",IF(OR(J35="No",L35="No"),"Non-Compliant","Partial")))</f>
        <v/>
      </c>
      <c r="N35" s="15" t="n"/>
    </row>
    <row r="36">
      <c r="A36" s="15" t="n"/>
      <c r="B36" s="15" t="n"/>
      <c r="C36" s="15" t="n"/>
      <c r="D36" s="15" t="n"/>
      <c r="E36" s="15" t="n"/>
      <c r="F36" s="16" t="n"/>
      <c r="G36" s="16" t="n"/>
      <c r="H36" s="16" t="n"/>
      <c r="I36" s="15" t="n"/>
      <c r="J36" s="15" t="n"/>
      <c r="K36" s="16" t="n"/>
      <c r="L36" s="15" t="n"/>
      <c r="M36" s="17">
        <f>IF(B36="","",IF(AND(J36="Yes",L36="Yes",H36&gt;=TODAY()),"Compliant",IF(OR(J36="No",L36="No"),"Non-Compliant","Partial")))</f>
        <v/>
      </c>
      <c r="N36" s="15" t="n"/>
    </row>
    <row r="37">
      <c r="A37" s="15" t="n"/>
      <c r="B37" s="15" t="n"/>
      <c r="C37" s="15" t="n"/>
      <c r="D37" s="15" t="n"/>
      <c r="E37" s="15" t="n"/>
      <c r="F37" s="16" t="n"/>
      <c r="G37" s="16" t="n"/>
      <c r="H37" s="16" t="n"/>
      <c r="I37" s="15" t="n"/>
      <c r="J37" s="15" t="n"/>
      <c r="K37" s="16" t="n"/>
      <c r="L37" s="15" t="n"/>
      <c r="M37" s="17">
        <f>IF(B37="","",IF(AND(J37="Yes",L37="Yes",H37&gt;=TODAY()),"Compliant",IF(OR(J37="No",L37="No"),"Non-Compliant","Partial")))</f>
        <v/>
      </c>
      <c r="N37" s="15" t="n"/>
    </row>
    <row r="38">
      <c r="A38" s="15" t="n"/>
      <c r="B38" s="15" t="n"/>
      <c r="C38" s="15" t="n"/>
      <c r="D38" s="15" t="n"/>
      <c r="E38" s="15" t="n"/>
      <c r="F38" s="16" t="n"/>
      <c r="G38" s="16" t="n"/>
      <c r="H38" s="16" t="n"/>
      <c r="I38" s="15" t="n"/>
      <c r="J38" s="15" t="n"/>
      <c r="K38" s="16" t="n"/>
      <c r="L38" s="15" t="n"/>
      <c r="M38" s="17">
        <f>IF(B38="","",IF(AND(J38="Yes",L38="Yes",H38&gt;=TODAY()),"Compliant",IF(OR(J38="No",L38="No"),"Non-Compliant","Partial")))</f>
        <v/>
      </c>
      <c r="N38" s="15" t="n"/>
    </row>
    <row r="39">
      <c r="A39" s="15" t="n"/>
      <c r="B39" s="15" t="n"/>
      <c r="C39" s="15" t="n"/>
      <c r="D39" s="15" t="n"/>
      <c r="E39" s="15" t="n"/>
      <c r="F39" s="16" t="n"/>
      <c r="G39" s="16" t="n"/>
      <c r="H39" s="16" t="n"/>
      <c r="I39" s="15" t="n"/>
      <c r="J39" s="15" t="n"/>
      <c r="K39" s="16" t="n"/>
      <c r="L39" s="15" t="n"/>
      <c r="M39" s="17">
        <f>IF(B39="","",IF(AND(J39="Yes",L39="Yes",H39&gt;=TODAY()),"Compliant",IF(OR(J39="No",L39="No"),"Non-Compliant","Partial")))</f>
        <v/>
      </c>
      <c r="N39" s="15" t="n"/>
    </row>
    <row r="40">
      <c r="A40" s="15" t="n"/>
      <c r="B40" s="15" t="n"/>
      <c r="C40" s="15" t="n"/>
      <c r="D40" s="15" t="n"/>
      <c r="E40" s="15" t="n"/>
      <c r="F40" s="16" t="n"/>
      <c r="G40" s="16" t="n"/>
      <c r="H40" s="16" t="n"/>
      <c r="I40" s="15" t="n"/>
      <c r="J40" s="15" t="n"/>
      <c r="K40" s="16" t="n"/>
      <c r="L40" s="15" t="n"/>
      <c r="M40" s="17">
        <f>IF(B40="","",IF(AND(J40="Yes",L40="Yes",H40&gt;=TODAY()),"Compliant",IF(OR(J40="No",L40="No"),"Non-Compliant","Partial")))</f>
        <v/>
      </c>
      <c r="N40" s="15" t="n"/>
    </row>
    <row r="41">
      <c r="A41" s="15" t="n"/>
      <c r="B41" s="15" t="n"/>
      <c r="C41" s="15" t="n"/>
      <c r="D41" s="15" t="n"/>
      <c r="E41" s="15" t="n"/>
      <c r="F41" s="16" t="n"/>
      <c r="G41" s="16" t="n"/>
      <c r="H41" s="16" t="n"/>
      <c r="I41" s="15" t="n"/>
      <c r="J41" s="15" t="n"/>
      <c r="K41" s="16" t="n"/>
      <c r="L41" s="15" t="n"/>
      <c r="M41" s="17">
        <f>IF(B41="","",IF(AND(J41="Yes",L41="Yes",H41&gt;=TODAY()),"Compliant",IF(OR(J41="No",L41="No"),"Non-Compliant","Partial")))</f>
        <v/>
      </c>
      <c r="N41" s="15" t="n"/>
    </row>
    <row r="42">
      <c r="A42" s="15" t="n"/>
      <c r="B42" s="15" t="n"/>
      <c r="C42" s="15" t="n"/>
      <c r="D42" s="15" t="n"/>
      <c r="E42" s="15" t="n"/>
      <c r="F42" s="16" t="n"/>
      <c r="G42" s="16" t="n"/>
      <c r="H42" s="16" t="n"/>
      <c r="I42" s="15" t="n"/>
      <c r="J42" s="15" t="n"/>
      <c r="K42" s="16" t="n"/>
      <c r="L42" s="15" t="n"/>
      <c r="M42" s="17">
        <f>IF(B42="","",IF(AND(J42="Yes",L42="Yes",H42&gt;=TODAY()),"Compliant",IF(OR(J42="No",L42="No"),"Non-Compliant","Partial")))</f>
        <v/>
      </c>
      <c r="N42" s="15" t="n"/>
    </row>
    <row r="43">
      <c r="A43" s="15" t="n"/>
      <c r="B43" s="15" t="n"/>
      <c r="C43" s="15" t="n"/>
      <c r="D43" s="15" t="n"/>
      <c r="E43" s="15" t="n"/>
      <c r="F43" s="16" t="n"/>
      <c r="G43" s="16" t="n"/>
      <c r="H43" s="16" t="n"/>
      <c r="I43" s="15" t="n"/>
      <c r="J43" s="15" t="n"/>
      <c r="K43" s="16" t="n"/>
      <c r="L43" s="15" t="n"/>
      <c r="M43" s="17">
        <f>IF(B43="","",IF(AND(J43="Yes",L43="Yes",H43&gt;=TODAY()),"Compliant",IF(OR(J43="No",L43="No"),"Non-Compliant","Partial")))</f>
        <v/>
      </c>
      <c r="N43" s="15" t="n"/>
    </row>
    <row r="44">
      <c r="A44" s="15" t="n"/>
      <c r="B44" s="15" t="n"/>
      <c r="C44" s="15" t="n"/>
      <c r="D44" s="15" t="n"/>
      <c r="E44" s="15" t="n"/>
      <c r="F44" s="16" t="n"/>
      <c r="G44" s="16" t="n"/>
      <c r="H44" s="16" t="n"/>
      <c r="I44" s="15" t="n"/>
      <c r="J44" s="15" t="n"/>
      <c r="K44" s="16" t="n"/>
      <c r="L44" s="15" t="n"/>
      <c r="M44" s="17">
        <f>IF(B44="","",IF(AND(J44="Yes",L44="Yes",H44&gt;=TODAY()),"Compliant",IF(OR(J44="No",L44="No"),"Non-Compliant","Partial")))</f>
        <v/>
      </c>
      <c r="N44" s="15" t="n"/>
    </row>
    <row r="45">
      <c r="A45" s="15" t="n"/>
      <c r="B45" s="15" t="n"/>
      <c r="C45" s="15" t="n"/>
      <c r="D45" s="15" t="n"/>
      <c r="E45" s="15" t="n"/>
      <c r="F45" s="16" t="n"/>
      <c r="G45" s="16" t="n"/>
      <c r="H45" s="16" t="n"/>
      <c r="I45" s="15" t="n"/>
      <c r="J45" s="15" t="n"/>
      <c r="K45" s="16" t="n"/>
      <c r="L45" s="15" t="n"/>
      <c r="M45" s="17">
        <f>IF(B45="","",IF(AND(J45="Yes",L45="Yes",H45&gt;=TODAY()),"Compliant",IF(OR(J45="No",L45="No"),"Non-Compliant","Partial")))</f>
        <v/>
      </c>
      <c r="N45" s="15" t="n"/>
    </row>
    <row r="46">
      <c r="A46" s="15" t="n"/>
      <c r="B46" s="15" t="n"/>
      <c r="C46" s="15" t="n"/>
      <c r="D46" s="15" t="n"/>
      <c r="E46" s="15" t="n"/>
      <c r="F46" s="16" t="n"/>
      <c r="G46" s="16" t="n"/>
      <c r="H46" s="16" t="n"/>
      <c r="I46" s="15" t="n"/>
      <c r="J46" s="15" t="n"/>
      <c r="K46" s="16" t="n"/>
      <c r="L46" s="15" t="n"/>
      <c r="M46" s="17">
        <f>IF(B46="","",IF(AND(J46="Yes",L46="Yes",H46&gt;=TODAY()),"Compliant",IF(OR(J46="No",L46="No"),"Non-Compliant","Partial")))</f>
        <v/>
      </c>
      <c r="N46" s="15" t="n"/>
    </row>
    <row r="47">
      <c r="A47" s="15" t="n"/>
      <c r="B47" s="15" t="n"/>
      <c r="C47" s="15" t="n"/>
      <c r="D47" s="15" t="n"/>
      <c r="E47" s="15" t="n"/>
      <c r="F47" s="16" t="n"/>
      <c r="G47" s="16" t="n"/>
      <c r="H47" s="16" t="n"/>
      <c r="I47" s="15" t="n"/>
      <c r="J47" s="15" t="n"/>
      <c r="K47" s="16" t="n"/>
      <c r="L47" s="15" t="n"/>
      <c r="M47" s="17">
        <f>IF(B47="","",IF(AND(J47="Yes",L47="Yes",H47&gt;=TODAY()),"Compliant",IF(OR(J47="No",L47="No"),"Non-Compliant","Partial")))</f>
        <v/>
      </c>
      <c r="N47" s="15" t="n"/>
    </row>
    <row r="48">
      <c r="A48" s="15" t="n"/>
      <c r="B48" s="15" t="n"/>
      <c r="C48" s="15" t="n"/>
      <c r="D48" s="15" t="n"/>
      <c r="E48" s="15" t="n"/>
      <c r="F48" s="16" t="n"/>
      <c r="G48" s="16" t="n"/>
      <c r="H48" s="16" t="n"/>
      <c r="I48" s="15" t="n"/>
      <c r="J48" s="15" t="n"/>
      <c r="K48" s="16" t="n"/>
      <c r="L48" s="15" t="n"/>
      <c r="M48" s="17">
        <f>IF(B48="","",IF(AND(J48="Yes",L48="Yes",H48&gt;=TODAY()),"Compliant",IF(OR(J48="No",L48="No"),"Non-Compliant","Partial")))</f>
        <v/>
      </c>
      <c r="N48" s="15" t="n"/>
    </row>
    <row r="49">
      <c r="A49" s="15" t="n"/>
      <c r="B49" s="15" t="n"/>
      <c r="C49" s="15" t="n"/>
      <c r="D49" s="15" t="n"/>
      <c r="E49" s="15" t="n"/>
      <c r="F49" s="16" t="n"/>
      <c r="G49" s="16" t="n"/>
      <c r="H49" s="16" t="n"/>
      <c r="I49" s="15" t="n"/>
      <c r="J49" s="15" t="n"/>
      <c r="K49" s="16" t="n"/>
      <c r="L49" s="15" t="n"/>
      <c r="M49" s="17">
        <f>IF(B49="","",IF(AND(J49="Yes",L49="Yes",H49&gt;=TODAY()),"Compliant",IF(OR(J49="No",L49="No"),"Non-Compliant","Partial")))</f>
        <v/>
      </c>
      <c r="N49" s="15" t="n"/>
    </row>
    <row r="50">
      <c r="A50" s="15" t="n"/>
      <c r="B50" s="15" t="n"/>
      <c r="C50" s="15" t="n"/>
      <c r="D50" s="15" t="n"/>
      <c r="E50" s="15" t="n"/>
      <c r="F50" s="16" t="n"/>
      <c r="G50" s="16" t="n"/>
      <c r="H50" s="16" t="n"/>
      <c r="I50" s="15" t="n"/>
      <c r="J50" s="15" t="n"/>
      <c r="K50" s="16" t="n"/>
      <c r="L50" s="15" t="n"/>
      <c r="M50" s="17">
        <f>IF(B50="","",IF(AND(J50="Yes",L50="Yes",H50&gt;=TODAY()),"Compliant",IF(OR(J50="No",L50="No"),"Non-Compliant","Partial")))</f>
        <v/>
      </c>
      <c r="N50" s="15" t="n"/>
    </row>
    <row r="51">
      <c r="A51" s="15" t="n"/>
      <c r="B51" s="15" t="n"/>
      <c r="C51" s="15" t="n"/>
      <c r="D51" s="15" t="n"/>
      <c r="E51" s="15" t="n"/>
      <c r="F51" s="16" t="n"/>
      <c r="G51" s="16" t="n"/>
      <c r="H51" s="16" t="n"/>
      <c r="I51" s="15" t="n"/>
      <c r="J51" s="15" t="n"/>
      <c r="K51" s="16" t="n"/>
      <c r="L51" s="15" t="n"/>
      <c r="M51" s="17">
        <f>IF(B51="","",IF(AND(J51="Yes",L51="Yes",H51&gt;=TODAY()),"Compliant",IF(OR(J51="No",L51="No"),"Non-Compliant","Partial")))</f>
        <v/>
      </c>
      <c r="N51" s="15" t="n"/>
    </row>
    <row r="52">
      <c r="A52" s="15" t="n"/>
      <c r="B52" s="15" t="n"/>
      <c r="C52" s="15" t="n"/>
      <c r="D52" s="15" t="n"/>
      <c r="E52" s="15" t="n"/>
      <c r="F52" s="16" t="n"/>
      <c r="G52" s="16" t="n"/>
      <c r="H52" s="16" t="n"/>
      <c r="I52" s="15" t="n"/>
      <c r="J52" s="15" t="n"/>
      <c r="K52" s="16" t="n"/>
      <c r="L52" s="15" t="n"/>
      <c r="M52" s="17">
        <f>IF(B52="","",IF(AND(J52="Yes",L52="Yes",H52&gt;=TODAY()),"Compliant",IF(OR(J52="No",L52="No"),"Non-Compliant","Partial")))</f>
        <v/>
      </c>
      <c r="N52" s="15" t="n"/>
    </row>
    <row r="53">
      <c r="A53" s="15" t="n"/>
      <c r="B53" s="15" t="n"/>
      <c r="C53" s="15" t="n"/>
      <c r="D53" s="15" t="n"/>
      <c r="E53" s="15" t="n"/>
      <c r="F53" s="16" t="n"/>
      <c r="G53" s="16" t="n"/>
      <c r="H53" s="16" t="n"/>
      <c r="I53" s="15" t="n"/>
      <c r="J53" s="15" t="n"/>
      <c r="K53" s="16" t="n"/>
      <c r="L53" s="15" t="n"/>
      <c r="M53" s="17">
        <f>IF(B53="","",IF(AND(J53="Yes",L53="Yes",H53&gt;=TODAY()),"Compliant",IF(OR(J53="No",L53="No"),"Non-Compliant","Partial")))</f>
        <v/>
      </c>
      <c r="N53" s="15" t="n"/>
    </row>
    <row r="54">
      <c r="A54" s="15" t="n"/>
      <c r="B54" s="15" t="n"/>
      <c r="C54" s="15" t="n"/>
      <c r="D54" s="15" t="n"/>
      <c r="E54" s="15" t="n"/>
      <c r="F54" s="16" t="n"/>
      <c r="G54" s="16" t="n"/>
      <c r="H54" s="16" t="n"/>
      <c r="I54" s="15" t="n"/>
      <c r="J54" s="15" t="n"/>
      <c r="K54" s="16" t="n"/>
      <c r="L54" s="15" t="n"/>
      <c r="M54" s="17">
        <f>IF(B54="","",IF(AND(J54="Yes",L54="Yes",H54&gt;=TODAY()),"Compliant",IF(OR(J54="No",L54="No"),"Non-Compliant","Partial")))</f>
        <v/>
      </c>
      <c r="N54" s="15" t="n"/>
    </row>
  </sheetData>
  <mergeCells count="2">
    <mergeCell ref="A2:N2"/>
    <mergeCell ref="A1:N1"/>
  </mergeCells>
  <dataValidations count="3">
    <dataValidation sqref="C5:C54" showDropDown="0" showInputMessage="0" showErrorMessage="1" allowBlank="1" errorTitle="Invalid Entry" error="Please select from dropdown" type="list">
      <formula1>"Employee-Permanent,Employee-Fixed-Term,Executive,Intern,Contractor,Consultant,Agency-Worker"</formula1>
    </dataValidation>
    <dataValidation sqref="D5:D54" showDropDown="0" showInputMessage="0" showErrorMessage="1" allowBlank="1" errorTitle="Invalid Entry" error="Please select from dropdown" type="list">
      <formula1>"All-Personnel,IT-Staff,Management,Finance,HR,Operations,External,Privileged-Users"</formula1>
    </dataValidation>
    <dataValidation sqref="J5:J54 L5:L54" showDropDown="0" showInputMessage="0" showErrorMessage="1" allowBlank="1" errorTitle="Invalid Entry" error="Please select from dropdown" type="list">
      <formula1>"Yes,No,Partial"</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74"/>
  <sheetViews>
    <sheetView showGridLines="0" workbookViewId="0">
      <pane ySplit="3" topLeftCell="A4" activePane="bottomLeft" state="frozen"/>
      <selection pane="bottomLeft" activeCell="A1" sqref="A1"/>
    </sheetView>
  </sheetViews>
  <sheetFormatPr baseColWidth="8" defaultRowHeight="15"/>
  <cols>
    <col width="15" customWidth="1" min="1" max="1"/>
    <col width="20" customWidth="1" min="2" max="2"/>
    <col width="35" customWidth="1" min="3" max="3"/>
    <col width="50" customWidth="1" min="4" max="4"/>
    <col width="20" customWidth="1" min="5" max="5"/>
    <col width="20" customWidth="1" min="6" max="6"/>
    <col width="25" customWidth="1" min="7" max="7"/>
    <col width="15" customWidth="1" min="8" max="8"/>
    <col width="25" customWidth="1" min="9" max="9"/>
    <col width="40" customWidth="1" min="10" max="10"/>
    <col width="12" customWidth="1" min="11" max="11"/>
    <col width="40" customWidth="1" min="12" max="12"/>
  </cols>
  <sheetData>
    <row r="1" ht="35" customHeight="1">
      <c r="A1" s="11" t="inlineStr">
        <is>
          <t>REQUIRED CLAUSE REGISTRY</t>
        </is>
      </c>
    </row>
    <row r="2">
      <c r="A2" s="12" t="inlineStr">
        <is>
          <t>Master list of required security clauses with template coverage verification</t>
        </is>
      </c>
    </row>
    <row r="4">
      <c r="A4" s="13" t="inlineStr">
        <is>
          <t>Clause ID</t>
        </is>
      </c>
      <c r="B4" s="13" t="inlineStr">
        <is>
          <t>Clause Category</t>
        </is>
      </c>
      <c r="C4" s="13" t="inlineStr">
        <is>
          <t>Clause Title</t>
        </is>
      </c>
      <c r="D4" s="13" t="inlineStr">
        <is>
          <t>Clause Description</t>
        </is>
      </c>
      <c r="E4" s="13" t="inlineStr">
        <is>
          <t>ISO 27001 Reference</t>
        </is>
      </c>
      <c r="F4" s="13" t="inlineStr">
        <is>
          <t>Legal Requirement</t>
        </is>
      </c>
      <c r="G4" s="13" t="inlineStr">
        <is>
          <t>Mandatory For</t>
        </is>
      </c>
      <c r="H4" s="13" t="inlineStr">
        <is>
          <t>Coverage Status</t>
        </is>
      </c>
      <c r="I4" s="13" t="inlineStr">
        <is>
          <t>Templates With Clause</t>
        </is>
      </c>
      <c r="J4" s="13" t="inlineStr">
        <is>
          <t>Gap If Missing</t>
        </is>
      </c>
      <c r="K4" s="13" t="inlineStr">
        <is>
          <t>Last Verified</t>
        </is>
      </c>
      <c r="L4" s="13" t="inlineStr">
        <is>
          <t>Notes</t>
        </is>
      </c>
    </row>
    <row r="5">
      <c r="A5" s="17" t="inlineStr">
        <is>
          <t>RC-01</t>
        </is>
      </c>
      <c r="B5" s="17" t="inlineStr">
        <is>
          <t>Confidentiality</t>
        </is>
      </c>
      <c r="C5" s="17" t="inlineStr">
        <is>
          <t>Confidentiality and Non-Disclosure</t>
        </is>
      </c>
      <c r="D5" s="17" t="inlineStr">
        <is>
          <t>Employee agrees to maintain confidentiality of all company information</t>
        </is>
      </c>
      <c r="E5" s="17" t="inlineStr">
        <is>
          <t>A.5.1, A.6.2</t>
        </is>
      </c>
      <c r="F5" s="17" t="inlineStr">
        <is>
          <t>Employment Law</t>
        </is>
      </c>
      <c r="G5" s="15" t="n"/>
      <c r="H5" s="15" t="n"/>
      <c r="I5" s="15" t="n"/>
      <c r="J5" s="15" t="n"/>
      <c r="K5" s="16" t="n"/>
      <c r="L5" s="15" t="n"/>
    </row>
    <row r="6">
      <c r="A6" s="17" t="inlineStr">
        <is>
          <t>RC-02</t>
        </is>
      </c>
      <c r="B6" s="17" t="inlineStr">
        <is>
          <t>Confidentiality</t>
        </is>
      </c>
      <c r="C6" s="17" t="inlineStr">
        <is>
          <t>Non-Disclosure Agreement Reference</t>
        </is>
      </c>
      <c r="D6" s="17" t="inlineStr">
        <is>
          <t>Reference to standalone NDA or embedded NDA terms</t>
        </is>
      </c>
      <c r="E6" s="17" t="inlineStr">
        <is>
          <t>A.6.2</t>
        </is>
      </c>
      <c r="F6" s="17" t="inlineStr">
        <is>
          <t>Employment Law</t>
        </is>
      </c>
      <c r="G6" s="15" t="n"/>
      <c r="H6" s="15" t="n"/>
      <c r="I6" s="15" t="n"/>
      <c r="J6" s="15" t="n"/>
      <c r="K6" s="16" t="n"/>
      <c r="L6" s="15" t="n"/>
    </row>
    <row r="7">
      <c r="A7" s="17" t="inlineStr">
        <is>
          <t>RC-03</t>
        </is>
      </c>
      <c r="B7" s="17" t="inlineStr">
        <is>
          <t>IP Rights</t>
        </is>
      </c>
      <c r="C7" s="17" t="inlineStr">
        <is>
          <t>Intellectual Property Assignment</t>
        </is>
      </c>
      <c r="D7" s="17" t="inlineStr">
        <is>
          <t>All work product IP belongs to the organisation</t>
        </is>
      </c>
      <c r="E7" s="17" t="inlineStr">
        <is>
          <t>A.5.1</t>
        </is>
      </c>
      <c r="F7" s="17" t="inlineStr">
        <is>
          <t>IP Law</t>
        </is>
      </c>
      <c r="G7" s="15" t="n"/>
      <c r="H7" s="15" t="n"/>
      <c r="I7" s="15" t="n"/>
      <c r="J7" s="15" t="n"/>
      <c r="K7" s="16" t="n"/>
      <c r="L7" s="15" t="n"/>
    </row>
    <row r="8">
      <c r="A8" s="17" t="inlineStr">
        <is>
          <t>RC-04</t>
        </is>
      </c>
      <c r="B8" s="17" t="inlineStr">
        <is>
          <t>IP Rights</t>
        </is>
      </c>
      <c r="C8" s="17" t="inlineStr">
        <is>
          <t>Invention Assignment</t>
        </is>
      </c>
      <c r="D8" s="17" t="inlineStr">
        <is>
          <t>Employee assigns rights to inventions created during employment</t>
        </is>
      </c>
      <c r="E8" s="17" t="inlineStr">
        <is>
          <t>A.5.1</t>
        </is>
      </c>
      <c r="F8" s="17" t="inlineStr">
        <is>
          <t>Patent Law</t>
        </is>
      </c>
      <c r="G8" s="15" t="n"/>
      <c r="H8" s="15" t="n"/>
      <c r="I8" s="15" t="n"/>
      <c r="J8" s="15" t="n"/>
      <c r="K8" s="16" t="n"/>
      <c r="L8" s="15" t="n"/>
    </row>
    <row r="9">
      <c r="A9" s="17" t="inlineStr">
        <is>
          <t>RC-05</t>
        </is>
      </c>
      <c r="B9" s="17" t="inlineStr">
        <is>
          <t>Security</t>
        </is>
      </c>
      <c r="C9" s="17" t="inlineStr">
        <is>
          <t>Information Security Responsibilities</t>
        </is>
      </c>
      <c r="D9" s="17" t="inlineStr">
        <is>
          <t>Employee responsibilities for information security</t>
        </is>
      </c>
      <c r="E9" s="17" t="inlineStr">
        <is>
          <t>A.6.2</t>
        </is>
      </c>
      <c r="F9" s="17" t="inlineStr">
        <is>
          <t>ISMS Policy</t>
        </is>
      </c>
      <c r="G9" s="15" t="n"/>
      <c r="H9" s="15" t="n"/>
      <c r="I9" s="15" t="n"/>
      <c r="J9" s="15" t="n"/>
      <c r="K9" s="16" t="n"/>
      <c r="L9" s="15" t="n"/>
    </row>
    <row r="10">
      <c r="A10" s="17" t="inlineStr">
        <is>
          <t>RC-06</t>
        </is>
      </c>
      <c r="B10" s="17" t="inlineStr">
        <is>
          <t>Security</t>
        </is>
      </c>
      <c r="C10" s="17" t="inlineStr">
        <is>
          <t>Acceptable Use Agreement Reference</t>
        </is>
      </c>
      <c r="D10" s="17" t="inlineStr">
        <is>
          <t>Reference to or acknowledgment of acceptable use policy</t>
        </is>
      </c>
      <c r="E10" s="17" t="inlineStr">
        <is>
          <t>A.5.10</t>
        </is>
      </c>
      <c r="F10" s="17" t="inlineStr">
        <is>
          <t>ISMS Policy</t>
        </is>
      </c>
      <c r="G10" s="15" t="n"/>
      <c r="H10" s="15" t="n"/>
      <c r="I10" s="15" t="n"/>
      <c r="J10" s="15" t="n"/>
      <c r="K10" s="16" t="n"/>
      <c r="L10" s="15" t="n"/>
    </row>
    <row r="11">
      <c r="A11" s="17" t="inlineStr">
        <is>
          <t>RC-07</t>
        </is>
      </c>
      <c r="B11" s="17" t="inlineStr">
        <is>
          <t>Security</t>
        </is>
      </c>
      <c r="C11" s="17" t="inlineStr">
        <is>
          <t>Access Control Acknowledgment</t>
        </is>
      </c>
      <c r="D11" s="17" t="inlineStr">
        <is>
          <t>Agreement to comply with access control policies</t>
        </is>
      </c>
      <c r="E11" s="17" t="inlineStr">
        <is>
          <t>A.5.15</t>
        </is>
      </c>
      <c r="F11" s="17" t="inlineStr">
        <is>
          <t>ISMS Policy</t>
        </is>
      </c>
      <c r="G11" s="15" t="n"/>
      <c r="H11" s="15" t="n"/>
      <c r="I11" s="15" t="n"/>
      <c r="J11" s="15" t="n"/>
      <c r="K11" s="16" t="n"/>
      <c r="L11" s="15" t="n"/>
    </row>
    <row r="12">
      <c r="A12" s="17" t="inlineStr">
        <is>
          <t>RC-08</t>
        </is>
      </c>
      <c r="B12" s="17" t="inlineStr">
        <is>
          <t>Security</t>
        </is>
      </c>
      <c r="C12" s="17" t="inlineStr">
        <is>
          <t>Password/Authentication Requirements</t>
        </is>
      </c>
      <c r="D12" s="17" t="inlineStr">
        <is>
          <t>Agreement to follow authentication policies</t>
        </is>
      </c>
      <c r="E12" s="17" t="inlineStr">
        <is>
          <t>A.5.17</t>
        </is>
      </c>
      <c r="F12" s="17" t="inlineStr">
        <is>
          <t>ISMS Policy</t>
        </is>
      </c>
      <c r="G12" s="15" t="n"/>
      <c r="H12" s="15" t="n"/>
      <c r="I12" s="15" t="n"/>
      <c r="J12" s="15" t="n"/>
      <c r="K12" s="16" t="n"/>
      <c r="L12" s="15" t="n"/>
    </row>
    <row r="13">
      <c r="A13" s="17" t="inlineStr">
        <is>
          <t>RC-09</t>
        </is>
      </c>
      <c r="B13" s="17" t="inlineStr">
        <is>
          <t>Post-Employment</t>
        </is>
      </c>
      <c r="C13" s="17" t="inlineStr">
        <is>
          <t>Return of Assets</t>
        </is>
      </c>
      <c r="D13" s="17" t="inlineStr">
        <is>
          <t>Obligation to return all company assets upon termination</t>
        </is>
      </c>
      <c r="E13" s="17" t="inlineStr">
        <is>
          <t>A.6.5</t>
        </is>
      </c>
      <c r="F13" s="17" t="inlineStr">
        <is>
          <t>Employment Law</t>
        </is>
      </c>
      <c r="G13" s="15" t="n"/>
      <c r="H13" s="15" t="n"/>
      <c r="I13" s="15" t="n"/>
      <c r="J13" s="15" t="n"/>
      <c r="K13" s="16" t="n"/>
      <c r="L13" s="15" t="n"/>
    </row>
    <row r="14">
      <c r="A14" s="17" t="inlineStr">
        <is>
          <t>RC-10</t>
        </is>
      </c>
      <c r="B14" s="17" t="inlineStr">
        <is>
          <t>Post-Employment</t>
        </is>
      </c>
      <c r="C14" s="17" t="inlineStr">
        <is>
          <t>Post-Employment Confidentiality</t>
        </is>
      </c>
      <c r="D14" s="17" t="inlineStr">
        <is>
          <t>Confidentiality obligations continue after termination</t>
        </is>
      </c>
      <c r="E14" s="17" t="inlineStr">
        <is>
          <t>A.6.5</t>
        </is>
      </c>
      <c r="F14" s="17" t="inlineStr">
        <is>
          <t>Contract Law</t>
        </is>
      </c>
      <c r="G14" s="15" t="n"/>
      <c r="H14" s="15" t="n"/>
      <c r="I14" s="15" t="n"/>
      <c r="J14" s="15" t="n"/>
      <c r="K14" s="16" t="n"/>
      <c r="L14" s="15" t="n"/>
    </row>
    <row r="15">
      <c r="A15" s="17" t="inlineStr">
        <is>
          <t>RC-11</t>
        </is>
      </c>
      <c r="B15" s="17" t="inlineStr">
        <is>
          <t>Post-Employment</t>
        </is>
      </c>
      <c r="C15" s="17" t="inlineStr">
        <is>
          <t>Non-Compete Clause</t>
        </is>
      </c>
      <c r="D15" s="17" t="inlineStr">
        <is>
          <t>Restrictions on competing employment if applicable</t>
        </is>
      </c>
      <c r="E15" s="17" t="inlineStr">
        <is>
          <t>A.6.5</t>
        </is>
      </c>
      <c r="F15" s="17" t="inlineStr">
        <is>
          <t>Contract Law</t>
        </is>
      </c>
      <c r="G15" s="15" t="n"/>
      <c r="H15" s="15" t="n"/>
      <c r="I15" s="15" t="n"/>
      <c r="J15" s="15" t="n"/>
      <c r="K15" s="16" t="n"/>
      <c r="L15" s="15" t="n"/>
    </row>
    <row r="16">
      <c r="A16" s="17" t="inlineStr">
        <is>
          <t>RC-12</t>
        </is>
      </c>
      <c r="B16" s="17" t="inlineStr">
        <is>
          <t>Post-Employment</t>
        </is>
      </c>
      <c r="C16" s="17" t="inlineStr">
        <is>
          <t>Non-Solicitation Clause</t>
        </is>
      </c>
      <c r="D16" s="17" t="inlineStr">
        <is>
          <t>Restrictions on soliciting employees/clients</t>
        </is>
      </c>
      <c r="E16" s="17" t="inlineStr">
        <is>
          <t>A.6.5</t>
        </is>
      </c>
      <c r="F16" s="17" t="inlineStr">
        <is>
          <t>Contract Law</t>
        </is>
      </c>
      <c r="G16" s="15" t="n"/>
      <c r="H16" s="15" t="n"/>
      <c r="I16" s="15" t="n"/>
      <c r="J16" s="15" t="n"/>
      <c r="K16" s="16" t="n"/>
      <c r="L16" s="15" t="n"/>
    </row>
    <row r="17">
      <c r="A17" s="17" t="inlineStr">
        <is>
          <t>RC-13</t>
        </is>
      </c>
      <c r="B17" s="17" t="inlineStr">
        <is>
          <t>Compliance</t>
        </is>
      </c>
      <c r="C17" s="17" t="inlineStr">
        <is>
          <t>Policy Compliance Commitment</t>
        </is>
      </c>
      <c r="D17" s="17" t="inlineStr">
        <is>
          <t>Agreement to comply with all company policies</t>
        </is>
      </c>
      <c r="E17" s="17" t="inlineStr">
        <is>
          <t>A.5.1</t>
        </is>
      </c>
      <c r="F17" s="17" t="inlineStr">
        <is>
          <t>ISMS Policy</t>
        </is>
      </c>
      <c r="G17" s="15" t="n"/>
      <c r="H17" s="15" t="n"/>
      <c r="I17" s="15" t="n"/>
      <c r="J17" s="15" t="n"/>
      <c r="K17" s="16" t="n"/>
      <c r="L17" s="15" t="n"/>
    </row>
    <row r="18">
      <c r="A18" s="17" t="inlineStr">
        <is>
          <t>RC-14</t>
        </is>
      </c>
      <c r="B18" s="17" t="inlineStr">
        <is>
          <t>Compliance</t>
        </is>
      </c>
      <c r="C18" s="17" t="inlineStr">
        <is>
          <t>Training Completion Requirement</t>
        </is>
      </c>
      <c r="D18" s="17" t="inlineStr">
        <is>
          <t>Agreement to complete required security training</t>
        </is>
      </c>
      <c r="E18" s="17" t="inlineStr">
        <is>
          <t>A.6.3</t>
        </is>
      </c>
      <c r="F18" s="17" t="inlineStr">
        <is>
          <t>ISMS Policy</t>
        </is>
      </c>
      <c r="G18" s="15" t="n"/>
      <c r="H18" s="15" t="n"/>
      <c r="I18" s="15" t="n"/>
      <c r="J18" s="15" t="n"/>
      <c r="K18" s="16" t="n"/>
      <c r="L18" s="15" t="n"/>
    </row>
    <row r="19">
      <c r="A19" s="17" t="inlineStr">
        <is>
          <t>RC-15</t>
        </is>
      </c>
      <c r="B19" s="17" t="inlineStr">
        <is>
          <t>Compliance</t>
        </is>
      </c>
      <c r="C19" s="17" t="inlineStr">
        <is>
          <t>Incident Reporting Obligation</t>
        </is>
      </c>
      <c r="D19" s="17" t="inlineStr">
        <is>
          <t>Obligation to report security incidents</t>
        </is>
      </c>
      <c r="E19" s="17" t="inlineStr">
        <is>
          <t>A.6.8</t>
        </is>
      </c>
      <c r="F19" s="17" t="inlineStr">
        <is>
          <t>ISMS Policy</t>
        </is>
      </c>
      <c r="G19" s="15" t="n"/>
      <c r="H19" s="15" t="n"/>
      <c r="I19" s="15" t="n"/>
      <c r="J19" s="15" t="n"/>
      <c r="K19" s="16" t="n"/>
      <c r="L19" s="15" t="n"/>
    </row>
    <row r="20">
      <c r="A20" s="17" t="inlineStr">
        <is>
          <t>RC-16</t>
        </is>
      </c>
      <c r="B20" s="17" t="inlineStr">
        <is>
          <t>Screening</t>
        </is>
      </c>
      <c r="C20" s="17" t="inlineStr">
        <is>
          <t>Background Check Authorisation</t>
        </is>
      </c>
      <c r="D20" s="17" t="inlineStr">
        <is>
          <t>Authorisation for pre-employment screening</t>
        </is>
      </c>
      <c r="E20" s="17" t="inlineStr">
        <is>
          <t>A.6.1</t>
        </is>
      </c>
      <c r="F20" s="17" t="inlineStr">
        <is>
          <t>Employment Law</t>
        </is>
      </c>
      <c r="G20" s="15" t="n"/>
      <c r="H20" s="15" t="n"/>
      <c r="I20" s="15" t="n"/>
      <c r="J20" s="15" t="n"/>
      <c r="K20" s="16" t="n"/>
      <c r="L20" s="15" t="n"/>
    </row>
    <row r="21">
      <c r="A21" s="17" t="inlineStr">
        <is>
          <t>RC-17</t>
        </is>
      </c>
      <c r="B21" s="17" t="inlineStr">
        <is>
          <t>Screening</t>
        </is>
      </c>
      <c r="C21" s="17" t="inlineStr">
        <is>
          <t>Reference Check Authorisation</t>
        </is>
      </c>
      <c r="D21" s="17" t="inlineStr">
        <is>
          <t>Authorisation to contact references</t>
        </is>
      </c>
      <c r="E21" s="17" t="inlineStr">
        <is>
          <t>A.6.1</t>
        </is>
      </c>
      <c r="F21" s="17" t="inlineStr">
        <is>
          <t>Employment Law</t>
        </is>
      </c>
      <c r="G21" s="15" t="n"/>
      <c r="H21" s="15" t="n"/>
      <c r="I21" s="15" t="n"/>
      <c r="J21" s="15" t="n"/>
      <c r="K21" s="16" t="n"/>
      <c r="L21" s="15" t="n"/>
    </row>
    <row r="22">
      <c r="A22" s="17" t="inlineStr">
        <is>
          <t>RC-18</t>
        </is>
      </c>
      <c r="B22" s="17" t="inlineStr">
        <is>
          <t>Data Protection</t>
        </is>
      </c>
      <c r="C22" s="17" t="inlineStr">
        <is>
          <t>Personal Data Processing Consent</t>
        </is>
      </c>
      <c r="D22" s="17" t="inlineStr">
        <is>
          <t>Consent for processing of employee personal data</t>
        </is>
      </c>
      <c r="E22" s="17" t="inlineStr">
        <is>
          <t>FADP</t>
        </is>
      </c>
      <c r="F22" s="17" t="inlineStr">
        <is>
          <t>Data Protection</t>
        </is>
      </c>
      <c r="G22" s="15" t="n"/>
      <c r="H22" s="15" t="n"/>
      <c r="I22" s="15" t="n"/>
      <c r="J22" s="15" t="n"/>
      <c r="K22" s="16" t="n"/>
      <c r="L22" s="15" t="n"/>
    </row>
    <row r="23">
      <c r="A23" s="17" t="inlineStr">
        <is>
          <t>RC-19</t>
        </is>
      </c>
      <c r="B23" s="17" t="inlineStr">
        <is>
          <t>Data Protection</t>
        </is>
      </c>
      <c r="C23" s="17" t="inlineStr">
        <is>
          <t>Data Protection Responsibilities</t>
        </is>
      </c>
      <c r="D23" s="17" t="inlineStr">
        <is>
          <t>Employee responsibilities for data protection</t>
        </is>
      </c>
      <c r="E23" s="17" t="inlineStr">
        <is>
          <t>A.5.34</t>
        </is>
      </c>
      <c r="F23" s="17" t="inlineStr">
        <is>
          <t>Data Protection</t>
        </is>
      </c>
      <c r="G23" s="15" t="n"/>
      <c r="H23" s="15" t="n"/>
      <c r="I23" s="15" t="n"/>
      <c r="J23" s="15" t="n"/>
      <c r="K23" s="16" t="n"/>
      <c r="L23" s="15" t="n"/>
    </row>
    <row r="24">
      <c r="A24" s="17" t="inlineStr">
        <is>
          <t>RC-20</t>
        </is>
      </c>
      <c r="B24" s="17" t="inlineStr">
        <is>
          <t>Monitoring</t>
        </is>
      </c>
      <c r="C24" s="17" t="inlineStr">
        <is>
          <t>Monitoring Acknowledgment</t>
        </is>
      </c>
      <c r="D24" s="17" t="inlineStr">
        <is>
          <t>Acknowledgment of workplace/IT monitoring practices</t>
        </is>
      </c>
      <c r="E24" s="17" t="inlineStr">
        <is>
          <t>A.8.15</t>
        </is>
      </c>
      <c r="F24" s="17" t="inlineStr">
        <is>
          <t>Employment Law</t>
        </is>
      </c>
      <c r="G24" s="15" t="n"/>
      <c r="H24" s="15" t="n"/>
      <c r="I24" s="15" t="n"/>
      <c r="J24" s="15" t="n"/>
      <c r="K24" s="16" t="n"/>
      <c r="L24" s="15" t="n"/>
    </row>
    <row r="25">
      <c r="A25" s="15" t="n"/>
      <c r="B25" s="15" t="n"/>
      <c r="C25" s="15" t="n"/>
      <c r="D25" s="15" t="n"/>
      <c r="E25" s="15" t="n"/>
      <c r="F25" s="15" t="n"/>
      <c r="G25" s="15" t="n"/>
      <c r="H25" s="15" t="n"/>
      <c r="I25" s="15" t="n"/>
      <c r="J25" s="15" t="n"/>
      <c r="K25" s="16" t="n"/>
      <c r="L25" s="15" t="n"/>
    </row>
    <row r="26">
      <c r="A26" s="15" t="n"/>
      <c r="B26" s="15" t="n"/>
      <c r="C26" s="15" t="n"/>
      <c r="D26" s="15" t="n"/>
      <c r="E26" s="15" t="n"/>
      <c r="F26" s="15" t="n"/>
      <c r="G26" s="15" t="n"/>
      <c r="H26" s="15" t="n"/>
      <c r="I26" s="15" t="n"/>
      <c r="J26" s="15" t="n"/>
      <c r="K26" s="16" t="n"/>
      <c r="L26" s="15" t="n"/>
    </row>
    <row r="27">
      <c r="A27" s="15" t="n"/>
      <c r="B27" s="15" t="n"/>
      <c r="C27" s="15" t="n"/>
      <c r="D27" s="15" t="n"/>
      <c r="E27" s="15" t="n"/>
      <c r="F27" s="15" t="n"/>
      <c r="G27" s="15" t="n"/>
      <c r="H27" s="15" t="n"/>
      <c r="I27" s="15" t="n"/>
      <c r="J27" s="15" t="n"/>
      <c r="K27" s="16" t="n"/>
      <c r="L27" s="15" t="n"/>
    </row>
    <row r="28">
      <c r="A28" s="15" t="n"/>
      <c r="B28" s="15" t="n"/>
      <c r="C28" s="15" t="n"/>
      <c r="D28" s="15" t="n"/>
      <c r="E28" s="15" t="n"/>
      <c r="F28" s="15" t="n"/>
      <c r="G28" s="15" t="n"/>
      <c r="H28" s="15" t="n"/>
      <c r="I28" s="15" t="n"/>
      <c r="J28" s="15" t="n"/>
      <c r="K28" s="16" t="n"/>
      <c r="L28" s="15" t="n"/>
    </row>
    <row r="29">
      <c r="A29" s="15" t="n"/>
      <c r="B29" s="15" t="n"/>
      <c r="C29" s="15" t="n"/>
      <c r="D29" s="15" t="n"/>
      <c r="E29" s="15" t="n"/>
      <c r="F29" s="15" t="n"/>
      <c r="G29" s="15" t="n"/>
      <c r="H29" s="15" t="n"/>
      <c r="I29" s="15" t="n"/>
      <c r="J29" s="15" t="n"/>
      <c r="K29" s="16" t="n"/>
      <c r="L29" s="15" t="n"/>
    </row>
    <row r="30">
      <c r="A30" s="15" t="n"/>
      <c r="B30" s="15" t="n"/>
      <c r="C30" s="15" t="n"/>
      <c r="D30" s="15" t="n"/>
      <c r="E30" s="15" t="n"/>
      <c r="F30" s="15" t="n"/>
      <c r="G30" s="15" t="n"/>
      <c r="H30" s="15" t="n"/>
      <c r="I30" s="15" t="n"/>
      <c r="J30" s="15" t="n"/>
      <c r="K30" s="16" t="n"/>
      <c r="L30" s="15" t="n"/>
    </row>
    <row r="31">
      <c r="A31" s="15" t="n"/>
      <c r="B31" s="15" t="n"/>
      <c r="C31" s="15" t="n"/>
      <c r="D31" s="15" t="n"/>
      <c r="E31" s="15" t="n"/>
      <c r="F31" s="15" t="n"/>
      <c r="G31" s="15" t="n"/>
      <c r="H31" s="15" t="n"/>
      <c r="I31" s="15" t="n"/>
      <c r="J31" s="15" t="n"/>
      <c r="K31" s="16" t="n"/>
      <c r="L31" s="15" t="n"/>
    </row>
    <row r="32">
      <c r="A32" s="15" t="n"/>
      <c r="B32" s="15" t="n"/>
      <c r="C32" s="15" t="n"/>
      <c r="D32" s="15" t="n"/>
      <c r="E32" s="15" t="n"/>
      <c r="F32" s="15" t="n"/>
      <c r="G32" s="15" t="n"/>
      <c r="H32" s="15" t="n"/>
      <c r="I32" s="15" t="n"/>
      <c r="J32" s="15" t="n"/>
      <c r="K32" s="16" t="n"/>
      <c r="L32" s="15" t="n"/>
    </row>
    <row r="33">
      <c r="A33" s="15" t="n"/>
      <c r="B33" s="15" t="n"/>
      <c r="C33" s="15" t="n"/>
      <c r="D33" s="15" t="n"/>
      <c r="E33" s="15" t="n"/>
      <c r="F33" s="15" t="n"/>
      <c r="G33" s="15" t="n"/>
      <c r="H33" s="15" t="n"/>
      <c r="I33" s="15" t="n"/>
      <c r="J33" s="15" t="n"/>
      <c r="K33" s="16" t="n"/>
      <c r="L33" s="15" t="n"/>
    </row>
    <row r="34">
      <c r="A34" s="15" t="n"/>
      <c r="B34" s="15" t="n"/>
      <c r="C34" s="15" t="n"/>
      <c r="D34" s="15" t="n"/>
      <c r="E34" s="15" t="n"/>
      <c r="F34" s="15" t="n"/>
      <c r="G34" s="15" t="n"/>
      <c r="H34" s="15" t="n"/>
      <c r="I34" s="15" t="n"/>
      <c r="J34" s="15" t="n"/>
      <c r="K34" s="16" t="n"/>
      <c r="L34" s="15" t="n"/>
    </row>
    <row r="35">
      <c r="A35" s="15" t="n"/>
      <c r="B35" s="15" t="n"/>
      <c r="C35" s="15" t="n"/>
      <c r="D35" s="15" t="n"/>
      <c r="E35" s="15" t="n"/>
      <c r="F35" s="15" t="n"/>
      <c r="G35" s="15" t="n"/>
      <c r="H35" s="15" t="n"/>
      <c r="I35" s="15" t="n"/>
      <c r="J35" s="15" t="n"/>
      <c r="K35" s="16" t="n"/>
      <c r="L35" s="15" t="n"/>
    </row>
    <row r="36">
      <c r="A36" s="15" t="n"/>
      <c r="B36" s="15" t="n"/>
      <c r="C36" s="15" t="n"/>
      <c r="D36" s="15" t="n"/>
      <c r="E36" s="15" t="n"/>
      <c r="F36" s="15" t="n"/>
      <c r="G36" s="15" t="n"/>
      <c r="H36" s="15" t="n"/>
      <c r="I36" s="15" t="n"/>
      <c r="J36" s="15" t="n"/>
      <c r="K36" s="16" t="n"/>
      <c r="L36" s="15" t="n"/>
    </row>
    <row r="37">
      <c r="A37" s="15" t="n"/>
      <c r="B37" s="15" t="n"/>
      <c r="C37" s="15" t="n"/>
      <c r="D37" s="15" t="n"/>
      <c r="E37" s="15" t="n"/>
      <c r="F37" s="15" t="n"/>
      <c r="G37" s="15" t="n"/>
      <c r="H37" s="15" t="n"/>
      <c r="I37" s="15" t="n"/>
      <c r="J37" s="15" t="n"/>
      <c r="K37" s="16" t="n"/>
      <c r="L37" s="15" t="n"/>
    </row>
    <row r="38">
      <c r="A38" s="15" t="n"/>
      <c r="B38" s="15" t="n"/>
      <c r="C38" s="15" t="n"/>
      <c r="D38" s="15" t="n"/>
      <c r="E38" s="15" t="n"/>
      <c r="F38" s="15" t="n"/>
      <c r="G38" s="15" t="n"/>
      <c r="H38" s="15" t="n"/>
      <c r="I38" s="15" t="n"/>
      <c r="J38" s="15" t="n"/>
      <c r="K38" s="16" t="n"/>
      <c r="L38" s="15" t="n"/>
    </row>
    <row r="39">
      <c r="A39" s="15" t="n"/>
      <c r="B39" s="15" t="n"/>
      <c r="C39" s="15" t="n"/>
      <c r="D39" s="15" t="n"/>
      <c r="E39" s="15" t="n"/>
      <c r="F39" s="15" t="n"/>
      <c r="G39" s="15" t="n"/>
      <c r="H39" s="15" t="n"/>
      <c r="I39" s="15" t="n"/>
      <c r="J39" s="15" t="n"/>
      <c r="K39" s="16" t="n"/>
      <c r="L39" s="15" t="n"/>
    </row>
    <row r="40">
      <c r="A40" s="15" t="n"/>
      <c r="B40" s="15" t="n"/>
      <c r="C40" s="15" t="n"/>
      <c r="D40" s="15" t="n"/>
      <c r="E40" s="15" t="n"/>
      <c r="F40" s="15" t="n"/>
      <c r="G40" s="15" t="n"/>
      <c r="H40" s="15" t="n"/>
      <c r="I40" s="15" t="n"/>
      <c r="J40" s="15" t="n"/>
      <c r="K40" s="16" t="n"/>
      <c r="L40" s="15" t="n"/>
    </row>
    <row r="41">
      <c r="A41" s="15" t="n"/>
      <c r="B41" s="15" t="n"/>
      <c r="C41" s="15" t="n"/>
      <c r="D41" s="15" t="n"/>
      <c r="E41" s="15" t="n"/>
      <c r="F41" s="15" t="n"/>
      <c r="G41" s="15" t="n"/>
      <c r="H41" s="15" t="n"/>
      <c r="I41" s="15" t="n"/>
      <c r="J41" s="15" t="n"/>
      <c r="K41" s="16" t="n"/>
      <c r="L41" s="15" t="n"/>
    </row>
    <row r="42">
      <c r="A42" s="15" t="n"/>
      <c r="B42" s="15" t="n"/>
      <c r="C42" s="15" t="n"/>
      <c r="D42" s="15" t="n"/>
      <c r="E42" s="15" t="n"/>
      <c r="F42" s="15" t="n"/>
      <c r="G42" s="15" t="n"/>
      <c r="H42" s="15" t="n"/>
      <c r="I42" s="15" t="n"/>
      <c r="J42" s="15" t="n"/>
      <c r="K42" s="16" t="n"/>
      <c r="L42" s="15" t="n"/>
    </row>
    <row r="43">
      <c r="A43" s="15" t="n"/>
      <c r="B43" s="15" t="n"/>
      <c r="C43" s="15" t="n"/>
      <c r="D43" s="15" t="n"/>
      <c r="E43" s="15" t="n"/>
      <c r="F43" s="15" t="n"/>
      <c r="G43" s="15" t="n"/>
      <c r="H43" s="15" t="n"/>
      <c r="I43" s="15" t="n"/>
      <c r="J43" s="15" t="n"/>
      <c r="K43" s="16" t="n"/>
      <c r="L43" s="15" t="n"/>
    </row>
    <row r="44">
      <c r="A44" s="15" t="n"/>
      <c r="B44" s="15" t="n"/>
      <c r="C44" s="15" t="n"/>
      <c r="D44" s="15" t="n"/>
      <c r="E44" s="15" t="n"/>
      <c r="F44" s="15" t="n"/>
      <c r="G44" s="15" t="n"/>
      <c r="H44" s="15" t="n"/>
      <c r="I44" s="15" t="n"/>
      <c r="J44" s="15" t="n"/>
      <c r="K44" s="16" t="n"/>
      <c r="L44" s="15" t="n"/>
    </row>
    <row r="45">
      <c r="A45" s="15" t="n"/>
      <c r="B45" s="15" t="n"/>
      <c r="C45" s="15" t="n"/>
      <c r="D45" s="15" t="n"/>
      <c r="E45" s="15" t="n"/>
      <c r="F45" s="15" t="n"/>
      <c r="G45" s="15" t="n"/>
      <c r="H45" s="15" t="n"/>
      <c r="I45" s="15" t="n"/>
      <c r="J45" s="15" t="n"/>
      <c r="K45" s="16" t="n"/>
      <c r="L45" s="15" t="n"/>
    </row>
    <row r="46">
      <c r="A46" s="15" t="n"/>
      <c r="B46" s="15" t="n"/>
      <c r="C46" s="15" t="n"/>
      <c r="D46" s="15" t="n"/>
      <c r="E46" s="15" t="n"/>
      <c r="F46" s="15" t="n"/>
      <c r="G46" s="15" t="n"/>
      <c r="H46" s="15" t="n"/>
      <c r="I46" s="15" t="n"/>
      <c r="J46" s="15" t="n"/>
      <c r="K46" s="16" t="n"/>
      <c r="L46" s="15" t="n"/>
    </row>
    <row r="47">
      <c r="A47" s="15" t="n"/>
      <c r="B47" s="15" t="n"/>
      <c r="C47" s="15" t="n"/>
      <c r="D47" s="15" t="n"/>
      <c r="E47" s="15" t="n"/>
      <c r="F47" s="15" t="n"/>
      <c r="G47" s="15" t="n"/>
      <c r="H47" s="15" t="n"/>
      <c r="I47" s="15" t="n"/>
      <c r="J47" s="15" t="n"/>
      <c r="K47" s="16" t="n"/>
      <c r="L47" s="15" t="n"/>
    </row>
    <row r="48">
      <c r="A48" s="15" t="n"/>
      <c r="B48" s="15" t="n"/>
      <c r="C48" s="15" t="n"/>
      <c r="D48" s="15" t="n"/>
      <c r="E48" s="15" t="n"/>
      <c r="F48" s="15" t="n"/>
      <c r="G48" s="15" t="n"/>
      <c r="H48" s="15" t="n"/>
      <c r="I48" s="15" t="n"/>
      <c r="J48" s="15" t="n"/>
      <c r="K48" s="16" t="n"/>
      <c r="L48" s="15" t="n"/>
    </row>
    <row r="49">
      <c r="A49" s="15" t="n"/>
      <c r="B49" s="15" t="n"/>
      <c r="C49" s="15" t="n"/>
      <c r="D49" s="15" t="n"/>
      <c r="E49" s="15" t="n"/>
      <c r="F49" s="15" t="n"/>
      <c r="G49" s="15" t="n"/>
      <c r="H49" s="15" t="n"/>
      <c r="I49" s="15" t="n"/>
      <c r="J49" s="15" t="n"/>
      <c r="K49" s="16" t="n"/>
      <c r="L49" s="15" t="n"/>
    </row>
    <row r="50">
      <c r="A50" s="15" t="n"/>
      <c r="B50" s="15" t="n"/>
      <c r="C50" s="15" t="n"/>
      <c r="D50" s="15" t="n"/>
      <c r="E50" s="15" t="n"/>
      <c r="F50" s="15" t="n"/>
      <c r="G50" s="15" t="n"/>
      <c r="H50" s="15" t="n"/>
      <c r="I50" s="15" t="n"/>
      <c r="J50" s="15" t="n"/>
      <c r="K50" s="16" t="n"/>
      <c r="L50" s="15" t="n"/>
    </row>
    <row r="51">
      <c r="A51" s="15" t="n"/>
      <c r="B51" s="15" t="n"/>
      <c r="C51" s="15" t="n"/>
      <c r="D51" s="15" t="n"/>
      <c r="E51" s="15" t="n"/>
      <c r="F51" s="15" t="n"/>
      <c r="G51" s="15" t="n"/>
      <c r="H51" s="15" t="n"/>
      <c r="I51" s="15" t="n"/>
      <c r="J51" s="15" t="n"/>
      <c r="K51" s="16" t="n"/>
      <c r="L51" s="15" t="n"/>
    </row>
    <row r="52">
      <c r="A52" s="15" t="n"/>
      <c r="B52" s="15" t="n"/>
      <c r="C52" s="15" t="n"/>
      <c r="D52" s="15" t="n"/>
      <c r="E52" s="15" t="n"/>
      <c r="F52" s="15" t="n"/>
      <c r="G52" s="15" t="n"/>
      <c r="H52" s="15" t="n"/>
      <c r="I52" s="15" t="n"/>
      <c r="J52" s="15" t="n"/>
      <c r="K52" s="16" t="n"/>
      <c r="L52" s="15" t="n"/>
    </row>
    <row r="53">
      <c r="A53" s="15" t="n"/>
      <c r="B53" s="15" t="n"/>
      <c r="C53" s="15" t="n"/>
      <c r="D53" s="15" t="n"/>
      <c r="E53" s="15" t="n"/>
      <c r="F53" s="15" t="n"/>
      <c r="G53" s="15" t="n"/>
      <c r="H53" s="15" t="n"/>
      <c r="I53" s="15" t="n"/>
      <c r="J53" s="15" t="n"/>
      <c r="K53" s="16" t="n"/>
      <c r="L53" s="15" t="n"/>
    </row>
    <row r="54">
      <c r="A54" s="15" t="n"/>
      <c r="B54" s="15" t="n"/>
      <c r="C54" s="15" t="n"/>
      <c r="D54" s="15" t="n"/>
      <c r="E54" s="15" t="n"/>
      <c r="F54" s="15" t="n"/>
      <c r="G54" s="15" t="n"/>
      <c r="H54" s="15" t="n"/>
      <c r="I54" s="15" t="n"/>
      <c r="J54" s="15" t="n"/>
      <c r="K54" s="16" t="n"/>
      <c r="L54" s="15" t="n"/>
    </row>
    <row r="55">
      <c r="A55" s="15" t="n"/>
      <c r="B55" s="15" t="n"/>
      <c r="C55" s="15" t="n"/>
      <c r="D55" s="15" t="n"/>
      <c r="E55" s="15" t="n"/>
      <c r="F55" s="15" t="n"/>
      <c r="G55" s="15" t="n"/>
      <c r="H55" s="15" t="n"/>
      <c r="I55" s="15" t="n"/>
      <c r="J55" s="15" t="n"/>
      <c r="K55" s="16" t="n"/>
      <c r="L55" s="15" t="n"/>
    </row>
    <row r="56">
      <c r="A56" s="15" t="n"/>
      <c r="B56" s="15" t="n"/>
      <c r="C56" s="15" t="n"/>
      <c r="D56" s="15" t="n"/>
      <c r="E56" s="15" t="n"/>
      <c r="F56" s="15" t="n"/>
      <c r="G56" s="15" t="n"/>
      <c r="H56" s="15" t="n"/>
      <c r="I56" s="15" t="n"/>
      <c r="J56" s="15" t="n"/>
      <c r="K56" s="16" t="n"/>
      <c r="L56" s="15" t="n"/>
    </row>
    <row r="57">
      <c r="A57" s="15" t="n"/>
      <c r="B57" s="15" t="n"/>
      <c r="C57" s="15" t="n"/>
      <c r="D57" s="15" t="n"/>
      <c r="E57" s="15" t="n"/>
      <c r="F57" s="15" t="n"/>
      <c r="G57" s="15" t="n"/>
      <c r="H57" s="15" t="n"/>
      <c r="I57" s="15" t="n"/>
      <c r="J57" s="15" t="n"/>
      <c r="K57" s="16" t="n"/>
      <c r="L57" s="15" t="n"/>
    </row>
    <row r="58">
      <c r="A58" s="15" t="n"/>
      <c r="B58" s="15" t="n"/>
      <c r="C58" s="15" t="n"/>
      <c r="D58" s="15" t="n"/>
      <c r="E58" s="15" t="n"/>
      <c r="F58" s="15" t="n"/>
      <c r="G58" s="15" t="n"/>
      <c r="H58" s="15" t="n"/>
      <c r="I58" s="15" t="n"/>
      <c r="J58" s="15" t="n"/>
      <c r="K58" s="16" t="n"/>
      <c r="L58" s="15" t="n"/>
    </row>
    <row r="59">
      <c r="A59" s="15" t="n"/>
      <c r="B59" s="15" t="n"/>
      <c r="C59" s="15" t="n"/>
      <c r="D59" s="15" t="n"/>
      <c r="E59" s="15" t="n"/>
      <c r="F59" s="15" t="n"/>
      <c r="G59" s="15" t="n"/>
      <c r="H59" s="15" t="n"/>
      <c r="I59" s="15" t="n"/>
      <c r="J59" s="15" t="n"/>
      <c r="K59" s="16" t="n"/>
      <c r="L59" s="15" t="n"/>
    </row>
    <row r="60">
      <c r="A60" s="15" t="n"/>
      <c r="B60" s="15" t="n"/>
      <c r="C60" s="15" t="n"/>
      <c r="D60" s="15" t="n"/>
      <c r="E60" s="15" t="n"/>
      <c r="F60" s="15" t="n"/>
      <c r="G60" s="15" t="n"/>
      <c r="H60" s="15" t="n"/>
      <c r="I60" s="15" t="n"/>
      <c r="J60" s="15" t="n"/>
      <c r="K60" s="16" t="n"/>
      <c r="L60" s="15" t="n"/>
    </row>
    <row r="61">
      <c r="A61" s="15" t="n"/>
      <c r="B61" s="15" t="n"/>
      <c r="C61" s="15" t="n"/>
      <c r="D61" s="15" t="n"/>
      <c r="E61" s="15" t="n"/>
      <c r="F61" s="15" t="n"/>
      <c r="G61" s="15" t="n"/>
      <c r="H61" s="15" t="n"/>
      <c r="I61" s="15" t="n"/>
      <c r="J61" s="15" t="n"/>
      <c r="K61" s="16" t="n"/>
      <c r="L61" s="15" t="n"/>
    </row>
    <row r="62">
      <c r="A62" s="15" t="n"/>
      <c r="B62" s="15" t="n"/>
      <c r="C62" s="15" t="n"/>
      <c r="D62" s="15" t="n"/>
      <c r="E62" s="15" t="n"/>
      <c r="F62" s="15" t="n"/>
      <c r="G62" s="15" t="n"/>
      <c r="H62" s="15" t="n"/>
      <c r="I62" s="15" t="n"/>
      <c r="J62" s="15" t="n"/>
      <c r="K62" s="16" t="n"/>
      <c r="L62" s="15" t="n"/>
    </row>
    <row r="63">
      <c r="A63" s="15" t="n"/>
      <c r="B63" s="15" t="n"/>
      <c r="C63" s="15" t="n"/>
      <c r="D63" s="15" t="n"/>
      <c r="E63" s="15" t="n"/>
      <c r="F63" s="15" t="n"/>
      <c r="G63" s="15" t="n"/>
      <c r="H63" s="15" t="n"/>
      <c r="I63" s="15" t="n"/>
      <c r="J63" s="15" t="n"/>
      <c r="K63" s="16" t="n"/>
      <c r="L63" s="15" t="n"/>
    </row>
    <row r="64">
      <c r="A64" s="15" t="n"/>
      <c r="B64" s="15" t="n"/>
      <c r="C64" s="15" t="n"/>
      <c r="D64" s="15" t="n"/>
      <c r="E64" s="15" t="n"/>
      <c r="F64" s="15" t="n"/>
      <c r="G64" s="15" t="n"/>
      <c r="H64" s="15" t="n"/>
      <c r="I64" s="15" t="n"/>
      <c r="J64" s="15" t="n"/>
      <c r="K64" s="16" t="n"/>
      <c r="L64" s="15" t="n"/>
    </row>
    <row r="65">
      <c r="A65" s="15" t="n"/>
      <c r="B65" s="15" t="n"/>
      <c r="C65" s="15" t="n"/>
      <c r="D65" s="15" t="n"/>
      <c r="E65" s="15" t="n"/>
      <c r="F65" s="15" t="n"/>
      <c r="G65" s="15" t="n"/>
      <c r="H65" s="15" t="n"/>
      <c r="I65" s="15" t="n"/>
      <c r="J65" s="15" t="n"/>
      <c r="K65" s="16" t="n"/>
      <c r="L65" s="15" t="n"/>
    </row>
    <row r="66">
      <c r="A66" s="15" t="n"/>
      <c r="B66" s="15" t="n"/>
      <c r="C66" s="15" t="n"/>
      <c r="D66" s="15" t="n"/>
      <c r="E66" s="15" t="n"/>
      <c r="F66" s="15" t="n"/>
      <c r="G66" s="15" t="n"/>
      <c r="H66" s="15" t="n"/>
      <c r="I66" s="15" t="n"/>
      <c r="J66" s="15" t="n"/>
      <c r="K66" s="16" t="n"/>
      <c r="L66" s="15" t="n"/>
    </row>
    <row r="67">
      <c r="A67" s="15" t="n"/>
      <c r="B67" s="15" t="n"/>
      <c r="C67" s="15" t="n"/>
      <c r="D67" s="15" t="n"/>
      <c r="E67" s="15" t="n"/>
      <c r="F67" s="15" t="n"/>
      <c r="G67" s="15" t="n"/>
      <c r="H67" s="15" t="n"/>
      <c r="I67" s="15" t="n"/>
      <c r="J67" s="15" t="n"/>
      <c r="K67" s="16" t="n"/>
      <c r="L67" s="15" t="n"/>
    </row>
    <row r="68">
      <c r="A68" s="15" t="n"/>
      <c r="B68" s="15" t="n"/>
      <c r="C68" s="15" t="n"/>
      <c r="D68" s="15" t="n"/>
      <c r="E68" s="15" t="n"/>
      <c r="F68" s="15" t="n"/>
      <c r="G68" s="15" t="n"/>
      <c r="H68" s="15" t="n"/>
      <c r="I68" s="15" t="n"/>
      <c r="J68" s="15" t="n"/>
      <c r="K68" s="16" t="n"/>
      <c r="L68" s="15" t="n"/>
    </row>
    <row r="69">
      <c r="A69" s="15" t="n"/>
      <c r="B69" s="15" t="n"/>
      <c r="C69" s="15" t="n"/>
      <c r="D69" s="15" t="n"/>
      <c r="E69" s="15" t="n"/>
      <c r="F69" s="15" t="n"/>
      <c r="G69" s="15" t="n"/>
      <c r="H69" s="15" t="n"/>
      <c r="I69" s="15" t="n"/>
      <c r="J69" s="15" t="n"/>
      <c r="K69" s="16" t="n"/>
      <c r="L69" s="15" t="n"/>
    </row>
    <row r="70">
      <c r="A70" s="15" t="n"/>
      <c r="B70" s="15" t="n"/>
      <c r="C70" s="15" t="n"/>
      <c r="D70" s="15" t="n"/>
      <c r="E70" s="15" t="n"/>
      <c r="F70" s="15" t="n"/>
      <c r="G70" s="15" t="n"/>
      <c r="H70" s="15" t="n"/>
      <c r="I70" s="15" t="n"/>
      <c r="J70" s="15" t="n"/>
      <c r="K70" s="16" t="n"/>
      <c r="L70" s="15" t="n"/>
    </row>
    <row r="71">
      <c r="A71" s="15" t="n"/>
      <c r="B71" s="15" t="n"/>
      <c r="C71" s="15" t="n"/>
      <c r="D71" s="15" t="n"/>
      <c r="E71" s="15" t="n"/>
      <c r="F71" s="15" t="n"/>
      <c r="G71" s="15" t="n"/>
      <c r="H71" s="15" t="n"/>
      <c r="I71" s="15" t="n"/>
      <c r="J71" s="15" t="n"/>
      <c r="K71" s="16" t="n"/>
      <c r="L71" s="15" t="n"/>
    </row>
    <row r="72">
      <c r="A72" s="15" t="n"/>
      <c r="B72" s="15" t="n"/>
      <c r="C72" s="15" t="n"/>
      <c r="D72" s="15" t="n"/>
      <c r="E72" s="15" t="n"/>
      <c r="F72" s="15" t="n"/>
      <c r="G72" s="15" t="n"/>
      <c r="H72" s="15" t="n"/>
      <c r="I72" s="15" t="n"/>
      <c r="J72" s="15" t="n"/>
      <c r="K72" s="16" t="n"/>
      <c r="L72" s="15" t="n"/>
    </row>
    <row r="73">
      <c r="A73" s="15" t="n"/>
      <c r="B73" s="15" t="n"/>
      <c r="C73" s="15" t="n"/>
      <c r="D73" s="15" t="n"/>
      <c r="E73" s="15" t="n"/>
      <c r="F73" s="15" t="n"/>
      <c r="G73" s="15" t="n"/>
      <c r="H73" s="15" t="n"/>
      <c r="I73" s="15" t="n"/>
      <c r="J73" s="15" t="n"/>
      <c r="K73" s="16" t="n"/>
      <c r="L73" s="15" t="n"/>
    </row>
    <row r="74">
      <c r="A74" s="15" t="n"/>
      <c r="B74" s="15" t="n"/>
      <c r="C74" s="15" t="n"/>
      <c r="D74" s="15" t="n"/>
      <c r="E74" s="15" t="n"/>
      <c r="F74" s="15" t="n"/>
      <c r="G74" s="15" t="n"/>
      <c r="H74" s="15" t="n"/>
      <c r="I74" s="15" t="n"/>
      <c r="J74" s="15" t="n"/>
      <c r="K74" s="16" t="n"/>
      <c r="L74" s="15" t="n"/>
    </row>
  </sheetData>
  <mergeCells count="2">
    <mergeCell ref="A2:L2"/>
    <mergeCell ref="A1:L1"/>
  </mergeCells>
  <dataValidations count="2">
    <dataValidation sqref="B5:B74" showDropDown="0" showInputMessage="0" showErrorMessage="1" allowBlank="1" errorTitle="Invalid Entry" error="Please select from dropdown" type="list">
      <formula1>"Confidentiality,IP Rights,Security,Post-Employment,Compliance,Screening,Data Protection,Monitoring,Other"</formula1>
    </dataValidation>
    <dataValidation sqref="H5:H74" showDropDown="0" showInputMessage="0" showErrorMessage="1" allowBlank="1" errorTitle="Invalid Entry" error="Please select from dropdown" type="list">
      <formula1>"Covered,Partial,Not-Covered,N/A"</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54"/>
  <sheetViews>
    <sheetView showGridLines="0" workbookViewId="0">
      <pane ySplit="3" topLeftCell="A4" activePane="bottomLeft" state="frozen"/>
      <selection pane="bottomLeft" activeCell="A1" sqref="A1"/>
    </sheetView>
  </sheetViews>
  <sheetFormatPr baseColWidth="8" defaultRowHeight="15"/>
  <cols>
    <col width="15" customWidth="1" min="1" max="1"/>
    <col width="25" customWidth="1" min="2" max="2"/>
    <col width="20" customWidth="1" min="3" max="3"/>
    <col width="25" customWidth="1" min="4" max="4"/>
    <col width="15" customWidth="1" min="5" max="5"/>
    <col width="12" customWidth="1" min="6" max="6"/>
    <col width="20" customWidth="1" min="7" max="7"/>
    <col width="15" customWidth="1" min="8" max="8"/>
    <col width="12" customWidth="1" min="9" max="9"/>
    <col width="15" customWidth="1" min="10" max="10"/>
    <col width="15" customWidth="1" min="11" max="11"/>
    <col width="15" customWidth="1" min="12" max="12"/>
    <col width="12" customWidth="1" min="13" max="13"/>
    <col width="15" customWidth="1" min="14" max="14"/>
    <col width="40" customWidth="1" min="15" max="15"/>
  </cols>
  <sheetData>
    <row r="1" ht="35" customHeight="1">
      <c r="A1" s="11" t="inlineStr">
        <is>
          <t>PERSONNEL CONTRACT COMPLIANCE</t>
        </is>
      </c>
    </row>
    <row r="2">
      <c r="A2" s="12" t="inlineStr">
        <is>
          <t>Individual employee contract verification and compliance tracking</t>
        </is>
      </c>
    </row>
    <row r="3">
      <c r="A3" s="13" t="inlineStr">
        <is>
          <t>Employee ID</t>
        </is>
      </c>
      <c r="B3" s="13" t="inlineStr">
        <is>
          <t>Employee Name</t>
        </is>
      </c>
      <c r="C3" s="13" t="inlineStr">
        <is>
          <t>Department</t>
        </is>
      </c>
      <c r="D3" s="13" t="inlineStr">
        <is>
          <t>Role Title</t>
        </is>
      </c>
      <c r="E3" s="13" t="inlineStr">
        <is>
          <t>Employment Type</t>
        </is>
      </c>
      <c r="F3" s="13" t="inlineStr">
        <is>
          <t>Start Date</t>
        </is>
      </c>
      <c r="G3" s="13" t="inlineStr">
        <is>
          <t>Contract Template Used</t>
        </is>
      </c>
      <c r="H3" s="13" t="inlineStr">
        <is>
          <t>Contract Signed</t>
        </is>
      </c>
      <c r="I3" s="13" t="inlineStr">
        <is>
          <t>Contract Date</t>
        </is>
      </c>
      <c r="J3" s="13" t="inlineStr">
        <is>
          <t>Contract On File</t>
        </is>
      </c>
      <c r="K3" s="13" t="inlineStr">
        <is>
          <t>All Clauses Present</t>
        </is>
      </c>
      <c r="L3" s="13" t="inlineStr">
        <is>
          <t>Screening Complete</t>
        </is>
      </c>
      <c r="M3" s="13" t="inlineStr">
        <is>
          <t>Background Check Date</t>
        </is>
      </c>
      <c r="N3" s="13" t="inlineStr">
        <is>
          <t>Compliance Status</t>
        </is>
      </c>
      <c r="O3" s="13" t="inlineStr">
        <is>
          <t>Notes</t>
        </is>
      </c>
    </row>
    <row r="4">
      <c r="A4" s="14" t="inlineStr">
        <is>
          <t>EMP-EXAMPLE</t>
        </is>
      </c>
      <c r="B4" s="14" t="inlineStr">
        <is>
          <t>Jane Smith (Example)</t>
        </is>
      </c>
      <c r="C4" s="14" t="inlineStr">
        <is>
          <t>Information Security</t>
        </is>
      </c>
      <c r="D4" s="14" t="inlineStr">
        <is>
          <t>Information Security Manager</t>
        </is>
      </c>
      <c r="E4" s="14" t="inlineStr">
        <is>
          <t>Permanent</t>
        </is>
      </c>
      <c r="F4" s="14" t="inlineStr">
        <is>
          <t>01.03.2024</t>
        </is>
      </c>
      <c r="G4" s="14" t="inlineStr">
        <is>
          <t>Standard Employment Contract v2.1</t>
        </is>
      </c>
      <c r="H4" s="14" t="inlineStr">
        <is>
          <t>Yes</t>
        </is>
      </c>
      <c r="I4" s="14" t="inlineStr">
        <is>
          <t>01.03.2024</t>
        </is>
      </c>
      <c r="J4" s="14" t="inlineStr">
        <is>
          <t>Yes</t>
        </is>
      </c>
      <c r="K4" s="14" t="inlineStr">
        <is>
          <t>Yes</t>
        </is>
      </c>
      <c r="L4" s="14" t="inlineStr">
        <is>
          <t>Yes</t>
        </is>
      </c>
      <c r="M4" s="14" t="inlineStr">
        <is>
          <t>01.02.2024</t>
        </is>
      </c>
      <c r="N4" s="14" t="inlineStr">
        <is>
          <t>Compliant</t>
        </is>
      </c>
      <c r="O4" s="14" t="inlineStr">
        <is>
          <t>Example entry — replace with your personnel contract records</t>
        </is>
      </c>
    </row>
    <row r="5">
      <c r="A5" s="15" t="n"/>
      <c r="B5" s="15" t="n"/>
      <c r="C5" s="15" t="n"/>
      <c r="D5" s="15" t="n"/>
      <c r="E5" s="15" t="n"/>
      <c r="F5" s="16" t="n"/>
      <c r="G5" s="15" t="n"/>
      <c r="H5" s="15" t="n"/>
      <c r="I5" s="16" t="n"/>
      <c r="J5" s="15" t="n"/>
      <c r="K5" s="15" t="n"/>
      <c r="L5" s="15" t="n"/>
      <c r="M5" s="16" t="n"/>
      <c r="N5" s="17">
        <f>IF(B5="","",IF(AND(H5="Yes",J5="Yes",K5="Yes",L5="Yes"),"Compliant",IF(OR(H5="No",J5="No",L5="No"),"Non-Compliant","Partial")))</f>
        <v/>
      </c>
      <c r="O5" s="15" t="n"/>
    </row>
    <row r="6">
      <c r="A6" s="15" t="n"/>
      <c r="B6" s="15" t="n"/>
      <c r="C6" s="15" t="n"/>
      <c r="D6" s="15" t="n"/>
      <c r="E6" s="15" t="n"/>
      <c r="F6" s="16" t="n"/>
      <c r="G6" s="15" t="n"/>
      <c r="H6" s="15" t="n"/>
      <c r="I6" s="16" t="n"/>
      <c r="J6" s="15" t="n"/>
      <c r="K6" s="15" t="n"/>
      <c r="L6" s="15" t="n"/>
      <c r="M6" s="16" t="n"/>
      <c r="N6" s="17">
        <f>IF(B6="","",IF(AND(H6="Yes",J6="Yes",K6="Yes",L6="Yes"),"Compliant",IF(OR(H6="No",J6="No",L6="No"),"Non-Compliant","Partial")))</f>
        <v/>
      </c>
      <c r="O6" s="15" t="n"/>
    </row>
    <row r="7">
      <c r="A7" s="15" t="n"/>
      <c r="B7" s="15" t="n"/>
      <c r="C7" s="15" t="n"/>
      <c r="D7" s="15" t="n"/>
      <c r="E7" s="15" t="n"/>
      <c r="F7" s="16" t="n"/>
      <c r="G7" s="15" t="n"/>
      <c r="H7" s="15" t="n"/>
      <c r="I7" s="16" t="n"/>
      <c r="J7" s="15" t="n"/>
      <c r="K7" s="15" t="n"/>
      <c r="L7" s="15" t="n"/>
      <c r="M7" s="16" t="n"/>
      <c r="N7" s="17">
        <f>IF(B7="","",IF(AND(H7="Yes",J7="Yes",K7="Yes",L7="Yes"),"Compliant",IF(OR(H7="No",J7="No",L7="No"),"Non-Compliant","Partial")))</f>
        <v/>
      </c>
      <c r="O7" s="15" t="n"/>
    </row>
    <row r="8">
      <c r="A8" s="15" t="n"/>
      <c r="B8" s="15" t="n"/>
      <c r="C8" s="15" t="n"/>
      <c r="D8" s="15" t="n"/>
      <c r="E8" s="15" t="n"/>
      <c r="F8" s="16" t="n"/>
      <c r="G8" s="15" t="n"/>
      <c r="H8" s="15" t="n"/>
      <c r="I8" s="16" t="n"/>
      <c r="J8" s="15" t="n"/>
      <c r="K8" s="15" t="n"/>
      <c r="L8" s="15" t="n"/>
      <c r="M8" s="16" t="n"/>
      <c r="N8" s="17">
        <f>IF(B8="","",IF(AND(H8="Yes",J8="Yes",K8="Yes",L8="Yes"),"Compliant",IF(OR(H8="No",J8="No",L8="No"),"Non-Compliant","Partial")))</f>
        <v/>
      </c>
      <c r="O8" s="15" t="n"/>
    </row>
    <row r="9">
      <c r="A9" s="15" t="n"/>
      <c r="B9" s="15" t="n"/>
      <c r="C9" s="15" t="n"/>
      <c r="D9" s="15" t="n"/>
      <c r="E9" s="15" t="n"/>
      <c r="F9" s="16" t="n"/>
      <c r="G9" s="15" t="n"/>
      <c r="H9" s="15" t="n"/>
      <c r="I9" s="16" t="n"/>
      <c r="J9" s="15" t="n"/>
      <c r="K9" s="15" t="n"/>
      <c r="L9" s="15" t="n"/>
      <c r="M9" s="16" t="n"/>
      <c r="N9" s="17">
        <f>IF(B9="","",IF(AND(H9="Yes",J9="Yes",K9="Yes",L9="Yes"),"Compliant",IF(OR(H9="No",J9="No",L9="No"),"Non-Compliant","Partial")))</f>
        <v/>
      </c>
      <c r="O9" s="15" t="n"/>
    </row>
    <row r="10">
      <c r="A10" s="15" t="n"/>
      <c r="B10" s="15" t="n"/>
      <c r="C10" s="15" t="n"/>
      <c r="D10" s="15" t="n"/>
      <c r="E10" s="15" t="n"/>
      <c r="F10" s="16" t="n"/>
      <c r="G10" s="15" t="n"/>
      <c r="H10" s="15" t="n"/>
      <c r="I10" s="16" t="n"/>
      <c r="J10" s="15" t="n"/>
      <c r="K10" s="15" t="n"/>
      <c r="L10" s="15" t="n"/>
      <c r="M10" s="16" t="n"/>
      <c r="N10" s="17">
        <f>IF(B10="","",IF(AND(H10="Yes",J10="Yes",K10="Yes",L10="Yes"),"Compliant",IF(OR(H10="No",J10="No",L10="No"),"Non-Compliant","Partial")))</f>
        <v/>
      </c>
      <c r="O10" s="15" t="n"/>
    </row>
    <row r="11">
      <c r="A11" s="15" t="n"/>
      <c r="B11" s="15" t="n"/>
      <c r="C11" s="15" t="n"/>
      <c r="D11" s="15" t="n"/>
      <c r="E11" s="15" t="n"/>
      <c r="F11" s="16" t="n"/>
      <c r="G11" s="15" t="n"/>
      <c r="H11" s="15" t="n"/>
      <c r="I11" s="16" t="n"/>
      <c r="J11" s="15" t="n"/>
      <c r="K11" s="15" t="n"/>
      <c r="L11" s="15" t="n"/>
      <c r="M11" s="16" t="n"/>
      <c r="N11" s="17">
        <f>IF(B11="","",IF(AND(H11="Yes",J11="Yes",K11="Yes",L11="Yes"),"Compliant",IF(OR(H11="No",J11="No",L11="No"),"Non-Compliant","Partial")))</f>
        <v/>
      </c>
      <c r="O11" s="15" t="n"/>
    </row>
    <row r="12">
      <c r="A12" s="15" t="n"/>
      <c r="B12" s="15" t="n"/>
      <c r="C12" s="15" t="n"/>
      <c r="D12" s="15" t="n"/>
      <c r="E12" s="15" t="n"/>
      <c r="F12" s="16" t="n"/>
      <c r="G12" s="15" t="n"/>
      <c r="H12" s="15" t="n"/>
      <c r="I12" s="16" t="n"/>
      <c r="J12" s="15" t="n"/>
      <c r="K12" s="15" t="n"/>
      <c r="L12" s="15" t="n"/>
      <c r="M12" s="16" t="n"/>
      <c r="N12" s="17">
        <f>IF(B12="","",IF(AND(H12="Yes",J12="Yes",K12="Yes",L12="Yes"),"Compliant",IF(OR(H12="No",J12="No",L12="No"),"Non-Compliant","Partial")))</f>
        <v/>
      </c>
      <c r="O12" s="15" t="n"/>
    </row>
    <row r="13">
      <c r="A13" s="15" t="n"/>
      <c r="B13" s="15" t="n"/>
      <c r="C13" s="15" t="n"/>
      <c r="D13" s="15" t="n"/>
      <c r="E13" s="15" t="n"/>
      <c r="F13" s="16" t="n"/>
      <c r="G13" s="15" t="n"/>
      <c r="H13" s="15" t="n"/>
      <c r="I13" s="16" t="n"/>
      <c r="J13" s="15" t="n"/>
      <c r="K13" s="15" t="n"/>
      <c r="L13" s="15" t="n"/>
      <c r="M13" s="16" t="n"/>
      <c r="N13" s="17">
        <f>IF(B13="","",IF(AND(H13="Yes",J13="Yes",K13="Yes",L13="Yes"),"Compliant",IF(OR(H13="No",J13="No",L13="No"),"Non-Compliant","Partial")))</f>
        <v/>
      </c>
      <c r="O13" s="15" t="n"/>
    </row>
    <row r="14">
      <c r="A14" s="15" t="n"/>
      <c r="B14" s="15" t="n"/>
      <c r="C14" s="15" t="n"/>
      <c r="D14" s="15" t="n"/>
      <c r="E14" s="15" t="n"/>
      <c r="F14" s="16" t="n"/>
      <c r="G14" s="15" t="n"/>
      <c r="H14" s="15" t="n"/>
      <c r="I14" s="16" t="n"/>
      <c r="J14" s="15" t="n"/>
      <c r="K14" s="15" t="n"/>
      <c r="L14" s="15" t="n"/>
      <c r="M14" s="16" t="n"/>
      <c r="N14" s="17">
        <f>IF(B14="","",IF(AND(H14="Yes",J14="Yes",K14="Yes",L14="Yes"),"Compliant",IF(OR(H14="No",J14="No",L14="No"),"Non-Compliant","Partial")))</f>
        <v/>
      </c>
      <c r="O14" s="15" t="n"/>
    </row>
    <row r="15">
      <c r="A15" s="15" t="n"/>
      <c r="B15" s="15" t="n"/>
      <c r="C15" s="15" t="n"/>
      <c r="D15" s="15" t="n"/>
      <c r="E15" s="15" t="n"/>
      <c r="F15" s="16" t="n"/>
      <c r="G15" s="15" t="n"/>
      <c r="H15" s="15" t="n"/>
      <c r="I15" s="16" t="n"/>
      <c r="J15" s="15" t="n"/>
      <c r="K15" s="15" t="n"/>
      <c r="L15" s="15" t="n"/>
      <c r="M15" s="16" t="n"/>
      <c r="N15" s="17">
        <f>IF(B15="","",IF(AND(H15="Yes",J15="Yes",K15="Yes",L15="Yes"),"Compliant",IF(OR(H15="No",J15="No",L15="No"),"Non-Compliant","Partial")))</f>
        <v/>
      </c>
      <c r="O15" s="15" t="n"/>
    </row>
    <row r="16">
      <c r="A16" s="15" t="n"/>
      <c r="B16" s="15" t="n"/>
      <c r="C16" s="15" t="n"/>
      <c r="D16" s="15" t="n"/>
      <c r="E16" s="15" t="n"/>
      <c r="F16" s="16" t="n"/>
      <c r="G16" s="15" t="n"/>
      <c r="H16" s="15" t="n"/>
      <c r="I16" s="16" t="n"/>
      <c r="J16" s="15" t="n"/>
      <c r="K16" s="15" t="n"/>
      <c r="L16" s="15" t="n"/>
      <c r="M16" s="16" t="n"/>
      <c r="N16" s="17">
        <f>IF(B16="","",IF(AND(H16="Yes",J16="Yes",K16="Yes",L16="Yes"),"Compliant",IF(OR(H16="No",J16="No",L16="No"),"Non-Compliant","Partial")))</f>
        <v/>
      </c>
      <c r="O16" s="15" t="n"/>
    </row>
    <row r="17">
      <c r="A17" s="15" t="n"/>
      <c r="B17" s="15" t="n"/>
      <c r="C17" s="15" t="n"/>
      <c r="D17" s="15" t="n"/>
      <c r="E17" s="15" t="n"/>
      <c r="F17" s="16" t="n"/>
      <c r="G17" s="15" t="n"/>
      <c r="H17" s="15" t="n"/>
      <c r="I17" s="16" t="n"/>
      <c r="J17" s="15" t="n"/>
      <c r="K17" s="15" t="n"/>
      <c r="L17" s="15" t="n"/>
      <c r="M17" s="16" t="n"/>
      <c r="N17" s="17">
        <f>IF(B17="","",IF(AND(H17="Yes",J17="Yes",K17="Yes",L17="Yes"),"Compliant",IF(OR(H17="No",J17="No",L17="No"),"Non-Compliant","Partial")))</f>
        <v/>
      </c>
      <c r="O17" s="15" t="n"/>
    </row>
    <row r="18">
      <c r="A18" s="15" t="n"/>
      <c r="B18" s="15" t="n"/>
      <c r="C18" s="15" t="n"/>
      <c r="D18" s="15" t="n"/>
      <c r="E18" s="15" t="n"/>
      <c r="F18" s="16" t="n"/>
      <c r="G18" s="15" t="n"/>
      <c r="H18" s="15" t="n"/>
      <c r="I18" s="16" t="n"/>
      <c r="J18" s="15" t="n"/>
      <c r="K18" s="15" t="n"/>
      <c r="L18" s="15" t="n"/>
      <c r="M18" s="16" t="n"/>
      <c r="N18" s="17">
        <f>IF(B18="","",IF(AND(H18="Yes",J18="Yes",K18="Yes",L18="Yes"),"Compliant",IF(OR(H18="No",J18="No",L18="No"),"Non-Compliant","Partial")))</f>
        <v/>
      </c>
      <c r="O18" s="15" t="n"/>
    </row>
    <row r="19">
      <c r="A19" s="15" t="n"/>
      <c r="B19" s="15" t="n"/>
      <c r="C19" s="15" t="n"/>
      <c r="D19" s="15" t="n"/>
      <c r="E19" s="15" t="n"/>
      <c r="F19" s="16" t="n"/>
      <c r="G19" s="15" t="n"/>
      <c r="H19" s="15" t="n"/>
      <c r="I19" s="16" t="n"/>
      <c r="J19" s="15" t="n"/>
      <c r="K19" s="15" t="n"/>
      <c r="L19" s="15" t="n"/>
      <c r="M19" s="16" t="n"/>
      <c r="N19" s="17">
        <f>IF(B19="","",IF(AND(H19="Yes",J19="Yes",K19="Yes",L19="Yes"),"Compliant",IF(OR(H19="No",J19="No",L19="No"),"Non-Compliant","Partial")))</f>
        <v/>
      </c>
      <c r="O19" s="15" t="n"/>
    </row>
    <row r="20">
      <c r="A20" s="15" t="n"/>
      <c r="B20" s="15" t="n"/>
      <c r="C20" s="15" t="n"/>
      <c r="D20" s="15" t="n"/>
      <c r="E20" s="15" t="n"/>
      <c r="F20" s="16" t="n"/>
      <c r="G20" s="15" t="n"/>
      <c r="H20" s="15" t="n"/>
      <c r="I20" s="16" t="n"/>
      <c r="J20" s="15" t="n"/>
      <c r="K20" s="15" t="n"/>
      <c r="L20" s="15" t="n"/>
      <c r="M20" s="16" t="n"/>
      <c r="N20" s="17">
        <f>IF(B20="","",IF(AND(H20="Yes",J20="Yes",K20="Yes",L20="Yes"),"Compliant",IF(OR(H20="No",J20="No",L20="No"),"Non-Compliant","Partial")))</f>
        <v/>
      </c>
      <c r="O20" s="15" t="n"/>
    </row>
    <row r="21">
      <c r="A21" s="15" t="n"/>
      <c r="B21" s="15" t="n"/>
      <c r="C21" s="15" t="n"/>
      <c r="D21" s="15" t="n"/>
      <c r="E21" s="15" t="n"/>
      <c r="F21" s="16" t="n"/>
      <c r="G21" s="15" t="n"/>
      <c r="H21" s="15" t="n"/>
      <c r="I21" s="16" t="n"/>
      <c r="J21" s="15" t="n"/>
      <c r="K21" s="15" t="n"/>
      <c r="L21" s="15" t="n"/>
      <c r="M21" s="16" t="n"/>
      <c r="N21" s="17">
        <f>IF(B21="","",IF(AND(H21="Yes",J21="Yes",K21="Yes",L21="Yes"),"Compliant",IF(OR(H21="No",J21="No",L21="No"),"Non-Compliant","Partial")))</f>
        <v/>
      </c>
      <c r="O21" s="15" t="n"/>
    </row>
    <row r="22">
      <c r="A22" s="15" t="n"/>
      <c r="B22" s="15" t="n"/>
      <c r="C22" s="15" t="n"/>
      <c r="D22" s="15" t="n"/>
      <c r="E22" s="15" t="n"/>
      <c r="F22" s="16" t="n"/>
      <c r="G22" s="15" t="n"/>
      <c r="H22" s="15" t="n"/>
      <c r="I22" s="16" t="n"/>
      <c r="J22" s="15" t="n"/>
      <c r="K22" s="15" t="n"/>
      <c r="L22" s="15" t="n"/>
      <c r="M22" s="16" t="n"/>
      <c r="N22" s="17">
        <f>IF(B22="","",IF(AND(H22="Yes",J22="Yes",K22="Yes",L22="Yes"),"Compliant",IF(OR(H22="No",J22="No",L22="No"),"Non-Compliant","Partial")))</f>
        <v/>
      </c>
      <c r="O22" s="15" t="n"/>
    </row>
    <row r="23">
      <c r="A23" s="15" t="n"/>
      <c r="B23" s="15" t="n"/>
      <c r="C23" s="15" t="n"/>
      <c r="D23" s="15" t="n"/>
      <c r="E23" s="15" t="n"/>
      <c r="F23" s="16" t="n"/>
      <c r="G23" s="15" t="n"/>
      <c r="H23" s="15" t="n"/>
      <c r="I23" s="16" t="n"/>
      <c r="J23" s="15" t="n"/>
      <c r="K23" s="15" t="n"/>
      <c r="L23" s="15" t="n"/>
      <c r="M23" s="16" t="n"/>
      <c r="N23" s="17">
        <f>IF(B23="","",IF(AND(H23="Yes",J23="Yes",K23="Yes",L23="Yes"),"Compliant",IF(OR(H23="No",J23="No",L23="No"),"Non-Compliant","Partial")))</f>
        <v/>
      </c>
      <c r="O23" s="15" t="n"/>
    </row>
    <row r="24">
      <c r="A24" s="15" t="n"/>
      <c r="B24" s="15" t="n"/>
      <c r="C24" s="15" t="n"/>
      <c r="D24" s="15" t="n"/>
      <c r="E24" s="15" t="n"/>
      <c r="F24" s="16" t="n"/>
      <c r="G24" s="15" t="n"/>
      <c r="H24" s="15" t="n"/>
      <c r="I24" s="16" t="n"/>
      <c r="J24" s="15" t="n"/>
      <c r="K24" s="15" t="n"/>
      <c r="L24" s="15" t="n"/>
      <c r="M24" s="16" t="n"/>
      <c r="N24" s="17">
        <f>IF(B24="","",IF(AND(H24="Yes",J24="Yes",K24="Yes",L24="Yes"),"Compliant",IF(OR(H24="No",J24="No",L24="No"),"Non-Compliant","Partial")))</f>
        <v/>
      </c>
      <c r="O24" s="15" t="n"/>
    </row>
    <row r="25">
      <c r="A25" s="15" t="n"/>
      <c r="B25" s="15" t="n"/>
      <c r="C25" s="15" t="n"/>
      <c r="D25" s="15" t="n"/>
      <c r="E25" s="15" t="n"/>
      <c r="F25" s="16" t="n"/>
      <c r="G25" s="15" t="n"/>
      <c r="H25" s="15" t="n"/>
      <c r="I25" s="16" t="n"/>
      <c r="J25" s="15" t="n"/>
      <c r="K25" s="15" t="n"/>
      <c r="L25" s="15" t="n"/>
      <c r="M25" s="16" t="n"/>
      <c r="N25" s="17">
        <f>IF(B25="","",IF(AND(H25="Yes",J25="Yes",K25="Yes",L25="Yes"),"Compliant",IF(OR(H25="No",J25="No",L25="No"),"Non-Compliant","Partial")))</f>
        <v/>
      </c>
      <c r="O25" s="15" t="n"/>
    </row>
    <row r="26">
      <c r="A26" s="15" t="n"/>
      <c r="B26" s="15" t="n"/>
      <c r="C26" s="15" t="n"/>
      <c r="D26" s="15" t="n"/>
      <c r="E26" s="15" t="n"/>
      <c r="F26" s="16" t="n"/>
      <c r="G26" s="15" t="n"/>
      <c r="H26" s="15" t="n"/>
      <c r="I26" s="16" t="n"/>
      <c r="J26" s="15" t="n"/>
      <c r="K26" s="15" t="n"/>
      <c r="L26" s="15" t="n"/>
      <c r="M26" s="16" t="n"/>
      <c r="N26" s="17">
        <f>IF(B26="","",IF(AND(H26="Yes",J26="Yes",K26="Yes",L26="Yes"),"Compliant",IF(OR(H26="No",J26="No",L26="No"),"Non-Compliant","Partial")))</f>
        <v/>
      </c>
      <c r="O26" s="15" t="n"/>
    </row>
    <row r="27">
      <c r="A27" s="15" t="n"/>
      <c r="B27" s="15" t="n"/>
      <c r="C27" s="15" t="n"/>
      <c r="D27" s="15" t="n"/>
      <c r="E27" s="15" t="n"/>
      <c r="F27" s="16" t="n"/>
      <c r="G27" s="15" t="n"/>
      <c r="H27" s="15" t="n"/>
      <c r="I27" s="16" t="n"/>
      <c r="J27" s="15" t="n"/>
      <c r="K27" s="15" t="n"/>
      <c r="L27" s="15" t="n"/>
      <c r="M27" s="16" t="n"/>
      <c r="N27" s="17">
        <f>IF(B27="","",IF(AND(H27="Yes",J27="Yes",K27="Yes",L27="Yes"),"Compliant",IF(OR(H27="No",J27="No",L27="No"),"Non-Compliant","Partial")))</f>
        <v/>
      </c>
      <c r="O27" s="15" t="n"/>
    </row>
    <row r="28">
      <c r="A28" s="15" t="n"/>
      <c r="B28" s="15" t="n"/>
      <c r="C28" s="15" t="n"/>
      <c r="D28" s="15" t="n"/>
      <c r="E28" s="15" t="n"/>
      <c r="F28" s="16" t="n"/>
      <c r="G28" s="15" t="n"/>
      <c r="H28" s="15" t="n"/>
      <c r="I28" s="16" t="n"/>
      <c r="J28" s="15" t="n"/>
      <c r="K28" s="15" t="n"/>
      <c r="L28" s="15" t="n"/>
      <c r="M28" s="16" t="n"/>
      <c r="N28" s="17">
        <f>IF(B28="","",IF(AND(H28="Yes",J28="Yes",K28="Yes",L28="Yes"),"Compliant",IF(OR(H28="No",J28="No",L28="No"),"Non-Compliant","Partial")))</f>
        <v/>
      </c>
      <c r="O28" s="15" t="n"/>
    </row>
    <row r="29">
      <c r="A29" s="15" t="n"/>
      <c r="B29" s="15" t="n"/>
      <c r="C29" s="15" t="n"/>
      <c r="D29" s="15" t="n"/>
      <c r="E29" s="15" t="n"/>
      <c r="F29" s="16" t="n"/>
      <c r="G29" s="15" t="n"/>
      <c r="H29" s="15" t="n"/>
      <c r="I29" s="16" t="n"/>
      <c r="J29" s="15" t="n"/>
      <c r="K29" s="15" t="n"/>
      <c r="L29" s="15" t="n"/>
      <c r="M29" s="16" t="n"/>
      <c r="N29" s="17">
        <f>IF(B29="","",IF(AND(H29="Yes",J29="Yes",K29="Yes",L29="Yes"),"Compliant",IF(OR(H29="No",J29="No",L29="No"),"Non-Compliant","Partial")))</f>
        <v/>
      </c>
      <c r="O29" s="15" t="n"/>
    </row>
    <row r="30">
      <c r="A30" s="15" t="n"/>
      <c r="B30" s="15" t="n"/>
      <c r="C30" s="15" t="n"/>
      <c r="D30" s="15" t="n"/>
      <c r="E30" s="15" t="n"/>
      <c r="F30" s="16" t="n"/>
      <c r="G30" s="15" t="n"/>
      <c r="H30" s="15" t="n"/>
      <c r="I30" s="16" t="n"/>
      <c r="J30" s="15" t="n"/>
      <c r="K30" s="15" t="n"/>
      <c r="L30" s="15" t="n"/>
      <c r="M30" s="16" t="n"/>
      <c r="N30" s="17">
        <f>IF(B30="","",IF(AND(H30="Yes",J30="Yes",K30="Yes",L30="Yes"),"Compliant",IF(OR(H30="No",J30="No",L30="No"),"Non-Compliant","Partial")))</f>
        <v/>
      </c>
      <c r="O30" s="15" t="n"/>
    </row>
    <row r="31">
      <c r="A31" s="15" t="n"/>
      <c r="B31" s="15" t="n"/>
      <c r="C31" s="15" t="n"/>
      <c r="D31" s="15" t="n"/>
      <c r="E31" s="15" t="n"/>
      <c r="F31" s="16" t="n"/>
      <c r="G31" s="15" t="n"/>
      <c r="H31" s="15" t="n"/>
      <c r="I31" s="16" t="n"/>
      <c r="J31" s="15" t="n"/>
      <c r="K31" s="15" t="n"/>
      <c r="L31" s="15" t="n"/>
      <c r="M31" s="16" t="n"/>
      <c r="N31" s="17">
        <f>IF(B31="","",IF(AND(H31="Yes",J31="Yes",K31="Yes",L31="Yes"),"Compliant",IF(OR(H31="No",J31="No",L31="No"),"Non-Compliant","Partial")))</f>
        <v/>
      </c>
      <c r="O31" s="15" t="n"/>
    </row>
    <row r="32">
      <c r="A32" s="15" t="n"/>
      <c r="B32" s="15" t="n"/>
      <c r="C32" s="15" t="n"/>
      <c r="D32" s="15" t="n"/>
      <c r="E32" s="15" t="n"/>
      <c r="F32" s="16" t="n"/>
      <c r="G32" s="15" t="n"/>
      <c r="H32" s="15" t="n"/>
      <c r="I32" s="16" t="n"/>
      <c r="J32" s="15" t="n"/>
      <c r="K32" s="15" t="n"/>
      <c r="L32" s="15" t="n"/>
      <c r="M32" s="16" t="n"/>
      <c r="N32" s="17">
        <f>IF(B32="","",IF(AND(H32="Yes",J32="Yes",K32="Yes",L32="Yes"),"Compliant",IF(OR(H32="No",J32="No",L32="No"),"Non-Compliant","Partial")))</f>
        <v/>
      </c>
      <c r="O32" s="15" t="n"/>
    </row>
    <row r="33">
      <c r="A33" s="15" t="n"/>
      <c r="B33" s="15" t="n"/>
      <c r="C33" s="15" t="n"/>
      <c r="D33" s="15" t="n"/>
      <c r="E33" s="15" t="n"/>
      <c r="F33" s="16" t="n"/>
      <c r="G33" s="15" t="n"/>
      <c r="H33" s="15" t="n"/>
      <c r="I33" s="16" t="n"/>
      <c r="J33" s="15" t="n"/>
      <c r="K33" s="15" t="n"/>
      <c r="L33" s="15" t="n"/>
      <c r="M33" s="16" t="n"/>
      <c r="N33" s="17">
        <f>IF(B33="","",IF(AND(H33="Yes",J33="Yes",K33="Yes",L33="Yes"),"Compliant",IF(OR(H33="No",J33="No",L33="No"),"Non-Compliant","Partial")))</f>
        <v/>
      </c>
      <c r="O33" s="15" t="n"/>
    </row>
    <row r="34">
      <c r="A34" s="15" t="n"/>
      <c r="B34" s="15" t="n"/>
      <c r="C34" s="15" t="n"/>
      <c r="D34" s="15" t="n"/>
      <c r="E34" s="15" t="n"/>
      <c r="F34" s="16" t="n"/>
      <c r="G34" s="15" t="n"/>
      <c r="H34" s="15" t="n"/>
      <c r="I34" s="16" t="n"/>
      <c r="J34" s="15" t="n"/>
      <c r="K34" s="15" t="n"/>
      <c r="L34" s="15" t="n"/>
      <c r="M34" s="16" t="n"/>
      <c r="N34" s="17">
        <f>IF(B34="","",IF(AND(H34="Yes",J34="Yes",K34="Yes",L34="Yes"),"Compliant",IF(OR(H34="No",J34="No",L34="No"),"Non-Compliant","Partial")))</f>
        <v/>
      </c>
      <c r="O34" s="15" t="n"/>
    </row>
    <row r="35">
      <c r="A35" s="15" t="n"/>
      <c r="B35" s="15" t="n"/>
      <c r="C35" s="15" t="n"/>
      <c r="D35" s="15" t="n"/>
      <c r="E35" s="15" t="n"/>
      <c r="F35" s="16" t="n"/>
      <c r="G35" s="15" t="n"/>
      <c r="H35" s="15" t="n"/>
      <c r="I35" s="16" t="n"/>
      <c r="J35" s="15" t="n"/>
      <c r="K35" s="15" t="n"/>
      <c r="L35" s="15" t="n"/>
      <c r="M35" s="16" t="n"/>
      <c r="N35" s="17">
        <f>IF(B35="","",IF(AND(H35="Yes",J35="Yes",K35="Yes",L35="Yes"),"Compliant",IF(OR(H35="No",J35="No",L35="No"),"Non-Compliant","Partial")))</f>
        <v/>
      </c>
      <c r="O35" s="15" t="n"/>
    </row>
    <row r="36">
      <c r="A36" s="15" t="n"/>
      <c r="B36" s="15" t="n"/>
      <c r="C36" s="15" t="n"/>
      <c r="D36" s="15" t="n"/>
      <c r="E36" s="15" t="n"/>
      <c r="F36" s="16" t="n"/>
      <c r="G36" s="15" t="n"/>
      <c r="H36" s="15" t="n"/>
      <c r="I36" s="16" t="n"/>
      <c r="J36" s="15" t="n"/>
      <c r="K36" s="15" t="n"/>
      <c r="L36" s="15" t="n"/>
      <c r="M36" s="16" t="n"/>
      <c r="N36" s="17">
        <f>IF(B36="","",IF(AND(H36="Yes",J36="Yes",K36="Yes",L36="Yes"),"Compliant",IF(OR(H36="No",J36="No",L36="No"),"Non-Compliant","Partial")))</f>
        <v/>
      </c>
      <c r="O36" s="15" t="n"/>
    </row>
    <row r="37">
      <c r="A37" s="15" t="n"/>
      <c r="B37" s="15" t="n"/>
      <c r="C37" s="15" t="n"/>
      <c r="D37" s="15" t="n"/>
      <c r="E37" s="15" t="n"/>
      <c r="F37" s="16" t="n"/>
      <c r="G37" s="15" t="n"/>
      <c r="H37" s="15" t="n"/>
      <c r="I37" s="16" t="n"/>
      <c r="J37" s="15" t="n"/>
      <c r="K37" s="15" t="n"/>
      <c r="L37" s="15" t="n"/>
      <c r="M37" s="16" t="n"/>
      <c r="N37" s="17">
        <f>IF(B37="","",IF(AND(H37="Yes",J37="Yes",K37="Yes",L37="Yes"),"Compliant",IF(OR(H37="No",J37="No",L37="No"),"Non-Compliant","Partial")))</f>
        <v/>
      </c>
      <c r="O37" s="15" t="n"/>
    </row>
    <row r="38">
      <c r="A38" s="15" t="n"/>
      <c r="B38" s="15" t="n"/>
      <c r="C38" s="15" t="n"/>
      <c r="D38" s="15" t="n"/>
      <c r="E38" s="15" t="n"/>
      <c r="F38" s="16" t="n"/>
      <c r="G38" s="15" t="n"/>
      <c r="H38" s="15" t="n"/>
      <c r="I38" s="16" t="n"/>
      <c r="J38" s="15" t="n"/>
      <c r="K38" s="15" t="n"/>
      <c r="L38" s="15" t="n"/>
      <c r="M38" s="16" t="n"/>
      <c r="N38" s="17">
        <f>IF(B38="","",IF(AND(H38="Yes",J38="Yes",K38="Yes",L38="Yes"),"Compliant",IF(OR(H38="No",J38="No",L38="No"),"Non-Compliant","Partial")))</f>
        <v/>
      </c>
      <c r="O38" s="15" t="n"/>
    </row>
    <row r="39">
      <c r="A39" s="15" t="n"/>
      <c r="B39" s="15" t="n"/>
      <c r="C39" s="15" t="n"/>
      <c r="D39" s="15" t="n"/>
      <c r="E39" s="15" t="n"/>
      <c r="F39" s="16" t="n"/>
      <c r="G39" s="15" t="n"/>
      <c r="H39" s="15" t="n"/>
      <c r="I39" s="16" t="n"/>
      <c r="J39" s="15" t="n"/>
      <c r="K39" s="15" t="n"/>
      <c r="L39" s="15" t="n"/>
      <c r="M39" s="16" t="n"/>
      <c r="N39" s="17">
        <f>IF(B39="","",IF(AND(H39="Yes",J39="Yes",K39="Yes",L39="Yes"),"Compliant",IF(OR(H39="No",J39="No",L39="No"),"Non-Compliant","Partial")))</f>
        <v/>
      </c>
      <c r="O39" s="15" t="n"/>
    </row>
    <row r="40">
      <c r="A40" s="15" t="n"/>
      <c r="B40" s="15" t="n"/>
      <c r="C40" s="15" t="n"/>
      <c r="D40" s="15" t="n"/>
      <c r="E40" s="15" t="n"/>
      <c r="F40" s="16" t="n"/>
      <c r="G40" s="15" t="n"/>
      <c r="H40" s="15" t="n"/>
      <c r="I40" s="16" t="n"/>
      <c r="J40" s="15" t="n"/>
      <c r="K40" s="15" t="n"/>
      <c r="L40" s="15" t="n"/>
      <c r="M40" s="16" t="n"/>
      <c r="N40" s="17">
        <f>IF(B40="","",IF(AND(H40="Yes",J40="Yes",K40="Yes",L40="Yes"),"Compliant",IF(OR(H40="No",J40="No",L40="No"),"Non-Compliant","Partial")))</f>
        <v/>
      </c>
      <c r="O40" s="15" t="n"/>
    </row>
    <row r="41">
      <c r="A41" s="15" t="n"/>
      <c r="B41" s="15" t="n"/>
      <c r="C41" s="15" t="n"/>
      <c r="D41" s="15" t="n"/>
      <c r="E41" s="15" t="n"/>
      <c r="F41" s="16" t="n"/>
      <c r="G41" s="15" t="n"/>
      <c r="H41" s="15" t="n"/>
      <c r="I41" s="16" t="n"/>
      <c r="J41" s="15" t="n"/>
      <c r="K41" s="15" t="n"/>
      <c r="L41" s="15" t="n"/>
      <c r="M41" s="16" t="n"/>
      <c r="N41" s="17">
        <f>IF(B41="","",IF(AND(H41="Yes",J41="Yes",K41="Yes",L41="Yes"),"Compliant",IF(OR(H41="No",J41="No",L41="No"),"Non-Compliant","Partial")))</f>
        <v/>
      </c>
      <c r="O41" s="15" t="n"/>
    </row>
    <row r="42">
      <c r="A42" s="15" t="n"/>
      <c r="B42" s="15" t="n"/>
      <c r="C42" s="15" t="n"/>
      <c r="D42" s="15" t="n"/>
      <c r="E42" s="15" t="n"/>
      <c r="F42" s="16" t="n"/>
      <c r="G42" s="15" t="n"/>
      <c r="H42" s="15" t="n"/>
      <c r="I42" s="16" t="n"/>
      <c r="J42" s="15" t="n"/>
      <c r="K42" s="15" t="n"/>
      <c r="L42" s="15" t="n"/>
      <c r="M42" s="16" t="n"/>
      <c r="N42" s="17">
        <f>IF(B42="","",IF(AND(H42="Yes",J42="Yes",K42="Yes",L42="Yes"),"Compliant",IF(OR(H42="No",J42="No",L42="No"),"Non-Compliant","Partial")))</f>
        <v/>
      </c>
      <c r="O42" s="15" t="n"/>
    </row>
    <row r="43">
      <c r="A43" s="15" t="n"/>
      <c r="B43" s="15" t="n"/>
      <c r="C43" s="15" t="n"/>
      <c r="D43" s="15" t="n"/>
      <c r="E43" s="15" t="n"/>
      <c r="F43" s="16" t="n"/>
      <c r="G43" s="15" t="n"/>
      <c r="H43" s="15" t="n"/>
      <c r="I43" s="16" t="n"/>
      <c r="J43" s="15" t="n"/>
      <c r="K43" s="15" t="n"/>
      <c r="L43" s="15" t="n"/>
      <c r="M43" s="16" t="n"/>
      <c r="N43" s="17">
        <f>IF(B43="","",IF(AND(H43="Yes",J43="Yes",K43="Yes",L43="Yes"),"Compliant",IF(OR(H43="No",J43="No",L43="No"),"Non-Compliant","Partial")))</f>
        <v/>
      </c>
      <c r="O43" s="15" t="n"/>
    </row>
    <row r="44">
      <c r="A44" s="15" t="n"/>
      <c r="B44" s="15" t="n"/>
      <c r="C44" s="15" t="n"/>
      <c r="D44" s="15" t="n"/>
      <c r="E44" s="15" t="n"/>
      <c r="F44" s="16" t="n"/>
      <c r="G44" s="15" t="n"/>
      <c r="H44" s="15" t="n"/>
      <c r="I44" s="16" t="n"/>
      <c r="J44" s="15" t="n"/>
      <c r="K44" s="15" t="n"/>
      <c r="L44" s="15" t="n"/>
      <c r="M44" s="16" t="n"/>
      <c r="N44" s="17">
        <f>IF(B44="","",IF(AND(H44="Yes",J44="Yes",K44="Yes",L44="Yes"),"Compliant",IF(OR(H44="No",J44="No",L44="No"),"Non-Compliant","Partial")))</f>
        <v/>
      </c>
      <c r="O44" s="15" t="n"/>
    </row>
    <row r="45">
      <c r="A45" s="15" t="n"/>
      <c r="B45" s="15" t="n"/>
      <c r="C45" s="15" t="n"/>
      <c r="D45" s="15" t="n"/>
      <c r="E45" s="15" t="n"/>
      <c r="F45" s="16" t="n"/>
      <c r="G45" s="15" t="n"/>
      <c r="H45" s="15" t="n"/>
      <c r="I45" s="16" t="n"/>
      <c r="J45" s="15" t="n"/>
      <c r="K45" s="15" t="n"/>
      <c r="L45" s="15" t="n"/>
      <c r="M45" s="16" t="n"/>
      <c r="N45" s="17">
        <f>IF(B45="","",IF(AND(H45="Yes",J45="Yes",K45="Yes",L45="Yes"),"Compliant",IF(OR(H45="No",J45="No",L45="No"),"Non-Compliant","Partial")))</f>
        <v/>
      </c>
      <c r="O45" s="15" t="n"/>
    </row>
    <row r="46">
      <c r="A46" s="15" t="n"/>
      <c r="B46" s="15" t="n"/>
      <c r="C46" s="15" t="n"/>
      <c r="D46" s="15" t="n"/>
      <c r="E46" s="15" t="n"/>
      <c r="F46" s="16" t="n"/>
      <c r="G46" s="15" t="n"/>
      <c r="H46" s="15" t="n"/>
      <c r="I46" s="16" t="n"/>
      <c r="J46" s="15" t="n"/>
      <c r="K46" s="15" t="n"/>
      <c r="L46" s="15" t="n"/>
      <c r="M46" s="16" t="n"/>
      <c r="N46" s="17">
        <f>IF(B46="","",IF(AND(H46="Yes",J46="Yes",K46="Yes",L46="Yes"),"Compliant",IF(OR(H46="No",J46="No",L46="No"),"Non-Compliant","Partial")))</f>
        <v/>
      </c>
      <c r="O46" s="15" t="n"/>
    </row>
    <row r="47">
      <c r="A47" s="15" t="n"/>
      <c r="B47" s="15" t="n"/>
      <c r="C47" s="15" t="n"/>
      <c r="D47" s="15" t="n"/>
      <c r="E47" s="15" t="n"/>
      <c r="F47" s="16" t="n"/>
      <c r="G47" s="15" t="n"/>
      <c r="H47" s="15" t="n"/>
      <c r="I47" s="16" t="n"/>
      <c r="J47" s="15" t="n"/>
      <c r="K47" s="15" t="n"/>
      <c r="L47" s="15" t="n"/>
      <c r="M47" s="16" t="n"/>
      <c r="N47" s="17">
        <f>IF(B47="","",IF(AND(H47="Yes",J47="Yes",K47="Yes",L47="Yes"),"Compliant",IF(OR(H47="No",J47="No",L47="No"),"Non-Compliant","Partial")))</f>
        <v/>
      </c>
      <c r="O47" s="15" t="n"/>
    </row>
    <row r="48">
      <c r="A48" s="15" t="n"/>
      <c r="B48" s="15" t="n"/>
      <c r="C48" s="15" t="n"/>
      <c r="D48" s="15" t="n"/>
      <c r="E48" s="15" t="n"/>
      <c r="F48" s="16" t="n"/>
      <c r="G48" s="15" t="n"/>
      <c r="H48" s="15" t="n"/>
      <c r="I48" s="16" t="n"/>
      <c r="J48" s="15" t="n"/>
      <c r="K48" s="15" t="n"/>
      <c r="L48" s="15" t="n"/>
      <c r="M48" s="16" t="n"/>
      <c r="N48" s="17">
        <f>IF(B48="","",IF(AND(H48="Yes",J48="Yes",K48="Yes",L48="Yes"),"Compliant",IF(OR(H48="No",J48="No",L48="No"),"Non-Compliant","Partial")))</f>
        <v/>
      </c>
      <c r="O48" s="15" t="n"/>
    </row>
    <row r="49">
      <c r="A49" s="15" t="n"/>
      <c r="B49" s="15" t="n"/>
      <c r="C49" s="15" t="n"/>
      <c r="D49" s="15" t="n"/>
      <c r="E49" s="15" t="n"/>
      <c r="F49" s="16" t="n"/>
      <c r="G49" s="15" t="n"/>
      <c r="H49" s="15" t="n"/>
      <c r="I49" s="16" t="n"/>
      <c r="J49" s="15" t="n"/>
      <c r="K49" s="15" t="n"/>
      <c r="L49" s="15" t="n"/>
      <c r="M49" s="16" t="n"/>
      <c r="N49" s="17">
        <f>IF(B49="","",IF(AND(H49="Yes",J49="Yes",K49="Yes",L49="Yes"),"Compliant",IF(OR(H49="No",J49="No",L49="No"),"Non-Compliant","Partial")))</f>
        <v/>
      </c>
      <c r="O49" s="15" t="n"/>
    </row>
    <row r="50">
      <c r="A50" s="15" t="n"/>
      <c r="B50" s="15" t="n"/>
      <c r="C50" s="15" t="n"/>
      <c r="D50" s="15" t="n"/>
      <c r="E50" s="15" t="n"/>
      <c r="F50" s="16" t="n"/>
      <c r="G50" s="15" t="n"/>
      <c r="H50" s="15" t="n"/>
      <c r="I50" s="16" t="n"/>
      <c r="J50" s="15" t="n"/>
      <c r="K50" s="15" t="n"/>
      <c r="L50" s="15" t="n"/>
      <c r="M50" s="16" t="n"/>
      <c r="N50" s="17">
        <f>IF(B50="","",IF(AND(H50="Yes",J50="Yes",K50="Yes",L50="Yes"),"Compliant",IF(OR(H50="No",J50="No",L50="No"),"Non-Compliant","Partial")))</f>
        <v/>
      </c>
      <c r="O50" s="15" t="n"/>
    </row>
    <row r="51">
      <c r="A51" s="15" t="n"/>
      <c r="B51" s="15" t="n"/>
      <c r="C51" s="15" t="n"/>
      <c r="D51" s="15" t="n"/>
      <c r="E51" s="15" t="n"/>
      <c r="F51" s="16" t="n"/>
      <c r="G51" s="15" t="n"/>
      <c r="H51" s="15" t="n"/>
      <c r="I51" s="16" t="n"/>
      <c r="J51" s="15" t="n"/>
      <c r="K51" s="15" t="n"/>
      <c r="L51" s="15" t="n"/>
      <c r="M51" s="16" t="n"/>
      <c r="N51" s="17">
        <f>IF(B51="","",IF(AND(H51="Yes",J51="Yes",K51="Yes",L51="Yes"),"Compliant",IF(OR(H51="No",J51="No",L51="No"),"Non-Compliant","Partial")))</f>
        <v/>
      </c>
      <c r="O51" s="15" t="n"/>
    </row>
    <row r="52">
      <c r="A52" s="15" t="n"/>
      <c r="B52" s="15" t="n"/>
      <c r="C52" s="15" t="n"/>
      <c r="D52" s="15" t="n"/>
      <c r="E52" s="15" t="n"/>
      <c r="F52" s="16" t="n"/>
      <c r="G52" s="15" t="n"/>
      <c r="H52" s="15" t="n"/>
      <c r="I52" s="16" t="n"/>
      <c r="J52" s="15" t="n"/>
      <c r="K52" s="15" t="n"/>
      <c r="L52" s="15" t="n"/>
      <c r="M52" s="16" t="n"/>
      <c r="N52" s="17">
        <f>IF(B52="","",IF(AND(H52="Yes",J52="Yes",K52="Yes",L52="Yes"),"Compliant",IF(OR(H52="No",J52="No",L52="No"),"Non-Compliant","Partial")))</f>
        <v/>
      </c>
      <c r="O52" s="15" t="n"/>
    </row>
    <row r="53">
      <c r="A53" s="15" t="n"/>
      <c r="B53" s="15" t="n"/>
      <c r="C53" s="15" t="n"/>
      <c r="D53" s="15" t="n"/>
      <c r="E53" s="15" t="n"/>
      <c r="F53" s="16" t="n"/>
      <c r="G53" s="15" t="n"/>
      <c r="H53" s="15" t="n"/>
      <c r="I53" s="16" t="n"/>
      <c r="J53" s="15" t="n"/>
      <c r="K53" s="15" t="n"/>
      <c r="L53" s="15" t="n"/>
      <c r="M53" s="16" t="n"/>
      <c r="N53" s="17">
        <f>IF(B53="","",IF(AND(H53="Yes",J53="Yes",K53="Yes",L53="Yes"),"Compliant",IF(OR(H53="No",J53="No",L53="No"),"Non-Compliant","Partial")))</f>
        <v/>
      </c>
      <c r="O53" s="15" t="n"/>
    </row>
    <row r="54">
      <c r="A54" s="15" t="n"/>
      <c r="B54" s="15" t="n"/>
      <c r="C54" s="15" t="n"/>
      <c r="D54" s="15" t="n"/>
      <c r="E54" s="15" t="n"/>
      <c r="F54" s="16" t="n"/>
      <c r="G54" s="15" t="n"/>
      <c r="H54" s="15" t="n"/>
      <c r="I54" s="16" t="n"/>
      <c r="J54" s="15" t="n"/>
      <c r="K54" s="15" t="n"/>
      <c r="L54" s="15" t="n"/>
      <c r="M54" s="16" t="n"/>
      <c r="N54" s="17">
        <f>IF(B54="","",IF(AND(H54="Yes",J54="Yes",K54="Yes",L54="Yes"),"Compliant",IF(OR(H54="No",J54="No",L54="No"),"Non-Compliant","Partial")))</f>
        <v/>
      </c>
      <c r="O54" s="15" t="n"/>
    </row>
  </sheetData>
  <mergeCells count="2">
    <mergeCell ref="A1:O1"/>
    <mergeCell ref="A2:O2"/>
  </mergeCells>
  <dataValidations count="2">
    <dataValidation sqref="E5:E54" showDropDown="0" showInputMessage="0" showErrorMessage="1" allowBlank="1" errorTitle="Invalid Entry" error="Please select from dropdown" type="list">
      <formula1>"Permanent,Fixed-Term,Executive,Intern,Contractor,Consultant,Agency"</formula1>
    </dataValidation>
    <dataValidation sqref="H5:H54 J5:J54 K5:K54 L5:L54" showDropDown="0" showInputMessage="0" showErrorMessage="1" allowBlank="1" errorTitle="Invalid Entry" error="Please select from dropdown" type="list">
      <formula1>"Yes,No,Partial,Pending"</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54"/>
  <sheetViews>
    <sheetView showGridLines="0" workbookViewId="0">
      <pane ySplit="3" topLeftCell="A4" activePane="bottomLeft" state="frozen"/>
      <selection pane="bottomLeft" activeCell="A1" sqref="A1"/>
    </sheetView>
  </sheetViews>
  <sheetFormatPr baseColWidth="8" defaultRowHeight="15"/>
  <cols>
    <col width="15" customWidth="1" min="1" max="1"/>
    <col width="25" customWidth="1" min="2" max="2"/>
    <col width="20" customWidth="1" min="3" max="3"/>
    <col width="20" customWidth="1" min="4" max="4"/>
    <col width="12" customWidth="1" min="5" max="5"/>
    <col width="12" customWidth="1" min="6" max="6"/>
    <col width="12" customWidth="1" min="7" max="7"/>
    <col width="15" customWidth="1" min="8" max="8"/>
    <col width="15" customWidth="1" min="9" max="9"/>
    <col width="15" customWidth="1" min="10" max="10"/>
    <col width="15" customWidth="1" min="11" max="11"/>
    <col width="15" customWidth="1" min="12" max="12"/>
    <col width="30" customWidth="1" min="13" max="13"/>
    <col width="40" customWidth="1" min="14" max="14"/>
  </cols>
  <sheetData>
    <row r="1" ht="35" customHeight="1">
      <c r="A1" s="11" t="inlineStr">
        <is>
          <t>CONFIDENTIALITY &amp; NDA TRACKING</t>
        </is>
      </c>
    </row>
    <row r="2">
      <c r="A2" s="12" t="inlineStr">
        <is>
          <t>AUDIT FOCAL POINT: NDA and confidentiality agreement status per individual</t>
        </is>
      </c>
    </row>
    <row r="4">
      <c r="A4" s="13" t="inlineStr">
        <is>
          <t>Employee ID</t>
        </is>
      </c>
      <c r="B4" s="13" t="inlineStr">
        <is>
          <t>Employee Name</t>
        </is>
      </c>
      <c r="C4" s="13" t="inlineStr">
        <is>
          <t>Department</t>
        </is>
      </c>
      <c r="D4" s="13" t="inlineStr">
        <is>
          <t>NDA Type</t>
        </is>
      </c>
      <c r="E4" s="13" t="inlineStr">
        <is>
          <t>NDA Version</t>
        </is>
      </c>
      <c r="F4" s="13" t="inlineStr">
        <is>
          <t>Date Signed</t>
        </is>
      </c>
      <c r="G4" s="13" t="inlineStr">
        <is>
          <t>Expiration Date</t>
        </is>
      </c>
      <c r="H4" s="13" t="inlineStr">
        <is>
          <t>Covers IP</t>
        </is>
      </c>
      <c r="I4" s="13" t="inlineStr">
        <is>
          <t>Covers Trade Secrets</t>
        </is>
      </c>
      <c r="J4" s="13" t="inlineStr">
        <is>
          <t>Covers Post Employment</t>
        </is>
      </c>
      <c r="K4" s="13" t="inlineStr">
        <is>
          <t>NDA Status</t>
        </is>
      </c>
      <c r="L4" s="13" t="inlineStr">
        <is>
          <t>Renewal Required</t>
        </is>
      </c>
      <c r="M4" s="13" t="inlineStr">
        <is>
          <t>Document Location</t>
        </is>
      </c>
      <c r="N4" s="13" t="inlineStr">
        <is>
          <t>Notes</t>
        </is>
      </c>
    </row>
    <row r="5">
      <c r="A5" s="17">
        <f>IF(ROW()-4&lt;=COUNTA('Personnel Contract Compliance'!$A:$A)-4,INDEX('Personnel Contract Compliance'!$A:$A,ROW()-3),"")</f>
        <v/>
      </c>
      <c r="B5" s="17">
        <f>IF(A5&lt;&gt;"",VLOOKUP(A5,'Personnel Contract Compliance'!$A:$B,2,FALSE),"")</f>
        <v/>
      </c>
      <c r="C5" s="17">
        <f>IF(A5&lt;&gt;"",VLOOKUP(A5,'Personnel Contract Compliance'!$A:$C,3,FALSE),"")</f>
        <v/>
      </c>
      <c r="D5" s="15" t="n"/>
      <c r="E5" s="15" t="n"/>
      <c r="F5" s="16" t="n"/>
      <c r="G5" s="16" t="n"/>
      <c r="H5" s="15" t="n"/>
      <c r="I5" s="15" t="n"/>
      <c r="J5" s="15" t="n"/>
      <c r="K5" s="17">
        <f>IF(B5="","",IF(AND(F5&lt;&gt;"",OR(G5="",G5&gt;=TODAY())),"Active",IF(AND(F5&lt;&gt;"",G5&lt;TODAY()),"Expired",IF(F5="","Missing","Unknown"))))</f>
        <v/>
      </c>
      <c r="L5" s="15" t="n"/>
      <c r="M5" s="15" t="n"/>
      <c r="N5" s="15" t="n"/>
    </row>
    <row r="6">
      <c r="A6" s="17">
        <f>IF(ROW()-4&lt;=COUNTA('Personnel Contract Compliance'!$A:$A)-4,INDEX('Personnel Contract Compliance'!$A:$A,ROW()-3),"")</f>
        <v/>
      </c>
      <c r="B6" s="17">
        <f>IF(A6&lt;&gt;"",VLOOKUP(A6,'Personnel Contract Compliance'!$A:$B,2,FALSE),"")</f>
        <v/>
      </c>
      <c r="C6" s="17">
        <f>IF(A6&lt;&gt;"",VLOOKUP(A6,'Personnel Contract Compliance'!$A:$C,3,FALSE),"")</f>
        <v/>
      </c>
      <c r="D6" s="15" t="n"/>
      <c r="E6" s="15" t="n"/>
      <c r="F6" s="16" t="n"/>
      <c r="G6" s="16" t="n"/>
      <c r="H6" s="15" t="n"/>
      <c r="I6" s="15" t="n"/>
      <c r="J6" s="15" t="n"/>
      <c r="K6" s="17">
        <f>IF(B6="","",IF(AND(F6&lt;&gt;"",OR(G6="",G6&gt;=TODAY())),"Active",IF(AND(F6&lt;&gt;"",G6&lt;TODAY()),"Expired",IF(F6="","Missing","Unknown"))))</f>
        <v/>
      </c>
      <c r="L6" s="15" t="n"/>
      <c r="M6" s="15" t="n"/>
      <c r="N6" s="15" t="n"/>
    </row>
    <row r="7">
      <c r="A7" s="17">
        <f>IF(ROW()-4&lt;=COUNTA('Personnel Contract Compliance'!$A:$A)-4,INDEX('Personnel Contract Compliance'!$A:$A,ROW()-3),"")</f>
        <v/>
      </c>
      <c r="B7" s="17">
        <f>IF(A7&lt;&gt;"",VLOOKUP(A7,'Personnel Contract Compliance'!$A:$B,2,FALSE),"")</f>
        <v/>
      </c>
      <c r="C7" s="17">
        <f>IF(A7&lt;&gt;"",VLOOKUP(A7,'Personnel Contract Compliance'!$A:$C,3,FALSE),"")</f>
        <v/>
      </c>
      <c r="D7" s="15" t="n"/>
      <c r="E7" s="15" t="n"/>
      <c r="F7" s="16" t="n"/>
      <c r="G7" s="16" t="n"/>
      <c r="H7" s="15" t="n"/>
      <c r="I7" s="15" t="n"/>
      <c r="J7" s="15" t="n"/>
      <c r="K7" s="17">
        <f>IF(B7="","",IF(AND(F7&lt;&gt;"",OR(G7="",G7&gt;=TODAY())),"Active",IF(AND(F7&lt;&gt;"",G7&lt;TODAY()),"Expired",IF(F7="","Missing","Unknown"))))</f>
        <v/>
      </c>
      <c r="L7" s="15" t="n"/>
      <c r="M7" s="15" t="n"/>
      <c r="N7" s="15" t="n"/>
    </row>
    <row r="8">
      <c r="A8" s="17">
        <f>IF(ROW()-4&lt;=COUNTA('Personnel Contract Compliance'!$A:$A)-4,INDEX('Personnel Contract Compliance'!$A:$A,ROW()-3),"")</f>
        <v/>
      </c>
      <c r="B8" s="17">
        <f>IF(A8&lt;&gt;"",VLOOKUP(A8,'Personnel Contract Compliance'!$A:$B,2,FALSE),"")</f>
        <v/>
      </c>
      <c r="C8" s="17">
        <f>IF(A8&lt;&gt;"",VLOOKUP(A8,'Personnel Contract Compliance'!$A:$C,3,FALSE),"")</f>
        <v/>
      </c>
      <c r="D8" s="15" t="n"/>
      <c r="E8" s="15" t="n"/>
      <c r="F8" s="16" t="n"/>
      <c r="G8" s="16" t="n"/>
      <c r="H8" s="15" t="n"/>
      <c r="I8" s="15" t="n"/>
      <c r="J8" s="15" t="n"/>
      <c r="K8" s="17">
        <f>IF(B8="","",IF(AND(F8&lt;&gt;"",OR(G8="",G8&gt;=TODAY())),"Active",IF(AND(F8&lt;&gt;"",G8&lt;TODAY()),"Expired",IF(F8="","Missing","Unknown"))))</f>
        <v/>
      </c>
      <c r="L8" s="15" t="n"/>
      <c r="M8" s="15" t="n"/>
      <c r="N8" s="15" t="n"/>
    </row>
    <row r="9">
      <c r="A9" s="17">
        <f>IF(ROW()-4&lt;=COUNTA('Personnel Contract Compliance'!$A:$A)-4,INDEX('Personnel Contract Compliance'!$A:$A,ROW()-3),"")</f>
        <v/>
      </c>
      <c r="B9" s="17">
        <f>IF(A9&lt;&gt;"",VLOOKUP(A9,'Personnel Contract Compliance'!$A:$B,2,FALSE),"")</f>
        <v/>
      </c>
      <c r="C9" s="17">
        <f>IF(A9&lt;&gt;"",VLOOKUP(A9,'Personnel Contract Compliance'!$A:$C,3,FALSE),"")</f>
        <v/>
      </c>
      <c r="D9" s="15" t="n"/>
      <c r="E9" s="15" t="n"/>
      <c r="F9" s="16" t="n"/>
      <c r="G9" s="16" t="n"/>
      <c r="H9" s="15" t="n"/>
      <c r="I9" s="15" t="n"/>
      <c r="J9" s="15" t="n"/>
      <c r="K9" s="17">
        <f>IF(B9="","",IF(AND(F9&lt;&gt;"",OR(G9="",G9&gt;=TODAY())),"Active",IF(AND(F9&lt;&gt;"",G9&lt;TODAY()),"Expired",IF(F9="","Missing","Unknown"))))</f>
        <v/>
      </c>
      <c r="L9" s="15" t="n"/>
      <c r="M9" s="15" t="n"/>
      <c r="N9" s="15" t="n"/>
    </row>
    <row r="10">
      <c r="A10" s="17">
        <f>IF(ROW()-4&lt;=COUNTA('Personnel Contract Compliance'!$A:$A)-4,INDEX('Personnel Contract Compliance'!$A:$A,ROW()-3),"")</f>
        <v/>
      </c>
      <c r="B10" s="17">
        <f>IF(A10&lt;&gt;"",VLOOKUP(A10,'Personnel Contract Compliance'!$A:$B,2,FALSE),"")</f>
        <v/>
      </c>
      <c r="C10" s="17">
        <f>IF(A10&lt;&gt;"",VLOOKUP(A10,'Personnel Contract Compliance'!$A:$C,3,FALSE),"")</f>
        <v/>
      </c>
      <c r="D10" s="15" t="n"/>
      <c r="E10" s="15" t="n"/>
      <c r="F10" s="16" t="n"/>
      <c r="G10" s="16" t="n"/>
      <c r="H10" s="15" t="n"/>
      <c r="I10" s="15" t="n"/>
      <c r="J10" s="15" t="n"/>
      <c r="K10" s="17">
        <f>IF(B10="","",IF(AND(F10&lt;&gt;"",OR(G10="",G10&gt;=TODAY())),"Active",IF(AND(F10&lt;&gt;"",G10&lt;TODAY()),"Expired",IF(F10="","Missing","Unknown"))))</f>
        <v/>
      </c>
      <c r="L10" s="15" t="n"/>
      <c r="M10" s="15" t="n"/>
      <c r="N10" s="15" t="n"/>
    </row>
    <row r="11">
      <c r="A11" s="17">
        <f>IF(ROW()-4&lt;=COUNTA('Personnel Contract Compliance'!$A:$A)-4,INDEX('Personnel Contract Compliance'!$A:$A,ROW()-3),"")</f>
        <v/>
      </c>
      <c r="B11" s="17">
        <f>IF(A11&lt;&gt;"",VLOOKUP(A11,'Personnel Contract Compliance'!$A:$B,2,FALSE),"")</f>
        <v/>
      </c>
      <c r="C11" s="17">
        <f>IF(A11&lt;&gt;"",VLOOKUP(A11,'Personnel Contract Compliance'!$A:$C,3,FALSE),"")</f>
        <v/>
      </c>
      <c r="D11" s="15" t="n"/>
      <c r="E11" s="15" t="n"/>
      <c r="F11" s="16" t="n"/>
      <c r="G11" s="16" t="n"/>
      <c r="H11" s="15" t="n"/>
      <c r="I11" s="15" t="n"/>
      <c r="J11" s="15" t="n"/>
      <c r="K11" s="17">
        <f>IF(B11="","",IF(AND(F11&lt;&gt;"",OR(G11="",G11&gt;=TODAY())),"Active",IF(AND(F11&lt;&gt;"",G11&lt;TODAY()),"Expired",IF(F11="","Missing","Unknown"))))</f>
        <v/>
      </c>
      <c r="L11" s="15" t="n"/>
      <c r="M11" s="15" t="n"/>
      <c r="N11" s="15" t="n"/>
    </row>
    <row r="12">
      <c r="A12" s="17">
        <f>IF(ROW()-4&lt;=COUNTA('Personnel Contract Compliance'!$A:$A)-4,INDEX('Personnel Contract Compliance'!$A:$A,ROW()-3),"")</f>
        <v/>
      </c>
      <c r="B12" s="17">
        <f>IF(A12&lt;&gt;"",VLOOKUP(A12,'Personnel Contract Compliance'!$A:$B,2,FALSE),"")</f>
        <v/>
      </c>
      <c r="C12" s="17">
        <f>IF(A12&lt;&gt;"",VLOOKUP(A12,'Personnel Contract Compliance'!$A:$C,3,FALSE),"")</f>
        <v/>
      </c>
      <c r="D12" s="15" t="n"/>
      <c r="E12" s="15" t="n"/>
      <c r="F12" s="16" t="n"/>
      <c r="G12" s="16" t="n"/>
      <c r="H12" s="15" t="n"/>
      <c r="I12" s="15" t="n"/>
      <c r="J12" s="15" t="n"/>
      <c r="K12" s="17">
        <f>IF(B12="","",IF(AND(F12&lt;&gt;"",OR(G12="",G12&gt;=TODAY())),"Active",IF(AND(F12&lt;&gt;"",G12&lt;TODAY()),"Expired",IF(F12="","Missing","Unknown"))))</f>
        <v/>
      </c>
      <c r="L12" s="15" t="n"/>
      <c r="M12" s="15" t="n"/>
      <c r="N12" s="15" t="n"/>
    </row>
    <row r="13">
      <c r="A13" s="17">
        <f>IF(ROW()-4&lt;=COUNTA('Personnel Contract Compliance'!$A:$A)-4,INDEX('Personnel Contract Compliance'!$A:$A,ROW()-3),"")</f>
        <v/>
      </c>
      <c r="B13" s="17">
        <f>IF(A13&lt;&gt;"",VLOOKUP(A13,'Personnel Contract Compliance'!$A:$B,2,FALSE),"")</f>
        <v/>
      </c>
      <c r="C13" s="17">
        <f>IF(A13&lt;&gt;"",VLOOKUP(A13,'Personnel Contract Compliance'!$A:$C,3,FALSE),"")</f>
        <v/>
      </c>
      <c r="D13" s="15" t="n"/>
      <c r="E13" s="15" t="n"/>
      <c r="F13" s="16" t="n"/>
      <c r="G13" s="16" t="n"/>
      <c r="H13" s="15" t="n"/>
      <c r="I13" s="15" t="n"/>
      <c r="J13" s="15" t="n"/>
      <c r="K13" s="17">
        <f>IF(B13="","",IF(AND(F13&lt;&gt;"",OR(G13="",G13&gt;=TODAY())),"Active",IF(AND(F13&lt;&gt;"",G13&lt;TODAY()),"Expired",IF(F13="","Missing","Unknown"))))</f>
        <v/>
      </c>
      <c r="L13" s="15" t="n"/>
      <c r="M13" s="15" t="n"/>
      <c r="N13" s="15" t="n"/>
    </row>
    <row r="14">
      <c r="A14" s="17">
        <f>IF(ROW()-4&lt;=COUNTA('Personnel Contract Compliance'!$A:$A)-4,INDEX('Personnel Contract Compliance'!$A:$A,ROW()-3),"")</f>
        <v/>
      </c>
      <c r="B14" s="17">
        <f>IF(A14&lt;&gt;"",VLOOKUP(A14,'Personnel Contract Compliance'!$A:$B,2,FALSE),"")</f>
        <v/>
      </c>
      <c r="C14" s="17">
        <f>IF(A14&lt;&gt;"",VLOOKUP(A14,'Personnel Contract Compliance'!$A:$C,3,FALSE),"")</f>
        <v/>
      </c>
      <c r="D14" s="15" t="n"/>
      <c r="E14" s="15" t="n"/>
      <c r="F14" s="16" t="n"/>
      <c r="G14" s="16" t="n"/>
      <c r="H14" s="15" t="n"/>
      <c r="I14" s="15" t="n"/>
      <c r="J14" s="15" t="n"/>
      <c r="K14" s="17">
        <f>IF(B14="","",IF(AND(F14&lt;&gt;"",OR(G14="",G14&gt;=TODAY())),"Active",IF(AND(F14&lt;&gt;"",G14&lt;TODAY()),"Expired",IF(F14="","Missing","Unknown"))))</f>
        <v/>
      </c>
      <c r="L14" s="15" t="n"/>
      <c r="M14" s="15" t="n"/>
      <c r="N14" s="15" t="n"/>
    </row>
    <row r="15">
      <c r="A15" s="17">
        <f>IF(ROW()-4&lt;=COUNTA('Personnel Contract Compliance'!$A:$A)-4,INDEX('Personnel Contract Compliance'!$A:$A,ROW()-3),"")</f>
        <v/>
      </c>
      <c r="B15" s="17">
        <f>IF(A15&lt;&gt;"",VLOOKUP(A15,'Personnel Contract Compliance'!$A:$B,2,FALSE),"")</f>
        <v/>
      </c>
      <c r="C15" s="17">
        <f>IF(A15&lt;&gt;"",VLOOKUP(A15,'Personnel Contract Compliance'!$A:$C,3,FALSE),"")</f>
        <v/>
      </c>
      <c r="D15" s="15" t="n"/>
      <c r="E15" s="15" t="n"/>
      <c r="F15" s="16" t="n"/>
      <c r="G15" s="16" t="n"/>
      <c r="H15" s="15" t="n"/>
      <c r="I15" s="15" t="n"/>
      <c r="J15" s="15" t="n"/>
      <c r="K15" s="17">
        <f>IF(B15="","",IF(AND(F15&lt;&gt;"",OR(G15="",G15&gt;=TODAY())),"Active",IF(AND(F15&lt;&gt;"",G15&lt;TODAY()),"Expired",IF(F15="","Missing","Unknown"))))</f>
        <v/>
      </c>
      <c r="L15" s="15" t="n"/>
      <c r="M15" s="15" t="n"/>
      <c r="N15" s="15" t="n"/>
    </row>
    <row r="16">
      <c r="A16" s="17">
        <f>IF(ROW()-4&lt;=COUNTA('Personnel Contract Compliance'!$A:$A)-4,INDEX('Personnel Contract Compliance'!$A:$A,ROW()-3),"")</f>
        <v/>
      </c>
      <c r="B16" s="17">
        <f>IF(A16&lt;&gt;"",VLOOKUP(A16,'Personnel Contract Compliance'!$A:$B,2,FALSE),"")</f>
        <v/>
      </c>
      <c r="C16" s="17">
        <f>IF(A16&lt;&gt;"",VLOOKUP(A16,'Personnel Contract Compliance'!$A:$C,3,FALSE),"")</f>
        <v/>
      </c>
      <c r="D16" s="15" t="n"/>
      <c r="E16" s="15" t="n"/>
      <c r="F16" s="16" t="n"/>
      <c r="G16" s="16" t="n"/>
      <c r="H16" s="15" t="n"/>
      <c r="I16" s="15" t="n"/>
      <c r="J16" s="15" t="n"/>
      <c r="K16" s="17">
        <f>IF(B16="","",IF(AND(F16&lt;&gt;"",OR(G16="",G16&gt;=TODAY())),"Active",IF(AND(F16&lt;&gt;"",G16&lt;TODAY()),"Expired",IF(F16="","Missing","Unknown"))))</f>
        <v/>
      </c>
      <c r="L16" s="15" t="n"/>
      <c r="M16" s="15" t="n"/>
      <c r="N16" s="15" t="n"/>
    </row>
    <row r="17">
      <c r="A17" s="17">
        <f>IF(ROW()-4&lt;=COUNTA('Personnel Contract Compliance'!$A:$A)-4,INDEX('Personnel Contract Compliance'!$A:$A,ROW()-3),"")</f>
        <v/>
      </c>
      <c r="B17" s="17">
        <f>IF(A17&lt;&gt;"",VLOOKUP(A17,'Personnel Contract Compliance'!$A:$B,2,FALSE),"")</f>
        <v/>
      </c>
      <c r="C17" s="17">
        <f>IF(A17&lt;&gt;"",VLOOKUP(A17,'Personnel Contract Compliance'!$A:$C,3,FALSE),"")</f>
        <v/>
      </c>
      <c r="D17" s="15" t="n"/>
      <c r="E17" s="15" t="n"/>
      <c r="F17" s="16" t="n"/>
      <c r="G17" s="16" t="n"/>
      <c r="H17" s="15" t="n"/>
      <c r="I17" s="15" t="n"/>
      <c r="J17" s="15" t="n"/>
      <c r="K17" s="17">
        <f>IF(B17="","",IF(AND(F17&lt;&gt;"",OR(G17="",G17&gt;=TODAY())),"Active",IF(AND(F17&lt;&gt;"",G17&lt;TODAY()),"Expired",IF(F17="","Missing","Unknown"))))</f>
        <v/>
      </c>
      <c r="L17" s="15" t="n"/>
      <c r="M17" s="15" t="n"/>
      <c r="N17" s="15" t="n"/>
    </row>
    <row r="18">
      <c r="A18" s="17">
        <f>IF(ROW()-4&lt;=COUNTA('Personnel Contract Compliance'!$A:$A)-4,INDEX('Personnel Contract Compliance'!$A:$A,ROW()-3),"")</f>
        <v/>
      </c>
      <c r="B18" s="17">
        <f>IF(A18&lt;&gt;"",VLOOKUP(A18,'Personnel Contract Compliance'!$A:$B,2,FALSE),"")</f>
        <v/>
      </c>
      <c r="C18" s="17">
        <f>IF(A18&lt;&gt;"",VLOOKUP(A18,'Personnel Contract Compliance'!$A:$C,3,FALSE),"")</f>
        <v/>
      </c>
      <c r="D18" s="15" t="n"/>
      <c r="E18" s="15" t="n"/>
      <c r="F18" s="16" t="n"/>
      <c r="G18" s="16" t="n"/>
      <c r="H18" s="15" t="n"/>
      <c r="I18" s="15" t="n"/>
      <c r="J18" s="15" t="n"/>
      <c r="K18" s="17">
        <f>IF(B18="","",IF(AND(F18&lt;&gt;"",OR(G18="",G18&gt;=TODAY())),"Active",IF(AND(F18&lt;&gt;"",G18&lt;TODAY()),"Expired",IF(F18="","Missing","Unknown"))))</f>
        <v/>
      </c>
      <c r="L18" s="15" t="n"/>
      <c r="M18" s="15" t="n"/>
      <c r="N18" s="15" t="n"/>
    </row>
    <row r="19">
      <c r="A19" s="17">
        <f>IF(ROW()-4&lt;=COUNTA('Personnel Contract Compliance'!$A:$A)-4,INDEX('Personnel Contract Compliance'!$A:$A,ROW()-3),"")</f>
        <v/>
      </c>
      <c r="B19" s="17">
        <f>IF(A19&lt;&gt;"",VLOOKUP(A19,'Personnel Contract Compliance'!$A:$B,2,FALSE),"")</f>
        <v/>
      </c>
      <c r="C19" s="17">
        <f>IF(A19&lt;&gt;"",VLOOKUP(A19,'Personnel Contract Compliance'!$A:$C,3,FALSE),"")</f>
        <v/>
      </c>
      <c r="D19" s="15" t="n"/>
      <c r="E19" s="15" t="n"/>
      <c r="F19" s="16" t="n"/>
      <c r="G19" s="16" t="n"/>
      <c r="H19" s="15" t="n"/>
      <c r="I19" s="15" t="n"/>
      <c r="J19" s="15" t="n"/>
      <c r="K19" s="17">
        <f>IF(B19="","",IF(AND(F19&lt;&gt;"",OR(G19="",G19&gt;=TODAY())),"Active",IF(AND(F19&lt;&gt;"",G19&lt;TODAY()),"Expired",IF(F19="","Missing","Unknown"))))</f>
        <v/>
      </c>
      <c r="L19" s="15" t="n"/>
      <c r="M19" s="15" t="n"/>
      <c r="N19" s="15" t="n"/>
    </row>
    <row r="20">
      <c r="A20" s="17">
        <f>IF(ROW()-4&lt;=COUNTA('Personnel Contract Compliance'!$A:$A)-4,INDEX('Personnel Contract Compliance'!$A:$A,ROW()-3),"")</f>
        <v/>
      </c>
      <c r="B20" s="17">
        <f>IF(A20&lt;&gt;"",VLOOKUP(A20,'Personnel Contract Compliance'!$A:$B,2,FALSE),"")</f>
        <v/>
      </c>
      <c r="C20" s="17">
        <f>IF(A20&lt;&gt;"",VLOOKUP(A20,'Personnel Contract Compliance'!$A:$C,3,FALSE),"")</f>
        <v/>
      </c>
      <c r="D20" s="15" t="n"/>
      <c r="E20" s="15" t="n"/>
      <c r="F20" s="16" t="n"/>
      <c r="G20" s="16" t="n"/>
      <c r="H20" s="15" t="n"/>
      <c r="I20" s="15" t="n"/>
      <c r="J20" s="15" t="n"/>
      <c r="K20" s="17">
        <f>IF(B20="","",IF(AND(F20&lt;&gt;"",OR(G20="",G20&gt;=TODAY())),"Active",IF(AND(F20&lt;&gt;"",G20&lt;TODAY()),"Expired",IF(F20="","Missing","Unknown"))))</f>
        <v/>
      </c>
      <c r="L20" s="15" t="n"/>
      <c r="M20" s="15" t="n"/>
      <c r="N20" s="15" t="n"/>
    </row>
    <row r="21">
      <c r="A21" s="17">
        <f>IF(ROW()-4&lt;=COUNTA('Personnel Contract Compliance'!$A:$A)-4,INDEX('Personnel Contract Compliance'!$A:$A,ROW()-3),"")</f>
        <v/>
      </c>
      <c r="B21" s="17">
        <f>IF(A21&lt;&gt;"",VLOOKUP(A21,'Personnel Contract Compliance'!$A:$B,2,FALSE),"")</f>
        <v/>
      </c>
      <c r="C21" s="17">
        <f>IF(A21&lt;&gt;"",VLOOKUP(A21,'Personnel Contract Compliance'!$A:$C,3,FALSE),"")</f>
        <v/>
      </c>
      <c r="D21" s="15" t="n"/>
      <c r="E21" s="15" t="n"/>
      <c r="F21" s="16" t="n"/>
      <c r="G21" s="16" t="n"/>
      <c r="H21" s="15" t="n"/>
      <c r="I21" s="15" t="n"/>
      <c r="J21" s="15" t="n"/>
      <c r="K21" s="17">
        <f>IF(B21="","",IF(AND(F21&lt;&gt;"",OR(G21="",G21&gt;=TODAY())),"Active",IF(AND(F21&lt;&gt;"",G21&lt;TODAY()),"Expired",IF(F21="","Missing","Unknown"))))</f>
        <v/>
      </c>
      <c r="L21" s="15" t="n"/>
      <c r="M21" s="15" t="n"/>
      <c r="N21" s="15" t="n"/>
    </row>
    <row r="22">
      <c r="A22" s="17">
        <f>IF(ROW()-4&lt;=COUNTA('Personnel Contract Compliance'!$A:$A)-4,INDEX('Personnel Contract Compliance'!$A:$A,ROW()-3),"")</f>
        <v/>
      </c>
      <c r="B22" s="17">
        <f>IF(A22&lt;&gt;"",VLOOKUP(A22,'Personnel Contract Compliance'!$A:$B,2,FALSE),"")</f>
        <v/>
      </c>
      <c r="C22" s="17">
        <f>IF(A22&lt;&gt;"",VLOOKUP(A22,'Personnel Contract Compliance'!$A:$C,3,FALSE),"")</f>
        <v/>
      </c>
      <c r="D22" s="15" t="n"/>
      <c r="E22" s="15" t="n"/>
      <c r="F22" s="16" t="n"/>
      <c r="G22" s="16" t="n"/>
      <c r="H22" s="15" t="n"/>
      <c r="I22" s="15" t="n"/>
      <c r="J22" s="15" t="n"/>
      <c r="K22" s="17">
        <f>IF(B22="","",IF(AND(F22&lt;&gt;"",OR(G22="",G22&gt;=TODAY())),"Active",IF(AND(F22&lt;&gt;"",G22&lt;TODAY()),"Expired",IF(F22="","Missing","Unknown"))))</f>
        <v/>
      </c>
      <c r="L22" s="15" t="n"/>
      <c r="M22" s="15" t="n"/>
      <c r="N22" s="15" t="n"/>
    </row>
    <row r="23">
      <c r="A23" s="17">
        <f>IF(ROW()-4&lt;=COUNTA('Personnel Contract Compliance'!$A:$A)-4,INDEX('Personnel Contract Compliance'!$A:$A,ROW()-3),"")</f>
        <v/>
      </c>
      <c r="B23" s="17">
        <f>IF(A23&lt;&gt;"",VLOOKUP(A23,'Personnel Contract Compliance'!$A:$B,2,FALSE),"")</f>
        <v/>
      </c>
      <c r="C23" s="17">
        <f>IF(A23&lt;&gt;"",VLOOKUP(A23,'Personnel Contract Compliance'!$A:$C,3,FALSE),"")</f>
        <v/>
      </c>
      <c r="D23" s="15" t="n"/>
      <c r="E23" s="15" t="n"/>
      <c r="F23" s="16" t="n"/>
      <c r="G23" s="16" t="n"/>
      <c r="H23" s="15" t="n"/>
      <c r="I23" s="15" t="n"/>
      <c r="J23" s="15" t="n"/>
      <c r="K23" s="17">
        <f>IF(B23="","",IF(AND(F23&lt;&gt;"",OR(G23="",G23&gt;=TODAY())),"Active",IF(AND(F23&lt;&gt;"",G23&lt;TODAY()),"Expired",IF(F23="","Missing","Unknown"))))</f>
        <v/>
      </c>
      <c r="L23" s="15" t="n"/>
      <c r="M23" s="15" t="n"/>
      <c r="N23" s="15" t="n"/>
    </row>
    <row r="24">
      <c r="A24" s="17">
        <f>IF(ROW()-4&lt;=COUNTA('Personnel Contract Compliance'!$A:$A)-4,INDEX('Personnel Contract Compliance'!$A:$A,ROW()-3),"")</f>
        <v/>
      </c>
      <c r="B24" s="17">
        <f>IF(A24&lt;&gt;"",VLOOKUP(A24,'Personnel Contract Compliance'!$A:$B,2,FALSE),"")</f>
        <v/>
      </c>
      <c r="C24" s="17">
        <f>IF(A24&lt;&gt;"",VLOOKUP(A24,'Personnel Contract Compliance'!$A:$C,3,FALSE),"")</f>
        <v/>
      </c>
      <c r="D24" s="15" t="n"/>
      <c r="E24" s="15" t="n"/>
      <c r="F24" s="16" t="n"/>
      <c r="G24" s="16" t="n"/>
      <c r="H24" s="15" t="n"/>
      <c r="I24" s="15" t="n"/>
      <c r="J24" s="15" t="n"/>
      <c r="K24" s="17">
        <f>IF(B24="","",IF(AND(F24&lt;&gt;"",OR(G24="",G24&gt;=TODAY())),"Active",IF(AND(F24&lt;&gt;"",G24&lt;TODAY()),"Expired",IF(F24="","Missing","Unknown"))))</f>
        <v/>
      </c>
      <c r="L24" s="15" t="n"/>
      <c r="M24" s="15" t="n"/>
      <c r="N24" s="15" t="n"/>
    </row>
    <row r="25">
      <c r="A25" s="17">
        <f>IF(ROW()-4&lt;=COUNTA('Personnel Contract Compliance'!$A:$A)-4,INDEX('Personnel Contract Compliance'!$A:$A,ROW()-3),"")</f>
        <v/>
      </c>
      <c r="B25" s="17">
        <f>IF(A25&lt;&gt;"",VLOOKUP(A25,'Personnel Contract Compliance'!$A:$B,2,FALSE),"")</f>
        <v/>
      </c>
      <c r="C25" s="17">
        <f>IF(A25&lt;&gt;"",VLOOKUP(A25,'Personnel Contract Compliance'!$A:$C,3,FALSE),"")</f>
        <v/>
      </c>
      <c r="D25" s="15" t="n"/>
      <c r="E25" s="15" t="n"/>
      <c r="F25" s="16" t="n"/>
      <c r="G25" s="16" t="n"/>
      <c r="H25" s="15" t="n"/>
      <c r="I25" s="15" t="n"/>
      <c r="J25" s="15" t="n"/>
      <c r="K25" s="17">
        <f>IF(B25="","",IF(AND(F25&lt;&gt;"",OR(G25="",G25&gt;=TODAY())),"Active",IF(AND(F25&lt;&gt;"",G25&lt;TODAY()),"Expired",IF(F25="","Missing","Unknown"))))</f>
        <v/>
      </c>
      <c r="L25" s="15" t="n"/>
      <c r="M25" s="15" t="n"/>
      <c r="N25" s="15" t="n"/>
    </row>
    <row r="26">
      <c r="A26" s="17">
        <f>IF(ROW()-4&lt;=COUNTA('Personnel Contract Compliance'!$A:$A)-4,INDEX('Personnel Contract Compliance'!$A:$A,ROW()-3),"")</f>
        <v/>
      </c>
      <c r="B26" s="17">
        <f>IF(A26&lt;&gt;"",VLOOKUP(A26,'Personnel Contract Compliance'!$A:$B,2,FALSE),"")</f>
        <v/>
      </c>
      <c r="C26" s="17">
        <f>IF(A26&lt;&gt;"",VLOOKUP(A26,'Personnel Contract Compliance'!$A:$C,3,FALSE),"")</f>
        <v/>
      </c>
      <c r="D26" s="15" t="n"/>
      <c r="E26" s="15" t="n"/>
      <c r="F26" s="16" t="n"/>
      <c r="G26" s="16" t="n"/>
      <c r="H26" s="15" t="n"/>
      <c r="I26" s="15" t="n"/>
      <c r="J26" s="15" t="n"/>
      <c r="K26" s="17">
        <f>IF(B26="","",IF(AND(F26&lt;&gt;"",OR(G26="",G26&gt;=TODAY())),"Active",IF(AND(F26&lt;&gt;"",G26&lt;TODAY()),"Expired",IF(F26="","Missing","Unknown"))))</f>
        <v/>
      </c>
      <c r="L26" s="15" t="n"/>
      <c r="M26" s="15" t="n"/>
      <c r="N26" s="15" t="n"/>
    </row>
    <row r="27">
      <c r="A27" s="17">
        <f>IF(ROW()-4&lt;=COUNTA('Personnel Contract Compliance'!$A:$A)-4,INDEX('Personnel Contract Compliance'!$A:$A,ROW()-3),"")</f>
        <v/>
      </c>
      <c r="B27" s="17">
        <f>IF(A27&lt;&gt;"",VLOOKUP(A27,'Personnel Contract Compliance'!$A:$B,2,FALSE),"")</f>
        <v/>
      </c>
      <c r="C27" s="17">
        <f>IF(A27&lt;&gt;"",VLOOKUP(A27,'Personnel Contract Compliance'!$A:$C,3,FALSE),"")</f>
        <v/>
      </c>
      <c r="D27" s="15" t="n"/>
      <c r="E27" s="15" t="n"/>
      <c r="F27" s="16" t="n"/>
      <c r="G27" s="16" t="n"/>
      <c r="H27" s="15" t="n"/>
      <c r="I27" s="15" t="n"/>
      <c r="J27" s="15" t="n"/>
      <c r="K27" s="17">
        <f>IF(B27="","",IF(AND(F27&lt;&gt;"",OR(G27="",G27&gt;=TODAY())),"Active",IF(AND(F27&lt;&gt;"",G27&lt;TODAY()),"Expired",IF(F27="","Missing","Unknown"))))</f>
        <v/>
      </c>
      <c r="L27" s="15" t="n"/>
      <c r="M27" s="15" t="n"/>
      <c r="N27" s="15" t="n"/>
    </row>
    <row r="28">
      <c r="A28" s="17">
        <f>IF(ROW()-4&lt;=COUNTA('Personnel Contract Compliance'!$A:$A)-4,INDEX('Personnel Contract Compliance'!$A:$A,ROW()-3),"")</f>
        <v/>
      </c>
      <c r="B28" s="17">
        <f>IF(A28&lt;&gt;"",VLOOKUP(A28,'Personnel Contract Compliance'!$A:$B,2,FALSE),"")</f>
        <v/>
      </c>
      <c r="C28" s="17">
        <f>IF(A28&lt;&gt;"",VLOOKUP(A28,'Personnel Contract Compliance'!$A:$C,3,FALSE),"")</f>
        <v/>
      </c>
      <c r="D28" s="15" t="n"/>
      <c r="E28" s="15" t="n"/>
      <c r="F28" s="16" t="n"/>
      <c r="G28" s="16" t="n"/>
      <c r="H28" s="15" t="n"/>
      <c r="I28" s="15" t="n"/>
      <c r="J28" s="15" t="n"/>
      <c r="K28" s="17">
        <f>IF(B28="","",IF(AND(F28&lt;&gt;"",OR(G28="",G28&gt;=TODAY())),"Active",IF(AND(F28&lt;&gt;"",G28&lt;TODAY()),"Expired",IF(F28="","Missing","Unknown"))))</f>
        <v/>
      </c>
      <c r="L28" s="15" t="n"/>
      <c r="M28" s="15" t="n"/>
      <c r="N28" s="15" t="n"/>
    </row>
    <row r="29">
      <c r="A29" s="17">
        <f>IF(ROW()-4&lt;=COUNTA('Personnel Contract Compliance'!$A:$A)-4,INDEX('Personnel Contract Compliance'!$A:$A,ROW()-3),"")</f>
        <v/>
      </c>
      <c r="B29" s="17">
        <f>IF(A29&lt;&gt;"",VLOOKUP(A29,'Personnel Contract Compliance'!$A:$B,2,FALSE),"")</f>
        <v/>
      </c>
      <c r="C29" s="17">
        <f>IF(A29&lt;&gt;"",VLOOKUP(A29,'Personnel Contract Compliance'!$A:$C,3,FALSE),"")</f>
        <v/>
      </c>
      <c r="D29" s="15" t="n"/>
      <c r="E29" s="15" t="n"/>
      <c r="F29" s="16" t="n"/>
      <c r="G29" s="16" t="n"/>
      <c r="H29" s="15" t="n"/>
      <c r="I29" s="15" t="n"/>
      <c r="J29" s="15" t="n"/>
      <c r="K29" s="17">
        <f>IF(B29="","",IF(AND(F29&lt;&gt;"",OR(G29="",G29&gt;=TODAY())),"Active",IF(AND(F29&lt;&gt;"",G29&lt;TODAY()),"Expired",IF(F29="","Missing","Unknown"))))</f>
        <v/>
      </c>
      <c r="L29" s="15" t="n"/>
      <c r="M29" s="15" t="n"/>
      <c r="N29" s="15" t="n"/>
    </row>
    <row r="30">
      <c r="A30" s="17">
        <f>IF(ROW()-4&lt;=COUNTA('Personnel Contract Compliance'!$A:$A)-4,INDEX('Personnel Contract Compliance'!$A:$A,ROW()-3),"")</f>
        <v/>
      </c>
      <c r="B30" s="17">
        <f>IF(A30&lt;&gt;"",VLOOKUP(A30,'Personnel Contract Compliance'!$A:$B,2,FALSE),"")</f>
        <v/>
      </c>
      <c r="C30" s="17">
        <f>IF(A30&lt;&gt;"",VLOOKUP(A30,'Personnel Contract Compliance'!$A:$C,3,FALSE),"")</f>
        <v/>
      </c>
      <c r="D30" s="15" t="n"/>
      <c r="E30" s="15" t="n"/>
      <c r="F30" s="16" t="n"/>
      <c r="G30" s="16" t="n"/>
      <c r="H30" s="15" t="n"/>
      <c r="I30" s="15" t="n"/>
      <c r="J30" s="15" t="n"/>
      <c r="K30" s="17">
        <f>IF(B30="","",IF(AND(F30&lt;&gt;"",OR(G30="",G30&gt;=TODAY())),"Active",IF(AND(F30&lt;&gt;"",G30&lt;TODAY()),"Expired",IF(F30="","Missing","Unknown"))))</f>
        <v/>
      </c>
      <c r="L30" s="15" t="n"/>
      <c r="M30" s="15" t="n"/>
      <c r="N30" s="15" t="n"/>
    </row>
    <row r="31">
      <c r="A31" s="17">
        <f>IF(ROW()-4&lt;=COUNTA('Personnel Contract Compliance'!$A:$A)-4,INDEX('Personnel Contract Compliance'!$A:$A,ROW()-3),"")</f>
        <v/>
      </c>
      <c r="B31" s="17">
        <f>IF(A31&lt;&gt;"",VLOOKUP(A31,'Personnel Contract Compliance'!$A:$B,2,FALSE),"")</f>
        <v/>
      </c>
      <c r="C31" s="17">
        <f>IF(A31&lt;&gt;"",VLOOKUP(A31,'Personnel Contract Compliance'!$A:$C,3,FALSE),"")</f>
        <v/>
      </c>
      <c r="D31" s="15" t="n"/>
      <c r="E31" s="15" t="n"/>
      <c r="F31" s="16" t="n"/>
      <c r="G31" s="16" t="n"/>
      <c r="H31" s="15" t="n"/>
      <c r="I31" s="15" t="n"/>
      <c r="J31" s="15" t="n"/>
      <c r="K31" s="17">
        <f>IF(B31="","",IF(AND(F31&lt;&gt;"",OR(G31="",G31&gt;=TODAY())),"Active",IF(AND(F31&lt;&gt;"",G31&lt;TODAY()),"Expired",IF(F31="","Missing","Unknown"))))</f>
        <v/>
      </c>
      <c r="L31" s="15" t="n"/>
      <c r="M31" s="15" t="n"/>
      <c r="N31" s="15" t="n"/>
    </row>
    <row r="32">
      <c r="A32" s="17">
        <f>IF(ROW()-4&lt;=COUNTA('Personnel Contract Compliance'!$A:$A)-4,INDEX('Personnel Contract Compliance'!$A:$A,ROW()-3),"")</f>
        <v/>
      </c>
      <c r="B32" s="17">
        <f>IF(A32&lt;&gt;"",VLOOKUP(A32,'Personnel Contract Compliance'!$A:$B,2,FALSE),"")</f>
        <v/>
      </c>
      <c r="C32" s="17">
        <f>IF(A32&lt;&gt;"",VLOOKUP(A32,'Personnel Contract Compliance'!$A:$C,3,FALSE),"")</f>
        <v/>
      </c>
      <c r="D32" s="15" t="n"/>
      <c r="E32" s="15" t="n"/>
      <c r="F32" s="16" t="n"/>
      <c r="G32" s="16" t="n"/>
      <c r="H32" s="15" t="n"/>
      <c r="I32" s="15" t="n"/>
      <c r="J32" s="15" t="n"/>
      <c r="K32" s="17">
        <f>IF(B32="","",IF(AND(F32&lt;&gt;"",OR(G32="",G32&gt;=TODAY())),"Active",IF(AND(F32&lt;&gt;"",G32&lt;TODAY()),"Expired",IF(F32="","Missing","Unknown"))))</f>
        <v/>
      </c>
      <c r="L32" s="15" t="n"/>
      <c r="M32" s="15" t="n"/>
      <c r="N32" s="15" t="n"/>
    </row>
    <row r="33">
      <c r="A33" s="17">
        <f>IF(ROW()-4&lt;=COUNTA('Personnel Contract Compliance'!$A:$A)-4,INDEX('Personnel Contract Compliance'!$A:$A,ROW()-3),"")</f>
        <v/>
      </c>
      <c r="B33" s="17">
        <f>IF(A33&lt;&gt;"",VLOOKUP(A33,'Personnel Contract Compliance'!$A:$B,2,FALSE),"")</f>
        <v/>
      </c>
      <c r="C33" s="17">
        <f>IF(A33&lt;&gt;"",VLOOKUP(A33,'Personnel Contract Compliance'!$A:$C,3,FALSE),"")</f>
        <v/>
      </c>
      <c r="D33" s="15" t="n"/>
      <c r="E33" s="15" t="n"/>
      <c r="F33" s="16" t="n"/>
      <c r="G33" s="16" t="n"/>
      <c r="H33" s="15" t="n"/>
      <c r="I33" s="15" t="n"/>
      <c r="J33" s="15" t="n"/>
      <c r="K33" s="17">
        <f>IF(B33="","",IF(AND(F33&lt;&gt;"",OR(G33="",G33&gt;=TODAY())),"Active",IF(AND(F33&lt;&gt;"",G33&lt;TODAY()),"Expired",IF(F33="","Missing","Unknown"))))</f>
        <v/>
      </c>
      <c r="L33" s="15" t="n"/>
      <c r="M33" s="15" t="n"/>
      <c r="N33" s="15" t="n"/>
    </row>
    <row r="34">
      <c r="A34" s="17">
        <f>IF(ROW()-4&lt;=COUNTA('Personnel Contract Compliance'!$A:$A)-4,INDEX('Personnel Contract Compliance'!$A:$A,ROW()-3),"")</f>
        <v/>
      </c>
      <c r="B34" s="17">
        <f>IF(A34&lt;&gt;"",VLOOKUP(A34,'Personnel Contract Compliance'!$A:$B,2,FALSE),"")</f>
        <v/>
      </c>
      <c r="C34" s="17">
        <f>IF(A34&lt;&gt;"",VLOOKUP(A34,'Personnel Contract Compliance'!$A:$C,3,FALSE),"")</f>
        <v/>
      </c>
      <c r="D34" s="15" t="n"/>
      <c r="E34" s="15" t="n"/>
      <c r="F34" s="16" t="n"/>
      <c r="G34" s="16" t="n"/>
      <c r="H34" s="15" t="n"/>
      <c r="I34" s="15" t="n"/>
      <c r="J34" s="15" t="n"/>
      <c r="K34" s="17">
        <f>IF(B34="","",IF(AND(F34&lt;&gt;"",OR(G34="",G34&gt;=TODAY())),"Active",IF(AND(F34&lt;&gt;"",G34&lt;TODAY()),"Expired",IF(F34="","Missing","Unknown"))))</f>
        <v/>
      </c>
      <c r="L34" s="15" t="n"/>
      <c r="M34" s="15" t="n"/>
      <c r="N34" s="15" t="n"/>
    </row>
    <row r="35">
      <c r="A35" s="17">
        <f>IF(ROW()-4&lt;=COUNTA('Personnel Contract Compliance'!$A:$A)-4,INDEX('Personnel Contract Compliance'!$A:$A,ROW()-3),"")</f>
        <v/>
      </c>
      <c r="B35" s="17">
        <f>IF(A35&lt;&gt;"",VLOOKUP(A35,'Personnel Contract Compliance'!$A:$B,2,FALSE),"")</f>
        <v/>
      </c>
      <c r="C35" s="17">
        <f>IF(A35&lt;&gt;"",VLOOKUP(A35,'Personnel Contract Compliance'!$A:$C,3,FALSE),"")</f>
        <v/>
      </c>
      <c r="D35" s="15" t="n"/>
      <c r="E35" s="15" t="n"/>
      <c r="F35" s="16" t="n"/>
      <c r="G35" s="16" t="n"/>
      <c r="H35" s="15" t="n"/>
      <c r="I35" s="15" t="n"/>
      <c r="J35" s="15" t="n"/>
      <c r="K35" s="17">
        <f>IF(B35="","",IF(AND(F35&lt;&gt;"",OR(G35="",G35&gt;=TODAY())),"Active",IF(AND(F35&lt;&gt;"",G35&lt;TODAY()),"Expired",IF(F35="","Missing","Unknown"))))</f>
        <v/>
      </c>
      <c r="L35" s="15" t="n"/>
      <c r="M35" s="15" t="n"/>
      <c r="N35" s="15" t="n"/>
    </row>
    <row r="36">
      <c r="A36" s="17">
        <f>IF(ROW()-4&lt;=COUNTA('Personnel Contract Compliance'!$A:$A)-4,INDEX('Personnel Contract Compliance'!$A:$A,ROW()-3),"")</f>
        <v/>
      </c>
      <c r="B36" s="17">
        <f>IF(A36&lt;&gt;"",VLOOKUP(A36,'Personnel Contract Compliance'!$A:$B,2,FALSE),"")</f>
        <v/>
      </c>
      <c r="C36" s="17">
        <f>IF(A36&lt;&gt;"",VLOOKUP(A36,'Personnel Contract Compliance'!$A:$C,3,FALSE),"")</f>
        <v/>
      </c>
      <c r="D36" s="15" t="n"/>
      <c r="E36" s="15" t="n"/>
      <c r="F36" s="16" t="n"/>
      <c r="G36" s="16" t="n"/>
      <c r="H36" s="15" t="n"/>
      <c r="I36" s="15" t="n"/>
      <c r="J36" s="15" t="n"/>
      <c r="K36" s="17">
        <f>IF(B36="","",IF(AND(F36&lt;&gt;"",OR(G36="",G36&gt;=TODAY())),"Active",IF(AND(F36&lt;&gt;"",G36&lt;TODAY()),"Expired",IF(F36="","Missing","Unknown"))))</f>
        <v/>
      </c>
      <c r="L36" s="15" t="n"/>
      <c r="M36" s="15" t="n"/>
      <c r="N36" s="15" t="n"/>
    </row>
    <row r="37">
      <c r="A37" s="17">
        <f>IF(ROW()-4&lt;=COUNTA('Personnel Contract Compliance'!$A:$A)-4,INDEX('Personnel Contract Compliance'!$A:$A,ROW()-3),"")</f>
        <v/>
      </c>
      <c r="B37" s="17">
        <f>IF(A37&lt;&gt;"",VLOOKUP(A37,'Personnel Contract Compliance'!$A:$B,2,FALSE),"")</f>
        <v/>
      </c>
      <c r="C37" s="17">
        <f>IF(A37&lt;&gt;"",VLOOKUP(A37,'Personnel Contract Compliance'!$A:$C,3,FALSE),"")</f>
        <v/>
      </c>
      <c r="D37" s="15" t="n"/>
      <c r="E37" s="15" t="n"/>
      <c r="F37" s="16" t="n"/>
      <c r="G37" s="16" t="n"/>
      <c r="H37" s="15" t="n"/>
      <c r="I37" s="15" t="n"/>
      <c r="J37" s="15" t="n"/>
      <c r="K37" s="17">
        <f>IF(B37="","",IF(AND(F37&lt;&gt;"",OR(G37="",G37&gt;=TODAY())),"Active",IF(AND(F37&lt;&gt;"",G37&lt;TODAY()),"Expired",IF(F37="","Missing","Unknown"))))</f>
        <v/>
      </c>
      <c r="L37" s="15" t="n"/>
      <c r="M37" s="15" t="n"/>
      <c r="N37" s="15" t="n"/>
    </row>
    <row r="38">
      <c r="A38" s="17">
        <f>IF(ROW()-4&lt;=COUNTA('Personnel Contract Compliance'!$A:$A)-4,INDEX('Personnel Contract Compliance'!$A:$A,ROW()-3),"")</f>
        <v/>
      </c>
      <c r="B38" s="17">
        <f>IF(A38&lt;&gt;"",VLOOKUP(A38,'Personnel Contract Compliance'!$A:$B,2,FALSE),"")</f>
        <v/>
      </c>
      <c r="C38" s="17">
        <f>IF(A38&lt;&gt;"",VLOOKUP(A38,'Personnel Contract Compliance'!$A:$C,3,FALSE),"")</f>
        <v/>
      </c>
      <c r="D38" s="15" t="n"/>
      <c r="E38" s="15" t="n"/>
      <c r="F38" s="16" t="n"/>
      <c r="G38" s="16" t="n"/>
      <c r="H38" s="15" t="n"/>
      <c r="I38" s="15" t="n"/>
      <c r="J38" s="15" t="n"/>
      <c r="K38" s="17">
        <f>IF(B38="","",IF(AND(F38&lt;&gt;"",OR(G38="",G38&gt;=TODAY())),"Active",IF(AND(F38&lt;&gt;"",G38&lt;TODAY()),"Expired",IF(F38="","Missing","Unknown"))))</f>
        <v/>
      </c>
      <c r="L38" s="15" t="n"/>
      <c r="M38" s="15" t="n"/>
      <c r="N38" s="15" t="n"/>
    </row>
    <row r="39">
      <c r="A39" s="17">
        <f>IF(ROW()-4&lt;=COUNTA('Personnel Contract Compliance'!$A:$A)-4,INDEX('Personnel Contract Compliance'!$A:$A,ROW()-3),"")</f>
        <v/>
      </c>
      <c r="B39" s="17">
        <f>IF(A39&lt;&gt;"",VLOOKUP(A39,'Personnel Contract Compliance'!$A:$B,2,FALSE),"")</f>
        <v/>
      </c>
      <c r="C39" s="17">
        <f>IF(A39&lt;&gt;"",VLOOKUP(A39,'Personnel Contract Compliance'!$A:$C,3,FALSE),"")</f>
        <v/>
      </c>
      <c r="D39" s="15" t="n"/>
      <c r="E39" s="15" t="n"/>
      <c r="F39" s="16" t="n"/>
      <c r="G39" s="16" t="n"/>
      <c r="H39" s="15" t="n"/>
      <c r="I39" s="15" t="n"/>
      <c r="J39" s="15" t="n"/>
      <c r="K39" s="17">
        <f>IF(B39="","",IF(AND(F39&lt;&gt;"",OR(G39="",G39&gt;=TODAY())),"Active",IF(AND(F39&lt;&gt;"",G39&lt;TODAY()),"Expired",IF(F39="","Missing","Unknown"))))</f>
        <v/>
      </c>
      <c r="L39" s="15" t="n"/>
      <c r="M39" s="15" t="n"/>
      <c r="N39" s="15" t="n"/>
    </row>
    <row r="40">
      <c r="A40" s="17">
        <f>IF(ROW()-4&lt;=COUNTA('Personnel Contract Compliance'!$A:$A)-4,INDEX('Personnel Contract Compliance'!$A:$A,ROW()-3),"")</f>
        <v/>
      </c>
      <c r="B40" s="17">
        <f>IF(A40&lt;&gt;"",VLOOKUP(A40,'Personnel Contract Compliance'!$A:$B,2,FALSE),"")</f>
        <v/>
      </c>
      <c r="C40" s="17">
        <f>IF(A40&lt;&gt;"",VLOOKUP(A40,'Personnel Contract Compliance'!$A:$C,3,FALSE),"")</f>
        <v/>
      </c>
      <c r="D40" s="15" t="n"/>
      <c r="E40" s="15" t="n"/>
      <c r="F40" s="16" t="n"/>
      <c r="G40" s="16" t="n"/>
      <c r="H40" s="15" t="n"/>
      <c r="I40" s="15" t="n"/>
      <c r="J40" s="15" t="n"/>
      <c r="K40" s="17">
        <f>IF(B40="","",IF(AND(F40&lt;&gt;"",OR(G40="",G40&gt;=TODAY())),"Active",IF(AND(F40&lt;&gt;"",G40&lt;TODAY()),"Expired",IF(F40="","Missing","Unknown"))))</f>
        <v/>
      </c>
      <c r="L40" s="15" t="n"/>
      <c r="M40" s="15" t="n"/>
      <c r="N40" s="15" t="n"/>
    </row>
    <row r="41">
      <c r="A41" s="17">
        <f>IF(ROW()-4&lt;=COUNTA('Personnel Contract Compliance'!$A:$A)-4,INDEX('Personnel Contract Compliance'!$A:$A,ROW()-3),"")</f>
        <v/>
      </c>
      <c r="B41" s="17">
        <f>IF(A41&lt;&gt;"",VLOOKUP(A41,'Personnel Contract Compliance'!$A:$B,2,FALSE),"")</f>
        <v/>
      </c>
      <c r="C41" s="17">
        <f>IF(A41&lt;&gt;"",VLOOKUP(A41,'Personnel Contract Compliance'!$A:$C,3,FALSE),"")</f>
        <v/>
      </c>
      <c r="D41" s="15" t="n"/>
      <c r="E41" s="15" t="n"/>
      <c r="F41" s="16" t="n"/>
      <c r="G41" s="16" t="n"/>
      <c r="H41" s="15" t="n"/>
      <c r="I41" s="15" t="n"/>
      <c r="J41" s="15" t="n"/>
      <c r="K41" s="17">
        <f>IF(B41="","",IF(AND(F41&lt;&gt;"",OR(G41="",G41&gt;=TODAY())),"Active",IF(AND(F41&lt;&gt;"",G41&lt;TODAY()),"Expired",IF(F41="","Missing","Unknown"))))</f>
        <v/>
      </c>
      <c r="L41" s="15" t="n"/>
      <c r="M41" s="15" t="n"/>
      <c r="N41" s="15" t="n"/>
    </row>
    <row r="42">
      <c r="A42" s="17">
        <f>IF(ROW()-4&lt;=COUNTA('Personnel Contract Compliance'!$A:$A)-4,INDEX('Personnel Contract Compliance'!$A:$A,ROW()-3),"")</f>
        <v/>
      </c>
      <c r="B42" s="17">
        <f>IF(A42&lt;&gt;"",VLOOKUP(A42,'Personnel Contract Compliance'!$A:$B,2,FALSE),"")</f>
        <v/>
      </c>
      <c r="C42" s="17">
        <f>IF(A42&lt;&gt;"",VLOOKUP(A42,'Personnel Contract Compliance'!$A:$C,3,FALSE),"")</f>
        <v/>
      </c>
      <c r="D42" s="15" t="n"/>
      <c r="E42" s="15" t="n"/>
      <c r="F42" s="16" t="n"/>
      <c r="G42" s="16" t="n"/>
      <c r="H42" s="15" t="n"/>
      <c r="I42" s="15" t="n"/>
      <c r="J42" s="15" t="n"/>
      <c r="K42" s="17">
        <f>IF(B42="","",IF(AND(F42&lt;&gt;"",OR(G42="",G42&gt;=TODAY())),"Active",IF(AND(F42&lt;&gt;"",G42&lt;TODAY()),"Expired",IF(F42="","Missing","Unknown"))))</f>
        <v/>
      </c>
      <c r="L42" s="15" t="n"/>
      <c r="M42" s="15" t="n"/>
      <c r="N42" s="15" t="n"/>
    </row>
    <row r="43">
      <c r="A43" s="17">
        <f>IF(ROW()-4&lt;=COUNTA('Personnel Contract Compliance'!$A:$A)-4,INDEX('Personnel Contract Compliance'!$A:$A,ROW()-3),"")</f>
        <v/>
      </c>
      <c r="B43" s="17">
        <f>IF(A43&lt;&gt;"",VLOOKUP(A43,'Personnel Contract Compliance'!$A:$B,2,FALSE),"")</f>
        <v/>
      </c>
      <c r="C43" s="17">
        <f>IF(A43&lt;&gt;"",VLOOKUP(A43,'Personnel Contract Compliance'!$A:$C,3,FALSE),"")</f>
        <v/>
      </c>
      <c r="D43" s="15" t="n"/>
      <c r="E43" s="15" t="n"/>
      <c r="F43" s="16" t="n"/>
      <c r="G43" s="16" t="n"/>
      <c r="H43" s="15" t="n"/>
      <c r="I43" s="15" t="n"/>
      <c r="J43" s="15" t="n"/>
      <c r="K43" s="17">
        <f>IF(B43="","",IF(AND(F43&lt;&gt;"",OR(G43="",G43&gt;=TODAY())),"Active",IF(AND(F43&lt;&gt;"",G43&lt;TODAY()),"Expired",IF(F43="","Missing","Unknown"))))</f>
        <v/>
      </c>
      <c r="L43" s="15" t="n"/>
      <c r="M43" s="15" t="n"/>
      <c r="N43" s="15" t="n"/>
    </row>
    <row r="44">
      <c r="A44" s="17">
        <f>IF(ROW()-4&lt;=COUNTA('Personnel Contract Compliance'!$A:$A)-4,INDEX('Personnel Contract Compliance'!$A:$A,ROW()-3),"")</f>
        <v/>
      </c>
      <c r="B44" s="17">
        <f>IF(A44&lt;&gt;"",VLOOKUP(A44,'Personnel Contract Compliance'!$A:$B,2,FALSE),"")</f>
        <v/>
      </c>
      <c r="C44" s="17">
        <f>IF(A44&lt;&gt;"",VLOOKUP(A44,'Personnel Contract Compliance'!$A:$C,3,FALSE),"")</f>
        <v/>
      </c>
      <c r="D44" s="15" t="n"/>
      <c r="E44" s="15" t="n"/>
      <c r="F44" s="16" t="n"/>
      <c r="G44" s="16" t="n"/>
      <c r="H44" s="15" t="n"/>
      <c r="I44" s="15" t="n"/>
      <c r="J44" s="15" t="n"/>
      <c r="K44" s="17">
        <f>IF(B44="","",IF(AND(F44&lt;&gt;"",OR(G44="",G44&gt;=TODAY())),"Active",IF(AND(F44&lt;&gt;"",G44&lt;TODAY()),"Expired",IF(F44="","Missing","Unknown"))))</f>
        <v/>
      </c>
      <c r="L44" s="15" t="n"/>
      <c r="M44" s="15" t="n"/>
      <c r="N44" s="15" t="n"/>
    </row>
    <row r="45">
      <c r="A45" s="17">
        <f>IF(ROW()-4&lt;=COUNTA('Personnel Contract Compliance'!$A:$A)-4,INDEX('Personnel Contract Compliance'!$A:$A,ROW()-3),"")</f>
        <v/>
      </c>
      <c r="B45" s="17">
        <f>IF(A45&lt;&gt;"",VLOOKUP(A45,'Personnel Contract Compliance'!$A:$B,2,FALSE),"")</f>
        <v/>
      </c>
      <c r="C45" s="17">
        <f>IF(A45&lt;&gt;"",VLOOKUP(A45,'Personnel Contract Compliance'!$A:$C,3,FALSE),"")</f>
        <v/>
      </c>
      <c r="D45" s="15" t="n"/>
      <c r="E45" s="15" t="n"/>
      <c r="F45" s="16" t="n"/>
      <c r="G45" s="16" t="n"/>
      <c r="H45" s="15" t="n"/>
      <c r="I45" s="15" t="n"/>
      <c r="J45" s="15" t="n"/>
      <c r="K45" s="17">
        <f>IF(B45="","",IF(AND(F45&lt;&gt;"",OR(G45="",G45&gt;=TODAY())),"Active",IF(AND(F45&lt;&gt;"",G45&lt;TODAY()),"Expired",IF(F45="","Missing","Unknown"))))</f>
        <v/>
      </c>
      <c r="L45" s="15" t="n"/>
      <c r="M45" s="15" t="n"/>
      <c r="N45" s="15" t="n"/>
    </row>
    <row r="46">
      <c r="A46" s="17">
        <f>IF(ROW()-4&lt;=COUNTA('Personnel Contract Compliance'!$A:$A)-4,INDEX('Personnel Contract Compliance'!$A:$A,ROW()-3),"")</f>
        <v/>
      </c>
      <c r="B46" s="17">
        <f>IF(A46&lt;&gt;"",VLOOKUP(A46,'Personnel Contract Compliance'!$A:$B,2,FALSE),"")</f>
        <v/>
      </c>
      <c r="C46" s="17">
        <f>IF(A46&lt;&gt;"",VLOOKUP(A46,'Personnel Contract Compliance'!$A:$C,3,FALSE),"")</f>
        <v/>
      </c>
      <c r="D46" s="15" t="n"/>
      <c r="E46" s="15" t="n"/>
      <c r="F46" s="16" t="n"/>
      <c r="G46" s="16" t="n"/>
      <c r="H46" s="15" t="n"/>
      <c r="I46" s="15" t="n"/>
      <c r="J46" s="15" t="n"/>
      <c r="K46" s="17">
        <f>IF(B46="","",IF(AND(F46&lt;&gt;"",OR(G46="",G46&gt;=TODAY())),"Active",IF(AND(F46&lt;&gt;"",G46&lt;TODAY()),"Expired",IF(F46="","Missing","Unknown"))))</f>
        <v/>
      </c>
      <c r="L46" s="15" t="n"/>
      <c r="M46" s="15" t="n"/>
      <c r="N46" s="15" t="n"/>
    </row>
    <row r="47">
      <c r="A47" s="17">
        <f>IF(ROW()-4&lt;=COUNTA('Personnel Contract Compliance'!$A:$A)-4,INDEX('Personnel Contract Compliance'!$A:$A,ROW()-3),"")</f>
        <v/>
      </c>
      <c r="B47" s="17">
        <f>IF(A47&lt;&gt;"",VLOOKUP(A47,'Personnel Contract Compliance'!$A:$B,2,FALSE),"")</f>
        <v/>
      </c>
      <c r="C47" s="17">
        <f>IF(A47&lt;&gt;"",VLOOKUP(A47,'Personnel Contract Compliance'!$A:$C,3,FALSE),"")</f>
        <v/>
      </c>
      <c r="D47" s="15" t="n"/>
      <c r="E47" s="15" t="n"/>
      <c r="F47" s="16" t="n"/>
      <c r="G47" s="16" t="n"/>
      <c r="H47" s="15" t="n"/>
      <c r="I47" s="15" t="n"/>
      <c r="J47" s="15" t="n"/>
      <c r="K47" s="17">
        <f>IF(B47="","",IF(AND(F47&lt;&gt;"",OR(G47="",G47&gt;=TODAY())),"Active",IF(AND(F47&lt;&gt;"",G47&lt;TODAY()),"Expired",IF(F47="","Missing","Unknown"))))</f>
        <v/>
      </c>
      <c r="L47" s="15" t="n"/>
      <c r="M47" s="15" t="n"/>
      <c r="N47" s="15" t="n"/>
    </row>
    <row r="48">
      <c r="A48" s="17">
        <f>IF(ROW()-4&lt;=COUNTA('Personnel Contract Compliance'!$A:$A)-4,INDEX('Personnel Contract Compliance'!$A:$A,ROW()-3),"")</f>
        <v/>
      </c>
      <c r="B48" s="17">
        <f>IF(A48&lt;&gt;"",VLOOKUP(A48,'Personnel Contract Compliance'!$A:$B,2,FALSE),"")</f>
        <v/>
      </c>
      <c r="C48" s="17">
        <f>IF(A48&lt;&gt;"",VLOOKUP(A48,'Personnel Contract Compliance'!$A:$C,3,FALSE),"")</f>
        <v/>
      </c>
      <c r="D48" s="15" t="n"/>
      <c r="E48" s="15" t="n"/>
      <c r="F48" s="16" t="n"/>
      <c r="G48" s="16" t="n"/>
      <c r="H48" s="15" t="n"/>
      <c r="I48" s="15" t="n"/>
      <c r="J48" s="15" t="n"/>
      <c r="K48" s="17">
        <f>IF(B48="","",IF(AND(F48&lt;&gt;"",OR(G48="",G48&gt;=TODAY())),"Active",IF(AND(F48&lt;&gt;"",G48&lt;TODAY()),"Expired",IF(F48="","Missing","Unknown"))))</f>
        <v/>
      </c>
      <c r="L48" s="15" t="n"/>
      <c r="M48" s="15" t="n"/>
      <c r="N48" s="15" t="n"/>
    </row>
    <row r="49">
      <c r="A49" s="17">
        <f>IF(ROW()-4&lt;=COUNTA('Personnel Contract Compliance'!$A:$A)-4,INDEX('Personnel Contract Compliance'!$A:$A,ROW()-3),"")</f>
        <v/>
      </c>
      <c r="B49" s="17">
        <f>IF(A49&lt;&gt;"",VLOOKUP(A49,'Personnel Contract Compliance'!$A:$B,2,FALSE),"")</f>
        <v/>
      </c>
      <c r="C49" s="17">
        <f>IF(A49&lt;&gt;"",VLOOKUP(A49,'Personnel Contract Compliance'!$A:$C,3,FALSE),"")</f>
        <v/>
      </c>
      <c r="D49" s="15" t="n"/>
      <c r="E49" s="15" t="n"/>
      <c r="F49" s="16" t="n"/>
      <c r="G49" s="16" t="n"/>
      <c r="H49" s="15" t="n"/>
      <c r="I49" s="15" t="n"/>
      <c r="J49" s="15" t="n"/>
      <c r="K49" s="17">
        <f>IF(B49="","",IF(AND(F49&lt;&gt;"",OR(G49="",G49&gt;=TODAY())),"Active",IF(AND(F49&lt;&gt;"",G49&lt;TODAY()),"Expired",IF(F49="","Missing","Unknown"))))</f>
        <v/>
      </c>
      <c r="L49" s="15" t="n"/>
      <c r="M49" s="15" t="n"/>
      <c r="N49" s="15" t="n"/>
    </row>
    <row r="50">
      <c r="A50" s="17">
        <f>IF(ROW()-4&lt;=COUNTA('Personnel Contract Compliance'!$A:$A)-4,INDEX('Personnel Contract Compliance'!$A:$A,ROW()-3),"")</f>
        <v/>
      </c>
      <c r="B50" s="17">
        <f>IF(A50&lt;&gt;"",VLOOKUP(A50,'Personnel Contract Compliance'!$A:$B,2,FALSE),"")</f>
        <v/>
      </c>
      <c r="C50" s="17">
        <f>IF(A50&lt;&gt;"",VLOOKUP(A50,'Personnel Contract Compliance'!$A:$C,3,FALSE),"")</f>
        <v/>
      </c>
      <c r="D50" s="15" t="n"/>
      <c r="E50" s="15" t="n"/>
      <c r="F50" s="16" t="n"/>
      <c r="G50" s="16" t="n"/>
      <c r="H50" s="15" t="n"/>
      <c r="I50" s="15" t="n"/>
      <c r="J50" s="15" t="n"/>
      <c r="K50" s="17">
        <f>IF(B50="","",IF(AND(F50&lt;&gt;"",OR(G50="",G50&gt;=TODAY())),"Active",IF(AND(F50&lt;&gt;"",G50&lt;TODAY()),"Expired",IF(F50="","Missing","Unknown"))))</f>
        <v/>
      </c>
      <c r="L50" s="15" t="n"/>
      <c r="M50" s="15" t="n"/>
      <c r="N50" s="15" t="n"/>
    </row>
    <row r="51">
      <c r="A51" s="17">
        <f>IF(ROW()-4&lt;=COUNTA('Personnel Contract Compliance'!$A:$A)-4,INDEX('Personnel Contract Compliance'!$A:$A,ROW()-3),"")</f>
        <v/>
      </c>
      <c r="B51" s="17">
        <f>IF(A51&lt;&gt;"",VLOOKUP(A51,'Personnel Contract Compliance'!$A:$B,2,FALSE),"")</f>
        <v/>
      </c>
      <c r="C51" s="17">
        <f>IF(A51&lt;&gt;"",VLOOKUP(A51,'Personnel Contract Compliance'!$A:$C,3,FALSE),"")</f>
        <v/>
      </c>
      <c r="D51" s="15" t="n"/>
      <c r="E51" s="15" t="n"/>
      <c r="F51" s="16" t="n"/>
      <c r="G51" s="16" t="n"/>
      <c r="H51" s="15" t="n"/>
      <c r="I51" s="15" t="n"/>
      <c r="J51" s="15" t="n"/>
      <c r="K51" s="17">
        <f>IF(B51="","",IF(AND(F51&lt;&gt;"",OR(G51="",G51&gt;=TODAY())),"Active",IF(AND(F51&lt;&gt;"",G51&lt;TODAY()),"Expired",IF(F51="","Missing","Unknown"))))</f>
        <v/>
      </c>
      <c r="L51" s="15" t="n"/>
      <c r="M51" s="15" t="n"/>
      <c r="N51" s="15" t="n"/>
    </row>
    <row r="52">
      <c r="A52" s="17">
        <f>IF(ROW()-4&lt;=COUNTA('Personnel Contract Compliance'!$A:$A)-4,INDEX('Personnel Contract Compliance'!$A:$A,ROW()-3),"")</f>
        <v/>
      </c>
      <c r="B52" s="17">
        <f>IF(A52&lt;&gt;"",VLOOKUP(A52,'Personnel Contract Compliance'!$A:$B,2,FALSE),"")</f>
        <v/>
      </c>
      <c r="C52" s="17">
        <f>IF(A52&lt;&gt;"",VLOOKUP(A52,'Personnel Contract Compliance'!$A:$C,3,FALSE),"")</f>
        <v/>
      </c>
      <c r="D52" s="15" t="n"/>
      <c r="E52" s="15" t="n"/>
      <c r="F52" s="16" t="n"/>
      <c r="G52" s="16" t="n"/>
      <c r="H52" s="15" t="n"/>
      <c r="I52" s="15" t="n"/>
      <c r="J52" s="15" t="n"/>
      <c r="K52" s="17">
        <f>IF(B52="","",IF(AND(F52&lt;&gt;"",OR(G52="",G52&gt;=TODAY())),"Active",IF(AND(F52&lt;&gt;"",G52&lt;TODAY()),"Expired",IF(F52="","Missing","Unknown"))))</f>
        <v/>
      </c>
      <c r="L52" s="15" t="n"/>
      <c r="M52" s="15" t="n"/>
      <c r="N52" s="15" t="n"/>
    </row>
    <row r="53">
      <c r="A53" s="17">
        <f>IF(ROW()-4&lt;=COUNTA('Personnel Contract Compliance'!$A:$A)-4,INDEX('Personnel Contract Compliance'!$A:$A,ROW()-3),"")</f>
        <v/>
      </c>
      <c r="B53" s="17">
        <f>IF(A53&lt;&gt;"",VLOOKUP(A53,'Personnel Contract Compliance'!$A:$B,2,FALSE),"")</f>
        <v/>
      </c>
      <c r="C53" s="17">
        <f>IF(A53&lt;&gt;"",VLOOKUP(A53,'Personnel Contract Compliance'!$A:$C,3,FALSE),"")</f>
        <v/>
      </c>
      <c r="D53" s="15" t="n"/>
      <c r="E53" s="15" t="n"/>
      <c r="F53" s="16" t="n"/>
      <c r="G53" s="16" t="n"/>
      <c r="H53" s="15" t="n"/>
      <c r="I53" s="15" t="n"/>
      <c r="J53" s="15" t="n"/>
      <c r="K53" s="17">
        <f>IF(B53="","",IF(AND(F53&lt;&gt;"",OR(G53="",G53&gt;=TODAY())),"Active",IF(AND(F53&lt;&gt;"",G53&lt;TODAY()),"Expired",IF(F53="","Missing","Unknown"))))</f>
        <v/>
      </c>
      <c r="L53" s="15" t="n"/>
      <c r="M53" s="15" t="n"/>
      <c r="N53" s="15" t="n"/>
    </row>
    <row r="54">
      <c r="A54" s="17">
        <f>IF(ROW()-4&lt;=COUNTA('Personnel Contract Compliance'!$A:$A)-4,INDEX('Personnel Contract Compliance'!$A:$A,ROW()-3),"")</f>
        <v/>
      </c>
      <c r="B54" s="17">
        <f>IF(A54&lt;&gt;"",VLOOKUP(A54,'Personnel Contract Compliance'!$A:$B,2,FALSE),"")</f>
        <v/>
      </c>
      <c r="C54" s="17">
        <f>IF(A54&lt;&gt;"",VLOOKUP(A54,'Personnel Contract Compliance'!$A:$C,3,FALSE),"")</f>
        <v/>
      </c>
      <c r="D54" s="15" t="n"/>
      <c r="E54" s="15" t="n"/>
      <c r="F54" s="16" t="n"/>
      <c r="G54" s="16" t="n"/>
      <c r="H54" s="15" t="n"/>
      <c r="I54" s="15" t="n"/>
      <c r="J54" s="15" t="n"/>
      <c r="K54" s="17">
        <f>IF(B54="","",IF(AND(F54&lt;&gt;"",OR(G54="",G54&gt;=TODAY())),"Active",IF(AND(F54&lt;&gt;"",G54&lt;TODAY()),"Expired",IF(F54="","Missing","Unknown"))))</f>
        <v/>
      </c>
      <c r="L54" s="15" t="n"/>
      <c r="M54" s="15" t="n"/>
      <c r="N54" s="15" t="n"/>
    </row>
  </sheetData>
  <mergeCells count="2">
    <mergeCell ref="A2:N2"/>
    <mergeCell ref="A1:N1"/>
  </mergeCells>
  <dataValidations count="3">
    <dataValidation sqref="D5:D54" showDropDown="0" showInputMessage="0" showErrorMessage="1" allowBlank="1" errorTitle="Invalid Entry" error="Please select from dropdown" type="list">
      <formula1>"Embedded-In-Contract,Standalone-NDA,Mutual-NDA,Unilateral-NDA,PIIA,Combined-Agreement"</formula1>
    </dataValidation>
    <dataValidation sqref="H5:H54 I5:I54 J5:J54" showDropDown="0" showInputMessage="0" showErrorMessage="1" allowBlank="1" errorTitle="Invalid Entry" error="Please select from dropdown" type="list">
      <formula1>"Yes,No,Partial"</formula1>
    </dataValidation>
    <dataValidation sqref="L5:L54" showDropDown="0" showInputMessage="0" showErrorMessage="1" allowBlank="1" errorTitle="Invalid Entry" error="Please select from dropdown" type="list">
      <formula1>"Yes,No,N/A"</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54"/>
  <sheetViews>
    <sheetView showGridLines="0" workbookViewId="0">
      <pane ySplit="3" topLeftCell="A4" activePane="bottomLeft" state="frozen"/>
      <selection pane="bottomLeft" activeCell="A1" sqref="A1"/>
    </sheetView>
  </sheetViews>
  <sheetFormatPr baseColWidth="8" defaultRowHeight="15"/>
  <cols>
    <col width="15" customWidth="1" min="1" max="1"/>
    <col width="25" customWidth="1" min="2" max="2"/>
    <col width="20" customWidth="1" min="3" max="3"/>
    <col width="25" customWidth="1" min="4" max="4"/>
    <col width="12"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40" customWidth="1" min="15" max="15"/>
  </cols>
  <sheetData>
    <row r="1" ht="35" customHeight="1">
      <c r="A1" s="11" t="inlineStr">
        <is>
          <t>POST-EMPLOYMENT OBLIGATIONS TRACKING</t>
        </is>
      </c>
    </row>
    <row r="2">
      <c r="A2" s="12" t="inlineStr">
        <is>
          <t>Tracking individuals with ongoing confidentiality and non-compete obligations</t>
        </is>
      </c>
    </row>
    <row r="3">
      <c r="A3" s="13" t="inlineStr">
        <is>
          <t>Former Employee ID</t>
        </is>
      </c>
      <c r="B3" s="13" t="inlineStr">
        <is>
          <t>Former Employee Name</t>
        </is>
      </c>
      <c r="C3" s="13" t="inlineStr">
        <is>
          <t>Former Department</t>
        </is>
      </c>
      <c r="D3" s="13" t="inlineStr">
        <is>
          <t>Former Role</t>
        </is>
      </c>
      <c r="E3" s="13" t="inlineStr">
        <is>
          <t>Termination Date</t>
        </is>
      </c>
      <c r="F3" s="13" t="inlineStr">
        <is>
          <t>Termination Type</t>
        </is>
      </c>
      <c r="G3" s="13" t="inlineStr">
        <is>
          <t>Confidentiality End Date</t>
        </is>
      </c>
      <c r="H3" s="13" t="inlineStr">
        <is>
          <t>Non Compete End Date</t>
        </is>
      </c>
      <c r="I3" s="13" t="inlineStr">
        <is>
          <t>Non Solicit End Date</t>
        </is>
      </c>
      <c r="J3" s="13" t="inlineStr">
        <is>
          <t>IP Assignment Perpetual</t>
        </is>
      </c>
      <c r="K3" s="13" t="inlineStr">
        <is>
          <t>Assets Returned</t>
        </is>
      </c>
      <c r="L3" s="13" t="inlineStr">
        <is>
          <t>Exit Interview Complete</t>
        </is>
      </c>
      <c r="M3" s="13" t="inlineStr">
        <is>
          <t>Obligation Status</t>
        </is>
      </c>
      <c r="N3" s="13" t="inlineStr">
        <is>
          <t>Monitoring Required</t>
        </is>
      </c>
      <c r="O3" s="13" t="inlineStr">
        <is>
          <t>Notes</t>
        </is>
      </c>
    </row>
    <row r="4">
      <c r="A4" s="14" t="inlineStr">
        <is>
          <t>FMR-EXAMPLE</t>
        </is>
      </c>
      <c r="B4" s="14" t="inlineStr">
        <is>
          <t>John Davies (Example)</t>
        </is>
      </c>
      <c r="C4" s="14" t="inlineStr">
        <is>
          <t>Finance</t>
        </is>
      </c>
      <c r="D4" s="14" t="inlineStr">
        <is>
          <t>Finance Manager</t>
        </is>
      </c>
      <c r="E4" s="14" t="inlineStr">
        <is>
          <t>30.06.2025</t>
        </is>
      </c>
      <c r="F4" s="14" t="inlineStr">
        <is>
          <t>Resignation</t>
        </is>
      </c>
      <c r="G4" s="14" t="inlineStr">
        <is>
          <t>30.06.2028</t>
        </is>
      </c>
      <c r="H4" s="14" t="inlineStr">
        <is>
          <t>30.06.2026</t>
        </is>
      </c>
      <c r="I4" s="14" t="inlineStr">
        <is>
          <t>30.06.2026</t>
        </is>
      </c>
      <c r="J4" s="14" t="inlineStr">
        <is>
          <t>Yes</t>
        </is>
      </c>
      <c r="K4" s="14" t="inlineStr">
        <is>
          <t>Yes</t>
        </is>
      </c>
      <c r="L4" s="14" t="inlineStr">
        <is>
          <t>Yes</t>
        </is>
      </c>
      <c r="M4" s="14" t="inlineStr">
        <is>
          <t>Active-Compliant</t>
        </is>
      </c>
      <c r="N4" s="14" t="inlineStr">
        <is>
          <t>No</t>
        </is>
      </c>
      <c r="O4" s="14" t="inlineStr">
        <is>
          <t>Example entry — replace with your leaver obligation records</t>
        </is>
      </c>
    </row>
    <row r="5">
      <c r="A5" s="15" t="n"/>
      <c r="B5" s="15" t="n"/>
      <c r="C5" s="15" t="n"/>
      <c r="D5" s="15" t="n"/>
      <c r="E5" s="16" t="n"/>
      <c r="F5" s="15" t="n"/>
      <c r="G5" s="16" t="n"/>
      <c r="H5" s="16" t="n"/>
      <c r="I5" s="16" t="n"/>
      <c r="J5" s="15" t="n"/>
      <c r="K5" s="15" t="n"/>
      <c r="L5" s="15" t="n"/>
      <c r="M5" s="17">
        <f>IF(B5="","",IF(AND(K5="Yes",L5="Yes",OR(G5="Perpetual",G5&gt;=TODAY())),"Active-Compliant",IF(OR(K5="No",L5="No"),"Non-Compliant",IF(AND(G5&lt;TODAY(),H5&lt;TODAY(),I5&lt;TODAY()),"Expired","Active-Review"))))</f>
        <v/>
      </c>
      <c r="N5" s="15" t="n"/>
      <c r="O5" s="15" t="n"/>
    </row>
    <row r="6">
      <c r="A6" s="15" t="n"/>
      <c r="B6" s="15" t="n"/>
      <c r="C6" s="15" t="n"/>
      <c r="D6" s="15" t="n"/>
      <c r="E6" s="16" t="n"/>
      <c r="F6" s="15" t="n"/>
      <c r="G6" s="16" t="n"/>
      <c r="H6" s="16" t="n"/>
      <c r="I6" s="16" t="n"/>
      <c r="J6" s="15" t="n"/>
      <c r="K6" s="15" t="n"/>
      <c r="L6" s="15" t="n"/>
      <c r="M6" s="17">
        <f>IF(B6="","",IF(AND(K6="Yes",L6="Yes",OR(G6="Perpetual",G6&gt;=TODAY())),"Active-Compliant",IF(OR(K6="No",L6="No"),"Non-Compliant",IF(AND(G6&lt;TODAY(),H6&lt;TODAY(),I6&lt;TODAY()),"Expired","Active-Review"))))</f>
        <v/>
      </c>
      <c r="N6" s="15" t="n"/>
      <c r="O6" s="15" t="n"/>
    </row>
    <row r="7">
      <c r="A7" s="15" t="n"/>
      <c r="B7" s="15" t="n"/>
      <c r="C7" s="15" t="n"/>
      <c r="D7" s="15" t="n"/>
      <c r="E7" s="16" t="n"/>
      <c r="F7" s="15" t="n"/>
      <c r="G7" s="16" t="n"/>
      <c r="H7" s="16" t="n"/>
      <c r="I7" s="16" t="n"/>
      <c r="J7" s="15" t="n"/>
      <c r="K7" s="15" t="n"/>
      <c r="L7" s="15" t="n"/>
      <c r="M7" s="17">
        <f>IF(B7="","",IF(AND(K7="Yes",L7="Yes",OR(G7="Perpetual",G7&gt;=TODAY())),"Active-Compliant",IF(OR(K7="No",L7="No"),"Non-Compliant",IF(AND(G7&lt;TODAY(),H7&lt;TODAY(),I7&lt;TODAY()),"Expired","Active-Review"))))</f>
        <v/>
      </c>
      <c r="N7" s="15" t="n"/>
      <c r="O7" s="15" t="n"/>
    </row>
    <row r="8">
      <c r="A8" s="15" t="n"/>
      <c r="B8" s="15" t="n"/>
      <c r="C8" s="15" t="n"/>
      <c r="D8" s="15" t="n"/>
      <c r="E8" s="16" t="n"/>
      <c r="F8" s="15" t="n"/>
      <c r="G8" s="16" t="n"/>
      <c r="H8" s="16" t="n"/>
      <c r="I8" s="16" t="n"/>
      <c r="J8" s="15" t="n"/>
      <c r="K8" s="15" t="n"/>
      <c r="L8" s="15" t="n"/>
      <c r="M8" s="17">
        <f>IF(B8="","",IF(AND(K8="Yes",L8="Yes",OR(G8="Perpetual",G8&gt;=TODAY())),"Active-Compliant",IF(OR(K8="No",L8="No"),"Non-Compliant",IF(AND(G8&lt;TODAY(),H8&lt;TODAY(),I8&lt;TODAY()),"Expired","Active-Review"))))</f>
        <v/>
      </c>
      <c r="N8" s="15" t="n"/>
      <c r="O8" s="15" t="n"/>
    </row>
    <row r="9">
      <c r="A9" s="15" t="n"/>
      <c r="B9" s="15" t="n"/>
      <c r="C9" s="15" t="n"/>
      <c r="D9" s="15" t="n"/>
      <c r="E9" s="16" t="n"/>
      <c r="F9" s="15" t="n"/>
      <c r="G9" s="16" t="n"/>
      <c r="H9" s="16" t="n"/>
      <c r="I9" s="16" t="n"/>
      <c r="J9" s="15" t="n"/>
      <c r="K9" s="15" t="n"/>
      <c r="L9" s="15" t="n"/>
      <c r="M9" s="17">
        <f>IF(B9="","",IF(AND(K9="Yes",L9="Yes",OR(G9="Perpetual",G9&gt;=TODAY())),"Active-Compliant",IF(OR(K9="No",L9="No"),"Non-Compliant",IF(AND(G9&lt;TODAY(),H9&lt;TODAY(),I9&lt;TODAY()),"Expired","Active-Review"))))</f>
        <v/>
      </c>
      <c r="N9" s="15" t="n"/>
      <c r="O9" s="15" t="n"/>
    </row>
    <row r="10">
      <c r="A10" s="15" t="n"/>
      <c r="B10" s="15" t="n"/>
      <c r="C10" s="15" t="n"/>
      <c r="D10" s="15" t="n"/>
      <c r="E10" s="16" t="n"/>
      <c r="F10" s="15" t="n"/>
      <c r="G10" s="16" t="n"/>
      <c r="H10" s="16" t="n"/>
      <c r="I10" s="16" t="n"/>
      <c r="J10" s="15" t="n"/>
      <c r="K10" s="15" t="n"/>
      <c r="L10" s="15" t="n"/>
      <c r="M10" s="17">
        <f>IF(B10="","",IF(AND(K10="Yes",L10="Yes",OR(G10="Perpetual",G10&gt;=TODAY())),"Active-Compliant",IF(OR(K10="No",L10="No"),"Non-Compliant",IF(AND(G10&lt;TODAY(),H10&lt;TODAY(),I10&lt;TODAY()),"Expired","Active-Review"))))</f>
        <v/>
      </c>
      <c r="N10" s="15" t="n"/>
      <c r="O10" s="15" t="n"/>
    </row>
    <row r="11">
      <c r="A11" s="15" t="n"/>
      <c r="B11" s="15" t="n"/>
      <c r="C11" s="15" t="n"/>
      <c r="D11" s="15" t="n"/>
      <c r="E11" s="16" t="n"/>
      <c r="F11" s="15" t="n"/>
      <c r="G11" s="16" t="n"/>
      <c r="H11" s="16" t="n"/>
      <c r="I11" s="16" t="n"/>
      <c r="J11" s="15" t="n"/>
      <c r="K11" s="15" t="n"/>
      <c r="L11" s="15" t="n"/>
      <c r="M11" s="17">
        <f>IF(B11="","",IF(AND(K11="Yes",L11="Yes",OR(G11="Perpetual",G11&gt;=TODAY())),"Active-Compliant",IF(OR(K11="No",L11="No"),"Non-Compliant",IF(AND(G11&lt;TODAY(),H11&lt;TODAY(),I11&lt;TODAY()),"Expired","Active-Review"))))</f>
        <v/>
      </c>
      <c r="N11" s="15" t="n"/>
      <c r="O11" s="15" t="n"/>
    </row>
    <row r="12">
      <c r="A12" s="15" t="n"/>
      <c r="B12" s="15" t="n"/>
      <c r="C12" s="15" t="n"/>
      <c r="D12" s="15" t="n"/>
      <c r="E12" s="16" t="n"/>
      <c r="F12" s="15" t="n"/>
      <c r="G12" s="16" t="n"/>
      <c r="H12" s="16" t="n"/>
      <c r="I12" s="16" t="n"/>
      <c r="J12" s="15" t="n"/>
      <c r="K12" s="15" t="n"/>
      <c r="L12" s="15" t="n"/>
      <c r="M12" s="17">
        <f>IF(B12="","",IF(AND(K12="Yes",L12="Yes",OR(G12="Perpetual",G12&gt;=TODAY())),"Active-Compliant",IF(OR(K12="No",L12="No"),"Non-Compliant",IF(AND(G12&lt;TODAY(),H12&lt;TODAY(),I12&lt;TODAY()),"Expired","Active-Review"))))</f>
        <v/>
      </c>
      <c r="N12" s="15" t="n"/>
      <c r="O12" s="15" t="n"/>
    </row>
    <row r="13">
      <c r="A13" s="15" t="n"/>
      <c r="B13" s="15" t="n"/>
      <c r="C13" s="15" t="n"/>
      <c r="D13" s="15" t="n"/>
      <c r="E13" s="16" t="n"/>
      <c r="F13" s="15" t="n"/>
      <c r="G13" s="16" t="n"/>
      <c r="H13" s="16" t="n"/>
      <c r="I13" s="16" t="n"/>
      <c r="J13" s="15" t="n"/>
      <c r="K13" s="15" t="n"/>
      <c r="L13" s="15" t="n"/>
      <c r="M13" s="17">
        <f>IF(B13="","",IF(AND(K13="Yes",L13="Yes",OR(G13="Perpetual",G13&gt;=TODAY())),"Active-Compliant",IF(OR(K13="No",L13="No"),"Non-Compliant",IF(AND(G13&lt;TODAY(),H13&lt;TODAY(),I13&lt;TODAY()),"Expired","Active-Review"))))</f>
        <v/>
      </c>
      <c r="N13" s="15" t="n"/>
      <c r="O13" s="15" t="n"/>
    </row>
    <row r="14">
      <c r="A14" s="15" t="n"/>
      <c r="B14" s="15" t="n"/>
      <c r="C14" s="15" t="n"/>
      <c r="D14" s="15" t="n"/>
      <c r="E14" s="16" t="n"/>
      <c r="F14" s="15" t="n"/>
      <c r="G14" s="16" t="n"/>
      <c r="H14" s="16" t="n"/>
      <c r="I14" s="16" t="n"/>
      <c r="J14" s="15" t="n"/>
      <c r="K14" s="15" t="n"/>
      <c r="L14" s="15" t="n"/>
      <c r="M14" s="17">
        <f>IF(B14="","",IF(AND(K14="Yes",L14="Yes",OR(G14="Perpetual",G14&gt;=TODAY())),"Active-Compliant",IF(OR(K14="No",L14="No"),"Non-Compliant",IF(AND(G14&lt;TODAY(),H14&lt;TODAY(),I14&lt;TODAY()),"Expired","Active-Review"))))</f>
        <v/>
      </c>
      <c r="N14" s="15" t="n"/>
      <c r="O14" s="15" t="n"/>
    </row>
    <row r="15">
      <c r="A15" s="15" t="n"/>
      <c r="B15" s="15" t="n"/>
      <c r="C15" s="15" t="n"/>
      <c r="D15" s="15" t="n"/>
      <c r="E15" s="16" t="n"/>
      <c r="F15" s="15" t="n"/>
      <c r="G15" s="16" t="n"/>
      <c r="H15" s="16" t="n"/>
      <c r="I15" s="16" t="n"/>
      <c r="J15" s="15" t="n"/>
      <c r="K15" s="15" t="n"/>
      <c r="L15" s="15" t="n"/>
      <c r="M15" s="17">
        <f>IF(B15="","",IF(AND(K15="Yes",L15="Yes",OR(G15="Perpetual",G15&gt;=TODAY())),"Active-Compliant",IF(OR(K15="No",L15="No"),"Non-Compliant",IF(AND(G15&lt;TODAY(),H15&lt;TODAY(),I15&lt;TODAY()),"Expired","Active-Review"))))</f>
        <v/>
      </c>
      <c r="N15" s="15" t="n"/>
      <c r="O15" s="15" t="n"/>
    </row>
    <row r="16">
      <c r="A16" s="15" t="n"/>
      <c r="B16" s="15" t="n"/>
      <c r="C16" s="15" t="n"/>
      <c r="D16" s="15" t="n"/>
      <c r="E16" s="16" t="n"/>
      <c r="F16" s="15" t="n"/>
      <c r="G16" s="16" t="n"/>
      <c r="H16" s="16" t="n"/>
      <c r="I16" s="16" t="n"/>
      <c r="J16" s="15" t="n"/>
      <c r="K16" s="15" t="n"/>
      <c r="L16" s="15" t="n"/>
      <c r="M16" s="17">
        <f>IF(B16="","",IF(AND(K16="Yes",L16="Yes",OR(G16="Perpetual",G16&gt;=TODAY())),"Active-Compliant",IF(OR(K16="No",L16="No"),"Non-Compliant",IF(AND(G16&lt;TODAY(),H16&lt;TODAY(),I16&lt;TODAY()),"Expired","Active-Review"))))</f>
        <v/>
      </c>
      <c r="N16" s="15" t="n"/>
      <c r="O16" s="15" t="n"/>
    </row>
    <row r="17">
      <c r="A17" s="15" t="n"/>
      <c r="B17" s="15" t="n"/>
      <c r="C17" s="15" t="n"/>
      <c r="D17" s="15" t="n"/>
      <c r="E17" s="16" t="n"/>
      <c r="F17" s="15" t="n"/>
      <c r="G17" s="16" t="n"/>
      <c r="H17" s="16" t="n"/>
      <c r="I17" s="16" t="n"/>
      <c r="J17" s="15" t="n"/>
      <c r="K17" s="15" t="n"/>
      <c r="L17" s="15" t="n"/>
      <c r="M17" s="17">
        <f>IF(B17="","",IF(AND(K17="Yes",L17="Yes",OR(G17="Perpetual",G17&gt;=TODAY())),"Active-Compliant",IF(OR(K17="No",L17="No"),"Non-Compliant",IF(AND(G17&lt;TODAY(),H17&lt;TODAY(),I17&lt;TODAY()),"Expired","Active-Review"))))</f>
        <v/>
      </c>
      <c r="N17" s="15" t="n"/>
      <c r="O17" s="15" t="n"/>
    </row>
    <row r="18">
      <c r="A18" s="15" t="n"/>
      <c r="B18" s="15" t="n"/>
      <c r="C18" s="15" t="n"/>
      <c r="D18" s="15" t="n"/>
      <c r="E18" s="16" t="n"/>
      <c r="F18" s="15" t="n"/>
      <c r="G18" s="16" t="n"/>
      <c r="H18" s="16" t="n"/>
      <c r="I18" s="16" t="n"/>
      <c r="J18" s="15" t="n"/>
      <c r="K18" s="15" t="n"/>
      <c r="L18" s="15" t="n"/>
      <c r="M18" s="17">
        <f>IF(B18="","",IF(AND(K18="Yes",L18="Yes",OR(G18="Perpetual",G18&gt;=TODAY())),"Active-Compliant",IF(OR(K18="No",L18="No"),"Non-Compliant",IF(AND(G18&lt;TODAY(),H18&lt;TODAY(),I18&lt;TODAY()),"Expired","Active-Review"))))</f>
        <v/>
      </c>
      <c r="N18" s="15" t="n"/>
      <c r="O18" s="15" t="n"/>
    </row>
    <row r="19">
      <c r="A19" s="15" t="n"/>
      <c r="B19" s="15" t="n"/>
      <c r="C19" s="15" t="n"/>
      <c r="D19" s="15" t="n"/>
      <c r="E19" s="16" t="n"/>
      <c r="F19" s="15" t="n"/>
      <c r="G19" s="16" t="n"/>
      <c r="H19" s="16" t="n"/>
      <c r="I19" s="16" t="n"/>
      <c r="J19" s="15" t="n"/>
      <c r="K19" s="15" t="n"/>
      <c r="L19" s="15" t="n"/>
      <c r="M19" s="17">
        <f>IF(B19="","",IF(AND(K19="Yes",L19="Yes",OR(G19="Perpetual",G19&gt;=TODAY())),"Active-Compliant",IF(OR(K19="No",L19="No"),"Non-Compliant",IF(AND(G19&lt;TODAY(),H19&lt;TODAY(),I19&lt;TODAY()),"Expired","Active-Review"))))</f>
        <v/>
      </c>
      <c r="N19" s="15" t="n"/>
      <c r="O19" s="15" t="n"/>
    </row>
    <row r="20">
      <c r="A20" s="15" t="n"/>
      <c r="B20" s="15" t="n"/>
      <c r="C20" s="15" t="n"/>
      <c r="D20" s="15" t="n"/>
      <c r="E20" s="16" t="n"/>
      <c r="F20" s="15" t="n"/>
      <c r="G20" s="16" t="n"/>
      <c r="H20" s="16" t="n"/>
      <c r="I20" s="16" t="n"/>
      <c r="J20" s="15" t="n"/>
      <c r="K20" s="15" t="n"/>
      <c r="L20" s="15" t="n"/>
      <c r="M20" s="17">
        <f>IF(B20="","",IF(AND(K20="Yes",L20="Yes",OR(G20="Perpetual",G20&gt;=TODAY())),"Active-Compliant",IF(OR(K20="No",L20="No"),"Non-Compliant",IF(AND(G20&lt;TODAY(),H20&lt;TODAY(),I20&lt;TODAY()),"Expired","Active-Review"))))</f>
        <v/>
      </c>
      <c r="N20" s="15" t="n"/>
      <c r="O20" s="15" t="n"/>
    </row>
    <row r="21">
      <c r="A21" s="15" t="n"/>
      <c r="B21" s="15" t="n"/>
      <c r="C21" s="15" t="n"/>
      <c r="D21" s="15" t="n"/>
      <c r="E21" s="16" t="n"/>
      <c r="F21" s="15" t="n"/>
      <c r="G21" s="16" t="n"/>
      <c r="H21" s="16" t="n"/>
      <c r="I21" s="16" t="n"/>
      <c r="J21" s="15" t="n"/>
      <c r="K21" s="15" t="n"/>
      <c r="L21" s="15" t="n"/>
      <c r="M21" s="17">
        <f>IF(B21="","",IF(AND(K21="Yes",L21="Yes",OR(G21="Perpetual",G21&gt;=TODAY())),"Active-Compliant",IF(OR(K21="No",L21="No"),"Non-Compliant",IF(AND(G21&lt;TODAY(),H21&lt;TODAY(),I21&lt;TODAY()),"Expired","Active-Review"))))</f>
        <v/>
      </c>
      <c r="N21" s="15" t="n"/>
      <c r="O21" s="15" t="n"/>
    </row>
    <row r="22">
      <c r="A22" s="15" t="n"/>
      <c r="B22" s="15" t="n"/>
      <c r="C22" s="15" t="n"/>
      <c r="D22" s="15" t="n"/>
      <c r="E22" s="16" t="n"/>
      <c r="F22" s="15" t="n"/>
      <c r="G22" s="16" t="n"/>
      <c r="H22" s="16" t="n"/>
      <c r="I22" s="16" t="n"/>
      <c r="J22" s="15" t="n"/>
      <c r="K22" s="15" t="n"/>
      <c r="L22" s="15" t="n"/>
      <c r="M22" s="17">
        <f>IF(B22="","",IF(AND(K22="Yes",L22="Yes",OR(G22="Perpetual",G22&gt;=TODAY())),"Active-Compliant",IF(OR(K22="No",L22="No"),"Non-Compliant",IF(AND(G22&lt;TODAY(),H22&lt;TODAY(),I22&lt;TODAY()),"Expired","Active-Review"))))</f>
        <v/>
      </c>
      <c r="N22" s="15" t="n"/>
      <c r="O22" s="15" t="n"/>
    </row>
    <row r="23">
      <c r="A23" s="15" t="n"/>
      <c r="B23" s="15" t="n"/>
      <c r="C23" s="15" t="n"/>
      <c r="D23" s="15" t="n"/>
      <c r="E23" s="16" t="n"/>
      <c r="F23" s="15" t="n"/>
      <c r="G23" s="16" t="n"/>
      <c r="H23" s="16" t="n"/>
      <c r="I23" s="16" t="n"/>
      <c r="J23" s="15" t="n"/>
      <c r="K23" s="15" t="n"/>
      <c r="L23" s="15" t="n"/>
      <c r="M23" s="17">
        <f>IF(B23="","",IF(AND(K23="Yes",L23="Yes",OR(G23="Perpetual",G23&gt;=TODAY())),"Active-Compliant",IF(OR(K23="No",L23="No"),"Non-Compliant",IF(AND(G23&lt;TODAY(),H23&lt;TODAY(),I23&lt;TODAY()),"Expired","Active-Review"))))</f>
        <v/>
      </c>
      <c r="N23" s="15" t="n"/>
      <c r="O23" s="15" t="n"/>
    </row>
    <row r="24">
      <c r="A24" s="15" t="n"/>
      <c r="B24" s="15" t="n"/>
      <c r="C24" s="15" t="n"/>
      <c r="D24" s="15" t="n"/>
      <c r="E24" s="16" t="n"/>
      <c r="F24" s="15" t="n"/>
      <c r="G24" s="16" t="n"/>
      <c r="H24" s="16" t="n"/>
      <c r="I24" s="16" t="n"/>
      <c r="J24" s="15" t="n"/>
      <c r="K24" s="15" t="n"/>
      <c r="L24" s="15" t="n"/>
      <c r="M24" s="17">
        <f>IF(B24="","",IF(AND(K24="Yes",L24="Yes",OR(G24="Perpetual",G24&gt;=TODAY())),"Active-Compliant",IF(OR(K24="No",L24="No"),"Non-Compliant",IF(AND(G24&lt;TODAY(),H24&lt;TODAY(),I24&lt;TODAY()),"Expired","Active-Review"))))</f>
        <v/>
      </c>
      <c r="N24" s="15" t="n"/>
      <c r="O24" s="15" t="n"/>
    </row>
    <row r="25">
      <c r="A25" s="15" t="n"/>
      <c r="B25" s="15" t="n"/>
      <c r="C25" s="15" t="n"/>
      <c r="D25" s="15" t="n"/>
      <c r="E25" s="16" t="n"/>
      <c r="F25" s="15" t="n"/>
      <c r="G25" s="16" t="n"/>
      <c r="H25" s="16" t="n"/>
      <c r="I25" s="16" t="n"/>
      <c r="J25" s="15" t="n"/>
      <c r="K25" s="15" t="n"/>
      <c r="L25" s="15" t="n"/>
      <c r="M25" s="17">
        <f>IF(B25="","",IF(AND(K25="Yes",L25="Yes",OR(G25="Perpetual",G25&gt;=TODAY())),"Active-Compliant",IF(OR(K25="No",L25="No"),"Non-Compliant",IF(AND(G25&lt;TODAY(),H25&lt;TODAY(),I25&lt;TODAY()),"Expired","Active-Review"))))</f>
        <v/>
      </c>
      <c r="N25" s="15" t="n"/>
      <c r="O25" s="15" t="n"/>
    </row>
    <row r="26">
      <c r="A26" s="15" t="n"/>
      <c r="B26" s="15" t="n"/>
      <c r="C26" s="15" t="n"/>
      <c r="D26" s="15" t="n"/>
      <c r="E26" s="16" t="n"/>
      <c r="F26" s="15" t="n"/>
      <c r="G26" s="16" t="n"/>
      <c r="H26" s="16" t="n"/>
      <c r="I26" s="16" t="n"/>
      <c r="J26" s="15" t="n"/>
      <c r="K26" s="15" t="n"/>
      <c r="L26" s="15" t="n"/>
      <c r="M26" s="17">
        <f>IF(B26="","",IF(AND(K26="Yes",L26="Yes",OR(G26="Perpetual",G26&gt;=TODAY())),"Active-Compliant",IF(OR(K26="No",L26="No"),"Non-Compliant",IF(AND(G26&lt;TODAY(),H26&lt;TODAY(),I26&lt;TODAY()),"Expired","Active-Review"))))</f>
        <v/>
      </c>
      <c r="N26" s="15" t="n"/>
      <c r="O26" s="15" t="n"/>
    </row>
    <row r="27">
      <c r="A27" s="15" t="n"/>
      <c r="B27" s="15" t="n"/>
      <c r="C27" s="15" t="n"/>
      <c r="D27" s="15" t="n"/>
      <c r="E27" s="16" t="n"/>
      <c r="F27" s="15" t="n"/>
      <c r="G27" s="16" t="n"/>
      <c r="H27" s="16" t="n"/>
      <c r="I27" s="16" t="n"/>
      <c r="J27" s="15" t="n"/>
      <c r="K27" s="15" t="n"/>
      <c r="L27" s="15" t="n"/>
      <c r="M27" s="17">
        <f>IF(B27="","",IF(AND(K27="Yes",L27="Yes",OR(G27="Perpetual",G27&gt;=TODAY())),"Active-Compliant",IF(OR(K27="No",L27="No"),"Non-Compliant",IF(AND(G27&lt;TODAY(),H27&lt;TODAY(),I27&lt;TODAY()),"Expired","Active-Review"))))</f>
        <v/>
      </c>
      <c r="N27" s="15" t="n"/>
      <c r="O27" s="15" t="n"/>
    </row>
    <row r="28">
      <c r="A28" s="15" t="n"/>
      <c r="B28" s="15" t="n"/>
      <c r="C28" s="15" t="n"/>
      <c r="D28" s="15" t="n"/>
      <c r="E28" s="16" t="n"/>
      <c r="F28" s="15" t="n"/>
      <c r="G28" s="16" t="n"/>
      <c r="H28" s="16" t="n"/>
      <c r="I28" s="16" t="n"/>
      <c r="J28" s="15" t="n"/>
      <c r="K28" s="15" t="n"/>
      <c r="L28" s="15" t="n"/>
      <c r="M28" s="17">
        <f>IF(B28="","",IF(AND(K28="Yes",L28="Yes",OR(G28="Perpetual",G28&gt;=TODAY())),"Active-Compliant",IF(OR(K28="No",L28="No"),"Non-Compliant",IF(AND(G28&lt;TODAY(),H28&lt;TODAY(),I28&lt;TODAY()),"Expired","Active-Review"))))</f>
        <v/>
      </c>
      <c r="N28" s="15" t="n"/>
      <c r="O28" s="15" t="n"/>
    </row>
    <row r="29">
      <c r="A29" s="15" t="n"/>
      <c r="B29" s="15" t="n"/>
      <c r="C29" s="15" t="n"/>
      <c r="D29" s="15" t="n"/>
      <c r="E29" s="16" t="n"/>
      <c r="F29" s="15" t="n"/>
      <c r="G29" s="16" t="n"/>
      <c r="H29" s="16" t="n"/>
      <c r="I29" s="16" t="n"/>
      <c r="J29" s="15" t="n"/>
      <c r="K29" s="15" t="n"/>
      <c r="L29" s="15" t="n"/>
      <c r="M29" s="17">
        <f>IF(B29="","",IF(AND(K29="Yes",L29="Yes",OR(G29="Perpetual",G29&gt;=TODAY())),"Active-Compliant",IF(OR(K29="No",L29="No"),"Non-Compliant",IF(AND(G29&lt;TODAY(),H29&lt;TODAY(),I29&lt;TODAY()),"Expired","Active-Review"))))</f>
        <v/>
      </c>
      <c r="N29" s="15" t="n"/>
      <c r="O29" s="15" t="n"/>
    </row>
    <row r="30">
      <c r="A30" s="15" t="n"/>
      <c r="B30" s="15" t="n"/>
      <c r="C30" s="15" t="n"/>
      <c r="D30" s="15" t="n"/>
      <c r="E30" s="16" t="n"/>
      <c r="F30" s="15" t="n"/>
      <c r="G30" s="16" t="n"/>
      <c r="H30" s="16" t="n"/>
      <c r="I30" s="16" t="n"/>
      <c r="J30" s="15" t="n"/>
      <c r="K30" s="15" t="n"/>
      <c r="L30" s="15" t="n"/>
      <c r="M30" s="17">
        <f>IF(B30="","",IF(AND(K30="Yes",L30="Yes",OR(G30="Perpetual",G30&gt;=TODAY())),"Active-Compliant",IF(OR(K30="No",L30="No"),"Non-Compliant",IF(AND(G30&lt;TODAY(),H30&lt;TODAY(),I30&lt;TODAY()),"Expired","Active-Review"))))</f>
        <v/>
      </c>
      <c r="N30" s="15" t="n"/>
      <c r="O30" s="15" t="n"/>
    </row>
    <row r="31">
      <c r="A31" s="15" t="n"/>
      <c r="B31" s="15" t="n"/>
      <c r="C31" s="15" t="n"/>
      <c r="D31" s="15" t="n"/>
      <c r="E31" s="16" t="n"/>
      <c r="F31" s="15" t="n"/>
      <c r="G31" s="16" t="n"/>
      <c r="H31" s="16" t="n"/>
      <c r="I31" s="16" t="n"/>
      <c r="J31" s="15" t="n"/>
      <c r="K31" s="15" t="n"/>
      <c r="L31" s="15" t="n"/>
      <c r="M31" s="17">
        <f>IF(B31="","",IF(AND(K31="Yes",L31="Yes",OR(G31="Perpetual",G31&gt;=TODAY())),"Active-Compliant",IF(OR(K31="No",L31="No"),"Non-Compliant",IF(AND(G31&lt;TODAY(),H31&lt;TODAY(),I31&lt;TODAY()),"Expired","Active-Review"))))</f>
        <v/>
      </c>
      <c r="N31" s="15" t="n"/>
      <c r="O31" s="15" t="n"/>
    </row>
    <row r="32">
      <c r="A32" s="15" t="n"/>
      <c r="B32" s="15" t="n"/>
      <c r="C32" s="15" t="n"/>
      <c r="D32" s="15" t="n"/>
      <c r="E32" s="16" t="n"/>
      <c r="F32" s="15" t="n"/>
      <c r="G32" s="16" t="n"/>
      <c r="H32" s="16" t="n"/>
      <c r="I32" s="16" t="n"/>
      <c r="J32" s="15" t="n"/>
      <c r="K32" s="15" t="n"/>
      <c r="L32" s="15" t="n"/>
      <c r="M32" s="17">
        <f>IF(B32="","",IF(AND(K32="Yes",L32="Yes",OR(G32="Perpetual",G32&gt;=TODAY())),"Active-Compliant",IF(OR(K32="No",L32="No"),"Non-Compliant",IF(AND(G32&lt;TODAY(),H32&lt;TODAY(),I32&lt;TODAY()),"Expired","Active-Review"))))</f>
        <v/>
      </c>
      <c r="N32" s="15" t="n"/>
      <c r="O32" s="15" t="n"/>
    </row>
    <row r="33">
      <c r="A33" s="15" t="n"/>
      <c r="B33" s="15" t="n"/>
      <c r="C33" s="15" t="n"/>
      <c r="D33" s="15" t="n"/>
      <c r="E33" s="16" t="n"/>
      <c r="F33" s="15" t="n"/>
      <c r="G33" s="16" t="n"/>
      <c r="H33" s="16" t="n"/>
      <c r="I33" s="16" t="n"/>
      <c r="J33" s="15" t="n"/>
      <c r="K33" s="15" t="n"/>
      <c r="L33" s="15" t="n"/>
      <c r="M33" s="17">
        <f>IF(B33="","",IF(AND(K33="Yes",L33="Yes",OR(G33="Perpetual",G33&gt;=TODAY())),"Active-Compliant",IF(OR(K33="No",L33="No"),"Non-Compliant",IF(AND(G33&lt;TODAY(),H33&lt;TODAY(),I33&lt;TODAY()),"Expired","Active-Review"))))</f>
        <v/>
      </c>
      <c r="N33" s="15" t="n"/>
      <c r="O33" s="15" t="n"/>
    </row>
    <row r="34">
      <c r="A34" s="15" t="n"/>
      <c r="B34" s="15" t="n"/>
      <c r="C34" s="15" t="n"/>
      <c r="D34" s="15" t="n"/>
      <c r="E34" s="16" t="n"/>
      <c r="F34" s="15" t="n"/>
      <c r="G34" s="16" t="n"/>
      <c r="H34" s="16" t="n"/>
      <c r="I34" s="16" t="n"/>
      <c r="J34" s="15" t="n"/>
      <c r="K34" s="15" t="n"/>
      <c r="L34" s="15" t="n"/>
      <c r="M34" s="17">
        <f>IF(B34="","",IF(AND(K34="Yes",L34="Yes",OR(G34="Perpetual",G34&gt;=TODAY())),"Active-Compliant",IF(OR(K34="No",L34="No"),"Non-Compliant",IF(AND(G34&lt;TODAY(),H34&lt;TODAY(),I34&lt;TODAY()),"Expired","Active-Review"))))</f>
        <v/>
      </c>
      <c r="N34" s="15" t="n"/>
      <c r="O34" s="15" t="n"/>
    </row>
    <row r="35">
      <c r="A35" s="15" t="n"/>
      <c r="B35" s="15" t="n"/>
      <c r="C35" s="15" t="n"/>
      <c r="D35" s="15" t="n"/>
      <c r="E35" s="16" t="n"/>
      <c r="F35" s="15" t="n"/>
      <c r="G35" s="16" t="n"/>
      <c r="H35" s="16" t="n"/>
      <c r="I35" s="16" t="n"/>
      <c r="J35" s="15" t="n"/>
      <c r="K35" s="15" t="n"/>
      <c r="L35" s="15" t="n"/>
      <c r="M35" s="17">
        <f>IF(B35="","",IF(AND(K35="Yes",L35="Yes",OR(G35="Perpetual",G35&gt;=TODAY())),"Active-Compliant",IF(OR(K35="No",L35="No"),"Non-Compliant",IF(AND(G35&lt;TODAY(),H35&lt;TODAY(),I35&lt;TODAY()),"Expired","Active-Review"))))</f>
        <v/>
      </c>
      <c r="N35" s="15" t="n"/>
      <c r="O35" s="15" t="n"/>
    </row>
    <row r="36">
      <c r="A36" s="15" t="n"/>
      <c r="B36" s="15" t="n"/>
      <c r="C36" s="15" t="n"/>
      <c r="D36" s="15" t="n"/>
      <c r="E36" s="16" t="n"/>
      <c r="F36" s="15" t="n"/>
      <c r="G36" s="16" t="n"/>
      <c r="H36" s="16" t="n"/>
      <c r="I36" s="16" t="n"/>
      <c r="J36" s="15" t="n"/>
      <c r="K36" s="15" t="n"/>
      <c r="L36" s="15" t="n"/>
      <c r="M36" s="17">
        <f>IF(B36="","",IF(AND(K36="Yes",L36="Yes",OR(G36="Perpetual",G36&gt;=TODAY())),"Active-Compliant",IF(OR(K36="No",L36="No"),"Non-Compliant",IF(AND(G36&lt;TODAY(),H36&lt;TODAY(),I36&lt;TODAY()),"Expired","Active-Review"))))</f>
        <v/>
      </c>
      <c r="N36" s="15" t="n"/>
      <c r="O36" s="15" t="n"/>
    </row>
    <row r="37">
      <c r="A37" s="15" t="n"/>
      <c r="B37" s="15" t="n"/>
      <c r="C37" s="15" t="n"/>
      <c r="D37" s="15" t="n"/>
      <c r="E37" s="16" t="n"/>
      <c r="F37" s="15" t="n"/>
      <c r="G37" s="16" t="n"/>
      <c r="H37" s="16" t="n"/>
      <c r="I37" s="16" t="n"/>
      <c r="J37" s="15" t="n"/>
      <c r="K37" s="15" t="n"/>
      <c r="L37" s="15" t="n"/>
      <c r="M37" s="17">
        <f>IF(B37="","",IF(AND(K37="Yes",L37="Yes",OR(G37="Perpetual",G37&gt;=TODAY())),"Active-Compliant",IF(OR(K37="No",L37="No"),"Non-Compliant",IF(AND(G37&lt;TODAY(),H37&lt;TODAY(),I37&lt;TODAY()),"Expired","Active-Review"))))</f>
        <v/>
      </c>
      <c r="N37" s="15" t="n"/>
      <c r="O37" s="15" t="n"/>
    </row>
    <row r="38">
      <c r="A38" s="15" t="n"/>
      <c r="B38" s="15" t="n"/>
      <c r="C38" s="15" t="n"/>
      <c r="D38" s="15" t="n"/>
      <c r="E38" s="16" t="n"/>
      <c r="F38" s="15" t="n"/>
      <c r="G38" s="16" t="n"/>
      <c r="H38" s="16" t="n"/>
      <c r="I38" s="16" t="n"/>
      <c r="J38" s="15" t="n"/>
      <c r="K38" s="15" t="n"/>
      <c r="L38" s="15" t="n"/>
      <c r="M38" s="17">
        <f>IF(B38="","",IF(AND(K38="Yes",L38="Yes",OR(G38="Perpetual",G38&gt;=TODAY())),"Active-Compliant",IF(OR(K38="No",L38="No"),"Non-Compliant",IF(AND(G38&lt;TODAY(),H38&lt;TODAY(),I38&lt;TODAY()),"Expired","Active-Review"))))</f>
        <v/>
      </c>
      <c r="N38" s="15" t="n"/>
      <c r="O38" s="15" t="n"/>
    </row>
    <row r="39">
      <c r="A39" s="15" t="n"/>
      <c r="B39" s="15" t="n"/>
      <c r="C39" s="15" t="n"/>
      <c r="D39" s="15" t="n"/>
      <c r="E39" s="16" t="n"/>
      <c r="F39" s="15" t="n"/>
      <c r="G39" s="16" t="n"/>
      <c r="H39" s="16" t="n"/>
      <c r="I39" s="16" t="n"/>
      <c r="J39" s="15" t="n"/>
      <c r="K39" s="15" t="n"/>
      <c r="L39" s="15" t="n"/>
      <c r="M39" s="17">
        <f>IF(B39="","",IF(AND(K39="Yes",L39="Yes",OR(G39="Perpetual",G39&gt;=TODAY())),"Active-Compliant",IF(OR(K39="No",L39="No"),"Non-Compliant",IF(AND(G39&lt;TODAY(),H39&lt;TODAY(),I39&lt;TODAY()),"Expired","Active-Review"))))</f>
        <v/>
      </c>
      <c r="N39" s="15" t="n"/>
      <c r="O39" s="15" t="n"/>
    </row>
    <row r="40">
      <c r="A40" s="15" t="n"/>
      <c r="B40" s="15" t="n"/>
      <c r="C40" s="15" t="n"/>
      <c r="D40" s="15" t="n"/>
      <c r="E40" s="16" t="n"/>
      <c r="F40" s="15" t="n"/>
      <c r="G40" s="16" t="n"/>
      <c r="H40" s="16" t="n"/>
      <c r="I40" s="16" t="n"/>
      <c r="J40" s="15" t="n"/>
      <c r="K40" s="15" t="n"/>
      <c r="L40" s="15" t="n"/>
      <c r="M40" s="17">
        <f>IF(B40="","",IF(AND(K40="Yes",L40="Yes",OR(G40="Perpetual",G40&gt;=TODAY())),"Active-Compliant",IF(OR(K40="No",L40="No"),"Non-Compliant",IF(AND(G40&lt;TODAY(),H40&lt;TODAY(),I40&lt;TODAY()),"Expired","Active-Review"))))</f>
        <v/>
      </c>
      <c r="N40" s="15" t="n"/>
      <c r="O40" s="15" t="n"/>
    </row>
    <row r="41">
      <c r="A41" s="15" t="n"/>
      <c r="B41" s="15" t="n"/>
      <c r="C41" s="15" t="n"/>
      <c r="D41" s="15" t="n"/>
      <c r="E41" s="16" t="n"/>
      <c r="F41" s="15" t="n"/>
      <c r="G41" s="16" t="n"/>
      <c r="H41" s="16" t="n"/>
      <c r="I41" s="16" t="n"/>
      <c r="J41" s="15" t="n"/>
      <c r="K41" s="15" t="n"/>
      <c r="L41" s="15" t="n"/>
      <c r="M41" s="17">
        <f>IF(B41="","",IF(AND(K41="Yes",L41="Yes",OR(G41="Perpetual",G41&gt;=TODAY())),"Active-Compliant",IF(OR(K41="No",L41="No"),"Non-Compliant",IF(AND(G41&lt;TODAY(),H41&lt;TODAY(),I41&lt;TODAY()),"Expired","Active-Review"))))</f>
        <v/>
      </c>
      <c r="N41" s="15" t="n"/>
      <c r="O41" s="15" t="n"/>
    </row>
    <row r="42">
      <c r="A42" s="15" t="n"/>
      <c r="B42" s="15" t="n"/>
      <c r="C42" s="15" t="n"/>
      <c r="D42" s="15" t="n"/>
      <c r="E42" s="16" t="n"/>
      <c r="F42" s="15" t="n"/>
      <c r="G42" s="16" t="n"/>
      <c r="H42" s="16" t="n"/>
      <c r="I42" s="16" t="n"/>
      <c r="J42" s="15" t="n"/>
      <c r="K42" s="15" t="n"/>
      <c r="L42" s="15" t="n"/>
      <c r="M42" s="17">
        <f>IF(B42="","",IF(AND(K42="Yes",L42="Yes",OR(G42="Perpetual",G42&gt;=TODAY())),"Active-Compliant",IF(OR(K42="No",L42="No"),"Non-Compliant",IF(AND(G42&lt;TODAY(),H42&lt;TODAY(),I42&lt;TODAY()),"Expired","Active-Review"))))</f>
        <v/>
      </c>
      <c r="N42" s="15" t="n"/>
      <c r="O42" s="15" t="n"/>
    </row>
    <row r="43">
      <c r="A43" s="15" t="n"/>
      <c r="B43" s="15" t="n"/>
      <c r="C43" s="15" t="n"/>
      <c r="D43" s="15" t="n"/>
      <c r="E43" s="16" t="n"/>
      <c r="F43" s="15" t="n"/>
      <c r="G43" s="16" t="n"/>
      <c r="H43" s="16" t="n"/>
      <c r="I43" s="16" t="n"/>
      <c r="J43" s="15" t="n"/>
      <c r="K43" s="15" t="n"/>
      <c r="L43" s="15" t="n"/>
      <c r="M43" s="17">
        <f>IF(B43="","",IF(AND(K43="Yes",L43="Yes",OR(G43="Perpetual",G43&gt;=TODAY())),"Active-Compliant",IF(OR(K43="No",L43="No"),"Non-Compliant",IF(AND(G43&lt;TODAY(),H43&lt;TODAY(),I43&lt;TODAY()),"Expired","Active-Review"))))</f>
        <v/>
      </c>
      <c r="N43" s="15" t="n"/>
      <c r="O43" s="15" t="n"/>
    </row>
    <row r="44">
      <c r="A44" s="15" t="n"/>
      <c r="B44" s="15" t="n"/>
      <c r="C44" s="15" t="n"/>
      <c r="D44" s="15" t="n"/>
      <c r="E44" s="16" t="n"/>
      <c r="F44" s="15" t="n"/>
      <c r="G44" s="16" t="n"/>
      <c r="H44" s="16" t="n"/>
      <c r="I44" s="16" t="n"/>
      <c r="J44" s="15" t="n"/>
      <c r="K44" s="15" t="n"/>
      <c r="L44" s="15" t="n"/>
      <c r="M44" s="17">
        <f>IF(B44="","",IF(AND(K44="Yes",L44="Yes",OR(G44="Perpetual",G44&gt;=TODAY())),"Active-Compliant",IF(OR(K44="No",L44="No"),"Non-Compliant",IF(AND(G44&lt;TODAY(),H44&lt;TODAY(),I44&lt;TODAY()),"Expired","Active-Review"))))</f>
        <v/>
      </c>
      <c r="N44" s="15" t="n"/>
      <c r="O44" s="15" t="n"/>
    </row>
    <row r="45">
      <c r="A45" s="15" t="n"/>
      <c r="B45" s="15" t="n"/>
      <c r="C45" s="15" t="n"/>
      <c r="D45" s="15" t="n"/>
      <c r="E45" s="16" t="n"/>
      <c r="F45" s="15" t="n"/>
      <c r="G45" s="16" t="n"/>
      <c r="H45" s="16" t="n"/>
      <c r="I45" s="16" t="n"/>
      <c r="J45" s="15" t="n"/>
      <c r="K45" s="15" t="n"/>
      <c r="L45" s="15" t="n"/>
      <c r="M45" s="17">
        <f>IF(B45="","",IF(AND(K45="Yes",L45="Yes",OR(G45="Perpetual",G45&gt;=TODAY())),"Active-Compliant",IF(OR(K45="No",L45="No"),"Non-Compliant",IF(AND(G45&lt;TODAY(),H45&lt;TODAY(),I45&lt;TODAY()),"Expired","Active-Review"))))</f>
        <v/>
      </c>
      <c r="N45" s="15" t="n"/>
      <c r="O45" s="15" t="n"/>
    </row>
    <row r="46">
      <c r="A46" s="15" t="n"/>
      <c r="B46" s="15" t="n"/>
      <c r="C46" s="15" t="n"/>
      <c r="D46" s="15" t="n"/>
      <c r="E46" s="16" t="n"/>
      <c r="F46" s="15" t="n"/>
      <c r="G46" s="16" t="n"/>
      <c r="H46" s="16" t="n"/>
      <c r="I46" s="16" t="n"/>
      <c r="J46" s="15" t="n"/>
      <c r="K46" s="15" t="n"/>
      <c r="L46" s="15" t="n"/>
      <c r="M46" s="17">
        <f>IF(B46="","",IF(AND(K46="Yes",L46="Yes",OR(G46="Perpetual",G46&gt;=TODAY())),"Active-Compliant",IF(OR(K46="No",L46="No"),"Non-Compliant",IF(AND(G46&lt;TODAY(),H46&lt;TODAY(),I46&lt;TODAY()),"Expired","Active-Review"))))</f>
        <v/>
      </c>
      <c r="N46" s="15" t="n"/>
      <c r="O46" s="15" t="n"/>
    </row>
    <row r="47">
      <c r="A47" s="15" t="n"/>
      <c r="B47" s="15" t="n"/>
      <c r="C47" s="15" t="n"/>
      <c r="D47" s="15" t="n"/>
      <c r="E47" s="16" t="n"/>
      <c r="F47" s="15" t="n"/>
      <c r="G47" s="16" t="n"/>
      <c r="H47" s="16" t="n"/>
      <c r="I47" s="16" t="n"/>
      <c r="J47" s="15" t="n"/>
      <c r="K47" s="15" t="n"/>
      <c r="L47" s="15" t="n"/>
      <c r="M47" s="17">
        <f>IF(B47="","",IF(AND(K47="Yes",L47="Yes",OR(G47="Perpetual",G47&gt;=TODAY())),"Active-Compliant",IF(OR(K47="No",L47="No"),"Non-Compliant",IF(AND(G47&lt;TODAY(),H47&lt;TODAY(),I47&lt;TODAY()),"Expired","Active-Review"))))</f>
        <v/>
      </c>
      <c r="N47" s="15" t="n"/>
      <c r="O47" s="15" t="n"/>
    </row>
    <row r="48">
      <c r="A48" s="15" t="n"/>
      <c r="B48" s="15" t="n"/>
      <c r="C48" s="15" t="n"/>
      <c r="D48" s="15" t="n"/>
      <c r="E48" s="16" t="n"/>
      <c r="F48" s="15" t="n"/>
      <c r="G48" s="16" t="n"/>
      <c r="H48" s="16" t="n"/>
      <c r="I48" s="16" t="n"/>
      <c r="J48" s="15" t="n"/>
      <c r="K48" s="15" t="n"/>
      <c r="L48" s="15" t="n"/>
      <c r="M48" s="17">
        <f>IF(B48="","",IF(AND(K48="Yes",L48="Yes",OR(G48="Perpetual",G48&gt;=TODAY())),"Active-Compliant",IF(OR(K48="No",L48="No"),"Non-Compliant",IF(AND(G48&lt;TODAY(),H48&lt;TODAY(),I48&lt;TODAY()),"Expired","Active-Review"))))</f>
        <v/>
      </c>
      <c r="N48" s="15" t="n"/>
      <c r="O48" s="15" t="n"/>
    </row>
    <row r="49">
      <c r="A49" s="15" t="n"/>
      <c r="B49" s="15" t="n"/>
      <c r="C49" s="15" t="n"/>
      <c r="D49" s="15" t="n"/>
      <c r="E49" s="16" t="n"/>
      <c r="F49" s="15" t="n"/>
      <c r="G49" s="16" t="n"/>
      <c r="H49" s="16" t="n"/>
      <c r="I49" s="16" t="n"/>
      <c r="J49" s="15" t="n"/>
      <c r="K49" s="15" t="n"/>
      <c r="L49" s="15" t="n"/>
      <c r="M49" s="17">
        <f>IF(B49="","",IF(AND(K49="Yes",L49="Yes",OR(G49="Perpetual",G49&gt;=TODAY())),"Active-Compliant",IF(OR(K49="No",L49="No"),"Non-Compliant",IF(AND(G49&lt;TODAY(),H49&lt;TODAY(),I49&lt;TODAY()),"Expired","Active-Review"))))</f>
        <v/>
      </c>
      <c r="N49" s="15" t="n"/>
      <c r="O49" s="15" t="n"/>
    </row>
    <row r="50">
      <c r="A50" s="15" t="n"/>
      <c r="B50" s="15" t="n"/>
      <c r="C50" s="15" t="n"/>
      <c r="D50" s="15" t="n"/>
      <c r="E50" s="16" t="n"/>
      <c r="F50" s="15" t="n"/>
      <c r="G50" s="16" t="n"/>
      <c r="H50" s="16" t="n"/>
      <c r="I50" s="16" t="n"/>
      <c r="J50" s="15" t="n"/>
      <c r="K50" s="15" t="n"/>
      <c r="L50" s="15" t="n"/>
      <c r="M50" s="17">
        <f>IF(B50="","",IF(AND(K50="Yes",L50="Yes",OR(G50="Perpetual",G50&gt;=TODAY())),"Active-Compliant",IF(OR(K50="No",L50="No"),"Non-Compliant",IF(AND(G50&lt;TODAY(),H50&lt;TODAY(),I50&lt;TODAY()),"Expired","Active-Review"))))</f>
        <v/>
      </c>
      <c r="N50" s="15" t="n"/>
      <c r="O50" s="15" t="n"/>
    </row>
    <row r="51">
      <c r="A51" s="15" t="n"/>
      <c r="B51" s="15" t="n"/>
      <c r="C51" s="15" t="n"/>
      <c r="D51" s="15" t="n"/>
      <c r="E51" s="16" t="n"/>
      <c r="F51" s="15" t="n"/>
      <c r="G51" s="16" t="n"/>
      <c r="H51" s="16" t="n"/>
      <c r="I51" s="16" t="n"/>
      <c r="J51" s="15" t="n"/>
      <c r="K51" s="15" t="n"/>
      <c r="L51" s="15" t="n"/>
      <c r="M51" s="17">
        <f>IF(B51="","",IF(AND(K51="Yes",L51="Yes",OR(G51="Perpetual",G51&gt;=TODAY())),"Active-Compliant",IF(OR(K51="No",L51="No"),"Non-Compliant",IF(AND(G51&lt;TODAY(),H51&lt;TODAY(),I51&lt;TODAY()),"Expired","Active-Review"))))</f>
        <v/>
      </c>
      <c r="N51" s="15" t="n"/>
      <c r="O51" s="15" t="n"/>
    </row>
    <row r="52">
      <c r="A52" s="15" t="n"/>
      <c r="B52" s="15" t="n"/>
      <c r="C52" s="15" t="n"/>
      <c r="D52" s="15" t="n"/>
      <c r="E52" s="16" t="n"/>
      <c r="F52" s="15" t="n"/>
      <c r="G52" s="16" t="n"/>
      <c r="H52" s="16" t="n"/>
      <c r="I52" s="16" t="n"/>
      <c r="J52" s="15" t="n"/>
      <c r="K52" s="15" t="n"/>
      <c r="L52" s="15" t="n"/>
      <c r="M52" s="17">
        <f>IF(B52="","",IF(AND(K52="Yes",L52="Yes",OR(G52="Perpetual",G52&gt;=TODAY())),"Active-Compliant",IF(OR(K52="No",L52="No"),"Non-Compliant",IF(AND(G52&lt;TODAY(),H52&lt;TODAY(),I52&lt;TODAY()),"Expired","Active-Review"))))</f>
        <v/>
      </c>
      <c r="N52" s="15" t="n"/>
      <c r="O52" s="15" t="n"/>
    </row>
    <row r="53">
      <c r="A53" s="15" t="n"/>
      <c r="B53" s="15" t="n"/>
      <c r="C53" s="15" t="n"/>
      <c r="D53" s="15" t="n"/>
      <c r="E53" s="16" t="n"/>
      <c r="F53" s="15" t="n"/>
      <c r="G53" s="16" t="n"/>
      <c r="H53" s="16" t="n"/>
      <c r="I53" s="16" t="n"/>
      <c r="J53" s="15" t="n"/>
      <c r="K53" s="15" t="n"/>
      <c r="L53" s="15" t="n"/>
      <c r="M53" s="17">
        <f>IF(B53="","",IF(AND(K53="Yes",L53="Yes",OR(G53="Perpetual",G53&gt;=TODAY())),"Active-Compliant",IF(OR(K53="No",L53="No"),"Non-Compliant",IF(AND(G53&lt;TODAY(),H53&lt;TODAY(),I53&lt;TODAY()),"Expired","Active-Review"))))</f>
        <v/>
      </c>
      <c r="N53" s="15" t="n"/>
      <c r="O53" s="15" t="n"/>
    </row>
    <row r="54">
      <c r="A54" s="15" t="n"/>
      <c r="B54" s="15" t="n"/>
      <c r="C54" s="15" t="n"/>
      <c r="D54" s="15" t="n"/>
      <c r="E54" s="16" t="n"/>
      <c r="F54" s="15" t="n"/>
      <c r="G54" s="16" t="n"/>
      <c r="H54" s="16" t="n"/>
      <c r="I54" s="16" t="n"/>
      <c r="J54" s="15" t="n"/>
      <c r="K54" s="15" t="n"/>
      <c r="L54" s="15" t="n"/>
      <c r="M54" s="17">
        <f>IF(B54="","",IF(AND(K54="Yes",L54="Yes",OR(G54="Perpetual",G54&gt;=TODAY())),"Active-Compliant",IF(OR(K54="No",L54="No"),"Non-Compliant",IF(AND(G54&lt;TODAY(),H54&lt;TODAY(),I54&lt;TODAY()),"Expired","Active-Review"))))</f>
        <v/>
      </c>
      <c r="N54" s="15" t="n"/>
      <c r="O54" s="15" t="n"/>
    </row>
  </sheetData>
  <mergeCells count="2">
    <mergeCell ref="A1:O1"/>
    <mergeCell ref="A2:O2"/>
  </mergeCells>
  <dataValidations count="2">
    <dataValidation sqref="F5:F54" showDropDown="0" showInputMessage="0" showErrorMessage="1" allowBlank="1" errorTitle="Invalid Entry" error="Please select from dropdown" type="list">
      <formula1>"Resignation,Termination,Retirement,Contract-End,Mutual-Agreement,Redundancy"</formula1>
    </dataValidation>
    <dataValidation sqref="J5:J54 K5:K54 L5:L54 N5:N54" showDropDown="0" showInputMessage="0" showErrorMessage="1" allowBlank="1" errorTitle="Invalid Entry" error="Please select from dropdown" type="list">
      <formula1>"Yes,No,Partial,N/A"</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N54"/>
  <sheetViews>
    <sheetView showGridLines="0" workbookViewId="0">
      <pane ySplit="3" topLeftCell="A4" activePane="bottomLeft" state="frozen"/>
      <selection pane="bottomLeft" activeCell="A1" sqref="A1"/>
    </sheetView>
  </sheetViews>
  <sheetFormatPr baseColWidth="8" defaultRowHeight="15"/>
  <cols>
    <col width="15" customWidth="1" min="1" max="1"/>
    <col width="25" customWidth="1" min="2" max="2"/>
    <col width="25" customWidth="1" min="3" max="3"/>
    <col width="20" customWidth="1" min="4" max="4"/>
    <col width="30" customWidth="1" min="5" max="5"/>
    <col width="12" customWidth="1" min="6" max="6"/>
    <col width="12" customWidth="1" min="7" max="7"/>
    <col width="15" customWidth="1" min="8" max="8"/>
    <col width="15" customWidth="1" min="9" max="9"/>
    <col width="15" customWidth="1" min="10" max="10"/>
    <col width="15" customWidth="1" min="11" max="11"/>
    <col width="15" customWidth="1" min="12" max="12"/>
    <col width="25" customWidth="1" min="13" max="13"/>
    <col width="40" customWidth="1" min="14" max="14"/>
  </cols>
  <sheetData>
    <row r="1" ht="35" customHeight="1">
      <c r="A1" s="11" t="inlineStr">
        <is>
          <t>CONTRACTOR AGREEMENT ASSESSMENT</t>
        </is>
      </c>
    </row>
    <row r="2">
      <c r="A2" s="12" t="inlineStr">
        <is>
          <t>Third-party, contractor, and vendor agreement security clause verification</t>
        </is>
      </c>
    </row>
    <row r="3">
      <c r="A3" s="13" t="inlineStr">
        <is>
          <t>Contractor ID</t>
        </is>
      </c>
      <c r="B3" s="13" t="inlineStr">
        <is>
          <t>Contractor Name</t>
        </is>
      </c>
      <c r="C3" s="13" t="inlineStr">
        <is>
          <t>Company Name</t>
        </is>
      </c>
      <c r="D3" s="13" t="inlineStr">
        <is>
          <t>Contract Type</t>
        </is>
      </c>
      <c r="E3" s="13" t="inlineStr">
        <is>
          <t>Services Provided</t>
        </is>
      </c>
      <c r="F3" s="13" t="inlineStr">
        <is>
          <t>Contract Start</t>
        </is>
      </c>
      <c r="G3" s="13" t="inlineStr">
        <is>
          <t>Contract End</t>
        </is>
      </c>
      <c r="H3" s="13" t="inlineStr">
        <is>
          <t>NDA In Place</t>
        </is>
      </c>
      <c r="I3" s="13" t="inlineStr">
        <is>
          <t>Security Clauses Present</t>
        </is>
      </c>
      <c r="J3" s="13" t="inlineStr">
        <is>
          <t>Data Access Level</t>
        </is>
      </c>
      <c r="K3" s="13" t="inlineStr">
        <is>
          <t>Background Check</t>
        </is>
      </c>
      <c r="L3" s="13" t="inlineStr">
        <is>
          <t>Compliance Status</t>
        </is>
      </c>
      <c r="M3" s="13" t="inlineStr">
        <is>
          <t>Sponsor Manager</t>
        </is>
      </c>
      <c r="N3" s="13" t="inlineStr">
        <is>
          <t>Notes</t>
        </is>
      </c>
    </row>
    <row r="4">
      <c r="A4" s="14" t="inlineStr">
        <is>
          <t>CON-EXAMPLE</t>
        </is>
      </c>
      <c r="B4" s="14" t="inlineStr">
        <is>
          <t>John Contractor (Example)</t>
        </is>
      </c>
      <c r="C4" s="14" t="inlineStr">
        <is>
          <t>Acme Consulting Ltd</t>
        </is>
      </c>
      <c r="D4" s="14" t="inlineStr">
        <is>
          <t>Statement-of-Work</t>
        </is>
      </c>
      <c r="E4" s="14" t="inlineStr">
        <is>
          <t>IT Security Consulting</t>
        </is>
      </c>
      <c r="F4" s="14" t="inlineStr">
        <is>
          <t>01.01.2025</t>
        </is>
      </c>
      <c r="G4" s="14" t="inlineStr">
        <is>
          <t>31.12.2025</t>
        </is>
      </c>
      <c r="H4" s="14" t="inlineStr">
        <is>
          <t>Yes</t>
        </is>
      </c>
      <c r="I4" s="14" t="inlineStr">
        <is>
          <t>Yes</t>
        </is>
      </c>
      <c r="J4" s="14" t="inlineStr">
        <is>
          <t>Limited</t>
        </is>
      </c>
      <c r="K4" s="14" t="inlineStr">
        <is>
          <t>Yes</t>
        </is>
      </c>
      <c r="L4" s="14" t="inlineStr">
        <is>
          <t>Compliant</t>
        </is>
      </c>
      <c r="M4" s="14" t="inlineStr">
        <is>
          <t>IT Security Manager</t>
        </is>
      </c>
      <c r="N4" s="14" t="inlineStr">
        <is>
          <t>Example entry — replace with your contractor agreement details</t>
        </is>
      </c>
    </row>
    <row r="5">
      <c r="A5" s="15" t="n"/>
      <c r="B5" s="15" t="n"/>
      <c r="C5" s="15" t="n"/>
      <c r="D5" s="15" t="n"/>
      <c r="E5" s="15" t="n"/>
      <c r="F5" s="16" t="n"/>
      <c r="G5" s="16" t="n"/>
      <c r="H5" s="15" t="n"/>
      <c r="I5" s="15" t="n"/>
      <c r="J5" s="15" t="n"/>
      <c r="K5" s="15" t="n"/>
      <c r="L5" s="17">
        <f>IF(B5="","",IF(AND(H5="Yes",I5="Yes",OR(K5="Yes",K5="N/A")),"Compliant",IF(OR(H5="No",I5="No"),"Non-Compliant","Partial")))</f>
        <v/>
      </c>
      <c r="M5" s="15" t="n"/>
      <c r="N5" s="15" t="n"/>
    </row>
    <row r="6">
      <c r="A6" s="15" t="n"/>
      <c r="B6" s="15" t="n"/>
      <c r="C6" s="15" t="n"/>
      <c r="D6" s="15" t="n"/>
      <c r="E6" s="15" t="n"/>
      <c r="F6" s="16" t="n"/>
      <c r="G6" s="16" t="n"/>
      <c r="H6" s="15" t="n"/>
      <c r="I6" s="15" t="n"/>
      <c r="J6" s="15" t="n"/>
      <c r="K6" s="15" t="n"/>
      <c r="L6" s="17">
        <f>IF(B6="","",IF(AND(H6="Yes",I6="Yes",OR(K6="Yes",K6="N/A")),"Compliant",IF(OR(H6="No",I6="No"),"Non-Compliant","Partial")))</f>
        <v/>
      </c>
      <c r="M6" s="15" t="n"/>
      <c r="N6" s="15" t="n"/>
    </row>
    <row r="7">
      <c r="A7" s="15" t="n"/>
      <c r="B7" s="15" t="n"/>
      <c r="C7" s="15" t="n"/>
      <c r="D7" s="15" t="n"/>
      <c r="E7" s="15" t="n"/>
      <c r="F7" s="16" t="n"/>
      <c r="G7" s="16" t="n"/>
      <c r="H7" s="15" t="n"/>
      <c r="I7" s="15" t="n"/>
      <c r="J7" s="15" t="n"/>
      <c r="K7" s="15" t="n"/>
      <c r="L7" s="17">
        <f>IF(B7="","",IF(AND(H7="Yes",I7="Yes",OR(K7="Yes",K7="N/A")),"Compliant",IF(OR(H7="No",I7="No"),"Non-Compliant","Partial")))</f>
        <v/>
      </c>
      <c r="M7" s="15" t="n"/>
      <c r="N7" s="15" t="n"/>
    </row>
    <row r="8">
      <c r="A8" s="15" t="n"/>
      <c r="B8" s="15" t="n"/>
      <c r="C8" s="15" t="n"/>
      <c r="D8" s="15" t="n"/>
      <c r="E8" s="15" t="n"/>
      <c r="F8" s="16" t="n"/>
      <c r="G8" s="16" t="n"/>
      <c r="H8" s="15" t="n"/>
      <c r="I8" s="15" t="n"/>
      <c r="J8" s="15" t="n"/>
      <c r="K8" s="15" t="n"/>
      <c r="L8" s="17">
        <f>IF(B8="","",IF(AND(H8="Yes",I8="Yes",OR(K8="Yes",K8="N/A")),"Compliant",IF(OR(H8="No",I8="No"),"Non-Compliant","Partial")))</f>
        <v/>
      </c>
      <c r="M8" s="15" t="n"/>
      <c r="N8" s="15" t="n"/>
    </row>
    <row r="9">
      <c r="A9" s="15" t="n"/>
      <c r="B9" s="15" t="n"/>
      <c r="C9" s="15" t="n"/>
      <c r="D9" s="15" t="n"/>
      <c r="E9" s="15" t="n"/>
      <c r="F9" s="16" t="n"/>
      <c r="G9" s="16" t="n"/>
      <c r="H9" s="15" t="n"/>
      <c r="I9" s="15" t="n"/>
      <c r="J9" s="15" t="n"/>
      <c r="K9" s="15" t="n"/>
      <c r="L9" s="17">
        <f>IF(B9="","",IF(AND(H9="Yes",I9="Yes",OR(K9="Yes",K9="N/A")),"Compliant",IF(OR(H9="No",I9="No"),"Non-Compliant","Partial")))</f>
        <v/>
      </c>
      <c r="M9" s="15" t="n"/>
      <c r="N9" s="15" t="n"/>
    </row>
    <row r="10">
      <c r="A10" s="15" t="n"/>
      <c r="B10" s="15" t="n"/>
      <c r="C10" s="15" t="n"/>
      <c r="D10" s="15" t="n"/>
      <c r="E10" s="15" t="n"/>
      <c r="F10" s="16" t="n"/>
      <c r="G10" s="16" t="n"/>
      <c r="H10" s="15" t="n"/>
      <c r="I10" s="15" t="n"/>
      <c r="J10" s="15" t="n"/>
      <c r="K10" s="15" t="n"/>
      <c r="L10" s="17">
        <f>IF(B10="","",IF(AND(H10="Yes",I10="Yes",OR(K10="Yes",K10="N/A")),"Compliant",IF(OR(H10="No",I10="No"),"Non-Compliant","Partial")))</f>
        <v/>
      </c>
      <c r="M10" s="15" t="n"/>
      <c r="N10" s="15" t="n"/>
    </row>
    <row r="11">
      <c r="A11" s="15" t="n"/>
      <c r="B11" s="15" t="n"/>
      <c r="C11" s="15" t="n"/>
      <c r="D11" s="15" t="n"/>
      <c r="E11" s="15" t="n"/>
      <c r="F11" s="16" t="n"/>
      <c r="G11" s="16" t="n"/>
      <c r="H11" s="15" t="n"/>
      <c r="I11" s="15" t="n"/>
      <c r="J11" s="15" t="n"/>
      <c r="K11" s="15" t="n"/>
      <c r="L11" s="17">
        <f>IF(B11="","",IF(AND(H11="Yes",I11="Yes",OR(K11="Yes",K11="N/A")),"Compliant",IF(OR(H11="No",I11="No"),"Non-Compliant","Partial")))</f>
        <v/>
      </c>
      <c r="M11" s="15" t="n"/>
      <c r="N11" s="15" t="n"/>
    </row>
    <row r="12">
      <c r="A12" s="15" t="n"/>
      <c r="B12" s="15" t="n"/>
      <c r="C12" s="15" t="n"/>
      <c r="D12" s="15" t="n"/>
      <c r="E12" s="15" t="n"/>
      <c r="F12" s="16" t="n"/>
      <c r="G12" s="16" t="n"/>
      <c r="H12" s="15" t="n"/>
      <c r="I12" s="15" t="n"/>
      <c r="J12" s="15" t="n"/>
      <c r="K12" s="15" t="n"/>
      <c r="L12" s="17">
        <f>IF(B12="","",IF(AND(H12="Yes",I12="Yes",OR(K12="Yes",K12="N/A")),"Compliant",IF(OR(H12="No",I12="No"),"Non-Compliant","Partial")))</f>
        <v/>
      </c>
      <c r="M12" s="15" t="n"/>
      <c r="N12" s="15" t="n"/>
    </row>
    <row r="13">
      <c r="A13" s="15" t="n"/>
      <c r="B13" s="15" t="n"/>
      <c r="C13" s="15" t="n"/>
      <c r="D13" s="15" t="n"/>
      <c r="E13" s="15" t="n"/>
      <c r="F13" s="16" t="n"/>
      <c r="G13" s="16" t="n"/>
      <c r="H13" s="15" t="n"/>
      <c r="I13" s="15" t="n"/>
      <c r="J13" s="15" t="n"/>
      <c r="K13" s="15" t="n"/>
      <c r="L13" s="17">
        <f>IF(B13="","",IF(AND(H13="Yes",I13="Yes",OR(K13="Yes",K13="N/A")),"Compliant",IF(OR(H13="No",I13="No"),"Non-Compliant","Partial")))</f>
        <v/>
      </c>
      <c r="M13" s="15" t="n"/>
      <c r="N13" s="15" t="n"/>
    </row>
    <row r="14">
      <c r="A14" s="15" t="n"/>
      <c r="B14" s="15" t="n"/>
      <c r="C14" s="15" t="n"/>
      <c r="D14" s="15" t="n"/>
      <c r="E14" s="15" t="n"/>
      <c r="F14" s="16" t="n"/>
      <c r="G14" s="16" t="n"/>
      <c r="H14" s="15" t="n"/>
      <c r="I14" s="15" t="n"/>
      <c r="J14" s="15" t="n"/>
      <c r="K14" s="15" t="n"/>
      <c r="L14" s="17">
        <f>IF(B14="","",IF(AND(H14="Yes",I14="Yes",OR(K14="Yes",K14="N/A")),"Compliant",IF(OR(H14="No",I14="No"),"Non-Compliant","Partial")))</f>
        <v/>
      </c>
      <c r="M14" s="15" t="n"/>
      <c r="N14" s="15" t="n"/>
    </row>
    <row r="15">
      <c r="A15" s="15" t="n"/>
      <c r="B15" s="15" t="n"/>
      <c r="C15" s="15" t="n"/>
      <c r="D15" s="15" t="n"/>
      <c r="E15" s="15" t="n"/>
      <c r="F15" s="16" t="n"/>
      <c r="G15" s="16" t="n"/>
      <c r="H15" s="15" t="n"/>
      <c r="I15" s="15" t="n"/>
      <c r="J15" s="15" t="n"/>
      <c r="K15" s="15" t="n"/>
      <c r="L15" s="17">
        <f>IF(B15="","",IF(AND(H15="Yes",I15="Yes",OR(K15="Yes",K15="N/A")),"Compliant",IF(OR(H15="No",I15="No"),"Non-Compliant","Partial")))</f>
        <v/>
      </c>
      <c r="M15" s="15" t="n"/>
      <c r="N15" s="15" t="n"/>
    </row>
    <row r="16">
      <c r="A16" s="15" t="n"/>
      <c r="B16" s="15" t="n"/>
      <c r="C16" s="15" t="n"/>
      <c r="D16" s="15" t="n"/>
      <c r="E16" s="15" t="n"/>
      <c r="F16" s="16" t="n"/>
      <c r="G16" s="16" t="n"/>
      <c r="H16" s="15" t="n"/>
      <c r="I16" s="15" t="n"/>
      <c r="J16" s="15" t="n"/>
      <c r="K16" s="15" t="n"/>
      <c r="L16" s="17">
        <f>IF(B16="","",IF(AND(H16="Yes",I16="Yes",OR(K16="Yes",K16="N/A")),"Compliant",IF(OR(H16="No",I16="No"),"Non-Compliant","Partial")))</f>
        <v/>
      </c>
      <c r="M16" s="15" t="n"/>
      <c r="N16" s="15" t="n"/>
    </row>
    <row r="17">
      <c r="A17" s="15" t="n"/>
      <c r="B17" s="15" t="n"/>
      <c r="C17" s="15" t="n"/>
      <c r="D17" s="15" t="n"/>
      <c r="E17" s="15" t="n"/>
      <c r="F17" s="16" t="n"/>
      <c r="G17" s="16" t="n"/>
      <c r="H17" s="15" t="n"/>
      <c r="I17" s="15" t="n"/>
      <c r="J17" s="15" t="n"/>
      <c r="K17" s="15" t="n"/>
      <c r="L17" s="17">
        <f>IF(B17="","",IF(AND(H17="Yes",I17="Yes",OR(K17="Yes",K17="N/A")),"Compliant",IF(OR(H17="No",I17="No"),"Non-Compliant","Partial")))</f>
        <v/>
      </c>
      <c r="M17" s="15" t="n"/>
      <c r="N17" s="15" t="n"/>
    </row>
    <row r="18">
      <c r="A18" s="15" t="n"/>
      <c r="B18" s="15" t="n"/>
      <c r="C18" s="15" t="n"/>
      <c r="D18" s="15" t="n"/>
      <c r="E18" s="15" t="n"/>
      <c r="F18" s="16" t="n"/>
      <c r="G18" s="16" t="n"/>
      <c r="H18" s="15" t="n"/>
      <c r="I18" s="15" t="n"/>
      <c r="J18" s="15" t="n"/>
      <c r="K18" s="15" t="n"/>
      <c r="L18" s="17">
        <f>IF(B18="","",IF(AND(H18="Yes",I18="Yes",OR(K18="Yes",K18="N/A")),"Compliant",IF(OR(H18="No",I18="No"),"Non-Compliant","Partial")))</f>
        <v/>
      </c>
      <c r="M18" s="15" t="n"/>
      <c r="N18" s="15" t="n"/>
    </row>
    <row r="19">
      <c r="A19" s="15" t="n"/>
      <c r="B19" s="15" t="n"/>
      <c r="C19" s="15" t="n"/>
      <c r="D19" s="15" t="n"/>
      <c r="E19" s="15" t="n"/>
      <c r="F19" s="16" t="n"/>
      <c r="G19" s="16" t="n"/>
      <c r="H19" s="15" t="n"/>
      <c r="I19" s="15" t="n"/>
      <c r="J19" s="15" t="n"/>
      <c r="K19" s="15" t="n"/>
      <c r="L19" s="17">
        <f>IF(B19="","",IF(AND(H19="Yes",I19="Yes",OR(K19="Yes",K19="N/A")),"Compliant",IF(OR(H19="No",I19="No"),"Non-Compliant","Partial")))</f>
        <v/>
      </c>
      <c r="M19" s="15" t="n"/>
      <c r="N19" s="15" t="n"/>
    </row>
    <row r="20">
      <c r="A20" s="15" t="n"/>
      <c r="B20" s="15" t="n"/>
      <c r="C20" s="15" t="n"/>
      <c r="D20" s="15" t="n"/>
      <c r="E20" s="15" t="n"/>
      <c r="F20" s="16" t="n"/>
      <c r="G20" s="16" t="n"/>
      <c r="H20" s="15" t="n"/>
      <c r="I20" s="15" t="n"/>
      <c r="J20" s="15" t="n"/>
      <c r="K20" s="15" t="n"/>
      <c r="L20" s="17">
        <f>IF(B20="","",IF(AND(H20="Yes",I20="Yes",OR(K20="Yes",K20="N/A")),"Compliant",IF(OR(H20="No",I20="No"),"Non-Compliant","Partial")))</f>
        <v/>
      </c>
      <c r="M20" s="15" t="n"/>
      <c r="N20" s="15" t="n"/>
    </row>
    <row r="21">
      <c r="A21" s="15" t="n"/>
      <c r="B21" s="15" t="n"/>
      <c r="C21" s="15" t="n"/>
      <c r="D21" s="15" t="n"/>
      <c r="E21" s="15" t="n"/>
      <c r="F21" s="16" t="n"/>
      <c r="G21" s="16" t="n"/>
      <c r="H21" s="15" t="n"/>
      <c r="I21" s="15" t="n"/>
      <c r="J21" s="15" t="n"/>
      <c r="K21" s="15" t="n"/>
      <c r="L21" s="17">
        <f>IF(B21="","",IF(AND(H21="Yes",I21="Yes",OR(K21="Yes",K21="N/A")),"Compliant",IF(OR(H21="No",I21="No"),"Non-Compliant","Partial")))</f>
        <v/>
      </c>
      <c r="M21" s="15" t="n"/>
      <c r="N21" s="15" t="n"/>
    </row>
    <row r="22">
      <c r="A22" s="15" t="n"/>
      <c r="B22" s="15" t="n"/>
      <c r="C22" s="15" t="n"/>
      <c r="D22" s="15" t="n"/>
      <c r="E22" s="15" t="n"/>
      <c r="F22" s="16" t="n"/>
      <c r="G22" s="16" t="n"/>
      <c r="H22" s="15" t="n"/>
      <c r="I22" s="15" t="n"/>
      <c r="J22" s="15" t="n"/>
      <c r="K22" s="15" t="n"/>
      <c r="L22" s="17">
        <f>IF(B22="","",IF(AND(H22="Yes",I22="Yes",OR(K22="Yes",K22="N/A")),"Compliant",IF(OR(H22="No",I22="No"),"Non-Compliant","Partial")))</f>
        <v/>
      </c>
      <c r="M22" s="15" t="n"/>
      <c r="N22" s="15" t="n"/>
    </row>
    <row r="23">
      <c r="A23" s="15" t="n"/>
      <c r="B23" s="15" t="n"/>
      <c r="C23" s="15" t="n"/>
      <c r="D23" s="15" t="n"/>
      <c r="E23" s="15" t="n"/>
      <c r="F23" s="16" t="n"/>
      <c r="G23" s="16" t="n"/>
      <c r="H23" s="15" t="n"/>
      <c r="I23" s="15" t="n"/>
      <c r="J23" s="15" t="n"/>
      <c r="K23" s="15" t="n"/>
      <c r="L23" s="17">
        <f>IF(B23="","",IF(AND(H23="Yes",I23="Yes",OR(K23="Yes",K23="N/A")),"Compliant",IF(OR(H23="No",I23="No"),"Non-Compliant","Partial")))</f>
        <v/>
      </c>
      <c r="M23" s="15" t="n"/>
      <c r="N23" s="15" t="n"/>
    </row>
    <row r="24">
      <c r="A24" s="15" t="n"/>
      <c r="B24" s="15" t="n"/>
      <c r="C24" s="15" t="n"/>
      <c r="D24" s="15" t="n"/>
      <c r="E24" s="15" t="n"/>
      <c r="F24" s="16" t="n"/>
      <c r="G24" s="16" t="n"/>
      <c r="H24" s="15" t="n"/>
      <c r="I24" s="15" t="n"/>
      <c r="J24" s="15" t="n"/>
      <c r="K24" s="15" t="n"/>
      <c r="L24" s="17">
        <f>IF(B24="","",IF(AND(H24="Yes",I24="Yes",OR(K24="Yes",K24="N/A")),"Compliant",IF(OR(H24="No",I24="No"),"Non-Compliant","Partial")))</f>
        <v/>
      </c>
      <c r="M24" s="15" t="n"/>
      <c r="N24" s="15" t="n"/>
    </row>
    <row r="25">
      <c r="A25" s="15" t="n"/>
      <c r="B25" s="15" t="n"/>
      <c r="C25" s="15" t="n"/>
      <c r="D25" s="15" t="n"/>
      <c r="E25" s="15" t="n"/>
      <c r="F25" s="16" t="n"/>
      <c r="G25" s="16" t="n"/>
      <c r="H25" s="15" t="n"/>
      <c r="I25" s="15" t="n"/>
      <c r="J25" s="15" t="n"/>
      <c r="K25" s="15" t="n"/>
      <c r="L25" s="17">
        <f>IF(B25="","",IF(AND(H25="Yes",I25="Yes",OR(K25="Yes",K25="N/A")),"Compliant",IF(OR(H25="No",I25="No"),"Non-Compliant","Partial")))</f>
        <v/>
      </c>
      <c r="M25" s="15" t="n"/>
      <c r="N25" s="15" t="n"/>
    </row>
    <row r="26">
      <c r="A26" s="15" t="n"/>
      <c r="B26" s="15" t="n"/>
      <c r="C26" s="15" t="n"/>
      <c r="D26" s="15" t="n"/>
      <c r="E26" s="15" t="n"/>
      <c r="F26" s="16" t="n"/>
      <c r="G26" s="16" t="n"/>
      <c r="H26" s="15" t="n"/>
      <c r="I26" s="15" t="n"/>
      <c r="J26" s="15" t="n"/>
      <c r="K26" s="15" t="n"/>
      <c r="L26" s="17">
        <f>IF(B26="","",IF(AND(H26="Yes",I26="Yes",OR(K26="Yes",K26="N/A")),"Compliant",IF(OR(H26="No",I26="No"),"Non-Compliant","Partial")))</f>
        <v/>
      </c>
      <c r="M26" s="15" t="n"/>
      <c r="N26" s="15" t="n"/>
    </row>
    <row r="27">
      <c r="A27" s="15" t="n"/>
      <c r="B27" s="15" t="n"/>
      <c r="C27" s="15" t="n"/>
      <c r="D27" s="15" t="n"/>
      <c r="E27" s="15" t="n"/>
      <c r="F27" s="16" t="n"/>
      <c r="G27" s="16" t="n"/>
      <c r="H27" s="15" t="n"/>
      <c r="I27" s="15" t="n"/>
      <c r="J27" s="15" t="n"/>
      <c r="K27" s="15" t="n"/>
      <c r="L27" s="17">
        <f>IF(B27="","",IF(AND(H27="Yes",I27="Yes",OR(K27="Yes",K27="N/A")),"Compliant",IF(OR(H27="No",I27="No"),"Non-Compliant","Partial")))</f>
        <v/>
      </c>
      <c r="M27" s="15" t="n"/>
      <c r="N27" s="15" t="n"/>
    </row>
    <row r="28">
      <c r="A28" s="15" t="n"/>
      <c r="B28" s="15" t="n"/>
      <c r="C28" s="15" t="n"/>
      <c r="D28" s="15" t="n"/>
      <c r="E28" s="15" t="n"/>
      <c r="F28" s="16" t="n"/>
      <c r="G28" s="16" t="n"/>
      <c r="H28" s="15" t="n"/>
      <c r="I28" s="15" t="n"/>
      <c r="J28" s="15" t="n"/>
      <c r="K28" s="15" t="n"/>
      <c r="L28" s="17">
        <f>IF(B28="","",IF(AND(H28="Yes",I28="Yes",OR(K28="Yes",K28="N/A")),"Compliant",IF(OR(H28="No",I28="No"),"Non-Compliant","Partial")))</f>
        <v/>
      </c>
      <c r="M28" s="15" t="n"/>
      <c r="N28" s="15" t="n"/>
    </row>
    <row r="29">
      <c r="A29" s="15" t="n"/>
      <c r="B29" s="15" t="n"/>
      <c r="C29" s="15" t="n"/>
      <c r="D29" s="15" t="n"/>
      <c r="E29" s="15" t="n"/>
      <c r="F29" s="16" t="n"/>
      <c r="G29" s="16" t="n"/>
      <c r="H29" s="15" t="n"/>
      <c r="I29" s="15" t="n"/>
      <c r="J29" s="15" t="n"/>
      <c r="K29" s="15" t="n"/>
      <c r="L29" s="17">
        <f>IF(B29="","",IF(AND(H29="Yes",I29="Yes",OR(K29="Yes",K29="N/A")),"Compliant",IF(OR(H29="No",I29="No"),"Non-Compliant","Partial")))</f>
        <v/>
      </c>
      <c r="M29" s="15" t="n"/>
      <c r="N29" s="15" t="n"/>
    </row>
    <row r="30">
      <c r="A30" s="15" t="n"/>
      <c r="B30" s="15" t="n"/>
      <c r="C30" s="15" t="n"/>
      <c r="D30" s="15" t="n"/>
      <c r="E30" s="15" t="n"/>
      <c r="F30" s="16" t="n"/>
      <c r="G30" s="16" t="n"/>
      <c r="H30" s="15" t="n"/>
      <c r="I30" s="15" t="n"/>
      <c r="J30" s="15" t="n"/>
      <c r="K30" s="15" t="n"/>
      <c r="L30" s="17">
        <f>IF(B30="","",IF(AND(H30="Yes",I30="Yes",OR(K30="Yes",K30="N/A")),"Compliant",IF(OR(H30="No",I30="No"),"Non-Compliant","Partial")))</f>
        <v/>
      </c>
      <c r="M30" s="15" t="n"/>
      <c r="N30" s="15" t="n"/>
    </row>
    <row r="31">
      <c r="A31" s="15" t="n"/>
      <c r="B31" s="15" t="n"/>
      <c r="C31" s="15" t="n"/>
      <c r="D31" s="15" t="n"/>
      <c r="E31" s="15" t="n"/>
      <c r="F31" s="16" t="n"/>
      <c r="G31" s="16" t="n"/>
      <c r="H31" s="15" t="n"/>
      <c r="I31" s="15" t="n"/>
      <c r="J31" s="15" t="n"/>
      <c r="K31" s="15" t="n"/>
      <c r="L31" s="17">
        <f>IF(B31="","",IF(AND(H31="Yes",I31="Yes",OR(K31="Yes",K31="N/A")),"Compliant",IF(OR(H31="No",I31="No"),"Non-Compliant","Partial")))</f>
        <v/>
      </c>
      <c r="M31" s="15" t="n"/>
      <c r="N31" s="15" t="n"/>
    </row>
    <row r="32">
      <c r="A32" s="15" t="n"/>
      <c r="B32" s="15" t="n"/>
      <c r="C32" s="15" t="n"/>
      <c r="D32" s="15" t="n"/>
      <c r="E32" s="15" t="n"/>
      <c r="F32" s="16" t="n"/>
      <c r="G32" s="16" t="n"/>
      <c r="H32" s="15" t="n"/>
      <c r="I32" s="15" t="n"/>
      <c r="J32" s="15" t="n"/>
      <c r="K32" s="15" t="n"/>
      <c r="L32" s="17">
        <f>IF(B32="","",IF(AND(H32="Yes",I32="Yes",OR(K32="Yes",K32="N/A")),"Compliant",IF(OR(H32="No",I32="No"),"Non-Compliant","Partial")))</f>
        <v/>
      </c>
      <c r="M32" s="15" t="n"/>
      <c r="N32" s="15" t="n"/>
    </row>
    <row r="33">
      <c r="A33" s="15" t="n"/>
      <c r="B33" s="15" t="n"/>
      <c r="C33" s="15" t="n"/>
      <c r="D33" s="15" t="n"/>
      <c r="E33" s="15" t="n"/>
      <c r="F33" s="16" t="n"/>
      <c r="G33" s="16" t="n"/>
      <c r="H33" s="15" t="n"/>
      <c r="I33" s="15" t="n"/>
      <c r="J33" s="15" t="n"/>
      <c r="K33" s="15" t="n"/>
      <c r="L33" s="17">
        <f>IF(B33="","",IF(AND(H33="Yes",I33="Yes",OR(K33="Yes",K33="N/A")),"Compliant",IF(OR(H33="No",I33="No"),"Non-Compliant","Partial")))</f>
        <v/>
      </c>
      <c r="M33" s="15" t="n"/>
      <c r="N33" s="15" t="n"/>
    </row>
    <row r="34">
      <c r="A34" s="15" t="n"/>
      <c r="B34" s="15" t="n"/>
      <c r="C34" s="15" t="n"/>
      <c r="D34" s="15" t="n"/>
      <c r="E34" s="15" t="n"/>
      <c r="F34" s="16" t="n"/>
      <c r="G34" s="16" t="n"/>
      <c r="H34" s="15" t="n"/>
      <c r="I34" s="15" t="n"/>
      <c r="J34" s="15" t="n"/>
      <c r="K34" s="15" t="n"/>
      <c r="L34" s="17">
        <f>IF(B34="","",IF(AND(H34="Yes",I34="Yes",OR(K34="Yes",K34="N/A")),"Compliant",IF(OR(H34="No",I34="No"),"Non-Compliant","Partial")))</f>
        <v/>
      </c>
      <c r="M34" s="15" t="n"/>
      <c r="N34" s="15" t="n"/>
    </row>
    <row r="35">
      <c r="A35" s="15" t="n"/>
      <c r="B35" s="15" t="n"/>
      <c r="C35" s="15" t="n"/>
      <c r="D35" s="15" t="n"/>
      <c r="E35" s="15" t="n"/>
      <c r="F35" s="16" t="n"/>
      <c r="G35" s="16" t="n"/>
      <c r="H35" s="15" t="n"/>
      <c r="I35" s="15" t="n"/>
      <c r="J35" s="15" t="n"/>
      <c r="K35" s="15" t="n"/>
      <c r="L35" s="17">
        <f>IF(B35="","",IF(AND(H35="Yes",I35="Yes",OR(K35="Yes",K35="N/A")),"Compliant",IF(OR(H35="No",I35="No"),"Non-Compliant","Partial")))</f>
        <v/>
      </c>
      <c r="M35" s="15" t="n"/>
      <c r="N35" s="15" t="n"/>
    </row>
    <row r="36">
      <c r="A36" s="15" t="n"/>
      <c r="B36" s="15" t="n"/>
      <c r="C36" s="15" t="n"/>
      <c r="D36" s="15" t="n"/>
      <c r="E36" s="15" t="n"/>
      <c r="F36" s="16" t="n"/>
      <c r="G36" s="16" t="n"/>
      <c r="H36" s="15" t="n"/>
      <c r="I36" s="15" t="n"/>
      <c r="J36" s="15" t="n"/>
      <c r="K36" s="15" t="n"/>
      <c r="L36" s="17">
        <f>IF(B36="","",IF(AND(H36="Yes",I36="Yes",OR(K36="Yes",K36="N/A")),"Compliant",IF(OR(H36="No",I36="No"),"Non-Compliant","Partial")))</f>
        <v/>
      </c>
      <c r="M36" s="15" t="n"/>
      <c r="N36" s="15" t="n"/>
    </row>
    <row r="37">
      <c r="A37" s="15" t="n"/>
      <c r="B37" s="15" t="n"/>
      <c r="C37" s="15" t="n"/>
      <c r="D37" s="15" t="n"/>
      <c r="E37" s="15" t="n"/>
      <c r="F37" s="16" t="n"/>
      <c r="G37" s="16" t="n"/>
      <c r="H37" s="15" t="n"/>
      <c r="I37" s="15" t="n"/>
      <c r="J37" s="15" t="n"/>
      <c r="K37" s="15" t="n"/>
      <c r="L37" s="17">
        <f>IF(B37="","",IF(AND(H37="Yes",I37="Yes",OR(K37="Yes",K37="N/A")),"Compliant",IF(OR(H37="No",I37="No"),"Non-Compliant","Partial")))</f>
        <v/>
      </c>
      <c r="M37" s="15" t="n"/>
      <c r="N37" s="15" t="n"/>
    </row>
    <row r="38">
      <c r="A38" s="15" t="n"/>
      <c r="B38" s="15" t="n"/>
      <c r="C38" s="15" t="n"/>
      <c r="D38" s="15" t="n"/>
      <c r="E38" s="15" t="n"/>
      <c r="F38" s="16" t="n"/>
      <c r="G38" s="16" t="n"/>
      <c r="H38" s="15" t="n"/>
      <c r="I38" s="15" t="n"/>
      <c r="J38" s="15" t="n"/>
      <c r="K38" s="15" t="n"/>
      <c r="L38" s="17">
        <f>IF(B38="","",IF(AND(H38="Yes",I38="Yes",OR(K38="Yes",K38="N/A")),"Compliant",IF(OR(H38="No",I38="No"),"Non-Compliant","Partial")))</f>
        <v/>
      </c>
      <c r="M38" s="15" t="n"/>
      <c r="N38" s="15" t="n"/>
    </row>
    <row r="39">
      <c r="A39" s="15" t="n"/>
      <c r="B39" s="15" t="n"/>
      <c r="C39" s="15" t="n"/>
      <c r="D39" s="15" t="n"/>
      <c r="E39" s="15" t="n"/>
      <c r="F39" s="16" t="n"/>
      <c r="G39" s="16" t="n"/>
      <c r="H39" s="15" t="n"/>
      <c r="I39" s="15" t="n"/>
      <c r="J39" s="15" t="n"/>
      <c r="K39" s="15" t="n"/>
      <c r="L39" s="17">
        <f>IF(B39="","",IF(AND(H39="Yes",I39="Yes",OR(K39="Yes",K39="N/A")),"Compliant",IF(OR(H39="No",I39="No"),"Non-Compliant","Partial")))</f>
        <v/>
      </c>
      <c r="M39" s="15" t="n"/>
      <c r="N39" s="15" t="n"/>
    </row>
    <row r="40">
      <c r="A40" s="15" t="n"/>
      <c r="B40" s="15" t="n"/>
      <c r="C40" s="15" t="n"/>
      <c r="D40" s="15" t="n"/>
      <c r="E40" s="15" t="n"/>
      <c r="F40" s="16" t="n"/>
      <c r="G40" s="16" t="n"/>
      <c r="H40" s="15" t="n"/>
      <c r="I40" s="15" t="n"/>
      <c r="J40" s="15" t="n"/>
      <c r="K40" s="15" t="n"/>
      <c r="L40" s="17">
        <f>IF(B40="","",IF(AND(H40="Yes",I40="Yes",OR(K40="Yes",K40="N/A")),"Compliant",IF(OR(H40="No",I40="No"),"Non-Compliant","Partial")))</f>
        <v/>
      </c>
      <c r="M40" s="15" t="n"/>
      <c r="N40" s="15" t="n"/>
    </row>
    <row r="41">
      <c r="A41" s="15" t="n"/>
      <c r="B41" s="15" t="n"/>
      <c r="C41" s="15" t="n"/>
      <c r="D41" s="15" t="n"/>
      <c r="E41" s="15" t="n"/>
      <c r="F41" s="16" t="n"/>
      <c r="G41" s="16" t="n"/>
      <c r="H41" s="15" t="n"/>
      <c r="I41" s="15" t="n"/>
      <c r="J41" s="15" t="n"/>
      <c r="K41" s="15" t="n"/>
      <c r="L41" s="17">
        <f>IF(B41="","",IF(AND(H41="Yes",I41="Yes",OR(K41="Yes",K41="N/A")),"Compliant",IF(OR(H41="No",I41="No"),"Non-Compliant","Partial")))</f>
        <v/>
      </c>
      <c r="M41" s="15" t="n"/>
      <c r="N41" s="15" t="n"/>
    </row>
    <row r="42">
      <c r="A42" s="15" t="n"/>
      <c r="B42" s="15" t="n"/>
      <c r="C42" s="15" t="n"/>
      <c r="D42" s="15" t="n"/>
      <c r="E42" s="15" t="n"/>
      <c r="F42" s="16" t="n"/>
      <c r="G42" s="16" t="n"/>
      <c r="H42" s="15" t="n"/>
      <c r="I42" s="15" t="n"/>
      <c r="J42" s="15" t="n"/>
      <c r="K42" s="15" t="n"/>
      <c r="L42" s="17">
        <f>IF(B42="","",IF(AND(H42="Yes",I42="Yes",OR(K42="Yes",K42="N/A")),"Compliant",IF(OR(H42="No",I42="No"),"Non-Compliant","Partial")))</f>
        <v/>
      </c>
      <c r="M42" s="15" t="n"/>
      <c r="N42" s="15" t="n"/>
    </row>
    <row r="43">
      <c r="A43" s="15" t="n"/>
      <c r="B43" s="15" t="n"/>
      <c r="C43" s="15" t="n"/>
      <c r="D43" s="15" t="n"/>
      <c r="E43" s="15" t="n"/>
      <c r="F43" s="16" t="n"/>
      <c r="G43" s="16" t="n"/>
      <c r="H43" s="15" t="n"/>
      <c r="I43" s="15" t="n"/>
      <c r="J43" s="15" t="n"/>
      <c r="K43" s="15" t="n"/>
      <c r="L43" s="17">
        <f>IF(B43="","",IF(AND(H43="Yes",I43="Yes",OR(K43="Yes",K43="N/A")),"Compliant",IF(OR(H43="No",I43="No"),"Non-Compliant","Partial")))</f>
        <v/>
      </c>
      <c r="M43" s="15" t="n"/>
      <c r="N43" s="15" t="n"/>
    </row>
    <row r="44">
      <c r="A44" s="15" t="n"/>
      <c r="B44" s="15" t="n"/>
      <c r="C44" s="15" t="n"/>
      <c r="D44" s="15" t="n"/>
      <c r="E44" s="15" t="n"/>
      <c r="F44" s="16" t="n"/>
      <c r="G44" s="16" t="n"/>
      <c r="H44" s="15" t="n"/>
      <c r="I44" s="15" t="n"/>
      <c r="J44" s="15" t="n"/>
      <c r="K44" s="15" t="n"/>
      <c r="L44" s="17">
        <f>IF(B44="","",IF(AND(H44="Yes",I44="Yes",OR(K44="Yes",K44="N/A")),"Compliant",IF(OR(H44="No",I44="No"),"Non-Compliant","Partial")))</f>
        <v/>
      </c>
      <c r="M44" s="15" t="n"/>
      <c r="N44" s="15" t="n"/>
    </row>
    <row r="45">
      <c r="A45" s="15" t="n"/>
      <c r="B45" s="15" t="n"/>
      <c r="C45" s="15" t="n"/>
      <c r="D45" s="15" t="n"/>
      <c r="E45" s="15" t="n"/>
      <c r="F45" s="16" t="n"/>
      <c r="G45" s="16" t="n"/>
      <c r="H45" s="15" t="n"/>
      <c r="I45" s="15" t="n"/>
      <c r="J45" s="15" t="n"/>
      <c r="K45" s="15" t="n"/>
      <c r="L45" s="17">
        <f>IF(B45="","",IF(AND(H45="Yes",I45="Yes",OR(K45="Yes",K45="N/A")),"Compliant",IF(OR(H45="No",I45="No"),"Non-Compliant","Partial")))</f>
        <v/>
      </c>
      <c r="M45" s="15" t="n"/>
      <c r="N45" s="15" t="n"/>
    </row>
    <row r="46">
      <c r="A46" s="15" t="n"/>
      <c r="B46" s="15" t="n"/>
      <c r="C46" s="15" t="n"/>
      <c r="D46" s="15" t="n"/>
      <c r="E46" s="15" t="n"/>
      <c r="F46" s="16" t="n"/>
      <c r="G46" s="16" t="n"/>
      <c r="H46" s="15" t="n"/>
      <c r="I46" s="15" t="n"/>
      <c r="J46" s="15" t="n"/>
      <c r="K46" s="15" t="n"/>
      <c r="L46" s="17">
        <f>IF(B46="","",IF(AND(H46="Yes",I46="Yes",OR(K46="Yes",K46="N/A")),"Compliant",IF(OR(H46="No",I46="No"),"Non-Compliant","Partial")))</f>
        <v/>
      </c>
      <c r="M46" s="15" t="n"/>
      <c r="N46" s="15" t="n"/>
    </row>
    <row r="47">
      <c r="A47" s="15" t="n"/>
      <c r="B47" s="15" t="n"/>
      <c r="C47" s="15" t="n"/>
      <c r="D47" s="15" t="n"/>
      <c r="E47" s="15" t="n"/>
      <c r="F47" s="16" t="n"/>
      <c r="G47" s="16" t="n"/>
      <c r="H47" s="15" t="n"/>
      <c r="I47" s="15" t="n"/>
      <c r="J47" s="15" t="n"/>
      <c r="K47" s="15" t="n"/>
      <c r="L47" s="17">
        <f>IF(B47="","",IF(AND(H47="Yes",I47="Yes",OR(K47="Yes",K47="N/A")),"Compliant",IF(OR(H47="No",I47="No"),"Non-Compliant","Partial")))</f>
        <v/>
      </c>
      <c r="M47" s="15" t="n"/>
      <c r="N47" s="15" t="n"/>
    </row>
    <row r="48">
      <c r="A48" s="15" t="n"/>
      <c r="B48" s="15" t="n"/>
      <c r="C48" s="15" t="n"/>
      <c r="D48" s="15" t="n"/>
      <c r="E48" s="15" t="n"/>
      <c r="F48" s="16" t="n"/>
      <c r="G48" s="16" t="n"/>
      <c r="H48" s="15" t="n"/>
      <c r="I48" s="15" t="n"/>
      <c r="J48" s="15" t="n"/>
      <c r="K48" s="15" t="n"/>
      <c r="L48" s="17">
        <f>IF(B48="","",IF(AND(H48="Yes",I48="Yes",OR(K48="Yes",K48="N/A")),"Compliant",IF(OR(H48="No",I48="No"),"Non-Compliant","Partial")))</f>
        <v/>
      </c>
      <c r="M48" s="15" t="n"/>
      <c r="N48" s="15" t="n"/>
    </row>
    <row r="49">
      <c r="A49" s="15" t="n"/>
      <c r="B49" s="15" t="n"/>
      <c r="C49" s="15" t="n"/>
      <c r="D49" s="15" t="n"/>
      <c r="E49" s="15" t="n"/>
      <c r="F49" s="16" t="n"/>
      <c r="G49" s="16" t="n"/>
      <c r="H49" s="15" t="n"/>
      <c r="I49" s="15" t="n"/>
      <c r="J49" s="15" t="n"/>
      <c r="K49" s="15" t="n"/>
      <c r="L49" s="17">
        <f>IF(B49="","",IF(AND(H49="Yes",I49="Yes",OR(K49="Yes",K49="N/A")),"Compliant",IF(OR(H49="No",I49="No"),"Non-Compliant","Partial")))</f>
        <v/>
      </c>
      <c r="M49" s="15" t="n"/>
      <c r="N49" s="15" t="n"/>
    </row>
    <row r="50">
      <c r="A50" s="15" t="n"/>
      <c r="B50" s="15" t="n"/>
      <c r="C50" s="15" t="n"/>
      <c r="D50" s="15" t="n"/>
      <c r="E50" s="15" t="n"/>
      <c r="F50" s="16" t="n"/>
      <c r="G50" s="16" t="n"/>
      <c r="H50" s="15" t="n"/>
      <c r="I50" s="15" t="n"/>
      <c r="J50" s="15" t="n"/>
      <c r="K50" s="15" t="n"/>
      <c r="L50" s="17">
        <f>IF(B50="","",IF(AND(H50="Yes",I50="Yes",OR(K50="Yes",K50="N/A")),"Compliant",IF(OR(H50="No",I50="No"),"Non-Compliant","Partial")))</f>
        <v/>
      </c>
      <c r="M50" s="15" t="n"/>
      <c r="N50" s="15" t="n"/>
    </row>
    <row r="51">
      <c r="A51" s="15" t="n"/>
      <c r="B51" s="15" t="n"/>
      <c r="C51" s="15" t="n"/>
      <c r="D51" s="15" t="n"/>
      <c r="E51" s="15" t="n"/>
      <c r="F51" s="16" t="n"/>
      <c r="G51" s="16" t="n"/>
      <c r="H51" s="15" t="n"/>
      <c r="I51" s="15" t="n"/>
      <c r="J51" s="15" t="n"/>
      <c r="K51" s="15" t="n"/>
      <c r="L51" s="17">
        <f>IF(B51="","",IF(AND(H51="Yes",I51="Yes",OR(K51="Yes",K51="N/A")),"Compliant",IF(OR(H51="No",I51="No"),"Non-Compliant","Partial")))</f>
        <v/>
      </c>
      <c r="M51" s="15" t="n"/>
      <c r="N51" s="15" t="n"/>
    </row>
    <row r="52">
      <c r="A52" s="15" t="n"/>
      <c r="B52" s="15" t="n"/>
      <c r="C52" s="15" t="n"/>
      <c r="D52" s="15" t="n"/>
      <c r="E52" s="15" t="n"/>
      <c r="F52" s="16" t="n"/>
      <c r="G52" s="16" t="n"/>
      <c r="H52" s="15" t="n"/>
      <c r="I52" s="15" t="n"/>
      <c r="J52" s="15" t="n"/>
      <c r="K52" s="15" t="n"/>
      <c r="L52" s="17">
        <f>IF(B52="","",IF(AND(H52="Yes",I52="Yes",OR(K52="Yes",K52="N/A")),"Compliant",IF(OR(H52="No",I52="No"),"Non-Compliant","Partial")))</f>
        <v/>
      </c>
      <c r="M52" s="15" t="n"/>
      <c r="N52" s="15" t="n"/>
    </row>
    <row r="53">
      <c r="A53" s="15" t="n"/>
      <c r="B53" s="15" t="n"/>
      <c r="C53" s="15" t="n"/>
      <c r="D53" s="15" t="n"/>
      <c r="E53" s="15" t="n"/>
      <c r="F53" s="16" t="n"/>
      <c r="G53" s="16" t="n"/>
      <c r="H53" s="15" t="n"/>
      <c r="I53" s="15" t="n"/>
      <c r="J53" s="15" t="n"/>
      <c r="K53" s="15" t="n"/>
      <c r="L53" s="17">
        <f>IF(B53="","",IF(AND(H53="Yes",I53="Yes",OR(K53="Yes",K53="N/A")),"Compliant",IF(OR(H53="No",I53="No"),"Non-Compliant","Partial")))</f>
        <v/>
      </c>
      <c r="M53" s="15" t="n"/>
      <c r="N53" s="15" t="n"/>
    </row>
    <row r="54">
      <c r="A54" s="15" t="n"/>
      <c r="B54" s="15" t="n"/>
      <c r="C54" s="15" t="n"/>
      <c r="D54" s="15" t="n"/>
      <c r="E54" s="15" t="n"/>
      <c r="F54" s="16" t="n"/>
      <c r="G54" s="16" t="n"/>
      <c r="H54" s="15" t="n"/>
      <c r="I54" s="15" t="n"/>
      <c r="J54" s="15" t="n"/>
      <c r="K54" s="15" t="n"/>
      <c r="L54" s="17">
        <f>IF(B54="","",IF(AND(H54="Yes",I54="Yes",OR(K54="Yes",K54="N/A")),"Compliant",IF(OR(H54="No",I54="No"),"Non-Compliant","Partial")))</f>
        <v/>
      </c>
      <c r="M54" s="15" t="n"/>
      <c r="N54" s="15" t="n"/>
    </row>
  </sheetData>
  <mergeCells count="2">
    <mergeCell ref="A2:N2"/>
    <mergeCell ref="A1:N1"/>
  </mergeCells>
  <dataValidations count="3">
    <dataValidation sqref="D5:D54" showDropDown="0" showInputMessage="0" showErrorMessage="1" allowBlank="1" errorTitle="Invalid Entry" error="Please select from dropdown" type="list">
      <formula1>"Statement-of-Work,Master-Services-Agreement,Professional-Services,Staffing-Agency,Consulting-Agreement,Vendor-Contract,Other"</formula1>
    </dataValidation>
    <dataValidation sqref="H5:H54 I5:I54 K5:K54" showDropDown="0" showInputMessage="0" showErrorMessage="1" allowBlank="1" errorTitle="Invalid Entry" error="Please select from dropdown" type="list">
      <formula1>"Yes,No,Partial,N/A"</formula1>
    </dataValidation>
    <dataValidation sqref="J5:J54" showDropDown="0" showInputMessage="0" showErrorMessage="1" allowBlank="1" errorTitle="Invalid Entry" error="Please select from dropdown" type="list">
      <formula1>"None,Limited,Standard,Privileged,Admin"</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P104"/>
  <sheetViews>
    <sheetView showGridLines="0" workbookViewId="0">
      <pane ySplit="3" topLeftCell="A4" activePane="bottomLeft" state="frozen"/>
      <selection pane="bottomLeft" activeCell="A1" sqref="A1"/>
    </sheetView>
  </sheetViews>
  <sheetFormatPr baseColWidth="8" defaultRowHeight="15"/>
  <cols>
    <col width="12" customWidth="1" min="1" max="1"/>
    <col width="25" customWidth="1" min="2" max="2"/>
    <col width="25" customWidth="1" min="3" max="3"/>
    <col width="20" customWidth="1" min="4" max="4"/>
    <col width="50" customWidth="1" min="5" max="5"/>
    <col width="15" customWidth="1" min="6" max="6"/>
    <col width="40" customWidth="1" min="7" max="7"/>
    <col width="15" customWidth="1" min="8" max="8"/>
    <col width="50" customWidth="1" min="9" max="9"/>
    <col width="25" customWidth="1" min="10" max="10"/>
    <col width="15" customWidth="1" min="11" max="11"/>
    <col width="15" customWidth="1" min="12" max="12"/>
    <col width="30" customWidth="1" min="13" max="13"/>
    <col width="15" customWidth="1" min="14" max="14"/>
    <col width="30" customWidth="1" min="15" max="15"/>
    <col width="40" customWidth="1" min="16" max="16"/>
  </cols>
  <sheetData>
    <row r="1" ht="35" customHeight="1">
      <c r="A1" s="11" t="inlineStr">
        <is>
          <t>GAP ANALYSIS</t>
        </is>
      </c>
    </row>
    <row r="2">
      <c r="A2" s="12" t="inlineStr">
        <is>
          <t>Consolidated gaps from all employment contract assessment domains</t>
        </is>
      </c>
    </row>
    <row r="4">
      <c r="A4" s="13" t="inlineStr">
        <is>
          <t>Gap ID</t>
        </is>
      </c>
      <c r="B4" s="13" t="inlineStr">
        <is>
          <t>Source Sheet</t>
        </is>
      </c>
      <c r="C4" s="13" t="inlineStr">
        <is>
          <t>Affected Entity</t>
        </is>
      </c>
      <c r="D4" s="13" t="inlineStr">
        <is>
          <t>Gap Category</t>
        </is>
      </c>
      <c r="E4" s="13" t="inlineStr">
        <is>
          <t>Gap Description</t>
        </is>
      </c>
      <c r="F4" s="13" t="inlineStr">
        <is>
          <t>Risk Level</t>
        </is>
      </c>
      <c r="G4" s="13" t="inlineStr">
        <is>
          <t>Impact Assessment</t>
        </is>
      </c>
      <c r="H4" s="13" t="inlineStr">
        <is>
          <t>Affected Personnel Count</t>
        </is>
      </c>
      <c r="I4" s="13" t="inlineStr">
        <is>
          <t>Remediation Action</t>
        </is>
      </c>
      <c r="J4" s="13" t="inlineStr">
        <is>
          <t>Responsible Party</t>
        </is>
      </c>
      <c r="K4" s="13" t="inlineStr">
        <is>
          <t>Target Completion Date</t>
        </is>
      </c>
      <c r="L4" s="13" t="inlineStr">
        <is>
          <t>Estimated Effort</t>
        </is>
      </c>
      <c r="M4" s="13" t="inlineStr">
        <is>
          <t>Dependencies</t>
        </is>
      </c>
      <c r="N4" s="13" t="inlineStr">
        <is>
          <t>Status</t>
        </is>
      </c>
      <c r="O4" s="13" t="inlineStr">
        <is>
          <t>Completion Evidence</t>
        </is>
      </c>
      <c r="P4" s="13" t="inlineStr">
        <is>
          <t>Risk Acceptance</t>
        </is>
      </c>
    </row>
    <row r="5">
      <c r="A5" s="17">
        <f>IF(B5&lt;&gt;"",TEXT(ROW()-4,"GAP-000"),"")</f>
        <v/>
      </c>
      <c r="B5" s="15" t="n"/>
      <c r="C5" s="15" t="n"/>
      <c r="D5" s="15" t="n"/>
      <c r="E5" s="15" t="n"/>
      <c r="F5" s="15" t="n"/>
      <c r="G5" s="15" t="n"/>
      <c r="H5" s="15" t="n"/>
      <c r="I5" s="15" t="n"/>
      <c r="J5" s="15" t="n"/>
      <c r="K5" s="16" t="n"/>
      <c r="L5" s="15" t="n"/>
      <c r="M5" s="15" t="n"/>
      <c r="N5" s="15" t="n"/>
      <c r="O5" s="15" t="n"/>
      <c r="P5" s="15" t="n"/>
    </row>
    <row r="6">
      <c r="A6" s="17">
        <f>IF(B6&lt;&gt;"",TEXT(ROW()-4,"GAP-000"),"")</f>
        <v/>
      </c>
      <c r="B6" s="15" t="n"/>
      <c r="C6" s="15" t="n"/>
      <c r="D6" s="15" t="n"/>
      <c r="E6" s="15" t="n"/>
      <c r="F6" s="15" t="n"/>
      <c r="G6" s="15" t="n"/>
      <c r="H6" s="15" t="n"/>
      <c r="I6" s="15" t="n"/>
      <c r="J6" s="15" t="n"/>
      <c r="K6" s="16" t="n"/>
      <c r="L6" s="15" t="n"/>
      <c r="M6" s="15" t="n"/>
      <c r="N6" s="15" t="n"/>
      <c r="O6" s="15" t="n"/>
      <c r="P6" s="15" t="n"/>
    </row>
    <row r="7">
      <c r="A7" s="17">
        <f>IF(B7&lt;&gt;"",TEXT(ROW()-4,"GAP-000"),"")</f>
        <v/>
      </c>
      <c r="B7" s="15" t="n"/>
      <c r="C7" s="15" t="n"/>
      <c r="D7" s="15" t="n"/>
      <c r="E7" s="15" t="n"/>
      <c r="F7" s="15" t="n"/>
      <c r="G7" s="15" t="n"/>
      <c r="H7" s="15" t="n"/>
      <c r="I7" s="15" t="n"/>
      <c r="J7" s="15" t="n"/>
      <c r="K7" s="16" t="n"/>
      <c r="L7" s="15" t="n"/>
      <c r="M7" s="15" t="n"/>
      <c r="N7" s="15" t="n"/>
      <c r="O7" s="15" t="n"/>
      <c r="P7" s="15" t="n"/>
    </row>
    <row r="8">
      <c r="A8" s="17">
        <f>IF(B8&lt;&gt;"",TEXT(ROW()-4,"GAP-000"),"")</f>
        <v/>
      </c>
      <c r="B8" s="15" t="n"/>
      <c r="C8" s="15" t="n"/>
      <c r="D8" s="15" t="n"/>
      <c r="E8" s="15" t="n"/>
      <c r="F8" s="15" t="n"/>
      <c r="G8" s="15" t="n"/>
      <c r="H8" s="15" t="n"/>
      <c r="I8" s="15" t="n"/>
      <c r="J8" s="15" t="n"/>
      <c r="K8" s="16" t="n"/>
      <c r="L8" s="15" t="n"/>
      <c r="M8" s="15" t="n"/>
      <c r="N8" s="15" t="n"/>
      <c r="O8" s="15" t="n"/>
      <c r="P8" s="15" t="n"/>
    </row>
    <row r="9">
      <c r="A9" s="17">
        <f>IF(B9&lt;&gt;"",TEXT(ROW()-4,"GAP-000"),"")</f>
        <v/>
      </c>
      <c r="B9" s="15" t="n"/>
      <c r="C9" s="15" t="n"/>
      <c r="D9" s="15" t="n"/>
      <c r="E9" s="15" t="n"/>
      <c r="F9" s="15" t="n"/>
      <c r="G9" s="15" t="n"/>
      <c r="H9" s="15" t="n"/>
      <c r="I9" s="15" t="n"/>
      <c r="J9" s="15" t="n"/>
      <c r="K9" s="16" t="n"/>
      <c r="L9" s="15" t="n"/>
      <c r="M9" s="15" t="n"/>
      <c r="N9" s="15" t="n"/>
      <c r="O9" s="15" t="n"/>
      <c r="P9" s="15" t="n"/>
    </row>
    <row r="10">
      <c r="A10" s="17">
        <f>IF(B10&lt;&gt;"",TEXT(ROW()-4,"GAP-000"),"")</f>
        <v/>
      </c>
      <c r="B10" s="15" t="n"/>
      <c r="C10" s="15" t="n"/>
      <c r="D10" s="15" t="n"/>
      <c r="E10" s="15" t="n"/>
      <c r="F10" s="15" t="n"/>
      <c r="G10" s="15" t="n"/>
      <c r="H10" s="15" t="n"/>
      <c r="I10" s="15" t="n"/>
      <c r="J10" s="15" t="n"/>
      <c r="K10" s="16" t="n"/>
      <c r="L10" s="15" t="n"/>
      <c r="M10" s="15" t="n"/>
      <c r="N10" s="15" t="n"/>
      <c r="O10" s="15" t="n"/>
      <c r="P10" s="15" t="n"/>
    </row>
    <row r="11">
      <c r="A11" s="17">
        <f>IF(B11&lt;&gt;"",TEXT(ROW()-4,"GAP-000"),"")</f>
        <v/>
      </c>
      <c r="B11" s="15" t="n"/>
      <c r="C11" s="15" t="n"/>
      <c r="D11" s="15" t="n"/>
      <c r="E11" s="15" t="n"/>
      <c r="F11" s="15" t="n"/>
      <c r="G11" s="15" t="n"/>
      <c r="H11" s="15" t="n"/>
      <c r="I11" s="15" t="n"/>
      <c r="J11" s="15" t="n"/>
      <c r="K11" s="16" t="n"/>
      <c r="L11" s="15" t="n"/>
      <c r="M11" s="15" t="n"/>
      <c r="N11" s="15" t="n"/>
      <c r="O11" s="15" t="n"/>
      <c r="P11" s="15" t="n"/>
    </row>
    <row r="12">
      <c r="A12" s="17">
        <f>IF(B12&lt;&gt;"",TEXT(ROW()-4,"GAP-000"),"")</f>
        <v/>
      </c>
      <c r="B12" s="15" t="n"/>
      <c r="C12" s="15" t="n"/>
      <c r="D12" s="15" t="n"/>
      <c r="E12" s="15" t="n"/>
      <c r="F12" s="15" t="n"/>
      <c r="G12" s="15" t="n"/>
      <c r="H12" s="15" t="n"/>
      <c r="I12" s="15" t="n"/>
      <c r="J12" s="15" t="n"/>
      <c r="K12" s="16" t="n"/>
      <c r="L12" s="15" t="n"/>
      <c r="M12" s="15" t="n"/>
      <c r="N12" s="15" t="n"/>
      <c r="O12" s="15" t="n"/>
      <c r="P12" s="15" t="n"/>
    </row>
    <row r="13">
      <c r="A13" s="17">
        <f>IF(B13&lt;&gt;"",TEXT(ROW()-4,"GAP-000"),"")</f>
        <v/>
      </c>
      <c r="B13" s="15" t="n"/>
      <c r="C13" s="15" t="n"/>
      <c r="D13" s="15" t="n"/>
      <c r="E13" s="15" t="n"/>
      <c r="F13" s="15" t="n"/>
      <c r="G13" s="15" t="n"/>
      <c r="H13" s="15" t="n"/>
      <c r="I13" s="15" t="n"/>
      <c r="J13" s="15" t="n"/>
      <c r="K13" s="16" t="n"/>
      <c r="L13" s="15" t="n"/>
      <c r="M13" s="15" t="n"/>
      <c r="N13" s="15" t="n"/>
      <c r="O13" s="15" t="n"/>
      <c r="P13" s="15" t="n"/>
    </row>
    <row r="14">
      <c r="A14" s="17">
        <f>IF(B14&lt;&gt;"",TEXT(ROW()-4,"GAP-000"),"")</f>
        <v/>
      </c>
      <c r="B14" s="15" t="n"/>
      <c r="C14" s="15" t="n"/>
      <c r="D14" s="15" t="n"/>
      <c r="E14" s="15" t="n"/>
      <c r="F14" s="15" t="n"/>
      <c r="G14" s="15" t="n"/>
      <c r="H14" s="15" t="n"/>
      <c r="I14" s="15" t="n"/>
      <c r="J14" s="15" t="n"/>
      <c r="K14" s="16" t="n"/>
      <c r="L14" s="15" t="n"/>
      <c r="M14" s="15" t="n"/>
      <c r="N14" s="15" t="n"/>
      <c r="O14" s="15" t="n"/>
      <c r="P14" s="15" t="n"/>
    </row>
    <row r="15">
      <c r="A15" s="17">
        <f>IF(B15&lt;&gt;"",TEXT(ROW()-4,"GAP-000"),"")</f>
        <v/>
      </c>
      <c r="B15" s="15" t="n"/>
      <c r="C15" s="15" t="n"/>
      <c r="D15" s="15" t="n"/>
      <c r="E15" s="15" t="n"/>
      <c r="F15" s="15" t="n"/>
      <c r="G15" s="15" t="n"/>
      <c r="H15" s="15" t="n"/>
      <c r="I15" s="15" t="n"/>
      <c r="J15" s="15" t="n"/>
      <c r="K15" s="16" t="n"/>
      <c r="L15" s="15" t="n"/>
      <c r="M15" s="15" t="n"/>
      <c r="N15" s="15" t="n"/>
      <c r="O15" s="15" t="n"/>
      <c r="P15" s="15" t="n"/>
    </row>
    <row r="16">
      <c r="A16" s="17">
        <f>IF(B16&lt;&gt;"",TEXT(ROW()-4,"GAP-000"),"")</f>
        <v/>
      </c>
      <c r="B16" s="15" t="n"/>
      <c r="C16" s="15" t="n"/>
      <c r="D16" s="15" t="n"/>
      <c r="E16" s="15" t="n"/>
      <c r="F16" s="15" t="n"/>
      <c r="G16" s="15" t="n"/>
      <c r="H16" s="15" t="n"/>
      <c r="I16" s="15" t="n"/>
      <c r="J16" s="15" t="n"/>
      <c r="K16" s="16" t="n"/>
      <c r="L16" s="15" t="n"/>
      <c r="M16" s="15" t="n"/>
      <c r="N16" s="15" t="n"/>
      <c r="O16" s="15" t="n"/>
      <c r="P16" s="15" t="n"/>
    </row>
    <row r="17">
      <c r="A17" s="17">
        <f>IF(B17&lt;&gt;"",TEXT(ROW()-4,"GAP-000"),"")</f>
        <v/>
      </c>
      <c r="B17" s="15" t="n"/>
      <c r="C17" s="15" t="n"/>
      <c r="D17" s="15" t="n"/>
      <c r="E17" s="15" t="n"/>
      <c r="F17" s="15" t="n"/>
      <c r="G17" s="15" t="n"/>
      <c r="H17" s="15" t="n"/>
      <c r="I17" s="15" t="n"/>
      <c r="J17" s="15" t="n"/>
      <c r="K17" s="16" t="n"/>
      <c r="L17" s="15" t="n"/>
      <c r="M17" s="15" t="n"/>
      <c r="N17" s="15" t="n"/>
      <c r="O17" s="15" t="n"/>
      <c r="P17" s="15" t="n"/>
    </row>
    <row r="18">
      <c r="A18" s="17">
        <f>IF(B18&lt;&gt;"",TEXT(ROW()-4,"GAP-000"),"")</f>
        <v/>
      </c>
      <c r="B18" s="15" t="n"/>
      <c r="C18" s="15" t="n"/>
      <c r="D18" s="15" t="n"/>
      <c r="E18" s="15" t="n"/>
      <c r="F18" s="15" t="n"/>
      <c r="G18" s="15" t="n"/>
      <c r="H18" s="15" t="n"/>
      <c r="I18" s="15" t="n"/>
      <c r="J18" s="15" t="n"/>
      <c r="K18" s="16" t="n"/>
      <c r="L18" s="15" t="n"/>
      <c r="M18" s="15" t="n"/>
      <c r="N18" s="15" t="n"/>
      <c r="O18" s="15" t="n"/>
      <c r="P18" s="15" t="n"/>
    </row>
    <row r="19">
      <c r="A19" s="17">
        <f>IF(B19&lt;&gt;"",TEXT(ROW()-4,"GAP-000"),"")</f>
        <v/>
      </c>
      <c r="B19" s="15" t="n"/>
      <c r="C19" s="15" t="n"/>
      <c r="D19" s="15" t="n"/>
      <c r="E19" s="15" t="n"/>
      <c r="F19" s="15" t="n"/>
      <c r="G19" s="15" t="n"/>
      <c r="H19" s="15" t="n"/>
      <c r="I19" s="15" t="n"/>
      <c r="J19" s="15" t="n"/>
      <c r="K19" s="16" t="n"/>
      <c r="L19" s="15" t="n"/>
      <c r="M19" s="15" t="n"/>
      <c r="N19" s="15" t="n"/>
      <c r="O19" s="15" t="n"/>
      <c r="P19" s="15" t="n"/>
    </row>
    <row r="20">
      <c r="A20" s="17">
        <f>IF(B20&lt;&gt;"",TEXT(ROW()-4,"GAP-000"),"")</f>
        <v/>
      </c>
      <c r="B20" s="15" t="n"/>
      <c r="C20" s="15" t="n"/>
      <c r="D20" s="15" t="n"/>
      <c r="E20" s="15" t="n"/>
      <c r="F20" s="15" t="n"/>
      <c r="G20" s="15" t="n"/>
      <c r="H20" s="15" t="n"/>
      <c r="I20" s="15" t="n"/>
      <c r="J20" s="15" t="n"/>
      <c r="K20" s="16" t="n"/>
      <c r="L20" s="15" t="n"/>
      <c r="M20" s="15" t="n"/>
      <c r="N20" s="15" t="n"/>
      <c r="O20" s="15" t="n"/>
      <c r="P20" s="15" t="n"/>
    </row>
    <row r="21">
      <c r="A21" s="17">
        <f>IF(B21&lt;&gt;"",TEXT(ROW()-4,"GAP-000"),"")</f>
        <v/>
      </c>
      <c r="B21" s="15" t="n"/>
      <c r="C21" s="15" t="n"/>
      <c r="D21" s="15" t="n"/>
      <c r="E21" s="15" t="n"/>
      <c r="F21" s="15" t="n"/>
      <c r="G21" s="15" t="n"/>
      <c r="H21" s="15" t="n"/>
      <c r="I21" s="15" t="n"/>
      <c r="J21" s="15" t="n"/>
      <c r="K21" s="16" t="n"/>
      <c r="L21" s="15" t="n"/>
      <c r="M21" s="15" t="n"/>
      <c r="N21" s="15" t="n"/>
      <c r="O21" s="15" t="n"/>
      <c r="P21" s="15" t="n"/>
    </row>
    <row r="22">
      <c r="A22" s="17">
        <f>IF(B22&lt;&gt;"",TEXT(ROW()-4,"GAP-000"),"")</f>
        <v/>
      </c>
      <c r="B22" s="15" t="n"/>
      <c r="C22" s="15" t="n"/>
      <c r="D22" s="15" t="n"/>
      <c r="E22" s="15" t="n"/>
      <c r="F22" s="15" t="n"/>
      <c r="G22" s="15" t="n"/>
      <c r="H22" s="15" t="n"/>
      <c r="I22" s="15" t="n"/>
      <c r="J22" s="15" t="n"/>
      <c r="K22" s="16" t="n"/>
      <c r="L22" s="15" t="n"/>
      <c r="M22" s="15" t="n"/>
      <c r="N22" s="15" t="n"/>
      <c r="O22" s="15" t="n"/>
      <c r="P22" s="15" t="n"/>
    </row>
    <row r="23">
      <c r="A23" s="17">
        <f>IF(B23&lt;&gt;"",TEXT(ROW()-4,"GAP-000"),"")</f>
        <v/>
      </c>
      <c r="B23" s="15" t="n"/>
      <c r="C23" s="15" t="n"/>
      <c r="D23" s="15" t="n"/>
      <c r="E23" s="15" t="n"/>
      <c r="F23" s="15" t="n"/>
      <c r="G23" s="15" t="n"/>
      <c r="H23" s="15" t="n"/>
      <c r="I23" s="15" t="n"/>
      <c r="J23" s="15" t="n"/>
      <c r="K23" s="16" t="n"/>
      <c r="L23" s="15" t="n"/>
      <c r="M23" s="15" t="n"/>
      <c r="N23" s="15" t="n"/>
      <c r="O23" s="15" t="n"/>
      <c r="P23" s="15" t="n"/>
    </row>
    <row r="24">
      <c r="A24" s="17">
        <f>IF(B24&lt;&gt;"",TEXT(ROW()-4,"GAP-000"),"")</f>
        <v/>
      </c>
      <c r="B24" s="15" t="n"/>
      <c r="C24" s="15" t="n"/>
      <c r="D24" s="15" t="n"/>
      <c r="E24" s="15" t="n"/>
      <c r="F24" s="15" t="n"/>
      <c r="G24" s="15" t="n"/>
      <c r="H24" s="15" t="n"/>
      <c r="I24" s="15" t="n"/>
      <c r="J24" s="15" t="n"/>
      <c r="K24" s="16" t="n"/>
      <c r="L24" s="15" t="n"/>
      <c r="M24" s="15" t="n"/>
      <c r="N24" s="15" t="n"/>
      <c r="O24" s="15" t="n"/>
      <c r="P24" s="15" t="n"/>
    </row>
    <row r="25">
      <c r="A25" s="17">
        <f>IF(B25&lt;&gt;"",TEXT(ROW()-4,"GAP-000"),"")</f>
        <v/>
      </c>
      <c r="B25" s="15" t="n"/>
      <c r="C25" s="15" t="n"/>
      <c r="D25" s="15" t="n"/>
      <c r="E25" s="15" t="n"/>
      <c r="F25" s="15" t="n"/>
      <c r="G25" s="15" t="n"/>
      <c r="H25" s="15" t="n"/>
      <c r="I25" s="15" t="n"/>
      <c r="J25" s="15" t="n"/>
      <c r="K25" s="16" t="n"/>
      <c r="L25" s="15" t="n"/>
      <c r="M25" s="15" t="n"/>
      <c r="N25" s="15" t="n"/>
      <c r="O25" s="15" t="n"/>
      <c r="P25" s="15" t="n"/>
    </row>
    <row r="26">
      <c r="A26" s="17">
        <f>IF(B26&lt;&gt;"",TEXT(ROW()-4,"GAP-000"),"")</f>
        <v/>
      </c>
      <c r="B26" s="15" t="n"/>
      <c r="C26" s="15" t="n"/>
      <c r="D26" s="15" t="n"/>
      <c r="E26" s="15" t="n"/>
      <c r="F26" s="15" t="n"/>
      <c r="G26" s="15" t="n"/>
      <c r="H26" s="15" t="n"/>
      <c r="I26" s="15" t="n"/>
      <c r="J26" s="15" t="n"/>
      <c r="K26" s="16" t="n"/>
      <c r="L26" s="15" t="n"/>
      <c r="M26" s="15" t="n"/>
      <c r="N26" s="15" t="n"/>
      <c r="O26" s="15" t="n"/>
      <c r="P26" s="15" t="n"/>
    </row>
    <row r="27">
      <c r="A27" s="17">
        <f>IF(B27&lt;&gt;"",TEXT(ROW()-4,"GAP-000"),"")</f>
        <v/>
      </c>
      <c r="B27" s="15" t="n"/>
      <c r="C27" s="15" t="n"/>
      <c r="D27" s="15" t="n"/>
      <c r="E27" s="15" t="n"/>
      <c r="F27" s="15" t="n"/>
      <c r="G27" s="15" t="n"/>
      <c r="H27" s="15" t="n"/>
      <c r="I27" s="15" t="n"/>
      <c r="J27" s="15" t="n"/>
      <c r="K27" s="16" t="n"/>
      <c r="L27" s="15" t="n"/>
      <c r="M27" s="15" t="n"/>
      <c r="N27" s="15" t="n"/>
      <c r="O27" s="15" t="n"/>
      <c r="P27" s="15" t="n"/>
    </row>
    <row r="28">
      <c r="A28" s="17">
        <f>IF(B28&lt;&gt;"",TEXT(ROW()-4,"GAP-000"),"")</f>
        <v/>
      </c>
      <c r="B28" s="15" t="n"/>
      <c r="C28" s="15" t="n"/>
      <c r="D28" s="15" t="n"/>
      <c r="E28" s="15" t="n"/>
      <c r="F28" s="15" t="n"/>
      <c r="G28" s="15" t="n"/>
      <c r="H28" s="15" t="n"/>
      <c r="I28" s="15" t="n"/>
      <c r="J28" s="15" t="n"/>
      <c r="K28" s="16" t="n"/>
      <c r="L28" s="15" t="n"/>
      <c r="M28" s="15" t="n"/>
      <c r="N28" s="15" t="n"/>
      <c r="O28" s="15" t="n"/>
      <c r="P28" s="15" t="n"/>
    </row>
    <row r="29">
      <c r="A29" s="17">
        <f>IF(B29&lt;&gt;"",TEXT(ROW()-4,"GAP-000"),"")</f>
        <v/>
      </c>
      <c r="B29" s="15" t="n"/>
      <c r="C29" s="15" t="n"/>
      <c r="D29" s="15" t="n"/>
      <c r="E29" s="15" t="n"/>
      <c r="F29" s="15" t="n"/>
      <c r="G29" s="15" t="n"/>
      <c r="H29" s="15" t="n"/>
      <c r="I29" s="15" t="n"/>
      <c r="J29" s="15" t="n"/>
      <c r="K29" s="16" t="n"/>
      <c r="L29" s="15" t="n"/>
      <c r="M29" s="15" t="n"/>
      <c r="N29" s="15" t="n"/>
      <c r="O29" s="15" t="n"/>
      <c r="P29" s="15" t="n"/>
    </row>
    <row r="30">
      <c r="A30" s="17">
        <f>IF(B30&lt;&gt;"",TEXT(ROW()-4,"GAP-000"),"")</f>
        <v/>
      </c>
      <c r="B30" s="15" t="n"/>
      <c r="C30" s="15" t="n"/>
      <c r="D30" s="15" t="n"/>
      <c r="E30" s="15" t="n"/>
      <c r="F30" s="15" t="n"/>
      <c r="G30" s="15" t="n"/>
      <c r="H30" s="15" t="n"/>
      <c r="I30" s="15" t="n"/>
      <c r="J30" s="15" t="n"/>
      <c r="K30" s="16" t="n"/>
      <c r="L30" s="15" t="n"/>
      <c r="M30" s="15" t="n"/>
      <c r="N30" s="15" t="n"/>
      <c r="O30" s="15" t="n"/>
      <c r="P30" s="15" t="n"/>
    </row>
    <row r="31">
      <c r="A31" s="17">
        <f>IF(B31&lt;&gt;"",TEXT(ROW()-4,"GAP-000"),"")</f>
        <v/>
      </c>
      <c r="B31" s="15" t="n"/>
      <c r="C31" s="15" t="n"/>
      <c r="D31" s="15" t="n"/>
      <c r="E31" s="15" t="n"/>
      <c r="F31" s="15" t="n"/>
      <c r="G31" s="15" t="n"/>
      <c r="H31" s="15" t="n"/>
      <c r="I31" s="15" t="n"/>
      <c r="J31" s="15" t="n"/>
      <c r="K31" s="16" t="n"/>
      <c r="L31" s="15" t="n"/>
      <c r="M31" s="15" t="n"/>
      <c r="N31" s="15" t="n"/>
      <c r="O31" s="15" t="n"/>
      <c r="P31" s="15" t="n"/>
    </row>
    <row r="32">
      <c r="A32" s="17">
        <f>IF(B32&lt;&gt;"",TEXT(ROW()-4,"GAP-000"),"")</f>
        <v/>
      </c>
      <c r="B32" s="15" t="n"/>
      <c r="C32" s="15" t="n"/>
      <c r="D32" s="15" t="n"/>
      <c r="E32" s="15" t="n"/>
      <c r="F32" s="15" t="n"/>
      <c r="G32" s="15" t="n"/>
      <c r="H32" s="15" t="n"/>
      <c r="I32" s="15" t="n"/>
      <c r="J32" s="15" t="n"/>
      <c r="K32" s="16" t="n"/>
      <c r="L32" s="15" t="n"/>
      <c r="M32" s="15" t="n"/>
      <c r="N32" s="15" t="n"/>
      <c r="O32" s="15" t="n"/>
      <c r="P32" s="15" t="n"/>
    </row>
    <row r="33">
      <c r="A33" s="17">
        <f>IF(B33&lt;&gt;"",TEXT(ROW()-4,"GAP-000"),"")</f>
        <v/>
      </c>
      <c r="B33" s="15" t="n"/>
      <c r="C33" s="15" t="n"/>
      <c r="D33" s="15" t="n"/>
      <c r="E33" s="15" t="n"/>
      <c r="F33" s="15" t="n"/>
      <c r="G33" s="15" t="n"/>
      <c r="H33" s="15" t="n"/>
      <c r="I33" s="15" t="n"/>
      <c r="J33" s="15" t="n"/>
      <c r="K33" s="16" t="n"/>
      <c r="L33" s="15" t="n"/>
      <c r="M33" s="15" t="n"/>
      <c r="N33" s="15" t="n"/>
      <c r="O33" s="15" t="n"/>
      <c r="P33" s="15" t="n"/>
    </row>
    <row r="34">
      <c r="A34" s="17">
        <f>IF(B34&lt;&gt;"",TEXT(ROW()-4,"GAP-000"),"")</f>
        <v/>
      </c>
      <c r="B34" s="15" t="n"/>
      <c r="C34" s="15" t="n"/>
      <c r="D34" s="15" t="n"/>
      <c r="E34" s="15" t="n"/>
      <c r="F34" s="15" t="n"/>
      <c r="G34" s="15" t="n"/>
      <c r="H34" s="15" t="n"/>
      <c r="I34" s="15" t="n"/>
      <c r="J34" s="15" t="n"/>
      <c r="K34" s="16" t="n"/>
      <c r="L34" s="15" t="n"/>
      <c r="M34" s="15" t="n"/>
      <c r="N34" s="15" t="n"/>
      <c r="O34" s="15" t="n"/>
      <c r="P34" s="15" t="n"/>
    </row>
    <row r="35">
      <c r="A35" s="17">
        <f>IF(B35&lt;&gt;"",TEXT(ROW()-4,"GAP-000"),"")</f>
        <v/>
      </c>
      <c r="B35" s="15" t="n"/>
      <c r="C35" s="15" t="n"/>
      <c r="D35" s="15" t="n"/>
      <c r="E35" s="15" t="n"/>
      <c r="F35" s="15" t="n"/>
      <c r="G35" s="15" t="n"/>
      <c r="H35" s="15" t="n"/>
      <c r="I35" s="15" t="n"/>
      <c r="J35" s="15" t="n"/>
      <c r="K35" s="16" t="n"/>
      <c r="L35" s="15" t="n"/>
      <c r="M35" s="15" t="n"/>
      <c r="N35" s="15" t="n"/>
      <c r="O35" s="15" t="n"/>
      <c r="P35" s="15" t="n"/>
    </row>
    <row r="36">
      <c r="A36" s="17">
        <f>IF(B36&lt;&gt;"",TEXT(ROW()-4,"GAP-000"),"")</f>
        <v/>
      </c>
      <c r="B36" s="15" t="n"/>
      <c r="C36" s="15" t="n"/>
      <c r="D36" s="15" t="n"/>
      <c r="E36" s="15" t="n"/>
      <c r="F36" s="15" t="n"/>
      <c r="G36" s="15" t="n"/>
      <c r="H36" s="15" t="n"/>
      <c r="I36" s="15" t="n"/>
      <c r="J36" s="15" t="n"/>
      <c r="K36" s="16" t="n"/>
      <c r="L36" s="15" t="n"/>
      <c r="M36" s="15" t="n"/>
      <c r="N36" s="15" t="n"/>
      <c r="O36" s="15" t="n"/>
      <c r="P36" s="15" t="n"/>
    </row>
    <row r="37">
      <c r="A37" s="17">
        <f>IF(B37&lt;&gt;"",TEXT(ROW()-4,"GAP-000"),"")</f>
        <v/>
      </c>
      <c r="B37" s="15" t="n"/>
      <c r="C37" s="15" t="n"/>
      <c r="D37" s="15" t="n"/>
      <c r="E37" s="15" t="n"/>
      <c r="F37" s="15" t="n"/>
      <c r="G37" s="15" t="n"/>
      <c r="H37" s="15" t="n"/>
      <c r="I37" s="15" t="n"/>
      <c r="J37" s="15" t="n"/>
      <c r="K37" s="16" t="n"/>
      <c r="L37" s="15" t="n"/>
      <c r="M37" s="15" t="n"/>
      <c r="N37" s="15" t="n"/>
      <c r="O37" s="15" t="n"/>
      <c r="P37" s="15" t="n"/>
    </row>
    <row r="38">
      <c r="A38" s="17">
        <f>IF(B38&lt;&gt;"",TEXT(ROW()-4,"GAP-000"),"")</f>
        <v/>
      </c>
      <c r="B38" s="15" t="n"/>
      <c r="C38" s="15" t="n"/>
      <c r="D38" s="15" t="n"/>
      <c r="E38" s="15" t="n"/>
      <c r="F38" s="15" t="n"/>
      <c r="G38" s="15" t="n"/>
      <c r="H38" s="15" t="n"/>
      <c r="I38" s="15" t="n"/>
      <c r="J38" s="15" t="n"/>
      <c r="K38" s="16" t="n"/>
      <c r="L38" s="15" t="n"/>
      <c r="M38" s="15" t="n"/>
      <c r="N38" s="15" t="n"/>
      <c r="O38" s="15" t="n"/>
      <c r="P38" s="15" t="n"/>
    </row>
    <row r="39">
      <c r="A39" s="17">
        <f>IF(B39&lt;&gt;"",TEXT(ROW()-4,"GAP-000"),"")</f>
        <v/>
      </c>
      <c r="B39" s="15" t="n"/>
      <c r="C39" s="15" t="n"/>
      <c r="D39" s="15" t="n"/>
      <c r="E39" s="15" t="n"/>
      <c r="F39" s="15" t="n"/>
      <c r="G39" s="15" t="n"/>
      <c r="H39" s="15" t="n"/>
      <c r="I39" s="15" t="n"/>
      <c r="J39" s="15" t="n"/>
      <c r="K39" s="16" t="n"/>
      <c r="L39" s="15" t="n"/>
      <c r="M39" s="15" t="n"/>
      <c r="N39" s="15" t="n"/>
      <c r="O39" s="15" t="n"/>
      <c r="P39" s="15" t="n"/>
    </row>
    <row r="40">
      <c r="A40" s="17">
        <f>IF(B40&lt;&gt;"",TEXT(ROW()-4,"GAP-000"),"")</f>
        <v/>
      </c>
      <c r="B40" s="15" t="n"/>
      <c r="C40" s="15" t="n"/>
      <c r="D40" s="15" t="n"/>
      <c r="E40" s="15" t="n"/>
      <c r="F40" s="15" t="n"/>
      <c r="G40" s="15" t="n"/>
      <c r="H40" s="15" t="n"/>
      <c r="I40" s="15" t="n"/>
      <c r="J40" s="15" t="n"/>
      <c r="K40" s="16" t="n"/>
      <c r="L40" s="15" t="n"/>
      <c r="M40" s="15" t="n"/>
      <c r="N40" s="15" t="n"/>
      <c r="O40" s="15" t="n"/>
      <c r="P40" s="15" t="n"/>
    </row>
    <row r="41">
      <c r="A41" s="17">
        <f>IF(B41&lt;&gt;"",TEXT(ROW()-4,"GAP-000"),"")</f>
        <v/>
      </c>
      <c r="B41" s="15" t="n"/>
      <c r="C41" s="15" t="n"/>
      <c r="D41" s="15" t="n"/>
      <c r="E41" s="15" t="n"/>
      <c r="F41" s="15" t="n"/>
      <c r="G41" s="15" t="n"/>
      <c r="H41" s="15" t="n"/>
      <c r="I41" s="15" t="n"/>
      <c r="J41" s="15" t="n"/>
      <c r="K41" s="16" t="n"/>
      <c r="L41" s="15" t="n"/>
      <c r="M41" s="15" t="n"/>
      <c r="N41" s="15" t="n"/>
      <c r="O41" s="15" t="n"/>
      <c r="P41" s="15" t="n"/>
    </row>
    <row r="42">
      <c r="A42" s="17">
        <f>IF(B42&lt;&gt;"",TEXT(ROW()-4,"GAP-000"),"")</f>
        <v/>
      </c>
      <c r="B42" s="15" t="n"/>
      <c r="C42" s="15" t="n"/>
      <c r="D42" s="15" t="n"/>
      <c r="E42" s="15" t="n"/>
      <c r="F42" s="15" t="n"/>
      <c r="G42" s="15" t="n"/>
      <c r="H42" s="15" t="n"/>
      <c r="I42" s="15" t="n"/>
      <c r="J42" s="15" t="n"/>
      <c r="K42" s="16" t="n"/>
      <c r="L42" s="15" t="n"/>
      <c r="M42" s="15" t="n"/>
      <c r="N42" s="15" t="n"/>
      <c r="O42" s="15" t="n"/>
      <c r="P42" s="15" t="n"/>
    </row>
    <row r="43">
      <c r="A43" s="17">
        <f>IF(B43&lt;&gt;"",TEXT(ROW()-4,"GAP-000"),"")</f>
        <v/>
      </c>
      <c r="B43" s="15" t="n"/>
      <c r="C43" s="15" t="n"/>
      <c r="D43" s="15" t="n"/>
      <c r="E43" s="15" t="n"/>
      <c r="F43" s="15" t="n"/>
      <c r="G43" s="15" t="n"/>
      <c r="H43" s="15" t="n"/>
      <c r="I43" s="15" t="n"/>
      <c r="J43" s="15" t="n"/>
      <c r="K43" s="16" t="n"/>
      <c r="L43" s="15" t="n"/>
      <c r="M43" s="15" t="n"/>
      <c r="N43" s="15" t="n"/>
      <c r="O43" s="15" t="n"/>
      <c r="P43" s="15" t="n"/>
    </row>
    <row r="44">
      <c r="A44" s="17">
        <f>IF(B44&lt;&gt;"",TEXT(ROW()-4,"GAP-000"),"")</f>
        <v/>
      </c>
      <c r="B44" s="15" t="n"/>
      <c r="C44" s="15" t="n"/>
      <c r="D44" s="15" t="n"/>
      <c r="E44" s="15" t="n"/>
      <c r="F44" s="15" t="n"/>
      <c r="G44" s="15" t="n"/>
      <c r="H44" s="15" t="n"/>
      <c r="I44" s="15" t="n"/>
      <c r="J44" s="15" t="n"/>
      <c r="K44" s="16" t="n"/>
      <c r="L44" s="15" t="n"/>
      <c r="M44" s="15" t="n"/>
      <c r="N44" s="15" t="n"/>
      <c r="O44" s="15" t="n"/>
      <c r="P44" s="15" t="n"/>
    </row>
    <row r="45">
      <c r="A45" s="17">
        <f>IF(B45&lt;&gt;"",TEXT(ROW()-4,"GAP-000"),"")</f>
        <v/>
      </c>
      <c r="B45" s="15" t="n"/>
      <c r="C45" s="15" t="n"/>
      <c r="D45" s="15" t="n"/>
      <c r="E45" s="15" t="n"/>
      <c r="F45" s="15" t="n"/>
      <c r="G45" s="15" t="n"/>
      <c r="H45" s="15" t="n"/>
      <c r="I45" s="15" t="n"/>
      <c r="J45" s="15" t="n"/>
      <c r="K45" s="16" t="n"/>
      <c r="L45" s="15" t="n"/>
      <c r="M45" s="15" t="n"/>
      <c r="N45" s="15" t="n"/>
      <c r="O45" s="15" t="n"/>
      <c r="P45" s="15" t="n"/>
    </row>
    <row r="46">
      <c r="A46" s="17">
        <f>IF(B46&lt;&gt;"",TEXT(ROW()-4,"GAP-000"),"")</f>
        <v/>
      </c>
      <c r="B46" s="15" t="n"/>
      <c r="C46" s="15" t="n"/>
      <c r="D46" s="15" t="n"/>
      <c r="E46" s="15" t="n"/>
      <c r="F46" s="15" t="n"/>
      <c r="G46" s="15" t="n"/>
      <c r="H46" s="15" t="n"/>
      <c r="I46" s="15" t="n"/>
      <c r="J46" s="15" t="n"/>
      <c r="K46" s="16" t="n"/>
      <c r="L46" s="15" t="n"/>
      <c r="M46" s="15" t="n"/>
      <c r="N46" s="15" t="n"/>
      <c r="O46" s="15" t="n"/>
      <c r="P46" s="15" t="n"/>
    </row>
    <row r="47">
      <c r="A47" s="17">
        <f>IF(B47&lt;&gt;"",TEXT(ROW()-4,"GAP-000"),"")</f>
        <v/>
      </c>
      <c r="B47" s="15" t="n"/>
      <c r="C47" s="15" t="n"/>
      <c r="D47" s="15" t="n"/>
      <c r="E47" s="15" t="n"/>
      <c r="F47" s="15" t="n"/>
      <c r="G47" s="15" t="n"/>
      <c r="H47" s="15" t="n"/>
      <c r="I47" s="15" t="n"/>
      <c r="J47" s="15" t="n"/>
      <c r="K47" s="16" t="n"/>
      <c r="L47" s="15" t="n"/>
      <c r="M47" s="15" t="n"/>
      <c r="N47" s="15" t="n"/>
      <c r="O47" s="15" t="n"/>
      <c r="P47" s="15" t="n"/>
    </row>
    <row r="48">
      <c r="A48" s="17">
        <f>IF(B48&lt;&gt;"",TEXT(ROW()-4,"GAP-000"),"")</f>
        <v/>
      </c>
      <c r="B48" s="15" t="n"/>
      <c r="C48" s="15" t="n"/>
      <c r="D48" s="15" t="n"/>
      <c r="E48" s="15" t="n"/>
      <c r="F48" s="15" t="n"/>
      <c r="G48" s="15" t="n"/>
      <c r="H48" s="15" t="n"/>
      <c r="I48" s="15" t="n"/>
      <c r="J48" s="15" t="n"/>
      <c r="K48" s="16" t="n"/>
      <c r="L48" s="15" t="n"/>
      <c r="M48" s="15" t="n"/>
      <c r="N48" s="15" t="n"/>
      <c r="O48" s="15" t="n"/>
      <c r="P48" s="15" t="n"/>
    </row>
    <row r="49">
      <c r="A49" s="17">
        <f>IF(B49&lt;&gt;"",TEXT(ROW()-4,"GAP-000"),"")</f>
        <v/>
      </c>
      <c r="B49" s="15" t="n"/>
      <c r="C49" s="15" t="n"/>
      <c r="D49" s="15" t="n"/>
      <c r="E49" s="15" t="n"/>
      <c r="F49" s="15" t="n"/>
      <c r="G49" s="15" t="n"/>
      <c r="H49" s="15" t="n"/>
      <c r="I49" s="15" t="n"/>
      <c r="J49" s="15" t="n"/>
      <c r="K49" s="16" t="n"/>
      <c r="L49" s="15" t="n"/>
      <c r="M49" s="15" t="n"/>
      <c r="N49" s="15" t="n"/>
      <c r="O49" s="15" t="n"/>
      <c r="P49" s="15" t="n"/>
    </row>
    <row r="50">
      <c r="A50" s="17">
        <f>IF(B50&lt;&gt;"",TEXT(ROW()-4,"GAP-000"),"")</f>
        <v/>
      </c>
      <c r="B50" s="15" t="n"/>
      <c r="C50" s="15" t="n"/>
      <c r="D50" s="15" t="n"/>
      <c r="E50" s="15" t="n"/>
      <c r="F50" s="15" t="n"/>
      <c r="G50" s="15" t="n"/>
      <c r="H50" s="15" t="n"/>
      <c r="I50" s="15" t="n"/>
      <c r="J50" s="15" t="n"/>
      <c r="K50" s="16" t="n"/>
      <c r="L50" s="15" t="n"/>
      <c r="M50" s="15" t="n"/>
      <c r="N50" s="15" t="n"/>
      <c r="O50" s="15" t="n"/>
      <c r="P50" s="15" t="n"/>
    </row>
    <row r="51">
      <c r="A51" s="17">
        <f>IF(B51&lt;&gt;"",TEXT(ROW()-4,"GAP-000"),"")</f>
        <v/>
      </c>
      <c r="B51" s="15" t="n"/>
      <c r="C51" s="15" t="n"/>
      <c r="D51" s="15" t="n"/>
      <c r="E51" s="15" t="n"/>
      <c r="F51" s="15" t="n"/>
      <c r="G51" s="15" t="n"/>
      <c r="H51" s="15" t="n"/>
      <c r="I51" s="15" t="n"/>
      <c r="J51" s="15" t="n"/>
      <c r="K51" s="16" t="n"/>
      <c r="L51" s="15" t="n"/>
      <c r="M51" s="15" t="n"/>
      <c r="N51" s="15" t="n"/>
      <c r="O51" s="15" t="n"/>
      <c r="P51" s="15" t="n"/>
    </row>
    <row r="52">
      <c r="A52" s="17">
        <f>IF(B52&lt;&gt;"",TEXT(ROW()-4,"GAP-000"),"")</f>
        <v/>
      </c>
      <c r="B52" s="15" t="n"/>
      <c r="C52" s="15" t="n"/>
      <c r="D52" s="15" t="n"/>
      <c r="E52" s="15" t="n"/>
      <c r="F52" s="15" t="n"/>
      <c r="G52" s="15" t="n"/>
      <c r="H52" s="15" t="n"/>
      <c r="I52" s="15" t="n"/>
      <c r="J52" s="15" t="n"/>
      <c r="K52" s="16" t="n"/>
      <c r="L52" s="15" t="n"/>
      <c r="M52" s="15" t="n"/>
      <c r="N52" s="15" t="n"/>
      <c r="O52" s="15" t="n"/>
      <c r="P52" s="15" t="n"/>
    </row>
    <row r="53">
      <c r="A53" s="17">
        <f>IF(B53&lt;&gt;"",TEXT(ROW()-4,"GAP-000"),"")</f>
        <v/>
      </c>
      <c r="B53" s="15" t="n"/>
      <c r="C53" s="15" t="n"/>
      <c r="D53" s="15" t="n"/>
      <c r="E53" s="15" t="n"/>
      <c r="F53" s="15" t="n"/>
      <c r="G53" s="15" t="n"/>
      <c r="H53" s="15" t="n"/>
      <c r="I53" s="15" t="n"/>
      <c r="J53" s="15" t="n"/>
      <c r="K53" s="16" t="n"/>
      <c r="L53" s="15" t="n"/>
      <c r="M53" s="15" t="n"/>
      <c r="N53" s="15" t="n"/>
      <c r="O53" s="15" t="n"/>
      <c r="P53" s="15" t="n"/>
    </row>
    <row r="54">
      <c r="A54" s="17">
        <f>IF(B54&lt;&gt;"",TEXT(ROW()-4,"GAP-000"),"")</f>
        <v/>
      </c>
      <c r="B54" s="15" t="n"/>
      <c r="C54" s="15" t="n"/>
      <c r="D54" s="15" t="n"/>
      <c r="E54" s="15" t="n"/>
      <c r="F54" s="15" t="n"/>
      <c r="G54" s="15" t="n"/>
      <c r="H54" s="15" t="n"/>
      <c r="I54" s="15" t="n"/>
      <c r="J54" s="15" t="n"/>
      <c r="K54" s="16" t="n"/>
      <c r="L54" s="15" t="n"/>
      <c r="M54" s="15" t="n"/>
      <c r="N54" s="15" t="n"/>
      <c r="O54" s="15" t="n"/>
      <c r="P54" s="15" t="n"/>
    </row>
    <row r="55">
      <c r="A55" s="17">
        <f>IF(B55&lt;&gt;"",TEXT(ROW()-4,"GAP-000"),"")</f>
        <v/>
      </c>
      <c r="B55" s="15" t="n"/>
      <c r="C55" s="15" t="n"/>
      <c r="D55" s="15" t="n"/>
      <c r="E55" s="15" t="n"/>
      <c r="F55" s="15" t="n"/>
      <c r="G55" s="15" t="n"/>
      <c r="H55" s="15" t="n"/>
      <c r="I55" s="15" t="n"/>
      <c r="J55" s="15" t="n"/>
      <c r="K55" s="16" t="n"/>
      <c r="L55" s="15" t="n"/>
      <c r="M55" s="15" t="n"/>
      <c r="N55" s="15" t="n"/>
      <c r="O55" s="15" t="n"/>
      <c r="P55" s="15" t="n"/>
    </row>
    <row r="56">
      <c r="A56" s="17">
        <f>IF(B56&lt;&gt;"",TEXT(ROW()-4,"GAP-000"),"")</f>
        <v/>
      </c>
      <c r="B56" s="15" t="n"/>
      <c r="C56" s="15" t="n"/>
      <c r="D56" s="15" t="n"/>
      <c r="E56" s="15" t="n"/>
      <c r="F56" s="15" t="n"/>
      <c r="G56" s="15" t="n"/>
      <c r="H56" s="15" t="n"/>
      <c r="I56" s="15" t="n"/>
      <c r="J56" s="15" t="n"/>
      <c r="K56" s="16" t="n"/>
      <c r="L56" s="15" t="n"/>
      <c r="M56" s="15" t="n"/>
      <c r="N56" s="15" t="n"/>
      <c r="O56" s="15" t="n"/>
      <c r="P56" s="15" t="n"/>
    </row>
    <row r="57">
      <c r="A57" s="17">
        <f>IF(B57&lt;&gt;"",TEXT(ROW()-4,"GAP-000"),"")</f>
        <v/>
      </c>
      <c r="B57" s="15" t="n"/>
      <c r="C57" s="15" t="n"/>
      <c r="D57" s="15" t="n"/>
      <c r="E57" s="15" t="n"/>
      <c r="F57" s="15" t="n"/>
      <c r="G57" s="15" t="n"/>
      <c r="H57" s="15" t="n"/>
      <c r="I57" s="15" t="n"/>
      <c r="J57" s="15" t="n"/>
      <c r="K57" s="16" t="n"/>
      <c r="L57" s="15" t="n"/>
      <c r="M57" s="15" t="n"/>
      <c r="N57" s="15" t="n"/>
      <c r="O57" s="15" t="n"/>
      <c r="P57" s="15" t="n"/>
    </row>
    <row r="58">
      <c r="A58" s="17">
        <f>IF(B58&lt;&gt;"",TEXT(ROW()-4,"GAP-000"),"")</f>
        <v/>
      </c>
      <c r="B58" s="15" t="n"/>
      <c r="C58" s="15" t="n"/>
      <c r="D58" s="15" t="n"/>
      <c r="E58" s="15" t="n"/>
      <c r="F58" s="15" t="n"/>
      <c r="G58" s="15" t="n"/>
      <c r="H58" s="15" t="n"/>
      <c r="I58" s="15" t="n"/>
      <c r="J58" s="15" t="n"/>
      <c r="K58" s="16" t="n"/>
      <c r="L58" s="15" t="n"/>
      <c r="M58" s="15" t="n"/>
      <c r="N58" s="15" t="n"/>
      <c r="O58" s="15" t="n"/>
      <c r="P58" s="15" t="n"/>
    </row>
    <row r="59">
      <c r="A59" s="17">
        <f>IF(B59&lt;&gt;"",TEXT(ROW()-4,"GAP-000"),"")</f>
        <v/>
      </c>
      <c r="B59" s="15" t="n"/>
      <c r="C59" s="15" t="n"/>
      <c r="D59" s="15" t="n"/>
      <c r="E59" s="15" t="n"/>
      <c r="F59" s="15" t="n"/>
      <c r="G59" s="15" t="n"/>
      <c r="H59" s="15" t="n"/>
      <c r="I59" s="15" t="n"/>
      <c r="J59" s="15" t="n"/>
      <c r="K59" s="16" t="n"/>
      <c r="L59" s="15" t="n"/>
      <c r="M59" s="15" t="n"/>
      <c r="N59" s="15" t="n"/>
      <c r="O59" s="15" t="n"/>
      <c r="P59" s="15" t="n"/>
    </row>
    <row r="60">
      <c r="A60" s="17">
        <f>IF(B60&lt;&gt;"",TEXT(ROW()-4,"GAP-000"),"")</f>
        <v/>
      </c>
      <c r="B60" s="15" t="n"/>
      <c r="C60" s="15" t="n"/>
      <c r="D60" s="15" t="n"/>
      <c r="E60" s="15" t="n"/>
      <c r="F60" s="15" t="n"/>
      <c r="G60" s="15" t="n"/>
      <c r="H60" s="15" t="n"/>
      <c r="I60" s="15" t="n"/>
      <c r="J60" s="15" t="n"/>
      <c r="K60" s="16" t="n"/>
      <c r="L60" s="15" t="n"/>
      <c r="M60" s="15" t="n"/>
      <c r="N60" s="15" t="n"/>
      <c r="O60" s="15" t="n"/>
      <c r="P60" s="15" t="n"/>
    </row>
    <row r="61">
      <c r="A61" s="17">
        <f>IF(B61&lt;&gt;"",TEXT(ROW()-4,"GAP-000"),"")</f>
        <v/>
      </c>
      <c r="B61" s="15" t="n"/>
      <c r="C61" s="15" t="n"/>
      <c r="D61" s="15" t="n"/>
      <c r="E61" s="15" t="n"/>
      <c r="F61" s="15" t="n"/>
      <c r="G61" s="15" t="n"/>
      <c r="H61" s="15" t="n"/>
      <c r="I61" s="15" t="n"/>
      <c r="J61" s="15" t="n"/>
      <c r="K61" s="16" t="n"/>
      <c r="L61" s="15" t="n"/>
      <c r="M61" s="15" t="n"/>
      <c r="N61" s="15" t="n"/>
      <c r="O61" s="15" t="n"/>
      <c r="P61" s="15" t="n"/>
    </row>
    <row r="62">
      <c r="A62" s="17">
        <f>IF(B62&lt;&gt;"",TEXT(ROW()-4,"GAP-000"),"")</f>
        <v/>
      </c>
      <c r="B62" s="15" t="n"/>
      <c r="C62" s="15" t="n"/>
      <c r="D62" s="15" t="n"/>
      <c r="E62" s="15" t="n"/>
      <c r="F62" s="15" t="n"/>
      <c r="G62" s="15" t="n"/>
      <c r="H62" s="15" t="n"/>
      <c r="I62" s="15" t="n"/>
      <c r="J62" s="15" t="n"/>
      <c r="K62" s="16" t="n"/>
      <c r="L62" s="15" t="n"/>
      <c r="M62" s="15" t="n"/>
      <c r="N62" s="15" t="n"/>
      <c r="O62" s="15" t="n"/>
      <c r="P62" s="15" t="n"/>
    </row>
    <row r="63">
      <c r="A63" s="17">
        <f>IF(B63&lt;&gt;"",TEXT(ROW()-4,"GAP-000"),"")</f>
        <v/>
      </c>
      <c r="B63" s="15" t="n"/>
      <c r="C63" s="15" t="n"/>
      <c r="D63" s="15" t="n"/>
      <c r="E63" s="15" t="n"/>
      <c r="F63" s="15" t="n"/>
      <c r="G63" s="15" t="n"/>
      <c r="H63" s="15" t="n"/>
      <c r="I63" s="15" t="n"/>
      <c r="J63" s="15" t="n"/>
      <c r="K63" s="16" t="n"/>
      <c r="L63" s="15" t="n"/>
      <c r="M63" s="15" t="n"/>
      <c r="N63" s="15" t="n"/>
      <c r="O63" s="15" t="n"/>
      <c r="P63" s="15" t="n"/>
    </row>
    <row r="64">
      <c r="A64" s="17">
        <f>IF(B64&lt;&gt;"",TEXT(ROW()-4,"GAP-000"),"")</f>
        <v/>
      </c>
      <c r="B64" s="15" t="n"/>
      <c r="C64" s="15" t="n"/>
      <c r="D64" s="15" t="n"/>
      <c r="E64" s="15" t="n"/>
      <c r="F64" s="15" t="n"/>
      <c r="G64" s="15" t="n"/>
      <c r="H64" s="15" t="n"/>
      <c r="I64" s="15" t="n"/>
      <c r="J64" s="15" t="n"/>
      <c r="K64" s="16" t="n"/>
      <c r="L64" s="15" t="n"/>
      <c r="M64" s="15" t="n"/>
      <c r="N64" s="15" t="n"/>
      <c r="O64" s="15" t="n"/>
      <c r="P64" s="15" t="n"/>
    </row>
    <row r="65">
      <c r="A65" s="17">
        <f>IF(B65&lt;&gt;"",TEXT(ROW()-4,"GAP-000"),"")</f>
        <v/>
      </c>
      <c r="B65" s="15" t="n"/>
      <c r="C65" s="15" t="n"/>
      <c r="D65" s="15" t="n"/>
      <c r="E65" s="15" t="n"/>
      <c r="F65" s="15" t="n"/>
      <c r="G65" s="15" t="n"/>
      <c r="H65" s="15" t="n"/>
      <c r="I65" s="15" t="n"/>
      <c r="J65" s="15" t="n"/>
      <c r="K65" s="16" t="n"/>
      <c r="L65" s="15" t="n"/>
      <c r="M65" s="15" t="n"/>
      <c r="N65" s="15" t="n"/>
      <c r="O65" s="15" t="n"/>
      <c r="P65" s="15" t="n"/>
    </row>
    <row r="66">
      <c r="A66" s="17">
        <f>IF(B66&lt;&gt;"",TEXT(ROW()-4,"GAP-000"),"")</f>
        <v/>
      </c>
      <c r="B66" s="15" t="n"/>
      <c r="C66" s="15" t="n"/>
      <c r="D66" s="15" t="n"/>
      <c r="E66" s="15" t="n"/>
      <c r="F66" s="15" t="n"/>
      <c r="G66" s="15" t="n"/>
      <c r="H66" s="15" t="n"/>
      <c r="I66" s="15" t="n"/>
      <c r="J66" s="15" t="n"/>
      <c r="K66" s="16" t="n"/>
      <c r="L66" s="15" t="n"/>
      <c r="M66" s="15" t="n"/>
      <c r="N66" s="15" t="n"/>
      <c r="O66" s="15" t="n"/>
      <c r="P66" s="15" t="n"/>
    </row>
    <row r="67">
      <c r="A67" s="17">
        <f>IF(B67&lt;&gt;"",TEXT(ROW()-4,"GAP-000"),"")</f>
        <v/>
      </c>
      <c r="B67" s="15" t="n"/>
      <c r="C67" s="15" t="n"/>
      <c r="D67" s="15" t="n"/>
      <c r="E67" s="15" t="n"/>
      <c r="F67" s="15" t="n"/>
      <c r="G67" s="15" t="n"/>
      <c r="H67" s="15" t="n"/>
      <c r="I67" s="15" t="n"/>
      <c r="J67" s="15" t="n"/>
      <c r="K67" s="16" t="n"/>
      <c r="L67" s="15" t="n"/>
      <c r="M67" s="15" t="n"/>
      <c r="N67" s="15" t="n"/>
      <c r="O67" s="15" t="n"/>
      <c r="P67" s="15" t="n"/>
    </row>
    <row r="68">
      <c r="A68" s="17">
        <f>IF(B68&lt;&gt;"",TEXT(ROW()-4,"GAP-000"),"")</f>
        <v/>
      </c>
      <c r="B68" s="15" t="n"/>
      <c r="C68" s="15" t="n"/>
      <c r="D68" s="15" t="n"/>
      <c r="E68" s="15" t="n"/>
      <c r="F68" s="15" t="n"/>
      <c r="G68" s="15" t="n"/>
      <c r="H68" s="15" t="n"/>
      <c r="I68" s="15" t="n"/>
      <c r="J68" s="15" t="n"/>
      <c r="K68" s="16" t="n"/>
      <c r="L68" s="15" t="n"/>
      <c r="M68" s="15" t="n"/>
      <c r="N68" s="15" t="n"/>
      <c r="O68" s="15" t="n"/>
      <c r="P68" s="15" t="n"/>
    </row>
    <row r="69">
      <c r="A69" s="17">
        <f>IF(B69&lt;&gt;"",TEXT(ROW()-4,"GAP-000"),"")</f>
        <v/>
      </c>
      <c r="B69" s="15" t="n"/>
      <c r="C69" s="15" t="n"/>
      <c r="D69" s="15" t="n"/>
      <c r="E69" s="15" t="n"/>
      <c r="F69" s="15" t="n"/>
      <c r="G69" s="15" t="n"/>
      <c r="H69" s="15" t="n"/>
      <c r="I69" s="15" t="n"/>
      <c r="J69" s="15" t="n"/>
      <c r="K69" s="16" t="n"/>
      <c r="L69" s="15" t="n"/>
      <c r="M69" s="15" t="n"/>
      <c r="N69" s="15" t="n"/>
      <c r="O69" s="15" t="n"/>
      <c r="P69" s="15" t="n"/>
    </row>
    <row r="70">
      <c r="A70" s="17">
        <f>IF(B70&lt;&gt;"",TEXT(ROW()-4,"GAP-000"),"")</f>
        <v/>
      </c>
      <c r="B70" s="15" t="n"/>
      <c r="C70" s="15" t="n"/>
      <c r="D70" s="15" t="n"/>
      <c r="E70" s="15" t="n"/>
      <c r="F70" s="15" t="n"/>
      <c r="G70" s="15" t="n"/>
      <c r="H70" s="15" t="n"/>
      <c r="I70" s="15" t="n"/>
      <c r="J70" s="15" t="n"/>
      <c r="K70" s="16" t="n"/>
      <c r="L70" s="15" t="n"/>
      <c r="M70" s="15" t="n"/>
      <c r="N70" s="15" t="n"/>
      <c r="O70" s="15" t="n"/>
      <c r="P70" s="15" t="n"/>
    </row>
    <row r="71">
      <c r="A71" s="17">
        <f>IF(B71&lt;&gt;"",TEXT(ROW()-4,"GAP-000"),"")</f>
        <v/>
      </c>
      <c r="B71" s="15" t="n"/>
      <c r="C71" s="15" t="n"/>
      <c r="D71" s="15" t="n"/>
      <c r="E71" s="15" t="n"/>
      <c r="F71" s="15" t="n"/>
      <c r="G71" s="15" t="n"/>
      <c r="H71" s="15" t="n"/>
      <c r="I71" s="15" t="n"/>
      <c r="J71" s="15" t="n"/>
      <c r="K71" s="16" t="n"/>
      <c r="L71" s="15" t="n"/>
      <c r="M71" s="15" t="n"/>
      <c r="N71" s="15" t="n"/>
      <c r="O71" s="15" t="n"/>
      <c r="P71" s="15" t="n"/>
    </row>
    <row r="72">
      <c r="A72" s="17">
        <f>IF(B72&lt;&gt;"",TEXT(ROW()-4,"GAP-000"),"")</f>
        <v/>
      </c>
      <c r="B72" s="15" t="n"/>
      <c r="C72" s="15" t="n"/>
      <c r="D72" s="15" t="n"/>
      <c r="E72" s="15" t="n"/>
      <c r="F72" s="15" t="n"/>
      <c r="G72" s="15" t="n"/>
      <c r="H72" s="15" t="n"/>
      <c r="I72" s="15" t="n"/>
      <c r="J72" s="15" t="n"/>
      <c r="K72" s="16" t="n"/>
      <c r="L72" s="15" t="n"/>
      <c r="M72" s="15" t="n"/>
      <c r="N72" s="15" t="n"/>
      <c r="O72" s="15" t="n"/>
      <c r="P72" s="15" t="n"/>
    </row>
    <row r="73">
      <c r="A73" s="17">
        <f>IF(B73&lt;&gt;"",TEXT(ROW()-4,"GAP-000"),"")</f>
        <v/>
      </c>
      <c r="B73" s="15" t="n"/>
      <c r="C73" s="15" t="n"/>
      <c r="D73" s="15" t="n"/>
      <c r="E73" s="15" t="n"/>
      <c r="F73" s="15" t="n"/>
      <c r="G73" s="15" t="n"/>
      <c r="H73" s="15" t="n"/>
      <c r="I73" s="15" t="n"/>
      <c r="J73" s="15" t="n"/>
      <c r="K73" s="16" t="n"/>
      <c r="L73" s="15" t="n"/>
      <c r="M73" s="15" t="n"/>
      <c r="N73" s="15" t="n"/>
      <c r="O73" s="15" t="n"/>
      <c r="P73" s="15" t="n"/>
    </row>
    <row r="74">
      <c r="A74" s="17">
        <f>IF(B74&lt;&gt;"",TEXT(ROW()-4,"GAP-000"),"")</f>
        <v/>
      </c>
      <c r="B74" s="15" t="n"/>
      <c r="C74" s="15" t="n"/>
      <c r="D74" s="15" t="n"/>
      <c r="E74" s="15" t="n"/>
      <c r="F74" s="15" t="n"/>
      <c r="G74" s="15" t="n"/>
      <c r="H74" s="15" t="n"/>
      <c r="I74" s="15" t="n"/>
      <c r="J74" s="15" t="n"/>
      <c r="K74" s="16" t="n"/>
      <c r="L74" s="15" t="n"/>
      <c r="M74" s="15" t="n"/>
      <c r="N74" s="15" t="n"/>
      <c r="O74" s="15" t="n"/>
      <c r="P74" s="15" t="n"/>
    </row>
    <row r="75">
      <c r="A75" s="17">
        <f>IF(B75&lt;&gt;"",TEXT(ROW()-4,"GAP-000"),"")</f>
        <v/>
      </c>
      <c r="B75" s="15" t="n"/>
      <c r="C75" s="15" t="n"/>
      <c r="D75" s="15" t="n"/>
      <c r="E75" s="15" t="n"/>
      <c r="F75" s="15" t="n"/>
      <c r="G75" s="15" t="n"/>
      <c r="H75" s="15" t="n"/>
      <c r="I75" s="15" t="n"/>
      <c r="J75" s="15" t="n"/>
      <c r="K75" s="16" t="n"/>
      <c r="L75" s="15" t="n"/>
      <c r="M75" s="15" t="n"/>
      <c r="N75" s="15" t="n"/>
      <c r="O75" s="15" t="n"/>
      <c r="P75" s="15" t="n"/>
    </row>
    <row r="76">
      <c r="A76" s="17">
        <f>IF(B76&lt;&gt;"",TEXT(ROW()-4,"GAP-000"),"")</f>
        <v/>
      </c>
      <c r="B76" s="15" t="n"/>
      <c r="C76" s="15" t="n"/>
      <c r="D76" s="15" t="n"/>
      <c r="E76" s="15" t="n"/>
      <c r="F76" s="15" t="n"/>
      <c r="G76" s="15" t="n"/>
      <c r="H76" s="15" t="n"/>
      <c r="I76" s="15" t="n"/>
      <c r="J76" s="15" t="n"/>
      <c r="K76" s="16" t="n"/>
      <c r="L76" s="15" t="n"/>
      <c r="M76" s="15" t="n"/>
      <c r="N76" s="15" t="n"/>
      <c r="O76" s="15" t="n"/>
      <c r="P76" s="15" t="n"/>
    </row>
    <row r="77">
      <c r="A77" s="17">
        <f>IF(B77&lt;&gt;"",TEXT(ROW()-4,"GAP-000"),"")</f>
        <v/>
      </c>
      <c r="B77" s="15" t="n"/>
      <c r="C77" s="15" t="n"/>
      <c r="D77" s="15" t="n"/>
      <c r="E77" s="15" t="n"/>
      <c r="F77" s="15" t="n"/>
      <c r="G77" s="15" t="n"/>
      <c r="H77" s="15" t="n"/>
      <c r="I77" s="15" t="n"/>
      <c r="J77" s="15" t="n"/>
      <c r="K77" s="16" t="n"/>
      <c r="L77" s="15" t="n"/>
      <c r="M77" s="15" t="n"/>
      <c r="N77" s="15" t="n"/>
      <c r="O77" s="15" t="n"/>
      <c r="P77" s="15" t="n"/>
    </row>
    <row r="78">
      <c r="A78" s="17">
        <f>IF(B78&lt;&gt;"",TEXT(ROW()-4,"GAP-000"),"")</f>
        <v/>
      </c>
      <c r="B78" s="15" t="n"/>
      <c r="C78" s="15" t="n"/>
      <c r="D78" s="15" t="n"/>
      <c r="E78" s="15" t="n"/>
      <c r="F78" s="15" t="n"/>
      <c r="G78" s="15" t="n"/>
      <c r="H78" s="15" t="n"/>
      <c r="I78" s="15" t="n"/>
      <c r="J78" s="15" t="n"/>
      <c r="K78" s="16" t="n"/>
      <c r="L78" s="15" t="n"/>
      <c r="M78" s="15" t="n"/>
      <c r="N78" s="15" t="n"/>
      <c r="O78" s="15" t="n"/>
      <c r="P78" s="15" t="n"/>
    </row>
    <row r="79">
      <c r="A79" s="17">
        <f>IF(B79&lt;&gt;"",TEXT(ROW()-4,"GAP-000"),"")</f>
        <v/>
      </c>
      <c r="B79" s="15" t="n"/>
      <c r="C79" s="15" t="n"/>
      <c r="D79" s="15" t="n"/>
      <c r="E79" s="15" t="n"/>
      <c r="F79" s="15" t="n"/>
      <c r="G79" s="15" t="n"/>
      <c r="H79" s="15" t="n"/>
      <c r="I79" s="15" t="n"/>
      <c r="J79" s="15" t="n"/>
      <c r="K79" s="16" t="n"/>
      <c r="L79" s="15" t="n"/>
      <c r="M79" s="15" t="n"/>
      <c r="N79" s="15" t="n"/>
      <c r="O79" s="15" t="n"/>
      <c r="P79" s="15" t="n"/>
    </row>
    <row r="80">
      <c r="A80" s="17">
        <f>IF(B80&lt;&gt;"",TEXT(ROW()-4,"GAP-000"),"")</f>
        <v/>
      </c>
      <c r="B80" s="15" t="n"/>
      <c r="C80" s="15" t="n"/>
      <c r="D80" s="15" t="n"/>
      <c r="E80" s="15" t="n"/>
      <c r="F80" s="15" t="n"/>
      <c r="G80" s="15" t="n"/>
      <c r="H80" s="15" t="n"/>
      <c r="I80" s="15" t="n"/>
      <c r="J80" s="15" t="n"/>
      <c r="K80" s="16" t="n"/>
      <c r="L80" s="15" t="n"/>
      <c r="M80" s="15" t="n"/>
      <c r="N80" s="15" t="n"/>
      <c r="O80" s="15" t="n"/>
      <c r="P80" s="15" t="n"/>
    </row>
    <row r="81">
      <c r="A81" s="17">
        <f>IF(B81&lt;&gt;"",TEXT(ROW()-4,"GAP-000"),"")</f>
        <v/>
      </c>
      <c r="B81" s="15" t="n"/>
      <c r="C81" s="15" t="n"/>
      <c r="D81" s="15" t="n"/>
      <c r="E81" s="15" t="n"/>
      <c r="F81" s="15" t="n"/>
      <c r="G81" s="15" t="n"/>
      <c r="H81" s="15" t="n"/>
      <c r="I81" s="15" t="n"/>
      <c r="J81" s="15" t="n"/>
      <c r="K81" s="16" t="n"/>
      <c r="L81" s="15" t="n"/>
      <c r="M81" s="15" t="n"/>
      <c r="N81" s="15" t="n"/>
      <c r="O81" s="15" t="n"/>
      <c r="P81" s="15" t="n"/>
    </row>
    <row r="82">
      <c r="A82" s="17">
        <f>IF(B82&lt;&gt;"",TEXT(ROW()-4,"GAP-000"),"")</f>
        <v/>
      </c>
      <c r="B82" s="15" t="n"/>
      <c r="C82" s="15" t="n"/>
      <c r="D82" s="15" t="n"/>
      <c r="E82" s="15" t="n"/>
      <c r="F82" s="15" t="n"/>
      <c r="G82" s="15" t="n"/>
      <c r="H82" s="15" t="n"/>
      <c r="I82" s="15" t="n"/>
      <c r="J82" s="15" t="n"/>
      <c r="K82" s="16" t="n"/>
      <c r="L82" s="15" t="n"/>
      <c r="M82" s="15" t="n"/>
      <c r="N82" s="15" t="n"/>
      <c r="O82" s="15" t="n"/>
      <c r="P82" s="15" t="n"/>
    </row>
    <row r="83">
      <c r="A83" s="17">
        <f>IF(B83&lt;&gt;"",TEXT(ROW()-4,"GAP-000"),"")</f>
        <v/>
      </c>
      <c r="B83" s="15" t="n"/>
      <c r="C83" s="15" t="n"/>
      <c r="D83" s="15" t="n"/>
      <c r="E83" s="15" t="n"/>
      <c r="F83" s="15" t="n"/>
      <c r="G83" s="15" t="n"/>
      <c r="H83" s="15" t="n"/>
      <c r="I83" s="15" t="n"/>
      <c r="J83" s="15" t="n"/>
      <c r="K83" s="16" t="n"/>
      <c r="L83" s="15" t="n"/>
      <c r="M83" s="15" t="n"/>
      <c r="N83" s="15" t="n"/>
      <c r="O83" s="15" t="n"/>
      <c r="P83" s="15" t="n"/>
    </row>
    <row r="84">
      <c r="A84" s="17">
        <f>IF(B84&lt;&gt;"",TEXT(ROW()-4,"GAP-000"),"")</f>
        <v/>
      </c>
      <c r="B84" s="15" t="n"/>
      <c r="C84" s="15" t="n"/>
      <c r="D84" s="15" t="n"/>
      <c r="E84" s="15" t="n"/>
      <c r="F84" s="15" t="n"/>
      <c r="G84" s="15" t="n"/>
      <c r="H84" s="15" t="n"/>
      <c r="I84" s="15" t="n"/>
      <c r="J84" s="15" t="n"/>
      <c r="K84" s="16" t="n"/>
      <c r="L84" s="15" t="n"/>
      <c r="M84" s="15" t="n"/>
      <c r="N84" s="15" t="n"/>
      <c r="O84" s="15" t="n"/>
      <c r="P84" s="15" t="n"/>
    </row>
    <row r="85">
      <c r="A85" s="17">
        <f>IF(B85&lt;&gt;"",TEXT(ROW()-4,"GAP-000"),"")</f>
        <v/>
      </c>
      <c r="B85" s="15" t="n"/>
      <c r="C85" s="15" t="n"/>
      <c r="D85" s="15" t="n"/>
      <c r="E85" s="15" t="n"/>
      <c r="F85" s="15" t="n"/>
      <c r="G85" s="15" t="n"/>
      <c r="H85" s="15" t="n"/>
      <c r="I85" s="15" t="n"/>
      <c r="J85" s="15" t="n"/>
      <c r="K85" s="16" t="n"/>
      <c r="L85" s="15" t="n"/>
      <c r="M85" s="15" t="n"/>
      <c r="N85" s="15" t="n"/>
      <c r="O85" s="15" t="n"/>
      <c r="P85" s="15" t="n"/>
    </row>
    <row r="86">
      <c r="A86" s="17">
        <f>IF(B86&lt;&gt;"",TEXT(ROW()-4,"GAP-000"),"")</f>
        <v/>
      </c>
      <c r="B86" s="15" t="n"/>
      <c r="C86" s="15" t="n"/>
      <c r="D86" s="15" t="n"/>
      <c r="E86" s="15" t="n"/>
      <c r="F86" s="15" t="n"/>
      <c r="G86" s="15" t="n"/>
      <c r="H86" s="15" t="n"/>
      <c r="I86" s="15" t="n"/>
      <c r="J86" s="15" t="n"/>
      <c r="K86" s="16" t="n"/>
      <c r="L86" s="15" t="n"/>
      <c r="M86" s="15" t="n"/>
      <c r="N86" s="15" t="n"/>
      <c r="O86" s="15" t="n"/>
      <c r="P86" s="15" t="n"/>
    </row>
    <row r="87">
      <c r="A87" s="17">
        <f>IF(B87&lt;&gt;"",TEXT(ROW()-4,"GAP-000"),"")</f>
        <v/>
      </c>
      <c r="B87" s="15" t="n"/>
      <c r="C87" s="15" t="n"/>
      <c r="D87" s="15" t="n"/>
      <c r="E87" s="15" t="n"/>
      <c r="F87" s="15" t="n"/>
      <c r="G87" s="15" t="n"/>
      <c r="H87" s="15" t="n"/>
      <c r="I87" s="15" t="n"/>
      <c r="J87" s="15" t="n"/>
      <c r="K87" s="16" t="n"/>
      <c r="L87" s="15" t="n"/>
      <c r="M87" s="15" t="n"/>
      <c r="N87" s="15" t="n"/>
      <c r="O87" s="15" t="n"/>
      <c r="P87" s="15" t="n"/>
    </row>
    <row r="88">
      <c r="A88" s="17">
        <f>IF(B88&lt;&gt;"",TEXT(ROW()-4,"GAP-000"),"")</f>
        <v/>
      </c>
      <c r="B88" s="15" t="n"/>
      <c r="C88" s="15" t="n"/>
      <c r="D88" s="15" t="n"/>
      <c r="E88" s="15" t="n"/>
      <c r="F88" s="15" t="n"/>
      <c r="G88" s="15" t="n"/>
      <c r="H88" s="15" t="n"/>
      <c r="I88" s="15" t="n"/>
      <c r="J88" s="15" t="n"/>
      <c r="K88" s="16" t="n"/>
      <c r="L88" s="15" t="n"/>
      <c r="M88" s="15" t="n"/>
      <c r="N88" s="15" t="n"/>
      <c r="O88" s="15" t="n"/>
      <c r="P88" s="15" t="n"/>
    </row>
    <row r="89">
      <c r="A89" s="17">
        <f>IF(B89&lt;&gt;"",TEXT(ROW()-4,"GAP-000"),"")</f>
        <v/>
      </c>
      <c r="B89" s="15" t="n"/>
      <c r="C89" s="15" t="n"/>
      <c r="D89" s="15" t="n"/>
      <c r="E89" s="15" t="n"/>
      <c r="F89" s="15" t="n"/>
      <c r="G89" s="15" t="n"/>
      <c r="H89" s="15" t="n"/>
      <c r="I89" s="15" t="n"/>
      <c r="J89" s="15" t="n"/>
      <c r="K89" s="16" t="n"/>
      <c r="L89" s="15" t="n"/>
      <c r="M89" s="15" t="n"/>
      <c r="N89" s="15" t="n"/>
      <c r="O89" s="15" t="n"/>
      <c r="P89" s="15" t="n"/>
    </row>
    <row r="90">
      <c r="A90" s="17">
        <f>IF(B90&lt;&gt;"",TEXT(ROW()-4,"GAP-000"),"")</f>
        <v/>
      </c>
      <c r="B90" s="15" t="n"/>
      <c r="C90" s="15" t="n"/>
      <c r="D90" s="15" t="n"/>
      <c r="E90" s="15" t="n"/>
      <c r="F90" s="15" t="n"/>
      <c r="G90" s="15" t="n"/>
      <c r="H90" s="15" t="n"/>
      <c r="I90" s="15" t="n"/>
      <c r="J90" s="15" t="n"/>
      <c r="K90" s="16" t="n"/>
      <c r="L90" s="15" t="n"/>
      <c r="M90" s="15" t="n"/>
      <c r="N90" s="15" t="n"/>
      <c r="O90" s="15" t="n"/>
      <c r="P90" s="15" t="n"/>
    </row>
    <row r="91">
      <c r="A91" s="17">
        <f>IF(B91&lt;&gt;"",TEXT(ROW()-4,"GAP-000"),"")</f>
        <v/>
      </c>
      <c r="B91" s="15" t="n"/>
      <c r="C91" s="15" t="n"/>
      <c r="D91" s="15" t="n"/>
      <c r="E91" s="15" t="n"/>
      <c r="F91" s="15" t="n"/>
      <c r="G91" s="15" t="n"/>
      <c r="H91" s="15" t="n"/>
      <c r="I91" s="15" t="n"/>
      <c r="J91" s="15" t="n"/>
      <c r="K91" s="16" t="n"/>
      <c r="L91" s="15" t="n"/>
      <c r="M91" s="15" t="n"/>
      <c r="N91" s="15" t="n"/>
      <c r="O91" s="15" t="n"/>
      <c r="P91" s="15" t="n"/>
    </row>
    <row r="92">
      <c r="A92" s="17">
        <f>IF(B92&lt;&gt;"",TEXT(ROW()-4,"GAP-000"),"")</f>
        <v/>
      </c>
      <c r="B92" s="15" t="n"/>
      <c r="C92" s="15" t="n"/>
      <c r="D92" s="15" t="n"/>
      <c r="E92" s="15" t="n"/>
      <c r="F92" s="15" t="n"/>
      <c r="G92" s="15" t="n"/>
      <c r="H92" s="15" t="n"/>
      <c r="I92" s="15" t="n"/>
      <c r="J92" s="15" t="n"/>
      <c r="K92" s="16" t="n"/>
      <c r="L92" s="15" t="n"/>
      <c r="M92" s="15" t="n"/>
      <c r="N92" s="15" t="n"/>
      <c r="O92" s="15" t="n"/>
      <c r="P92" s="15" t="n"/>
    </row>
    <row r="93">
      <c r="A93" s="17">
        <f>IF(B93&lt;&gt;"",TEXT(ROW()-4,"GAP-000"),"")</f>
        <v/>
      </c>
      <c r="B93" s="15" t="n"/>
      <c r="C93" s="15" t="n"/>
      <c r="D93" s="15" t="n"/>
      <c r="E93" s="15" t="n"/>
      <c r="F93" s="15" t="n"/>
      <c r="G93" s="15" t="n"/>
      <c r="H93" s="15" t="n"/>
      <c r="I93" s="15" t="n"/>
      <c r="J93" s="15" t="n"/>
      <c r="K93" s="16" t="n"/>
      <c r="L93" s="15" t="n"/>
      <c r="M93" s="15" t="n"/>
      <c r="N93" s="15" t="n"/>
      <c r="O93" s="15" t="n"/>
      <c r="P93" s="15" t="n"/>
    </row>
    <row r="94">
      <c r="A94" s="17">
        <f>IF(B94&lt;&gt;"",TEXT(ROW()-4,"GAP-000"),"")</f>
        <v/>
      </c>
      <c r="B94" s="15" t="n"/>
      <c r="C94" s="15" t="n"/>
      <c r="D94" s="15" t="n"/>
      <c r="E94" s="15" t="n"/>
      <c r="F94" s="15" t="n"/>
      <c r="G94" s="15" t="n"/>
      <c r="H94" s="15" t="n"/>
      <c r="I94" s="15" t="n"/>
      <c r="J94" s="15" t="n"/>
      <c r="K94" s="16" t="n"/>
      <c r="L94" s="15" t="n"/>
      <c r="M94" s="15" t="n"/>
      <c r="N94" s="15" t="n"/>
      <c r="O94" s="15" t="n"/>
      <c r="P94" s="15" t="n"/>
    </row>
    <row r="95">
      <c r="A95" s="17">
        <f>IF(B95&lt;&gt;"",TEXT(ROW()-4,"GAP-000"),"")</f>
        <v/>
      </c>
      <c r="B95" s="15" t="n"/>
      <c r="C95" s="15" t="n"/>
      <c r="D95" s="15" t="n"/>
      <c r="E95" s="15" t="n"/>
      <c r="F95" s="15" t="n"/>
      <c r="G95" s="15" t="n"/>
      <c r="H95" s="15" t="n"/>
      <c r="I95" s="15" t="n"/>
      <c r="J95" s="15" t="n"/>
      <c r="K95" s="16" t="n"/>
      <c r="L95" s="15" t="n"/>
      <c r="M95" s="15" t="n"/>
      <c r="N95" s="15" t="n"/>
      <c r="O95" s="15" t="n"/>
      <c r="P95" s="15" t="n"/>
    </row>
    <row r="96">
      <c r="A96" s="17">
        <f>IF(B96&lt;&gt;"",TEXT(ROW()-4,"GAP-000"),"")</f>
        <v/>
      </c>
      <c r="B96" s="15" t="n"/>
      <c r="C96" s="15" t="n"/>
      <c r="D96" s="15" t="n"/>
      <c r="E96" s="15" t="n"/>
      <c r="F96" s="15" t="n"/>
      <c r="G96" s="15" t="n"/>
      <c r="H96" s="15" t="n"/>
      <c r="I96" s="15" t="n"/>
      <c r="J96" s="15" t="n"/>
      <c r="K96" s="16" t="n"/>
      <c r="L96" s="15" t="n"/>
      <c r="M96" s="15" t="n"/>
      <c r="N96" s="15" t="n"/>
      <c r="O96" s="15" t="n"/>
      <c r="P96" s="15" t="n"/>
    </row>
    <row r="97">
      <c r="A97" s="17">
        <f>IF(B97&lt;&gt;"",TEXT(ROW()-4,"GAP-000"),"")</f>
        <v/>
      </c>
      <c r="B97" s="15" t="n"/>
      <c r="C97" s="15" t="n"/>
      <c r="D97" s="15" t="n"/>
      <c r="E97" s="15" t="n"/>
      <c r="F97" s="15" t="n"/>
      <c r="G97" s="15" t="n"/>
      <c r="H97" s="15" t="n"/>
      <c r="I97" s="15" t="n"/>
      <c r="J97" s="15" t="n"/>
      <c r="K97" s="16" t="n"/>
      <c r="L97" s="15" t="n"/>
      <c r="M97" s="15" t="n"/>
      <c r="N97" s="15" t="n"/>
      <c r="O97" s="15" t="n"/>
      <c r="P97" s="15" t="n"/>
    </row>
    <row r="98">
      <c r="A98" s="17">
        <f>IF(B98&lt;&gt;"",TEXT(ROW()-4,"GAP-000"),"")</f>
        <v/>
      </c>
      <c r="B98" s="15" t="n"/>
      <c r="C98" s="15" t="n"/>
      <c r="D98" s="15" t="n"/>
      <c r="E98" s="15" t="n"/>
      <c r="F98" s="15" t="n"/>
      <c r="G98" s="15" t="n"/>
      <c r="H98" s="15" t="n"/>
      <c r="I98" s="15" t="n"/>
      <c r="J98" s="15" t="n"/>
      <c r="K98" s="16" t="n"/>
      <c r="L98" s="15" t="n"/>
      <c r="M98" s="15" t="n"/>
      <c r="N98" s="15" t="n"/>
      <c r="O98" s="15" t="n"/>
      <c r="P98" s="15" t="n"/>
    </row>
    <row r="99">
      <c r="A99" s="17">
        <f>IF(B99&lt;&gt;"",TEXT(ROW()-4,"GAP-000"),"")</f>
        <v/>
      </c>
      <c r="B99" s="15" t="n"/>
      <c r="C99" s="15" t="n"/>
      <c r="D99" s="15" t="n"/>
      <c r="E99" s="15" t="n"/>
      <c r="F99" s="15" t="n"/>
      <c r="G99" s="15" t="n"/>
      <c r="H99" s="15" t="n"/>
      <c r="I99" s="15" t="n"/>
      <c r="J99" s="15" t="n"/>
      <c r="K99" s="16" t="n"/>
      <c r="L99" s="15" t="n"/>
      <c r="M99" s="15" t="n"/>
      <c r="N99" s="15" t="n"/>
      <c r="O99" s="15" t="n"/>
      <c r="P99" s="15" t="n"/>
    </row>
    <row r="100">
      <c r="A100" s="17">
        <f>IF(B100&lt;&gt;"",TEXT(ROW()-4,"GAP-000"),"")</f>
        <v/>
      </c>
      <c r="B100" s="15" t="n"/>
      <c r="C100" s="15" t="n"/>
      <c r="D100" s="15" t="n"/>
      <c r="E100" s="15" t="n"/>
      <c r="F100" s="15" t="n"/>
      <c r="G100" s="15" t="n"/>
      <c r="H100" s="15" t="n"/>
      <c r="I100" s="15" t="n"/>
      <c r="J100" s="15" t="n"/>
      <c r="K100" s="16" t="n"/>
      <c r="L100" s="15" t="n"/>
      <c r="M100" s="15" t="n"/>
      <c r="N100" s="15" t="n"/>
      <c r="O100" s="15" t="n"/>
      <c r="P100" s="15" t="n"/>
    </row>
    <row r="101">
      <c r="A101" s="17">
        <f>IF(B101&lt;&gt;"",TEXT(ROW()-4,"GAP-000"),"")</f>
        <v/>
      </c>
      <c r="B101" s="15" t="n"/>
      <c r="C101" s="15" t="n"/>
      <c r="D101" s="15" t="n"/>
      <c r="E101" s="15" t="n"/>
      <c r="F101" s="15" t="n"/>
      <c r="G101" s="15" t="n"/>
      <c r="H101" s="15" t="n"/>
      <c r="I101" s="15" t="n"/>
      <c r="J101" s="15" t="n"/>
      <c r="K101" s="16" t="n"/>
      <c r="L101" s="15" t="n"/>
      <c r="M101" s="15" t="n"/>
      <c r="N101" s="15" t="n"/>
      <c r="O101" s="15" t="n"/>
      <c r="P101" s="15" t="n"/>
    </row>
    <row r="102">
      <c r="A102" s="17">
        <f>IF(B102&lt;&gt;"",TEXT(ROW()-4,"GAP-000"),"")</f>
        <v/>
      </c>
      <c r="B102" s="15" t="n"/>
      <c r="C102" s="15" t="n"/>
      <c r="D102" s="15" t="n"/>
      <c r="E102" s="15" t="n"/>
      <c r="F102" s="15" t="n"/>
      <c r="G102" s="15" t="n"/>
      <c r="H102" s="15" t="n"/>
      <c r="I102" s="15" t="n"/>
      <c r="J102" s="15" t="n"/>
      <c r="K102" s="16" t="n"/>
      <c r="L102" s="15" t="n"/>
      <c r="M102" s="15" t="n"/>
      <c r="N102" s="15" t="n"/>
      <c r="O102" s="15" t="n"/>
      <c r="P102" s="15" t="n"/>
    </row>
    <row r="103">
      <c r="A103" s="17">
        <f>IF(B103&lt;&gt;"",TEXT(ROW()-4,"GAP-000"),"")</f>
        <v/>
      </c>
      <c r="B103" s="15" t="n"/>
      <c r="C103" s="15" t="n"/>
      <c r="D103" s="15" t="n"/>
      <c r="E103" s="15" t="n"/>
      <c r="F103" s="15" t="n"/>
      <c r="G103" s="15" t="n"/>
      <c r="H103" s="15" t="n"/>
      <c r="I103" s="15" t="n"/>
      <c r="J103" s="15" t="n"/>
      <c r="K103" s="16" t="n"/>
      <c r="L103" s="15" t="n"/>
      <c r="M103" s="15" t="n"/>
      <c r="N103" s="15" t="n"/>
      <c r="O103" s="15" t="n"/>
      <c r="P103" s="15" t="n"/>
    </row>
    <row r="104">
      <c r="A104" s="17">
        <f>IF(B104&lt;&gt;"",TEXT(ROW()-4,"GAP-000"),"")</f>
        <v/>
      </c>
      <c r="B104" s="15" t="n"/>
      <c r="C104" s="15" t="n"/>
      <c r="D104" s="15" t="n"/>
      <c r="E104" s="15" t="n"/>
      <c r="F104" s="15" t="n"/>
      <c r="G104" s="15" t="n"/>
      <c r="H104" s="15" t="n"/>
      <c r="I104" s="15" t="n"/>
      <c r="J104" s="15" t="n"/>
      <c r="K104" s="16" t="n"/>
      <c r="L104" s="15" t="n"/>
      <c r="M104" s="15" t="n"/>
      <c r="N104" s="15" t="n"/>
      <c r="O104" s="15" t="n"/>
      <c r="P104" s="15" t="n"/>
    </row>
  </sheetData>
  <mergeCells count="2">
    <mergeCell ref="A1:P1"/>
    <mergeCell ref="A2:P2"/>
  </mergeCells>
  <dataValidations count="5">
    <dataValidation sqref="B5:B104" showDropDown="0" showInputMessage="0" showErrorMessage="1" allowBlank="1" errorTitle="Invalid Entry" error="Please select from dropdown" type="list">
      <formula1>"Contract Template Assessment,Required Clause Registry,Personnel Contract Compliance,Confidentiality NDA Tracking,Post Employment Obligations,Contractor Agreement Assessment"</formula1>
    </dataValidation>
    <dataValidation sqref="D5:D104" showDropDown="0" showInputMessage="0" showErrorMessage="1" allowBlank="1" errorTitle="Invalid Entry" error="Please select from dropdown" type="list">
      <formula1>"Template-Gap,Clause-Gap,Contract-Gap,NDA-Gap,Post-Employment-Gap,Contractor-Gap,Process-Gap,Documentation-Gap"</formula1>
    </dataValidation>
    <dataValidation sqref="F5:F104" showDropDown="0" showInputMessage="0" showErrorMessage="1" allowBlank="1" errorTitle="Invalid Entry" error="Please select from dropdown" type="list">
      <formula1>"Critical,High,Medium,Low"</formula1>
    </dataValidation>
    <dataValidation sqref="L5:L104" showDropDown="0" showInputMessage="0" showErrorMessage="1" allowBlank="1" errorTitle="Invalid Entry" error="Please select from dropdown" type="list">
      <formula1>"&lt;1hr,1-4hrs,1day,2-5days,&gt;1week"</formula1>
    </dataValidation>
    <dataValidation sqref="N5:N104" showDropDown="0" showInputMessage="0" showErrorMessage="1" allowBlank="1" errorTitle="Invalid Entry" error="Please select from dropdown" type="list">
      <formula1>"Not-Started,In-Progress,Blocked,Completed,Accepted-Risk"</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105"/>
  <sheetViews>
    <sheetView showGridLines="0" workbookViewId="0">
      <pane ySplit="4" topLeftCell="A5" activePane="bottomLeft" state="frozen"/>
      <selection pane="bottomLeft" activeCell="A1" sqref="A1"/>
    </sheetView>
  </sheetViews>
  <sheetFormatPr baseColWidth="8" defaultRowHeight="15"/>
  <cols>
    <col width="14" customWidth="1" min="1" max="1"/>
    <col width="22" customWidth="1" min="2" max="2"/>
    <col width="45" customWidth="1" min="3" max="3"/>
    <col width="28" customWidth="1" min="4" max="4"/>
    <col width="22" customWidth="1" min="5" max="5"/>
    <col width="38" customWidth="1" min="6" max="6"/>
    <col width="22" customWidth="1" min="7" max="7"/>
    <col width="14" customWidth="1" min="8" max="8"/>
  </cols>
  <sheetData>
    <row r="1" ht="35" customHeight="1">
      <c r="A1" s="18" t="inlineStr">
        <is>
          <t>EVIDENCE REGISTER</t>
        </is>
      </c>
    </row>
    <row r="2">
      <c r="A2" s="19" t="inlineStr">
        <is>
          <t>ISMS-IMP-A.5.1-2-6.1-2.S4 — Employment Contract Assessment</t>
        </is>
      </c>
    </row>
    <row r="4">
      <c r="A4" s="20" t="inlineStr">
        <is>
          <t>Evidence ID</t>
        </is>
      </c>
      <c r="B4" s="20" t="inlineStr">
        <is>
          <t>Evidence Type</t>
        </is>
      </c>
      <c r="C4" s="20" t="inlineStr">
        <is>
          <t>Description</t>
        </is>
      </c>
      <c r="D4" s="20" t="inlineStr">
        <is>
          <t>Related Control / Section</t>
        </is>
      </c>
      <c r="E4" s="20" t="inlineStr">
        <is>
          <t>Collection Date (DD.MM.YYYY)</t>
        </is>
      </c>
      <c r="F4" s="20" t="inlineStr">
        <is>
          <t>Storage Location / Reference</t>
        </is>
      </c>
      <c r="G4" s="20" t="inlineStr">
        <is>
          <t>Collected By</t>
        </is>
      </c>
      <c r="H4" s="20" t="inlineStr">
        <is>
          <t>Status</t>
        </is>
      </c>
    </row>
    <row r="5">
      <c r="A5" s="21" t="inlineStr">
        <is>
          <t>EV-001</t>
        </is>
      </c>
      <c r="B5" s="21" t="inlineStr">
        <is>
          <t>Document</t>
        </is>
      </c>
      <c r="C5" s="21" t="inlineStr">
        <is>
          <t>Sample evidence entry — replace with actual evidence</t>
        </is>
      </c>
      <c r="D5" s="21" t="inlineStr">
        <is>
          <t>All Controls</t>
        </is>
      </c>
      <c r="E5" s="21" t="inlineStr">
        <is>
          <t>01.01.2026</t>
        </is>
      </c>
      <c r="F5" s="21" t="inlineStr">
        <is>
          <t>SharePoint/ISMS/Evidence/</t>
        </is>
      </c>
      <c r="G5" s="21" t="inlineStr">
        <is>
          <t>ISMS Team</t>
        </is>
      </c>
      <c r="H5" s="21" t="inlineStr">
        <is>
          <t>Active</t>
        </is>
      </c>
    </row>
    <row r="6">
      <c r="A6" s="22" t="n"/>
      <c r="B6" s="22" t="n"/>
      <c r="C6" s="22" t="n"/>
      <c r="D6" s="22" t="n"/>
      <c r="E6" s="22" t="n"/>
      <c r="F6" s="22" t="n"/>
      <c r="G6" s="22" t="n"/>
      <c r="H6" s="22" t="n"/>
    </row>
    <row r="7">
      <c r="A7" s="22" t="n"/>
      <c r="B7" s="22" t="n"/>
      <c r="C7" s="22" t="n"/>
      <c r="D7" s="22" t="n"/>
      <c r="E7" s="22" t="n"/>
      <c r="F7" s="22" t="n"/>
      <c r="G7" s="22" t="n"/>
      <c r="H7" s="22" t="n"/>
    </row>
    <row r="8">
      <c r="A8" s="22" t="n"/>
      <c r="B8" s="22" t="n"/>
      <c r="C8" s="22" t="n"/>
      <c r="D8" s="22" t="n"/>
      <c r="E8" s="22" t="n"/>
      <c r="F8" s="22" t="n"/>
      <c r="G8" s="22" t="n"/>
      <c r="H8" s="22" t="n"/>
    </row>
    <row r="9">
      <c r="A9" s="22" t="n"/>
      <c r="B9" s="22" t="n"/>
      <c r="C9" s="22" t="n"/>
      <c r="D9" s="22" t="n"/>
      <c r="E9" s="22" t="n"/>
      <c r="F9" s="22" t="n"/>
      <c r="G9" s="22" t="n"/>
      <c r="H9" s="22" t="n"/>
    </row>
    <row r="10">
      <c r="A10" s="22" t="n"/>
      <c r="B10" s="22" t="n"/>
      <c r="C10" s="22" t="n"/>
      <c r="D10" s="22" t="n"/>
      <c r="E10" s="22" t="n"/>
      <c r="F10" s="22" t="n"/>
      <c r="G10" s="22" t="n"/>
      <c r="H10" s="22" t="n"/>
    </row>
    <row r="11">
      <c r="A11" s="22" t="n"/>
      <c r="B11" s="22" t="n"/>
      <c r="C11" s="22" t="n"/>
      <c r="D11" s="22" t="n"/>
      <c r="E11" s="22" t="n"/>
      <c r="F11" s="22" t="n"/>
      <c r="G11" s="22" t="n"/>
      <c r="H11" s="22" t="n"/>
    </row>
    <row r="12">
      <c r="A12" s="22" t="n"/>
      <c r="B12" s="22" t="n"/>
      <c r="C12" s="22" t="n"/>
      <c r="D12" s="22" t="n"/>
      <c r="E12" s="22" t="n"/>
      <c r="F12" s="22" t="n"/>
      <c r="G12" s="22" t="n"/>
      <c r="H12" s="22" t="n"/>
    </row>
    <row r="13">
      <c r="A13" s="22" t="n"/>
      <c r="B13" s="22" t="n"/>
      <c r="C13" s="22" t="n"/>
      <c r="D13" s="22" t="n"/>
      <c r="E13" s="22" t="n"/>
      <c r="F13" s="22" t="n"/>
      <c r="G13" s="22" t="n"/>
      <c r="H13" s="22" t="n"/>
    </row>
    <row r="14">
      <c r="A14" s="22" t="n"/>
      <c r="B14" s="22" t="n"/>
      <c r="C14" s="22" t="n"/>
      <c r="D14" s="22" t="n"/>
      <c r="E14" s="22" t="n"/>
      <c r="F14" s="22" t="n"/>
      <c r="G14" s="22" t="n"/>
      <c r="H14" s="22" t="n"/>
    </row>
    <row r="15">
      <c r="A15" s="22" t="n"/>
      <c r="B15" s="22" t="n"/>
      <c r="C15" s="22" t="n"/>
      <c r="D15" s="22" t="n"/>
      <c r="E15" s="22" t="n"/>
      <c r="F15" s="22" t="n"/>
      <c r="G15" s="22" t="n"/>
      <c r="H15" s="22" t="n"/>
    </row>
    <row r="16">
      <c r="A16" s="22" t="n"/>
      <c r="B16" s="22" t="n"/>
      <c r="C16" s="22" t="n"/>
      <c r="D16" s="22" t="n"/>
      <c r="E16" s="22" t="n"/>
      <c r="F16" s="22" t="n"/>
      <c r="G16" s="22" t="n"/>
      <c r="H16" s="22" t="n"/>
    </row>
    <row r="17">
      <c r="A17" s="22" t="n"/>
      <c r="B17" s="22" t="n"/>
      <c r="C17" s="22" t="n"/>
      <c r="D17" s="22" t="n"/>
      <c r="E17" s="22" t="n"/>
      <c r="F17" s="22" t="n"/>
      <c r="G17" s="22" t="n"/>
      <c r="H17" s="22" t="n"/>
    </row>
    <row r="18">
      <c r="A18" s="22" t="n"/>
      <c r="B18" s="22" t="n"/>
      <c r="C18" s="22" t="n"/>
      <c r="D18" s="22" t="n"/>
      <c r="E18" s="22" t="n"/>
      <c r="F18" s="22" t="n"/>
      <c r="G18" s="22" t="n"/>
      <c r="H18" s="22" t="n"/>
    </row>
    <row r="19">
      <c r="A19" s="22" t="n"/>
      <c r="B19" s="22" t="n"/>
      <c r="C19" s="22" t="n"/>
      <c r="D19" s="22" t="n"/>
      <c r="E19" s="22" t="n"/>
      <c r="F19" s="22" t="n"/>
      <c r="G19" s="22" t="n"/>
      <c r="H19" s="22" t="n"/>
    </row>
    <row r="20">
      <c r="A20" s="22" t="n"/>
      <c r="B20" s="22" t="n"/>
      <c r="C20" s="22" t="n"/>
      <c r="D20" s="22" t="n"/>
      <c r="E20" s="22" t="n"/>
      <c r="F20" s="22" t="n"/>
      <c r="G20" s="22" t="n"/>
      <c r="H20" s="22" t="n"/>
    </row>
    <row r="21">
      <c r="A21" s="22" t="n"/>
      <c r="B21" s="22" t="n"/>
      <c r="C21" s="22" t="n"/>
      <c r="D21" s="22" t="n"/>
      <c r="E21" s="22" t="n"/>
      <c r="F21" s="22" t="n"/>
      <c r="G21" s="22" t="n"/>
      <c r="H21" s="22" t="n"/>
    </row>
    <row r="22">
      <c r="A22" s="22" t="n"/>
      <c r="B22" s="22" t="n"/>
      <c r="C22" s="22" t="n"/>
      <c r="D22" s="22" t="n"/>
      <c r="E22" s="22" t="n"/>
      <c r="F22" s="22" t="n"/>
      <c r="G22" s="22" t="n"/>
      <c r="H22" s="22" t="n"/>
    </row>
    <row r="23">
      <c r="A23" s="22" t="n"/>
      <c r="B23" s="22" t="n"/>
      <c r="C23" s="22" t="n"/>
      <c r="D23" s="22" t="n"/>
      <c r="E23" s="22" t="n"/>
      <c r="F23" s="22" t="n"/>
      <c r="G23" s="22" t="n"/>
      <c r="H23" s="22" t="n"/>
    </row>
    <row r="24">
      <c r="A24" s="22" t="n"/>
      <c r="B24" s="22" t="n"/>
      <c r="C24" s="22" t="n"/>
      <c r="D24" s="22" t="n"/>
      <c r="E24" s="22" t="n"/>
      <c r="F24" s="22" t="n"/>
      <c r="G24" s="22" t="n"/>
      <c r="H24" s="22" t="n"/>
    </row>
    <row r="25">
      <c r="A25" s="22" t="n"/>
      <c r="B25" s="22" t="n"/>
      <c r="C25" s="22" t="n"/>
      <c r="D25" s="22" t="n"/>
      <c r="E25" s="22" t="n"/>
      <c r="F25" s="22" t="n"/>
      <c r="G25" s="22" t="n"/>
      <c r="H25" s="22" t="n"/>
    </row>
    <row r="26">
      <c r="A26" s="22" t="n"/>
      <c r="B26" s="22" t="n"/>
      <c r="C26" s="22" t="n"/>
      <c r="D26" s="22" t="n"/>
      <c r="E26" s="22" t="n"/>
      <c r="F26" s="22" t="n"/>
      <c r="G26" s="22" t="n"/>
      <c r="H26" s="22" t="n"/>
    </row>
    <row r="27">
      <c r="A27" s="22" t="n"/>
      <c r="B27" s="22" t="n"/>
      <c r="C27" s="22" t="n"/>
      <c r="D27" s="22" t="n"/>
      <c r="E27" s="22" t="n"/>
      <c r="F27" s="22" t="n"/>
      <c r="G27" s="22" t="n"/>
      <c r="H27" s="22" t="n"/>
    </row>
    <row r="28">
      <c r="A28" s="22" t="n"/>
      <c r="B28" s="22" t="n"/>
      <c r="C28" s="22" t="n"/>
      <c r="D28" s="22" t="n"/>
      <c r="E28" s="22" t="n"/>
      <c r="F28" s="22" t="n"/>
      <c r="G28" s="22" t="n"/>
      <c r="H28" s="22" t="n"/>
    </row>
    <row r="29">
      <c r="A29" s="22" t="n"/>
      <c r="B29" s="22" t="n"/>
      <c r="C29" s="22" t="n"/>
      <c r="D29" s="22" t="n"/>
      <c r="E29" s="22" t="n"/>
      <c r="F29" s="22" t="n"/>
      <c r="G29" s="22" t="n"/>
      <c r="H29" s="22" t="n"/>
    </row>
    <row r="30">
      <c r="A30" s="22" t="n"/>
      <c r="B30" s="22" t="n"/>
      <c r="C30" s="22" t="n"/>
      <c r="D30" s="22" t="n"/>
      <c r="E30" s="22" t="n"/>
      <c r="F30" s="22" t="n"/>
      <c r="G30" s="22" t="n"/>
      <c r="H30" s="22" t="n"/>
    </row>
    <row r="31">
      <c r="A31" s="22" t="n"/>
      <c r="B31" s="22" t="n"/>
      <c r="C31" s="22" t="n"/>
      <c r="D31" s="22" t="n"/>
      <c r="E31" s="22" t="n"/>
      <c r="F31" s="22" t="n"/>
      <c r="G31" s="22" t="n"/>
      <c r="H31" s="22" t="n"/>
    </row>
    <row r="32">
      <c r="A32" s="22" t="n"/>
      <c r="B32" s="22" t="n"/>
      <c r="C32" s="22" t="n"/>
      <c r="D32" s="22" t="n"/>
      <c r="E32" s="22" t="n"/>
      <c r="F32" s="22" t="n"/>
      <c r="G32" s="22" t="n"/>
      <c r="H32" s="22" t="n"/>
    </row>
    <row r="33">
      <c r="A33" s="22" t="n"/>
      <c r="B33" s="22" t="n"/>
      <c r="C33" s="22" t="n"/>
      <c r="D33" s="22" t="n"/>
      <c r="E33" s="22" t="n"/>
      <c r="F33" s="22" t="n"/>
      <c r="G33" s="22" t="n"/>
      <c r="H33" s="22" t="n"/>
    </row>
    <row r="34">
      <c r="A34" s="22" t="n"/>
      <c r="B34" s="22" t="n"/>
      <c r="C34" s="22" t="n"/>
      <c r="D34" s="22" t="n"/>
      <c r="E34" s="22" t="n"/>
      <c r="F34" s="22" t="n"/>
      <c r="G34" s="22" t="n"/>
      <c r="H34" s="22" t="n"/>
    </row>
    <row r="35">
      <c r="A35" s="22" t="n"/>
      <c r="B35" s="22" t="n"/>
      <c r="C35" s="22" t="n"/>
      <c r="D35" s="22" t="n"/>
      <c r="E35" s="22" t="n"/>
      <c r="F35" s="22" t="n"/>
      <c r="G35" s="22" t="n"/>
      <c r="H35" s="22" t="n"/>
    </row>
    <row r="36">
      <c r="A36" s="22" t="n"/>
      <c r="B36" s="22" t="n"/>
      <c r="C36" s="22" t="n"/>
      <c r="D36" s="22" t="n"/>
      <c r="E36" s="22" t="n"/>
      <c r="F36" s="22" t="n"/>
      <c r="G36" s="22" t="n"/>
      <c r="H36" s="22" t="n"/>
    </row>
    <row r="37">
      <c r="A37" s="22" t="n"/>
      <c r="B37" s="22" t="n"/>
      <c r="C37" s="22" t="n"/>
      <c r="D37" s="22" t="n"/>
      <c r="E37" s="22" t="n"/>
      <c r="F37" s="22" t="n"/>
      <c r="G37" s="22" t="n"/>
      <c r="H37" s="22" t="n"/>
    </row>
    <row r="38">
      <c r="A38" s="22" t="n"/>
      <c r="B38" s="22" t="n"/>
      <c r="C38" s="22" t="n"/>
      <c r="D38" s="22" t="n"/>
      <c r="E38" s="22" t="n"/>
      <c r="F38" s="22" t="n"/>
      <c r="G38" s="22" t="n"/>
      <c r="H38" s="22" t="n"/>
    </row>
    <row r="39">
      <c r="A39" s="22" t="n"/>
      <c r="B39" s="22" t="n"/>
      <c r="C39" s="22" t="n"/>
      <c r="D39" s="22" t="n"/>
      <c r="E39" s="22" t="n"/>
      <c r="F39" s="22" t="n"/>
      <c r="G39" s="22" t="n"/>
      <c r="H39" s="22" t="n"/>
    </row>
    <row r="40">
      <c r="A40" s="22" t="n"/>
      <c r="B40" s="22" t="n"/>
      <c r="C40" s="22" t="n"/>
      <c r="D40" s="22" t="n"/>
      <c r="E40" s="22" t="n"/>
      <c r="F40" s="22" t="n"/>
      <c r="G40" s="22" t="n"/>
      <c r="H40" s="22" t="n"/>
    </row>
    <row r="41">
      <c r="A41" s="22" t="n"/>
      <c r="B41" s="22" t="n"/>
      <c r="C41" s="22" t="n"/>
      <c r="D41" s="22" t="n"/>
      <c r="E41" s="22" t="n"/>
      <c r="F41" s="22" t="n"/>
      <c r="G41" s="22" t="n"/>
      <c r="H41" s="22" t="n"/>
    </row>
    <row r="42">
      <c r="A42" s="22" t="n"/>
      <c r="B42" s="22" t="n"/>
      <c r="C42" s="22" t="n"/>
      <c r="D42" s="22" t="n"/>
      <c r="E42" s="22" t="n"/>
      <c r="F42" s="22" t="n"/>
      <c r="G42" s="22" t="n"/>
      <c r="H42" s="22" t="n"/>
    </row>
    <row r="43">
      <c r="A43" s="22" t="n"/>
      <c r="B43" s="22" t="n"/>
      <c r="C43" s="22" t="n"/>
      <c r="D43" s="22" t="n"/>
      <c r="E43" s="22" t="n"/>
      <c r="F43" s="22" t="n"/>
      <c r="G43" s="22" t="n"/>
      <c r="H43" s="22" t="n"/>
    </row>
    <row r="44">
      <c r="A44" s="22" t="n"/>
      <c r="B44" s="22" t="n"/>
      <c r="C44" s="22" t="n"/>
      <c r="D44" s="22" t="n"/>
      <c r="E44" s="22" t="n"/>
      <c r="F44" s="22" t="n"/>
      <c r="G44" s="22" t="n"/>
      <c r="H44" s="22" t="n"/>
    </row>
    <row r="45">
      <c r="A45" s="22" t="n"/>
      <c r="B45" s="22" t="n"/>
      <c r="C45" s="22" t="n"/>
      <c r="D45" s="22" t="n"/>
      <c r="E45" s="22" t="n"/>
      <c r="F45" s="22" t="n"/>
      <c r="G45" s="22" t="n"/>
      <c r="H45" s="22" t="n"/>
    </row>
    <row r="46">
      <c r="A46" s="22" t="n"/>
      <c r="B46" s="22" t="n"/>
      <c r="C46" s="22" t="n"/>
      <c r="D46" s="22" t="n"/>
      <c r="E46" s="22" t="n"/>
      <c r="F46" s="22" t="n"/>
      <c r="G46" s="22" t="n"/>
      <c r="H46" s="22" t="n"/>
    </row>
    <row r="47">
      <c r="A47" s="22" t="n"/>
      <c r="B47" s="22" t="n"/>
      <c r="C47" s="22" t="n"/>
      <c r="D47" s="22" t="n"/>
      <c r="E47" s="22" t="n"/>
      <c r="F47" s="22" t="n"/>
      <c r="G47" s="22" t="n"/>
      <c r="H47" s="22" t="n"/>
    </row>
    <row r="48">
      <c r="A48" s="22" t="n"/>
      <c r="B48" s="22" t="n"/>
      <c r="C48" s="22" t="n"/>
      <c r="D48" s="22" t="n"/>
      <c r="E48" s="22" t="n"/>
      <c r="F48" s="22" t="n"/>
      <c r="G48" s="22" t="n"/>
      <c r="H48" s="22" t="n"/>
    </row>
    <row r="49">
      <c r="A49" s="22" t="n"/>
      <c r="B49" s="22" t="n"/>
      <c r="C49" s="22" t="n"/>
      <c r="D49" s="22" t="n"/>
      <c r="E49" s="22" t="n"/>
      <c r="F49" s="22" t="n"/>
      <c r="G49" s="22" t="n"/>
      <c r="H49" s="22" t="n"/>
    </row>
    <row r="50">
      <c r="A50" s="22" t="n"/>
      <c r="B50" s="22" t="n"/>
      <c r="C50" s="22" t="n"/>
      <c r="D50" s="22" t="n"/>
      <c r="E50" s="22" t="n"/>
      <c r="F50" s="22" t="n"/>
      <c r="G50" s="22" t="n"/>
      <c r="H50" s="22" t="n"/>
    </row>
    <row r="51">
      <c r="A51" s="22" t="n"/>
      <c r="B51" s="22" t="n"/>
      <c r="C51" s="22" t="n"/>
      <c r="D51" s="22" t="n"/>
      <c r="E51" s="22" t="n"/>
      <c r="F51" s="22" t="n"/>
      <c r="G51" s="22" t="n"/>
      <c r="H51" s="22" t="n"/>
    </row>
    <row r="52">
      <c r="A52" s="22" t="n"/>
      <c r="B52" s="22" t="n"/>
      <c r="C52" s="22" t="n"/>
      <c r="D52" s="22" t="n"/>
      <c r="E52" s="22" t="n"/>
      <c r="F52" s="22" t="n"/>
      <c r="G52" s="22" t="n"/>
      <c r="H52" s="22" t="n"/>
    </row>
    <row r="53">
      <c r="A53" s="22" t="n"/>
      <c r="B53" s="22" t="n"/>
      <c r="C53" s="22" t="n"/>
      <c r="D53" s="22" t="n"/>
      <c r="E53" s="22" t="n"/>
      <c r="F53" s="22" t="n"/>
      <c r="G53" s="22" t="n"/>
      <c r="H53" s="22" t="n"/>
    </row>
    <row r="54">
      <c r="A54" s="22" t="n"/>
      <c r="B54" s="22" t="n"/>
      <c r="C54" s="22" t="n"/>
      <c r="D54" s="22" t="n"/>
      <c r="E54" s="22" t="n"/>
      <c r="F54" s="22" t="n"/>
      <c r="G54" s="22" t="n"/>
      <c r="H54" s="22" t="n"/>
    </row>
    <row r="55">
      <c r="A55" s="22" t="n"/>
      <c r="B55" s="22" t="n"/>
      <c r="C55" s="22" t="n"/>
      <c r="D55" s="22" t="n"/>
      <c r="E55" s="22" t="n"/>
      <c r="F55" s="22" t="n"/>
      <c r="G55" s="22" t="n"/>
      <c r="H55" s="22" t="n"/>
    </row>
    <row r="56">
      <c r="A56" s="22" t="n"/>
      <c r="B56" s="22" t="n"/>
      <c r="C56" s="22" t="n"/>
      <c r="D56" s="22" t="n"/>
      <c r="E56" s="22" t="n"/>
      <c r="F56" s="22" t="n"/>
      <c r="G56" s="22" t="n"/>
      <c r="H56" s="22" t="n"/>
    </row>
    <row r="57">
      <c r="A57" s="22" t="n"/>
      <c r="B57" s="22" t="n"/>
      <c r="C57" s="22" t="n"/>
      <c r="D57" s="22" t="n"/>
      <c r="E57" s="22" t="n"/>
      <c r="F57" s="22" t="n"/>
      <c r="G57" s="22" t="n"/>
      <c r="H57" s="22" t="n"/>
    </row>
    <row r="58">
      <c r="A58" s="22" t="n"/>
      <c r="B58" s="22" t="n"/>
      <c r="C58" s="22" t="n"/>
      <c r="D58" s="22" t="n"/>
      <c r="E58" s="22" t="n"/>
      <c r="F58" s="22" t="n"/>
      <c r="G58" s="22" t="n"/>
      <c r="H58" s="22" t="n"/>
    </row>
    <row r="59">
      <c r="A59" s="22" t="n"/>
      <c r="B59" s="22" t="n"/>
      <c r="C59" s="22" t="n"/>
      <c r="D59" s="22" t="n"/>
      <c r="E59" s="22" t="n"/>
      <c r="F59" s="22" t="n"/>
      <c r="G59" s="22" t="n"/>
      <c r="H59" s="22" t="n"/>
    </row>
    <row r="60">
      <c r="A60" s="22" t="n"/>
      <c r="B60" s="22" t="n"/>
      <c r="C60" s="22" t="n"/>
      <c r="D60" s="22" t="n"/>
      <c r="E60" s="22" t="n"/>
      <c r="F60" s="22" t="n"/>
      <c r="G60" s="22" t="n"/>
      <c r="H60" s="22" t="n"/>
    </row>
    <row r="61">
      <c r="A61" s="22" t="n"/>
      <c r="B61" s="22" t="n"/>
      <c r="C61" s="22" t="n"/>
      <c r="D61" s="22" t="n"/>
      <c r="E61" s="22" t="n"/>
      <c r="F61" s="22" t="n"/>
      <c r="G61" s="22" t="n"/>
      <c r="H61" s="22" t="n"/>
    </row>
    <row r="62">
      <c r="A62" s="22" t="n"/>
      <c r="B62" s="22" t="n"/>
      <c r="C62" s="22" t="n"/>
      <c r="D62" s="22" t="n"/>
      <c r="E62" s="22" t="n"/>
      <c r="F62" s="22" t="n"/>
      <c r="G62" s="22" t="n"/>
      <c r="H62" s="22" t="n"/>
    </row>
    <row r="63">
      <c r="A63" s="22" t="n"/>
      <c r="B63" s="22" t="n"/>
      <c r="C63" s="22" t="n"/>
      <c r="D63" s="22" t="n"/>
      <c r="E63" s="22" t="n"/>
      <c r="F63" s="22" t="n"/>
      <c r="G63" s="22" t="n"/>
      <c r="H63" s="22" t="n"/>
    </row>
    <row r="64">
      <c r="A64" s="22" t="n"/>
      <c r="B64" s="22" t="n"/>
      <c r="C64" s="22" t="n"/>
      <c r="D64" s="22" t="n"/>
      <c r="E64" s="22" t="n"/>
      <c r="F64" s="22" t="n"/>
      <c r="G64" s="22" t="n"/>
      <c r="H64" s="22" t="n"/>
    </row>
    <row r="65">
      <c r="A65" s="22" t="n"/>
      <c r="B65" s="22" t="n"/>
      <c r="C65" s="22" t="n"/>
      <c r="D65" s="22" t="n"/>
      <c r="E65" s="22" t="n"/>
      <c r="F65" s="22" t="n"/>
      <c r="G65" s="22" t="n"/>
      <c r="H65" s="22" t="n"/>
    </row>
    <row r="66">
      <c r="A66" s="22" t="n"/>
      <c r="B66" s="22" t="n"/>
      <c r="C66" s="22" t="n"/>
      <c r="D66" s="22" t="n"/>
      <c r="E66" s="22" t="n"/>
      <c r="F66" s="22" t="n"/>
      <c r="G66" s="22" t="n"/>
      <c r="H66" s="22" t="n"/>
    </row>
    <row r="67">
      <c r="A67" s="22" t="n"/>
      <c r="B67" s="22" t="n"/>
      <c r="C67" s="22" t="n"/>
      <c r="D67" s="22" t="n"/>
      <c r="E67" s="22" t="n"/>
      <c r="F67" s="22" t="n"/>
      <c r="G67" s="22" t="n"/>
      <c r="H67" s="22" t="n"/>
    </row>
    <row r="68">
      <c r="A68" s="22" t="n"/>
      <c r="B68" s="22" t="n"/>
      <c r="C68" s="22" t="n"/>
      <c r="D68" s="22" t="n"/>
      <c r="E68" s="22" t="n"/>
      <c r="F68" s="22" t="n"/>
      <c r="G68" s="22" t="n"/>
      <c r="H68" s="22" t="n"/>
    </row>
    <row r="69">
      <c r="A69" s="22" t="n"/>
      <c r="B69" s="22" t="n"/>
      <c r="C69" s="22" t="n"/>
      <c r="D69" s="22" t="n"/>
      <c r="E69" s="22" t="n"/>
      <c r="F69" s="22" t="n"/>
      <c r="G69" s="22" t="n"/>
      <c r="H69" s="22" t="n"/>
    </row>
    <row r="70">
      <c r="A70" s="22" t="n"/>
      <c r="B70" s="22" t="n"/>
      <c r="C70" s="22" t="n"/>
      <c r="D70" s="22" t="n"/>
      <c r="E70" s="22" t="n"/>
      <c r="F70" s="22" t="n"/>
      <c r="G70" s="22" t="n"/>
      <c r="H70" s="22" t="n"/>
    </row>
    <row r="71">
      <c r="A71" s="22" t="n"/>
      <c r="B71" s="22" t="n"/>
      <c r="C71" s="22" t="n"/>
      <c r="D71" s="22" t="n"/>
      <c r="E71" s="22" t="n"/>
      <c r="F71" s="22" t="n"/>
      <c r="G71" s="22" t="n"/>
      <c r="H71" s="22" t="n"/>
    </row>
    <row r="72">
      <c r="A72" s="22" t="n"/>
      <c r="B72" s="22" t="n"/>
      <c r="C72" s="22" t="n"/>
      <c r="D72" s="22" t="n"/>
      <c r="E72" s="22" t="n"/>
      <c r="F72" s="22" t="n"/>
      <c r="G72" s="22" t="n"/>
      <c r="H72" s="22" t="n"/>
    </row>
    <row r="73">
      <c r="A73" s="22" t="n"/>
      <c r="B73" s="22" t="n"/>
      <c r="C73" s="22" t="n"/>
      <c r="D73" s="22" t="n"/>
      <c r="E73" s="22" t="n"/>
      <c r="F73" s="22" t="n"/>
      <c r="G73" s="22" t="n"/>
      <c r="H73" s="22" t="n"/>
    </row>
    <row r="74">
      <c r="A74" s="22" t="n"/>
      <c r="B74" s="22" t="n"/>
      <c r="C74" s="22" t="n"/>
      <c r="D74" s="22" t="n"/>
      <c r="E74" s="22" t="n"/>
      <c r="F74" s="22" t="n"/>
      <c r="G74" s="22" t="n"/>
      <c r="H74" s="22" t="n"/>
    </row>
    <row r="75">
      <c r="A75" s="22" t="n"/>
      <c r="B75" s="22" t="n"/>
      <c r="C75" s="22" t="n"/>
      <c r="D75" s="22" t="n"/>
      <c r="E75" s="22" t="n"/>
      <c r="F75" s="22" t="n"/>
      <c r="G75" s="22" t="n"/>
      <c r="H75" s="22" t="n"/>
    </row>
    <row r="76">
      <c r="A76" s="22" t="n"/>
      <c r="B76" s="22" t="n"/>
      <c r="C76" s="22" t="n"/>
      <c r="D76" s="22" t="n"/>
      <c r="E76" s="22" t="n"/>
      <c r="F76" s="22" t="n"/>
      <c r="G76" s="22" t="n"/>
      <c r="H76" s="22" t="n"/>
    </row>
    <row r="77">
      <c r="A77" s="22" t="n"/>
      <c r="B77" s="22" t="n"/>
      <c r="C77" s="22" t="n"/>
      <c r="D77" s="22" t="n"/>
      <c r="E77" s="22" t="n"/>
      <c r="F77" s="22" t="n"/>
      <c r="G77" s="22" t="n"/>
      <c r="H77" s="22" t="n"/>
    </row>
    <row r="78">
      <c r="A78" s="22" t="n"/>
      <c r="B78" s="22" t="n"/>
      <c r="C78" s="22" t="n"/>
      <c r="D78" s="22" t="n"/>
      <c r="E78" s="22" t="n"/>
      <c r="F78" s="22" t="n"/>
      <c r="G78" s="22" t="n"/>
      <c r="H78" s="22" t="n"/>
    </row>
    <row r="79">
      <c r="A79" s="22" t="n"/>
      <c r="B79" s="22" t="n"/>
      <c r="C79" s="22" t="n"/>
      <c r="D79" s="22" t="n"/>
      <c r="E79" s="22" t="n"/>
      <c r="F79" s="22" t="n"/>
      <c r="G79" s="22" t="n"/>
      <c r="H79" s="22" t="n"/>
    </row>
    <row r="80">
      <c r="A80" s="22" t="n"/>
      <c r="B80" s="22" t="n"/>
      <c r="C80" s="22" t="n"/>
      <c r="D80" s="22" t="n"/>
      <c r="E80" s="22" t="n"/>
      <c r="F80" s="22" t="n"/>
      <c r="G80" s="22" t="n"/>
      <c r="H80" s="22" t="n"/>
    </row>
    <row r="81">
      <c r="A81" s="22" t="n"/>
      <c r="B81" s="22" t="n"/>
      <c r="C81" s="22" t="n"/>
      <c r="D81" s="22" t="n"/>
      <c r="E81" s="22" t="n"/>
      <c r="F81" s="22" t="n"/>
      <c r="G81" s="22" t="n"/>
      <c r="H81" s="22" t="n"/>
    </row>
    <row r="82">
      <c r="A82" s="22" t="n"/>
      <c r="B82" s="22" t="n"/>
      <c r="C82" s="22" t="n"/>
      <c r="D82" s="22" t="n"/>
      <c r="E82" s="22" t="n"/>
      <c r="F82" s="22" t="n"/>
      <c r="G82" s="22" t="n"/>
      <c r="H82" s="22" t="n"/>
    </row>
    <row r="83">
      <c r="A83" s="22" t="n"/>
      <c r="B83" s="22" t="n"/>
      <c r="C83" s="22" t="n"/>
      <c r="D83" s="22" t="n"/>
      <c r="E83" s="22" t="n"/>
      <c r="F83" s="22" t="n"/>
      <c r="G83" s="22" t="n"/>
      <c r="H83" s="22" t="n"/>
    </row>
    <row r="84">
      <c r="A84" s="22" t="n"/>
      <c r="B84" s="22" t="n"/>
      <c r="C84" s="22" t="n"/>
      <c r="D84" s="22" t="n"/>
      <c r="E84" s="22" t="n"/>
      <c r="F84" s="22" t="n"/>
      <c r="G84" s="22" t="n"/>
      <c r="H84" s="22" t="n"/>
    </row>
    <row r="85">
      <c r="A85" s="22" t="n"/>
      <c r="B85" s="22" t="n"/>
      <c r="C85" s="22" t="n"/>
      <c r="D85" s="22" t="n"/>
      <c r="E85" s="22" t="n"/>
      <c r="F85" s="22" t="n"/>
      <c r="G85" s="22" t="n"/>
      <c r="H85" s="22" t="n"/>
    </row>
    <row r="86">
      <c r="A86" s="22" t="n"/>
      <c r="B86" s="22" t="n"/>
      <c r="C86" s="22" t="n"/>
      <c r="D86" s="22" t="n"/>
      <c r="E86" s="22" t="n"/>
      <c r="F86" s="22" t="n"/>
      <c r="G86" s="22" t="n"/>
      <c r="H86" s="22" t="n"/>
    </row>
    <row r="87">
      <c r="A87" s="22" t="n"/>
      <c r="B87" s="22" t="n"/>
      <c r="C87" s="22" t="n"/>
      <c r="D87" s="22" t="n"/>
      <c r="E87" s="22" t="n"/>
      <c r="F87" s="22" t="n"/>
      <c r="G87" s="22" t="n"/>
      <c r="H87" s="22" t="n"/>
    </row>
    <row r="88">
      <c r="A88" s="22" t="n"/>
      <c r="B88" s="22" t="n"/>
      <c r="C88" s="22" t="n"/>
      <c r="D88" s="22" t="n"/>
      <c r="E88" s="22" t="n"/>
      <c r="F88" s="22" t="n"/>
      <c r="G88" s="22" t="n"/>
      <c r="H88" s="22" t="n"/>
    </row>
    <row r="89">
      <c r="A89" s="22" t="n"/>
      <c r="B89" s="22" t="n"/>
      <c r="C89" s="22" t="n"/>
      <c r="D89" s="22" t="n"/>
      <c r="E89" s="22" t="n"/>
      <c r="F89" s="22" t="n"/>
      <c r="G89" s="22" t="n"/>
      <c r="H89" s="22" t="n"/>
    </row>
    <row r="90">
      <c r="A90" s="22" t="n"/>
      <c r="B90" s="22" t="n"/>
      <c r="C90" s="22" t="n"/>
      <c r="D90" s="22" t="n"/>
      <c r="E90" s="22" t="n"/>
      <c r="F90" s="22" t="n"/>
      <c r="G90" s="22" t="n"/>
      <c r="H90" s="22" t="n"/>
    </row>
    <row r="91">
      <c r="A91" s="22" t="n"/>
      <c r="B91" s="22" t="n"/>
      <c r="C91" s="22" t="n"/>
      <c r="D91" s="22" t="n"/>
      <c r="E91" s="22" t="n"/>
      <c r="F91" s="22" t="n"/>
      <c r="G91" s="22" t="n"/>
      <c r="H91" s="22" t="n"/>
    </row>
    <row r="92">
      <c r="A92" s="22" t="n"/>
      <c r="B92" s="22" t="n"/>
      <c r="C92" s="22" t="n"/>
      <c r="D92" s="22" t="n"/>
      <c r="E92" s="22" t="n"/>
      <c r="F92" s="22" t="n"/>
      <c r="G92" s="22" t="n"/>
      <c r="H92" s="22" t="n"/>
    </row>
    <row r="93">
      <c r="A93" s="22" t="n"/>
      <c r="B93" s="22" t="n"/>
      <c r="C93" s="22" t="n"/>
      <c r="D93" s="22" t="n"/>
      <c r="E93" s="22" t="n"/>
      <c r="F93" s="22" t="n"/>
      <c r="G93" s="22" t="n"/>
      <c r="H93" s="22" t="n"/>
    </row>
    <row r="94">
      <c r="A94" s="22" t="n"/>
      <c r="B94" s="22" t="n"/>
      <c r="C94" s="22" t="n"/>
      <c r="D94" s="22" t="n"/>
      <c r="E94" s="22" t="n"/>
      <c r="F94" s="22" t="n"/>
      <c r="G94" s="22" t="n"/>
      <c r="H94" s="22" t="n"/>
    </row>
    <row r="95">
      <c r="A95" s="22" t="n"/>
      <c r="B95" s="22" t="n"/>
      <c r="C95" s="22" t="n"/>
      <c r="D95" s="22" t="n"/>
      <c r="E95" s="22" t="n"/>
      <c r="F95" s="22" t="n"/>
      <c r="G95" s="22" t="n"/>
      <c r="H95" s="22" t="n"/>
    </row>
    <row r="96">
      <c r="A96" s="22" t="n"/>
      <c r="B96" s="22" t="n"/>
      <c r="C96" s="22" t="n"/>
      <c r="D96" s="22" t="n"/>
      <c r="E96" s="22" t="n"/>
      <c r="F96" s="22" t="n"/>
      <c r="G96" s="22" t="n"/>
      <c r="H96" s="22" t="n"/>
    </row>
    <row r="97">
      <c r="A97" s="22" t="n"/>
      <c r="B97" s="22" t="n"/>
      <c r="C97" s="22" t="n"/>
      <c r="D97" s="22" t="n"/>
      <c r="E97" s="22" t="n"/>
      <c r="F97" s="22" t="n"/>
      <c r="G97" s="22" t="n"/>
      <c r="H97" s="22" t="n"/>
    </row>
    <row r="98">
      <c r="A98" s="22" t="n"/>
      <c r="B98" s="22" t="n"/>
      <c r="C98" s="22" t="n"/>
      <c r="D98" s="22" t="n"/>
      <c r="E98" s="22" t="n"/>
      <c r="F98" s="22" t="n"/>
      <c r="G98" s="22" t="n"/>
      <c r="H98" s="22" t="n"/>
    </row>
    <row r="99">
      <c r="A99" s="22" t="n"/>
      <c r="B99" s="22" t="n"/>
      <c r="C99" s="22" t="n"/>
      <c r="D99" s="22" t="n"/>
      <c r="E99" s="22" t="n"/>
      <c r="F99" s="22" t="n"/>
      <c r="G99" s="22" t="n"/>
      <c r="H99" s="22" t="n"/>
    </row>
    <row r="100">
      <c r="A100" s="22" t="n"/>
      <c r="B100" s="22" t="n"/>
      <c r="C100" s="22" t="n"/>
      <c r="D100" s="22" t="n"/>
      <c r="E100" s="22" t="n"/>
      <c r="F100" s="22" t="n"/>
      <c r="G100" s="22" t="n"/>
      <c r="H100" s="22" t="n"/>
    </row>
    <row r="101">
      <c r="A101" s="22" t="n"/>
      <c r="B101" s="22" t="n"/>
      <c r="C101" s="22" t="n"/>
      <c r="D101" s="22" t="n"/>
      <c r="E101" s="22" t="n"/>
      <c r="F101" s="22" t="n"/>
      <c r="G101" s="22" t="n"/>
      <c r="H101" s="22" t="n"/>
    </row>
    <row r="102">
      <c r="A102" s="22" t="n"/>
      <c r="B102" s="22" t="n"/>
      <c r="C102" s="22" t="n"/>
      <c r="D102" s="22" t="n"/>
      <c r="E102" s="22" t="n"/>
      <c r="F102" s="22" t="n"/>
      <c r="G102" s="22" t="n"/>
      <c r="H102" s="22" t="n"/>
    </row>
    <row r="103">
      <c r="A103" s="22" t="n"/>
      <c r="B103" s="22" t="n"/>
      <c r="C103" s="22" t="n"/>
      <c r="D103" s="22" t="n"/>
      <c r="E103" s="22" t="n"/>
      <c r="F103" s="22" t="n"/>
      <c r="G103" s="22" t="n"/>
      <c r="H103" s="22" t="n"/>
    </row>
    <row r="104">
      <c r="A104" s="22" t="n"/>
      <c r="B104" s="22" t="n"/>
      <c r="C104" s="22" t="n"/>
      <c r="D104" s="22" t="n"/>
      <c r="E104" s="22" t="n"/>
      <c r="F104" s="22" t="n"/>
      <c r="G104" s="22" t="n"/>
      <c r="H104" s="22" t="n"/>
    </row>
    <row r="105">
      <c r="A105" s="22" t="n"/>
      <c r="B105" s="22" t="n"/>
      <c r="C105" s="22" t="n"/>
      <c r="D105" s="22" t="n"/>
      <c r="E105" s="22" t="n"/>
      <c r="F105" s="22" t="n"/>
      <c r="G105" s="22" t="n"/>
      <c r="H105" s="22" t="n"/>
    </row>
  </sheetData>
  <mergeCells count="2">
    <mergeCell ref="A2:H2"/>
    <mergeCell ref="A1:H1"/>
  </mergeCells>
  <dataValidations count="1">
    <dataValidation sqref="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showDropDown="0" showInputMessage="0" showErrorMessage="0" allowBlank="1" type="list">
      <formula1>"Active,Archived,Superseded,Pending Review"</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26"/>
  <sheetViews>
    <sheetView showGridLines="0" workbookViewId="0">
      <pane ySplit="2" topLeftCell="A3" activePane="bottomLeft" state="frozen"/>
      <selection pane="bottomLeft" activeCell="A1" sqref="A1"/>
    </sheetView>
  </sheetViews>
  <sheetFormatPr baseColWidth="8" defaultRowHeight="15"/>
  <cols>
    <col width="38" customWidth="1" min="1" max="1"/>
    <col width="14" customWidth="1" min="2" max="2"/>
    <col width="14" customWidth="1" min="3" max="3"/>
    <col width="36" customWidth="1" min="4" max="4"/>
    <col width="14" customWidth="1" min="5" max="5"/>
    <col width="14" customWidth="1" min="6" max="6"/>
  </cols>
  <sheetData>
    <row r="1" ht="35" customHeight="1">
      <c r="A1" s="23" t="inlineStr">
        <is>
          <t>EMPLOYMENT CONTRACT ASSESSMENT — SUMMARY DASHBOARD</t>
        </is>
      </c>
    </row>
    <row r="2">
      <c r="A2" s="24" t="inlineStr">
        <is>
          <t>ISO/IEC 27001:2022 | Control A.6.2 | Employment contract clause coverage and compliance summary</t>
        </is>
      </c>
    </row>
    <row r="4">
      <c r="A4" s="25" t="inlineStr">
        <is>
          <t>TABLE 1: CLAUSE COVERAGE DISTRIBUTION</t>
        </is>
      </c>
      <c r="B4" s="26" t="n"/>
      <c r="C4" s="26" t="n"/>
      <c r="D4" s="26" t="n"/>
      <c r="E4" s="26" t="n"/>
      <c r="F4" s="27" t="n"/>
    </row>
    <row r="5">
      <c r="A5" s="28" t="inlineStr">
        <is>
          <t>Required Clause Registry — Column H (Coverage Status), rows 5:74</t>
        </is>
      </c>
      <c r="B5" s="26" t="n"/>
      <c r="C5" s="26" t="n"/>
      <c r="D5" s="26" t="n"/>
      <c r="E5" s="26" t="n"/>
      <c r="F5" s="27" t="n"/>
    </row>
    <row r="6">
      <c r="A6" s="29" t="inlineStr">
        <is>
          <t>Coverage Status</t>
        </is>
      </c>
      <c r="B6" s="29" t="inlineStr">
        <is>
          <t>Count</t>
        </is>
      </c>
      <c r="C6" s="29" t="inlineStr">
        <is>
          <t>% of Total</t>
        </is>
      </c>
    </row>
    <row r="7">
      <c r="A7" s="30" t="inlineStr">
        <is>
          <t>Covered</t>
        </is>
      </c>
      <c r="B7" s="31">
        <f>COUNTIF('Required Clause Registry'!H5:H74,"Covered")</f>
        <v/>
      </c>
      <c r="C7" s="31">
        <f>IF($B$11=0,"—",TEXT(B7/$B$11,"0.0%"))</f>
        <v/>
      </c>
    </row>
    <row r="8">
      <c r="A8" s="30" t="inlineStr">
        <is>
          <t>Partial</t>
        </is>
      </c>
      <c r="B8" s="31">
        <f>COUNTIF('Required Clause Registry'!H5:H74,"Partial")</f>
        <v/>
      </c>
      <c r="C8" s="31">
        <f>IF($B$11=0,"—",TEXT(B8/$B$11,"0.0%"))</f>
        <v/>
      </c>
    </row>
    <row r="9">
      <c r="A9" s="30" t="inlineStr">
        <is>
          <t>Not-Covered</t>
        </is>
      </c>
      <c r="B9" s="31">
        <f>COUNTIF('Required Clause Registry'!H5:H74,"Not-Covered")</f>
        <v/>
      </c>
      <c r="C9" s="31">
        <f>IF($B$11=0,"—",TEXT(B9/$B$11,"0.0%"))</f>
        <v/>
      </c>
    </row>
    <row r="10">
      <c r="A10" s="30" t="inlineStr">
        <is>
          <t>N/A</t>
        </is>
      </c>
      <c r="B10" s="31">
        <f>COUNTIF('Required Clause Registry'!H5:H74,"N/A")</f>
        <v/>
      </c>
      <c r="C10" s="31">
        <f>IF($B$11=0,"—",TEXT(B10/$B$11,"0.0%"))</f>
        <v/>
      </c>
    </row>
    <row r="11">
      <c r="A11" s="32" t="inlineStr">
        <is>
          <t>TOTAL</t>
        </is>
      </c>
      <c r="B11" s="33">
        <f>SUM(B7:B10)</f>
        <v/>
      </c>
      <c r="C11" s="33" t="inlineStr">
        <is>
          <t>—</t>
        </is>
      </c>
    </row>
    <row r="13">
      <c r="A13" s="25" t="inlineStr">
        <is>
          <t>TABLE 2: KEY METRICS</t>
        </is>
      </c>
      <c r="B13" s="26" t="n"/>
      <c r="C13" s="26" t="n"/>
      <c r="D13" s="26" t="n"/>
      <c r="E13" s="26" t="n"/>
      <c r="F13" s="27" t="n"/>
    </row>
    <row r="14">
      <c r="A14" s="34" t="inlineStr">
        <is>
          <t>KPI Metric</t>
        </is>
      </c>
      <c r="B14" s="34" t="inlineStr">
        <is>
          <t>Value</t>
        </is>
      </c>
      <c r="C14" s="35" t="inlineStr">
        <is>
          <t>Notes</t>
        </is>
      </c>
      <c r="D14" s="26" t="n"/>
      <c r="E14" s="26" t="n"/>
      <c r="F14" s="27" t="n"/>
    </row>
    <row r="15">
      <c r="A15" s="30" t="inlineStr">
        <is>
          <t>Total Clause Types Assessed</t>
        </is>
      </c>
      <c r="B15" s="31">
        <f>COUNTA('Required Clause Registry'!B5:B74)</f>
        <v/>
      </c>
      <c r="C15" s="30" t="inlineStr">
        <is>
          <t>All clause categories in Required Clause Registry</t>
        </is>
      </c>
      <c r="D15" s="26" t="n"/>
      <c r="E15" s="26" t="n"/>
      <c r="F15" s="27" t="n"/>
    </row>
    <row r="16">
      <c r="A16" s="30" t="inlineStr">
        <is>
          <t>Clauses Fully Covered</t>
        </is>
      </c>
      <c r="B16" s="31">
        <f>COUNTIF('Required Clause Registry'!H5:H74,"Covered")</f>
        <v/>
      </c>
      <c r="C16" s="30" t="inlineStr">
        <is>
          <t>Clause types with full coverage across contract templates</t>
        </is>
      </c>
      <c r="D16" s="26" t="n"/>
      <c r="E16" s="26" t="n"/>
      <c r="F16" s="27" t="n"/>
    </row>
    <row r="17">
      <c r="A17" s="30" t="inlineStr">
        <is>
          <t>Partial Coverage</t>
        </is>
      </c>
      <c r="B17" s="31">
        <f>COUNTIF('Required Clause Registry'!H5:H74,"Partial")</f>
        <v/>
      </c>
      <c r="C17" s="30" t="inlineStr">
        <is>
          <t>Clause types with partial coverage — review for gaps</t>
        </is>
      </c>
      <c r="D17" s="26" t="n"/>
      <c r="E17" s="26" t="n"/>
      <c r="F17" s="27" t="n"/>
    </row>
    <row r="18">
      <c r="A18" s="30" t="inlineStr">
        <is>
          <t>Clauses Not Covered</t>
        </is>
      </c>
      <c r="B18" s="31">
        <f>COUNTIF('Required Clause Registry'!H5:H74,"Not-Covered")</f>
        <v/>
      </c>
      <c r="C18" s="30" t="inlineStr">
        <is>
          <t>Mandatory clause types with no coverage — highest risk</t>
        </is>
      </c>
      <c r="D18" s="26" t="n"/>
      <c r="E18" s="26" t="n"/>
      <c r="F18" s="27" t="n"/>
    </row>
    <row r="19">
      <c r="A19" s="30" t="inlineStr">
        <is>
          <t>Critical Gaps Identified</t>
        </is>
      </c>
      <c r="B19" s="31">
        <f>COUNTIF('Gap Analysis'!F5:F104,"Critical")</f>
        <v/>
      </c>
      <c r="C19" s="30" t="inlineStr">
        <is>
          <t>Critical-risk gaps in Gap Analysis sheet</t>
        </is>
      </c>
      <c r="D19" s="26" t="n"/>
      <c r="E19" s="26" t="n"/>
      <c r="F19" s="27" t="n"/>
    </row>
    <row r="20">
      <c r="A20" s="30" t="inlineStr">
        <is>
          <t>Open Remediation Actions</t>
        </is>
      </c>
      <c r="B20" s="31">
        <f>COUNTIF('Gap Analysis'!N5:N104,"Not-Started")+COUNTIF('Gap Analysis'!N5:N104,"In-Progress")</f>
        <v/>
      </c>
      <c r="C20" s="30" t="inlineStr">
        <is>
          <t>Gaps not yet resolved (Not-Started + In-Progress)</t>
        </is>
      </c>
      <c r="D20" s="26" t="n"/>
      <c r="E20" s="26" t="n"/>
      <c r="F20" s="27" t="n"/>
    </row>
    <row r="22">
      <c r="A22" s="36" t="inlineStr">
        <is>
          <t>TABLE 3: CRITICAL FINDINGS</t>
        </is>
      </c>
      <c r="B22" s="26" t="n"/>
      <c r="C22" s="26" t="n"/>
      <c r="D22" s="26" t="n"/>
      <c r="E22" s="26" t="n"/>
      <c r="F22" s="27" t="n"/>
    </row>
    <row r="23">
      <c r="A23" s="34" t="inlineStr">
        <is>
          <t>Finding</t>
        </is>
      </c>
      <c r="B23" s="34" t="inlineStr">
        <is>
          <t>Count</t>
        </is>
      </c>
      <c r="C23" s="35" t="inlineStr">
        <is>
          <t>Action Required</t>
        </is>
      </c>
      <c r="D23" s="26" t="n"/>
      <c r="E23" s="26" t="n"/>
      <c r="F23" s="27" t="n"/>
    </row>
    <row r="24">
      <c r="A24" s="37" t="inlineStr">
        <is>
          <t>Clauses Not Covered</t>
        </is>
      </c>
      <c r="B24" s="38">
        <f>COUNTIF('Required Clause Registry'!H5:H74,"Not-Covered")</f>
        <v/>
      </c>
      <c r="C24" s="39" t="inlineStr">
        <is>
          <t>Update contract templates to include all mandatory clauses immediately</t>
        </is>
      </c>
      <c r="D24" s="26" t="n"/>
      <c r="E24" s="26" t="n"/>
      <c r="F24" s="27" t="n"/>
    </row>
    <row r="25">
      <c r="A25" s="37" t="inlineStr">
        <is>
          <t>Clauses with Partial Coverage</t>
        </is>
      </c>
      <c r="B25" s="38">
        <f>COUNTIF('Required Clause Registry'!H5:H74,"Partial")</f>
        <v/>
      </c>
      <c r="C25" s="39" t="inlineStr">
        <is>
          <t>Complete partial clauses — specify missing content and assign owner</t>
        </is>
      </c>
      <c r="D25" s="26" t="n"/>
      <c r="E25" s="26" t="n"/>
      <c r="F25" s="27" t="n"/>
    </row>
    <row r="26">
      <c r="A26" s="37" t="inlineStr">
        <is>
          <t>Critical Contract Gaps</t>
        </is>
      </c>
      <c r="B26" s="38">
        <f>COUNTIF('Gap Analysis'!F5:F104,"Critical")</f>
        <v/>
      </c>
      <c r="C26" s="39" t="inlineStr">
        <is>
          <t>Address all critical-risk gaps in Gap Analysis — assign remediation owner</t>
        </is>
      </c>
      <c r="D26" s="26" t="n"/>
      <c r="E26" s="26" t="n"/>
      <c r="F26" s="27" t="n"/>
    </row>
  </sheetData>
  <mergeCells count="17">
    <mergeCell ref="A2:F2"/>
    <mergeCell ref="C18:F18"/>
    <mergeCell ref="C17:F17"/>
    <mergeCell ref="C23:F23"/>
    <mergeCell ref="A13:F13"/>
    <mergeCell ref="A1:F1"/>
    <mergeCell ref="A5:F5"/>
    <mergeCell ref="C20:F20"/>
    <mergeCell ref="C26:F26"/>
    <mergeCell ref="C16:F16"/>
    <mergeCell ref="A22:F22"/>
    <mergeCell ref="C15:F15"/>
    <mergeCell ref="A4:F4"/>
    <mergeCell ref="C25:F25"/>
    <mergeCell ref="C24:F24"/>
    <mergeCell ref="C19:F19"/>
    <mergeCell ref="C14:F14"/>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38"/>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20" customWidth="1" min="5" max="5"/>
  </cols>
  <sheetData>
    <row r="1" ht="35" customHeight="1">
      <c r="A1" s="40" t="inlineStr">
        <is>
          <t>ASSESSMENT APPROVAL AND SIGN-OFF</t>
        </is>
      </c>
      <c r="B1" s="6" t="n"/>
      <c r="C1" s="6" t="n"/>
      <c r="D1" s="6" t="n"/>
      <c r="E1" s="6" t="n"/>
    </row>
    <row r="2">
      <c r="A2" s="41" t="inlineStr">
        <is>
          <t>ISO/IEC 27001:2022 - Control A.5.1-2-6.1-2: Secure Employment and Roles</t>
        </is>
      </c>
      <c r="B2" s="6" t="n"/>
      <c r="C2" s="6" t="n"/>
      <c r="D2" s="6" t="n"/>
      <c r="E2" s="6" t="n"/>
    </row>
    <row r="3">
      <c r="A3" s="42" t="inlineStr">
        <is>
          <t>ASSESSMENT SUMMARY</t>
        </is>
      </c>
      <c r="B3" s="6" t="n"/>
      <c r="C3" s="6" t="n"/>
      <c r="D3" s="6" t="n"/>
      <c r="E3" s="6" t="n"/>
    </row>
    <row r="4">
      <c r="A4" s="3" t="inlineStr">
        <is>
          <t>Document:</t>
        </is>
      </c>
      <c r="B4" s="6" t="inlineStr">
        <is>
          <t>ISMS-IMP-A.5.1-2-6.1-2.S4 - Employment Contract Assessment</t>
        </is>
      </c>
      <c r="C4" s="6" t="n"/>
      <c r="D4" s="6" t="n"/>
      <c r="E4" s="6" t="n"/>
    </row>
    <row r="5">
      <c r="A5" s="3" t="inlineStr">
        <is>
          <t>Assessment Period:</t>
        </is>
      </c>
      <c r="B5" s="43" t="inlineStr"/>
      <c r="C5" s="6" t="n"/>
      <c r="D5" s="6" t="n"/>
      <c r="E5" s="6" t="n"/>
    </row>
    <row r="6">
      <c r="A6" s="3" t="inlineStr">
        <is>
          <t>Overall Compliance Rating:</t>
        </is>
      </c>
      <c r="B6" s="44">
        <f>IFERROR(AVERAGE('Summary Dashboard'!G7:G11),"")</f>
        <v/>
      </c>
      <c r="C6" s="6" t="n"/>
      <c r="D6" s="6" t="n"/>
      <c r="E6" s="6" t="n"/>
    </row>
    <row r="7">
      <c r="A7" s="3" t="inlineStr">
        <is>
          <t>Assessment Status:</t>
        </is>
      </c>
      <c r="B7" s="43" t="inlineStr"/>
      <c r="C7" s="6" t="n"/>
      <c r="D7" s="6" t="n"/>
      <c r="E7" s="6" t="n"/>
    </row>
    <row r="8">
      <c r="A8" s="3" t="inlineStr">
        <is>
          <t>Assessed By:</t>
        </is>
      </c>
      <c r="B8" s="43" t="inlineStr"/>
      <c r="C8" s="6" t="n"/>
      <c r="D8" s="6" t="n"/>
      <c r="E8" s="6" t="n"/>
    </row>
    <row r="11">
      <c r="A11" s="42" t="inlineStr">
        <is>
          <t>COMPLETED BY (ASSESSOR)</t>
        </is>
      </c>
      <c r="B11" s="6" t="n"/>
      <c r="C11" s="6" t="n"/>
      <c r="D11" s="6" t="n"/>
      <c r="E11" s="6" t="n"/>
    </row>
    <row r="12">
      <c r="A12" s="3" t="inlineStr">
        <is>
          <t>Name:</t>
        </is>
      </c>
      <c r="B12" s="43" t="n"/>
      <c r="C12" s="6" t="n"/>
      <c r="D12" s="6" t="n"/>
      <c r="E12" s="6" t="n"/>
    </row>
    <row r="13">
      <c r="A13" s="3" t="inlineStr">
        <is>
          <t>Title:</t>
        </is>
      </c>
      <c r="B13" s="43" t="n"/>
      <c r="C13" s="6" t="n"/>
      <c r="D13" s="6" t="n"/>
      <c r="E13" s="6" t="n"/>
    </row>
    <row r="14">
      <c r="A14" s="3" t="inlineStr">
        <is>
          <t>Date:</t>
        </is>
      </c>
      <c r="B14" s="43" t="n"/>
      <c r="C14" s="6" t="n"/>
      <c r="D14" s="6" t="n"/>
      <c r="E14" s="6" t="n"/>
    </row>
    <row r="15">
      <c r="A15" s="3" t="inlineStr">
        <is>
          <t>Signature:</t>
        </is>
      </c>
      <c r="B15" s="43" t="n"/>
      <c r="C15" s="6" t="n"/>
      <c r="D15" s="6" t="n"/>
      <c r="E15" s="6" t="n"/>
    </row>
    <row r="16">
      <c r="A16" s="3" t="inlineStr">
        <is>
          <t>Comments:</t>
        </is>
      </c>
      <c r="B16" s="43" t="n"/>
      <c r="C16" s="6" t="n"/>
      <c r="D16" s="6" t="n"/>
      <c r="E16" s="6" t="n"/>
    </row>
    <row r="18">
      <c r="A18" s="42" t="inlineStr">
        <is>
          <t>REVIEWED BY (INFORMATION SECURITY OFFICER)</t>
        </is>
      </c>
      <c r="B18" s="6" t="n"/>
      <c r="C18" s="6" t="n"/>
      <c r="D18" s="6" t="n"/>
      <c r="E18" s="6" t="n"/>
    </row>
    <row r="19">
      <c r="A19" s="3" t="inlineStr">
        <is>
          <t>Name:</t>
        </is>
      </c>
      <c r="B19" s="43" t="n"/>
      <c r="C19" s="6" t="n"/>
      <c r="D19" s="6" t="n"/>
      <c r="E19" s="6" t="n"/>
    </row>
    <row r="20">
      <c r="A20" s="3" t="inlineStr">
        <is>
          <t>Title:</t>
        </is>
      </c>
      <c r="B20" s="43" t="n"/>
      <c r="C20" s="6" t="n"/>
      <c r="D20" s="6" t="n"/>
      <c r="E20" s="6" t="n"/>
    </row>
    <row r="21">
      <c r="A21" s="3" t="inlineStr">
        <is>
          <t>Date:</t>
        </is>
      </c>
      <c r="B21" s="43" t="n"/>
      <c r="C21" s="6" t="n"/>
      <c r="D21" s="6" t="n"/>
      <c r="E21" s="6" t="n"/>
    </row>
    <row r="22">
      <c r="A22" s="3" t="inlineStr">
        <is>
          <t>Signature:</t>
        </is>
      </c>
      <c r="B22" s="43" t="n"/>
      <c r="C22" s="6" t="n"/>
      <c r="D22" s="6" t="n"/>
      <c r="E22" s="6" t="n"/>
    </row>
    <row r="23">
      <c r="A23" s="3" t="inlineStr">
        <is>
          <t>Comments:</t>
        </is>
      </c>
      <c r="B23" s="43" t="n"/>
      <c r="C23" s="6" t="n"/>
      <c r="D23" s="6" t="n"/>
      <c r="E23" s="6" t="n"/>
    </row>
    <row r="25">
      <c r="A25" s="45" t="inlineStr">
        <is>
          <t>APPROVED BY (CISO)</t>
        </is>
      </c>
      <c r="B25" s="6" t="n"/>
      <c r="C25" s="6" t="n"/>
      <c r="D25" s="6" t="n"/>
      <c r="E25" s="6" t="n"/>
    </row>
    <row r="26">
      <c r="A26" s="3" t="inlineStr">
        <is>
          <t>Name:</t>
        </is>
      </c>
      <c r="B26" s="43" t="n"/>
      <c r="C26" s="6" t="n"/>
      <c r="D26" s="6" t="n"/>
      <c r="E26" s="6" t="n"/>
    </row>
    <row r="27">
      <c r="A27" s="3" t="inlineStr">
        <is>
          <t>Title:</t>
        </is>
      </c>
      <c r="B27" s="43" t="n"/>
      <c r="C27" s="6" t="n"/>
      <c r="D27" s="6" t="n"/>
      <c r="E27" s="6" t="n"/>
    </row>
    <row r="28">
      <c r="A28" s="3" t="inlineStr">
        <is>
          <t>Date:</t>
        </is>
      </c>
      <c r="B28" s="43" t="n"/>
      <c r="C28" s="6" t="n"/>
      <c r="D28" s="6" t="n"/>
      <c r="E28" s="6" t="n"/>
    </row>
    <row r="29">
      <c r="A29" s="3" t="inlineStr">
        <is>
          <t>Signature:</t>
        </is>
      </c>
      <c r="B29" s="43" t="n"/>
      <c r="C29" s="6" t="n"/>
      <c r="D29" s="6" t="n"/>
      <c r="E29" s="6" t="n"/>
    </row>
    <row r="30">
      <c r="A30" s="3" t="inlineStr">
        <is>
          <t>Comments:</t>
        </is>
      </c>
      <c r="B30" s="43" t="n"/>
      <c r="C30" s="6" t="n"/>
      <c r="D30" s="6" t="n"/>
      <c r="E30" s="6" t="n"/>
    </row>
    <row r="32">
      <c r="A32" s="3" t="inlineStr">
        <is>
          <t>FINAL DECISION:</t>
        </is>
      </c>
      <c r="B32" s="43" t="n"/>
      <c r="C32" s="6" t="n"/>
      <c r="D32" s="6" t="n"/>
      <c r="E32" s="6" t="n"/>
    </row>
    <row r="35">
      <c r="A35" s="42" t="inlineStr">
        <is>
          <t>NEXT REVIEW DETAILS</t>
        </is>
      </c>
      <c r="B35" s="6" t="n"/>
      <c r="C35" s="6" t="n"/>
      <c r="D35" s="6" t="n"/>
      <c r="E35" s="6" t="n"/>
    </row>
    <row r="36">
      <c r="A36" s="3" t="inlineStr">
        <is>
          <t>Next Review Date:</t>
        </is>
      </c>
      <c r="B36" s="43" t="n"/>
      <c r="C36" s="6" t="n"/>
      <c r="D36" s="6" t="n"/>
      <c r="E36" s="6" t="n"/>
    </row>
    <row r="37">
      <c r="A37" s="3" t="inlineStr">
        <is>
          <t>Review Responsible:</t>
        </is>
      </c>
      <c r="B37" s="43" t="n"/>
      <c r="C37" s="6" t="n"/>
      <c r="D37" s="6" t="n"/>
      <c r="E37" s="6" t="n"/>
    </row>
    <row r="38">
      <c r="A38" s="3" t="inlineStr">
        <is>
          <t>Special Considerations:</t>
        </is>
      </c>
      <c r="B38" s="43" t="n"/>
      <c r="C38" s="6" t="n"/>
      <c r="D38" s="6" t="n"/>
      <c r="E38" s="6" t="n"/>
    </row>
  </sheetData>
  <mergeCells count="31">
    <mergeCell ref="B6:E6"/>
    <mergeCell ref="B30:E30"/>
    <mergeCell ref="A11:E11"/>
    <mergeCell ref="B15:E15"/>
    <mergeCell ref="A1:E1"/>
    <mergeCell ref="B5:E5"/>
    <mergeCell ref="B20:E20"/>
    <mergeCell ref="B36:E36"/>
    <mergeCell ref="B32:E32"/>
    <mergeCell ref="B26:E26"/>
    <mergeCell ref="B4:E4"/>
    <mergeCell ref="A25:E25"/>
    <mergeCell ref="B16:E16"/>
    <mergeCell ref="B7:E7"/>
    <mergeCell ref="A18:E18"/>
    <mergeCell ref="B22:E22"/>
    <mergeCell ref="A3:E3"/>
    <mergeCell ref="B27:E27"/>
    <mergeCell ref="A2:E2"/>
    <mergeCell ref="B12:E12"/>
    <mergeCell ref="B21:E21"/>
    <mergeCell ref="B14:E14"/>
    <mergeCell ref="B23:E23"/>
    <mergeCell ref="A35:E35"/>
    <mergeCell ref="B8:E8"/>
    <mergeCell ref="B13:E13"/>
    <mergeCell ref="B38:E38"/>
    <mergeCell ref="B29:E29"/>
    <mergeCell ref="B19:E19"/>
    <mergeCell ref="B37:E37"/>
    <mergeCell ref="B28:E28"/>
  </mergeCells>
  <dataValidations count="2">
    <dataValidation sqref="B7" showDropDown="0" showInputMessage="0" showErrorMessage="0" allowBlank="1" type="list">
      <formula1>"Draft,Final,Requires remediation,Re-assessment required"</formula1>
    </dataValidation>
    <dataValidation sqref="B32" showDropDown="0" showInputMessage="0" showErrorMessage="0" allowBlank="1"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ISMS-IMP-A.5.1-2-6.1-2.S4 — Employment Contract Assessment</dc:title>
  <dc:description xmlns:dc="http://purl.org/dc/elements/1.1/">ISMS Implementation Workbook — ISMS-IMP-A.5.1-2-6.1-2.S4</dc:description>
  <dc:subject xmlns:dc="http://purl.org/dc/elements/1.1/">ISO/IEC 27001:2022 — Control A.5.1-2-6.1-2: Secure Employment and Roles</dc:subject>
  <dcterms:created xmlns:dcterms="http://purl.org/dc/terms/" xmlns:xsi="http://www.w3.org/2001/XMLSchema-instance" xsi:type="dcterms:W3CDTF">2026-03-01T16:57:12Z</dcterms:created>
  <dcterms:modified xmlns:dcterms="http://purl.org/dc/terms/" xmlns:xsi="http://www.w3.org/2001/XMLSchema-instance" xsi:type="dcterms:W3CDTF">2026-03-01T16:57:13Z</dcterms:modified>
  <cp:keywords>Employment, Contract, NDA, ISMS, ISO27001, A.6.1, A.6.2</cp:keywords>
</cp:coreProperties>
</file>