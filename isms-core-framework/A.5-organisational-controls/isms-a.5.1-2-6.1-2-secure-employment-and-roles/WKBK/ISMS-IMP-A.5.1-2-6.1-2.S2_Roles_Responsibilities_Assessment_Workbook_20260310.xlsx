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Role Definition Assessment" sheetId="3" state="visible" r:id="rId3"/>
    <sheet xmlns:r="http://schemas.openxmlformats.org/officeDocument/2006/relationships" name="RACI Matrix Assessment" sheetId="4" state="visible" r:id="rId4"/>
    <sheet xmlns:r="http://schemas.openxmlformats.org/officeDocument/2006/relationships" name="Role Assignment Verification" sheetId="5" state="visible" r:id="rId5"/>
    <sheet xmlns:r="http://schemas.openxmlformats.org/officeDocument/2006/relationships" name="Training Assessment" sheetId="6" state="visible" r:id="rId6"/>
    <sheet xmlns:r="http://schemas.openxmlformats.org/officeDocument/2006/relationships" name="Access Alignment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ID_List">'Role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5" borderId="2" applyAlignment="1" pivotButton="0" quotePrefix="0" xfId="0">
      <alignment horizontal="left" vertical="center" wrapText="1"/>
    </xf>
    <xf numFmtId="0" fontId="15" fillId="3" borderId="2" applyAlignment="1" pivotButton="0" quotePrefix="0" xfId="0">
      <alignment horizontal="left" vertical="center" wrapText="1"/>
    </xf>
    <xf numFmtId="0" fontId="14" fillId="3" borderId="2" applyAlignment="1" pivotButton="0" quotePrefix="0" xfId="0">
      <alignment horizontal="center" vertical="center"/>
    </xf>
    <xf numFmtId="0" fontId="14" fillId="3"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ISMS-IMP-A.5.1-2-6.1-2.S2  -  Roles Responsibilities Assessment Workbook
ISO/IEC 27001:2022 - Control A.5.1-2-6.1-2: Information Security Roles and Responsibilities</t>
        </is>
      </c>
    </row>
    <row r="3">
      <c r="A3" s="2" t="inlineStr">
        <is>
          <t>Document Information</t>
        </is>
      </c>
    </row>
    <row r="4">
      <c r="A4" s="3" t="inlineStr">
        <is>
          <t>Document ID</t>
        </is>
      </c>
      <c r="B4" t="inlineStr">
        <is>
          <t>ISMS-IMP-A.5.1-2-6.1-2.S2</t>
        </is>
      </c>
    </row>
    <row r="5">
      <c r="A5" s="3" t="inlineStr">
        <is>
          <t>Workbook Title</t>
        </is>
      </c>
      <c r="B5" t="inlineStr">
        <is>
          <t>Roles Responsibilities Assessment Workbook</t>
        </is>
      </c>
    </row>
    <row r="6">
      <c r="A6" s="3" t="inlineStr">
        <is>
          <t>Control Reference</t>
        </is>
      </c>
      <c r="B6" t="inlineStr">
        <is>
          <t>ISO/IEC 27001:2022 - Control A.5.1-2-6.1-2: Information Security Roles and Responsibilities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roles compliance overview.</t>
        </is>
      </c>
    </row>
    <row r="14">
      <c r="A14" t="inlineStr">
        <is>
          <t>2. Complete the Role Inventory — list all information security roles with assigned owners.</t>
        </is>
      </c>
    </row>
    <row r="15">
      <c r="A15" t="inlineStr">
        <is>
          <t>3. Complete the RACI Matrix — map responsibilities: Responsible, Accountable, Consulted, Informed.</t>
        </is>
      </c>
    </row>
    <row r="16">
      <c r="A16" t="inlineStr">
        <is>
          <t>4. Complete Segregation of Duties — verify conflicting roles are separated and documented.</t>
        </is>
      </c>
    </row>
    <row r="17">
      <c r="A17" t="inlineStr">
        <is>
          <t>5. Complete the Competency Assessment — confirm role holders meet skill and qualification requirements.</t>
        </is>
      </c>
    </row>
    <row r="18">
      <c r="A18" t="inlineStr">
        <is>
          <t>6. Complete Training Compliance — verify role-based security training completion and evidence.</t>
        </is>
      </c>
    </row>
    <row r="19">
      <c r="A19" t="inlineStr">
        <is>
          <t>7. Review the Gap Analysis (auto-populated) — identify unassigned or undocumented roles.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20" customWidth="1" min="5" max="5"/>
    <col width="25" customWidth="1" min="6" max="6"/>
    <col width="15" customWidth="1" min="7" max="7"/>
    <col width="20" customWidth="1" min="8" max="8"/>
    <col width="12" customWidth="1" min="9" max="9"/>
    <col width="12" customWidth="1" min="10" max="10"/>
    <col width="15" customWidth="1" min="11" max="11"/>
    <col width="15" customWidth="1" min="12" max="12"/>
    <col width="15" customWidth="1" min="13" max="13"/>
    <col width="15" customWidth="1" min="14" max="14"/>
    <col width="50" customWidth="1" min="15" max="15"/>
    <col width="40" customWidth="1" min="16" max="16"/>
  </cols>
  <sheetData>
    <row r="1" ht="35" customHeight="1">
      <c r="A1" s="11" t="inlineStr">
        <is>
          <t>ROLE INVENTORY</t>
        </is>
      </c>
    </row>
    <row r="2">
      <c r="A2" s="12" t="inlineStr">
        <is>
          <t>Master list of all information security roles with metadata</t>
        </is>
      </c>
    </row>
    <row r="3">
      <c r="A3" s="13" t="inlineStr">
        <is>
          <t>Role ID</t>
        </is>
      </c>
      <c r="B3" s="13" t="inlineStr">
        <is>
          <t>Role Title</t>
        </is>
      </c>
      <c r="C3" s="13" t="inlineStr">
        <is>
          <t>Role Category</t>
        </is>
      </c>
      <c r="D3" s="13" t="inlineStr">
        <is>
          <t>Role Type</t>
        </is>
      </c>
      <c r="E3" s="13" t="inlineStr">
        <is>
          <t>Department</t>
        </is>
      </c>
      <c r="F3" s="13" t="inlineStr">
        <is>
          <t>Reports To</t>
        </is>
      </c>
      <c r="G3" s="13" t="inlineStr">
        <is>
          <t>Security Clearance Required</t>
        </is>
      </c>
      <c r="H3" s="13" t="inlineStr">
        <is>
          <t>ISO Control Mapping</t>
        </is>
      </c>
      <c r="I3" s="13" t="inlineStr">
        <is>
          <t>Role Created Date</t>
        </is>
      </c>
      <c r="J3" s="13" t="inlineStr">
        <is>
          <t>Last Review Date</t>
        </is>
      </c>
      <c r="K3" s="13" t="inlineStr">
        <is>
          <t>Role Status</t>
        </is>
      </c>
      <c r="L3" s="13" t="inlineStr">
        <is>
          <t>Criticality</t>
        </is>
      </c>
      <c r="M3" s="13" t="inlineStr">
        <is>
          <t>Backup Required</t>
        </is>
      </c>
      <c r="N3" s="13" t="inlineStr">
        <is>
          <t>Backup Role ID</t>
        </is>
      </c>
      <c r="O3" s="13" t="inlineStr">
        <is>
          <t>Role Description</t>
        </is>
      </c>
      <c r="P3" s="13" t="inlineStr">
        <is>
          <t>Notes</t>
        </is>
      </c>
    </row>
    <row r="4">
      <c r="A4" s="14" t="inlineStr">
        <is>
          <t>ROLE-EXAMPLE</t>
        </is>
      </c>
      <c r="B4" s="14" t="inlineStr">
        <is>
          <t>Information Security Manager (Example)</t>
        </is>
      </c>
      <c r="C4" s="14" t="inlineStr">
        <is>
          <t>Security-Management</t>
        </is>
      </c>
      <c r="D4" s="14" t="inlineStr">
        <is>
          <t>Primary</t>
        </is>
      </c>
      <c r="E4" s="14" t="inlineStr">
        <is>
          <t>Information Security</t>
        </is>
      </c>
      <c r="F4" s="14" t="inlineStr">
        <is>
          <t>Chief Information Security Officer</t>
        </is>
      </c>
      <c r="G4" s="14" t="inlineStr">
        <is>
          <t>Enhanced</t>
        </is>
      </c>
      <c r="H4" s="14" t="inlineStr">
        <is>
          <t>A.5.2, A.6.1</t>
        </is>
      </c>
      <c r="I4" s="14" t="inlineStr">
        <is>
          <t>01.01.2024</t>
        </is>
      </c>
      <c r="J4" s="14" t="inlineStr">
        <is>
          <t>15.01.2026</t>
        </is>
      </c>
      <c r="K4" s="14" t="inlineStr">
        <is>
          <t>Active</t>
        </is>
      </c>
      <c r="L4" s="14" t="inlineStr">
        <is>
          <t>Critical</t>
        </is>
      </c>
      <c r="M4" s="14" t="inlineStr">
        <is>
          <t>Yes</t>
        </is>
      </c>
      <c r="N4" s="14" t="inlineStr">
        <is>
          <t>ROLE-CISO</t>
        </is>
      </c>
      <c r="O4" s="14" t="inlineStr">
        <is>
          <t>Manages day-to-day information security operations and policy compliance</t>
        </is>
      </c>
      <c r="P4" s="14" t="inlineStr">
        <is>
          <t>Example entry — replace with your role details</t>
        </is>
      </c>
    </row>
    <row r="5">
      <c r="A5" s="15" t="n"/>
      <c r="B5" s="15" t="n"/>
      <c r="C5" s="15" t="n"/>
      <c r="D5" s="15" t="n"/>
      <c r="E5" s="15" t="n"/>
      <c r="F5" s="15" t="n"/>
      <c r="G5" s="15" t="n"/>
      <c r="H5" s="15" t="n"/>
      <c r="I5" s="16" t="n"/>
      <c r="J5" s="16" t="n"/>
      <c r="K5" s="15" t="n"/>
      <c r="L5" s="15" t="n"/>
      <c r="M5" s="15" t="n"/>
      <c r="N5" s="15" t="n"/>
      <c r="O5" s="15" t="n"/>
      <c r="P5" s="15" t="n"/>
    </row>
    <row r="6">
      <c r="A6" s="15" t="n"/>
      <c r="B6" s="15" t="n"/>
      <c r="C6" s="15" t="n"/>
      <c r="D6" s="15" t="n"/>
      <c r="E6" s="15" t="n"/>
      <c r="F6" s="15" t="n"/>
      <c r="G6" s="15" t="n"/>
      <c r="H6" s="15" t="n"/>
      <c r="I6" s="16" t="n"/>
      <c r="J6" s="16" t="n"/>
      <c r="K6" s="15" t="n"/>
      <c r="L6" s="15" t="n"/>
      <c r="M6" s="15" t="n"/>
      <c r="N6" s="15" t="n"/>
      <c r="O6" s="15" t="n"/>
      <c r="P6" s="15" t="n"/>
    </row>
    <row r="7">
      <c r="A7" s="15" t="n"/>
      <c r="B7" s="15" t="n"/>
      <c r="C7" s="15" t="n"/>
      <c r="D7" s="15" t="n"/>
      <c r="E7" s="15" t="n"/>
      <c r="F7" s="15" t="n"/>
      <c r="G7" s="15" t="n"/>
      <c r="H7" s="15" t="n"/>
      <c r="I7" s="16" t="n"/>
      <c r="J7" s="16" t="n"/>
      <c r="K7" s="15" t="n"/>
      <c r="L7" s="15" t="n"/>
      <c r="M7" s="15" t="n"/>
      <c r="N7" s="15" t="n"/>
      <c r="O7" s="15" t="n"/>
      <c r="P7" s="15" t="n"/>
    </row>
    <row r="8">
      <c r="A8" s="15" t="n"/>
      <c r="B8" s="15" t="n"/>
      <c r="C8" s="15" t="n"/>
      <c r="D8" s="15" t="n"/>
      <c r="E8" s="15" t="n"/>
      <c r="F8" s="15" t="n"/>
      <c r="G8" s="15" t="n"/>
      <c r="H8" s="15" t="n"/>
      <c r="I8" s="16" t="n"/>
      <c r="J8" s="16" t="n"/>
      <c r="K8" s="15" t="n"/>
      <c r="L8" s="15" t="n"/>
      <c r="M8" s="15" t="n"/>
      <c r="N8" s="15" t="n"/>
      <c r="O8" s="15" t="n"/>
      <c r="P8" s="15" t="n"/>
    </row>
    <row r="9">
      <c r="A9" s="15" t="n"/>
      <c r="B9" s="15" t="n"/>
      <c r="C9" s="15" t="n"/>
      <c r="D9" s="15" t="n"/>
      <c r="E9" s="15" t="n"/>
      <c r="F9" s="15" t="n"/>
      <c r="G9" s="15" t="n"/>
      <c r="H9" s="15" t="n"/>
      <c r="I9" s="16" t="n"/>
      <c r="J9" s="16" t="n"/>
      <c r="K9" s="15" t="n"/>
      <c r="L9" s="15" t="n"/>
      <c r="M9" s="15" t="n"/>
      <c r="N9" s="15" t="n"/>
      <c r="O9" s="15" t="n"/>
      <c r="P9" s="15" t="n"/>
    </row>
    <row r="10">
      <c r="A10" s="15" t="n"/>
      <c r="B10" s="15" t="n"/>
      <c r="C10" s="15" t="n"/>
      <c r="D10" s="15" t="n"/>
      <c r="E10" s="15" t="n"/>
      <c r="F10" s="15" t="n"/>
      <c r="G10" s="15" t="n"/>
      <c r="H10" s="15" t="n"/>
      <c r="I10" s="16" t="n"/>
      <c r="J10" s="16" t="n"/>
      <c r="K10" s="15" t="n"/>
      <c r="L10" s="15" t="n"/>
      <c r="M10" s="15" t="n"/>
      <c r="N10" s="15" t="n"/>
      <c r="O10" s="15" t="n"/>
      <c r="P10" s="15" t="n"/>
    </row>
    <row r="11">
      <c r="A11" s="15" t="n"/>
      <c r="B11" s="15" t="n"/>
      <c r="C11" s="15" t="n"/>
      <c r="D11" s="15" t="n"/>
      <c r="E11" s="15" t="n"/>
      <c r="F11" s="15" t="n"/>
      <c r="G11" s="15" t="n"/>
      <c r="H11" s="15" t="n"/>
      <c r="I11" s="16" t="n"/>
      <c r="J11" s="16" t="n"/>
      <c r="K11" s="15" t="n"/>
      <c r="L11" s="15" t="n"/>
      <c r="M11" s="15" t="n"/>
      <c r="N11" s="15" t="n"/>
      <c r="O11" s="15" t="n"/>
      <c r="P11" s="15" t="n"/>
    </row>
    <row r="12">
      <c r="A12" s="15" t="n"/>
      <c r="B12" s="15" t="n"/>
      <c r="C12" s="15" t="n"/>
      <c r="D12" s="15" t="n"/>
      <c r="E12" s="15" t="n"/>
      <c r="F12" s="15" t="n"/>
      <c r="G12" s="15" t="n"/>
      <c r="H12" s="15" t="n"/>
      <c r="I12" s="16" t="n"/>
      <c r="J12" s="16" t="n"/>
      <c r="K12" s="15" t="n"/>
      <c r="L12" s="15" t="n"/>
      <c r="M12" s="15" t="n"/>
      <c r="N12" s="15" t="n"/>
      <c r="O12" s="15" t="n"/>
      <c r="P12" s="15" t="n"/>
    </row>
    <row r="13">
      <c r="A13" s="15" t="n"/>
      <c r="B13" s="15" t="n"/>
      <c r="C13" s="15" t="n"/>
      <c r="D13" s="15" t="n"/>
      <c r="E13" s="15" t="n"/>
      <c r="F13" s="15" t="n"/>
      <c r="G13" s="15" t="n"/>
      <c r="H13" s="15" t="n"/>
      <c r="I13" s="16" t="n"/>
      <c r="J13" s="16" t="n"/>
      <c r="K13" s="15" t="n"/>
      <c r="L13" s="15" t="n"/>
      <c r="M13" s="15" t="n"/>
      <c r="N13" s="15" t="n"/>
      <c r="O13" s="15" t="n"/>
      <c r="P13" s="15" t="n"/>
    </row>
    <row r="14">
      <c r="A14" s="15" t="n"/>
      <c r="B14" s="15" t="n"/>
      <c r="C14" s="15" t="n"/>
      <c r="D14" s="15" t="n"/>
      <c r="E14" s="15" t="n"/>
      <c r="F14" s="15" t="n"/>
      <c r="G14" s="15" t="n"/>
      <c r="H14" s="15" t="n"/>
      <c r="I14" s="16" t="n"/>
      <c r="J14" s="16" t="n"/>
      <c r="K14" s="15" t="n"/>
      <c r="L14" s="15" t="n"/>
      <c r="M14" s="15" t="n"/>
      <c r="N14" s="15" t="n"/>
      <c r="O14" s="15" t="n"/>
      <c r="P14" s="15" t="n"/>
    </row>
    <row r="15">
      <c r="A15" s="15" t="n"/>
      <c r="B15" s="15" t="n"/>
      <c r="C15" s="15" t="n"/>
      <c r="D15" s="15" t="n"/>
      <c r="E15" s="15" t="n"/>
      <c r="F15" s="15" t="n"/>
      <c r="G15" s="15" t="n"/>
      <c r="H15" s="15" t="n"/>
      <c r="I15" s="16" t="n"/>
      <c r="J15" s="16" t="n"/>
      <c r="K15" s="15" t="n"/>
      <c r="L15" s="15" t="n"/>
      <c r="M15" s="15" t="n"/>
      <c r="N15" s="15" t="n"/>
      <c r="O15" s="15" t="n"/>
      <c r="P15" s="15" t="n"/>
    </row>
    <row r="16">
      <c r="A16" s="15" t="n"/>
      <c r="B16" s="15" t="n"/>
      <c r="C16" s="15" t="n"/>
      <c r="D16" s="15" t="n"/>
      <c r="E16" s="15" t="n"/>
      <c r="F16" s="15" t="n"/>
      <c r="G16" s="15" t="n"/>
      <c r="H16" s="15" t="n"/>
      <c r="I16" s="16" t="n"/>
      <c r="J16" s="16" t="n"/>
      <c r="K16" s="15" t="n"/>
      <c r="L16" s="15" t="n"/>
      <c r="M16" s="15" t="n"/>
      <c r="N16" s="15" t="n"/>
      <c r="O16" s="15" t="n"/>
      <c r="P16" s="15" t="n"/>
    </row>
    <row r="17">
      <c r="A17" s="15" t="n"/>
      <c r="B17" s="15" t="n"/>
      <c r="C17" s="15" t="n"/>
      <c r="D17" s="15" t="n"/>
      <c r="E17" s="15" t="n"/>
      <c r="F17" s="15" t="n"/>
      <c r="G17" s="15" t="n"/>
      <c r="H17" s="15" t="n"/>
      <c r="I17" s="16" t="n"/>
      <c r="J17" s="16" t="n"/>
      <c r="K17" s="15" t="n"/>
      <c r="L17" s="15" t="n"/>
      <c r="M17" s="15" t="n"/>
      <c r="N17" s="15" t="n"/>
      <c r="O17" s="15" t="n"/>
      <c r="P17" s="15" t="n"/>
    </row>
    <row r="18">
      <c r="A18" s="15" t="n"/>
      <c r="B18" s="15" t="n"/>
      <c r="C18" s="15" t="n"/>
      <c r="D18" s="15" t="n"/>
      <c r="E18" s="15" t="n"/>
      <c r="F18" s="15" t="n"/>
      <c r="G18" s="15" t="n"/>
      <c r="H18" s="15" t="n"/>
      <c r="I18" s="16" t="n"/>
      <c r="J18" s="16" t="n"/>
      <c r="K18" s="15" t="n"/>
      <c r="L18" s="15" t="n"/>
      <c r="M18" s="15" t="n"/>
      <c r="N18" s="15" t="n"/>
      <c r="O18" s="15" t="n"/>
      <c r="P18" s="15" t="n"/>
    </row>
    <row r="19">
      <c r="A19" s="15" t="n"/>
      <c r="B19" s="15" t="n"/>
      <c r="C19" s="15" t="n"/>
      <c r="D19" s="15" t="n"/>
      <c r="E19" s="15" t="n"/>
      <c r="F19" s="15" t="n"/>
      <c r="G19" s="15" t="n"/>
      <c r="H19" s="15" t="n"/>
      <c r="I19" s="16" t="n"/>
      <c r="J19" s="16" t="n"/>
      <c r="K19" s="15" t="n"/>
      <c r="L19" s="15" t="n"/>
      <c r="M19" s="15" t="n"/>
      <c r="N19" s="15" t="n"/>
      <c r="O19" s="15" t="n"/>
      <c r="P19" s="15" t="n"/>
    </row>
    <row r="20">
      <c r="A20" s="15" t="n"/>
      <c r="B20" s="15" t="n"/>
      <c r="C20" s="15" t="n"/>
      <c r="D20" s="15" t="n"/>
      <c r="E20" s="15" t="n"/>
      <c r="F20" s="15" t="n"/>
      <c r="G20" s="15" t="n"/>
      <c r="H20" s="15" t="n"/>
      <c r="I20" s="16" t="n"/>
      <c r="J20" s="16" t="n"/>
      <c r="K20" s="15" t="n"/>
      <c r="L20" s="15" t="n"/>
      <c r="M20" s="15" t="n"/>
      <c r="N20" s="15" t="n"/>
      <c r="O20" s="15" t="n"/>
      <c r="P20" s="15" t="n"/>
    </row>
    <row r="21">
      <c r="A21" s="15" t="n"/>
      <c r="B21" s="15" t="n"/>
      <c r="C21" s="15" t="n"/>
      <c r="D21" s="15" t="n"/>
      <c r="E21" s="15" t="n"/>
      <c r="F21" s="15" t="n"/>
      <c r="G21" s="15" t="n"/>
      <c r="H21" s="15" t="n"/>
      <c r="I21" s="16" t="n"/>
      <c r="J21" s="16" t="n"/>
      <c r="K21" s="15" t="n"/>
      <c r="L21" s="15" t="n"/>
      <c r="M21" s="15" t="n"/>
      <c r="N21" s="15" t="n"/>
      <c r="O21" s="15" t="n"/>
      <c r="P21" s="15" t="n"/>
    </row>
    <row r="22">
      <c r="A22" s="15" t="n"/>
      <c r="B22" s="15" t="n"/>
      <c r="C22" s="15" t="n"/>
      <c r="D22" s="15" t="n"/>
      <c r="E22" s="15" t="n"/>
      <c r="F22" s="15" t="n"/>
      <c r="G22" s="15" t="n"/>
      <c r="H22" s="15" t="n"/>
      <c r="I22" s="16" t="n"/>
      <c r="J22" s="16" t="n"/>
      <c r="K22" s="15" t="n"/>
      <c r="L22" s="15" t="n"/>
      <c r="M22" s="15" t="n"/>
      <c r="N22" s="15" t="n"/>
      <c r="O22" s="15" t="n"/>
      <c r="P22" s="15" t="n"/>
    </row>
    <row r="23">
      <c r="A23" s="15" t="n"/>
      <c r="B23" s="15" t="n"/>
      <c r="C23" s="15" t="n"/>
      <c r="D23" s="15" t="n"/>
      <c r="E23" s="15" t="n"/>
      <c r="F23" s="15" t="n"/>
      <c r="G23" s="15" t="n"/>
      <c r="H23" s="15" t="n"/>
      <c r="I23" s="16" t="n"/>
      <c r="J23" s="16" t="n"/>
      <c r="K23" s="15" t="n"/>
      <c r="L23" s="15" t="n"/>
      <c r="M23" s="15" t="n"/>
      <c r="N23" s="15" t="n"/>
      <c r="O23" s="15" t="n"/>
      <c r="P23" s="15" t="n"/>
    </row>
    <row r="24">
      <c r="A24" s="15" t="n"/>
      <c r="B24" s="15" t="n"/>
      <c r="C24" s="15" t="n"/>
      <c r="D24" s="15" t="n"/>
      <c r="E24" s="15" t="n"/>
      <c r="F24" s="15" t="n"/>
      <c r="G24" s="15" t="n"/>
      <c r="H24" s="15" t="n"/>
      <c r="I24" s="16" t="n"/>
      <c r="J24" s="16" t="n"/>
      <c r="K24" s="15" t="n"/>
      <c r="L24" s="15" t="n"/>
      <c r="M24" s="15" t="n"/>
      <c r="N24" s="15" t="n"/>
      <c r="O24" s="15" t="n"/>
      <c r="P24" s="15" t="n"/>
    </row>
    <row r="25">
      <c r="A25" s="15" t="n"/>
      <c r="B25" s="15" t="n"/>
      <c r="C25" s="15" t="n"/>
      <c r="D25" s="15" t="n"/>
      <c r="E25" s="15" t="n"/>
      <c r="F25" s="15" t="n"/>
      <c r="G25" s="15" t="n"/>
      <c r="H25" s="15" t="n"/>
      <c r="I25" s="16" t="n"/>
      <c r="J25" s="16" t="n"/>
      <c r="K25" s="15" t="n"/>
      <c r="L25" s="15" t="n"/>
      <c r="M25" s="15" t="n"/>
      <c r="N25" s="15" t="n"/>
      <c r="O25" s="15" t="n"/>
      <c r="P25" s="15" t="n"/>
    </row>
    <row r="26">
      <c r="A26" s="15" t="n"/>
      <c r="B26" s="15" t="n"/>
      <c r="C26" s="15" t="n"/>
      <c r="D26" s="15" t="n"/>
      <c r="E26" s="15" t="n"/>
      <c r="F26" s="15" t="n"/>
      <c r="G26" s="15" t="n"/>
      <c r="H26" s="15" t="n"/>
      <c r="I26" s="16" t="n"/>
      <c r="J26" s="16" t="n"/>
      <c r="K26" s="15" t="n"/>
      <c r="L26" s="15" t="n"/>
      <c r="M26" s="15" t="n"/>
      <c r="N26" s="15" t="n"/>
      <c r="O26" s="15" t="n"/>
      <c r="P26" s="15" t="n"/>
    </row>
    <row r="27">
      <c r="A27" s="15" t="n"/>
      <c r="B27" s="15" t="n"/>
      <c r="C27" s="15" t="n"/>
      <c r="D27" s="15" t="n"/>
      <c r="E27" s="15" t="n"/>
      <c r="F27" s="15" t="n"/>
      <c r="G27" s="15" t="n"/>
      <c r="H27" s="15" t="n"/>
      <c r="I27" s="16" t="n"/>
      <c r="J27" s="16" t="n"/>
      <c r="K27" s="15" t="n"/>
      <c r="L27" s="15" t="n"/>
      <c r="M27" s="15" t="n"/>
      <c r="N27" s="15" t="n"/>
      <c r="O27" s="15" t="n"/>
      <c r="P27" s="15" t="n"/>
    </row>
    <row r="28">
      <c r="A28" s="15" t="n"/>
      <c r="B28" s="15" t="n"/>
      <c r="C28" s="15" t="n"/>
      <c r="D28" s="15" t="n"/>
      <c r="E28" s="15" t="n"/>
      <c r="F28" s="15" t="n"/>
      <c r="G28" s="15" t="n"/>
      <c r="H28" s="15" t="n"/>
      <c r="I28" s="16" t="n"/>
      <c r="J28" s="16" t="n"/>
      <c r="K28" s="15" t="n"/>
      <c r="L28" s="15" t="n"/>
      <c r="M28" s="15" t="n"/>
      <c r="N28" s="15" t="n"/>
      <c r="O28" s="15" t="n"/>
      <c r="P28" s="15" t="n"/>
    </row>
    <row r="29">
      <c r="A29" s="15" t="n"/>
      <c r="B29" s="15" t="n"/>
      <c r="C29" s="15" t="n"/>
      <c r="D29" s="15" t="n"/>
      <c r="E29" s="15" t="n"/>
      <c r="F29" s="15" t="n"/>
      <c r="G29" s="15" t="n"/>
      <c r="H29" s="15" t="n"/>
      <c r="I29" s="16" t="n"/>
      <c r="J29" s="16" t="n"/>
      <c r="K29" s="15" t="n"/>
      <c r="L29" s="15" t="n"/>
      <c r="M29" s="15" t="n"/>
      <c r="N29" s="15" t="n"/>
      <c r="O29" s="15" t="n"/>
      <c r="P29" s="15" t="n"/>
    </row>
    <row r="30">
      <c r="A30" s="15" t="n"/>
      <c r="B30" s="15" t="n"/>
      <c r="C30" s="15" t="n"/>
      <c r="D30" s="15" t="n"/>
      <c r="E30" s="15" t="n"/>
      <c r="F30" s="15" t="n"/>
      <c r="G30" s="15" t="n"/>
      <c r="H30" s="15" t="n"/>
      <c r="I30" s="16" t="n"/>
      <c r="J30" s="16" t="n"/>
      <c r="K30" s="15" t="n"/>
      <c r="L30" s="15" t="n"/>
      <c r="M30" s="15" t="n"/>
      <c r="N30" s="15" t="n"/>
      <c r="O30" s="15" t="n"/>
      <c r="P30" s="15" t="n"/>
    </row>
    <row r="31">
      <c r="A31" s="15" t="n"/>
      <c r="B31" s="15" t="n"/>
      <c r="C31" s="15" t="n"/>
      <c r="D31" s="15" t="n"/>
      <c r="E31" s="15" t="n"/>
      <c r="F31" s="15" t="n"/>
      <c r="G31" s="15" t="n"/>
      <c r="H31" s="15" t="n"/>
      <c r="I31" s="16" t="n"/>
      <c r="J31" s="16" t="n"/>
      <c r="K31" s="15" t="n"/>
      <c r="L31" s="15" t="n"/>
      <c r="M31" s="15" t="n"/>
      <c r="N31" s="15" t="n"/>
      <c r="O31" s="15" t="n"/>
      <c r="P31" s="15" t="n"/>
    </row>
    <row r="32">
      <c r="A32" s="15" t="n"/>
      <c r="B32" s="15" t="n"/>
      <c r="C32" s="15" t="n"/>
      <c r="D32" s="15" t="n"/>
      <c r="E32" s="15" t="n"/>
      <c r="F32" s="15" t="n"/>
      <c r="G32" s="15" t="n"/>
      <c r="H32" s="15" t="n"/>
      <c r="I32" s="16" t="n"/>
      <c r="J32" s="16" t="n"/>
      <c r="K32" s="15" t="n"/>
      <c r="L32" s="15" t="n"/>
      <c r="M32" s="15" t="n"/>
      <c r="N32" s="15" t="n"/>
      <c r="O32" s="15" t="n"/>
      <c r="P32" s="15" t="n"/>
    </row>
    <row r="33">
      <c r="A33" s="15" t="n"/>
      <c r="B33" s="15" t="n"/>
      <c r="C33" s="15" t="n"/>
      <c r="D33" s="15" t="n"/>
      <c r="E33" s="15" t="n"/>
      <c r="F33" s="15" t="n"/>
      <c r="G33" s="15" t="n"/>
      <c r="H33" s="15" t="n"/>
      <c r="I33" s="16" t="n"/>
      <c r="J33" s="16" t="n"/>
      <c r="K33" s="15" t="n"/>
      <c r="L33" s="15" t="n"/>
      <c r="M33" s="15" t="n"/>
      <c r="N33" s="15" t="n"/>
      <c r="O33" s="15" t="n"/>
      <c r="P33" s="15" t="n"/>
    </row>
    <row r="34">
      <c r="A34" s="15" t="n"/>
      <c r="B34" s="15" t="n"/>
      <c r="C34" s="15" t="n"/>
      <c r="D34" s="15" t="n"/>
      <c r="E34" s="15" t="n"/>
      <c r="F34" s="15" t="n"/>
      <c r="G34" s="15" t="n"/>
      <c r="H34" s="15" t="n"/>
      <c r="I34" s="16" t="n"/>
      <c r="J34" s="16" t="n"/>
      <c r="K34" s="15" t="n"/>
      <c r="L34" s="15" t="n"/>
      <c r="M34" s="15" t="n"/>
      <c r="N34" s="15" t="n"/>
      <c r="O34" s="15" t="n"/>
      <c r="P34" s="15" t="n"/>
    </row>
    <row r="35">
      <c r="A35" s="15" t="n"/>
      <c r="B35" s="15" t="n"/>
      <c r="C35" s="15" t="n"/>
      <c r="D35" s="15" t="n"/>
      <c r="E35" s="15" t="n"/>
      <c r="F35" s="15" t="n"/>
      <c r="G35" s="15" t="n"/>
      <c r="H35" s="15" t="n"/>
      <c r="I35" s="16" t="n"/>
      <c r="J35" s="16" t="n"/>
      <c r="K35" s="15" t="n"/>
      <c r="L35" s="15" t="n"/>
      <c r="M35" s="15" t="n"/>
      <c r="N35" s="15" t="n"/>
      <c r="O35" s="15" t="n"/>
      <c r="P35" s="15" t="n"/>
    </row>
    <row r="36">
      <c r="A36" s="15" t="n"/>
      <c r="B36" s="15" t="n"/>
      <c r="C36" s="15" t="n"/>
      <c r="D36" s="15" t="n"/>
      <c r="E36" s="15" t="n"/>
      <c r="F36" s="15" t="n"/>
      <c r="G36" s="15" t="n"/>
      <c r="H36" s="15" t="n"/>
      <c r="I36" s="16" t="n"/>
      <c r="J36" s="16" t="n"/>
      <c r="K36" s="15" t="n"/>
      <c r="L36" s="15" t="n"/>
      <c r="M36" s="15" t="n"/>
      <c r="N36" s="15" t="n"/>
      <c r="O36" s="15" t="n"/>
      <c r="P36" s="15" t="n"/>
    </row>
    <row r="37">
      <c r="A37" s="15" t="n"/>
      <c r="B37" s="15" t="n"/>
      <c r="C37" s="15" t="n"/>
      <c r="D37" s="15" t="n"/>
      <c r="E37" s="15" t="n"/>
      <c r="F37" s="15" t="n"/>
      <c r="G37" s="15" t="n"/>
      <c r="H37" s="15" t="n"/>
      <c r="I37" s="16" t="n"/>
      <c r="J37" s="16" t="n"/>
      <c r="K37" s="15" t="n"/>
      <c r="L37" s="15" t="n"/>
      <c r="M37" s="15" t="n"/>
      <c r="N37" s="15" t="n"/>
      <c r="O37" s="15" t="n"/>
      <c r="P37" s="15" t="n"/>
    </row>
    <row r="38">
      <c r="A38" s="15" t="n"/>
      <c r="B38" s="15" t="n"/>
      <c r="C38" s="15" t="n"/>
      <c r="D38" s="15" t="n"/>
      <c r="E38" s="15" t="n"/>
      <c r="F38" s="15" t="n"/>
      <c r="G38" s="15" t="n"/>
      <c r="H38" s="15" t="n"/>
      <c r="I38" s="16" t="n"/>
      <c r="J38" s="16" t="n"/>
      <c r="K38" s="15" t="n"/>
      <c r="L38" s="15" t="n"/>
      <c r="M38" s="15" t="n"/>
      <c r="N38" s="15" t="n"/>
      <c r="O38" s="15" t="n"/>
      <c r="P38" s="15" t="n"/>
    </row>
    <row r="39">
      <c r="A39" s="15" t="n"/>
      <c r="B39" s="15" t="n"/>
      <c r="C39" s="15" t="n"/>
      <c r="D39" s="15" t="n"/>
      <c r="E39" s="15" t="n"/>
      <c r="F39" s="15" t="n"/>
      <c r="G39" s="15" t="n"/>
      <c r="H39" s="15" t="n"/>
      <c r="I39" s="16" t="n"/>
      <c r="J39" s="16" t="n"/>
      <c r="K39" s="15" t="n"/>
      <c r="L39" s="15" t="n"/>
      <c r="M39" s="15" t="n"/>
      <c r="N39" s="15" t="n"/>
      <c r="O39" s="15" t="n"/>
      <c r="P39" s="15" t="n"/>
    </row>
    <row r="40">
      <c r="A40" s="15" t="n"/>
      <c r="B40" s="15" t="n"/>
      <c r="C40" s="15" t="n"/>
      <c r="D40" s="15" t="n"/>
      <c r="E40" s="15" t="n"/>
      <c r="F40" s="15" t="n"/>
      <c r="G40" s="15" t="n"/>
      <c r="H40" s="15" t="n"/>
      <c r="I40" s="16" t="n"/>
      <c r="J40" s="16" t="n"/>
      <c r="K40" s="15" t="n"/>
      <c r="L40" s="15" t="n"/>
      <c r="M40" s="15" t="n"/>
      <c r="N40" s="15" t="n"/>
      <c r="O40" s="15" t="n"/>
      <c r="P40" s="15" t="n"/>
    </row>
    <row r="41">
      <c r="A41" s="15" t="n"/>
      <c r="B41" s="15" t="n"/>
      <c r="C41" s="15" t="n"/>
      <c r="D41" s="15" t="n"/>
      <c r="E41" s="15" t="n"/>
      <c r="F41" s="15" t="n"/>
      <c r="G41" s="15" t="n"/>
      <c r="H41" s="15" t="n"/>
      <c r="I41" s="16" t="n"/>
      <c r="J41" s="16" t="n"/>
      <c r="K41" s="15" t="n"/>
      <c r="L41" s="15" t="n"/>
      <c r="M41" s="15" t="n"/>
      <c r="N41" s="15" t="n"/>
      <c r="O41" s="15" t="n"/>
      <c r="P41" s="15" t="n"/>
    </row>
    <row r="42">
      <c r="A42" s="15" t="n"/>
      <c r="B42" s="15" t="n"/>
      <c r="C42" s="15" t="n"/>
      <c r="D42" s="15" t="n"/>
      <c r="E42" s="15" t="n"/>
      <c r="F42" s="15" t="n"/>
      <c r="G42" s="15" t="n"/>
      <c r="H42" s="15" t="n"/>
      <c r="I42" s="16" t="n"/>
      <c r="J42" s="16" t="n"/>
      <c r="K42" s="15" t="n"/>
      <c r="L42" s="15" t="n"/>
      <c r="M42" s="15" t="n"/>
      <c r="N42" s="15" t="n"/>
      <c r="O42" s="15" t="n"/>
      <c r="P42" s="15" t="n"/>
    </row>
    <row r="43">
      <c r="A43" s="15" t="n"/>
      <c r="B43" s="15" t="n"/>
      <c r="C43" s="15" t="n"/>
      <c r="D43" s="15" t="n"/>
      <c r="E43" s="15" t="n"/>
      <c r="F43" s="15" t="n"/>
      <c r="G43" s="15" t="n"/>
      <c r="H43" s="15" t="n"/>
      <c r="I43" s="16" t="n"/>
      <c r="J43" s="16" t="n"/>
      <c r="K43" s="15" t="n"/>
      <c r="L43" s="15" t="n"/>
      <c r="M43" s="15" t="n"/>
      <c r="N43" s="15" t="n"/>
      <c r="O43" s="15" t="n"/>
      <c r="P43" s="15" t="n"/>
    </row>
    <row r="44">
      <c r="A44" s="15" t="n"/>
      <c r="B44" s="15" t="n"/>
      <c r="C44" s="15" t="n"/>
      <c r="D44" s="15" t="n"/>
      <c r="E44" s="15" t="n"/>
      <c r="F44" s="15" t="n"/>
      <c r="G44" s="15" t="n"/>
      <c r="H44" s="15" t="n"/>
      <c r="I44" s="16" t="n"/>
      <c r="J44" s="16" t="n"/>
      <c r="K44" s="15" t="n"/>
      <c r="L44" s="15" t="n"/>
      <c r="M44" s="15" t="n"/>
      <c r="N44" s="15" t="n"/>
      <c r="O44" s="15" t="n"/>
      <c r="P44" s="15" t="n"/>
    </row>
    <row r="45">
      <c r="A45" s="15" t="n"/>
      <c r="B45" s="15" t="n"/>
      <c r="C45" s="15" t="n"/>
      <c r="D45" s="15" t="n"/>
      <c r="E45" s="15" t="n"/>
      <c r="F45" s="15" t="n"/>
      <c r="G45" s="15" t="n"/>
      <c r="H45" s="15" t="n"/>
      <c r="I45" s="16" t="n"/>
      <c r="J45" s="16" t="n"/>
      <c r="K45" s="15" t="n"/>
      <c r="L45" s="15" t="n"/>
      <c r="M45" s="15" t="n"/>
      <c r="N45" s="15" t="n"/>
      <c r="O45" s="15" t="n"/>
      <c r="P45" s="15" t="n"/>
    </row>
    <row r="46">
      <c r="A46" s="15" t="n"/>
      <c r="B46" s="15" t="n"/>
      <c r="C46" s="15" t="n"/>
      <c r="D46" s="15" t="n"/>
      <c r="E46" s="15" t="n"/>
      <c r="F46" s="15" t="n"/>
      <c r="G46" s="15" t="n"/>
      <c r="H46" s="15" t="n"/>
      <c r="I46" s="16" t="n"/>
      <c r="J46" s="16" t="n"/>
      <c r="K46" s="15" t="n"/>
      <c r="L46" s="15" t="n"/>
      <c r="M46" s="15" t="n"/>
      <c r="N46" s="15" t="n"/>
      <c r="O46" s="15" t="n"/>
      <c r="P46" s="15" t="n"/>
    </row>
    <row r="47">
      <c r="A47" s="15" t="n"/>
      <c r="B47" s="15" t="n"/>
      <c r="C47" s="15" t="n"/>
      <c r="D47" s="15" t="n"/>
      <c r="E47" s="15" t="n"/>
      <c r="F47" s="15" t="n"/>
      <c r="G47" s="15" t="n"/>
      <c r="H47" s="15" t="n"/>
      <c r="I47" s="16" t="n"/>
      <c r="J47" s="16" t="n"/>
      <c r="K47" s="15" t="n"/>
      <c r="L47" s="15" t="n"/>
      <c r="M47" s="15" t="n"/>
      <c r="N47" s="15" t="n"/>
      <c r="O47" s="15" t="n"/>
      <c r="P47" s="15" t="n"/>
    </row>
    <row r="48">
      <c r="A48" s="15" t="n"/>
      <c r="B48" s="15" t="n"/>
      <c r="C48" s="15" t="n"/>
      <c r="D48" s="15" t="n"/>
      <c r="E48" s="15" t="n"/>
      <c r="F48" s="15" t="n"/>
      <c r="G48" s="15" t="n"/>
      <c r="H48" s="15" t="n"/>
      <c r="I48" s="16" t="n"/>
      <c r="J48" s="16" t="n"/>
      <c r="K48" s="15" t="n"/>
      <c r="L48" s="15" t="n"/>
      <c r="M48" s="15" t="n"/>
      <c r="N48" s="15" t="n"/>
      <c r="O48" s="15" t="n"/>
      <c r="P48" s="15" t="n"/>
    </row>
    <row r="49">
      <c r="A49" s="15" t="n"/>
      <c r="B49" s="15" t="n"/>
      <c r="C49" s="15" t="n"/>
      <c r="D49" s="15" t="n"/>
      <c r="E49" s="15" t="n"/>
      <c r="F49" s="15" t="n"/>
      <c r="G49" s="15" t="n"/>
      <c r="H49" s="15" t="n"/>
      <c r="I49" s="16" t="n"/>
      <c r="J49" s="16" t="n"/>
      <c r="K49" s="15" t="n"/>
      <c r="L49" s="15" t="n"/>
      <c r="M49" s="15" t="n"/>
      <c r="N49" s="15" t="n"/>
      <c r="O49" s="15" t="n"/>
      <c r="P49" s="15" t="n"/>
    </row>
    <row r="50">
      <c r="A50" s="15" t="n"/>
      <c r="B50" s="15" t="n"/>
      <c r="C50" s="15" t="n"/>
      <c r="D50" s="15" t="n"/>
      <c r="E50" s="15" t="n"/>
      <c r="F50" s="15" t="n"/>
      <c r="G50" s="15" t="n"/>
      <c r="H50" s="15" t="n"/>
      <c r="I50" s="16" t="n"/>
      <c r="J50" s="16" t="n"/>
      <c r="K50" s="15" t="n"/>
      <c r="L50" s="15" t="n"/>
      <c r="M50" s="15" t="n"/>
      <c r="N50" s="15" t="n"/>
      <c r="O50" s="15" t="n"/>
      <c r="P50" s="15" t="n"/>
    </row>
    <row r="51">
      <c r="A51" s="15" t="n"/>
      <c r="B51" s="15" t="n"/>
      <c r="C51" s="15" t="n"/>
      <c r="D51" s="15" t="n"/>
      <c r="E51" s="15" t="n"/>
      <c r="F51" s="15" t="n"/>
      <c r="G51" s="15" t="n"/>
      <c r="H51" s="15" t="n"/>
      <c r="I51" s="16" t="n"/>
      <c r="J51" s="16" t="n"/>
      <c r="K51" s="15" t="n"/>
      <c r="L51" s="15" t="n"/>
      <c r="M51" s="15" t="n"/>
      <c r="N51" s="15" t="n"/>
      <c r="O51" s="15" t="n"/>
      <c r="P51" s="15" t="n"/>
    </row>
    <row r="52">
      <c r="A52" s="15" t="n"/>
      <c r="B52" s="15" t="n"/>
      <c r="C52" s="15" t="n"/>
      <c r="D52" s="15" t="n"/>
      <c r="E52" s="15" t="n"/>
      <c r="F52" s="15" t="n"/>
      <c r="G52" s="15" t="n"/>
      <c r="H52" s="15" t="n"/>
      <c r="I52" s="16" t="n"/>
      <c r="J52" s="16" t="n"/>
      <c r="K52" s="15" t="n"/>
      <c r="L52" s="15" t="n"/>
      <c r="M52" s="15" t="n"/>
      <c r="N52" s="15" t="n"/>
      <c r="O52" s="15" t="n"/>
      <c r="P52" s="15" t="n"/>
    </row>
    <row r="53">
      <c r="A53" s="15" t="n"/>
      <c r="B53" s="15" t="n"/>
      <c r="C53" s="15" t="n"/>
      <c r="D53" s="15" t="n"/>
      <c r="E53" s="15" t="n"/>
      <c r="F53" s="15" t="n"/>
      <c r="G53" s="15" t="n"/>
      <c r="H53" s="15" t="n"/>
      <c r="I53" s="16" t="n"/>
      <c r="J53" s="16" t="n"/>
      <c r="K53" s="15" t="n"/>
      <c r="L53" s="15" t="n"/>
      <c r="M53" s="15" t="n"/>
      <c r="N53" s="15" t="n"/>
      <c r="O53" s="15" t="n"/>
      <c r="P53" s="15" t="n"/>
    </row>
    <row r="54">
      <c r="A54" s="15" t="n"/>
      <c r="B54" s="15" t="n"/>
      <c r="C54" s="15" t="n"/>
      <c r="D54" s="15" t="n"/>
      <c r="E54" s="15" t="n"/>
      <c r="F54" s="15" t="n"/>
      <c r="G54" s="15" t="n"/>
      <c r="H54" s="15" t="n"/>
      <c r="I54" s="16" t="n"/>
      <c r="J54" s="16" t="n"/>
      <c r="K54" s="15" t="n"/>
      <c r="L54" s="15" t="n"/>
      <c r="M54" s="15" t="n"/>
      <c r="N54" s="15" t="n"/>
      <c r="O54" s="15" t="n"/>
      <c r="P54" s="15" t="n"/>
    </row>
  </sheetData>
  <mergeCells count="2">
    <mergeCell ref="A1:P1"/>
    <mergeCell ref="A2:P2"/>
  </mergeCells>
  <dataValidations count="6">
    <dataValidation sqref="C5:C54" showDropDown="0" showInputMessage="0" showErrorMessage="1" allowBlank="1" errorTitle="Invalid Entry" error="Please select from dropdown" type="list">
      <formula1>"Executive-Leadership,Security-Management,Security-Operations,IT-Operations,System-Owner,Data-Owner,Business-Unit,External"</formula1>
    </dataValidation>
    <dataValidation sqref="D5:D54" showDropDown="0" showInputMessage="0" showErrorMessage="1" allowBlank="1" errorTitle="Invalid Entry" error="Please select from dropdown" type="list">
      <formula1>"Primary,Secondary,Backup,Advisory,Oversight"</formula1>
    </dataValidation>
    <dataValidation sqref="G5:G54" showDropDown="0" showInputMessage="0" showErrorMessage="1" allowBlank="1" errorTitle="Invalid Entry" error="Please select from dropdown" type="list">
      <formula1>"None,Basic,Enhanced,High,Critical"</formula1>
    </dataValidation>
    <dataValidation sqref="K5:K54" showDropDown="0" showInputMessage="0" showErrorMessage="1" allowBlank="1" errorTitle="Invalid Entry" error="Please select from dropdown" type="list">
      <formula1>"Active,Draft,Under-Review,Retired,Proposed"</formula1>
    </dataValidation>
    <dataValidation sqref="L5:L54" showDropDown="0" showInputMessage="0" showErrorMessage="1" allowBlank="1" errorTitle="Invalid Entry" error="Please select from dropdown" type="list">
      <formula1>"Critical,High,Medium,Low"</formula1>
    </dataValidation>
    <dataValidation sqref="M5:M54" showDropDown="0" showInputMessage="0" showErrorMessage="1" allowBlank="1" errorTitle="Invalid Entry" error="Please select from dropdown" type="list">
      <formula1>"Yes,No,Recommended"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20" customWidth="1" min="12" max="12"/>
    <col width="20" customWidth="1" min="13" max="13"/>
    <col width="40" customWidth="1" min="14" max="14"/>
    <col width="30" customWidth="1" min="15" max="15"/>
  </cols>
  <sheetData>
    <row r="1" ht="35" customHeight="1">
      <c r="A1" s="11" t="inlineStr">
        <is>
          <t>ROLE DEFINITION ASSESSMENT</t>
        </is>
      </c>
    </row>
    <row r="2">
      <c r="A2" s="12" t="inlineStr">
        <is>
          <t>Verification of role definition completeness for all security roles</t>
        </is>
      </c>
    </row>
    <row r="4">
      <c r="A4" s="13" t="inlineStr">
        <is>
          <t>Role ID</t>
        </is>
      </c>
      <c r="B4" s="13" t="inlineStr">
        <is>
          <t>Role Title</t>
        </is>
      </c>
      <c r="C4" s="13" t="inlineStr">
        <is>
          <t>Role Category</t>
        </is>
      </c>
      <c r="D4" s="13" t="inlineStr">
        <is>
          <t>Responsibilities Documented</t>
        </is>
      </c>
      <c r="E4" s="13" t="inlineStr">
        <is>
          <t>Authority Level Defined</t>
        </is>
      </c>
      <c r="F4" s="13" t="inlineStr">
        <is>
          <t>Reporting Lines Clear</t>
        </is>
      </c>
      <c r="G4" s="13" t="inlineStr">
        <is>
          <t>Competency Requirements</t>
        </is>
      </c>
      <c r="H4" s="13" t="inlineStr">
        <is>
          <t>Training Requirements</t>
        </is>
      </c>
      <c r="I4" s="13" t="inlineStr">
        <is>
          <t>Access Requirements</t>
        </is>
      </c>
      <c r="J4" s="13" t="inlineStr">
        <is>
          <t>Accountability Defined</t>
        </is>
      </c>
      <c r="K4" s="13" t="inlineStr">
        <is>
          <t>Segregation of Duties</t>
        </is>
      </c>
      <c r="L4" s="13" t="inlineStr">
        <is>
          <t>Definition Documentation</t>
        </is>
      </c>
      <c r="M4" s="13" t="inlineStr">
        <is>
          <t>Definition Compliance Rating</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5" t="n"/>
      <c r="G5" s="15" t="n"/>
      <c r="H5" s="15" t="n"/>
      <c r="I5" s="15" t="n"/>
      <c r="J5" s="15" t="n"/>
      <c r="K5" s="15" t="n"/>
      <c r="L5" s="15" t="n"/>
      <c r="M5" s="17">
        <f>IF(B5="","",IF(AND(D5="Complete",E5="Yes",F5="Yes",G5="Complete",H5="Complete",I5="Complete",J5="Yes",L5="Complete"),"Compliant",IF(OR(D5="Missing",E5="No",F5="No",J5="No",L5="Missing"),"Non-Compliant","Partial")))</f>
        <v/>
      </c>
      <c r="N5" s="15" t="n"/>
      <c r="O5" s="15" t="n"/>
    </row>
    <row r="6">
      <c r="A6" s="17">
        <f>IF(ROW()-4&lt;=COUNTA('Role Inventory'!$A:$A)-4,INDEX('Role Inventory'!$A:$A,ROW()-3),"")</f>
        <v/>
      </c>
      <c r="B6" s="17">
        <f>IF(A6&lt;&gt;"",VLOOKUP(A6,'Role Inventory'!$A:$B,2,FALSE),"")</f>
        <v/>
      </c>
      <c r="C6" s="17">
        <f>IF(A6&lt;&gt;"",VLOOKUP(A6,'Role Inventory'!$A:$C,3,FALSE),"")</f>
        <v/>
      </c>
      <c r="D6" s="15" t="n"/>
      <c r="E6" s="15" t="n"/>
      <c r="F6" s="15" t="n"/>
      <c r="G6" s="15" t="n"/>
      <c r="H6" s="15" t="n"/>
      <c r="I6" s="15" t="n"/>
      <c r="J6" s="15" t="n"/>
      <c r="K6" s="15" t="n"/>
      <c r="L6" s="15" t="n"/>
      <c r="M6" s="17">
        <f>IF(B6="","",IF(AND(D6="Complete",E6="Yes",F6="Yes",G6="Complete",H6="Complete",I6="Complete",J6="Yes",L6="Complete"),"Compliant",IF(OR(D6="Missing",E6="No",F6="No",J6="No",L6="Missing"),"Non-Compliant","Partial")))</f>
        <v/>
      </c>
      <c r="N6" s="15" t="n"/>
      <c r="O6" s="15" t="n"/>
    </row>
    <row r="7">
      <c r="A7" s="17">
        <f>IF(ROW()-4&lt;=COUNTA('Role Inventory'!$A:$A)-4,INDEX('Role Inventory'!$A:$A,ROW()-3),"")</f>
        <v/>
      </c>
      <c r="B7" s="17">
        <f>IF(A7&lt;&gt;"",VLOOKUP(A7,'Role Inventory'!$A:$B,2,FALSE),"")</f>
        <v/>
      </c>
      <c r="C7" s="17">
        <f>IF(A7&lt;&gt;"",VLOOKUP(A7,'Role Inventory'!$A:$C,3,FALSE),"")</f>
        <v/>
      </c>
      <c r="D7" s="15" t="n"/>
      <c r="E7" s="15" t="n"/>
      <c r="F7" s="15" t="n"/>
      <c r="G7" s="15" t="n"/>
      <c r="H7" s="15" t="n"/>
      <c r="I7" s="15" t="n"/>
      <c r="J7" s="15" t="n"/>
      <c r="K7" s="15" t="n"/>
      <c r="L7" s="15" t="n"/>
      <c r="M7" s="17">
        <f>IF(B7="","",IF(AND(D7="Complete",E7="Yes",F7="Yes",G7="Complete",H7="Complete",I7="Complete",J7="Yes",L7="Complete"),"Compliant",IF(OR(D7="Missing",E7="No",F7="No",J7="No",L7="Missing"),"Non-Compliant","Partial")))</f>
        <v/>
      </c>
      <c r="N7" s="15" t="n"/>
      <c r="O7" s="15" t="n"/>
    </row>
    <row r="8">
      <c r="A8" s="17">
        <f>IF(ROW()-4&lt;=COUNTA('Role Inventory'!$A:$A)-4,INDEX('Role Inventory'!$A:$A,ROW()-3),"")</f>
        <v/>
      </c>
      <c r="B8" s="17">
        <f>IF(A8&lt;&gt;"",VLOOKUP(A8,'Role Inventory'!$A:$B,2,FALSE),"")</f>
        <v/>
      </c>
      <c r="C8" s="17">
        <f>IF(A8&lt;&gt;"",VLOOKUP(A8,'Role Inventory'!$A:$C,3,FALSE),"")</f>
        <v/>
      </c>
      <c r="D8" s="15" t="n"/>
      <c r="E8" s="15" t="n"/>
      <c r="F8" s="15" t="n"/>
      <c r="G8" s="15" t="n"/>
      <c r="H8" s="15" t="n"/>
      <c r="I8" s="15" t="n"/>
      <c r="J8" s="15" t="n"/>
      <c r="K8" s="15" t="n"/>
      <c r="L8" s="15" t="n"/>
      <c r="M8" s="17">
        <f>IF(B8="","",IF(AND(D8="Complete",E8="Yes",F8="Yes",G8="Complete",H8="Complete",I8="Complete",J8="Yes",L8="Complete"),"Compliant",IF(OR(D8="Missing",E8="No",F8="No",J8="No",L8="Missing"),"Non-Compliant","Partial")))</f>
        <v/>
      </c>
      <c r="N8" s="15" t="n"/>
      <c r="O8" s="15" t="n"/>
    </row>
    <row r="9">
      <c r="A9" s="17">
        <f>IF(ROW()-4&lt;=COUNTA('Role Inventory'!$A:$A)-4,INDEX('Role Inventory'!$A:$A,ROW()-3),"")</f>
        <v/>
      </c>
      <c r="B9" s="17">
        <f>IF(A9&lt;&gt;"",VLOOKUP(A9,'Role Inventory'!$A:$B,2,FALSE),"")</f>
        <v/>
      </c>
      <c r="C9" s="17">
        <f>IF(A9&lt;&gt;"",VLOOKUP(A9,'Role Inventory'!$A:$C,3,FALSE),"")</f>
        <v/>
      </c>
      <c r="D9" s="15" t="n"/>
      <c r="E9" s="15" t="n"/>
      <c r="F9" s="15" t="n"/>
      <c r="G9" s="15" t="n"/>
      <c r="H9" s="15" t="n"/>
      <c r="I9" s="15" t="n"/>
      <c r="J9" s="15" t="n"/>
      <c r="K9" s="15" t="n"/>
      <c r="L9" s="15" t="n"/>
      <c r="M9" s="17">
        <f>IF(B9="","",IF(AND(D9="Complete",E9="Yes",F9="Yes",G9="Complete",H9="Complete",I9="Complete",J9="Yes",L9="Complete"),"Compliant",IF(OR(D9="Missing",E9="No",F9="No",J9="No",L9="Missing"),"Non-Compliant","Partial")))</f>
        <v/>
      </c>
      <c r="N9" s="15" t="n"/>
      <c r="O9" s="15" t="n"/>
    </row>
    <row r="10">
      <c r="A10" s="17">
        <f>IF(ROW()-4&lt;=COUNTA('Role Inventory'!$A:$A)-4,INDEX('Role Inventory'!$A:$A,ROW()-3),"")</f>
        <v/>
      </c>
      <c r="B10" s="17">
        <f>IF(A10&lt;&gt;"",VLOOKUP(A10,'Role Inventory'!$A:$B,2,FALSE),"")</f>
        <v/>
      </c>
      <c r="C10" s="17">
        <f>IF(A10&lt;&gt;"",VLOOKUP(A10,'Role Inventory'!$A:$C,3,FALSE),"")</f>
        <v/>
      </c>
      <c r="D10" s="15" t="n"/>
      <c r="E10" s="15" t="n"/>
      <c r="F10" s="15" t="n"/>
      <c r="G10" s="15" t="n"/>
      <c r="H10" s="15" t="n"/>
      <c r="I10" s="15" t="n"/>
      <c r="J10" s="15" t="n"/>
      <c r="K10" s="15" t="n"/>
      <c r="L10" s="15" t="n"/>
      <c r="M10" s="17">
        <f>IF(B10="","",IF(AND(D10="Complete",E10="Yes",F10="Yes",G10="Complete",H10="Complete",I10="Complete",J10="Yes",L10="Complete"),"Compliant",IF(OR(D10="Missing",E10="No",F10="No",J10="No",L10="Missing"),"Non-Compliant","Partial")))</f>
        <v/>
      </c>
      <c r="N10" s="15" t="n"/>
      <c r="O10" s="15" t="n"/>
    </row>
    <row r="11">
      <c r="A11" s="17">
        <f>IF(ROW()-4&lt;=COUNTA('Role Inventory'!$A:$A)-4,INDEX('Role Inventory'!$A:$A,ROW()-3),"")</f>
        <v/>
      </c>
      <c r="B11" s="17">
        <f>IF(A11&lt;&gt;"",VLOOKUP(A11,'Role Inventory'!$A:$B,2,FALSE),"")</f>
        <v/>
      </c>
      <c r="C11" s="17">
        <f>IF(A11&lt;&gt;"",VLOOKUP(A11,'Role Inventory'!$A:$C,3,FALSE),"")</f>
        <v/>
      </c>
      <c r="D11" s="15" t="n"/>
      <c r="E11" s="15" t="n"/>
      <c r="F11" s="15" t="n"/>
      <c r="G11" s="15" t="n"/>
      <c r="H11" s="15" t="n"/>
      <c r="I11" s="15" t="n"/>
      <c r="J11" s="15" t="n"/>
      <c r="K11" s="15" t="n"/>
      <c r="L11" s="15" t="n"/>
      <c r="M11" s="17">
        <f>IF(B11="","",IF(AND(D11="Complete",E11="Yes",F11="Yes",G11="Complete",H11="Complete",I11="Complete",J11="Yes",L11="Complete"),"Compliant",IF(OR(D11="Missing",E11="No",F11="No",J11="No",L11="Missing"),"Non-Compliant","Partial")))</f>
        <v/>
      </c>
      <c r="N11" s="15" t="n"/>
      <c r="O11" s="15" t="n"/>
    </row>
    <row r="12">
      <c r="A12" s="17">
        <f>IF(ROW()-4&lt;=COUNTA('Role Inventory'!$A:$A)-4,INDEX('Role Inventory'!$A:$A,ROW()-3),"")</f>
        <v/>
      </c>
      <c r="B12" s="17">
        <f>IF(A12&lt;&gt;"",VLOOKUP(A12,'Role Inventory'!$A:$B,2,FALSE),"")</f>
        <v/>
      </c>
      <c r="C12" s="17">
        <f>IF(A12&lt;&gt;"",VLOOKUP(A12,'Role Inventory'!$A:$C,3,FALSE),"")</f>
        <v/>
      </c>
      <c r="D12" s="15" t="n"/>
      <c r="E12" s="15" t="n"/>
      <c r="F12" s="15" t="n"/>
      <c r="G12" s="15" t="n"/>
      <c r="H12" s="15" t="n"/>
      <c r="I12" s="15" t="n"/>
      <c r="J12" s="15" t="n"/>
      <c r="K12" s="15" t="n"/>
      <c r="L12" s="15" t="n"/>
      <c r="M12" s="17">
        <f>IF(B12="","",IF(AND(D12="Complete",E12="Yes",F12="Yes",G12="Complete",H12="Complete",I12="Complete",J12="Yes",L12="Complete"),"Compliant",IF(OR(D12="Missing",E12="No",F12="No",J12="No",L12="Missing"),"Non-Compliant","Partial")))</f>
        <v/>
      </c>
      <c r="N12" s="15" t="n"/>
      <c r="O12" s="15" t="n"/>
    </row>
    <row r="13">
      <c r="A13" s="17">
        <f>IF(ROW()-4&lt;=COUNTA('Role Inventory'!$A:$A)-4,INDEX('Role Inventory'!$A:$A,ROW()-3),"")</f>
        <v/>
      </c>
      <c r="B13" s="17">
        <f>IF(A13&lt;&gt;"",VLOOKUP(A13,'Role Inventory'!$A:$B,2,FALSE),"")</f>
        <v/>
      </c>
      <c r="C13" s="17">
        <f>IF(A13&lt;&gt;"",VLOOKUP(A13,'Role Inventory'!$A:$C,3,FALSE),"")</f>
        <v/>
      </c>
      <c r="D13" s="15" t="n"/>
      <c r="E13" s="15" t="n"/>
      <c r="F13" s="15" t="n"/>
      <c r="G13" s="15" t="n"/>
      <c r="H13" s="15" t="n"/>
      <c r="I13" s="15" t="n"/>
      <c r="J13" s="15" t="n"/>
      <c r="K13" s="15" t="n"/>
      <c r="L13" s="15" t="n"/>
      <c r="M13" s="17">
        <f>IF(B13="","",IF(AND(D13="Complete",E13="Yes",F13="Yes",G13="Complete",H13="Complete",I13="Complete",J13="Yes",L13="Complete"),"Compliant",IF(OR(D13="Missing",E13="No",F13="No",J13="No",L13="Missing"),"Non-Compliant","Partial")))</f>
        <v/>
      </c>
      <c r="N13" s="15" t="n"/>
      <c r="O13" s="15" t="n"/>
    </row>
    <row r="14">
      <c r="A14" s="17">
        <f>IF(ROW()-4&lt;=COUNTA('Role Inventory'!$A:$A)-4,INDEX('Role Inventory'!$A:$A,ROW()-3),"")</f>
        <v/>
      </c>
      <c r="B14" s="17">
        <f>IF(A14&lt;&gt;"",VLOOKUP(A14,'Role Inventory'!$A:$B,2,FALSE),"")</f>
        <v/>
      </c>
      <c r="C14" s="17">
        <f>IF(A14&lt;&gt;"",VLOOKUP(A14,'Role Inventory'!$A:$C,3,FALSE),"")</f>
        <v/>
      </c>
      <c r="D14" s="15" t="n"/>
      <c r="E14" s="15" t="n"/>
      <c r="F14" s="15" t="n"/>
      <c r="G14" s="15" t="n"/>
      <c r="H14" s="15" t="n"/>
      <c r="I14" s="15" t="n"/>
      <c r="J14" s="15" t="n"/>
      <c r="K14" s="15" t="n"/>
      <c r="L14" s="15" t="n"/>
      <c r="M14" s="17">
        <f>IF(B14="","",IF(AND(D14="Complete",E14="Yes",F14="Yes",G14="Complete",H14="Complete",I14="Complete",J14="Yes",L14="Complete"),"Compliant",IF(OR(D14="Missing",E14="No",F14="No",J14="No",L14="Missing"),"Non-Compliant","Partial")))</f>
        <v/>
      </c>
      <c r="N14" s="15" t="n"/>
      <c r="O14" s="15" t="n"/>
    </row>
    <row r="15">
      <c r="A15" s="17">
        <f>IF(ROW()-4&lt;=COUNTA('Role Inventory'!$A:$A)-4,INDEX('Role Inventory'!$A:$A,ROW()-3),"")</f>
        <v/>
      </c>
      <c r="B15" s="17">
        <f>IF(A15&lt;&gt;"",VLOOKUP(A15,'Role Inventory'!$A:$B,2,FALSE),"")</f>
        <v/>
      </c>
      <c r="C15" s="17">
        <f>IF(A15&lt;&gt;"",VLOOKUP(A15,'Role Inventory'!$A:$C,3,FALSE),"")</f>
        <v/>
      </c>
      <c r="D15" s="15" t="n"/>
      <c r="E15" s="15" t="n"/>
      <c r="F15" s="15" t="n"/>
      <c r="G15" s="15" t="n"/>
      <c r="H15" s="15" t="n"/>
      <c r="I15" s="15" t="n"/>
      <c r="J15" s="15" t="n"/>
      <c r="K15" s="15" t="n"/>
      <c r="L15" s="15" t="n"/>
      <c r="M15" s="17">
        <f>IF(B15="","",IF(AND(D15="Complete",E15="Yes",F15="Yes",G15="Complete",H15="Complete",I15="Complete",J15="Yes",L15="Complete"),"Compliant",IF(OR(D15="Missing",E15="No",F15="No",J15="No",L15="Missing"),"Non-Compliant","Partial")))</f>
        <v/>
      </c>
      <c r="N15" s="15" t="n"/>
      <c r="O15" s="15" t="n"/>
    </row>
    <row r="16">
      <c r="A16" s="17">
        <f>IF(ROW()-4&lt;=COUNTA('Role Inventory'!$A:$A)-4,INDEX('Role Inventory'!$A:$A,ROW()-3),"")</f>
        <v/>
      </c>
      <c r="B16" s="17">
        <f>IF(A16&lt;&gt;"",VLOOKUP(A16,'Role Inventory'!$A:$B,2,FALSE),"")</f>
        <v/>
      </c>
      <c r="C16" s="17">
        <f>IF(A16&lt;&gt;"",VLOOKUP(A16,'Role Inventory'!$A:$C,3,FALSE),"")</f>
        <v/>
      </c>
      <c r="D16" s="15" t="n"/>
      <c r="E16" s="15" t="n"/>
      <c r="F16" s="15" t="n"/>
      <c r="G16" s="15" t="n"/>
      <c r="H16" s="15" t="n"/>
      <c r="I16" s="15" t="n"/>
      <c r="J16" s="15" t="n"/>
      <c r="K16" s="15" t="n"/>
      <c r="L16" s="15" t="n"/>
      <c r="M16" s="17">
        <f>IF(B16="","",IF(AND(D16="Complete",E16="Yes",F16="Yes",G16="Complete",H16="Complete",I16="Complete",J16="Yes",L16="Complete"),"Compliant",IF(OR(D16="Missing",E16="No",F16="No",J16="No",L16="Missing"),"Non-Compliant","Partial")))</f>
        <v/>
      </c>
      <c r="N16" s="15" t="n"/>
      <c r="O16" s="15" t="n"/>
    </row>
    <row r="17">
      <c r="A17" s="17">
        <f>IF(ROW()-4&lt;=COUNTA('Role Inventory'!$A:$A)-4,INDEX('Role Inventory'!$A:$A,ROW()-3),"")</f>
        <v/>
      </c>
      <c r="B17" s="17">
        <f>IF(A17&lt;&gt;"",VLOOKUP(A17,'Role Inventory'!$A:$B,2,FALSE),"")</f>
        <v/>
      </c>
      <c r="C17" s="17">
        <f>IF(A17&lt;&gt;"",VLOOKUP(A17,'Role Inventory'!$A:$C,3,FALSE),"")</f>
        <v/>
      </c>
      <c r="D17" s="15" t="n"/>
      <c r="E17" s="15" t="n"/>
      <c r="F17" s="15" t="n"/>
      <c r="G17" s="15" t="n"/>
      <c r="H17" s="15" t="n"/>
      <c r="I17" s="15" t="n"/>
      <c r="J17" s="15" t="n"/>
      <c r="K17" s="15" t="n"/>
      <c r="L17" s="15" t="n"/>
      <c r="M17" s="17">
        <f>IF(B17="","",IF(AND(D17="Complete",E17="Yes",F17="Yes",G17="Complete",H17="Complete",I17="Complete",J17="Yes",L17="Complete"),"Compliant",IF(OR(D17="Missing",E17="No",F17="No",J17="No",L17="Missing"),"Non-Compliant","Partial")))</f>
        <v/>
      </c>
      <c r="N17" s="15" t="n"/>
      <c r="O17" s="15" t="n"/>
    </row>
    <row r="18">
      <c r="A18" s="17">
        <f>IF(ROW()-4&lt;=COUNTA('Role Inventory'!$A:$A)-4,INDEX('Role Inventory'!$A:$A,ROW()-3),"")</f>
        <v/>
      </c>
      <c r="B18" s="17">
        <f>IF(A18&lt;&gt;"",VLOOKUP(A18,'Role Inventory'!$A:$B,2,FALSE),"")</f>
        <v/>
      </c>
      <c r="C18" s="17">
        <f>IF(A18&lt;&gt;"",VLOOKUP(A18,'Role Inventory'!$A:$C,3,FALSE),"")</f>
        <v/>
      </c>
      <c r="D18" s="15" t="n"/>
      <c r="E18" s="15" t="n"/>
      <c r="F18" s="15" t="n"/>
      <c r="G18" s="15" t="n"/>
      <c r="H18" s="15" t="n"/>
      <c r="I18" s="15" t="n"/>
      <c r="J18" s="15" t="n"/>
      <c r="K18" s="15" t="n"/>
      <c r="L18" s="15" t="n"/>
      <c r="M18" s="17">
        <f>IF(B18="","",IF(AND(D18="Complete",E18="Yes",F18="Yes",G18="Complete",H18="Complete",I18="Complete",J18="Yes",L18="Complete"),"Compliant",IF(OR(D18="Missing",E18="No",F18="No",J18="No",L18="Missing"),"Non-Compliant","Partial")))</f>
        <v/>
      </c>
      <c r="N18" s="15" t="n"/>
      <c r="O18" s="15" t="n"/>
    </row>
    <row r="19">
      <c r="A19" s="17">
        <f>IF(ROW()-4&lt;=COUNTA('Role Inventory'!$A:$A)-4,INDEX('Role Inventory'!$A:$A,ROW()-3),"")</f>
        <v/>
      </c>
      <c r="B19" s="17">
        <f>IF(A19&lt;&gt;"",VLOOKUP(A19,'Role Inventory'!$A:$B,2,FALSE),"")</f>
        <v/>
      </c>
      <c r="C19" s="17">
        <f>IF(A19&lt;&gt;"",VLOOKUP(A19,'Role Inventory'!$A:$C,3,FALSE),"")</f>
        <v/>
      </c>
      <c r="D19" s="15" t="n"/>
      <c r="E19" s="15" t="n"/>
      <c r="F19" s="15" t="n"/>
      <c r="G19" s="15" t="n"/>
      <c r="H19" s="15" t="n"/>
      <c r="I19" s="15" t="n"/>
      <c r="J19" s="15" t="n"/>
      <c r="K19" s="15" t="n"/>
      <c r="L19" s="15" t="n"/>
      <c r="M19" s="17">
        <f>IF(B19="","",IF(AND(D19="Complete",E19="Yes",F19="Yes",G19="Complete",H19="Complete",I19="Complete",J19="Yes",L19="Complete"),"Compliant",IF(OR(D19="Missing",E19="No",F19="No",J19="No",L19="Missing"),"Non-Compliant","Partial")))</f>
        <v/>
      </c>
      <c r="N19" s="15" t="n"/>
      <c r="O19" s="15" t="n"/>
    </row>
    <row r="20">
      <c r="A20" s="17">
        <f>IF(ROW()-4&lt;=COUNTA('Role Inventory'!$A:$A)-4,INDEX('Role Inventory'!$A:$A,ROW()-3),"")</f>
        <v/>
      </c>
      <c r="B20" s="17">
        <f>IF(A20&lt;&gt;"",VLOOKUP(A20,'Role Inventory'!$A:$B,2,FALSE),"")</f>
        <v/>
      </c>
      <c r="C20" s="17">
        <f>IF(A20&lt;&gt;"",VLOOKUP(A20,'Role Inventory'!$A:$C,3,FALSE),"")</f>
        <v/>
      </c>
      <c r="D20" s="15" t="n"/>
      <c r="E20" s="15" t="n"/>
      <c r="F20" s="15" t="n"/>
      <c r="G20" s="15" t="n"/>
      <c r="H20" s="15" t="n"/>
      <c r="I20" s="15" t="n"/>
      <c r="J20" s="15" t="n"/>
      <c r="K20" s="15" t="n"/>
      <c r="L20" s="15" t="n"/>
      <c r="M20" s="17">
        <f>IF(B20="","",IF(AND(D20="Complete",E20="Yes",F20="Yes",G20="Complete",H20="Complete",I20="Complete",J20="Yes",L20="Complete"),"Compliant",IF(OR(D20="Missing",E20="No",F20="No",J20="No",L20="Missing"),"Non-Compliant","Partial")))</f>
        <v/>
      </c>
      <c r="N20" s="15" t="n"/>
      <c r="O20" s="15" t="n"/>
    </row>
    <row r="21">
      <c r="A21" s="17">
        <f>IF(ROW()-4&lt;=COUNTA('Role Inventory'!$A:$A)-4,INDEX('Role Inventory'!$A:$A,ROW()-3),"")</f>
        <v/>
      </c>
      <c r="B21" s="17">
        <f>IF(A21&lt;&gt;"",VLOOKUP(A21,'Role Inventory'!$A:$B,2,FALSE),"")</f>
        <v/>
      </c>
      <c r="C21" s="17">
        <f>IF(A21&lt;&gt;"",VLOOKUP(A21,'Role Inventory'!$A:$C,3,FALSE),"")</f>
        <v/>
      </c>
      <c r="D21" s="15" t="n"/>
      <c r="E21" s="15" t="n"/>
      <c r="F21" s="15" t="n"/>
      <c r="G21" s="15" t="n"/>
      <c r="H21" s="15" t="n"/>
      <c r="I21" s="15" t="n"/>
      <c r="J21" s="15" t="n"/>
      <c r="K21" s="15" t="n"/>
      <c r="L21" s="15" t="n"/>
      <c r="M21" s="17">
        <f>IF(B21="","",IF(AND(D21="Complete",E21="Yes",F21="Yes",G21="Complete",H21="Complete",I21="Complete",J21="Yes",L21="Complete"),"Compliant",IF(OR(D21="Missing",E21="No",F21="No",J21="No",L21="Missing"),"Non-Compliant","Partial")))</f>
        <v/>
      </c>
      <c r="N21" s="15" t="n"/>
      <c r="O21" s="15" t="n"/>
    </row>
    <row r="22">
      <c r="A22" s="17">
        <f>IF(ROW()-4&lt;=COUNTA('Role Inventory'!$A:$A)-4,INDEX('Role Inventory'!$A:$A,ROW()-3),"")</f>
        <v/>
      </c>
      <c r="B22" s="17">
        <f>IF(A22&lt;&gt;"",VLOOKUP(A22,'Role Inventory'!$A:$B,2,FALSE),"")</f>
        <v/>
      </c>
      <c r="C22" s="17">
        <f>IF(A22&lt;&gt;"",VLOOKUP(A22,'Role Inventory'!$A:$C,3,FALSE),"")</f>
        <v/>
      </c>
      <c r="D22" s="15" t="n"/>
      <c r="E22" s="15" t="n"/>
      <c r="F22" s="15" t="n"/>
      <c r="G22" s="15" t="n"/>
      <c r="H22" s="15" t="n"/>
      <c r="I22" s="15" t="n"/>
      <c r="J22" s="15" t="n"/>
      <c r="K22" s="15" t="n"/>
      <c r="L22" s="15" t="n"/>
      <c r="M22" s="17">
        <f>IF(B22="","",IF(AND(D22="Complete",E22="Yes",F22="Yes",G22="Complete",H22="Complete",I22="Complete",J22="Yes",L22="Complete"),"Compliant",IF(OR(D22="Missing",E22="No",F22="No",J22="No",L22="Missing"),"Non-Compliant","Partial")))</f>
        <v/>
      </c>
      <c r="N22" s="15" t="n"/>
      <c r="O22" s="15" t="n"/>
    </row>
    <row r="23">
      <c r="A23" s="17">
        <f>IF(ROW()-4&lt;=COUNTA('Role Inventory'!$A:$A)-4,INDEX('Role Inventory'!$A:$A,ROW()-3),"")</f>
        <v/>
      </c>
      <c r="B23" s="17">
        <f>IF(A23&lt;&gt;"",VLOOKUP(A23,'Role Inventory'!$A:$B,2,FALSE),"")</f>
        <v/>
      </c>
      <c r="C23" s="17">
        <f>IF(A23&lt;&gt;"",VLOOKUP(A23,'Role Inventory'!$A:$C,3,FALSE),"")</f>
        <v/>
      </c>
      <c r="D23" s="15" t="n"/>
      <c r="E23" s="15" t="n"/>
      <c r="F23" s="15" t="n"/>
      <c r="G23" s="15" t="n"/>
      <c r="H23" s="15" t="n"/>
      <c r="I23" s="15" t="n"/>
      <c r="J23" s="15" t="n"/>
      <c r="K23" s="15" t="n"/>
      <c r="L23" s="15" t="n"/>
      <c r="M23" s="17">
        <f>IF(B23="","",IF(AND(D23="Complete",E23="Yes",F23="Yes",G23="Complete",H23="Complete",I23="Complete",J23="Yes",L23="Complete"),"Compliant",IF(OR(D23="Missing",E23="No",F23="No",J23="No",L23="Missing"),"Non-Compliant","Partial")))</f>
        <v/>
      </c>
      <c r="N23" s="15" t="n"/>
      <c r="O23" s="15" t="n"/>
    </row>
    <row r="24">
      <c r="A24" s="17">
        <f>IF(ROW()-4&lt;=COUNTA('Role Inventory'!$A:$A)-4,INDEX('Role Inventory'!$A:$A,ROW()-3),"")</f>
        <v/>
      </c>
      <c r="B24" s="17">
        <f>IF(A24&lt;&gt;"",VLOOKUP(A24,'Role Inventory'!$A:$B,2,FALSE),"")</f>
        <v/>
      </c>
      <c r="C24" s="17">
        <f>IF(A24&lt;&gt;"",VLOOKUP(A24,'Role Inventory'!$A:$C,3,FALSE),"")</f>
        <v/>
      </c>
      <c r="D24" s="15" t="n"/>
      <c r="E24" s="15" t="n"/>
      <c r="F24" s="15" t="n"/>
      <c r="G24" s="15" t="n"/>
      <c r="H24" s="15" t="n"/>
      <c r="I24" s="15" t="n"/>
      <c r="J24" s="15" t="n"/>
      <c r="K24" s="15" t="n"/>
      <c r="L24" s="15" t="n"/>
      <c r="M24" s="17">
        <f>IF(B24="","",IF(AND(D24="Complete",E24="Yes",F24="Yes",G24="Complete",H24="Complete",I24="Complete",J24="Yes",L24="Complete"),"Compliant",IF(OR(D24="Missing",E24="No",F24="No",J24="No",L24="Missing"),"Non-Compliant","Partial")))</f>
        <v/>
      </c>
      <c r="N24" s="15" t="n"/>
      <c r="O24" s="15" t="n"/>
    </row>
    <row r="25">
      <c r="A25" s="17">
        <f>IF(ROW()-4&lt;=COUNTA('Role Inventory'!$A:$A)-4,INDEX('Role Inventory'!$A:$A,ROW()-3),"")</f>
        <v/>
      </c>
      <c r="B25" s="17">
        <f>IF(A25&lt;&gt;"",VLOOKUP(A25,'Role Inventory'!$A:$B,2,FALSE),"")</f>
        <v/>
      </c>
      <c r="C25" s="17">
        <f>IF(A25&lt;&gt;"",VLOOKUP(A25,'Role Inventory'!$A:$C,3,FALSE),"")</f>
        <v/>
      </c>
      <c r="D25" s="15" t="n"/>
      <c r="E25" s="15" t="n"/>
      <c r="F25" s="15" t="n"/>
      <c r="G25" s="15" t="n"/>
      <c r="H25" s="15" t="n"/>
      <c r="I25" s="15" t="n"/>
      <c r="J25" s="15" t="n"/>
      <c r="K25" s="15" t="n"/>
      <c r="L25" s="15" t="n"/>
      <c r="M25" s="17">
        <f>IF(B25="","",IF(AND(D25="Complete",E25="Yes",F25="Yes",G25="Complete",H25="Complete",I25="Complete",J25="Yes",L25="Complete"),"Compliant",IF(OR(D25="Missing",E25="No",F25="No",J25="No",L25="Missing"),"Non-Compliant","Partial")))</f>
        <v/>
      </c>
      <c r="N25" s="15" t="n"/>
      <c r="O25" s="15" t="n"/>
    </row>
    <row r="26">
      <c r="A26" s="17">
        <f>IF(ROW()-4&lt;=COUNTA('Role Inventory'!$A:$A)-4,INDEX('Role Inventory'!$A:$A,ROW()-3),"")</f>
        <v/>
      </c>
      <c r="B26" s="17">
        <f>IF(A26&lt;&gt;"",VLOOKUP(A26,'Role Inventory'!$A:$B,2,FALSE),"")</f>
        <v/>
      </c>
      <c r="C26" s="17">
        <f>IF(A26&lt;&gt;"",VLOOKUP(A26,'Role Inventory'!$A:$C,3,FALSE),"")</f>
        <v/>
      </c>
      <c r="D26" s="15" t="n"/>
      <c r="E26" s="15" t="n"/>
      <c r="F26" s="15" t="n"/>
      <c r="G26" s="15" t="n"/>
      <c r="H26" s="15" t="n"/>
      <c r="I26" s="15" t="n"/>
      <c r="J26" s="15" t="n"/>
      <c r="K26" s="15" t="n"/>
      <c r="L26" s="15" t="n"/>
      <c r="M26" s="17">
        <f>IF(B26="","",IF(AND(D26="Complete",E26="Yes",F26="Yes",G26="Complete",H26="Complete",I26="Complete",J26="Yes",L26="Complete"),"Compliant",IF(OR(D26="Missing",E26="No",F26="No",J26="No",L26="Missing"),"Non-Compliant","Partial")))</f>
        <v/>
      </c>
      <c r="N26" s="15" t="n"/>
      <c r="O26" s="15" t="n"/>
    </row>
    <row r="27">
      <c r="A27" s="17">
        <f>IF(ROW()-4&lt;=COUNTA('Role Inventory'!$A:$A)-4,INDEX('Role Inventory'!$A:$A,ROW()-3),"")</f>
        <v/>
      </c>
      <c r="B27" s="17">
        <f>IF(A27&lt;&gt;"",VLOOKUP(A27,'Role Inventory'!$A:$B,2,FALSE),"")</f>
        <v/>
      </c>
      <c r="C27" s="17">
        <f>IF(A27&lt;&gt;"",VLOOKUP(A27,'Role Inventory'!$A:$C,3,FALSE),"")</f>
        <v/>
      </c>
      <c r="D27" s="15" t="n"/>
      <c r="E27" s="15" t="n"/>
      <c r="F27" s="15" t="n"/>
      <c r="G27" s="15" t="n"/>
      <c r="H27" s="15" t="n"/>
      <c r="I27" s="15" t="n"/>
      <c r="J27" s="15" t="n"/>
      <c r="K27" s="15" t="n"/>
      <c r="L27" s="15" t="n"/>
      <c r="M27" s="17">
        <f>IF(B27="","",IF(AND(D27="Complete",E27="Yes",F27="Yes",G27="Complete",H27="Complete",I27="Complete",J27="Yes",L27="Complete"),"Compliant",IF(OR(D27="Missing",E27="No",F27="No",J27="No",L27="Missing"),"Non-Compliant","Partial")))</f>
        <v/>
      </c>
      <c r="N27" s="15" t="n"/>
      <c r="O27" s="15" t="n"/>
    </row>
    <row r="28">
      <c r="A28" s="17">
        <f>IF(ROW()-4&lt;=COUNTA('Role Inventory'!$A:$A)-4,INDEX('Role Inventory'!$A:$A,ROW()-3),"")</f>
        <v/>
      </c>
      <c r="B28" s="17">
        <f>IF(A28&lt;&gt;"",VLOOKUP(A28,'Role Inventory'!$A:$B,2,FALSE),"")</f>
        <v/>
      </c>
      <c r="C28" s="17">
        <f>IF(A28&lt;&gt;"",VLOOKUP(A28,'Role Inventory'!$A:$C,3,FALSE),"")</f>
        <v/>
      </c>
      <c r="D28" s="15" t="n"/>
      <c r="E28" s="15" t="n"/>
      <c r="F28" s="15" t="n"/>
      <c r="G28" s="15" t="n"/>
      <c r="H28" s="15" t="n"/>
      <c r="I28" s="15" t="n"/>
      <c r="J28" s="15" t="n"/>
      <c r="K28" s="15" t="n"/>
      <c r="L28" s="15" t="n"/>
      <c r="M28" s="17">
        <f>IF(B28="","",IF(AND(D28="Complete",E28="Yes",F28="Yes",G28="Complete",H28="Complete",I28="Complete",J28="Yes",L28="Complete"),"Compliant",IF(OR(D28="Missing",E28="No",F28="No",J28="No",L28="Missing"),"Non-Compliant","Partial")))</f>
        <v/>
      </c>
      <c r="N28" s="15" t="n"/>
      <c r="O28" s="15" t="n"/>
    </row>
    <row r="29">
      <c r="A29" s="17">
        <f>IF(ROW()-4&lt;=COUNTA('Role Inventory'!$A:$A)-4,INDEX('Role Inventory'!$A:$A,ROW()-3),"")</f>
        <v/>
      </c>
      <c r="B29" s="17">
        <f>IF(A29&lt;&gt;"",VLOOKUP(A29,'Role Inventory'!$A:$B,2,FALSE),"")</f>
        <v/>
      </c>
      <c r="C29" s="17">
        <f>IF(A29&lt;&gt;"",VLOOKUP(A29,'Role Inventory'!$A:$C,3,FALSE),"")</f>
        <v/>
      </c>
      <c r="D29" s="15" t="n"/>
      <c r="E29" s="15" t="n"/>
      <c r="F29" s="15" t="n"/>
      <c r="G29" s="15" t="n"/>
      <c r="H29" s="15" t="n"/>
      <c r="I29" s="15" t="n"/>
      <c r="J29" s="15" t="n"/>
      <c r="K29" s="15" t="n"/>
      <c r="L29" s="15" t="n"/>
      <c r="M29" s="17">
        <f>IF(B29="","",IF(AND(D29="Complete",E29="Yes",F29="Yes",G29="Complete",H29="Complete",I29="Complete",J29="Yes",L29="Complete"),"Compliant",IF(OR(D29="Missing",E29="No",F29="No",J29="No",L29="Missing"),"Non-Compliant","Partial")))</f>
        <v/>
      </c>
      <c r="N29" s="15" t="n"/>
      <c r="O29" s="15" t="n"/>
    </row>
    <row r="30">
      <c r="A30" s="17">
        <f>IF(ROW()-4&lt;=COUNTA('Role Inventory'!$A:$A)-4,INDEX('Role Inventory'!$A:$A,ROW()-3),"")</f>
        <v/>
      </c>
      <c r="B30" s="17">
        <f>IF(A30&lt;&gt;"",VLOOKUP(A30,'Role Inventory'!$A:$B,2,FALSE),"")</f>
        <v/>
      </c>
      <c r="C30" s="17">
        <f>IF(A30&lt;&gt;"",VLOOKUP(A30,'Role Inventory'!$A:$C,3,FALSE),"")</f>
        <v/>
      </c>
      <c r="D30" s="15" t="n"/>
      <c r="E30" s="15" t="n"/>
      <c r="F30" s="15" t="n"/>
      <c r="G30" s="15" t="n"/>
      <c r="H30" s="15" t="n"/>
      <c r="I30" s="15" t="n"/>
      <c r="J30" s="15" t="n"/>
      <c r="K30" s="15" t="n"/>
      <c r="L30" s="15" t="n"/>
      <c r="M30" s="17">
        <f>IF(B30="","",IF(AND(D30="Complete",E30="Yes",F30="Yes",G30="Complete",H30="Complete",I30="Complete",J30="Yes",L30="Complete"),"Compliant",IF(OR(D30="Missing",E30="No",F30="No",J30="No",L30="Missing"),"Non-Compliant","Partial")))</f>
        <v/>
      </c>
      <c r="N30" s="15" t="n"/>
      <c r="O30" s="15" t="n"/>
    </row>
    <row r="31">
      <c r="A31" s="17">
        <f>IF(ROW()-4&lt;=COUNTA('Role Inventory'!$A:$A)-4,INDEX('Role Inventory'!$A:$A,ROW()-3),"")</f>
        <v/>
      </c>
      <c r="B31" s="17">
        <f>IF(A31&lt;&gt;"",VLOOKUP(A31,'Role Inventory'!$A:$B,2,FALSE),"")</f>
        <v/>
      </c>
      <c r="C31" s="17">
        <f>IF(A31&lt;&gt;"",VLOOKUP(A31,'Role Inventory'!$A:$C,3,FALSE),"")</f>
        <v/>
      </c>
      <c r="D31" s="15" t="n"/>
      <c r="E31" s="15" t="n"/>
      <c r="F31" s="15" t="n"/>
      <c r="G31" s="15" t="n"/>
      <c r="H31" s="15" t="n"/>
      <c r="I31" s="15" t="n"/>
      <c r="J31" s="15" t="n"/>
      <c r="K31" s="15" t="n"/>
      <c r="L31" s="15" t="n"/>
      <c r="M31" s="17">
        <f>IF(B31="","",IF(AND(D31="Complete",E31="Yes",F31="Yes",G31="Complete",H31="Complete",I31="Complete",J31="Yes",L31="Complete"),"Compliant",IF(OR(D31="Missing",E31="No",F31="No",J31="No",L31="Missing"),"Non-Compliant","Partial")))</f>
        <v/>
      </c>
      <c r="N31" s="15" t="n"/>
      <c r="O31" s="15" t="n"/>
    </row>
    <row r="32">
      <c r="A32" s="17">
        <f>IF(ROW()-4&lt;=COUNTA('Role Inventory'!$A:$A)-4,INDEX('Role Inventory'!$A:$A,ROW()-3),"")</f>
        <v/>
      </c>
      <c r="B32" s="17">
        <f>IF(A32&lt;&gt;"",VLOOKUP(A32,'Role Inventory'!$A:$B,2,FALSE),"")</f>
        <v/>
      </c>
      <c r="C32" s="17">
        <f>IF(A32&lt;&gt;"",VLOOKUP(A32,'Role Inventory'!$A:$C,3,FALSE),"")</f>
        <v/>
      </c>
      <c r="D32" s="15" t="n"/>
      <c r="E32" s="15" t="n"/>
      <c r="F32" s="15" t="n"/>
      <c r="G32" s="15" t="n"/>
      <c r="H32" s="15" t="n"/>
      <c r="I32" s="15" t="n"/>
      <c r="J32" s="15" t="n"/>
      <c r="K32" s="15" t="n"/>
      <c r="L32" s="15" t="n"/>
      <c r="M32" s="17">
        <f>IF(B32="","",IF(AND(D32="Complete",E32="Yes",F32="Yes",G32="Complete",H32="Complete",I32="Complete",J32="Yes",L32="Complete"),"Compliant",IF(OR(D32="Missing",E32="No",F32="No",J32="No",L32="Missing"),"Non-Compliant","Partial")))</f>
        <v/>
      </c>
      <c r="N32" s="15" t="n"/>
      <c r="O32" s="15" t="n"/>
    </row>
    <row r="33">
      <c r="A33" s="17">
        <f>IF(ROW()-4&lt;=COUNTA('Role Inventory'!$A:$A)-4,INDEX('Role Inventory'!$A:$A,ROW()-3),"")</f>
        <v/>
      </c>
      <c r="B33" s="17">
        <f>IF(A33&lt;&gt;"",VLOOKUP(A33,'Role Inventory'!$A:$B,2,FALSE),"")</f>
        <v/>
      </c>
      <c r="C33" s="17">
        <f>IF(A33&lt;&gt;"",VLOOKUP(A33,'Role Inventory'!$A:$C,3,FALSE),"")</f>
        <v/>
      </c>
      <c r="D33" s="15" t="n"/>
      <c r="E33" s="15" t="n"/>
      <c r="F33" s="15" t="n"/>
      <c r="G33" s="15" t="n"/>
      <c r="H33" s="15" t="n"/>
      <c r="I33" s="15" t="n"/>
      <c r="J33" s="15" t="n"/>
      <c r="K33" s="15" t="n"/>
      <c r="L33" s="15" t="n"/>
      <c r="M33" s="17">
        <f>IF(B33="","",IF(AND(D33="Complete",E33="Yes",F33="Yes",G33="Complete",H33="Complete",I33="Complete",J33="Yes",L33="Complete"),"Compliant",IF(OR(D33="Missing",E33="No",F33="No",J33="No",L33="Missing"),"Non-Compliant","Partial")))</f>
        <v/>
      </c>
      <c r="N33" s="15" t="n"/>
      <c r="O33" s="15" t="n"/>
    </row>
    <row r="34">
      <c r="A34" s="17">
        <f>IF(ROW()-4&lt;=COUNTA('Role Inventory'!$A:$A)-4,INDEX('Role Inventory'!$A:$A,ROW()-3),"")</f>
        <v/>
      </c>
      <c r="B34" s="17">
        <f>IF(A34&lt;&gt;"",VLOOKUP(A34,'Role Inventory'!$A:$B,2,FALSE),"")</f>
        <v/>
      </c>
      <c r="C34" s="17">
        <f>IF(A34&lt;&gt;"",VLOOKUP(A34,'Role Inventory'!$A:$C,3,FALSE),"")</f>
        <v/>
      </c>
      <c r="D34" s="15" t="n"/>
      <c r="E34" s="15" t="n"/>
      <c r="F34" s="15" t="n"/>
      <c r="G34" s="15" t="n"/>
      <c r="H34" s="15" t="n"/>
      <c r="I34" s="15" t="n"/>
      <c r="J34" s="15" t="n"/>
      <c r="K34" s="15" t="n"/>
      <c r="L34" s="15" t="n"/>
      <c r="M34" s="17">
        <f>IF(B34="","",IF(AND(D34="Complete",E34="Yes",F34="Yes",G34="Complete",H34="Complete",I34="Complete",J34="Yes",L34="Complete"),"Compliant",IF(OR(D34="Missing",E34="No",F34="No",J34="No",L34="Missing"),"Non-Compliant","Partial")))</f>
        <v/>
      </c>
      <c r="N34" s="15" t="n"/>
      <c r="O34" s="15" t="n"/>
    </row>
    <row r="35">
      <c r="A35" s="17">
        <f>IF(ROW()-4&lt;=COUNTA('Role Inventory'!$A:$A)-4,INDEX('Role Inventory'!$A:$A,ROW()-3),"")</f>
        <v/>
      </c>
      <c r="B35" s="17">
        <f>IF(A35&lt;&gt;"",VLOOKUP(A35,'Role Inventory'!$A:$B,2,FALSE),"")</f>
        <v/>
      </c>
      <c r="C35" s="17">
        <f>IF(A35&lt;&gt;"",VLOOKUP(A35,'Role Inventory'!$A:$C,3,FALSE),"")</f>
        <v/>
      </c>
      <c r="D35" s="15" t="n"/>
      <c r="E35" s="15" t="n"/>
      <c r="F35" s="15" t="n"/>
      <c r="G35" s="15" t="n"/>
      <c r="H35" s="15" t="n"/>
      <c r="I35" s="15" t="n"/>
      <c r="J35" s="15" t="n"/>
      <c r="K35" s="15" t="n"/>
      <c r="L35" s="15" t="n"/>
      <c r="M35" s="17">
        <f>IF(B35="","",IF(AND(D35="Complete",E35="Yes",F35="Yes",G35="Complete",H35="Complete",I35="Complete",J35="Yes",L35="Complete"),"Compliant",IF(OR(D35="Missing",E35="No",F35="No",J35="No",L35="Missing"),"Non-Compliant","Partial")))</f>
        <v/>
      </c>
      <c r="N35" s="15" t="n"/>
      <c r="O35" s="15" t="n"/>
    </row>
    <row r="36">
      <c r="A36" s="17">
        <f>IF(ROW()-4&lt;=COUNTA('Role Inventory'!$A:$A)-4,INDEX('Role Inventory'!$A:$A,ROW()-3),"")</f>
        <v/>
      </c>
      <c r="B36" s="17">
        <f>IF(A36&lt;&gt;"",VLOOKUP(A36,'Role Inventory'!$A:$B,2,FALSE),"")</f>
        <v/>
      </c>
      <c r="C36" s="17">
        <f>IF(A36&lt;&gt;"",VLOOKUP(A36,'Role Inventory'!$A:$C,3,FALSE),"")</f>
        <v/>
      </c>
      <c r="D36" s="15" t="n"/>
      <c r="E36" s="15" t="n"/>
      <c r="F36" s="15" t="n"/>
      <c r="G36" s="15" t="n"/>
      <c r="H36" s="15" t="n"/>
      <c r="I36" s="15" t="n"/>
      <c r="J36" s="15" t="n"/>
      <c r="K36" s="15" t="n"/>
      <c r="L36" s="15" t="n"/>
      <c r="M36" s="17">
        <f>IF(B36="","",IF(AND(D36="Complete",E36="Yes",F36="Yes",G36="Complete",H36="Complete",I36="Complete",J36="Yes",L36="Complete"),"Compliant",IF(OR(D36="Missing",E36="No",F36="No",J36="No",L36="Missing"),"Non-Compliant","Partial")))</f>
        <v/>
      </c>
      <c r="N36" s="15" t="n"/>
      <c r="O36" s="15" t="n"/>
    </row>
    <row r="37">
      <c r="A37" s="17">
        <f>IF(ROW()-4&lt;=COUNTA('Role Inventory'!$A:$A)-4,INDEX('Role Inventory'!$A:$A,ROW()-3),"")</f>
        <v/>
      </c>
      <c r="B37" s="17">
        <f>IF(A37&lt;&gt;"",VLOOKUP(A37,'Role Inventory'!$A:$B,2,FALSE),"")</f>
        <v/>
      </c>
      <c r="C37" s="17">
        <f>IF(A37&lt;&gt;"",VLOOKUP(A37,'Role Inventory'!$A:$C,3,FALSE),"")</f>
        <v/>
      </c>
      <c r="D37" s="15" t="n"/>
      <c r="E37" s="15" t="n"/>
      <c r="F37" s="15" t="n"/>
      <c r="G37" s="15" t="n"/>
      <c r="H37" s="15" t="n"/>
      <c r="I37" s="15" t="n"/>
      <c r="J37" s="15" t="n"/>
      <c r="K37" s="15" t="n"/>
      <c r="L37" s="15" t="n"/>
      <c r="M37" s="17">
        <f>IF(B37="","",IF(AND(D37="Complete",E37="Yes",F37="Yes",G37="Complete",H37="Complete",I37="Complete",J37="Yes",L37="Complete"),"Compliant",IF(OR(D37="Missing",E37="No",F37="No",J37="No",L37="Missing"),"Non-Compliant","Partial")))</f>
        <v/>
      </c>
      <c r="N37" s="15" t="n"/>
      <c r="O37" s="15" t="n"/>
    </row>
    <row r="38">
      <c r="A38" s="17">
        <f>IF(ROW()-4&lt;=COUNTA('Role Inventory'!$A:$A)-4,INDEX('Role Inventory'!$A:$A,ROW()-3),"")</f>
        <v/>
      </c>
      <c r="B38" s="17">
        <f>IF(A38&lt;&gt;"",VLOOKUP(A38,'Role Inventory'!$A:$B,2,FALSE),"")</f>
        <v/>
      </c>
      <c r="C38" s="17">
        <f>IF(A38&lt;&gt;"",VLOOKUP(A38,'Role Inventory'!$A:$C,3,FALSE),"")</f>
        <v/>
      </c>
      <c r="D38" s="15" t="n"/>
      <c r="E38" s="15" t="n"/>
      <c r="F38" s="15" t="n"/>
      <c r="G38" s="15" t="n"/>
      <c r="H38" s="15" t="n"/>
      <c r="I38" s="15" t="n"/>
      <c r="J38" s="15" t="n"/>
      <c r="K38" s="15" t="n"/>
      <c r="L38" s="15" t="n"/>
      <c r="M38" s="17">
        <f>IF(B38="","",IF(AND(D38="Complete",E38="Yes",F38="Yes",G38="Complete",H38="Complete",I38="Complete",J38="Yes",L38="Complete"),"Compliant",IF(OR(D38="Missing",E38="No",F38="No",J38="No",L38="Missing"),"Non-Compliant","Partial")))</f>
        <v/>
      </c>
      <c r="N38" s="15" t="n"/>
      <c r="O38" s="15" t="n"/>
    </row>
    <row r="39">
      <c r="A39" s="17">
        <f>IF(ROW()-4&lt;=COUNTA('Role Inventory'!$A:$A)-4,INDEX('Role Inventory'!$A:$A,ROW()-3),"")</f>
        <v/>
      </c>
      <c r="B39" s="17">
        <f>IF(A39&lt;&gt;"",VLOOKUP(A39,'Role Inventory'!$A:$B,2,FALSE),"")</f>
        <v/>
      </c>
      <c r="C39" s="17">
        <f>IF(A39&lt;&gt;"",VLOOKUP(A39,'Role Inventory'!$A:$C,3,FALSE),"")</f>
        <v/>
      </c>
      <c r="D39" s="15" t="n"/>
      <c r="E39" s="15" t="n"/>
      <c r="F39" s="15" t="n"/>
      <c r="G39" s="15" t="n"/>
      <c r="H39" s="15" t="n"/>
      <c r="I39" s="15" t="n"/>
      <c r="J39" s="15" t="n"/>
      <c r="K39" s="15" t="n"/>
      <c r="L39" s="15" t="n"/>
      <c r="M39" s="17">
        <f>IF(B39="","",IF(AND(D39="Complete",E39="Yes",F39="Yes",G39="Complete",H39="Complete",I39="Complete",J39="Yes",L39="Complete"),"Compliant",IF(OR(D39="Missing",E39="No",F39="No",J39="No",L39="Missing"),"Non-Compliant","Partial")))</f>
        <v/>
      </c>
      <c r="N39" s="15" t="n"/>
      <c r="O39" s="15" t="n"/>
    </row>
    <row r="40">
      <c r="A40" s="17">
        <f>IF(ROW()-4&lt;=COUNTA('Role Inventory'!$A:$A)-4,INDEX('Role Inventory'!$A:$A,ROW()-3),"")</f>
        <v/>
      </c>
      <c r="B40" s="17">
        <f>IF(A40&lt;&gt;"",VLOOKUP(A40,'Role Inventory'!$A:$B,2,FALSE),"")</f>
        <v/>
      </c>
      <c r="C40" s="17">
        <f>IF(A40&lt;&gt;"",VLOOKUP(A40,'Role Inventory'!$A:$C,3,FALSE),"")</f>
        <v/>
      </c>
      <c r="D40" s="15" t="n"/>
      <c r="E40" s="15" t="n"/>
      <c r="F40" s="15" t="n"/>
      <c r="G40" s="15" t="n"/>
      <c r="H40" s="15" t="n"/>
      <c r="I40" s="15" t="n"/>
      <c r="J40" s="15" t="n"/>
      <c r="K40" s="15" t="n"/>
      <c r="L40" s="15" t="n"/>
      <c r="M40" s="17">
        <f>IF(B40="","",IF(AND(D40="Complete",E40="Yes",F40="Yes",G40="Complete",H40="Complete",I40="Complete",J40="Yes",L40="Complete"),"Compliant",IF(OR(D40="Missing",E40="No",F40="No",J40="No",L40="Missing"),"Non-Compliant","Partial")))</f>
        <v/>
      </c>
      <c r="N40" s="15" t="n"/>
      <c r="O40" s="15" t="n"/>
    </row>
    <row r="41">
      <c r="A41" s="17">
        <f>IF(ROW()-4&lt;=COUNTA('Role Inventory'!$A:$A)-4,INDEX('Role Inventory'!$A:$A,ROW()-3),"")</f>
        <v/>
      </c>
      <c r="B41" s="17">
        <f>IF(A41&lt;&gt;"",VLOOKUP(A41,'Role Inventory'!$A:$B,2,FALSE),"")</f>
        <v/>
      </c>
      <c r="C41" s="17">
        <f>IF(A41&lt;&gt;"",VLOOKUP(A41,'Role Inventory'!$A:$C,3,FALSE),"")</f>
        <v/>
      </c>
      <c r="D41" s="15" t="n"/>
      <c r="E41" s="15" t="n"/>
      <c r="F41" s="15" t="n"/>
      <c r="G41" s="15" t="n"/>
      <c r="H41" s="15" t="n"/>
      <c r="I41" s="15" t="n"/>
      <c r="J41" s="15" t="n"/>
      <c r="K41" s="15" t="n"/>
      <c r="L41" s="15" t="n"/>
      <c r="M41" s="17">
        <f>IF(B41="","",IF(AND(D41="Complete",E41="Yes",F41="Yes",G41="Complete",H41="Complete",I41="Complete",J41="Yes",L41="Complete"),"Compliant",IF(OR(D41="Missing",E41="No",F41="No",J41="No",L41="Missing"),"Non-Compliant","Partial")))</f>
        <v/>
      </c>
      <c r="N41" s="15" t="n"/>
      <c r="O41" s="15" t="n"/>
    </row>
    <row r="42">
      <c r="A42" s="17">
        <f>IF(ROW()-4&lt;=COUNTA('Role Inventory'!$A:$A)-4,INDEX('Role Inventory'!$A:$A,ROW()-3),"")</f>
        <v/>
      </c>
      <c r="B42" s="17">
        <f>IF(A42&lt;&gt;"",VLOOKUP(A42,'Role Inventory'!$A:$B,2,FALSE),"")</f>
        <v/>
      </c>
      <c r="C42" s="17">
        <f>IF(A42&lt;&gt;"",VLOOKUP(A42,'Role Inventory'!$A:$C,3,FALSE),"")</f>
        <v/>
      </c>
      <c r="D42" s="15" t="n"/>
      <c r="E42" s="15" t="n"/>
      <c r="F42" s="15" t="n"/>
      <c r="G42" s="15" t="n"/>
      <c r="H42" s="15" t="n"/>
      <c r="I42" s="15" t="n"/>
      <c r="J42" s="15" t="n"/>
      <c r="K42" s="15" t="n"/>
      <c r="L42" s="15" t="n"/>
      <c r="M42" s="17">
        <f>IF(B42="","",IF(AND(D42="Complete",E42="Yes",F42="Yes",G42="Complete",H42="Complete",I42="Complete",J42="Yes",L42="Complete"),"Compliant",IF(OR(D42="Missing",E42="No",F42="No",J42="No",L42="Missing"),"Non-Compliant","Partial")))</f>
        <v/>
      </c>
      <c r="N42" s="15" t="n"/>
      <c r="O42" s="15" t="n"/>
    </row>
    <row r="43">
      <c r="A43" s="17">
        <f>IF(ROW()-4&lt;=COUNTA('Role Inventory'!$A:$A)-4,INDEX('Role Inventory'!$A:$A,ROW()-3),"")</f>
        <v/>
      </c>
      <c r="B43" s="17">
        <f>IF(A43&lt;&gt;"",VLOOKUP(A43,'Role Inventory'!$A:$B,2,FALSE),"")</f>
        <v/>
      </c>
      <c r="C43" s="17">
        <f>IF(A43&lt;&gt;"",VLOOKUP(A43,'Role Inventory'!$A:$C,3,FALSE),"")</f>
        <v/>
      </c>
      <c r="D43" s="15" t="n"/>
      <c r="E43" s="15" t="n"/>
      <c r="F43" s="15" t="n"/>
      <c r="G43" s="15" t="n"/>
      <c r="H43" s="15" t="n"/>
      <c r="I43" s="15" t="n"/>
      <c r="J43" s="15" t="n"/>
      <c r="K43" s="15" t="n"/>
      <c r="L43" s="15" t="n"/>
      <c r="M43" s="17">
        <f>IF(B43="","",IF(AND(D43="Complete",E43="Yes",F43="Yes",G43="Complete",H43="Complete",I43="Complete",J43="Yes",L43="Complete"),"Compliant",IF(OR(D43="Missing",E43="No",F43="No",J43="No",L43="Missing"),"Non-Compliant","Partial")))</f>
        <v/>
      </c>
      <c r="N43" s="15" t="n"/>
      <c r="O43" s="15" t="n"/>
    </row>
    <row r="44">
      <c r="A44" s="17">
        <f>IF(ROW()-4&lt;=COUNTA('Role Inventory'!$A:$A)-4,INDEX('Role Inventory'!$A:$A,ROW()-3),"")</f>
        <v/>
      </c>
      <c r="B44" s="17">
        <f>IF(A44&lt;&gt;"",VLOOKUP(A44,'Role Inventory'!$A:$B,2,FALSE),"")</f>
        <v/>
      </c>
      <c r="C44" s="17">
        <f>IF(A44&lt;&gt;"",VLOOKUP(A44,'Role Inventory'!$A:$C,3,FALSE),"")</f>
        <v/>
      </c>
      <c r="D44" s="15" t="n"/>
      <c r="E44" s="15" t="n"/>
      <c r="F44" s="15" t="n"/>
      <c r="G44" s="15" t="n"/>
      <c r="H44" s="15" t="n"/>
      <c r="I44" s="15" t="n"/>
      <c r="J44" s="15" t="n"/>
      <c r="K44" s="15" t="n"/>
      <c r="L44" s="15" t="n"/>
      <c r="M44" s="17">
        <f>IF(B44="","",IF(AND(D44="Complete",E44="Yes",F44="Yes",G44="Complete",H44="Complete",I44="Complete",J44="Yes",L44="Complete"),"Compliant",IF(OR(D44="Missing",E44="No",F44="No",J44="No",L44="Missing"),"Non-Compliant","Partial")))</f>
        <v/>
      </c>
      <c r="N44" s="15" t="n"/>
      <c r="O44" s="15" t="n"/>
    </row>
    <row r="45">
      <c r="A45" s="17">
        <f>IF(ROW()-4&lt;=COUNTA('Role Inventory'!$A:$A)-4,INDEX('Role Inventory'!$A:$A,ROW()-3),"")</f>
        <v/>
      </c>
      <c r="B45" s="17">
        <f>IF(A45&lt;&gt;"",VLOOKUP(A45,'Role Inventory'!$A:$B,2,FALSE),"")</f>
        <v/>
      </c>
      <c r="C45" s="17">
        <f>IF(A45&lt;&gt;"",VLOOKUP(A45,'Role Inventory'!$A:$C,3,FALSE),"")</f>
        <v/>
      </c>
      <c r="D45" s="15" t="n"/>
      <c r="E45" s="15" t="n"/>
      <c r="F45" s="15" t="n"/>
      <c r="G45" s="15" t="n"/>
      <c r="H45" s="15" t="n"/>
      <c r="I45" s="15" t="n"/>
      <c r="J45" s="15" t="n"/>
      <c r="K45" s="15" t="n"/>
      <c r="L45" s="15" t="n"/>
      <c r="M45" s="17">
        <f>IF(B45="","",IF(AND(D45="Complete",E45="Yes",F45="Yes",G45="Complete",H45="Complete",I45="Complete",J45="Yes",L45="Complete"),"Compliant",IF(OR(D45="Missing",E45="No",F45="No",J45="No",L45="Missing"),"Non-Compliant","Partial")))</f>
        <v/>
      </c>
      <c r="N45" s="15" t="n"/>
      <c r="O45" s="15" t="n"/>
    </row>
    <row r="46">
      <c r="A46" s="17">
        <f>IF(ROW()-4&lt;=COUNTA('Role Inventory'!$A:$A)-4,INDEX('Role Inventory'!$A:$A,ROW()-3),"")</f>
        <v/>
      </c>
      <c r="B46" s="17">
        <f>IF(A46&lt;&gt;"",VLOOKUP(A46,'Role Inventory'!$A:$B,2,FALSE),"")</f>
        <v/>
      </c>
      <c r="C46" s="17">
        <f>IF(A46&lt;&gt;"",VLOOKUP(A46,'Role Inventory'!$A:$C,3,FALSE),"")</f>
        <v/>
      </c>
      <c r="D46" s="15" t="n"/>
      <c r="E46" s="15" t="n"/>
      <c r="F46" s="15" t="n"/>
      <c r="G46" s="15" t="n"/>
      <c r="H46" s="15" t="n"/>
      <c r="I46" s="15" t="n"/>
      <c r="J46" s="15" t="n"/>
      <c r="K46" s="15" t="n"/>
      <c r="L46" s="15" t="n"/>
      <c r="M46" s="17">
        <f>IF(B46="","",IF(AND(D46="Complete",E46="Yes",F46="Yes",G46="Complete",H46="Complete",I46="Complete",J46="Yes",L46="Complete"),"Compliant",IF(OR(D46="Missing",E46="No",F46="No",J46="No",L46="Missing"),"Non-Compliant","Partial")))</f>
        <v/>
      </c>
      <c r="N46" s="15" t="n"/>
      <c r="O46" s="15" t="n"/>
    </row>
    <row r="47">
      <c r="A47" s="17">
        <f>IF(ROW()-4&lt;=COUNTA('Role Inventory'!$A:$A)-4,INDEX('Role Inventory'!$A:$A,ROW()-3),"")</f>
        <v/>
      </c>
      <c r="B47" s="17">
        <f>IF(A47&lt;&gt;"",VLOOKUP(A47,'Role Inventory'!$A:$B,2,FALSE),"")</f>
        <v/>
      </c>
      <c r="C47" s="17">
        <f>IF(A47&lt;&gt;"",VLOOKUP(A47,'Role Inventory'!$A:$C,3,FALSE),"")</f>
        <v/>
      </c>
      <c r="D47" s="15" t="n"/>
      <c r="E47" s="15" t="n"/>
      <c r="F47" s="15" t="n"/>
      <c r="G47" s="15" t="n"/>
      <c r="H47" s="15" t="n"/>
      <c r="I47" s="15" t="n"/>
      <c r="J47" s="15" t="n"/>
      <c r="K47" s="15" t="n"/>
      <c r="L47" s="15" t="n"/>
      <c r="M47" s="17">
        <f>IF(B47="","",IF(AND(D47="Complete",E47="Yes",F47="Yes",G47="Complete",H47="Complete",I47="Complete",J47="Yes",L47="Complete"),"Compliant",IF(OR(D47="Missing",E47="No",F47="No",J47="No",L47="Missing"),"Non-Compliant","Partial")))</f>
        <v/>
      </c>
      <c r="N47" s="15" t="n"/>
      <c r="O47" s="15" t="n"/>
    </row>
    <row r="48">
      <c r="A48" s="17">
        <f>IF(ROW()-4&lt;=COUNTA('Role Inventory'!$A:$A)-4,INDEX('Role Inventory'!$A:$A,ROW()-3),"")</f>
        <v/>
      </c>
      <c r="B48" s="17">
        <f>IF(A48&lt;&gt;"",VLOOKUP(A48,'Role Inventory'!$A:$B,2,FALSE),"")</f>
        <v/>
      </c>
      <c r="C48" s="17">
        <f>IF(A48&lt;&gt;"",VLOOKUP(A48,'Role Inventory'!$A:$C,3,FALSE),"")</f>
        <v/>
      </c>
      <c r="D48" s="15" t="n"/>
      <c r="E48" s="15" t="n"/>
      <c r="F48" s="15" t="n"/>
      <c r="G48" s="15" t="n"/>
      <c r="H48" s="15" t="n"/>
      <c r="I48" s="15" t="n"/>
      <c r="J48" s="15" t="n"/>
      <c r="K48" s="15" t="n"/>
      <c r="L48" s="15" t="n"/>
      <c r="M48" s="17">
        <f>IF(B48="","",IF(AND(D48="Complete",E48="Yes",F48="Yes",G48="Complete",H48="Complete",I48="Complete",J48="Yes",L48="Complete"),"Compliant",IF(OR(D48="Missing",E48="No",F48="No",J48="No",L48="Missing"),"Non-Compliant","Partial")))</f>
        <v/>
      </c>
      <c r="N48" s="15" t="n"/>
      <c r="O48" s="15" t="n"/>
    </row>
    <row r="49">
      <c r="A49" s="17">
        <f>IF(ROW()-4&lt;=COUNTA('Role Inventory'!$A:$A)-4,INDEX('Role Inventory'!$A:$A,ROW()-3),"")</f>
        <v/>
      </c>
      <c r="B49" s="17">
        <f>IF(A49&lt;&gt;"",VLOOKUP(A49,'Role Inventory'!$A:$B,2,FALSE),"")</f>
        <v/>
      </c>
      <c r="C49" s="17">
        <f>IF(A49&lt;&gt;"",VLOOKUP(A49,'Role Inventory'!$A:$C,3,FALSE),"")</f>
        <v/>
      </c>
      <c r="D49" s="15" t="n"/>
      <c r="E49" s="15" t="n"/>
      <c r="F49" s="15" t="n"/>
      <c r="G49" s="15" t="n"/>
      <c r="H49" s="15" t="n"/>
      <c r="I49" s="15" t="n"/>
      <c r="J49" s="15" t="n"/>
      <c r="K49" s="15" t="n"/>
      <c r="L49" s="15" t="n"/>
      <c r="M49" s="17">
        <f>IF(B49="","",IF(AND(D49="Complete",E49="Yes",F49="Yes",G49="Complete",H49="Complete",I49="Complete",J49="Yes",L49="Complete"),"Compliant",IF(OR(D49="Missing",E49="No",F49="No",J49="No",L49="Missing"),"Non-Compliant","Partial")))</f>
        <v/>
      </c>
      <c r="N49" s="15" t="n"/>
      <c r="O49" s="15" t="n"/>
    </row>
    <row r="50">
      <c r="A50" s="17">
        <f>IF(ROW()-4&lt;=COUNTA('Role Inventory'!$A:$A)-4,INDEX('Role Inventory'!$A:$A,ROW()-3),"")</f>
        <v/>
      </c>
      <c r="B50" s="17">
        <f>IF(A50&lt;&gt;"",VLOOKUP(A50,'Role Inventory'!$A:$B,2,FALSE),"")</f>
        <v/>
      </c>
      <c r="C50" s="17">
        <f>IF(A50&lt;&gt;"",VLOOKUP(A50,'Role Inventory'!$A:$C,3,FALSE),"")</f>
        <v/>
      </c>
      <c r="D50" s="15" t="n"/>
      <c r="E50" s="15" t="n"/>
      <c r="F50" s="15" t="n"/>
      <c r="G50" s="15" t="n"/>
      <c r="H50" s="15" t="n"/>
      <c r="I50" s="15" t="n"/>
      <c r="J50" s="15" t="n"/>
      <c r="K50" s="15" t="n"/>
      <c r="L50" s="15" t="n"/>
      <c r="M50" s="17">
        <f>IF(B50="","",IF(AND(D50="Complete",E50="Yes",F50="Yes",G50="Complete",H50="Complete",I50="Complete",J50="Yes",L50="Complete"),"Compliant",IF(OR(D50="Missing",E50="No",F50="No",J50="No",L50="Missing"),"Non-Compliant","Partial")))</f>
        <v/>
      </c>
      <c r="N50" s="15" t="n"/>
      <c r="O50" s="15" t="n"/>
    </row>
    <row r="51">
      <c r="A51" s="17">
        <f>IF(ROW()-4&lt;=COUNTA('Role Inventory'!$A:$A)-4,INDEX('Role Inventory'!$A:$A,ROW()-3),"")</f>
        <v/>
      </c>
      <c r="B51" s="17">
        <f>IF(A51&lt;&gt;"",VLOOKUP(A51,'Role Inventory'!$A:$B,2,FALSE),"")</f>
        <v/>
      </c>
      <c r="C51" s="17">
        <f>IF(A51&lt;&gt;"",VLOOKUP(A51,'Role Inventory'!$A:$C,3,FALSE),"")</f>
        <v/>
      </c>
      <c r="D51" s="15" t="n"/>
      <c r="E51" s="15" t="n"/>
      <c r="F51" s="15" t="n"/>
      <c r="G51" s="15" t="n"/>
      <c r="H51" s="15" t="n"/>
      <c r="I51" s="15" t="n"/>
      <c r="J51" s="15" t="n"/>
      <c r="K51" s="15" t="n"/>
      <c r="L51" s="15" t="n"/>
      <c r="M51" s="17">
        <f>IF(B51="","",IF(AND(D51="Complete",E51="Yes",F51="Yes",G51="Complete",H51="Complete",I51="Complete",J51="Yes",L51="Complete"),"Compliant",IF(OR(D51="Missing",E51="No",F51="No",J51="No",L51="Missing"),"Non-Compliant","Partial")))</f>
        <v/>
      </c>
      <c r="N51" s="15" t="n"/>
      <c r="O51" s="15" t="n"/>
    </row>
    <row r="52">
      <c r="A52" s="17">
        <f>IF(ROW()-4&lt;=COUNTA('Role Inventory'!$A:$A)-4,INDEX('Role Inventory'!$A:$A,ROW()-3),"")</f>
        <v/>
      </c>
      <c r="B52" s="17">
        <f>IF(A52&lt;&gt;"",VLOOKUP(A52,'Role Inventory'!$A:$B,2,FALSE),"")</f>
        <v/>
      </c>
      <c r="C52" s="17">
        <f>IF(A52&lt;&gt;"",VLOOKUP(A52,'Role Inventory'!$A:$C,3,FALSE),"")</f>
        <v/>
      </c>
      <c r="D52" s="15" t="n"/>
      <c r="E52" s="15" t="n"/>
      <c r="F52" s="15" t="n"/>
      <c r="G52" s="15" t="n"/>
      <c r="H52" s="15" t="n"/>
      <c r="I52" s="15" t="n"/>
      <c r="J52" s="15" t="n"/>
      <c r="K52" s="15" t="n"/>
      <c r="L52" s="15" t="n"/>
      <c r="M52" s="17">
        <f>IF(B52="","",IF(AND(D52="Complete",E52="Yes",F52="Yes",G52="Complete",H52="Complete",I52="Complete",J52="Yes",L52="Complete"),"Compliant",IF(OR(D52="Missing",E52="No",F52="No",J52="No",L52="Missing"),"Non-Compliant","Partial")))</f>
        <v/>
      </c>
      <c r="N52" s="15" t="n"/>
      <c r="O52" s="15" t="n"/>
    </row>
    <row r="53">
      <c r="A53" s="17">
        <f>IF(ROW()-4&lt;=COUNTA('Role Inventory'!$A:$A)-4,INDEX('Role Inventory'!$A:$A,ROW()-3),"")</f>
        <v/>
      </c>
      <c r="B53" s="17">
        <f>IF(A53&lt;&gt;"",VLOOKUP(A53,'Role Inventory'!$A:$B,2,FALSE),"")</f>
        <v/>
      </c>
      <c r="C53" s="17">
        <f>IF(A53&lt;&gt;"",VLOOKUP(A53,'Role Inventory'!$A:$C,3,FALSE),"")</f>
        <v/>
      </c>
      <c r="D53" s="15" t="n"/>
      <c r="E53" s="15" t="n"/>
      <c r="F53" s="15" t="n"/>
      <c r="G53" s="15" t="n"/>
      <c r="H53" s="15" t="n"/>
      <c r="I53" s="15" t="n"/>
      <c r="J53" s="15" t="n"/>
      <c r="K53" s="15" t="n"/>
      <c r="L53" s="15" t="n"/>
      <c r="M53" s="17">
        <f>IF(B53="","",IF(AND(D53="Complete",E53="Yes",F53="Yes",G53="Complete",H53="Complete",I53="Complete",J53="Yes",L53="Complete"),"Compliant",IF(OR(D53="Missing",E53="No",F53="No",J53="No",L53="Missing"),"Non-Compliant","Partial")))</f>
        <v/>
      </c>
      <c r="N53" s="15" t="n"/>
      <c r="O53" s="15" t="n"/>
    </row>
    <row r="54">
      <c r="A54" s="17">
        <f>IF(ROW()-4&lt;=COUNTA('Role Inventory'!$A:$A)-4,INDEX('Role Inventory'!$A:$A,ROW()-3),"")</f>
        <v/>
      </c>
      <c r="B54" s="17">
        <f>IF(A54&lt;&gt;"",VLOOKUP(A54,'Role Inventory'!$A:$B,2,FALSE),"")</f>
        <v/>
      </c>
      <c r="C54" s="17">
        <f>IF(A54&lt;&gt;"",VLOOKUP(A54,'Role Inventory'!$A:$C,3,FALSE),"")</f>
        <v/>
      </c>
      <c r="D54" s="15" t="n"/>
      <c r="E54" s="15" t="n"/>
      <c r="F54" s="15" t="n"/>
      <c r="G54" s="15" t="n"/>
      <c r="H54" s="15" t="n"/>
      <c r="I54" s="15" t="n"/>
      <c r="J54" s="15" t="n"/>
      <c r="K54" s="15" t="n"/>
      <c r="L54" s="15" t="n"/>
      <c r="M54" s="17">
        <f>IF(B54="","",IF(AND(D54="Complete",E54="Yes",F54="Yes",G54="Complete",H54="Complete",I54="Complete",J54="Yes",L54="Complete"),"Compliant",IF(OR(D54="Missing",E54="No",F54="No",J54="No",L54="Missing"),"Non-Compliant","Partial")))</f>
        <v/>
      </c>
      <c r="N54" s="15" t="n"/>
      <c r="O54" s="15" t="n"/>
    </row>
    <row r="55">
      <c r="A55" s="17">
        <f>IF(ROW()-4&lt;=COUNTA('Role Inventory'!$A:$A)-4,INDEX('Role Inventory'!$A:$A,ROW()-3),"")</f>
        <v/>
      </c>
      <c r="B55" s="17">
        <f>IF(A55&lt;&gt;"",VLOOKUP(A55,'Role Inventory'!$A:$B,2,FALSE),"")</f>
        <v/>
      </c>
      <c r="C55" s="17">
        <f>IF(A55&lt;&gt;"",VLOOKUP(A55,'Role Inventory'!$A:$C,3,FALSE),"")</f>
        <v/>
      </c>
      <c r="D55" s="15" t="n"/>
      <c r="E55" s="15" t="n"/>
      <c r="F55" s="15" t="n"/>
      <c r="G55" s="15" t="n"/>
      <c r="H55" s="15" t="n"/>
      <c r="I55" s="15" t="n"/>
      <c r="J55" s="15" t="n"/>
      <c r="K55" s="15" t="n"/>
      <c r="L55" s="15" t="n"/>
      <c r="M55" s="17">
        <f>IF(B55="","",IF(AND(D55="Complete",E55="Yes",F55="Yes",G55="Complete",H55="Complete",I55="Complete",J55="Yes",L55="Complete"),"Compliant",IF(OR(D55="Missing",E55="No",F55="No",J55="No",L55="Missing"),"Non-Compliant","Partial")))</f>
        <v/>
      </c>
      <c r="N55" s="15" t="n"/>
      <c r="O55" s="15" t="n"/>
    </row>
    <row r="56">
      <c r="A56" s="17">
        <f>IF(ROW()-4&lt;=COUNTA('Role Inventory'!$A:$A)-4,INDEX('Role Inventory'!$A:$A,ROW()-3),"")</f>
        <v/>
      </c>
      <c r="B56" s="17">
        <f>IF(A56&lt;&gt;"",VLOOKUP(A56,'Role Inventory'!$A:$B,2,FALSE),"")</f>
        <v/>
      </c>
      <c r="C56" s="17">
        <f>IF(A56&lt;&gt;"",VLOOKUP(A56,'Role Inventory'!$A:$C,3,FALSE),"")</f>
        <v/>
      </c>
      <c r="D56" s="15" t="n"/>
      <c r="E56" s="15" t="n"/>
      <c r="F56" s="15" t="n"/>
      <c r="G56" s="15" t="n"/>
      <c r="H56" s="15" t="n"/>
      <c r="I56" s="15" t="n"/>
      <c r="J56" s="15" t="n"/>
      <c r="K56" s="15" t="n"/>
      <c r="L56" s="15" t="n"/>
      <c r="M56" s="17">
        <f>IF(B56="","",IF(AND(D56="Complete",E56="Yes",F56="Yes",G56="Complete",H56="Complete",I56="Complete",J56="Yes",L56="Complete"),"Compliant",IF(OR(D56="Missing",E56="No",F56="No",J56="No",L56="Missing"),"Non-Compliant","Partial")))</f>
        <v/>
      </c>
      <c r="N56" s="15" t="n"/>
      <c r="O56" s="15" t="n"/>
    </row>
    <row r="57">
      <c r="A57" s="17">
        <f>IF(ROW()-4&lt;=COUNTA('Role Inventory'!$A:$A)-4,INDEX('Role Inventory'!$A:$A,ROW()-3),"")</f>
        <v/>
      </c>
      <c r="B57" s="17">
        <f>IF(A57&lt;&gt;"",VLOOKUP(A57,'Role Inventory'!$A:$B,2,FALSE),"")</f>
        <v/>
      </c>
      <c r="C57" s="17">
        <f>IF(A57&lt;&gt;"",VLOOKUP(A57,'Role Inventory'!$A:$C,3,FALSE),"")</f>
        <v/>
      </c>
      <c r="D57" s="15" t="n"/>
      <c r="E57" s="15" t="n"/>
      <c r="F57" s="15" t="n"/>
      <c r="G57" s="15" t="n"/>
      <c r="H57" s="15" t="n"/>
      <c r="I57" s="15" t="n"/>
      <c r="J57" s="15" t="n"/>
      <c r="K57" s="15" t="n"/>
      <c r="L57" s="15" t="n"/>
      <c r="M57" s="17">
        <f>IF(B57="","",IF(AND(D57="Complete",E57="Yes",F57="Yes",G57="Complete",H57="Complete",I57="Complete",J57="Yes",L57="Complete"),"Compliant",IF(OR(D57="Missing",E57="No",F57="No",J57="No",L57="Missing"),"Non-Compliant","Partial")))</f>
        <v/>
      </c>
      <c r="N57" s="15" t="n"/>
      <c r="O57" s="15" t="n"/>
    </row>
    <row r="58">
      <c r="A58" s="17">
        <f>IF(ROW()-4&lt;=COUNTA('Role Inventory'!$A:$A)-4,INDEX('Role Inventory'!$A:$A,ROW()-3),"")</f>
        <v/>
      </c>
      <c r="B58" s="17">
        <f>IF(A58&lt;&gt;"",VLOOKUP(A58,'Role Inventory'!$A:$B,2,FALSE),"")</f>
        <v/>
      </c>
      <c r="C58" s="17">
        <f>IF(A58&lt;&gt;"",VLOOKUP(A58,'Role Inventory'!$A:$C,3,FALSE),"")</f>
        <v/>
      </c>
      <c r="D58" s="15" t="n"/>
      <c r="E58" s="15" t="n"/>
      <c r="F58" s="15" t="n"/>
      <c r="G58" s="15" t="n"/>
      <c r="H58" s="15" t="n"/>
      <c r="I58" s="15" t="n"/>
      <c r="J58" s="15" t="n"/>
      <c r="K58" s="15" t="n"/>
      <c r="L58" s="15" t="n"/>
      <c r="M58" s="17">
        <f>IF(B58="","",IF(AND(D58="Complete",E58="Yes",F58="Yes",G58="Complete",H58="Complete",I58="Complete",J58="Yes",L58="Complete"),"Compliant",IF(OR(D58="Missing",E58="No",F58="No",J58="No",L58="Missing"),"Non-Compliant","Partial")))</f>
        <v/>
      </c>
      <c r="N58" s="15" t="n"/>
      <c r="O58" s="15" t="n"/>
    </row>
    <row r="59">
      <c r="A59" s="17">
        <f>IF(ROW()-4&lt;=COUNTA('Role Inventory'!$A:$A)-4,INDEX('Role Inventory'!$A:$A,ROW()-3),"")</f>
        <v/>
      </c>
      <c r="B59" s="17">
        <f>IF(A59&lt;&gt;"",VLOOKUP(A59,'Role Inventory'!$A:$B,2,FALSE),"")</f>
        <v/>
      </c>
      <c r="C59" s="17">
        <f>IF(A59&lt;&gt;"",VLOOKUP(A59,'Role Inventory'!$A:$C,3,FALSE),"")</f>
        <v/>
      </c>
      <c r="D59" s="15" t="n"/>
      <c r="E59" s="15" t="n"/>
      <c r="F59" s="15" t="n"/>
      <c r="G59" s="15" t="n"/>
      <c r="H59" s="15" t="n"/>
      <c r="I59" s="15" t="n"/>
      <c r="J59" s="15" t="n"/>
      <c r="K59" s="15" t="n"/>
      <c r="L59" s="15" t="n"/>
      <c r="M59" s="17">
        <f>IF(B59="","",IF(AND(D59="Complete",E59="Yes",F59="Yes",G59="Complete",H59="Complete",I59="Complete",J59="Yes",L59="Complete"),"Compliant",IF(OR(D59="Missing",E59="No",F59="No",J59="No",L59="Missing"),"Non-Compliant","Partial")))</f>
        <v/>
      </c>
      <c r="N59" s="15" t="n"/>
      <c r="O59" s="15" t="n"/>
    </row>
    <row r="60">
      <c r="A60" s="17">
        <f>IF(ROW()-4&lt;=COUNTA('Role Inventory'!$A:$A)-4,INDEX('Role Inventory'!$A:$A,ROW()-3),"")</f>
        <v/>
      </c>
      <c r="B60" s="17">
        <f>IF(A60&lt;&gt;"",VLOOKUP(A60,'Role Inventory'!$A:$B,2,FALSE),"")</f>
        <v/>
      </c>
      <c r="C60" s="17">
        <f>IF(A60&lt;&gt;"",VLOOKUP(A60,'Role Inventory'!$A:$C,3,FALSE),"")</f>
        <v/>
      </c>
      <c r="D60" s="15" t="n"/>
      <c r="E60" s="15" t="n"/>
      <c r="F60" s="15" t="n"/>
      <c r="G60" s="15" t="n"/>
      <c r="H60" s="15" t="n"/>
      <c r="I60" s="15" t="n"/>
      <c r="J60" s="15" t="n"/>
      <c r="K60" s="15" t="n"/>
      <c r="L60" s="15" t="n"/>
      <c r="M60" s="17">
        <f>IF(B60="","",IF(AND(D60="Complete",E60="Yes",F60="Yes",G60="Complete",H60="Complete",I60="Complete",J60="Yes",L60="Complete"),"Compliant",IF(OR(D60="Missing",E60="No",F60="No",J60="No",L60="Missing"),"Non-Compliant","Partial")))</f>
        <v/>
      </c>
      <c r="N60" s="15" t="n"/>
      <c r="O60" s="15" t="n"/>
    </row>
    <row r="61">
      <c r="A61" s="17">
        <f>IF(ROW()-4&lt;=COUNTA('Role Inventory'!$A:$A)-4,INDEX('Role Inventory'!$A:$A,ROW()-3),"")</f>
        <v/>
      </c>
      <c r="B61" s="17">
        <f>IF(A61&lt;&gt;"",VLOOKUP(A61,'Role Inventory'!$A:$B,2,FALSE),"")</f>
        <v/>
      </c>
      <c r="C61" s="17">
        <f>IF(A61&lt;&gt;"",VLOOKUP(A61,'Role Inventory'!$A:$C,3,FALSE),"")</f>
        <v/>
      </c>
      <c r="D61" s="15" t="n"/>
      <c r="E61" s="15" t="n"/>
      <c r="F61" s="15" t="n"/>
      <c r="G61" s="15" t="n"/>
      <c r="H61" s="15" t="n"/>
      <c r="I61" s="15" t="n"/>
      <c r="J61" s="15" t="n"/>
      <c r="K61" s="15" t="n"/>
      <c r="L61" s="15" t="n"/>
      <c r="M61" s="17">
        <f>IF(B61="","",IF(AND(D61="Complete",E61="Yes",F61="Yes",G61="Complete",H61="Complete",I61="Complete",J61="Yes",L61="Complete"),"Compliant",IF(OR(D61="Missing",E61="No",F61="No",J61="No",L61="Missing"),"Non-Compliant","Partial")))</f>
        <v/>
      </c>
      <c r="N61" s="15" t="n"/>
      <c r="O61" s="15" t="n"/>
    </row>
    <row r="62">
      <c r="A62" s="17">
        <f>IF(ROW()-4&lt;=COUNTA('Role Inventory'!$A:$A)-4,INDEX('Role Inventory'!$A:$A,ROW()-3),"")</f>
        <v/>
      </c>
      <c r="B62" s="17">
        <f>IF(A62&lt;&gt;"",VLOOKUP(A62,'Role Inventory'!$A:$B,2,FALSE),"")</f>
        <v/>
      </c>
      <c r="C62" s="17">
        <f>IF(A62&lt;&gt;"",VLOOKUP(A62,'Role Inventory'!$A:$C,3,FALSE),"")</f>
        <v/>
      </c>
      <c r="D62" s="15" t="n"/>
      <c r="E62" s="15" t="n"/>
      <c r="F62" s="15" t="n"/>
      <c r="G62" s="15" t="n"/>
      <c r="H62" s="15" t="n"/>
      <c r="I62" s="15" t="n"/>
      <c r="J62" s="15" t="n"/>
      <c r="K62" s="15" t="n"/>
      <c r="L62" s="15" t="n"/>
      <c r="M62" s="17">
        <f>IF(B62="","",IF(AND(D62="Complete",E62="Yes",F62="Yes",G62="Complete",H62="Complete",I62="Complete",J62="Yes",L62="Complete"),"Compliant",IF(OR(D62="Missing",E62="No",F62="No",J62="No",L62="Missing"),"Non-Compliant","Partial")))</f>
        <v/>
      </c>
      <c r="N62" s="15" t="n"/>
      <c r="O62" s="15" t="n"/>
    </row>
    <row r="63">
      <c r="A63" s="17">
        <f>IF(ROW()-4&lt;=COUNTA('Role Inventory'!$A:$A)-4,INDEX('Role Inventory'!$A:$A,ROW()-3),"")</f>
        <v/>
      </c>
      <c r="B63" s="17">
        <f>IF(A63&lt;&gt;"",VLOOKUP(A63,'Role Inventory'!$A:$B,2,FALSE),"")</f>
        <v/>
      </c>
      <c r="C63" s="17">
        <f>IF(A63&lt;&gt;"",VLOOKUP(A63,'Role Inventory'!$A:$C,3,FALSE),"")</f>
        <v/>
      </c>
      <c r="D63" s="15" t="n"/>
      <c r="E63" s="15" t="n"/>
      <c r="F63" s="15" t="n"/>
      <c r="G63" s="15" t="n"/>
      <c r="H63" s="15" t="n"/>
      <c r="I63" s="15" t="n"/>
      <c r="J63" s="15" t="n"/>
      <c r="K63" s="15" t="n"/>
      <c r="L63" s="15" t="n"/>
      <c r="M63" s="17">
        <f>IF(B63="","",IF(AND(D63="Complete",E63="Yes",F63="Yes",G63="Complete",H63="Complete",I63="Complete",J63="Yes",L63="Complete"),"Compliant",IF(OR(D63="Missing",E63="No",F63="No",J63="No",L63="Missing"),"Non-Compliant","Partial")))</f>
        <v/>
      </c>
      <c r="N63" s="15" t="n"/>
      <c r="O63" s="15" t="n"/>
    </row>
    <row r="64">
      <c r="A64" s="17">
        <f>IF(ROW()-4&lt;=COUNTA('Role Inventory'!$A:$A)-4,INDEX('Role Inventory'!$A:$A,ROW()-3),"")</f>
        <v/>
      </c>
      <c r="B64" s="17">
        <f>IF(A64&lt;&gt;"",VLOOKUP(A64,'Role Inventory'!$A:$B,2,FALSE),"")</f>
        <v/>
      </c>
      <c r="C64" s="17">
        <f>IF(A64&lt;&gt;"",VLOOKUP(A64,'Role Inventory'!$A:$C,3,FALSE),"")</f>
        <v/>
      </c>
      <c r="D64" s="15" t="n"/>
      <c r="E64" s="15" t="n"/>
      <c r="F64" s="15" t="n"/>
      <c r="G64" s="15" t="n"/>
      <c r="H64" s="15" t="n"/>
      <c r="I64" s="15" t="n"/>
      <c r="J64" s="15" t="n"/>
      <c r="K64" s="15" t="n"/>
      <c r="L64" s="15" t="n"/>
      <c r="M64" s="17">
        <f>IF(B64="","",IF(AND(D64="Complete",E64="Yes",F64="Yes",G64="Complete",H64="Complete",I64="Complete",J64="Yes",L64="Complete"),"Compliant",IF(OR(D64="Missing",E64="No",F64="No",J64="No",L64="Missing"),"Non-Compliant","Partial")))</f>
        <v/>
      </c>
      <c r="N64" s="15" t="n"/>
      <c r="O64" s="15" t="n"/>
    </row>
    <row r="65">
      <c r="A65" s="17">
        <f>IF(ROW()-4&lt;=COUNTA('Role Inventory'!$A:$A)-4,INDEX('Role Inventory'!$A:$A,ROW()-3),"")</f>
        <v/>
      </c>
      <c r="B65" s="17">
        <f>IF(A65&lt;&gt;"",VLOOKUP(A65,'Role Inventory'!$A:$B,2,FALSE),"")</f>
        <v/>
      </c>
      <c r="C65" s="17">
        <f>IF(A65&lt;&gt;"",VLOOKUP(A65,'Role Inventory'!$A:$C,3,FALSE),"")</f>
        <v/>
      </c>
      <c r="D65" s="15" t="n"/>
      <c r="E65" s="15" t="n"/>
      <c r="F65" s="15" t="n"/>
      <c r="G65" s="15" t="n"/>
      <c r="H65" s="15" t="n"/>
      <c r="I65" s="15" t="n"/>
      <c r="J65" s="15" t="n"/>
      <c r="K65" s="15" t="n"/>
      <c r="L65" s="15" t="n"/>
      <c r="M65" s="17">
        <f>IF(B65="","",IF(AND(D65="Complete",E65="Yes",F65="Yes",G65="Complete",H65="Complete",I65="Complete",J65="Yes",L65="Complete"),"Compliant",IF(OR(D65="Missing",E65="No",F65="No",J65="No",L65="Missing"),"Non-Compliant","Partial")))</f>
        <v/>
      </c>
      <c r="N65" s="15" t="n"/>
      <c r="O65" s="15" t="n"/>
    </row>
    <row r="66">
      <c r="A66" s="17">
        <f>IF(ROW()-4&lt;=COUNTA('Role Inventory'!$A:$A)-4,INDEX('Role Inventory'!$A:$A,ROW()-3),"")</f>
        <v/>
      </c>
      <c r="B66" s="17">
        <f>IF(A66&lt;&gt;"",VLOOKUP(A66,'Role Inventory'!$A:$B,2,FALSE),"")</f>
        <v/>
      </c>
      <c r="C66" s="17">
        <f>IF(A66&lt;&gt;"",VLOOKUP(A66,'Role Inventory'!$A:$C,3,FALSE),"")</f>
        <v/>
      </c>
      <c r="D66" s="15" t="n"/>
      <c r="E66" s="15" t="n"/>
      <c r="F66" s="15" t="n"/>
      <c r="G66" s="15" t="n"/>
      <c r="H66" s="15" t="n"/>
      <c r="I66" s="15" t="n"/>
      <c r="J66" s="15" t="n"/>
      <c r="K66" s="15" t="n"/>
      <c r="L66" s="15" t="n"/>
      <c r="M66" s="17">
        <f>IF(B66="","",IF(AND(D66="Complete",E66="Yes",F66="Yes",G66="Complete",H66="Complete",I66="Complete",J66="Yes",L66="Complete"),"Compliant",IF(OR(D66="Missing",E66="No",F66="No",J66="No",L66="Missing"),"Non-Compliant","Partial")))</f>
        <v/>
      </c>
      <c r="N66" s="15" t="n"/>
      <c r="O66" s="15" t="n"/>
    </row>
    <row r="67">
      <c r="A67" s="17">
        <f>IF(ROW()-4&lt;=COUNTA('Role Inventory'!$A:$A)-4,INDEX('Role Inventory'!$A:$A,ROW()-3),"")</f>
        <v/>
      </c>
      <c r="B67" s="17">
        <f>IF(A67&lt;&gt;"",VLOOKUP(A67,'Role Inventory'!$A:$B,2,FALSE),"")</f>
        <v/>
      </c>
      <c r="C67" s="17">
        <f>IF(A67&lt;&gt;"",VLOOKUP(A67,'Role Inventory'!$A:$C,3,FALSE),"")</f>
        <v/>
      </c>
      <c r="D67" s="15" t="n"/>
      <c r="E67" s="15" t="n"/>
      <c r="F67" s="15" t="n"/>
      <c r="G67" s="15" t="n"/>
      <c r="H67" s="15" t="n"/>
      <c r="I67" s="15" t="n"/>
      <c r="J67" s="15" t="n"/>
      <c r="K67" s="15" t="n"/>
      <c r="L67" s="15" t="n"/>
      <c r="M67" s="17">
        <f>IF(B67="","",IF(AND(D67="Complete",E67="Yes",F67="Yes",G67="Complete",H67="Complete",I67="Complete",J67="Yes",L67="Complete"),"Compliant",IF(OR(D67="Missing",E67="No",F67="No",J67="No",L67="Missing"),"Non-Compliant","Partial")))</f>
        <v/>
      </c>
      <c r="N67" s="15" t="n"/>
      <c r="O67" s="15" t="n"/>
    </row>
    <row r="68">
      <c r="A68" s="17">
        <f>IF(ROW()-4&lt;=COUNTA('Role Inventory'!$A:$A)-4,INDEX('Role Inventory'!$A:$A,ROW()-3),"")</f>
        <v/>
      </c>
      <c r="B68" s="17">
        <f>IF(A68&lt;&gt;"",VLOOKUP(A68,'Role Inventory'!$A:$B,2,FALSE),"")</f>
        <v/>
      </c>
      <c r="C68" s="17">
        <f>IF(A68&lt;&gt;"",VLOOKUP(A68,'Role Inventory'!$A:$C,3,FALSE),"")</f>
        <v/>
      </c>
      <c r="D68" s="15" t="n"/>
      <c r="E68" s="15" t="n"/>
      <c r="F68" s="15" t="n"/>
      <c r="G68" s="15" t="n"/>
      <c r="H68" s="15" t="n"/>
      <c r="I68" s="15" t="n"/>
      <c r="J68" s="15" t="n"/>
      <c r="K68" s="15" t="n"/>
      <c r="L68" s="15" t="n"/>
      <c r="M68" s="17">
        <f>IF(B68="","",IF(AND(D68="Complete",E68="Yes",F68="Yes",G68="Complete",H68="Complete",I68="Complete",J68="Yes",L68="Complete"),"Compliant",IF(OR(D68="Missing",E68="No",F68="No",J68="No",L68="Missing"),"Non-Compliant","Partial")))</f>
        <v/>
      </c>
      <c r="N68" s="15" t="n"/>
      <c r="O68" s="15" t="n"/>
    </row>
    <row r="69">
      <c r="A69" s="17">
        <f>IF(ROW()-4&lt;=COUNTA('Role Inventory'!$A:$A)-4,INDEX('Role Inventory'!$A:$A,ROW()-3),"")</f>
        <v/>
      </c>
      <c r="B69" s="17">
        <f>IF(A69&lt;&gt;"",VLOOKUP(A69,'Role Inventory'!$A:$B,2,FALSE),"")</f>
        <v/>
      </c>
      <c r="C69" s="17">
        <f>IF(A69&lt;&gt;"",VLOOKUP(A69,'Role Inventory'!$A:$C,3,FALSE),"")</f>
        <v/>
      </c>
      <c r="D69" s="15" t="n"/>
      <c r="E69" s="15" t="n"/>
      <c r="F69" s="15" t="n"/>
      <c r="G69" s="15" t="n"/>
      <c r="H69" s="15" t="n"/>
      <c r="I69" s="15" t="n"/>
      <c r="J69" s="15" t="n"/>
      <c r="K69" s="15" t="n"/>
      <c r="L69" s="15" t="n"/>
      <c r="M69" s="17">
        <f>IF(B69="","",IF(AND(D69="Complete",E69="Yes",F69="Yes",G69="Complete",H69="Complete",I69="Complete",J69="Yes",L69="Complete"),"Compliant",IF(OR(D69="Missing",E69="No",F69="No",J69="No",L69="Missing"),"Non-Compliant","Partial")))</f>
        <v/>
      </c>
      <c r="N69" s="15" t="n"/>
      <c r="O69" s="15" t="n"/>
    </row>
    <row r="70">
      <c r="A70" s="17">
        <f>IF(ROW()-4&lt;=COUNTA('Role Inventory'!$A:$A)-4,INDEX('Role Inventory'!$A:$A,ROW()-3),"")</f>
        <v/>
      </c>
      <c r="B70" s="17">
        <f>IF(A70&lt;&gt;"",VLOOKUP(A70,'Role Inventory'!$A:$B,2,FALSE),"")</f>
        <v/>
      </c>
      <c r="C70" s="17">
        <f>IF(A70&lt;&gt;"",VLOOKUP(A70,'Role Inventory'!$A:$C,3,FALSE),"")</f>
        <v/>
      </c>
      <c r="D70" s="15" t="n"/>
      <c r="E70" s="15" t="n"/>
      <c r="F70" s="15" t="n"/>
      <c r="G70" s="15" t="n"/>
      <c r="H70" s="15" t="n"/>
      <c r="I70" s="15" t="n"/>
      <c r="J70" s="15" t="n"/>
      <c r="K70" s="15" t="n"/>
      <c r="L70" s="15" t="n"/>
      <c r="M70" s="17">
        <f>IF(B70="","",IF(AND(D70="Complete",E70="Yes",F70="Yes",G70="Complete",H70="Complete",I70="Complete",J70="Yes",L70="Complete"),"Compliant",IF(OR(D70="Missing",E70="No",F70="No",J70="No",L70="Missing"),"Non-Compliant","Partial")))</f>
        <v/>
      </c>
      <c r="N70" s="15" t="n"/>
      <c r="O70" s="15" t="n"/>
    </row>
    <row r="71">
      <c r="A71" s="17">
        <f>IF(ROW()-4&lt;=COUNTA('Role Inventory'!$A:$A)-4,INDEX('Role Inventory'!$A:$A,ROW()-3),"")</f>
        <v/>
      </c>
      <c r="B71" s="17">
        <f>IF(A71&lt;&gt;"",VLOOKUP(A71,'Role Inventory'!$A:$B,2,FALSE),"")</f>
        <v/>
      </c>
      <c r="C71" s="17">
        <f>IF(A71&lt;&gt;"",VLOOKUP(A71,'Role Inventory'!$A:$C,3,FALSE),"")</f>
        <v/>
      </c>
      <c r="D71" s="15" t="n"/>
      <c r="E71" s="15" t="n"/>
      <c r="F71" s="15" t="n"/>
      <c r="G71" s="15" t="n"/>
      <c r="H71" s="15" t="n"/>
      <c r="I71" s="15" t="n"/>
      <c r="J71" s="15" t="n"/>
      <c r="K71" s="15" t="n"/>
      <c r="L71" s="15" t="n"/>
      <c r="M71" s="17">
        <f>IF(B71="","",IF(AND(D71="Complete",E71="Yes",F71="Yes",G71="Complete",H71="Complete",I71="Complete",J71="Yes",L71="Complete"),"Compliant",IF(OR(D71="Missing",E71="No",F71="No",J71="No",L71="Missing"),"Non-Compliant","Partial")))</f>
        <v/>
      </c>
      <c r="N71" s="15" t="n"/>
      <c r="O71" s="15" t="n"/>
    </row>
    <row r="72">
      <c r="A72" s="17">
        <f>IF(ROW()-4&lt;=COUNTA('Role Inventory'!$A:$A)-4,INDEX('Role Inventory'!$A:$A,ROW()-3),"")</f>
        <v/>
      </c>
      <c r="B72" s="17">
        <f>IF(A72&lt;&gt;"",VLOOKUP(A72,'Role Inventory'!$A:$B,2,FALSE),"")</f>
        <v/>
      </c>
      <c r="C72" s="17">
        <f>IF(A72&lt;&gt;"",VLOOKUP(A72,'Role Inventory'!$A:$C,3,FALSE),"")</f>
        <v/>
      </c>
      <c r="D72" s="15" t="n"/>
      <c r="E72" s="15" t="n"/>
      <c r="F72" s="15" t="n"/>
      <c r="G72" s="15" t="n"/>
      <c r="H72" s="15" t="n"/>
      <c r="I72" s="15" t="n"/>
      <c r="J72" s="15" t="n"/>
      <c r="K72" s="15" t="n"/>
      <c r="L72" s="15" t="n"/>
      <c r="M72" s="17">
        <f>IF(B72="","",IF(AND(D72="Complete",E72="Yes",F72="Yes",G72="Complete",H72="Complete",I72="Complete",J72="Yes",L72="Complete"),"Compliant",IF(OR(D72="Missing",E72="No",F72="No",J72="No",L72="Missing"),"Non-Compliant","Partial")))</f>
        <v/>
      </c>
      <c r="N72" s="15" t="n"/>
      <c r="O72" s="15" t="n"/>
    </row>
    <row r="73">
      <c r="A73" s="17">
        <f>IF(ROW()-4&lt;=COUNTA('Role Inventory'!$A:$A)-4,INDEX('Role Inventory'!$A:$A,ROW()-3),"")</f>
        <v/>
      </c>
      <c r="B73" s="17">
        <f>IF(A73&lt;&gt;"",VLOOKUP(A73,'Role Inventory'!$A:$B,2,FALSE),"")</f>
        <v/>
      </c>
      <c r="C73" s="17">
        <f>IF(A73&lt;&gt;"",VLOOKUP(A73,'Role Inventory'!$A:$C,3,FALSE),"")</f>
        <v/>
      </c>
      <c r="D73" s="15" t="n"/>
      <c r="E73" s="15" t="n"/>
      <c r="F73" s="15" t="n"/>
      <c r="G73" s="15" t="n"/>
      <c r="H73" s="15" t="n"/>
      <c r="I73" s="15" t="n"/>
      <c r="J73" s="15" t="n"/>
      <c r="K73" s="15" t="n"/>
      <c r="L73" s="15" t="n"/>
      <c r="M73" s="17">
        <f>IF(B73="","",IF(AND(D73="Complete",E73="Yes",F73="Yes",G73="Complete",H73="Complete",I73="Complete",J73="Yes",L73="Complete"),"Compliant",IF(OR(D73="Missing",E73="No",F73="No",J73="No",L73="Missing"),"Non-Compliant","Partial")))</f>
        <v/>
      </c>
      <c r="N73" s="15" t="n"/>
      <c r="O73" s="15" t="n"/>
    </row>
    <row r="74">
      <c r="A74" s="17">
        <f>IF(ROW()-4&lt;=COUNTA('Role Inventory'!$A:$A)-4,INDEX('Role Inventory'!$A:$A,ROW()-3),"")</f>
        <v/>
      </c>
      <c r="B74" s="17">
        <f>IF(A74&lt;&gt;"",VLOOKUP(A74,'Role Inventory'!$A:$B,2,FALSE),"")</f>
        <v/>
      </c>
      <c r="C74" s="17">
        <f>IF(A74&lt;&gt;"",VLOOKUP(A74,'Role Inventory'!$A:$C,3,FALSE),"")</f>
        <v/>
      </c>
      <c r="D74" s="15" t="n"/>
      <c r="E74" s="15" t="n"/>
      <c r="F74" s="15" t="n"/>
      <c r="G74" s="15" t="n"/>
      <c r="H74" s="15" t="n"/>
      <c r="I74" s="15" t="n"/>
      <c r="J74" s="15" t="n"/>
      <c r="K74" s="15" t="n"/>
      <c r="L74" s="15" t="n"/>
      <c r="M74" s="17">
        <f>IF(B74="","",IF(AND(D74="Complete",E74="Yes",F74="Yes",G74="Complete",H74="Complete",I74="Complete",J74="Yes",L74="Complete"),"Compliant",IF(OR(D74="Missing",E74="No",F74="No",J74="No",L74="Missing"),"Non-Compliant","Partial")))</f>
        <v/>
      </c>
      <c r="N74" s="15" t="n"/>
      <c r="O74" s="15" t="n"/>
    </row>
    <row r="75">
      <c r="A75" s="17">
        <f>IF(ROW()-4&lt;=COUNTA('Role Inventory'!$A:$A)-4,INDEX('Role Inventory'!$A:$A,ROW()-3),"")</f>
        <v/>
      </c>
      <c r="B75" s="17">
        <f>IF(A75&lt;&gt;"",VLOOKUP(A75,'Role Inventory'!$A:$B,2,FALSE),"")</f>
        <v/>
      </c>
      <c r="C75" s="17">
        <f>IF(A75&lt;&gt;"",VLOOKUP(A75,'Role Inventory'!$A:$C,3,FALSE),"")</f>
        <v/>
      </c>
      <c r="D75" s="15" t="n"/>
      <c r="E75" s="15" t="n"/>
      <c r="F75" s="15" t="n"/>
      <c r="G75" s="15" t="n"/>
      <c r="H75" s="15" t="n"/>
      <c r="I75" s="15" t="n"/>
      <c r="J75" s="15" t="n"/>
      <c r="K75" s="15" t="n"/>
      <c r="L75" s="15" t="n"/>
      <c r="M75" s="17">
        <f>IF(B75="","",IF(AND(D75="Complete",E75="Yes",F75="Yes",G75="Complete",H75="Complete",I75="Complete",J75="Yes",L75="Complete"),"Compliant",IF(OR(D75="Missing",E75="No",F75="No",J75="No",L75="Missing"),"Non-Compliant","Partial")))</f>
        <v/>
      </c>
      <c r="N75" s="15" t="n"/>
      <c r="O75" s="15" t="n"/>
    </row>
    <row r="76">
      <c r="A76" s="17">
        <f>IF(ROW()-4&lt;=COUNTA('Role Inventory'!$A:$A)-4,INDEX('Role Inventory'!$A:$A,ROW()-3),"")</f>
        <v/>
      </c>
      <c r="B76" s="17">
        <f>IF(A76&lt;&gt;"",VLOOKUP(A76,'Role Inventory'!$A:$B,2,FALSE),"")</f>
        <v/>
      </c>
      <c r="C76" s="17">
        <f>IF(A76&lt;&gt;"",VLOOKUP(A76,'Role Inventory'!$A:$C,3,FALSE),"")</f>
        <v/>
      </c>
      <c r="D76" s="15" t="n"/>
      <c r="E76" s="15" t="n"/>
      <c r="F76" s="15" t="n"/>
      <c r="G76" s="15" t="n"/>
      <c r="H76" s="15" t="n"/>
      <c r="I76" s="15" t="n"/>
      <c r="J76" s="15" t="n"/>
      <c r="K76" s="15" t="n"/>
      <c r="L76" s="15" t="n"/>
      <c r="M76" s="17">
        <f>IF(B76="","",IF(AND(D76="Complete",E76="Yes",F76="Yes",G76="Complete",H76="Complete",I76="Complete",J76="Yes",L76="Complete"),"Compliant",IF(OR(D76="Missing",E76="No",F76="No",J76="No",L76="Missing"),"Non-Compliant","Partial")))</f>
        <v/>
      </c>
      <c r="N76" s="15" t="n"/>
      <c r="O76" s="15" t="n"/>
    </row>
    <row r="77">
      <c r="A77" s="17">
        <f>IF(ROW()-4&lt;=COUNTA('Role Inventory'!$A:$A)-4,INDEX('Role Inventory'!$A:$A,ROW()-3),"")</f>
        <v/>
      </c>
      <c r="B77" s="17">
        <f>IF(A77&lt;&gt;"",VLOOKUP(A77,'Role Inventory'!$A:$B,2,FALSE),"")</f>
        <v/>
      </c>
      <c r="C77" s="17">
        <f>IF(A77&lt;&gt;"",VLOOKUP(A77,'Role Inventory'!$A:$C,3,FALSE),"")</f>
        <v/>
      </c>
      <c r="D77" s="15" t="n"/>
      <c r="E77" s="15" t="n"/>
      <c r="F77" s="15" t="n"/>
      <c r="G77" s="15" t="n"/>
      <c r="H77" s="15" t="n"/>
      <c r="I77" s="15" t="n"/>
      <c r="J77" s="15" t="n"/>
      <c r="K77" s="15" t="n"/>
      <c r="L77" s="15" t="n"/>
      <c r="M77" s="17">
        <f>IF(B77="","",IF(AND(D77="Complete",E77="Yes",F77="Yes",G77="Complete",H77="Complete",I77="Complete",J77="Yes",L77="Complete"),"Compliant",IF(OR(D77="Missing",E77="No",F77="No",J77="No",L77="Missing"),"Non-Compliant","Partial")))</f>
        <v/>
      </c>
      <c r="N77" s="15" t="n"/>
      <c r="O77" s="15" t="n"/>
    </row>
    <row r="78">
      <c r="A78" s="17">
        <f>IF(ROW()-4&lt;=COUNTA('Role Inventory'!$A:$A)-4,INDEX('Role Inventory'!$A:$A,ROW()-3),"")</f>
        <v/>
      </c>
      <c r="B78" s="17">
        <f>IF(A78&lt;&gt;"",VLOOKUP(A78,'Role Inventory'!$A:$B,2,FALSE),"")</f>
        <v/>
      </c>
      <c r="C78" s="17">
        <f>IF(A78&lt;&gt;"",VLOOKUP(A78,'Role Inventory'!$A:$C,3,FALSE),"")</f>
        <v/>
      </c>
      <c r="D78" s="15" t="n"/>
      <c r="E78" s="15" t="n"/>
      <c r="F78" s="15" t="n"/>
      <c r="G78" s="15" t="n"/>
      <c r="H78" s="15" t="n"/>
      <c r="I78" s="15" t="n"/>
      <c r="J78" s="15" t="n"/>
      <c r="K78" s="15" t="n"/>
      <c r="L78" s="15" t="n"/>
      <c r="M78" s="17">
        <f>IF(B78="","",IF(AND(D78="Complete",E78="Yes",F78="Yes",G78="Complete",H78="Complete",I78="Complete",J78="Yes",L78="Complete"),"Compliant",IF(OR(D78="Missing",E78="No",F78="No",J78="No",L78="Missing"),"Non-Compliant","Partial")))</f>
        <v/>
      </c>
      <c r="N78" s="15" t="n"/>
      <c r="O78" s="15" t="n"/>
    </row>
    <row r="79">
      <c r="A79" s="17">
        <f>IF(ROW()-4&lt;=COUNTA('Role Inventory'!$A:$A)-4,INDEX('Role Inventory'!$A:$A,ROW()-3),"")</f>
        <v/>
      </c>
      <c r="B79" s="17">
        <f>IF(A79&lt;&gt;"",VLOOKUP(A79,'Role Inventory'!$A:$B,2,FALSE),"")</f>
        <v/>
      </c>
      <c r="C79" s="17">
        <f>IF(A79&lt;&gt;"",VLOOKUP(A79,'Role Inventory'!$A:$C,3,FALSE),"")</f>
        <v/>
      </c>
      <c r="D79" s="15" t="n"/>
      <c r="E79" s="15" t="n"/>
      <c r="F79" s="15" t="n"/>
      <c r="G79" s="15" t="n"/>
      <c r="H79" s="15" t="n"/>
      <c r="I79" s="15" t="n"/>
      <c r="J79" s="15" t="n"/>
      <c r="K79" s="15" t="n"/>
      <c r="L79" s="15" t="n"/>
      <c r="M79" s="17">
        <f>IF(B79="","",IF(AND(D79="Complete",E79="Yes",F79="Yes",G79="Complete",H79="Complete",I79="Complete",J79="Yes",L79="Complete"),"Compliant",IF(OR(D79="Missing",E79="No",F79="No",J79="No",L79="Missing"),"Non-Compliant","Partial")))</f>
        <v/>
      </c>
      <c r="N79" s="15" t="n"/>
      <c r="O79" s="15" t="n"/>
    </row>
    <row r="80">
      <c r="A80" s="17">
        <f>IF(ROW()-4&lt;=COUNTA('Role Inventory'!$A:$A)-4,INDEX('Role Inventory'!$A:$A,ROW()-3),"")</f>
        <v/>
      </c>
      <c r="B80" s="17">
        <f>IF(A80&lt;&gt;"",VLOOKUP(A80,'Role Inventory'!$A:$B,2,FALSE),"")</f>
        <v/>
      </c>
      <c r="C80" s="17">
        <f>IF(A80&lt;&gt;"",VLOOKUP(A80,'Role Inventory'!$A:$C,3,FALSE),"")</f>
        <v/>
      </c>
      <c r="D80" s="15" t="n"/>
      <c r="E80" s="15" t="n"/>
      <c r="F80" s="15" t="n"/>
      <c r="G80" s="15" t="n"/>
      <c r="H80" s="15" t="n"/>
      <c r="I80" s="15" t="n"/>
      <c r="J80" s="15" t="n"/>
      <c r="K80" s="15" t="n"/>
      <c r="L80" s="15" t="n"/>
      <c r="M80" s="17">
        <f>IF(B80="","",IF(AND(D80="Complete",E80="Yes",F80="Yes",G80="Complete",H80="Complete",I80="Complete",J80="Yes",L80="Complete"),"Compliant",IF(OR(D80="Missing",E80="No",F80="No",J80="No",L80="Missing"),"Non-Compliant","Partial")))</f>
        <v/>
      </c>
      <c r="N80" s="15" t="n"/>
      <c r="O80" s="15" t="n"/>
    </row>
    <row r="81">
      <c r="A81" s="17">
        <f>IF(ROW()-4&lt;=COUNTA('Role Inventory'!$A:$A)-4,INDEX('Role Inventory'!$A:$A,ROW()-3),"")</f>
        <v/>
      </c>
      <c r="B81" s="17">
        <f>IF(A81&lt;&gt;"",VLOOKUP(A81,'Role Inventory'!$A:$B,2,FALSE),"")</f>
        <v/>
      </c>
      <c r="C81" s="17">
        <f>IF(A81&lt;&gt;"",VLOOKUP(A81,'Role Inventory'!$A:$C,3,FALSE),"")</f>
        <v/>
      </c>
      <c r="D81" s="15" t="n"/>
      <c r="E81" s="15" t="n"/>
      <c r="F81" s="15" t="n"/>
      <c r="G81" s="15" t="n"/>
      <c r="H81" s="15" t="n"/>
      <c r="I81" s="15" t="n"/>
      <c r="J81" s="15" t="n"/>
      <c r="K81" s="15" t="n"/>
      <c r="L81" s="15" t="n"/>
      <c r="M81" s="17">
        <f>IF(B81="","",IF(AND(D81="Complete",E81="Yes",F81="Yes",G81="Complete",H81="Complete",I81="Complete",J81="Yes",L81="Complete"),"Compliant",IF(OR(D81="Missing",E81="No",F81="No",J81="No",L81="Missing"),"Non-Compliant","Partial")))</f>
        <v/>
      </c>
      <c r="N81" s="15" t="n"/>
      <c r="O81" s="15" t="n"/>
    </row>
    <row r="82">
      <c r="A82" s="17">
        <f>IF(ROW()-4&lt;=COUNTA('Role Inventory'!$A:$A)-4,INDEX('Role Inventory'!$A:$A,ROW()-3),"")</f>
        <v/>
      </c>
      <c r="B82" s="17">
        <f>IF(A82&lt;&gt;"",VLOOKUP(A82,'Role Inventory'!$A:$B,2,FALSE),"")</f>
        <v/>
      </c>
      <c r="C82" s="17">
        <f>IF(A82&lt;&gt;"",VLOOKUP(A82,'Role Inventory'!$A:$C,3,FALSE),"")</f>
        <v/>
      </c>
      <c r="D82" s="15" t="n"/>
      <c r="E82" s="15" t="n"/>
      <c r="F82" s="15" t="n"/>
      <c r="G82" s="15" t="n"/>
      <c r="H82" s="15" t="n"/>
      <c r="I82" s="15" t="n"/>
      <c r="J82" s="15" t="n"/>
      <c r="K82" s="15" t="n"/>
      <c r="L82" s="15" t="n"/>
      <c r="M82" s="17">
        <f>IF(B82="","",IF(AND(D82="Complete",E82="Yes",F82="Yes",G82="Complete",H82="Complete",I82="Complete",J82="Yes",L82="Complete"),"Compliant",IF(OR(D82="Missing",E82="No",F82="No",J82="No",L82="Missing"),"Non-Compliant","Partial")))</f>
        <v/>
      </c>
      <c r="N82" s="15" t="n"/>
      <c r="O82" s="15" t="n"/>
    </row>
    <row r="83">
      <c r="A83" s="17">
        <f>IF(ROW()-4&lt;=COUNTA('Role Inventory'!$A:$A)-4,INDEX('Role Inventory'!$A:$A,ROW()-3),"")</f>
        <v/>
      </c>
      <c r="B83" s="17">
        <f>IF(A83&lt;&gt;"",VLOOKUP(A83,'Role Inventory'!$A:$B,2,FALSE),"")</f>
        <v/>
      </c>
      <c r="C83" s="17">
        <f>IF(A83&lt;&gt;"",VLOOKUP(A83,'Role Inventory'!$A:$C,3,FALSE),"")</f>
        <v/>
      </c>
      <c r="D83" s="15" t="n"/>
      <c r="E83" s="15" t="n"/>
      <c r="F83" s="15" t="n"/>
      <c r="G83" s="15" t="n"/>
      <c r="H83" s="15" t="n"/>
      <c r="I83" s="15" t="n"/>
      <c r="J83" s="15" t="n"/>
      <c r="K83" s="15" t="n"/>
      <c r="L83" s="15" t="n"/>
      <c r="M83" s="17">
        <f>IF(B83="","",IF(AND(D83="Complete",E83="Yes",F83="Yes",G83="Complete",H83="Complete",I83="Complete",J83="Yes",L83="Complete"),"Compliant",IF(OR(D83="Missing",E83="No",F83="No",J83="No",L83="Missing"),"Non-Compliant","Partial")))</f>
        <v/>
      </c>
      <c r="N83" s="15" t="n"/>
      <c r="O83" s="15" t="n"/>
    </row>
    <row r="84">
      <c r="A84" s="17">
        <f>IF(ROW()-4&lt;=COUNTA('Role Inventory'!$A:$A)-4,INDEX('Role Inventory'!$A:$A,ROW()-3),"")</f>
        <v/>
      </c>
      <c r="B84" s="17">
        <f>IF(A84&lt;&gt;"",VLOOKUP(A84,'Role Inventory'!$A:$B,2,FALSE),"")</f>
        <v/>
      </c>
      <c r="C84" s="17">
        <f>IF(A84&lt;&gt;"",VLOOKUP(A84,'Role Inventory'!$A:$C,3,FALSE),"")</f>
        <v/>
      </c>
      <c r="D84" s="15" t="n"/>
      <c r="E84" s="15" t="n"/>
      <c r="F84" s="15" t="n"/>
      <c r="G84" s="15" t="n"/>
      <c r="H84" s="15" t="n"/>
      <c r="I84" s="15" t="n"/>
      <c r="J84" s="15" t="n"/>
      <c r="K84" s="15" t="n"/>
      <c r="L84" s="15" t="n"/>
      <c r="M84" s="17">
        <f>IF(B84="","",IF(AND(D84="Complete",E84="Yes",F84="Yes",G84="Complete",H84="Complete",I84="Complete",J84="Yes",L84="Complete"),"Compliant",IF(OR(D84="Missing",E84="No",F84="No",J84="No",L84="Missing"),"Non-Compliant","Partial")))</f>
        <v/>
      </c>
      <c r="N84" s="15" t="n"/>
      <c r="O84" s="15" t="n"/>
    </row>
    <row r="85">
      <c r="A85" s="17">
        <f>IF(ROW()-4&lt;=COUNTA('Role Inventory'!$A:$A)-4,INDEX('Role Inventory'!$A:$A,ROW()-3),"")</f>
        <v/>
      </c>
      <c r="B85" s="17">
        <f>IF(A85&lt;&gt;"",VLOOKUP(A85,'Role Inventory'!$A:$B,2,FALSE),"")</f>
        <v/>
      </c>
      <c r="C85" s="17">
        <f>IF(A85&lt;&gt;"",VLOOKUP(A85,'Role Inventory'!$A:$C,3,FALSE),"")</f>
        <v/>
      </c>
      <c r="D85" s="15" t="n"/>
      <c r="E85" s="15" t="n"/>
      <c r="F85" s="15" t="n"/>
      <c r="G85" s="15" t="n"/>
      <c r="H85" s="15" t="n"/>
      <c r="I85" s="15" t="n"/>
      <c r="J85" s="15" t="n"/>
      <c r="K85" s="15" t="n"/>
      <c r="L85" s="15" t="n"/>
      <c r="M85" s="17">
        <f>IF(B85="","",IF(AND(D85="Complete",E85="Yes",F85="Yes",G85="Complete",H85="Complete",I85="Complete",J85="Yes",L85="Complete"),"Compliant",IF(OR(D85="Missing",E85="No",F85="No",J85="No",L85="Missing"),"Non-Compliant","Partial")))</f>
        <v/>
      </c>
      <c r="N85" s="15" t="n"/>
      <c r="O85" s="15" t="n"/>
    </row>
    <row r="86">
      <c r="A86" s="17">
        <f>IF(ROW()-4&lt;=COUNTA('Role Inventory'!$A:$A)-4,INDEX('Role Inventory'!$A:$A,ROW()-3),"")</f>
        <v/>
      </c>
      <c r="B86" s="17">
        <f>IF(A86&lt;&gt;"",VLOOKUP(A86,'Role Inventory'!$A:$B,2,FALSE),"")</f>
        <v/>
      </c>
      <c r="C86" s="17">
        <f>IF(A86&lt;&gt;"",VLOOKUP(A86,'Role Inventory'!$A:$C,3,FALSE),"")</f>
        <v/>
      </c>
      <c r="D86" s="15" t="n"/>
      <c r="E86" s="15" t="n"/>
      <c r="F86" s="15" t="n"/>
      <c r="G86" s="15" t="n"/>
      <c r="H86" s="15" t="n"/>
      <c r="I86" s="15" t="n"/>
      <c r="J86" s="15" t="n"/>
      <c r="K86" s="15" t="n"/>
      <c r="L86" s="15" t="n"/>
      <c r="M86" s="17">
        <f>IF(B86="","",IF(AND(D86="Complete",E86="Yes",F86="Yes",G86="Complete",H86="Complete",I86="Complete",J86="Yes",L86="Complete"),"Compliant",IF(OR(D86="Missing",E86="No",F86="No",J86="No",L86="Missing"),"Non-Compliant","Partial")))</f>
        <v/>
      </c>
      <c r="N86" s="15" t="n"/>
      <c r="O86" s="15" t="n"/>
    </row>
    <row r="87">
      <c r="A87" s="17">
        <f>IF(ROW()-4&lt;=COUNTA('Role Inventory'!$A:$A)-4,INDEX('Role Inventory'!$A:$A,ROW()-3),"")</f>
        <v/>
      </c>
      <c r="B87" s="17">
        <f>IF(A87&lt;&gt;"",VLOOKUP(A87,'Role Inventory'!$A:$B,2,FALSE),"")</f>
        <v/>
      </c>
      <c r="C87" s="17">
        <f>IF(A87&lt;&gt;"",VLOOKUP(A87,'Role Inventory'!$A:$C,3,FALSE),"")</f>
        <v/>
      </c>
      <c r="D87" s="15" t="n"/>
      <c r="E87" s="15" t="n"/>
      <c r="F87" s="15" t="n"/>
      <c r="G87" s="15" t="n"/>
      <c r="H87" s="15" t="n"/>
      <c r="I87" s="15" t="n"/>
      <c r="J87" s="15" t="n"/>
      <c r="K87" s="15" t="n"/>
      <c r="L87" s="15" t="n"/>
      <c r="M87" s="17">
        <f>IF(B87="","",IF(AND(D87="Complete",E87="Yes",F87="Yes",G87="Complete",H87="Complete",I87="Complete",J87="Yes",L87="Complete"),"Compliant",IF(OR(D87="Missing",E87="No",F87="No",J87="No",L87="Missing"),"Non-Compliant","Partial")))</f>
        <v/>
      </c>
      <c r="N87" s="15" t="n"/>
      <c r="O87" s="15" t="n"/>
    </row>
    <row r="88">
      <c r="A88" s="17">
        <f>IF(ROW()-4&lt;=COUNTA('Role Inventory'!$A:$A)-4,INDEX('Role Inventory'!$A:$A,ROW()-3),"")</f>
        <v/>
      </c>
      <c r="B88" s="17">
        <f>IF(A88&lt;&gt;"",VLOOKUP(A88,'Role Inventory'!$A:$B,2,FALSE),"")</f>
        <v/>
      </c>
      <c r="C88" s="17">
        <f>IF(A88&lt;&gt;"",VLOOKUP(A88,'Role Inventory'!$A:$C,3,FALSE),"")</f>
        <v/>
      </c>
      <c r="D88" s="15" t="n"/>
      <c r="E88" s="15" t="n"/>
      <c r="F88" s="15" t="n"/>
      <c r="G88" s="15" t="n"/>
      <c r="H88" s="15" t="n"/>
      <c r="I88" s="15" t="n"/>
      <c r="J88" s="15" t="n"/>
      <c r="K88" s="15" t="n"/>
      <c r="L88" s="15" t="n"/>
      <c r="M88" s="17">
        <f>IF(B88="","",IF(AND(D88="Complete",E88="Yes",F88="Yes",G88="Complete",H88="Complete",I88="Complete",J88="Yes",L88="Complete"),"Compliant",IF(OR(D88="Missing",E88="No",F88="No",J88="No",L88="Missing"),"Non-Compliant","Partial")))</f>
        <v/>
      </c>
      <c r="N88" s="15" t="n"/>
      <c r="O88" s="15" t="n"/>
    </row>
    <row r="89">
      <c r="A89" s="17">
        <f>IF(ROW()-4&lt;=COUNTA('Role Inventory'!$A:$A)-4,INDEX('Role Inventory'!$A:$A,ROW()-3),"")</f>
        <v/>
      </c>
      <c r="B89" s="17">
        <f>IF(A89&lt;&gt;"",VLOOKUP(A89,'Role Inventory'!$A:$B,2,FALSE),"")</f>
        <v/>
      </c>
      <c r="C89" s="17">
        <f>IF(A89&lt;&gt;"",VLOOKUP(A89,'Role Inventory'!$A:$C,3,FALSE),"")</f>
        <v/>
      </c>
      <c r="D89" s="15" t="n"/>
      <c r="E89" s="15" t="n"/>
      <c r="F89" s="15" t="n"/>
      <c r="G89" s="15" t="n"/>
      <c r="H89" s="15" t="n"/>
      <c r="I89" s="15" t="n"/>
      <c r="J89" s="15" t="n"/>
      <c r="K89" s="15" t="n"/>
      <c r="L89" s="15" t="n"/>
      <c r="M89" s="17">
        <f>IF(B89="","",IF(AND(D89="Complete",E89="Yes",F89="Yes",G89="Complete",H89="Complete",I89="Complete",J89="Yes",L89="Complete"),"Compliant",IF(OR(D89="Missing",E89="No",F89="No",J89="No",L89="Missing"),"Non-Compliant","Partial")))</f>
        <v/>
      </c>
      <c r="N89" s="15" t="n"/>
      <c r="O89" s="15" t="n"/>
    </row>
    <row r="90">
      <c r="A90" s="17">
        <f>IF(ROW()-4&lt;=COUNTA('Role Inventory'!$A:$A)-4,INDEX('Role Inventory'!$A:$A,ROW()-3),"")</f>
        <v/>
      </c>
      <c r="B90" s="17">
        <f>IF(A90&lt;&gt;"",VLOOKUP(A90,'Role Inventory'!$A:$B,2,FALSE),"")</f>
        <v/>
      </c>
      <c r="C90" s="17">
        <f>IF(A90&lt;&gt;"",VLOOKUP(A90,'Role Inventory'!$A:$C,3,FALSE),"")</f>
        <v/>
      </c>
      <c r="D90" s="15" t="n"/>
      <c r="E90" s="15" t="n"/>
      <c r="F90" s="15" t="n"/>
      <c r="G90" s="15" t="n"/>
      <c r="H90" s="15" t="n"/>
      <c r="I90" s="15" t="n"/>
      <c r="J90" s="15" t="n"/>
      <c r="K90" s="15" t="n"/>
      <c r="L90" s="15" t="n"/>
      <c r="M90" s="17">
        <f>IF(B90="","",IF(AND(D90="Complete",E90="Yes",F90="Yes",G90="Complete",H90="Complete",I90="Complete",J90="Yes",L90="Complete"),"Compliant",IF(OR(D90="Missing",E90="No",F90="No",J90="No",L90="Missing"),"Non-Compliant","Partial")))</f>
        <v/>
      </c>
      <c r="N90" s="15" t="n"/>
      <c r="O90" s="15" t="n"/>
    </row>
    <row r="91">
      <c r="A91" s="17">
        <f>IF(ROW()-4&lt;=COUNTA('Role Inventory'!$A:$A)-4,INDEX('Role Inventory'!$A:$A,ROW()-3),"")</f>
        <v/>
      </c>
      <c r="B91" s="17">
        <f>IF(A91&lt;&gt;"",VLOOKUP(A91,'Role Inventory'!$A:$B,2,FALSE),"")</f>
        <v/>
      </c>
      <c r="C91" s="17">
        <f>IF(A91&lt;&gt;"",VLOOKUP(A91,'Role Inventory'!$A:$C,3,FALSE),"")</f>
        <v/>
      </c>
      <c r="D91" s="15" t="n"/>
      <c r="E91" s="15" t="n"/>
      <c r="F91" s="15" t="n"/>
      <c r="G91" s="15" t="n"/>
      <c r="H91" s="15" t="n"/>
      <c r="I91" s="15" t="n"/>
      <c r="J91" s="15" t="n"/>
      <c r="K91" s="15" t="n"/>
      <c r="L91" s="15" t="n"/>
      <c r="M91" s="17">
        <f>IF(B91="","",IF(AND(D91="Complete",E91="Yes",F91="Yes",G91="Complete",H91="Complete",I91="Complete",J91="Yes",L91="Complete"),"Compliant",IF(OR(D91="Missing",E91="No",F91="No",J91="No",L91="Missing"),"Non-Compliant","Partial")))</f>
        <v/>
      </c>
      <c r="N91" s="15" t="n"/>
      <c r="O91" s="15" t="n"/>
    </row>
    <row r="92">
      <c r="A92" s="17">
        <f>IF(ROW()-4&lt;=COUNTA('Role Inventory'!$A:$A)-4,INDEX('Role Inventory'!$A:$A,ROW()-3),"")</f>
        <v/>
      </c>
      <c r="B92" s="17">
        <f>IF(A92&lt;&gt;"",VLOOKUP(A92,'Role Inventory'!$A:$B,2,FALSE),"")</f>
        <v/>
      </c>
      <c r="C92" s="17">
        <f>IF(A92&lt;&gt;"",VLOOKUP(A92,'Role Inventory'!$A:$C,3,FALSE),"")</f>
        <v/>
      </c>
      <c r="D92" s="15" t="n"/>
      <c r="E92" s="15" t="n"/>
      <c r="F92" s="15" t="n"/>
      <c r="G92" s="15" t="n"/>
      <c r="H92" s="15" t="n"/>
      <c r="I92" s="15" t="n"/>
      <c r="J92" s="15" t="n"/>
      <c r="K92" s="15" t="n"/>
      <c r="L92" s="15" t="n"/>
      <c r="M92" s="17">
        <f>IF(B92="","",IF(AND(D92="Complete",E92="Yes",F92="Yes",G92="Complete",H92="Complete",I92="Complete",J92="Yes",L92="Complete"),"Compliant",IF(OR(D92="Missing",E92="No",F92="No",J92="No",L92="Missing"),"Non-Compliant","Partial")))</f>
        <v/>
      </c>
      <c r="N92" s="15" t="n"/>
      <c r="O92" s="15" t="n"/>
    </row>
    <row r="93">
      <c r="A93" s="17">
        <f>IF(ROW()-4&lt;=COUNTA('Role Inventory'!$A:$A)-4,INDEX('Role Inventory'!$A:$A,ROW()-3),"")</f>
        <v/>
      </c>
      <c r="B93" s="17">
        <f>IF(A93&lt;&gt;"",VLOOKUP(A93,'Role Inventory'!$A:$B,2,FALSE),"")</f>
        <v/>
      </c>
      <c r="C93" s="17">
        <f>IF(A93&lt;&gt;"",VLOOKUP(A93,'Role Inventory'!$A:$C,3,FALSE),"")</f>
        <v/>
      </c>
      <c r="D93" s="15" t="n"/>
      <c r="E93" s="15" t="n"/>
      <c r="F93" s="15" t="n"/>
      <c r="G93" s="15" t="n"/>
      <c r="H93" s="15" t="n"/>
      <c r="I93" s="15" t="n"/>
      <c r="J93" s="15" t="n"/>
      <c r="K93" s="15" t="n"/>
      <c r="L93" s="15" t="n"/>
      <c r="M93" s="17">
        <f>IF(B93="","",IF(AND(D93="Complete",E93="Yes",F93="Yes",G93="Complete",H93="Complete",I93="Complete",J93="Yes",L93="Complete"),"Compliant",IF(OR(D93="Missing",E93="No",F93="No",J93="No",L93="Missing"),"Non-Compliant","Partial")))</f>
        <v/>
      </c>
      <c r="N93" s="15" t="n"/>
      <c r="O93" s="15" t="n"/>
    </row>
    <row r="94">
      <c r="A94" s="17">
        <f>IF(ROW()-4&lt;=COUNTA('Role Inventory'!$A:$A)-4,INDEX('Role Inventory'!$A:$A,ROW()-3),"")</f>
        <v/>
      </c>
      <c r="B94" s="17">
        <f>IF(A94&lt;&gt;"",VLOOKUP(A94,'Role Inventory'!$A:$B,2,FALSE),"")</f>
        <v/>
      </c>
      <c r="C94" s="17">
        <f>IF(A94&lt;&gt;"",VLOOKUP(A94,'Role Inventory'!$A:$C,3,FALSE),"")</f>
        <v/>
      </c>
      <c r="D94" s="15" t="n"/>
      <c r="E94" s="15" t="n"/>
      <c r="F94" s="15" t="n"/>
      <c r="G94" s="15" t="n"/>
      <c r="H94" s="15" t="n"/>
      <c r="I94" s="15" t="n"/>
      <c r="J94" s="15" t="n"/>
      <c r="K94" s="15" t="n"/>
      <c r="L94" s="15" t="n"/>
      <c r="M94" s="17">
        <f>IF(B94="","",IF(AND(D94="Complete",E94="Yes",F94="Yes",G94="Complete",H94="Complete",I94="Complete",J94="Yes",L94="Complete"),"Compliant",IF(OR(D94="Missing",E94="No",F94="No",J94="No",L94="Missing"),"Non-Compliant","Partial")))</f>
        <v/>
      </c>
      <c r="N94" s="15" t="n"/>
      <c r="O94" s="15" t="n"/>
    </row>
    <row r="95">
      <c r="A95" s="17">
        <f>IF(ROW()-4&lt;=COUNTA('Role Inventory'!$A:$A)-4,INDEX('Role Inventory'!$A:$A,ROW()-3),"")</f>
        <v/>
      </c>
      <c r="B95" s="17">
        <f>IF(A95&lt;&gt;"",VLOOKUP(A95,'Role Inventory'!$A:$B,2,FALSE),"")</f>
        <v/>
      </c>
      <c r="C95" s="17">
        <f>IF(A95&lt;&gt;"",VLOOKUP(A95,'Role Inventory'!$A:$C,3,FALSE),"")</f>
        <v/>
      </c>
      <c r="D95" s="15" t="n"/>
      <c r="E95" s="15" t="n"/>
      <c r="F95" s="15" t="n"/>
      <c r="G95" s="15" t="n"/>
      <c r="H95" s="15" t="n"/>
      <c r="I95" s="15" t="n"/>
      <c r="J95" s="15" t="n"/>
      <c r="K95" s="15" t="n"/>
      <c r="L95" s="15" t="n"/>
      <c r="M95" s="17">
        <f>IF(B95="","",IF(AND(D95="Complete",E95="Yes",F95="Yes",G95="Complete",H95="Complete",I95="Complete",J95="Yes",L95="Complete"),"Compliant",IF(OR(D95="Missing",E95="No",F95="No",J95="No",L95="Missing"),"Non-Compliant","Partial")))</f>
        <v/>
      </c>
      <c r="N95" s="15" t="n"/>
      <c r="O95" s="15" t="n"/>
    </row>
    <row r="96">
      <c r="A96" s="17">
        <f>IF(ROW()-4&lt;=COUNTA('Role Inventory'!$A:$A)-4,INDEX('Role Inventory'!$A:$A,ROW()-3),"")</f>
        <v/>
      </c>
      <c r="B96" s="17">
        <f>IF(A96&lt;&gt;"",VLOOKUP(A96,'Role Inventory'!$A:$B,2,FALSE),"")</f>
        <v/>
      </c>
      <c r="C96" s="17">
        <f>IF(A96&lt;&gt;"",VLOOKUP(A96,'Role Inventory'!$A:$C,3,FALSE),"")</f>
        <v/>
      </c>
      <c r="D96" s="15" t="n"/>
      <c r="E96" s="15" t="n"/>
      <c r="F96" s="15" t="n"/>
      <c r="G96" s="15" t="n"/>
      <c r="H96" s="15" t="n"/>
      <c r="I96" s="15" t="n"/>
      <c r="J96" s="15" t="n"/>
      <c r="K96" s="15" t="n"/>
      <c r="L96" s="15" t="n"/>
      <c r="M96" s="17">
        <f>IF(B96="","",IF(AND(D96="Complete",E96="Yes",F96="Yes",G96="Complete",H96="Complete",I96="Complete",J96="Yes",L96="Complete"),"Compliant",IF(OR(D96="Missing",E96="No",F96="No",J96="No",L96="Missing"),"Non-Compliant","Partial")))</f>
        <v/>
      </c>
      <c r="N96" s="15" t="n"/>
      <c r="O96" s="15" t="n"/>
    </row>
    <row r="97">
      <c r="A97" s="17">
        <f>IF(ROW()-4&lt;=COUNTA('Role Inventory'!$A:$A)-4,INDEX('Role Inventory'!$A:$A,ROW()-3),"")</f>
        <v/>
      </c>
      <c r="B97" s="17">
        <f>IF(A97&lt;&gt;"",VLOOKUP(A97,'Role Inventory'!$A:$B,2,FALSE),"")</f>
        <v/>
      </c>
      <c r="C97" s="17">
        <f>IF(A97&lt;&gt;"",VLOOKUP(A97,'Role Inventory'!$A:$C,3,FALSE),"")</f>
        <v/>
      </c>
      <c r="D97" s="15" t="n"/>
      <c r="E97" s="15" t="n"/>
      <c r="F97" s="15" t="n"/>
      <c r="G97" s="15" t="n"/>
      <c r="H97" s="15" t="n"/>
      <c r="I97" s="15" t="n"/>
      <c r="J97" s="15" t="n"/>
      <c r="K97" s="15" t="n"/>
      <c r="L97" s="15" t="n"/>
      <c r="M97" s="17">
        <f>IF(B97="","",IF(AND(D97="Complete",E97="Yes",F97="Yes",G97="Complete",H97="Complete",I97="Complete",J97="Yes",L97="Complete"),"Compliant",IF(OR(D97="Missing",E97="No",F97="No",J97="No",L97="Missing"),"Non-Compliant","Partial")))</f>
        <v/>
      </c>
      <c r="N97" s="15" t="n"/>
      <c r="O97" s="15" t="n"/>
    </row>
    <row r="98">
      <c r="A98" s="17">
        <f>IF(ROW()-4&lt;=COUNTA('Role Inventory'!$A:$A)-4,INDEX('Role Inventory'!$A:$A,ROW()-3),"")</f>
        <v/>
      </c>
      <c r="B98" s="17">
        <f>IF(A98&lt;&gt;"",VLOOKUP(A98,'Role Inventory'!$A:$B,2,FALSE),"")</f>
        <v/>
      </c>
      <c r="C98" s="17">
        <f>IF(A98&lt;&gt;"",VLOOKUP(A98,'Role Inventory'!$A:$C,3,FALSE),"")</f>
        <v/>
      </c>
      <c r="D98" s="15" t="n"/>
      <c r="E98" s="15" t="n"/>
      <c r="F98" s="15" t="n"/>
      <c r="G98" s="15" t="n"/>
      <c r="H98" s="15" t="n"/>
      <c r="I98" s="15" t="n"/>
      <c r="J98" s="15" t="n"/>
      <c r="K98" s="15" t="n"/>
      <c r="L98" s="15" t="n"/>
      <c r="M98" s="17">
        <f>IF(B98="","",IF(AND(D98="Complete",E98="Yes",F98="Yes",G98="Complete",H98="Complete",I98="Complete",J98="Yes",L98="Complete"),"Compliant",IF(OR(D98="Missing",E98="No",F98="No",J98="No",L98="Missing"),"Non-Compliant","Partial")))</f>
        <v/>
      </c>
      <c r="N98" s="15" t="n"/>
      <c r="O98" s="15" t="n"/>
    </row>
    <row r="99">
      <c r="A99" s="17">
        <f>IF(ROW()-4&lt;=COUNTA('Role Inventory'!$A:$A)-4,INDEX('Role Inventory'!$A:$A,ROW()-3),"")</f>
        <v/>
      </c>
      <c r="B99" s="17">
        <f>IF(A99&lt;&gt;"",VLOOKUP(A99,'Role Inventory'!$A:$B,2,FALSE),"")</f>
        <v/>
      </c>
      <c r="C99" s="17">
        <f>IF(A99&lt;&gt;"",VLOOKUP(A99,'Role Inventory'!$A:$C,3,FALSE),"")</f>
        <v/>
      </c>
      <c r="D99" s="15" t="n"/>
      <c r="E99" s="15" t="n"/>
      <c r="F99" s="15" t="n"/>
      <c r="G99" s="15" t="n"/>
      <c r="H99" s="15" t="n"/>
      <c r="I99" s="15" t="n"/>
      <c r="J99" s="15" t="n"/>
      <c r="K99" s="15" t="n"/>
      <c r="L99" s="15" t="n"/>
      <c r="M99" s="17">
        <f>IF(B99="","",IF(AND(D99="Complete",E99="Yes",F99="Yes",G99="Complete",H99="Complete",I99="Complete",J99="Yes",L99="Complete"),"Compliant",IF(OR(D99="Missing",E99="No",F99="No",J99="No",L99="Missing"),"Non-Compliant","Partial")))</f>
        <v/>
      </c>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5" t="n"/>
      <c r="G100" s="15" t="n"/>
      <c r="H100" s="15" t="n"/>
      <c r="I100" s="15" t="n"/>
      <c r="J100" s="15" t="n"/>
      <c r="K100" s="15" t="n"/>
      <c r="L100" s="15" t="n"/>
      <c r="M100" s="17">
        <f>IF(B100="","",IF(AND(D100="Complete",E100="Yes",F100="Yes",G100="Complete",H100="Complete",I100="Complete",J100="Yes",L100="Complete"),"Compliant",IF(OR(D100="Missing",E100="No",F100="No",J100="No",L100="Missing"),"Non-Compliant","Partial")))</f>
        <v/>
      </c>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5" t="n"/>
      <c r="G101" s="15" t="n"/>
      <c r="H101" s="15" t="n"/>
      <c r="I101" s="15" t="n"/>
      <c r="J101" s="15" t="n"/>
      <c r="K101" s="15" t="n"/>
      <c r="L101" s="15" t="n"/>
      <c r="M101" s="17">
        <f>IF(B101="","",IF(AND(D101="Complete",E101="Yes",F101="Yes",G101="Complete",H101="Complete",I101="Complete",J101="Yes",L101="Complete"),"Compliant",IF(OR(D101="Missing",E101="No",F101="No",J101="No",L101="Missing"),"Non-Compliant","Partial")))</f>
        <v/>
      </c>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5" t="n"/>
      <c r="G102" s="15" t="n"/>
      <c r="H102" s="15" t="n"/>
      <c r="I102" s="15" t="n"/>
      <c r="J102" s="15" t="n"/>
      <c r="K102" s="15" t="n"/>
      <c r="L102" s="15" t="n"/>
      <c r="M102" s="17">
        <f>IF(B102="","",IF(AND(D102="Complete",E102="Yes",F102="Yes",G102="Complete",H102="Complete",I102="Complete",J102="Yes",L102="Complete"),"Compliant",IF(OR(D102="Missing",E102="No",F102="No",J102="No",L102="Missing"),"Non-Compliant","Partial")))</f>
        <v/>
      </c>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5" t="n"/>
      <c r="G103" s="15" t="n"/>
      <c r="H103" s="15" t="n"/>
      <c r="I103" s="15" t="n"/>
      <c r="J103" s="15" t="n"/>
      <c r="K103" s="15" t="n"/>
      <c r="L103" s="15" t="n"/>
      <c r="M103" s="17">
        <f>IF(B103="","",IF(AND(D103="Complete",E103="Yes",F103="Yes",G103="Complete",H103="Complete",I103="Complete",J103="Yes",L103="Complete"),"Compliant",IF(OR(D103="Missing",E103="No",F103="No",J103="No",L103="Missing"),"Non-Compliant","Partial")))</f>
        <v/>
      </c>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5" t="n"/>
      <c r="G104" s="15" t="n"/>
      <c r="H104" s="15" t="n"/>
      <c r="I104" s="15" t="n"/>
      <c r="J104" s="15" t="n"/>
      <c r="K104" s="15" t="n"/>
      <c r="L104" s="15" t="n"/>
      <c r="M104" s="17">
        <f>IF(B104="","",IF(AND(D104="Complete",E104="Yes",F104="Yes",G104="Complete",H104="Complete",I104="Complete",J104="Yes",L104="Complete"),"Compliant",IF(OR(D104="Missing",E104="No",F104="No",J104="No",L104="Missing"),"Non-Compliant","Partial")))</f>
        <v/>
      </c>
      <c r="N104" s="15" t="n"/>
      <c r="O104" s="15" t="n"/>
    </row>
  </sheetData>
  <mergeCells count="2">
    <mergeCell ref="A1:O1"/>
    <mergeCell ref="A2:O2"/>
  </mergeCells>
  <dataValidations count="3">
    <dataValidation sqref="D5:D104 G5:G104 H5:H104 I5:I104 L5:L104" showDropDown="0" showInputMessage="0" showErrorMessage="1" allowBlank="1" errorTitle="Invalid Entry" error="Please select from dropdown" type="list">
      <formula1>"Complete,Partial,Missing"</formula1>
    </dataValidation>
    <dataValidation sqref="E5:E104 F5:F104 J5:J104" showDropDown="0" showInputMessage="0" showErrorMessage="1" allowBlank="1" errorTitle="Invalid Entry" error="Please select from dropdown" type="list">
      <formula1>"Yes,Partial,No"</formula1>
    </dataValidation>
    <dataValidation sqref="K5:K54" showDropDown="0" showInputMessage="0" showErrorMessage="1" allowBlank="1" errorTitle="Invalid Entry" error="Please select from dropdown" type="list">
      <formula1>"Yes,No,N/A,Conflict-Identified"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20" customWidth="1" min="3" max="3"/>
    <col width="25" customWidth="1" min="4" max="4"/>
    <col width="25"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15" customWidth="1" min="14" max="14"/>
  </cols>
  <sheetData>
    <row r="1" ht="35" customHeight="1">
      <c r="A1" s="11" t="inlineStr">
        <is>
          <t>RACI MATRIX ASSESSMENT</t>
        </is>
      </c>
    </row>
    <row r="2">
      <c r="A2" s="12" t="inlineStr">
        <is>
          <t>Verification of RACI matrix completeness and accuracy for security activities</t>
        </is>
      </c>
    </row>
    <row r="4">
      <c r="A4" s="13" t="inlineStr">
        <is>
          <t>Activity ID</t>
        </is>
      </c>
      <c r="B4" s="13" t="inlineStr">
        <is>
          <t>Security Activity</t>
        </is>
      </c>
      <c r="C4" s="13" t="inlineStr">
        <is>
          <t>Activity Category</t>
        </is>
      </c>
      <c r="D4" s="13" t="inlineStr">
        <is>
          <t>Responsible Role</t>
        </is>
      </c>
      <c r="E4" s="13" t="inlineStr">
        <is>
          <t>Accountable Role</t>
        </is>
      </c>
      <c r="F4" s="13" t="inlineStr">
        <is>
          <t>Consulted Roles</t>
        </is>
      </c>
      <c r="G4" s="13" t="inlineStr">
        <is>
          <t>Informed Roles</t>
        </is>
      </c>
      <c r="H4" s="13" t="inlineStr">
        <is>
          <t>Responsible Assigned</t>
        </is>
      </c>
      <c r="I4" s="13" t="inlineStr">
        <is>
          <t>Accountable Assigned</t>
        </is>
      </c>
      <c r="J4" s="13" t="inlineStr">
        <is>
          <t>Multiple Accountables</t>
        </is>
      </c>
      <c r="K4" s="13" t="inlineStr">
        <is>
          <t>RACI Documented</t>
        </is>
      </c>
      <c r="L4" s="13" t="inlineStr">
        <is>
          <t>RACI Score</t>
        </is>
      </c>
      <c r="M4" s="13" t="inlineStr">
        <is>
          <t>RACI Status</t>
        </is>
      </c>
      <c r="N4" s="13" t="inlineStr">
        <is>
          <t>RACI Conflict</t>
        </is>
      </c>
    </row>
    <row r="5">
      <c r="A5" s="14" t="inlineStr">
        <is>
          <t>ACT-001</t>
        </is>
      </c>
      <c r="B5" s="14" t="inlineStr">
        <is>
          <t>Example: User Access Review</t>
        </is>
      </c>
      <c r="C5" s="14" t="inlineStr">
        <is>
          <t>Access-Management</t>
        </is>
      </c>
      <c r="D5" s="14" t="inlineStr">
        <is>
          <t>IAM Administrator</t>
        </is>
      </c>
      <c r="E5" s="14" t="inlineStr">
        <is>
          <t>CISO</t>
        </is>
      </c>
      <c r="F5" s="14" t="inlineStr">
        <is>
          <t>IT Manager, DPO</t>
        </is>
      </c>
      <c r="G5" s="14" t="inlineStr">
        <is>
          <t>All Staff</t>
        </is>
      </c>
      <c r="H5" s="14" t="inlineStr">
        <is>
          <t>Yes</t>
        </is>
      </c>
      <c r="I5" s="14" t="inlineStr">
        <is>
          <t>Yes</t>
        </is>
      </c>
      <c r="J5" s="14" t="inlineStr">
        <is>
          <t>No</t>
        </is>
      </c>
      <c r="K5" s="14" t="inlineStr">
        <is>
          <t>Yes</t>
        </is>
      </c>
      <c r="L5" s="14" t="inlineStr">
        <is>
          <t>100%</t>
        </is>
      </c>
      <c r="M5" s="14" t="inlineStr">
        <is>
          <t>Complete</t>
        </is>
      </c>
      <c r="N5" s="14" t="inlineStr">
        <is>
          <t>No</t>
        </is>
      </c>
    </row>
    <row r="6">
      <c r="A6" s="15" t="n"/>
      <c r="B6" s="15" t="n"/>
      <c r="C6" s="15" t="n"/>
      <c r="D6" s="15" t="n"/>
      <c r="E6" s="15" t="n"/>
      <c r="F6" s="15" t="n"/>
      <c r="G6" s="15" t="n"/>
      <c r="H6" s="17">
        <f>IF(D6&lt;&gt;"","Yes","No")</f>
        <v/>
      </c>
      <c r="I6" s="17">
        <f>IF(E6&lt;&gt;"","Yes","No")</f>
        <v/>
      </c>
      <c r="J6" s="17">
        <f>IF(ISERROR(FIND(",",E6)),"No","Yes")</f>
        <v/>
      </c>
      <c r="K6" s="15" t="n"/>
      <c r="L6" s="18">
        <f>IF(B6="","",((IF(D6&lt;&gt;"",0.3,0))+(IF(E6&lt;&gt;"",0.4,0))+(IF(F6&lt;&gt;"",0.15,0))+(IF(G6&lt;&gt;"",0.15,0))))</f>
        <v/>
      </c>
      <c r="M6" s="17">
        <f>IF(B6="","",IF(L6&gt;=0.85,"Complete",IF(L6&gt;=0.5,"Partial","Missing")))</f>
        <v/>
      </c>
      <c r="N6" s="17">
        <f>IF(B6="","",IF(J6="Yes","Yes",IF(AND(H6="No",I6="No"),"Missing-R-A","No")))</f>
        <v/>
      </c>
    </row>
    <row r="7">
      <c r="A7" s="15" t="n"/>
      <c r="B7" s="15" t="n"/>
      <c r="C7" s="15" t="n"/>
      <c r="D7" s="15" t="n"/>
      <c r="E7" s="15" t="n"/>
      <c r="F7" s="15" t="n"/>
      <c r="G7" s="15" t="n"/>
      <c r="H7" s="17">
        <f>IF(D7&lt;&gt;"","Yes","No")</f>
        <v/>
      </c>
      <c r="I7" s="17">
        <f>IF(E7&lt;&gt;"","Yes","No")</f>
        <v/>
      </c>
      <c r="J7" s="17">
        <f>IF(ISERROR(FIND(",",E7)),"No","Yes")</f>
        <v/>
      </c>
      <c r="K7" s="15" t="n"/>
      <c r="L7" s="18">
        <f>IF(B7="","",((IF(D7&lt;&gt;"",0.3,0))+(IF(E7&lt;&gt;"",0.4,0))+(IF(F7&lt;&gt;"",0.15,0))+(IF(G7&lt;&gt;"",0.15,0))))</f>
        <v/>
      </c>
      <c r="M7" s="17">
        <f>IF(B7="","",IF(L7&gt;=0.85,"Complete",IF(L7&gt;=0.5,"Partial","Missing")))</f>
        <v/>
      </c>
      <c r="N7" s="17">
        <f>IF(B7="","",IF(J7="Yes","Yes",IF(AND(H7="No",I7="No"),"Missing-R-A","No")))</f>
        <v/>
      </c>
    </row>
    <row r="8">
      <c r="A8" s="15" t="n"/>
      <c r="B8" s="15" t="n"/>
      <c r="C8" s="15" t="n"/>
      <c r="D8" s="15" t="n"/>
      <c r="E8" s="15" t="n"/>
      <c r="F8" s="15" t="n"/>
      <c r="G8" s="15" t="n"/>
      <c r="H8" s="17">
        <f>IF(D8&lt;&gt;"","Yes","No")</f>
        <v/>
      </c>
      <c r="I8" s="17">
        <f>IF(E8&lt;&gt;"","Yes","No")</f>
        <v/>
      </c>
      <c r="J8" s="17">
        <f>IF(ISERROR(FIND(",",E8)),"No","Yes")</f>
        <v/>
      </c>
      <c r="K8" s="15" t="n"/>
      <c r="L8" s="18">
        <f>IF(B8="","",((IF(D8&lt;&gt;"",0.3,0))+(IF(E8&lt;&gt;"",0.4,0))+(IF(F8&lt;&gt;"",0.15,0))+(IF(G8&lt;&gt;"",0.15,0))))</f>
        <v/>
      </c>
      <c r="M8" s="17">
        <f>IF(B8="","",IF(L8&gt;=0.85,"Complete",IF(L8&gt;=0.5,"Partial","Missing")))</f>
        <v/>
      </c>
      <c r="N8" s="17">
        <f>IF(B8="","",IF(J8="Yes","Yes",IF(AND(H8="No",I8="No"),"Missing-R-A","No")))</f>
        <v/>
      </c>
    </row>
    <row r="9">
      <c r="A9" s="15" t="n"/>
      <c r="B9" s="15" t="n"/>
      <c r="C9" s="15" t="n"/>
      <c r="D9" s="15" t="n"/>
      <c r="E9" s="15" t="n"/>
      <c r="F9" s="15" t="n"/>
      <c r="G9" s="15" t="n"/>
      <c r="H9" s="17">
        <f>IF(D9&lt;&gt;"","Yes","No")</f>
        <v/>
      </c>
      <c r="I9" s="17">
        <f>IF(E9&lt;&gt;"","Yes","No")</f>
        <v/>
      </c>
      <c r="J9" s="17">
        <f>IF(ISERROR(FIND(",",E9)),"No","Yes")</f>
        <v/>
      </c>
      <c r="K9" s="15" t="n"/>
      <c r="L9" s="18">
        <f>IF(B9="","",((IF(D9&lt;&gt;"",0.3,0))+(IF(E9&lt;&gt;"",0.4,0))+(IF(F9&lt;&gt;"",0.15,0))+(IF(G9&lt;&gt;"",0.15,0))))</f>
        <v/>
      </c>
      <c r="M9" s="17">
        <f>IF(B9="","",IF(L9&gt;=0.85,"Complete",IF(L9&gt;=0.5,"Partial","Missing")))</f>
        <v/>
      </c>
      <c r="N9" s="17">
        <f>IF(B9="","",IF(J9="Yes","Yes",IF(AND(H9="No",I9="No"),"Missing-R-A","No")))</f>
        <v/>
      </c>
    </row>
    <row r="10">
      <c r="A10" s="15" t="n"/>
      <c r="B10" s="15" t="n"/>
      <c r="C10" s="15" t="n"/>
      <c r="D10" s="15" t="n"/>
      <c r="E10" s="15" t="n"/>
      <c r="F10" s="15" t="n"/>
      <c r="G10" s="15" t="n"/>
      <c r="H10" s="17">
        <f>IF(D10&lt;&gt;"","Yes","No")</f>
        <v/>
      </c>
      <c r="I10" s="17">
        <f>IF(E10&lt;&gt;"","Yes","No")</f>
        <v/>
      </c>
      <c r="J10" s="17">
        <f>IF(ISERROR(FIND(",",E10)),"No","Yes")</f>
        <v/>
      </c>
      <c r="K10" s="15" t="n"/>
      <c r="L10" s="18">
        <f>IF(B10="","",((IF(D10&lt;&gt;"",0.3,0))+(IF(E10&lt;&gt;"",0.4,0))+(IF(F10&lt;&gt;"",0.15,0))+(IF(G10&lt;&gt;"",0.15,0))))</f>
        <v/>
      </c>
      <c r="M10" s="17">
        <f>IF(B10="","",IF(L10&gt;=0.85,"Complete",IF(L10&gt;=0.5,"Partial","Missing")))</f>
        <v/>
      </c>
      <c r="N10" s="17">
        <f>IF(B10="","",IF(J10="Yes","Yes",IF(AND(H10="No",I10="No"),"Missing-R-A","No")))</f>
        <v/>
      </c>
    </row>
    <row r="11">
      <c r="A11" s="15" t="n"/>
      <c r="B11" s="15" t="n"/>
      <c r="C11" s="15" t="n"/>
      <c r="D11" s="15" t="n"/>
      <c r="E11" s="15" t="n"/>
      <c r="F11" s="15" t="n"/>
      <c r="G11" s="15" t="n"/>
      <c r="H11" s="17">
        <f>IF(D11&lt;&gt;"","Yes","No")</f>
        <v/>
      </c>
      <c r="I11" s="17">
        <f>IF(E11&lt;&gt;"","Yes","No")</f>
        <v/>
      </c>
      <c r="J11" s="17">
        <f>IF(ISERROR(FIND(",",E11)),"No","Yes")</f>
        <v/>
      </c>
      <c r="K11" s="15" t="n"/>
      <c r="L11" s="18">
        <f>IF(B11="","",((IF(D11&lt;&gt;"",0.3,0))+(IF(E11&lt;&gt;"",0.4,0))+(IF(F11&lt;&gt;"",0.15,0))+(IF(G11&lt;&gt;"",0.15,0))))</f>
        <v/>
      </c>
      <c r="M11" s="17">
        <f>IF(B11="","",IF(L11&gt;=0.85,"Complete",IF(L11&gt;=0.5,"Partial","Missing")))</f>
        <v/>
      </c>
      <c r="N11" s="17">
        <f>IF(B11="","",IF(J11="Yes","Yes",IF(AND(H11="No",I11="No"),"Missing-R-A","No")))</f>
        <v/>
      </c>
    </row>
    <row r="12">
      <c r="A12" s="15" t="n"/>
      <c r="B12" s="15" t="n"/>
      <c r="C12" s="15" t="n"/>
      <c r="D12" s="15" t="n"/>
      <c r="E12" s="15" t="n"/>
      <c r="F12" s="15" t="n"/>
      <c r="G12" s="15" t="n"/>
      <c r="H12" s="17">
        <f>IF(D12&lt;&gt;"","Yes","No")</f>
        <v/>
      </c>
      <c r="I12" s="17">
        <f>IF(E12&lt;&gt;"","Yes","No")</f>
        <v/>
      </c>
      <c r="J12" s="17">
        <f>IF(ISERROR(FIND(",",E12)),"No","Yes")</f>
        <v/>
      </c>
      <c r="K12" s="15" t="n"/>
      <c r="L12" s="18">
        <f>IF(B12="","",((IF(D12&lt;&gt;"",0.3,0))+(IF(E12&lt;&gt;"",0.4,0))+(IF(F12&lt;&gt;"",0.15,0))+(IF(G12&lt;&gt;"",0.15,0))))</f>
        <v/>
      </c>
      <c r="M12" s="17">
        <f>IF(B12="","",IF(L12&gt;=0.85,"Complete",IF(L12&gt;=0.5,"Partial","Missing")))</f>
        <v/>
      </c>
      <c r="N12" s="17">
        <f>IF(B12="","",IF(J12="Yes","Yes",IF(AND(H12="No",I12="No"),"Missing-R-A","No")))</f>
        <v/>
      </c>
    </row>
    <row r="13">
      <c r="A13" s="15" t="n"/>
      <c r="B13" s="15" t="n"/>
      <c r="C13" s="15" t="n"/>
      <c r="D13" s="15" t="n"/>
      <c r="E13" s="15" t="n"/>
      <c r="F13" s="15" t="n"/>
      <c r="G13" s="15" t="n"/>
      <c r="H13" s="17">
        <f>IF(D13&lt;&gt;"","Yes","No")</f>
        <v/>
      </c>
      <c r="I13" s="17">
        <f>IF(E13&lt;&gt;"","Yes","No")</f>
        <v/>
      </c>
      <c r="J13" s="17">
        <f>IF(ISERROR(FIND(",",E13)),"No","Yes")</f>
        <v/>
      </c>
      <c r="K13" s="15" t="n"/>
      <c r="L13" s="18">
        <f>IF(B13="","",((IF(D13&lt;&gt;"",0.3,0))+(IF(E13&lt;&gt;"",0.4,0))+(IF(F13&lt;&gt;"",0.15,0))+(IF(G13&lt;&gt;"",0.15,0))))</f>
        <v/>
      </c>
      <c r="M13" s="17">
        <f>IF(B13="","",IF(L13&gt;=0.85,"Complete",IF(L13&gt;=0.5,"Partial","Missing")))</f>
        <v/>
      </c>
      <c r="N13" s="17">
        <f>IF(B13="","",IF(J13="Yes","Yes",IF(AND(H13="No",I13="No"),"Missing-R-A","No")))</f>
        <v/>
      </c>
    </row>
    <row r="14">
      <c r="A14" s="15" t="n"/>
      <c r="B14" s="15" t="n"/>
      <c r="C14" s="15" t="n"/>
      <c r="D14" s="15" t="n"/>
      <c r="E14" s="15" t="n"/>
      <c r="F14" s="15" t="n"/>
      <c r="G14" s="15" t="n"/>
      <c r="H14" s="17">
        <f>IF(D14&lt;&gt;"","Yes","No")</f>
        <v/>
      </c>
      <c r="I14" s="17">
        <f>IF(E14&lt;&gt;"","Yes","No")</f>
        <v/>
      </c>
      <c r="J14" s="17">
        <f>IF(ISERROR(FIND(",",E14)),"No","Yes")</f>
        <v/>
      </c>
      <c r="K14" s="15" t="n"/>
      <c r="L14" s="18">
        <f>IF(B14="","",((IF(D14&lt;&gt;"",0.3,0))+(IF(E14&lt;&gt;"",0.4,0))+(IF(F14&lt;&gt;"",0.15,0))+(IF(G14&lt;&gt;"",0.15,0))))</f>
        <v/>
      </c>
      <c r="M14" s="17">
        <f>IF(B14="","",IF(L14&gt;=0.85,"Complete",IF(L14&gt;=0.5,"Partial","Missing")))</f>
        <v/>
      </c>
      <c r="N14" s="17">
        <f>IF(B14="","",IF(J14="Yes","Yes",IF(AND(H14="No",I14="No"),"Missing-R-A","No")))</f>
        <v/>
      </c>
    </row>
    <row r="15">
      <c r="A15" s="15" t="n"/>
      <c r="B15" s="15" t="n"/>
      <c r="C15" s="15" t="n"/>
      <c r="D15" s="15" t="n"/>
      <c r="E15" s="15" t="n"/>
      <c r="F15" s="15" t="n"/>
      <c r="G15" s="15" t="n"/>
      <c r="H15" s="17">
        <f>IF(D15&lt;&gt;"","Yes","No")</f>
        <v/>
      </c>
      <c r="I15" s="17">
        <f>IF(E15&lt;&gt;"","Yes","No")</f>
        <v/>
      </c>
      <c r="J15" s="17">
        <f>IF(ISERROR(FIND(",",E15)),"No","Yes")</f>
        <v/>
      </c>
      <c r="K15" s="15" t="n"/>
      <c r="L15" s="18">
        <f>IF(B15="","",((IF(D15&lt;&gt;"",0.3,0))+(IF(E15&lt;&gt;"",0.4,0))+(IF(F15&lt;&gt;"",0.15,0))+(IF(G15&lt;&gt;"",0.15,0))))</f>
        <v/>
      </c>
      <c r="M15" s="17">
        <f>IF(B15="","",IF(L15&gt;=0.85,"Complete",IF(L15&gt;=0.5,"Partial","Missing")))</f>
        <v/>
      </c>
      <c r="N15" s="17">
        <f>IF(B15="","",IF(J15="Yes","Yes",IF(AND(H15="No",I15="No"),"Missing-R-A","No")))</f>
        <v/>
      </c>
    </row>
    <row r="16">
      <c r="A16" s="15" t="n"/>
      <c r="B16" s="15" t="n"/>
      <c r="C16" s="15" t="n"/>
      <c r="D16" s="15" t="n"/>
      <c r="E16" s="15" t="n"/>
      <c r="F16" s="15" t="n"/>
      <c r="G16" s="15" t="n"/>
      <c r="H16" s="17">
        <f>IF(D16&lt;&gt;"","Yes","No")</f>
        <v/>
      </c>
      <c r="I16" s="17">
        <f>IF(E16&lt;&gt;"","Yes","No")</f>
        <v/>
      </c>
      <c r="J16" s="17">
        <f>IF(ISERROR(FIND(",",E16)),"No","Yes")</f>
        <v/>
      </c>
      <c r="K16" s="15" t="n"/>
      <c r="L16" s="18">
        <f>IF(B16="","",((IF(D16&lt;&gt;"",0.3,0))+(IF(E16&lt;&gt;"",0.4,0))+(IF(F16&lt;&gt;"",0.15,0))+(IF(G16&lt;&gt;"",0.15,0))))</f>
        <v/>
      </c>
      <c r="M16" s="17">
        <f>IF(B16="","",IF(L16&gt;=0.85,"Complete",IF(L16&gt;=0.5,"Partial","Missing")))</f>
        <v/>
      </c>
      <c r="N16" s="17">
        <f>IF(B16="","",IF(J16="Yes","Yes",IF(AND(H16="No",I16="No"),"Missing-R-A","No")))</f>
        <v/>
      </c>
    </row>
    <row r="17">
      <c r="A17" s="15" t="n"/>
      <c r="B17" s="15" t="n"/>
      <c r="C17" s="15" t="n"/>
      <c r="D17" s="15" t="n"/>
      <c r="E17" s="15" t="n"/>
      <c r="F17" s="15" t="n"/>
      <c r="G17" s="15" t="n"/>
      <c r="H17" s="17">
        <f>IF(D17&lt;&gt;"","Yes","No")</f>
        <v/>
      </c>
      <c r="I17" s="17">
        <f>IF(E17&lt;&gt;"","Yes","No")</f>
        <v/>
      </c>
      <c r="J17" s="17">
        <f>IF(ISERROR(FIND(",",E17)),"No","Yes")</f>
        <v/>
      </c>
      <c r="K17" s="15" t="n"/>
      <c r="L17" s="18">
        <f>IF(B17="","",((IF(D17&lt;&gt;"",0.3,0))+(IF(E17&lt;&gt;"",0.4,0))+(IF(F17&lt;&gt;"",0.15,0))+(IF(G17&lt;&gt;"",0.15,0))))</f>
        <v/>
      </c>
      <c r="M17" s="17">
        <f>IF(B17="","",IF(L17&gt;=0.85,"Complete",IF(L17&gt;=0.5,"Partial","Missing")))</f>
        <v/>
      </c>
      <c r="N17" s="17">
        <f>IF(B17="","",IF(J17="Yes","Yes",IF(AND(H17="No",I17="No"),"Missing-R-A","No")))</f>
        <v/>
      </c>
    </row>
    <row r="18">
      <c r="A18" s="15" t="n"/>
      <c r="B18" s="15" t="n"/>
      <c r="C18" s="15" t="n"/>
      <c r="D18" s="15" t="n"/>
      <c r="E18" s="15" t="n"/>
      <c r="F18" s="15" t="n"/>
      <c r="G18" s="15" t="n"/>
      <c r="H18" s="17">
        <f>IF(D18&lt;&gt;"","Yes","No")</f>
        <v/>
      </c>
      <c r="I18" s="17">
        <f>IF(E18&lt;&gt;"","Yes","No")</f>
        <v/>
      </c>
      <c r="J18" s="17">
        <f>IF(ISERROR(FIND(",",E18)),"No","Yes")</f>
        <v/>
      </c>
      <c r="K18" s="15" t="n"/>
      <c r="L18" s="18">
        <f>IF(B18="","",((IF(D18&lt;&gt;"",0.3,0))+(IF(E18&lt;&gt;"",0.4,0))+(IF(F18&lt;&gt;"",0.15,0))+(IF(G18&lt;&gt;"",0.15,0))))</f>
        <v/>
      </c>
      <c r="M18" s="17">
        <f>IF(B18="","",IF(L18&gt;=0.85,"Complete",IF(L18&gt;=0.5,"Partial","Missing")))</f>
        <v/>
      </c>
      <c r="N18" s="17">
        <f>IF(B18="","",IF(J18="Yes","Yes",IF(AND(H18="No",I18="No"),"Missing-R-A","No")))</f>
        <v/>
      </c>
    </row>
    <row r="19">
      <c r="A19" s="15" t="n"/>
      <c r="B19" s="15" t="n"/>
      <c r="C19" s="15" t="n"/>
      <c r="D19" s="15" t="n"/>
      <c r="E19" s="15" t="n"/>
      <c r="F19" s="15" t="n"/>
      <c r="G19" s="15" t="n"/>
      <c r="H19" s="17">
        <f>IF(D19&lt;&gt;"","Yes","No")</f>
        <v/>
      </c>
      <c r="I19" s="17">
        <f>IF(E19&lt;&gt;"","Yes","No")</f>
        <v/>
      </c>
      <c r="J19" s="17">
        <f>IF(ISERROR(FIND(",",E19)),"No","Yes")</f>
        <v/>
      </c>
      <c r="K19" s="15" t="n"/>
      <c r="L19" s="18">
        <f>IF(B19="","",((IF(D19&lt;&gt;"",0.3,0))+(IF(E19&lt;&gt;"",0.4,0))+(IF(F19&lt;&gt;"",0.15,0))+(IF(G19&lt;&gt;"",0.15,0))))</f>
        <v/>
      </c>
      <c r="M19" s="17">
        <f>IF(B19="","",IF(L19&gt;=0.85,"Complete",IF(L19&gt;=0.5,"Partial","Missing")))</f>
        <v/>
      </c>
      <c r="N19" s="17">
        <f>IF(B19="","",IF(J19="Yes","Yes",IF(AND(H19="No",I19="No"),"Missing-R-A","No")))</f>
        <v/>
      </c>
    </row>
    <row r="20">
      <c r="A20" s="15" t="n"/>
      <c r="B20" s="15" t="n"/>
      <c r="C20" s="15" t="n"/>
      <c r="D20" s="15" t="n"/>
      <c r="E20" s="15" t="n"/>
      <c r="F20" s="15" t="n"/>
      <c r="G20" s="15" t="n"/>
      <c r="H20" s="17">
        <f>IF(D20&lt;&gt;"","Yes","No")</f>
        <v/>
      </c>
      <c r="I20" s="17">
        <f>IF(E20&lt;&gt;"","Yes","No")</f>
        <v/>
      </c>
      <c r="J20" s="17">
        <f>IF(ISERROR(FIND(",",E20)),"No","Yes")</f>
        <v/>
      </c>
      <c r="K20" s="15" t="n"/>
      <c r="L20" s="18">
        <f>IF(B20="","",((IF(D20&lt;&gt;"",0.3,0))+(IF(E20&lt;&gt;"",0.4,0))+(IF(F20&lt;&gt;"",0.15,0))+(IF(G20&lt;&gt;"",0.15,0))))</f>
        <v/>
      </c>
      <c r="M20" s="17">
        <f>IF(B20="","",IF(L20&gt;=0.85,"Complete",IF(L20&gt;=0.5,"Partial","Missing")))</f>
        <v/>
      </c>
      <c r="N20" s="17">
        <f>IF(B20="","",IF(J20="Yes","Yes",IF(AND(H20="No",I20="No"),"Missing-R-A","No")))</f>
        <v/>
      </c>
    </row>
    <row r="21">
      <c r="A21" s="15" t="n"/>
      <c r="B21" s="15" t="n"/>
      <c r="C21" s="15" t="n"/>
      <c r="D21" s="15" t="n"/>
      <c r="E21" s="15" t="n"/>
      <c r="F21" s="15" t="n"/>
      <c r="G21" s="15" t="n"/>
      <c r="H21" s="17">
        <f>IF(D21&lt;&gt;"","Yes","No")</f>
        <v/>
      </c>
      <c r="I21" s="17">
        <f>IF(E21&lt;&gt;"","Yes","No")</f>
        <v/>
      </c>
      <c r="J21" s="17">
        <f>IF(ISERROR(FIND(",",E21)),"No","Yes")</f>
        <v/>
      </c>
      <c r="K21" s="15" t="n"/>
      <c r="L21" s="18">
        <f>IF(B21="","",((IF(D21&lt;&gt;"",0.3,0))+(IF(E21&lt;&gt;"",0.4,0))+(IF(F21&lt;&gt;"",0.15,0))+(IF(G21&lt;&gt;"",0.15,0))))</f>
        <v/>
      </c>
      <c r="M21" s="17">
        <f>IF(B21="","",IF(L21&gt;=0.85,"Complete",IF(L21&gt;=0.5,"Partial","Missing")))</f>
        <v/>
      </c>
      <c r="N21" s="17">
        <f>IF(B21="","",IF(J21="Yes","Yes",IF(AND(H21="No",I21="No"),"Missing-R-A","No")))</f>
        <v/>
      </c>
    </row>
    <row r="22">
      <c r="A22" s="15" t="n"/>
      <c r="B22" s="15" t="n"/>
      <c r="C22" s="15" t="n"/>
      <c r="D22" s="15" t="n"/>
      <c r="E22" s="15" t="n"/>
      <c r="F22" s="15" t="n"/>
      <c r="G22" s="15" t="n"/>
      <c r="H22" s="17">
        <f>IF(D22&lt;&gt;"","Yes","No")</f>
        <v/>
      </c>
      <c r="I22" s="17">
        <f>IF(E22&lt;&gt;"","Yes","No")</f>
        <v/>
      </c>
      <c r="J22" s="17">
        <f>IF(ISERROR(FIND(",",E22)),"No","Yes")</f>
        <v/>
      </c>
      <c r="K22" s="15" t="n"/>
      <c r="L22" s="18">
        <f>IF(B22="","",((IF(D22&lt;&gt;"",0.3,0))+(IF(E22&lt;&gt;"",0.4,0))+(IF(F22&lt;&gt;"",0.15,0))+(IF(G22&lt;&gt;"",0.15,0))))</f>
        <v/>
      </c>
      <c r="M22" s="17">
        <f>IF(B22="","",IF(L22&gt;=0.85,"Complete",IF(L22&gt;=0.5,"Partial","Missing")))</f>
        <v/>
      </c>
      <c r="N22" s="17">
        <f>IF(B22="","",IF(J22="Yes","Yes",IF(AND(H22="No",I22="No"),"Missing-R-A","No")))</f>
        <v/>
      </c>
    </row>
    <row r="23">
      <c r="A23" s="15" t="n"/>
      <c r="B23" s="15" t="n"/>
      <c r="C23" s="15" t="n"/>
      <c r="D23" s="15" t="n"/>
      <c r="E23" s="15" t="n"/>
      <c r="F23" s="15" t="n"/>
      <c r="G23" s="15" t="n"/>
      <c r="H23" s="17">
        <f>IF(D23&lt;&gt;"","Yes","No")</f>
        <v/>
      </c>
      <c r="I23" s="17">
        <f>IF(E23&lt;&gt;"","Yes","No")</f>
        <v/>
      </c>
      <c r="J23" s="17">
        <f>IF(ISERROR(FIND(",",E23)),"No","Yes")</f>
        <v/>
      </c>
      <c r="K23" s="15" t="n"/>
      <c r="L23" s="18">
        <f>IF(B23="","",((IF(D23&lt;&gt;"",0.3,0))+(IF(E23&lt;&gt;"",0.4,0))+(IF(F23&lt;&gt;"",0.15,0))+(IF(G23&lt;&gt;"",0.15,0))))</f>
        <v/>
      </c>
      <c r="M23" s="17">
        <f>IF(B23="","",IF(L23&gt;=0.85,"Complete",IF(L23&gt;=0.5,"Partial","Missing")))</f>
        <v/>
      </c>
      <c r="N23" s="17">
        <f>IF(B23="","",IF(J23="Yes","Yes",IF(AND(H23="No",I23="No"),"Missing-R-A","No")))</f>
        <v/>
      </c>
    </row>
    <row r="24">
      <c r="A24" s="15" t="n"/>
      <c r="B24" s="15" t="n"/>
      <c r="C24" s="15" t="n"/>
      <c r="D24" s="15" t="n"/>
      <c r="E24" s="15" t="n"/>
      <c r="F24" s="15" t="n"/>
      <c r="G24" s="15" t="n"/>
      <c r="H24" s="17">
        <f>IF(D24&lt;&gt;"","Yes","No")</f>
        <v/>
      </c>
      <c r="I24" s="17">
        <f>IF(E24&lt;&gt;"","Yes","No")</f>
        <v/>
      </c>
      <c r="J24" s="17">
        <f>IF(ISERROR(FIND(",",E24)),"No","Yes")</f>
        <v/>
      </c>
      <c r="K24" s="15" t="n"/>
      <c r="L24" s="18">
        <f>IF(B24="","",((IF(D24&lt;&gt;"",0.3,0))+(IF(E24&lt;&gt;"",0.4,0))+(IF(F24&lt;&gt;"",0.15,0))+(IF(G24&lt;&gt;"",0.15,0))))</f>
        <v/>
      </c>
      <c r="M24" s="17">
        <f>IF(B24="","",IF(L24&gt;=0.85,"Complete",IF(L24&gt;=0.5,"Partial","Missing")))</f>
        <v/>
      </c>
      <c r="N24" s="17">
        <f>IF(B24="","",IF(J24="Yes","Yes",IF(AND(H24="No",I24="No"),"Missing-R-A","No")))</f>
        <v/>
      </c>
    </row>
    <row r="25">
      <c r="A25" s="15" t="n"/>
      <c r="B25" s="15" t="n"/>
      <c r="C25" s="15" t="n"/>
      <c r="D25" s="15" t="n"/>
      <c r="E25" s="15" t="n"/>
      <c r="F25" s="15" t="n"/>
      <c r="G25" s="15" t="n"/>
      <c r="H25" s="17">
        <f>IF(D25&lt;&gt;"","Yes","No")</f>
        <v/>
      </c>
      <c r="I25" s="17">
        <f>IF(E25&lt;&gt;"","Yes","No")</f>
        <v/>
      </c>
      <c r="J25" s="17">
        <f>IF(ISERROR(FIND(",",E25)),"No","Yes")</f>
        <v/>
      </c>
      <c r="K25" s="15" t="n"/>
      <c r="L25" s="18">
        <f>IF(B25="","",((IF(D25&lt;&gt;"",0.3,0))+(IF(E25&lt;&gt;"",0.4,0))+(IF(F25&lt;&gt;"",0.15,0))+(IF(G25&lt;&gt;"",0.15,0))))</f>
        <v/>
      </c>
      <c r="M25" s="17">
        <f>IF(B25="","",IF(L25&gt;=0.85,"Complete",IF(L25&gt;=0.5,"Partial","Missing")))</f>
        <v/>
      </c>
      <c r="N25" s="17">
        <f>IF(B25="","",IF(J25="Yes","Yes",IF(AND(H25="No",I25="No"),"Missing-R-A","No")))</f>
        <v/>
      </c>
    </row>
    <row r="26">
      <c r="A26" s="15" t="n"/>
      <c r="B26" s="15" t="n"/>
      <c r="C26" s="15" t="n"/>
      <c r="D26" s="15" t="n"/>
      <c r="E26" s="15" t="n"/>
      <c r="F26" s="15" t="n"/>
      <c r="G26" s="15" t="n"/>
      <c r="H26" s="17">
        <f>IF(D26&lt;&gt;"","Yes","No")</f>
        <v/>
      </c>
      <c r="I26" s="17">
        <f>IF(E26&lt;&gt;"","Yes","No")</f>
        <v/>
      </c>
      <c r="J26" s="17">
        <f>IF(ISERROR(FIND(",",E26)),"No","Yes")</f>
        <v/>
      </c>
      <c r="K26" s="15" t="n"/>
      <c r="L26" s="18">
        <f>IF(B26="","",((IF(D26&lt;&gt;"",0.3,0))+(IF(E26&lt;&gt;"",0.4,0))+(IF(F26&lt;&gt;"",0.15,0))+(IF(G26&lt;&gt;"",0.15,0))))</f>
        <v/>
      </c>
      <c r="M26" s="17">
        <f>IF(B26="","",IF(L26&gt;=0.85,"Complete",IF(L26&gt;=0.5,"Partial","Missing")))</f>
        <v/>
      </c>
      <c r="N26" s="17">
        <f>IF(B26="","",IF(J26="Yes","Yes",IF(AND(H26="No",I26="No"),"Missing-R-A","No")))</f>
        <v/>
      </c>
    </row>
    <row r="27">
      <c r="A27" s="15" t="n"/>
      <c r="B27" s="15" t="n"/>
      <c r="C27" s="15" t="n"/>
      <c r="D27" s="15" t="n"/>
      <c r="E27" s="15" t="n"/>
      <c r="F27" s="15" t="n"/>
      <c r="G27" s="15" t="n"/>
      <c r="H27" s="17">
        <f>IF(D27&lt;&gt;"","Yes","No")</f>
        <v/>
      </c>
      <c r="I27" s="17">
        <f>IF(E27&lt;&gt;"","Yes","No")</f>
        <v/>
      </c>
      <c r="J27" s="17">
        <f>IF(ISERROR(FIND(",",E27)),"No","Yes")</f>
        <v/>
      </c>
      <c r="K27" s="15" t="n"/>
      <c r="L27" s="18">
        <f>IF(B27="","",((IF(D27&lt;&gt;"",0.3,0))+(IF(E27&lt;&gt;"",0.4,0))+(IF(F27&lt;&gt;"",0.15,0))+(IF(G27&lt;&gt;"",0.15,0))))</f>
        <v/>
      </c>
      <c r="M27" s="17">
        <f>IF(B27="","",IF(L27&gt;=0.85,"Complete",IF(L27&gt;=0.5,"Partial","Missing")))</f>
        <v/>
      </c>
      <c r="N27" s="17">
        <f>IF(B27="","",IF(J27="Yes","Yes",IF(AND(H27="No",I27="No"),"Missing-R-A","No")))</f>
        <v/>
      </c>
    </row>
    <row r="28">
      <c r="A28" s="15" t="n"/>
      <c r="B28" s="15" t="n"/>
      <c r="C28" s="15" t="n"/>
      <c r="D28" s="15" t="n"/>
      <c r="E28" s="15" t="n"/>
      <c r="F28" s="15" t="n"/>
      <c r="G28" s="15" t="n"/>
      <c r="H28" s="17">
        <f>IF(D28&lt;&gt;"","Yes","No")</f>
        <v/>
      </c>
      <c r="I28" s="17">
        <f>IF(E28&lt;&gt;"","Yes","No")</f>
        <v/>
      </c>
      <c r="J28" s="17">
        <f>IF(ISERROR(FIND(",",E28)),"No","Yes")</f>
        <v/>
      </c>
      <c r="K28" s="15" t="n"/>
      <c r="L28" s="18">
        <f>IF(B28="","",((IF(D28&lt;&gt;"",0.3,0))+(IF(E28&lt;&gt;"",0.4,0))+(IF(F28&lt;&gt;"",0.15,0))+(IF(G28&lt;&gt;"",0.15,0))))</f>
        <v/>
      </c>
      <c r="M28" s="17">
        <f>IF(B28="","",IF(L28&gt;=0.85,"Complete",IF(L28&gt;=0.5,"Partial","Missing")))</f>
        <v/>
      </c>
      <c r="N28" s="17">
        <f>IF(B28="","",IF(J28="Yes","Yes",IF(AND(H28="No",I28="No"),"Missing-R-A","No")))</f>
        <v/>
      </c>
    </row>
    <row r="29">
      <c r="A29" s="15" t="n"/>
      <c r="B29" s="15" t="n"/>
      <c r="C29" s="15" t="n"/>
      <c r="D29" s="15" t="n"/>
      <c r="E29" s="15" t="n"/>
      <c r="F29" s="15" t="n"/>
      <c r="G29" s="15" t="n"/>
      <c r="H29" s="17">
        <f>IF(D29&lt;&gt;"","Yes","No")</f>
        <v/>
      </c>
      <c r="I29" s="17">
        <f>IF(E29&lt;&gt;"","Yes","No")</f>
        <v/>
      </c>
      <c r="J29" s="17">
        <f>IF(ISERROR(FIND(",",E29)),"No","Yes")</f>
        <v/>
      </c>
      <c r="K29" s="15" t="n"/>
      <c r="L29" s="18">
        <f>IF(B29="","",((IF(D29&lt;&gt;"",0.3,0))+(IF(E29&lt;&gt;"",0.4,0))+(IF(F29&lt;&gt;"",0.15,0))+(IF(G29&lt;&gt;"",0.15,0))))</f>
        <v/>
      </c>
      <c r="M29" s="17">
        <f>IF(B29="","",IF(L29&gt;=0.85,"Complete",IF(L29&gt;=0.5,"Partial","Missing")))</f>
        <v/>
      </c>
      <c r="N29" s="17">
        <f>IF(B29="","",IF(J29="Yes","Yes",IF(AND(H29="No",I29="No"),"Missing-R-A","No")))</f>
        <v/>
      </c>
    </row>
    <row r="30">
      <c r="A30" s="15" t="n"/>
      <c r="B30" s="15" t="n"/>
      <c r="C30" s="15" t="n"/>
      <c r="D30" s="15" t="n"/>
      <c r="E30" s="15" t="n"/>
      <c r="F30" s="15" t="n"/>
      <c r="G30" s="15" t="n"/>
      <c r="H30" s="17">
        <f>IF(D30&lt;&gt;"","Yes","No")</f>
        <v/>
      </c>
      <c r="I30" s="17">
        <f>IF(E30&lt;&gt;"","Yes","No")</f>
        <v/>
      </c>
      <c r="J30" s="17">
        <f>IF(ISERROR(FIND(",",E30)),"No","Yes")</f>
        <v/>
      </c>
      <c r="K30" s="15" t="n"/>
      <c r="L30" s="18">
        <f>IF(B30="","",((IF(D30&lt;&gt;"",0.3,0))+(IF(E30&lt;&gt;"",0.4,0))+(IF(F30&lt;&gt;"",0.15,0))+(IF(G30&lt;&gt;"",0.15,0))))</f>
        <v/>
      </c>
      <c r="M30" s="17">
        <f>IF(B30="","",IF(L30&gt;=0.85,"Complete",IF(L30&gt;=0.5,"Partial","Missing")))</f>
        <v/>
      </c>
      <c r="N30" s="17">
        <f>IF(B30="","",IF(J30="Yes","Yes",IF(AND(H30="No",I30="No"),"Missing-R-A","No")))</f>
        <v/>
      </c>
    </row>
    <row r="31">
      <c r="A31" s="15" t="n"/>
      <c r="B31" s="15" t="n"/>
      <c r="C31" s="15" t="n"/>
      <c r="D31" s="15" t="n"/>
      <c r="E31" s="15" t="n"/>
      <c r="F31" s="15" t="n"/>
      <c r="G31" s="15" t="n"/>
      <c r="H31" s="17">
        <f>IF(D31&lt;&gt;"","Yes","No")</f>
        <v/>
      </c>
      <c r="I31" s="17">
        <f>IF(E31&lt;&gt;"","Yes","No")</f>
        <v/>
      </c>
      <c r="J31" s="17">
        <f>IF(ISERROR(FIND(",",E31)),"No","Yes")</f>
        <v/>
      </c>
      <c r="K31" s="15" t="n"/>
      <c r="L31" s="18">
        <f>IF(B31="","",((IF(D31&lt;&gt;"",0.3,0))+(IF(E31&lt;&gt;"",0.4,0))+(IF(F31&lt;&gt;"",0.15,0))+(IF(G31&lt;&gt;"",0.15,0))))</f>
        <v/>
      </c>
      <c r="M31" s="17">
        <f>IF(B31="","",IF(L31&gt;=0.85,"Complete",IF(L31&gt;=0.5,"Partial","Missing")))</f>
        <v/>
      </c>
      <c r="N31" s="17">
        <f>IF(B31="","",IF(J31="Yes","Yes",IF(AND(H31="No",I31="No"),"Missing-R-A","No")))</f>
        <v/>
      </c>
    </row>
    <row r="32">
      <c r="A32" s="15" t="n"/>
      <c r="B32" s="15" t="n"/>
      <c r="C32" s="15" t="n"/>
      <c r="D32" s="15" t="n"/>
      <c r="E32" s="15" t="n"/>
      <c r="F32" s="15" t="n"/>
      <c r="G32" s="15" t="n"/>
      <c r="H32" s="17">
        <f>IF(D32&lt;&gt;"","Yes","No")</f>
        <v/>
      </c>
      <c r="I32" s="17">
        <f>IF(E32&lt;&gt;"","Yes","No")</f>
        <v/>
      </c>
      <c r="J32" s="17">
        <f>IF(ISERROR(FIND(",",E32)),"No","Yes")</f>
        <v/>
      </c>
      <c r="K32" s="15" t="n"/>
      <c r="L32" s="18">
        <f>IF(B32="","",((IF(D32&lt;&gt;"",0.3,0))+(IF(E32&lt;&gt;"",0.4,0))+(IF(F32&lt;&gt;"",0.15,0))+(IF(G32&lt;&gt;"",0.15,0))))</f>
        <v/>
      </c>
      <c r="M32" s="17">
        <f>IF(B32="","",IF(L32&gt;=0.85,"Complete",IF(L32&gt;=0.5,"Partial","Missing")))</f>
        <v/>
      </c>
      <c r="N32" s="17">
        <f>IF(B32="","",IF(J32="Yes","Yes",IF(AND(H32="No",I32="No"),"Missing-R-A","No")))</f>
        <v/>
      </c>
    </row>
    <row r="33">
      <c r="A33" s="15" t="n"/>
      <c r="B33" s="15" t="n"/>
      <c r="C33" s="15" t="n"/>
      <c r="D33" s="15" t="n"/>
      <c r="E33" s="15" t="n"/>
      <c r="F33" s="15" t="n"/>
      <c r="G33" s="15" t="n"/>
      <c r="H33" s="17">
        <f>IF(D33&lt;&gt;"","Yes","No")</f>
        <v/>
      </c>
      <c r="I33" s="17">
        <f>IF(E33&lt;&gt;"","Yes","No")</f>
        <v/>
      </c>
      <c r="J33" s="17">
        <f>IF(ISERROR(FIND(",",E33)),"No","Yes")</f>
        <v/>
      </c>
      <c r="K33" s="15" t="n"/>
      <c r="L33" s="18">
        <f>IF(B33="","",((IF(D33&lt;&gt;"",0.3,0))+(IF(E33&lt;&gt;"",0.4,0))+(IF(F33&lt;&gt;"",0.15,0))+(IF(G33&lt;&gt;"",0.15,0))))</f>
        <v/>
      </c>
      <c r="M33" s="17">
        <f>IF(B33="","",IF(L33&gt;=0.85,"Complete",IF(L33&gt;=0.5,"Partial","Missing")))</f>
        <v/>
      </c>
      <c r="N33" s="17">
        <f>IF(B33="","",IF(J33="Yes","Yes",IF(AND(H33="No",I33="No"),"Missing-R-A","No")))</f>
        <v/>
      </c>
    </row>
    <row r="34">
      <c r="A34" s="15" t="n"/>
      <c r="B34" s="15" t="n"/>
      <c r="C34" s="15" t="n"/>
      <c r="D34" s="15" t="n"/>
      <c r="E34" s="15" t="n"/>
      <c r="F34" s="15" t="n"/>
      <c r="G34" s="15" t="n"/>
      <c r="H34" s="17">
        <f>IF(D34&lt;&gt;"","Yes","No")</f>
        <v/>
      </c>
      <c r="I34" s="17">
        <f>IF(E34&lt;&gt;"","Yes","No")</f>
        <v/>
      </c>
      <c r="J34" s="17">
        <f>IF(ISERROR(FIND(",",E34)),"No","Yes")</f>
        <v/>
      </c>
      <c r="K34" s="15" t="n"/>
      <c r="L34" s="18">
        <f>IF(B34="","",((IF(D34&lt;&gt;"",0.3,0))+(IF(E34&lt;&gt;"",0.4,0))+(IF(F34&lt;&gt;"",0.15,0))+(IF(G34&lt;&gt;"",0.15,0))))</f>
        <v/>
      </c>
      <c r="M34" s="17">
        <f>IF(B34="","",IF(L34&gt;=0.85,"Complete",IF(L34&gt;=0.5,"Partial","Missing")))</f>
        <v/>
      </c>
      <c r="N34" s="17">
        <f>IF(B34="","",IF(J34="Yes","Yes",IF(AND(H34="No",I34="No"),"Missing-R-A","No")))</f>
        <v/>
      </c>
    </row>
    <row r="35">
      <c r="A35" s="15" t="n"/>
      <c r="B35" s="15" t="n"/>
      <c r="C35" s="15" t="n"/>
      <c r="D35" s="15" t="n"/>
      <c r="E35" s="15" t="n"/>
      <c r="F35" s="15" t="n"/>
      <c r="G35" s="15" t="n"/>
      <c r="H35" s="17">
        <f>IF(D35&lt;&gt;"","Yes","No")</f>
        <v/>
      </c>
      <c r="I35" s="17">
        <f>IF(E35&lt;&gt;"","Yes","No")</f>
        <v/>
      </c>
      <c r="J35" s="17">
        <f>IF(ISERROR(FIND(",",E35)),"No","Yes")</f>
        <v/>
      </c>
      <c r="K35" s="15" t="n"/>
      <c r="L35" s="18">
        <f>IF(B35="","",((IF(D35&lt;&gt;"",0.3,0))+(IF(E35&lt;&gt;"",0.4,0))+(IF(F35&lt;&gt;"",0.15,0))+(IF(G35&lt;&gt;"",0.15,0))))</f>
        <v/>
      </c>
      <c r="M35" s="17">
        <f>IF(B35="","",IF(L35&gt;=0.85,"Complete",IF(L35&gt;=0.5,"Partial","Missing")))</f>
        <v/>
      </c>
      <c r="N35" s="17">
        <f>IF(B35="","",IF(J35="Yes","Yes",IF(AND(H35="No",I35="No"),"Missing-R-A","No")))</f>
        <v/>
      </c>
    </row>
    <row r="36">
      <c r="A36" s="15" t="n"/>
      <c r="B36" s="15" t="n"/>
      <c r="C36" s="15" t="n"/>
      <c r="D36" s="15" t="n"/>
      <c r="E36" s="15" t="n"/>
      <c r="F36" s="15" t="n"/>
      <c r="G36" s="15" t="n"/>
      <c r="H36" s="17">
        <f>IF(D36&lt;&gt;"","Yes","No")</f>
        <v/>
      </c>
      <c r="I36" s="17">
        <f>IF(E36&lt;&gt;"","Yes","No")</f>
        <v/>
      </c>
      <c r="J36" s="17">
        <f>IF(ISERROR(FIND(",",E36)),"No","Yes")</f>
        <v/>
      </c>
      <c r="K36" s="15" t="n"/>
      <c r="L36" s="18">
        <f>IF(B36="","",((IF(D36&lt;&gt;"",0.3,0))+(IF(E36&lt;&gt;"",0.4,0))+(IF(F36&lt;&gt;"",0.15,0))+(IF(G36&lt;&gt;"",0.15,0))))</f>
        <v/>
      </c>
      <c r="M36" s="17">
        <f>IF(B36="","",IF(L36&gt;=0.85,"Complete",IF(L36&gt;=0.5,"Partial","Missing")))</f>
        <v/>
      </c>
      <c r="N36" s="17">
        <f>IF(B36="","",IF(J36="Yes","Yes",IF(AND(H36="No",I36="No"),"Missing-R-A","No")))</f>
        <v/>
      </c>
    </row>
    <row r="37">
      <c r="A37" s="15" t="n"/>
      <c r="B37" s="15" t="n"/>
      <c r="C37" s="15" t="n"/>
      <c r="D37" s="15" t="n"/>
      <c r="E37" s="15" t="n"/>
      <c r="F37" s="15" t="n"/>
      <c r="G37" s="15" t="n"/>
      <c r="H37" s="17">
        <f>IF(D37&lt;&gt;"","Yes","No")</f>
        <v/>
      </c>
      <c r="I37" s="17">
        <f>IF(E37&lt;&gt;"","Yes","No")</f>
        <v/>
      </c>
      <c r="J37" s="17">
        <f>IF(ISERROR(FIND(",",E37)),"No","Yes")</f>
        <v/>
      </c>
      <c r="K37" s="15" t="n"/>
      <c r="L37" s="18">
        <f>IF(B37="","",((IF(D37&lt;&gt;"",0.3,0))+(IF(E37&lt;&gt;"",0.4,0))+(IF(F37&lt;&gt;"",0.15,0))+(IF(G37&lt;&gt;"",0.15,0))))</f>
        <v/>
      </c>
      <c r="M37" s="17">
        <f>IF(B37="","",IF(L37&gt;=0.85,"Complete",IF(L37&gt;=0.5,"Partial","Missing")))</f>
        <v/>
      </c>
      <c r="N37" s="17">
        <f>IF(B37="","",IF(J37="Yes","Yes",IF(AND(H37="No",I37="No"),"Missing-R-A","No")))</f>
        <v/>
      </c>
    </row>
    <row r="38">
      <c r="A38" s="15" t="n"/>
      <c r="B38" s="15" t="n"/>
      <c r="C38" s="15" t="n"/>
      <c r="D38" s="15" t="n"/>
      <c r="E38" s="15" t="n"/>
      <c r="F38" s="15" t="n"/>
      <c r="G38" s="15" t="n"/>
      <c r="H38" s="17">
        <f>IF(D38&lt;&gt;"","Yes","No")</f>
        <v/>
      </c>
      <c r="I38" s="17">
        <f>IF(E38&lt;&gt;"","Yes","No")</f>
        <v/>
      </c>
      <c r="J38" s="17">
        <f>IF(ISERROR(FIND(",",E38)),"No","Yes")</f>
        <v/>
      </c>
      <c r="K38" s="15" t="n"/>
      <c r="L38" s="18">
        <f>IF(B38="","",((IF(D38&lt;&gt;"",0.3,0))+(IF(E38&lt;&gt;"",0.4,0))+(IF(F38&lt;&gt;"",0.15,0))+(IF(G38&lt;&gt;"",0.15,0))))</f>
        <v/>
      </c>
      <c r="M38" s="17">
        <f>IF(B38="","",IF(L38&gt;=0.85,"Complete",IF(L38&gt;=0.5,"Partial","Missing")))</f>
        <v/>
      </c>
      <c r="N38" s="17">
        <f>IF(B38="","",IF(J38="Yes","Yes",IF(AND(H38="No",I38="No"),"Missing-R-A","No")))</f>
        <v/>
      </c>
    </row>
    <row r="39">
      <c r="A39" s="15" t="n"/>
      <c r="B39" s="15" t="n"/>
      <c r="C39" s="15" t="n"/>
      <c r="D39" s="15" t="n"/>
      <c r="E39" s="15" t="n"/>
      <c r="F39" s="15" t="n"/>
      <c r="G39" s="15" t="n"/>
      <c r="H39" s="17">
        <f>IF(D39&lt;&gt;"","Yes","No")</f>
        <v/>
      </c>
      <c r="I39" s="17">
        <f>IF(E39&lt;&gt;"","Yes","No")</f>
        <v/>
      </c>
      <c r="J39" s="17">
        <f>IF(ISERROR(FIND(",",E39)),"No","Yes")</f>
        <v/>
      </c>
      <c r="K39" s="15" t="n"/>
      <c r="L39" s="18">
        <f>IF(B39="","",((IF(D39&lt;&gt;"",0.3,0))+(IF(E39&lt;&gt;"",0.4,0))+(IF(F39&lt;&gt;"",0.15,0))+(IF(G39&lt;&gt;"",0.15,0))))</f>
        <v/>
      </c>
      <c r="M39" s="17">
        <f>IF(B39="","",IF(L39&gt;=0.85,"Complete",IF(L39&gt;=0.5,"Partial","Missing")))</f>
        <v/>
      </c>
      <c r="N39" s="17">
        <f>IF(B39="","",IF(J39="Yes","Yes",IF(AND(H39="No",I39="No"),"Missing-R-A","No")))</f>
        <v/>
      </c>
    </row>
    <row r="40">
      <c r="A40" s="15" t="n"/>
      <c r="B40" s="15" t="n"/>
      <c r="C40" s="15" t="n"/>
      <c r="D40" s="15" t="n"/>
      <c r="E40" s="15" t="n"/>
      <c r="F40" s="15" t="n"/>
      <c r="G40" s="15" t="n"/>
      <c r="H40" s="17">
        <f>IF(D40&lt;&gt;"","Yes","No")</f>
        <v/>
      </c>
      <c r="I40" s="17">
        <f>IF(E40&lt;&gt;"","Yes","No")</f>
        <v/>
      </c>
      <c r="J40" s="17">
        <f>IF(ISERROR(FIND(",",E40)),"No","Yes")</f>
        <v/>
      </c>
      <c r="K40" s="15" t="n"/>
      <c r="L40" s="18">
        <f>IF(B40="","",((IF(D40&lt;&gt;"",0.3,0))+(IF(E40&lt;&gt;"",0.4,0))+(IF(F40&lt;&gt;"",0.15,0))+(IF(G40&lt;&gt;"",0.15,0))))</f>
        <v/>
      </c>
      <c r="M40" s="17">
        <f>IF(B40="","",IF(L40&gt;=0.85,"Complete",IF(L40&gt;=0.5,"Partial","Missing")))</f>
        <v/>
      </c>
      <c r="N40" s="17">
        <f>IF(B40="","",IF(J40="Yes","Yes",IF(AND(H40="No",I40="No"),"Missing-R-A","No")))</f>
        <v/>
      </c>
    </row>
    <row r="41">
      <c r="A41" s="15" t="n"/>
      <c r="B41" s="15" t="n"/>
      <c r="C41" s="15" t="n"/>
      <c r="D41" s="15" t="n"/>
      <c r="E41" s="15" t="n"/>
      <c r="F41" s="15" t="n"/>
      <c r="G41" s="15" t="n"/>
      <c r="H41" s="17">
        <f>IF(D41&lt;&gt;"","Yes","No")</f>
        <v/>
      </c>
      <c r="I41" s="17">
        <f>IF(E41&lt;&gt;"","Yes","No")</f>
        <v/>
      </c>
      <c r="J41" s="17">
        <f>IF(ISERROR(FIND(",",E41)),"No","Yes")</f>
        <v/>
      </c>
      <c r="K41" s="15" t="n"/>
      <c r="L41" s="18">
        <f>IF(B41="","",((IF(D41&lt;&gt;"",0.3,0))+(IF(E41&lt;&gt;"",0.4,0))+(IF(F41&lt;&gt;"",0.15,0))+(IF(G41&lt;&gt;"",0.15,0))))</f>
        <v/>
      </c>
      <c r="M41" s="17">
        <f>IF(B41="","",IF(L41&gt;=0.85,"Complete",IF(L41&gt;=0.5,"Partial","Missing")))</f>
        <v/>
      </c>
      <c r="N41" s="17">
        <f>IF(B41="","",IF(J41="Yes","Yes",IF(AND(H41="No",I41="No"),"Missing-R-A","No")))</f>
        <v/>
      </c>
    </row>
    <row r="42">
      <c r="A42" s="15" t="n"/>
      <c r="B42" s="15" t="n"/>
      <c r="C42" s="15" t="n"/>
      <c r="D42" s="15" t="n"/>
      <c r="E42" s="15" t="n"/>
      <c r="F42" s="15" t="n"/>
      <c r="G42" s="15" t="n"/>
      <c r="H42" s="17">
        <f>IF(D42&lt;&gt;"","Yes","No")</f>
        <v/>
      </c>
      <c r="I42" s="17">
        <f>IF(E42&lt;&gt;"","Yes","No")</f>
        <v/>
      </c>
      <c r="J42" s="17">
        <f>IF(ISERROR(FIND(",",E42)),"No","Yes")</f>
        <v/>
      </c>
      <c r="K42" s="15" t="n"/>
      <c r="L42" s="18">
        <f>IF(B42="","",((IF(D42&lt;&gt;"",0.3,0))+(IF(E42&lt;&gt;"",0.4,0))+(IF(F42&lt;&gt;"",0.15,0))+(IF(G42&lt;&gt;"",0.15,0))))</f>
        <v/>
      </c>
      <c r="M42" s="17">
        <f>IF(B42="","",IF(L42&gt;=0.85,"Complete",IF(L42&gt;=0.5,"Partial","Missing")))</f>
        <v/>
      </c>
      <c r="N42" s="17">
        <f>IF(B42="","",IF(J42="Yes","Yes",IF(AND(H42="No",I42="No"),"Missing-R-A","No")))</f>
        <v/>
      </c>
    </row>
    <row r="43">
      <c r="A43" s="15" t="n"/>
      <c r="B43" s="15" t="n"/>
      <c r="C43" s="15" t="n"/>
      <c r="D43" s="15" t="n"/>
      <c r="E43" s="15" t="n"/>
      <c r="F43" s="15" t="n"/>
      <c r="G43" s="15" t="n"/>
      <c r="H43" s="17">
        <f>IF(D43&lt;&gt;"","Yes","No")</f>
        <v/>
      </c>
      <c r="I43" s="17">
        <f>IF(E43&lt;&gt;"","Yes","No")</f>
        <v/>
      </c>
      <c r="J43" s="17">
        <f>IF(ISERROR(FIND(",",E43)),"No","Yes")</f>
        <v/>
      </c>
      <c r="K43" s="15" t="n"/>
      <c r="L43" s="18">
        <f>IF(B43="","",((IF(D43&lt;&gt;"",0.3,0))+(IF(E43&lt;&gt;"",0.4,0))+(IF(F43&lt;&gt;"",0.15,0))+(IF(G43&lt;&gt;"",0.15,0))))</f>
        <v/>
      </c>
      <c r="M43" s="17">
        <f>IF(B43="","",IF(L43&gt;=0.85,"Complete",IF(L43&gt;=0.5,"Partial","Missing")))</f>
        <v/>
      </c>
      <c r="N43" s="17">
        <f>IF(B43="","",IF(J43="Yes","Yes",IF(AND(H43="No",I43="No"),"Missing-R-A","No")))</f>
        <v/>
      </c>
    </row>
    <row r="44">
      <c r="A44" s="15" t="n"/>
      <c r="B44" s="15" t="n"/>
      <c r="C44" s="15" t="n"/>
      <c r="D44" s="15" t="n"/>
      <c r="E44" s="15" t="n"/>
      <c r="F44" s="15" t="n"/>
      <c r="G44" s="15" t="n"/>
      <c r="H44" s="17">
        <f>IF(D44&lt;&gt;"","Yes","No")</f>
        <v/>
      </c>
      <c r="I44" s="17">
        <f>IF(E44&lt;&gt;"","Yes","No")</f>
        <v/>
      </c>
      <c r="J44" s="17">
        <f>IF(ISERROR(FIND(",",E44)),"No","Yes")</f>
        <v/>
      </c>
      <c r="K44" s="15" t="n"/>
      <c r="L44" s="18">
        <f>IF(B44="","",((IF(D44&lt;&gt;"",0.3,0))+(IF(E44&lt;&gt;"",0.4,0))+(IF(F44&lt;&gt;"",0.15,0))+(IF(G44&lt;&gt;"",0.15,0))))</f>
        <v/>
      </c>
      <c r="M44" s="17">
        <f>IF(B44="","",IF(L44&gt;=0.85,"Complete",IF(L44&gt;=0.5,"Partial","Missing")))</f>
        <v/>
      </c>
      <c r="N44" s="17">
        <f>IF(B44="","",IF(J44="Yes","Yes",IF(AND(H44="No",I44="No"),"Missing-R-A","No")))</f>
        <v/>
      </c>
    </row>
    <row r="45">
      <c r="A45" s="15" t="n"/>
      <c r="B45" s="15" t="n"/>
      <c r="C45" s="15" t="n"/>
      <c r="D45" s="15" t="n"/>
      <c r="E45" s="15" t="n"/>
      <c r="F45" s="15" t="n"/>
      <c r="G45" s="15" t="n"/>
      <c r="H45" s="17">
        <f>IF(D45&lt;&gt;"","Yes","No")</f>
        <v/>
      </c>
      <c r="I45" s="17">
        <f>IF(E45&lt;&gt;"","Yes","No")</f>
        <v/>
      </c>
      <c r="J45" s="17">
        <f>IF(ISERROR(FIND(",",E45)),"No","Yes")</f>
        <v/>
      </c>
      <c r="K45" s="15" t="n"/>
      <c r="L45" s="18">
        <f>IF(B45="","",((IF(D45&lt;&gt;"",0.3,0))+(IF(E45&lt;&gt;"",0.4,0))+(IF(F45&lt;&gt;"",0.15,0))+(IF(G45&lt;&gt;"",0.15,0))))</f>
        <v/>
      </c>
      <c r="M45" s="17">
        <f>IF(B45="","",IF(L45&gt;=0.85,"Complete",IF(L45&gt;=0.5,"Partial","Missing")))</f>
        <v/>
      </c>
      <c r="N45" s="17">
        <f>IF(B45="","",IF(J45="Yes","Yes",IF(AND(H45="No",I45="No"),"Missing-R-A","No")))</f>
        <v/>
      </c>
    </row>
    <row r="46">
      <c r="A46" s="15" t="n"/>
      <c r="B46" s="15" t="n"/>
      <c r="C46" s="15" t="n"/>
      <c r="D46" s="15" t="n"/>
      <c r="E46" s="15" t="n"/>
      <c r="F46" s="15" t="n"/>
      <c r="G46" s="15" t="n"/>
      <c r="H46" s="17">
        <f>IF(D46&lt;&gt;"","Yes","No")</f>
        <v/>
      </c>
      <c r="I46" s="17">
        <f>IF(E46&lt;&gt;"","Yes","No")</f>
        <v/>
      </c>
      <c r="J46" s="17">
        <f>IF(ISERROR(FIND(",",E46)),"No","Yes")</f>
        <v/>
      </c>
      <c r="K46" s="15" t="n"/>
      <c r="L46" s="18">
        <f>IF(B46="","",((IF(D46&lt;&gt;"",0.3,0))+(IF(E46&lt;&gt;"",0.4,0))+(IF(F46&lt;&gt;"",0.15,0))+(IF(G46&lt;&gt;"",0.15,0))))</f>
        <v/>
      </c>
      <c r="M46" s="17">
        <f>IF(B46="","",IF(L46&gt;=0.85,"Complete",IF(L46&gt;=0.5,"Partial","Missing")))</f>
        <v/>
      </c>
      <c r="N46" s="17">
        <f>IF(B46="","",IF(J46="Yes","Yes",IF(AND(H46="No",I46="No"),"Missing-R-A","No")))</f>
        <v/>
      </c>
    </row>
    <row r="47">
      <c r="A47" s="15" t="n"/>
      <c r="B47" s="15" t="n"/>
      <c r="C47" s="15" t="n"/>
      <c r="D47" s="15" t="n"/>
      <c r="E47" s="15" t="n"/>
      <c r="F47" s="15" t="n"/>
      <c r="G47" s="15" t="n"/>
      <c r="H47" s="17">
        <f>IF(D47&lt;&gt;"","Yes","No")</f>
        <v/>
      </c>
      <c r="I47" s="17">
        <f>IF(E47&lt;&gt;"","Yes","No")</f>
        <v/>
      </c>
      <c r="J47" s="17">
        <f>IF(ISERROR(FIND(",",E47)),"No","Yes")</f>
        <v/>
      </c>
      <c r="K47" s="15" t="n"/>
      <c r="L47" s="18">
        <f>IF(B47="","",((IF(D47&lt;&gt;"",0.3,0))+(IF(E47&lt;&gt;"",0.4,0))+(IF(F47&lt;&gt;"",0.15,0))+(IF(G47&lt;&gt;"",0.15,0))))</f>
        <v/>
      </c>
      <c r="M47" s="17">
        <f>IF(B47="","",IF(L47&gt;=0.85,"Complete",IF(L47&gt;=0.5,"Partial","Missing")))</f>
        <v/>
      </c>
      <c r="N47" s="17">
        <f>IF(B47="","",IF(J47="Yes","Yes",IF(AND(H47="No",I47="No"),"Missing-R-A","No")))</f>
        <v/>
      </c>
    </row>
    <row r="48">
      <c r="A48" s="15" t="n"/>
      <c r="B48" s="15" t="n"/>
      <c r="C48" s="15" t="n"/>
      <c r="D48" s="15" t="n"/>
      <c r="E48" s="15" t="n"/>
      <c r="F48" s="15" t="n"/>
      <c r="G48" s="15" t="n"/>
      <c r="H48" s="17">
        <f>IF(D48&lt;&gt;"","Yes","No")</f>
        <v/>
      </c>
      <c r="I48" s="17">
        <f>IF(E48&lt;&gt;"","Yes","No")</f>
        <v/>
      </c>
      <c r="J48" s="17">
        <f>IF(ISERROR(FIND(",",E48)),"No","Yes")</f>
        <v/>
      </c>
      <c r="K48" s="15" t="n"/>
      <c r="L48" s="18">
        <f>IF(B48="","",((IF(D48&lt;&gt;"",0.3,0))+(IF(E48&lt;&gt;"",0.4,0))+(IF(F48&lt;&gt;"",0.15,0))+(IF(G48&lt;&gt;"",0.15,0))))</f>
        <v/>
      </c>
      <c r="M48" s="17">
        <f>IF(B48="","",IF(L48&gt;=0.85,"Complete",IF(L48&gt;=0.5,"Partial","Missing")))</f>
        <v/>
      </c>
      <c r="N48" s="17">
        <f>IF(B48="","",IF(J48="Yes","Yes",IF(AND(H48="No",I48="No"),"Missing-R-A","No")))</f>
        <v/>
      </c>
    </row>
    <row r="49">
      <c r="A49" s="15" t="n"/>
      <c r="B49" s="15" t="n"/>
      <c r="C49" s="15" t="n"/>
      <c r="D49" s="15" t="n"/>
      <c r="E49" s="15" t="n"/>
      <c r="F49" s="15" t="n"/>
      <c r="G49" s="15" t="n"/>
      <c r="H49" s="17">
        <f>IF(D49&lt;&gt;"","Yes","No")</f>
        <v/>
      </c>
      <c r="I49" s="17">
        <f>IF(E49&lt;&gt;"","Yes","No")</f>
        <v/>
      </c>
      <c r="J49" s="17">
        <f>IF(ISERROR(FIND(",",E49)),"No","Yes")</f>
        <v/>
      </c>
      <c r="K49" s="15" t="n"/>
      <c r="L49" s="18">
        <f>IF(B49="","",((IF(D49&lt;&gt;"",0.3,0))+(IF(E49&lt;&gt;"",0.4,0))+(IF(F49&lt;&gt;"",0.15,0))+(IF(G49&lt;&gt;"",0.15,0))))</f>
        <v/>
      </c>
      <c r="M49" s="17">
        <f>IF(B49="","",IF(L49&gt;=0.85,"Complete",IF(L49&gt;=0.5,"Partial","Missing")))</f>
        <v/>
      </c>
      <c r="N49" s="17">
        <f>IF(B49="","",IF(J49="Yes","Yes",IF(AND(H49="No",I49="No"),"Missing-R-A","No")))</f>
        <v/>
      </c>
    </row>
    <row r="50">
      <c r="A50" s="15" t="n"/>
      <c r="B50" s="15" t="n"/>
      <c r="C50" s="15" t="n"/>
      <c r="D50" s="15" t="n"/>
      <c r="E50" s="15" t="n"/>
      <c r="F50" s="15" t="n"/>
      <c r="G50" s="15" t="n"/>
      <c r="H50" s="17">
        <f>IF(D50&lt;&gt;"","Yes","No")</f>
        <v/>
      </c>
      <c r="I50" s="17">
        <f>IF(E50&lt;&gt;"","Yes","No")</f>
        <v/>
      </c>
      <c r="J50" s="17">
        <f>IF(ISERROR(FIND(",",E50)),"No","Yes")</f>
        <v/>
      </c>
      <c r="K50" s="15" t="n"/>
      <c r="L50" s="18">
        <f>IF(B50="","",((IF(D50&lt;&gt;"",0.3,0))+(IF(E50&lt;&gt;"",0.4,0))+(IF(F50&lt;&gt;"",0.15,0))+(IF(G50&lt;&gt;"",0.15,0))))</f>
        <v/>
      </c>
      <c r="M50" s="17">
        <f>IF(B50="","",IF(L50&gt;=0.85,"Complete",IF(L50&gt;=0.5,"Partial","Missing")))</f>
        <v/>
      </c>
      <c r="N50" s="17">
        <f>IF(B50="","",IF(J50="Yes","Yes",IF(AND(H50="No",I50="No"),"Missing-R-A","No")))</f>
        <v/>
      </c>
    </row>
    <row r="51">
      <c r="A51" s="15" t="n"/>
      <c r="B51" s="15" t="n"/>
      <c r="C51" s="15" t="n"/>
      <c r="D51" s="15" t="n"/>
      <c r="E51" s="15" t="n"/>
      <c r="F51" s="15" t="n"/>
      <c r="G51" s="15" t="n"/>
      <c r="H51" s="17">
        <f>IF(D51&lt;&gt;"","Yes","No")</f>
        <v/>
      </c>
      <c r="I51" s="17">
        <f>IF(E51&lt;&gt;"","Yes","No")</f>
        <v/>
      </c>
      <c r="J51" s="17">
        <f>IF(ISERROR(FIND(",",E51)),"No","Yes")</f>
        <v/>
      </c>
      <c r="K51" s="15" t="n"/>
      <c r="L51" s="18">
        <f>IF(B51="","",((IF(D51&lt;&gt;"",0.3,0))+(IF(E51&lt;&gt;"",0.4,0))+(IF(F51&lt;&gt;"",0.15,0))+(IF(G51&lt;&gt;"",0.15,0))))</f>
        <v/>
      </c>
      <c r="M51" s="17">
        <f>IF(B51="","",IF(L51&gt;=0.85,"Complete",IF(L51&gt;=0.5,"Partial","Missing")))</f>
        <v/>
      </c>
      <c r="N51" s="17">
        <f>IF(B51="","",IF(J51="Yes","Yes",IF(AND(H51="No",I51="No"),"Missing-R-A","No")))</f>
        <v/>
      </c>
    </row>
    <row r="52">
      <c r="A52" s="15" t="n"/>
      <c r="B52" s="15" t="n"/>
      <c r="C52" s="15" t="n"/>
      <c r="D52" s="15" t="n"/>
      <c r="E52" s="15" t="n"/>
      <c r="F52" s="15" t="n"/>
      <c r="G52" s="15" t="n"/>
      <c r="H52" s="17">
        <f>IF(D52&lt;&gt;"","Yes","No")</f>
        <v/>
      </c>
      <c r="I52" s="17">
        <f>IF(E52&lt;&gt;"","Yes","No")</f>
        <v/>
      </c>
      <c r="J52" s="17">
        <f>IF(ISERROR(FIND(",",E52)),"No","Yes")</f>
        <v/>
      </c>
      <c r="K52" s="15" t="n"/>
      <c r="L52" s="18">
        <f>IF(B52="","",((IF(D52&lt;&gt;"",0.3,0))+(IF(E52&lt;&gt;"",0.4,0))+(IF(F52&lt;&gt;"",0.15,0))+(IF(G52&lt;&gt;"",0.15,0))))</f>
        <v/>
      </c>
      <c r="M52" s="17">
        <f>IF(B52="","",IF(L52&gt;=0.85,"Complete",IF(L52&gt;=0.5,"Partial","Missing")))</f>
        <v/>
      </c>
      <c r="N52" s="17">
        <f>IF(B52="","",IF(J52="Yes","Yes",IF(AND(H52="No",I52="No"),"Missing-R-A","No")))</f>
        <v/>
      </c>
    </row>
    <row r="53">
      <c r="A53" s="15" t="n"/>
      <c r="B53" s="15" t="n"/>
      <c r="C53" s="15" t="n"/>
      <c r="D53" s="15" t="n"/>
      <c r="E53" s="15" t="n"/>
      <c r="F53" s="15" t="n"/>
      <c r="G53" s="15" t="n"/>
      <c r="H53" s="17">
        <f>IF(D53&lt;&gt;"","Yes","No")</f>
        <v/>
      </c>
      <c r="I53" s="17">
        <f>IF(E53&lt;&gt;"","Yes","No")</f>
        <v/>
      </c>
      <c r="J53" s="17">
        <f>IF(ISERROR(FIND(",",E53)),"No","Yes")</f>
        <v/>
      </c>
      <c r="K53" s="15" t="n"/>
      <c r="L53" s="18">
        <f>IF(B53="","",((IF(D53&lt;&gt;"",0.3,0))+(IF(E53&lt;&gt;"",0.4,0))+(IF(F53&lt;&gt;"",0.15,0))+(IF(G53&lt;&gt;"",0.15,0))))</f>
        <v/>
      </c>
      <c r="M53" s="17">
        <f>IF(B53="","",IF(L53&gt;=0.85,"Complete",IF(L53&gt;=0.5,"Partial","Missing")))</f>
        <v/>
      </c>
      <c r="N53" s="17">
        <f>IF(B53="","",IF(J53="Yes","Yes",IF(AND(H53="No",I53="No"),"Missing-R-A","No")))</f>
        <v/>
      </c>
    </row>
    <row r="54">
      <c r="A54" s="15" t="n"/>
      <c r="B54" s="15" t="n"/>
      <c r="C54" s="15" t="n"/>
      <c r="D54" s="15" t="n"/>
      <c r="E54" s="15" t="n"/>
      <c r="F54" s="15" t="n"/>
      <c r="G54" s="15" t="n"/>
      <c r="H54" s="17">
        <f>IF(D54&lt;&gt;"","Yes","No")</f>
        <v/>
      </c>
      <c r="I54" s="17">
        <f>IF(E54&lt;&gt;"","Yes","No")</f>
        <v/>
      </c>
      <c r="J54" s="17">
        <f>IF(ISERROR(FIND(",",E54)),"No","Yes")</f>
        <v/>
      </c>
      <c r="K54" s="15" t="n"/>
      <c r="L54" s="18">
        <f>IF(B54="","",((IF(D54&lt;&gt;"",0.3,0))+(IF(E54&lt;&gt;"",0.4,0))+(IF(F54&lt;&gt;"",0.15,0))+(IF(G54&lt;&gt;"",0.15,0))))</f>
        <v/>
      </c>
      <c r="M54" s="17">
        <f>IF(B54="","",IF(L54&gt;=0.85,"Complete",IF(L54&gt;=0.5,"Partial","Missing")))</f>
        <v/>
      </c>
      <c r="N54" s="17">
        <f>IF(B54="","",IF(J54="Yes","Yes",IF(AND(H54="No",I54="No"),"Missing-R-A","No")))</f>
        <v/>
      </c>
    </row>
    <row r="55">
      <c r="A55" s="15" t="n"/>
      <c r="B55" s="15" t="n"/>
      <c r="C55" s="15" t="n"/>
      <c r="D55" s="15" t="n"/>
      <c r="E55" s="15" t="n"/>
      <c r="F55" s="15" t="n"/>
      <c r="G55" s="15" t="n"/>
      <c r="H55" s="17">
        <f>IF(D55&lt;&gt;"","Yes","No")</f>
        <v/>
      </c>
      <c r="I55" s="17">
        <f>IF(E55&lt;&gt;"","Yes","No")</f>
        <v/>
      </c>
      <c r="J55" s="17">
        <f>IF(ISERROR(FIND(",",E55)),"No","Yes")</f>
        <v/>
      </c>
      <c r="K55" s="15" t="n"/>
      <c r="L55" s="18">
        <f>IF(B55="","",((IF(D55&lt;&gt;"",0.3,0))+(IF(E55&lt;&gt;"",0.4,0))+(IF(F55&lt;&gt;"",0.15,0))+(IF(G55&lt;&gt;"",0.15,0))))</f>
        <v/>
      </c>
      <c r="M55" s="17">
        <f>IF(B55="","",IF(L55&gt;=0.85,"Complete",IF(L55&gt;=0.5,"Partial","Missing")))</f>
        <v/>
      </c>
      <c r="N55" s="17">
        <f>IF(B55="","",IF(J55="Yes","Yes",IF(AND(H55="No",I55="No"),"Missing-R-A","No")))</f>
        <v/>
      </c>
    </row>
  </sheetData>
  <mergeCells count="2">
    <mergeCell ref="A2:N2"/>
    <mergeCell ref="A1:N1"/>
  </mergeCells>
  <dataValidations count="2">
    <dataValidation sqref="C6:C55" showDropDown="0" showInputMessage="0" showErrorMessage="1" allowBlank="1" errorTitle="Invalid Entry" error="Please select from dropdown" type="list">
      <formula1>"Policy-Management,Risk-Management,Incident-Response,Access-Management,Change-Management,Audit-Compliance,Training-Awareness,Asset-Management,Vendor-Management,Business-Continuity,Security-Operations,Other"</formula1>
    </dataValidation>
    <dataValidation sqref="K6:K55"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15" customWidth="1" min="5" max="5"/>
    <col width="12" customWidth="1" min="6" max="6"/>
    <col width="15" customWidth="1" min="7" max="7"/>
    <col width="15" customWidth="1" min="8" max="8"/>
    <col width="15" customWidth="1" min="9" max="9"/>
    <col width="15" customWidth="1" min="10" max="10"/>
    <col width="25" customWidth="1" min="11" max="11"/>
    <col width="15" customWidth="1" min="12" max="12"/>
    <col width="12" customWidth="1" min="13" max="13"/>
    <col width="40" customWidth="1" min="14" max="14"/>
    <col width="30" customWidth="1" min="15" max="15"/>
  </cols>
  <sheetData>
    <row r="1" ht="35" customHeight="1">
      <c r="A1" s="11" t="inlineStr">
        <is>
          <t>ROLE ASSIGNMENT VERIFICATION</t>
        </is>
      </c>
    </row>
    <row r="2">
      <c r="A2" s="12" t="inlineStr">
        <is>
          <t>Verification of current role assignments and vacancy tracking</t>
        </is>
      </c>
    </row>
    <row r="4">
      <c r="A4" s="13" t="inlineStr">
        <is>
          <t>Role ID</t>
        </is>
      </c>
      <c r="B4" s="13" t="inlineStr">
        <is>
          <t>Role Title</t>
        </is>
      </c>
      <c r="C4" s="13" t="inlineStr">
        <is>
          <t>Role Category</t>
        </is>
      </c>
      <c r="D4" s="13" t="inlineStr">
        <is>
          <t>Current Holder Name</t>
        </is>
      </c>
      <c r="E4" s="13" t="inlineStr">
        <is>
          <t>Current Holder Employee ID</t>
        </is>
      </c>
      <c r="F4" s="13" t="inlineStr">
        <is>
          <t>Assignment Date</t>
        </is>
      </c>
      <c r="G4" s="13" t="inlineStr">
        <is>
          <t>Assignment Documentation</t>
        </is>
      </c>
      <c r="H4" s="13" t="inlineStr">
        <is>
          <t>Formal Acceptance</t>
        </is>
      </c>
      <c r="I4" s="13" t="inlineStr">
        <is>
          <t>Background Check Status</t>
        </is>
      </c>
      <c r="J4" s="13" t="inlineStr">
        <is>
          <t>Assignment Status</t>
        </is>
      </c>
      <c r="K4" s="13" t="inlineStr">
        <is>
          <t>Backup Holder Name</t>
        </is>
      </c>
      <c r="L4" s="13" t="inlineStr">
        <is>
          <t>Backup Assignment Status</t>
        </is>
      </c>
      <c r="M4" s="13" t="inlineStr">
        <is>
          <t>Last Verification Date</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6" t="n"/>
      <c r="G5" s="15" t="n"/>
      <c r="H5" s="15" t="n"/>
      <c r="I5" s="15" t="n"/>
      <c r="J5" s="17">
        <f>IF(B5="","",IF(AND(D5&lt;&gt;"",G5="Complete",H5="Yes"),"Filled",IF(D5="","Vacant",IF(OR(G5="Missing",H5="No"),"Pending-Documentation","Pending"))))</f>
        <v/>
      </c>
      <c r="K5" s="15" t="n"/>
      <c r="L5" s="15" t="n"/>
      <c r="M5" s="16" t="n"/>
      <c r="N5" s="15" t="n"/>
      <c r="O5" s="15" t="n"/>
    </row>
    <row r="6">
      <c r="A6" s="17">
        <f>IF(ROW()-4&lt;=COUNTA('Role Inventory'!$A:$A)-4,INDEX('Role Inventory'!$A:$A,ROW()-3),"")</f>
        <v/>
      </c>
      <c r="B6" s="17">
        <f>IF(A6&lt;&gt;"",VLOOKUP(A6,'Role Inventory'!$A:$B,2,FALSE),"")</f>
        <v/>
      </c>
      <c r="C6" s="17">
        <f>IF(A6&lt;&gt;"",VLOOKUP(A6,'Role Inventory'!$A:$C,3,FALSE),"")</f>
        <v/>
      </c>
      <c r="D6" s="15" t="n"/>
      <c r="E6" s="15" t="n"/>
      <c r="F6" s="16" t="n"/>
      <c r="G6" s="15" t="n"/>
      <c r="H6" s="15" t="n"/>
      <c r="I6" s="15" t="n"/>
      <c r="J6" s="17">
        <f>IF(B6="","",IF(AND(D6&lt;&gt;"",G6="Complete",H6="Yes"),"Filled",IF(D6="","Vacant",IF(OR(G6="Missing",H6="No"),"Pending-Documentation","Pending"))))</f>
        <v/>
      </c>
      <c r="K6" s="15" t="n"/>
      <c r="L6" s="15" t="n"/>
      <c r="M6" s="16" t="n"/>
      <c r="N6" s="15" t="n"/>
      <c r="O6" s="15" t="n"/>
    </row>
    <row r="7">
      <c r="A7" s="17">
        <f>IF(ROW()-4&lt;=COUNTA('Role Inventory'!$A:$A)-4,INDEX('Role Inventory'!$A:$A,ROW()-3),"")</f>
        <v/>
      </c>
      <c r="B7" s="17">
        <f>IF(A7&lt;&gt;"",VLOOKUP(A7,'Role Inventory'!$A:$B,2,FALSE),"")</f>
        <v/>
      </c>
      <c r="C7" s="17">
        <f>IF(A7&lt;&gt;"",VLOOKUP(A7,'Role Inventory'!$A:$C,3,FALSE),"")</f>
        <v/>
      </c>
      <c r="D7" s="15" t="n"/>
      <c r="E7" s="15" t="n"/>
      <c r="F7" s="16" t="n"/>
      <c r="G7" s="15" t="n"/>
      <c r="H7" s="15" t="n"/>
      <c r="I7" s="15" t="n"/>
      <c r="J7" s="17">
        <f>IF(B7="","",IF(AND(D7&lt;&gt;"",G7="Complete",H7="Yes"),"Filled",IF(D7="","Vacant",IF(OR(G7="Missing",H7="No"),"Pending-Documentation","Pending"))))</f>
        <v/>
      </c>
      <c r="K7" s="15" t="n"/>
      <c r="L7" s="15" t="n"/>
      <c r="M7" s="16" t="n"/>
      <c r="N7" s="15" t="n"/>
      <c r="O7" s="15" t="n"/>
    </row>
    <row r="8">
      <c r="A8" s="17">
        <f>IF(ROW()-4&lt;=COUNTA('Role Inventory'!$A:$A)-4,INDEX('Role Inventory'!$A:$A,ROW()-3),"")</f>
        <v/>
      </c>
      <c r="B8" s="17">
        <f>IF(A8&lt;&gt;"",VLOOKUP(A8,'Role Inventory'!$A:$B,2,FALSE),"")</f>
        <v/>
      </c>
      <c r="C8" s="17">
        <f>IF(A8&lt;&gt;"",VLOOKUP(A8,'Role Inventory'!$A:$C,3,FALSE),"")</f>
        <v/>
      </c>
      <c r="D8" s="15" t="n"/>
      <c r="E8" s="15" t="n"/>
      <c r="F8" s="16" t="n"/>
      <c r="G8" s="15" t="n"/>
      <c r="H8" s="15" t="n"/>
      <c r="I8" s="15" t="n"/>
      <c r="J8" s="17">
        <f>IF(B8="","",IF(AND(D8&lt;&gt;"",G8="Complete",H8="Yes"),"Filled",IF(D8="","Vacant",IF(OR(G8="Missing",H8="No"),"Pending-Documentation","Pending"))))</f>
        <v/>
      </c>
      <c r="K8" s="15" t="n"/>
      <c r="L8" s="15" t="n"/>
      <c r="M8" s="16" t="n"/>
      <c r="N8" s="15" t="n"/>
      <c r="O8" s="15" t="n"/>
    </row>
    <row r="9">
      <c r="A9" s="17">
        <f>IF(ROW()-4&lt;=COUNTA('Role Inventory'!$A:$A)-4,INDEX('Role Inventory'!$A:$A,ROW()-3),"")</f>
        <v/>
      </c>
      <c r="B9" s="17">
        <f>IF(A9&lt;&gt;"",VLOOKUP(A9,'Role Inventory'!$A:$B,2,FALSE),"")</f>
        <v/>
      </c>
      <c r="C9" s="17">
        <f>IF(A9&lt;&gt;"",VLOOKUP(A9,'Role Inventory'!$A:$C,3,FALSE),"")</f>
        <v/>
      </c>
      <c r="D9" s="15" t="n"/>
      <c r="E9" s="15" t="n"/>
      <c r="F9" s="16" t="n"/>
      <c r="G9" s="15" t="n"/>
      <c r="H9" s="15" t="n"/>
      <c r="I9" s="15" t="n"/>
      <c r="J9" s="17">
        <f>IF(B9="","",IF(AND(D9&lt;&gt;"",G9="Complete",H9="Yes"),"Filled",IF(D9="","Vacant",IF(OR(G9="Missing",H9="No"),"Pending-Documentation","Pending"))))</f>
        <v/>
      </c>
      <c r="K9" s="15" t="n"/>
      <c r="L9" s="15" t="n"/>
      <c r="M9" s="16" t="n"/>
      <c r="N9" s="15" t="n"/>
      <c r="O9" s="15" t="n"/>
    </row>
    <row r="10">
      <c r="A10" s="17">
        <f>IF(ROW()-4&lt;=COUNTA('Role Inventory'!$A:$A)-4,INDEX('Role Inventory'!$A:$A,ROW()-3),"")</f>
        <v/>
      </c>
      <c r="B10" s="17">
        <f>IF(A10&lt;&gt;"",VLOOKUP(A10,'Role Inventory'!$A:$B,2,FALSE),"")</f>
        <v/>
      </c>
      <c r="C10" s="17">
        <f>IF(A10&lt;&gt;"",VLOOKUP(A10,'Role Inventory'!$A:$C,3,FALSE),"")</f>
        <v/>
      </c>
      <c r="D10" s="15" t="n"/>
      <c r="E10" s="15" t="n"/>
      <c r="F10" s="16" t="n"/>
      <c r="G10" s="15" t="n"/>
      <c r="H10" s="15" t="n"/>
      <c r="I10" s="15" t="n"/>
      <c r="J10" s="17">
        <f>IF(B10="","",IF(AND(D10&lt;&gt;"",G10="Complete",H10="Yes"),"Filled",IF(D10="","Vacant",IF(OR(G10="Missing",H10="No"),"Pending-Documentation","Pending"))))</f>
        <v/>
      </c>
      <c r="K10" s="15" t="n"/>
      <c r="L10" s="15" t="n"/>
      <c r="M10" s="16" t="n"/>
      <c r="N10" s="15" t="n"/>
      <c r="O10" s="15" t="n"/>
    </row>
    <row r="11">
      <c r="A11" s="17">
        <f>IF(ROW()-4&lt;=COUNTA('Role Inventory'!$A:$A)-4,INDEX('Role Inventory'!$A:$A,ROW()-3),"")</f>
        <v/>
      </c>
      <c r="B11" s="17">
        <f>IF(A11&lt;&gt;"",VLOOKUP(A11,'Role Inventory'!$A:$B,2,FALSE),"")</f>
        <v/>
      </c>
      <c r="C11" s="17">
        <f>IF(A11&lt;&gt;"",VLOOKUP(A11,'Role Inventory'!$A:$C,3,FALSE),"")</f>
        <v/>
      </c>
      <c r="D11" s="15" t="n"/>
      <c r="E11" s="15" t="n"/>
      <c r="F11" s="16" t="n"/>
      <c r="G11" s="15" t="n"/>
      <c r="H11" s="15" t="n"/>
      <c r="I11" s="15" t="n"/>
      <c r="J11" s="17">
        <f>IF(B11="","",IF(AND(D11&lt;&gt;"",G11="Complete",H11="Yes"),"Filled",IF(D11="","Vacant",IF(OR(G11="Missing",H11="No"),"Pending-Documentation","Pending"))))</f>
        <v/>
      </c>
      <c r="K11" s="15" t="n"/>
      <c r="L11" s="15" t="n"/>
      <c r="M11" s="16" t="n"/>
      <c r="N11" s="15" t="n"/>
      <c r="O11" s="15" t="n"/>
    </row>
    <row r="12">
      <c r="A12" s="17">
        <f>IF(ROW()-4&lt;=COUNTA('Role Inventory'!$A:$A)-4,INDEX('Role Inventory'!$A:$A,ROW()-3),"")</f>
        <v/>
      </c>
      <c r="B12" s="17">
        <f>IF(A12&lt;&gt;"",VLOOKUP(A12,'Role Inventory'!$A:$B,2,FALSE),"")</f>
        <v/>
      </c>
      <c r="C12" s="17">
        <f>IF(A12&lt;&gt;"",VLOOKUP(A12,'Role Inventory'!$A:$C,3,FALSE),"")</f>
        <v/>
      </c>
      <c r="D12" s="15" t="n"/>
      <c r="E12" s="15" t="n"/>
      <c r="F12" s="16" t="n"/>
      <c r="G12" s="15" t="n"/>
      <c r="H12" s="15" t="n"/>
      <c r="I12" s="15" t="n"/>
      <c r="J12" s="17">
        <f>IF(B12="","",IF(AND(D12&lt;&gt;"",G12="Complete",H12="Yes"),"Filled",IF(D12="","Vacant",IF(OR(G12="Missing",H12="No"),"Pending-Documentation","Pending"))))</f>
        <v/>
      </c>
      <c r="K12" s="15" t="n"/>
      <c r="L12" s="15" t="n"/>
      <c r="M12" s="16" t="n"/>
      <c r="N12" s="15" t="n"/>
      <c r="O12" s="15" t="n"/>
    </row>
    <row r="13">
      <c r="A13" s="17">
        <f>IF(ROW()-4&lt;=COUNTA('Role Inventory'!$A:$A)-4,INDEX('Role Inventory'!$A:$A,ROW()-3),"")</f>
        <v/>
      </c>
      <c r="B13" s="17">
        <f>IF(A13&lt;&gt;"",VLOOKUP(A13,'Role Inventory'!$A:$B,2,FALSE),"")</f>
        <v/>
      </c>
      <c r="C13" s="17">
        <f>IF(A13&lt;&gt;"",VLOOKUP(A13,'Role Inventory'!$A:$C,3,FALSE),"")</f>
        <v/>
      </c>
      <c r="D13" s="15" t="n"/>
      <c r="E13" s="15" t="n"/>
      <c r="F13" s="16" t="n"/>
      <c r="G13" s="15" t="n"/>
      <c r="H13" s="15" t="n"/>
      <c r="I13" s="15" t="n"/>
      <c r="J13" s="17">
        <f>IF(B13="","",IF(AND(D13&lt;&gt;"",G13="Complete",H13="Yes"),"Filled",IF(D13="","Vacant",IF(OR(G13="Missing",H13="No"),"Pending-Documentation","Pending"))))</f>
        <v/>
      </c>
      <c r="K13" s="15" t="n"/>
      <c r="L13" s="15" t="n"/>
      <c r="M13" s="16" t="n"/>
      <c r="N13" s="15" t="n"/>
      <c r="O13" s="15" t="n"/>
    </row>
    <row r="14">
      <c r="A14" s="17">
        <f>IF(ROW()-4&lt;=COUNTA('Role Inventory'!$A:$A)-4,INDEX('Role Inventory'!$A:$A,ROW()-3),"")</f>
        <v/>
      </c>
      <c r="B14" s="17">
        <f>IF(A14&lt;&gt;"",VLOOKUP(A14,'Role Inventory'!$A:$B,2,FALSE),"")</f>
        <v/>
      </c>
      <c r="C14" s="17">
        <f>IF(A14&lt;&gt;"",VLOOKUP(A14,'Role Inventory'!$A:$C,3,FALSE),"")</f>
        <v/>
      </c>
      <c r="D14" s="15" t="n"/>
      <c r="E14" s="15" t="n"/>
      <c r="F14" s="16" t="n"/>
      <c r="G14" s="15" t="n"/>
      <c r="H14" s="15" t="n"/>
      <c r="I14" s="15" t="n"/>
      <c r="J14" s="17">
        <f>IF(B14="","",IF(AND(D14&lt;&gt;"",G14="Complete",H14="Yes"),"Filled",IF(D14="","Vacant",IF(OR(G14="Missing",H14="No"),"Pending-Documentation","Pending"))))</f>
        <v/>
      </c>
      <c r="K14" s="15" t="n"/>
      <c r="L14" s="15" t="n"/>
      <c r="M14" s="16" t="n"/>
      <c r="N14" s="15" t="n"/>
      <c r="O14" s="15" t="n"/>
    </row>
    <row r="15">
      <c r="A15" s="17">
        <f>IF(ROW()-4&lt;=COUNTA('Role Inventory'!$A:$A)-4,INDEX('Role Inventory'!$A:$A,ROW()-3),"")</f>
        <v/>
      </c>
      <c r="B15" s="17">
        <f>IF(A15&lt;&gt;"",VLOOKUP(A15,'Role Inventory'!$A:$B,2,FALSE),"")</f>
        <v/>
      </c>
      <c r="C15" s="17">
        <f>IF(A15&lt;&gt;"",VLOOKUP(A15,'Role Inventory'!$A:$C,3,FALSE),"")</f>
        <v/>
      </c>
      <c r="D15" s="15" t="n"/>
      <c r="E15" s="15" t="n"/>
      <c r="F15" s="16" t="n"/>
      <c r="G15" s="15" t="n"/>
      <c r="H15" s="15" t="n"/>
      <c r="I15" s="15" t="n"/>
      <c r="J15" s="17">
        <f>IF(B15="","",IF(AND(D15&lt;&gt;"",G15="Complete",H15="Yes"),"Filled",IF(D15="","Vacant",IF(OR(G15="Missing",H15="No"),"Pending-Documentation","Pending"))))</f>
        <v/>
      </c>
      <c r="K15" s="15" t="n"/>
      <c r="L15" s="15" t="n"/>
      <c r="M15" s="16" t="n"/>
      <c r="N15" s="15" t="n"/>
      <c r="O15" s="15" t="n"/>
    </row>
    <row r="16">
      <c r="A16" s="17">
        <f>IF(ROW()-4&lt;=COUNTA('Role Inventory'!$A:$A)-4,INDEX('Role Inventory'!$A:$A,ROW()-3),"")</f>
        <v/>
      </c>
      <c r="B16" s="17">
        <f>IF(A16&lt;&gt;"",VLOOKUP(A16,'Role Inventory'!$A:$B,2,FALSE),"")</f>
        <v/>
      </c>
      <c r="C16" s="17">
        <f>IF(A16&lt;&gt;"",VLOOKUP(A16,'Role Inventory'!$A:$C,3,FALSE),"")</f>
        <v/>
      </c>
      <c r="D16" s="15" t="n"/>
      <c r="E16" s="15" t="n"/>
      <c r="F16" s="16" t="n"/>
      <c r="G16" s="15" t="n"/>
      <c r="H16" s="15" t="n"/>
      <c r="I16" s="15" t="n"/>
      <c r="J16" s="17">
        <f>IF(B16="","",IF(AND(D16&lt;&gt;"",G16="Complete",H16="Yes"),"Filled",IF(D16="","Vacant",IF(OR(G16="Missing",H16="No"),"Pending-Documentation","Pending"))))</f>
        <v/>
      </c>
      <c r="K16" s="15" t="n"/>
      <c r="L16" s="15" t="n"/>
      <c r="M16" s="16" t="n"/>
      <c r="N16" s="15" t="n"/>
      <c r="O16" s="15" t="n"/>
    </row>
    <row r="17">
      <c r="A17" s="17">
        <f>IF(ROW()-4&lt;=COUNTA('Role Inventory'!$A:$A)-4,INDEX('Role Inventory'!$A:$A,ROW()-3),"")</f>
        <v/>
      </c>
      <c r="B17" s="17">
        <f>IF(A17&lt;&gt;"",VLOOKUP(A17,'Role Inventory'!$A:$B,2,FALSE),"")</f>
        <v/>
      </c>
      <c r="C17" s="17">
        <f>IF(A17&lt;&gt;"",VLOOKUP(A17,'Role Inventory'!$A:$C,3,FALSE),"")</f>
        <v/>
      </c>
      <c r="D17" s="15" t="n"/>
      <c r="E17" s="15" t="n"/>
      <c r="F17" s="16" t="n"/>
      <c r="G17" s="15" t="n"/>
      <c r="H17" s="15" t="n"/>
      <c r="I17" s="15" t="n"/>
      <c r="J17" s="17">
        <f>IF(B17="","",IF(AND(D17&lt;&gt;"",G17="Complete",H17="Yes"),"Filled",IF(D17="","Vacant",IF(OR(G17="Missing",H17="No"),"Pending-Documentation","Pending"))))</f>
        <v/>
      </c>
      <c r="K17" s="15" t="n"/>
      <c r="L17" s="15" t="n"/>
      <c r="M17" s="16" t="n"/>
      <c r="N17" s="15" t="n"/>
      <c r="O17" s="15" t="n"/>
    </row>
    <row r="18">
      <c r="A18" s="17">
        <f>IF(ROW()-4&lt;=COUNTA('Role Inventory'!$A:$A)-4,INDEX('Role Inventory'!$A:$A,ROW()-3),"")</f>
        <v/>
      </c>
      <c r="B18" s="17">
        <f>IF(A18&lt;&gt;"",VLOOKUP(A18,'Role Inventory'!$A:$B,2,FALSE),"")</f>
        <v/>
      </c>
      <c r="C18" s="17">
        <f>IF(A18&lt;&gt;"",VLOOKUP(A18,'Role Inventory'!$A:$C,3,FALSE),"")</f>
        <v/>
      </c>
      <c r="D18" s="15" t="n"/>
      <c r="E18" s="15" t="n"/>
      <c r="F18" s="16" t="n"/>
      <c r="G18" s="15" t="n"/>
      <c r="H18" s="15" t="n"/>
      <c r="I18" s="15" t="n"/>
      <c r="J18" s="17">
        <f>IF(B18="","",IF(AND(D18&lt;&gt;"",G18="Complete",H18="Yes"),"Filled",IF(D18="","Vacant",IF(OR(G18="Missing",H18="No"),"Pending-Documentation","Pending"))))</f>
        <v/>
      </c>
      <c r="K18" s="15" t="n"/>
      <c r="L18" s="15" t="n"/>
      <c r="M18" s="16" t="n"/>
      <c r="N18" s="15" t="n"/>
      <c r="O18" s="15" t="n"/>
    </row>
    <row r="19">
      <c r="A19" s="17">
        <f>IF(ROW()-4&lt;=COUNTA('Role Inventory'!$A:$A)-4,INDEX('Role Inventory'!$A:$A,ROW()-3),"")</f>
        <v/>
      </c>
      <c r="B19" s="17">
        <f>IF(A19&lt;&gt;"",VLOOKUP(A19,'Role Inventory'!$A:$B,2,FALSE),"")</f>
        <v/>
      </c>
      <c r="C19" s="17">
        <f>IF(A19&lt;&gt;"",VLOOKUP(A19,'Role Inventory'!$A:$C,3,FALSE),"")</f>
        <v/>
      </c>
      <c r="D19" s="15" t="n"/>
      <c r="E19" s="15" t="n"/>
      <c r="F19" s="16" t="n"/>
      <c r="G19" s="15" t="n"/>
      <c r="H19" s="15" t="n"/>
      <c r="I19" s="15" t="n"/>
      <c r="J19" s="17">
        <f>IF(B19="","",IF(AND(D19&lt;&gt;"",G19="Complete",H19="Yes"),"Filled",IF(D19="","Vacant",IF(OR(G19="Missing",H19="No"),"Pending-Documentation","Pending"))))</f>
        <v/>
      </c>
      <c r="K19" s="15" t="n"/>
      <c r="L19" s="15" t="n"/>
      <c r="M19" s="16" t="n"/>
      <c r="N19" s="15" t="n"/>
      <c r="O19" s="15" t="n"/>
    </row>
    <row r="20">
      <c r="A20" s="17">
        <f>IF(ROW()-4&lt;=COUNTA('Role Inventory'!$A:$A)-4,INDEX('Role Inventory'!$A:$A,ROW()-3),"")</f>
        <v/>
      </c>
      <c r="B20" s="17">
        <f>IF(A20&lt;&gt;"",VLOOKUP(A20,'Role Inventory'!$A:$B,2,FALSE),"")</f>
        <v/>
      </c>
      <c r="C20" s="17">
        <f>IF(A20&lt;&gt;"",VLOOKUP(A20,'Role Inventory'!$A:$C,3,FALSE),"")</f>
        <v/>
      </c>
      <c r="D20" s="15" t="n"/>
      <c r="E20" s="15" t="n"/>
      <c r="F20" s="16" t="n"/>
      <c r="G20" s="15" t="n"/>
      <c r="H20" s="15" t="n"/>
      <c r="I20" s="15" t="n"/>
      <c r="J20" s="17">
        <f>IF(B20="","",IF(AND(D20&lt;&gt;"",G20="Complete",H20="Yes"),"Filled",IF(D20="","Vacant",IF(OR(G20="Missing",H20="No"),"Pending-Documentation","Pending"))))</f>
        <v/>
      </c>
      <c r="K20" s="15" t="n"/>
      <c r="L20" s="15" t="n"/>
      <c r="M20" s="16" t="n"/>
      <c r="N20" s="15" t="n"/>
      <c r="O20" s="15" t="n"/>
    </row>
    <row r="21">
      <c r="A21" s="17">
        <f>IF(ROW()-4&lt;=COUNTA('Role Inventory'!$A:$A)-4,INDEX('Role Inventory'!$A:$A,ROW()-3),"")</f>
        <v/>
      </c>
      <c r="B21" s="17">
        <f>IF(A21&lt;&gt;"",VLOOKUP(A21,'Role Inventory'!$A:$B,2,FALSE),"")</f>
        <v/>
      </c>
      <c r="C21" s="17">
        <f>IF(A21&lt;&gt;"",VLOOKUP(A21,'Role Inventory'!$A:$C,3,FALSE),"")</f>
        <v/>
      </c>
      <c r="D21" s="15" t="n"/>
      <c r="E21" s="15" t="n"/>
      <c r="F21" s="16" t="n"/>
      <c r="G21" s="15" t="n"/>
      <c r="H21" s="15" t="n"/>
      <c r="I21" s="15" t="n"/>
      <c r="J21" s="17">
        <f>IF(B21="","",IF(AND(D21&lt;&gt;"",G21="Complete",H21="Yes"),"Filled",IF(D21="","Vacant",IF(OR(G21="Missing",H21="No"),"Pending-Documentation","Pending"))))</f>
        <v/>
      </c>
      <c r="K21" s="15" t="n"/>
      <c r="L21" s="15" t="n"/>
      <c r="M21" s="16" t="n"/>
      <c r="N21" s="15" t="n"/>
      <c r="O21" s="15" t="n"/>
    </row>
    <row r="22">
      <c r="A22" s="17">
        <f>IF(ROW()-4&lt;=COUNTA('Role Inventory'!$A:$A)-4,INDEX('Role Inventory'!$A:$A,ROW()-3),"")</f>
        <v/>
      </c>
      <c r="B22" s="17">
        <f>IF(A22&lt;&gt;"",VLOOKUP(A22,'Role Inventory'!$A:$B,2,FALSE),"")</f>
        <v/>
      </c>
      <c r="C22" s="17">
        <f>IF(A22&lt;&gt;"",VLOOKUP(A22,'Role Inventory'!$A:$C,3,FALSE),"")</f>
        <v/>
      </c>
      <c r="D22" s="15" t="n"/>
      <c r="E22" s="15" t="n"/>
      <c r="F22" s="16" t="n"/>
      <c r="G22" s="15" t="n"/>
      <c r="H22" s="15" t="n"/>
      <c r="I22" s="15" t="n"/>
      <c r="J22" s="17">
        <f>IF(B22="","",IF(AND(D22&lt;&gt;"",G22="Complete",H22="Yes"),"Filled",IF(D22="","Vacant",IF(OR(G22="Missing",H22="No"),"Pending-Documentation","Pending"))))</f>
        <v/>
      </c>
      <c r="K22" s="15" t="n"/>
      <c r="L22" s="15" t="n"/>
      <c r="M22" s="16" t="n"/>
      <c r="N22" s="15" t="n"/>
      <c r="O22" s="15" t="n"/>
    </row>
    <row r="23">
      <c r="A23" s="17">
        <f>IF(ROW()-4&lt;=COUNTA('Role Inventory'!$A:$A)-4,INDEX('Role Inventory'!$A:$A,ROW()-3),"")</f>
        <v/>
      </c>
      <c r="B23" s="17">
        <f>IF(A23&lt;&gt;"",VLOOKUP(A23,'Role Inventory'!$A:$B,2,FALSE),"")</f>
        <v/>
      </c>
      <c r="C23" s="17">
        <f>IF(A23&lt;&gt;"",VLOOKUP(A23,'Role Inventory'!$A:$C,3,FALSE),"")</f>
        <v/>
      </c>
      <c r="D23" s="15" t="n"/>
      <c r="E23" s="15" t="n"/>
      <c r="F23" s="16" t="n"/>
      <c r="G23" s="15" t="n"/>
      <c r="H23" s="15" t="n"/>
      <c r="I23" s="15" t="n"/>
      <c r="J23" s="17">
        <f>IF(B23="","",IF(AND(D23&lt;&gt;"",G23="Complete",H23="Yes"),"Filled",IF(D23="","Vacant",IF(OR(G23="Missing",H23="No"),"Pending-Documentation","Pending"))))</f>
        <v/>
      </c>
      <c r="K23" s="15" t="n"/>
      <c r="L23" s="15" t="n"/>
      <c r="M23" s="16" t="n"/>
      <c r="N23" s="15" t="n"/>
      <c r="O23" s="15" t="n"/>
    </row>
    <row r="24">
      <c r="A24" s="17">
        <f>IF(ROW()-4&lt;=COUNTA('Role Inventory'!$A:$A)-4,INDEX('Role Inventory'!$A:$A,ROW()-3),"")</f>
        <v/>
      </c>
      <c r="B24" s="17">
        <f>IF(A24&lt;&gt;"",VLOOKUP(A24,'Role Inventory'!$A:$B,2,FALSE),"")</f>
        <v/>
      </c>
      <c r="C24" s="17">
        <f>IF(A24&lt;&gt;"",VLOOKUP(A24,'Role Inventory'!$A:$C,3,FALSE),"")</f>
        <v/>
      </c>
      <c r="D24" s="15" t="n"/>
      <c r="E24" s="15" t="n"/>
      <c r="F24" s="16" t="n"/>
      <c r="G24" s="15" t="n"/>
      <c r="H24" s="15" t="n"/>
      <c r="I24" s="15" t="n"/>
      <c r="J24" s="17">
        <f>IF(B24="","",IF(AND(D24&lt;&gt;"",G24="Complete",H24="Yes"),"Filled",IF(D24="","Vacant",IF(OR(G24="Missing",H24="No"),"Pending-Documentation","Pending"))))</f>
        <v/>
      </c>
      <c r="K24" s="15" t="n"/>
      <c r="L24" s="15" t="n"/>
      <c r="M24" s="16" t="n"/>
      <c r="N24" s="15" t="n"/>
      <c r="O24" s="15" t="n"/>
    </row>
    <row r="25">
      <c r="A25" s="17">
        <f>IF(ROW()-4&lt;=COUNTA('Role Inventory'!$A:$A)-4,INDEX('Role Inventory'!$A:$A,ROW()-3),"")</f>
        <v/>
      </c>
      <c r="B25" s="17">
        <f>IF(A25&lt;&gt;"",VLOOKUP(A25,'Role Inventory'!$A:$B,2,FALSE),"")</f>
        <v/>
      </c>
      <c r="C25" s="17">
        <f>IF(A25&lt;&gt;"",VLOOKUP(A25,'Role Inventory'!$A:$C,3,FALSE),"")</f>
        <v/>
      </c>
      <c r="D25" s="15" t="n"/>
      <c r="E25" s="15" t="n"/>
      <c r="F25" s="16" t="n"/>
      <c r="G25" s="15" t="n"/>
      <c r="H25" s="15" t="n"/>
      <c r="I25" s="15" t="n"/>
      <c r="J25" s="17">
        <f>IF(B25="","",IF(AND(D25&lt;&gt;"",G25="Complete",H25="Yes"),"Filled",IF(D25="","Vacant",IF(OR(G25="Missing",H25="No"),"Pending-Documentation","Pending"))))</f>
        <v/>
      </c>
      <c r="K25" s="15" t="n"/>
      <c r="L25" s="15" t="n"/>
      <c r="M25" s="16" t="n"/>
      <c r="N25" s="15" t="n"/>
      <c r="O25" s="15" t="n"/>
    </row>
    <row r="26">
      <c r="A26" s="17">
        <f>IF(ROW()-4&lt;=COUNTA('Role Inventory'!$A:$A)-4,INDEX('Role Inventory'!$A:$A,ROW()-3),"")</f>
        <v/>
      </c>
      <c r="B26" s="17">
        <f>IF(A26&lt;&gt;"",VLOOKUP(A26,'Role Inventory'!$A:$B,2,FALSE),"")</f>
        <v/>
      </c>
      <c r="C26" s="17">
        <f>IF(A26&lt;&gt;"",VLOOKUP(A26,'Role Inventory'!$A:$C,3,FALSE),"")</f>
        <v/>
      </c>
      <c r="D26" s="15" t="n"/>
      <c r="E26" s="15" t="n"/>
      <c r="F26" s="16" t="n"/>
      <c r="G26" s="15" t="n"/>
      <c r="H26" s="15" t="n"/>
      <c r="I26" s="15" t="n"/>
      <c r="J26" s="17">
        <f>IF(B26="","",IF(AND(D26&lt;&gt;"",G26="Complete",H26="Yes"),"Filled",IF(D26="","Vacant",IF(OR(G26="Missing",H26="No"),"Pending-Documentation","Pending"))))</f>
        <v/>
      </c>
      <c r="K26" s="15" t="n"/>
      <c r="L26" s="15" t="n"/>
      <c r="M26" s="16" t="n"/>
      <c r="N26" s="15" t="n"/>
      <c r="O26" s="15" t="n"/>
    </row>
    <row r="27">
      <c r="A27" s="17">
        <f>IF(ROW()-4&lt;=COUNTA('Role Inventory'!$A:$A)-4,INDEX('Role Inventory'!$A:$A,ROW()-3),"")</f>
        <v/>
      </c>
      <c r="B27" s="17">
        <f>IF(A27&lt;&gt;"",VLOOKUP(A27,'Role Inventory'!$A:$B,2,FALSE),"")</f>
        <v/>
      </c>
      <c r="C27" s="17">
        <f>IF(A27&lt;&gt;"",VLOOKUP(A27,'Role Inventory'!$A:$C,3,FALSE),"")</f>
        <v/>
      </c>
      <c r="D27" s="15" t="n"/>
      <c r="E27" s="15" t="n"/>
      <c r="F27" s="16" t="n"/>
      <c r="G27" s="15" t="n"/>
      <c r="H27" s="15" t="n"/>
      <c r="I27" s="15" t="n"/>
      <c r="J27" s="17">
        <f>IF(B27="","",IF(AND(D27&lt;&gt;"",G27="Complete",H27="Yes"),"Filled",IF(D27="","Vacant",IF(OR(G27="Missing",H27="No"),"Pending-Documentation","Pending"))))</f>
        <v/>
      </c>
      <c r="K27" s="15" t="n"/>
      <c r="L27" s="15" t="n"/>
      <c r="M27" s="16" t="n"/>
      <c r="N27" s="15" t="n"/>
      <c r="O27" s="15" t="n"/>
    </row>
    <row r="28">
      <c r="A28" s="17">
        <f>IF(ROW()-4&lt;=COUNTA('Role Inventory'!$A:$A)-4,INDEX('Role Inventory'!$A:$A,ROW()-3),"")</f>
        <v/>
      </c>
      <c r="B28" s="17">
        <f>IF(A28&lt;&gt;"",VLOOKUP(A28,'Role Inventory'!$A:$B,2,FALSE),"")</f>
        <v/>
      </c>
      <c r="C28" s="17">
        <f>IF(A28&lt;&gt;"",VLOOKUP(A28,'Role Inventory'!$A:$C,3,FALSE),"")</f>
        <v/>
      </c>
      <c r="D28" s="15" t="n"/>
      <c r="E28" s="15" t="n"/>
      <c r="F28" s="16" t="n"/>
      <c r="G28" s="15" t="n"/>
      <c r="H28" s="15" t="n"/>
      <c r="I28" s="15" t="n"/>
      <c r="J28" s="17">
        <f>IF(B28="","",IF(AND(D28&lt;&gt;"",G28="Complete",H28="Yes"),"Filled",IF(D28="","Vacant",IF(OR(G28="Missing",H28="No"),"Pending-Documentation","Pending"))))</f>
        <v/>
      </c>
      <c r="K28" s="15" t="n"/>
      <c r="L28" s="15" t="n"/>
      <c r="M28" s="16" t="n"/>
      <c r="N28" s="15" t="n"/>
      <c r="O28" s="15" t="n"/>
    </row>
    <row r="29">
      <c r="A29" s="17">
        <f>IF(ROW()-4&lt;=COUNTA('Role Inventory'!$A:$A)-4,INDEX('Role Inventory'!$A:$A,ROW()-3),"")</f>
        <v/>
      </c>
      <c r="B29" s="17">
        <f>IF(A29&lt;&gt;"",VLOOKUP(A29,'Role Inventory'!$A:$B,2,FALSE),"")</f>
        <v/>
      </c>
      <c r="C29" s="17">
        <f>IF(A29&lt;&gt;"",VLOOKUP(A29,'Role Inventory'!$A:$C,3,FALSE),"")</f>
        <v/>
      </c>
      <c r="D29" s="15" t="n"/>
      <c r="E29" s="15" t="n"/>
      <c r="F29" s="16" t="n"/>
      <c r="G29" s="15" t="n"/>
      <c r="H29" s="15" t="n"/>
      <c r="I29" s="15" t="n"/>
      <c r="J29" s="17">
        <f>IF(B29="","",IF(AND(D29&lt;&gt;"",G29="Complete",H29="Yes"),"Filled",IF(D29="","Vacant",IF(OR(G29="Missing",H29="No"),"Pending-Documentation","Pending"))))</f>
        <v/>
      </c>
      <c r="K29" s="15" t="n"/>
      <c r="L29" s="15" t="n"/>
      <c r="M29" s="16" t="n"/>
      <c r="N29" s="15" t="n"/>
      <c r="O29" s="15" t="n"/>
    </row>
    <row r="30">
      <c r="A30" s="17">
        <f>IF(ROW()-4&lt;=COUNTA('Role Inventory'!$A:$A)-4,INDEX('Role Inventory'!$A:$A,ROW()-3),"")</f>
        <v/>
      </c>
      <c r="B30" s="17">
        <f>IF(A30&lt;&gt;"",VLOOKUP(A30,'Role Inventory'!$A:$B,2,FALSE),"")</f>
        <v/>
      </c>
      <c r="C30" s="17">
        <f>IF(A30&lt;&gt;"",VLOOKUP(A30,'Role Inventory'!$A:$C,3,FALSE),"")</f>
        <v/>
      </c>
      <c r="D30" s="15" t="n"/>
      <c r="E30" s="15" t="n"/>
      <c r="F30" s="16" t="n"/>
      <c r="G30" s="15" t="n"/>
      <c r="H30" s="15" t="n"/>
      <c r="I30" s="15" t="n"/>
      <c r="J30" s="17">
        <f>IF(B30="","",IF(AND(D30&lt;&gt;"",G30="Complete",H30="Yes"),"Filled",IF(D30="","Vacant",IF(OR(G30="Missing",H30="No"),"Pending-Documentation","Pending"))))</f>
        <v/>
      </c>
      <c r="K30" s="15" t="n"/>
      <c r="L30" s="15" t="n"/>
      <c r="M30" s="16" t="n"/>
      <c r="N30" s="15" t="n"/>
      <c r="O30" s="15" t="n"/>
    </row>
    <row r="31">
      <c r="A31" s="17">
        <f>IF(ROW()-4&lt;=COUNTA('Role Inventory'!$A:$A)-4,INDEX('Role Inventory'!$A:$A,ROW()-3),"")</f>
        <v/>
      </c>
      <c r="B31" s="17">
        <f>IF(A31&lt;&gt;"",VLOOKUP(A31,'Role Inventory'!$A:$B,2,FALSE),"")</f>
        <v/>
      </c>
      <c r="C31" s="17">
        <f>IF(A31&lt;&gt;"",VLOOKUP(A31,'Role Inventory'!$A:$C,3,FALSE),"")</f>
        <v/>
      </c>
      <c r="D31" s="15" t="n"/>
      <c r="E31" s="15" t="n"/>
      <c r="F31" s="16" t="n"/>
      <c r="G31" s="15" t="n"/>
      <c r="H31" s="15" t="n"/>
      <c r="I31" s="15" t="n"/>
      <c r="J31" s="17">
        <f>IF(B31="","",IF(AND(D31&lt;&gt;"",G31="Complete",H31="Yes"),"Filled",IF(D31="","Vacant",IF(OR(G31="Missing",H31="No"),"Pending-Documentation","Pending"))))</f>
        <v/>
      </c>
      <c r="K31" s="15" t="n"/>
      <c r="L31" s="15" t="n"/>
      <c r="M31" s="16" t="n"/>
      <c r="N31" s="15" t="n"/>
      <c r="O31" s="15" t="n"/>
    </row>
    <row r="32">
      <c r="A32" s="17">
        <f>IF(ROW()-4&lt;=COUNTA('Role Inventory'!$A:$A)-4,INDEX('Role Inventory'!$A:$A,ROW()-3),"")</f>
        <v/>
      </c>
      <c r="B32" s="17">
        <f>IF(A32&lt;&gt;"",VLOOKUP(A32,'Role Inventory'!$A:$B,2,FALSE),"")</f>
        <v/>
      </c>
      <c r="C32" s="17">
        <f>IF(A32&lt;&gt;"",VLOOKUP(A32,'Role Inventory'!$A:$C,3,FALSE),"")</f>
        <v/>
      </c>
      <c r="D32" s="15" t="n"/>
      <c r="E32" s="15" t="n"/>
      <c r="F32" s="16" t="n"/>
      <c r="G32" s="15" t="n"/>
      <c r="H32" s="15" t="n"/>
      <c r="I32" s="15" t="n"/>
      <c r="J32" s="17">
        <f>IF(B32="","",IF(AND(D32&lt;&gt;"",G32="Complete",H32="Yes"),"Filled",IF(D32="","Vacant",IF(OR(G32="Missing",H32="No"),"Pending-Documentation","Pending"))))</f>
        <v/>
      </c>
      <c r="K32" s="15" t="n"/>
      <c r="L32" s="15" t="n"/>
      <c r="M32" s="16" t="n"/>
      <c r="N32" s="15" t="n"/>
      <c r="O32" s="15" t="n"/>
    </row>
    <row r="33">
      <c r="A33" s="17">
        <f>IF(ROW()-4&lt;=COUNTA('Role Inventory'!$A:$A)-4,INDEX('Role Inventory'!$A:$A,ROW()-3),"")</f>
        <v/>
      </c>
      <c r="B33" s="17">
        <f>IF(A33&lt;&gt;"",VLOOKUP(A33,'Role Inventory'!$A:$B,2,FALSE),"")</f>
        <v/>
      </c>
      <c r="C33" s="17">
        <f>IF(A33&lt;&gt;"",VLOOKUP(A33,'Role Inventory'!$A:$C,3,FALSE),"")</f>
        <v/>
      </c>
      <c r="D33" s="15" t="n"/>
      <c r="E33" s="15" t="n"/>
      <c r="F33" s="16" t="n"/>
      <c r="G33" s="15" t="n"/>
      <c r="H33" s="15" t="n"/>
      <c r="I33" s="15" t="n"/>
      <c r="J33" s="17">
        <f>IF(B33="","",IF(AND(D33&lt;&gt;"",G33="Complete",H33="Yes"),"Filled",IF(D33="","Vacant",IF(OR(G33="Missing",H33="No"),"Pending-Documentation","Pending"))))</f>
        <v/>
      </c>
      <c r="K33" s="15" t="n"/>
      <c r="L33" s="15" t="n"/>
      <c r="M33" s="16" t="n"/>
      <c r="N33" s="15" t="n"/>
      <c r="O33" s="15" t="n"/>
    </row>
    <row r="34">
      <c r="A34" s="17">
        <f>IF(ROW()-4&lt;=COUNTA('Role Inventory'!$A:$A)-4,INDEX('Role Inventory'!$A:$A,ROW()-3),"")</f>
        <v/>
      </c>
      <c r="B34" s="17">
        <f>IF(A34&lt;&gt;"",VLOOKUP(A34,'Role Inventory'!$A:$B,2,FALSE),"")</f>
        <v/>
      </c>
      <c r="C34" s="17">
        <f>IF(A34&lt;&gt;"",VLOOKUP(A34,'Role Inventory'!$A:$C,3,FALSE),"")</f>
        <v/>
      </c>
      <c r="D34" s="15" t="n"/>
      <c r="E34" s="15" t="n"/>
      <c r="F34" s="16" t="n"/>
      <c r="G34" s="15" t="n"/>
      <c r="H34" s="15" t="n"/>
      <c r="I34" s="15" t="n"/>
      <c r="J34" s="17">
        <f>IF(B34="","",IF(AND(D34&lt;&gt;"",G34="Complete",H34="Yes"),"Filled",IF(D34="","Vacant",IF(OR(G34="Missing",H34="No"),"Pending-Documentation","Pending"))))</f>
        <v/>
      </c>
      <c r="K34" s="15" t="n"/>
      <c r="L34" s="15" t="n"/>
      <c r="M34" s="16" t="n"/>
      <c r="N34" s="15" t="n"/>
      <c r="O34" s="15" t="n"/>
    </row>
    <row r="35">
      <c r="A35" s="17">
        <f>IF(ROW()-4&lt;=COUNTA('Role Inventory'!$A:$A)-4,INDEX('Role Inventory'!$A:$A,ROW()-3),"")</f>
        <v/>
      </c>
      <c r="B35" s="17">
        <f>IF(A35&lt;&gt;"",VLOOKUP(A35,'Role Inventory'!$A:$B,2,FALSE),"")</f>
        <v/>
      </c>
      <c r="C35" s="17">
        <f>IF(A35&lt;&gt;"",VLOOKUP(A35,'Role Inventory'!$A:$C,3,FALSE),"")</f>
        <v/>
      </c>
      <c r="D35" s="15" t="n"/>
      <c r="E35" s="15" t="n"/>
      <c r="F35" s="16" t="n"/>
      <c r="G35" s="15" t="n"/>
      <c r="H35" s="15" t="n"/>
      <c r="I35" s="15" t="n"/>
      <c r="J35" s="17">
        <f>IF(B35="","",IF(AND(D35&lt;&gt;"",G35="Complete",H35="Yes"),"Filled",IF(D35="","Vacant",IF(OR(G35="Missing",H35="No"),"Pending-Documentation","Pending"))))</f>
        <v/>
      </c>
      <c r="K35" s="15" t="n"/>
      <c r="L35" s="15" t="n"/>
      <c r="M35" s="16" t="n"/>
      <c r="N35" s="15" t="n"/>
      <c r="O35" s="15" t="n"/>
    </row>
    <row r="36">
      <c r="A36" s="17">
        <f>IF(ROW()-4&lt;=COUNTA('Role Inventory'!$A:$A)-4,INDEX('Role Inventory'!$A:$A,ROW()-3),"")</f>
        <v/>
      </c>
      <c r="B36" s="17">
        <f>IF(A36&lt;&gt;"",VLOOKUP(A36,'Role Inventory'!$A:$B,2,FALSE),"")</f>
        <v/>
      </c>
      <c r="C36" s="17">
        <f>IF(A36&lt;&gt;"",VLOOKUP(A36,'Role Inventory'!$A:$C,3,FALSE),"")</f>
        <v/>
      </c>
      <c r="D36" s="15" t="n"/>
      <c r="E36" s="15" t="n"/>
      <c r="F36" s="16" t="n"/>
      <c r="G36" s="15" t="n"/>
      <c r="H36" s="15" t="n"/>
      <c r="I36" s="15" t="n"/>
      <c r="J36" s="17">
        <f>IF(B36="","",IF(AND(D36&lt;&gt;"",G36="Complete",H36="Yes"),"Filled",IF(D36="","Vacant",IF(OR(G36="Missing",H36="No"),"Pending-Documentation","Pending"))))</f>
        <v/>
      </c>
      <c r="K36" s="15" t="n"/>
      <c r="L36" s="15" t="n"/>
      <c r="M36" s="16" t="n"/>
      <c r="N36" s="15" t="n"/>
      <c r="O36" s="15" t="n"/>
    </row>
    <row r="37">
      <c r="A37" s="17">
        <f>IF(ROW()-4&lt;=COUNTA('Role Inventory'!$A:$A)-4,INDEX('Role Inventory'!$A:$A,ROW()-3),"")</f>
        <v/>
      </c>
      <c r="B37" s="17">
        <f>IF(A37&lt;&gt;"",VLOOKUP(A37,'Role Inventory'!$A:$B,2,FALSE),"")</f>
        <v/>
      </c>
      <c r="C37" s="17">
        <f>IF(A37&lt;&gt;"",VLOOKUP(A37,'Role Inventory'!$A:$C,3,FALSE),"")</f>
        <v/>
      </c>
      <c r="D37" s="15" t="n"/>
      <c r="E37" s="15" t="n"/>
      <c r="F37" s="16" t="n"/>
      <c r="G37" s="15" t="n"/>
      <c r="H37" s="15" t="n"/>
      <c r="I37" s="15" t="n"/>
      <c r="J37" s="17">
        <f>IF(B37="","",IF(AND(D37&lt;&gt;"",G37="Complete",H37="Yes"),"Filled",IF(D37="","Vacant",IF(OR(G37="Missing",H37="No"),"Pending-Documentation","Pending"))))</f>
        <v/>
      </c>
      <c r="K37" s="15" t="n"/>
      <c r="L37" s="15" t="n"/>
      <c r="M37" s="16" t="n"/>
      <c r="N37" s="15" t="n"/>
      <c r="O37" s="15" t="n"/>
    </row>
    <row r="38">
      <c r="A38" s="17">
        <f>IF(ROW()-4&lt;=COUNTA('Role Inventory'!$A:$A)-4,INDEX('Role Inventory'!$A:$A,ROW()-3),"")</f>
        <v/>
      </c>
      <c r="B38" s="17">
        <f>IF(A38&lt;&gt;"",VLOOKUP(A38,'Role Inventory'!$A:$B,2,FALSE),"")</f>
        <v/>
      </c>
      <c r="C38" s="17">
        <f>IF(A38&lt;&gt;"",VLOOKUP(A38,'Role Inventory'!$A:$C,3,FALSE),"")</f>
        <v/>
      </c>
      <c r="D38" s="15" t="n"/>
      <c r="E38" s="15" t="n"/>
      <c r="F38" s="16" t="n"/>
      <c r="G38" s="15" t="n"/>
      <c r="H38" s="15" t="n"/>
      <c r="I38" s="15" t="n"/>
      <c r="J38" s="17">
        <f>IF(B38="","",IF(AND(D38&lt;&gt;"",G38="Complete",H38="Yes"),"Filled",IF(D38="","Vacant",IF(OR(G38="Missing",H38="No"),"Pending-Documentation","Pending"))))</f>
        <v/>
      </c>
      <c r="K38" s="15" t="n"/>
      <c r="L38" s="15" t="n"/>
      <c r="M38" s="16" t="n"/>
      <c r="N38" s="15" t="n"/>
      <c r="O38" s="15" t="n"/>
    </row>
    <row r="39">
      <c r="A39" s="17">
        <f>IF(ROW()-4&lt;=COUNTA('Role Inventory'!$A:$A)-4,INDEX('Role Inventory'!$A:$A,ROW()-3),"")</f>
        <v/>
      </c>
      <c r="B39" s="17">
        <f>IF(A39&lt;&gt;"",VLOOKUP(A39,'Role Inventory'!$A:$B,2,FALSE),"")</f>
        <v/>
      </c>
      <c r="C39" s="17">
        <f>IF(A39&lt;&gt;"",VLOOKUP(A39,'Role Inventory'!$A:$C,3,FALSE),"")</f>
        <v/>
      </c>
      <c r="D39" s="15" t="n"/>
      <c r="E39" s="15" t="n"/>
      <c r="F39" s="16" t="n"/>
      <c r="G39" s="15" t="n"/>
      <c r="H39" s="15" t="n"/>
      <c r="I39" s="15" t="n"/>
      <c r="J39" s="17">
        <f>IF(B39="","",IF(AND(D39&lt;&gt;"",G39="Complete",H39="Yes"),"Filled",IF(D39="","Vacant",IF(OR(G39="Missing",H39="No"),"Pending-Documentation","Pending"))))</f>
        <v/>
      </c>
      <c r="K39" s="15" t="n"/>
      <c r="L39" s="15" t="n"/>
      <c r="M39" s="16" t="n"/>
      <c r="N39" s="15" t="n"/>
      <c r="O39" s="15" t="n"/>
    </row>
    <row r="40">
      <c r="A40" s="17">
        <f>IF(ROW()-4&lt;=COUNTA('Role Inventory'!$A:$A)-4,INDEX('Role Inventory'!$A:$A,ROW()-3),"")</f>
        <v/>
      </c>
      <c r="B40" s="17">
        <f>IF(A40&lt;&gt;"",VLOOKUP(A40,'Role Inventory'!$A:$B,2,FALSE),"")</f>
        <v/>
      </c>
      <c r="C40" s="17">
        <f>IF(A40&lt;&gt;"",VLOOKUP(A40,'Role Inventory'!$A:$C,3,FALSE),"")</f>
        <v/>
      </c>
      <c r="D40" s="15" t="n"/>
      <c r="E40" s="15" t="n"/>
      <c r="F40" s="16" t="n"/>
      <c r="G40" s="15" t="n"/>
      <c r="H40" s="15" t="n"/>
      <c r="I40" s="15" t="n"/>
      <c r="J40" s="17">
        <f>IF(B40="","",IF(AND(D40&lt;&gt;"",G40="Complete",H40="Yes"),"Filled",IF(D40="","Vacant",IF(OR(G40="Missing",H40="No"),"Pending-Documentation","Pending"))))</f>
        <v/>
      </c>
      <c r="K40" s="15" t="n"/>
      <c r="L40" s="15" t="n"/>
      <c r="M40" s="16" t="n"/>
      <c r="N40" s="15" t="n"/>
      <c r="O40" s="15" t="n"/>
    </row>
    <row r="41">
      <c r="A41" s="17">
        <f>IF(ROW()-4&lt;=COUNTA('Role Inventory'!$A:$A)-4,INDEX('Role Inventory'!$A:$A,ROW()-3),"")</f>
        <v/>
      </c>
      <c r="B41" s="17">
        <f>IF(A41&lt;&gt;"",VLOOKUP(A41,'Role Inventory'!$A:$B,2,FALSE),"")</f>
        <v/>
      </c>
      <c r="C41" s="17">
        <f>IF(A41&lt;&gt;"",VLOOKUP(A41,'Role Inventory'!$A:$C,3,FALSE),"")</f>
        <v/>
      </c>
      <c r="D41" s="15" t="n"/>
      <c r="E41" s="15" t="n"/>
      <c r="F41" s="16" t="n"/>
      <c r="G41" s="15" t="n"/>
      <c r="H41" s="15" t="n"/>
      <c r="I41" s="15" t="n"/>
      <c r="J41" s="17">
        <f>IF(B41="","",IF(AND(D41&lt;&gt;"",G41="Complete",H41="Yes"),"Filled",IF(D41="","Vacant",IF(OR(G41="Missing",H41="No"),"Pending-Documentation","Pending"))))</f>
        <v/>
      </c>
      <c r="K41" s="15" t="n"/>
      <c r="L41" s="15" t="n"/>
      <c r="M41" s="16" t="n"/>
      <c r="N41" s="15" t="n"/>
      <c r="O41" s="15" t="n"/>
    </row>
    <row r="42">
      <c r="A42" s="17">
        <f>IF(ROW()-4&lt;=COUNTA('Role Inventory'!$A:$A)-4,INDEX('Role Inventory'!$A:$A,ROW()-3),"")</f>
        <v/>
      </c>
      <c r="B42" s="17">
        <f>IF(A42&lt;&gt;"",VLOOKUP(A42,'Role Inventory'!$A:$B,2,FALSE),"")</f>
        <v/>
      </c>
      <c r="C42" s="17">
        <f>IF(A42&lt;&gt;"",VLOOKUP(A42,'Role Inventory'!$A:$C,3,FALSE),"")</f>
        <v/>
      </c>
      <c r="D42" s="15" t="n"/>
      <c r="E42" s="15" t="n"/>
      <c r="F42" s="16" t="n"/>
      <c r="G42" s="15" t="n"/>
      <c r="H42" s="15" t="n"/>
      <c r="I42" s="15" t="n"/>
      <c r="J42" s="17">
        <f>IF(B42="","",IF(AND(D42&lt;&gt;"",G42="Complete",H42="Yes"),"Filled",IF(D42="","Vacant",IF(OR(G42="Missing",H42="No"),"Pending-Documentation","Pending"))))</f>
        <v/>
      </c>
      <c r="K42" s="15" t="n"/>
      <c r="L42" s="15" t="n"/>
      <c r="M42" s="16" t="n"/>
      <c r="N42" s="15" t="n"/>
      <c r="O42" s="15" t="n"/>
    </row>
    <row r="43">
      <c r="A43" s="17">
        <f>IF(ROW()-4&lt;=COUNTA('Role Inventory'!$A:$A)-4,INDEX('Role Inventory'!$A:$A,ROW()-3),"")</f>
        <v/>
      </c>
      <c r="B43" s="17">
        <f>IF(A43&lt;&gt;"",VLOOKUP(A43,'Role Inventory'!$A:$B,2,FALSE),"")</f>
        <v/>
      </c>
      <c r="C43" s="17">
        <f>IF(A43&lt;&gt;"",VLOOKUP(A43,'Role Inventory'!$A:$C,3,FALSE),"")</f>
        <v/>
      </c>
      <c r="D43" s="15" t="n"/>
      <c r="E43" s="15" t="n"/>
      <c r="F43" s="16" t="n"/>
      <c r="G43" s="15" t="n"/>
      <c r="H43" s="15" t="n"/>
      <c r="I43" s="15" t="n"/>
      <c r="J43" s="17">
        <f>IF(B43="","",IF(AND(D43&lt;&gt;"",G43="Complete",H43="Yes"),"Filled",IF(D43="","Vacant",IF(OR(G43="Missing",H43="No"),"Pending-Documentation","Pending"))))</f>
        <v/>
      </c>
      <c r="K43" s="15" t="n"/>
      <c r="L43" s="15" t="n"/>
      <c r="M43" s="16" t="n"/>
      <c r="N43" s="15" t="n"/>
      <c r="O43" s="15" t="n"/>
    </row>
    <row r="44">
      <c r="A44" s="17">
        <f>IF(ROW()-4&lt;=COUNTA('Role Inventory'!$A:$A)-4,INDEX('Role Inventory'!$A:$A,ROW()-3),"")</f>
        <v/>
      </c>
      <c r="B44" s="17">
        <f>IF(A44&lt;&gt;"",VLOOKUP(A44,'Role Inventory'!$A:$B,2,FALSE),"")</f>
        <v/>
      </c>
      <c r="C44" s="17">
        <f>IF(A44&lt;&gt;"",VLOOKUP(A44,'Role Inventory'!$A:$C,3,FALSE),"")</f>
        <v/>
      </c>
      <c r="D44" s="15" t="n"/>
      <c r="E44" s="15" t="n"/>
      <c r="F44" s="16" t="n"/>
      <c r="G44" s="15" t="n"/>
      <c r="H44" s="15" t="n"/>
      <c r="I44" s="15" t="n"/>
      <c r="J44" s="17">
        <f>IF(B44="","",IF(AND(D44&lt;&gt;"",G44="Complete",H44="Yes"),"Filled",IF(D44="","Vacant",IF(OR(G44="Missing",H44="No"),"Pending-Documentation","Pending"))))</f>
        <v/>
      </c>
      <c r="K44" s="15" t="n"/>
      <c r="L44" s="15" t="n"/>
      <c r="M44" s="16" t="n"/>
      <c r="N44" s="15" t="n"/>
      <c r="O44" s="15" t="n"/>
    </row>
    <row r="45">
      <c r="A45" s="17">
        <f>IF(ROW()-4&lt;=COUNTA('Role Inventory'!$A:$A)-4,INDEX('Role Inventory'!$A:$A,ROW()-3),"")</f>
        <v/>
      </c>
      <c r="B45" s="17">
        <f>IF(A45&lt;&gt;"",VLOOKUP(A45,'Role Inventory'!$A:$B,2,FALSE),"")</f>
        <v/>
      </c>
      <c r="C45" s="17">
        <f>IF(A45&lt;&gt;"",VLOOKUP(A45,'Role Inventory'!$A:$C,3,FALSE),"")</f>
        <v/>
      </c>
      <c r="D45" s="15" t="n"/>
      <c r="E45" s="15" t="n"/>
      <c r="F45" s="16" t="n"/>
      <c r="G45" s="15" t="n"/>
      <c r="H45" s="15" t="n"/>
      <c r="I45" s="15" t="n"/>
      <c r="J45" s="17">
        <f>IF(B45="","",IF(AND(D45&lt;&gt;"",G45="Complete",H45="Yes"),"Filled",IF(D45="","Vacant",IF(OR(G45="Missing",H45="No"),"Pending-Documentation","Pending"))))</f>
        <v/>
      </c>
      <c r="K45" s="15" t="n"/>
      <c r="L45" s="15" t="n"/>
      <c r="M45" s="16" t="n"/>
      <c r="N45" s="15" t="n"/>
      <c r="O45" s="15" t="n"/>
    </row>
    <row r="46">
      <c r="A46" s="17">
        <f>IF(ROW()-4&lt;=COUNTA('Role Inventory'!$A:$A)-4,INDEX('Role Inventory'!$A:$A,ROW()-3),"")</f>
        <v/>
      </c>
      <c r="B46" s="17">
        <f>IF(A46&lt;&gt;"",VLOOKUP(A46,'Role Inventory'!$A:$B,2,FALSE),"")</f>
        <v/>
      </c>
      <c r="C46" s="17">
        <f>IF(A46&lt;&gt;"",VLOOKUP(A46,'Role Inventory'!$A:$C,3,FALSE),"")</f>
        <v/>
      </c>
      <c r="D46" s="15" t="n"/>
      <c r="E46" s="15" t="n"/>
      <c r="F46" s="16" t="n"/>
      <c r="G46" s="15" t="n"/>
      <c r="H46" s="15" t="n"/>
      <c r="I46" s="15" t="n"/>
      <c r="J46" s="17">
        <f>IF(B46="","",IF(AND(D46&lt;&gt;"",G46="Complete",H46="Yes"),"Filled",IF(D46="","Vacant",IF(OR(G46="Missing",H46="No"),"Pending-Documentation","Pending"))))</f>
        <v/>
      </c>
      <c r="K46" s="15" t="n"/>
      <c r="L46" s="15" t="n"/>
      <c r="M46" s="16" t="n"/>
      <c r="N46" s="15" t="n"/>
      <c r="O46" s="15" t="n"/>
    </row>
    <row r="47">
      <c r="A47" s="17">
        <f>IF(ROW()-4&lt;=COUNTA('Role Inventory'!$A:$A)-4,INDEX('Role Inventory'!$A:$A,ROW()-3),"")</f>
        <v/>
      </c>
      <c r="B47" s="17">
        <f>IF(A47&lt;&gt;"",VLOOKUP(A47,'Role Inventory'!$A:$B,2,FALSE),"")</f>
        <v/>
      </c>
      <c r="C47" s="17">
        <f>IF(A47&lt;&gt;"",VLOOKUP(A47,'Role Inventory'!$A:$C,3,FALSE),"")</f>
        <v/>
      </c>
      <c r="D47" s="15" t="n"/>
      <c r="E47" s="15" t="n"/>
      <c r="F47" s="16" t="n"/>
      <c r="G47" s="15" t="n"/>
      <c r="H47" s="15" t="n"/>
      <c r="I47" s="15" t="n"/>
      <c r="J47" s="17">
        <f>IF(B47="","",IF(AND(D47&lt;&gt;"",G47="Complete",H47="Yes"),"Filled",IF(D47="","Vacant",IF(OR(G47="Missing",H47="No"),"Pending-Documentation","Pending"))))</f>
        <v/>
      </c>
      <c r="K47" s="15" t="n"/>
      <c r="L47" s="15" t="n"/>
      <c r="M47" s="16" t="n"/>
      <c r="N47" s="15" t="n"/>
      <c r="O47" s="15" t="n"/>
    </row>
    <row r="48">
      <c r="A48" s="17">
        <f>IF(ROW()-4&lt;=COUNTA('Role Inventory'!$A:$A)-4,INDEX('Role Inventory'!$A:$A,ROW()-3),"")</f>
        <v/>
      </c>
      <c r="B48" s="17">
        <f>IF(A48&lt;&gt;"",VLOOKUP(A48,'Role Inventory'!$A:$B,2,FALSE),"")</f>
        <v/>
      </c>
      <c r="C48" s="17">
        <f>IF(A48&lt;&gt;"",VLOOKUP(A48,'Role Inventory'!$A:$C,3,FALSE),"")</f>
        <v/>
      </c>
      <c r="D48" s="15" t="n"/>
      <c r="E48" s="15" t="n"/>
      <c r="F48" s="16" t="n"/>
      <c r="G48" s="15" t="n"/>
      <c r="H48" s="15" t="n"/>
      <c r="I48" s="15" t="n"/>
      <c r="J48" s="17">
        <f>IF(B48="","",IF(AND(D48&lt;&gt;"",G48="Complete",H48="Yes"),"Filled",IF(D48="","Vacant",IF(OR(G48="Missing",H48="No"),"Pending-Documentation","Pending"))))</f>
        <v/>
      </c>
      <c r="K48" s="15" t="n"/>
      <c r="L48" s="15" t="n"/>
      <c r="M48" s="16" t="n"/>
      <c r="N48" s="15" t="n"/>
      <c r="O48" s="15" t="n"/>
    </row>
    <row r="49">
      <c r="A49" s="17">
        <f>IF(ROW()-4&lt;=COUNTA('Role Inventory'!$A:$A)-4,INDEX('Role Inventory'!$A:$A,ROW()-3),"")</f>
        <v/>
      </c>
      <c r="B49" s="17">
        <f>IF(A49&lt;&gt;"",VLOOKUP(A49,'Role Inventory'!$A:$B,2,FALSE),"")</f>
        <v/>
      </c>
      <c r="C49" s="17">
        <f>IF(A49&lt;&gt;"",VLOOKUP(A49,'Role Inventory'!$A:$C,3,FALSE),"")</f>
        <v/>
      </c>
      <c r="D49" s="15" t="n"/>
      <c r="E49" s="15" t="n"/>
      <c r="F49" s="16" t="n"/>
      <c r="G49" s="15" t="n"/>
      <c r="H49" s="15" t="n"/>
      <c r="I49" s="15" t="n"/>
      <c r="J49" s="17">
        <f>IF(B49="","",IF(AND(D49&lt;&gt;"",G49="Complete",H49="Yes"),"Filled",IF(D49="","Vacant",IF(OR(G49="Missing",H49="No"),"Pending-Documentation","Pending"))))</f>
        <v/>
      </c>
      <c r="K49" s="15" t="n"/>
      <c r="L49" s="15" t="n"/>
      <c r="M49" s="16" t="n"/>
      <c r="N49" s="15" t="n"/>
      <c r="O49" s="15" t="n"/>
    </row>
    <row r="50">
      <c r="A50" s="17">
        <f>IF(ROW()-4&lt;=COUNTA('Role Inventory'!$A:$A)-4,INDEX('Role Inventory'!$A:$A,ROW()-3),"")</f>
        <v/>
      </c>
      <c r="B50" s="17">
        <f>IF(A50&lt;&gt;"",VLOOKUP(A50,'Role Inventory'!$A:$B,2,FALSE),"")</f>
        <v/>
      </c>
      <c r="C50" s="17">
        <f>IF(A50&lt;&gt;"",VLOOKUP(A50,'Role Inventory'!$A:$C,3,FALSE),"")</f>
        <v/>
      </c>
      <c r="D50" s="15" t="n"/>
      <c r="E50" s="15" t="n"/>
      <c r="F50" s="16" t="n"/>
      <c r="G50" s="15" t="n"/>
      <c r="H50" s="15" t="n"/>
      <c r="I50" s="15" t="n"/>
      <c r="J50" s="17">
        <f>IF(B50="","",IF(AND(D50&lt;&gt;"",G50="Complete",H50="Yes"),"Filled",IF(D50="","Vacant",IF(OR(G50="Missing",H50="No"),"Pending-Documentation","Pending"))))</f>
        <v/>
      </c>
      <c r="K50" s="15" t="n"/>
      <c r="L50" s="15" t="n"/>
      <c r="M50" s="16" t="n"/>
      <c r="N50" s="15" t="n"/>
      <c r="O50" s="15" t="n"/>
    </row>
    <row r="51">
      <c r="A51" s="17">
        <f>IF(ROW()-4&lt;=COUNTA('Role Inventory'!$A:$A)-4,INDEX('Role Inventory'!$A:$A,ROW()-3),"")</f>
        <v/>
      </c>
      <c r="B51" s="17">
        <f>IF(A51&lt;&gt;"",VLOOKUP(A51,'Role Inventory'!$A:$B,2,FALSE),"")</f>
        <v/>
      </c>
      <c r="C51" s="17">
        <f>IF(A51&lt;&gt;"",VLOOKUP(A51,'Role Inventory'!$A:$C,3,FALSE),"")</f>
        <v/>
      </c>
      <c r="D51" s="15" t="n"/>
      <c r="E51" s="15" t="n"/>
      <c r="F51" s="16" t="n"/>
      <c r="G51" s="15" t="n"/>
      <c r="H51" s="15" t="n"/>
      <c r="I51" s="15" t="n"/>
      <c r="J51" s="17">
        <f>IF(B51="","",IF(AND(D51&lt;&gt;"",G51="Complete",H51="Yes"),"Filled",IF(D51="","Vacant",IF(OR(G51="Missing",H51="No"),"Pending-Documentation","Pending"))))</f>
        <v/>
      </c>
      <c r="K51" s="15" t="n"/>
      <c r="L51" s="15" t="n"/>
      <c r="M51" s="16" t="n"/>
      <c r="N51" s="15" t="n"/>
      <c r="O51" s="15" t="n"/>
    </row>
    <row r="52">
      <c r="A52" s="17">
        <f>IF(ROW()-4&lt;=COUNTA('Role Inventory'!$A:$A)-4,INDEX('Role Inventory'!$A:$A,ROW()-3),"")</f>
        <v/>
      </c>
      <c r="B52" s="17">
        <f>IF(A52&lt;&gt;"",VLOOKUP(A52,'Role Inventory'!$A:$B,2,FALSE),"")</f>
        <v/>
      </c>
      <c r="C52" s="17">
        <f>IF(A52&lt;&gt;"",VLOOKUP(A52,'Role Inventory'!$A:$C,3,FALSE),"")</f>
        <v/>
      </c>
      <c r="D52" s="15" t="n"/>
      <c r="E52" s="15" t="n"/>
      <c r="F52" s="16" t="n"/>
      <c r="G52" s="15" t="n"/>
      <c r="H52" s="15" t="n"/>
      <c r="I52" s="15" t="n"/>
      <c r="J52" s="17">
        <f>IF(B52="","",IF(AND(D52&lt;&gt;"",G52="Complete",H52="Yes"),"Filled",IF(D52="","Vacant",IF(OR(G52="Missing",H52="No"),"Pending-Documentation","Pending"))))</f>
        <v/>
      </c>
      <c r="K52" s="15" t="n"/>
      <c r="L52" s="15" t="n"/>
      <c r="M52" s="16" t="n"/>
      <c r="N52" s="15" t="n"/>
      <c r="O52" s="15" t="n"/>
    </row>
    <row r="53">
      <c r="A53" s="17">
        <f>IF(ROW()-4&lt;=COUNTA('Role Inventory'!$A:$A)-4,INDEX('Role Inventory'!$A:$A,ROW()-3),"")</f>
        <v/>
      </c>
      <c r="B53" s="17">
        <f>IF(A53&lt;&gt;"",VLOOKUP(A53,'Role Inventory'!$A:$B,2,FALSE),"")</f>
        <v/>
      </c>
      <c r="C53" s="17">
        <f>IF(A53&lt;&gt;"",VLOOKUP(A53,'Role Inventory'!$A:$C,3,FALSE),"")</f>
        <v/>
      </c>
      <c r="D53" s="15" t="n"/>
      <c r="E53" s="15" t="n"/>
      <c r="F53" s="16" t="n"/>
      <c r="G53" s="15" t="n"/>
      <c r="H53" s="15" t="n"/>
      <c r="I53" s="15" t="n"/>
      <c r="J53" s="17">
        <f>IF(B53="","",IF(AND(D53&lt;&gt;"",G53="Complete",H53="Yes"),"Filled",IF(D53="","Vacant",IF(OR(G53="Missing",H53="No"),"Pending-Documentation","Pending"))))</f>
        <v/>
      </c>
      <c r="K53" s="15" t="n"/>
      <c r="L53" s="15" t="n"/>
      <c r="M53" s="16" t="n"/>
      <c r="N53" s="15" t="n"/>
      <c r="O53" s="15" t="n"/>
    </row>
    <row r="54">
      <c r="A54" s="17">
        <f>IF(ROW()-4&lt;=COUNTA('Role Inventory'!$A:$A)-4,INDEX('Role Inventory'!$A:$A,ROW()-3),"")</f>
        <v/>
      </c>
      <c r="B54" s="17">
        <f>IF(A54&lt;&gt;"",VLOOKUP(A54,'Role Inventory'!$A:$B,2,FALSE),"")</f>
        <v/>
      </c>
      <c r="C54" s="17">
        <f>IF(A54&lt;&gt;"",VLOOKUP(A54,'Role Inventory'!$A:$C,3,FALSE),"")</f>
        <v/>
      </c>
      <c r="D54" s="15" t="n"/>
      <c r="E54" s="15" t="n"/>
      <c r="F54" s="16" t="n"/>
      <c r="G54" s="15" t="n"/>
      <c r="H54" s="15" t="n"/>
      <c r="I54" s="15" t="n"/>
      <c r="J54" s="17">
        <f>IF(B54="","",IF(AND(D54&lt;&gt;"",G54="Complete",H54="Yes"),"Filled",IF(D54="","Vacant",IF(OR(G54="Missing",H54="No"),"Pending-Documentation","Pending"))))</f>
        <v/>
      </c>
      <c r="K54" s="15" t="n"/>
      <c r="L54" s="15" t="n"/>
      <c r="M54" s="16" t="n"/>
      <c r="N54" s="15" t="n"/>
      <c r="O54" s="15" t="n"/>
    </row>
    <row r="55">
      <c r="A55" s="17">
        <f>IF(ROW()-4&lt;=COUNTA('Role Inventory'!$A:$A)-4,INDEX('Role Inventory'!$A:$A,ROW()-3),"")</f>
        <v/>
      </c>
      <c r="B55" s="17">
        <f>IF(A55&lt;&gt;"",VLOOKUP(A55,'Role Inventory'!$A:$B,2,FALSE),"")</f>
        <v/>
      </c>
      <c r="C55" s="17">
        <f>IF(A55&lt;&gt;"",VLOOKUP(A55,'Role Inventory'!$A:$C,3,FALSE),"")</f>
        <v/>
      </c>
      <c r="D55" s="15" t="n"/>
      <c r="E55" s="15" t="n"/>
      <c r="F55" s="16" t="n"/>
      <c r="G55" s="15" t="n"/>
      <c r="H55" s="15" t="n"/>
      <c r="I55" s="15" t="n"/>
      <c r="J55" s="17">
        <f>IF(B55="","",IF(AND(D55&lt;&gt;"",G55="Complete",H55="Yes"),"Filled",IF(D55="","Vacant",IF(OR(G55="Missing",H55="No"),"Pending-Documentation","Pending"))))</f>
        <v/>
      </c>
      <c r="K55" s="15" t="n"/>
      <c r="L55" s="15" t="n"/>
      <c r="M55" s="16" t="n"/>
      <c r="N55" s="15" t="n"/>
      <c r="O55" s="15" t="n"/>
    </row>
    <row r="56">
      <c r="A56" s="17">
        <f>IF(ROW()-4&lt;=COUNTA('Role Inventory'!$A:$A)-4,INDEX('Role Inventory'!$A:$A,ROW()-3),"")</f>
        <v/>
      </c>
      <c r="B56" s="17">
        <f>IF(A56&lt;&gt;"",VLOOKUP(A56,'Role Inventory'!$A:$B,2,FALSE),"")</f>
        <v/>
      </c>
      <c r="C56" s="17">
        <f>IF(A56&lt;&gt;"",VLOOKUP(A56,'Role Inventory'!$A:$C,3,FALSE),"")</f>
        <v/>
      </c>
      <c r="D56" s="15" t="n"/>
      <c r="E56" s="15" t="n"/>
      <c r="F56" s="16" t="n"/>
      <c r="G56" s="15" t="n"/>
      <c r="H56" s="15" t="n"/>
      <c r="I56" s="15" t="n"/>
      <c r="J56" s="17">
        <f>IF(B56="","",IF(AND(D56&lt;&gt;"",G56="Complete",H56="Yes"),"Filled",IF(D56="","Vacant",IF(OR(G56="Missing",H56="No"),"Pending-Documentation","Pending"))))</f>
        <v/>
      </c>
      <c r="K56" s="15" t="n"/>
      <c r="L56" s="15" t="n"/>
      <c r="M56" s="16" t="n"/>
      <c r="N56" s="15" t="n"/>
      <c r="O56" s="15" t="n"/>
    </row>
    <row r="57">
      <c r="A57" s="17">
        <f>IF(ROW()-4&lt;=COUNTA('Role Inventory'!$A:$A)-4,INDEX('Role Inventory'!$A:$A,ROW()-3),"")</f>
        <v/>
      </c>
      <c r="B57" s="17">
        <f>IF(A57&lt;&gt;"",VLOOKUP(A57,'Role Inventory'!$A:$B,2,FALSE),"")</f>
        <v/>
      </c>
      <c r="C57" s="17">
        <f>IF(A57&lt;&gt;"",VLOOKUP(A57,'Role Inventory'!$A:$C,3,FALSE),"")</f>
        <v/>
      </c>
      <c r="D57" s="15" t="n"/>
      <c r="E57" s="15" t="n"/>
      <c r="F57" s="16" t="n"/>
      <c r="G57" s="15" t="n"/>
      <c r="H57" s="15" t="n"/>
      <c r="I57" s="15" t="n"/>
      <c r="J57" s="17">
        <f>IF(B57="","",IF(AND(D57&lt;&gt;"",G57="Complete",H57="Yes"),"Filled",IF(D57="","Vacant",IF(OR(G57="Missing",H57="No"),"Pending-Documentation","Pending"))))</f>
        <v/>
      </c>
      <c r="K57" s="15" t="n"/>
      <c r="L57" s="15" t="n"/>
      <c r="M57" s="16" t="n"/>
      <c r="N57" s="15" t="n"/>
      <c r="O57" s="15" t="n"/>
    </row>
    <row r="58">
      <c r="A58" s="17">
        <f>IF(ROW()-4&lt;=COUNTA('Role Inventory'!$A:$A)-4,INDEX('Role Inventory'!$A:$A,ROW()-3),"")</f>
        <v/>
      </c>
      <c r="B58" s="17">
        <f>IF(A58&lt;&gt;"",VLOOKUP(A58,'Role Inventory'!$A:$B,2,FALSE),"")</f>
        <v/>
      </c>
      <c r="C58" s="17">
        <f>IF(A58&lt;&gt;"",VLOOKUP(A58,'Role Inventory'!$A:$C,3,FALSE),"")</f>
        <v/>
      </c>
      <c r="D58" s="15" t="n"/>
      <c r="E58" s="15" t="n"/>
      <c r="F58" s="16" t="n"/>
      <c r="G58" s="15" t="n"/>
      <c r="H58" s="15" t="n"/>
      <c r="I58" s="15" t="n"/>
      <c r="J58" s="17">
        <f>IF(B58="","",IF(AND(D58&lt;&gt;"",G58="Complete",H58="Yes"),"Filled",IF(D58="","Vacant",IF(OR(G58="Missing",H58="No"),"Pending-Documentation","Pending"))))</f>
        <v/>
      </c>
      <c r="K58" s="15" t="n"/>
      <c r="L58" s="15" t="n"/>
      <c r="M58" s="16" t="n"/>
      <c r="N58" s="15" t="n"/>
      <c r="O58" s="15" t="n"/>
    </row>
    <row r="59">
      <c r="A59" s="17">
        <f>IF(ROW()-4&lt;=COUNTA('Role Inventory'!$A:$A)-4,INDEX('Role Inventory'!$A:$A,ROW()-3),"")</f>
        <v/>
      </c>
      <c r="B59" s="17">
        <f>IF(A59&lt;&gt;"",VLOOKUP(A59,'Role Inventory'!$A:$B,2,FALSE),"")</f>
        <v/>
      </c>
      <c r="C59" s="17">
        <f>IF(A59&lt;&gt;"",VLOOKUP(A59,'Role Inventory'!$A:$C,3,FALSE),"")</f>
        <v/>
      </c>
      <c r="D59" s="15" t="n"/>
      <c r="E59" s="15" t="n"/>
      <c r="F59" s="16" t="n"/>
      <c r="G59" s="15" t="n"/>
      <c r="H59" s="15" t="n"/>
      <c r="I59" s="15" t="n"/>
      <c r="J59" s="17">
        <f>IF(B59="","",IF(AND(D59&lt;&gt;"",G59="Complete",H59="Yes"),"Filled",IF(D59="","Vacant",IF(OR(G59="Missing",H59="No"),"Pending-Documentation","Pending"))))</f>
        <v/>
      </c>
      <c r="K59" s="15" t="n"/>
      <c r="L59" s="15" t="n"/>
      <c r="M59" s="16" t="n"/>
      <c r="N59" s="15" t="n"/>
      <c r="O59" s="15" t="n"/>
    </row>
    <row r="60">
      <c r="A60" s="17">
        <f>IF(ROW()-4&lt;=COUNTA('Role Inventory'!$A:$A)-4,INDEX('Role Inventory'!$A:$A,ROW()-3),"")</f>
        <v/>
      </c>
      <c r="B60" s="17">
        <f>IF(A60&lt;&gt;"",VLOOKUP(A60,'Role Inventory'!$A:$B,2,FALSE),"")</f>
        <v/>
      </c>
      <c r="C60" s="17">
        <f>IF(A60&lt;&gt;"",VLOOKUP(A60,'Role Inventory'!$A:$C,3,FALSE),"")</f>
        <v/>
      </c>
      <c r="D60" s="15" t="n"/>
      <c r="E60" s="15" t="n"/>
      <c r="F60" s="16" t="n"/>
      <c r="G60" s="15" t="n"/>
      <c r="H60" s="15" t="n"/>
      <c r="I60" s="15" t="n"/>
      <c r="J60" s="17">
        <f>IF(B60="","",IF(AND(D60&lt;&gt;"",G60="Complete",H60="Yes"),"Filled",IF(D60="","Vacant",IF(OR(G60="Missing",H60="No"),"Pending-Documentation","Pending"))))</f>
        <v/>
      </c>
      <c r="K60" s="15" t="n"/>
      <c r="L60" s="15" t="n"/>
      <c r="M60" s="16" t="n"/>
      <c r="N60" s="15" t="n"/>
      <c r="O60" s="15" t="n"/>
    </row>
    <row r="61">
      <c r="A61" s="17">
        <f>IF(ROW()-4&lt;=COUNTA('Role Inventory'!$A:$A)-4,INDEX('Role Inventory'!$A:$A,ROW()-3),"")</f>
        <v/>
      </c>
      <c r="B61" s="17">
        <f>IF(A61&lt;&gt;"",VLOOKUP(A61,'Role Inventory'!$A:$B,2,FALSE),"")</f>
        <v/>
      </c>
      <c r="C61" s="17">
        <f>IF(A61&lt;&gt;"",VLOOKUP(A61,'Role Inventory'!$A:$C,3,FALSE),"")</f>
        <v/>
      </c>
      <c r="D61" s="15" t="n"/>
      <c r="E61" s="15" t="n"/>
      <c r="F61" s="16" t="n"/>
      <c r="G61" s="15" t="n"/>
      <c r="H61" s="15" t="n"/>
      <c r="I61" s="15" t="n"/>
      <c r="J61" s="17">
        <f>IF(B61="","",IF(AND(D61&lt;&gt;"",G61="Complete",H61="Yes"),"Filled",IF(D61="","Vacant",IF(OR(G61="Missing",H61="No"),"Pending-Documentation","Pending"))))</f>
        <v/>
      </c>
      <c r="K61" s="15" t="n"/>
      <c r="L61" s="15" t="n"/>
      <c r="M61" s="16" t="n"/>
      <c r="N61" s="15" t="n"/>
      <c r="O61" s="15" t="n"/>
    </row>
    <row r="62">
      <c r="A62" s="17">
        <f>IF(ROW()-4&lt;=COUNTA('Role Inventory'!$A:$A)-4,INDEX('Role Inventory'!$A:$A,ROW()-3),"")</f>
        <v/>
      </c>
      <c r="B62" s="17">
        <f>IF(A62&lt;&gt;"",VLOOKUP(A62,'Role Inventory'!$A:$B,2,FALSE),"")</f>
        <v/>
      </c>
      <c r="C62" s="17">
        <f>IF(A62&lt;&gt;"",VLOOKUP(A62,'Role Inventory'!$A:$C,3,FALSE),"")</f>
        <v/>
      </c>
      <c r="D62" s="15" t="n"/>
      <c r="E62" s="15" t="n"/>
      <c r="F62" s="16" t="n"/>
      <c r="G62" s="15" t="n"/>
      <c r="H62" s="15" t="n"/>
      <c r="I62" s="15" t="n"/>
      <c r="J62" s="17">
        <f>IF(B62="","",IF(AND(D62&lt;&gt;"",G62="Complete",H62="Yes"),"Filled",IF(D62="","Vacant",IF(OR(G62="Missing",H62="No"),"Pending-Documentation","Pending"))))</f>
        <v/>
      </c>
      <c r="K62" s="15" t="n"/>
      <c r="L62" s="15" t="n"/>
      <c r="M62" s="16" t="n"/>
      <c r="N62" s="15" t="n"/>
      <c r="O62" s="15" t="n"/>
    </row>
    <row r="63">
      <c r="A63" s="17">
        <f>IF(ROW()-4&lt;=COUNTA('Role Inventory'!$A:$A)-4,INDEX('Role Inventory'!$A:$A,ROW()-3),"")</f>
        <v/>
      </c>
      <c r="B63" s="17">
        <f>IF(A63&lt;&gt;"",VLOOKUP(A63,'Role Inventory'!$A:$B,2,FALSE),"")</f>
        <v/>
      </c>
      <c r="C63" s="17">
        <f>IF(A63&lt;&gt;"",VLOOKUP(A63,'Role Inventory'!$A:$C,3,FALSE),"")</f>
        <v/>
      </c>
      <c r="D63" s="15" t="n"/>
      <c r="E63" s="15" t="n"/>
      <c r="F63" s="16" t="n"/>
      <c r="G63" s="15" t="n"/>
      <c r="H63" s="15" t="n"/>
      <c r="I63" s="15" t="n"/>
      <c r="J63" s="17">
        <f>IF(B63="","",IF(AND(D63&lt;&gt;"",G63="Complete",H63="Yes"),"Filled",IF(D63="","Vacant",IF(OR(G63="Missing",H63="No"),"Pending-Documentation","Pending"))))</f>
        <v/>
      </c>
      <c r="K63" s="15" t="n"/>
      <c r="L63" s="15" t="n"/>
      <c r="M63" s="16" t="n"/>
      <c r="N63" s="15" t="n"/>
      <c r="O63" s="15" t="n"/>
    </row>
    <row r="64">
      <c r="A64" s="17">
        <f>IF(ROW()-4&lt;=COUNTA('Role Inventory'!$A:$A)-4,INDEX('Role Inventory'!$A:$A,ROW()-3),"")</f>
        <v/>
      </c>
      <c r="B64" s="17">
        <f>IF(A64&lt;&gt;"",VLOOKUP(A64,'Role Inventory'!$A:$B,2,FALSE),"")</f>
        <v/>
      </c>
      <c r="C64" s="17">
        <f>IF(A64&lt;&gt;"",VLOOKUP(A64,'Role Inventory'!$A:$C,3,FALSE),"")</f>
        <v/>
      </c>
      <c r="D64" s="15" t="n"/>
      <c r="E64" s="15" t="n"/>
      <c r="F64" s="16" t="n"/>
      <c r="G64" s="15" t="n"/>
      <c r="H64" s="15" t="n"/>
      <c r="I64" s="15" t="n"/>
      <c r="J64" s="17">
        <f>IF(B64="","",IF(AND(D64&lt;&gt;"",G64="Complete",H64="Yes"),"Filled",IF(D64="","Vacant",IF(OR(G64="Missing",H64="No"),"Pending-Documentation","Pending"))))</f>
        <v/>
      </c>
      <c r="K64" s="15" t="n"/>
      <c r="L64" s="15" t="n"/>
      <c r="M64" s="16" t="n"/>
      <c r="N64" s="15" t="n"/>
      <c r="O64" s="15" t="n"/>
    </row>
    <row r="65">
      <c r="A65" s="17">
        <f>IF(ROW()-4&lt;=COUNTA('Role Inventory'!$A:$A)-4,INDEX('Role Inventory'!$A:$A,ROW()-3),"")</f>
        <v/>
      </c>
      <c r="B65" s="17">
        <f>IF(A65&lt;&gt;"",VLOOKUP(A65,'Role Inventory'!$A:$B,2,FALSE),"")</f>
        <v/>
      </c>
      <c r="C65" s="17">
        <f>IF(A65&lt;&gt;"",VLOOKUP(A65,'Role Inventory'!$A:$C,3,FALSE),"")</f>
        <v/>
      </c>
      <c r="D65" s="15" t="n"/>
      <c r="E65" s="15" t="n"/>
      <c r="F65" s="16" t="n"/>
      <c r="G65" s="15" t="n"/>
      <c r="H65" s="15" t="n"/>
      <c r="I65" s="15" t="n"/>
      <c r="J65" s="17">
        <f>IF(B65="","",IF(AND(D65&lt;&gt;"",G65="Complete",H65="Yes"),"Filled",IF(D65="","Vacant",IF(OR(G65="Missing",H65="No"),"Pending-Documentation","Pending"))))</f>
        <v/>
      </c>
      <c r="K65" s="15" t="n"/>
      <c r="L65" s="15" t="n"/>
      <c r="M65" s="16" t="n"/>
      <c r="N65" s="15" t="n"/>
      <c r="O65" s="15" t="n"/>
    </row>
    <row r="66">
      <c r="A66" s="17">
        <f>IF(ROW()-4&lt;=COUNTA('Role Inventory'!$A:$A)-4,INDEX('Role Inventory'!$A:$A,ROW()-3),"")</f>
        <v/>
      </c>
      <c r="B66" s="17">
        <f>IF(A66&lt;&gt;"",VLOOKUP(A66,'Role Inventory'!$A:$B,2,FALSE),"")</f>
        <v/>
      </c>
      <c r="C66" s="17">
        <f>IF(A66&lt;&gt;"",VLOOKUP(A66,'Role Inventory'!$A:$C,3,FALSE),"")</f>
        <v/>
      </c>
      <c r="D66" s="15" t="n"/>
      <c r="E66" s="15" t="n"/>
      <c r="F66" s="16" t="n"/>
      <c r="G66" s="15" t="n"/>
      <c r="H66" s="15" t="n"/>
      <c r="I66" s="15" t="n"/>
      <c r="J66" s="17">
        <f>IF(B66="","",IF(AND(D66&lt;&gt;"",G66="Complete",H66="Yes"),"Filled",IF(D66="","Vacant",IF(OR(G66="Missing",H66="No"),"Pending-Documentation","Pending"))))</f>
        <v/>
      </c>
      <c r="K66" s="15" t="n"/>
      <c r="L66" s="15" t="n"/>
      <c r="M66" s="16" t="n"/>
      <c r="N66" s="15" t="n"/>
      <c r="O66" s="15" t="n"/>
    </row>
    <row r="67">
      <c r="A67" s="17">
        <f>IF(ROW()-4&lt;=COUNTA('Role Inventory'!$A:$A)-4,INDEX('Role Inventory'!$A:$A,ROW()-3),"")</f>
        <v/>
      </c>
      <c r="B67" s="17">
        <f>IF(A67&lt;&gt;"",VLOOKUP(A67,'Role Inventory'!$A:$B,2,FALSE),"")</f>
        <v/>
      </c>
      <c r="C67" s="17">
        <f>IF(A67&lt;&gt;"",VLOOKUP(A67,'Role Inventory'!$A:$C,3,FALSE),"")</f>
        <v/>
      </c>
      <c r="D67" s="15" t="n"/>
      <c r="E67" s="15" t="n"/>
      <c r="F67" s="16" t="n"/>
      <c r="G67" s="15" t="n"/>
      <c r="H67" s="15" t="n"/>
      <c r="I67" s="15" t="n"/>
      <c r="J67" s="17">
        <f>IF(B67="","",IF(AND(D67&lt;&gt;"",G67="Complete",H67="Yes"),"Filled",IF(D67="","Vacant",IF(OR(G67="Missing",H67="No"),"Pending-Documentation","Pending"))))</f>
        <v/>
      </c>
      <c r="K67" s="15" t="n"/>
      <c r="L67" s="15" t="n"/>
      <c r="M67" s="16" t="n"/>
      <c r="N67" s="15" t="n"/>
      <c r="O67" s="15" t="n"/>
    </row>
    <row r="68">
      <c r="A68" s="17">
        <f>IF(ROW()-4&lt;=COUNTA('Role Inventory'!$A:$A)-4,INDEX('Role Inventory'!$A:$A,ROW()-3),"")</f>
        <v/>
      </c>
      <c r="B68" s="17">
        <f>IF(A68&lt;&gt;"",VLOOKUP(A68,'Role Inventory'!$A:$B,2,FALSE),"")</f>
        <v/>
      </c>
      <c r="C68" s="17">
        <f>IF(A68&lt;&gt;"",VLOOKUP(A68,'Role Inventory'!$A:$C,3,FALSE),"")</f>
        <v/>
      </c>
      <c r="D68" s="15" t="n"/>
      <c r="E68" s="15" t="n"/>
      <c r="F68" s="16" t="n"/>
      <c r="G68" s="15" t="n"/>
      <c r="H68" s="15" t="n"/>
      <c r="I68" s="15" t="n"/>
      <c r="J68" s="17">
        <f>IF(B68="","",IF(AND(D68&lt;&gt;"",G68="Complete",H68="Yes"),"Filled",IF(D68="","Vacant",IF(OR(G68="Missing",H68="No"),"Pending-Documentation","Pending"))))</f>
        <v/>
      </c>
      <c r="K68" s="15" t="n"/>
      <c r="L68" s="15" t="n"/>
      <c r="M68" s="16" t="n"/>
      <c r="N68" s="15" t="n"/>
      <c r="O68" s="15" t="n"/>
    </row>
    <row r="69">
      <c r="A69" s="17">
        <f>IF(ROW()-4&lt;=COUNTA('Role Inventory'!$A:$A)-4,INDEX('Role Inventory'!$A:$A,ROW()-3),"")</f>
        <v/>
      </c>
      <c r="B69" s="17">
        <f>IF(A69&lt;&gt;"",VLOOKUP(A69,'Role Inventory'!$A:$B,2,FALSE),"")</f>
        <v/>
      </c>
      <c r="C69" s="17">
        <f>IF(A69&lt;&gt;"",VLOOKUP(A69,'Role Inventory'!$A:$C,3,FALSE),"")</f>
        <v/>
      </c>
      <c r="D69" s="15" t="n"/>
      <c r="E69" s="15" t="n"/>
      <c r="F69" s="16" t="n"/>
      <c r="G69" s="15" t="n"/>
      <c r="H69" s="15" t="n"/>
      <c r="I69" s="15" t="n"/>
      <c r="J69" s="17">
        <f>IF(B69="","",IF(AND(D69&lt;&gt;"",G69="Complete",H69="Yes"),"Filled",IF(D69="","Vacant",IF(OR(G69="Missing",H69="No"),"Pending-Documentation","Pending"))))</f>
        <v/>
      </c>
      <c r="K69" s="15" t="n"/>
      <c r="L69" s="15" t="n"/>
      <c r="M69" s="16" t="n"/>
      <c r="N69" s="15" t="n"/>
      <c r="O69" s="15" t="n"/>
    </row>
    <row r="70">
      <c r="A70" s="17">
        <f>IF(ROW()-4&lt;=COUNTA('Role Inventory'!$A:$A)-4,INDEX('Role Inventory'!$A:$A,ROW()-3),"")</f>
        <v/>
      </c>
      <c r="B70" s="17">
        <f>IF(A70&lt;&gt;"",VLOOKUP(A70,'Role Inventory'!$A:$B,2,FALSE),"")</f>
        <v/>
      </c>
      <c r="C70" s="17">
        <f>IF(A70&lt;&gt;"",VLOOKUP(A70,'Role Inventory'!$A:$C,3,FALSE),"")</f>
        <v/>
      </c>
      <c r="D70" s="15" t="n"/>
      <c r="E70" s="15" t="n"/>
      <c r="F70" s="16" t="n"/>
      <c r="G70" s="15" t="n"/>
      <c r="H70" s="15" t="n"/>
      <c r="I70" s="15" t="n"/>
      <c r="J70" s="17">
        <f>IF(B70="","",IF(AND(D70&lt;&gt;"",G70="Complete",H70="Yes"),"Filled",IF(D70="","Vacant",IF(OR(G70="Missing",H70="No"),"Pending-Documentation","Pending"))))</f>
        <v/>
      </c>
      <c r="K70" s="15" t="n"/>
      <c r="L70" s="15" t="n"/>
      <c r="M70" s="16" t="n"/>
      <c r="N70" s="15" t="n"/>
      <c r="O70" s="15" t="n"/>
    </row>
    <row r="71">
      <c r="A71" s="17">
        <f>IF(ROW()-4&lt;=COUNTA('Role Inventory'!$A:$A)-4,INDEX('Role Inventory'!$A:$A,ROW()-3),"")</f>
        <v/>
      </c>
      <c r="B71" s="17">
        <f>IF(A71&lt;&gt;"",VLOOKUP(A71,'Role Inventory'!$A:$B,2,FALSE),"")</f>
        <v/>
      </c>
      <c r="C71" s="17">
        <f>IF(A71&lt;&gt;"",VLOOKUP(A71,'Role Inventory'!$A:$C,3,FALSE),"")</f>
        <v/>
      </c>
      <c r="D71" s="15" t="n"/>
      <c r="E71" s="15" t="n"/>
      <c r="F71" s="16" t="n"/>
      <c r="G71" s="15" t="n"/>
      <c r="H71" s="15" t="n"/>
      <c r="I71" s="15" t="n"/>
      <c r="J71" s="17">
        <f>IF(B71="","",IF(AND(D71&lt;&gt;"",G71="Complete",H71="Yes"),"Filled",IF(D71="","Vacant",IF(OR(G71="Missing",H71="No"),"Pending-Documentation","Pending"))))</f>
        <v/>
      </c>
      <c r="K71" s="15" t="n"/>
      <c r="L71" s="15" t="n"/>
      <c r="M71" s="16" t="n"/>
      <c r="N71" s="15" t="n"/>
      <c r="O71" s="15" t="n"/>
    </row>
    <row r="72">
      <c r="A72" s="17">
        <f>IF(ROW()-4&lt;=COUNTA('Role Inventory'!$A:$A)-4,INDEX('Role Inventory'!$A:$A,ROW()-3),"")</f>
        <v/>
      </c>
      <c r="B72" s="17">
        <f>IF(A72&lt;&gt;"",VLOOKUP(A72,'Role Inventory'!$A:$B,2,FALSE),"")</f>
        <v/>
      </c>
      <c r="C72" s="17">
        <f>IF(A72&lt;&gt;"",VLOOKUP(A72,'Role Inventory'!$A:$C,3,FALSE),"")</f>
        <v/>
      </c>
      <c r="D72" s="15" t="n"/>
      <c r="E72" s="15" t="n"/>
      <c r="F72" s="16" t="n"/>
      <c r="G72" s="15" t="n"/>
      <c r="H72" s="15" t="n"/>
      <c r="I72" s="15" t="n"/>
      <c r="J72" s="17">
        <f>IF(B72="","",IF(AND(D72&lt;&gt;"",G72="Complete",H72="Yes"),"Filled",IF(D72="","Vacant",IF(OR(G72="Missing",H72="No"),"Pending-Documentation","Pending"))))</f>
        <v/>
      </c>
      <c r="K72" s="15" t="n"/>
      <c r="L72" s="15" t="n"/>
      <c r="M72" s="16" t="n"/>
      <c r="N72" s="15" t="n"/>
      <c r="O72" s="15" t="n"/>
    </row>
    <row r="73">
      <c r="A73" s="17">
        <f>IF(ROW()-4&lt;=COUNTA('Role Inventory'!$A:$A)-4,INDEX('Role Inventory'!$A:$A,ROW()-3),"")</f>
        <v/>
      </c>
      <c r="B73" s="17">
        <f>IF(A73&lt;&gt;"",VLOOKUP(A73,'Role Inventory'!$A:$B,2,FALSE),"")</f>
        <v/>
      </c>
      <c r="C73" s="17">
        <f>IF(A73&lt;&gt;"",VLOOKUP(A73,'Role Inventory'!$A:$C,3,FALSE),"")</f>
        <v/>
      </c>
      <c r="D73" s="15" t="n"/>
      <c r="E73" s="15" t="n"/>
      <c r="F73" s="16" t="n"/>
      <c r="G73" s="15" t="n"/>
      <c r="H73" s="15" t="n"/>
      <c r="I73" s="15" t="n"/>
      <c r="J73" s="17">
        <f>IF(B73="","",IF(AND(D73&lt;&gt;"",G73="Complete",H73="Yes"),"Filled",IF(D73="","Vacant",IF(OR(G73="Missing",H73="No"),"Pending-Documentation","Pending"))))</f>
        <v/>
      </c>
      <c r="K73" s="15" t="n"/>
      <c r="L73" s="15" t="n"/>
      <c r="M73" s="16" t="n"/>
      <c r="N73" s="15" t="n"/>
      <c r="O73" s="15" t="n"/>
    </row>
    <row r="74">
      <c r="A74" s="17">
        <f>IF(ROW()-4&lt;=COUNTA('Role Inventory'!$A:$A)-4,INDEX('Role Inventory'!$A:$A,ROW()-3),"")</f>
        <v/>
      </c>
      <c r="B74" s="17">
        <f>IF(A74&lt;&gt;"",VLOOKUP(A74,'Role Inventory'!$A:$B,2,FALSE),"")</f>
        <v/>
      </c>
      <c r="C74" s="17">
        <f>IF(A74&lt;&gt;"",VLOOKUP(A74,'Role Inventory'!$A:$C,3,FALSE),"")</f>
        <v/>
      </c>
      <c r="D74" s="15" t="n"/>
      <c r="E74" s="15" t="n"/>
      <c r="F74" s="16" t="n"/>
      <c r="G74" s="15" t="n"/>
      <c r="H74" s="15" t="n"/>
      <c r="I74" s="15" t="n"/>
      <c r="J74" s="17">
        <f>IF(B74="","",IF(AND(D74&lt;&gt;"",G74="Complete",H74="Yes"),"Filled",IF(D74="","Vacant",IF(OR(G74="Missing",H74="No"),"Pending-Documentation","Pending"))))</f>
        <v/>
      </c>
      <c r="K74" s="15" t="n"/>
      <c r="L74" s="15" t="n"/>
      <c r="M74" s="16" t="n"/>
      <c r="N74" s="15" t="n"/>
      <c r="O74" s="15" t="n"/>
    </row>
    <row r="75">
      <c r="A75" s="17">
        <f>IF(ROW()-4&lt;=COUNTA('Role Inventory'!$A:$A)-4,INDEX('Role Inventory'!$A:$A,ROW()-3),"")</f>
        <v/>
      </c>
      <c r="B75" s="17">
        <f>IF(A75&lt;&gt;"",VLOOKUP(A75,'Role Inventory'!$A:$B,2,FALSE),"")</f>
        <v/>
      </c>
      <c r="C75" s="17">
        <f>IF(A75&lt;&gt;"",VLOOKUP(A75,'Role Inventory'!$A:$C,3,FALSE),"")</f>
        <v/>
      </c>
      <c r="D75" s="15" t="n"/>
      <c r="E75" s="15" t="n"/>
      <c r="F75" s="16" t="n"/>
      <c r="G75" s="15" t="n"/>
      <c r="H75" s="15" t="n"/>
      <c r="I75" s="15" t="n"/>
      <c r="J75" s="17">
        <f>IF(B75="","",IF(AND(D75&lt;&gt;"",G75="Complete",H75="Yes"),"Filled",IF(D75="","Vacant",IF(OR(G75="Missing",H75="No"),"Pending-Documentation","Pending"))))</f>
        <v/>
      </c>
      <c r="K75" s="15" t="n"/>
      <c r="L75" s="15" t="n"/>
      <c r="M75" s="16" t="n"/>
      <c r="N75" s="15" t="n"/>
      <c r="O75" s="15" t="n"/>
    </row>
    <row r="76">
      <c r="A76" s="17">
        <f>IF(ROW()-4&lt;=COUNTA('Role Inventory'!$A:$A)-4,INDEX('Role Inventory'!$A:$A,ROW()-3),"")</f>
        <v/>
      </c>
      <c r="B76" s="17">
        <f>IF(A76&lt;&gt;"",VLOOKUP(A76,'Role Inventory'!$A:$B,2,FALSE),"")</f>
        <v/>
      </c>
      <c r="C76" s="17">
        <f>IF(A76&lt;&gt;"",VLOOKUP(A76,'Role Inventory'!$A:$C,3,FALSE),"")</f>
        <v/>
      </c>
      <c r="D76" s="15" t="n"/>
      <c r="E76" s="15" t="n"/>
      <c r="F76" s="16" t="n"/>
      <c r="G76" s="15" t="n"/>
      <c r="H76" s="15" t="n"/>
      <c r="I76" s="15" t="n"/>
      <c r="J76" s="17">
        <f>IF(B76="","",IF(AND(D76&lt;&gt;"",G76="Complete",H76="Yes"),"Filled",IF(D76="","Vacant",IF(OR(G76="Missing",H76="No"),"Pending-Documentation","Pending"))))</f>
        <v/>
      </c>
      <c r="K76" s="15" t="n"/>
      <c r="L76" s="15" t="n"/>
      <c r="M76" s="16" t="n"/>
      <c r="N76" s="15" t="n"/>
      <c r="O76" s="15" t="n"/>
    </row>
    <row r="77">
      <c r="A77" s="17">
        <f>IF(ROW()-4&lt;=COUNTA('Role Inventory'!$A:$A)-4,INDEX('Role Inventory'!$A:$A,ROW()-3),"")</f>
        <v/>
      </c>
      <c r="B77" s="17">
        <f>IF(A77&lt;&gt;"",VLOOKUP(A77,'Role Inventory'!$A:$B,2,FALSE),"")</f>
        <v/>
      </c>
      <c r="C77" s="17">
        <f>IF(A77&lt;&gt;"",VLOOKUP(A77,'Role Inventory'!$A:$C,3,FALSE),"")</f>
        <v/>
      </c>
      <c r="D77" s="15" t="n"/>
      <c r="E77" s="15" t="n"/>
      <c r="F77" s="16" t="n"/>
      <c r="G77" s="15" t="n"/>
      <c r="H77" s="15" t="n"/>
      <c r="I77" s="15" t="n"/>
      <c r="J77" s="17">
        <f>IF(B77="","",IF(AND(D77&lt;&gt;"",G77="Complete",H77="Yes"),"Filled",IF(D77="","Vacant",IF(OR(G77="Missing",H77="No"),"Pending-Documentation","Pending"))))</f>
        <v/>
      </c>
      <c r="K77" s="15" t="n"/>
      <c r="L77" s="15" t="n"/>
      <c r="M77" s="16" t="n"/>
      <c r="N77" s="15" t="n"/>
      <c r="O77" s="15" t="n"/>
    </row>
    <row r="78">
      <c r="A78" s="17">
        <f>IF(ROW()-4&lt;=COUNTA('Role Inventory'!$A:$A)-4,INDEX('Role Inventory'!$A:$A,ROW()-3),"")</f>
        <v/>
      </c>
      <c r="B78" s="17">
        <f>IF(A78&lt;&gt;"",VLOOKUP(A78,'Role Inventory'!$A:$B,2,FALSE),"")</f>
        <v/>
      </c>
      <c r="C78" s="17">
        <f>IF(A78&lt;&gt;"",VLOOKUP(A78,'Role Inventory'!$A:$C,3,FALSE),"")</f>
        <v/>
      </c>
      <c r="D78" s="15" t="n"/>
      <c r="E78" s="15" t="n"/>
      <c r="F78" s="16" t="n"/>
      <c r="G78" s="15" t="n"/>
      <c r="H78" s="15" t="n"/>
      <c r="I78" s="15" t="n"/>
      <c r="J78" s="17">
        <f>IF(B78="","",IF(AND(D78&lt;&gt;"",G78="Complete",H78="Yes"),"Filled",IF(D78="","Vacant",IF(OR(G78="Missing",H78="No"),"Pending-Documentation","Pending"))))</f>
        <v/>
      </c>
      <c r="K78" s="15" t="n"/>
      <c r="L78" s="15" t="n"/>
      <c r="M78" s="16" t="n"/>
      <c r="N78" s="15" t="n"/>
      <c r="O78" s="15" t="n"/>
    </row>
    <row r="79">
      <c r="A79" s="17">
        <f>IF(ROW()-4&lt;=COUNTA('Role Inventory'!$A:$A)-4,INDEX('Role Inventory'!$A:$A,ROW()-3),"")</f>
        <v/>
      </c>
      <c r="B79" s="17">
        <f>IF(A79&lt;&gt;"",VLOOKUP(A79,'Role Inventory'!$A:$B,2,FALSE),"")</f>
        <v/>
      </c>
      <c r="C79" s="17">
        <f>IF(A79&lt;&gt;"",VLOOKUP(A79,'Role Inventory'!$A:$C,3,FALSE),"")</f>
        <v/>
      </c>
      <c r="D79" s="15" t="n"/>
      <c r="E79" s="15" t="n"/>
      <c r="F79" s="16" t="n"/>
      <c r="G79" s="15" t="n"/>
      <c r="H79" s="15" t="n"/>
      <c r="I79" s="15" t="n"/>
      <c r="J79" s="17">
        <f>IF(B79="","",IF(AND(D79&lt;&gt;"",G79="Complete",H79="Yes"),"Filled",IF(D79="","Vacant",IF(OR(G79="Missing",H79="No"),"Pending-Documentation","Pending"))))</f>
        <v/>
      </c>
      <c r="K79" s="15" t="n"/>
      <c r="L79" s="15" t="n"/>
      <c r="M79" s="16" t="n"/>
      <c r="N79" s="15" t="n"/>
      <c r="O79" s="15" t="n"/>
    </row>
    <row r="80">
      <c r="A80" s="17">
        <f>IF(ROW()-4&lt;=COUNTA('Role Inventory'!$A:$A)-4,INDEX('Role Inventory'!$A:$A,ROW()-3),"")</f>
        <v/>
      </c>
      <c r="B80" s="17">
        <f>IF(A80&lt;&gt;"",VLOOKUP(A80,'Role Inventory'!$A:$B,2,FALSE),"")</f>
        <v/>
      </c>
      <c r="C80" s="17">
        <f>IF(A80&lt;&gt;"",VLOOKUP(A80,'Role Inventory'!$A:$C,3,FALSE),"")</f>
        <v/>
      </c>
      <c r="D80" s="15" t="n"/>
      <c r="E80" s="15" t="n"/>
      <c r="F80" s="16" t="n"/>
      <c r="G80" s="15" t="n"/>
      <c r="H80" s="15" t="n"/>
      <c r="I80" s="15" t="n"/>
      <c r="J80" s="17">
        <f>IF(B80="","",IF(AND(D80&lt;&gt;"",G80="Complete",H80="Yes"),"Filled",IF(D80="","Vacant",IF(OR(G80="Missing",H80="No"),"Pending-Documentation","Pending"))))</f>
        <v/>
      </c>
      <c r="K80" s="15" t="n"/>
      <c r="L80" s="15" t="n"/>
      <c r="M80" s="16" t="n"/>
      <c r="N80" s="15" t="n"/>
      <c r="O80" s="15" t="n"/>
    </row>
    <row r="81">
      <c r="A81" s="17">
        <f>IF(ROW()-4&lt;=COUNTA('Role Inventory'!$A:$A)-4,INDEX('Role Inventory'!$A:$A,ROW()-3),"")</f>
        <v/>
      </c>
      <c r="B81" s="17">
        <f>IF(A81&lt;&gt;"",VLOOKUP(A81,'Role Inventory'!$A:$B,2,FALSE),"")</f>
        <v/>
      </c>
      <c r="C81" s="17">
        <f>IF(A81&lt;&gt;"",VLOOKUP(A81,'Role Inventory'!$A:$C,3,FALSE),"")</f>
        <v/>
      </c>
      <c r="D81" s="15" t="n"/>
      <c r="E81" s="15" t="n"/>
      <c r="F81" s="16" t="n"/>
      <c r="G81" s="15" t="n"/>
      <c r="H81" s="15" t="n"/>
      <c r="I81" s="15" t="n"/>
      <c r="J81" s="17">
        <f>IF(B81="","",IF(AND(D81&lt;&gt;"",G81="Complete",H81="Yes"),"Filled",IF(D81="","Vacant",IF(OR(G81="Missing",H81="No"),"Pending-Documentation","Pending"))))</f>
        <v/>
      </c>
      <c r="K81" s="15" t="n"/>
      <c r="L81" s="15" t="n"/>
      <c r="M81" s="16" t="n"/>
      <c r="N81" s="15" t="n"/>
      <c r="O81" s="15" t="n"/>
    </row>
    <row r="82">
      <c r="A82" s="17">
        <f>IF(ROW()-4&lt;=COUNTA('Role Inventory'!$A:$A)-4,INDEX('Role Inventory'!$A:$A,ROW()-3),"")</f>
        <v/>
      </c>
      <c r="B82" s="17">
        <f>IF(A82&lt;&gt;"",VLOOKUP(A82,'Role Inventory'!$A:$B,2,FALSE),"")</f>
        <v/>
      </c>
      <c r="C82" s="17">
        <f>IF(A82&lt;&gt;"",VLOOKUP(A82,'Role Inventory'!$A:$C,3,FALSE),"")</f>
        <v/>
      </c>
      <c r="D82" s="15" t="n"/>
      <c r="E82" s="15" t="n"/>
      <c r="F82" s="16" t="n"/>
      <c r="G82" s="15" t="n"/>
      <c r="H82" s="15" t="n"/>
      <c r="I82" s="15" t="n"/>
      <c r="J82" s="17">
        <f>IF(B82="","",IF(AND(D82&lt;&gt;"",G82="Complete",H82="Yes"),"Filled",IF(D82="","Vacant",IF(OR(G82="Missing",H82="No"),"Pending-Documentation","Pending"))))</f>
        <v/>
      </c>
      <c r="K82" s="15" t="n"/>
      <c r="L82" s="15" t="n"/>
      <c r="M82" s="16" t="n"/>
      <c r="N82" s="15" t="n"/>
      <c r="O82" s="15" t="n"/>
    </row>
    <row r="83">
      <c r="A83" s="17">
        <f>IF(ROW()-4&lt;=COUNTA('Role Inventory'!$A:$A)-4,INDEX('Role Inventory'!$A:$A,ROW()-3),"")</f>
        <v/>
      </c>
      <c r="B83" s="17">
        <f>IF(A83&lt;&gt;"",VLOOKUP(A83,'Role Inventory'!$A:$B,2,FALSE),"")</f>
        <v/>
      </c>
      <c r="C83" s="17">
        <f>IF(A83&lt;&gt;"",VLOOKUP(A83,'Role Inventory'!$A:$C,3,FALSE),"")</f>
        <v/>
      </c>
      <c r="D83" s="15" t="n"/>
      <c r="E83" s="15" t="n"/>
      <c r="F83" s="16" t="n"/>
      <c r="G83" s="15" t="n"/>
      <c r="H83" s="15" t="n"/>
      <c r="I83" s="15" t="n"/>
      <c r="J83" s="17">
        <f>IF(B83="","",IF(AND(D83&lt;&gt;"",G83="Complete",H83="Yes"),"Filled",IF(D83="","Vacant",IF(OR(G83="Missing",H83="No"),"Pending-Documentation","Pending"))))</f>
        <v/>
      </c>
      <c r="K83" s="15" t="n"/>
      <c r="L83" s="15" t="n"/>
      <c r="M83" s="16" t="n"/>
      <c r="N83" s="15" t="n"/>
      <c r="O83" s="15" t="n"/>
    </row>
    <row r="84">
      <c r="A84" s="17">
        <f>IF(ROW()-4&lt;=COUNTA('Role Inventory'!$A:$A)-4,INDEX('Role Inventory'!$A:$A,ROW()-3),"")</f>
        <v/>
      </c>
      <c r="B84" s="17">
        <f>IF(A84&lt;&gt;"",VLOOKUP(A84,'Role Inventory'!$A:$B,2,FALSE),"")</f>
        <v/>
      </c>
      <c r="C84" s="17">
        <f>IF(A84&lt;&gt;"",VLOOKUP(A84,'Role Inventory'!$A:$C,3,FALSE),"")</f>
        <v/>
      </c>
      <c r="D84" s="15" t="n"/>
      <c r="E84" s="15" t="n"/>
      <c r="F84" s="16" t="n"/>
      <c r="G84" s="15" t="n"/>
      <c r="H84" s="15" t="n"/>
      <c r="I84" s="15" t="n"/>
      <c r="J84" s="17">
        <f>IF(B84="","",IF(AND(D84&lt;&gt;"",G84="Complete",H84="Yes"),"Filled",IF(D84="","Vacant",IF(OR(G84="Missing",H84="No"),"Pending-Documentation","Pending"))))</f>
        <v/>
      </c>
      <c r="K84" s="15" t="n"/>
      <c r="L84" s="15" t="n"/>
      <c r="M84" s="16" t="n"/>
      <c r="N84" s="15" t="n"/>
      <c r="O84" s="15" t="n"/>
    </row>
    <row r="85">
      <c r="A85" s="17">
        <f>IF(ROW()-4&lt;=COUNTA('Role Inventory'!$A:$A)-4,INDEX('Role Inventory'!$A:$A,ROW()-3),"")</f>
        <v/>
      </c>
      <c r="B85" s="17">
        <f>IF(A85&lt;&gt;"",VLOOKUP(A85,'Role Inventory'!$A:$B,2,FALSE),"")</f>
        <v/>
      </c>
      <c r="C85" s="17">
        <f>IF(A85&lt;&gt;"",VLOOKUP(A85,'Role Inventory'!$A:$C,3,FALSE),"")</f>
        <v/>
      </c>
      <c r="D85" s="15" t="n"/>
      <c r="E85" s="15" t="n"/>
      <c r="F85" s="16" t="n"/>
      <c r="G85" s="15" t="n"/>
      <c r="H85" s="15" t="n"/>
      <c r="I85" s="15" t="n"/>
      <c r="J85" s="17">
        <f>IF(B85="","",IF(AND(D85&lt;&gt;"",G85="Complete",H85="Yes"),"Filled",IF(D85="","Vacant",IF(OR(G85="Missing",H85="No"),"Pending-Documentation","Pending"))))</f>
        <v/>
      </c>
      <c r="K85" s="15" t="n"/>
      <c r="L85" s="15" t="n"/>
      <c r="M85" s="16" t="n"/>
      <c r="N85" s="15" t="n"/>
      <c r="O85" s="15" t="n"/>
    </row>
    <row r="86">
      <c r="A86" s="17">
        <f>IF(ROW()-4&lt;=COUNTA('Role Inventory'!$A:$A)-4,INDEX('Role Inventory'!$A:$A,ROW()-3),"")</f>
        <v/>
      </c>
      <c r="B86" s="17">
        <f>IF(A86&lt;&gt;"",VLOOKUP(A86,'Role Inventory'!$A:$B,2,FALSE),"")</f>
        <v/>
      </c>
      <c r="C86" s="17">
        <f>IF(A86&lt;&gt;"",VLOOKUP(A86,'Role Inventory'!$A:$C,3,FALSE),"")</f>
        <v/>
      </c>
      <c r="D86" s="15" t="n"/>
      <c r="E86" s="15" t="n"/>
      <c r="F86" s="16" t="n"/>
      <c r="G86" s="15" t="n"/>
      <c r="H86" s="15" t="n"/>
      <c r="I86" s="15" t="n"/>
      <c r="J86" s="17">
        <f>IF(B86="","",IF(AND(D86&lt;&gt;"",G86="Complete",H86="Yes"),"Filled",IF(D86="","Vacant",IF(OR(G86="Missing",H86="No"),"Pending-Documentation","Pending"))))</f>
        <v/>
      </c>
      <c r="K86" s="15" t="n"/>
      <c r="L86" s="15" t="n"/>
      <c r="M86" s="16" t="n"/>
      <c r="N86" s="15" t="n"/>
      <c r="O86" s="15" t="n"/>
    </row>
    <row r="87">
      <c r="A87" s="17">
        <f>IF(ROW()-4&lt;=COUNTA('Role Inventory'!$A:$A)-4,INDEX('Role Inventory'!$A:$A,ROW()-3),"")</f>
        <v/>
      </c>
      <c r="B87" s="17">
        <f>IF(A87&lt;&gt;"",VLOOKUP(A87,'Role Inventory'!$A:$B,2,FALSE),"")</f>
        <v/>
      </c>
      <c r="C87" s="17">
        <f>IF(A87&lt;&gt;"",VLOOKUP(A87,'Role Inventory'!$A:$C,3,FALSE),"")</f>
        <v/>
      </c>
      <c r="D87" s="15" t="n"/>
      <c r="E87" s="15" t="n"/>
      <c r="F87" s="16" t="n"/>
      <c r="G87" s="15" t="n"/>
      <c r="H87" s="15" t="n"/>
      <c r="I87" s="15" t="n"/>
      <c r="J87" s="17">
        <f>IF(B87="","",IF(AND(D87&lt;&gt;"",G87="Complete",H87="Yes"),"Filled",IF(D87="","Vacant",IF(OR(G87="Missing",H87="No"),"Pending-Documentation","Pending"))))</f>
        <v/>
      </c>
      <c r="K87" s="15" t="n"/>
      <c r="L87" s="15" t="n"/>
      <c r="M87" s="16" t="n"/>
      <c r="N87" s="15" t="n"/>
      <c r="O87" s="15" t="n"/>
    </row>
    <row r="88">
      <c r="A88" s="17">
        <f>IF(ROW()-4&lt;=COUNTA('Role Inventory'!$A:$A)-4,INDEX('Role Inventory'!$A:$A,ROW()-3),"")</f>
        <v/>
      </c>
      <c r="B88" s="17">
        <f>IF(A88&lt;&gt;"",VLOOKUP(A88,'Role Inventory'!$A:$B,2,FALSE),"")</f>
        <v/>
      </c>
      <c r="C88" s="17">
        <f>IF(A88&lt;&gt;"",VLOOKUP(A88,'Role Inventory'!$A:$C,3,FALSE),"")</f>
        <v/>
      </c>
      <c r="D88" s="15" t="n"/>
      <c r="E88" s="15" t="n"/>
      <c r="F88" s="16" t="n"/>
      <c r="G88" s="15" t="n"/>
      <c r="H88" s="15" t="n"/>
      <c r="I88" s="15" t="n"/>
      <c r="J88" s="17">
        <f>IF(B88="","",IF(AND(D88&lt;&gt;"",G88="Complete",H88="Yes"),"Filled",IF(D88="","Vacant",IF(OR(G88="Missing",H88="No"),"Pending-Documentation","Pending"))))</f>
        <v/>
      </c>
      <c r="K88" s="15" t="n"/>
      <c r="L88" s="15" t="n"/>
      <c r="M88" s="16" t="n"/>
      <c r="N88" s="15" t="n"/>
      <c r="O88" s="15" t="n"/>
    </row>
    <row r="89">
      <c r="A89" s="17">
        <f>IF(ROW()-4&lt;=COUNTA('Role Inventory'!$A:$A)-4,INDEX('Role Inventory'!$A:$A,ROW()-3),"")</f>
        <v/>
      </c>
      <c r="B89" s="17">
        <f>IF(A89&lt;&gt;"",VLOOKUP(A89,'Role Inventory'!$A:$B,2,FALSE),"")</f>
        <v/>
      </c>
      <c r="C89" s="17">
        <f>IF(A89&lt;&gt;"",VLOOKUP(A89,'Role Inventory'!$A:$C,3,FALSE),"")</f>
        <v/>
      </c>
      <c r="D89" s="15" t="n"/>
      <c r="E89" s="15" t="n"/>
      <c r="F89" s="16" t="n"/>
      <c r="G89" s="15" t="n"/>
      <c r="H89" s="15" t="n"/>
      <c r="I89" s="15" t="n"/>
      <c r="J89" s="17">
        <f>IF(B89="","",IF(AND(D89&lt;&gt;"",G89="Complete",H89="Yes"),"Filled",IF(D89="","Vacant",IF(OR(G89="Missing",H89="No"),"Pending-Documentation","Pending"))))</f>
        <v/>
      </c>
      <c r="K89" s="15" t="n"/>
      <c r="L89" s="15" t="n"/>
      <c r="M89" s="16" t="n"/>
      <c r="N89" s="15" t="n"/>
      <c r="O89" s="15" t="n"/>
    </row>
    <row r="90">
      <c r="A90" s="17">
        <f>IF(ROW()-4&lt;=COUNTA('Role Inventory'!$A:$A)-4,INDEX('Role Inventory'!$A:$A,ROW()-3),"")</f>
        <v/>
      </c>
      <c r="B90" s="17">
        <f>IF(A90&lt;&gt;"",VLOOKUP(A90,'Role Inventory'!$A:$B,2,FALSE),"")</f>
        <v/>
      </c>
      <c r="C90" s="17">
        <f>IF(A90&lt;&gt;"",VLOOKUP(A90,'Role Inventory'!$A:$C,3,FALSE),"")</f>
        <v/>
      </c>
      <c r="D90" s="15" t="n"/>
      <c r="E90" s="15" t="n"/>
      <c r="F90" s="16" t="n"/>
      <c r="G90" s="15" t="n"/>
      <c r="H90" s="15" t="n"/>
      <c r="I90" s="15" t="n"/>
      <c r="J90" s="17">
        <f>IF(B90="","",IF(AND(D90&lt;&gt;"",G90="Complete",H90="Yes"),"Filled",IF(D90="","Vacant",IF(OR(G90="Missing",H90="No"),"Pending-Documentation","Pending"))))</f>
        <v/>
      </c>
      <c r="K90" s="15" t="n"/>
      <c r="L90" s="15" t="n"/>
      <c r="M90" s="16" t="n"/>
      <c r="N90" s="15" t="n"/>
      <c r="O90" s="15" t="n"/>
    </row>
    <row r="91">
      <c r="A91" s="17">
        <f>IF(ROW()-4&lt;=COUNTA('Role Inventory'!$A:$A)-4,INDEX('Role Inventory'!$A:$A,ROW()-3),"")</f>
        <v/>
      </c>
      <c r="B91" s="17">
        <f>IF(A91&lt;&gt;"",VLOOKUP(A91,'Role Inventory'!$A:$B,2,FALSE),"")</f>
        <v/>
      </c>
      <c r="C91" s="17">
        <f>IF(A91&lt;&gt;"",VLOOKUP(A91,'Role Inventory'!$A:$C,3,FALSE),"")</f>
        <v/>
      </c>
      <c r="D91" s="15" t="n"/>
      <c r="E91" s="15" t="n"/>
      <c r="F91" s="16" t="n"/>
      <c r="G91" s="15" t="n"/>
      <c r="H91" s="15" t="n"/>
      <c r="I91" s="15" t="n"/>
      <c r="J91" s="17">
        <f>IF(B91="","",IF(AND(D91&lt;&gt;"",G91="Complete",H91="Yes"),"Filled",IF(D91="","Vacant",IF(OR(G91="Missing",H91="No"),"Pending-Documentation","Pending"))))</f>
        <v/>
      </c>
      <c r="K91" s="15" t="n"/>
      <c r="L91" s="15" t="n"/>
      <c r="M91" s="16" t="n"/>
      <c r="N91" s="15" t="n"/>
      <c r="O91" s="15" t="n"/>
    </row>
    <row r="92">
      <c r="A92" s="17">
        <f>IF(ROW()-4&lt;=COUNTA('Role Inventory'!$A:$A)-4,INDEX('Role Inventory'!$A:$A,ROW()-3),"")</f>
        <v/>
      </c>
      <c r="B92" s="17">
        <f>IF(A92&lt;&gt;"",VLOOKUP(A92,'Role Inventory'!$A:$B,2,FALSE),"")</f>
        <v/>
      </c>
      <c r="C92" s="17">
        <f>IF(A92&lt;&gt;"",VLOOKUP(A92,'Role Inventory'!$A:$C,3,FALSE),"")</f>
        <v/>
      </c>
      <c r="D92" s="15" t="n"/>
      <c r="E92" s="15" t="n"/>
      <c r="F92" s="16" t="n"/>
      <c r="G92" s="15" t="n"/>
      <c r="H92" s="15" t="n"/>
      <c r="I92" s="15" t="n"/>
      <c r="J92" s="17">
        <f>IF(B92="","",IF(AND(D92&lt;&gt;"",G92="Complete",H92="Yes"),"Filled",IF(D92="","Vacant",IF(OR(G92="Missing",H92="No"),"Pending-Documentation","Pending"))))</f>
        <v/>
      </c>
      <c r="K92" s="15" t="n"/>
      <c r="L92" s="15" t="n"/>
      <c r="M92" s="16" t="n"/>
      <c r="N92" s="15" t="n"/>
      <c r="O92" s="15" t="n"/>
    </row>
    <row r="93">
      <c r="A93" s="17">
        <f>IF(ROW()-4&lt;=COUNTA('Role Inventory'!$A:$A)-4,INDEX('Role Inventory'!$A:$A,ROW()-3),"")</f>
        <v/>
      </c>
      <c r="B93" s="17">
        <f>IF(A93&lt;&gt;"",VLOOKUP(A93,'Role Inventory'!$A:$B,2,FALSE),"")</f>
        <v/>
      </c>
      <c r="C93" s="17">
        <f>IF(A93&lt;&gt;"",VLOOKUP(A93,'Role Inventory'!$A:$C,3,FALSE),"")</f>
        <v/>
      </c>
      <c r="D93" s="15" t="n"/>
      <c r="E93" s="15" t="n"/>
      <c r="F93" s="16" t="n"/>
      <c r="G93" s="15" t="n"/>
      <c r="H93" s="15" t="n"/>
      <c r="I93" s="15" t="n"/>
      <c r="J93" s="17">
        <f>IF(B93="","",IF(AND(D93&lt;&gt;"",G93="Complete",H93="Yes"),"Filled",IF(D93="","Vacant",IF(OR(G93="Missing",H93="No"),"Pending-Documentation","Pending"))))</f>
        <v/>
      </c>
      <c r="K93" s="15" t="n"/>
      <c r="L93" s="15" t="n"/>
      <c r="M93" s="16" t="n"/>
      <c r="N93" s="15" t="n"/>
      <c r="O93" s="15" t="n"/>
    </row>
    <row r="94">
      <c r="A94" s="17">
        <f>IF(ROW()-4&lt;=COUNTA('Role Inventory'!$A:$A)-4,INDEX('Role Inventory'!$A:$A,ROW()-3),"")</f>
        <v/>
      </c>
      <c r="B94" s="17">
        <f>IF(A94&lt;&gt;"",VLOOKUP(A94,'Role Inventory'!$A:$B,2,FALSE),"")</f>
        <v/>
      </c>
      <c r="C94" s="17">
        <f>IF(A94&lt;&gt;"",VLOOKUP(A94,'Role Inventory'!$A:$C,3,FALSE),"")</f>
        <v/>
      </c>
      <c r="D94" s="15" t="n"/>
      <c r="E94" s="15" t="n"/>
      <c r="F94" s="16" t="n"/>
      <c r="G94" s="15" t="n"/>
      <c r="H94" s="15" t="n"/>
      <c r="I94" s="15" t="n"/>
      <c r="J94" s="17">
        <f>IF(B94="","",IF(AND(D94&lt;&gt;"",G94="Complete",H94="Yes"),"Filled",IF(D94="","Vacant",IF(OR(G94="Missing",H94="No"),"Pending-Documentation","Pending"))))</f>
        <v/>
      </c>
      <c r="K94" s="15" t="n"/>
      <c r="L94" s="15" t="n"/>
      <c r="M94" s="16" t="n"/>
      <c r="N94" s="15" t="n"/>
      <c r="O94" s="15" t="n"/>
    </row>
    <row r="95">
      <c r="A95" s="17">
        <f>IF(ROW()-4&lt;=COUNTA('Role Inventory'!$A:$A)-4,INDEX('Role Inventory'!$A:$A,ROW()-3),"")</f>
        <v/>
      </c>
      <c r="B95" s="17">
        <f>IF(A95&lt;&gt;"",VLOOKUP(A95,'Role Inventory'!$A:$B,2,FALSE),"")</f>
        <v/>
      </c>
      <c r="C95" s="17">
        <f>IF(A95&lt;&gt;"",VLOOKUP(A95,'Role Inventory'!$A:$C,3,FALSE),"")</f>
        <v/>
      </c>
      <c r="D95" s="15" t="n"/>
      <c r="E95" s="15" t="n"/>
      <c r="F95" s="16" t="n"/>
      <c r="G95" s="15" t="n"/>
      <c r="H95" s="15" t="n"/>
      <c r="I95" s="15" t="n"/>
      <c r="J95" s="17">
        <f>IF(B95="","",IF(AND(D95&lt;&gt;"",G95="Complete",H95="Yes"),"Filled",IF(D95="","Vacant",IF(OR(G95="Missing",H95="No"),"Pending-Documentation","Pending"))))</f>
        <v/>
      </c>
      <c r="K95" s="15" t="n"/>
      <c r="L95" s="15" t="n"/>
      <c r="M95" s="16" t="n"/>
      <c r="N95" s="15" t="n"/>
      <c r="O95" s="15" t="n"/>
    </row>
    <row r="96">
      <c r="A96" s="17">
        <f>IF(ROW()-4&lt;=COUNTA('Role Inventory'!$A:$A)-4,INDEX('Role Inventory'!$A:$A,ROW()-3),"")</f>
        <v/>
      </c>
      <c r="B96" s="17">
        <f>IF(A96&lt;&gt;"",VLOOKUP(A96,'Role Inventory'!$A:$B,2,FALSE),"")</f>
        <v/>
      </c>
      <c r="C96" s="17">
        <f>IF(A96&lt;&gt;"",VLOOKUP(A96,'Role Inventory'!$A:$C,3,FALSE),"")</f>
        <v/>
      </c>
      <c r="D96" s="15" t="n"/>
      <c r="E96" s="15" t="n"/>
      <c r="F96" s="16" t="n"/>
      <c r="G96" s="15" t="n"/>
      <c r="H96" s="15" t="n"/>
      <c r="I96" s="15" t="n"/>
      <c r="J96" s="17">
        <f>IF(B96="","",IF(AND(D96&lt;&gt;"",G96="Complete",H96="Yes"),"Filled",IF(D96="","Vacant",IF(OR(G96="Missing",H96="No"),"Pending-Documentation","Pending"))))</f>
        <v/>
      </c>
      <c r="K96" s="15" t="n"/>
      <c r="L96" s="15" t="n"/>
      <c r="M96" s="16" t="n"/>
      <c r="N96" s="15" t="n"/>
      <c r="O96" s="15" t="n"/>
    </row>
    <row r="97">
      <c r="A97" s="17">
        <f>IF(ROW()-4&lt;=COUNTA('Role Inventory'!$A:$A)-4,INDEX('Role Inventory'!$A:$A,ROW()-3),"")</f>
        <v/>
      </c>
      <c r="B97" s="17">
        <f>IF(A97&lt;&gt;"",VLOOKUP(A97,'Role Inventory'!$A:$B,2,FALSE),"")</f>
        <v/>
      </c>
      <c r="C97" s="17">
        <f>IF(A97&lt;&gt;"",VLOOKUP(A97,'Role Inventory'!$A:$C,3,FALSE),"")</f>
        <v/>
      </c>
      <c r="D97" s="15" t="n"/>
      <c r="E97" s="15" t="n"/>
      <c r="F97" s="16" t="n"/>
      <c r="G97" s="15" t="n"/>
      <c r="H97" s="15" t="n"/>
      <c r="I97" s="15" t="n"/>
      <c r="J97" s="17">
        <f>IF(B97="","",IF(AND(D97&lt;&gt;"",G97="Complete",H97="Yes"),"Filled",IF(D97="","Vacant",IF(OR(G97="Missing",H97="No"),"Pending-Documentation","Pending"))))</f>
        <v/>
      </c>
      <c r="K97" s="15" t="n"/>
      <c r="L97" s="15" t="n"/>
      <c r="M97" s="16" t="n"/>
      <c r="N97" s="15" t="n"/>
      <c r="O97" s="15" t="n"/>
    </row>
    <row r="98">
      <c r="A98" s="17">
        <f>IF(ROW()-4&lt;=COUNTA('Role Inventory'!$A:$A)-4,INDEX('Role Inventory'!$A:$A,ROW()-3),"")</f>
        <v/>
      </c>
      <c r="B98" s="17">
        <f>IF(A98&lt;&gt;"",VLOOKUP(A98,'Role Inventory'!$A:$B,2,FALSE),"")</f>
        <v/>
      </c>
      <c r="C98" s="17">
        <f>IF(A98&lt;&gt;"",VLOOKUP(A98,'Role Inventory'!$A:$C,3,FALSE),"")</f>
        <v/>
      </c>
      <c r="D98" s="15" t="n"/>
      <c r="E98" s="15" t="n"/>
      <c r="F98" s="16" t="n"/>
      <c r="G98" s="15" t="n"/>
      <c r="H98" s="15" t="n"/>
      <c r="I98" s="15" t="n"/>
      <c r="J98" s="17">
        <f>IF(B98="","",IF(AND(D98&lt;&gt;"",G98="Complete",H98="Yes"),"Filled",IF(D98="","Vacant",IF(OR(G98="Missing",H98="No"),"Pending-Documentation","Pending"))))</f>
        <v/>
      </c>
      <c r="K98" s="15" t="n"/>
      <c r="L98" s="15" t="n"/>
      <c r="M98" s="16" t="n"/>
      <c r="N98" s="15" t="n"/>
      <c r="O98" s="15" t="n"/>
    </row>
    <row r="99">
      <c r="A99" s="17">
        <f>IF(ROW()-4&lt;=COUNTA('Role Inventory'!$A:$A)-4,INDEX('Role Inventory'!$A:$A,ROW()-3),"")</f>
        <v/>
      </c>
      <c r="B99" s="17">
        <f>IF(A99&lt;&gt;"",VLOOKUP(A99,'Role Inventory'!$A:$B,2,FALSE),"")</f>
        <v/>
      </c>
      <c r="C99" s="17">
        <f>IF(A99&lt;&gt;"",VLOOKUP(A99,'Role Inventory'!$A:$C,3,FALSE),"")</f>
        <v/>
      </c>
      <c r="D99" s="15" t="n"/>
      <c r="E99" s="15" t="n"/>
      <c r="F99" s="16" t="n"/>
      <c r="G99" s="15" t="n"/>
      <c r="H99" s="15" t="n"/>
      <c r="I99" s="15" t="n"/>
      <c r="J99" s="17">
        <f>IF(B99="","",IF(AND(D99&lt;&gt;"",G99="Complete",H99="Yes"),"Filled",IF(D99="","Vacant",IF(OR(G99="Missing",H99="No"),"Pending-Documentation","Pending"))))</f>
        <v/>
      </c>
      <c r="K99" s="15" t="n"/>
      <c r="L99" s="15" t="n"/>
      <c r="M99" s="16" t="n"/>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6" t="n"/>
      <c r="G100" s="15" t="n"/>
      <c r="H100" s="15" t="n"/>
      <c r="I100" s="15" t="n"/>
      <c r="J100" s="17">
        <f>IF(B100="","",IF(AND(D100&lt;&gt;"",G100="Complete",H100="Yes"),"Filled",IF(D100="","Vacant",IF(OR(G100="Missing",H100="No"),"Pending-Documentation","Pending"))))</f>
        <v/>
      </c>
      <c r="K100" s="15" t="n"/>
      <c r="L100" s="15" t="n"/>
      <c r="M100" s="16" t="n"/>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6" t="n"/>
      <c r="G101" s="15" t="n"/>
      <c r="H101" s="15" t="n"/>
      <c r="I101" s="15" t="n"/>
      <c r="J101" s="17">
        <f>IF(B101="","",IF(AND(D101&lt;&gt;"",G101="Complete",H101="Yes"),"Filled",IF(D101="","Vacant",IF(OR(G101="Missing",H101="No"),"Pending-Documentation","Pending"))))</f>
        <v/>
      </c>
      <c r="K101" s="15" t="n"/>
      <c r="L101" s="15" t="n"/>
      <c r="M101" s="16" t="n"/>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6" t="n"/>
      <c r="G102" s="15" t="n"/>
      <c r="H102" s="15" t="n"/>
      <c r="I102" s="15" t="n"/>
      <c r="J102" s="17">
        <f>IF(B102="","",IF(AND(D102&lt;&gt;"",G102="Complete",H102="Yes"),"Filled",IF(D102="","Vacant",IF(OR(G102="Missing",H102="No"),"Pending-Documentation","Pending"))))</f>
        <v/>
      </c>
      <c r="K102" s="15" t="n"/>
      <c r="L102" s="15" t="n"/>
      <c r="M102" s="16" t="n"/>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6" t="n"/>
      <c r="G103" s="15" t="n"/>
      <c r="H103" s="15" t="n"/>
      <c r="I103" s="15" t="n"/>
      <c r="J103" s="17">
        <f>IF(B103="","",IF(AND(D103&lt;&gt;"",G103="Complete",H103="Yes"),"Filled",IF(D103="","Vacant",IF(OR(G103="Missing",H103="No"),"Pending-Documentation","Pending"))))</f>
        <v/>
      </c>
      <c r="K103" s="15" t="n"/>
      <c r="L103" s="15" t="n"/>
      <c r="M103" s="16" t="n"/>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6" t="n"/>
      <c r="G104" s="15" t="n"/>
      <c r="H104" s="15" t="n"/>
      <c r="I104" s="15" t="n"/>
      <c r="J104" s="17">
        <f>IF(B104="","",IF(AND(D104&lt;&gt;"",G104="Complete",H104="Yes"),"Filled",IF(D104="","Vacant",IF(OR(G104="Missing",H104="No"),"Pending-Documentation","Pending"))))</f>
        <v/>
      </c>
      <c r="K104" s="15" t="n"/>
      <c r="L104" s="15" t="n"/>
      <c r="M104" s="16" t="n"/>
      <c r="N104" s="15" t="n"/>
      <c r="O104" s="15" t="n"/>
    </row>
  </sheetData>
  <mergeCells count="2">
    <mergeCell ref="A1:O1"/>
    <mergeCell ref="A2:O2"/>
  </mergeCells>
  <dataValidations count="4">
    <dataValidation sqref="G5:G104" showDropDown="0" showInputMessage="0" showErrorMessage="1" allowBlank="1" errorTitle="Invalid Entry" error="Please select from dropdown" type="list">
      <formula1>"Complete,Partial,Missing"</formula1>
    </dataValidation>
    <dataValidation sqref="H5:H104" showDropDown="0" showInputMessage="0" showErrorMessage="1" allowBlank="1" errorTitle="Invalid Entry" error="Please select from dropdown" type="list">
      <formula1>"Yes,Pending,No"</formula1>
    </dataValidation>
    <dataValidation sqref="I5:I104" showDropDown="0" showInputMessage="0" showErrorMessage="1" allowBlank="1" errorTitle="Invalid Entry" error="Please select from dropdown" type="list">
      <formula1>"Completed,In-Progress,Not-Started,Not-Required,Expired"</formula1>
    </dataValidation>
    <dataValidation sqref="L5:L54" showDropDown="0" showInputMessage="0" showErrorMessage="1" allowBlank="1" errorTitle="Invalid Entry" error="Please select from dropdown" type="list">
      <formula1>"Assigned,Pending,Not-Assigned,N/A"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12" customWidth="1" min="5" max="5"/>
    <col width="12" customWidth="1" min="6" max="6"/>
    <col width="25" customWidth="1" min="7" max="7"/>
    <col width="12" customWidth="1" min="8" max="8"/>
    <col width="12" customWidth="1" min="9" max="9"/>
    <col width="25" customWidth="1" min="10" max="10"/>
    <col width="12" customWidth="1" min="11" max="11"/>
    <col width="15" customWidth="1" min="12" max="12"/>
    <col width="12" customWidth="1" min="13" max="13"/>
    <col width="20" customWidth="1" min="14" max="14"/>
    <col width="40" customWidth="1" min="15" max="15"/>
    <col width="30" customWidth="1" min="16" max="16"/>
  </cols>
  <sheetData>
    <row r="1" ht="35" customHeight="1">
      <c r="A1" s="11" t="inlineStr">
        <is>
          <t>TRAINING ASSESSMENT</t>
        </is>
      </c>
    </row>
    <row r="2">
      <c r="A2" s="12" t="inlineStr">
        <is>
          <t>Role-specific training requirements and completion verification</t>
        </is>
      </c>
    </row>
    <row r="4">
      <c r="A4" s="13" t="inlineStr">
        <is>
          <t>Role ID</t>
        </is>
      </c>
      <c r="B4" s="13" t="inlineStr">
        <is>
          <t>Role Title</t>
        </is>
      </c>
      <c r="C4" s="13" t="inlineStr">
        <is>
          <t>Role Holder Name</t>
        </is>
      </c>
      <c r="D4" s="13" t="inlineStr">
        <is>
          <t>Required Training 1</t>
        </is>
      </c>
      <c r="E4" s="13" t="inlineStr">
        <is>
          <t>Training 1 Status</t>
        </is>
      </c>
      <c r="F4" s="13" t="inlineStr">
        <is>
          <t>Training 1 Date</t>
        </is>
      </c>
      <c r="G4" s="13" t="inlineStr">
        <is>
          <t>Required Training 2</t>
        </is>
      </c>
      <c r="H4" s="13" t="inlineStr">
        <is>
          <t>Training 2 Status</t>
        </is>
      </c>
      <c r="I4" s="13" t="inlineStr">
        <is>
          <t>Training 2 Date</t>
        </is>
      </c>
      <c r="J4" s="13" t="inlineStr">
        <is>
          <t>Required Training 3</t>
        </is>
      </c>
      <c r="K4" s="13" t="inlineStr">
        <is>
          <t>Training 3 Status</t>
        </is>
      </c>
      <c r="L4" s="13" t="inlineStr">
        <is>
          <t>Training Expiry Status</t>
        </is>
      </c>
      <c r="M4" s="13" t="inlineStr">
        <is>
          <t>Training Records Available</t>
        </is>
      </c>
      <c r="N4" s="13" t="inlineStr">
        <is>
          <t>Training Compliance Rating</t>
        </is>
      </c>
      <c r="O4" s="13" t="inlineStr">
        <is>
          <t>Gap Description</t>
        </is>
      </c>
      <c r="P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6" t="n"/>
      <c r="G5" s="15" t="n"/>
      <c r="H5" s="15" t="n"/>
      <c r="I5" s="16" t="n"/>
      <c r="J5" s="15" t="n"/>
      <c r="K5" s="15" t="n"/>
      <c r="L5" s="15" t="n"/>
      <c r="M5" s="15" t="n"/>
      <c r="N5" s="17">
        <f>IF(B5="","",IF(AND(OR(E5="Complete",D5=""),OR(H5="Complete",G5=""),OR(K5="Complete",J5=""),M5="Yes"),"Compliant",IF(OR(E5="Not-Started",H5="Not-Started",K5="Not-Started",M5="No"),"Non-Compliant","Partial")))</f>
        <v/>
      </c>
      <c r="O5" s="15" t="n"/>
      <c r="P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6" t="n"/>
      <c r="G6" s="15" t="n"/>
      <c r="H6" s="15" t="n"/>
      <c r="I6" s="16" t="n"/>
      <c r="J6" s="15" t="n"/>
      <c r="K6" s="15" t="n"/>
      <c r="L6" s="15" t="n"/>
      <c r="M6" s="15" t="n"/>
      <c r="N6" s="17">
        <f>IF(B6="","",IF(AND(OR(E6="Complete",D6=""),OR(H6="Complete",G6=""),OR(K6="Complete",J6=""),M6="Yes"),"Compliant",IF(OR(E6="Not-Started",H6="Not-Started",K6="Not-Started",M6="No"),"Non-Compliant","Partial")))</f>
        <v/>
      </c>
      <c r="O6" s="15" t="n"/>
      <c r="P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6" t="n"/>
      <c r="G7" s="15" t="n"/>
      <c r="H7" s="15" t="n"/>
      <c r="I7" s="16" t="n"/>
      <c r="J7" s="15" t="n"/>
      <c r="K7" s="15" t="n"/>
      <c r="L7" s="15" t="n"/>
      <c r="M7" s="15" t="n"/>
      <c r="N7" s="17">
        <f>IF(B7="","",IF(AND(OR(E7="Complete",D7=""),OR(H7="Complete",G7=""),OR(K7="Complete",J7=""),M7="Yes"),"Compliant",IF(OR(E7="Not-Started",H7="Not-Started",K7="Not-Started",M7="No"),"Non-Compliant","Partial")))</f>
        <v/>
      </c>
      <c r="O7" s="15" t="n"/>
      <c r="P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6" t="n"/>
      <c r="G8" s="15" t="n"/>
      <c r="H8" s="15" t="n"/>
      <c r="I8" s="16" t="n"/>
      <c r="J8" s="15" t="n"/>
      <c r="K8" s="15" t="n"/>
      <c r="L8" s="15" t="n"/>
      <c r="M8" s="15" t="n"/>
      <c r="N8" s="17">
        <f>IF(B8="","",IF(AND(OR(E8="Complete",D8=""),OR(H8="Complete",G8=""),OR(K8="Complete",J8=""),M8="Yes"),"Compliant",IF(OR(E8="Not-Started",H8="Not-Started",K8="Not-Started",M8="No"),"Non-Compliant","Partial")))</f>
        <v/>
      </c>
      <c r="O8" s="15" t="n"/>
      <c r="P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6" t="n"/>
      <c r="G9" s="15" t="n"/>
      <c r="H9" s="15" t="n"/>
      <c r="I9" s="16" t="n"/>
      <c r="J9" s="15" t="n"/>
      <c r="K9" s="15" t="n"/>
      <c r="L9" s="15" t="n"/>
      <c r="M9" s="15" t="n"/>
      <c r="N9" s="17">
        <f>IF(B9="","",IF(AND(OR(E9="Complete",D9=""),OR(H9="Complete",G9=""),OR(K9="Complete",J9=""),M9="Yes"),"Compliant",IF(OR(E9="Not-Started",H9="Not-Started",K9="Not-Started",M9="No"),"Non-Compliant","Partial")))</f>
        <v/>
      </c>
      <c r="O9" s="15" t="n"/>
      <c r="P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6" t="n"/>
      <c r="G10" s="15" t="n"/>
      <c r="H10" s="15" t="n"/>
      <c r="I10" s="16" t="n"/>
      <c r="J10" s="15" t="n"/>
      <c r="K10" s="15" t="n"/>
      <c r="L10" s="15" t="n"/>
      <c r="M10" s="15" t="n"/>
      <c r="N10" s="17">
        <f>IF(B10="","",IF(AND(OR(E10="Complete",D10=""),OR(H10="Complete",G10=""),OR(K10="Complete",J10=""),M10="Yes"),"Compliant",IF(OR(E10="Not-Started",H10="Not-Started",K10="Not-Started",M10="No"),"Non-Compliant","Partial")))</f>
        <v/>
      </c>
      <c r="O10" s="15" t="n"/>
      <c r="P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6" t="n"/>
      <c r="G11" s="15" t="n"/>
      <c r="H11" s="15" t="n"/>
      <c r="I11" s="16" t="n"/>
      <c r="J11" s="15" t="n"/>
      <c r="K11" s="15" t="n"/>
      <c r="L11" s="15" t="n"/>
      <c r="M11" s="15" t="n"/>
      <c r="N11" s="17">
        <f>IF(B11="","",IF(AND(OR(E11="Complete",D11=""),OR(H11="Complete",G11=""),OR(K11="Complete",J11=""),M11="Yes"),"Compliant",IF(OR(E11="Not-Started",H11="Not-Started",K11="Not-Started",M11="No"),"Non-Compliant","Partial")))</f>
        <v/>
      </c>
      <c r="O11" s="15" t="n"/>
      <c r="P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6" t="n"/>
      <c r="G12" s="15" t="n"/>
      <c r="H12" s="15" t="n"/>
      <c r="I12" s="16" t="n"/>
      <c r="J12" s="15" t="n"/>
      <c r="K12" s="15" t="n"/>
      <c r="L12" s="15" t="n"/>
      <c r="M12" s="15" t="n"/>
      <c r="N12" s="17">
        <f>IF(B12="","",IF(AND(OR(E12="Complete",D12=""),OR(H12="Complete",G12=""),OR(K12="Complete",J12=""),M12="Yes"),"Compliant",IF(OR(E12="Not-Started",H12="Not-Started",K12="Not-Started",M12="No"),"Non-Compliant","Partial")))</f>
        <v/>
      </c>
      <c r="O12" s="15" t="n"/>
      <c r="P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6" t="n"/>
      <c r="G13" s="15" t="n"/>
      <c r="H13" s="15" t="n"/>
      <c r="I13" s="16" t="n"/>
      <c r="J13" s="15" t="n"/>
      <c r="K13" s="15" t="n"/>
      <c r="L13" s="15" t="n"/>
      <c r="M13" s="15" t="n"/>
      <c r="N13" s="17">
        <f>IF(B13="","",IF(AND(OR(E13="Complete",D13=""),OR(H13="Complete",G13=""),OR(K13="Complete",J13=""),M13="Yes"),"Compliant",IF(OR(E13="Not-Started",H13="Not-Started",K13="Not-Started",M13="No"),"Non-Compliant","Partial")))</f>
        <v/>
      </c>
      <c r="O13" s="15" t="n"/>
      <c r="P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6" t="n"/>
      <c r="G14" s="15" t="n"/>
      <c r="H14" s="15" t="n"/>
      <c r="I14" s="16" t="n"/>
      <c r="J14" s="15" t="n"/>
      <c r="K14" s="15" t="n"/>
      <c r="L14" s="15" t="n"/>
      <c r="M14" s="15" t="n"/>
      <c r="N14" s="17">
        <f>IF(B14="","",IF(AND(OR(E14="Complete",D14=""),OR(H14="Complete",G14=""),OR(K14="Complete",J14=""),M14="Yes"),"Compliant",IF(OR(E14="Not-Started",H14="Not-Started",K14="Not-Started",M14="No"),"Non-Compliant","Partial")))</f>
        <v/>
      </c>
      <c r="O14" s="15" t="n"/>
      <c r="P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6" t="n"/>
      <c r="G15" s="15" t="n"/>
      <c r="H15" s="15" t="n"/>
      <c r="I15" s="16" t="n"/>
      <c r="J15" s="15" t="n"/>
      <c r="K15" s="15" t="n"/>
      <c r="L15" s="15" t="n"/>
      <c r="M15" s="15" t="n"/>
      <c r="N15" s="17">
        <f>IF(B15="","",IF(AND(OR(E15="Complete",D15=""),OR(H15="Complete",G15=""),OR(K15="Complete",J15=""),M15="Yes"),"Compliant",IF(OR(E15="Not-Started",H15="Not-Started",K15="Not-Started",M15="No"),"Non-Compliant","Partial")))</f>
        <v/>
      </c>
      <c r="O15" s="15" t="n"/>
      <c r="P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6" t="n"/>
      <c r="G16" s="15" t="n"/>
      <c r="H16" s="15" t="n"/>
      <c r="I16" s="16" t="n"/>
      <c r="J16" s="15" t="n"/>
      <c r="K16" s="15" t="n"/>
      <c r="L16" s="15" t="n"/>
      <c r="M16" s="15" t="n"/>
      <c r="N16" s="17">
        <f>IF(B16="","",IF(AND(OR(E16="Complete",D16=""),OR(H16="Complete",G16=""),OR(K16="Complete",J16=""),M16="Yes"),"Compliant",IF(OR(E16="Not-Started",H16="Not-Started",K16="Not-Started",M16="No"),"Non-Compliant","Partial")))</f>
        <v/>
      </c>
      <c r="O16" s="15" t="n"/>
      <c r="P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6" t="n"/>
      <c r="G17" s="15" t="n"/>
      <c r="H17" s="15" t="n"/>
      <c r="I17" s="16" t="n"/>
      <c r="J17" s="15" t="n"/>
      <c r="K17" s="15" t="n"/>
      <c r="L17" s="15" t="n"/>
      <c r="M17" s="15" t="n"/>
      <c r="N17" s="17">
        <f>IF(B17="","",IF(AND(OR(E17="Complete",D17=""),OR(H17="Complete",G17=""),OR(K17="Complete",J17=""),M17="Yes"),"Compliant",IF(OR(E17="Not-Started",H17="Not-Started",K17="Not-Started",M17="No"),"Non-Compliant","Partial")))</f>
        <v/>
      </c>
      <c r="O17" s="15" t="n"/>
      <c r="P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6" t="n"/>
      <c r="G18" s="15" t="n"/>
      <c r="H18" s="15" t="n"/>
      <c r="I18" s="16" t="n"/>
      <c r="J18" s="15" t="n"/>
      <c r="K18" s="15" t="n"/>
      <c r="L18" s="15" t="n"/>
      <c r="M18" s="15" t="n"/>
      <c r="N18" s="17">
        <f>IF(B18="","",IF(AND(OR(E18="Complete",D18=""),OR(H18="Complete",G18=""),OR(K18="Complete",J18=""),M18="Yes"),"Compliant",IF(OR(E18="Not-Started",H18="Not-Started",K18="Not-Started",M18="No"),"Non-Compliant","Partial")))</f>
        <v/>
      </c>
      <c r="O18" s="15" t="n"/>
      <c r="P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6" t="n"/>
      <c r="G19" s="15" t="n"/>
      <c r="H19" s="15" t="n"/>
      <c r="I19" s="16" t="n"/>
      <c r="J19" s="15" t="n"/>
      <c r="K19" s="15" t="n"/>
      <c r="L19" s="15" t="n"/>
      <c r="M19" s="15" t="n"/>
      <c r="N19" s="17">
        <f>IF(B19="","",IF(AND(OR(E19="Complete",D19=""),OR(H19="Complete",G19=""),OR(K19="Complete",J19=""),M19="Yes"),"Compliant",IF(OR(E19="Not-Started",H19="Not-Started",K19="Not-Started",M19="No"),"Non-Compliant","Partial")))</f>
        <v/>
      </c>
      <c r="O19" s="15" t="n"/>
      <c r="P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6" t="n"/>
      <c r="G20" s="15" t="n"/>
      <c r="H20" s="15" t="n"/>
      <c r="I20" s="16" t="n"/>
      <c r="J20" s="15" t="n"/>
      <c r="K20" s="15" t="n"/>
      <c r="L20" s="15" t="n"/>
      <c r="M20" s="15" t="n"/>
      <c r="N20" s="17">
        <f>IF(B20="","",IF(AND(OR(E20="Complete",D20=""),OR(H20="Complete",G20=""),OR(K20="Complete",J20=""),M20="Yes"),"Compliant",IF(OR(E20="Not-Started",H20="Not-Started",K20="Not-Started",M20="No"),"Non-Compliant","Partial")))</f>
        <v/>
      </c>
      <c r="O20" s="15" t="n"/>
      <c r="P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6" t="n"/>
      <c r="G21" s="15" t="n"/>
      <c r="H21" s="15" t="n"/>
      <c r="I21" s="16" t="n"/>
      <c r="J21" s="15" t="n"/>
      <c r="K21" s="15" t="n"/>
      <c r="L21" s="15" t="n"/>
      <c r="M21" s="15" t="n"/>
      <c r="N21" s="17">
        <f>IF(B21="","",IF(AND(OR(E21="Complete",D21=""),OR(H21="Complete",G21=""),OR(K21="Complete",J21=""),M21="Yes"),"Compliant",IF(OR(E21="Not-Started",H21="Not-Started",K21="Not-Started",M21="No"),"Non-Compliant","Partial")))</f>
        <v/>
      </c>
      <c r="O21" s="15" t="n"/>
      <c r="P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6" t="n"/>
      <c r="G22" s="15" t="n"/>
      <c r="H22" s="15" t="n"/>
      <c r="I22" s="16" t="n"/>
      <c r="J22" s="15" t="n"/>
      <c r="K22" s="15" t="n"/>
      <c r="L22" s="15" t="n"/>
      <c r="M22" s="15" t="n"/>
      <c r="N22" s="17">
        <f>IF(B22="","",IF(AND(OR(E22="Complete",D22=""),OR(H22="Complete",G22=""),OR(K22="Complete",J22=""),M22="Yes"),"Compliant",IF(OR(E22="Not-Started",H22="Not-Started",K22="Not-Started",M22="No"),"Non-Compliant","Partial")))</f>
        <v/>
      </c>
      <c r="O22" s="15" t="n"/>
      <c r="P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6" t="n"/>
      <c r="G23" s="15" t="n"/>
      <c r="H23" s="15" t="n"/>
      <c r="I23" s="16" t="n"/>
      <c r="J23" s="15" t="n"/>
      <c r="K23" s="15" t="n"/>
      <c r="L23" s="15" t="n"/>
      <c r="M23" s="15" t="n"/>
      <c r="N23" s="17">
        <f>IF(B23="","",IF(AND(OR(E23="Complete",D23=""),OR(H23="Complete",G23=""),OR(K23="Complete",J23=""),M23="Yes"),"Compliant",IF(OR(E23="Not-Started",H23="Not-Started",K23="Not-Started",M23="No"),"Non-Compliant","Partial")))</f>
        <v/>
      </c>
      <c r="O23" s="15" t="n"/>
      <c r="P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6" t="n"/>
      <c r="G24" s="15" t="n"/>
      <c r="H24" s="15" t="n"/>
      <c r="I24" s="16" t="n"/>
      <c r="J24" s="15" t="n"/>
      <c r="K24" s="15" t="n"/>
      <c r="L24" s="15" t="n"/>
      <c r="M24" s="15" t="n"/>
      <c r="N24" s="17">
        <f>IF(B24="","",IF(AND(OR(E24="Complete",D24=""),OR(H24="Complete",G24=""),OR(K24="Complete",J24=""),M24="Yes"),"Compliant",IF(OR(E24="Not-Started",H24="Not-Started",K24="Not-Started",M24="No"),"Non-Compliant","Partial")))</f>
        <v/>
      </c>
      <c r="O24" s="15" t="n"/>
      <c r="P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6" t="n"/>
      <c r="G25" s="15" t="n"/>
      <c r="H25" s="15" t="n"/>
      <c r="I25" s="16" t="n"/>
      <c r="J25" s="15" t="n"/>
      <c r="K25" s="15" t="n"/>
      <c r="L25" s="15" t="n"/>
      <c r="M25" s="15" t="n"/>
      <c r="N25" s="17">
        <f>IF(B25="","",IF(AND(OR(E25="Complete",D25=""),OR(H25="Complete",G25=""),OR(K25="Complete",J25=""),M25="Yes"),"Compliant",IF(OR(E25="Not-Started",H25="Not-Started",K25="Not-Started",M25="No"),"Non-Compliant","Partial")))</f>
        <v/>
      </c>
      <c r="O25" s="15" t="n"/>
      <c r="P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6" t="n"/>
      <c r="G26" s="15" t="n"/>
      <c r="H26" s="15" t="n"/>
      <c r="I26" s="16" t="n"/>
      <c r="J26" s="15" t="n"/>
      <c r="K26" s="15" t="n"/>
      <c r="L26" s="15" t="n"/>
      <c r="M26" s="15" t="n"/>
      <c r="N26" s="17">
        <f>IF(B26="","",IF(AND(OR(E26="Complete",D26=""),OR(H26="Complete",G26=""),OR(K26="Complete",J26=""),M26="Yes"),"Compliant",IF(OR(E26="Not-Started",H26="Not-Started",K26="Not-Started",M26="No"),"Non-Compliant","Partial")))</f>
        <v/>
      </c>
      <c r="O26" s="15" t="n"/>
      <c r="P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6" t="n"/>
      <c r="G27" s="15" t="n"/>
      <c r="H27" s="15" t="n"/>
      <c r="I27" s="16" t="n"/>
      <c r="J27" s="15" t="n"/>
      <c r="K27" s="15" t="n"/>
      <c r="L27" s="15" t="n"/>
      <c r="M27" s="15" t="n"/>
      <c r="N27" s="17">
        <f>IF(B27="","",IF(AND(OR(E27="Complete",D27=""),OR(H27="Complete",G27=""),OR(K27="Complete",J27=""),M27="Yes"),"Compliant",IF(OR(E27="Not-Started",H27="Not-Started",K27="Not-Started",M27="No"),"Non-Compliant","Partial")))</f>
        <v/>
      </c>
      <c r="O27" s="15" t="n"/>
      <c r="P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6" t="n"/>
      <c r="G28" s="15" t="n"/>
      <c r="H28" s="15" t="n"/>
      <c r="I28" s="16" t="n"/>
      <c r="J28" s="15" t="n"/>
      <c r="K28" s="15" t="n"/>
      <c r="L28" s="15" t="n"/>
      <c r="M28" s="15" t="n"/>
      <c r="N28" s="17">
        <f>IF(B28="","",IF(AND(OR(E28="Complete",D28=""),OR(H28="Complete",G28=""),OR(K28="Complete",J28=""),M28="Yes"),"Compliant",IF(OR(E28="Not-Started",H28="Not-Started",K28="Not-Started",M28="No"),"Non-Compliant","Partial")))</f>
        <v/>
      </c>
      <c r="O28" s="15" t="n"/>
      <c r="P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6" t="n"/>
      <c r="G29" s="15" t="n"/>
      <c r="H29" s="15" t="n"/>
      <c r="I29" s="16" t="n"/>
      <c r="J29" s="15" t="n"/>
      <c r="K29" s="15" t="n"/>
      <c r="L29" s="15" t="n"/>
      <c r="M29" s="15" t="n"/>
      <c r="N29" s="17">
        <f>IF(B29="","",IF(AND(OR(E29="Complete",D29=""),OR(H29="Complete",G29=""),OR(K29="Complete",J29=""),M29="Yes"),"Compliant",IF(OR(E29="Not-Started",H29="Not-Started",K29="Not-Started",M29="No"),"Non-Compliant","Partial")))</f>
        <v/>
      </c>
      <c r="O29" s="15" t="n"/>
      <c r="P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6" t="n"/>
      <c r="G30" s="15" t="n"/>
      <c r="H30" s="15" t="n"/>
      <c r="I30" s="16" t="n"/>
      <c r="J30" s="15" t="n"/>
      <c r="K30" s="15" t="n"/>
      <c r="L30" s="15" t="n"/>
      <c r="M30" s="15" t="n"/>
      <c r="N30" s="17">
        <f>IF(B30="","",IF(AND(OR(E30="Complete",D30=""),OR(H30="Complete",G30=""),OR(K30="Complete",J30=""),M30="Yes"),"Compliant",IF(OR(E30="Not-Started",H30="Not-Started",K30="Not-Started",M30="No"),"Non-Compliant","Partial")))</f>
        <v/>
      </c>
      <c r="O30" s="15" t="n"/>
      <c r="P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6" t="n"/>
      <c r="G31" s="15" t="n"/>
      <c r="H31" s="15" t="n"/>
      <c r="I31" s="16" t="n"/>
      <c r="J31" s="15" t="n"/>
      <c r="K31" s="15" t="n"/>
      <c r="L31" s="15" t="n"/>
      <c r="M31" s="15" t="n"/>
      <c r="N31" s="17">
        <f>IF(B31="","",IF(AND(OR(E31="Complete",D31=""),OR(H31="Complete",G31=""),OR(K31="Complete",J31=""),M31="Yes"),"Compliant",IF(OR(E31="Not-Started",H31="Not-Started",K31="Not-Started",M31="No"),"Non-Compliant","Partial")))</f>
        <v/>
      </c>
      <c r="O31" s="15" t="n"/>
      <c r="P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6" t="n"/>
      <c r="G32" s="15" t="n"/>
      <c r="H32" s="15" t="n"/>
      <c r="I32" s="16" t="n"/>
      <c r="J32" s="15" t="n"/>
      <c r="K32" s="15" t="n"/>
      <c r="L32" s="15" t="n"/>
      <c r="M32" s="15" t="n"/>
      <c r="N32" s="17">
        <f>IF(B32="","",IF(AND(OR(E32="Complete",D32=""),OR(H32="Complete",G32=""),OR(K32="Complete",J32=""),M32="Yes"),"Compliant",IF(OR(E32="Not-Started",H32="Not-Started",K32="Not-Started",M32="No"),"Non-Compliant","Partial")))</f>
        <v/>
      </c>
      <c r="O32" s="15" t="n"/>
      <c r="P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6" t="n"/>
      <c r="G33" s="15" t="n"/>
      <c r="H33" s="15" t="n"/>
      <c r="I33" s="16" t="n"/>
      <c r="J33" s="15" t="n"/>
      <c r="K33" s="15" t="n"/>
      <c r="L33" s="15" t="n"/>
      <c r="M33" s="15" t="n"/>
      <c r="N33" s="17">
        <f>IF(B33="","",IF(AND(OR(E33="Complete",D33=""),OR(H33="Complete",G33=""),OR(K33="Complete",J33=""),M33="Yes"),"Compliant",IF(OR(E33="Not-Started",H33="Not-Started",K33="Not-Started",M33="No"),"Non-Compliant","Partial")))</f>
        <v/>
      </c>
      <c r="O33" s="15" t="n"/>
      <c r="P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6" t="n"/>
      <c r="G34" s="15" t="n"/>
      <c r="H34" s="15" t="n"/>
      <c r="I34" s="16" t="n"/>
      <c r="J34" s="15" t="n"/>
      <c r="K34" s="15" t="n"/>
      <c r="L34" s="15" t="n"/>
      <c r="M34" s="15" t="n"/>
      <c r="N34" s="17">
        <f>IF(B34="","",IF(AND(OR(E34="Complete",D34=""),OR(H34="Complete",G34=""),OR(K34="Complete",J34=""),M34="Yes"),"Compliant",IF(OR(E34="Not-Started",H34="Not-Started",K34="Not-Started",M34="No"),"Non-Compliant","Partial")))</f>
        <v/>
      </c>
      <c r="O34" s="15" t="n"/>
      <c r="P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6" t="n"/>
      <c r="G35" s="15" t="n"/>
      <c r="H35" s="15" t="n"/>
      <c r="I35" s="16" t="n"/>
      <c r="J35" s="15" t="n"/>
      <c r="K35" s="15" t="n"/>
      <c r="L35" s="15" t="n"/>
      <c r="M35" s="15" t="n"/>
      <c r="N35" s="17">
        <f>IF(B35="","",IF(AND(OR(E35="Complete",D35=""),OR(H35="Complete",G35=""),OR(K35="Complete",J35=""),M35="Yes"),"Compliant",IF(OR(E35="Not-Started",H35="Not-Started",K35="Not-Started",M35="No"),"Non-Compliant","Partial")))</f>
        <v/>
      </c>
      <c r="O35" s="15" t="n"/>
      <c r="P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6" t="n"/>
      <c r="G36" s="15" t="n"/>
      <c r="H36" s="15" t="n"/>
      <c r="I36" s="16" t="n"/>
      <c r="J36" s="15" t="n"/>
      <c r="K36" s="15" t="n"/>
      <c r="L36" s="15" t="n"/>
      <c r="M36" s="15" t="n"/>
      <c r="N36" s="17">
        <f>IF(B36="","",IF(AND(OR(E36="Complete",D36=""),OR(H36="Complete",G36=""),OR(K36="Complete",J36=""),M36="Yes"),"Compliant",IF(OR(E36="Not-Started",H36="Not-Started",K36="Not-Started",M36="No"),"Non-Compliant","Partial")))</f>
        <v/>
      </c>
      <c r="O36" s="15" t="n"/>
      <c r="P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6" t="n"/>
      <c r="G37" s="15" t="n"/>
      <c r="H37" s="15" t="n"/>
      <c r="I37" s="16" t="n"/>
      <c r="J37" s="15" t="n"/>
      <c r="K37" s="15" t="n"/>
      <c r="L37" s="15" t="n"/>
      <c r="M37" s="15" t="n"/>
      <c r="N37" s="17">
        <f>IF(B37="","",IF(AND(OR(E37="Complete",D37=""),OR(H37="Complete",G37=""),OR(K37="Complete",J37=""),M37="Yes"),"Compliant",IF(OR(E37="Not-Started",H37="Not-Started",K37="Not-Started",M37="No"),"Non-Compliant","Partial")))</f>
        <v/>
      </c>
      <c r="O37" s="15" t="n"/>
      <c r="P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6" t="n"/>
      <c r="G38" s="15" t="n"/>
      <c r="H38" s="15" t="n"/>
      <c r="I38" s="16" t="n"/>
      <c r="J38" s="15" t="n"/>
      <c r="K38" s="15" t="n"/>
      <c r="L38" s="15" t="n"/>
      <c r="M38" s="15" t="n"/>
      <c r="N38" s="17">
        <f>IF(B38="","",IF(AND(OR(E38="Complete",D38=""),OR(H38="Complete",G38=""),OR(K38="Complete",J38=""),M38="Yes"),"Compliant",IF(OR(E38="Not-Started",H38="Not-Started",K38="Not-Started",M38="No"),"Non-Compliant","Partial")))</f>
        <v/>
      </c>
      <c r="O38" s="15" t="n"/>
      <c r="P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6" t="n"/>
      <c r="G39" s="15" t="n"/>
      <c r="H39" s="15" t="n"/>
      <c r="I39" s="16" t="n"/>
      <c r="J39" s="15" t="n"/>
      <c r="K39" s="15" t="n"/>
      <c r="L39" s="15" t="n"/>
      <c r="M39" s="15" t="n"/>
      <c r="N39" s="17">
        <f>IF(B39="","",IF(AND(OR(E39="Complete",D39=""),OR(H39="Complete",G39=""),OR(K39="Complete",J39=""),M39="Yes"),"Compliant",IF(OR(E39="Not-Started",H39="Not-Started",K39="Not-Started",M39="No"),"Non-Compliant","Partial")))</f>
        <v/>
      </c>
      <c r="O39" s="15" t="n"/>
      <c r="P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6" t="n"/>
      <c r="G40" s="15" t="n"/>
      <c r="H40" s="15" t="n"/>
      <c r="I40" s="16" t="n"/>
      <c r="J40" s="15" t="n"/>
      <c r="K40" s="15" t="n"/>
      <c r="L40" s="15" t="n"/>
      <c r="M40" s="15" t="n"/>
      <c r="N40" s="17">
        <f>IF(B40="","",IF(AND(OR(E40="Complete",D40=""),OR(H40="Complete",G40=""),OR(K40="Complete",J40=""),M40="Yes"),"Compliant",IF(OR(E40="Not-Started",H40="Not-Started",K40="Not-Started",M40="No"),"Non-Compliant","Partial")))</f>
        <v/>
      </c>
      <c r="O40" s="15" t="n"/>
      <c r="P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6" t="n"/>
      <c r="G41" s="15" t="n"/>
      <c r="H41" s="15" t="n"/>
      <c r="I41" s="16" t="n"/>
      <c r="J41" s="15" t="n"/>
      <c r="K41" s="15" t="n"/>
      <c r="L41" s="15" t="n"/>
      <c r="M41" s="15" t="n"/>
      <c r="N41" s="17">
        <f>IF(B41="","",IF(AND(OR(E41="Complete",D41=""),OR(H41="Complete",G41=""),OR(K41="Complete",J41=""),M41="Yes"),"Compliant",IF(OR(E41="Not-Started",H41="Not-Started",K41="Not-Started",M41="No"),"Non-Compliant","Partial")))</f>
        <v/>
      </c>
      <c r="O41" s="15" t="n"/>
      <c r="P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6" t="n"/>
      <c r="G42" s="15" t="n"/>
      <c r="H42" s="15" t="n"/>
      <c r="I42" s="16" t="n"/>
      <c r="J42" s="15" t="n"/>
      <c r="K42" s="15" t="n"/>
      <c r="L42" s="15" t="n"/>
      <c r="M42" s="15" t="n"/>
      <c r="N42" s="17">
        <f>IF(B42="","",IF(AND(OR(E42="Complete",D42=""),OR(H42="Complete",G42=""),OR(K42="Complete",J42=""),M42="Yes"),"Compliant",IF(OR(E42="Not-Started",H42="Not-Started",K42="Not-Started",M42="No"),"Non-Compliant","Partial")))</f>
        <v/>
      </c>
      <c r="O42" s="15" t="n"/>
      <c r="P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6" t="n"/>
      <c r="G43" s="15" t="n"/>
      <c r="H43" s="15" t="n"/>
      <c r="I43" s="16" t="n"/>
      <c r="J43" s="15" t="n"/>
      <c r="K43" s="15" t="n"/>
      <c r="L43" s="15" t="n"/>
      <c r="M43" s="15" t="n"/>
      <c r="N43" s="17">
        <f>IF(B43="","",IF(AND(OR(E43="Complete",D43=""),OR(H43="Complete",G43=""),OR(K43="Complete",J43=""),M43="Yes"),"Compliant",IF(OR(E43="Not-Started",H43="Not-Started",K43="Not-Started",M43="No"),"Non-Compliant","Partial")))</f>
        <v/>
      </c>
      <c r="O43" s="15" t="n"/>
      <c r="P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6" t="n"/>
      <c r="G44" s="15" t="n"/>
      <c r="H44" s="15" t="n"/>
      <c r="I44" s="16" t="n"/>
      <c r="J44" s="15" t="n"/>
      <c r="K44" s="15" t="n"/>
      <c r="L44" s="15" t="n"/>
      <c r="M44" s="15" t="n"/>
      <c r="N44" s="17">
        <f>IF(B44="","",IF(AND(OR(E44="Complete",D44=""),OR(H44="Complete",G44=""),OR(K44="Complete",J44=""),M44="Yes"),"Compliant",IF(OR(E44="Not-Started",H44="Not-Started",K44="Not-Started",M44="No"),"Non-Compliant","Partial")))</f>
        <v/>
      </c>
      <c r="O44" s="15" t="n"/>
      <c r="P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6" t="n"/>
      <c r="G45" s="15" t="n"/>
      <c r="H45" s="15" t="n"/>
      <c r="I45" s="16" t="n"/>
      <c r="J45" s="15" t="n"/>
      <c r="K45" s="15" t="n"/>
      <c r="L45" s="15" t="n"/>
      <c r="M45" s="15" t="n"/>
      <c r="N45" s="17">
        <f>IF(B45="","",IF(AND(OR(E45="Complete",D45=""),OR(H45="Complete",G45=""),OR(K45="Complete",J45=""),M45="Yes"),"Compliant",IF(OR(E45="Not-Started",H45="Not-Started",K45="Not-Started",M45="No"),"Non-Compliant","Partial")))</f>
        <v/>
      </c>
      <c r="O45" s="15" t="n"/>
      <c r="P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6" t="n"/>
      <c r="G46" s="15" t="n"/>
      <c r="H46" s="15" t="n"/>
      <c r="I46" s="16" t="n"/>
      <c r="J46" s="15" t="n"/>
      <c r="K46" s="15" t="n"/>
      <c r="L46" s="15" t="n"/>
      <c r="M46" s="15" t="n"/>
      <c r="N46" s="17">
        <f>IF(B46="","",IF(AND(OR(E46="Complete",D46=""),OR(H46="Complete",G46=""),OR(K46="Complete",J46=""),M46="Yes"),"Compliant",IF(OR(E46="Not-Started",H46="Not-Started",K46="Not-Started",M46="No"),"Non-Compliant","Partial")))</f>
        <v/>
      </c>
      <c r="O46" s="15" t="n"/>
      <c r="P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6" t="n"/>
      <c r="G47" s="15" t="n"/>
      <c r="H47" s="15" t="n"/>
      <c r="I47" s="16" t="n"/>
      <c r="J47" s="15" t="n"/>
      <c r="K47" s="15" t="n"/>
      <c r="L47" s="15" t="n"/>
      <c r="M47" s="15" t="n"/>
      <c r="N47" s="17">
        <f>IF(B47="","",IF(AND(OR(E47="Complete",D47=""),OR(H47="Complete",G47=""),OR(K47="Complete",J47=""),M47="Yes"),"Compliant",IF(OR(E47="Not-Started",H47="Not-Started",K47="Not-Started",M47="No"),"Non-Compliant","Partial")))</f>
        <v/>
      </c>
      <c r="O47" s="15" t="n"/>
      <c r="P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6" t="n"/>
      <c r="G48" s="15" t="n"/>
      <c r="H48" s="15" t="n"/>
      <c r="I48" s="16" t="n"/>
      <c r="J48" s="15" t="n"/>
      <c r="K48" s="15" t="n"/>
      <c r="L48" s="15" t="n"/>
      <c r="M48" s="15" t="n"/>
      <c r="N48" s="17">
        <f>IF(B48="","",IF(AND(OR(E48="Complete",D48=""),OR(H48="Complete",G48=""),OR(K48="Complete",J48=""),M48="Yes"),"Compliant",IF(OR(E48="Not-Started",H48="Not-Started",K48="Not-Started",M48="No"),"Non-Compliant","Partial")))</f>
        <v/>
      </c>
      <c r="O48" s="15" t="n"/>
      <c r="P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6" t="n"/>
      <c r="G49" s="15" t="n"/>
      <c r="H49" s="15" t="n"/>
      <c r="I49" s="16" t="n"/>
      <c r="J49" s="15" t="n"/>
      <c r="K49" s="15" t="n"/>
      <c r="L49" s="15" t="n"/>
      <c r="M49" s="15" t="n"/>
      <c r="N49" s="17">
        <f>IF(B49="","",IF(AND(OR(E49="Complete",D49=""),OR(H49="Complete",G49=""),OR(K49="Complete",J49=""),M49="Yes"),"Compliant",IF(OR(E49="Not-Started",H49="Not-Started",K49="Not-Started",M49="No"),"Non-Compliant","Partial")))</f>
        <v/>
      </c>
      <c r="O49" s="15" t="n"/>
      <c r="P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6" t="n"/>
      <c r="G50" s="15" t="n"/>
      <c r="H50" s="15" t="n"/>
      <c r="I50" s="16" t="n"/>
      <c r="J50" s="15" t="n"/>
      <c r="K50" s="15" t="n"/>
      <c r="L50" s="15" t="n"/>
      <c r="M50" s="15" t="n"/>
      <c r="N50" s="17">
        <f>IF(B50="","",IF(AND(OR(E50="Complete",D50=""),OR(H50="Complete",G50=""),OR(K50="Complete",J50=""),M50="Yes"),"Compliant",IF(OR(E50="Not-Started",H50="Not-Started",K50="Not-Started",M50="No"),"Non-Compliant","Partial")))</f>
        <v/>
      </c>
      <c r="O50" s="15" t="n"/>
      <c r="P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6" t="n"/>
      <c r="G51" s="15" t="n"/>
      <c r="H51" s="15" t="n"/>
      <c r="I51" s="16" t="n"/>
      <c r="J51" s="15" t="n"/>
      <c r="K51" s="15" t="n"/>
      <c r="L51" s="15" t="n"/>
      <c r="M51" s="15" t="n"/>
      <c r="N51" s="17">
        <f>IF(B51="","",IF(AND(OR(E51="Complete",D51=""),OR(H51="Complete",G51=""),OR(K51="Complete",J51=""),M51="Yes"),"Compliant",IF(OR(E51="Not-Started",H51="Not-Started",K51="Not-Started",M51="No"),"Non-Compliant","Partial")))</f>
        <v/>
      </c>
      <c r="O51" s="15" t="n"/>
      <c r="P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6" t="n"/>
      <c r="G52" s="15" t="n"/>
      <c r="H52" s="15" t="n"/>
      <c r="I52" s="16" t="n"/>
      <c r="J52" s="15" t="n"/>
      <c r="K52" s="15" t="n"/>
      <c r="L52" s="15" t="n"/>
      <c r="M52" s="15" t="n"/>
      <c r="N52" s="17">
        <f>IF(B52="","",IF(AND(OR(E52="Complete",D52=""),OR(H52="Complete",G52=""),OR(K52="Complete",J52=""),M52="Yes"),"Compliant",IF(OR(E52="Not-Started",H52="Not-Started",K52="Not-Started",M52="No"),"Non-Compliant","Partial")))</f>
        <v/>
      </c>
      <c r="O52" s="15" t="n"/>
      <c r="P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6" t="n"/>
      <c r="G53" s="15" t="n"/>
      <c r="H53" s="15" t="n"/>
      <c r="I53" s="16" t="n"/>
      <c r="J53" s="15" t="n"/>
      <c r="K53" s="15" t="n"/>
      <c r="L53" s="15" t="n"/>
      <c r="M53" s="15" t="n"/>
      <c r="N53" s="17">
        <f>IF(B53="","",IF(AND(OR(E53="Complete",D53=""),OR(H53="Complete",G53=""),OR(K53="Complete",J53=""),M53="Yes"),"Compliant",IF(OR(E53="Not-Started",H53="Not-Started",K53="Not-Started",M53="No"),"Non-Compliant","Partial")))</f>
        <v/>
      </c>
      <c r="O53" s="15" t="n"/>
      <c r="P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6" t="n"/>
      <c r="G54" s="15" t="n"/>
      <c r="H54" s="15" t="n"/>
      <c r="I54" s="16" t="n"/>
      <c r="J54" s="15" t="n"/>
      <c r="K54" s="15" t="n"/>
      <c r="L54" s="15" t="n"/>
      <c r="M54" s="15" t="n"/>
      <c r="N54" s="17">
        <f>IF(B54="","",IF(AND(OR(E54="Complete",D54=""),OR(H54="Complete",G54=""),OR(K54="Complete",J54=""),M54="Yes"),"Compliant",IF(OR(E54="Not-Started",H54="Not-Started",K54="Not-Started",M54="No"),"Non-Compliant","Partial")))</f>
        <v/>
      </c>
      <c r="O54" s="15" t="n"/>
      <c r="P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6" t="n"/>
      <c r="G55" s="15" t="n"/>
      <c r="H55" s="15" t="n"/>
      <c r="I55" s="16" t="n"/>
      <c r="J55" s="15" t="n"/>
      <c r="K55" s="15" t="n"/>
      <c r="L55" s="15" t="n"/>
      <c r="M55" s="15" t="n"/>
      <c r="N55" s="17">
        <f>IF(B55="","",IF(AND(OR(E55="Complete",D55=""),OR(H55="Complete",G55=""),OR(K55="Complete",J55=""),M55="Yes"),"Compliant",IF(OR(E55="Not-Started",H55="Not-Started",K55="Not-Started",M55="No"),"Non-Compliant","Partial")))</f>
        <v/>
      </c>
      <c r="O55" s="15" t="n"/>
      <c r="P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6" t="n"/>
      <c r="G56" s="15" t="n"/>
      <c r="H56" s="15" t="n"/>
      <c r="I56" s="16" t="n"/>
      <c r="J56" s="15" t="n"/>
      <c r="K56" s="15" t="n"/>
      <c r="L56" s="15" t="n"/>
      <c r="M56" s="15" t="n"/>
      <c r="N56" s="17">
        <f>IF(B56="","",IF(AND(OR(E56="Complete",D56=""),OR(H56="Complete",G56=""),OR(K56="Complete",J56=""),M56="Yes"),"Compliant",IF(OR(E56="Not-Started",H56="Not-Started",K56="Not-Started",M56="No"),"Non-Compliant","Partial")))</f>
        <v/>
      </c>
      <c r="O56" s="15" t="n"/>
      <c r="P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6" t="n"/>
      <c r="G57" s="15" t="n"/>
      <c r="H57" s="15" t="n"/>
      <c r="I57" s="16" t="n"/>
      <c r="J57" s="15" t="n"/>
      <c r="K57" s="15" t="n"/>
      <c r="L57" s="15" t="n"/>
      <c r="M57" s="15" t="n"/>
      <c r="N57" s="17">
        <f>IF(B57="","",IF(AND(OR(E57="Complete",D57=""),OR(H57="Complete",G57=""),OR(K57="Complete",J57=""),M57="Yes"),"Compliant",IF(OR(E57="Not-Started",H57="Not-Started",K57="Not-Started",M57="No"),"Non-Compliant","Partial")))</f>
        <v/>
      </c>
      <c r="O57" s="15" t="n"/>
      <c r="P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6" t="n"/>
      <c r="G58" s="15" t="n"/>
      <c r="H58" s="15" t="n"/>
      <c r="I58" s="16" t="n"/>
      <c r="J58" s="15" t="n"/>
      <c r="K58" s="15" t="n"/>
      <c r="L58" s="15" t="n"/>
      <c r="M58" s="15" t="n"/>
      <c r="N58" s="17">
        <f>IF(B58="","",IF(AND(OR(E58="Complete",D58=""),OR(H58="Complete",G58=""),OR(K58="Complete",J58=""),M58="Yes"),"Compliant",IF(OR(E58="Not-Started",H58="Not-Started",K58="Not-Started",M58="No"),"Non-Compliant","Partial")))</f>
        <v/>
      </c>
      <c r="O58" s="15" t="n"/>
      <c r="P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6" t="n"/>
      <c r="G59" s="15" t="n"/>
      <c r="H59" s="15" t="n"/>
      <c r="I59" s="16" t="n"/>
      <c r="J59" s="15" t="n"/>
      <c r="K59" s="15" t="n"/>
      <c r="L59" s="15" t="n"/>
      <c r="M59" s="15" t="n"/>
      <c r="N59" s="17">
        <f>IF(B59="","",IF(AND(OR(E59="Complete",D59=""),OR(H59="Complete",G59=""),OR(K59="Complete",J59=""),M59="Yes"),"Compliant",IF(OR(E59="Not-Started",H59="Not-Started",K59="Not-Started",M59="No"),"Non-Compliant","Partial")))</f>
        <v/>
      </c>
      <c r="O59" s="15" t="n"/>
      <c r="P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6" t="n"/>
      <c r="G60" s="15" t="n"/>
      <c r="H60" s="15" t="n"/>
      <c r="I60" s="16" t="n"/>
      <c r="J60" s="15" t="n"/>
      <c r="K60" s="15" t="n"/>
      <c r="L60" s="15" t="n"/>
      <c r="M60" s="15" t="n"/>
      <c r="N60" s="17">
        <f>IF(B60="","",IF(AND(OR(E60="Complete",D60=""),OR(H60="Complete",G60=""),OR(K60="Complete",J60=""),M60="Yes"),"Compliant",IF(OR(E60="Not-Started",H60="Not-Started",K60="Not-Started",M60="No"),"Non-Compliant","Partial")))</f>
        <v/>
      </c>
      <c r="O60" s="15" t="n"/>
      <c r="P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6" t="n"/>
      <c r="G61" s="15" t="n"/>
      <c r="H61" s="15" t="n"/>
      <c r="I61" s="16" t="n"/>
      <c r="J61" s="15" t="n"/>
      <c r="K61" s="15" t="n"/>
      <c r="L61" s="15" t="n"/>
      <c r="M61" s="15" t="n"/>
      <c r="N61" s="17">
        <f>IF(B61="","",IF(AND(OR(E61="Complete",D61=""),OR(H61="Complete",G61=""),OR(K61="Complete",J61=""),M61="Yes"),"Compliant",IF(OR(E61="Not-Started",H61="Not-Started",K61="Not-Started",M61="No"),"Non-Compliant","Partial")))</f>
        <v/>
      </c>
      <c r="O61" s="15" t="n"/>
      <c r="P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6" t="n"/>
      <c r="G62" s="15" t="n"/>
      <c r="H62" s="15" t="n"/>
      <c r="I62" s="16" t="n"/>
      <c r="J62" s="15" t="n"/>
      <c r="K62" s="15" t="n"/>
      <c r="L62" s="15" t="n"/>
      <c r="M62" s="15" t="n"/>
      <c r="N62" s="17">
        <f>IF(B62="","",IF(AND(OR(E62="Complete",D62=""),OR(H62="Complete",G62=""),OR(K62="Complete",J62=""),M62="Yes"),"Compliant",IF(OR(E62="Not-Started",H62="Not-Started",K62="Not-Started",M62="No"),"Non-Compliant","Partial")))</f>
        <v/>
      </c>
      <c r="O62" s="15" t="n"/>
      <c r="P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6" t="n"/>
      <c r="G63" s="15" t="n"/>
      <c r="H63" s="15" t="n"/>
      <c r="I63" s="16" t="n"/>
      <c r="J63" s="15" t="n"/>
      <c r="K63" s="15" t="n"/>
      <c r="L63" s="15" t="n"/>
      <c r="M63" s="15" t="n"/>
      <c r="N63" s="17">
        <f>IF(B63="","",IF(AND(OR(E63="Complete",D63=""),OR(H63="Complete",G63=""),OR(K63="Complete",J63=""),M63="Yes"),"Compliant",IF(OR(E63="Not-Started",H63="Not-Started",K63="Not-Started",M63="No"),"Non-Compliant","Partial")))</f>
        <v/>
      </c>
      <c r="O63" s="15" t="n"/>
      <c r="P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6" t="n"/>
      <c r="G64" s="15" t="n"/>
      <c r="H64" s="15" t="n"/>
      <c r="I64" s="16" t="n"/>
      <c r="J64" s="15" t="n"/>
      <c r="K64" s="15" t="n"/>
      <c r="L64" s="15" t="n"/>
      <c r="M64" s="15" t="n"/>
      <c r="N64" s="17">
        <f>IF(B64="","",IF(AND(OR(E64="Complete",D64=""),OR(H64="Complete",G64=""),OR(K64="Complete",J64=""),M64="Yes"),"Compliant",IF(OR(E64="Not-Started",H64="Not-Started",K64="Not-Started",M64="No"),"Non-Compliant","Partial")))</f>
        <v/>
      </c>
      <c r="O64" s="15" t="n"/>
      <c r="P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6" t="n"/>
      <c r="G65" s="15" t="n"/>
      <c r="H65" s="15" t="n"/>
      <c r="I65" s="16" t="n"/>
      <c r="J65" s="15" t="n"/>
      <c r="K65" s="15" t="n"/>
      <c r="L65" s="15" t="n"/>
      <c r="M65" s="15" t="n"/>
      <c r="N65" s="17">
        <f>IF(B65="","",IF(AND(OR(E65="Complete",D65=""),OR(H65="Complete",G65=""),OR(K65="Complete",J65=""),M65="Yes"),"Compliant",IF(OR(E65="Not-Started",H65="Not-Started",K65="Not-Started",M65="No"),"Non-Compliant","Partial")))</f>
        <v/>
      </c>
      <c r="O65" s="15" t="n"/>
      <c r="P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6" t="n"/>
      <c r="G66" s="15" t="n"/>
      <c r="H66" s="15" t="n"/>
      <c r="I66" s="16" t="n"/>
      <c r="J66" s="15" t="n"/>
      <c r="K66" s="15" t="n"/>
      <c r="L66" s="15" t="n"/>
      <c r="M66" s="15" t="n"/>
      <c r="N66" s="17">
        <f>IF(B66="","",IF(AND(OR(E66="Complete",D66=""),OR(H66="Complete",G66=""),OR(K66="Complete",J66=""),M66="Yes"),"Compliant",IF(OR(E66="Not-Started",H66="Not-Started",K66="Not-Started",M66="No"),"Non-Compliant","Partial")))</f>
        <v/>
      </c>
      <c r="O66" s="15" t="n"/>
      <c r="P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6" t="n"/>
      <c r="G67" s="15" t="n"/>
      <c r="H67" s="15" t="n"/>
      <c r="I67" s="16" t="n"/>
      <c r="J67" s="15" t="n"/>
      <c r="K67" s="15" t="n"/>
      <c r="L67" s="15" t="n"/>
      <c r="M67" s="15" t="n"/>
      <c r="N67" s="17">
        <f>IF(B67="","",IF(AND(OR(E67="Complete",D67=""),OR(H67="Complete",G67=""),OR(K67="Complete",J67=""),M67="Yes"),"Compliant",IF(OR(E67="Not-Started",H67="Not-Started",K67="Not-Started",M67="No"),"Non-Compliant","Partial")))</f>
        <v/>
      </c>
      <c r="O67" s="15" t="n"/>
      <c r="P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6" t="n"/>
      <c r="G68" s="15" t="n"/>
      <c r="H68" s="15" t="n"/>
      <c r="I68" s="16" t="n"/>
      <c r="J68" s="15" t="n"/>
      <c r="K68" s="15" t="n"/>
      <c r="L68" s="15" t="n"/>
      <c r="M68" s="15" t="n"/>
      <c r="N68" s="17">
        <f>IF(B68="","",IF(AND(OR(E68="Complete",D68=""),OR(H68="Complete",G68=""),OR(K68="Complete",J68=""),M68="Yes"),"Compliant",IF(OR(E68="Not-Started",H68="Not-Started",K68="Not-Started",M68="No"),"Non-Compliant","Partial")))</f>
        <v/>
      </c>
      <c r="O68" s="15" t="n"/>
      <c r="P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6" t="n"/>
      <c r="G69" s="15" t="n"/>
      <c r="H69" s="15" t="n"/>
      <c r="I69" s="16" t="n"/>
      <c r="J69" s="15" t="n"/>
      <c r="K69" s="15" t="n"/>
      <c r="L69" s="15" t="n"/>
      <c r="M69" s="15" t="n"/>
      <c r="N69" s="17">
        <f>IF(B69="","",IF(AND(OR(E69="Complete",D69=""),OR(H69="Complete",G69=""),OR(K69="Complete",J69=""),M69="Yes"),"Compliant",IF(OR(E69="Not-Started",H69="Not-Started",K69="Not-Started",M69="No"),"Non-Compliant","Partial")))</f>
        <v/>
      </c>
      <c r="O69" s="15" t="n"/>
      <c r="P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6" t="n"/>
      <c r="G70" s="15" t="n"/>
      <c r="H70" s="15" t="n"/>
      <c r="I70" s="16" t="n"/>
      <c r="J70" s="15" t="n"/>
      <c r="K70" s="15" t="n"/>
      <c r="L70" s="15" t="n"/>
      <c r="M70" s="15" t="n"/>
      <c r="N70" s="17">
        <f>IF(B70="","",IF(AND(OR(E70="Complete",D70=""),OR(H70="Complete",G70=""),OR(K70="Complete",J70=""),M70="Yes"),"Compliant",IF(OR(E70="Not-Started",H70="Not-Started",K70="Not-Started",M70="No"),"Non-Compliant","Partial")))</f>
        <v/>
      </c>
      <c r="O70" s="15" t="n"/>
      <c r="P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6" t="n"/>
      <c r="G71" s="15" t="n"/>
      <c r="H71" s="15" t="n"/>
      <c r="I71" s="16" t="n"/>
      <c r="J71" s="15" t="n"/>
      <c r="K71" s="15" t="n"/>
      <c r="L71" s="15" t="n"/>
      <c r="M71" s="15" t="n"/>
      <c r="N71" s="17">
        <f>IF(B71="","",IF(AND(OR(E71="Complete",D71=""),OR(H71="Complete",G71=""),OR(K71="Complete",J71=""),M71="Yes"),"Compliant",IF(OR(E71="Not-Started",H71="Not-Started",K71="Not-Started",M71="No"),"Non-Compliant","Partial")))</f>
        <v/>
      </c>
      <c r="O71" s="15" t="n"/>
      <c r="P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6" t="n"/>
      <c r="G72" s="15" t="n"/>
      <c r="H72" s="15" t="n"/>
      <c r="I72" s="16" t="n"/>
      <c r="J72" s="15" t="n"/>
      <c r="K72" s="15" t="n"/>
      <c r="L72" s="15" t="n"/>
      <c r="M72" s="15" t="n"/>
      <c r="N72" s="17">
        <f>IF(B72="","",IF(AND(OR(E72="Complete",D72=""),OR(H72="Complete",G72=""),OR(K72="Complete",J72=""),M72="Yes"),"Compliant",IF(OR(E72="Not-Started",H72="Not-Started",K72="Not-Started",M72="No"),"Non-Compliant","Partial")))</f>
        <v/>
      </c>
      <c r="O72" s="15" t="n"/>
      <c r="P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6" t="n"/>
      <c r="G73" s="15" t="n"/>
      <c r="H73" s="15" t="n"/>
      <c r="I73" s="16" t="n"/>
      <c r="J73" s="15" t="n"/>
      <c r="K73" s="15" t="n"/>
      <c r="L73" s="15" t="n"/>
      <c r="M73" s="15" t="n"/>
      <c r="N73" s="17">
        <f>IF(B73="","",IF(AND(OR(E73="Complete",D73=""),OR(H73="Complete",G73=""),OR(K73="Complete",J73=""),M73="Yes"),"Compliant",IF(OR(E73="Not-Started",H73="Not-Started",K73="Not-Started",M73="No"),"Non-Compliant","Partial")))</f>
        <v/>
      </c>
      <c r="O73" s="15" t="n"/>
      <c r="P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6" t="n"/>
      <c r="G74" s="15" t="n"/>
      <c r="H74" s="15" t="n"/>
      <c r="I74" s="16" t="n"/>
      <c r="J74" s="15" t="n"/>
      <c r="K74" s="15" t="n"/>
      <c r="L74" s="15" t="n"/>
      <c r="M74" s="15" t="n"/>
      <c r="N74" s="17">
        <f>IF(B74="","",IF(AND(OR(E74="Complete",D74=""),OR(H74="Complete",G74=""),OR(K74="Complete",J74=""),M74="Yes"),"Compliant",IF(OR(E74="Not-Started",H74="Not-Started",K74="Not-Started",M74="No"),"Non-Compliant","Partial")))</f>
        <v/>
      </c>
      <c r="O74" s="15" t="n"/>
      <c r="P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6" t="n"/>
      <c r="G75" s="15" t="n"/>
      <c r="H75" s="15" t="n"/>
      <c r="I75" s="16" t="n"/>
      <c r="J75" s="15" t="n"/>
      <c r="K75" s="15" t="n"/>
      <c r="L75" s="15" t="n"/>
      <c r="M75" s="15" t="n"/>
      <c r="N75" s="17">
        <f>IF(B75="","",IF(AND(OR(E75="Complete",D75=""),OR(H75="Complete",G75=""),OR(K75="Complete",J75=""),M75="Yes"),"Compliant",IF(OR(E75="Not-Started",H75="Not-Started",K75="Not-Started",M75="No"),"Non-Compliant","Partial")))</f>
        <v/>
      </c>
      <c r="O75" s="15" t="n"/>
      <c r="P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6" t="n"/>
      <c r="G76" s="15" t="n"/>
      <c r="H76" s="15" t="n"/>
      <c r="I76" s="16" t="n"/>
      <c r="J76" s="15" t="n"/>
      <c r="K76" s="15" t="n"/>
      <c r="L76" s="15" t="n"/>
      <c r="M76" s="15" t="n"/>
      <c r="N76" s="17">
        <f>IF(B76="","",IF(AND(OR(E76="Complete",D76=""),OR(H76="Complete",G76=""),OR(K76="Complete",J76=""),M76="Yes"),"Compliant",IF(OR(E76="Not-Started",H76="Not-Started",K76="Not-Started",M76="No"),"Non-Compliant","Partial")))</f>
        <v/>
      </c>
      <c r="O76" s="15" t="n"/>
      <c r="P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6" t="n"/>
      <c r="G77" s="15" t="n"/>
      <c r="H77" s="15" t="n"/>
      <c r="I77" s="16" t="n"/>
      <c r="J77" s="15" t="n"/>
      <c r="K77" s="15" t="n"/>
      <c r="L77" s="15" t="n"/>
      <c r="M77" s="15" t="n"/>
      <c r="N77" s="17">
        <f>IF(B77="","",IF(AND(OR(E77="Complete",D77=""),OR(H77="Complete",G77=""),OR(K77="Complete",J77=""),M77="Yes"),"Compliant",IF(OR(E77="Not-Started",H77="Not-Started",K77="Not-Started",M77="No"),"Non-Compliant","Partial")))</f>
        <v/>
      </c>
      <c r="O77" s="15" t="n"/>
      <c r="P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6" t="n"/>
      <c r="G78" s="15" t="n"/>
      <c r="H78" s="15" t="n"/>
      <c r="I78" s="16" t="n"/>
      <c r="J78" s="15" t="n"/>
      <c r="K78" s="15" t="n"/>
      <c r="L78" s="15" t="n"/>
      <c r="M78" s="15" t="n"/>
      <c r="N78" s="17">
        <f>IF(B78="","",IF(AND(OR(E78="Complete",D78=""),OR(H78="Complete",G78=""),OR(K78="Complete",J78=""),M78="Yes"),"Compliant",IF(OR(E78="Not-Started",H78="Not-Started",K78="Not-Started",M78="No"),"Non-Compliant","Partial")))</f>
        <v/>
      </c>
      <c r="O78" s="15" t="n"/>
      <c r="P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6" t="n"/>
      <c r="G79" s="15" t="n"/>
      <c r="H79" s="15" t="n"/>
      <c r="I79" s="16" t="n"/>
      <c r="J79" s="15" t="n"/>
      <c r="K79" s="15" t="n"/>
      <c r="L79" s="15" t="n"/>
      <c r="M79" s="15" t="n"/>
      <c r="N79" s="17">
        <f>IF(B79="","",IF(AND(OR(E79="Complete",D79=""),OR(H79="Complete",G79=""),OR(K79="Complete",J79=""),M79="Yes"),"Compliant",IF(OR(E79="Not-Started",H79="Not-Started",K79="Not-Started",M79="No"),"Non-Compliant","Partial")))</f>
        <v/>
      </c>
      <c r="O79" s="15" t="n"/>
      <c r="P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6" t="n"/>
      <c r="G80" s="15" t="n"/>
      <c r="H80" s="15" t="n"/>
      <c r="I80" s="16" t="n"/>
      <c r="J80" s="15" t="n"/>
      <c r="K80" s="15" t="n"/>
      <c r="L80" s="15" t="n"/>
      <c r="M80" s="15" t="n"/>
      <c r="N80" s="17">
        <f>IF(B80="","",IF(AND(OR(E80="Complete",D80=""),OR(H80="Complete",G80=""),OR(K80="Complete",J80=""),M80="Yes"),"Compliant",IF(OR(E80="Not-Started",H80="Not-Started",K80="Not-Started",M80="No"),"Non-Compliant","Partial")))</f>
        <v/>
      </c>
      <c r="O80" s="15" t="n"/>
      <c r="P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6" t="n"/>
      <c r="G81" s="15" t="n"/>
      <c r="H81" s="15" t="n"/>
      <c r="I81" s="16" t="n"/>
      <c r="J81" s="15" t="n"/>
      <c r="K81" s="15" t="n"/>
      <c r="L81" s="15" t="n"/>
      <c r="M81" s="15" t="n"/>
      <c r="N81" s="17">
        <f>IF(B81="","",IF(AND(OR(E81="Complete",D81=""),OR(H81="Complete",G81=""),OR(K81="Complete",J81=""),M81="Yes"),"Compliant",IF(OR(E81="Not-Started",H81="Not-Started",K81="Not-Started",M81="No"),"Non-Compliant","Partial")))</f>
        <v/>
      </c>
      <c r="O81" s="15" t="n"/>
      <c r="P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6" t="n"/>
      <c r="G82" s="15" t="n"/>
      <c r="H82" s="15" t="n"/>
      <c r="I82" s="16" t="n"/>
      <c r="J82" s="15" t="n"/>
      <c r="K82" s="15" t="n"/>
      <c r="L82" s="15" t="n"/>
      <c r="M82" s="15" t="n"/>
      <c r="N82" s="17">
        <f>IF(B82="","",IF(AND(OR(E82="Complete",D82=""),OR(H82="Complete",G82=""),OR(K82="Complete",J82=""),M82="Yes"),"Compliant",IF(OR(E82="Not-Started",H82="Not-Started",K82="Not-Started",M82="No"),"Non-Compliant","Partial")))</f>
        <v/>
      </c>
      <c r="O82" s="15" t="n"/>
      <c r="P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6" t="n"/>
      <c r="G83" s="15" t="n"/>
      <c r="H83" s="15" t="n"/>
      <c r="I83" s="16" t="n"/>
      <c r="J83" s="15" t="n"/>
      <c r="K83" s="15" t="n"/>
      <c r="L83" s="15" t="n"/>
      <c r="M83" s="15" t="n"/>
      <c r="N83" s="17">
        <f>IF(B83="","",IF(AND(OR(E83="Complete",D83=""),OR(H83="Complete",G83=""),OR(K83="Complete",J83=""),M83="Yes"),"Compliant",IF(OR(E83="Not-Started",H83="Not-Started",K83="Not-Started",M83="No"),"Non-Compliant","Partial")))</f>
        <v/>
      </c>
      <c r="O83" s="15" t="n"/>
      <c r="P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6" t="n"/>
      <c r="G84" s="15" t="n"/>
      <c r="H84" s="15" t="n"/>
      <c r="I84" s="16" t="n"/>
      <c r="J84" s="15" t="n"/>
      <c r="K84" s="15" t="n"/>
      <c r="L84" s="15" t="n"/>
      <c r="M84" s="15" t="n"/>
      <c r="N84" s="17">
        <f>IF(B84="","",IF(AND(OR(E84="Complete",D84=""),OR(H84="Complete",G84=""),OR(K84="Complete",J84=""),M84="Yes"),"Compliant",IF(OR(E84="Not-Started",H84="Not-Started",K84="Not-Started",M84="No"),"Non-Compliant","Partial")))</f>
        <v/>
      </c>
      <c r="O84" s="15" t="n"/>
      <c r="P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6" t="n"/>
      <c r="G85" s="15" t="n"/>
      <c r="H85" s="15" t="n"/>
      <c r="I85" s="16" t="n"/>
      <c r="J85" s="15" t="n"/>
      <c r="K85" s="15" t="n"/>
      <c r="L85" s="15" t="n"/>
      <c r="M85" s="15" t="n"/>
      <c r="N85" s="17">
        <f>IF(B85="","",IF(AND(OR(E85="Complete",D85=""),OR(H85="Complete",G85=""),OR(K85="Complete",J85=""),M85="Yes"),"Compliant",IF(OR(E85="Not-Started",H85="Not-Started",K85="Not-Started",M85="No"),"Non-Compliant","Partial")))</f>
        <v/>
      </c>
      <c r="O85" s="15" t="n"/>
      <c r="P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6" t="n"/>
      <c r="G86" s="15" t="n"/>
      <c r="H86" s="15" t="n"/>
      <c r="I86" s="16" t="n"/>
      <c r="J86" s="15" t="n"/>
      <c r="K86" s="15" t="n"/>
      <c r="L86" s="15" t="n"/>
      <c r="M86" s="15" t="n"/>
      <c r="N86" s="17">
        <f>IF(B86="","",IF(AND(OR(E86="Complete",D86=""),OR(H86="Complete",G86=""),OR(K86="Complete",J86=""),M86="Yes"),"Compliant",IF(OR(E86="Not-Started",H86="Not-Started",K86="Not-Started",M86="No"),"Non-Compliant","Partial")))</f>
        <v/>
      </c>
      <c r="O86" s="15" t="n"/>
      <c r="P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6" t="n"/>
      <c r="G87" s="15" t="n"/>
      <c r="H87" s="15" t="n"/>
      <c r="I87" s="16" t="n"/>
      <c r="J87" s="15" t="n"/>
      <c r="K87" s="15" t="n"/>
      <c r="L87" s="15" t="n"/>
      <c r="M87" s="15" t="n"/>
      <c r="N87" s="17">
        <f>IF(B87="","",IF(AND(OR(E87="Complete",D87=""),OR(H87="Complete",G87=""),OR(K87="Complete",J87=""),M87="Yes"),"Compliant",IF(OR(E87="Not-Started",H87="Not-Started",K87="Not-Started",M87="No"),"Non-Compliant","Partial")))</f>
        <v/>
      </c>
      <c r="O87" s="15" t="n"/>
      <c r="P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6" t="n"/>
      <c r="G88" s="15" t="n"/>
      <c r="H88" s="15" t="n"/>
      <c r="I88" s="16" t="n"/>
      <c r="J88" s="15" t="n"/>
      <c r="K88" s="15" t="n"/>
      <c r="L88" s="15" t="n"/>
      <c r="M88" s="15" t="n"/>
      <c r="N88" s="17">
        <f>IF(B88="","",IF(AND(OR(E88="Complete",D88=""),OR(H88="Complete",G88=""),OR(K88="Complete",J88=""),M88="Yes"),"Compliant",IF(OR(E88="Not-Started",H88="Not-Started",K88="Not-Started",M88="No"),"Non-Compliant","Partial")))</f>
        <v/>
      </c>
      <c r="O88" s="15" t="n"/>
      <c r="P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6" t="n"/>
      <c r="G89" s="15" t="n"/>
      <c r="H89" s="15" t="n"/>
      <c r="I89" s="16" t="n"/>
      <c r="J89" s="15" t="n"/>
      <c r="K89" s="15" t="n"/>
      <c r="L89" s="15" t="n"/>
      <c r="M89" s="15" t="n"/>
      <c r="N89" s="17">
        <f>IF(B89="","",IF(AND(OR(E89="Complete",D89=""),OR(H89="Complete",G89=""),OR(K89="Complete",J89=""),M89="Yes"),"Compliant",IF(OR(E89="Not-Started",H89="Not-Started",K89="Not-Started",M89="No"),"Non-Compliant","Partial")))</f>
        <v/>
      </c>
      <c r="O89" s="15" t="n"/>
      <c r="P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6" t="n"/>
      <c r="G90" s="15" t="n"/>
      <c r="H90" s="15" t="n"/>
      <c r="I90" s="16" t="n"/>
      <c r="J90" s="15" t="n"/>
      <c r="K90" s="15" t="n"/>
      <c r="L90" s="15" t="n"/>
      <c r="M90" s="15" t="n"/>
      <c r="N90" s="17">
        <f>IF(B90="","",IF(AND(OR(E90="Complete",D90=""),OR(H90="Complete",G90=""),OR(K90="Complete",J90=""),M90="Yes"),"Compliant",IF(OR(E90="Not-Started",H90="Not-Started",K90="Not-Started",M90="No"),"Non-Compliant","Partial")))</f>
        <v/>
      </c>
      <c r="O90" s="15" t="n"/>
      <c r="P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6" t="n"/>
      <c r="G91" s="15" t="n"/>
      <c r="H91" s="15" t="n"/>
      <c r="I91" s="16" t="n"/>
      <c r="J91" s="15" t="n"/>
      <c r="K91" s="15" t="n"/>
      <c r="L91" s="15" t="n"/>
      <c r="M91" s="15" t="n"/>
      <c r="N91" s="17">
        <f>IF(B91="","",IF(AND(OR(E91="Complete",D91=""),OR(H91="Complete",G91=""),OR(K91="Complete",J91=""),M91="Yes"),"Compliant",IF(OR(E91="Not-Started",H91="Not-Started",K91="Not-Started",M91="No"),"Non-Compliant","Partial")))</f>
        <v/>
      </c>
      <c r="O91" s="15" t="n"/>
      <c r="P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6" t="n"/>
      <c r="G92" s="15" t="n"/>
      <c r="H92" s="15" t="n"/>
      <c r="I92" s="16" t="n"/>
      <c r="J92" s="15" t="n"/>
      <c r="K92" s="15" t="n"/>
      <c r="L92" s="15" t="n"/>
      <c r="M92" s="15" t="n"/>
      <c r="N92" s="17">
        <f>IF(B92="","",IF(AND(OR(E92="Complete",D92=""),OR(H92="Complete",G92=""),OR(K92="Complete",J92=""),M92="Yes"),"Compliant",IF(OR(E92="Not-Started",H92="Not-Started",K92="Not-Started",M92="No"),"Non-Compliant","Partial")))</f>
        <v/>
      </c>
      <c r="O92" s="15" t="n"/>
      <c r="P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6" t="n"/>
      <c r="G93" s="15" t="n"/>
      <c r="H93" s="15" t="n"/>
      <c r="I93" s="16" t="n"/>
      <c r="J93" s="15" t="n"/>
      <c r="K93" s="15" t="n"/>
      <c r="L93" s="15" t="n"/>
      <c r="M93" s="15" t="n"/>
      <c r="N93" s="17">
        <f>IF(B93="","",IF(AND(OR(E93="Complete",D93=""),OR(H93="Complete",G93=""),OR(K93="Complete",J93=""),M93="Yes"),"Compliant",IF(OR(E93="Not-Started",H93="Not-Started",K93="Not-Started",M93="No"),"Non-Compliant","Partial")))</f>
        <v/>
      </c>
      <c r="O93" s="15" t="n"/>
      <c r="P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6" t="n"/>
      <c r="G94" s="15" t="n"/>
      <c r="H94" s="15" t="n"/>
      <c r="I94" s="16" t="n"/>
      <c r="J94" s="15" t="n"/>
      <c r="K94" s="15" t="n"/>
      <c r="L94" s="15" t="n"/>
      <c r="M94" s="15" t="n"/>
      <c r="N94" s="17">
        <f>IF(B94="","",IF(AND(OR(E94="Complete",D94=""),OR(H94="Complete",G94=""),OR(K94="Complete",J94=""),M94="Yes"),"Compliant",IF(OR(E94="Not-Started",H94="Not-Started",K94="Not-Started",M94="No"),"Non-Compliant","Partial")))</f>
        <v/>
      </c>
      <c r="O94" s="15" t="n"/>
      <c r="P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6" t="n"/>
      <c r="G95" s="15" t="n"/>
      <c r="H95" s="15" t="n"/>
      <c r="I95" s="16" t="n"/>
      <c r="J95" s="15" t="n"/>
      <c r="K95" s="15" t="n"/>
      <c r="L95" s="15" t="n"/>
      <c r="M95" s="15" t="n"/>
      <c r="N95" s="17">
        <f>IF(B95="","",IF(AND(OR(E95="Complete",D95=""),OR(H95="Complete",G95=""),OR(K95="Complete",J95=""),M95="Yes"),"Compliant",IF(OR(E95="Not-Started",H95="Not-Started",K95="Not-Started",M95="No"),"Non-Compliant","Partial")))</f>
        <v/>
      </c>
      <c r="O95" s="15" t="n"/>
      <c r="P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6" t="n"/>
      <c r="G96" s="15" t="n"/>
      <c r="H96" s="15" t="n"/>
      <c r="I96" s="16" t="n"/>
      <c r="J96" s="15" t="n"/>
      <c r="K96" s="15" t="n"/>
      <c r="L96" s="15" t="n"/>
      <c r="M96" s="15" t="n"/>
      <c r="N96" s="17">
        <f>IF(B96="","",IF(AND(OR(E96="Complete",D96=""),OR(H96="Complete",G96=""),OR(K96="Complete",J96=""),M96="Yes"),"Compliant",IF(OR(E96="Not-Started",H96="Not-Started",K96="Not-Started",M96="No"),"Non-Compliant","Partial")))</f>
        <v/>
      </c>
      <c r="O96" s="15" t="n"/>
      <c r="P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6" t="n"/>
      <c r="G97" s="15" t="n"/>
      <c r="H97" s="15" t="n"/>
      <c r="I97" s="16" t="n"/>
      <c r="J97" s="15" t="n"/>
      <c r="K97" s="15" t="n"/>
      <c r="L97" s="15" t="n"/>
      <c r="M97" s="15" t="n"/>
      <c r="N97" s="17">
        <f>IF(B97="","",IF(AND(OR(E97="Complete",D97=""),OR(H97="Complete",G97=""),OR(K97="Complete",J97=""),M97="Yes"),"Compliant",IF(OR(E97="Not-Started",H97="Not-Started",K97="Not-Started",M97="No"),"Non-Compliant","Partial")))</f>
        <v/>
      </c>
      <c r="O97" s="15" t="n"/>
      <c r="P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6" t="n"/>
      <c r="G98" s="15" t="n"/>
      <c r="H98" s="15" t="n"/>
      <c r="I98" s="16" t="n"/>
      <c r="J98" s="15" t="n"/>
      <c r="K98" s="15" t="n"/>
      <c r="L98" s="15" t="n"/>
      <c r="M98" s="15" t="n"/>
      <c r="N98" s="17">
        <f>IF(B98="","",IF(AND(OR(E98="Complete",D98=""),OR(H98="Complete",G98=""),OR(K98="Complete",J98=""),M98="Yes"),"Compliant",IF(OR(E98="Not-Started",H98="Not-Started",K98="Not-Started",M98="No"),"Non-Compliant","Partial")))</f>
        <v/>
      </c>
      <c r="O98" s="15" t="n"/>
      <c r="P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6" t="n"/>
      <c r="G99" s="15" t="n"/>
      <c r="H99" s="15" t="n"/>
      <c r="I99" s="16" t="n"/>
      <c r="J99" s="15" t="n"/>
      <c r="K99" s="15" t="n"/>
      <c r="L99" s="15" t="n"/>
      <c r="M99" s="15" t="n"/>
      <c r="N99" s="17">
        <f>IF(B99="","",IF(AND(OR(E99="Complete",D99=""),OR(H99="Complete",G99=""),OR(K99="Complete",J99=""),M99="Yes"),"Compliant",IF(OR(E99="Not-Started",H99="Not-Started",K99="Not-Started",M99="No"),"Non-Compliant","Partial")))</f>
        <v/>
      </c>
      <c r="O99" s="15" t="n"/>
      <c r="P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6" t="n"/>
      <c r="G100" s="15" t="n"/>
      <c r="H100" s="15" t="n"/>
      <c r="I100" s="16" t="n"/>
      <c r="J100" s="15" t="n"/>
      <c r="K100" s="15" t="n"/>
      <c r="L100" s="15" t="n"/>
      <c r="M100" s="15" t="n"/>
      <c r="N100" s="17">
        <f>IF(B100="","",IF(AND(OR(E100="Complete",D100=""),OR(H100="Complete",G100=""),OR(K100="Complete",J100=""),M100="Yes"),"Compliant",IF(OR(E100="Not-Started",H100="Not-Started",K100="Not-Started",M100="No"),"Non-Compliant","Partial")))</f>
        <v/>
      </c>
      <c r="O100" s="15" t="n"/>
      <c r="P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6" t="n"/>
      <c r="G101" s="15" t="n"/>
      <c r="H101" s="15" t="n"/>
      <c r="I101" s="16" t="n"/>
      <c r="J101" s="15" t="n"/>
      <c r="K101" s="15" t="n"/>
      <c r="L101" s="15" t="n"/>
      <c r="M101" s="15" t="n"/>
      <c r="N101" s="17">
        <f>IF(B101="","",IF(AND(OR(E101="Complete",D101=""),OR(H101="Complete",G101=""),OR(K101="Complete",J101=""),M101="Yes"),"Compliant",IF(OR(E101="Not-Started",H101="Not-Started",K101="Not-Started",M101="No"),"Non-Compliant","Partial")))</f>
        <v/>
      </c>
      <c r="O101" s="15" t="n"/>
      <c r="P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6" t="n"/>
      <c r="G102" s="15" t="n"/>
      <c r="H102" s="15" t="n"/>
      <c r="I102" s="16" t="n"/>
      <c r="J102" s="15" t="n"/>
      <c r="K102" s="15" t="n"/>
      <c r="L102" s="15" t="n"/>
      <c r="M102" s="15" t="n"/>
      <c r="N102" s="17">
        <f>IF(B102="","",IF(AND(OR(E102="Complete",D102=""),OR(H102="Complete",G102=""),OR(K102="Complete",J102=""),M102="Yes"),"Compliant",IF(OR(E102="Not-Started",H102="Not-Started",K102="Not-Started",M102="No"),"Non-Compliant","Partial")))</f>
        <v/>
      </c>
      <c r="O102" s="15" t="n"/>
      <c r="P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6" t="n"/>
      <c r="G103" s="15" t="n"/>
      <c r="H103" s="15" t="n"/>
      <c r="I103" s="16" t="n"/>
      <c r="J103" s="15" t="n"/>
      <c r="K103" s="15" t="n"/>
      <c r="L103" s="15" t="n"/>
      <c r="M103" s="15" t="n"/>
      <c r="N103" s="17">
        <f>IF(B103="","",IF(AND(OR(E103="Complete",D103=""),OR(H103="Complete",G103=""),OR(K103="Complete",J103=""),M103="Yes"),"Compliant",IF(OR(E103="Not-Started",H103="Not-Started",K103="Not-Started",M103="No"),"Non-Compliant","Partial")))</f>
        <v/>
      </c>
      <c r="O103" s="15" t="n"/>
      <c r="P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6" t="n"/>
      <c r="G104" s="15" t="n"/>
      <c r="H104" s="15" t="n"/>
      <c r="I104" s="16" t="n"/>
      <c r="J104" s="15" t="n"/>
      <c r="K104" s="15" t="n"/>
      <c r="L104" s="15" t="n"/>
      <c r="M104" s="15" t="n"/>
      <c r="N104" s="17">
        <f>IF(B104="","",IF(AND(OR(E104="Complete",D104=""),OR(H104="Complete",G104=""),OR(K104="Complete",J104=""),M104="Yes"),"Compliant",IF(OR(E104="Not-Started",H104="Not-Started",K104="Not-Started",M104="No"),"Non-Compliant","Partial")))</f>
        <v/>
      </c>
      <c r="O104" s="15" t="n"/>
      <c r="P104" s="15" t="n"/>
    </row>
  </sheetData>
  <mergeCells count="2">
    <mergeCell ref="A1:P1"/>
    <mergeCell ref="A2:P2"/>
  </mergeCells>
  <dataValidations count="3">
    <dataValidation sqref="E5:E104 H5:H104 K5:K104" showDropDown="0" showInputMessage="0" showErrorMessage="1" allowBlank="1" errorTitle="Invalid Entry" error="Please select from dropdown" type="list">
      <formula1>"Complete,In-Progress,Not-Started,N/A"</formula1>
    </dataValidation>
    <dataValidation sqref="L5:L104" showDropDown="0" showInputMessage="0" showErrorMessage="1" allowBlank="1" errorTitle="Invalid Entry" error="Please select from dropdown" type="list">
      <formula1>"Current,Expiring-Soon,Overdue,N/A"</formula1>
    </dataValidation>
    <dataValidation sqref="M5:M104"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40" customWidth="1" min="14" max="14"/>
    <col width="30" customWidth="1" min="15" max="15"/>
  </cols>
  <sheetData>
    <row r="1" ht="35" customHeight="1">
      <c r="A1" s="11" t="inlineStr">
        <is>
          <t>ACCESS ALIGNMENT REVIEW</t>
        </is>
      </c>
    </row>
    <row r="2">
      <c r="A2" s="12" t="inlineStr">
        <is>
          <t>Verification of role-based access alignment with role definitions</t>
        </is>
      </c>
    </row>
    <row r="4">
      <c r="A4" s="13" t="inlineStr">
        <is>
          <t>Role ID</t>
        </is>
      </c>
      <c r="B4" s="13" t="inlineStr">
        <is>
          <t>Role Title</t>
        </is>
      </c>
      <c r="C4" s="13" t="inlineStr">
        <is>
          <t>Role Holder Name</t>
        </is>
      </c>
      <c r="D4" s="13" t="inlineStr">
        <is>
          <t>Defined Access Level</t>
        </is>
      </c>
      <c r="E4" s="13" t="inlineStr">
        <is>
          <t>Actual Access Level</t>
        </is>
      </c>
      <c r="F4" s="13" t="inlineStr">
        <is>
          <t>Systems Access Defined</t>
        </is>
      </c>
      <c r="G4" s="13" t="inlineStr">
        <is>
          <t>Systems Access Actual</t>
        </is>
      </c>
      <c r="H4" s="13" t="inlineStr">
        <is>
          <t>Excess Privileges</t>
        </is>
      </c>
      <c r="I4" s="13" t="inlineStr">
        <is>
          <t>Missing Access</t>
        </is>
      </c>
      <c r="J4" s="13" t="inlineStr">
        <is>
          <t>Access Review Date</t>
        </is>
      </c>
      <c r="K4" s="13" t="inlineStr">
        <is>
          <t>SoD Conflict</t>
        </is>
      </c>
      <c r="L4" s="13" t="inlineStr">
        <is>
          <t>Access Documentation</t>
        </is>
      </c>
      <c r="M4" s="13" t="inlineStr">
        <is>
          <t>Access Alignment Status</t>
        </is>
      </c>
      <c r="N4" s="13" t="inlineStr">
        <is>
          <t>Gap Description</t>
        </is>
      </c>
      <c r="O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5" t="n"/>
      <c r="G5" s="15" t="n"/>
      <c r="H5" s="15" t="n"/>
      <c r="I5" s="15" t="n"/>
      <c r="J5" s="16" t="n"/>
      <c r="K5" s="15" t="n"/>
      <c r="L5" s="15" t="n"/>
      <c r="M5" s="17">
        <f>IF(B5="","",IF(AND(H5="No",I5="No",K5="No",L5="Complete"),"Aligned",IF(OR(K5="Yes",AND(H5="Yes",I5="Yes")),"Misaligned","Partial")))</f>
        <v/>
      </c>
      <c r="N5" s="15" t="n"/>
      <c r="O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5" t="n"/>
      <c r="G6" s="15" t="n"/>
      <c r="H6" s="15" t="n"/>
      <c r="I6" s="15" t="n"/>
      <c r="J6" s="16" t="n"/>
      <c r="K6" s="15" t="n"/>
      <c r="L6" s="15" t="n"/>
      <c r="M6" s="17">
        <f>IF(B6="","",IF(AND(H6="No",I6="No",K6="No",L6="Complete"),"Aligned",IF(OR(K6="Yes",AND(H6="Yes",I6="Yes")),"Misaligned","Partial")))</f>
        <v/>
      </c>
      <c r="N6" s="15" t="n"/>
      <c r="O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5" t="n"/>
      <c r="G7" s="15" t="n"/>
      <c r="H7" s="15" t="n"/>
      <c r="I7" s="15" t="n"/>
      <c r="J7" s="16" t="n"/>
      <c r="K7" s="15" t="n"/>
      <c r="L7" s="15" t="n"/>
      <c r="M7" s="17">
        <f>IF(B7="","",IF(AND(H7="No",I7="No",K7="No",L7="Complete"),"Aligned",IF(OR(K7="Yes",AND(H7="Yes",I7="Yes")),"Misaligned","Partial")))</f>
        <v/>
      </c>
      <c r="N7" s="15" t="n"/>
      <c r="O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5" t="n"/>
      <c r="G8" s="15" t="n"/>
      <c r="H8" s="15" t="n"/>
      <c r="I8" s="15" t="n"/>
      <c r="J8" s="16" t="n"/>
      <c r="K8" s="15" t="n"/>
      <c r="L8" s="15" t="n"/>
      <c r="M8" s="17">
        <f>IF(B8="","",IF(AND(H8="No",I8="No",K8="No",L8="Complete"),"Aligned",IF(OR(K8="Yes",AND(H8="Yes",I8="Yes")),"Misaligned","Partial")))</f>
        <v/>
      </c>
      <c r="N8" s="15" t="n"/>
      <c r="O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5" t="n"/>
      <c r="G9" s="15" t="n"/>
      <c r="H9" s="15" t="n"/>
      <c r="I9" s="15" t="n"/>
      <c r="J9" s="16" t="n"/>
      <c r="K9" s="15" t="n"/>
      <c r="L9" s="15" t="n"/>
      <c r="M9" s="17">
        <f>IF(B9="","",IF(AND(H9="No",I9="No",K9="No",L9="Complete"),"Aligned",IF(OR(K9="Yes",AND(H9="Yes",I9="Yes")),"Misaligned","Partial")))</f>
        <v/>
      </c>
      <c r="N9" s="15" t="n"/>
      <c r="O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5" t="n"/>
      <c r="G10" s="15" t="n"/>
      <c r="H10" s="15" t="n"/>
      <c r="I10" s="15" t="n"/>
      <c r="J10" s="16" t="n"/>
      <c r="K10" s="15" t="n"/>
      <c r="L10" s="15" t="n"/>
      <c r="M10" s="17">
        <f>IF(B10="","",IF(AND(H10="No",I10="No",K10="No",L10="Complete"),"Aligned",IF(OR(K10="Yes",AND(H10="Yes",I10="Yes")),"Misaligned","Partial")))</f>
        <v/>
      </c>
      <c r="N10" s="15" t="n"/>
      <c r="O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5" t="n"/>
      <c r="G11" s="15" t="n"/>
      <c r="H11" s="15" t="n"/>
      <c r="I11" s="15" t="n"/>
      <c r="J11" s="16" t="n"/>
      <c r="K11" s="15" t="n"/>
      <c r="L11" s="15" t="n"/>
      <c r="M11" s="17">
        <f>IF(B11="","",IF(AND(H11="No",I11="No",K11="No",L11="Complete"),"Aligned",IF(OR(K11="Yes",AND(H11="Yes",I11="Yes")),"Misaligned","Partial")))</f>
        <v/>
      </c>
      <c r="N11" s="15" t="n"/>
      <c r="O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5" t="n"/>
      <c r="G12" s="15" t="n"/>
      <c r="H12" s="15" t="n"/>
      <c r="I12" s="15" t="n"/>
      <c r="J12" s="16" t="n"/>
      <c r="K12" s="15" t="n"/>
      <c r="L12" s="15" t="n"/>
      <c r="M12" s="17">
        <f>IF(B12="","",IF(AND(H12="No",I12="No",K12="No",L12="Complete"),"Aligned",IF(OR(K12="Yes",AND(H12="Yes",I12="Yes")),"Misaligned","Partial")))</f>
        <v/>
      </c>
      <c r="N12" s="15" t="n"/>
      <c r="O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5" t="n"/>
      <c r="G13" s="15" t="n"/>
      <c r="H13" s="15" t="n"/>
      <c r="I13" s="15" t="n"/>
      <c r="J13" s="16" t="n"/>
      <c r="K13" s="15" t="n"/>
      <c r="L13" s="15" t="n"/>
      <c r="M13" s="17">
        <f>IF(B13="","",IF(AND(H13="No",I13="No",K13="No",L13="Complete"),"Aligned",IF(OR(K13="Yes",AND(H13="Yes",I13="Yes")),"Misaligned","Partial")))</f>
        <v/>
      </c>
      <c r="N13" s="15" t="n"/>
      <c r="O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5" t="n"/>
      <c r="G14" s="15" t="n"/>
      <c r="H14" s="15" t="n"/>
      <c r="I14" s="15" t="n"/>
      <c r="J14" s="16" t="n"/>
      <c r="K14" s="15" t="n"/>
      <c r="L14" s="15" t="n"/>
      <c r="M14" s="17">
        <f>IF(B14="","",IF(AND(H14="No",I14="No",K14="No",L14="Complete"),"Aligned",IF(OR(K14="Yes",AND(H14="Yes",I14="Yes")),"Misaligned","Partial")))</f>
        <v/>
      </c>
      <c r="N14" s="15" t="n"/>
      <c r="O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5" t="n"/>
      <c r="G15" s="15" t="n"/>
      <c r="H15" s="15" t="n"/>
      <c r="I15" s="15" t="n"/>
      <c r="J15" s="16" t="n"/>
      <c r="K15" s="15" t="n"/>
      <c r="L15" s="15" t="n"/>
      <c r="M15" s="17">
        <f>IF(B15="","",IF(AND(H15="No",I15="No",K15="No",L15="Complete"),"Aligned",IF(OR(K15="Yes",AND(H15="Yes",I15="Yes")),"Misaligned","Partial")))</f>
        <v/>
      </c>
      <c r="N15" s="15" t="n"/>
      <c r="O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5" t="n"/>
      <c r="G16" s="15" t="n"/>
      <c r="H16" s="15" t="n"/>
      <c r="I16" s="15" t="n"/>
      <c r="J16" s="16" t="n"/>
      <c r="K16" s="15" t="n"/>
      <c r="L16" s="15" t="n"/>
      <c r="M16" s="17">
        <f>IF(B16="","",IF(AND(H16="No",I16="No",K16="No",L16="Complete"),"Aligned",IF(OR(K16="Yes",AND(H16="Yes",I16="Yes")),"Misaligned","Partial")))</f>
        <v/>
      </c>
      <c r="N16" s="15" t="n"/>
      <c r="O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5" t="n"/>
      <c r="G17" s="15" t="n"/>
      <c r="H17" s="15" t="n"/>
      <c r="I17" s="15" t="n"/>
      <c r="J17" s="16" t="n"/>
      <c r="K17" s="15" t="n"/>
      <c r="L17" s="15" t="n"/>
      <c r="M17" s="17">
        <f>IF(B17="","",IF(AND(H17="No",I17="No",K17="No",L17="Complete"),"Aligned",IF(OR(K17="Yes",AND(H17="Yes",I17="Yes")),"Misaligned","Partial")))</f>
        <v/>
      </c>
      <c r="N17" s="15" t="n"/>
      <c r="O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5" t="n"/>
      <c r="G18" s="15" t="n"/>
      <c r="H18" s="15" t="n"/>
      <c r="I18" s="15" t="n"/>
      <c r="J18" s="16" t="n"/>
      <c r="K18" s="15" t="n"/>
      <c r="L18" s="15" t="n"/>
      <c r="M18" s="17">
        <f>IF(B18="","",IF(AND(H18="No",I18="No",K18="No",L18="Complete"),"Aligned",IF(OR(K18="Yes",AND(H18="Yes",I18="Yes")),"Misaligned","Partial")))</f>
        <v/>
      </c>
      <c r="N18" s="15" t="n"/>
      <c r="O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5" t="n"/>
      <c r="G19" s="15" t="n"/>
      <c r="H19" s="15" t="n"/>
      <c r="I19" s="15" t="n"/>
      <c r="J19" s="16" t="n"/>
      <c r="K19" s="15" t="n"/>
      <c r="L19" s="15" t="n"/>
      <c r="M19" s="17">
        <f>IF(B19="","",IF(AND(H19="No",I19="No",K19="No",L19="Complete"),"Aligned",IF(OR(K19="Yes",AND(H19="Yes",I19="Yes")),"Misaligned","Partial")))</f>
        <v/>
      </c>
      <c r="N19" s="15" t="n"/>
      <c r="O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5" t="n"/>
      <c r="G20" s="15" t="n"/>
      <c r="H20" s="15" t="n"/>
      <c r="I20" s="15" t="n"/>
      <c r="J20" s="16" t="n"/>
      <c r="K20" s="15" t="n"/>
      <c r="L20" s="15" t="n"/>
      <c r="M20" s="17">
        <f>IF(B20="","",IF(AND(H20="No",I20="No",K20="No",L20="Complete"),"Aligned",IF(OR(K20="Yes",AND(H20="Yes",I20="Yes")),"Misaligned","Partial")))</f>
        <v/>
      </c>
      <c r="N20" s="15" t="n"/>
      <c r="O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5" t="n"/>
      <c r="G21" s="15" t="n"/>
      <c r="H21" s="15" t="n"/>
      <c r="I21" s="15" t="n"/>
      <c r="J21" s="16" t="n"/>
      <c r="K21" s="15" t="n"/>
      <c r="L21" s="15" t="n"/>
      <c r="M21" s="17">
        <f>IF(B21="","",IF(AND(H21="No",I21="No",K21="No",L21="Complete"),"Aligned",IF(OR(K21="Yes",AND(H21="Yes",I21="Yes")),"Misaligned","Partial")))</f>
        <v/>
      </c>
      <c r="N21" s="15" t="n"/>
      <c r="O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5" t="n"/>
      <c r="G22" s="15" t="n"/>
      <c r="H22" s="15" t="n"/>
      <c r="I22" s="15" t="n"/>
      <c r="J22" s="16" t="n"/>
      <c r="K22" s="15" t="n"/>
      <c r="L22" s="15" t="n"/>
      <c r="M22" s="17">
        <f>IF(B22="","",IF(AND(H22="No",I22="No",K22="No",L22="Complete"),"Aligned",IF(OR(K22="Yes",AND(H22="Yes",I22="Yes")),"Misaligned","Partial")))</f>
        <v/>
      </c>
      <c r="N22" s="15" t="n"/>
      <c r="O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5" t="n"/>
      <c r="G23" s="15" t="n"/>
      <c r="H23" s="15" t="n"/>
      <c r="I23" s="15" t="n"/>
      <c r="J23" s="16" t="n"/>
      <c r="K23" s="15" t="n"/>
      <c r="L23" s="15" t="n"/>
      <c r="M23" s="17">
        <f>IF(B23="","",IF(AND(H23="No",I23="No",K23="No",L23="Complete"),"Aligned",IF(OR(K23="Yes",AND(H23="Yes",I23="Yes")),"Misaligned","Partial")))</f>
        <v/>
      </c>
      <c r="N23" s="15" t="n"/>
      <c r="O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5" t="n"/>
      <c r="G24" s="15" t="n"/>
      <c r="H24" s="15" t="n"/>
      <c r="I24" s="15" t="n"/>
      <c r="J24" s="16" t="n"/>
      <c r="K24" s="15" t="n"/>
      <c r="L24" s="15" t="n"/>
      <c r="M24" s="17">
        <f>IF(B24="","",IF(AND(H24="No",I24="No",K24="No",L24="Complete"),"Aligned",IF(OR(K24="Yes",AND(H24="Yes",I24="Yes")),"Misaligned","Partial")))</f>
        <v/>
      </c>
      <c r="N24" s="15" t="n"/>
      <c r="O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5" t="n"/>
      <c r="G25" s="15" t="n"/>
      <c r="H25" s="15" t="n"/>
      <c r="I25" s="15" t="n"/>
      <c r="J25" s="16" t="n"/>
      <c r="K25" s="15" t="n"/>
      <c r="L25" s="15" t="n"/>
      <c r="M25" s="17">
        <f>IF(B25="","",IF(AND(H25="No",I25="No",K25="No",L25="Complete"),"Aligned",IF(OR(K25="Yes",AND(H25="Yes",I25="Yes")),"Misaligned","Partial")))</f>
        <v/>
      </c>
      <c r="N25" s="15" t="n"/>
      <c r="O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5" t="n"/>
      <c r="G26" s="15" t="n"/>
      <c r="H26" s="15" t="n"/>
      <c r="I26" s="15" t="n"/>
      <c r="J26" s="16" t="n"/>
      <c r="K26" s="15" t="n"/>
      <c r="L26" s="15" t="n"/>
      <c r="M26" s="17">
        <f>IF(B26="","",IF(AND(H26="No",I26="No",K26="No",L26="Complete"),"Aligned",IF(OR(K26="Yes",AND(H26="Yes",I26="Yes")),"Misaligned","Partial")))</f>
        <v/>
      </c>
      <c r="N26" s="15" t="n"/>
      <c r="O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5" t="n"/>
      <c r="G27" s="15" t="n"/>
      <c r="H27" s="15" t="n"/>
      <c r="I27" s="15" t="n"/>
      <c r="J27" s="16" t="n"/>
      <c r="K27" s="15" t="n"/>
      <c r="L27" s="15" t="n"/>
      <c r="M27" s="17">
        <f>IF(B27="","",IF(AND(H27="No",I27="No",K27="No",L27="Complete"),"Aligned",IF(OR(K27="Yes",AND(H27="Yes",I27="Yes")),"Misaligned","Partial")))</f>
        <v/>
      </c>
      <c r="N27" s="15" t="n"/>
      <c r="O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5" t="n"/>
      <c r="G28" s="15" t="n"/>
      <c r="H28" s="15" t="n"/>
      <c r="I28" s="15" t="n"/>
      <c r="J28" s="16" t="n"/>
      <c r="K28" s="15" t="n"/>
      <c r="L28" s="15" t="n"/>
      <c r="M28" s="17">
        <f>IF(B28="","",IF(AND(H28="No",I28="No",K28="No",L28="Complete"),"Aligned",IF(OR(K28="Yes",AND(H28="Yes",I28="Yes")),"Misaligned","Partial")))</f>
        <v/>
      </c>
      <c r="N28" s="15" t="n"/>
      <c r="O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5" t="n"/>
      <c r="G29" s="15" t="n"/>
      <c r="H29" s="15" t="n"/>
      <c r="I29" s="15" t="n"/>
      <c r="J29" s="16" t="n"/>
      <c r="K29" s="15" t="n"/>
      <c r="L29" s="15" t="n"/>
      <c r="M29" s="17">
        <f>IF(B29="","",IF(AND(H29="No",I29="No",K29="No",L29="Complete"),"Aligned",IF(OR(K29="Yes",AND(H29="Yes",I29="Yes")),"Misaligned","Partial")))</f>
        <v/>
      </c>
      <c r="N29" s="15" t="n"/>
      <c r="O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5" t="n"/>
      <c r="G30" s="15" t="n"/>
      <c r="H30" s="15" t="n"/>
      <c r="I30" s="15" t="n"/>
      <c r="J30" s="16" t="n"/>
      <c r="K30" s="15" t="n"/>
      <c r="L30" s="15" t="n"/>
      <c r="M30" s="17">
        <f>IF(B30="","",IF(AND(H30="No",I30="No",K30="No",L30="Complete"),"Aligned",IF(OR(K30="Yes",AND(H30="Yes",I30="Yes")),"Misaligned","Partial")))</f>
        <v/>
      </c>
      <c r="N30" s="15" t="n"/>
      <c r="O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5" t="n"/>
      <c r="G31" s="15" t="n"/>
      <c r="H31" s="15" t="n"/>
      <c r="I31" s="15" t="n"/>
      <c r="J31" s="16" t="n"/>
      <c r="K31" s="15" t="n"/>
      <c r="L31" s="15" t="n"/>
      <c r="M31" s="17">
        <f>IF(B31="","",IF(AND(H31="No",I31="No",K31="No",L31="Complete"),"Aligned",IF(OR(K31="Yes",AND(H31="Yes",I31="Yes")),"Misaligned","Partial")))</f>
        <v/>
      </c>
      <c r="N31" s="15" t="n"/>
      <c r="O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5" t="n"/>
      <c r="G32" s="15" t="n"/>
      <c r="H32" s="15" t="n"/>
      <c r="I32" s="15" t="n"/>
      <c r="J32" s="16" t="n"/>
      <c r="K32" s="15" t="n"/>
      <c r="L32" s="15" t="n"/>
      <c r="M32" s="17">
        <f>IF(B32="","",IF(AND(H32="No",I32="No",K32="No",L32="Complete"),"Aligned",IF(OR(K32="Yes",AND(H32="Yes",I32="Yes")),"Misaligned","Partial")))</f>
        <v/>
      </c>
      <c r="N32" s="15" t="n"/>
      <c r="O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5" t="n"/>
      <c r="G33" s="15" t="n"/>
      <c r="H33" s="15" t="n"/>
      <c r="I33" s="15" t="n"/>
      <c r="J33" s="16" t="n"/>
      <c r="K33" s="15" t="n"/>
      <c r="L33" s="15" t="n"/>
      <c r="M33" s="17">
        <f>IF(B33="","",IF(AND(H33="No",I33="No",K33="No",L33="Complete"),"Aligned",IF(OR(K33="Yes",AND(H33="Yes",I33="Yes")),"Misaligned","Partial")))</f>
        <v/>
      </c>
      <c r="N33" s="15" t="n"/>
      <c r="O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5" t="n"/>
      <c r="G34" s="15" t="n"/>
      <c r="H34" s="15" t="n"/>
      <c r="I34" s="15" t="n"/>
      <c r="J34" s="16" t="n"/>
      <c r="K34" s="15" t="n"/>
      <c r="L34" s="15" t="n"/>
      <c r="M34" s="17">
        <f>IF(B34="","",IF(AND(H34="No",I34="No",K34="No",L34="Complete"),"Aligned",IF(OR(K34="Yes",AND(H34="Yes",I34="Yes")),"Misaligned","Partial")))</f>
        <v/>
      </c>
      <c r="N34" s="15" t="n"/>
      <c r="O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5" t="n"/>
      <c r="G35" s="15" t="n"/>
      <c r="H35" s="15" t="n"/>
      <c r="I35" s="15" t="n"/>
      <c r="J35" s="16" t="n"/>
      <c r="K35" s="15" t="n"/>
      <c r="L35" s="15" t="n"/>
      <c r="M35" s="17">
        <f>IF(B35="","",IF(AND(H35="No",I35="No",K35="No",L35="Complete"),"Aligned",IF(OR(K35="Yes",AND(H35="Yes",I35="Yes")),"Misaligned","Partial")))</f>
        <v/>
      </c>
      <c r="N35" s="15" t="n"/>
      <c r="O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5" t="n"/>
      <c r="G36" s="15" t="n"/>
      <c r="H36" s="15" t="n"/>
      <c r="I36" s="15" t="n"/>
      <c r="J36" s="16" t="n"/>
      <c r="K36" s="15" t="n"/>
      <c r="L36" s="15" t="n"/>
      <c r="M36" s="17">
        <f>IF(B36="","",IF(AND(H36="No",I36="No",K36="No",L36="Complete"),"Aligned",IF(OR(K36="Yes",AND(H36="Yes",I36="Yes")),"Misaligned","Partial")))</f>
        <v/>
      </c>
      <c r="N36" s="15" t="n"/>
      <c r="O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5" t="n"/>
      <c r="G37" s="15" t="n"/>
      <c r="H37" s="15" t="n"/>
      <c r="I37" s="15" t="n"/>
      <c r="J37" s="16" t="n"/>
      <c r="K37" s="15" t="n"/>
      <c r="L37" s="15" t="n"/>
      <c r="M37" s="17">
        <f>IF(B37="","",IF(AND(H37="No",I37="No",K37="No",L37="Complete"),"Aligned",IF(OR(K37="Yes",AND(H37="Yes",I37="Yes")),"Misaligned","Partial")))</f>
        <v/>
      </c>
      <c r="N37" s="15" t="n"/>
      <c r="O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5" t="n"/>
      <c r="G38" s="15" t="n"/>
      <c r="H38" s="15" t="n"/>
      <c r="I38" s="15" t="n"/>
      <c r="J38" s="16" t="n"/>
      <c r="K38" s="15" t="n"/>
      <c r="L38" s="15" t="n"/>
      <c r="M38" s="17">
        <f>IF(B38="","",IF(AND(H38="No",I38="No",K38="No",L38="Complete"),"Aligned",IF(OR(K38="Yes",AND(H38="Yes",I38="Yes")),"Misaligned","Partial")))</f>
        <v/>
      </c>
      <c r="N38" s="15" t="n"/>
      <c r="O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5" t="n"/>
      <c r="G39" s="15" t="n"/>
      <c r="H39" s="15" t="n"/>
      <c r="I39" s="15" t="n"/>
      <c r="J39" s="16" t="n"/>
      <c r="K39" s="15" t="n"/>
      <c r="L39" s="15" t="n"/>
      <c r="M39" s="17">
        <f>IF(B39="","",IF(AND(H39="No",I39="No",K39="No",L39="Complete"),"Aligned",IF(OR(K39="Yes",AND(H39="Yes",I39="Yes")),"Misaligned","Partial")))</f>
        <v/>
      </c>
      <c r="N39" s="15" t="n"/>
      <c r="O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5" t="n"/>
      <c r="G40" s="15" t="n"/>
      <c r="H40" s="15" t="n"/>
      <c r="I40" s="15" t="n"/>
      <c r="J40" s="16" t="n"/>
      <c r="K40" s="15" t="n"/>
      <c r="L40" s="15" t="n"/>
      <c r="M40" s="17">
        <f>IF(B40="","",IF(AND(H40="No",I40="No",K40="No",L40="Complete"),"Aligned",IF(OR(K40="Yes",AND(H40="Yes",I40="Yes")),"Misaligned","Partial")))</f>
        <v/>
      </c>
      <c r="N40" s="15" t="n"/>
      <c r="O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5" t="n"/>
      <c r="G41" s="15" t="n"/>
      <c r="H41" s="15" t="n"/>
      <c r="I41" s="15" t="n"/>
      <c r="J41" s="16" t="n"/>
      <c r="K41" s="15" t="n"/>
      <c r="L41" s="15" t="n"/>
      <c r="M41" s="17">
        <f>IF(B41="","",IF(AND(H41="No",I41="No",K41="No",L41="Complete"),"Aligned",IF(OR(K41="Yes",AND(H41="Yes",I41="Yes")),"Misaligned","Partial")))</f>
        <v/>
      </c>
      <c r="N41" s="15" t="n"/>
      <c r="O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5" t="n"/>
      <c r="G42" s="15" t="n"/>
      <c r="H42" s="15" t="n"/>
      <c r="I42" s="15" t="n"/>
      <c r="J42" s="16" t="n"/>
      <c r="K42" s="15" t="n"/>
      <c r="L42" s="15" t="n"/>
      <c r="M42" s="17">
        <f>IF(B42="","",IF(AND(H42="No",I42="No",K42="No",L42="Complete"),"Aligned",IF(OR(K42="Yes",AND(H42="Yes",I42="Yes")),"Misaligned","Partial")))</f>
        <v/>
      </c>
      <c r="N42" s="15" t="n"/>
      <c r="O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5" t="n"/>
      <c r="G43" s="15" t="n"/>
      <c r="H43" s="15" t="n"/>
      <c r="I43" s="15" t="n"/>
      <c r="J43" s="16" t="n"/>
      <c r="K43" s="15" t="n"/>
      <c r="L43" s="15" t="n"/>
      <c r="M43" s="17">
        <f>IF(B43="","",IF(AND(H43="No",I43="No",K43="No",L43="Complete"),"Aligned",IF(OR(K43="Yes",AND(H43="Yes",I43="Yes")),"Misaligned","Partial")))</f>
        <v/>
      </c>
      <c r="N43" s="15" t="n"/>
      <c r="O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5" t="n"/>
      <c r="G44" s="15" t="n"/>
      <c r="H44" s="15" t="n"/>
      <c r="I44" s="15" t="n"/>
      <c r="J44" s="16" t="n"/>
      <c r="K44" s="15" t="n"/>
      <c r="L44" s="15" t="n"/>
      <c r="M44" s="17">
        <f>IF(B44="","",IF(AND(H44="No",I44="No",K44="No",L44="Complete"),"Aligned",IF(OR(K44="Yes",AND(H44="Yes",I44="Yes")),"Misaligned","Partial")))</f>
        <v/>
      </c>
      <c r="N44" s="15" t="n"/>
      <c r="O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5" t="n"/>
      <c r="G45" s="15" t="n"/>
      <c r="H45" s="15" t="n"/>
      <c r="I45" s="15" t="n"/>
      <c r="J45" s="16" t="n"/>
      <c r="K45" s="15" t="n"/>
      <c r="L45" s="15" t="n"/>
      <c r="M45" s="17">
        <f>IF(B45="","",IF(AND(H45="No",I45="No",K45="No",L45="Complete"),"Aligned",IF(OR(K45="Yes",AND(H45="Yes",I45="Yes")),"Misaligned","Partial")))</f>
        <v/>
      </c>
      <c r="N45" s="15" t="n"/>
      <c r="O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5" t="n"/>
      <c r="G46" s="15" t="n"/>
      <c r="H46" s="15" t="n"/>
      <c r="I46" s="15" t="n"/>
      <c r="J46" s="16" t="n"/>
      <c r="K46" s="15" t="n"/>
      <c r="L46" s="15" t="n"/>
      <c r="M46" s="17">
        <f>IF(B46="","",IF(AND(H46="No",I46="No",K46="No",L46="Complete"),"Aligned",IF(OR(K46="Yes",AND(H46="Yes",I46="Yes")),"Misaligned","Partial")))</f>
        <v/>
      </c>
      <c r="N46" s="15" t="n"/>
      <c r="O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5" t="n"/>
      <c r="G47" s="15" t="n"/>
      <c r="H47" s="15" t="n"/>
      <c r="I47" s="15" t="n"/>
      <c r="J47" s="16" t="n"/>
      <c r="K47" s="15" t="n"/>
      <c r="L47" s="15" t="n"/>
      <c r="M47" s="17">
        <f>IF(B47="","",IF(AND(H47="No",I47="No",K47="No",L47="Complete"),"Aligned",IF(OR(K47="Yes",AND(H47="Yes",I47="Yes")),"Misaligned","Partial")))</f>
        <v/>
      </c>
      <c r="N47" s="15" t="n"/>
      <c r="O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5" t="n"/>
      <c r="G48" s="15" t="n"/>
      <c r="H48" s="15" t="n"/>
      <c r="I48" s="15" t="n"/>
      <c r="J48" s="16" t="n"/>
      <c r="K48" s="15" t="n"/>
      <c r="L48" s="15" t="n"/>
      <c r="M48" s="17">
        <f>IF(B48="","",IF(AND(H48="No",I48="No",K48="No",L48="Complete"),"Aligned",IF(OR(K48="Yes",AND(H48="Yes",I48="Yes")),"Misaligned","Partial")))</f>
        <v/>
      </c>
      <c r="N48" s="15" t="n"/>
      <c r="O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5" t="n"/>
      <c r="G49" s="15" t="n"/>
      <c r="H49" s="15" t="n"/>
      <c r="I49" s="15" t="n"/>
      <c r="J49" s="16" t="n"/>
      <c r="K49" s="15" t="n"/>
      <c r="L49" s="15" t="n"/>
      <c r="M49" s="17">
        <f>IF(B49="","",IF(AND(H49="No",I49="No",K49="No",L49="Complete"),"Aligned",IF(OR(K49="Yes",AND(H49="Yes",I49="Yes")),"Misaligned","Partial")))</f>
        <v/>
      </c>
      <c r="N49" s="15" t="n"/>
      <c r="O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5" t="n"/>
      <c r="G50" s="15" t="n"/>
      <c r="H50" s="15" t="n"/>
      <c r="I50" s="15" t="n"/>
      <c r="J50" s="16" t="n"/>
      <c r="K50" s="15" t="n"/>
      <c r="L50" s="15" t="n"/>
      <c r="M50" s="17">
        <f>IF(B50="","",IF(AND(H50="No",I50="No",K50="No",L50="Complete"),"Aligned",IF(OR(K50="Yes",AND(H50="Yes",I50="Yes")),"Misaligned","Partial")))</f>
        <v/>
      </c>
      <c r="N50" s="15" t="n"/>
      <c r="O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5" t="n"/>
      <c r="G51" s="15" t="n"/>
      <c r="H51" s="15" t="n"/>
      <c r="I51" s="15" t="n"/>
      <c r="J51" s="16" t="n"/>
      <c r="K51" s="15" t="n"/>
      <c r="L51" s="15" t="n"/>
      <c r="M51" s="17">
        <f>IF(B51="","",IF(AND(H51="No",I51="No",K51="No",L51="Complete"),"Aligned",IF(OR(K51="Yes",AND(H51="Yes",I51="Yes")),"Misaligned","Partial")))</f>
        <v/>
      </c>
      <c r="N51" s="15" t="n"/>
      <c r="O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5" t="n"/>
      <c r="G52" s="15" t="n"/>
      <c r="H52" s="15" t="n"/>
      <c r="I52" s="15" t="n"/>
      <c r="J52" s="16" t="n"/>
      <c r="K52" s="15" t="n"/>
      <c r="L52" s="15" t="n"/>
      <c r="M52" s="17">
        <f>IF(B52="","",IF(AND(H52="No",I52="No",K52="No",L52="Complete"),"Aligned",IF(OR(K52="Yes",AND(H52="Yes",I52="Yes")),"Misaligned","Partial")))</f>
        <v/>
      </c>
      <c r="N52" s="15" t="n"/>
      <c r="O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5" t="n"/>
      <c r="G53" s="15" t="n"/>
      <c r="H53" s="15" t="n"/>
      <c r="I53" s="15" t="n"/>
      <c r="J53" s="16" t="n"/>
      <c r="K53" s="15" t="n"/>
      <c r="L53" s="15" t="n"/>
      <c r="M53" s="17">
        <f>IF(B53="","",IF(AND(H53="No",I53="No",K53="No",L53="Complete"),"Aligned",IF(OR(K53="Yes",AND(H53="Yes",I53="Yes")),"Misaligned","Partial")))</f>
        <v/>
      </c>
      <c r="N53" s="15" t="n"/>
      <c r="O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5" t="n"/>
      <c r="G54" s="15" t="n"/>
      <c r="H54" s="15" t="n"/>
      <c r="I54" s="15" t="n"/>
      <c r="J54" s="16" t="n"/>
      <c r="K54" s="15" t="n"/>
      <c r="L54" s="15" t="n"/>
      <c r="M54" s="17">
        <f>IF(B54="","",IF(AND(H54="No",I54="No",K54="No",L54="Complete"),"Aligned",IF(OR(K54="Yes",AND(H54="Yes",I54="Yes")),"Misaligned","Partial")))</f>
        <v/>
      </c>
      <c r="N54" s="15" t="n"/>
      <c r="O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5" t="n"/>
      <c r="G55" s="15" t="n"/>
      <c r="H55" s="15" t="n"/>
      <c r="I55" s="15" t="n"/>
      <c r="J55" s="16" t="n"/>
      <c r="K55" s="15" t="n"/>
      <c r="L55" s="15" t="n"/>
      <c r="M55" s="17">
        <f>IF(B55="","",IF(AND(H55="No",I55="No",K55="No",L55="Complete"),"Aligned",IF(OR(K55="Yes",AND(H55="Yes",I55="Yes")),"Misaligned","Partial")))</f>
        <v/>
      </c>
      <c r="N55" s="15" t="n"/>
      <c r="O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5" t="n"/>
      <c r="G56" s="15" t="n"/>
      <c r="H56" s="15" t="n"/>
      <c r="I56" s="15" t="n"/>
      <c r="J56" s="16" t="n"/>
      <c r="K56" s="15" t="n"/>
      <c r="L56" s="15" t="n"/>
      <c r="M56" s="17">
        <f>IF(B56="","",IF(AND(H56="No",I56="No",K56="No",L56="Complete"),"Aligned",IF(OR(K56="Yes",AND(H56="Yes",I56="Yes")),"Misaligned","Partial")))</f>
        <v/>
      </c>
      <c r="N56" s="15" t="n"/>
      <c r="O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5" t="n"/>
      <c r="G57" s="15" t="n"/>
      <c r="H57" s="15" t="n"/>
      <c r="I57" s="15" t="n"/>
      <c r="J57" s="16" t="n"/>
      <c r="K57" s="15" t="n"/>
      <c r="L57" s="15" t="n"/>
      <c r="M57" s="17">
        <f>IF(B57="","",IF(AND(H57="No",I57="No",K57="No",L57="Complete"),"Aligned",IF(OR(K57="Yes",AND(H57="Yes",I57="Yes")),"Misaligned","Partial")))</f>
        <v/>
      </c>
      <c r="N57" s="15" t="n"/>
      <c r="O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5" t="n"/>
      <c r="G58" s="15" t="n"/>
      <c r="H58" s="15" t="n"/>
      <c r="I58" s="15" t="n"/>
      <c r="J58" s="16" t="n"/>
      <c r="K58" s="15" t="n"/>
      <c r="L58" s="15" t="n"/>
      <c r="M58" s="17">
        <f>IF(B58="","",IF(AND(H58="No",I58="No",K58="No",L58="Complete"),"Aligned",IF(OR(K58="Yes",AND(H58="Yes",I58="Yes")),"Misaligned","Partial")))</f>
        <v/>
      </c>
      <c r="N58" s="15" t="n"/>
      <c r="O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5" t="n"/>
      <c r="G59" s="15" t="n"/>
      <c r="H59" s="15" t="n"/>
      <c r="I59" s="15" t="n"/>
      <c r="J59" s="16" t="n"/>
      <c r="K59" s="15" t="n"/>
      <c r="L59" s="15" t="n"/>
      <c r="M59" s="17">
        <f>IF(B59="","",IF(AND(H59="No",I59="No",K59="No",L59="Complete"),"Aligned",IF(OR(K59="Yes",AND(H59="Yes",I59="Yes")),"Misaligned","Partial")))</f>
        <v/>
      </c>
      <c r="N59" s="15" t="n"/>
      <c r="O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5" t="n"/>
      <c r="G60" s="15" t="n"/>
      <c r="H60" s="15" t="n"/>
      <c r="I60" s="15" t="n"/>
      <c r="J60" s="16" t="n"/>
      <c r="K60" s="15" t="n"/>
      <c r="L60" s="15" t="n"/>
      <c r="M60" s="17">
        <f>IF(B60="","",IF(AND(H60="No",I60="No",K60="No",L60="Complete"),"Aligned",IF(OR(K60="Yes",AND(H60="Yes",I60="Yes")),"Misaligned","Partial")))</f>
        <v/>
      </c>
      <c r="N60" s="15" t="n"/>
      <c r="O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5" t="n"/>
      <c r="G61" s="15" t="n"/>
      <c r="H61" s="15" t="n"/>
      <c r="I61" s="15" t="n"/>
      <c r="J61" s="16" t="n"/>
      <c r="K61" s="15" t="n"/>
      <c r="L61" s="15" t="n"/>
      <c r="M61" s="17">
        <f>IF(B61="","",IF(AND(H61="No",I61="No",K61="No",L61="Complete"),"Aligned",IF(OR(K61="Yes",AND(H61="Yes",I61="Yes")),"Misaligned","Partial")))</f>
        <v/>
      </c>
      <c r="N61" s="15" t="n"/>
      <c r="O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5" t="n"/>
      <c r="G62" s="15" t="n"/>
      <c r="H62" s="15" t="n"/>
      <c r="I62" s="15" t="n"/>
      <c r="J62" s="16" t="n"/>
      <c r="K62" s="15" t="n"/>
      <c r="L62" s="15" t="n"/>
      <c r="M62" s="17">
        <f>IF(B62="","",IF(AND(H62="No",I62="No",K62="No",L62="Complete"),"Aligned",IF(OR(K62="Yes",AND(H62="Yes",I62="Yes")),"Misaligned","Partial")))</f>
        <v/>
      </c>
      <c r="N62" s="15" t="n"/>
      <c r="O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5" t="n"/>
      <c r="G63" s="15" t="n"/>
      <c r="H63" s="15" t="n"/>
      <c r="I63" s="15" t="n"/>
      <c r="J63" s="16" t="n"/>
      <c r="K63" s="15" t="n"/>
      <c r="L63" s="15" t="n"/>
      <c r="M63" s="17">
        <f>IF(B63="","",IF(AND(H63="No",I63="No",K63="No",L63="Complete"),"Aligned",IF(OR(K63="Yes",AND(H63="Yes",I63="Yes")),"Misaligned","Partial")))</f>
        <v/>
      </c>
      <c r="N63" s="15" t="n"/>
      <c r="O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5" t="n"/>
      <c r="G64" s="15" t="n"/>
      <c r="H64" s="15" t="n"/>
      <c r="I64" s="15" t="n"/>
      <c r="J64" s="16" t="n"/>
      <c r="K64" s="15" t="n"/>
      <c r="L64" s="15" t="n"/>
      <c r="M64" s="17">
        <f>IF(B64="","",IF(AND(H64="No",I64="No",K64="No",L64="Complete"),"Aligned",IF(OR(K64="Yes",AND(H64="Yes",I64="Yes")),"Misaligned","Partial")))</f>
        <v/>
      </c>
      <c r="N64" s="15" t="n"/>
      <c r="O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5" t="n"/>
      <c r="G65" s="15" t="n"/>
      <c r="H65" s="15" t="n"/>
      <c r="I65" s="15" t="n"/>
      <c r="J65" s="16" t="n"/>
      <c r="K65" s="15" t="n"/>
      <c r="L65" s="15" t="n"/>
      <c r="M65" s="17">
        <f>IF(B65="","",IF(AND(H65="No",I65="No",K65="No",L65="Complete"),"Aligned",IF(OR(K65="Yes",AND(H65="Yes",I65="Yes")),"Misaligned","Partial")))</f>
        <v/>
      </c>
      <c r="N65" s="15" t="n"/>
      <c r="O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5" t="n"/>
      <c r="G66" s="15" t="n"/>
      <c r="H66" s="15" t="n"/>
      <c r="I66" s="15" t="n"/>
      <c r="J66" s="16" t="n"/>
      <c r="K66" s="15" t="n"/>
      <c r="L66" s="15" t="n"/>
      <c r="M66" s="17">
        <f>IF(B66="","",IF(AND(H66="No",I66="No",K66="No",L66="Complete"),"Aligned",IF(OR(K66="Yes",AND(H66="Yes",I66="Yes")),"Misaligned","Partial")))</f>
        <v/>
      </c>
      <c r="N66" s="15" t="n"/>
      <c r="O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5" t="n"/>
      <c r="G67" s="15" t="n"/>
      <c r="H67" s="15" t="n"/>
      <c r="I67" s="15" t="n"/>
      <c r="J67" s="16" t="n"/>
      <c r="K67" s="15" t="n"/>
      <c r="L67" s="15" t="n"/>
      <c r="M67" s="17">
        <f>IF(B67="","",IF(AND(H67="No",I67="No",K67="No",L67="Complete"),"Aligned",IF(OR(K67="Yes",AND(H67="Yes",I67="Yes")),"Misaligned","Partial")))</f>
        <v/>
      </c>
      <c r="N67" s="15" t="n"/>
      <c r="O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5" t="n"/>
      <c r="G68" s="15" t="n"/>
      <c r="H68" s="15" t="n"/>
      <c r="I68" s="15" t="n"/>
      <c r="J68" s="16" t="n"/>
      <c r="K68" s="15" t="n"/>
      <c r="L68" s="15" t="n"/>
      <c r="M68" s="17">
        <f>IF(B68="","",IF(AND(H68="No",I68="No",K68="No",L68="Complete"),"Aligned",IF(OR(K68="Yes",AND(H68="Yes",I68="Yes")),"Misaligned","Partial")))</f>
        <v/>
      </c>
      <c r="N68" s="15" t="n"/>
      <c r="O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5" t="n"/>
      <c r="G69" s="15" t="n"/>
      <c r="H69" s="15" t="n"/>
      <c r="I69" s="15" t="n"/>
      <c r="J69" s="16" t="n"/>
      <c r="K69" s="15" t="n"/>
      <c r="L69" s="15" t="n"/>
      <c r="M69" s="17">
        <f>IF(B69="","",IF(AND(H69="No",I69="No",K69="No",L69="Complete"),"Aligned",IF(OR(K69="Yes",AND(H69="Yes",I69="Yes")),"Misaligned","Partial")))</f>
        <v/>
      </c>
      <c r="N69" s="15" t="n"/>
      <c r="O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5" t="n"/>
      <c r="G70" s="15" t="n"/>
      <c r="H70" s="15" t="n"/>
      <c r="I70" s="15" t="n"/>
      <c r="J70" s="16" t="n"/>
      <c r="K70" s="15" t="n"/>
      <c r="L70" s="15" t="n"/>
      <c r="M70" s="17">
        <f>IF(B70="","",IF(AND(H70="No",I70="No",K70="No",L70="Complete"),"Aligned",IF(OR(K70="Yes",AND(H70="Yes",I70="Yes")),"Misaligned","Partial")))</f>
        <v/>
      </c>
      <c r="N70" s="15" t="n"/>
      <c r="O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5" t="n"/>
      <c r="G71" s="15" t="n"/>
      <c r="H71" s="15" t="n"/>
      <c r="I71" s="15" t="n"/>
      <c r="J71" s="16" t="n"/>
      <c r="K71" s="15" t="n"/>
      <c r="L71" s="15" t="n"/>
      <c r="M71" s="17">
        <f>IF(B71="","",IF(AND(H71="No",I71="No",K71="No",L71="Complete"),"Aligned",IF(OR(K71="Yes",AND(H71="Yes",I71="Yes")),"Misaligned","Partial")))</f>
        <v/>
      </c>
      <c r="N71" s="15" t="n"/>
      <c r="O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5" t="n"/>
      <c r="G72" s="15" t="n"/>
      <c r="H72" s="15" t="n"/>
      <c r="I72" s="15" t="n"/>
      <c r="J72" s="16" t="n"/>
      <c r="K72" s="15" t="n"/>
      <c r="L72" s="15" t="n"/>
      <c r="M72" s="17">
        <f>IF(B72="","",IF(AND(H72="No",I72="No",K72="No",L72="Complete"),"Aligned",IF(OR(K72="Yes",AND(H72="Yes",I72="Yes")),"Misaligned","Partial")))</f>
        <v/>
      </c>
      <c r="N72" s="15" t="n"/>
      <c r="O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5" t="n"/>
      <c r="G73" s="15" t="n"/>
      <c r="H73" s="15" t="n"/>
      <c r="I73" s="15" t="n"/>
      <c r="J73" s="16" t="n"/>
      <c r="K73" s="15" t="n"/>
      <c r="L73" s="15" t="n"/>
      <c r="M73" s="17">
        <f>IF(B73="","",IF(AND(H73="No",I73="No",K73="No",L73="Complete"),"Aligned",IF(OR(K73="Yes",AND(H73="Yes",I73="Yes")),"Misaligned","Partial")))</f>
        <v/>
      </c>
      <c r="N73" s="15" t="n"/>
      <c r="O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5" t="n"/>
      <c r="G74" s="15" t="n"/>
      <c r="H74" s="15" t="n"/>
      <c r="I74" s="15" t="n"/>
      <c r="J74" s="16" t="n"/>
      <c r="K74" s="15" t="n"/>
      <c r="L74" s="15" t="n"/>
      <c r="M74" s="17">
        <f>IF(B74="","",IF(AND(H74="No",I74="No",K74="No",L74="Complete"),"Aligned",IF(OR(K74="Yes",AND(H74="Yes",I74="Yes")),"Misaligned","Partial")))</f>
        <v/>
      </c>
      <c r="N74" s="15" t="n"/>
      <c r="O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5" t="n"/>
      <c r="G75" s="15" t="n"/>
      <c r="H75" s="15" t="n"/>
      <c r="I75" s="15" t="n"/>
      <c r="J75" s="16" t="n"/>
      <c r="K75" s="15" t="n"/>
      <c r="L75" s="15" t="n"/>
      <c r="M75" s="17">
        <f>IF(B75="","",IF(AND(H75="No",I75="No",K75="No",L75="Complete"),"Aligned",IF(OR(K75="Yes",AND(H75="Yes",I75="Yes")),"Misaligned","Partial")))</f>
        <v/>
      </c>
      <c r="N75" s="15" t="n"/>
      <c r="O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5" t="n"/>
      <c r="G76" s="15" t="n"/>
      <c r="H76" s="15" t="n"/>
      <c r="I76" s="15" t="n"/>
      <c r="J76" s="16" t="n"/>
      <c r="K76" s="15" t="n"/>
      <c r="L76" s="15" t="n"/>
      <c r="M76" s="17">
        <f>IF(B76="","",IF(AND(H76="No",I76="No",K76="No",L76="Complete"),"Aligned",IF(OR(K76="Yes",AND(H76="Yes",I76="Yes")),"Misaligned","Partial")))</f>
        <v/>
      </c>
      <c r="N76" s="15" t="n"/>
      <c r="O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5" t="n"/>
      <c r="G77" s="15" t="n"/>
      <c r="H77" s="15" t="n"/>
      <c r="I77" s="15" t="n"/>
      <c r="J77" s="16" t="n"/>
      <c r="K77" s="15" t="n"/>
      <c r="L77" s="15" t="n"/>
      <c r="M77" s="17">
        <f>IF(B77="","",IF(AND(H77="No",I77="No",K77="No",L77="Complete"),"Aligned",IF(OR(K77="Yes",AND(H77="Yes",I77="Yes")),"Misaligned","Partial")))</f>
        <v/>
      </c>
      <c r="N77" s="15" t="n"/>
      <c r="O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5" t="n"/>
      <c r="G78" s="15" t="n"/>
      <c r="H78" s="15" t="n"/>
      <c r="I78" s="15" t="n"/>
      <c r="J78" s="16" t="n"/>
      <c r="K78" s="15" t="n"/>
      <c r="L78" s="15" t="n"/>
      <c r="M78" s="17">
        <f>IF(B78="","",IF(AND(H78="No",I78="No",K78="No",L78="Complete"),"Aligned",IF(OR(K78="Yes",AND(H78="Yes",I78="Yes")),"Misaligned","Partial")))</f>
        <v/>
      </c>
      <c r="N78" s="15" t="n"/>
      <c r="O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5" t="n"/>
      <c r="G79" s="15" t="n"/>
      <c r="H79" s="15" t="n"/>
      <c r="I79" s="15" t="n"/>
      <c r="J79" s="16" t="n"/>
      <c r="K79" s="15" t="n"/>
      <c r="L79" s="15" t="n"/>
      <c r="M79" s="17">
        <f>IF(B79="","",IF(AND(H79="No",I79="No",K79="No",L79="Complete"),"Aligned",IF(OR(K79="Yes",AND(H79="Yes",I79="Yes")),"Misaligned","Partial")))</f>
        <v/>
      </c>
      <c r="N79" s="15" t="n"/>
      <c r="O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5" t="n"/>
      <c r="G80" s="15" t="n"/>
      <c r="H80" s="15" t="n"/>
      <c r="I80" s="15" t="n"/>
      <c r="J80" s="16" t="n"/>
      <c r="K80" s="15" t="n"/>
      <c r="L80" s="15" t="n"/>
      <c r="M80" s="17">
        <f>IF(B80="","",IF(AND(H80="No",I80="No",K80="No",L80="Complete"),"Aligned",IF(OR(K80="Yes",AND(H80="Yes",I80="Yes")),"Misaligned","Partial")))</f>
        <v/>
      </c>
      <c r="N80" s="15" t="n"/>
      <c r="O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5" t="n"/>
      <c r="G81" s="15" t="n"/>
      <c r="H81" s="15" t="n"/>
      <c r="I81" s="15" t="n"/>
      <c r="J81" s="16" t="n"/>
      <c r="K81" s="15" t="n"/>
      <c r="L81" s="15" t="n"/>
      <c r="M81" s="17">
        <f>IF(B81="","",IF(AND(H81="No",I81="No",K81="No",L81="Complete"),"Aligned",IF(OR(K81="Yes",AND(H81="Yes",I81="Yes")),"Misaligned","Partial")))</f>
        <v/>
      </c>
      <c r="N81" s="15" t="n"/>
      <c r="O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5" t="n"/>
      <c r="G82" s="15" t="n"/>
      <c r="H82" s="15" t="n"/>
      <c r="I82" s="15" t="n"/>
      <c r="J82" s="16" t="n"/>
      <c r="K82" s="15" t="n"/>
      <c r="L82" s="15" t="n"/>
      <c r="M82" s="17">
        <f>IF(B82="","",IF(AND(H82="No",I82="No",K82="No",L82="Complete"),"Aligned",IF(OR(K82="Yes",AND(H82="Yes",I82="Yes")),"Misaligned","Partial")))</f>
        <v/>
      </c>
      <c r="N82" s="15" t="n"/>
      <c r="O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5" t="n"/>
      <c r="G83" s="15" t="n"/>
      <c r="H83" s="15" t="n"/>
      <c r="I83" s="15" t="n"/>
      <c r="J83" s="16" t="n"/>
      <c r="K83" s="15" t="n"/>
      <c r="L83" s="15" t="n"/>
      <c r="M83" s="17">
        <f>IF(B83="","",IF(AND(H83="No",I83="No",K83="No",L83="Complete"),"Aligned",IF(OR(K83="Yes",AND(H83="Yes",I83="Yes")),"Misaligned","Partial")))</f>
        <v/>
      </c>
      <c r="N83" s="15" t="n"/>
      <c r="O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5" t="n"/>
      <c r="G84" s="15" t="n"/>
      <c r="H84" s="15" t="n"/>
      <c r="I84" s="15" t="n"/>
      <c r="J84" s="16" t="n"/>
      <c r="K84" s="15" t="n"/>
      <c r="L84" s="15" t="n"/>
      <c r="M84" s="17">
        <f>IF(B84="","",IF(AND(H84="No",I84="No",K84="No",L84="Complete"),"Aligned",IF(OR(K84="Yes",AND(H84="Yes",I84="Yes")),"Misaligned","Partial")))</f>
        <v/>
      </c>
      <c r="N84" s="15" t="n"/>
      <c r="O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5" t="n"/>
      <c r="G85" s="15" t="n"/>
      <c r="H85" s="15" t="n"/>
      <c r="I85" s="15" t="n"/>
      <c r="J85" s="16" t="n"/>
      <c r="K85" s="15" t="n"/>
      <c r="L85" s="15" t="n"/>
      <c r="M85" s="17">
        <f>IF(B85="","",IF(AND(H85="No",I85="No",K85="No",L85="Complete"),"Aligned",IF(OR(K85="Yes",AND(H85="Yes",I85="Yes")),"Misaligned","Partial")))</f>
        <v/>
      </c>
      <c r="N85" s="15" t="n"/>
      <c r="O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5" t="n"/>
      <c r="G86" s="15" t="n"/>
      <c r="H86" s="15" t="n"/>
      <c r="I86" s="15" t="n"/>
      <c r="J86" s="16" t="n"/>
      <c r="K86" s="15" t="n"/>
      <c r="L86" s="15" t="n"/>
      <c r="M86" s="17">
        <f>IF(B86="","",IF(AND(H86="No",I86="No",K86="No",L86="Complete"),"Aligned",IF(OR(K86="Yes",AND(H86="Yes",I86="Yes")),"Misaligned","Partial")))</f>
        <v/>
      </c>
      <c r="N86" s="15" t="n"/>
      <c r="O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5" t="n"/>
      <c r="G87" s="15" t="n"/>
      <c r="H87" s="15" t="n"/>
      <c r="I87" s="15" t="n"/>
      <c r="J87" s="16" t="n"/>
      <c r="K87" s="15" t="n"/>
      <c r="L87" s="15" t="n"/>
      <c r="M87" s="17">
        <f>IF(B87="","",IF(AND(H87="No",I87="No",K87="No",L87="Complete"),"Aligned",IF(OR(K87="Yes",AND(H87="Yes",I87="Yes")),"Misaligned","Partial")))</f>
        <v/>
      </c>
      <c r="N87" s="15" t="n"/>
      <c r="O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5" t="n"/>
      <c r="G88" s="15" t="n"/>
      <c r="H88" s="15" t="n"/>
      <c r="I88" s="15" t="n"/>
      <c r="J88" s="16" t="n"/>
      <c r="K88" s="15" t="n"/>
      <c r="L88" s="15" t="n"/>
      <c r="M88" s="17">
        <f>IF(B88="","",IF(AND(H88="No",I88="No",K88="No",L88="Complete"),"Aligned",IF(OR(K88="Yes",AND(H88="Yes",I88="Yes")),"Misaligned","Partial")))</f>
        <v/>
      </c>
      <c r="N88" s="15" t="n"/>
      <c r="O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5" t="n"/>
      <c r="G89" s="15" t="n"/>
      <c r="H89" s="15" t="n"/>
      <c r="I89" s="15" t="n"/>
      <c r="J89" s="16" t="n"/>
      <c r="K89" s="15" t="n"/>
      <c r="L89" s="15" t="n"/>
      <c r="M89" s="17">
        <f>IF(B89="","",IF(AND(H89="No",I89="No",K89="No",L89="Complete"),"Aligned",IF(OR(K89="Yes",AND(H89="Yes",I89="Yes")),"Misaligned","Partial")))</f>
        <v/>
      </c>
      <c r="N89" s="15" t="n"/>
      <c r="O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5" t="n"/>
      <c r="G90" s="15" t="n"/>
      <c r="H90" s="15" t="n"/>
      <c r="I90" s="15" t="n"/>
      <c r="J90" s="16" t="n"/>
      <c r="K90" s="15" t="n"/>
      <c r="L90" s="15" t="n"/>
      <c r="M90" s="17">
        <f>IF(B90="","",IF(AND(H90="No",I90="No",K90="No",L90="Complete"),"Aligned",IF(OR(K90="Yes",AND(H90="Yes",I90="Yes")),"Misaligned","Partial")))</f>
        <v/>
      </c>
      <c r="N90" s="15" t="n"/>
      <c r="O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5" t="n"/>
      <c r="G91" s="15" t="n"/>
      <c r="H91" s="15" t="n"/>
      <c r="I91" s="15" t="n"/>
      <c r="J91" s="16" t="n"/>
      <c r="K91" s="15" t="n"/>
      <c r="L91" s="15" t="n"/>
      <c r="M91" s="17">
        <f>IF(B91="","",IF(AND(H91="No",I91="No",K91="No",L91="Complete"),"Aligned",IF(OR(K91="Yes",AND(H91="Yes",I91="Yes")),"Misaligned","Partial")))</f>
        <v/>
      </c>
      <c r="N91" s="15" t="n"/>
      <c r="O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5" t="n"/>
      <c r="G92" s="15" t="n"/>
      <c r="H92" s="15" t="n"/>
      <c r="I92" s="15" t="n"/>
      <c r="J92" s="16" t="n"/>
      <c r="K92" s="15" t="n"/>
      <c r="L92" s="15" t="n"/>
      <c r="M92" s="17">
        <f>IF(B92="","",IF(AND(H92="No",I92="No",K92="No",L92="Complete"),"Aligned",IF(OR(K92="Yes",AND(H92="Yes",I92="Yes")),"Misaligned","Partial")))</f>
        <v/>
      </c>
      <c r="N92" s="15" t="n"/>
      <c r="O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5" t="n"/>
      <c r="G93" s="15" t="n"/>
      <c r="H93" s="15" t="n"/>
      <c r="I93" s="15" t="n"/>
      <c r="J93" s="16" t="n"/>
      <c r="K93" s="15" t="n"/>
      <c r="L93" s="15" t="n"/>
      <c r="M93" s="17">
        <f>IF(B93="","",IF(AND(H93="No",I93="No",K93="No",L93="Complete"),"Aligned",IF(OR(K93="Yes",AND(H93="Yes",I93="Yes")),"Misaligned","Partial")))</f>
        <v/>
      </c>
      <c r="N93" s="15" t="n"/>
      <c r="O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5" t="n"/>
      <c r="G94" s="15" t="n"/>
      <c r="H94" s="15" t="n"/>
      <c r="I94" s="15" t="n"/>
      <c r="J94" s="16" t="n"/>
      <c r="K94" s="15" t="n"/>
      <c r="L94" s="15" t="n"/>
      <c r="M94" s="17">
        <f>IF(B94="","",IF(AND(H94="No",I94="No",K94="No",L94="Complete"),"Aligned",IF(OR(K94="Yes",AND(H94="Yes",I94="Yes")),"Misaligned","Partial")))</f>
        <v/>
      </c>
      <c r="N94" s="15" t="n"/>
      <c r="O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5" t="n"/>
      <c r="G95" s="15" t="n"/>
      <c r="H95" s="15" t="n"/>
      <c r="I95" s="15" t="n"/>
      <c r="J95" s="16" t="n"/>
      <c r="K95" s="15" t="n"/>
      <c r="L95" s="15" t="n"/>
      <c r="M95" s="17">
        <f>IF(B95="","",IF(AND(H95="No",I95="No",K95="No",L95="Complete"),"Aligned",IF(OR(K95="Yes",AND(H95="Yes",I95="Yes")),"Misaligned","Partial")))</f>
        <v/>
      </c>
      <c r="N95" s="15" t="n"/>
      <c r="O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5" t="n"/>
      <c r="G96" s="15" t="n"/>
      <c r="H96" s="15" t="n"/>
      <c r="I96" s="15" t="n"/>
      <c r="J96" s="16" t="n"/>
      <c r="K96" s="15" t="n"/>
      <c r="L96" s="15" t="n"/>
      <c r="M96" s="17">
        <f>IF(B96="","",IF(AND(H96="No",I96="No",K96="No",L96="Complete"),"Aligned",IF(OR(K96="Yes",AND(H96="Yes",I96="Yes")),"Misaligned","Partial")))</f>
        <v/>
      </c>
      <c r="N96" s="15" t="n"/>
      <c r="O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5" t="n"/>
      <c r="G97" s="15" t="n"/>
      <c r="H97" s="15" t="n"/>
      <c r="I97" s="15" t="n"/>
      <c r="J97" s="16" t="n"/>
      <c r="K97" s="15" t="n"/>
      <c r="L97" s="15" t="n"/>
      <c r="M97" s="17">
        <f>IF(B97="","",IF(AND(H97="No",I97="No",K97="No",L97="Complete"),"Aligned",IF(OR(K97="Yes",AND(H97="Yes",I97="Yes")),"Misaligned","Partial")))</f>
        <v/>
      </c>
      <c r="N97" s="15" t="n"/>
      <c r="O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5" t="n"/>
      <c r="G98" s="15" t="n"/>
      <c r="H98" s="15" t="n"/>
      <c r="I98" s="15" t="n"/>
      <c r="J98" s="16" t="n"/>
      <c r="K98" s="15" t="n"/>
      <c r="L98" s="15" t="n"/>
      <c r="M98" s="17">
        <f>IF(B98="","",IF(AND(H98="No",I98="No",K98="No",L98="Complete"),"Aligned",IF(OR(K98="Yes",AND(H98="Yes",I98="Yes")),"Misaligned","Partial")))</f>
        <v/>
      </c>
      <c r="N98" s="15" t="n"/>
      <c r="O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5" t="n"/>
      <c r="G99" s="15" t="n"/>
      <c r="H99" s="15" t="n"/>
      <c r="I99" s="15" t="n"/>
      <c r="J99" s="16" t="n"/>
      <c r="K99" s="15" t="n"/>
      <c r="L99" s="15" t="n"/>
      <c r="M99" s="17">
        <f>IF(B99="","",IF(AND(H99="No",I99="No",K99="No",L99="Complete"),"Aligned",IF(OR(K99="Yes",AND(H99="Yes",I99="Yes")),"Misaligned","Partial")))</f>
        <v/>
      </c>
      <c r="N99" s="15" t="n"/>
      <c r="O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5" t="n"/>
      <c r="G100" s="15" t="n"/>
      <c r="H100" s="15" t="n"/>
      <c r="I100" s="15" t="n"/>
      <c r="J100" s="16" t="n"/>
      <c r="K100" s="15" t="n"/>
      <c r="L100" s="15" t="n"/>
      <c r="M100" s="17">
        <f>IF(B100="","",IF(AND(H100="No",I100="No",K100="No",L100="Complete"),"Aligned",IF(OR(K100="Yes",AND(H100="Yes",I100="Yes")),"Misaligned","Partial")))</f>
        <v/>
      </c>
      <c r="N100" s="15" t="n"/>
      <c r="O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5" t="n"/>
      <c r="G101" s="15" t="n"/>
      <c r="H101" s="15" t="n"/>
      <c r="I101" s="15" t="n"/>
      <c r="J101" s="16" t="n"/>
      <c r="K101" s="15" t="n"/>
      <c r="L101" s="15" t="n"/>
      <c r="M101" s="17">
        <f>IF(B101="","",IF(AND(H101="No",I101="No",K101="No",L101="Complete"),"Aligned",IF(OR(K101="Yes",AND(H101="Yes",I101="Yes")),"Misaligned","Partial")))</f>
        <v/>
      </c>
      <c r="N101" s="15" t="n"/>
      <c r="O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5" t="n"/>
      <c r="G102" s="15" t="n"/>
      <c r="H102" s="15" t="n"/>
      <c r="I102" s="15" t="n"/>
      <c r="J102" s="16" t="n"/>
      <c r="K102" s="15" t="n"/>
      <c r="L102" s="15" t="n"/>
      <c r="M102" s="17">
        <f>IF(B102="","",IF(AND(H102="No",I102="No",K102="No",L102="Complete"),"Aligned",IF(OR(K102="Yes",AND(H102="Yes",I102="Yes")),"Misaligned","Partial")))</f>
        <v/>
      </c>
      <c r="N102" s="15" t="n"/>
      <c r="O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5" t="n"/>
      <c r="G103" s="15" t="n"/>
      <c r="H103" s="15" t="n"/>
      <c r="I103" s="15" t="n"/>
      <c r="J103" s="16" t="n"/>
      <c r="K103" s="15" t="n"/>
      <c r="L103" s="15" t="n"/>
      <c r="M103" s="17">
        <f>IF(B103="","",IF(AND(H103="No",I103="No",K103="No",L103="Complete"),"Aligned",IF(OR(K103="Yes",AND(H103="Yes",I103="Yes")),"Misaligned","Partial")))</f>
        <v/>
      </c>
      <c r="N103" s="15" t="n"/>
      <c r="O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5" t="n"/>
      <c r="G104" s="15" t="n"/>
      <c r="H104" s="15" t="n"/>
      <c r="I104" s="15" t="n"/>
      <c r="J104" s="16" t="n"/>
      <c r="K104" s="15" t="n"/>
      <c r="L104" s="15" t="n"/>
      <c r="M104" s="17">
        <f>IF(B104="","",IF(AND(H104="No",I104="No",K104="No",L104="Complete"),"Aligned",IF(OR(K104="Yes",AND(H104="Yes",I104="Yes")),"Misaligned","Partial")))</f>
        <v/>
      </c>
      <c r="N104" s="15" t="n"/>
      <c r="O104" s="15" t="n"/>
    </row>
  </sheetData>
  <mergeCells count="2">
    <mergeCell ref="A1:O1"/>
    <mergeCell ref="A2:O2"/>
  </mergeCells>
  <dataValidations count="3">
    <dataValidation sqref="D5:D104 E5:E104" showDropDown="0" showInputMessage="0" showErrorMessage="1" allowBlank="1" errorTitle="Invalid Entry" error="Please select from dropdown" type="list">
      <formula1>"Admin,Power-User,Standard,Read-Only,None"</formula1>
    </dataValidation>
    <dataValidation sqref="H5:H104 I5:I104 K5:K104" showDropDown="0" showInputMessage="0" showErrorMessage="1" allowBlank="1" errorTitle="Invalid Entry" error="Please select from dropdown" type="list">
      <formula1>"Yes,No"</formula1>
    </dataValidation>
    <dataValidation sqref="L5:L104" showDropDown="0" showInputMessage="0" showErrorMessage="1" allowBlank="1" errorTitle="Invalid Entry" error="Please select from dropdown" type="list">
      <formula1>"Complete,Partial,Missing"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Role ID</t>
        </is>
      </c>
      <c r="C4" s="13" t="inlineStr">
        <is>
          <t>Role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IF(ROW()&lt;=4,"",TEXT(ROW()-4,"GAP-000"))</f>
        <v/>
      </c>
      <c r="B5" s="15" t="n"/>
      <c r="C5" s="15" t="n"/>
      <c r="D5" s="15" t="n"/>
      <c r="E5" s="15" t="n"/>
      <c r="F5" s="15" t="n"/>
      <c r="G5" s="15" t="n"/>
      <c r="H5" s="15" t="n"/>
      <c r="I5" s="15" t="n"/>
      <c r="J5" s="15" t="n"/>
      <c r="K5" s="16" t="n"/>
      <c r="L5" s="15" t="n"/>
      <c r="M5" s="15" t="n"/>
      <c r="N5" s="15" t="n"/>
      <c r="O5" s="15" t="n"/>
      <c r="P5" s="15" t="n"/>
    </row>
    <row r="6">
      <c r="A6" s="17">
        <f>IF(ROW()&lt;=4,"",TEXT(ROW()-4,"GAP-000"))</f>
        <v/>
      </c>
      <c r="B6" s="15" t="n"/>
      <c r="C6" s="15" t="n"/>
      <c r="D6" s="15" t="n"/>
      <c r="E6" s="15" t="n"/>
      <c r="F6" s="15" t="n"/>
      <c r="G6" s="15" t="n"/>
      <c r="H6" s="15" t="n"/>
      <c r="I6" s="15" t="n"/>
      <c r="J6" s="15" t="n"/>
      <c r="K6" s="16" t="n"/>
      <c r="L6" s="15" t="n"/>
      <c r="M6" s="15" t="n"/>
      <c r="N6" s="15" t="n"/>
      <c r="O6" s="15" t="n"/>
      <c r="P6" s="15" t="n"/>
    </row>
    <row r="7">
      <c r="A7" s="17">
        <f>IF(ROW()&lt;=4,"",TEXT(ROW()-4,"GAP-000"))</f>
        <v/>
      </c>
      <c r="B7" s="15" t="n"/>
      <c r="C7" s="15" t="n"/>
      <c r="D7" s="15" t="n"/>
      <c r="E7" s="15" t="n"/>
      <c r="F7" s="15" t="n"/>
      <c r="G7" s="15" t="n"/>
      <c r="H7" s="15" t="n"/>
      <c r="I7" s="15" t="n"/>
      <c r="J7" s="15" t="n"/>
      <c r="K7" s="16" t="n"/>
      <c r="L7" s="15" t="n"/>
      <c r="M7" s="15" t="n"/>
      <c r="N7" s="15" t="n"/>
      <c r="O7" s="15" t="n"/>
      <c r="P7" s="15" t="n"/>
    </row>
    <row r="8">
      <c r="A8" s="17">
        <f>IF(ROW()&lt;=4,"",TEXT(ROW()-4,"GAP-000"))</f>
        <v/>
      </c>
      <c r="B8" s="15" t="n"/>
      <c r="C8" s="15" t="n"/>
      <c r="D8" s="15" t="n"/>
      <c r="E8" s="15" t="n"/>
      <c r="F8" s="15" t="n"/>
      <c r="G8" s="15" t="n"/>
      <c r="H8" s="15" t="n"/>
      <c r="I8" s="15" t="n"/>
      <c r="J8" s="15" t="n"/>
      <c r="K8" s="16" t="n"/>
      <c r="L8" s="15" t="n"/>
      <c r="M8" s="15" t="n"/>
      <c r="N8" s="15" t="n"/>
      <c r="O8" s="15" t="n"/>
      <c r="P8" s="15" t="n"/>
    </row>
    <row r="9">
      <c r="A9" s="17">
        <f>IF(ROW()&lt;=4,"",TEXT(ROW()-4,"GAP-000"))</f>
        <v/>
      </c>
      <c r="B9" s="15" t="n"/>
      <c r="C9" s="15" t="n"/>
      <c r="D9" s="15" t="n"/>
      <c r="E9" s="15" t="n"/>
      <c r="F9" s="15" t="n"/>
      <c r="G9" s="15" t="n"/>
      <c r="H9" s="15" t="n"/>
      <c r="I9" s="15" t="n"/>
      <c r="J9" s="15" t="n"/>
      <c r="K9" s="16" t="n"/>
      <c r="L9" s="15" t="n"/>
      <c r="M9" s="15" t="n"/>
      <c r="N9" s="15" t="n"/>
      <c r="O9" s="15" t="n"/>
      <c r="P9" s="15" t="n"/>
    </row>
    <row r="10">
      <c r="A10" s="17">
        <f>IF(ROW()&lt;=4,"",TEXT(ROW()-4,"GAP-000"))</f>
        <v/>
      </c>
      <c r="B10" s="15" t="n"/>
      <c r="C10" s="15" t="n"/>
      <c r="D10" s="15" t="n"/>
      <c r="E10" s="15" t="n"/>
      <c r="F10" s="15" t="n"/>
      <c r="G10" s="15" t="n"/>
      <c r="H10" s="15" t="n"/>
      <c r="I10" s="15" t="n"/>
      <c r="J10" s="15" t="n"/>
      <c r="K10" s="16" t="n"/>
      <c r="L10" s="15" t="n"/>
      <c r="M10" s="15" t="n"/>
      <c r="N10" s="15" t="n"/>
      <c r="O10" s="15" t="n"/>
      <c r="P10" s="15" t="n"/>
    </row>
    <row r="11">
      <c r="A11" s="17">
        <f>IF(ROW()&lt;=4,"",TEXT(ROW()-4,"GAP-000"))</f>
        <v/>
      </c>
      <c r="B11" s="15" t="n"/>
      <c r="C11" s="15" t="n"/>
      <c r="D11" s="15" t="n"/>
      <c r="E11" s="15" t="n"/>
      <c r="F11" s="15" t="n"/>
      <c r="G11" s="15" t="n"/>
      <c r="H11" s="15" t="n"/>
      <c r="I11" s="15" t="n"/>
      <c r="J11" s="15" t="n"/>
      <c r="K11" s="16" t="n"/>
      <c r="L11" s="15" t="n"/>
      <c r="M11" s="15" t="n"/>
      <c r="N11" s="15" t="n"/>
      <c r="O11" s="15" t="n"/>
      <c r="P11" s="15" t="n"/>
    </row>
    <row r="12">
      <c r="A12" s="17">
        <f>IF(ROW()&lt;=4,"",TEXT(ROW()-4,"GAP-000"))</f>
        <v/>
      </c>
      <c r="B12" s="15" t="n"/>
      <c r="C12" s="15" t="n"/>
      <c r="D12" s="15" t="n"/>
      <c r="E12" s="15" t="n"/>
      <c r="F12" s="15" t="n"/>
      <c r="G12" s="15" t="n"/>
      <c r="H12" s="15" t="n"/>
      <c r="I12" s="15" t="n"/>
      <c r="J12" s="15" t="n"/>
      <c r="K12" s="16" t="n"/>
      <c r="L12" s="15" t="n"/>
      <c r="M12" s="15" t="n"/>
      <c r="N12" s="15" t="n"/>
      <c r="O12" s="15" t="n"/>
      <c r="P12" s="15" t="n"/>
    </row>
    <row r="13">
      <c r="A13" s="17">
        <f>IF(ROW()&lt;=4,"",TEXT(ROW()-4,"GAP-000"))</f>
        <v/>
      </c>
      <c r="B13" s="15" t="n"/>
      <c r="C13" s="15" t="n"/>
      <c r="D13" s="15" t="n"/>
      <c r="E13" s="15" t="n"/>
      <c r="F13" s="15" t="n"/>
      <c r="G13" s="15" t="n"/>
      <c r="H13" s="15" t="n"/>
      <c r="I13" s="15" t="n"/>
      <c r="J13" s="15" t="n"/>
      <c r="K13" s="16" t="n"/>
      <c r="L13" s="15" t="n"/>
      <c r="M13" s="15" t="n"/>
      <c r="N13" s="15" t="n"/>
      <c r="O13" s="15" t="n"/>
      <c r="P13" s="15" t="n"/>
    </row>
    <row r="14">
      <c r="A14" s="17">
        <f>IF(ROW()&lt;=4,"",TEXT(ROW()-4,"GAP-000"))</f>
        <v/>
      </c>
      <c r="B14" s="15" t="n"/>
      <c r="C14" s="15" t="n"/>
      <c r="D14" s="15" t="n"/>
      <c r="E14" s="15" t="n"/>
      <c r="F14" s="15" t="n"/>
      <c r="G14" s="15" t="n"/>
      <c r="H14" s="15" t="n"/>
      <c r="I14" s="15" t="n"/>
      <c r="J14" s="15" t="n"/>
      <c r="K14" s="16" t="n"/>
      <c r="L14" s="15" t="n"/>
      <c r="M14" s="15" t="n"/>
      <c r="N14" s="15" t="n"/>
      <c r="O14" s="15" t="n"/>
      <c r="P14" s="15" t="n"/>
    </row>
    <row r="15">
      <c r="A15" s="17">
        <f>IF(ROW()&lt;=4,"",TEXT(ROW()-4,"GAP-000"))</f>
        <v/>
      </c>
      <c r="B15" s="15" t="n"/>
      <c r="C15" s="15" t="n"/>
      <c r="D15" s="15" t="n"/>
      <c r="E15" s="15" t="n"/>
      <c r="F15" s="15" t="n"/>
      <c r="G15" s="15" t="n"/>
      <c r="H15" s="15" t="n"/>
      <c r="I15" s="15" t="n"/>
      <c r="J15" s="15" t="n"/>
      <c r="K15" s="16" t="n"/>
      <c r="L15" s="15" t="n"/>
      <c r="M15" s="15" t="n"/>
      <c r="N15" s="15" t="n"/>
      <c r="O15" s="15" t="n"/>
      <c r="P15" s="15" t="n"/>
    </row>
    <row r="16">
      <c r="A16" s="17">
        <f>IF(ROW()&lt;=4,"",TEXT(ROW()-4,"GAP-000"))</f>
        <v/>
      </c>
      <c r="B16" s="15" t="n"/>
      <c r="C16" s="15" t="n"/>
      <c r="D16" s="15" t="n"/>
      <c r="E16" s="15" t="n"/>
      <c r="F16" s="15" t="n"/>
      <c r="G16" s="15" t="n"/>
      <c r="H16" s="15" t="n"/>
      <c r="I16" s="15" t="n"/>
      <c r="J16" s="15" t="n"/>
      <c r="K16" s="16" t="n"/>
      <c r="L16" s="15" t="n"/>
      <c r="M16" s="15" t="n"/>
      <c r="N16" s="15" t="n"/>
      <c r="O16" s="15" t="n"/>
      <c r="P16" s="15" t="n"/>
    </row>
    <row r="17">
      <c r="A17" s="17">
        <f>IF(ROW()&lt;=4,"",TEXT(ROW()-4,"GAP-000"))</f>
        <v/>
      </c>
      <c r="B17" s="15" t="n"/>
      <c r="C17" s="15" t="n"/>
      <c r="D17" s="15" t="n"/>
      <c r="E17" s="15" t="n"/>
      <c r="F17" s="15" t="n"/>
      <c r="G17" s="15" t="n"/>
      <c r="H17" s="15" t="n"/>
      <c r="I17" s="15" t="n"/>
      <c r="J17" s="15" t="n"/>
      <c r="K17" s="16" t="n"/>
      <c r="L17" s="15" t="n"/>
      <c r="M17" s="15" t="n"/>
      <c r="N17" s="15" t="n"/>
      <c r="O17" s="15" t="n"/>
      <c r="P17" s="15" t="n"/>
    </row>
    <row r="18">
      <c r="A18" s="17">
        <f>IF(ROW()&lt;=4,"",TEXT(ROW()-4,"GAP-000"))</f>
        <v/>
      </c>
      <c r="B18" s="15" t="n"/>
      <c r="C18" s="15" t="n"/>
      <c r="D18" s="15" t="n"/>
      <c r="E18" s="15" t="n"/>
      <c r="F18" s="15" t="n"/>
      <c r="G18" s="15" t="n"/>
      <c r="H18" s="15" t="n"/>
      <c r="I18" s="15" t="n"/>
      <c r="J18" s="15" t="n"/>
      <c r="K18" s="16" t="n"/>
      <c r="L18" s="15" t="n"/>
      <c r="M18" s="15" t="n"/>
      <c r="N18" s="15" t="n"/>
      <c r="O18" s="15" t="n"/>
      <c r="P18" s="15" t="n"/>
    </row>
    <row r="19">
      <c r="A19" s="17">
        <f>IF(ROW()&lt;=4,"",TEXT(ROW()-4,"GAP-000"))</f>
        <v/>
      </c>
      <c r="B19" s="15" t="n"/>
      <c r="C19" s="15" t="n"/>
      <c r="D19" s="15" t="n"/>
      <c r="E19" s="15" t="n"/>
      <c r="F19" s="15" t="n"/>
      <c r="G19" s="15" t="n"/>
      <c r="H19" s="15" t="n"/>
      <c r="I19" s="15" t="n"/>
      <c r="J19" s="15" t="n"/>
      <c r="K19" s="16" t="n"/>
      <c r="L19" s="15" t="n"/>
      <c r="M19" s="15" t="n"/>
      <c r="N19" s="15" t="n"/>
      <c r="O19" s="15" t="n"/>
      <c r="P19" s="15" t="n"/>
    </row>
    <row r="20">
      <c r="A20" s="17">
        <f>IF(ROW()&lt;=4,"",TEXT(ROW()-4,"GAP-000"))</f>
        <v/>
      </c>
      <c r="B20" s="15" t="n"/>
      <c r="C20" s="15" t="n"/>
      <c r="D20" s="15" t="n"/>
      <c r="E20" s="15" t="n"/>
      <c r="F20" s="15" t="n"/>
      <c r="G20" s="15" t="n"/>
      <c r="H20" s="15" t="n"/>
      <c r="I20" s="15" t="n"/>
      <c r="J20" s="15" t="n"/>
      <c r="K20" s="16" t="n"/>
      <c r="L20" s="15" t="n"/>
      <c r="M20" s="15" t="n"/>
      <c r="N20" s="15" t="n"/>
      <c r="O20" s="15" t="n"/>
      <c r="P20" s="15" t="n"/>
    </row>
    <row r="21">
      <c r="A21" s="17">
        <f>IF(ROW()&lt;=4,"",TEXT(ROW()-4,"GAP-000"))</f>
        <v/>
      </c>
      <c r="B21" s="15" t="n"/>
      <c r="C21" s="15" t="n"/>
      <c r="D21" s="15" t="n"/>
      <c r="E21" s="15" t="n"/>
      <c r="F21" s="15" t="n"/>
      <c r="G21" s="15" t="n"/>
      <c r="H21" s="15" t="n"/>
      <c r="I21" s="15" t="n"/>
      <c r="J21" s="15" t="n"/>
      <c r="K21" s="16" t="n"/>
      <c r="L21" s="15" t="n"/>
      <c r="M21" s="15" t="n"/>
      <c r="N21" s="15" t="n"/>
      <c r="O21" s="15" t="n"/>
      <c r="P21" s="15" t="n"/>
    </row>
    <row r="22">
      <c r="A22" s="17">
        <f>IF(ROW()&lt;=4,"",TEXT(ROW()-4,"GAP-000"))</f>
        <v/>
      </c>
      <c r="B22" s="15" t="n"/>
      <c r="C22" s="15" t="n"/>
      <c r="D22" s="15" t="n"/>
      <c r="E22" s="15" t="n"/>
      <c r="F22" s="15" t="n"/>
      <c r="G22" s="15" t="n"/>
      <c r="H22" s="15" t="n"/>
      <c r="I22" s="15" t="n"/>
      <c r="J22" s="15" t="n"/>
      <c r="K22" s="16" t="n"/>
      <c r="L22" s="15" t="n"/>
      <c r="M22" s="15" t="n"/>
      <c r="N22" s="15" t="n"/>
      <c r="O22" s="15" t="n"/>
      <c r="P22" s="15" t="n"/>
    </row>
    <row r="23">
      <c r="A23" s="17">
        <f>IF(ROW()&lt;=4,"",TEXT(ROW()-4,"GAP-000"))</f>
        <v/>
      </c>
      <c r="B23" s="15" t="n"/>
      <c r="C23" s="15" t="n"/>
      <c r="D23" s="15" t="n"/>
      <c r="E23" s="15" t="n"/>
      <c r="F23" s="15" t="n"/>
      <c r="G23" s="15" t="n"/>
      <c r="H23" s="15" t="n"/>
      <c r="I23" s="15" t="n"/>
      <c r="J23" s="15" t="n"/>
      <c r="K23" s="16" t="n"/>
      <c r="L23" s="15" t="n"/>
      <c r="M23" s="15" t="n"/>
      <c r="N23" s="15" t="n"/>
      <c r="O23" s="15" t="n"/>
      <c r="P23" s="15" t="n"/>
    </row>
    <row r="24">
      <c r="A24" s="17">
        <f>IF(ROW()&lt;=4,"",TEXT(ROW()-4,"GAP-000"))</f>
        <v/>
      </c>
      <c r="B24" s="15" t="n"/>
      <c r="C24" s="15" t="n"/>
      <c r="D24" s="15" t="n"/>
      <c r="E24" s="15" t="n"/>
      <c r="F24" s="15" t="n"/>
      <c r="G24" s="15" t="n"/>
      <c r="H24" s="15" t="n"/>
      <c r="I24" s="15" t="n"/>
      <c r="J24" s="15" t="n"/>
      <c r="K24" s="16" t="n"/>
      <c r="L24" s="15" t="n"/>
      <c r="M24" s="15" t="n"/>
      <c r="N24" s="15" t="n"/>
      <c r="O24" s="15" t="n"/>
      <c r="P24" s="15" t="n"/>
    </row>
    <row r="25">
      <c r="A25" s="17">
        <f>IF(ROW()&lt;=4,"",TEXT(ROW()-4,"GAP-000"))</f>
        <v/>
      </c>
      <c r="B25" s="15" t="n"/>
      <c r="C25" s="15" t="n"/>
      <c r="D25" s="15" t="n"/>
      <c r="E25" s="15" t="n"/>
      <c r="F25" s="15" t="n"/>
      <c r="G25" s="15" t="n"/>
      <c r="H25" s="15" t="n"/>
      <c r="I25" s="15" t="n"/>
      <c r="J25" s="15" t="n"/>
      <c r="K25" s="16" t="n"/>
      <c r="L25" s="15" t="n"/>
      <c r="M25" s="15" t="n"/>
      <c r="N25" s="15" t="n"/>
      <c r="O25" s="15" t="n"/>
      <c r="P25" s="15" t="n"/>
    </row>
    <row r="26">
      <c r="A26" s="17">
        <f>IF(ROW()&lt;=4,"",TEXT(ROW()-4,"GAP-000"))</f>
        <v/>
      </c>
      <c r="B26" s="15" t="n"/>
      <c r="C26" s="15" t="n"/>
      <c r="D26" s="15" t="n"/>
      <c r="E26" s="15" t="n"/>
      <c r="F26" s="15" t="n"/>
      <c r="G26" s="15" t="n"/>
      <c r="H26" s="15" t="n"/>
      <c r="I26" s="15" t="n"/>
      <c r="J26" s="15" t="n"/>
      <c r="K26" s="16" t="n"/>
      <c r="L26" s="15" t="n"/>
      <c r="M26" s="15" t="n"/>
      <c r="N26" s="15" t="n"/>
      <c r="O26" s="15" t="n"/>
      <c r="P26" s="15" t="n"/>
    </row>
    <row r="27">
      <c r="A27" s="17">
        <f>IF(ROW()&lt;=4,"",TEXT(ROW()-4,"GAP-000"))</f>
        <v/>
      </c>
      <c r="B27" s="15" t="n"/>
      <c r="C27" s="15" t="n"/>
      <c r="D27" s="15" t="n"/>
      <c r="E27" s="15" t="n"/>
      <c r="F27" s="15" t="n"/>
      <c r="G27" s="15" t="n"/>
      <c r="H27" s="15" t="n"/>
      <c r="I27" s="15" t="n"/>
      <c r="J27" s="15" t="n"/>
      <c r="K27" s="16" t="n"/>
      <c r="L27" s="15" t="n"/>
      <c r="M27" s="15" t="n"/>
      <c r="N27" s="15" t="n"/>
      <c r="O27" s="15" t="n"/>
      <c r="P27" s="15" t="n"/>
    </row>
    <row r="28">
      <c r="A28" s="17">
        <f>IF(ROW()&lt;=4,"",TEXT(ROW()-4,"GAP-000"))</f>
        <v/>
      </c>
      <c r="B28" s="15" t="n"/>
      <c r="C28" s="15" t="n"/>
      <c r="D28" s="15" t="n"/>
      <c r="E28" s="15" t="n"/>
      <c r="F28" s="15" t="n"/>
      <c r="G28" s="15" t="n"/>
      <c r="H28" s="15" t="n"/>
      <c r="I28" s="15" t="n"/>
      <c r="J28" s="15" t="n"/>
      <c r="K28" s="16" t="n"/>
      <c r="L28" s="15" t="n"/>
      <c r="M28" s="15" t="n"/>
      <c r="N28" s="15" t="n"/>
      <c r="O28" s="15" t="n"/>
      <c r="P28" s="15" t="n"/>
    </row>
    <row r="29">
      <c r="A29" s="17">
        <f>IF(ROW()&lt;=4,"",TEXT(ROW()-4,"GAP-000"))</f>
        <v/>
      </c>
      <c r="B29" s="15" t="n"/>
      <c r="C29" s="15" t="n"/>
      <c r="D29" s="15" t="n"/>
      <c r="E29" s="15" t="n"/>
      <c r="F29" s="15" t="n"/>
      <c r="G29" s="15" t="n"/>
      <c r="H29" s="15" t="n"/>
      <c r="I29" s="15" t="n"/>
      <c r="J29" s="15" t="n"/>
      <c r="K29" s="16" t="n"/>
      <c r="L29" s="15" t="n"/>
      <c r="M29" s="15" t="n"/>
      <c r="N29" s="15" t="n"/>
      <c r="O29" s="15" t="n"/>
      <c r="P29" s="15" t="n"/>
    </row>
    <row r="30">
      <c r="A30" s="17">
        <f>IF(ROW()&lt;=4,"",TEXT(ROW()-4,"GAP-000"))</f>
        <v/>
      </c>
      <c r="B30" s="15" t="n"/>
      <c r="C30" s="15" t="n"/>
      <c r="D30" s="15" t="n"/>
      <c r="E30" s="15" t="n"/>
      <c r="F30" s="15" t="n"/>
      <c r="G30" s="15" t="n"/>
      <c r="H30" s="15" t="n"/>
      <c r="I30" s="15" t="n"/>
      <c r="J30" s="15" t="n"/>
      <c r="K30" s="16" t="n"/>
      <c r="L30" s="15" t="n"/>
      <c r="M30" s="15" t="n"/>
      <c r="N30" s="15" t="n"/>
      <c r="O30" s="15" t="n"/>
      <c r="P30" s="15" t="n"/>
    </row>
    <row r="31">
      <c r="A31" s="17">
        <f>IF(ROW()&lt;=4,"",TEXT(ROW()-4,"GAP-000"))</f>
        <v/>
      </c>
      <c r="B31" s="15" t="n"/>
      <c r="C31" s="15" t="n"/>
      <c r="D31" s="15" t="n"/>
      <c r="E31" s="15" t="n"/>
      <c r="F31" s="15" t="n"/>
      <c r="G31" s="15" t="n"/>
      <c r="H31" s="15" t="n"/>
      <c r="I31" s="15" t="n"/>
      <c r="J31" s="15" t="n"/>
      <c r="K31" s="16" t="n"/>
      <c r="L31" s="15" t="n"/>
      <c r="M31" s="15" t="n"/>
      <c r="N31" s="15" t="n"/>
      <c r="O31" s="15" t="n"/>
      <c r="P31" s="15" t="n"/>
    </row>
    <row r="32">
      <c r="A32" s="17">
        <f>IF(ROW()&lt;=4,"",TEXT(ROW()-4,"GAP-000"))</f>
        <v/>
      </c>
      <c r="B32" s="15" t="n"/>
      <c r="C32" s="15" t="n"/>
      <c r="D32" s="15" t="n"/>
      <c r="E32" s="15" t="n"/>
      <c r="F32" s="15" t="n"/>
      <c r="G32" s="15" t="n"/>
      <c r="H32" s="15" t="n"/>
      <c r="I32" s="15" t="n"/>
      <c r="J32" s="15" t="n"/>
      <c r="K32" s="16" t="n"/>
      <c r="L32" s="15" t="n"/>
      <c r="M32" s="15" t="n"/>
      <c r="N32" s="15" t="n"/>
      <c r="O32" s="15" t="n"/>
      <c r="P32" s="15" t="n"/>
    </row>
    <row r="33">
      <c r="A33" s="17">
        <f>IF(ROW()&lt;=4,"",TEXT(ROW()-4,"GAP-000"))</f>
        <v/>
      </c>
      <c r="B33" s="15" t="n"/>
      <c r="C33" s="15" t="n"/>
      <c r="D33" s="15" t="n"/>
      <c r="E33" s="15" t="n"/>
      <c r="F33" s="15" t="n"/>
      <c r="G33" s="15" t="n"/>
      <c r="H33" s="15" t="n"/>
      <c r="I33" s="15" t="n"/>
      <c r="J33" s="15" t="n"/>
      <c r="K33" s="16" t="n"/>
      <c r="L33" s="15" t="n"/>
      <c r="M33" s="15" t="n"/>
      <c r="N33" s="15" t="n"/>
      <c r="O33" s="15" t="n"/>
      <c r="P33" s="15" t="n"/>
    </row>
    <row r="34">
      <c r="A34" s="17">
        <f>IF(ROW()&lt;=4,"",TEXT(ROW()-4,"GAP-000"))</f>
        <v/>
      </c>
      <c r="B34" s="15" t="n"/>
      <c r="C34" s="15" t="n"/>
      <c r="D34" s="15" t="n"/>
      <c r="E34" s="15" t="n"/>
      <c r="F34" s="15" t="n"/>
      <c r="G34" s="15" t="n"/>
      <c r="H34" s="15" t="n"/>
      <c r="I34" s="15" t="n"/>
      <c r="J34" s="15" t="n"/>
      <c r="K34" s="16" t="n"/>
      <c r="L34" s="15" t="n"/>
      <c r="M34" s="15" t="n"/>
      <c r="N34" s="15" t="n"/>
      <c r="O34" s="15" t="n"/>
      <c r="P34" s="15" t="n"/>
    </row>
    <row r="35">
      <c r="A35" s="17">
        <f>IF(ROW()&lt;=4,"",TEXT(ROW()-4,"GAP-000"))</f>
        <v/>
      </c>
      <c r="B35" s="15" t="n"/>
      <c r="C35" s="15" t="n"/>
      <c r="D35" s="15" t="n"/>
      <c r="E35" s="15" t="n"/>
      <c r="F35" s="15" t="n"/>
      <c r="G35" s="15" t="n"/>
      <c r="H35" s="15" t="n"/>
      <c r="I35" s="15" t="n"/>
      <c r="J35" s="15" t="n"/>
      <c r="K35" s="16" t="n"/>
      <c r="L35" s="15" t="n"/>
      <c r="M35" s="15" t="n"/>
      <c r="N35" s="15" t="n"/>
      <c r="O35" s="15" t="n"/>
      <c r="P35" s="15" t="n"/>
    </row>
    <row r="36">
      <c r="A36" s="17">
        <f>IF(ROW()&lt;=4,"",TEXT(ROW()-4,"GAP-000"))</f>
        <v/>
      </c>
      <c r="B36" s="15" t="n"/>
      <c r="C36" s="15" t="n"/>
      <c r="D36" s="15" t="n"/>
      <c r="E36" s="15" t="n"/>
      <c r="F36" s="15" t="n"/>
      <c r="G36" s="15" t="n"/>
      <c r="H36" s="15" t="n"/>
      <c r="I36" s="15" t="n"/>
      <c r="J36" s="15" t="n"/>
      <c r="K36" s="16" t="n"/>
      <c r="L36" s="15" t="n"/>
      <c r="M36" s="15" t="n"/>
      <c r="N36" s="15" t="n"/>
      <c r="O36" s="15" t="n"/>
      <c r="P36" s="15" t="n"/>
    </row>
    <row r="37">
      <c r="A37" s="17">
        <f>IF(ROW()&lt;=4,"",TEXT(ROW()-4,"GAP-000"))</f>
        <v/>
      </c>
      <c r="B37" s="15" t="n"/>
      <c r="C37" s="15" t="n"/>
      <c r="D37" s="15" t="n"/>
      <c r="E37" s="15" t="n"/>
      <c r="F37" s="15" t="n"/>
      <c r="G37" s="15" t="n"/>
      <c r="H37" s="15" t="n"/>
      <c r="I37" s="15" t="n"/>
      <c r="J37" s="15" t="n"/>
      <c r="K37" s="16" t="n"/>
      <c r="L37" s="15" t="n"/>
      <c r="M37" s="15" t="n"/>
      <c r="N37" s="15" t="n"/>
      <c r="O37" s="15" t="n"/>
      <c r="P37" s="15" t="n"/>
    </row>
    <row r="38">
      <c r="A38" s="17">
        <f>IF(ROW()&lt;=4,"",TEXT(ROW()-4,"GAP-000"))</f>
        <v/>
      </c>
      <c r="B38" s="15" t="n"/>
      <c r="C38" s="15" t="n"/>
      <c r="D38" s="15" t="n"/>
      <c r="E38" s="15" t="n"/>
      <c r="F38" s="15" t="n"/>
      <c r="G38" s="15" t="n"/>
      <c r="H38" s="15" t="n"/>
      <c r="I38" s="15" t="n"/>
      <c r="J38" s="15" t="n"/>
      <c r="K38" s="16" t="n"/>
      <c r="L38" s="15" t="n"/>
      <c r="M38" s="15" t="n"/>
      <c r="N38" s="15" t="n"/>
      <c r="O38" s="15" t="n"/>
      <c r="P38" s="15" t="n"/>
    </row>
    <row r="39">
      <c r="A39" s="17">
        <f>IF(ROW()&lt;=4,"",TEXT(ROW()-4,"GAP-000"))</f>
        <v/>
      </c>
      <c r="B39" s="15" t="n"/>
      <c r="C39" s="15" t="n"/>
      <c r="D39" s="15" t="n"/>
      <c r="E39" s="15" t="n"/>
      <c r="F39" s="15" t="n"/>
      <c r="G39" s="15" t="n"/>
      <c r="H39" s="15" t="n"/>
      <c r="I39" s="15" t="n"/>
      <c r="J39" s="15" t="n"/>
      <c r="K39" s="16" t="n"/>
      <c r="L39" s="15" t="n"/>
      <c r="M39" s="15" t="n"/>
      <c r="N39" s="15" t="n"/>
      <c r="O39" s="15" t="n"/>
      <c r="P39" s="15" t="n"/>
    </row>
    <row r="40">
      <c r="A40" s="17">
        <f>IF(ROW()&lt;=4,"",TEXT(ROW()-4,"GAP-000"))</f>
        <v/>
      </c>
      <c r="B40" s="15" t="n"/>
      <c r="C40" s="15" t="n"/>
      <c r="D40" s="15" t="n"/>
      <c r="E40" s="15" t="n"/>
      <c r="F40" s="15" t="n"/>
      <c r="G40" s="15" t="n"/>
      <c r="H40" s="15" t="n"/>
      <c r="I40" s="15" t="n"/>
      <c r="J40" s="15" t="n"/>
      <c r="K40" s="16" t="n"/>
      <c r="L40" s="15" t="n"/>
      <c r="M40" s="15" t="n"/>
      <c r="N40" s="15" t="n"/>
      <c r="O40" s="15" t="n"/>
      <c r="P40" s="15" t="n"/>
    </row>
    <row r="41">
      <c r="A41" s="17">
        <f>IF(ROW()&lt;=4,"",TEXT(ROW()-4,"GAP-000"))</f>
        <v/>
      </c>
      <c r="B41" s="15" t="n"/>
      <c r="C41" s="15" t="n"/>
      <c r="D41" s="15" t="n"/>
      <c r="E41" s="15" t="n"/>
      <c r="F41" s="15" t="n"/>
      <c r="G41" s="15" t="n"/>
      <c r="H41" s="15" t="n"/>
      <c r="I41" s="15" t="n"/>
      <c r="J41" s="15" t="n"/>
      <c r="K41" s="16" t="n"/>
      <c r="L41" s="15" t="n"/>
      <c r="M41" s="15" t="n"/>
      <c r="N41" s="15" t="n"/>
      <c r="O41" s="15" t="n"/>
      <c r="P41" s="15" t="n"/>
    </row>
    <row r="42">
      <c r="A42" s="17">
        <f>IF(ROW()&lt;=4,"",TEXT(ROW()-4,"GAP-000"))</f>
        <v/>
      </c>
      <c r="B42" s="15" t="n"/>
      <c r="C42" s="15" t="n"/>
      <c r="D42" s="15" t="n"/>
      <c r="E42" s="15" t="n"/>
      <c r="F42" s="15" t="n"/>
      <c r="G42" s="15" t="n"/>
      <c r="H42" s="15" t="n"/>
      <c r="I42" s="15" t="n"/>
      <c r="J42" s="15" t="n"/>
      <c r="K42" s="16" t="n"/>
      <c r="L42" s="15" t="n"/>
      <c r="M42" s="15" t="n"/>
      <c r="N42" s="15" t="n"/>
      <c r="O42" s="15" t="n"/>
      <c r="P42" s="15" t="n"/>
    </row>
    <row r="43">
      <c r="A43" s="17">
        <f>IF(ROW()&lt;=4,"",TEXT(ROW()-4,"GAP-000"))</f>
        <v/>
      </c>
      <c r="B43" s="15" t="n"/>
      <c r="C43" s="15" t="n"/>
      <c r="D43" s="15" t="n"/>
      <c r="E43" s="15" t="n"/>
      <c r="F43" s="15" t="n"/>
      <c r="G43" s="15" t="n"/>
      <c r="H43" s="15" t="n"/>
      <c r="I43" s="15" t="n"/>
      <c r="J43" s="15" t="n"/>
      <c r="K43" s="16" t="n"/>
      <c r="L43" s="15" t="n"/>
      <c r="M43" s="15" t="n"/>
      <c r="N43" s="15" t="n"/>
      <c r="O43" s="15" t="n"/>
      <c r="P43" s="15" t="n"/>
    </row>
    <row r="44">
      <c r="A44" s="17">
        <f>IF(ROW()&lt;=4,"",TEXT(ROW()-4,"GAP-000"))</f>
        <v/>
      </c>
      <c r="B44" s="15" t="n"/>
      <c r="C44" s="15" t="n"/>
      <c r="D44" s="15" t="n"/>
      <c r="E44" s="15" t="n"/>
      <c r="F44" s="15" t="n"/>
      <c r="G44" s="15" t="n"/>
      <c r="H44" s="15" t="n"/>
      <c r="I44" s="15" t="n"/>
      <c r="J44" s="15" t="n"/>
      <c r="K44" s="16" t="n"/>
      <c r="L44" s="15" t="n"/>
      <c r="M44" s="15" t="n"/>
      <c r="N44" s="15" t="n"/>
      <c r="O44" s="15" t="n"/>
      <c r="P44" s="15" t="n"/>
    </row>
    <row r="45">
      <c r="A45" s="17">
        <f>IF(ROW()&lt;=4,"",TEXT(ROW()-4,"GAP-000"))</f>
        <v/>
      </c>
      <c r="B45" s="15" t="n"/>
      <c r="C45" s="15" t="n"/>
      <c r="D45" s="15" t="n"/>
      <c r="E45" s="15" t="n"/>
      <c r="F45" s="15" t="n"/>
      <c r="G45" s="15" t="n"/>
      <c r="H45" s="15" t="n"/>
      <c r="I45" s="15" t="n"/>
      <c r="J45" s="15" t="n"/>
      <c r="K45" s="16" t="n"/>
      <c r="L45" s="15" t="n"/>
      <c r="M45" s="15" t="n"/>
      <c r="N45" s="15" t="n"/>
      <c r="O45" s="15" t="n"/>
      <c r="P45" s="15" t="n"/>
    </row>
    <row r="46">
      <c r="A46" s="17">
        <f>IF(ROW()&lt;=4,"",TEXT(ROW()-4,"GAP-000"))</f>
        <v/>
      </c>
      <c r="B46" s="15" t="n"/>
      <c r="C46" s="15" t="n"/>
      <c r="D46" s="15" t="n"/>
      <c r="E46" s="15" t="n"/>
      <c r="F46" s="15" t="n"/>
      <c r="G46" s="15" t="n"/>
      <c r="H46" s="15" t="n"/>
      <c r="I46" s="15" t="n"/>
      <c r="J46" s="15" t="n"/>
      <c r="K46" s="16" t="n"/>
      <c r="L46" s="15" t="n"/>
      <c r="M46" s="15" t="n"/>
      <c r="N46" s="15" t="n"/>
      <c r="O46" s="15" t="n"/>
      <c r="P46" s="15" t="n"/>
    </row>
    <row r="47">
      <c r="A47" s="17">
        <f>IF(ROW()&lt;=4,"",TEXT(ROW()-4,"GAP-000"))</f>
        <v/>
      </c>
      <c r="B47" s="15" t="n"/>
      <c r="C47" s="15" t="n"/>
      <c r="D47" s="15" t="n"/>
      <c r="E47" s="15" t="n"/>
      <c r="F47" s="15" t="n"/>
      <c r="G47" s="15" t="n"/>
      <c r="H47" s="15" t="n"/>
      <c r="I47" s="15" t="n"/>
      <c r="J47" s="15" t="n"/>
      <c r="K47" s="16" t="n"/>
      <c r="L47" s="15" t="n"/>
      <c r="M47" s="15" t="n"/>
      <c r="N47" s="15" t="n"/>
      <c r="O47" s="15" t="n"/>
      <c r="P47" s="15" t="n"/>
    </row>
    <row r="48">
      <c r="A48" s="17">
        <f>IF(ROW()&lt;=4,"",TEXT(ROW()-4,"GAP-000"))</f>
        <v/>
      </c>
      <c r="B48" s="15" t="n"/>
      <c r="C48" s="15" t="n"/>
      <c r="D48" s="15" t="n"/>
      <c r="E48" s="15" t="n"/>
      <c r="F48" s="15" t="n"/>
      <c r="G48" s="15" t="n"/>
      <c r="H48" s="15" t="n"/>
      <c r="I48" s="15" t="n"/>
      <c r="J48" s="15" t="n"/>
      <c r="K48" s="16" t="n"/>
      <c r="L48" s="15" t="n"/>
      <c r="M48" s="15" t="n"/>
      <c r="N48" s="15" t="n"/>
      <c r="O48" s="15" t="n"/>
      <c r="P48" s="15" t="n"/>
    </row>
    <row r="49">
      <c r="A49" s="17">
        <f>IF(ROW()&lt;=4,"",TEXT(ROW()-4,"GAP-000"))</f>
        <v/>
      </c>
      <c r="B49" s="15" t="n"/>
      <c r="C49" s="15" t="n"/>
      <c r="D49" s="15" t="n"/>
      <c r="E49" s="15" t="n"/>
      <c r="F49" s="15" t="n"/>
      <c r="G49" s="15" t="n"/>
      <c r="H49" s="15" t="n"/>
      <c r="I49" s="15" t="n"/>
      <c r="J49" s="15" t="n"/>
      <c r="K49" s="16" t="n"/>
      <c r="L49" s="15" t="n"/>
      <c r="M49" s="15" t="n"/>
      <c r="N49" s="15" t="n"/>
      <c r="O49" s="15" t="n"/>
      <c r="P49" s="15" t="n"/>
    </row>
    <row r="50">
      <c r="A50" s="17">
        <f>IF(ROW()&lt;=4,"",TEXT(ROW()-4,"GAP-000"))</f>
        <v/>
      </c>
      <c r="B50" s="15" t="n"/>
      <c r="C50" s="15" t="n"/>
      <c r="D50" s="15" t="n"/>
      <c r="E50" s="15" t="n"/>
      <c r="F50" s="15" t="n"/>
      <c r="G50" s="15" t="n"/>
      <c r="H50" s="15" t="n"/>
      <c r="I50" s="15" t="n"/>
      <c r="J50" s="15" t="n"/>
      <c r="K50" s="16" t="n"/>
      <c r="L50" s="15" t="n"/>
      <c r="M50" s="15" t="n"/>
      <c r="N50" s="15" t="n"/>
      <c r="O50" s="15" t="n"/>
      <c r="P50" s="15" t="n"/>
    </row>
    <row r="51">
      <c r="A51" s="17">
        <f>IF(ROW()&lt;=4,"",TEXT(ROW()-4,"GAP-000"))</f>
        <v/>
      </c>
      <c r="B51" s="15" t="n"/>
      <c r="C51" s="15" t="n"/>
      <c r="D51" s="15" t="n"/>
      <c r="E51" s="15" t="n"/>
      <c r="F51" s="15" t="n"/>
      <c r="G51" s="15" t="n"/>
      <c r="H51" s="15" t="n"/>
      <c r="I51" s="15" t="n"/>
      <c r="J51" s="15" t="n"/>
      <c r="K51" s="16" t="n"/>
      <c r="L51" s="15" t="n"/>
      <c r="M51" s="15" t="n"/>
      <c r="N51" s="15" t="n"/>
      <c r="O51" s="15" t="n"/>
      <c r="P51" s="15" t="n"/>
    </row>
    <row r="52">
      <c r="A52" s="17">
        <f>IF(ROW()&lt;=4,"",TEXT(ROW()-4,"GAP-000"))</f>
        <v/>
      </c>
      <c r="B52" s="15" t="n"/>
      <c r="C52" s="15" t="n"/>
      <c r="D52" s="15" t="n"/>
      <c r="E52" s="15" t="n"/>
      <c r="F52" s="15" t="n"/>
      <c r="G52" s="15" t="n"/>
      <c r="H52" s="15" t="n"/>
      <c r="I52" s="15" t="n"/>
      <c r="J52" s="15" t="n"/>
      <c r="K52" s="16" t="n"/>
      <c r="L52" s="15" t="n"/>
      <c r="M52" s="15" t="n"/>
      <c r="N52" s="15" t="n"/>
      <c r="O52" s="15" t="n"/>
      <c r="P52" s="15" t="n"/>
    </row>
    <row r="53">
      <c r="A53" s="17">
        <f>IF(ROW()&lt;=4,"",TEXT(ROW()-4,"GAP-000"))</f>
        <v/>
      </c>
      <c r="B53" s="15" t="n"/>
      <c r="C53" s="15" t="n"/>
      <c r="D53" s="15" t="n"/>
      <c r="E53" s="15" t="n"/>
      <c r="F53" s="15" t="n"/>
      <c r="G53" s="15" t="n"/>
      <c r="H53" s="15" t="n"/>
      <c r="I53" s="15" t="n"/>
      <c r="J53" s="15" t="n"/>
      <c r="K53" s="16" t="n"/>
      <c r="L53" s="15" t="n"/>
      <c r="M53" s="15" t="n"/>
      <c r="N53" s="15" t="n"/>
      <c r="O53" s="15" t="n"/>
      <c r="P53" s="15" t="n"/>
    </row>
    <row r="54">
      <c r="A54" s="17">
        <f>IF(ROW()&lt;=4,"",TEXT(ROW()-4,"GAP-000"))</f>
        <v/>
      </c>
      <c r="B54" s="15" t="n"/>
      <c r="C54" s="15" t="n"/>
      <c r="D54" s="15" t="n"/>
      <c r="E54" s="15" t="n"/>
      <c r="F54" s="15" t="n"/>
      <c r="G54" s="15" t="n"/>
      <c r="H54" s="15" t="n"/>
      <c r="I54" s="15" t="n"/>
      <c r="J54" s="15" t="n"/>
      <c r="K54" s="16" t="n"/>
      <c r="L54" s="15" t="n"/>
      <c r="M54" s="15" t="n"/>
      <c r="N54" s="15" t="n"/>
      <c r="O54" s="15" t="n"/>
      <c r="P54" s="15" t="n"/>
    </row>
    <row r="55">
      <c r="A55" s="17">
        <f>IF(ROW()&lt;=4,"",TEXT(ROW()-4,"GAP-000"))</f>
        <v/>
      </c>
      <c r="B55" s="15" t="n"/>
      <c r="C55" s="15" t="n"/>
      <c r="D55" s="15" t="n"/>
      <c r="E55" s="15" t="n"/>
      <c r="F55" s="15" t="n"/>
      <c r="G55" s="15" t="n"/>
      <c r="H55" s="15" t="n"/>
      <c r="I55" s="15" t="n"/>
      <c r="J55" s="15" t="n"/>
      <c r="K55" s="16" t="n"/>
      <c r="L55" s="15" t="n"/>
      <c r="M55" s="15" t="n"/>
      <c r="N55" s="15" t="n"/>
      <c r="O55" s="15" t="n"/>
      <c r="P55" s="15" t="n"/>
    </row>
    <row r="56">
      <c r="A56" s="17">
        <f>IF(ROW()&lt;=4,"",TEXT(ROW()-4,"GAP-000"))</f>
        <v/>
      </c>
      <c r="B56" s="15" t="n"/>
      <c r="C56" s="15" t="n"/>
      <c r="D56" s="15" t="n"/>
      <c r="E56" s="15" t="n"/>
      <c r="F56" s="15" t="n"/>
      <c r="G56" s="15" t="n"/>
      <c r="H56" s="15" t="n"/>
      <c r="I56" s="15" t="n"/>
      <c r="J56" s="15" t="n"/>
      <c r="K56" s="16" t="n"/>
      <c r="L56" s="15" t="n"/>
      <c r="M56" s="15" t="n"/>
      <c r="N56" s="15" t="n"/>
      <c r="O56" s="15" t="n"/>
      <c r="P56" s="15" t="n"/>
    </row>
    <row r="57">
      <c r="A57" s="17">
        <f>IF(ROW()&lt;=4,"",TEXT(ROW()-4,"GAP-000"))</f>
        <v/>
      </c>
      <c r="B57" s="15" t="n"/>
      <c r="C57" s="15" t="n"/>
      <c r="D57" s="15" t="n"/>
      <c r="E57" s="15" t="n"/>
      <c r="F57" s="15" t="n"/>
      <c r="G57" s="15" t="n"/>
      <c r="H57" s="15" t="n"/>
      <c r="I57" s="15" t="n"/>
      <c r="J57" s="15" t="n"/>
      <c r="K57" s="16" t="n"/>
      <c r="L57" s="15" t="n"/>
      <c r="M57" s="15" t="n"/>
      <c r="N57" s="15" t="n"/>
      <c r="O57" s="15" t="n"/>
      <c r="P57" s="15" t="n"/>
    </row>
    <row r="58">
      <c r="A58" s="17">
        <f>IF(ROW()&lt;=4,"",TEXT(ROW()-4,"GAP-000"))</f>
        <v/>
      </c>
      <c r="B58" s="15" t="n"/>
      <c r="C58" s="15" t="n"/>
      <c r="D58" s="15" t="n"/>
      <c r="E58" s="15" t="n"/>
      <c r="F58" s="15" t="n"/>
      <c r="G58" s="15" t="n"/>
      <c r="H58" s="15" t="n"/>
      <c r="I58" s="15" t="n"/>
      <c r="J58" s="15" t="n"/>
      <c r="K58" s="16" t="n"/>
      <c r="L58" s="15" t="n"/>
      <c r="M58" s="15" t="n"/>
      <c r="N58" s="15" t="n"/>
      <c r="O58" s="15" t="n"/>
      <c r="P58" s="15" t="n"/>
    </row>
    <row r="59">
      <c r="A59" s="17">
        <f>IF(ROW()&lt;=4,"",TEXT(ROW()-4,"GAP-000"))</f>
        <v/>
      </c>
      <c r="B59" s="15" t="n"/>
      <c r="C59" s="15" t="n"/>
      <c r="D59" s="15" t="n"/>
      <c r="E59" s="15" t="n"/>
      <c r="F59" s="15" t="n"/>
      <c r="G59" s="15" t="n"/>
      <c r="H59" s="15" t="n"/>
      <c r="I59" s="15" t="n"/>
      <c r="J59" s="15" t="n"/>
      <c r="K59" s="16" t="n"/>
      <c r="L59" s="15" t="n"/>
      <c r="M59" s="15" t="n"/>
      <c r="N59" s="15" t="n"/>
      <c r="O59" s="15" t="n"/>
      <c r="P59" s="15" t="n"/>
    </row>
    <row r="60">
      <c r="A60" s="17">
        <f>IF(ROW()&lt;=4,"",TEXT(ROW()-4,"GAP-000"))</f>
        <v/>
      </c>
      <c r="B60" s="15" t="n"/>
      <c r="C60" s="15" t="n"/>
      <c r="D60" s="15" t="n"/>
      <c r="E60" s="15" t="n"/>
      <c r="F60" s="15" t="n"/>
      <c r="G60" s="15" t="n"/>
      <c r="H60" s="15" t="n"/>
      <c r="I60" s="15" t="n"/>
      <c r="J60" s="15" t="n"/>
      <c r="K60" s="16" t="n"/>
      <c r="L60" s="15" t="n"/>
      <c r="M60" s="15" t="n"/>
      <c r="N60" s="15" t="n"/>
      <c r="O60" s="15" t="n"/>
      <c r="P60" s="15" t="n"/>
    </row>
    <row r="61">
      <c r="A61" s="17">
        <f>IF(ROW()&lt;=4,"",TEXT(ROW()-4,"GAP-000"))</f>
        <v/>
      </c>
      <c r="B61" s="15" t="n"/>
      <c r="C61" s="15" t="n"/>
      <c r="D61" s="15" t="n"/>
      <c r="E61" s="15" t="n"/>
      <c r="F61" s="15" t="n"/>
      <c r="G61" s="15" t="n"/>
      <c r="H61" s="15" t="n"/>
      <c r="I61" s="15" t="n"/>
      <c r="J61" s="15" t="n"/>
      <c r="K61" s="16" t="n"/>
      <c r="L61" s="15" t="n"/>
      <c r="M61" s="15" t="n"/>
      <c r="N61" s="15" t="n"/>
      <c r="O61" s="15" t="n"/>
      <c r="P61" s="15" t="n"/>
    </row>
    <row r="62">
      <c r="A62" s="17">
        <f>IF(ROW()&lt;=4,"",TEXT(ROW()-4,"GAP-000"))</f>
        <v/>
      </c>
      <c r="B62" s="15" t="n"/>
      <c r="C62" s="15" t="n"/>
      <c r="D62" s="15" t="n"/>
      <c r="E62" s="15" t="n"/>
      <c r="F62" s="15" t="n"/>
      <c r="G62" s="15" t="n"/>
      <c r="H62" s="15" t="n"/>
      <c r="I62" s="15" t="n"/>
      <c r="J62" s="15" t="n"/>
      <c r="K62" s="16" t="n"/>
      <c r="L62" s="15" t="n"/>
      <c r="M62" s="15" t="n"/>
      <c r="N62" s="15" t="n"/>
      <c r="O62" s="15" t="n"/>
      <c r="P62" s="15" t="n"/>
    </row>
    <row r="63">
      <c r="A63" s="17">
        <f>IF(ROW()&lt;=4,"",TEXT(ROW()-4,"GAP-000"))</f>
        <v/>
      </c>
      <c r="B63" s="15" t="n"/>
      <c r="C63" s="15" t="n"/>
      <c r="D63" s="15" t="n"/>
      <c r="E63" s="15" t="n"/>
      <c r="F63" s="15" t="n"/>
      <c r="G63" s="15" t="n"/>
      <c r="H63" s="15" t="n"/>
      <c r="I63" s="15" t="n"/>
      <c r="J63" s="15" t="n"/>
      <c r="K63" s="16" t="n"/>
      <c r="L63" s="15" t="n"/>
      <c r="M63" s="15" t="n"/>
      <c r="N63" s="15" t="n"/>
      <c r="O63" s="15" t="n"/>
      <c r="P63" s="15" t="n"/>
    </row>
    <row r="64">
      <c r="A64" s="17">
        <f>IF(ROW()&lt;=4,"",TEXT(ROW()-4,"GAP-000"))</f>
        <v/>
      </c>
      <c r="B64" s="15" t="n"/>
      <c r="C64" s="15" t="n"/>
      <c r="D64" s="15" t="n"/>
      <c r="E64" s="15" t="n"/>
      <c r="F64" s="15" t="n"/>
      <c r="G64" s="15" t="n"/>
      <c r="H64" s="15" t="n"/>
      <c r="I64" s="15" t="n"/>
      <c r="J64" s="15" t="n"/>
      <c r="K64" s="16" t="n"/>
      <c r="L64" s="15" t="n"/>
      <c r="M64" s="15" t="n"/>
      <c r="N64" s="15" t="n"/>
      <c r="O64" s="15" t="n"/>
      <c r="P64" s="15" t="n"/>
    </row>
    <row r="65">
      <c r="A65" s="17">
        <f>IF(ROW()&lt;=4,"",TEXT(ROW()-4,"GAP-000"))</f>
        <v/>
      </c>
      <c r="B65" s="15" t="n"/>
      <c r="C65" s="15" t="n"/>
      <c r="D65" s="15" t="n"/>
      <c r="E65" s="15" t="n"/>
      <c r="F65" s="15" t="n"/>
      <c r="G65" s="15" t="n"/>
      <c r="H65" s="15" t="n"/>
      <c r="I65" s="15" t="n"/>
      <c r="J65" s="15" t="n"/>
      <c r="K65" s="16" t="n"/>
      <c r="L65" s="15" t="n"/>
      <c r="M65" s="15" t="n"/>
      <c r="N65" s="15" t="n"/>
      <c r="O65" s="15" t="n"/>
      <c r="P65" s="15" t="n"/>
    </row>
    <row r="66">
      <c r="A66" s="17">
        <f>IF(ROW()&lt;=4,"",TEXT(ROW()-4,"GAP-000"))</f>
        <v/>
      </c>
      <c r="B66" s="15" t="n"/>
      <c r="C66" s="15" t="n"/>
      <c r="D66" s="15" t="n"/>
      <c r="E66" s="15" t="n"/>
      <c r="F66" s="15" t="n"/>
      <c r="G66" s="15" t="n"/>
      <c r="H66" s="15" t="n"/>
      <c r="I66" s="15" t="n"/>
      <c r="J66" s="15" t="n"/>
      <c r="K66" s="16" t="n"/>
      <c r="L66" s="15" t="n"/>
      <c r="M66" s="15" t="n"/>
      <c r="N66" s="15" t="n"/>
      <c r="O66" s="15" t="n"/>
      <c r="P66" s="15" t="n"/>
    </row>
    <row r="67">
      <c r="A67" s="17">
        <f>IF(ROW()&lt;=4,"",TEXT(ROW()-4,"GAP-000"))</f>
        <v/>
      </c>
      <c r="B67" s="15" t="n"/>
      <c r="C67" s="15" t="n"/>
      <c r="D67" s="15" t="n"/>
      <c r="E67" s="15" t="n"/>
      <c r="F67" s="15" t="n"/>
      <c r="G67" s="15" t="n"/>
      <c r="H67" s="15" t="n"/>
      <c r="I67" s="15" t="n"/>
      <c r="J67" s="15" t="n"/>
      <c r="K67" s="16" t="n"/>
      <c r="L67" s="15" t="n"/>
      <c r="M67" s="15" t="n"/>
      <c r="N67" s="15" t="n"/>
      <c r="O67" s="15" t="n"/>
      <c r="P67" s="15" t="n"/>
    </row>
    <row r="68">
      <c r="A68" s="17">
        <f>IF(ROW()&lt;=4,"",TEXT(ROW()-4,"GAP-000"))</f>
        <v/>
      </c>
      <c r="B68" s="15" t="n"/>
      <c r="C68" s="15" t="n"/>
      <c r="D68" s="15" t="n"/>
      <c r="E68" s="15" t="n"/>
      <c r="F68" s="15" t="n"/>
      <c r="G68" s="15" t="n"/>
      <c r="H68" s="15" t="n"/>
      <c r="I68" s="15" t="n"/>
      <c r="J68" s="15" t="n"/>
      <c r="K68" s="16" t="n"/>
      <c r="L68" s="15" t="n"/>
      <c r="M68" s="15" t="n"/>
      <c r="N68" s="15" t="n"/>
      <c r="O68" s="15" t="n"/>
      <c r="P68" s="15" t="n"/>
    </row>
    <row r="69">
      <c r="A69" s="17">
        <f>IF(ROW()&lt;=4,"",TEXT(ROW()-4,"GAP-000"))</f>
        <v/>
      </c>
      <c r="B69" s="15" t="n"/>
      <c r="C69" s="15" t="n"/>
      <c r="D69" s="15" t="n"/>
      <c r="E69" s="15" t="n"/>
      <c r="F69" s="15" t="n"/>
      <c r="G69" s="15" t="n"/>
      <c r="H69" s="15" t="n"/>
      <c r="I69" s="15" t="n"/>
      <c r="J69" s="15" t="n"/>
      <c r="K69" s="16" t="n"/>
      <c r="L69" s="15" t="n"/>
      <c r="M69" s="15" t="n"/>
      <c r="N69" s="15" t="n"/>
      <c r="O69" s="15" t="n"/>
      <c r="P69" s="15" t="n"/>
    </row>
    <row r="70">
      <c r="A70" s="17">
        <f>IF(ROW()&lt;=4,"",TEXT(ROW()-4,"GAP-000"))</f>
        <v/>
      </c>
      <c r="B70" s="15" t="n"/>
      <c r="C70" s="15" t="n"/>
      <c r="D70" s="15" t="n"/>
      <c r="E70" s="15" t="n"/>
      <c r="F70" s="15" t="n"/>
      <c r="G70" s="15" t="n"/>
      <c r="H70" s="15" t="n"/>
      <c r="I70" s="15" t="n"/>
      <c r="J70" s="15" t="n"/>
      <c r="K70" s="16" t="n"/>
      <c r="L70" s="15" t="n"/>
      <c r="M70" s="15" t="n"/>
      <c r="N70" s="15" t="n"/>
      <c r="O70" s="15" t="n"/>
      <c r="P70" s="15" t="n"/>
    </row>
    <row r="71">
      <c r="A71" s="17">
        <f>IF(ROW()&lt;=4,"",TEXT(ROW()-4,"GAP-000"))</f>
        <v/>
      </c>
      <c r="B71" s="15" t="n"/>
      <c r="C71" s="15" t="n"/>
      <c r="D71" s="15" t="n"/>
      <c r="E71" s="15" t="n"/>
      <c r="F71" s="15" t="n"/>
      <c r="G71" s="15" t="n"/>
      <c r="H71" s="15" t="n"/>
      <c r="I71" s="15" t="n"/>
      <c r="J71" s="15" t="n"/>
      <c r="K71" s="16" t="n"/>
      <c r="L71" s="15" t="n"/>
      <c r="M71" s="15" t="n"/>
      <c r="N71" s="15" t="n"/>
      <c r="O71" s="15" t="n"/>
      <c r="P71" s="15" t="n"/>
    </row>
    <row r="72">
      <c r="A72" s="17">
        <f>IF(ROW()&lt;=4,"",TEXT(ROW()-4,"GAP-000"))</f>
        <v/>
      </c>
      <c r="B72" s="15" t="n"/>
      <c r="C72" s="15" t="n"/>
      <c r="D72" s="15" t="n"/>
      <c r="E72" s="15" t="n"/>
      <c r="F72" s="15" t="n"/>
      <c r="G72" s="15" t="n"/>
      <c r="H72" s="15" t="n"/>
      <c r="I72" s="15" t="n"/>
      <c r="J72" s="15" t="n"/>
      <c r="K72" s="16" t="n"/>
      <c r="L72" s="15" t="n"/>
      <c r="M72" s="15" t="n"/>
      <c r="N72" s="15" t="n"/>
      <c r="O72" s="15" t="n"/>
      <c r="P72" s="15" t="n"/>
    </row>
    <row r="73">
      <c r="A73" s="17">
        <f>IF(ROW()&lt;=4,"",TEXT(ROW()-4,"GAP-000"))</f>
        <v/>
      </c>
      <c r="B73" s="15" t="n"/>
      <c r="C73" s="15" t="n"/>
      <c r="D73" s="15" t="n"/>
      <c r="E73" s="15" t="n"/>
      <c r="F73" s="15" t="n"/>
      <c r="G73" s="15" t="n"/>
      <c r="H73" s="15" t="n"/>
      <c r="I73" s="15" t="n"/>
      <c r="J73" s="15" t="n"/>
      <c r="K73" s="16" t="n"/>
      <c r="L73" s="15" t="n"/>
      <c r="M73" s="15" t="n"/>
      <c r="N73" s="15" t="n"/>
      <c r="O73" s="15" t="n"/>
      <c r="P73" s="15" t="n"/>
    </row>
    <row r="74">
      <c r="A74" s="17">
        <f>IF(ROW()&lt;=4,"",TEXT(ROW()-4,"GAP-000"))</f>
        <v/>
      </c>
      <c r="B74" s="15" t="n"/>
      <c r="C74" s="15" t="n"/>
      <c r="D74" s="15" t="n"/>
      <c r="E74" s="15" t="n"/>
      <c r="F74" s="15" t="n"/>
      <c r="G74" s="15" t="n"/>
      <c r="H74" s="15" t="n"/>
      <c r="I74" s="15" t="n"/>
      <c r="J74" s="15" t="n"/>
      <c r="K74" s="16" t="n"/>
      <c r="L74" s="15" t="n"/>
      <c r="M74" s="15" t="n"/>
      <c r="N74" s="15" t="n"/>
      <c r="O74" s="15" t="n"/>
      <c r="P74" s="15" t="n"/>
    </row>
    <row r="75">
      <c r="A75" s="17">
        <f>IF(ROW()&lt;=4,"",TEXT(ROW()-4,"GAP-000"))</f>
        <v/>
      </c>
      <c r="B75" s="15" t="n"/>
      <c r="C75" s="15" t="n"/>
      <c r="D75" s="15" t="n"/>
      <c r="E75" s="15" t="n"/>
      <c r="F75" s="15" t="n"/>
      <c r="G75" s="15" t="n"/>
      <c r="H75" s="15" t="n"/>
      <c r="I75" s="15" t="n"/>
      <c r="J75" s="15" t="n"/>
      <c r="K75" s="16" t="n"/>
      <c r="L75" s="15" t="n"/>
      <c r="M75" s="15" t="n"/>
      <c r="N75" s="15" t="n"/>
      <c r="O75" s="15" t="n"/>
      <c r="P75" s="15" t="n"/>
    </row>
    <row r="76">
      <c r="A76" s="17">
        <f>IF(ROW()&lt;=4,"",TEXT(ROW()-4,"GAP-000"))</f>
        <v/>
      </c>
      <c r="B76" s="15" t="n"/>
      <c r="C76" s="15" t="n"/>
      <c r="D76" s="15" t="n"/>
      <c r="E76" s="15" t="n"/>
      <c r="F76" s="15" t="n"/>
      <c r="G76" s="15" t="n"/>
      <c r="H76" s="15" t="n"/>
      <c r="I76" s="15" t="n"/>
      <c r="J76" s="15" t="n"/>
      <c r="K76" s="16" t="n"/>
      <c r="L76" s="15" t="n"/>
      <c r="M76" s="15" t="n"/>
      <c r="N76" s="15" t="n"/>
      <c r="O76" s="15" t="n"/>
      <c r="P76" s="15" t="n"/>
    </row>
    <row r="77">
      <c r="A77" s="17">
        <f>IF(ROW()&lt;=4,"",TEXT(ROW()-4,"GAP-000"))</f>
        <v/>
      </c>
      <c r="B77" s="15" t="n"/>
      <c r="C77" s="15" t="n"/>
      <c r="D77" s="15" t="n"/>
      <c r="E77" s="15" t="n"/>
      <c r="F77" s="15" t="n"/>
      <c r="G77" s="15" t="n"/>
      <c r="H77" s="15" t="n"/>
      <c r="I77" s="15" t="n"/>
      <c r="J77" s="15" t="n"/>
      <c r="K77" s="16" t="n"/>
      <c r="L77" s="15" t="n"/>
      <c r="M77" s="15" t="n"/>
      <c r="N77" s="15" t="n"/>
      <c r="O77" s="15" t="n"/>
      <c r="P77" s="15" t="n"/>
    </row>
    <row r="78">
      <c r="A78" s="17">
        <f>IF(ROW()&lt;=4,"",TEXT(ROW()-4,"GAP-000"))</f>
        <v/>
      </c>
      <c r="B78" s="15" t="n"/>
      <c r="C78" s="15" t="n"/>
      <c r="D78" s="15" t="n"/>
      <c r="E78" s="15" t="n"/>
      <c r="F78" s="15" t="n"/>
      <c r="G78" s="15" t="n"/>
      <c r="H78" s="15" t="n"/>
      <c r="I78" s="15" t="n"/>
      <c r="J78" s="15" t="n"/>
      <c r="K78" s="16" t="n"/>
      <c r="L78" s="15" t="n"/>
      <c r="M78" s="15" t="n"/>
      <c r="N78" s="15" t="n"/>
      <c r="O78" s="15" t="n"/>
      <c r="P78" s="15" t="n"/>
    </row>
    <row r="79">
      <c r="A79" s="17">
        <f>IF(ROW()&lt;=4,"",TEXT(ROW()-4,"GAP-000"))</f>
        <v/>
      </c>
      <c r="B79" s="15" t="n"/>
      <c r="C79" s="15" t="n"/>
      <c r="D79" s="15" t="n"/>
      <c r="E79" s="15" t="n"/>
      <c r="F79" s="15" t="n"/>
      <c r="G79" s="15" t="n"/>
      <c r="H79" s="15" t="n"/>
      <c r="I79" s="15" t="n"/>
      <c r="J79" s="15" t="n"/>
      <c r="K79" s="16" t="n"/>
      <c r="L79" s="15" t="n"/>
      <c r="M79" s="15" t="n"/>
      <c r="N79" s="15" t="n"/>
      <c r="O79" s="15" t="n"/>
      <c r="P79" s="15" t="n"/>
    </row>
    <row r="80">
      <c r="A80" s="17">
        <f>IF(ROW()&lt;=4,"",TEXT(ROW()-4,"GAP-000"))</f>
        <v/>
      </c>
      <c r="B80" s="15" t="n"/>
      <c r="C80" s="15" t="n"/>
      <c r="D80" s="15" t="n"/>
      <c r="E80" s="15" t="n"/>
      <c r="F80" s="15" t="n"/>
      <c r="G80" s="15" t="n"/>
      <c r="H80" s="15" t="n"/>
      <c r="I80" s="15" t="n"/>
      <c r="J80" s="15" t="n"/>
      <c r="K80" s="16" t="n"/>
      <c r="L80" s="15" t="n"/>
      <c r="M80" s="15" t="n"/>
      <c r="N80" s="15" t="n"/>
      <c r="O80" s="15" t="n"/>
      <c r="P80" s="15" t="n"/>
    </row>
    <row r="81">
      <c r="A81" s="17">
        <f>IF(ROW()&lt;=4,"",TEXT(ROW()-4,"GAP-000"))</f>
        <v/>
      </c>
      <c r="B81" s="15" t="n"/>
      <c r="C81" s="15" t="n"/>
      <c r="D81" s="15" t="n"/>
      <c r="E81" s="15" t="n"/>
      <c r="F81" s="15" t="n"/>
      <c r="G81" s="15" t="n"/>
      <c r="H81" s="15" t="n"/>
      <c r="I81" s="15" t="n"/>
      <c r="J81" s="15" t="n"/>
      <c r="K81" s="16" t="n"/>
      <c r="L81" s="15" t="n"/>
      <c r="M81" s="15" t="n"/>
      <c r="N81" s="15" t="n"/>
      <c r="O81" s="15" t="n"/>
      <c r="P81" s="15" t="n"/>
    </row>
    <row r="82">
      <c r="A82" s="17">
        <f>IF(ROW()&lt;=4,"",TEXT(ROW()-4,"GAP-000"))</f>
        <v/>
      </c>
      <c r="B82" s="15" t="n"/>
      <c r="C82" s="15" t="n"/>
      <c r="D82" s="15" t="n"/>
      <c r="E82" s="15" t="n"/>
      <c r="F82" s="15" t="n"/>
      <c r="G82" s="15" t="n"/>
      <c r="H82" s="15" t="n"/>
      <c r="I82" s="15" t="n"/>
      <c r="J82" s="15" t="n"/>
      <c r="K82" s="16" t="n"/>
      <c r="L82" s="15" t="n"/>
      <c r="M82" s="15" t="n"/>
      <c r="N82" s="15" t="n"/>
      <c r="O82" s="15" t="n"/>
      <c r="P82" s="15" t="n"/>
    </row>
    <row r="83">
      <c r="A83" s="17">
        <f>IF(ROW()&lt;=4,"",TEXT(ROW()-4,"GAP-000"))</f>
        <v/>
      </c>
      <c r="B83" s="15" t="n"/>
      <c r="C83" s="15" t="n"/>
      <c r="D83" s="15" t="n"/>
      <c r="E83" s="15" t="n"/>
      <c r="F83" s="15" t="n"/>
      <c r="G83" s="15" t="n"/>
      <c r="H83" s="15" t="n"/>
      <c r="I83" s="15" t="n"/>
      <c r="J83" s="15" t="n"/>
      <c r="K83" s="16" t="n"/>
      <c r="L83" s="15" t="n"/>
      <c r="M83" s="15" t="n"/>
      <c r="N83" s="15" t="n"/>
      <c r="O83" s="15" t="n"/>
      <c r="P83" s="15" t="n"/>
    </row>
    <row r="84">
      <c r="A84" s="17">
        <f>IF(ROW()&lt;=4,"",TEXT(ROW()-4,"GAP-000"))</f>
        <v/>
      </c>
      <c r="B84" s="15" t="n"/>
      <c r="C84" s="15" t="n"/>
      <c r="D84" s="15" t="n"/>
      <c r="E84" s="15" t="n"/>
      <c r="F84" s="15" t="n"/>
      <c r="G84" s="15" t="n"/>
      <c r="H84" s="15" t="n"/>
      <c r="I84" s="15" t="n"/>
      <c r="J84" s="15" t="n"/>
      <c r="K84" s="16" t="n"/>
      <c r="L84" s="15" t="n"/>
      <c r="M84" s="15" t="n"/>
      <c r="N84" s="15" t="n"/>
      <c r="O84" s="15" t="n"/>
      <c r="P84" s="15" t="n"/>
    </row>
    <row r="85">
      <c r="A85" s="17">
        <f>IF(ROW()&lt;=4,"",TEXT(ROW()-4,"GAP-000"))</f>
        <v/>
      </c>
      <c r="B85" s="15" t="n"/>
      <c r="C85" s="15" t="n"/>
      <c r="D85" s="15" t="n"/>
      <c r="E85" s="15" t="n"/>
      <c r="F85" s="15" t="n"/>
      <c r="G85" s="15" t="n"/>
      <c r="H85" s="15" t="n"/>
      <c r="I85" s="15" t="n"/>
      <c r="J85" s="15" t="n"/>
      <c r="K85" s="16" t="n"/>
      <c r="L85" s="15" t="n"/>
      <c r="M85" s="15" t="n"/>
      <c r="N85" s="15" t="n"/>
      <c r="O85" s="15" t="n"/>
      <c r="P85" s="15" t="n"/>
    </row>
    <row r="86">
      <c r="A86" s="17">
        <f>IF(ROW()&lt;=4,"",TEXT(ROW()-4,"GAP-000"))</f>
        <v/>
      </c>
      <c r="B86" s="15" t="n"/>
      <c r="C86" s="15" t="n"/>
      <c r="D86" s="15" t="n"/>
      <c r="E86" s="15" t="n"/>
      <c r="F86" s="15" t="n"/>
      <c r="G86" s="15" t="n"/>
      <c r="H86" s="15" t="n"/>
      <c r="I86" s="15" t="n"/>
      <c r="J86" s="15" t="n"/>
      <c r="K86" s="16" t="n"/>
      <c r="L86" s="15" t="n"/>
      <c r="M86" s="15" t="n"/>
      <c r="N86" s="15" t="n"/>
      <c r="O86" s="15" t="n"/>
      <c r="P86" s="15" t="n"/>
    </row>
    <row r="87">
      <c r="A87" s="17">
        <f>IF(ROW()&lt;=4,"",TEXT(ROW()-4,"GAP-000"))</f>
        <v/>
      </c>
      <c r="B87" s="15" t="n"/>
      <c r="C87" s="15" t="n"/>
      <c r="D87" s="15" t="n"/>
      <c r="E87" s="15" t="n"/>
      <c r="F87" s="15" t="n"/>
      <c r="G87" s="15" t="n"/>
      <c r="H87" s="15" t="n"/>
      <c r="I87" s="15" t="n"/>
      <c r="J87" s="15" t="n"/>
      <c r="K87" s="16" t="n"/>
      <c r="L87" s="15" t="n"/>
      <c r="M87" s="15" t="n"/>
      <c r="N87" s="15" t="n"/>
      <c r="O87" s="15" t="n"/>
      <c r="P87" s="15" t="n"/>
    </row>
    <row r="88">
      <c r="A88" s="17">
        <f>IF(ROW()&lt;=4,"",TEXT(ROW()-4,"GAP-000"))</f>
        <v/>
      </c>
      <c r="B88" s="15" t="n"/>
      <c r="C88" s="15" t="n"/>
      <c r="D88" s="15" t="n"/>
      <c r="E88" s="15" t="n"/>
      <c r="F88" s="15" t="n"/>
      <c r="G88" s="15" t="n"/>
      <c r="H88" s="15" t="n"/>
      <c r="I88" s="15" t="n"/>
      <c r="J88" s="15" t="n"/>
      <c r="K88" s="16" t="n"/>
      <c r="L88" s="15" t="n"/>
      <c r="M88" s="15" t="n"/>
      <c r="N88" s="15" t="n"/>
      <c r="O88" s="15" t="n"/>
      <c r="P88" s="15" t="n"/>
    </row>
    <row r="89">
      <c r="A89" s="17">
        <f>IF(ROW()&lt;=4,"",TEXT(ROW()-4,"GAP-000"))</f>
        <v/>
      </c>
      <c r="B89" s="15" t="n"/>
      <c r="C89" s="15" t="n"/>
      <c r="D89" s="15" t="n"/>
      <c r="E89" s="15" t="n"/>
      <c r="F89" s="15" t="n"/>
      <c r="G89" s="15" t="n"/>
      <c r="H89" s="15" t="n"/>
      <c r="I89" s="15" t="n"/>
      <c r="J89" s="15" t="n"/>
      <c r="K89" s="16" t="n"/>
      <c r="L89" s="15" t="n"/>
      <c r="M89" s="15" t="n"/>
      <c r="N89" s="15" t="n"/>
      <c r="O89" s="15" t="n"/>
      <c r="P89" s="15" t="n"/>
    </row>
    <row r="90">
      <c r="A90" s="17">
        <f>IF(ROW()&lt;=4,"",TEXT(ROW()-4,"GAP-000"))</f>
        <v/>
      </c>
      <c r="B90" s="15" t="n"/>
      <c r="C90" s="15" t="n"/>
      <c r="D90" s="15" t="n"/>
      <c r="E90" s="15" t="n"/>
      <c r="F90" s="15" t="n"/>
      <c r="G90" s="15" t="n"/>
      <c r="H90" s="15" t="n"/>
      <c r="I90" s="15" t="n"/>
      <c r="J90" s="15" t="n"/>
      <c r="K90" s="16" t="n"/>
      <c r="L90" s="15" t="n"/>
      <c r="M90" s="15" t="n"/>
      <c r="N90" s="15" t="n"/>
      <c r="O90" s="15" t="n"/>
      <c r="P90" s="15" t="n"/>
    </row>
    <row r="91">
      <c r="A91" s="17">
        <f>IF(ROW()&lt;=4,"",TEXT(ROW()-4,"GAP-000"))</f>
        <v/>
      </c>
      <c r="B91" s="15" t="n"/>
      <c r="C91" s="15" t="n"/>
      <c r="D91" s="15" t="n"/>
      <c r="E91" s="15" t="n"/>
      <c r="F91" s="15" t="n"/>
      <c r="G91" s="15" t="n"/>
      <c r="H91" s="15" t="n"/>
      <c r="I91" s="15" t="n"/>
      <c r="J91" s="15" t="n"/>
      <c r="K91" s="16" t="n"/>
      <c r="L91" s="15" t="n"/>
      <c r="M91" s="15" t="n"/>
      <c r="N91" s="15" t="n"/>
      <c r="O91" s="15" t="n"/>
      <c r="P91" s="15" t="n"/>
    </row>
    <row r="92">
      <c r="A92" s="17">
        <f>IF(ROW()&lt;=4,"",TEXT(ROW()-4,"GAP-000"))</f>
        <v/>
      </c>
      <c r="B92" s="15" t="n"/>
      <c r="C92" s="15" t="n"/>
      <c r="D92" s="15" t="n"/>
      <c r="E92" s="15" t="n"/>
      <c r="F92" s="15" t="n"/>
      <c r="G92" s="15" t="n"/>
      <c r="H92" s="15" t="n"/>
      <c r="I92" s="15" t="n"/>
      <c r="J92" s="15" t="n"/>
      <c r="K92" s="16" t="n"/>
      <c r="L92" s="15" t="n"/>
      <c r="M92" s="15" t="n"/>
      <c r="N92" s="15" t="n"/>
      <c r="O92" s="15" t="n"/>
      <c r="P92" s="15" t="n"/>
    </row>
    <row r="93">
      <c r="A93" s="17">
        <f>IF(ROW()&lt;=4,"",TEXT(ROW()-4,"GAP-000"))</f>
        <v/>
      </c>
      <c r="B93" s="15" t="n"/>
      <c r="C93" s="15" t="n"/>
      <c r="D93" s="15" t="n"/>
      <c r="E93" s="15" t="n"/>
      <c r="F93" s="15" t="n"/>
      <c r="G93" s="15" t="n"/>
      <c r="H93" s="15" t="n"/>
      <c r="I93" s="15" t="n"/>
      <c r="J93" s="15" t="n"/>
      <c r="K93" s="16" t="n"/>
      <c r="L93" s="15" t="n"/>
      <c r="M93" s="15" t="n"/>
      <c r="N93" s="15" t="n"/>
      <c r="O93" s="15" t="n"/>
      <c r="P93" s="15" t="n"/>
    </row>
    <row r="94">
      <c r="A94" s="17">
        <f>IF(ROW()&lt;=4,"",TEXT(ROW()-4,"GAP-000"))</f>
        <v/>
      </c>
      <c r="B94" s="15" t="n"/>
      <c r="C94" s="15" t="n"/>
      <c r="D94" s="15" t="n"/>
      <c r="E94" s="15" t="n"/>
      <c r="F94" s="15" t="n"/>
      <c r="G94" s="15" t="n"/>
      <c r="H94" s="15" t="n"/>
      <c r="I94" s="15" t="n"/>
      <c r="J94" s="15" t="n"/>
      <c r="K94" s="16" t="n"/>
      <c r="L94" s="15" t="n"/>
      <c r="M94" s="15" t="n"/>
      <c r="N94" s="15" t="n"/>
      <c r="O94" s="15" t="n"/>
      <c r="P94" s="15" t="n"/>
    </row>
    <row r="95">
      <c r="A95" s="17">
        <f>IF(ROW()&lt;=4,"",TEXT(ROW()-4,"GAP-000"))</f>
        <v/>
      </c>
      <c r="B95" s="15" t="n"/>
      <c r="C95" s="15" t="n"/>
      <c r="D95" s="15" t="n"/>
      <c r="E95" s="15" t="n"/>
      <c r="F95" s="15" t="n"/>
      <c r="G95" s="15" t="n"/>
      <c r="H95" s="15" t="n"/>
      <c r="I95" s="15" t="n"/>
      <c r="J95" s="15" t="n"/>
      <c r="K95" s="16" t="n"/>
      <c r="L95" s="15" t="n"/>
      <c r="M95" s="15" t="n"/>
      <c r="N95" s="15" t="n"/>
      <c r="O95" s="15" t="n"/>
      <c r="P95" s="15" t="n"/>
    </row>
    <row r="96">
      <c r="A96" s="17">
        <f>IF(ROW()&lt;=4,"",TEXT(ROW()-4,"GAP-000"))</f>
        <v/>
      </c>
      <c r="B96" s="15" t="n"/>
      <c r="C96" s="15" t="n"/>
      <c r="D96" s="15" t="n"/>
      <c r="E96" s="15" t="n"/>
      <c r="F96" s="15" t="n"/>
      <c r="G96" s="15" t="n"/>
      <c r="H96" s="15" t="n"/>
      <c r="I96" s="15" t="n"/>
      <c r="J96" s="15" t="n"/>
      <c r="K96" s="16" t="n"/>
      <c r="L96" s="15" t="n"/>
      <c r="M96" s="15" t="n"/>
      <c r="N96" s="15" t="n"/>
      <c r="O96" s="15" t="n"/>
      <c r="P96" s="15" t="n"/>
    </row>
    <row r="97">
      <c r="A97" s="17">
        <f>IF(ROW()&lt;=4,"",TEXT(ROW()-4,"GAP-000"))</f>
        <v/>
      </c>
      <c r="B97" s="15" t="n"/>
      <c r="C97" s="15" t="n"/>
      <c r="D97" s="15" t="n"/>
      <c r="E97" s="15" t="n"/>
      <c r="F97" s="15" t="n"/>
      <c r="G97" s="15" t="n"/>
      <c r="H97" s="15" t="n"/>
      <c r="I97" s="15" t="n"/>
      <c r="J97" s="15" t="n"/>
      <c r="K97" s="16" t="n"/>
      <c r="L97" s="15" t="n"/>
      <c r="M97" s="15" t="n"/>
      <c r="N97" s="15" t="n"/>
      <c r="O97" s="15" t="n"/>
      <c r="P97" s="15" t="n"/>
    </row>
    <row r="98">
      <c r="A98" s="17">
        <f>IF(ROW()&lt;=4,"",TEXT(ROW()-4,"GAP-000"))</f>
        <v/>
      </c>
      <c r="B98" s="15" t="n"/>
      <c r="C98" s="15" t="n"/>
      <c r="D98" s="15" t="n"/>
      <c r="E98" s="15" t="n"/>
      <c r="F98" s="15" t="n"/>
      <c r="G98" s="15" t="n"/>
      <c r="H98" s="15" t="n"/>
      <c r="I98" s="15" t="n"/>
      <c r="J98" s="15" t="n"/>
      <c r="K98" s="16" t="n"/>
      <c r="L98" s="15" t="n"/>
      <c r="M98" s="15" t="n"/>
      <c r="N98" s="15" t="n"/>
      <c r="O98" s="15" t="n"/>
      <c r="P98" s="15" t="n"/>
    </row>
    <row r="99">
      <c r="A99" s="17">
        <f>IF(ROW()&lt;=4,"",TEXT(ROW()-4,"GAP-000"))</f>
        <v/>
      </c>
      <c r="B99" s="15" t="n"/>
      <c r="C99" s="15" t="n"/>
      <c r="D99" s="15" t="n"/>
      <c r="E99" s="15" t="n"/>
      <c r="F99" s="15" t="n"/>
      <c r="G99" s="15" t="n"/>
      <c r="H99" s="15" t="n"/>
      <c r="I99" s="15" t="n"/>
      <c r="J99" s="15" t="n"/>
      <c r="K99" s="16" t="n"/>
      <c r="L99" s="15" t="n"/>
      <c r="M99" s="15" t="n"/>
      <c r="N99" s="15" t="n"/>
      <c r="O99" s="15" t="n"/>
      <c r="P99" s="15" t="n"/>
    </row>
    <row r="100">
      <c r="A100" s="17">
        <f>IF(ROW()&lt;=4,"",TEXT(ROW()-4,"GAP-000"))</f>
        <v/>
      </c>
      <c r="B100" s="15" t="n"/>
      <c r="C100" s="15" t="n"/>
      <c r="D100" s="15" t="n"/>
      <c r="E100" s="15" t="n"/>
      <c r="F100" s="15" t="n"/>
      <c r="G100" s="15" t="n"/>
      <c r="H100" s="15" t="n"/>
      <c r="I100" s="15" t="n"/>
      <c r="J100" s="15" t="n"/>
      <c r="K100" s="16" t="n"/>
      <c r="L100" s="15" t="n"/>
      <c r="M100" s="15" t="n"/>
      <c r="N100" s="15" t="n"/>
      <c r="O100" s="15" t="n"/>
      <c r="P100" s="15" t="n"/>
    </row>
    <row r="101">
      <c r="A101" s="17">
        <f>IF(ROW()&lt;=4,"",TEXT(ROW()-4,"GAP-000"))</f>
        <v/>
      </c>
      <c r="B101" s="15" t="n"/>
      <c r="C101" s="15" t="n"/>
      <c r="D101" s="15" t="n"/>
      <c r="E101" s="15" t="n"/>
      <c r="F101" s="15" t="n"/>
      <c r="G101" s="15" t="n"/>
      <c r="H101" s="15" t="n"/>
      <c r="I101" s="15" t="n"/>
      <c r="J101" s="15" t="n"/>
      <c r="K101" s="16" t="n"/>
      <c r="L101" s="15" t="n"/>
      <c r="M101" s="15" t="n"/>
      <c r="N101" s="15" t="n"/>
      <c r="O101" s="15" t="n"/>
      <c r="P101" s="15" t="n"/>
    </row>
    <row r="102">
      <c r="A102" s="17">
        <f>IF(ROW()&lt;=4,"",TEXT(ROW()-4,"GAP-000"))</f>
        <v/>
      </c>
      <c r="B102" s="15" t="n"/>
      <c r="C102" s="15" t="n"/>
      <c r="D102" s="15" t="n"/>
      <c r="E102" s="15" t="n"/>
      <c r="F102" s="15" t="n"/>
      <c r="G102" s="15" t="n"/>
      <c r="H102" s="15" t="n"/>
      <c r="I102" s="15" t="n"/>
      <c r="J102" s="15" t="n"/>
      <c r="K102" s="16" t="n"/>
      <c r="L102" s="15" t="n"/>
      <c r="M102" s="15" t="n"/>
      <c r="N102" s="15" t="n"/>
      <c r="O102" s="15" t="n"/>
      <c r="P102" s="15" t="n"/>
    </row>
    <row r="103">
      <c r="A103" s="17">
        <f>IF(ROW()&lt;=4,"",TEXT(ROW()-4,"GAP-000"))</f>
        <v/>
      </c>
      <c r="B103" s="15" t="n"/>
      <c r="C103" s="15" t="n"/>
      <c r="D103" s="15" t="n"/>
      <c r="E103" s="15" t="n"/>
      <c r="F103" s="15" t="n"/>
      <c r="G103" s="15" t="n"/>
      <c r="H103" s="15" t="n"/>
      <c r="I103" s="15" t="n"/>
      <c r="J103" s="15" t="n"/>
      <c r="K103" s="16" t="n"/>
      <c r="L103" s="15" t="n"/>
      <c r="M103" s="15" t="n"/>
      <c r="N103" s="15" t="n"/>
      <c r="O103" s="15" t="n"/>
      <c r="P103" s="15" t="n"/>
    </row>
    <row r="104">
      <c r="A104" s="17">
        <f>IF(ROW()&lt;=4,"",TEXT(ROW()-4,"GAP-000"))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4">
    <dataValidation sqref="D5:D104" showDropDown="0" showInputMessage="0" showErrorMessage="1" allowBlank="1" errorTitle="Invalid Entry" error="Please select from dropdown" type="list">
      <formula1>"Role-Definition,RACI-Matrix,Role-Assignment,Training,Access-Alignment,Documentation,Other"</formula1>
    </dataValidation>
    <dataValidation sqref="F5:F104" showDropDown="0" showInputMessage="0" showErrorMessage="1" allowBlank="1" errorTitle="Invalid Entry" error="Please select from dropdown" type="list">
      <formula1>"Critical,High,Medium,Low"</formula1>
    </dataValidation>
    <dataValidation sqref="L5:L5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ISMS-IMP-A.5.1-2-6.1-2.S2 — Roles Responsibilities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ROLES &amp; RESPONSIBILITIES ASSESSMENT — SUMMARY DASHBOARD</t>
        </is>
      </c>
    </row>
    <row r="2">
      <c r="A2" s="25" t="inlineStr">
        <is>
          <t>ISO/IEC 27001:2022 | Control A.5.2 | Information security roles assignment and coverage summary</t>
        </is>
      </c>
    </row>
    <row r="4">
      <c r="A4" s="26" t="inlineStr">
        <is>
          <t>TABLE 1: ROLE STATUS DISTRIBUTION</t>
        </is>
      </c>
      <c r="B4" s="27" t="n"/>
      <c r="C4" s="27" t="n"/>
      <c r="D4" s="27" t="n"/>
      <c r="E4" s="27" t="n"/>
      <c r="F4" s="28" t="n"/>
    </row>
    <row r="5">
      <c r="A5" s="29" t="inlineStr">
        <is>
          <t>Role Inventory — Column K (Role Status), rows 5:54</t>
        </is>
      </c>
      <c r="B5" s="27" t="n"/>
      <c r="C5" s="27" t="n"/>
      <c r="D5" s="27" t="n"/>
      <c r="E5" s="27" t="n"/>
      <c r="F5" s="28" t="n"/>
    </row>
    <row r="6">
      <c r="A6" s="30" t="inlineStr">
        <is>
          <t>Status</t>
        </is>
      </c>
      <c r="B6" s="30" t="inlineStr">
        <is>
          <t>Count</t>
        </is>
      </c>
      <c r="C6" s="30" t="inlineStr">
        <is>
          <t>% of Total</t>
        </is>
      </c>
    </row>
    <row r="7">
      <c r="A7" s="31" t="inlineStr">
        <is>
          <t>Active</t>
        </is>
      </c>
      <c r="B7" s="32">
        <f>COUNTIF('Role Inventory'!K5:K54,"Active")</f>
        <v/>
      </c>
      <c r="C7" s="32">
        <f>IF($B$12=0,"—",TEXT(B7/$B$12,"0.0%"))</f>
        <v/>
      </c>
    </row>
    <row r="8">
      <c r="A8" s="31" t="inlineStr">
        <is>
          <t>Draft</t>
        </is>
      </c>
      <c r="B8" s="32">
        <f>COUNTIF('Role Inventory'!K5:K54,"Draft")</f>
        <v/>
      </c>
      <c r="C8" s="32">
        <f>IF($B$12=0,"—",TEXT(B8/$B$12,"0.0%"))</f>
        <v/>
      </c>
    </row>
    <row r="9">
      <c r="A9" s="31" t="inlineStr">
        <is>
          <t>Under-Review</t>
        </is>
      </c>
      <c r="B9" s="32">
        <f>COUNTIF('Role Inventory'!K5:K54,"Under-Review")</f>
        <v/>
      </c>
      <c r="C9" s="32">
        <f>IF($B$12=0,"—",TEXT(B9/$B$12,"0.0%"))</f>
        <v/>
      </c>
    </row>
    <row r="10">
      <c r="A10" s="31" t="inlineStr">
        <is>
          <t>Retired</t>
        </is>
      </c>
      <c r="B10" s="32">
        <f>COUNTIF('Role Inventory'!K5:K54,"Retired")</f>
        <v/>
      </c>
      <c r="C10" s="32">
        <f>IF($B$12=0,"—",TEXT(B10/$B$12,"0.0%"))</f>
        <v/>
      </c>
    </row>
    <row r="11">
      <c r="A11" s="31" t="inlineStr">
        <is>
          <t>Proposed</t>
        </is>
      </c>
      <c r="B11" s="32">
        <f>COUNTIF('Role Inventory'!K5:K54,"Proposed")</f>
        <v/>
      </c>
      <c r="C11" s="32">
        <f>IF($B$12=0,"—",TEXT(B11/$B$12,"0.0%"))</f>
        <v/>
      </c>
    </row>
    <row r="12">
      <c r="A12" s="33" t="inlineStr">
        <is>
          <t>TOTAL</t>
        </is>
      </c>
      <c r="B12" s="34">
        <f>SUM(B7:B11)</f>
        <v/>
      </c>
      <c r="C12" s="34" t="inlineStr">
        <is>
          <t>—</t>
        </is>
      </c>
    </row>
    <row r="14">
      <c r="A14" s="26" t="inlineStr">
        <is>
          <t>TABLE 2: KEY METRICS</t>
        </is>
      </c>
      <c r="B14" s="27" t="n"/>
      <c r="C14" s="27" t="n"/>
      <c r="D14" s="27" t="n"/>
      <c r="E14" s="27" t="n"/>
      <c r="F14" s="28" t="n"/>
    </row>
    <row r="15">
      <c r="A15" s="35" t="inlineStr">
        <is>
          <t>KPI Metric</t>
        </is>
      </c>
      <c r="B15" s="35" t="inlineStr">
        <is>
          <t>Value</t>
        </is>
      </c>
      <c r="C15" s="36" t="inlineStr">
        <is>
          <t>Notes</t>
        </is>
      </c>
      <c r="D15" s="27" t="n"/>
      <c r="E15" s="27" t="n"/>
      <c r="F15" s="28" t="n"/>
    </row>
    <row r="16">
      <c r="A16" s="31" t="inlineStr">
        <is>
          <t>Total Roles Defined</t>
        </is>
      </c>
      <c r="B16" s="32">
        <f>COUNTA('Role Inventory'!A5:A54)</f>
        <v/>
      </c>
      <c r="C16" s="31" t="inlineStr">
        <is>
          <t>All roles catalogued in Role Inventory</t>
        </is>
      </c>
      <c r="D16" s="27" t="n"/>
      <c r="E16" s="27" t="n"/>
      <c r="F16" s="28" t="n"/>
    </row>
    <row r="17">
      <c r="A17" s="31" t="inlineStr">
        <is>
          <t>Active Roles</t>
        </is>
      </c>
      <c r="B17" s="32">
        <f>COUNTIF('Role Inventory'!K5:K54,"Active")</f>
        <v/>
      </c>
      <c r="C17" s="31" t="inlineStr">
        <is>
          <t>Roles with Active assignment status</t>
        </is>
      </c>
      <c r="D17" s="27" t="n"/>
      <c r="E17" s="27" t="n"/>
      <c r="F17" s="28" t="n"/>
    </row>
    <row r="18">
      <c r="A18" s="31" t="inlineStr">
        <is>
          <t>Critical Roles</t>
        </is>
      </c>
      <c r="B18" s="32">
        <f>COUNTIF('Role Inventory'!L5:L54,"Critical")</f>
        <v/>
      </c>
      <c r="C18" s="31" t="inlineStr">
        <is>
          <t>Roles flagged as Critical criticality in column L</t>
        </is>
      </c>
      <c r="D18" s="27" t="n"/>
      <c r="E18" s="27" t="n"/>
      <c r="F18" s="28" t="n"/>
    </row>
    <row r="19">
      <c r="A19" s="31" t="inlineStr">
        <is>
          <t>Roles Without Backup</t>
        </is>
      </c>
      <c r="B19" s="32">
        <f>COUNTIF('Role Inventory'!M5:M54,"No")</f>
        <v/>
      </c>
      <c r="C19" s="31" t="inlineStr">
        <is>
          <t>Critical/High roles where backup_required is No</t>
        </is>
      </c>
      <c r="D19" s="27" t="n"/>
      <c r="E19" s="27" t="n"/>
      <c r="F19" s="28" t="n"/>
    </row>
    <row r="20">
      <c r="A20" s="31" t="inlineStr">
        <is>
          <t>RACI Activities Assessed</t>
        </is>
      </c>
      <c r="B20" s="32">
        <f>COUNTA('RACI Matrix Assessment'!A6:A55)</f>
        <v/>
      </c>
      <c r="C20" s="31" t="inlineStr">
        <is>
          <t>Total security activities assessed in RACI Matrix</t>
        </is>
      </c>
      <c r="D20" s="27" t="n"/>
      <c r="E20" s="27" t="n"/>
      <c r="F20" s="28" t="n"/>
    </row>
    <row r="21">
      <c r="A21" s="31" t="inlineStr">
        <is>
          <t>RACI Complete</t>
        </is>
      </c>
      <c r="B21" s="32">
        <f>COUNTIF('RACI Matrix Assessment'!M6:M55,"Complete")</f>
        <v/>
      </c>
      <c r="C21" s="31" t="inlineStr">
        <is>
          <t>Activities with complete RACI assignment (score ≥85%)</t>
        </is>
      </c>
      <c r="D21" s="27" t="n"/>
      <c r="E21" s="27" t="n"/>
      <c r="F21" s="28" t="n"/>
    </row>
    <row r="22">
      <c r="A22" s="31" t="inlineStr">
        <is>
          <t>RACI Conflicts</t>
        </is>
      </c>
      <c r="B22" s="32">
        <f>COUNTIF('RACI Matrix Assessment'!N6:N55,"Yes")</f>
        <v/>
      </c>
      <c r="C22" s="31" t="inlineStr">
        <is>
          <t>Activities with multiple accountables or missing R/A</t>
        </is>
      </c>
      <c r="D22" s="27" t="n"/>
      <c r="E22" s="27" t="n"/>
      <c r="F22" s="28" t="n"/>
    </row>
    <row r="23">
      <c r="A23" s="31" t="inlineStr">
        <is>
          <t>Training Compliant</t>
        </is>
      </c>
      <c r="B23" s="32">
        <f>COUNTIF('Training Assessment'!N5:N104,"Compliant")</f>
        <v/>
      </c>
      <c r="C23" s="31" t="inlineStr">
        <is>
          <t>Role holders with all required training complete</t>
        </is>
      </c>
      <c r="D23" s="27" t="n"/>
      <c r="E23" s="27" t="n"/>
      <c r="F23" s="28" t="n"/>
    </row>
    <row r="24">
      <c r="A24" s="31" t="inlineStr">
        <is>
          <t>Training Non-Compliant</t>
        </is>
      </c>
      <c r="B24" s="32">
        <f>COUNTIF('Training Assessment'!N5:N104,"Non-Compliant")</f>
        <v/>
      </c>
      <c r="C24" s="31" t="inlineStr">
        <is>
          <t>Role holders with overdue or not-started training</t>
        </is>
      </c>
      <c r="D24" s="27" t="n"/>
      <c r="E24" s="27" t="n"/>
      <c r="F24" s="28" t="n"/>
    </row>
    <row r="25">
      <c r="A25" s="31" t="inlineStr">
        <is>
          <t>Access Aligned</t>
        </is>
      </c>
      <c r="B25" s="32">
        <f>COUNTIF('Access Alignment Review'!M5:M104,"Aligned")</f>
        <v/>
      </c>
      <c r="C25" s="31" t="inlineStr">
        <is>
          <t>Role holders with fully aligned access permissions</t>
        </is>
      </c>
      <c r="D25" s="27" t="n"/>
      <c r="E25" s="27" t="n"/>
      <c r="F25" s="28" t="n"/>
    </row>
    <row r="26">
      <c r="A26" s="31" t="inlineStr">
        <is>
          <t>Access Misaligned</t>
        </is>
      </c>
      <c r="B26" s="32">
        <f>COUNTIF('Access Alignment Review'!M5:M104,"Misaligned")</f>
        <v/>
      </c>
      <c r="C26" s="31" t="inlineStr">
        <is>
          <t>Role holders with access conflicts or excess privileges</t>
        </is>
      </c>
      <c r="D26" s="27" t="n"/>
      <c r="E26" s="27" t="n"/>
      <c r="F26" s="28" t="n"/>
    </row>
    <row r="27">
      <c r="A27" s="31" t="inlineStr">
        <is>
          <t>Critical Gaps Identified</t>
        </is>
      </c>
      <c r="B27" s="32">
        <f>COUNTIF('Gap Analysis'!F5:F104,"Critical")</f>
        <v/>
      </c>
      <c r="C27" s="31" t="inlineStr">
        <is>
          <t>Critical-risk gaps in Gap Analysis sheet</t>
        </is>
      </c>
      <c r="D27" s="27" t="n"/>
      <c r="E27" s="27" t="n"/>
      <c r="F27" s="28" t="n"/>
    </row>
    <row r="28">
      <c r="A28" s="31" t="inlineStr">
        <is>
          <t>Open Remediation Actions</t>
        </is>
      </c>
      <c r="B28" s="32">
        <f>COUNTIF('Gap Analysis'!N5:N104,"Not-Started")+COUNTIF('Gap Analysis'!N5:N104,"In-Progress")</f>
        <v/>
      </c>
      <c r="C28" s="31" t="inlineStr">
        <is>
          <t>Gaps not yet resolved (Not-Started + In-Progress)</t>
        </is>
      </c>
      <c r="D28" s="27" t="n"/>
      <c r="E28" s="27" t="n"/>
      <c r="F28" s="28" t="n"/>
    </row>
    <row r="30">
      <c r="A30" s="37" t="inlineStr">
        <is>
          <t>TABLE 3: CRITICAL FINDINGS</t>
        </is>
      </c>
      <c r="B30" s="27" t="n"/>
      <c r="C30" s="27" t="n"/>
      <c r="D30" s="27" t="n"/>
      <c r="E30" s="27" t="n"/>
      <c r="F30" s="28" t="n"/>
    </row>
    <row r="31">
      <c r="A31" s="35" t="inlineStr">
        <is>
          <t>Finding</t>
        </is>
      </c>
      <c r="B31" s="35" t="inlineStr">
        <is>
          <t>Count</t>
        </is>
      </c>
      <c r="C31" s="36" t="inlineStr">
        <is>
          <t>Action Required</t>
        </is>
      </c>
      <c r="D31" s="27" t="n"/>
      <c r="E31" s="27" t="n"/>
      <c r="F31" s="28" t="n"/>
    </row>
    <row r="32">
      <c r="A32" s="38" t="inlineStr">
        <is>
          <t>Critical Roles Without Backup</t>
        </is>
      </c>
      <c r="B32" s="39">
        <f>COUNTIF('Role Inventory'!M5:M54,"No")</f>
        <v/>
      </c>
      <c r="C32" s="40" t="inlineStr">
        <is>
          <t>Assign backup personnel for all critical roles immediately</t>
        </is>
      </c>
      <c r="D32" s="27" t="n"/>
      <c r="E32" s="27" t="n"/>
      <c r="F32" s="28" t="n"/>
    </row>
    <row r="33">
      <c r="A33" s="38" t="inlineStr">
        <is>
          <t>High-Criticality Roles</t>
        </is>
      </c>
      <c r="B33" s="39">
        <f>COUNTIF('Role Inventory'!L5:L54,"High")</f>
        <v/>
      </c>
      <c r="C33" s="40" t="inlineStr">
        <is>
          <t>Review high-criticality roles — confirm backup and documentation</t>
        </is>
      </c>
      <c r="D33" s="27" t="n"/>
      <c r="E33" s="27" t="n"/>
      <c r="F33" s="28" t="n"/>
    </row>
    <row r="34">
      <c r="A34" s="38" t="inlineStr">
        <is>
          <t>RACI Conflicts</t>
        </is>
      </c>
      <c r="B34" s="39">
        <f>COUNTIF('RACI Matrix Assessment'!N6:N55,"Yes")</f>
        <v/>
      </c>
      <c r="C34" s="40" t="inlineStr">
        <is>
          <t>Resolve all RACI conflicts — assign single accountable per activity</t>
        </is>
      </c>
      <c r="D34" s="27" t="n"/>
      <c r="E34" s="27" t="n"/>
      <c r="F34" s="28" t="n"/>
    </row>
    <row r="35">
      <c r="A35" s="38" t="inlineStr">
        <is>
          <t>Training Non-Compliant</t>
        </is>
      </c>
      <c r="B35" s="39">
        <f>COUNTIF('Training Assessment'!N5:N104,"Non-Compliant")</f>
        <v/>
      </c>
      <c r="C35" s="40" t="inlineStr">
        <is>
          <t>Initiate training for all non-compliant role holders immediately</t>
        </is>
      </c>
      <c r="D35" s="27" t="n"/>
      <c r="E35" s="27" t="n"/>
      <c r="F35" s="28" t="n"/>
    </row>
    <row r="36">
      <c r="A36" s="38" t="inlineStr">
        <is>
          <t>Access Misaligned</t>
        </is>
      </c>
      <c r="B36" s="39">
        <f>COUNTIF('Access Alignment Review'!M5:M104,"Misaligned")</f>
        <v/>
      </c>
      <c r="C36" s="40" t="inlineStr">
        <is>
          <t>Review and correct all access misalignment and excess privileges</t>
        </is>
      </c>
      <c r="D36" s="27" t="n"/>
      <c r="E36" s="27" t="n"/>
      <c r="F36" s="28" t="n"/>
    </row>
  </sheetData>
  <mergeCells count="26">
    <mergeCell ref="C17:F17"/>
    <mergeCell ref="C23:F23"/>
    <mergeCell ref="C32:F32"/>
    <mergeCell ref="C19:F19"/>
    <mergeCell ref="C28:F28"/>
    <mergeCell ref="A2:F2"/>
    <mergeCell ref="C18:F18"/>
    <mergeCell ref="A14:F14"/>
    <mergeCell ref="A5:F5"/>
    <mergeCell ref="C34:F34"/>
    <mergeCell ref="C15:F15"/>
    <mergeCell ref="C33:F33"/>
    <mergeCell ref="A4:F4"/>
    <mergeCell ref="C24:F24"/>
    <mergeCell ref="C35:F35"/>
    <mergeCell ref="C20:F20"/>
    <mergeCell ref="C26:F26"/>
    <mergeCell ref="C16:F16"/>
    <mergeCell ref="C25:F25"/>
    <mergeCell ref="A30:F30"/>
    <mergeCell ref="C22:F22"/>
    <mergeCell ref="C31:F31"/>
    <mergeCell ref="A1:F1"/>
    <mergeCell ref="C21:F21"/>
    <mergeCell ref="C27:F27"/>
    <mergeCell ref="C36:F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Roles and Responsibilities</t>
        </is>
      </c>
      <c r="B2" s="6" t="n"/>
      <c r="C2" s="6" t="n"/>
      <c r="D2" s="6" t="n"/>
      <c r="E2" s="6" t="n"/>
    </row>
    <row r="3">
      <c r="A3" s="43" t="inlineStr">
        <is>
          <t>ASSESSMENT SUMMARY</t>
        </is>
      </c>
      <c r="B3" s="6" t="n"/>
      <c r="C3" s="6" t="n"/>
      <c r="D3" s="6" t="n"/>
      <c r="E3" s="6" t="n"/>
    </row>
    <row r="4">
      <c r="A4" s="3" t="inlineStr">
        <is>
          <t>Document:</t>
        </is>
      </c>
      <c r="B4" s="6" t="inlineStr">
        <is>
          <t>ISMS-IMP-A.5.1-2-6.1-2.S2 - Roles Responsibilities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ISMS-IMP-A.5.1-2-6.1-2.S2 — Roles Responsibilities Assessment Workbook</dc:title>
  <dc:description xmlns:dc="http://purl.org/dc/elements/1.1/">ISMS Implementation Workbook — ISMS-IMP-A.5.1-2-6.1-2.S2</dc:description>
  <dc:subject xmlns:dc="http://purl.org/dc/elements/1.1/">ISO/IEC 27001:2022 — Control A.5.1-2-6.1-2: Information Security Roles and Responsibilities</dc:subject>
  <dcterms:created xmlns:dcterms="http://purl.org/dc/terms/" xmlns:xsi="http://www.w3.org/2001/XMLSchema-instance" xsi:type="dcterms:W3CDTF">2026-03-10T18:48:31Z</dcterms:created>
  <dcterms:modified xmlns:dcterms="http://purl.org/dc/terms/" xmlns:xsi="http://www.w3.org/2001/XMLSchema-instance" xsi:type="dcterms:W3CDTF">2026-03-10T18:48:32Z</dcterms:modified>
  <cp:keywords>Roles, Responsibilities, RACI, ISMS, ISO27001, A.5.2, A.6.1</cp:keywords>
</cp:coreProperties>
</file>