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main 1 - Authority" sheetId="2" state="visible" r:id="rId2"/>
    <sheet xmlns:r="http://schemas.openxmlformats.org/officeDocument/2006/relationships" name="Domain 2 - Applicability" sheetId="3" state="visible" r:id="rId3"/>
    <sheet xmlns:r="http://schemas.openxmlformats.org/officeDocument/2006/relationships" name="Domain 3 - Exceptions" sheetId="4" state="visible" r:id="rId4"/>
    <sheet xmlns:r="http://schemas.openxmlformats.org/officeDocument/2006/relationships" name="Domain 4 - Change Mgmt" sheetId="5" state="visible" r:id="rId5"/>
    <sheet xmlns:r="http://schemas.openxmlformats.org/officeDocument/2006/relationships" name="Domain 5 - Governance Review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4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4" fillId="6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8" borderId="1" pivotButton="0" quotePrefix="0" xfId="0"/>
    <xf numFmtId="0" fontId="10" fillId="6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164" fontId="12" fillId="10" borderId="1" applyAlignment="1" pivotButton="0" quotePrefix="0" xfId="0">
      <alignment horizontal="center"/>
    </xf>
    <xf numFmtId="0" fontId="12" fillId="0" borderId="1" pivotButton="0" quotePrefix="0" xfId="0"/>
    <xf numFmtId="165" fontId="0" fillId="8" borderId="1" pivotButton="0" quotePrefix="0" xfId="0"/>
    <xf numFmtId="0" fontId="10" fillId="11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9" borderId="1" pivotButton="0" quotePrefix="0" xfId="0"/>
    <xf numFmtId="0" fontId="10" fillId="6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ISMS-CHK-POL-01  -  Governance Framework Compliance Assessment
ISMS-POL-01: ISMS Governance and Decision-Making Framework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t="inlineStr">
        <is>
          <t>ISMS-CHK-POL-01</t>
        </is>
      </c>
    </row>
    <row r="5">
      <c r="A5" s="3" t="inlineStr">
        <is>
          <t>Assessment Area:</t>
        </is>
      </c>
      <c r="B5" t="inlineStr">
        <is>
          <t>Governance Framework Compliance Assessment</t>
        </is>
      </c>
    </row>
    <row r="6">
      <c r="A6" s="3" t="inlineStr">
        <is>
          <t>Related Policy:</t>
        </is>
      </c>
      <c r="B6" t="inlineStr">
        <is>
          <t>ISMS-POL-01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/>
    </row>
    <row r="9">
      <c r="A9" s="3" t="inlineStr">
        <is>
          <t>Completed By:</t>
        </is>
      </c>
      <c r="B9" s="4" t="inlineStr"/>
    </row>
    <row r="10">
      <c r="A10" s="3" t="inlineStr">
        <is>
          <t>Organisation:</t>
        </is>
      </c>
      <c r="B10" s="4" t="inlineStr"/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Instructions</t>
        </is>
      </c>
    </row>
    <row r="14">
      <c r="A14" t="inlineStr">
        <is>
          <t>1. Complete all assessment domains in order (Authority Boundaries → Governance Review).</t>
        </is>
      </c>
    </row>
    <row r="15">
      <c r="A15" t="inlineStr">
        <is>
          <t>2. Verify competence records for all decision-makers (Section 2.3 requirements).</t>
        </is>
      </c>
    </row>
    <row r="16">
      <c r="A16" t="inlineStr">
        <is>
          <t>3. Review POL-00 quarterly monitoring logs and triggered assessment records.</t>
        </is>
      </c>
    </row>
    <row r="17">
      <c r="A17" t="inlineStr">
        <is>
          <t>4. Check exception register for 5-step process compliance and approval signatures.</t>
        </is>
      </c>
    </row>
    <row r="18">
      <c r="A18" t="inlineStr">
        <is>
          <t>5. Verify change log entries follow 6-step process with appropriate approvals.</t>
        </is>
      </c>
    </row>
    <row r="19">
      <c r="A19" t="inlineStr">
        <is>
          <t>6. Confirm annual governance review was completed per Section 6.1 requirements.</t>
        </is>
      </c>
    </row>
    <row r="20">
      <c r="A20" t="inlineStr">
        <is>
          <t>7. All user-input cells are highlighted in yellow.</t>
        </is>
      </c>
    </row>
    <row r="21">
      <c r="A21" t="inlineStr">
        <is>
          <t>8. Use dropdown menus for compliance status (Compliant/Partial/Non-Compliant/N/A).</t>
        </is>
      </c>
    </row>
    <row r="22">
      <c r="A22" t="inlineStr">
        <is>
          <t>9. Submit the completed workbook for review and approval via the Approval Sign-Off sheet.</t>
        </is>
      </c>
    </row>
    <row r="23">
      <c r="A23" t="inlineStr">
        <is>
          <t>10. Retain this workbook as part of the ISMS evidence library.</t>
        </is>
      </c>
    </row>
    <row r="25">
      <c r="A25" s="2" t="inlineStr">
        <is>
          <t>ACCEPTABLE EVIDENCE (examples)</t>
        </is>
      </c>
    </row>
    <row r="26">
      <c r="A26" t="inlineStr">
        <is>
          <t>— Competence verification records (certifications, training, experience documentation)</t>
        </is>
      </c>
    </row>
    <row r="27">
      <c r="A27" t="inlineStr">
        <is>
          <t>— POL-00 quarterly monitoring logs with signatures</t>
        </is>
      </c>
    </row>
    <row r="28">
      <c r="A28" t="inlineStr">
        <is>
          <t>— Exception Register with 5-step process documentation</t>
        </is>
      </c>
    </row>
    <row r="29">
      <c r="A29" t="inlineStr">
        <is>
          <t>— Risk Acceptance Register with Executive Management signatures</t>
        </is>
      </c>
    </row>
    <row r="30">
      <c r="A30" t="inlineStr">
        <is>
          <t>— ISMS Change Log with change impact assessments and approvals</t>
        </is>
      </c>
    </row>
    <row r="31">
      <c r="A31" t="inlineStr">
        <is>
          <t>— Annual governance review meeting minutes and governance health report</t>
        </is>
      </c>
    </row>
    <row r="32">
      <c r="A32" t="inlineStr">
        <is>
          <t>— Lessons learned register with action tracking</t>
        </is>
      </c>
    </row>
    <row r="34">
      <c r="A34" s="2" t="inlineStr">
        <is>
          <t>Status Legend</t>
        </is>
      </c>
    </row>
    <row r="35">
      <c r="A35" s="5" t="inlineStr">
        <is>
          <t>Symbol</t>
        </is>
      </c>
      <c r="B35" s="5" t="inlineStr">
        <is>
          <t>Status</t>
        </is>
      </c>
      <c r="C35" s="5" t="inlineStr">
        <is>
          <t>Description</t>
        </is>
      </c>
    </row>
    <row r="36">
      <c r="A36" s="6" t="inlineStr">
        <is>
          <t>✅</t>
        </is>
      </c>
      <c r="B36" s="6" t="inlineStr">
        <is>
          <t>Compliant</t>
        </is>
      </c>
      <c r="C36" s="6" t="inlineStr">
        <is>
          <t>Requirement fully met with evidence</t>
        </is>
      </c>
    </row>
    <row r="37">
      <c r="A37" s="6" t="inlineStr">
        <is>
          <t>⚠️</t>
        </is>
      </c>
      <c r="B37" s="6" t="inlineStr">
        <is>
          <t>Partial</t>
        </is>
      </c>
      <c r="C37" s="6" t="inlineStr">
        <is>
          <t>Partially implemented, gaps identified</t>
        </is>
      </c>
    </row>
    <row r="38">
      <c r="A38" s="6" t="inlineStr">
        <is>
          <t>❌</t>
        </is>
      </c>
      <c r="B38" s="6" t="inlineStr">
        <is>
          <t>Non-Compliant</t>
        </is>
      </c>
      <c r="C38" s="6" t="inlineStr">
        <is>
          <t>Requirement not met, remediation needed</t>
        </is>
      </c>
    </row>
    <row r="39">
      <c r="A39" s="6" t="inlineStr">
        <is>
          <t>—</t>
        </is>
      </c>
      <c r="B39" s="6" t="inlineStr">
        <is>
          <t>N/A</t>
        </is>
      </c>
      <c r="C39" s="6" t="inlineStr">
        <is>
          <t>Not applicable to this organisation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35" customWidth="1" min="4" max="4"/>
    <col width="20" customWidth="1" min="5" max="5"/>
    <col width="15" customWidth="1" min="6" max="6"/>
    <col width="30" customWidth="1" min="7" max="7"/>
  </cols>
  <sheetData>
    <row r="1" ht="35" customHeight="1">
      <c r="A1" s="7" t="inlineStr">
        <is>
          <t>DOMAIN 1: AUTHORITY BOUNDARIES</t>
        </is>
      </c>
    </row>
    <row r="2">
      <c r="A2" s="8" t="inlineStr">
        <is>
          <t>ISMS-POL-01: ISMS Governance and Decision-Making Framework - Section 2</t>
        </is>
      </c>
    </row>
    <row r="3">
      <c r="A3" s="9" t="inlineStr">
        <is>
          <t>Req_ID</t>
        </is>
      </c>
      <c r="B3" s="9" t="inlineStr">
        <is>
          <t>Requirement</t>
        </is>
      </c>
      <c r="C3" s="9" t="inlineStr">
        <is>
          <t>Compliance_Status</t>
        </is>
      </c>
      <c r="D3" s="9" t="inlineStr">
        <is>
          <t>Evidence_Reference</t>
        </is>
      </c>
      <c r="E3" s="9" t="inlineStr">
        <is>
          <t>Owner</t>
        </is>
      </c>
      <c r="F3" s="9" t="inlineStr">
        <is>
          <t>Verified_Date</t>
        </is>
      </c>
      <c r="G3" s="9" t="inlineStr">
        <is>
          <t>Notes</t>
        </is>
      </c>
    </row>
    <row r="4">
      <c r="A4" s="10" t="inlineStr">
        <is>
          <t>GOV-01</t>
        </is>
      </c>
      <c r="B4" s="10" t="inlineStr">
        <is>
          <t>Technical control implementations approved by CISO</t>
        </is>
      </c>
      <c r="C4" s="10" t="inlineStr">
        <is>
          <t>Compliant</t>
        </is>
      </c>
      <c r="D4" s="10" t="inlineStr">
        <is>
          <t>POL-A.8.15 approval signature verified</t>
        </is>
      </c>
      <c r="E4" s="10" t="inlineStr">
        <is>
          <t>CISO</t>
        </is>
      </c>
      <c r="F4" s="10" t="inlineStr">
        <is>
          <t>15.12.2024</t>
        </is>
      </c>
      <c r="G4" s="10" t="inlineStr">
        <is>
          <t>All POL documents have CISO approval</t>
        </is>
      </c>
    </row>
    <row r="5">
      <c r="A5" s="11" t="inlineStr">
        <is>
          <t>GOV-01</t>
        </is>
      </c>
      <c r="B5" s="11" t="inlineStr">
        <is>
          <t>Technical control implementations approved by CISO (verify POL approval signatures)</t>
        </is>
      </c>
      <c r="C5" s="4" t="n"/>
      <c r="D5" s="4" t="n"/>
      <c r="E5" s="4" t="n"/>
      <c r="F5" s="4" t="n"/>
      <c r="G5" s="4" t="n"/>
    </row>
    <row r="6">
      <c r="A6" s="11" t="inlineStr">
        <is>
          <t>GOV-02</t>
        </is>
      </c>
      <c r="B6" s="11" t="inlineStr">
        <is>
          <t>Regulatory applicability determinations approved by Legal/Compliance (verify POL-00 Section 8 approvals)</t>
        </is>
      </c>
      <c r="C6" s="4" t="n"/>
      <c r="D6" s="4" t="n"/>
      <c r="E6" s="4" t="n"/>
      <c r="F6" s="4" t="n"/>
      <c r="G6" s="4" t="n"/>
    </row>
    <row r="7">
      <c r="A7" s="11" t="inlineStr">
        <is>
          <t>GOV-03</t>
        </is>
      </c>
      <c r="B7" s="11" t="inlineStr">
        <is>
          <t>Risk acceptance decisions approved by Executive Management (verify Risk Acceptance Register signatures)</t>
        </is>
      </c>
      <c r="C7" s="4" t="n"/>
      <c r="D7" s="4" t="n"/>
      <c r="E7" s="4" t="n"/>
      <c r="F7" s="4" t="n"/>
      <c r="G7" s="4" t="n"/>
    </row>
    <row r="8">
      <c r="A8" s="11" t="inlineStr">
        <is>
          <t>GOV-04</t>
        </is>
      </c>
      <c r="B8" s="11" t="inlineStr">
        <is>
          <t>Competence requirements verified for all decision-makers (verify Section 2.3 criteria met: CISO, Legal, DPO, Executive Management)</t>
        </is>
      </c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C5:C8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35" customWidth="1" min="4" max="4"/>
    <col width="20" customWidth="1" min="5" max="5"/>
    <col width="15" customWidth="1" min="6" max="6"/>
    <col width="30" customWidth="1" min="7" max="7"/>
  </cols>
  <sheetData>
    <row r="1" ht="35" customHeight="1">
      <c r="A1" s="7" t="inlineStr">
        <is>
          <t>DOMAIN 2: APPLICABILITY DECISIONS</t>
        </is>
      </c>
    </row>
    <row r="2">
      <c r="A2" s="8" t="inlineStr">
        <is>
          <t>ISMS-POL-01: ISMS Governance and Decision-Making Framework - Section 3</t>
        </is>
      </c>
    </row>
    <row r="3">
      <c r="A3" s="9" t="inlineStr">
        <is>
          <t>Req_ID</t>
        </is>
      </c>
      <c r="B3" s="9" t="inlineStr">
        <is>
          <t>Requirement</t>
        </is>
      </c>
      <c r="C3" s="9" t="inlineStr">
        <is>
          <t>Compliance_Status</t>
        </is>
      </c>
      <c r="D3" s="9" t="inlineStr">
        <is>
          <t>Evidence_Reference</t>
        </is>
      </c>
      <c r="E3" s="9" t="inlineStr">
        <is>
          <t>Owner</t>
        </is>
      </c>
      <c r="F3" s="9" t="inlineStr">
        <is>
          <t>Verified_Date</t>
        </is>
      </c>
      <c r="G3" s="9" t="inlineStr">
        <is>
          <t>Notes</t>
        </is>
      </c>
    </row>
    <row r="4">
      <c r="A4" s="10" t="inlineStr">
        <is>
          <t>GOV-05</t>
        </is>
      </c>
      <c r="B4" s="10" t="inlineStr">
        <is>
          <t>POL-00 quarterly monitoring completed</t>
        </is>
      </c>
      <c r="C4" s="10" t="inlineStr">
        <is>
          <t>Compliant</t>
        </is>
      </c>
      <c r="D4" s="10" t="inlineStr">
        <is>
          <t>POL-00 Q1-Q4 2024 monitoring logs</t>
        </is>
      </c>
      <c r="E4" s="10" t="inlineStr">
        <is>
          <t>Legal/Compliance</t>
        </is>
      </c>
      <c r="F4" s="10" t="inlineStr">
        <is>
          <t>31.12.2024</t>
        </is>
      </c>
      <c r="G4" s="10" t="inlineStr">
        <is>
          <t>All 4 quarters completed with signatures</t>
        </is>
      </c>
    </row>
    <row r="5">
      <c r="A5" s="11" t="inlineStr">
        <is>
          <t>GOV-05</t>
        </is>
      </c>
      <c r="B5" s="11" t="inlineStr">
        <is>
          <t>POL-00 quarterly monitoring completed (verify 4 quarters have logs with Legal/Compliance + CISO signatures)</t>
        </is>
      </c>
      <c r="C5" s="4" t="n"/>
      <c r="D5" s="4" t="n"/>
      <c r="E5" s="4" t="n"/>
      <c r="F5" s="4" t="n"/>
      <c r="G5" s="4" t="n"/>
    </row>
    <row r="6">
      <c r="A6" s="11" t="inlineStr">
        <is>
          <t>GOV-06</t>
        </is>
      </c>
      <c r="B6" s="11" t="inlineStr">
        <is>
          <t>Triggered assessments documented (verify business changes assessed per POL-00 Section 5)</t>
        </is>
      </c>
      <c r="C6" s="4" t="n"/>
      <c r="D6" s="4" t="n"/>
      <c r="E6" s="4" t="n"/>
      <c r="F6" s="4" t="n"/>
      <c r="G6" s="4" t="n"/>
    </row>
    <row r="7">
      <c r="A7" s="11" t="inlineStr">
        <is>
          <t>GOV-07</t>
        </is>
      </c>
      <c r="B7" s="11" t="inlineStr">
        <is>
          <t>SoA justifications complete (verify all 93 controls documented with implementation status and rationale)</t>
        </is>
      </c>
      <c r="C7" s="4" t="n"/>
      <c r="D7" s="4" t="n"/>
      <c r="E7" s="4" t="n"/>
      <c r="F7" s="4" t="n"/>
      <c r="G7" s="4" t="n"/>
    </row>
    <row r="8">
      <c r="A8" s="11" t="inlineStr">
        <is>
          <t>GOV-08</t>
        </is>
      </c>
      <c r="B8" s="11" t="inlineStr">
        <is>
          <t>Challenge Protocol followed if invoked (verify Section 3.3 execution if applicable: auditor challenge, rationale provided, resolution documented)</t>
        </is>
      </c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C5:C8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35" customWidth="1" min="4" max="4"/>
    <col width="20" customWidth="1" min="5" max="5"/>
    <col width="15" customWidth="1" min="6" max="6"/>
    <col width="30" customWidth="1" min="7" max="7"/>
  </cols>
  <sheetData>
    <row r="1" ht="35" customHeight="1">
      <c r="A1" s="7" t="inlineStr">
        <is>
          <t>DOMAIN 3: EXCEPTION HANDLING</t>
        </is>
      </c>
    </row>
    <row r="2">
      <c r="A2" s="8" t="inlineStr">
        <is>
          <t>ISMS-POL-01: ISMS Governance and Decision-Making Framework - Section 4</t>
        </is>
      </c>
    </row>
    <row r="3">
      <c r="A3" s="9" t="inlineStr">
        <is>
          <t>Req_ID</t>
        </is>
      </c>
      <c r="B3" s="9" t="inlineStr">
        <is>
          <t>Requirement</t>
        </is>
      </c>
      <c r="C3" s="9" t="inlineStr">
        <is>
          <t>Compliance_Status</t>
        </is>
      </c>
      <c r="D3" s="9" t="inlineStr">
        <is>
          <t>Evidence_Reference</t>
        </is>
      </c>
      <c r="E3" s="9" t="inlineStr">
        <is>
          <t>Owner</t>
        </is>
      </c>
      <c r="F3" s="9" t="inlineStr">
        <is>
          <t>Verified_Date</t>
        </is>
      </c>
      <c r="G3" s="9" t="inlineStr">
        <is>
          <t>Notes</t>
        </is>
      </c>
    </row>
    <row r="4">
      <c r="A4" s="10" t="inlineStr">
        <is>
          <t>GOV-09</t>
        </is>
      </c>
      <c r="B4" s="10" t="inlineStr">
        <is>
          <t>Exceptions follow 5-step process</t>
        </is>
      </c>
      <c r="C4" s="10" t="inlineStr">
        <is>
          <t>Compliant</t>
        </is>
      </c>
      <c r="D4" s="10" t="inlineStr">
        <is>
          <t>Exception Register: EXC-2025-001 through EXC-2025-003</t>
        </is>
      </c>
      <c r="E4" s="10" t="inlineStr">
        <is>
          <t>CISO</t>
        </is>
      </c>
      <c r="F4" s="10" t="inlineStr">
        <is>
          <t>15.01.2025</t>
        </is>
      </c>
      <c r="G4" s="10" t="inlineStr">
        <is>
          <t>3 exceptions documented, all 5 steps completed</t>
        </is>
      </c>
    </row>
    <row r="5">
      <c r="A5" s="11" t="inlineStr">
        <is>
          <t>GOV-09</t>
        </is>
      </c>
      <c r="B5" s="11" t="inlineStr">
        <is>
          <t>Exceptions follow 5-step process (verify Exception Register entries complete Steps 1-5: Document reason, Assess risk, Propose solution, Obtain approval, Document in SoA)</t>
        </is>
      </c>
      <c r="C5" s="4" t="n"/>
      <c r="D5" s="4" t="n"/>
      <c r="E5" s="4" t="n"/>
      <c r="F5" s="4" t="n"/>
      <c r="G5" s="4" t="n"/>
    </row>
    <row r="6">
      <c r="A6" s="11" t="inlineStr">
        <is>
          <t>GOV-10</t>
        </is>
      </c>
      <c r="B6" s="11" t="inlineStr">
        <is>
          <t>Residual risk assessed for all exceptions (verify Step 2 risk assessments exist with likelihood/impact/residual risk level)</t>
        </is>
      </c>
      <c r="C6" s="4" t="n"/>
      <c r="D6" s="4" t="n"/>
      <c r="E6" s="4" t="n"/>
      <c r="F6" s="4" t="n"/>
      <c r="G6" s="4" t="n"/>
    </row>
    <row r="7">
      <c r="A7" s="11" t="inlineStr">
        <is>
          <t>GOV-11</t>
        </is>
      </c>
      <c r="B7" s="11" t="inlineStr">
        <is>
          <t>Risk acceptances approved by Executive Management (verify Step 4 approvals: Alternative Control = CISO, Risk Acceptance = Executive Management)</t>
        </is>
      </c>
      <c r="C7" s="4" t="n"/>
      <c r="D7" s="4" t="n"/>
      <c r="E7" s="4" t="n"/>
      <c r="F7" s="4" t="n"/>
      <c r="G7" s="4" t="n"/>
    </row>
    <row r="8">
      <c r="A8" s="11" t="inlineStr">
        <is>
          <t>GOV-12</t>
        </is>
      </c>
      <c r="B8" s="11" t="inlineStr">
        <is>
          <t>Exception volume within targets (verify Section 4.4 metrics: Total &lt;5% of controls, Risk acceptances &lt;3%, Deferred &lt;2%, Overdue 0 items &gt;90 days)</t>
        </is>
      </c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C5:C8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35" customWidth="1" min="4" max="4"/>
    <col width="20" customWidth="1" min="5" max="5"/>
    <col width="15" customWidth="1" min="6" max="6"/>
    <col width="30" customWidth="1" min="7" max="7"/>
  </cols>
  <sheetData>
    <row r="1" ht="35" customHeight="1">
      <c r="A1" s="7" t="inlineStr">
        <is>
          <t>DOMAIN 4: CHANGE MANAGEMENT</t>
        </is>
      </c>
    </row>
    <row r="2">
      <c r="A2" s="8" t="inlineStr">
        <is>
          <t>ISMS-POL-01: ISMS Governance and Decision-Making Framework - Section 5</t>
        </is>
      </c>
    </row>
    <row r="3">
      <c r="A3" s="9" t="inlineStr">
        <is>
          <t>Req_ID</t>
        </is>
      </c>
      <c r="B3" s="9" t="inlineStr">
        <is>
          <t>Requirement</t>
        </is>
      </c>
      <c r="C3" s="9" t="inlineStr">
        <is>
          <t>Compliance_Status</t>
        </is>
      </c>
      <c r="D3" s="9" t="inlineStr">
        <is>
          <t>Evidence_Reference</t>
        </is>
      </c>
      <c r="E3" s="9" t="inlineStr">
        <is>
          <t>Owner</t>
        </is>
      </c>
      <c r="F3" s="9" t="inlineStr">
        <is>
          <t>Verified_Date</t>
        </is>
      </c>
      <c r="G3" s="9" t="inlineStr">
        <is>
          <t>Notes</t>
        </is>
      </c>
    </row>
    <row r="4">
      <c r="A4" s="10" t="inlineStr">
        <is>
          <t>GOV-13</t>
        </is>
      </c>
      <c r="B4" s="10" t="inlineStr">
        <is>
          <t>Compliance criteria changes documented</t>
        </is>
      </c>
      <c r="C4" s="10" t="inlineStr">
        <is>
          <t>Compliant</t>
        </is>
      </c>
      <c r="D4" s="10" t="inlineStr">
        <is>
          <t>ISMS Change Log: CHG-2024-015 (GDPR guidance update)</t>
        </is>
      </c>
      <c r="E4" s="10" t="inlineStr">
        <is>
          <t>CISO</t>
        </is>
      </c>
      <c r="F4" s="10" t="inlineStr">
        <is>
          <t>10.09.2024</t>
        </is>
      </c>
      <c r="G4" s="10" t="inlineStr">
        <is>
          <t>Change log complete with all fields</t>
        </is>
      </c>
    </row>
    <row r="5">
      <c r="A5" s="11" t="inlineStr">
        <is>
          <t>GOV-13</t>
        </is>
      </c>
      <c r="B5" s="11" t="inlineStr">
        <is>
          <t>Compliance criteria changes documented (verify ISMS Change Log entries exist with trigger, affected controls, rationale, approval)</t>
        </is>
      </c>
      <c r="C5" s="4" t="n"/>
      <c r="D5" s="4" t="n"/>
      <c r="E5" s="4" t="n"/>
      <c r="F5" s="4" t="n"/>
      <c r="G5" s="4" t="n"/>
    </row>
    <row r="6">
      <c r="A6" s="11" t="inlineStr">
        <is>
          <t>GOV-14</t>
        </is>
      </c>
      <c r="B6" s="11" t="inlineStr">
        <is>
          <t>Changes follow 6-step process (verify Steps 1-6 completed: Identify, Assess impact, Propose, Approve, Implement, Verify)</t>
        </is>
      </c>
      <c r="C6" s="4" t="n"/>
      <c r="D6" s="4" t="n"/>
      <c r="E6" s="4" t="n"/>
      <c r="F6" s="4" t="n"/>
      <c r="G6" s="4" t="n"/>
    </row>
    <row r="7">
      <c r="A7" s="11" t="inlineStr">
        <is>
          <t>GOV-15</t>
        </is>
      </c>
      <c r="B7" s="11" t="inlineStr">
        <is>
          <t>Reassessments completed within 90 days (verify Section 5.4 Gap Register: completion rate &gt;95%, overdue items 0)</t>
        </is>
      </c>
      <c r="C7" s="4" t="n"/>
      <c r="D7" s="4" t="n"/>
      <c r="E7" s="4" t="n"/>
      <c r="F7" s="4" t="n"/>
      <c r="G7" s="4" t="n"/>
    </row>
    <row r="8">
      <c r="A8" s="11" t="inlineStr">
        <is>
          <t>GOV-16</t>
        </is>
      </c>
      <c r="B8" s="11" t="inlineStr">
        <is>
          <t>Changes verified by internal audit (verify Step 6: internal audit reports covering changed controls)</t>
        </is>
      </c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C5:C8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35" customWidth="1" min="4" max="4"/>
    <col width="20" customWidth="1" min="5" max="5"/>
    <col width="15" customWidth="1" min="6" max="6"/>
    <col width="30" customWidth="1" min="7" max="7"/>
  </cols>
  <sheetData>
    <row r="1" ht="35" customHeight="1">
      <c r="A1" s="7" t="inlineStr">
        <is>
          <t>DOMAIN 5: GOVERNANCE REVIEW</t>
        </is>
      </c>
    </row>
    <row r="2">
      <c r="A2" s="8" t="inlineStr">
        <is>
          <t>ISMS-POL-01: ISMS Governance and Decision-Making Framework - Section 6</t>
        </is>
      </c>
    </row>
    <row r="3">
      <c r="A3" s="9" t="inlineStr">
        <is>
          <t>Req_ID</t>
        </is>
      </c>
      <c r="B3" s="9" t="inlineStr">
        <is>
          <t>Requirement</t>
        </is>
      </c>
      <c r="C3" s="9" t="inlineStr">
        <is>
          <t>Compliance_Status</t>
        </is>
      </c>
      <c r="D3" s="9" t="inlineStr">
        <is>
          <t>Evidence_Reference</t>
        </is>
      </c>
      <c r="E3" s="9" t="inlineStr">
        <is>
          <t>Owner</t>
        </is>
      </c>
      <c r="F3" s="9" t="inlineStr">
        <is>
          <t>Verified_Date</t>
        </is>
      </c>
      <c r="G3" s="9" t="inlineStr">
        <is>
          <t>Notes</t>
        </is>
      </c>
    </row>
    <row r="4">
      <c r="A4" s="10" t="inlineStr">
        <is>
          <t>GOV-17</t>
        </is>
      </c>
      <c r="B4" s="10" t="inlineStr">
        <is>
          <t>Annual governance review completed</t>
        </is>
      </c>
      <c r="C4" s="10" t="inlineStr">
        <is>
          <t>Compliant</t>
        </is>
      </c>
      <c r="D4" s="10" t="inlineStr">
        <is>
          <t>Governance Review Q4-2024 meeting minutes</t>
        </is>
      </c>
      <c r="E4" s="10" t="inlineStr">
        <is>
          <t>CISO</t>
        </is>
      </c>
      <c r="F4" s="10" t="inlineStr">
        <is>
          <t>15.12.2024</t>
        </is>
      </c>
      <c r="G4" s="10" t="inlineStr">
        <is>
          <t>Review completed with CEO/CFO attendance</t>
        </is>
      </c>
    </row>
    <row r="5">
      <c r="A5" s="11" t="inlineStr">
        <is>
          <t>GOV-17</t>
        </is>
      </c>
      <c r="B5" s="11" t="inlineStr">
        <is>
          <t>Annual governance review completed (verify Section 6.1 meeting minutes exist with Executive Management attendance)</t>
        </is>
      </c>
      <c r="C5" s="4" t="n"/>
      <c r="D5" s="4" t="n"/>
      <c r="E5" s="4" t="n"/>
      <c r="F5" s="4" t="n"/>
      <c r="G5" s="4" t="n"/>
    </row>
    <row r="6">
      <c r="A6" s="11" t="inlineStr">
        <is>
          <t>GOV-18</t>
        </is>
      </c>
      <c r="B6" s="11" t="inlineStr">
        <is>
          <t>Review covers all required topics (verify 6 topics addressed: Authority boundaries, Applicability framework, Exception handling, Change management, Auditor feedback, Governance efficiency)</t>
        </is>
      </c>
      <c r="C6" s="4" t="n"/>
      <c r="D6" s="4" t="n"/>
      <c r="E6" s="4" t="n"/>
      <c r="F6" s="4" t="n"/>
      <c r="G6" s="4" t="n"/>
    </row>
    <row r="7">
      <c r="A7" s="11" t="inlineStr">
        <is>
          <t>GOV-19</t>
        </is>
      </c>
      <c r="B7" s="11" t="inlineStr">
        <is>
          <t>Continual improvement actions documented (verify actions assigned with owners, due dates, and status tracking)</t>
        </is>
      </c>
      <c r="C7" s="4" t="n"/>
      <c r="D7" s="4" t="n"/>
      <c r="E7" s="4" t="n"/>
      <c r="F7" s="4" t="n"/>
      <c r="G7" s="4" t="n"/>
    </row>
    <row r="8">
      <c r="A8" s="11" t="inlineStr">
        <is>
          <t>GOV-20</t>
        </is>
      </c>
      <c r="B8" s="11" t="inlineStr">
        <is>
          <t>Lessons learned register maintained (verify Section 6.2 register has entries with: Date, Event, Lesson, Action, Status, Verified)</t>
        </is>
      </c>
      <c r="C8" s="4" t="n"/>
      <c r="D8" s="4" t="n"/>
      <c r="E8" s="4" t="n"/>
      <c r="F8" s="4" t="n"/>
      <c r="G8" s="4" t="n"/>
    </row>
  </sheetData>
  <mergeCells count="2">
    <mergeCell ref="A2:G2"/>
    <mergeCell ref="A1:G1"/>
  </mergeCells>
  <dataValidations count="1">
    <dataValidation sqref="C5:C8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18" customWidth="1" min="8" max="8"/>
  </cols>
  <sheetData>
    <row r="1" ht="35" customHeight="1">
      <c r="A1" s="12" t="inlineStr">
        <is>
          <t>EVIDENCE REGISTER</t>
        </is>
      </c>
    </row>
    <row r="2">
      <c r="A2" s="8" t="inlineStr">
        <is>
          <t>ISMS-POL-01: ISMS Governance and Decision-Making Framework</t>
        </is>
      </c>
    </row>
    <row r="3">
      <c r="A3" s="13" t="inlineStr">
        <is>
          <t>Record all evidence artefacts supporting governance framework compliance. Link to shared drive or attach to audit package.</t>
        </is>
      </c>
    </row>
    <row r="4">
      <c r="A4" s="14" t="inlineStr">
        <is>
          <t>Evidence ID</t>
        </is>
      </c>
      <c r="B4" s="14" t="inlineStr">
        <is>
          <t>Evidence Title</t>
        </is>
      </c>
      <c r="C4" s="14" t="inlineStr">
        <is>
          <t>Evidence Type</t>
        </is>
      </c>
      <c r="D4" s="14" t="inlineStr">
        <is>
          <t>Description</t>
        </is>
      </c>
      <c r="E4" s="14" t="inlineStr">
        <is>
          <t>Source / Location</t>
        </is>
      </c>
      <c r="F4" s="14" t="inlineStr">
        <is>
          <t>Date Collected</t>
        </is>
      </c>
      <c r="G4" s="14" t="inlineStr">
        <is>
          <t>Collected By</t>
        </is>
      </c>
      <c r="H4" s="14" t="inlineStr">
        <is>
          <t>Status</t>
        </is>
      </c>
    </row>
    <row r="5">
      <c r="A5" s="15" t="inlineStr">
        <is>
          <t>EV-001</t>
        </is>
      </c>
      <c r="B5" s="15" t="inlineStr">
        <is>
          <t>POL-00 Quarterly Monitoring Log Q4-2024</t>
        </is>
      </c>
      <c r="C5" s="15" t="inlineStr">
        <is>
          <t>Log Extract</t>
        </is>
      </c>
      <c r="D5" s="15" t="inlineStr">
        <is>
          <t>Regulatory monitoring log with Legal/Compliance and CISO signatures</t>
        </is>
      </c>
      <c r="E5" s="15" t="inlineStr">
        <is>
          <t>GRC Platform/Compliance/POL-00-Monitoring/Q4-2024.xlsx</t>
        </is>
      </c>
      <c r="F5" s="15" t="inlineStr">
        <is>
          <t>31.12.2024</t>
        </is>
      </c>
      <c r="G5" s="15" t="inlineStr">
        <is>
          <t>Legal/Compliance</t>
        </is>
      </c>
      <c r="H5" s="15" t="inlineStr">
        <is>
          <t>Collected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</row>
  </sheetData>
  <mergeCells count="3">
    <mergeCell ref="A3:H3"/>
    <mergeCell ref="A2:H2"/>
    <mergeCell ref="A1:H1"/>
  </mergeCells>
  <dataValidations count="2">
    <dataValidation sqref="C6:C105" showDropDown="0" showInputMessage="0" showErrorMessage="0" allowBlank="0" type="list">
      <formula1>"Policy Document,Meeting Minutes,Approval Record,Register Export,Log Extract,Assessment Report,Training Record,Certification,Tool Output,Other"</formula1>
    </dataValidation>
    <dataValidation sqref="H6:H105" showDropDown="0" showInputMessage="0" showErrorMessage="0" allowBlank="0" type="list">
      <formula1>"Collected,Pending,Not Available,Expired"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5" customWidth="1" min="4" max="4"/>
    <col width="30" customWidth="1" min="5" max="5"/>
    <col width="15" customWidth="1" min="6" max="6"/>
    <col width="15" customWidth="1" min="7" max="7"/>
  </cols>
  <sheetData>
    <row r="1" ht="35" customHeight="1">
      <c r="A1" s="12" t="inlineStr">
        <is>
          <t>SUMMARY DASHBOARD — ISMS Governance Framework Compliance Assessment</t>
        </is>
      </c>
    </row>
    <row r="2">
      <c r="A2" s="8" t="inlineStr">
        <is>
          <t>ISMS-POL-01: ISMS Governance and Decision-Making Framework</t>
        </is>
      </c>
    </row>
    <row r="4">
      <c r="A4" s="17" t="inlineStr">
        <is>
          <t>TABLE 1: COMPLIANCE OVERVIEW</t>
        </is>
      </c>
    </row>
    <row r="5">
      <c r="A5" s="18" t="inlineStr">
        <is>
          <t>Assessment Domain</t>
        </is>
      </c>
      <c r="B5" s="18" t="inlineStr">
        <is>
          <t>Total Requirements</t>
        </is>
      </c>
      <c r="C5" s="18" t="inlineStr">
        <is>
          <t>Compliant</t>
        </is>
      </c>
      <c r="D5" s="18" t="inlineStr">
        <is>
          <t>Partially Compliant</t>
        </is>
      </c>
      <c r="E5" s="18" t="inlineStr">
        <is>
          <t>Non-Compliant</t>
        </is>
      </c>
      <c r="F5" s="18" t="inlineStr">
        <is>
          <t>N/A</t>
        </is>
      </c>
      <c r="G5" s="18" t="inlineStr">
        <is>
          <t>Compliance %</t>
        </is>
      </c>
    </row>
    <row r="6">
      <c r="A6" s="19" t="inlineStr">
        <is>
          <t>Authority Boundaries</t>
        </is>
      </c>
      <c r="B6" s="20">
        <f>COUNTA('Domain 1 - Authority'!C5:C8)</f>
        <v/>
      </c>
      <c r="C6" s="20">
        <f>COUNTIF('Domain 1 - Authority'!C5:C8,"Compliant")</f>
        <v/>
      </c>
      <c r="D6" s="20">
        <f>COUNTIF('Domain 1 - Authority'!C5:C8,"Partial")</f>
        <v/>
      </c>
      <c r="E6" s="20">
        <f>COUNTIF('Domain 1 - Authority'!C5:C8,"Non-Compliant")</f>
        <v/>
      </c>
      <c r="F6" s="20">
        <f>COUNTIF('Domain 1 - Authority'!C5:C8,"N/A")</f>
        <v/>
      </c>
      <c r="G6" s="21">
        <f>IF((B6-F6)=0,0,ROUND(C6/(B6-F6),3))</f>
        <v/>
      </c>
    </row>
    <row r="7">
      <c r="A7" s="19" t="inlineStr">
        <is>
          <t>Applicability Decisions</t>
        </is>
      </c>
      <c r="B7" s="20">
        <f>COUNTA('Domain 2 - Applicability'!C5:C8)</f>
        <v/>
      </c>
      <c r="C7" s="20">
        <f>COUNTIF('Domain 2 - Applicability'!C5:C8,"Compliant")</f>
        <v/>
      </c>
      <c r="D7" s="20">
        <f>COUNTIF('Domain 2 - Applicability'!C5:C8,"Partial")</f>
        <v/>
      </c>
      <c r="E7" s="20">
        <f>COUNTIF('Domain 2 - Applicability'!C5:C8,"Non-Compliant")</f>
        <v/>
      </c>
      <c r="F7" s="20">
        <f>COUNTIF('Domain 2 - Applicability'!C5:C8,"N/A")</f>
        <v/>
      </c>
      <c r="G7" s="21">
        <f>IF((B7-F7)=0,0,ROUND(C7/(B7-F7),3))</f>
        <v/>
      </c>
    </row>
    <row r="8">
      <c r="A8" s="19" t="inlineStr">
        <is>
          <t>Exception Handling</t>
        </is>
      </c>
      <c r="B8" s="20">
        <f>COUNTA('Domain 3 - Exceptions'!C5:C8)</f>
        <v/>
      </c>
      <c r="C8" s="20">
        <f>COUNTIF('Domain 3 - Exceptions'!C5:C8,"Compliant")</f>
        <v/>
      </c>
      <c r="D8" s="20">
        <f>COUNTIF('Domain 3 - Exceptions'!C5:C8,"Partial")</f>
        <v/>
      </c>
      <c r="E8" s="20">
        <f>COUNTIF('Domain 3 - Exceptions'!C5:C8,"Non-Compliant")</f>
        <v/>
      </c>
      <c r="F8" s="20">
        <f>COUNTIF('Domain 3 - Exceptions'!C5:C8,"N/A")</f>
        <v/>
      </c>
      <c r="G8" s="21">
        <f>IF((B8-F8)=0,0,ROUND(C8/(B8-F8),3))</f>
        <v/>
      </c>
    </row>
    <row r="9">
      <c r="A9" s="19" t="inlineStr">
        <is>
          <t>Change Management</t>
        </is>
      </c>
      <c r="B9" s="20">
        <f>COUNTA('Domain 4 - Change Mgmt'!C5:C8)</f>
        <v/>
      </c>
      <c r="C9" s="20">
        <f>COUNTIF('Domain 4 - Change Mgmt'!C5:C8,"Compliant")</f>
        <v/>
      </c>
      <c r="D9" s="20">
        <f>COUNTIF('Domain 4 - Change Mgmt'!C5:C8,"Partial")</f>
        <v/>
      </c>
      <c r="E9" s="20">
        <f>COUNTIF('Domain 4 - Change Mgmt'!C5:C8,"Non-Compliant")</f>
        <v/>
      </c>
      <c r="F9" s="20">
        <f>COUNTIF('Domain 4 - Change Mgmt'!C5:C8,"N/A")</f>
        <v/>
      </c>
      <c r="G9" s="21">
        <f>IF((B9-F9)=0,0,ROUND(C9/(B9-F9),3))</f>
        <v/>
      </c>
    </row>
    <row r="10">
      <c r="A10" s="19" t="inlineStr">
        <is>
          <t>Governance Review</t>
        </is>
      </c>
      <c r="B10" s="20">
        <f>COUNTA('Domain 5 - Governance Review'!C5:C8)</f>
        <v/>
      </c>
      <c r="C10" s="20">
        <f>COUNTIF('Domain 5 - Governance Review'!C5:C8,"Compliant")</f>
        <v/>
      </c>
      <c r="D10" s="20">
        <f>COUNTIF('Domain 5 - Governance Review'!C5:C8,"Partial")</f>
        <v/>
      </c>
      <c r="E10" s="20">
        <f>COUNTIF('Domain 5 - Governance Review'!C5:C8,"Non-Compliant")</f>
        <v/>
      </c>
      <c r="F10" s="20">
        <f>COUNTIF('Domain 5 - Governance Review'!C5:C8,"N/A")</f>
        <v/>
      </c>
      <c r="G10" s="21">
        <f>IF((B10-F10)=0,0,ROUND(C10/(B10-F10),3))</f>
        <v/>
      </c>
    </row>
    <row r="11">
      <c r="A11" s="22" t="inlineStr">
        <is>
          <t>TOTAL</t>
        </is>
      </c>
      <c r="B11" s="23">
        <f>SUM(B6:B10)</f>
        <v/>
      </c>
      <c r="C11" s="23">
        <f>SUM(C6:C10)</f>
        <v/>
      </c>
      <c r="D11" s="23">
        <f>SUM(D6:D10)</f>
        <v/>
      </c>
      <c r="E11" s="23">
        <f>SUM(E6:E10)</f>
        <v/>
      </c>
      <c r="F11" s="23">
        <f>SUM(F6:F10)</f>
        <v/>
      </c>
      <c r="G11" s="24">
        <f>IF((B11-F11)=0,0,ROUND(C11/(B11-F11),3))</f>
        <v/>
      </c>
    </row>
    <row r="13">
      <c r="A13" s="17" t="inlineStr">
        <is>
          <t>TABLE 2: KEY METRICS</t>
        </is>
      </c>
    </row>
    <row r="14">
      <c r="A14" s="25" t="inlineStr">
        <is>
          <t>Last Assessment Date</t>
        </is>
      </c>
      <c r="B14" s="26" t="inlineStr"/>
      <c r="C14" s="6" t="n"/>
      <c r="D14" s="6" t="n"/>
      <c r="E14" s="6" t="n"/>
      <c r="F14" s="6" t="n"/>
      <c r="G14" s="6" t="n"/>
    </row>
    <row r="15">
      <c r="A15" s="25" t="inlineStr">
        <is>
          <t>Next Review Due</t>
        </is>
      </c>
      <c r="B15" s="26" t="inlineStr"/>
      <c r="C15" s="6" t="n"/>
      <c r="D15" s="6" t="n"/>
      <c r="E15" s="6" t="n"/>
      <c r="F15" s="6" t="n"/>
      <c r="G15" s="6" t="n"/>
    </row>
    <row r="16">
      <c r="A16" s="25" t="inlineStr">
        <is>
          <t>Assessment Owner</t>
        </is>
      </c>
      <c r="B16" s="16" t="inlineStr">
        <is>
          <t>[Enter CISO name]</t>
        </is>
      </c>
      <c r="C16" s="6" t="n"/>
      <c r="D16" s="6" t="n"/>
      <c r="E16" s="6" t="n"/>
      <c r="F16" s="6" t="n"/>
      <c r="G16" s="6" t="n"/>
    </row>
    <row r="17">
      <c r="A17" s="25" t="inlineStr">
        <is>
          <t>Governance Health Status</t>
        </is>
      </c>
      <c r="B17" s="16">
        <f>IF(G11&gt;=95%,"Healthy",IF(G11&gt;=80%,"At Risk","Critical"))</f>
        <v/>
      </c>
      <c r="C17" s="6" t="n"/>
      <c r="D17" s="6" t="n"/>
      <c r="E17" s="6" t="n"/>
      <c r="F17" s="6" t="n"/>
      <c r="G17" s="6" t="n"/>
    </row>
    <row r="19">
      <c r="A19" s="27" t="inlineStr">
        <is>
          <t>TABLE 3: CRITICAL FINDINGS</t>
        </is>
      </c>
    </row>
    <row r="20">
      <c r="A20" s="22" t="inlineStr">
        <is>
          <t>#</t>
        </is>
      </c>
      <c r="B20" s="22" t="inlineStr">
        <is>
          <t>Finding</t>
        </is>
      </c>
      <c r="C20" s="22" t="inlineStr">
        <is>
          <t>Severity</t>
        </is>
      </c>
      <c r="D20" s="22" t="inlineStr">
        <is>
          <t>Affected Domain</t>
        </is>
      </c>
      <c r="E20" s="22" t="inlineStr">
        <is>
          <t>Recommended Action</t>
        </is>
      </c>
      <c r="F20" s="22" t="inlineStr">
        <is>
          <t>Owner</t>
        </is>
      </c>
      <c r="G20" s="22" t="inlineStr">
        <is>
          <t>Due Date</t>
        </is>
      </c>
    </row>
    <row r="21">
      <c r="A21" s="6">
        <f>COUNTIF('Domain 1 - Authority'!C5:C8,"Non-Compliant")</f>
        <v/>
      </c>
      <c r="B21" s="16" t="inlineStr">
        <is>
          <t>Authority Boundary Failures</t>
        </is>
      </c>
      <c r="C21" s="16" t="inlineStr">
        <is>
          <t>Critical</t>
        </is>
      </c>
      <c r="D21" s="16" t="inlineStr">
        <is>
          <t>Authority Boundaries</t>
        </is>
      </c>
      <c r="E21" s="16" t="inlineStr">
        <is>
          <t>Review decision-making authority and approvals</t>
        </is>
      </c>
      <c r="F21" s="16" t="n"/>
      <c r="G21" s="16" t="n"/>
    </row>
    <row r="22">
      <c r="A22" s="6">
        <f>COUNTIF('Domain 2 - Applicability'!C5:C8,"Non-Compliant")</f>
        <v/>
      </c>
      <c r="B22" s="16" t="inlineStr">
        <is>
          <t>Applicability Process Gaps</t>
        </is>
      </c>
      <c r="C22" s="16" t="inlineStr">
        <is>
          <t>High</t>
        </is>
      </c>
      <c r="D22" s="16" t="inlineStr">
        <is>
          <t>Applicability Decisions</t>
        </is>
      </c>
      <c r="E22" s="16" t="inlineStr">
        <is>
          <t>Complete POL-00 monitoring or SoA updates</t>
        </is>
      </c>
      <c r="F22" s="16" t="n"/>
      <c r="G22" s="16" t="n"/>
    </row>
    <row r="23">
      <c r="A23" s="6">
        <f>COUNTIF('Domain 3 - Exceptions'!C5:C8,"Non-Compliant")</f>
        <v/>
      </c>
      <c r="B23" s="16" t="inlineStr">
        <is>
          <t>Exception Process Violations</t>
        </is>
      </c>
      <c r="C23" s="16" t="inlineStr">
        <is>
          <t>High</t>
        </is>
      </c>
      <c r="D23" s="16" t="inlineStr">
        <is>
          <t>Exception Handling</t>
        </is>
      </c>
      <c r="E23" s="16" t="inlineStr">
        <is>
          <t>Review Exception Register for process compliance</t>
        </is>
      </c>
      <c r="F23" s="16" t="n"/>
      <c r="G23" s="16" t="n"/>
    </row>
    <row r="24">
      <c r="A24" s="6">
        <f>COUNTIF('Domain 4 - Change Mgmt'!C5:C8,"Non-Compliant")</f>
        <v/>
      </c>
      <c r="B24" s="16" t="inlineStr">
        <is>
          <t>Change Control Failures</t>
        </is>
      </c>
      <c r="C24" s="16" t="inlineStr">
        <is>
          <t>High</t>
        </is>
      </c>
      <c r="D24" s="16" t="inlineStr">
        <is>
          <t>Change Management</t>
        </is>
      </c>
      <c r="E24" s="16" t="inlineStr">
        <is>
          <t>Verify change log and reassessment completion</t>
        </is>
      </c>
      <c r="F24" s="16" t="n"/>
      <c r="G24" s="16" t="n"/>
    </row>
    <row r="25">
      <c r="A25" s="6">
        <f>COUNTIF('Domain 5 - Governance Review'!C5:C8,"Non-Compliant")</f>
        <v/>
      </c>
      <c r="B25" s="16" t="inlineStr">
        <is>
          <t>Governance Review Not Completed</t>
        </is>
      </c>
      <c r="C25" s="16" t="inlineStr">
        <is>
          <t>Critical</t>
        </is>
      </c>
      <c r="D25" s="16" t="inlineStr">
        <is>
          <t>Governance Review</t>
        </is>
      </c>
      <c r="E25" s="16" t="inlineStr">
        <is>
          <t>Complete annual governance review immediately</t>
        </is>
      </c>
      <c r="F25" s="16" t="n"/>
      <c r="G25" s="16" t="n"/>
    </row>
  </sheetData>
  <mergeCells count="9">
    <mergeCell ref="A13:G13"/>
    <mergeCell ref="B16:G16"/>
    <mergeCell ref="A1:G1"/>
    <mergeCell ref="B14:G14"/>
    <mergeCell ref="B17:G17"/>
    <mergeCell ref="A4:G4"/>
    <mergeCell ref="A2:G2"/>
    <mergeCell ref="A19:G19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8" t="inlineStr">
        <is>
          <t>ASSESSMENT APPROVAL AND SIGN-OFF</t>
        </is>
      </c>
    </row>
    <row r="2">
      <c r="A2" s="29" t="inlineStr">
        <is>
          <t>ISMS-CHK-POL-01 — Governance Framework Compliance Assessment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</row>
    <row r="4">
      <c r="A4" s="25" t="inlineStr">
        <is>
          <t>Document:</t>
        </is>
      </c>
      <c r="B4" s="6" t="inlineStr">
        <is>
          <t>ISMS-CHK-POL-01 - Governance Framework Compliance Assessment</t>
        </is>
      </c>
      <c r="C4" s="6" t="n"/>
      <c r="D4" s="6" t="n"/>
      <c r="E4" s="6" t="n"/>
    </row>
    <row r="5">
      <c r="A5" s="25" t="inlineStr">
        <is>
          <t>Assessment Period:</t>
        </is>
      </c>
      <c r="B5" s="16" t="inlineStr"/>
      <c r="C5" s="16" t="n"/>
      <c r="D5" s="16" t="n"/>
      <c r="E5" s="16" t="n"/>
    </row>
    <row r="6">
      <c r="A6" s="25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25" t="inlineStr">
        <is>
          <t>Assessment Status:</t>
        </is>
      </c>
      <c r="B7" s="16" t="inlineStr"/>
      <c r="C7" s="16" t="n"/>
      <c r="D7" s="16" t="n"/>
      <c r="E7" s="16" t="n"/>
    </row>
    <row r="8">
      <c r="A8" s="25" t="inlineStr">
        <is>
          <t>Assessed By:</t>
        </is>
      </c>
      <c r="B8" s="16" t="inlineStr"/>
      <c r="C8" s="16" t="n"/>
      <c r="D8" s="16" t="n"/>
      <c r="E8" s="16" t="n"/>
    </row>
    <row r="10">
      <c r="A10" s="30" t="inlineStr">
        <is>
          <t>COMPLETED BY (ASSESSOR)</t>
        </is>
      </c>
    </row>
    <row r="11">
      <c r="A11" s="25" t="inlineStr">
        <is>
          <t>Name:</t>
        </is>
      </c>
      <c r="B11" s="16" t="n"/>
      <c r="C11" s="16" t="n"/>
      <c r="D11" s="16" t="n"/>
      <c r="E11" s="16" t="n"/>
    </row>
    <row r="12">
      <c r="A12" s="25" t="inlineStr">
        <is>
          <t>Title:</t>
        </is>
      </c>
      <c r="B12" s="16" t="n"/>
      <c r="C12" s="16" t="n"/>
      <c r="D12" s="16" t="n"/>
      <c r="E12" s="16" t="n"/>
    </row>
    <row r="13">
      <c r="A13" s="25" t="inlineStr">
        <is>
          <t>Date:</t>
        </is>
      </c>
      <c r="B13" s="16" t="n"/>
      <c r="C13" s="16" t="n"/>
      <c r="D13" s="16" t="n"/>
      <c r="E13" s="16" t="n"/>
    </row>
    <row r="14">
      <c r="A14" s="25" t="inlineStr">
        <is>
          <t>Signature:</t>
        </is>
      </c>
      <c r="B14" s="16" t="n"/>
      <c r="C14" s="16" t="n"/>
      <c r="D14" s="16" t="n"/>
      <c r="E14" s="16" t="n"/>
    </row>
    <row r="15">
      <c r="A15" s="25" t="inlineStr">
        <is>
          <t>Comments:</t>
        </is>
      </c>
      <c r="B15" s="16" t="n"/>
      <c r="C15" s="16" t="n"/>
      <c r="D15" s="16" t="n"/>
      <c r="E15" s="16" t="n"/>
    </row>
    <row r="17">
      <c r="A17" s="30" t="inlineStr">
        <is>
          <t>REVIEWED BY (INTERNAL AUDIT)</t>
        </is>
      </c>
    </row>
    <row r="18">
      <c r="A18" s="25" t="inlineStr">
        <is>
          <t>Name:</t>
        </is>
      </c>
      <c r="B18" s="16" t="n"/>
      <c r="C18" s="16" t="n"/>
      <c r="D18" s="16" t="n"/>
      <c r="E18" s="16" t="n"/>
    </row>
    <row r="19">
      <c r="A19" s="25" t="inlineStr">
        <is>
          <t>Title:</t>
        </is>
      </c>
      <c r="B19" s="16" t="n"/>
      <c r="C19" s="16" t="n"/>
      <c r="D19" s="16" t="n"/>
      <c r="E19" s="16" t="n"/>
    </row>
    <row r="20">
      <c r="A20" s="25" t="inlineStr">
        <is>
          <t>Date:</t>
        </is>
      </c>
      <c r="B20" s="16" t="n"/>
      <c r="C20" s="16" t="n"/>
      <c r="D20" s="16" t="n"/>
      <c r="E20" s="16" t="n"/>
    </row>
    <row r="21">
      <c r="A21" s="25" t="inlineStr">
        <is>
          <t>Signature:</t>
        </is>
      </c>
      <c r="B21" s="16" t="n"/>
      <c r="C21" s="16" t="n"/>
      <c r="D21" s="16" t="n"/>
      <c r="E21" s="16" t="n"/>
    </row>
    <row r="22">
      <c r="A22" s="25" t="inlineStr">
        <is>
          <t>Comments:</t>
        </is>
      </c>
      <c r="B22" s="16" t="n"/>
      <c r="C22" s="16" t="n"/>
      <c r="D22" s="16" t="n"/>
      <c r="E22" s="16" t="n"/>
    </row>
    <row r="24">
      <c r="A24" s="31" t="inlineStr">
        <is>
          <t>APPROVED BY (EXECUTIVE MANAGEMENT)</t>
        </is>
      </c>
    </row>
    <row r="25">
      <c r="A25" s="25" t="inlineStr">
        <is>
          <t>Name:</t>
        </is>
      </c>
      <c r="B25" s="16" t="n"/>
      <c r="C25" s="16" t="n"/>
      <c r="D25" s="16" t="n"/>
      <c r="E25" s="16" t="n"/>
    </row>
    <row r="26">
      <c r="A26" s="25" t="inlineStr">
        <is>
          <t>Title:</t>
        </is>
      </c>
      <c r="B26" s="16" t="n"/>
      <c r="C26" s="16" t="n"/>
      <c r="D26" s="16" t="n"/>
      <c r="E26" s="16" t="n"/>
    </row>
    <row r="27">
      <c r="A27" s="25" t="inlineStr">
        <is>
          <t>Date:</t>
        </is>
      </c>
      <c r="B27" s="16" t="n"/>
      <c r="C27" s="16" t="n"/>
      <c r="D27" s="16" t="n"/>
      <c r="E27" s="16" t="n"/>
    </row>
    <row r="28">
      <c r="A28" s="25" t="inlineStr">
        <is>
          <t>Signature:</t>
        </is>
      </c>
      <c r="B28" s="16" t="n"/>
      <c r="C28" s="16" t="n"/>
      <c r="D28" s="16" t="n"/>
      <c r="E28" s="16" t="n"/>
    </row>
    <row r="29">
      <c r="A29" s="25" t="inlineStr">
        <is>
          <t>Comments:</t>
        </is>
      </c>
      <c r="B29" s="16" t="n"/>
      <c r="C29" s="16" t="n"/>
      <c r="D29" s="16" t="n"/>
      <c r="E29" s="16" t="n"/>
    </row>
    <row r="31">
      <c r="A31" s="32" t="inlineStr">
        <is>
          <t>FINAL DECISION:</t>
        </is>
      </c>
      <c r="B31" s="16" t="n"/>
      <c r="C31" s="16" t="n"/>
      <c r="D31" s="16" t="n"/>
      <c r="E31" s="16" t="n"/>
    </row>
    <row r="34">
      <c r="A34" s="30" t="inlineStr">
        <is>
          <t>NEXT REVIEW DETAILS</t>
        </is>
      </c>
    </row>
    <row r="35">
      <c r="A35" s="25" t="inlineStr">
        <is>
          <t>Next Review Date:</t>
        </is>
      </c>
      <c r="B35" s="16" t="n"/>
      <c r="C35" s="16" t="n"/>
      <c r="D35" s="16" t="n"/>
      <c r="E35" s="16" t="n"/>
    </row>
    <row r="36">
      <c r="A36" s="25" t="inlineStr">
        <is>
          <t>Review Responsible:</t>
        </is>
      </c>
      <c r="B36" s="16" t="n"/>
      <c r="C36" s="16" t="n"/>
      <c r="D36" s="16" t="n"/>
      <c r="E36" s="16" t="n"/>
    </row>
    <row r="37">
      <c r="A37" s="25" t="inlineStr">
        <is>
          <t>Special Considerations:</t>
        </is>
      </c>
      <c r="B37" s="16" t="n"/>
      <c r="C37" s="16" t="n"/>
      <c r="D37" s="16" t="n"/>
      <c r="E37" s="16" t="n"/>
    </row>
  </sheetData>
  <mergeCells count="31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2026-02-28T23:06:48Z</dcterms:created>
  <dcterms:modified xmlns:dcterms="http://purl.org/dc/terms/" xmlns:xsi="http://www.w3.org/2001/XMLSchema-instance" xsi:type="dcterms:W3CDTF">2026-02-28T23:06:48Z</dcterms:modified>
</cp:coreProperties>
</file>