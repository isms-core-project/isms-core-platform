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NDA Requirements" sheetId="3" state="visible" r:id="rId3"/>
    <sheet xmlns:r="http://schemas.openxmlformats.org/officeDocument/2006/relationships" name="Template Requirements" sheetId="4" state="visible" r:id="rId4"/>
    <sheet xmlns:r="http://schemas.openxmlformats.org/officeDocument/2006/relationships" name="Stakeholder-Specific Reqs" sheetId="5" state="visible" r:id="rId5"/>
    <sheet xmlns:r="http://schemas.openxmlformats.org/officeDocument/2006/relationships" name="Execution and Storage" sheetId="6" state="visible" r:id="rId6"/>
    <sheet xmlns:r="http://schemas.openxmlformats.org/officeDocument/2006/relationships" name="Periodic Review &amp; Gap" sheetId="7" state="visible" r:id="rId7"/>
    <sheet xmlns:r="http://schemas.openxmlformats.org/officeDocument/2006/relationships" name="Post-Employment Obligations" sheetId="8" state="visible" r:id="rId8"/>
    <sheet xmlns:r="http://schemas.openxmlformats.org/officeDocument/2006/relationships" name="Compliance Measurement" sheetId="9" state="visible" r:id="rId9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ISMS-OP-CHK-A.6.6 — Confidentiality and Non-Disclosure Agreements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ISMS-OP-CHK-A.6.6</t>
        </is>
      </c>
    </row>
    <row r="5">
      <c r="A5" s="3" t="inlineStr">
        <is>
          <t>Source Policy</t>
        </is>
      </c>
      <c r="B5" s="4" t="inlineStr">
        <is>
          <t>ISMS-OP-POL-A.6.6</t>
        </is>
      </c>
    </row>
    <row r="6">
      <c r="A6" s="3" t="inlineStr">
        <is>
          <t>ISO Controls</t>
        </is>
      </c>
      <c r="B6" s="4" t="inlineStr">
        <is>
          <t>Confidentiality and Non-Disclosure Agreements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IF(Dashboard!G11="N/A","NOT ASSESSED",IF(ISNUMBER(VALUE(SUBSTITUTE(Dashboard!G11,"%",""))),IF(VALUE(SUBSTITUTE(Dashboard!G11,"%",""))&gt;=90,"GREEN",IF(VALUE(SUBSTITUTE(Dashboard!G11,"%",""))&gt;=70,"AMBER","RED")),"NOT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Owner Coverage</t>
        </is>
      </c>
      <c r="B22" s="10">
        <f>IF(Dashboard!B11=0,"N/A",ROUND((COUNTA('NDA Requirements'!F4:F7)+COUNTA('Template Requirements'!F4:F7)+COUNTA('Stakeholder-Specific Reqs'!F4:F11)+COUNTA('Execution and Storage'!F4:F7)+COUNTA('Periodic Review &amp; Gap'!F4:F7)+COUNTA('Post-Employment Obligations'!F4:F7)+COUNTA('Compliance Measurement'!F4:F4))/Dashboard!B11*100,0)&amp;"%")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NDA Requirements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Template Requirements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Stakeholder-Specific Reqs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Execution and Storage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Periodic Review &amp; Gap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Post-Employment Obligations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Compliance Measurement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confidentiality and non-disclosure agreements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60:B60"/>
    <mergeCell ref="A24:H24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Confidentiality and Non-Disclosure Agreements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NDA Requirements</t>
        </is>
      </c>
      <c r="B4" s="15">
        <f>COUNTA('NDA Requirements'!D4:D7)</f>
        <v/>
      </c>
      <c r="C4" s="15">
        <f>COUNTIF('NDA Requirements'!D4:D7,"Compliant")</f>
        <v/>
      </c>
      <c r="D4" s="15">
        <f>COUNTIF('NDA Requirements'!D4:D7,"Partial")</f>
        <v/>
      </c>
      <c r="E4" s="15">
        <f>COUNTIF('NDA Requirements'!D4:D7,"Non-Compliant")</f>
        <v/>
      </c>
      <c r="F4" s="15">
        <f>COUNTIF('NDA Requirements'!D4:D7,"N/A")</f>
        <v/>
      </c>
      <c r="G4" s="15">
        <f>IF((B4-F4)=0,"N/A",ROUND(C4/(B4-F4)*100,1)&amp;"%")</f>
        <v/>
      </c>
    </row>
    <row r="5">
      <c r="A5" s="3" t="inlineStr">
        <is>
          <t>Template Requirements</t>
        </is>
      </c>
      <c r="B5" s="15">
        <f>COUNTA('Template Requirements'!D4:D7)</f>
        <v/>
      </c>
      <c r="C5" s="15">
        <f>COUNTIF('Template Requirements'!D4:D7,"Compliant")</f>
        <v/>
      </c>
      <c r="D5" s="15">
        <f>COUNTIF('Template Requirements'!D4:D7,"Partial")</f>
        <v/>
      </c>
      <c r="E5" s="15">
        <f>COUNTIF('Template Requirements'!D4:D7,"Non-Compliant")</f>
        <v/>
      </c>
      <c r="F5" s="15">
        <f>COUNTIF('Template Requirements'!D4:D7,"N/A")</f>
        <v/>
      </c>
      <c r="G5" s="15">
        <f>IF((B5-F5)=0,"N/A",ROUND(C5/(B5-F5)*100,1)&amp;"%")</f>
        <v/>
      </c>
    </row>
    <row r="6">
      <c r="A6" s="3" t="inlineStr">
        <is>
          <t>Stakeholder-Specific Reqs</t>
        </is>
      </c>
      <c r="B6" s="15">
        <f>COUNTA('Stakeholder-Specific Reqs'!D4:D11)</f>
        <v/>
      </c>
      <c r="C6" s="15">
        <f>COUNTIF('Stakeholder-Specific Reqs'!D4:D11,"Compliant")</f>
        <v/>
      </c>
      <c r="D6" s="15">
        <f>COUNTIF('Stakeholder-Specific Reqs'!D4:D11,"Partial")</f>
        <v/>
      </c>
      <c r="E6" s="15">
        <f>COUNTIF('Stakeholder-Specific Reqs'!D4:D11,"Non-Compliant")</f>
        <v/>
      </c>
      <c r="F6" s="15">
        <f>COUNTIF('Stakeholder-Specific Reqs'!D4:D11,"N/A")</f>
        <v/>
      </c>
      <c r="G6" s="15">
        <f>IF((B6-F6)=0,"N/A",ROUND(C6/(B6-F6)*100,1)&amp;"%")</f>
        <v/>
      </c>
    </row>
    <row r="7">
      <c r="A7" s="3" t="inlineStr">
        <is>
          <t>Execution and Storage</t>
        </is>
      </c>
      <c r="B7" s="15">
        <f>COUNTA('Execution and Storage'!D4:D7)</f>
        <v/>
      </c>
      <c r="C7" s="15">
        <f>COUNTIF('Execution and Storage'!D4:D7,"Compliant")</f>
        <v/>
      </c>
      <c r="D7" s="15">
        <f>COUNTIF('Execution and Storage'!D4:D7,"Partial")</f>
        <v/>
      </c>
      <c r="E7" s="15">
        <f>COUNTIF('Execution and Storage'!D4:D7,"Non-Compliant")</f>
        <v/>
      </c>
      <c r="F7" s="15">
        <f>COUNTIF('Execution and Storage'!D4:D7,"N/A")</f>
        <v/>
      </c>
      <c r="G7" s="15">
        <f>IF((B7-F7)=0,"N/A",ROUND(C7/(B7-F7)*100,1)&amp;"%")</f>
        <v/>
      </c>
    </row>
    <row r="8">
      <c r="A8" s="3" t="inlineStr">
        <is>
          <t>Periodic Review &amp; Gap</t>
        </is>
      </c>
      <c r="B8" s="15">
        <f>COUNTA('Periodic Review &amp; Gap'!D4:D7)</f>
        <v/>
      </c>
      <c r="C8" s="15">
        <f>COUNTIF('Periodic Review &amp; Gap'!D4:D7,"Compliant")</f>
        <v/>
      </c>
      <c r="D8" s="15">
        <f>COUNTIF('Periodic Review &amp; Gap'!D4:D7,"Partial")</f>
        <v/>
      </c>
      <c r="E8" s="15">
        <f>COUNTIF('Periodic Review &amp; Gap'!D4:D7,"Non-Compliant")</f>
        <v/>
      </c>
      <c r="F8" s="15">
        <f>COUNTIF('Periodic Review &amp; Gap'!D4:D7,"N/A")</f>
        <v/>
      </c>
      <c r="G8" s="15">
        <f>IF((B8-F8)=0,"N/A",ROUND(C8/(B8-F8)*100,1)&amp;"%")</f>
        <v/>
      </c>
    </row>
    <row r="9">
      <c r="A9" s="3" t="inlineStr">
        <is>
          <t>Post-Employment Obligations</t>
        </is>
      </c>
      <c r="B9" s="15">
        <f>COUNTA('Post-Employment Obligations'!D4:D7)</f>
        <v/>
      </c>
      <c r="C9" s="15">
        <f>COUNTIF('Post-Employment Obligations'!D4:D7,"Compliant")</f>
        <v/>
      </c>
      <c r="D9" s="15">
        <f>COUNTIF('Post-Employment Obligations'!D4:D7,"Partial")</f>
        <v/>
      </c>
      <c r="E9" s="15">
        <f>COUNTIF('Post-Employment Obligations'!D4:D7,"Non-Compliant")</f>
        <v/>
      </c>
      <c r="F9" s="15">
        <f>COUNTIF('Post-Employment Obligations'!D4:D7,"N/A")</f>
        <v/>
      </c>
      <c r="G9" s="15">
        <f>IF((B9-F9)=0,"N/A",ROUND(C9/(B9-F9)*100,1)&amp;"%")</f>
        <v/>
      </c>
    </row>
    <row r="10">
      <c r="A10" s="3" t="inlineStr">
        <is>
          <t>Compliance Measurement</t>
        </is>
      </c>
      <c r="B10" s="15">
        <f>COUNTA('Compliance Measurement'!D4:D4)</f>
        <v/>
      </c>
      <c r="C10" s="15">
        <f>COUNTIF('Compliance Measurement'!D4:D4,"Compliant")</f>
        <v/>
      </c>
      <c r="D10" s="15">
        <f>COUNTIF('Compliance Measurement'!D4:D4,"Partial")</f>
        <v/>
      </c>
      <c r="E10" s="15">
        <f>COUNTIF('Compliance Measurement'!D4:D4,"Non-Compliant")</f>
        <v/>
      </c>
      <c r="F10" s="15">
        <f>COUNTIF('Compliance Measurement'!D4:D4,"N/A")</f>
        <v/>
      </c>
      <c r="G10" s="15">
        <f>IF((B10-F10)=0,"N/A",ROUND(C10/(B10-F10)*100,1)&amp;"%")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NDA Requirements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A.6.6-01</t>
        </is>
      </c>
      <c r="B4" s="23" t="inlineStr">
        <is>
          <t>No Person</t>
        </is>
      </c>
      <c r="C4" s="24" t="inlineStr">
        <is>
          <t>No person shall be granted access to the organisation's confidential information, systems, or facilities without a valid, signed confidentiality or non-disclosure agreement in place. NDAs shall be executed before access is granted — not retrospectively.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A.6.6-02</t>
        </is>
      </c>
      <c r="B5" s="23" t="inlineStr">
        <is>
          <t>Coverage Targets*: The Organisation</t>
        </is>
      </c>
      <c r="C5" s="24" t="inlineStr">
        <is>
          <t>Coverage targets*: The organisation shall achieve and maintain the following NDA coverage rates:.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A.6.6-03</t>
        </is>
      </c>
      <c r="B6" s="23" t="inlineStr">
        <is>
          <t>Be Executed According To The Following</t>
        </is>
      </c>
      <c r="C6" s="24" t="inlineStr">
        <is>
          <t>NDAs shall be executed according to the following timelines:.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A.6.6-04</t>
        </is>
      </c>
      <c r="B7" s="23" t="inlineStr">
        <is>
          <t>Be Legally Enforceable In The</t>
        </is>
      </c>
      <c r="C7" s="24" t="inlineStr">
        <is>
          <t>All NDAs shall be legally enforceable in the organisation's operating jurisdictions. Legal Counsel shall review and approve all NDA templates. NDAs shall reference:.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Template Requirements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A.6.6-05</t>
        </is>
      </c>
      <c r="B4" s="23" t="inlineStr">
        <is>
          <t>Maintain Six Standardised Nda Templates,</t>
        </is>
      </c>
      <c r="C4" s="24" t="inlineStr">
        <is>
          <t>The organisation shall maintain six standardised NDA templates, one for each stakeholder category:.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A.6.6-06</t>
        </is>
      </c>
      <c r="B5" s="23" t="inlineStr">
        <is>
          <t>Nda Templates</t>
        </is>
      </c>
      <c r="C5" s="24" t="inlineStr">
        <is>
          <t>All NDA templates shall include the following elements:.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A.6.6-07</t>
        </is>
      </c>
      <c r="B6" s="23" t="inlineStr">
        <is>
          <t>Nda Templates</t>
        </is>
      </c>
      <c r="C6" s="24" t="inlineStr">
        <is>
          <t>NDA templates shall be reviewed:.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A.6.6-08</t>
        </is>
      </c>
      <c r="B7" s="23" t="inlineStr">
        <is>
          <t>Upon A Trigger Event, Legal Counsel</t>
        </is>
      </c>
      <c r="C7" s="24" t="inlineStr">
        <is>
          <t>Upon a trigger event, Legal Counsel shall initiate review within 5 business days and record the review requirement in the NDA Template Register maintained in [Contract Management System].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Stakeholder-Specific Reqs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A.6.6-09</t>
        </is>
      </c>
      <c r="B4" s="23" t="inlineStr">
        <is>
          <t>Employment Ndas</t>
        </is>
      </c>
      <c r="C4" s="24" t="inlineStr">
        <is>
          <t>Employment NDAs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A.6.6-10</t>
        </is>
      </c>
      <c r="B5" s="23" t="inlineStr">
        <is>
          <t>Contractor Ndas</t>
        </is>
      </c>
      <c r="C5" s="24" t="inlineStr">
        <is>
          <t>Contractor NDAs shall:.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A.6.6-11</t>
        </is>
      </c>
      <c r="B6" s="23" t="inlineStr">
        <is>
          <t>Vendor Ndas</t>
        </is>
      </c>
      <c r="C6" s="24" t="inlineStr">
        <is>
          <t>Vendor NDAs shall:.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A.6.6-12</t>
        </is>
      </c>
      <c r="B7" s="23" t="inlineStr">
        <is>
          <t>Data Processing Agreement (Dpa)</t>
        </is>
      </c>
      <c r="C7" s="24" t="inlineStr">
        <is>
          <t>Data Processing Agreement (DPA) requirements*: When a vendor will process personal data on behalf of the organisation, the Vendor NDA template shall include or reference a DPA covering the following elements (per nFADP Art. 9, GDPR Art. 28):.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A.6.6-13</t>
        </is>
      </c>
      <c r="B8" s="23" t="inlineStr">
        <is>
          <t>Mutual Ndas For Partners</t>
        </is>
      </c>
      <c r="C8" s="24" t="inlineStr">
        <is>
          <t>Mutual NDAs for partners shall:.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A.6.6-14</t>
        </is>
      </c>
      <c r="B9" s="23" t="inlineStr">
        <is>
          <t>Director/Advisor Ndas</t>
        </is>
      </c>
      <c r="C9" s="24" t="inlineStr">
        <is>
          <t>Director/Advisor NDAs shall:.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A.6.6-15</t>
        </is>
      </c>
      <c r="B10" s="23" t="inlineStr">
        <is>
          <t>Conflict Assessment</t>
        </is>
      </c>
      <c r="C10" s="24" t="inlineStr">
        <is>
          <t>Conflict assessment shall be performed at Director onboarding and annually thereafter (Chair + Legal Counsel).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A.6.6-16</t>
        </is>
      </c>
      <c r="B11" s="23" t="inlineStr">
        <is>
          <t>Visitor Ndas</t>
        </is>
      </c>
      <c r="C11" s="24" t="inlineStr">
        <is>
          <t>Visitor NDAs shall:.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Execution and Storage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A.6.6-17</t>
        </is>
      </c>
      <c r="B4" s="23" t="inlineStr">
        <is>
          <t>Be</t>
        </is>
      </c>
      <c r="C4" s="24" t="inlineStr">
        <is>
          <t>NDAs shall be:.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A.6.6-18</t>
        </is>
      </c>
      <c r="B5" s="23" t="inlineStr">
        <is>
          <t>Executed Ndas</t>
        </is>
      </c>
      <c r="C5" s="24" t="inlineStr">
        <is>
          <t>Executed NDAs shall be:.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A.6.6-19</t>
        </is>
      </c>
      <c r="B6" s="23" t="inlineStr">
        <is>
          <t>Maintain A Register Of All Active</t>
        </is>
      </c>
      <c r="C6" s="24" t="inlineStr">
        <is>
          <t>The organisation shall maintain a register of all active NDAs. The register shall include:.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A.6.6-20</t>
        </is>
      </c>
      <c r="B7" s="23" t="inlineStr">
        <is>
          <t>The Nda Register</t>
        </is>
      </c>
      <c r="C7" s="24" t="inlineStr">
        <is>
          <t>The NDA Register shall be maintained in [Contract Management System] and reconciled quarterly against the personnel directory and active vendor/partner lists.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Periodic Review &amp; Gap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A.6.6-21</t>
        </is>
      </c>
      <c r="B4" s="23" t="inlineStr">
        <is>
          <t>Periodic Reviews</t>
        </is>
      </c>
      <c r="C4" s="24" t="inlineStr">
        <is>
          <t>Periodic reviews shall assess:.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A.6.6-22</t>
        </is>
      </c>
      <c r="B5" s="23" t="inlineStr">
        <is>
          <t>Annual Review By Legal Counsel</t>
        </is>
      </c>
      <c r="C5" s="24" t="inlineStr">
        <is>
          <t>Annual review by Legal Counsel shall assess each template against the following criteria:.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A.6.6-23</t>
        </is>
      </c>
      <c r="B6" s="23" t="inlineStr">
        <is>
          <t>The Following Escalation</t>
        </is>
      </c>
      <c r="C6" s="24" t="inlineStr">
        <is>
          <t>When remediation timelines cannot be met, the following escalation shall apply:.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A.6.6-24</t>
        </is>
      </c>
      <c r="B7" s="23" t="inlineStr">
        <is>
          <t>Compensating Controls: If Access Cannot</t>
        </is>
      </c>
      <c r="C7" s="24" t="inlineStr">
        <is>
          <t>Compensating controls: If access cannot be immediately suspended pending NDA execution, documented compensating controls shall be implemented within 2 business days* of the deadline and reviewed weekly until the NDA is executed.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Post-Employment Obligations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A.6.6-25</t>
        </is>
      </c>
      <c r="B4" s="23" t="inlineStr">
        <is>
          <t>Confidentiality Obligations</t>
        </is>
      </c>
      <c r="C4" s="24" t="inlineStr">
        <is>
          <t>Confidentiality obligations shall survive the termination of employment, contract, or business relationship. Post-termination obligations shall be communicated to the departing individual in writing before or on the last working day, as part of the exit process (per A.6.4–5).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A.6.6-26</t>
        </is>
      </c>
      <c r="B5" s="23" t="inlineStr">
        <is>
          <t>Maintain A Post-Termination Obligation</t>
        </is>
      </c>
      <c r="C5" s="24" t="inlineStr">
        <is>
          <t>The organisation shall maintain a Post-Termination Obligation Register for all departed personnel and ended third-party relationships. The register shall include:.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A.6.6-27</t>
        </is>
      </c>
      <c r="B6" s="23" t="inlineStr">
        <is>
          <t>The Register</t>
        </is>
      </c>
      <c r="C6" s="24" t="inlineStr">
        <is>
          <t>The register shall be:.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A.6.6-28</t>
        </is>
      </c>
      <c r="B7" s="23" t="inlineStr">
        <is>
          <t>Upon Obligation Expiration, The Record</t>
        </is>
      </c>
      <c r="C7" s="24" t="inlineStr">
        <is>
          <t>Upon obligation expiration, the record shall be archived in historical compliance records, retained per document retention policy (minimum 7 years from expiration), and removed from active monitoring.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A.6.6-29</t>
        </is>
      </c>
      <c r="B4" s="23" t="inlineStr">
        <is>
          <t>Be Reported To The Ciso Monthly</t>
        </is>
      </c>
      <c r="C4" s="24" t="inlineStr">
        <is>
          <t>Metrics shall be reported to the CISO monthly and to the Management Review Team quarterly.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2026-02-08T10:04:10Z</dcterms:created>
  <dcterms:modified xmlns:dcterms="http://purl.org/dc/terms/" xmlns:xsi="http://www.w3.org/2001/XMLSchema-instance" xsi:type="dcterms:W3CDTF">2026-02-08T10:04:10Z</dcterms:modified>
</cp:coreProperties>
</file>