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hysical Security Monitoring" sheetId="3" state="visible" r:id="rId3"/>
    <sheet xmlns:r="http://schemas.openxmlformats.org/officeDocument/2006/relationships" name="Environmental Protection" sheetId="4" state="visible" r:id="rId4"/>
    <sheet xmlns:r="http://schemas.openxmlformats.org/officeDocument/2006/relationships" name="Supporting Utilities" sheetId="5" state="visible" r:id="rId5"/>
    <sheet xmlns:r="http://schemas.openxmlformats.org/officeDocument/2006/relationships" name="Facility Criticality Tiers" sheetId="6" state="visible" r:id="rId6"/>
    <sheet xmlns:r="http://schemas.openxmlformats.org/officeDocument/2006/relationships" name="Incident Classification" sheetId="7" state="visible" r:id="rId7"/>
    <sheet xmlns:r="http://schemas.openxmlformats.org/officeDocument/2006/relationships" name="Compliance Measurement" sheetId="8" state="visible" r:id="rId8"/>
  </sheets>
  <definedNames>
    <definedName name="_xlnm.Print_Area" localSheetId="0">'Executive Summary'!$A$1:$H$65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ISMS-OP-CHK-A.7.4-5-11 — Physical Infrastructure Security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ISMS-OP-CHK-A.7.4-5-11</t>
        </is>
      </c>
    </row>
    <row r="5">
      <c r="A5" s="3" t="inlineStr">
        <is>
          <t>Source Policy</t>
        </is>
      </c>
      <c r="B5" s="4" t="inlineStr">
        <is>
          <t>ISMS-OP-POL-A.7.4-5-11</t>
        </is>
      </c>
    </row>
    <row r="6">
      <c r="A6" s="3" t="inlineStr">
        <is>
          <t>ISO Controls</t>
        </is>
      </c>
      <c r="B6" s="4" t="inlineStr">
        <is>
          <t>Physical Infrastructure Security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'Dashboard'!G10</f>
        <v/>
      </c>
    </row>
    <row r="14">
      <c r="A14" s="7" t="inlineStr">
        <is>
          <t>Status</t>
        </is>
      </c>
      <c r="B14" s="9">
        <f>IF(Dashboard!G10="N/A","NOT ASSESSED",IF(ISNUMBER(VALUE(SUBSTITUTE(Dashboard!G10,"%",""))),IF(VALUE(SUBSTITUTE(Dashboard!G10,"%",""))&gt;=90,"GREEN",IF(VALUE(SUBSTITUTE(Dashboard!G10,"%",""))&gt;=70,"AMBER","RED")),"NOT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'Dashboard'!B10</f>
        <v/>
      </c>
    </row>
    <row r="18">
      <c r="A18" s="3" t="inlineStr">
        <is>
          <t>Compliant</t>
        </is>
      </c>
      <c r="B18" s="10">
        <f>'Dashboard'!C10</f>
        <v/>
      </c>
    </row>
    <row r="19">
      <c r="A19" s="3" t="inlineStr">
        <is>
          <t>Partial</t>
        </is>
      </c>
      <c r="B19" s="10">
        <f>'Dashboard'!D10</f>
        <v/>
      </c>
    </row>
    <row r="20">
      <c r="A20" s="3" t="inlineStr">
        <is>
          <t>Non-Compliant</t>
        </is>
      </c>
      <c r="B20" s="10">
        <f>'Dashboard'!E10</f>
        <v/>
      </c>
    </row>
    <row r="21">
      <c r="A21" s="3" t="inlineStr">
        <is>
          <t>Not Applicable</t>
        </is>
      </c>
      <c r="B21" s="10">
        <f>'Dashboard'!F10</f>
        <v/>
      </c>
    </row>
    <row r="22">
      <c r="A22" s="3" t="inlineStr">
        <is>
          <t>Owner Coverage</t>
        </is>
      </c>
      <c r="B22" s="10">
        <f>IF(Dashboard!B10=0,"N/A",ROUND((COUNTA('Physical Security Monitoring'!F4:F26)+COUNTA('Environmental Protection'!F4:F27)+COUNTA('Supporting Utilities'!F4:F21)+COUNTA('Facility Criticality Tiers'!F4:F5)+COUNTA('Incident Classification'!F4:F5)+COUNTA('Compliance Measurement'!F4:F4))/Dashboard!B10*100,0)&amp;"%")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Physical Security Monitoring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Environmental Protection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Supporting Utilities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Facility Criticality Tiers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Incident Classification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Compliance Measurement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3">
      <c r="A33" s="6" t="inlineStr">
        <is>
          <t>CRITICAL ISSUES</t>
        </is>
      </c>
    </row>
    <row r="34">
      <c r="A34" s="11" t="inlineStr">
        <is>
          <t>#</t>
        </is>
      </c>
      <c r="B34" s="11" t="inlineStr">
        <is>
          <t>Issue Description</t>
        </is>
      </c>
      <c r="C34" s="11" t="inlineStr">
        <is>
          <t>Domain</t>
        </is>
      </c>
      <c r="D34" s="11" t="inlineStr">
        <is>
          <t>Owner</t>
        </is>
      </c>
      <c r="E34" s="11" t="inlineStr">
        <is>
          <t>Due Date</t>
        </is>
      </c>
    </row>
    <row r="35">
      <c r="A35" s="4" t="n">
        <v>1</v>
      </c>
      <c r="B35" s="5" t="n"/>
      <c r="C35" s="5" t="n"/>
      <c r="D35" s="5" t="n"/>
      <c r="E35" s="5" t="n"/>
    </row>
    <row r="36">
      <c r="A36" s="4" t="n">
        <v>2</v>
      </c>
      <c r="B36" s="5" t="n"/>
      <c r="C36" s="5" t="n"/>
      <c r="D36" s="5" t="n"/>
      <c r="E36" s="5" t="n"/>
    </row>
    <row r="37">
      <c r="A37" s="4" t="n">
        <v>3</v>
      </c>
      <c r="B37" s="5" t="n"/>
      <c r="C37" s="5" t="n"/>
      <c r="D37" s="5" t="n"/>
      <c r="E37" s="5" t="n"/>
    </row>
    <row r="38">
      <c r="A38" s="4" t="n">
        <v>4</v>
      </c>
      <c r="B38" s="5" t="n"/>
      <c r="C38" s="5" t="n"/>
      <c r="D38" s="5" t="n"/>
      <c r="E38" s="5" t="n"/>
    </row>
    <row r="39">
      <c r="A39" s="4" t="n">
        <v>5</v>
      </c>
      <c r="B39" s="5" t="n"/>
      <c r="C39" s="5" t="n"/>
      <c r="D39" s="5" t="n"/>
      <c r="E39" s="5" t="n"/>
    </row>
    <row r="41">
      <c r="A41" s="6" t="inlineStr">
        <is>
          <t>MANAGEMENT COMMENTARY</t>
        </is>
      </c>
    </row>
    <row r="42" ht="60" customHeight="1">
      <c r="A42" s="12" t="inlineStr">
        <is>
          <t>[Enter management commentary on physical infrastructure security posture]</t>
        </is>
      </c>
    </row>
    <row r="43"/>
    <row r="44"/>
    <row r="46">
      <c r="A46" s="6" t="inlineStr">
        <is>
          <t>APPROVAL</t>
        </is>
      </c>
    </row>
    <row r="47">
      <c r="A47" s="13" t="inlineStr">
        <is>
          <t>Assessed By</t>
        </is>
      </c>
    </row>
    <row r="48">
      <c r="A48" s="14" t="inlineStr">
        <is>
          <t>Name:</t>
        </is>
      </c>
      <c r="B48" s="5" t="n"/>
    </row>
    <row r="49">
      <c r="A49" s="14" t="inlineStr">
        <is>
          <t>Date:</t>
        </is>
      </c>
      <c r="B49" s="5" t="n"/>
    </row>
    <row r="50">
      <c r="A50" s="14" t="inlineStr">
        <is>
          <t>Signature:</t>
        </is>
      </c>
      <c r="B50" s="5" t="n"/>
    </row>
    <row r="51">
      <c r="A51" s="14" t="inlineStr">
        <is>
          <t>Decision:</t>
        </is>
      </c>
      <c r="B51" s="5" t="n"/>
    </row>
    <row r="53">
      <c r="A53" s="13" t="inlineStr">
        <is>
          <t>Reviewed By (ISO Manager)</t>
        </is>
      </c>
    </row>
    <row r="54">
      <c r="A54" s="14" t="inlineStr">
        <is>
          <t>Name:</t>
        </is>
      </c>
      <c r="B54" s="5" t="n"/>
    </row>
    <row r="55">
      <c r="A55" s="14" t="inlineStr">
        <is>
          <t>Date:</t>
        </is>
      </c>
      <c r="B55" s="5" t="n"/>
    </row>
    <row r="56">
      <c r="A56" s="14" t="inlineStr">
        <is>
          <t>Signature:</t>
        </is>
      </c>
      <c r="B56" s="5" t="n"/>
    </row>
    <row r="57">
      <c r="A57" s="14" t="inlineStr">
        <is>
          <t>Decision:</t>
        </is>
      </c>
      <c r="B57" s="5" t="n"/>
    </row>
    <row r="59">
      <c r="A59" s="13" t="inlineStr">
        <is>
          <t>Approved By (CISO)</t>
        </is>
      </c>
    </row>
    <row r="60">
      <c r="A60" s="14" t="inlineStr">
        <is>
          <t>Name:</t>
        </is>
      </c>
      <c r="B60" s="5" t="n"/>
    </row>
    <row r="61">
      <c r="A61" s="14" t="inlineStr">
        <is>
          <t>Date:</t>
        </is>
      </c>
      <c r="B61" s="5" t="n"/>
    </row>
    <row r="62">
      <c r="A62" s="14" t="inlineStr">
        <is>
          <t>Signature:</t>
        </is>
      </c>
      <c r="B62" s="5" t="n"/>
    </row>
    <row r="63">
      <c r="A63" s="14" t="inlineStr">
        <is>
          <t>Decision:</t>
        </is>
      </c>
      <c r="B63" s="5" t="n"/>
    </row>
  </sheetData>
  <mergeCells count="12">
    <mergeCell ref="A12:H12"/>
    <mergeCell ref="A59:B59"/>
    <mergeCell ref="A24:H24"/>
    <mergeCell ref="A16:H16"/>
    <mergeCell ref="A47:B47"/>
    <mergeCell ref="A41:H41"/>
    <mergeCell ref="A33:H33"/>
    <mergeCell ref="A42:H44"/>
    <mergeCell ref="A1:H1"/>
    <mergeCell ref="A46:H46"/>
    <mergeCell ref="A3:B3"/>
    <mergeCell ref="A53:B53"/>
  </mergeCells>
  <dataValidations count="1">
    <dataValidation sqref="B51 B57 B63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Physical Infrastructure Security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Physical Security Monitoring</t>
        </is>
      </c>
      <c r="B4" s="15">
        <f>COUNTA('Physical Security Monitoring'!D4:D26)</f>
        <v/>
      </c>
      <c r="C4" s="15">
        <f>COUNTIF('Physical Security Monitoring'!D4:D26,"Compliant")</f>
        <v/>
      </c>
      <c r="D4" s="15">
        <f>COUNTIF('Physical Security Monitoring'!D4:D26,"Partial")</f>
        <v/>
      </c>
      <c r="E4" s="15">
        <f>COUNTIF('Physical Security Monitoring'!D4:D26,"Non-Compliant")</f>
        <v/>
      </c>
      <c r="F4" s="15">
        <f>COUNTIF('Physical Security Monitoring'!D4:D26,"N/A")</f>
        <v/>
      </c>
      <c r="G4" s="15">
        <f>IF((B4-F4)=0,"N/A",ROUND(C4/(B4-F4)*100,1)&amp;"%")</f>
        <v/>
      </c>
    </row>
    <row r="5">
      <c r="A5" s="3" t="inlineStr">
        <is>
          <t>Environmental Protection</t>
        </is>
      </c>
      <c r="B5" s="15">
        <f>COUNTA('Environmental Protection'!D4:D27)</f>
        <v/>
      </c>
      <c r="C5" s="15">
        <f>COUNTIF('Environmental Protection'!D4:D27,"Compliant")</f>
        <v/>
      </c>
      <c r="D5" s="15">
        <f>COUNTIF('Environmental Protection'!D4:D27,"Partial")</f>
        <v/>
      </c>
      <c r="E5" s="15">
        <f>COUNTIF('Environmental Protection'!D4:D27,"Non-Compliant")</f>
        <v/>
      </c>
      <c r="F5" s="15">
        <f>COUNTIF('Environmental Protection'!D4:D27,"N/A")</f>
        <v/>
      </c>
      <c r="G5" s="15">
        <f>IF((B5-F5)=0,"N/A",ROUND(C5/(B5-F5)*100,1)&amp;"%")</f>
        <v/>
      </c>
    </row>
    <row r="6">
      <c r="A6" s="3" t="inlineStr">
        <is>
          <t>Supporting Utilities</t>
        </is>
      </c>
      <c r="B6" s="15">
        <f>COUNTA('Supporting Utilities'!D4:D21)</f>
        <v/>
      </c>
      <c r="C6" s="15">
        <f>COUNTIF('Supporting Utilities'!D4:D21,"Compliant")</f>
        <v/>
      </c>
      <c r="D6" s="15">
        <f>COUNTIF('Supporting Utilities'!D4:D21,"Partial")</f>
        <v/>
      </c>
      <c r="E6" s="15">
        <f>COUNTIF('Supporting Utilities'!D4:D21,"Non-Compliant")</f>
        <v/>
      </c>
      <c r="F6" s="15">
        <f>COUNTIF('Supporting Utilities'!D4:D21,"N/A")</f>
        <v/>
      </c>
      <c r="G6" s="15">
        <f>IF((B6-F6)=0,"N/A",ROUND(C6/(B6-F6)*100,1)&amp;"%")</f>
        <v/>
      </c>
    </row>
    <row r="7">
      <c r="A7" s="3" t="inlineStr">
        <is>
          <t>Facility Criticality Tiers</t>
        </is>
      </c>
      <c r="B7" s="15">
        <f>COUNTA('Facility Criticality Tiers'!D4:D5)</f>
        <v/>
      </c>
      <c r="C7" s="15">
        <f>COUNTIF('Facility Criticality Tiers'!D4:D5,"Compliant")</f>
        <v/>
      </c>
      <c r="D7" s="15">
        <f>COUNTIF('Facility Criticality Tiers'!D4:D5,"Partial")</f>
        <v/>
      </c>
      <c r="E7" s="15">
        <f>COUNTIF('Facility Criticality Tiers'!D4:D5,"Non-Compliant")</f>
        <v/>
      </c>
      <c r="F7" s="15">
        <f>COUNTIF('Facility Criticality Tiers'!D4:D5,"N/A")</f>
        <v/>
      </c>
      <c r="G7" s="15">
        <f>IF((B7-F7)=0,"N/A",ROUND(C7/(B7-F7)*100,1)&amp;"%")</f>
        <v/>
      </c>
    </row>
    <row r="8">
      <c r="A8" s="3" t="inlineStr">
        <is>
          <t>Incident Classification</t>
        </is>
      </c>
      <c r="B8" s="15">
        <f>COUNTA('Incident Classification'!D4:D5)</f>
        <v/>
      </c>
      <c r="C8" s="15">
        <f>COUNTIF('Incident Classification'!D4:D5,"Compliant")</f>
        <v/>
      </c>
      <c r="D8" s="15">
        <f>COUNTIF('Incident Classification'!D4:D5,"Partial")</f>
        <v/>
      </c>
      <c r="E8" s="15">
        <f>COUNTIF('Incident Classification'!D4:D5,"Non-Compliant")</f>
        <v/>
      </c>
      <c r="F8" s="15">
        <f>COUNTIF('Incident Classification'!D4:D5,"N/A")</f>
        <v/>
      </c>
      <c r="G8" s="15">
        <f>IF((B8-F8)=0,"N/A",ROUND(C8/(B8-F8)*100,1)&amp;"%")</f>
        <v/>
      </c>
    </row>
    <row r="9">
      <c r="A9" s="3" t="inlineStr">
        <is>
          <t>Compliance Measurement</t>
        </is>
      </c>
      <c r="B9" s="15">
        <f>COUNTA('Compliance Measurement'!D4:D4)</f>
        <v/>
      </c>
      <c r="C9" s="15">
        <f>COUNTIF('Compliance Measurement'!D4:D4,"Compliant")</f>
        <v/>
      </c>
      <c r="D9" s="15">
        <f>COUNTIF('Compliance Measurement'!D4:D4,"Partial")</f>
        <v/>
      </c>
      <c r="E9" s="15">
        <f>COUNTIF('Compliance Measurement'!D4:D4,"Non-Compliant")</f>
        <v/>
      </c>
      <c r="F9" s="15">
        <f>COUNTIF('Compliance Measurement'!D4:D4,"N/A")</f>
        <v/>
      </c>
      <c r="G9" s="15">
        <f>IF((B9-F9)=0,"N/A",ROUND(C9/(B9-F9)*100,1)&amp;"%")</f>
        <v/>
      </c>
    </row>
    <row r="10">
      <c r="A10" s="16" t="inlineStr">
        <is>
          <t>TOTAL</t>
        </is>
      </c>
      <c r="B10" s="16">
        <f>SUM(B4:B9)</f>
        <v/>
      </c>
      <c r="C10" s="16">
        <f>SUM(C4:C9)</f>
        <v/>
      </c>
      <c r="D10" s="16">
        <f>SUM(D4:D9)</f>
        <v/>
      </c>
      <c r="E10" s="16">
        <f>SUM(E4:E9)</f>
        <v/>
      </c>
      <c r="F10" s="16">
        <f>SUM(F4:F9)</f>
        <v/>
      </c>
      <c r="G10" s="16">
        <f>IF((B10-F10)=0,"N/A",ROUND(C10/(B10-F10)*100,1)&amp;"%")</f>
        <v/>
      </c>
    </row>
    <row r="12">
      <c r="A12" s="6" t="inlineStr">
        <is>
          <t>COMPLIANCE BY STATUS</t>
        </is>
      </c>
    </row>
    <row r="13">
      <c r="A13" s="3" t="inlineStr">
        <is>
          <t>Compliant</t>
        </is>
      </c>
      <c r="B13" s="17">
        <f>C10</f>
        <v/>
      </c>
      <c r="C13" s="4">
        <f>IF(B10=0,"",ROUND(B13/B10*100,1)&amp;"%")</f>
        <v/>
      </c>
    </row>
    <row r="14">
      <c r="A14" s="3" t="inlineStr">
        <is>
          <t>Partial</t>
        </is>
      </c>
      <c r="B14" s="18">
        <f>D10</f>
        <v/>
      </c>
      <c r="C14" s="4">
        <f>IF(B10=0,"",ROUND(B14/B10*100,1)&amp;"%")</f>
        <v/>
      </c>
    </row>
    <row r="15">
      <c r="A15" s="3" t="inlineStr">
        <is>
          <t>Non-Compliant</t>
        </is>
      </c>
      <c r="B15" s="19">
        <f>E10</f>
        <v/>
      </c>
      <c r="C15" s="4">
        <f>IF(B10=0,"",ROUND(B15/B10*100,1)&amp;"%")</f>
        <v/>
      </c>
    </row>
    <row r="16">
      <c r="A16" s="3" t="inlineStr">
        <is>
          <t>N/A</t>
        </is>
      </c>
      <c r="B16" s="20">
        <f>F10</f>
        <v/>
      </c>
      <c r="C16" s="4">
        <f>IF(B10=0,"",ROUND(B16/B10*100,1)&amp;"%")</f>
        <v/>
      </c>
    </row>
    <row r="18">
      <c r="A18" s="6" t="inlineStr">
        <is>
          <t>TOP GAPS (Manual Entry)</t>
        </is>
      </c>
    </row>
    <row r="19">
      <c r="A19" s="11" t="inlineStr">
        <is>
          <t>Priority</t>
        </is>
      </c>
      <c r="B19" s="11" t="inlineStr">
        <is>
          <t>Domain</t>
        </is>
      </c>
      <c r="C19" s="11" t="inlineStr">
        <is>
          <t>Requirement</t>
        </is>
      </c>
      <c r="D19" s="11" t="inlineStr">
        <is>
          <t>Owner</t>
        </is>
      </c>
      <c r="E19" s="11" t="inlineStr">
        <is>
          <t>Due Date</t>
        </is>
      </c>
      <c r="F19" s="11" t="inlineStr">
        <is>
          <t>Status</t>
        </is>
      </c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1">
      <c r="A31" s="6" t="inlineStr">
        <is>
          <t>COMPLIANCE TREND (Manual Entry)</t>
        </is>
      </c>
    </row>
    <row r="32">
      <c r="A32" s="11" t="inlineStr">
        <is>
          <t>Assessment Date</t>
        </is>
      </c>
      <c r="B32" s="11" t="inlineStr">
        <is>
          <t>Overall %</t>
        </is>
      </c>
      <c r="C32" s="11" t="inlineStr">
        <is>
          <t>Compliant</t>
        </is>
      </c>
      <c r="D32" s="11" t="inlineStr">
        <is>
          <t>Gaps</t>
        </is>
      </c>
      <c r="E32" s="11" t="inlineStr">
        <is>
          <t>Assessor</t>
        </is>
      </c>
      <c r="F32" s="11" t="inlineStr">
        <is>
          <t>Notes</t>
        </is>
      </c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</sheetData>
  <mergeCells count="4">
    <mergeCell ref="A31:G31"/>
    <mergeCell ref="A1:G1"/>
    <mergeCell ref="A12:G12"/>
    <mergeCell ref="A18:G18"/>
  </mergeCells>
  <dataValidations count="1">
    <dataValidation sqref="F20 F21 F22 F23 F24 F25 F26 F27 F28 F29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Physical Security Monitoring — Compliance Checklist</t>
        </is>
      </c>
    </row>
    <row r="2">
      <c r="A2" s="21" t="inlineStr">
        <is>
          <t>ISO/IEC 27001:2022 — Controls A.7.4-5-11: Physical Infrastructure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A.7.4-5-11-01</t>
        </is>
      </c>
      <c r="B4" s="23" t="inlineStr">
        <is>
          <t>Physical Security Monitoring</t>
        </is>
      </c>
      <c r="C4" s="24" t="inlineStr">
        <is>
          <t>Physical security monitoring shall detect and deter unauthorised physical access to facilities and restricted areas. Monitoring system design and implementation shall be proportionate to facility criticality.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A.7.4-5-11-02</t>
        </is>
      </c>
      <c r="B5" s="23" t="inlineStr">
        <is>
          <t>The Following Physical Security Systems</t>
        </is>
      </c>
      <c r="C5" s="24" t="inlineStr">
        <is>
          <t>The following physical security systems shall be implemented and maintained. Organisations shall specify the actual systems deployed (or document selection status) for each category:.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A.7.4-5-11-03</t>
        </is>
      </c>
      <c r="B6" s="23" t="inlineStr">
        <is>
          <t>Integration Requirements*: Where</t>
        </is>
      </c>
      <c r="C6" s="24" t="inlineStr">
        <is>
          <t>Integration requirements*: Where technically feasible, physical security systems should feed events to [SIEM] for correlation with logical security events. At minimum, access control events and intrusion detection alarms shall be forwarded.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A.7.4-5-11-04</t>
        </is>
      </c>
      <c r="B7" s="23" t="inlineStr">
        <is>
          <t>Electronic Access Control</t>
        </is>
      </c>
      <c r="C7" s="24" t="inlineStr">
        <is>
          <t>Electronic access control shall be implemented at all facility entry and exit points with authentication, event logging, and integration with identity management.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A.7.4-5-11-05</t>
        </is>
      </c>
      <c r="B8" s="23" t="inlineStr">
        <is>
          <t>Access Events (Granted, Denied, Forced</t>
        </is>
      </c>
      <c r="C8" s="24" t="inlineStr">
        <is>
          <t>Access events (granted, denied, forced door, door held open) shall be logged with timestamp, individual identity, and door identifier.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A.7.4-5-11-06</t>
        </is>
      </c>
      <c r="B9" s="23" t="inlineStr">
        <is>
          <t>Access Logs</t>
        </is>
      </c>
      <c r="C9" s="24" t="inlineStr">
        <is>
          <t>Access logs shall be retained for a minimum of 12 months.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A.7.4-5-11-07</t>
        </is>
      </c>
      <c r="B10" s="23" t="inlineStr">
        <is>
          <t>Access Rights</t>
        </is>
      </c>
      <c r="C10" s="24" t="inlineStr">
        <is>
          <t>Access rights shall be reviewed semi-annually and revoked when no longer required (e.g., role change, termination).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A.7.4-5-11-08</t>
        </is>
      </c>
      <c r="B11" s="23" t="inlineStr">
        <is>
          <t>Same-Day Access Revocation</t>
        </is>
      </c>
      <c r="C11" s="24" t="inlineStr">
        <is>
          <t>Same-day access revocation shall be enforced upon employment termination.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A.7.4-5-11-09</t>
        </is>
      </c>
      <c r="B12" s="23" t="inlineStr">
        <is>
          <t>Physical Access Rights</t>
        </is>
      </c>
      <c r="C12" s="24" t="inlineStr">
        <is>
          <t>Physical access rights shall be reviewed semi-annually using the following structured workflow:.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A.7.4-5-11-10</t>
        </is>
      </c>
      <c r="B13" s="23" t="inlineStr">
        <is>
          <t>Cctv Coverage</t>
        </is>
      </c>
      <c r="C13" s="24" t="inlineStr">
        <is>
          <t>CCTV coverage shall be provided at facility entrances, restricted area access points, and critical infrastructure locations (server rooms, utility rooms).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A.7.4-5-11-11</t>
        </is>
      </c>
      <c r="B14" s="23" t="inlineStr">
        <is>
          <t>Cctv Systems</t>
        </is>
      </c>
      <c r="C14" s="24" t="inlineStr">
        <is>
          <t>CCTV systems shall record continuously during operational hours at minimum; 24/7 recording is required for Tier 1 facilities.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A.7.4-5-11-12</t>
        </is>
      </c>
      <c r="B15" s="23" t="inlineStr">
        <is>
          <t>Cctv Systems</t>
        </is>
      </c>
      <c r="C15" s="24" t="inlineStr">
        <is>
          <t>CCTV systems shall comply with applicable data protection requirements (Swiss nFADP, cantonal regulations). Signage indicating video surveillance shall be displayed at monitored areas.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A.7.4-5-11-13</t>
        </is>
      </c>
      <c r="B16" s="23" t="inlineStr">
        <is>
          <t>Camera Health (Connectivity, Image</t>
        </is>
      </c>
      <c r="C16" s="24" t="inlineStr">
        <is>
          <t>Camera health (connectivity, image quality, storage capacity) shall be verified weekly.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A.7.4-5-11-14</t>
        </is>
      </c>
      <c r="B17" s="23" t="inlineStr">
        <is>
          <t>Intrusion Detection Systems (Ids)</t>
        </is>
      </c>
      <c r="C17" s="24" t="inlineStr">
        <is>
          <t>Intrusion detection systems (IDS) shall be installed at Tier 1 facilities, covering perimeter doors, windows, and access points to restricted areas.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A.7.4-5-11-15</t>
        </is>
      </c>
      <c r="B18" s="23" t="inlineStr">
        <is>
          <t>Be Connected To A Monitored Response</t>
        </is>
      </c>
      <c r="C18" s="24" t="inlineStr">
        <is>
          <t>Alarms shall be connected to a monitored response point (security operations, alarm monitoring service, or [Alarm Monitoring Provider]).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A.7.4-5-11-16</t>
        </is>
      </c>
      <c r="B19" s="23" t="inlineStr">
        <is>
          <t>Be Tested Quarterly To Confirm Correct</t>
        </is>
      </c>
      <c r="C19" s="24" t="inlineStr">
        <is>
          <t>IDS shall be tested quarterly to confirm correct operation.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A.7.4-5-11-17</t>
        </is>
      </c>
      <c r="B20" s="23" t="inlineStr">
        <is>
          <t>Register Upon Arrival, Receive Temporary</t>
        </is>
      </c>
      <c r="C20" s="24" t="inlineStr">
        <is>
          <t>All visitors shall register upon arrival, receive temporary identification, and be escorted in restricted areas.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A.7.4-5-11-18</t>
        </is>
      </c>
      <c r="B21" s="23" t="inlineStr">
        <is>
          <t>Visitor Records (Name, Organisation,</t>
        </is>
      </c>
      <c r="C21" s="24" t="inlineStr">
        <is>
          <t>Visitor records (name, organisation, host, arrival/departure time) shall be retained for a minimum of 12 months.</t>
        </is>
      </c>
      <c r="D21" s="25" t="n"/>
      <c r="E21" s="5" t="n"/>
      <c r="F21" s="5" t="n"/>
      <c r="G21" s="26" t="n"/>
      <c r="H21" s="5" t="n"/>
    </row>
    <row r="22" ht="40" customHeight="1">
      <c r="A22" s="22" t="inlineStr">
        <is>
          <t>A.7.4-5-11-19</t>
        </is>
      </c>
      <c r="B22" s="23" t="inlineStr">
        <is>
          <t>Visitor Badges</t>
        </is>
      </c>
      <c r="C22" s="24" t="inlineStr">
        <is>
          <t>Visitor badges shall clearly identify visitor status, deny access to restricted areas, and expire at the end of the business day on which issued.</t>
        </is>
      </c>
      <c r="D22" s="25" t="n"/>
      <c r="E22" s="5" t="n"/>
      <c r="F22" s="5" t="n"/>
      <c r="G22" s="26" t="n"/>
      <c r="H22" s="5" t="n"/>
    </row>
    <row r="23" ht="40" customHeight="1">
      <c r="A23" s="22" t="inlineStr">
        <is>
          <t>A.7.4-5-11-20</t>
        </is>
      </c>
      <c r="B23" s="23" t="inlineStr">
        <is>
          <t>Repeated Failed Access Attempts (3 Or</t>
        </is>
      </c>
      <c r="C23" s="24" t="inlineStr">
        <is>
          <t>Repeated failed access attempts (3 or more within 30 minutes) shall trigger alert and investigation.</t>
        </is>
      </c>
      <c r="D23" s="25" t="n"/>
      <c r="E23" s="5" t="n"/>
      <c r="F23" s="5" t="n"/>
      <c r="G23" s="26" t="n"/>
      <c r="H23" s="5" t="n"/>
    </row>
    <row r="24" ht="40" customHeight="1">
      <c r="A24" s="22" t="inlineStr">
        <is>
          <t>A.7.4-5-11-21</t>
        </is>
      </c>
      <c r="B24" s="23" t="inlineStr">
        <is>
          <t>The Design And Configuration Of</t>
        </is>
      </c>
      <c r="C24" s="24" t="inlineStr">
        <is>
          <t>The design and configuration of monitoring systems shall be kept confidential.</t>
        </is>
      </c>
      <c r="D24" s="25" t="n"/>
      <c r="E24" s="5" t="n"/>
      <c r="F24" s="5" t="n"/>
      <c r="G24" s="26" t="n"/>
      <c r="H24" s="5" t="n"/>
    </row>
    <row r="25" ht="40" customHeight="1">
      <c r="A25" s="22" t="inlineStr">
        <is>
          <t>A.7.4-5-11-22</t>
        </is>
      </c>
      <c r="B25" s="23" t="inlineStr">
        <is>
          <t>Monitoring Systems</t>
        </is>
      </c>
      <c r="C25" s="24" t="inlineStr">
        <is>
          <t>Monitoring systems shall be protected against tampering, unauthorised disabling, and remote interference.</t>
        </is>
      </c>
      <c r="D25" s="25" t="n"/>
      <c r="E25" s="5" t="n"/>
      <c r="F25" s="5" t="n"/>
      <c r="G25" s="26" t="n"/>
      <c r="H25" s="5" t="n"/>
    </row>
    <row r="26" ht="40" customHeight="1">
      <c r="A26" s="22" t="inlineStr">
        <is>
          <t>A.7.4-5-11-23</t>
        </is>
      </c>
      <c r="B26" s="23" t="inlineStr">
        <is>
          <t>Monitoring Equipment</t>
        </is>
      </c>
      <c r="C26" s="24" t="inlineStr">
        <is>
          <t>Monitoring equipment shall be on UPS-backed power to ensure continued operation during power interruptions.</t>
        </is>
      </c>
      <c r="D26" s="25" t="n"/>
      <c r="E26" s="5" t="n"/>
      <c r="F26" s="5" t="n"/>
      <c r="G26" s="26" t="n"/>
      <c r="H26" s="5" t="n"/>
    </row>
  </sheetData>
  <mergeCells count="2">
    <mergeCell ref="A2:H2"/>
    <mergeCell ref="A1:H1"/>
  </mergeCells>
  <conditionalFormatting sqref="D4:D2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 D22 D23 D24 D25 D2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Environmental Protection — Compliance Checklist</t>
        </is>
      </c>
    </row>
    <row r="2">
      <c r="A2" s="21" t="inlineStr">
        <is>
          <t>ISO/IEC 27001:2022 — Controls A.7.4-5-11: Physical Infrastructure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A.7.4-5-11-24</t>
        </is>
      </c>
      <c r="B4" s="23" t="inlineStr">
        <is>
          <t>Environmental Protection Controls</t>
        </is>
      </c>
      <c r="C4" s="24" t="inlineStr">
        <is>
          <t>Environmental protection controls shall prevent or mitigate damage from fire, water, climate extremes, and other physical threats. Protection levels shall be proportionate to facility criticality.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A.7.4-5-11-25</t>
        </is>
      </c>
      <c r="B5" s="23" t="inlineStr">
        <is>
          <t>An Environmental Threat Risk Assessment</t>
        </is>
      </c>
      <c r="C5" s="24" t="inlineStr">
        <is>
          <t>An environmental threat risk assessment shall be conducted for each facility, considering geographic location, building characteristics, historical events, and surrounding hazards.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A.7.4-5-11-26</t>
        </is>
      </c>
      <c r="B6" s="23" t="inlineStr">
        <is>
          <t>The Assessment</t>
        </is>
      </c>
      <c r="C6" s="24" t="inlineStr">
        <is>
          <t>The assessment shall be reviewed annually and updated following incidents or significant facility changes.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A.7.4-5-11-27</t>
        </is>
      </c>
      <c r="B7" s="23" t="inlineStr">
        <is>
          <t>Fire Detection</t>
        </is>
      </c>
      <c r="C7" s="24" t="inlineStr">
        <is>
          <t>Fire detection shall be implemented in all facilities containing information processing equipment.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A.7.4-5-11-28</t>
        </is>
      </c>
      <c r="B8" s="23" t="inlineStr">
        <is>
          <t>Notes On Suppression Agents*: Clean</t>
        </is>
      </c>
      <c r="C8" s="24" t="inlineStr">
        <is>
          <t>Notes on suppression agents*: Clean agent systems compliant with NFPA 2001 and ISO 14520 are required for occupied spaces containing electronic equipment. Water-based sprinkler systems shall not be used in server rooms or datacentres. Organisations should consider the long-term availability and environmental profile of selected agents when specifying suppression systems.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A.7.4-5-11-29</t>
        </is>
      </c>
      <c r="B9" s="23" t="inlineStr">
        <is>
          <t>Fire Doors On Security Perimeters</t>
        </is>
      </c>
      <c r="C9" s="24" t="inlineStr">
        <is>
          <t>Fire doors on security perimeters shall be alarmed, monitored, and tested in accordance with applicable fire codes.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A.7.4-5-11-30</t>
        </is>
      </c>
      <c r="B10" s="23" t="inlineStr">
        <is>
          <t>Emergency Lighting And Evacuation Routes</t>
        </is>
      </c>
      <c r="C10" s="24" t="inlineStr">
        <is>
          <t>Emergency lighting and evacuation routes shall be maintained and tested semi-annually.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A.7.4-5-11-31</t>
        </is>
      </c>
      <c r="B11" s="23" t="inlineStr">
        <is>
          <t>Water Detection Sensors</t>
        </is>
      </c>
      <c r="C11" s="24" t="inlineStr">
        <is>
          <t>Water detection sensors shall be installed in Tier 1 facilities — below raised floors, above suspended ceilings, near cooling infrastructure, and in all zones where water ingress is possible.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A.7.4-5-11-32</t>
        </is>
      </c>
      <c r="B12" s="23" t="inlineStr">
        <is>
          <t>Tier 2 Facilities</t>
        </is>
      </c>
      <c r="C12" s="24" t="inlineStr">
        <is>
          <t>Tier 2 facilities shall have water detection in high-risk areas (near plumbing, HVAC systems, ground-level rooms).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A.7.4-5-11-33</t>
        </is>
      </c>
      <c r="B13" s="23" t="inlineStr">
        <is>
          <t>Water Alarms</t>
        </is>
      </c>
      <c r="C13" s="24" t="inlineStr">
        <is>
          <t>Water alarms shall trigger immediate alert to facilities management.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A.7.4-5-11-34</t>
        </is>
      </c>
      <c r="B14" s="23" t="inlineStr">
        <is>
          <t>Implement Drainage, Waterproofing, And</t>
        </is>
      </c>
      <c r="C14" s="24" t="inlineStr">
        <is>
          <t>Facilities shall implement drainage, waterproofing, and physical barriers appropriate to identified flood risk.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A.7.4-5-11-35</t>
        </is>
      </c>
      <c r="B15" s="23" t="inlineStr">
        <is>
          <t>Information Processing Equipment</t>
        </is>
      </c>
      <c r="C15" s="24" t="inlineStr">
        <is>
          <t>Information processing equipment shall be maintained within controlled temperature and humidity ranges to prevent damage and ensure reliable operation.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A.7.4-5-11-36</t>
        </is>
      </c>
      <c r="B16" s="23" t="inlineStr">
        <is>
          <t>Tier 1 Facilities*: Temperature</t>
        </is>
      </c>
      <c r="C16" s="24" t="inlineStr">
        <is>
          <t>Tier 1 facilities*: Temperature shall be maintained within 18–27 °C with tolerance of +/- 2 °C. Continuous environmental monitoring with real-time alerting is required.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A.7.4-5-11-37</t>
        </is>
      </c>
      <c r="B17" s="23" t="inlineStr">
        <is>
          <t>Tier 2 Facilities*: Temperature</t>
        </is>
      </c>
      <c r="C17" s="24" t="inlineStr">
        <is>
          <t>Tier 2 facilities*: Temperature shall be maintained within 18–27 °C with tolerance of +/- 5 °C. Environmental monitoring with alerting during staffed hours is required.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A.7.4-5-11-38</t>
        </is>
      </c>
      <c r="B18" s="23" t="inlineStr">
        <is>
          <t>Environmental Monitoring Data</t>
        </is>
      </c>
      <c r="C18" s="24" t="inlineStr">
        <is>
          <t>Environmental monitoring data (temperature, humidity) shall be logged and retained for a minimum of 12 months.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A.7.4-5-11-39</t>
        </is>
      </c>
      <c r="B19" s="23" t="inlineStr">
        <is>
          <t>Environmental Monitoring Systems</t>
        </is>
      </c>
      <c r="C19" s="24" t="inlineStr">
        <is>
          <t>Environmental monitoring systems shall be configured with the following alert thresholds, response requirements, and escalation paths:.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A.7.4-5-11-40</t>
        </is>
      </c>
      <c r="B20" s="23" t="inlineStr">
        <is>
          <t>Alert Testing*: Environmental Monitoring</t>
        </is>
      </c>
      <c r="C20" s="24" t="inlineStr">
        <is>
          <t>Alert testing*: Environmental monitoring alert paths shall be tested quarterly (simulate threshold excursion; verify alert delivery to all configured recipients within target timeframes).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A.7.4-5-11-41</t>
        </is>
      </c>
      <c r="B21" s="23" t="inlineStr">
        <is>
          <t>Building Exterior (Roof, Walls,</t>
        </is>
      </c>
      <c r="C21" s="24" t="inlineStr">
        <is>
          <t>Building exterior (roof, walls, flooring) shall be of solid construction appropriate to identified threats.</t>
        </is>
      </c>
      <c r="D21" s="25" t="n"/>
      <c r="E21" s="5" t="n"/>
      <c r="F21" s="5" t="n"/>
      <c r="G21" s="26" t="n"/>
      <c r="H21" s="5" t="n"/>
    </row>
    <row r="22" ht="40" customHeight="1">
      <c r="A22" s="22" t="inlineStr">
        <is>
          <t>A.7.4-5-11-42</t>
        </is>
      </c>
      <c r="B22" s="23" t="inlineStr">
        <is>
          <t>Lightning Protection</t>
        </is>
      </c>
      <c r="C22" s="24" t="inlineStr">
        <is>
          <t>Lightning protection shall be applied to buildings housing information processing facilities. Surge protection shall be fitted to incoming power and telecommunications lines.</t>
        </is>
      </c>
      <c r="D22" s="25" t="n"/>
      <c r="E22" s="5" t="n"/>
      <c r="F22" s="5" t="n"/>
      <c r="G22" s="26" t="n"/>
      <c r="H22" s="5" t="n"/>
    </row>
    <row r="23" ht="40" customHeight="1">
      <c r="A23" s="22" t="inlineStr">
        <is>
          <t>A.7.4-5-11-43</t>
        </is>
      </c>
      <c r="B23" s="23" t="inlineStr">
        <is>
          <t>Equipment Siting</t>
        </is>
      </c>
      <c r="C23" s="24" t="inlineStr">
        <is>
          <t>Equipment siting shall minimise risk from identified environmental threats (e.g., avoid basement locations in flood-prone areas, avoid locations adjacent to hazardous processes).</t>
        </is>
      </c>
      <c r="D23" s="25" t="n"/>
      <c r="E23" s="5" t="n"/>
      <c r="F23" s="5" t="n"/>
      <c r="G23" s="26" t="n"/>
      <c r="H23" s="5" t="n"/>
    </row>
    <row r="24" ht="40" customHeight="1">
      <c r="A24" s="22" t="inlineStr">
        <is>
          <t>A.7.4-5-11-44</t>
        </is>
      </c>
      <c r="B24" s="23" t="inlineStr">
        <is>
          <t>Guidelines For Eating, Drinking, And</t>
        </is>
      </c>
      <c r="C24" s="24" t="inlineStr">
        <is>
          <t>Guidelines for eating, drinking, and smoking in proximity to information processing facilities shall be established and communicated.</t>
        </is>
      </c>
      <c r="D24" s="25" t="n"/>
      <c r="E24" s="5" t="n"/>
      <c r="F24" s="5" t="n"/>
      <c r="G24" s="26" t="n"/>
      <c r="H24" s="5" t="n"/>
    </row>
    <row r="25" ht="40" customHeight="1">
      <c r="A25" s="22" t="inlineStr">
        <is>
          <t>A.7.4-5-11-45</t>
        </is>
      </c>
      <c r="B25" s="23" t="inlineStr">
        <is>
          <t>Emergency Response Procedures</t>
        </is>
      </c>
      <c r="C25" s="24" t="inlineStr">
        <is>
          <t>Emergency response procedures shall be documented for environmental incidents and tested regularly. Emergency contact information shall be posted at facility entrances and within server rooms.</t>
        </is>
      </c>
      <c r="D25" s="25" t="n"/>
      <c r="E25" s="5" t="n"/>
      <c r="F25" s="5" t="n"/>
      <c r="G25" s="26" t="n"/>
      <c r="H25" s="5" t="n"/>
    </row>
    <row r="26" ht="40" customHeight="1">
      <c r="A26" s="22" t="inlineStr">
        <is>
          <t>A.7.4-5-11-46</t>
        </is>
      </c>
      <c r="B26" s="23" t="inlineStr">
        <is>
          <t>Emergency Procedures</t>
        </is>
      </c>
      <c r="C26" s="24" t="inlineStr">
        <is>
          <t>Emergency procedures shall be tested at least annually through drills or tabletop exercises.</t>
        </is>
      </c>
      <c r="D26" s="25" t="n"/>
      <c r="E26" s="5" t="n"/>
      <c r="F26" s="5" t="n"/>
      <c r="G26" s="26" t="n"/>
      <c r="H26" s="5" t="n"/>
    </row>
    <row r="27" ht="40" customHeight="1">
      <c r="A27" s="22" t="inlineStr">
        <is>
          <t>A.7.4-5-11-47</t>
        </is>
      </c>
      <c r="B27" s="23" t="inlineStr">
        <is>
          <t>Personnel With Facility Access</t>
        </is>
      </c>
      <c r="C27" s="24" t="inlineStr">
        <is>
          <t>All personnel with facility access shall complete physical security awareness training. Training is delivered annually with new-hire completion required within 10 business days of facility access being granted.</t>
        </is>
      </c>
      <c r="D27" s="25" t="n"/>
      <c r="E27" s="5" t="n"/>
      <c r="F27" s="5" t="n"/>
      <c r="G27" s="26" t="n"/>
      <c r="H27" s="5" t="n"/>
    </row>
  </sheetData>
  <mergeCells count="2">
    <mergeCell ref="A2:H2"/>
    <mergeCell ref="A1:H1"/>
  </mergeCells>
  <conditionalFormatting sqref="D4:D2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 D22 D23 D24 D25 D26 D2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Supporting Utilities — Compliance Checklist</t>
        </is>
      </c>
    </row>
    <row r="2">
      <c r="A2" s="21" t="inlineStr">
        <is>
          <t>ISO/IEC 27001:2022 — Controls A.7.4-5-11: Physical Infrastructure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A.7.4-5-11-48</t>
        </is>
      </c>
      <c r="B4" s="23" t="inlineStr">
        <is>
          <t>Utility Systems</t>
        </is>
      </c>
      <c r="C4" s="24" t="inlineStr">
        <is>
          <t>Utility systems shall be implemented with capacity and redundancy proportionate to facility criticality, and tested regularly to ensure reliability.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A.7.4-5-11-49</t>
        </is>
      </c>
      <c r="B5" s="23" t="inlineStr">
        <is>
          <t>Ups Systems</t>
        </is>
      </c>
      <c r="C5" s="24" t="inlineStr">
        <is>
          <t>UPS systems shall protect all critical information processing equipment, network infrastructure, and security systems (access control, CCTV, fire detection).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A.7.4-5-11-50</t>
        </is>
      </c>
      <c r="B6" s="23" t="inlineStr">
        <is>
          <t>Ups Systems</t>
        </is>
      </c>
      <c r="C6" s="24" t="inlineStr">
        <is>
          <t>UPS systems shall be configured to support orderly shutdown of equipment that supports critical business operations if extended outage exceeds UPS runtime.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A.7.4-5-11-51</t>
        </is>
      </c>
      <c r="B7" s="23" t="inlineStr">
        <is>
          <t>Ups Capacity</t>
        </is>
      </c>
      <c r="C7" s="24" t="inlineStr">
        <is>
          <t>UPS capacity shall be calculated using the following four-step process to ensure adequate runtime for protected equipment:.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A.7.4-5-11-52</t>
        </is>
      </c>
      <c r="B8" s="23" t="inlineStr">
        <is>
          <t>Be Inspected Weekly And Load-Tested</t>
        </is>
      </c>
      <c r="C8" s="24" t="inlineStr">
        <is>
          <t>Where generators are installed, they shall be inspected weekly and load-tested according to the testing schedule below.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A.7.4-5-11-53</t>
        </is>
      </c>
      <c r="B9" s="23" t="inlineStr">
        <is>
          <t>The Fuel Type</t>
        </is>
      </c>
      <c r="C9" s="24" t="inlineStr">
        <is>
          <t>The fuel type shall be selected based on facility requirements, local infrastructure, and environmental considerations:.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A.7.4-5-11-54</t>
        </is>
      </c>
      <c r="B10" s="23" t="inlineStr">
        <is>
          <t>Cooling Capacity</t>
        </is>
      </c>
      <c r="C10" s="24" t="inlineStr">
        <is>
          <t>Cooling capacity shall be sufficient for the current heat load plus planned growth.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A.7.4-5-11-55</t>
        </is>
      </c>
      <c r="B11" s="23" t="inlineStr">
        <is>
          <t>Cooling Systems</t>
        </is>
      </c>
      <c r="C11" s="24" t="inlineStr">
        <is>
          <t>Cooling systems shall be maintained per manufacturer service schedules, with air filters replaced at recommended intervals.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A.7.4-5-11-56</t>
        </is>
      </c>
      <c r="B12" s="23" t="inlineStr">
        <is>
          <t>Power And Telecommunications Cabling</t>
        </is>
      </c>
      <c r="C12" s="24" t="inlineStr">
        <is>
          <t>Power and telecommunications cabling carrying data or supporting information services shall be protected from interception, interference, or damage.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A.7.4-5-11-57</t>
        </is>
      </c>
      <c r="B13" s="23" t="inlineStr">
        <is>
          <t>Power Cables</t>
        </is>
      </c>
      <c r="C13" s="24" t="inlineStr">
        <is>
          <t>Power cables shall be segregated from communications cables to prevent interference.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A.7.4-5-11-58</t>
        </is>
      </c>
      <c r="B14" s="23" t="inlineStr">
        <is>
          <t>Access To Cable Rooms And Patch</t>
        </is>
      </c>
      <c r="C14" s="24" t="inlineStr">
        <is>
          <t>Access to cable rooms and patch panels shall be restricted by physical access control.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A.7.4-5-11-59</t>
        </is>
      </c>
      <c r="B15" s="23" t="inlineStr">
        <is>
          <t>Automated And Manual Failover Procedures</t>
        </is>
      </c>
      <c r="C15" s="24" t="inlineStr">
        <is>
          <t>Automated and manual failover procedures shall be documented and tested to ensure connectivity continuity:.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A.7.4-5-11-60</t>
        </is>
      </c>
      <c r="B16" s="23" t="inlineStr">
        <is>
          <t>Single-Isp Backup For Tier 2 Facilities*</t>
        </is>
      </c>
      <c r="C16" s="24" t="inlineStr">
        <is>
          <t>Single-ISP backup for Tier 2 facilities*: Where a single ISP is deployed, a 4G/5G mobile broadband failover device (e.g., Cradlepoint, Peplink, or equivalent) shall be available as backup. Failover device shall be tested quarterly to confirm SIM activation and bandwidth sufficiency for critical services.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A.7.4-5-11-61</t>
        </is>
      </c>
      <c r="B17" s="23" t="inlineStr">
        <is>
          <t>Utility Resilience Systems</t>
        </is>
      </c>
      <c r="C17" s="24" t="inlineStr">
        <is>
          <t>All utility resilience systems shall be tested at regular intervals to verify operational readiness:.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A.7.4-5-11-62</t>
        </is>
      </c>
      <c r="B18" s="23" t="inlineStr">
        <is>
          <t>Test Results</t>
        </is>
      </c>
      <c r="C18" s="24" t="inlineStr">
        <is>
          <t>Test results shall be documented with: test date, system tested, test procedure, pass/fail result, issues identified, and corrective actions. Test records shall be retained for 5 years.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A.7.4-5-11-63</t>
        </is>
      </c>
      <c r="B19" s="23" t="inlineStr">
        <is>
          <t>Failed Test Response*: Any Test Failure</t>
        </is>
      </c>
      <c r="C19" s="24" t="inlineStr">
        <is>
          <t>Failed test response*: Any test failure shall trigger immediate investigation, interim compensating controls (e.g., restrict facility use, increase monitoring), and remediation within 30 days. Repeat failures shall be escalated to the CISO.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A.7.4-5-11-64</t>
        </is>
      </c>
      <c r="B20" s="23" t="inlineStr">
        <is>
          <t>Utility Systems (Power, Cooling,</t>
        </is>
      </c>
      <c r="C20" s="24" t="inlineStr">
        <is>
          <t>Utility systems (power, cooling, telecommunications) shall be monitored in real-time with alerting for failures, threshold excursions, and degraded conditions.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A.7.4-5-11-65</t>
        </is>
      </c>
      <c r="B21" s="23" t="inlineStr">
        <is>
          <t>Utility Incidents</t>
        </is>
      </c>
      <c r="C21" s="24" t="inlineStr">
        <is>
          <t>Utility incidents shall be logged and reported per the incident management process.</t>
        </is>
      </c>
      <c r="D21" s="25" t="n"/>
      <c r="E21" s="5" t="n"/>
      <c r="F21" s="5" t="n"/>
      <c r="G21" s="26" t="n"/>
      <c r="H21" s="5" t="n"/>
    </row>
  </sheetData>
  <mergeCells count="2">
    <mergeCell ref="A2:H2"/>
    <mergeCell ref="A1:H1"/>
  </mergeCells>
  <conditionalFormatting sqref="D4:D2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Facility Criticality Tiers — Compliance Checklist</t>
        </is>
      </c>
    </row>
    <row r="2">
      <c r="A2" s="21" t="inlineStr">
        <is>
          <t>ISO/IEC 27001:2022 — Controls A.7.4-5-11: Physical Infrastructure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A.7.4-5-11-66</t>
        </is>
      </c>
      <c r="B4" s="23" t="inlineStr">
        <is>
          <t>Be Classified Into Criticality Tiers</t>
        </is>
      </c>
      <c r="C4" s="24" t="inlineStr">
        <is>
          <t>Facilities shall be classified into criticality tiers based on business impact analysis. The tier classification drives monitoring intensity, environmental protection requirements, and utility resilience levels throughout this policy.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A.7.4-5-11-67</t>
        </is>
      </c>
      <c r="B5" s="23" t="inlineStr">
        <is>
          <t>Tier Assignment Process*: System Owners,</t>
        </is>
      </c>
      <c r="C5" s="24" t="inlineStr">
        <is>
          <t>Tier assignment process*: System owners, in consultation with the Facilities Manager and CISO, shall determine the appropriate tier for each facility based on business impact analysis results. Tier assignments shall be reviewed annually.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Incident Classification — Compliance Checklist</t>
        </is>
      </c>
    </row>
    <row r="2">
      <c r="A2" s="21" t="inlineStr">
        <is>
          <t>ISO/IEC 27001:2022 — Controls A.7.4-5-11: Physical Infrastructure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A.7.4-5-11-68</t>
        </is>
      </c>
      <c r="B4" s="23" t="inlineStr">
        <is>
          <t>Physical Infrastructure Security Events</t>
        </is>
      </c>
      <c r="C4" s="24" t="inlineStr">
        <is>
          <t>Physical infrastructure security events shall be classified and responded to based on severity:.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A.7.4-5-11-69</t>
        </is>
      </c>
      <c r="B5" s="23" t="inlineStr">
        <is>
          <t>Physical Security Incidents</t>
        </is>
      </c>
      <c r="C5" s="24" t="inlineStr">
        <is>
          <t>Physical security incidents shall be reported and managed through the organisation's incident management process (A.5.24–28).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Compliance Measurement — Compliance Checklist</t>
        </is>
      </c>
    </row>
    <row r="2">
      <c r="A2" s="21" t="inlineStr">
        <is>
          <t>ISO/IEC 27001:2022 — Controls A.7.4-5-11: Physical Infrastructure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A.7.4-5-11-70</t>
        </is>
      </c>
      <c r="B4" s="23" t="inlineStr">
        <is>
          <t>Be Assessed Using The Following Weighted</t>
        </is>
      </c>
      <c r="C4" s="24" t="inlineStr">
        <is>
          <t>Compliance shall be assessed using the following weighted metrics:.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2026-02-08T11:26:17Z</dcterms:created>
  <dcterms:modified xmlns:dcterms="http://purl.org/dc/terms/" xmlns:xsi="http://www.w3.org/2001/XMLSchema-instance" xsi:type="dcterms:W3CDTF">2026-02-08T11:26:17Z</dcterms:modified>
</cp:coreProperties>
</file>