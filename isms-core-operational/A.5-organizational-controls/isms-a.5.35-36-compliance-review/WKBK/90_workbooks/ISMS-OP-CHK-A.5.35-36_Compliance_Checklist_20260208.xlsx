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udit Programme" sheetId="3" state="visible" r:id="rId3"/>
    <sheet xmlns:r="http://schemas.openxmlformats.org/officeDocument/2006/relationships" name="Independent Review of Info Sec" sheetId="4" state="visible" r:id="rId4"/>
    <sheet xmlns:r="http://schemas.openxmlformats.org/officeDocument/2006/relationships" name="Finding Severity Classification" sheetId="5" state="visible" r:id="rId5"/>
    <sheet xmlns:r="http://schemas.openxmlformats.org/officeDocument/2006/relationships" name="Corrective Action &amp; Remediation" sheetId="6" state="visible" r:id="rId6"/>
    <sheet xmlns:r="http://schemas.openxmlformats.org/officeDocument/2006/relationships" name="Compliance Verification" sheetId="7" state="visible" r:id="rId7"/>
    <sheet xmlns:r="http://schemas.openxmlformats.org/officeDocument/2006/relationships" name="Non-Conformity Management" sheetId="8" state="visible" r:id="rId8"/>
    <sheet xmlns:r="http://schemas.openxmlformats.org/officeDocument/2006/relationships" name="Risk Acceptance" sheetId="9" state="visible" r:id="rId9"/>
    <sheet xmlns:r="http://schemas.openxmlformats.org/officeDocument/2006/relationships" name="Compl Metrics and Reporting" sheetId="10" state="visible" r:id="rId10"/>
    <sheet xmlns:r="http://schemas.openxmlformats.org/officeDocument/2006/relationships" name="Improvement Inputs" sheetId="11" state="visible" r:id="rId11"/>
  </sheets>
  <definedNames>
    <definedName name="_xlnm.Print_Area" localSheetId="0">'Executive Summary'!$A$1:$H$68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4472C4"/>
      <sz val="10"/>
    </font>
    <font>
      <name val="Calibri"/>
      <b val="1"/>
      <sz val="10"/>
    </font>
    <font>
      <name val="Calibri"/>
      <color rgb="00666666"/>
      <sz val="9"/>
    </font>
    <font>
      <name val="Calibri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sz val="14"/>
    </font>
    <font>
      <name val="Calibri"/>
      <b val="1"/>
      <color rgb="00003366"/>
      <sz val="12"/>
    </font>
    <font>
      <name val="Calibri"/>
      <b val="1"/>
      <sz val="12"/>
    </font>
    <font>
      <name val="Calibri"/>
      <b val="1"/>
      <sz val="20"/>
    </font>
    <font>
      <name val="Calibri"/>
      <b val="1"/>
      <sz val="16"/>
    </font>
    <font>
      <name val="Calibri"/>
      <b val="1"/>
      <color rgb="004472C4"/>
      <sz val="14"/>
    </font>
    <font>
      <name val="Calibri"/>
      <sz val="10"/>
    </font>
  </fonts>
  <fills count="10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D9D9D9"/>
        <bgColor rgb="00D9D9D9"/>
      </patternFill>
    </fill>
    <fill>
      <patternFill patternType="solid">
        <fgColor rgb="00FFFFCC"/>
        <bgColor rgb="00FFFFCC"/>
      </patternFill>
    </fill>
    <fill>
      <patternFill patternType="solid">
        <fgColor rgb="00F2F2F2"/>
        <bgColor rgb="00F2F2F2"/>
      </patternFill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0" fontId="3" fillId="0" borderId="1" pivotButton="0" quotePrefix="0" xfId="0"/>
    <xf numFmtId="0" fontId="0" fillId="0" borderId="1" pivotButton="0" quotePrefix="0" xfId="0"/>
    <xf numFmtId="0" fontId="0" fillId="4" borderId="1" applyAlignment="1" pivotButton="0" quotePrefix="0" xfId="0">
      <alignment horizontal="left" vertical="center" wrapText="1"/>
    </xf>
    <xf numFmtId="0" fontId="7" fillId="6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top" wrapText="1"/>
    </xf>
    <xf numFmtId="0" fontId="6" fillId="0" borderId="0" pivotButton="0" quotePrefix="0" xfId="0"/>
    <xf numFmtId="0" fontId="14" fillId="0" borderId="1" pivotButton="0" quotePrefix="0" xfId="0"/>
    <xf numFmtId="0" fontId="2" fillId="5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4" fillId="0" borderId="1" pivotButton="0" quotePrefix="0" xfId="0"/>
    <xf numFmtId="0" fontId="5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4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2F2F2"/>
          <b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366"/>
    <outlinePr summaryBelow="1" summaryRight="1"/>
    <pageSetUpPr fitToPage="1"/>
  </sheetPr>
  <dimension ref="A1:H66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22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0" customHeight="1">
      <c r="A1" s="1" t="inlineStr">
        <is>
          <t>ISMS-OP-CHK-A.5.35-36 — Independent Review and Compliance Compliance Checklist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s="4" t="inlineStr">
        <is>
          <t>ISMS-OP-CHK-A.5.35-36</t>
        </is>
      </c>
    </row>
    <row r="5">
      <c r="A5" s="3" t="inlineStr">
        <is>
          <t>Source Policy</t>
        </is>
      </c>
      <c r="B5" s="4" t="inlineStr">
        <is>
          <t>ISMS-OP-POL-A.5.35-36</t>
        </is>
      </c>
    </row>
    <row r="6">
      <c r="A6" s="3" t="inlineStr">
        <is>
          <t>ISO Controls</t>
        </is>
      </c>
      <c r="B6" s="4" t="inlineStr">
        <is>
          <t>Independent Review and Compliance</t>
        </is>
      </c>
    </row>
    <row r="7">
      <c r="A7" s="3" t="inlineStr">
        <is>
          <t>Generated</t>
        </is>
      </c>
      <c r="B7" s="4" t="inlineStr">
        <is>
          <t>08.02.2026</t>
        </is>
      </c>
    </row>
    <row r="8">
      <c r="A8" s="3" t="inlineStr">
        <is>
          <t>Prepared By</t>
        </is>
      </c>
      <c r="B8" s="5" t="inlineStr"/>
    </row>
    <row r="9">
      <c r="A9" s="3" t="inlineStr">
        <is>
          <t>Organisation</t>
        </is>
      </c>
      <c r="B9" s="5" t="inlineStr"/>
    </row>
    <row r="10">
      <c r="A10" s="3" t="inlineStr">
        <is>
          <t>Review Cycle</t>
        </is>
      </c>
      <c r="B10" s="4" t="inlineStr">
        <is>
          <t>Annual</t>
        </is>
      </c>
    </row>
    <row r="12">
      <c r="A12" s="6" t="inlineStr">
        <is>
          <t>OVERALL COMPLIANCE STATUS</t>
        </is>
      </c>
    </row>
    <row r="13">
      <c r="A13" s="7" t="inlineStr">
        <is>
          <t>Overall Compliance</t>
        </is>
      </c>
      <c r="B13" s="8">
        <f>'Dashboard'!G13</f>
        <v/>
      </c>
    </row>
    <row r="14">
      <c r="A14" s="7" t="inlineStr">
        <is>
          <t>Status</t>
        </is>
      </c>
      <c r="B14" s="9">
        <f>IF(Dashboard!G13="N/A","NOT ASSESSED",IF(ISNUMBER(VALUE(SUBSTITUTE(Dashboard!G13,"%",""))),IF(VALUE(SUBSTITUTE(Dashboard!G13,"%",""))&gt;=90,"GREEN",IF(VALUE(SUBSTITUTE(Dashboard!G13,"%",""))&gt;=70,"AMBER","RED")),"NOT ASSESSED"))</f>
        <v/>
      </c>
    </row>
    <row r="16">
      <c r="A16" s="6" t="inlineStr">
        <is>
          <t>KEY METRICS</t>
        </is>
      </c>
    </row>
    <row r="17">
      <c r="A17" s="3" t="inlineStr">
        <is>
          <t>Total Requirements</t>
        </is>
      </c>
      <c r="B17" s="10">
        <f>'Dashboard'!B13</f>
        <v/>
      </c>
    </row>
    <row r="18">
      <c r="A18" s="3" t="inlineStr">
        <is>
          <t>Compliant</t>
        </is>
      </c>
      <c r="B18" s="10">
        <f>'Dashboard'!C13</f>
        <v/>
      </c>
    </row>
    <row r="19">
      <c r="A19" s="3" t="inlineStr">
        <is>
          <t>Partial</t>
        </is>
      </c>
      <c r="B19" s="10">
        <f>'Dashboard'!D13</f>
        <v/>
      </c>
    </row>
    <row r="20">
      <c r="A20" s="3" t="inlineStr">
        <is>
          <t>Non-Compliant</t>
        </is>
      </c>
      <c r="B20" s="10">
        <f>'Dashboard'!E13</f>
        <v/>
      </c>
    </row>
    <row r="21">
      <c r="A21" s="3" t="inlineStr">
        <is>
          <t>Not Applicable</t>
        </is>
      </c>
      <c r="B21" s="10">
        <f>'Dashboard'!F13</f>
        <v/>
      </c>
    </row>
    <row r="22">
      <c r="A22" s="3" t="inlineStr">
        <is>
          <t>Owner Coverage</t>
        </is>
      </c>
      <c r="B22" s="10">
        <f>IF(Dashboard!B13=0,"N/A",ROUND((COUNTA('Audit Programme'!F4:F14)+COUNTA('Independent Review of Info Sec'!F4:F23)+COUNTA('Finding Severity Classification'!F4:F4)+COUNTA('Corrective Action &amp; Remediation'!F4:F7)+COUNTA('Compliance Verification'!F4:F8)+COUNTA('Non-Conformity Management'!F4:F9)+COUNTA('Risk Acceptance'!F4:F6)+COUNTA('Compl Metrics and Reporting'!F4:F6)+COUNTA('Improvement Inputs'!F4:F6))/Dashboard!B13*100,0)&amp;"%")</f>
        <v/>
      </c>
    </row>
    <row r="24">
      <c r="A24" s="6" t="inlineStr">
        <is>
          <t>DOMAIN STATUS SUMMARY</t>
        </is>
      </c>
    </row>
    <row r="25">
      <c r="A25" s="11" t="inlineStr">
        <is>
          <t>Domain</t>
        </is>
      </c>
      <c r="B25" s="11" t="inlineStr">
        <is>
          <t>Compliance %</t>
        </is>
      </c>
      <c r="C25" s="11" t="inlineStr">
        <is>
          <t>Compliant</t>
        </is>
      </c>
      <c r="D25" s="11" t="inlineStr">
        <is>
          <t>Gaps</t>
        </is>
      </c>
      <c r="E25" s="11" t="inlineStr">
        <is>
          <t>Status</t>
        </is>
      </c>
    </row>
    <row r="26">
      <c r="A26" s="4" t="inlineStr">
        <is>
          <t>Audit Programme</t>
        </is>
      </c>
      <c r="B26" s="4">
        <f>'Dashboard'!G4</f>
        <v/>
      </c>
      <c r="C26" s="4">
        <f>'Dashboard'!C4</f>
        <v/>
      </c>
      <c r="D26" s="4">
        <f>'Dashboard'!E4</f>
        <v/>
      </c>
      <c r="E26" s="4">
        <f>IF(Dashboard!G4="N/A","--",IF(ISNUMBER(VALUE(SUBSTITUTE(Dashboard!G4,"%",""))),IF(VALUE(SUBSTITUTE(Dashboard!G4,"%",""))&gt;=90,"PASS",IF(VALUE(SUBSTITUTE(Dashboard!G4,"%",""))&gt;=70,"REVIEW","FAIL")),"--"))</f>
        <v/>
      </c>
    </row>
    <row r="27">
      <c r="A27" s="4" t="inlineStr">
        <is>
          <t>Independent Review of Info Sec</t>
        </is>
      </c>
      <c r="B27" s="4">
        <f>'Dashboard'!G5</f>
        <v/>
      </c>
      <c r="C27" s="4">
        <f>'Dashboard'!C5</f>
        <v/>
      </c>
      <c r="D27" s="4">
        <f>'Dashboard'!E5</f>
        <v/>
      </c>
      <c r="E27" s="4">
        <f>IF(Dashboard!G5="N/A","--",IF(ISNUMBER(VALUE(SUBSTITUTE(Dashboard!G5,"%",""))),IF(VALUE(SUBSTITUTE(Dashboard!G5,"%",""))&gt;=90,"PASS",IF(VALUE(SUBSTITUTE(Dashboard!G5,"%",""))&gt;=70,"REVIEW","FAIL")),"--"))</f>
        <v/>
      </c>
    </row>
    <row r="28">
      <c r="A28" s="4" t="inlineStr">
        <is>
          <t>Finding Severity Classification</t>
        </is>
      </c>
      <c r="B28" s="4">
        <f>'Dashboard'!G6</f>
        <v/>
      </c>
      <c r="C28" s="4">
        <f>'Dashboard'!C6</f>
        <v/>
      </c>
      <c r="D28" s="4">
        <f>'Dashboard'!E6</f>
        <v/>
      </c>
      <c r="E28" s="4">
        <f>IF(Dashboard!G6="N/A","--",IF(ISNUMBER(VALUE(SUBSTITUTE(Dashboard!G6,"%",""))),IF(VALUE(SUBSTITUTE(Dashboard!G6,"%",""))&gt;=90,"PASS",IF(VALUE(SUBSTITUTE(Dashboard!G6,"%",""))&gt;=70,"REVIEW","FAIL")),"--"))</f>
        <v/>
      </c>
    </row>
    <row r="29">
      <c r="A29" s="4" t="inlineStr">
        <is>
          <t>Corrective Action &amp; Remediation</t>
        </is>
      </c>
      <c r="B29" s="4">
        <f>'Dashboard'!G7</f>
        <v/>
      </c>
      <c r="C29" s="4">
        <f>'Dashboard'!C7</f>
        <v/>
      </c>
      <c r="D29" s="4">
        <f>'Dashboard'!E7</f>
        <v/>
      </c>
      <c r="E29" s="4">
        <f>IF(Dashboard!G7="N/A","--",IF(ISNUMBER(VALUE(SUBSTITUTE(Dashboard!G7,"%",""))),IF(VALUE(SUBSTITUTE(Dashboard!G7,"%",""))&gt;=90,"PASS",IF(VALUE(SUBSTITUTE(Dashboard!G7,"%",""))&gt;=70,"REVIEW","FAIL")),"--"))</f>
        <v/>
      </c>
    </row>
    <row r="30">
      <c r="A30" s="4" t="inlineStr">
        <is>
          <t>Compliance Verification</t>
        </is>
      </c>
      <c r="B30" s="4">
        <f>'Dashboard'!G8</f>
        <v/>
      </c>
      <c r="C30" s="4">
        <f>'Dashboard'!C8</f>
        <v/>
      </c>
      <c r="D30" s="4">
        <f>'Dashboard'!E8</f>
        <v/>
      </c>
      <c r="E30" s="4">
        <f>IF(Dashboard!G8="N/A","--",IF(ISNUMBER(VALUE(SUBSTITUTE(Dashboard!G8,"%",""))),IF(VALUE(SUBSTITUTE(Dashboard!G8,"%",""))&gt;=90,"PASS",IF(VALUE(SUBSTITUTE(Dashboard!G8,"%",""))&gt;=70,"REVIEW","FAIL")),"--"))</f>
        <v/>
      </c>
    </row>
    <row r="31">
      <c r="A31" s="4" t="inlineStr">
        <is>
          <t>Non-Conformity Management</t>
        </is>
      </c>
      <c r="B31" s="4">
        <f>'Dashboard'!G9</f>
        <v/>
      </c>
      <c r="C31" s="4">
        <f>'Dashboard'!C9</f>
        <v/>
      </c>
      <c r="D31" s="4">
        <f>'Dashboard'!E9</f>
        <v/>
      </c>
      <c r="E31" s="4">
        <f>IF(Dashboard!G9="N/A","--",IF(ISNUMBER(VALUE(SUBSTITUTE(Dashboard!G9,"%",""))),IF(VALUE(SUBSTITUTE(Dashboard!G9,"%",""))&gt;=90,"PASS",IF(VALUE(SUBSTITUTE(Dashboard!G9,"%",""))&gt;=70,"REVIEW","FAIL")),"--"))</f>
        <v/>
      </c>
    </row>
    <row r="32">
      <c r="A32" s="4" t="inlineStr">
        <is>
          <t>Risk Acceptance</t>
        </is>
      </c>
      <c r="B32" s="4">
        <f>'Dashboard'!G10</f>
        <v/>
      </c>
      <c r="C32" s="4">
        <f>'Dashboard'!C10</f>
        <v/>
      </c>
      <c r="D32" s="4">
        <f>'Dashboard'!E10</f>
        <v/>
      </c>
      <c r="E32" s="4">
        <f>IF(Dashboard!G10="N/A","--",IF(ISNUMBER(VALUE(SUBSTITUTE(Dashboard!G10,"%",""))),IF(VALUE(SUBSTITUTE(Dashboard!G10,"%",""))&gt;=90,"PASS",IF(VALUE(SUBSTITUTE(Dashboard!G10,"%",""))&gt;=70,"REVIEW","FAIL")),"--"))</f>
        <v/>
      </c>
    </row>
    <row r="33">
      <c r="A33" s="4" t="inlineStr">
        <is>
          <t>Compl Metrics and Reporting</t>
        </is>
      </c>
      <c r="B33" s="4">
        <f>'Dashboard'!G11</f>
        <v/>
      </c>
      <c r="C33" s="4">
        <f>'Dashboard'!C11</f>
        <v/>
      </c>
      <c r="D33" s="4">
        <f>'Dashboard'!E11</f>
        <v/>
      </c>
      <c r="E33" s="4">
        <f>IF(Dashboard!G11="N/A","--",IF(ISNUMBER(VALUE(SUBSTITUTE(Dashboard!G11,"%",""))),IF(VALUE(SUBSTITUTE(Dashboard!G11,"%",""))&gt;=90,"PASS",IF(VALUE(SUBSTITUTE(Dashboard!G11,"%",""))&gt;=70,"REVIEW","FAIL")),"--"))</f>
        <v/>
      </c>
    </row>
    <row r="34">
      <c r="A34" s="4" t="inlineStr">
        <is>
          <t>Improvement Inputs</t>
        </is>
      </c>
      <c r="B34" s="4">
        <f>'Dashboard'!G12</f>
        <v/>
      </c>
      <c r="C34" s="4">
        <f>'Dashboard'!C12</f>
        <v/>
      </c>
      <c r="D34" s="4">
        <f>'Dashboard'!E12</f>
        <v/>
      </c>
      <c r="E34" s="4">
        <f>IF(Dashboard!G12="N/A","--",IF(ISNUMBER(VALUE(SUBSTITUTE(Dashboard!G12,"%",""))),IF(VALUE(SUBSTITUTE(Dashboard!G12,"%",""))&gt;=90,"PASS",IF(VALUE(SUBSTITUTE(Dashboard!G12,"%",""))&gt;=70,"REVIEW","FAIL")),"--"))</f>
        <v/>
      </c>
    </row>
    <row r="36">
      <c r="A36" s="6" t="inlineStr">
        <is>
          <t>CRITICAL ISSUES</t>
        </is>
      </c>
    </row>
    <row r="37">
      <c r="A37" s="11" t="inlineStr">
        <is>
          <t>#</t>
        </is>
      </c>
      <c r="B37" s="11" t="inlineStr">
        <is>
          <t>Issue Description</t>
        </is>
      </c>
      <c r="C37" s="11" t="inlineStr">
        <is>
          <t>Domain</t>
        </is>
      </c>
      <c r="D37" s="11" t="inlineStr">
        <is>
          <t>Owner</t>
        </is>
      </c>
      <c r="E37" s="11" t="inlineStr">
        <is>
          <t>Due Date</t>
        </is>
      </c>
    </row>
    <row r="38">
      <c r="A38" s="4" t="n">
        <v>1</v>
      </c>
      <c r="B38" s="5" t="n"/>
      <c r="C38" s="5" t="n"/>
      <c r="D38" s="5" t="n"/>
      <c r="E38" s="5" t="n"/>
    </row>
    <row r="39">
      <c r="A39" s="4" t="n">
        <v>2</v>
      </c>
      <c r="B39" s="5" t="n"/>
      <c r="C39" s="5" t="n"/>
      <c r="D39" s="5" t="n"/>
      <c r="E39" s="5" t="n"/>
    </row>
    <row r="40">
      <c r="A40" s="4" t="n">
        <v>3</v>
      </c>
      <c r="B40" s="5" t="n"/>
      <c r="C40" s="5" t="n"/>
      <c r="D40" s="5" t="n"/>
      <c r="E40" s="5" t="n"/>
    </row>
    <row r="41">
      <c r="A41" s="4" t="n">
        <v>4</v>
      </c>
      <c r="B41" s="5" t="n"/>
      <c r="C41" s="5" t="n"/>
      <c r="D41" s="5" t="n"/>
      <c r="E41" s="5" t="n"/>
    </row>
    <row r="42">
      <c r="A42" s="4" t="n">
        <v>5</v>
      </c>
      <c r="B42" s="5" t="n"/>
      <c r="C42" s="5" t="n"/>
      <c r="D42" s="5" t="n"/>
      <c r="E42" s="5" t="n"/>
    </row>
    <row r="44">
      <c r="A44" s="6" t="inlineStr">
        <is>
          <t>MANAGEMENT COMMENTARY</t>
        </is>
      </c>
    </row>
    <row r="45" ht="60" customHeight="1">
      <c r="A45" s="12" t="inlineStr">
        <is>
          <t>[Enter management commentary on independent review and compliance posture]</t>
        </is>
      </c>
    </row>
    <row r="46"/>
    <row r="47"/>
    <row r="49">
      <c r="A49" s="6" t="inlineStr">
        <is>
          <t>APPROVAL</t>
        </is>
      </c>
    </row>
    <row r="50">
      <c r="A50" s="13" t="inlineStr">
        <is>
          <t>Assessed By</t>
        </is>
      </c>
    </row>
    <row r="51">
      <c r="A51" s="14" t="inlineStr">
        <is>
          <t>Name:</t>
        </is>
      </c>
      <c r="B51" s="5" t="n"/>
    </row>
    <row r="52">
      <c r="A52" s="14" t="inlineStr">
        <is>
          <t>Date:</t>
        </is>
      </c>
      <c r="B52" s="5" t="n"/>
    </row>
    <row r="53">
      <c r="A53" s="14" t="inlineStr">
        <is>
          <t>Signature:</t>
        </is>
      </c>
      <c r="B53" s="5" t="n"/>
    </row>
    <row r="54">
      <c r="A54" s="14" t="inlineStr">
        <is>
          <t>Decision:</t>
        </is>
      </c>
      <c r="B54" s="5" t="n"/>
    </row>
    <row r="56">
      <c r="A56" s="13" t="inlineStr">
        <is>
          <t>Reviewed By (ISO Manager)</t>
        </is>
      </c>
    </row>
    <row r="57">
      <c r="A57" s="14" t="inlineStr">
        <is>
          <t>Name:</t>
        </is>
      </c>
      <c r="B57" s="5" t="n"/>
    </row>
    <row r="58">
      <c r="A58" s="14" t="inlineStr">
        <is>
          <t>Date:</t>
        </is>
      </c>
      <c r="B58" s="5" t="n"/>
    </row>
    <row r="59">
      <c r="A59" s="14" t="inlineStr">
        <is>
          <t>Signature:</t>
        </is>
      </c>
      <c r="B59" s="5" t="n"/>
    </row>
    <row r="60">
      <c r="A60" s="14" t="inlineStr">
        <is>
          <t>Decision:</t>
        </is>
      </c>
      <c r="B60" s="5" t="n"/>
    </row>
    <row r="62">
      <c r="A62" s="13" t="inlineStr">
        <is>
          <t>Approved By (CISO)</t>
        </is>
      </c>
    </row>
    <row r="63">
      <c r="A63" s="14" t="inlineStr">
        <is>
          <t>Name:</t>
        </is>
      </c>
      <c r="B63" s="5" t="n"/>
    </row>
    <row r="64">
      <c r="A64" s="14" t="inlineStr">
        <is>
          <t>Date:</t>
        </is>
      </c>
      <c r="B64" s="5" t="n"/>
    </row>
    <row r="65">
      <c r="A65" s="14" t="inlineStr">
        <is>
          <t>Signature:</t>
        </is>
      </c>
      <c r="B65" s="5" t="n"/>
    </row>
    <row r="66">
      <c r="A66" s="14" t="inlineStr">
        <is>
          <t>Decision:</t>
        </is>
      </c>
      <c r="B66" s="5" t="n"/>
    </row>
  </sheetData>
  <mergeCells count="12">
    <mergeCell ref="A12:H12"/>
    <mergeCell ref="A62:B62"/>
    <mergeCell ref="A24:H24"/>
    <mergeCell ref="A16:H16"/>
    <mergeCell ref="A36:H36"/>
    <mergeCell ref="A49:H49"/>
    <mergeCell ref="A44:H44"/>
    <mergeCell ref="A1:H1"/>
    <mergeCell ref="A56:B56"/>
    <mergeCell ref="A3:B3"/>
    <mergeCell ref="A45:H47"/>
    <mergeCell ref="A50:B50"/>
  </mergeCells>
  <dataValidations count="1">
    <dataValidation sqref="B54 B60 B66" showDropDown="0" showInputMessage="0" showErrorMessage="0" allowBlank="1" type="list">
      <formula1>"Approved,Approved with Conditions,Not Approved"</formula1>
    </dataValidation>
  </dataValidations>
  <pageMargins left="0.75" right="0.75" top="1" bottom="1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0" customWidth="1" min="6" max="6"/>
    <col width="16" customWidth="1" min="7" max="7"/>
  </cols>
  <sheetData>
    <row r="1" ht="40" customHeight="1">
      <c r="A1" s="1" t="inlineStr">
        <is>
          <t>Independent Review and Compliance — Compliance Dashboard</t>
        </is>
      </c>
    </row>
    <row r="3">
      <c r="A3" s="11" t="inlineStr">
        <is>
          <t>Domain</t>
        </is>
      </c>
      <c r="B3" s="11" t="inlineStr">
        <is>
          <t>Total Reqs</t>
        </is>
      </c>
      <c r="C3" s="11" t="inlineStr">
        <is>
          <t>Compliant</t>
        </is>
      </c>
      <c r="D3" s="11" t="inlineStr">
        <is>
          <t>Partial</t>
        </is>
      </c>
      <c r="E3" s="11" t="inlineStr">
        <is>
          <t>Non-Compliant</t>
        </is>
      </c>
      <c r="F3" s="11" t="inlineStr">
        <is>
          <t>N/A</t>
        </is>
      </c>
      <c r="G3" s="11" t="inlineStr">
        <is>
          <t>Compliance %</t>
        </is>
      </c>
    </row>
    <row r="4">
      <c r="A4" s="3" t="inlineStr">
        <is>
          <t>Audit Programme</t>
        </is>
      </c>
      <c r="B4" s="15">
        <f>COUNTA('Audit Programme'!D4:D14)</f>
        <v/>
      </c>
      <c r="C4" s="15">
        <f>COUNTIF('Audit Programme'!D4:D14,"Compliant")</f>
        <v/>
      </c>
      <c r="D4" s="15">
        <f>COUNTIF('Audit Programme'!D4:D14,"Partial")</f>
        <v/>
      </c>
      <c r="E4" s="15">
        <f>COUNTIF('Audit Programme'!D4:D14,"Non-Compliant")</f>
        <v/>
      </c>
      <c r="F4" s="15">
        <f>COUNTIF('Audit Programme'!D4:D14,"N/A")</f>
        <v/>
      </c>
      <c r="G4" s="15">
        <f>IF((B4-F4)=0,"N/A",ROUND(C4/(B4-F4)*100,1)&amp;"%")</f>
        <v/>
      </c>
    </row>
    <row r="5">
      <c r="A5" s="3" t="inlineStr">
        <is>
          <t>Independent Review of Info Sec</t>
        </is>
      </c>
      <c r="B5" s="15">
        <f>COUNTA('Independent Review of Info Sec'!D4:D23)</f>
        <v/>
      </c>
      <c r="C5" s="15">
        <f>COUNTIF('Independent Review of Info Sec'!D4:D23,"Compliant")</f>
        <v/>
      </c>
      <c r="D5" s="15">
        <f>COUNTIF('Independent Review of Info Sec'!D4:D23,"Partial")</f>
        <v/>
      </c>
      <c r="E5" s="15">
        <f>COUNTIF('Independent Review of Info Sec'!D4:D23,"Non-Compliant")</f>
        <v/>
      </c>
      <c r="F5" s="15">
        <f>COUNTIF('Independent Review of Info Sec'!D4:D23,"N/A")</f>
        <v/>
      </c>
      <c r="G5" s="15">
        <f>IF((B5-F5)=0,"N/A",ROUND(C5/(B5-F5)*100,1)&amp;"%")</f>
        <v/>
      </c>
    </row>
    <row r="6">
      <c r="A6" s="3" t="inlineStr">
        <is>
          <t>Finding Severity Classification</t>
        </is>
      </c>
      <c r="B6" s="15">
        <f>COUNTA('Finding Severity Classification'!D4:D4)</f>
        <v/>
      </c>
      <c r="C6" s="15">
        <f>COUNTIF('Finding Severity Classification'!D4:D4,"Compliant")</f>
        <v/>
      </c>
      <c r="D6" s="15">
        <f>COUNTIF('Finding Severity Classification'!D4:D4,"Partial")</f>
        <v/>
      </c>
      <c r="E6" s="15">
        <f>COUNTIF('Finding Severity Classification'!D4:D4,"Non-Compliant")</f>
        <v/>
      </c>
      <c r="F6" s="15">
        <f>COUNTIF('Finding Severity Classification'!D4:D4,"N/A")</f>
        <v/>
      </c>
      <c r="G6" s="15">
        <f>IF((B6-F6)=0,"N/A",ROUND(C6/(B6-F6)*100,1)&amp;"%")</f>
        <v/>
      </c>
    </row>
    <row r="7">
      <c r="A7" s="3" t="inlineStr">
        <is>
          <t>Corrective Action &amp; Remediation</t>
        </is>
      </c>
      <c r="B7" s="15">
        <f>COUNTA('Corrective Action &amp; Remediation'!D4:D7)</f>
        <v/>
      </c>
      <c r="C7" s="15">
        <f>COUNTIF('Corrective Action &amp; Remediation'!D4:D7,"Compliant")</f>
        <v/>
      </c>
      <c r="D7" s="15">
        <f>COUNTIF('Corrective Action &amp; Remediation'!D4:D7,"Partial")</f>
        <v/>
      </c>
      <c r="E7" s="15">
        <f>COUNTIF('Corrective Action &amp; Remediation'!D4:D7,"Non-Compliant")</f>
        <v/>
      </c>
      <c r="F7" s="15">
        <f>COUNTIF('Corrective Action &amp; Remediation'!D4:D7,"N/A")</f>
        <v/>
      </c>
      <c r="G7" s="15">
        <f>IF((B7-F7)=0,"N/A",ROUND(C7/(B7-F7)*100,1)&amp;"%")</f>
        <v/>
      </c>
    </row>
    <row r="8">
      <c r="A8" s="3" t="inlineStr">
        <is>
          <t>Compliance Verification</t>
        </is>
      </c>
      <c r="B8" s="15">
        <f>COUNTA('Compliance Verification'!D4:D8)</f>
        <v/>
      </c>
      <c r="C8" s="15">
        <f>COUNTIF('Compliance Verification'!D4:D8,"Compliant")</f>
        <v/>
      </c>
      <c r="D8" s="15">
        <f>COUNTIF('Compliance Verification'!D4:D8,"Partial")</f>
        <v/>
      </c>
      <c r="E8" s="15">
        <f>COUNTIF('Compliance Verification'!D4:D8,"Non-Compliant")</f>
        <v/>
      </c>
      <c r="F8" s="15">
        <f>COUNTIF('Compliance Verification'!D4:D8,"N/A")</f>
        <v/>
      </c>
      <c r="G8" s="15">
        <f>IF((B8-F8)=0,"N/A",ROUND(C8/(B8-F8)*100,1)&amp;"%")</f>
        <v/>
      </c>
    </row>
    <row r="9">
      <c r="A9" s="3" t="inlineStr">
        <is>
          <t>Non-Conformity Management</t>
        </is>
      </c>
      <c r="B9" s="15">
        <f>COUNTA('Non-Conformity Management'!D4:D9)</f>
        <v/>
      </c>
      <c r="C9" s="15">
        <f>COUNTIF('Non-Conformity Management'!D4:D9,"Compliant")</f>
        <v/>
      </c>
      <c r="D9" s="15">
        <f>COUNTIF('Non-Conformity Management'!D4:D9,"Partial")</f>
        <v/>
      </c>
      <c r="E9" s="15">
        <f>COUNTIF('Non-Conformity Management'!D4:D9,"Non-Compliant")</f>
        <v/>
      </c>
      <c r="F9" s="15">
        <f>COUNTIF('Non-Conformity Management'!D4:D9,"N/A")</f>
        <v/>
      </c>
      <c r="G9" s="15">
        <f>IF((B9-F9)=0,"N/A",ROUND(C9/(B9-F9)*100,1)&amp;"%")</f>
        <v/>
      </c>
    </row>
    <row r="10">
      <c r="A10" s="3" t="inlineStr">
        <is>
          <t>Risk Acceptance</t>
        </is>
      </c>
      <c r="B10" s="15">
        <f>COUNTA('Risk Acceptance'!D4:D6)</f>
        <v/>
      </c>
      <c r="C10" s="15">
        <f>COUNTIF('Risk Acceptance'!D4:D6,"Compliant")</f>
        <v/>
      </c>
      <c r="D10" s="15">
        <f>COUNTIF('Risk Acceptance'!D4:D6,"Partial")</f>
        <v/>
      </c>
      <c r="E10" s="15">
        <f>COUNTIF('Risk Acceptance'!D4:D6,"Non-Compliant")</f>
        <v/>
      </c>
      <c r="F10" s="15">
        <f>COUNTIF('Risk Acceptance'!D4:D6,"N/A")</f>
        <v/>
      </c>
      <c r="G10" s="15">
        <f>IF((B10-F10)=0,"N/A",ROUND(C10/(B10-F10)*100,1)&amp;"%")</f>
        <v/>
      </c>
    </row>
    <row r="11">
      <c r="A11" s="3" t="inlineStr">
        <is>
          <t>Compl Metrics and Reporting</t>
        </is>
      </c>
      <c r="B11" s="15">
        <f>COUNTA('Compl Metrics and Reporting'!D4:D6)</f>
        <v/>
      </c>
      <c r="C11" s="15">
        <f>COUNTIF('Compl Metrics and Reporting'!D4:D6,"Compliant")</f>
        <v/>
      </c>
      <c r="D11" s="15">
        <f>COUNTIF('Compl Metrics and Reporting'!D4:D6,"Partial")</f>
        <v/>
      </c>
      <c r="E11" s="15">
        <f>COUNTIF('Compl Metrics and Reporting'!D4:D6,"Non-Compliant")</f>
        <v/>
      </c>
      <c r="F11" s="15">
        <f>COUNTIF('Compl Metrics and Reporting'!D4:D6,"N/A")</f>
        <v/>
      </c>
      <c r="G11" s="15">
        <f>IF((B11-F11)=0,"N/A",ROUND(C11/(B11-F11)*100,1)&amp;"%")</f>
        <v/>
      </c>
    </row>
    <row r="12">
      <c r="A12" s="3" t="inlineStr">
        <is>
          <t>Improvement Inputs</t>
        </is>
      </c>
      <c r="B12" s="15">
        <f>COUNTA('Improvement Inputs'!D4:D6)</f>
        <v/>
      </c>
      <c r="C12" s="15">
        <f>COUNTIF('Improvement Inputs'!D4:D6,"Compliant")</f>
        <v/>
      </c>
      <c r="D12" s="15">
        <f>COUNTIF('Improvement Inputs'!D4:D6,"Partial")</f>
        <v/>
      </c>
      <c r="E12" s="15">
        <f>COUNTIF('Improvement Inputs'!D4:D6,"Non-Compliant")</f>
        <v/>
      </c>
      <c r="F12" s="15">
        <f>COUNTIF('Improvement Inputs'!D4:D6,"N/A")</f>
        <v/>
      </c>
      <c r="G12" s="15">
        <f>IF((B12-F12)=0,"N/A",ROUND(C12/(B12-F12)*100,1)&amp;"%")</f>
        <v/>
      </c>
    </row>
    <row r="13">
      <c r="A13" s="16" t="inlineStr">
        <is>
          <t>TOTAL</t>
        </is>
      </c>
      <c r="B13" s="16">
        <f>SUM(B4:B12)</f>
        <v/>
      </c>
      <c r="C13" s="16">
        <f>SUM(C4:C12)</f>
        <v/>
      </c>
      <c r="D13" s="16">
        <f>SUM(D4:D12)</f>
        <v/>
      </c>
      <c r="E13" s="16">
        <f>SUM(E4:E12)</f>
        <v/>
      </c>
      <c r="F13" s="16">
        <f>SUM(F4:F12)</f>
        <v/>
      </c>
      <c r="G13" s="16">
        <f>IF((B13-F13)=0,"N/A",ROUND(C13/(B13-F13)*100,1)&amp;"%")</f>
        <v/>
      </c>
    </row>
    <row r="15">
      <c r="A15" s="6" t="inlineStr">
        <is>
          <t>COMPLIANCE BY STATUS</t>
        </is>
      </c>
    </row>
    <row r="16">
      <c r="A16" s="3" t="inlineStr">
        <is>
          <t>Compliant</t>
        </is>
      </c>
      <c r="B16" s="17">
        <f>C13</f>
        <v/>
      </c>
      <c r="C16" s="4">
        <f>IF(B13=0,"",ROUND(B16/B13*100,1)&amp;"%")</f>
        <v/>
      </c>
    </row>
    <row r="17">
      <c r="A17" s="3" t="inlineStr">
        <is>
          <t>Partial</t>
        </is>
      </c>
      <c r="B17" s="18">
        <f>D13</f>
        <v/>
      </c>
      <c r="C17" s="4">
        <f>IF(B13=0,"",ROUND(B17/B13*100,1)&amp;"%")</f>
        <v/>
      </c>
    </row>
    <row r="18">
      <c r="A18" s="3" t="inlineStr">
        <is>
          <t>Non-Compliant</t>
        </is>
      </c>
      <c r="B18" s="19">
        <f>E13</f>
        <v/>
      </c>
      <c r="C18" s="4">
        <f>IF(B13=0,"",ROUND(B18/B13*100,1)&amp;"%")</f>
        <v/>
      </c>
    </row>
    <row r="19">
      <c r="A19" s="3" t="inlineStr">
        <is>
          <t>N/A</t>
        </is>
      </c>
      <c r="B19" s="20">
        <f>F13</f>
        <v/>
      </c>
      <c r="C19" s="4">
        <f>IF(B13=0,"",ROUND(B19/B13*100,1)&amp;"%")</f>
        <v/>
      </c>
    </row>
    <row r="21">
      <c r="A21" s="6" t="inlineStr">
        <is>
          <t>TOP GAPS (Manual Entry)</t>
        </is>
      </c>
    </row>
    <row r="22">
      <c r="A22" s="11" t="inlineStr">
        <is>
          <t>Priority</t>
        </is>
      </c>
      <c r="B22" s="11" t="inlineStr">
        <is>
          <t>Domain</t>
        </is>
      </c>
      <c r="C22" s="11" t="inlineStr">
        <is>
          <t>Requirement</t>
        </is>
      </c>
      <c r="D22" s="11" t="inlineStr">
        <is>
          <t>Owner</t>
        </is>
      </c>
      <c r="E22" s="11" t="inlineStr">
        <is>
          <t>Due Date</t>
        </is>
      </c>
      <c r="F22" s="11" t="inlineStr">
        <is>
          <t>Status</t>
        </is>
      </c>
    </row>
    <row r="23">
      <c r="A23" s="5" t="n"/>
      <c r="B23" s="5" t="n"/>
      <c r="C23" s="5" t="n"/>
      <c r="D23" s="5" t="n"/>
      <c r="E23" s="5" t="n"/>
      <c r="F23" s="5" t="n"/>
    </row>
    <row r="24">
      <c r="A24" s="5" t="n"/>
      <c r="B24" s="5" t="n"/>
      <c r="C24" s="5" t="n"/>
      <c r="D24" s="5" t="n"/>
      <c r="E24" s="5" t="n"/>
      <c r="F24" s="5" t="n"/>
    </row>
    <row r="25">
      <c r="A25" s="5" t="n"/>
      <c r="B25" s="5" t="n"/>
      <c r="C25" s="5" t="n"/>
      <c r="D25" s="5" t="n"/>
      <c r="E25" s="5" t="n"/>
      <c r="F25" s="5" t="n"/>
    </row>
    <row r="26">
      <c r="A26" s="5" t="n"/>
      <c r="B26" s="5" t="n"/>
      <c r="C26" s="5" t="n"/>
      <c r="D26" s="5" t="n"/>
      <c r="E26" s="5" t="n"/>
      <c r="F26" s="5" t="n"/>
    </row>
    <row r="27">
      <c r="A27" s="5" t="n"/>
      <c r="B27" s="5" t="n"/>
      <c r="C27" s="5" t="n"/>
      <c r="D27" s="5" t="n"/>
      <c r="E27" s="5" t="n"/>
      <c r="F27" s="5" t="n"/>
    </row>
    <row r="28">
      <c r="A28" s="5" t="n"/>
      <c r="B28" s="5" t="n"/>
      <c r="C28" s="5" t="n"/>
      <c r="D28" s="5" t="n"/>
      <c r="E28" s="5" t="n"/>
      <c r="F28" s="5" t="n"/>
    </row>
    <row r="29">
      <c r="A29" s="5" t="n"/>
      <c r="B29" s="5" t="n"/>
      <c r="C29" s="5" t="n"/>
      <c r="D29" s="5" t="n"/>
      <c r="E29" s="5" t="n"/>
      <c r="F29" s="5" t="n"/>
    </row>
    <row r="30">
      <c r="A30" s="5" t="n"/>
      <c r="B30" s="5" t="n"/>
      <c r="C30" s="5" t="n"/>
      <c r="D30" s="5" t="n"/>
      <c r="E30" s="5" t="n"/>
      <c r="F30" s="5" t="n"/>
    </row>
    <row r="31">
      <c r="A31" s="5" t="n"/>
      <c r="B31" s="5" t="n"/>
      <c r="C31" s="5" t="n"/>
      <c r="D31" s="5" t="n"/>
      <c r="E31" s="5" t="n"/>
      <c r="F31" s="5" t="n"/>
    </row>
    <row r="32">
      <c r="A32" s="5" t="n"/>
      <c r="B32" s="5" t="n"/>
      <c r="C32" s="5" t="n"/>
      <c r="D32" s="5" t="n"/>
      <c r="E32" s="5" t="n"/>
      <c r="F32" s="5" t="n"/>
    </row>
    <row r="34">
      <c r="A34" s="6" t="inlineStr">
        <is>
          <t>COMPLIANCE TREND (Manual Entry)</t>
        </is>
      </c>
    </row>
    <row r="35">
      <c r="A35" s="11" t="inlineStr">
        <is>
          <t>Assessment Date</t>
        </is>
      </c>
      <c r="B35" s="11" t="inlineStr">
        <is>
          <t>Overall %</t>
        </is>
      </c>
      <c r="C35" s="11" t="inlineStr">
        <is>
          <t>Compliant</t>
        </is>
      </c>
      <c r="D35" s="11" t="inlineStr">
        <is>
          <t>Gaps</t>
        </is>
      </c>
      <c r="E35" s="11" t="inlineStr">
        <is>
          <t>Assessor</t>
        </is>
      </c>
      <c r="F35" s="11" t="inlineStr">
        <is>
          <t>Notes</t>
        </is>
      </c>
    </row>
    <row r="36">
      <c r="A36" s="5" t="n"/>
      <c r="B36" s="5" t="n"/>
      <c r="C36" s="5" t="n"/>
      <c r="D36" s="5" t="n"/>
      <c r="E36" s="5" t="n"/>
      <c r="F36" s="5" t="n"/>
    </row>
    <row r="37">
      <c r="A37" s="5" t="n"/>
      <c r="B37" s="5" t="n"/>
      <c r="C37" s="5" t="n"/>
      <c r="D37" s="5" t="n"/>
      <c r="E37" s="5" t="n"/>
      <c r="F37" s="5" t="n"/>
    </row>
    <row r="38">
      <c r="A38" s="5" t="n"/>
      <c r="B38" s="5" t="n"/>
      <c r="C38" s="5" t="n"/>
      <c r="D38" s="5" t="n"/>
      <c r="E38" s="5" t="n"/>
      <c r="F38" s="5" t="n"/>
    </row>
    <row r="39">
      <c r="A39" s="5" t="n"/>
      <c r="B39" s="5" t="n"/>
      <c r="C39" s="5" t="n"/>
      <c r="D39" s="5" t="n"/>
      <c r="E39" s="5" t="n"/>
      <c r="F39" s="5" t="n"/>
    </row>
  </sheetData>
  <mergeCells count="4">
    <mergeCell ref="A34:G34"/>
    <mergeCell ref="A21:G21"/>
    <mergeCell ref="A1:G1"/>
    <mergeCell ref="A15:G15"/>
  </mergeCells>
  <dataValidations count="1">
    <dataValidation sqref="F23 F24 F25 F26 F27 F28 F29 F30 F31 F32" showDropDown="0" showInputMessage="0" showErrorMessage="0" allowBlank="1" type="list">
      <formula1>"Open,In Progress,Closed,Deferred"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H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Audit Programme — Compliance Checklist</t>
        </is>
      </c>
    </row>
    <row r="2">
      <c r="A2" s="21" t="inlineStr">
        <is>
          <t>ISO/IEC 27001:2022 — Controls A.5.35-36: Independent Review and Compliance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A.5.35-36-01</t>
        </is>
      </c>
      <c r="B4" s="23" t="inlineStr">
        <is>
          <t>Internal Audits</t>
        </is>
      </c>
      <c r="C4" s="24" t="inlineStr">
        <is>
          <t>Internal audits shall be conducted to assess the effectiveness of the information security management system and the controls documented in the Statement of Applicability.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A.5.35-36-02</t>
        </is>
      </c>
      <c r="B5" s="23" t="inlineStr">
        <is>
          <t>Internal Audits</t>
        </is>
      </c>
      <c r="C5" s="24" t="inlineStr">
        <is>
          <t>Internal audits shall be planned annually, based on risk and business need, ensuring all ISMS areas are covered over the [specify: 1-year / 3-year] audit cycle.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A.5.35-36-03</t>
        </is>
      </c>
      <c r="B6" s="23" t="inlineStr">
        <is>
          <t>Annual Audit Programme</t>
        </is>
      </c>
      <c r="C6" s="24" t="inlineStr">
        <is>
          <t>Annual audit programme shall prioritise:.</t>
        </is>
      </c>
      <c r="D6" s="25" t="n"/>
      <c r="E6" s="5" t="n"/>
      <c r="F6" s="5" t="n"/>
      <c r="G6" s="26" t="n"/>
      <c r="H6" s="5" t="n"/>
    </row>
    <row r="7" ht="40" customHeight="1">
      <c r="A7" s="22" t="inlineStr">
        <is>
          <t>A.5.35-36-04</t>
        </is>
      </c>
      <c r="B7" s="23" t="inlineStr">
        <is>
          <t>The Annual Audit Plan</t>
        </is>
      </c>
      <c r="C7" s="24" t="inlineStr">
        <is>
          <t>The annual audit plan shall be approved by the Management Review Team by [month, e.g., December] for the following year.</t>
        </is>
      </c>
      <c r="D7" s="25" t="n"/>
      <c r="E7" s="5" t="n"/>
      <c r="F7" s="5" t="n"/>
      <c r="G7" s="26" t="n"/>
      <c r="H7" s="5" t="n"/>
    </row>
    <row r="8" ht="40" customHeight="1">
      <c r="A8" s="22" t="inlineStr">
        <is>
          <t>A.5.35-36-05</t>
        </is>
      </c>
      <c r="B8" s="23" t="inlineStr">
        <is>
          <t>Internal Audits</t>
        </is>
      </c>
      <c r="C8" s="24" t="inlineStr">
        <is>
          <t>Internal audits shall be conducted by individuals independent of the area being audited (i.e., auditors shall not audit their own work).</t>
        </is>
      </c>
      <c r="D8" s="25" t="n"/>
      <c r="E8" s="5" t="n"/>
      <c r="F8" s="5" t="n"/>
      <c r="G8" s="26" t="n"/>
      <c r="H8" s="5" t="n"/>
    </row>
    <row r="9" ht="40" customHeight="1">
      <c r="A9" s="22" t="inlineStr">
        <is>
          <t>A.5.35-36-06</t>
        </is>
      </c>
      <c r="B9" s="23" t="inlineStr">
        <is>
          <t>Internal Audit Results</t>
        </is>
      </c>
      <c r="C9" s="24" t="inlineStr">
        <is>
          <t>Internal audit results shall be reported to and overseen by the Management Review Team.</t>
        </is>
      </c>
      <c r="D9" s="25" t="n"/>
      <c r="E9" s="5" t="n"/>
      <c r="F9" s="5" t="n"/>
      <c r="G9" s="26" t="n"/>
      <c r="H9" s="5" t="n"/>
    </row>
    <row r="10" ht="40" customHeight="1">
      <c r="A10" s="22" t="inlineStr">
        <is>
          <t>A.5.35-36-07</t>
        </is>
      </c>
      <c r="B10" s="23" t="inlineStr">
        <is>
          <t>External Certification Audits</t>
        </is>
      </c>
      <c r="C10" s="24" t="inlineStr">
        <is>
          <t>External certification audits shall be conducted to assess the effectiveness of the information security management system and the controls documented in the Statement of Applicability.</t>
        </is>
      </c>
      <c r="D10" s="25" t="n"/>
      <c r="E10" s="5" t="n"/>
      <c r="F10" s="5" t="n"/>
      <c r="G10" s="26" t="n"/>
      <c r="H10" s="5" t="n"/>
    </row>
    <row r="11" ht="40" customHeight="1">
      <c r="A11" s="22" t="inlineStr">
        <is>
          <t>A.5.35-36-08</t>
        </is>
      </c>
      <c r="B11" s="23" t="inlineStr">
        <is>
          <t>External Certification Audits</t>
        </is>
      </c>
      <c r="C11" s="24" t="inlineStr">
        <is>
          <t>External certification audits shall be conducted per the certification body's requirements and schedule.</t>
        </is>
      </c>
      <c r="D11" s="25" t="n"/>
      <c r="E11" s="5" t="n"/>
      <c r="F11" s="5" t="n"/>
      <c r="G11" s="26" t="n"/>
      <c r="H11" s="5" t="n"/>
    </row>
    <row r="12" ht="40" customHeight="1">
      <c r="A12" s="22" t="inlineStr">
        <is>
          <t>A.5.35-36-09</t>
        </is>
      </c>
      <c r="B12" s="23" t="inlineStr">
        <is>
          <t>External Audit Results</t>
        </is>
      </c>
      <c r="C12" s="24" t="inlineStr">
        <is>
          <t>External audit results shall be reported to and overseen by the Management Review Team.</t>
        </is>
      </c>
      <c r="D12" s="25" t="n"/>
      <c r="E12" s="5" t="n"/>
      <c r="F12" s="5" t="n"/>
      <c r="G12" s="26" t="n"/>
      <c r="H12" s="5" t="n"/>
    </row>
    <row r="13" ht="40" customHeight="1">
      <c r="A13" s="22" t="inlineStr">
        <is>
          <t>A.5.35-36-10</t>
        </is>
      </c>
      <c r="B13" s="23" t="inlineStr">
        <is>
          <t>Client And Third-Party Audits</t>
        </is>
      </c>
      <c r="C13" s="24" t="inlineStr">
        <is>
          <t>Client and third-party audits shall be conducted subject to a contract and/or non-disclosure agreement being in place.</t>
        </is>
      </c>
      <c r="D13" s="25" t="n"/>
      <c r="E13" s="5" t="n"/>
      <c r="F13" s="5" t="n"/>
      <c r="G13" s="26" t="n"/>
      <c r="H13" s="5" t="n"/>
    </row>
    <row r="14" ht="40" customHeight="1">
      <c r="A14" s="22" t="inlineStr">
        <is>
          <t>A.5.35-36-11</t>
        </is>
      </c>
      <c r="B14" s="23" t="inlineStr">
        <is>
          <t>Be Reported To And Overseen By</t>
        </is>
      </c>
      <c r="C14" s="24" t="inlineStr">
        <is>
          <t>Results shall be reported to and overseen by the Management Review Team.</t>
        </is>
      </c>
      <c r="D14" s="25" t="n"/>
      <c r="E14" s="5" t="n"/>
      <c r="F14" s="5" t="n"/>
      <c r="G14" s="26" t="n"/>
      <c r="H14" s="5" t="n"/>
    </row>
  </sheetData>
  <mergeCells count="2">
    <mergeCell ref="A2:H2"/>
    <mergeCell ref="A1:H1"/>
  </mergeCells>
  <conditionalFormatting sqref="D4:D14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 D7 D8 D9 D10 D11 D12 D13 D14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4472C4"/>
    <outlinePr summaryBelow="1" summaryRight="1"/>
    <pageSetUpPr/>
  </sheetPr>
  <dimension ref="A1:H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Independent Review of Info Sec — Compliance Checklist</t>
        </is>
      </c>
    </row>
    <row r="2">
      <c r="A2" s="21" t="inlineStr">
        <is>
          <t>ISO/IEC 27001:2022 — Controls A.5.35-36: Independent Review and Compliance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A.5.35-36-12</t>
        </is>
      </c>
      <c r="B4" s="23" t="inlineStr">
        <is>
          <t>Independent Reviews Of The</t>
        </is>
      </c>
      <c r="C4" s="24" t="inlineStr">
        <is>
          <t>Independent reviews of the organisation's approach to managing information security shall be conducted:.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A.5.35-36-13</t>
        </is>
      </c>
      <c r="B5" s="23" t="inlineStr">
        <is>
          <t>Be Conducted By Persons Independent Of</t>
        </is>
      </c>
      <c r="C5" s="24" t="inlineStr">
        <is>
          <t>Reviews shall be conducted by persons independent of the area being reviewed to prevent 'marking your own homework.' Independence may be achieved through:.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A.5.35-36-14</t>
        </is>
      </c>
      <c r="B6" s="23" t="inlineStr">
        <is>
          <t>Possess Appropriate Competence To</t>
        </is>
      </c>
      <c r="C6" s="24" t="inlineStr">
        <is>
          <t>Reviewers shall possess appropriate competence to conduct information security reviews, demonstrated through:.</t>
        </is>
      </c>
      <c r="D6" s="25" t="n"/>
      <c r="E6" s="5" t="n"/>
      <c r="F6" s="5" t="n"/>
      <c r="G6" s="26" t="n"/>
      <c r="H6" s="5" t="n"/>
    </row>
    <row r="7" ht="40" customHeight="1">
      <c r="A7" s="22" t="inlineStr">
        <is>
          <t>A.5.35-36-15</t>
        </is>
      </c>
      <c r="B7" s="23" t="inlineStr">
        <is>
          <t>Reviewer Qualifications</t>
        </is>
      </c>
      <c r="C7" s="24" t="inlineStr">
        <is>
          <t>Reviewer qualifications shall be verified and documented before assignment to review activities.</t>
        </is>
      </c>
      <c r="D7" s="25" t="n"/>
      <c r="E7" s="5" t="n"/>
      <c r="F7" s="5" t="n"/>
      <c r="G7" s="26" t="n"/>
      <c r="H7" s="5" t="n"/>
    </row>
    <row r="8" ht="40" customHeight="1">
      <c r="A8" s="22" t="inlineStr">
        <is>
          <t>A.5.35-36-16</t>
        </is>
      </c>
      <c r="B8" s="23" t="inlineStr">
        <is>
          <t>Independent Reviews</t>
        </is>
      </c>
      <c r="C8" s="24" t="inlineStr">
        <is>
          <t>Independent reviews shall assess whether the organisation's information security approach:.</t>
        </is>
      </c>
      <c r="D8" s="25" t="n"/>
      <c r="E8" s="5" t="n"/>
      <c r="F8" s="5" t="n"/>
      <c r="G8" s="26" t="n"/>
      <c r="H8" s="5" t="n"/>
    </row>
    <row r="9" ht="40" customHeight="1">
      <c r="A9" s="22" t="inlineStr">
        <is>
          <t>A.5.35-36-17</t>
        </is>
      </c>
      <c r="B9" s="23" t="inlineStr">
        <is>
          <t>Review'S Scope</t>
        </is>
      </c>
      <c r="C9" s="24" t="inlineStr">
        <is>
          <t>Each review's scope shall be documented in advance, including: controls and areas to be reviewed, time period covered, review methodology, documentation and evidence requirements, and planned interviews and assessments.</t>
        </is>
      </c>
      <c r="D9" s="25" t="n"/>
      <c r="E9" s="5" t="n"/>
      <c r="F9" s="5" t="n"/>
      <c r="G9" s="26" t="n"/>
      <c r="H9" s="5" t="n"/>
    </row>
    <row r="10" ht="40" customHeight="1">
      <c r="A10" s="22" t="inlineStr">
        <is>
          <t>A.5.35-36-18</t>
        </is>
      </c>
      <c r="B10" s="23" t="inlineStr">
        <is>
          <t>Independent Reviews</t>
        </is>
      </c>
      <c r="C10" s="24" t="inlineStr">
        <is>
          <t>Independent reviews shall follow a documented plan covering objectives, criteria, sampling methodology, timeline, resource requirements, and reporting requirements.</t>
        </is>
      </c>
      <c r="D10" s="25" t="n"/>
      <c r="E10" s="5" t="n"/>
      <c r="F10" s="5" t="n"/>
      <c r="G10" s="26" t="n"/>
      <c r="H10" s="5" t="n"/>
    </row>
    <row r="11" ht="40" customHeight="1">
      <c r="A11" s="22" t="inlineStr">
        <is>
          <t>A.5.35-36-19</t>
        </is>
      </c>
      <c r="B11" s="23" t="inlineStr">
        <is>
          <t>Be Evidence-Based. Evidence Collected</t>
        </is>
      </c>
      <c r="C11" s="24" t="inlineStr">
        <is>
          <t>Reviews shall be evidence-based. Evidence collected during reviews shall be retained in the ISMS Evidence Library: [Specify: SharePoint site URL, Confluence space, GRC platform, or equivalent].</t>
        </is>
      </c>
      <c r="D11" s="25" t="n"/>
      <c r="E11" s="5" t="n"/>
      <c r="F11" s="5" t="n"/>
      <c r="G11" s="26" t="n"/>
      <c r="H11" s="5" t="n"/>
    </row>
    <row r="12" ht="40" customHeight="1">
      <c r="A12" s="22" t="inlineStr">
        <is>
          <t>A.5.35-36-20</t>
        </is>
      </c>
      <c r="B12" s="23" t="inlineStr">
        <is>
          <t>Evidence Retained</t>
        </is>
      </c>
      <c r="C12" s="24" t="inlineStr">
        <is>
          <t>Evidence retained shall include: documentation reviewed, interview notes, observation records, technical assessment results, and sampling records.</t>
        </is>
      </c>
      <c r="D12" s="25" t="n"/>
      <c r="E12" s="5" t="n"/>
      <c r="F12" s="5" t="n"/>
      <c r="G12" s="26" t="n"/>
      <c r="H12" s="5" t="n"/>
    </row>
    <row r="13" ht="40" customHeight="1">
      <c r="A13" s="22" t="inlineStr">
        <is>
          <t>A.5.35-36-21</t>
        </is>
      </c>
      <c r="B13" s="23" t="inlineStr">
        <is>
          <t>Review Findings</t>
        </is>
      </c>
      <c r="C13" s="24" t="inlineStr">
        <is>
          <t>Review findings shall be documented in a formal review report and communicated to appropriate management levels.</t>
        </is>
      </c>
      <c r="D13" s="25" t="n"/>
      <c r="E13" s="5" t="n"/>
      <c r="F13" s="5" t="n"/>
      <c r="G13" s="26" t="n"/>
      <c r="H13" s="5" t="n"/>
    </row>
    <row r="14" ht="40" customHeight="1">
      <c r="A14" s="22" t="inlineStr">
        <is>
          <t>A.5.35-36-22</t>
        </is>
      </c>
      <c r="B14" s="23" t="inlineStr">
        <is>
          <t>Audit And Review Activities</t>
        </is>
      </c>
      <c r="C14" s="24" t="inlineStr">
        <is>
          <t>Audit and review activities shall not compromise the security, availability, or integrity of production systems or data (ISO 27001:2022 Control A.8.34).</t>
        </is>
      </c>
      <c r="D14" s="25" t="n"/>
      <c r="E14" s="5" t="n"/>
      <c r="F14" s="5" t="n"/>
      <c r="G14" s="26" t="n"/>
      <c r="H14" s="5" t="n"/>
    </row>
    <row r="15" ht="40" customHeight="1">
      <c r="A15" s="22" t="inlineStr">
        <is>
          <t>A.5.35-36-23</t>
        </is>
      </c>
      <c r="B15" s="23" t="inlineStr">
        <is>
          <t>Approved Tools Only: Auditors</t>
        </is>
      </c>
      <c r="C15" s="24" t="inlineStr">
        <is>
          <t>Approved tools only: Auditors shall use pre-approved security assessment tools and scanning software. Approval list maintained by CISO.</t>
        </is>
      </c>
      <c r="D15" s="25" t="n"/>
      <c r="E15" s="5" t="n"/>
      <c r="F15" s="5" t="n"/>
      <c r="G15" s="26" t="n"/>
      <c r="H15" s="5" t="n"/>
    </row>
    <row r="16" ht="40" customHeight="1">
      <c r="A16" s="22" t="inlineStr">
        <is>
          <t>A.5.35-36-24</t>
        </is>
      </c>
      <c r="B16" s="23" t="inlineStr">
        <is>
          <t>Change Management: Intrusive Testing</t>
        </is>
      </c>
      <c r="C16" s="24" t="inlineStr">
        <is>
          <t>Change management: Intrusive testing (penetration testing, vulnerability scanning with exploits) shall follow the change management process with risk assessment and rollback plan.</t>
        </is>
      </c>
      <c r="D16" s="25" t="n"/>
      <c r="E16" s="5" t="n"/>
      <c r="F16" s="5" t="n"/>
      <c r="G16" s="26" t="n"/>
      <c r="H16" s="5" t="n"/>
    </row>
    <row r="17" ht="40" customHeight="1">
      <c r="A17" s="22" t="inlineStr">
        <is>
          <t>A.5.35-36-25</t>
        </is>
      </c>
      <c r="B17" s="23" t="inlineStr">
        <is>
          <t>Non-Production First: Testing</t>
        </is>
      </c>
      <c r="C17" s="24" t="inlineStr">
        <is>
          <t>Non-production first: Testing shall be performed in non-production environments where feasible; production testing requires CISO approval and business owner acceptance.</t>
        </is>
      </c>
      <c r="D17" s="25" t="n"/>
      <c r="E17" s="5" t="n"/>
      <c r="F17" s="5" t="n"/>
      <c r="G17" s="26" t="n"/>
      <c r="H17" s="5" t="n"/>
    </row>
    <row r="18" ht="40" customHeight="1">
      <c r="A18" s="22" t="inlineStr">
        <is>
          <t>A.5.35-36-26</t>
        </is>
      </c>
      <c r="B18" s="23" t="inlineStr">
        <is>
          <t>Time Windows: Testing</t>
        </is>
      </c>
      <c r="C18" s="24" t="inlineStr">
        <is>
          <t>Time windows: Testing shall be scheduled during approved maintenance windows or low-impact periods.</t>
        </is>
      </c>
      <c r="D18" s="25" t="n"/>
      <c r="E18" s="5" t="n"/>
      <c r="F18" s="5" t="n"/>
      <c r="G18" s="26" t="n"/>
      <c r="H18" s="5" t="n"/>
    </row>
    <row r="19" ht="40" customHeight="1">
      <c r="A19" s="22" t="inlineStr">
        <is>
          <t>A.5.35-36-27</t>
        </is>
      </c>
      <c r="B19" s="23" t="inlineStr">
        <is>
          <t>Backups Verified: Current Backups</t>
        </is>
      </c>
      <c r="C19" s="24" t="inlineStr">
        <is>
          <t>Backups verified: Current backups shall be verified before intrusive testing.</t>
        </is>
      </c>
      <c r="D19" s="25" t="n"/>
      <c r="E19" s="5" t="n"/>
      <c r="F19" s="5" t="n"/>
      <c r="G19" s="26" t="n"/>
      <c r="H19" s="5" t="n"/>
    </row>
    <row r="20" ht="40" customHeight="1">
      <c r="A20" s="22" t="inlineStr">
        <is>
          <t>A.5.35-36-28</t>
        </is>
      </c>
      <c r="B20" s="23" t="inlineStr">
        <is>
          <t>Monitoring: Audit Testing</t>
        </is>
      </c>
      <c r="C20" s="24" t="inlineStr">
        <is>
          <t>Monitoring: Audit testing shall be logged; security monitoring teams notified to reduce false positive alerts.</t>
        </is>
      </c>
      <c r="D20" s="25" t="n"/>
      <c r="E20" s="5" t="n"/>
      <c r="F20" s="5" t="n"/>
      <c r="G20" s="26" t="n"/>
      <c r="H20" s="5" t="n"/>
    </row>
    <row r="21" ht="40" customHeight="1">
      <c r="A21" s="22" t="inlineStr">
        <is>
          <t>A.5.35-36-29</t>
        </is>
      </c>
      <c r="B21" s="23" t="inlineStr">
        <is>
          <t>Live Production Data</t>
        </is>
      </c>
      <c r="C21" s="24" t="inlineStr">
        <is>
          <t>Live production data shall not be exported for audit analysis without Data Protection Officer approval and encryption.</t>
        </is>
      </c>
      <c r="D21" s="25" t="n"/>
      <c r="E21" s="5" t="n"/>
      <c r="F21" s="5" t="n"/>
      <c r="G21" s="26" t="n"/>
      <c r="H21" s="5" t="n"/>
    </row>
    <row r="22" ht="40" customHeight="1">
      <c r="A22" s="22" t="inlineStr">
        <is>
          <t>A.5.35-36-30</t>
        </is>
      </c>
      <c r="B22" s="23" t="inlineStr">
        <is>
          <t>Audit Working Papers</t>
        </is>
      </c>
      <c r="C22" s="24" t="inlineStr">
        <is>
          <t>Audit working papers containing personal or confidential data shall be protected per the Information Classification and Handling Policy.</t>
        </is>
      </c>
      <c r="D22" s="25" t="n"/>
      <c r="E22" s="5" t="n"/>
      <c r="F22" s="5" t="n"/>
      <c r="G22" s="26" t="n"/>
      <c r="H22" s="5" t="n"/>
    </row>
    <row r="23" ht="40" customHeight="1">
      <c r="A23" s="22" t="inlineStr">
        <is>
          <t>A.5.35-36-31</t>
        </is>
      </c>
      <c r="B23" s="23" t="inlineStr">
        <is>
          <t>Audit Evidence</t>
        </is>
      </c>
      <c r="C23" s="24" t="inlineStr">
        <is>
          <t>Audit evidence shall be securely disposed of after the retention period per this policy.</t>
        </is>
      </c>
      <c r="D23" s="25" t="n"/>
      <c r="E23" s="5" t="n"/>
      <c r="F23" s="5" t="n"/>
      <c r="G23" s="26" t="n"/>
      <c r="H23" s="5" t="n"/>
    </row>
  </sheetData>
  <mergeCells count="2">
    <mergeCell ref="A2:H2"/>
    <mergeCell ref="A1:H1"/>
  </mergeCells>
  <conditionalFormatting sqref="D4:D23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 D7 D8 D9 D10 D11 D12 D13 D14 D15 D16 D17 D18 D19 D20 D21 D22 D23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H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Finding Severity Classification — Compliance Checklist</t>
        </is>
      </c>
    </row>
    <row r="2">
      <c r="A2" s="21" t="inlineStr">
        <is>
          <t>ISO/IEC 27001:2022 — Controls A.5.35-36: Independent Review and Compliance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A.5.35-36-32</t>
        </is>
      </c>
      <c r="B4" s="23" t="inlineStr">
        <is>
          <t>Findings From Independent Reviews,</t>
        </is>
      </c>
      <c r="C4" s="24" t="inlineStr">
        <is>
          <t>All findings from independent reviews, compliance assessments, and audits shall be classified by severity:.</t>
        </is>
      </c>
      <c r="D4" s="25" t="n"/>
      <c r="E4" s="5" t="n"/>
      <c r="F4" s="5" t="n"/>
      <c r="G4" s="26" t="n"/>
      <c r="H4" s="5" t="n"/>
    </row>
  </sheetData>
  <mergeCells count="2">
    <mergeCell ref="A2:H2"/>
    <mergeCell ref="A1:H1"/>
  </mergeCells>
  <conditionalFormatting sqref="D4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H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Corrective Action &amp; Remediation — Compliance Checklist</t>
        </is>
      </c>
    </row>
    <row r="2">
      <c r="A2" s="21" t="inlineStr">
        <is>
          <t>ISO/IEC 27001:2022 — Controls A.5.35-36: Independent Review and Compliance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A.5.35-36-33</t>
        </is>
      </c>
      <c r="B4" s="23" t="inlineStr">
        <is>
          <t>Corrective Actions</t>
        </is>
      </c>
      <c r="C4" s="24" t="inlineStr">
        <is>
          <t>When findings are identified, corrective actions shall be planned and implemented within the following timeframes:.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A.5.35-36-34</t>
        </is>
      </c>
      <c r="B5" s="23" t="inlineStr">
        <is>
          <t>Corrective Actions</t>
        </is>
      </c>
      <c r="C5" s="24" t="inlineStr">
        <is>
          <t>All corrective actions shall be tracked in the corrective action register (incident and corrective action log) with:.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A.5.35-36-35</t>
        </is>
      </c>
      <c r="B6" s="23" t="inlineStr">
        <is>
          <t>Be Tracked And Reported</t>
        </is>
      </c>
      <c r="C6" s="24" t="inlineStr">
        <is>
          <t>Progress shall be tracked and reported:.</t>
        </is>
      </c>
      <c r="D6" s="25" t="n"/>
      <c r="E6" s="5" t="n"/>
      <c r="F6" s="5" t="n"/>
      <c r="G6" s="26" t="n"/>
      <c r="H6" s="5" t="n"/>
    </row>
    <row r="7" ht="40" customHeight="1">
      <c r="A7" s="22" t="inlineStr">
        <is>
          <t>A.5.35-36-36</t>
        </is>
      </c>
      <c r="B7" s="23" t="inlineStr">
        <is>
          <t>Corrective Actions</t>
        </is>
      </c>
      <c r="C7" s="24" t="inlineStr">
        <is>
          <t>Corrective actions shall not be marked as complete until:.</t>
        </is>
      </c>
      <c r="D7" s="25" t="n"/>
      <c r="E7" s="5" t="n"/>
      <c r="F7" s="5" t="n"/>
      <c r="G7" s="26" t="n"/>
      <c r="H7" s="5" t="n"/>
    </row>
  </sheetData>
  <mergeCells count="2">
    <mergeCell ref="A2:H2"/>
    <mergeCell ref="A1:H1"/>
  </mergeCells>
  <conditionalFormatting sqref="D4:D7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 D7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H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Compliance Verification — Compliance Checklist</t>
        </is>
      </c>
    </row>
    <row r="2">
      <c r="A2" s="21" t="inlineStr">
        <is>
          <t>ISO/IEC 27001:2022 — Controls A.5.35-36: Independent Review and Compliance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A.5.35-36-37</t>
        </is>
      </c>
      <c r="B4" s="23" t="inlineStr">
        <is>
          <t>Compliance With The Organisation'S</t>
        </is>
      </c>
      <c r="C4" s="24" t="inlineStr">
        <is>
          <t>Compliance with the organisation's information security policy, topic-specific policies, rules, and standards shall be reviewed through a three-tier approach:.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A.5.35-36-38</t>
        </is>
      </c>
      <c r="B5" s="23" t="inlineStr">
        <is>
          <t>Be Verified Through Appropriate Methods</t>
        </is>
      </c>
      <c r="C5" s="24" t="inlineStr">
        <is>
          <t>Compliance shall be verified through appropriate methods, including:.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A.5.35-36-39</t>
        </is>
      </c>
      <c r="B6" s="23" t="inlineStr">
        <is>
          <t>Compliance Claims</t>
        </is>
      </c>
      <c r="C6" s="24" t="inlineStr">
        <is>
          <t>Compliance claims shall be supported by evidence, including:.</t>
        </is>
      </c>
      <c r="D6" s="25" t="n"/>
      <c r="E6" s="5" t="n"/>
      <c r="F6" s="5" t="n"/>
      <c r="G6" s="26" t="n"/>
      <c r="H6" s="5" t="n"/>
    </row>
    <row r="7" ht="40" customHeight="1">
      <c r="A7" s="22" t="inlineStr">
        <is>
          <t>A.5.35-36-40</t>
        </is>
      </c>
      <c r="B7" s="23" t="inlineStr">
        <is>
          <t>Compliance Evidence</t>
        </is>
      </c>
      <c r="C7" s="24" t="inlineStr">
        <is>
          <t>Compliance evidence shall be stored in the ISMS Evidence Library (SharePoint, Confluence, or equivalent) and retained in accordance with the organisation's records retention schedule.</t>
        </is>
      </c>
      <c r="D7" s="25" t="n"/>
      <c r="E7" s="5" t="n"/>
      <c r="F7" s="5" t="n"/>
      <c r="G7" s="26" t="n"/>
      <c r="H7" s="5" t="n"/>
    </row>
    <row r="8" ht="40" customHeight="1">
      <c r="A8" s="22" t="inlineStr">
        <is>
          <t>A.5.35-36-41</t>
        </is>
      </c>
      <c r="B8" s="23" t="inlineStr">
        <is>
          <t>Non-Completion Of Scheduled Assessments</t>
        </is>
      </c>
      <c r="C8" s="24" t="inlineStr">
        <is>
          <t>Non-completion of scheduled assessments shall be escalated: 30 days overdue to Department Head, 60 days overdue to CISO, reported at next Management Review.</t>
        </is>
      </c>
      <c r="D8" s="25" t="n"/>
      <c r="E8" s="5" t="n"/>
      <c r="F8" s="5" t="n"/>
      <c r="G8" s="26" t="n"/>
      <c r="H8" s="5" t="n"/>
    </row>
  </sheetData>
  <mergeCells count="2">
    <mergeCell ref="A2:H2"/>
    <mergeCell ref="A1:H1"/>
  </mergeCells>
  <conditionalFormatting sqref="D4:D8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 D7 D8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H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Non-Conformity Management — Compliance Checklist</t>
        </is>
      </c>
    </row>
    <row r="2">
      <c r="A2" s="21" t="inlineStr">
        <is>
          <t>ISO/IEC 27001:2022 — Controls A.5.35-36: Independent Review and Compliance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A.5.35-36-42</t>
        </is>
      </c>
      <c r="B4" s="23" t="inlineStr">
        <is>
          <t>Non-Conformities Not Resolved Within</t>
        </is>
      </c>
      <c r="C4" s="24" t="inlineStr">
        <is>
          <t>Non-conformities not resolved within target timeframes shall be escalated:.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A.5.35-36-43</t>
        </is>
      </c>
      <c r="B5" s="23" t="inlineStr">
        <is>
          <t>Root Cause Analysis (Rca)</t>
        </is>
      </c>
      <c r="C5" s="24" t="inlineStr">
        <is>
          <t>Root cause analysis (RCA) shall be conducted for:.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A.5.35-36-44</t>
        </is>
      </c>
      <c r="B6" s="23" t="inlineStr">
        <is>
          <t>Rca Methodology*: The Organisation</t>
        </is>
      </c>
      <c r="C6" s="24" t="inlineStr">
        <is>
          <t>RCA methodology*: The organisation shall use a structured RCA approach such as:.</t>
        </is>
      </c>
      <c r="D6" s="25" t="n"/>
      <c r="E6" s="5" t="n"/>
      <c r="F6" s="5" t="n"/>
      <c r="G6" s="26" t="n"/>
      <c r="H6" s="5" t="n"/>
    </row>
    <row r="7" ht="40" customHeight="1">
      <c r="A7" s="22" t="inlineStr">
        <is>
          <t>A.5.35-36-45</t>
        </is>
      </c>
      <c r="B7" s="23" t="inlineStr">
        <is>
          <t>Rca Documentation*</t>
        </is>
      </c>
      <c r="C7" s="24" t="inlineStr">
        <is>
          <t>RCA documentation* shall include: finding description, analysis method used, identified root cause(s), contributing factors, corrective actions, and preventive actions.</t>
        </is>
      </c>
      <c r="D7" s="25" t="n"/>
      <c r="E7" s="5" t="n"/>
      <c r="F7" s="5" t="n"/>
      <c r="G7" s="26" t="n"/>
      <c r="H7" s="5" t="n"/>
    </row>
    <row r="8" ht="40" customHeight="1">
      <c r="A8" s="22" t="inlineStr">
        <is>
          <t>A.5.35-36-46</t>
        </is>
      </c>
      <c r="B8" s="23" t="inlineStr">
        <is>
          <t>The Organisation</t>
        </is>
      </c>
      <c r="C8" s="24" t="inlineStr">
        <is>
          <t>When a non-conformity occurs, the organisation shall:.</t>
        </is>
      </c>
      <c r="D8" s="25" t="n"/>
      <c r="E8" s="5" t="n"/>
      <c r="F8" s="5" t="n"/>
      <c r="G8" s="26" t="n"/>
      <c r="H8" s="5" t="n"/>
    </row>
    <row r="9" ht="40" customHeight="1">
      <c r="A9" s="22" t="inlineStr">
        <is>
          <t>A.5.35-36-47</t>
        </is>
      </c>
      <c r="B9" s="23" t="inlineStr">
        <is>
          <t>Non-Conformities</t>
        </is>
      </c>
      <c r="C9" s="24" t="inlineStr">
        <is>
          <t>Non-conformities shall be recorded, documented, and tracked in the incident and corrective action log. The effectiveness of corrective and preventive actions shall be reviewed.</t>
        </is>
      </c>
      <c r="D9" s="25" t="n"/>
      <c r="E9" s="5" t="n"/>
      <c r="F9" s="5" t="n"/>
      <c r="G9" s="26" t="n"/>
      <c r="H9" s="5" t="n"/>
    </row>
  </sheetData>
  <mergeCells count="2">
    <mergeCell ref="A2:H2"/>
    <mergeCell ref="A1:H1"/>
  </mergeCells>
  <conditionalFormatting sqref="D4:D9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 D7 D8 D9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472C4"/>
    <outlinePr summaryBelow="1" summaryRight="1"/>
    <pageSetUpPr/>
  </sheetPr>
  <dimension ref="A1:H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Risk Acceptance — Compliance Checklist</t>
        </is>
      </c>
    </row>
    <row r="2">
      <c r="A2" s="21" t="inlineStr">
        <is>
          <t>ISO/IEC 27001:2022 — Controls A.5.35-36: Independent Review and Compliance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A.5.35-36-48</t>
        </is>
      </c>
      <c r="B4" s="23" t="inlineStr">
        <is>
          <t>Risk Acceptance Requests</t>
        </is>
      </c>
      <c r="C4" s="24" t="inlineStr">
        <is>
          <t>Risk acceptance requests shall include:.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A.5.35-36-49</t>
        </is>
      </c>
      <c r="B5" s="23" t="inlineStr">
        <is>
          <t>Risk Acceptances</t>
        </is>
      </c>
      <c r="C5" s="24" t="inlineStr">
        <is>
          <t>Risk acceptances shall be reviewed:.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A.5.35-36-50</t>
        </is>
      </c>
      <c r="B6" s="23" t="inlineStr">
        <is>
          <t>The Risk Owner</t>
        </is>
      </c>
      <c r="C6" s="24" t="inlineStr">
        <is>
          <t>When a trigger condition occurs, the risk owner shall notify the CISO within 14 days for reassessment.</t>
        </is>
      </c>
      <c r="D6" s="25" t="n"/>
      <c r="E6" s="5" t="n"/>
      <c r="F6" s="5" t="n"/>
      <c r="G6" s="26" t="n"/>
      <c r="H6" s="5" t="n"/>
    </row>
  </sheetData>
  <mergeCells count="2">
    <mergeCell ref="A2:H2"/>
    <mergeCell ref="A1:H1"/>
  </mergeCells>
  <conditionalFormatting sqref="D4:D6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4472C4"/>
    <outlinePr summaryBelow="1" summaryRight="1"/>
    <pageSetUpPr/>
  </sheetPr>
  <dimension ref="A1:H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Compl Metrics and Reporting — Compliance Checklist</t>
        </is>
      </c>
    </row>
    <row r="2">
      <c r="A2" s="21" t="inlineStr">
        <is>
          <t>ISO/IEC 27001:2022 — Controls A.5.35-36: Independent Review and Compliance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A.5.35-36-51</t>
        </is>
      </c>
      <c r="B4" s="23" t="inlineStr">
        <is>
          <t>The Following Kpis</t>
        </is>
      </c>
      <c r="C4" s="24" t="inlineStr">
        <is>
          <t>The following KPIs shall be tracked to measure the effectiveness of the compliance and review programme:.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A.5.35-36-52</t>
        </is>
      </c>
      <c r="B5" s="23" t="inlineStr">
        <is>
          <t>Compliance And Review Metrics</t>
        </is>
      </c>
      <c r="C5" s="24" t="inlineStr">
        <is>
          <t>Compliance and review metrics shall be tracked over time to identify improvement or degradation trends (quarter-over-quarter, year-over-year), recurring finding patterns, areas requiring focused attention, and the effectiveness of remediation efforts.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A.5.35-36-53</t>
        </is>
      </c>
      <c r="B6" s="23" t="inlineStr">
        <is>
          <t>Trend Data</t>
        </is>
      </c>
      <c r="C6" s="24" t="inlineStr">
        <is>
          <t>Trend data shall be retained for a minimum of 3 years to support long-term analysis and certification audit preparation.</t>
        </is>
      </c>
      <c r="D6" s="25" t="n"/>
      <c r="E6" s="5" t="n"/>
      <c r="F6" s="5" t="n"/>
      <c r="G6" s="26" t="n"/>
      <c r="H6" s="5" t="n"/>
    </row>
  </sheetData>
  <mergeCells count="2">
    <mergeCell ref="A2:H2"/>
    <mergeCell ref="A1:H1"/>
  </mergeCells>
  <conditionalFormatting sqref="D4:D6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4472C4"/>
    <outlinePr summaryBelow="1" summaryRight="1"/>
    <pageSetUpPr/>
  </sheetPr>
  <dimension ref="A1:H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56" customWidth="1" min="3" max="3"/>
    <col width="17" customWidth="1" min="4" max="4"/>
    <col width="36" customWidth="1" min="5" max="5"/>
    <col width="19" customWidth="1" min="6" max="6"/>
    <col width="15" customWidth="1" min="7" max="7"/>
    <col width="32" customWidth="1" min="8" max="8"/>
  </cols>
  <sheetData>
    <row r="1" ht="40" customHeight="1">
      <c r="A1" s="1" t="inlineStr">
        <is>
          <t>Improvement Inputs — Compliance Checklist</t>
        </is>
      </c>
    </row>
    <row r="2">
      <c r="A2" s="21" t="inlineStr">
        <is>
          <t>ISO/IEC 27001:2022 — Controls A.5.35-36: Independent Review and Compliance</t>
        </is>
      </c>
    </row>
    <row r="3">
      <c r="A3" s="11" t="inlineStr">
        <is>
          <t>Req #</t>
        </is>
      </c>
      <c r="B3" s="11" t="inlineStr">
        <is>
          <t>Section</t>
        </is>
      </c>
      <c r="C3" s="11" t="inlineStr">
        <is>
          <t>Requirement</t>
        </is>
      </c>
      <c r="D3" s="11" t="inlineStr">
        <is>
          <t>Status</t>
        </is>
      </c>
      <c r="E3" s="11" t="inlineStr">
        <is>
          <t>Evidence</t>
        </is>
      </c>
      <c r="F3" s="11" t="inlineStr">
        <is>
          <t>Owner</t>
        </is>
      </c>
      <c r="G3" s="11" t="inlineStr">
        <is>
          <t>Due Date</t>
        </is>
      </c>
      <c r="H3" s="11" t="inlineStr">
        <is>
          <t>Notes</t>
        </is>
      </c>
    </row>
    <row r="4" ht="40" customHeight="1">
      <c r="A4" s="22" t="inlineStr">
        <is>
          <t>A.5.35-36-54</t>
        </is>
      </c>
      <c r="B4" s="23" t="inlineStr">
        <is>
          <t>The Following Sources</t>
        </is>
      </c>
      <c r="C4" s="24" t="inlineStr">
        <is>
          <t>The following sources shall be considered as inputs for continual improvement of the ISMS:.</t>
        </is>
      </c>
      <c r="D4" s="25" t="n"/>
      <c r="E4" s="5" t="n"/>
      <c r="F4" s="5" t="n"/>
      <c r="G4" s="26" t="n"/>
      <c r="H4" s="5" t="n"/>
    </row>
    <row r="5" ht="40" customHeight="1">
      <c r="A5" s="22" t="inlineStr">
        <is>
          <t>A.5.35-36-55</t>
        </is>
      </c>
      <c r="B5" s="23" t="inlineStr">
        <is>
          <t>Management Review Team — The Management</t>
        </is>
      </c>
      <c r="C5" s="24" t="inlineStr">
        <is>
          <t>Management Review Team — The Management Review Team shall consider opportunities for improvement as a standing agenda item.</t>
        </is>
      </c>
      <c r="D5" s="25" t="n"/>
      <c r="E5" s="5" t="n"/>
      <c r="F5" s="5" t="n"/>
      <c r="G5" s="26" t="n"/>
      <c r="H5" s="5" t="n"/>
    </row>
    <row r="6" ht="40" customHeight="1">
      <c r="A6" s="22" t="inlineStr">
        <is>
          <t>A.5.35-36-56</t>
        </is>
      </c>
      <c r="B6" s="23" t="inlineStr">
        <is>
          <t>Changes To The Information Security</t>
        </is>
      </c>
      <c r="C6" s="24" t="inlineStr">
        <is>
          <t>Changes to the information security management system resulting from improvement activities shall be planned, managed, and recorded in the incident and corrective action log or change log, as appropriate.</t>
        </is>
      </c>
      <c r="D6" s="25" t="n"/>
      <c r="E6" s="5" t="n"/>
      <c r="F6" s="5" t="n"/>
      <c r="G6" s="26" t="n"/>
      <c r="H6" s="5" t="n"/>
    </row>
  </sheetData>
  <mergeCells count="2">
    <mergeCell ref="A2:H2"/>
    <mergeCell ref="A1:H1"/>
  </mergeCells>
  <conditionalFormatting sqref="D4:D6">
    <cfRule type="cellIs" priority="1" operator="equal" dxfId="0">
      <formula>"Compliant"</formula>
    </cfRule>
    <cfRule type="cellIs" priority="2" operator="equal" dxfId="1">
      <formula>"Partial"</formula>
    </cfRule>
    <cfRule type="cellIs" priority="3" operator="equal" dxfId="2">
      <formula>"Non-Compliant"</formula>
    </cfRule>
    <cfRule type="cellIs" priority="4" operator="equal" dxfId="3">
      <formula>"N/A"</formula>
    </cfRule>
  </conditionalFormatting>
  <dataValidations count="1">
    <dataValidation sqref="D4 D5 D6" showDropDown="0" showInputMessage="0" showErrorMessage="0" allowBlank="1" error="Select: Compliant, Partial, Non-Compliant, or N/A" type="list">
      <formula1>"Compliant,Partial,Non-Compliant,N/A"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2026-02-08T10:04:09Z</dcterms:created>
  <dcterms:modified xmlns:dcterms="http://purl.org/dc/terms/" xmlns:xsi="http://www.w3.org/2001/XMLSchema-instance" xsi:type="dcterms:W3CDTF">2026-02-08T10:04:09Z</dcterms:modified>
</cp:coreProperties>
</file>