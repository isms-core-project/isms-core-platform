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Incident Reporting" sheetId="3" state="visible" r:id="rId3"/>
    <sheet xmlns:r="http://schemas.openxmlformats.org/officeDocument/2006/relationships" name="Event Assessment and Triage" sheetId="4" state="visible" r:id="rId4"/>
    <sheet xmlns:r="http://schemas.openxmlformats.org/officeDocument/2006/relationships" name="Incident Classification" sheetId="5" state="visible" r:id="rId5"/>
    <sheet xmlns:r="http://schemas.openxmlformats.org/officeDocument/2006/relationships" name="Incident Response" sheetId="6" state="visible" r:id="rId6"/>
    <sheet xmlns:r="http://schemas.openxmlformats.org/officeDocument/2006/relationships" name="Significant Incidents" sheetId="7" state="visible" r:id="rId7"/>
    <sheet xmlns:r="http://schemas.openxmlformats.org/officeDocument/2006/relationships" name="Data Breach Notification" sheetId="8" state="visible" r:id="rId8"/>
    <sheet xmlns:r="http://schemas.openxmlformats.org/officeDocument/2006/relationships" name="Lessons Learned" sheetId="9" state="visible" r:id="rId9"/>
    <sheet xmlns:r="http://schemas.openxmlformats.org/officeDocument/2006/relationships" name="Incident Response Testing" sheetId="10" state="visible" r:id="rId10"/>
  </sheets>
  <definedNames>
    <definedName name="_xlnm.Print_Area" localSheetId="0">'Executive Summary'!$A$1:$H$67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ISMS-OP-CHK-A.5.24-28 — Incident Management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ISMS-OP-CHK-A.5.24-28</t>
        </is>
      </c>
    </row>
    <row r="5">
      <c r="A5" s="3" t="inlineStr">
        <is>
          <t>Source Policy</t>
        </is>
      </c>
      <c r="B5" s="4" t="inlineStr">
        <is>
          <t>ISMS-OP-POL-A.5.24-28</t>
        </is>
      </c>
    </row>
    <row r="6">
      <c r="A6" s="3" t="inlineStr">
        <is>
          <t>ISO Controls</t>
        </is>
      </c>
      <c r="B6" s="4" t="inlineStr">
        <is>
          <t>Incident Management</t>
        </is>
      </c>
    </row>
    <row r="7">
      <c r="A7" s="3" t="inlineStr">
        <is>
          <t>Generated</t>
        </is>
      </c>
      <c r="B7" s="4" t="inlineStr">
        <is>
          <t>08.02.2026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'Dashboard'!G12</f>
        <v/>
      </c>
    </row>
    <row r="14">
      <c r="A14" s="7" t="inlineStr">
        <is>
          <t>Status</t>
        </is>
      </c>
      <c r="B14" s="9">
        <f>IF(Dashboard!G12="N/A","NOT ASSESSED",IF(ISNUMBER(VALUE(SUBSTITUTE(Dashboard!G12,"%",""))),IF(VALUE(SUBSTITUTE(Dashboard!G12,"%",""))&gt;=90,"GREEN",IF(VALUE(SUBSTITUTE(Dashboard!G12,"%",""))&gt;=70,"AMBER","RED")),"NOT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'Dashboard'!B12</f>
        <v/>
      </c>
    </row>
    <row r="18">
      <c r="A18" s="3" t="inlineStr">
        <is>
          <t>Compliant</t>
        </is>
      </c>
      <c r="B18" s="10">
        <f>'Dashboard'!C12</f>
        <v/>
      </c>
    </row>
    <row r="19">
      <c r="A19" s="3" t="inlineStr">
        <is>
          <t>Partial</t>
        </is>
      </c>
      <c r="B19" s="10">
        <f>'Dashboard'!D12</f>
        <v/>
      </c>
    </row>
    <row r="20">
      <c r="A20" s="3" t="inlineStr">
        <is>
          <t>Non-Compliant</t>
        </is>
      </c>
      <c r="B20" s="10">
        <f>'Dashboard'!E12</f>
        <v/>
      </c>
    </row>
    <row r="21">
      <c r="A21" s="3" t="inlineStr">
        <is>
          <t>Not Applicable</t>
        </is>
      </c>
      <c r="B21" s="10">
        <f>'Dashboard'!F12</f>
        <v/>
      </c>
    </row>
    <row r="22">
      <c r="A22" s="3" t="inlineStr">
        <is>
          <t>Owner Coverage</t>
        </is>
      </c>
      <c r="B22" s="10">
        <f>IF(Dashboard!B12=0,"N/A",ROUND((COUNTA('Incident Reporting'!F4:F7)+COUNTA('Event Assessment and Triage'!F4:F7)+COUNTA('Incident Classification'!F4:F4)+COUNTA('Incident Response'!F4:F13)+COUNTA('Significant Incidents'!F4:F5)+COUNTA('Data Breach Notification'!F4:F8)+COUNTA('Lessons Learned'!F4:F11)+COUNTA('Incident Response Testing'!F4:F5))/Dashboard!B12*100,0)&amp;"%")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Incident Reporting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Event Assessment and Triage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Incident Classification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29">
      <c r="A29" s="4" t="inlineStr">
        <is>
          <t>Incident Response</t>
        </is>
      </c>
      <c r="B29" s="4">
        <f>'Dashboard'!G7</f>
        <v/>
      </c>
      <c r="C29" s="4">
        <f>'Dashboard'!C7</f>
        <v/>
      </c>
      <c r="D29" s="4">
        <f>'Dashboard'!E7</f>
        <v/>
      </c>
      <c r="E29" s="4">
        <f>IF(Dashboard!G7="N/A","--",IF(ISNUMBER(VALUE(SUBSTITUTE(Dashboard!G7,"%",""))),IF(VALUE(SUBSTITUTE(Dashboard!G7,"%",""))&gt;=90,"PASS",IF(VALUE(SUBSTITUTE(Dashboard!G7,"%",""))&gt;=70,"REVIEW","FAIL")),"--"))</f>
        <v/>
      </c>
    </row>
    <row r="30">
      <c r="A30" s="4" t="inlineStr">
        <is>
          <t>Significant Incidents</t>
        </is>
      </c>
      <c r="B30" s="4">
        <f>'Dashboard'!G8</f>
        <v/>
      </c>
      <c r="C30" s="4">
        <f>'Dashboard'!C8</f>
        <v/>
      </c>
      <c r="D30" s="4">
        <f>'Dashboard'!E8</f>
        <v/>
      </c>
      <c r="E30" s="4">
        <f>IF(Dashboard!G8="N/A","--",IF(ISNUMBER(VALUE(SUBSTITUTE(Dashboard!G8,"%",""))),IF(VALUE(SUBSTITUTE(Dashboard!G8,"%",""))&gt;=90,"PASS",IF(VALUE(SUBSTITUTE(Dashboard!G8,"%",""))&gt;=70,"REVIEW","FAIL")),"--"))</f>
        <v/>
      </c>
    </row>
    <row r="31">
      <c r="A31" s="4" t="inlineStr">
        <is>
          <t>Data Breach Notification</t>
        </is>
      </c>
      <c r="B31" s="4">
        <f>'Dashboard'!G9</f>
        <v/>
      </c>
      <c r="C31" s="4">
        <f>'Dashboard'!C9</f>
        <v/>
      </c>
      <c r="D31" s="4">
        <f>'Dashboard'!E9</f>
        <v/>
      </c>
      <c r="E31" s="4">
        <f>IF(Dashboard!G9="N/A","--",IF(ISNUMBER(VALUE(SUBSTITUTE(Dashboard!G9,"%",""))),IF(VALUE(SUBSTITUTE(Dashboard!G9,"%",""))&gt;=90,"PASS",IF(VALUE(SUBSTITUTE(Dashboard!G9,"%",""))&gt;=70,"REVIEW","FAIL")),"--"))</f>
        <v/>
      </c>
    </row>
    <row r="32">
      <c r="A32" s="4" t="inlineStr">
        <is>
          <t>Lessons Learned</t>
        </is>
      </c>
      <c r="B32" s="4">
        <f>'Dashboard'!G10</f>
        <v/>
      </c>
      <c r="C32" s="4">
        <f>'Dashboard'!C10</f>
        <v/>
      </c>
      <c r="D32" s="4">
        <f>'Dashboard'!E10</f>
        <v/>
      </c>
      <c r="E32" s="4">
        <f>IF(Dashboard!G10="N/A","--",IF(ISNUMBER(VALUE(SUBSTITUTE(Dashboard!G10,"%",""))),IF(VALUE(SUBSTITUTE(Dashboard!G10,"%",""))&gt;=90,"PASS",IF(VALUE(SUBSTITUTE(Dashboard!G10,"%",""))&gt;=70,"REVIEW","FAIL")),"--"))</f>
        <v/>
      </c>
    </row>
    <row r="33">
      <c r="A33" s="4" t="inlineStr">
        <is>
          <t>Incident Response Testing</t>
        </is>
      </c>
      <c r="B33" s="4">
        <f>'Dashboard'!G11</f>
        <v/>
      </c>
      <c r="C33" s="4">
        <f>'Dashboard'!C11</f>
        <v/>
      </c>
      <c r="D33" s="4">
        <f>'Dashboard'!E11</f>
        <v/>
      </c>
      <c r="E33" s="4">
        <f>IF(Dashboard!G11="N/A","--",IF(ISNUMBER(VALUE(SUBSTITUTE(Dashboard!G11,"%",""))),IF(VALUE(SUBSTITUTE(Dashboard!G11,"%",""))&gt;=90,"PASS",IF(VALUE(SUBSTITUTE(Dashboard!G11,"%",""))&gt;=70,"REVIEW","FAIL")),"--"))</f>
        <v/>
      </c>
    </row>
    <row r="35">
      <c r="A35" s="6" t="inlineStr">
        <is>
          <t>CRITICAL ISSUES</t>
        </is>
      </c>
    </row>
    <row r="36">
      <c r="A36" s="11" t="inlineStr">
        <is>
          <t>#</t>
        </is>
      </c>
      <c r="B36" s="11" t="inlineStr">
        <is>
          <t>Issue Description</t>
        </is>
      </c>
      <c r="C36" s="11" t="inlineStr">
        <is>
          <t>Domain</t>
        </is>
      </c>
      <c r="D36" s="11" t="inlineStr">
        <is>
          <t>Owner</t>
        </is>
      </c>
      <c r="E36" s="11" t="inlineStr">
        <is>
          <t>Due Date</t>
        </is>
      </c>
    </row>
    <row r="37">
      <c r="A37" s="4" t="n">
        <v>1</v>
      </c>
      <c r="B37" s="5" t="n"/>
      <c r="C37" s="5" t="n"/>
      <c r="D37" s="5" t="n"/>
      <c r="E37" s="5" t="n"/>
    </row>
    <row r="38">
      <c r="A38" s="4" t="n">
        <v>2</v>
      </c>
      <c r="B38" s="5" t="n"/>
      <c r="C38" s="5" t="n"/>
      <c r="D38" s="5" t="n"/>
      <c r="E38" s="5" t="n"/>
    </row>
    <row r="39">
      <c r="A39" s="4" t="n">
        <v>3</v>
      </c>
      <c r="B39" s="5" t="n"/>
      <c r="C39" s="5" t="n"/>
      <c r="D39" s="5" t="n"/>
      <c r="E39" s="5" t="n"/>
    </row>
    <row r="40">
      <c r="A40" s="4" t="n">
        <v>4</v>
      </c>
      <c r="B40" s="5" t="n"/>
      <c r="C40" s="5" t="n"/>
      <c r="D40" s="5" t="n"/>
      <c r="E40" s="5" t="n"/>
    </row>
    <row r="41">
      <c r="A41" s="4" t="n">
        <v>5</v>
      </c>
      <c r="B41" s="5" t="n"/>
      <c r="C41" s="5" t="n"/>
      <c r="D41" s="5" t="n"/>
      <c r="E41" s="5" t="n"/>
    </row>
    <row r="43">
      <c r="A43" s="6" t="inlineStr">
        <is>
          <t>MANAGEMENT COMMENTARY</t>
        </is>
      </c>
    </row>
    <row r="44" ht="60" customHeight="1">
      <c r="A44" s="12" t="inlineStr">
        <is>
          <t>[Enter management commentary on incident management posture]</t>
        </is>
      </c>
    </row>
    <row r="45"/>
    <row r="46"/>
    <row r="48">
      <c r="A48" s="6" t="inlineStr">
        <is>
          <t>APPROVAL</t>
        </is>
      </c>
    </row>
    <row r="49">
      <c r="A49" s="13" t="inlineStr">
        <is>
          <t>Assessed By</t>
        </is>
      </c>
    </row>
    <row r="50">
      <c r="A50" s="14" t="inlineStr">
        <is>
          <t>Name:</t>
        </is>
      </c>
      <c r="B50" s="5" t="n"/>
    </row>
    <row r="51">
      <c r="A51" s="14" t="inlineStr">
        <is>
          <t>Date:</t>
        </is>
      </c>
      <c r="B51" s="5" t="n"/>
    </row>
    <row r="52">
      <c r="A52" s="14" t="inlineStr">
        <is>
          <t>Signature:</t>
        </is>
      </c>
      <c r="B52" s="5" t="n"/>
    </row>
    <row r="53">
      <c r="A53" s="14" t="inlineStr">
        <is>
          <t>Decision:</t>
        </is>
      </c>
      <c r="B53" s="5" t="n"/>
    </row>
    <row r="55">
      <c r="A55" s="13" t="inlineStr">
        <is>
          <t>Reviewed By (ISO Manager)</t>
        </is>
      </c>
    </row>
    <row r="56">
      <c r="A56" s="14" t="inlineStr">
        <is>
          <t>Name:</t>
        </is>
      </c>
      <c r="B56" s="5" t="n"/>
    </row>
    <row r="57">
      <c r="A57" s="14" t="inlineStr">
        <is>
          <t>Date:</t>
        </is>
      </c>
      <c r="B57" s="5" t="n"/>
    </row>
    <row r="58">
      <c r="A58" s="14" t="inlineStr">
        <is>
          <t>Signature:</t>
        </is>
      </c>
      <c r="B58" s="5" t="n"/>
    </row>
    <row r="59">
      <c r="A59" s="14" t="inlineStr">
        <is>
          <t>Decision:</t>
        </is>
      </c>
      <c r="B59" s="5" t="n"/>
    </row>
    <row r="61">
      <c r="A61" s="13" t="inlineStr">
        <is>
          <t>Approved By (CISO)</t>
        </is>
      </c>
    </row>
    <row r="62">
      <c r="A62" s="14" t="inlineStr">
        <is>
          <t>Name:</t>
        </is>
      </c>
      <c r="B62" s="5" t="n"/>
    </row>
    <row r="63">
      <c r="A63" s="14" t="inlineStr">
        <is>
          <t>Date:</t>
        </is>
      </c>
      <c r="B63" s="5" t="n"/>
    </row>
    <row r="64">
      <c r="A64" s="14" t="inlineStr">
        <is>
          <t>Signature:</t>
        </is>
      </c>
      <c r="B64" s="5" t="n"/>
    </row>
    <row r="65">
      <c r="A65" s="14" t="inlineStr">
        <is>
          <t>Decision:</t>
        </is>
      </c>
      <c r="B65" s="5" t="n"/>
    </row>
  </sheetData>
  <mergeCells count="12">
    <mergeCell ref="A12:H12"/>
    <mergeCell ref="A48:H48"/>
    <mergeCell ref="A35:H35"/>
    <mergeCell ref="A43:H43"/>
    <mergeCell ref="A24:H24"/>
    <mergeCell ref="A16:H16"/>
    <mergeCell ref="A49:B49"/>
    <mergeCell ref="A61:B61"/>
    <mergeCell ref="A1:H1"/>
    <mergeCell ref="A3:B3"/>
    <mergeCell ref="A55:B55"/>
    <mergeCell ref="A44:H46"/>
  </mergeCells>
  <dataValidations count="1">
    <dataValidation sqref="B53 B59 B65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Incident Management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Incident Reporting</t>
        </is>
      </c>
      <c r="B4" s="15">
        <f>COUNTA('Incident Reporting'!D4:D7)</f>
        <v/>
      </c>
      <c r="C4" s="15">
        <f>COUNTIF('Incident Reporting'!D4:D7,"Compliant")</f>
        <v/>
      </c>
      <c r="D4" s="15">
        <f>COUNTIF('Incident Reporting'!D4:D7,"Partial")</f>
        <v/>
      </c>
      <c r="E4" s="15">
        <f>COUNTIF('Incident Reporting'!D4:D7,"Non-Compliant")</f>
        <v/>
      </c>
      <c r="F4" s="15">
        <f>COUNTIF('Incident Reporting'!D4:D7,"N/A")</f>
        <v/>
      </c>
      <c r="G4" s="15">
        <f>IF((B4-F4)=0,"N/A",ROUND(C4/(B4-F4)*100,1)&amp;"%")</f>
        <v/>
      </c>
    </row>
    <row r="5">
      <c r="A5" s="3" t="inlineStr">
        <is>
          <t>Event Assessment and Triage</t>
        </is>
      </c>
      <c r="B5" s="15">
        <f>COUNTA('Event Assessment and Triage'!D4:D7)</f>
        <v/>
      </c>
      <c r="C5" s="15">
        <f>COUNTIF('Event Assessment and Triage'!D4:D7,"Compliant")</f>
        <v/>
      </c>
      <c r="D5" s="15">
        <f>COUNTIF('Event Assessment and Triage'!D4:D7,"Partial")</f>
        <v/>
      </c>
      <c r="E5" s="15">
        <f>COUNTIF('Event Assessment and Triage'!D4:D7,"Non-Compliant")</f>
        <v/>
      </c>
      <c r="F5" s="15">
        <f>COUNTIF('Event Assessment and Triage'!D4:D7,"N/A")</f>
        <v/>
      </c>
      <c r="G5" s="15">
        <f>IF((B5-F5)=0,"N/A",ROUND(C5/(B5-F5)*100,1)&amp;"%")</f>
        <v/>
      </c>
    </row>
    <row r="6">
      <c r="A6" s="3" t="inlineStr">
        <is>
          <t>Incident Classification</t>
        </is>
      </c>
      <c r="B6" s="15">
        <f>COUNTA('Incident Classification'!D4:D4)</f>
        <v/>
      </c>
      <c r="C6" s="15">
        <f>COUNTIF('Incident Classification'!D4:D4,"Compliant")</f>
        <v/>
      </c>
      <c r="D6" s="15">
        <f>COUNTIF('Incident Classification'!D4:D4,"Partial")</f>
        <v/>
      </c>
      <c r="E6" s="15">
        <f>COUNTIF('Incident Classification'!D4:D4,"Non-Compliant")</f>
        <v/>
      </c>
      <c r="F6" s="15">
        <f>COUNTIF('Incident Classification'!D4:D4,"N/A")</f>
        <v/>
      </c>
      <c r="G6" s="15">
        <f>IF((B6-F6)=0,"N/A",ROUND(C6/(B6-F6)*100,1)&amp;"%")</f>
        <v/>
      </c>
    </row>
    <row r="7">
      <c r="A7" s="3" t="inlineStr">
        <is>
          <t>Incident Response</t>
        </is>
      </c>
      <c r="B7" s="15">
        <f>COUNTA('Incident Response'!D4:D13)</f>
        <v/>
      </c>
      <c r="C7" s="15">
        <f>COUNTIF('Incident Response'!D4:D13,"Compliant")</f>
        <v/>
      </c>
      <c r="D7" s="15">
        <f>COUNTIF('Incident Response'!D4:D13,"Partial")</f>
        <v/>
      </c>
      <c r="E7" s="15">
        <f>COUNTIF('Incident Response'!D4:D13,"Non-Compliant")</f>
        <v/>
      </c>
      <c r="F7" s="15">
        <f>COUNTIF('Incident Response'!D4:D13,"N/A")</f>
        <v/>
      </c>
      <c r="G7" s="15">
        <f>IF((B7-F7)=0,"N/A",ROUND(C7/(B7-F7)*100,1)&amp;"%")</f>
        <v/>
      </c>
    </row>
    <row r="8">
      <c r="A8" s="3" t="inlineStr">
        <is>
          <t>Significant Incidents</t>
        </is>
      </c>
      <c r="B8" s="15">
        <f>COUNTA('Significant Incidents'!D4:D5)</f>
        <v/>
      </c>
      <c r="C8" s="15">
        <f>COUNTIF('Significant Incidents'!D4:D5,"Compliant")</f>
        <v/>
      </c>
      <c r="D8" s="15">
        <f>COUNTIF('Significant Incidents'!D4:D5,"Partial")</f>
        <v/>
      </c>
      <c r="E8" s="15">
        <f>COUNTIF('Significant Incidents'!D4:D5,"Non-Compliant")</f>
        <v/>
      </c>
      <c r="F8" s="15">
        <f>COUNTIF('Significant Incidents'!D4:D5,"N/A")</f>
        <v/>
      </c>
      <c r="G8" s="15">
        <f>IF((B8-F8)=0,"N/A",ROUND(C8/(B8-F8)*100,1)&amp;"%")</f>
        <v/>
      </c>
    </row>
    <row r="9">
      <c r="A9" s="3" t="inlineStr">
        <is>
          <t>Data Breach Notification</t>
        </is>
      </c>
      <c r="B9" s="15">
        <f>COUNTA('Data Breach Notification'!D4:D8)</f>
        <v/>
      </c>
      <c r="C9" s="15">
        <f>COUNTIF('Data Breach Notification'!D4:D8,"Compliant")</f>
        <v/>
      </c>
      <c r="D9" s="15">
        <f>COUNTIF('Data Breach Notification'!D4:D8,"Partial")</f>
        <v/>
      </c>
      <c r="E9" s="15">
        <f>COUNTIF('Data Breach Notification'!D4:D8,"Non-Compliant")</f>
        <v/>
      </c>
      <c r="F9" s="15">
        <f>COUNTIF('Data Breach Notification'!D4:D8,"N/A")</f>
        <v/>
      </c>
      <c r="G9" s="15">
        <f>IF((B9-F9)=0,"N/A",ROUND(C9/(B9-F9)*100,1)&amp;"%")</f>
        <v/>
      </c>
    </row>
    <row r="10">
      <c r="A10" s="3" t="inlineStr">
        <is>
          <t>Lessons Learned</t>
        </is>
      </c>
      <c r="B10" s="15">
        <f>COUNTA('Lessons Learned'!D4:D11)</f>
        <v/>
      </c>
      <c r="C10" s="15">
        <f>COUNTIF('Lessons Learned'!D4:D11,"Compliant")</f>
        <v/>
      </c>
      <c r="D10" s="15">
        <f>COUNTIF('Lessons Learned'!D4:D11,"Partial")</f>
        <v/>
      </c>
      <c r="E10" s="15">
        <f>COUNTIF('Lessons Learned'!D4:D11,"Non-Compliant")</f>
        <v/>
      </c>
      <c r="F10" s="15">
        <f>COUNTIF('Lessons Learned'!D4:D11,"N/A")</f>
        <v/>
      </c>
      <c r="G10" s="15">
        <f>IF((B10-F10)=0,"N/A",ROUND(C10/(B10-F10)*100,1)&amp;"%")</f>
        <v/>
      </c>
    </row>
    <row r="11">
      <c r="A11" s="3" t="inlineStr">
        <is>
          <t>Incident Response Testing</t>
        </is>
      </c>
      <c r="B11" s="15">
        <f>COUNTA('Incident Response Testing'!D4:D5)</f>
        <v/>
      </c>
      <c r="C11" s="15">
        <f>COUNTIF('Incident Response Testing'!D4:D5,"Compliant")</f>
        <v/>
      </c>
      <c r="D11" s="15">
        <f>COUNTIF('Incident Response Testing'!D4:D5,"Partial")</f>
        <v/>
      </c>
      <c r="E11" s="15">
        <f>COUNTIF('Incident Response Testing'!D4:D5,"Non-Compliant")</f>
        <v/>
      </c>
      <c r="F11" s="15">
        <f>COUNTIF('Incident Response Testing'!D4:D5,"N/A")</f>
        <v/>
      </c>
      <c r="G11" s="15">
        <f>IF((B11-F11)=0,"N/A",ROUND(C11/(B11-F11)*100,1)&amp;"%")</f>
        <v/>
      </c>
    </row>
    <row r="12">
      <c r="A12" s="16" t="inlineStr">
        <is>
          <t>TOTAL</t>
        </is>
      </c>
      <c r="B12" s="16">
        <f>SUM(B4:B11)</f>
        <v/>
      </c>
      <c r="C12" s="16">
        <f>SUM(C4:C11)</f>
        <v/>
      </c>
      <c r="D12" s="16">
        <f>SUM(D4:D11)</f>
        <v/>
      </c>
      <c r="E12" s="16">
        <f>SUM(E4:E11)</f>
        <v/>
      </c>
      <c r="F12" s="16">
        <f>SUM(F4:F11)</f>
        <v/>
      </c>
      <c r="G12" s="16">
        <f>IF((B12-F12)=0,"N/A",ROUND(C12/(B12-F12)*100,1)&amp;"%")</f>
        <v/>
      </c>
    </row>
    <row r="14">
      <c r="A14" s="6" t="inlineStr">
        <is>
          <t>COMPLIANCE BY STATUS</t>
        </is>
      </c>
    </row>
    <row r="15">
      <c r="A15" s="3" t="inlineStr">
        <is>
          <t>Compliant</t>
        </is>
      </c>
      <c r="B15" s="17">
        <f>C12</f>
        <v/>
      </c>
      <c r="C15" s="4">
        <f>IF(B12=0,"",ROUND(B15/B12*100,1)&amp;"%")</f>
        <v/>
      </c>
    </row>
    <row r="16">
      <c r="A16" s="3" t="inlineStr">
        <is>
          <t>Partial</t>
        </is>
      </c>
      <c r="B16" s="18">
        <f>D12</f>
        <v/>
      </c>
      <c r="C16" s="4">
        <f>IF(B12=0,"",ROUND(B16/B12*100,1)&amp;"%")</f>
        <v/>
      </c>
    </row>
    <row r="17">
      <c r="A17" s="3" t="inlineStr">
        <is>
          <t>Non-Compliant</t>
        </is>
      </c>
      <c r="B17" s="19">
        <f>E12</f>
        <v/>
      </c>
      <c r="C17" s="4">
        <f>IF(B12=0,"",ROUND(B17/B12*100,1)&amp;"%")</f>
        <v/>
      </c>
    </row>
    <row r="18">
      <c r="A18" s="3" t="inlineStr">
        <is>
          <t>N/A</t>
        </is>
      </c>
      <c r="B18" s="20">
        <f>F12</f>
        <v/>
      </c>
      <c r="C18" s="4">
        <f>IF(B12=0,"",ROUND(B18/B12*100,1)&amp;"%")</f>
        <v/>
      </c>
    </row>
    <row r="20">
      <c r="A20" s="6" t="inlineStr">
        <is>
          <t>TOP GAPS (Manual Entry)</t>
        </is>
      </c>
    </row>
    <row r="21">
      <c r="A21" s="11" t="inlineStr">
        <is>
          <t>Priority</t>
        </is>
      </c>
      <c r="B21" s="11" t="inlineStr">
        <is>
          <t>Domain</t>
        </is>
      </c>
      <c r="C21" s="11" t="inlineStr">
        <is>
          <t>Requirement</t>
        </is>
      </c>
      <c r="D21" s="11" t="inlineStr">
        <is>
          <t>Owner</t>
        </is>
      </c>
      <c r="E21" s="11" t="inlineStr">
        <is>
          <t>Due Date</t>
        </is>
      </c>
      <c r="F21" s="11" t="inlineStr">
        <is>
          <t>Status</t>
        </is>
      </c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3">
      <c r="A33" s="6" t="inlineStr">
        <is>
          <t>COMPLIANCE TREND (Manual Entry)</t>
        </is>
      </c>
    </row>
    <row r="34">
      <c r="A34" s="11" t="inlineStr">
        <is>
          <t>Assessment Date</t>
        </is>
      </c>
      <c r="B34" s="11" t="inlineStr">
        <is>
          <t>Overall %</t>
        </is>
      </c>
      <c r="C34" s="11" t="inlineStr">
        <is>
          <t>Compliant</t>
        </is>
      </c>
      <c r="D34" s="11" t="inlineStr">
        <is>
          <t>Gaps</t>
        </is>
      </c>
      <c r="E34" s="11" t="inlineStr">
        <is>
          <t>Assessor</t>
        </is>
      </c>
      <c r="F34" s="11" t="inlineStr">
        <is>
          <t>Notes</t>
        </is>
      </c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</sheetData>
  <mergeCells count="4">
    <mergeCell ref="A33:G33"/>
    <mergeCell ref="A20:G20"/>
    <mergeCell ref="A14:G14"/>
    <mergeCell ref="A1:G1"/>
  </mergeCells>
  <dataValidations count="1">
    <dataValidation sqref="F22 F23 F24 F25 F26 F27 F28 F29 F30 F31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Incident Reporting — Compliance Checklist</t>
        </is>
      </c>
    </row>
    <row r="2">
      <c r="A2" s="21" t="inlineStr">
        <is>
          <t>ISO/IEC 27001:2022 — Controls A.5.24-28: Incident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A.5.24-28-01</t>
        </is>
      </c>
      <c r="B4" s="23" t="inlineStr">
        <is>
          <t>Employees And Third-Party Users</t>
        </is>
      </c>
      <c r="C4" s="24" t="inlineStr">
        <is>
          <t>All employees and third-party users shall report security events immediately upon discovery to the information security management team through the designated reporting channels:.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A.5.24-28-02</t>
        </is>
      </c>
      <c r="B5" s="23" t="inlineStr">
        <is>
          <t>Reporting Channels</t>
        </is>
      </c>
      <c r="C5" s="24" t="inlineStr">
        <is>
          <t>Reporting channels shall be communicated during onboarding and annual awareness training, and published on the organisation intranet.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A.5.24-28-03</t>
        </is>
      </c>
      <c r="B6" s="23" t="inlineStr">
        <is>
          <t>Include, Where Known</t>
        </is>
      </c>
      <c r="C6" s="24" t="inlineStr">
        <is>
          <t>Reports shall include, where known:.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A.5.24-28-04</t>
        </is>
      </c>
      <c r="B7" s="23" t="inlineStr">
        <is>
          <t>Not Attempt To Investigate Or Resolve</t>
        </is>
      </c>
      <c r="C7" s="24" t="inlineStr">
        <is>
          <t>Employees shall not attempt to investigate or resolve suspected incidents themselves. Preservation of evidence takes priority over curiosity.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Event Assessment and Triage — Compliance Checklist</t>
        </is>
      </c>
    </row>
    <row r="2">
      <c r="A2" s="21" t="inlineStr">
        <is>
          <t>ISO/IEC 27001:2022 — Controls A.5.24-28: Incident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A.5.24-28-05</t>
        </is>
      </c>
      <c r="B4" s="23" t="inlineStr">
        <is>
          <t>The Information Security Management Team</t>
        </is>
      </c>
      <c r="C4" s="24" t="inlineStr">
        <is>
          <t>The information security management team shall assess all reported security events to determine whether they constitute a security incident.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A.5.24-28-06</t>
        </is>
      </c>
      <c r="B5" s="23" t="inlineStr">
        <is>
          <t>Consider</t>
        </is>
      </c>
      <c r="C5" s="24" t="inlineStr">
        <is>
          <t>Assessment shall consider:.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A.5.24-28-07</t>
        </is>
      </c>
      <c r="B6" s="23" t="inlineStr">
        <is>
          <t>Events That Do Not Meet The</t>
        </is>
      </c>
      <c r="C6" s="24" t="inlineStr">
        <is>
          <t>Events that do not meet the threshold for an incident shall be logged, and trends shall be monitored.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A.5.24-28-08</t>
        </is>
      </c>
      <c r="B7" s="23" t="inlineStr">
        <is>
          <t>Reported Security Events And Confirmed</t>
        </is>
      </c>
      <c r="C7" s="24" t="inlineStr">
        <is>
          <t>All reported security events and confirmed incidents shall be recorded in the incident register with the following minimum fields:.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Incident Classification — Compliance Checklist</t>
        </is>
      </c>
    </row>
    <row r="2">
      <c r="A2" s="21" t="inlineStr">
        <is>
          <t>ISO/IEC 27001:2022 — Controls A.5.24-28: Incident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A.5.24-28-09</t>
        </is>
      </c>
      <c r="B4" s="23" t="inlineStr">
        <is>
          <t>Confirmed Incidents</t>
        </is>
      </c>
      <c r="C4" s="24" t="inlineStr">
        <is>
          <t>Confirmed incidents shall be classified by severity to determine response priority, escalation, and communication requirements:.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Incident Response — Compliance Checklist</t>
        </is>
      </c>
    </row>
    <row r="2">
      <c r="A2" s="21" t="inlineStr">
        <is>
          <t>ISO/IEC 27001:2022 — Controls A.5.24-28: Incident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A.5.24-28-10</t>
        </is>
      </c>
      <c r="B4" s="23" t="inlineStr">
        <is>
          <t>Be Managed Through The Following Phases</t>
        </is>
      </c>
      <c r="C4" s="24" t="inlineStr">
        <is>
          <t>Incidents shall be managed through the following phases, aligned with NIST SP 800-61:.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A.5.24-28-11</t>
        </is>
      </c>
      <c r="B5" s="23" t="inlineStr">
        <is>
          <t>Containment — Limit The Impact And</t>
        </is>
      </c>
      <c r="C5" s="24" t="inlineStr">
        <is>
          <t>Containment — Limit the impact and prevent further damage. Short-term containment actions (e.g., isolating affected systems, disabling compromised accounts) shall be taken immediately. Long-term containment strategies shall be planned where eradication cannot be immediate.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A.5.24-28-12</t>
        </is>
      </c>
      <c r="B6" s="23" t="inlineStr">
        <is>
          <t>Recovery — Restore Systems And Services</t>
        </is>
      </c>
      <c r="C6" s="24" t="inlineStr">
        <is>
          <t>Recovery — Restore systems and services to normal operations. Recovery shall be verified through testing before returning systems to production. Monitoring shall be enhanced during the recovery period to detect recurrence.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A.5.24-28-13</t>
        </is>
      </c>
      <c r="B7" s="23" t="inlineStr">
        <is>
          <t>Incident Response Actions</t>
        </is>
      </c>
      <c r="C7" s="24" t="inlineStr">
        <is>
          <t>All incident response actions shall be documented with timestamps, actions taken, and personnel involved.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A.5.24-28-14</t>
        </is>
      </c>
      <c r="B8" s="23" t="inlineStr">
        <is>
          <t>The Following Roles</t>
        </is>
      </c>
      <c r="C8" s="24" t="inlineStr">
        <is>
          <t>The following roles shall be assigned within the incident response capability:.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A.5.24-28-15</t>
        </is>
      </c>
      <c r="B9" s="23" t="inlineStr">
        <is>
          <t>Role Assignments</t>
        </is>
      </c>
      <c r="C9" s="24" t="inlineStr">
        <is>
          <t>Role assignments shall be documented, communicated to all team members, and reviewed annually. Deputies shall be assigned for each role to ensure availability.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A.5.24-28-16</t>
        </is>
      </c>
      <c r="B10" s="23" t="inlineStr">
        <is>
          <t>The Incident Response Team Leader</t>
        </is>
      </c>
      <c r="C10" s="24" t="inlineStr">
        <is>
          <t>The incident response team leader shall escalate incidents to senior management when:.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A.5.24-28-17</t>
        </is>
      </c>
      <c r="B11" s="23" t="inlineStr">
        <is>
          <t>Incident Information</t>
        </is>
      </c>
      <c r="C11" s="24" t="inlineStr">
        <is>
          <t>Incident information shall be shared on a strict need-to-know basis. Communication during an active incident shall be coordinated through the incident response team leader.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A.5.24-28-18</t>
        </is>
      </c>
      <c r="B12" s="23" t="inlineStr">
        <is>
          <t>Internal Status Updates</t>
        </is>
      </c>
      <c r="C12" s="24" t="inlineStr">
        <is>
          <t>Internal status updates shall be provided at regular intervals for Critical and High incidents.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A.5.24-28-19</t>
        </is>
      </c>
      <c r="B13" s="23" t="inlineStr">
        <is>
          <t>External Communication (Media,</t>
        </is>
      </c>
      <c r="C13" s="24" t="inlineStr">
        <is>
          <t>External communication (media, customers, partners) shall be approved by senior management and reviewed by legal counsel before release.</t>
        </is>
      </c>
      <c r="D13" s="25" t="n"/>
      <c r="E13" s="5" t="n"/>
      <c r="F13" s="5" t="n"/>
      <c r="G13" s="26" t="n"/>
      <c r="H13" s="5" t="n"/>
    </row>
  </sheetData>
  <mergeCells count="2">
    <mergeCell ref="A2:H2"/>
    <mergeCell ref="A1:H1"/>
  </mergeCells>
  <conditionalFormatting sqref="D4:D13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Significant Incidents — Compliance Checklist</t>
        </is>
      </c>
    </row>
    <row r="2">
      <c r="A2" s="21" t="inlineStr">
        <is>
          <t>ISO/IEC 27001:2022 — Controls A.5.24-28: Incident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A.5.24-28-20</t>
        </is>
      </c>
      <c r="B4" s="23" t="inlineStr">
        <is>
          <t>In All Instances Where A Situation</t>
        </is>
      </c>
      <c r="C4" s="24" t="inlineStr">
        <is>
          <t>In all instances where a situation may lead to an external investigation or legal proceedings, specialist external resources shall be engaged.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A.5.24-28-21</t>
        </is>
      </c>
      <c r="B5" s="23" t="inlineStr">
        <is>
          <t>At The Earliest Opportunity, All Work</t>
        </is>
      </c>
      <c r="C5" s="24" t="inlineStr">
        <is>
          <t>At the earliest opportunity, all work on, access to, modification of, or tampering with affected systems, documents, locations, files, databases, applications, or other in-scope entities shall stop. The only exceptions are the preservation of life, health, and safety, or the bare minimum actions required to triage and make safe.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Data Breach Notification — Compliance Checklist</t>
        </is>
      </c>
    </row>
    <row r="2">
      <c r="A2" s="21" t="inlineStr">
        <is>
          <t>ISO/IEC 27001:2022 — Controls A.5.24-28: Incident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A.5.24-28-22</t>
        </is>
      </c>
      <c r="B4" s="23" t="inlineStr">
        <is>
          <t>The Organisation</t>
        </is>
      </c>
      <c r="C4" s="24" t="inlineStr">
        <is>
          <t>Where both nFADP and GDPR apply, the organisation shall meet the stricter timeline (72 hours).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A.5.24-28-23</t>
        </is>
      </c>
      <c r="B5" s="23" t="inlineStr">
        <is>
          <t>Breach Notifications To Supervisory</t>
        </is>
      </c>
      <c r="C5" s="24" t="inlineStr">
        <is>
          <t>Breach notifications to supervisory authorities shall include, at minimum:.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A.5.24-28-24</t>
        </is>
      </c>
      <c r="B6" s="23" t="inlineStr">
        <is>
          <t>Be Provided In Phases Without Undue</t>
        </is>
      </c>
      <c r="C6" s="24" t="inlineStr">
        <is>
          <t>Where full information is not available at the time of notification, it shall be provided in phases without undue delay.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A.5.24-28-25</t>
        </is>
      </c>
      <c r="B7" s="23" t="inlineStr">
        <is>
          <t>Not All Security Incidents Involving</t>
        </is>
      </c>
      <c r="C7" s="24" t="inlineStr">
        <is>
          <t>Not all security incidents involving personal data require notification. The incident response team shall assess:.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A.5.24-28-26</t>
        </is>
      </c>
      <c r="B8" s="23" t="inlineStr">
        <is>
          <t>The Assessment And Decision (Including</t>
        </is>
      </c>
      <c r="C8" s="24" t="inlineStr">
        <is>
          <t>The assessment and decision (including the rationale for not notifying, if applicable) shall be documented.</t>
        </is>
      </c>
      <c r="D8" s="25" t="n"/>
      <c r="E8" s="5" t="n"/>
      <c r="F8" s="5" t="n"/>
      <c r="G8" s="26" t="n"/>
      <c r="H8" s="5" t="n"/>
    </row>
  </sheetData>
  <mergeCells count="2">
    <mergeCell ref="A2:H2"/>
    <mergeCell ref="A1:H1"/>
  </mergeCells>
  <conditionalFormatting sqref="D4:D8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Lessons Learned — Compliance Checklist</t>
        </is>
      </c>
    </row>
    <row r="2">
      <c r="A2" s="21" t="inlineStr">
        <is>
          <t>ISO/IEC 27001:2022 — Controls A.5.24-28: Incident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A.5.24-28-27</t>
        </is>
      </c>
      <c r="B4" s="23" t="inlineStr">
        <is>
          <t>A Post-Incident Review</t>
        </is>
      </c>
      <c r="C4" s="24" t="inlineStr">
        <is>
          <t>A post-incident review shall be conducted for all Critical and High severity incidents, and optionally for Medium incidents where useful lessons may be derived.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A.5.24-28-28</t>
        </is>
      </c>
      <c r="B5" s="23" t="inlineStr">
        <is>
          <t>The Review</t>
        </is>
      </c>
      <c r="C5" s="24" t="inlineStr">
        <is>
          <t>The review shall be held within 5 business days of incident resolution, while details are still fresh. The review shall include all personnel who contributed to the response.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A.5.24-28-29</t>
        </is>
      </c>
      <c r="B6" s="23" t="inlineStr">
        <is>
          <t>The Review</t>
        </is>
      </c>
      <c r="C6" s="24" t="inlineStr">
        <is>
          <t>The review shall document:.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A.5.24-28-30</t>
        </is>
      </c>
      <c r="B7" s="23" t="inlineStr">
        <is>
          <t>Action Items</t>
        </is>
      </c>
      <c r="C7" s="24" t="inlineStr">
        <is>
          <t>Action items shall be tracked to completion.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A.5.24-28-31</t>
        </is>
      </c>
      <c r="B8" s="23" t="inlineStr">
        <is>
          <t>Lessons Learned</t>
        </is>
      </c>
      <c r="C8" s="24" t="inlineStr">
        <is>
          <t>Lessons learned shall be communicated to relevant personnel.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A.5.24-28-32</t>
        </is>
      </c>
      <c r="B9" s="23" t="inlineStr">
        <is>
          <t>The Incident Response Plan</t>
        </is>
      </c>
      <c r="C9" s="24" t="inlineStr">
        <is>
          <t>The incident response plan shall be updated where findings indicate gaps.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A.5.24-28-33</t>
        </is>
      </c>
      <c r="B10" s="23" t="inlineStr">
        <is>
          <t>Trends Across Incidents</t>
        </is>
      </c>
      <c r="C10" s="24" t="inlineStr">
        <is>
          <t>Trends across incidents shall be reviewed quarterly to identify systemic issues.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A.5.24-28-34</t>
        </is>
      </c>
      <c r="B11" s="23" t="inlineStr">
        <is>
          <t>Be Conducted In A Blame-Free Manner</t>
        </is>
      </c>
      <c r="C11" s="24" t="inlineStr">
        <is>
          <t>Reviews shall be conducted in a blame-free manner, focusing on system and process improvement rather than individual fault.</t>
        </is>
      </c>
      <c r="D11" s="25" t="n"/>
      <c r="E11" s="5" t="n"/>
      <c r="F11" s="5" t="n"/>
      <c r="G11" s="26" t="n"/>
      <c r="H11" s="5" t="n"/>
    </row>
  </sheetData>
  <mergeCells count="2">
    <mergeCell ref="A2:H2"/>
    <mergeCell ref="A1:H1"/>
  </mergeCells>
  <conditionalFormatting sqref="D4:D1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Incident Response Testing — Compliance Checklist</t>
        </is>
      </c>
    </row>
    <row r="2">
      <c r="A2" s="21" t="inlineStr">
        <is>
          <t>ISO/IEC 27001:2022 — Controls A.5.24-28: Incident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A.5.24-28-35</t>
        </is>
      </c>
      <c r="B4" s="23" t="inlineStr">
        <is>
          <t>The Incident Response Plan</t>
        </is>
      </c>
      <c r="C4" s="24" t="inlineStr">
        <is>
          <t>The incident response plan shall be tested at least annually through tabletop exercises or simulations to verify that:.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A.5.24-28-36</t>
        </is>
      </c>
      <c r="B5" s="23" t="inlineStr">
        <is>
          <t>Test Results And Improvements</t>
        </is>
      </c>
      <c r="C5" s="24" t="inlineStr">
        <is>
          <t>Test results and improvements shall be documented, including participants, scenario details, observed gaps, and corrective actions with owners and deadlines.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2026-02-08T10:04:07Z</dcterms:created>
  <dcterms:modified xmlns:dcterms="http://purl.org/dc/terms/" xmlns:xsi="http://www.w3.org/2001/XMLSchema-instance" xsi:type="dcterms:W3CDTF">2026-02-08T10:04:07Z</dcterms:modified>
</cp:coreProperties>
</file>