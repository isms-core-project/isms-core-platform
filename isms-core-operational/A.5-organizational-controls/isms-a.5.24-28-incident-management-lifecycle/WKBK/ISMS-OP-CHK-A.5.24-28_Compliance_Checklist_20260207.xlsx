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porting &amp; Triage" sheetId="3" state="visible" r:id="rId3"/>
    <sheet xmlns:r="http://schemas.openxmlformats.org/officeDocument/2006/relationships" name="Classification &amp; Escalation" sheetId="4" state="visible" r:id="rId4"/>
    <sheet xmlns:r="http://schemas.openxmlformats.org/officeDocument/2006/relationships" name="Incident Response" sheetId="5" state="visible" r:id="rId5"/>
    <sheet xmlns:r="http://schemas.openxmlformats.org/officeDocument/2006/relationships" name="Data Breach Notification" sheetId="6" state="visible" r:id="rId6"/>
    <sheet xmlns:r="http://schemas.openxmlformats.org/officeDocument/2006/relationships" name="Evidence Collection" sheetId="7" state="visible" r:id="rId7"/>
    <sheet xmlns:r="http://schemas.openxmlformats.org/officeDocument/2006/relationships" name="Lessons Learned &amp; Testing"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ISMS-OP-CHK-A.5.24-28 — Incident Management Compliance Checklist</t>
        </is>
      </c>
    </row>
    <row r="3">
      <c r="A3" s="2" t="inlineStr">
        <is>
          <t>DOCUMENT INFORMATION</t>
        </is>
      </c>
    </row>
    <row r="4">
      <c r="A4" s="3" t="inlineStr">
        <is>
          <t>Document ID</t>
        </is>
      </c>
      <c r="B4" s="4" t="inlineStr">
        <is>
          <t>ISMS-OP-CHK-A.5.24-28</t>
        </is>
      </c>
    </row>
    <row r="5">
      <c r="A5" s="3" t="inlineStr">
        <is>
          <t>Source Policy</t>
        </is>
      </c>
      <c r="B5" s="4" t="inlineStr">
        <is>
          <t>ISMS-OP-POL-A.5.24-28</t>
        </is>
      </c>
    </row>
    <row r="6">
      <c r="A6" s="3" t="inlineStr">
        <is>
          <t>ISO Controls</t>
        </is>
      </c>
      <c r="B6" s="4" t="inlineStr">
        <is>
          <t>ISO/IEC 27001:2022 — Controls A.5.24-28: Incident Management</t>
        </is>
      </c>
    </row>
    <row r="7">
      <c r="A7" s="3" t="inlineStr">
        <is>
          <t>Generated</t>
        </is>
      </c>
      <c r="B7" s="4" t="inlineStr">
        <is>
          <t>07.02.2026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IF(Dashboard!B10=0,"N/A",ROUND((COUNTA('Reporting &amp; Triage'!F4:F10)+COUNTA('Classification &amp; Escalation'!F4:F9)+COUNTA('Incident Response'!F4:F11)+COUNTA('Data Breach Notification'!F4:F11)+COUNTA('Evidence Collection'!F4:F10)+COUNTA('Lessons Learned &amp; Testing'!F4:F10))/Dashboard!B10*100,0)&amp;"%")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Reporting &amp; Triage</t>
        </is>
      </c>
      <c r="B26" s="4">
        <f>'Dashboard'!G4</f>
        <v/>
      </c>
      <c r="C26" s="4">
        <f>'Dashboard'!C4</f>
        <v/>
      </c>
      <c r="D26" s="4">
        <f>'Dashboard'!E4</f>
        <v/>
      </c>
      <c r="E26" s="4">
        <f>IF(Dashboard!G4="N/A","--",IF(ISNUMBER(VALUE(SUBSTITUTE(Dashboard!G4,"%",""))),IF(VALUE(SUBSTITUTE(Dashboard!G4,"%",""))&gt;=90,"PASS",IF(VALUE(SUBSTITUTE(Dashboard!G4,"%",""))&gt;=70,"REVIEW","FAIL")),"--"))</f>
        <v/>
      </c>
    </row>
    <row r="27">
      <c r="A27" s="4" t="inlineStr">
        <is>
          <t>Classification &amp; Escalation</t>
        </is>
      </c>
      <c r="B27" s="4">
        <f>'Dashboard'!G5</f>
        <v/>
      </c>
      <c r="C27" s="4">
        <f>'Dashboard'!C5</f>
        <v/>
      </c>
      <c r="D27" s="4">
        <f>'Dashboard'!E5</f>
        <v/>
      </c>
      <c r="E27" s="4">
        <f>IF(Dashboard!G5="N/A","--",IF(ISNUMBER(VALUE(SUBSTITUTE(Dashboard!G5,"%",""))),IF(VALUE(SUBSTITUTE(Dashboard!G5,"%",""))&gt;=90,"PASS",IF(VALUE(SUBSTITUTE(Dashboard!G5,"%",""))&gt;=70,"REVIEW","FAIL")),"--"))</f>
        <v/>
      </c>
    </row>
    <row r="28">
      <c r="A28" s="4" t="inlineStr">
        <is>
          <t>Incident Response</t>
        </is>
      </c>
      <c r="B28" s="4">
        <f>'Dashboard'!G6</f>
        <v/>
      </c>
      <c r="C28" s="4">
        <f>'Dashboard'!C6</f>
        <v/>
      </c>
      <c r="D28" s="4">
        <f>'Dashboard'!E6</f>
        <v/>
      </c>
      <c r="E28" s="4">
        <f>IF(Dashboard!G6="N/A","--",IF(ISNUMBER(VALUE(SUBSTITUTE(Dashboard!G6,"%",""))),IF(VALUE(SUBSTITUTE(Dashboard!G6,"%",""))&gt;=90,"PASS",IF(VALUE(SUBSTITUTE(Dashboard!G6,"%",""))&gt;=70,"REVIEW","FAIL")),"--"))</f>
        <v/>
      </c>
    </row>
    <row r="29">
      <c r="A29" s="4" t="inlineStr">
        <is>
          <t>Data Breach Notification</t>
        </is>
      </c>
      <c r="B29" s="4">
        <f>'Dashboard'!G7</f>
        <v/>
      </c>
      <c r="C29" s="4">
        <f>'Dashboard'!C7</f>
        <v/>
      </c>
      <c r="D29" s="4">
        <f>'Dashboard'!E7</f>
        <v/>
      </c>
      <c r="E29" s="4">
        <f>IF(Dashboard!G7="N/A","--",IF(ISNUMBER(VALUE(SUBSTITUTE(Dashboard!G7,"%",""))),IF(VALUE(SUBSTITUTE(Dashboard!G7,"%",""))&gt;=90,"PASS",IF(VALUE(SUBSTITUTE(Dashboard!G7,"%",""))&gt;=70,"REVIEW","FAIL")),"--"))</f>
        <v/>
      </c>
    </row>
    <row r="30">
      <c r="A30" s="4" t="inlineStr">
        <is>
          <t>Evidence Collection</t>
        </is>
      </c>
      <c r="B30" s="4">
        <f>'Dashboard'!G8</f>
        <v/>
      </c>
      <c r="C30" s="4">
        <f>'Dashboard'!C8</f>
        <v/>
      </c>
      <c r="D30" s="4">
        <f>'Dashboard'!E8</f>
        <v/>
      </c>
      <c r="E30" s="4">
        <f>IF(Dashboard!G8="N/A","--",IF(ISNUMBER(VALUE(SUBSTITUTE(Dashboard!G8,"%",""))),IF(VALUE(SUBSTITUTE(Dashboard!G8,"%",""))&gt;=90,"PASS",IF(VALUE(SUBSTITUTE(Dashboard!G8,"%",""))&gt;=70,"REVIEW","FAIL")),"--"))</f>
        <v/>
      </c>
    </row>
    <row r="31">
      <c r="A31" s="4" t="inlineStr">
        <is>
          <t>Lessons Learned &amp; Testing</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incident management readiness and response capability]</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Incident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Reporting &amp; Triage</t>
        </is>
      </c>
      <c r="B4" s="15">
        <f>COUNTA('Reporting &amp; Triage'!D4:D10)</f>
        <v/>
      </c>
      <c r="C4" s="15">
        <f>COUNTIF('Reporting &amp; Triage'!D4:D10,"Compliant")</f>
        <v/>
      </c>
      <c r="D4" s="15">
        <f>COUNTIF('Reporting &amp; Triage'!D4:D10,"Partial")</f>
        <v/>
      </c>
      <c r="E4" s="15">
        <f>COUNTIF('Reporting &amp; Triage'!D4:D10,"Non-Compliant")</f>
        <v/>
      </c>
      <c r="F4" s="15">
        <f>COUNTIF('Reporting &amp; Triage'!D4:D10,"N/A")</f>
        <v/>
      </c>
      <c r="G4" s="15">
        <f>IF((B4-F4)=0,"N/A",ROUND(C4/(B4-F4)*100,1)&amp;"%")</f>
        <v/>
      </c>
    </row>
    <row r="5">
      <c r="A5" s="3" t="inlineStr">
        <is>
          <t>Classification &amp; Escalation</t>
        </is>
      </c>
      <c r="B5" s="15">
        <f>COUNTA('Classification &amp; Escalation'!D4:D9)</f>
        <v/>
      </c>
      <c r="C5" s="15">
        <f>COUNTIF('Classification &amp; Escalation'!D4:D9,"Compliant")</f>
        <v/>
      </c>
      <c r="D5" s="15">
        <f>COUNTIF('Classification &amp; Escalation'!D4:D9,"Partial")</f>
        <v/>
      </c>
      <c r="E5" s="15">
        <f>COUNTIF('Classification &amp; Escalation'!D4:D9,"Non-Compliant")</f>
        <v/>
      </c>
      <c r="F5" s="15">
        <f>COUNTIF('Classification &amp; Escalation'!D4:D9,"N/A")</f>
        <v/>
      </c>
      <c r="G5" s="15">
        <f>IF((B5-F5)=0,"N/A",ROUND(C5/(B5-F5)*100,1)&amp;"%")</f>
        <v/>
      </c>
    </row>
    <row r="6">
      <c r="A6" s="3" t="inlineStr">
        <is>
          <t>Incident Response</t>
        </is>
      </c>
      <c r="B6" s="15">
        <f>COUNTA('Incident Response'!D4:D11)</f>
        <v/>
      </c>
      <c r="C6" s="15">
        <f>COUNTIF('Incident Response'!D4:D11,"Compliant")</f>
        <v/>
      </c>
      <c r="D6" s="15">
        <f>COUNTIF('Incident Response'!D4:D11,"Partial")</f>
        <v/>
      </c>
      <c r="E6" s="15">
        <f>COUNTIF('Incident Response'!D4:D11,"Non-Compliant")</f>
        <v/>
      </c>
      <c r="F6" s="15">
        <f>COUNTIF('Incident Response'!D4:D11,"N/A")</f>
        <v/>
      </c>
      <c r="G6" s="15">
        <f>IF((B6-F6)=0,"N/A",ROUND(C6/(B6-F6)*100,1)&amp;"%")</f>
        <v/>
      </c>
    </row>
    <row r="7">
      <c r="A7" s="3" t="inlineStr">
        <is>
          <t>Data Breach Notification</t>
        </is>
      </c>
      <c r="B7" s="15">
        <f>COUNTA('Data Breach Notification'!D4:D11)</f>
        <v/>
      </c>
      <c r="C7" s="15">
        <f>COUNTIF('Data Breach Notification'!D4:D11,"Compliant")</f>
        <v/>
      </c>
      <c r="D7" s="15">
        <f>COUNTIF('Data Breach Notification'!D4:D11,"Partial")</f>
        <v/>
      </c>
      <c r="E7" s="15">
        <f>COUNTIF('Data Breach Notification'!D4:D11,"Non-Compliant")</f>
        <v/>
      </c>
      <c r="F7" s="15">
        <f>COUNTIF('Data Breach Notification'!D4:D11,"N/A")</f>
        <v/>
      </c>
      <c r="G7" s="15">
        <f>IF((B7-F7)=0,"N/A",ROUND(C7/(B7-F7)*100,1)&amp;"%")</f>
        <v/>
      </c>
    </row>
    <row r="8">
      <c r="A8" s="3" t="inlineStr">
        <is>
          <t>Evidence Collection</t>
        </is>
      </c>
      <c r="B8" s="15">
        <f>COUNTA('Evidence Collection'!D4:D10)</f>
        <v/>
      </c>
      <c r="C8" s="15">
        <f>COUNTIF('Evidence Collection'!D4:D10,"Compliant")</f>
        <v/>
      </c>
      <c r="D8" s="15">
        <f>COUNTIF('Evidence Collection'!D4:D10,"Partial")</f>
        <v/>
      </c>
      <c r="E8" s="15">
        <f>COUNTIF('Evidence Collection'!D4:D10,"Non-Compliant")</f>
        <v/>
      </c>
      <c r="F8" s="15">
        <f>COUNTIF('Evidence Collection'!D4:D10,"N/A")</f>
        <v/>
      </c>
      <c r="G8" s="15">
        <f>IF((B8-F8)=0,"N/A",ROUND(C8/(B8-F8)*100,1)&amp;"%")</f>
        <v/>
      </c>
    </row>
    <row r="9">
      <c r="A9" s="3" t="inlineStr">
        <is>
          <t>Lessons Learned &amp; Testing</t>
        </is>
      </c>
      <c r="B9" s="15">
        <f>COUNTA('Lessons Learned &amp; Testing'!D4:D10)</f>
        <v/>
      </c>
      <c r="C9" s="15">
        <f>COUNTIF('Lessons Learned &amp; Testing'!D4:D10,"Compliant")</f>
        <v/>
      </c>
      <c r="D9" s="15">
        <f>COUNTIF('Lessons Learned &amp; Testing'!D4:D10,"Partial")</f>
        <v/>
      </c>
      <c r="E9" s="15">
        <f>COUNTIF('Lessons Learned &amp; Testing'!D4:D10,"Non-Compliant")</f>
        <v/>
      </c>
      <c r="F9" s="15">
        <f>COUNTIF('Lessons Learned &amp; Testing'!D4:D10,"N/A")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&amp; Triage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A.5.24-01</t>
        </is>
      </c>
      <c r="B4" s="23" t="inlineStr">
        <is>
          <t>Incident Reporting</t>
        </is>
      </c>
      <c r="C4" s="24" t="inlineStr">
        <is>
          <t>All employees and third-party users shall report security events immediately upon discovery to the information security management team through the designated reporting channels.</t>
        </is>
      </c>
      <c r="D4" s="25" t="n"/>
      <c r="E4" s="5" t="n"/>
      <c r="F4" s="5" t="n"/>
      <c r="G4" s="26" t="n"/>
      <c r="H4" s="5" t="n"/>
    </row>
    <row r="5" ht="40" customHeight="1">
      <c r="A5" s="22" t="inlineStr">
        <is>
          <t>A.5.24-02</t>
        </is>
      </c>
      <c r="B5" s="23" t="inlineStr">
        <is>
          <t>Reporting Channels</t>
        </is>
      </c>
      <c r="C5" s="24" t="inlineStr">
        <is>
          <t>Reporting channels shall be communicated during onboarding and annual awareness training, and published on the organisation intranet.</t>
        </is>
      </c>
      <c r="D5" s="25" t="n"/>
      <c r="E5" s="5" t="n"/>
      <c r="F5" s="5" t="n"/>
      <c r="G5" s="26" t="n"/>
      <c r="H5" s="5" t="n"/>
    </row>
    <row r="6" ht="40" customHeight="1">
      <c r="A6" s="22" t="inlineStr">
        <is>
          <t>A.5.24-03</t>
        </is>
      </c>
      <c r="B6" s="23" t="inlineStr">
        <is>
          <t>No Self-Investigation</t>
        </is>
      </c>
      <c r="C6" s="24" t="inlineStr">
        <is>
          <t>Employees shall not attempt to investigate or resolve suspected incidents themselves; preservation of evidence takes priority over curiosity.</t>
        </is>
      </c>
      <c r="D6" s="25" t="n"/>
      <c r="E6" s="5" t="n"/>
      <c r="F6" s="5" t="n"/>
      <c r="G6" s="26" t="n"/>
      <c r="H6" s="5" t="n"/>
    </row>
    <row r="7" ht="40" customHeight="1">
      <c r="A7" s="22" t="inlineStr">
        <is>
          <t>A.5.25-01</t>
        </is>
      </c>
      <c r="B7" s="23" t="inlineStr">
        <is>
          <t>Event Assessment</t>
        </is>
      </c>
      <c r="C7" s="24" t="inlineStr">
        <is>
          <t>The information security management team shall assess all reported security events to determine whether they constitute a security incident.</t>
        </is>
      </c>
      <c r="D7" s="25" t="n"/>
      <c r="E7" s="5" t="n"/>
      <c r="F7" s="5" t="n"/>
      <c r="G7" s="26" t="n"/>
      <c r="H7" s="5" t="n"/>
    </row>
    <row r="8" ht="40" customHeight="1">
      <c r="A8" s="22" t="inlineStr">
        <is>
          <t>A.5.25-02</t>
        </is>
      </c>
      <c r="B8" s="23" t="inlineStr">
        <is>
          <t>Event Logging</t>
        </is>
      </c>
      <c r="C8" s="24" t="inlineStr">
        <is>
          <t>Events that do not meet the threshold for an incident shall be logged, and trends shall be monitored.</t>
        </is>
      </c>
      <c r="D8" s="25" t="n"/>
      <c r="E8" s="5" t="n"/>
      <c r="F8" s="5" t="n"/>
      <c r="G8" s="26" t="n"/>
      <c r="H8" s="5" t="n"/>
    </row>
    <row r="9" ht="40" customHeight="1">
      <c r="A9" s="22" t="inlineStr">
        <is>
          <t>A.5.25-03</t>
        </is>
      </c>
      <c r="B9" s="23" t="inlineStr">
        <is>
          <t>Incident Register</t>
        </is>
      </c>
      <c r="C9" s="24" t="inlineStr">
        <is>
          <t>All reported security events and confirmed incidents shall be recorded in the incident register with the required minimum fields (ID, dates, reporter, description, systems affected, classification, severity, status, assigned to, root cause, actions, lessons, closure).</t>
        </is>
      </c>
      <c r="D9" s="25" t="n"/>
      <c r="E9" s="5" t="n"/>
      <c r="F9" s="5" t="n"/>
      <c r="G9" s="26" t="n"/>
      <c r="H9" s="5" t="n"/>
    </row>
    <row r="10" ht="40" customHeight="1">
      <c r="A10" s="22" t="inlineStr">
        <is>
          <t>A.5.25-04</t>
        </is>
      </c>
      <c r="B10" s="23" t="inlineStr">
        <is>
          <t>Personal Data Assessment</t>
        </is>
      </c>
      <c r="C10" s="24" t="inlineStr">
        <is>
          <t>Assessment shall consider whether personal data is involved (potential data breach) and the potential business, legal, or regulatory impact.</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Classification &amp; Escalation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A.5.25-05</t>
        </is>
      </c>
      <c r="B4" s="23" t="inlineStr">
        <is>
          <t>Severity Classification</t>
        </is>
      </c>
      <c r="C4" s="24" t="inlineStr">
        <is>
          <t>Confirmed incidents shall be classified by severity (Critical / High / Medium / Low) to determine response priority, escalation, and communication requirements.</t>
        </is>
      </c>
      <c r="D4" s="25" t="n"/>
      <c r="E4" s="5" t="n"/>
      <c r="F4" s="5" t="n"/>
      <c r="G4" s="26" t="n"/>
      <c r="H4" s="5" t="n"/>
    </row>
    <row r="5" ht="40" customHeight="1">
      <c r="A5" s="22" t="inlineStr">
        <is>
          <t>A.5.25-06</t>
        </is>
      </c>
      <c r="B5" s="23" t="inlineStr">
        <is>
          <t>Severity Escalation</t>
        </is>
      </c>
      <c r="C5" s="24" t="inlineStr">
        <is>
          <t>Severity may be escalated at any point during the incident lifecycle as new information emerges.</t>
        </is>
      </c>
      <c r="D5" s="25" t="n"/>
      <c r="E5" s="5" t="n"/>
      <c r="F5" s="5" t="n"/>
      <c r="G5" s="26" t="n"/>
      <c r="H5" s="5" t="n"/>
    </row>
    <row r="6" ht="40" customHeight="1">
      <c r="A6" s="22" t="inlineStr">
        <is>
          <t>A.5.26-01</t>
        </is>
      </c>
      <c r="B6" s="23" t="inlineStr">
        <is>
          <t>Senior Management Escalation</t>
        </is>
      </c>
      <c r="C6" s="24" t="inlineStr">
        <is>
          <t>The incident response team leader shall escalate incidents to senior management when: classified Critical/High, involves personal data, may require external notification, exceeds team capability, or not contained within expected timeframe.</t>
        </is>
      </c>
      <c r="D6" s="25" t="n"/>
      <c r="E6" s="5" t="n"/>
      <c r="F6" s="5" t="n"/>
      <c r="G6" s="26" t="n"/>
      <c r="H6" s="5" t="n"/>
    </row>
    <row r="7" ht="40" customHeight="1">
      <c r="A7" s="22" t="inlineStr">
        <is>
          <t>A.5.26-02</t>
        </is>
      </c>
      <c r="B7" s="23" t="inlineStr">
        <is>
          <t>Need-to-Know Communication</t>
        </is>
      </c>
      <c r="C7" s="24" t="inlineStr">
        <is>
          <t>Incident information shall be shared on a strict need-to-know basis; communication during an active incident shall be coordinated through the incident response team leader.</t>
        </is>
      </c>
      <c r="D7" s="25" t="n"/>
      <c r="E7" s="5" t="n"/>
      <c r="F7" s="5" t="n"/>
      <c r="G7" s="26" t="n"/>
      <c r="H7" s="5" t="n"/>
    </row>
    <row r="8" ht="40" customHeight="1">
      <c r="A8" s="22" t="inlineStr">
        <is>
          <t>A.5.26-03</t>
        </is>
      </c>
      <c r="B8" s="23" t="inlineStr">
        <is>
          <t>Status Updates</t>
        </is>
      </c>
      <c r="C8" s="24" t="inlineStr">
        <is>
          <t>Internal status updates shall be provided at regular intervals for Critical and High incidents.</t>
        </is>
      </c>
      <c r="D8" s="25" t="n"/>
      <c r="E8" s="5" t="n"/>
      <c r="F8" s="5" t="n"/>
      <c r="G8" s="26" t="n"/>
      <c r="H8" s="5" t="n"/>
    </row>
    <row r="9" ht="40" customHeight="1">
      <c r="A9" s="22" t="inlineStr">
        <is>
          <t>A.5.26-04</t>
        </is>
      </c>
      <c r="B9" s="23" t="inlineStr">
        <is>
          <t>External Communication Approval</t>
        </is>
      </c>
      <c r="C9" s="24" t="inlineStr">
        <is>
          <t>External communication (media, customers, partners) shall be approved by senior management and reviewed by legal counsel before release.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Response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A.5.26-05</t>
        </is>
      </c>
      <c r="B4" s="23" t="inlineStr">
        <is>
          <t>Containment</t>
        </is>
      </c>
      <c r="C4" s="24" t="inlineStr">
        <is>
          <t>Short-term containment actions (e.g., isolating affected systems, disabling compromised accounts) shall be taken immediately; long-term containment strategies shall be planned where eradication cannot be immediate.</t>
        </is>
      </c>
      <c r="D4" s="25" t="n"/>
      <c r="E4" s="5" t="n"/>
      <c r="F4" s="5" t="n"/>
      <c r="G4" s="26" t="n"/>
      <c r="H4" s="5" t="n"/>
    </row>
    <row r="5" ht="40" customHeight="1">
      <c r="A5" s="22" t="inlineStr">
        <is>
          <t>A.5.26-06</t>
        </is>
      </c>
      <c r="B5" s="23" t="inlineStr">
        <is>
          <t>Eradication</t>
        </is>
      </c>
      <c r="C5" s="24" t="inlineStr">
        <is>
          <t>The root cause of the incident shall be removed, which may include removing malware, closing vulnerabilities, resetting compromised credentials, or rebuilding affected systems.</t>
        </is>
      </c>
      <c r="D5" s="25" t="n"/>
      <c r="E5" s="5" t="n"/>
      <c r="F5" s="5" t="n"/>
      <c r="G5" s="26" t="n"/>
      <c r="H5" s="5" t="n"/>
    </row>
    <row r="6" ht="40" customHeight="1">
      <c r="A6" s="22" t="inlineStr">
        <is>
          <t>A.5.26-07</t>
        </is>
      </c>
      <c r="B6" s="23" t="inlineStr">
        <is>
          <t>Recovery Verification</t>
        </is>
      </c>
      <c r="C6" s="24" t="inlineStr">
        <is>
          <t>Recovery shall be verified through testing before returning systems to production; monitoring shall be enhanced during the recovery period to detect recurrence.</t>
        </is>
      </c>
      <c r="D6" s="25" t="n"/>
      <c r="E6" s="5" t="n"/>
      <c r="F6" s="5" t="n"/>
      <c r="G6" s="26" t="n"/>
      <c r="H6" s="5" t="n"/>
    </row>
    <row r="7" ht="40" customHeight="1">
      <c r="A7" s="22" t="inlineStr">
        <is>
          <t>A.5.26-08</t>
        </is>
      </c>
      <c r="B7" s="23" t="inlineStr">
        <is>
          <t>Response Documentation</t>
        </is>
      </c>
      <c r="C7" s="24" t="inlineStr">
        <is>
          <t>All incident response actions shall be documented with timestamps, actions taken, and personnel involved.</t>
        </is>
      </c>
      <c r="D7" s="25" t="n"/>
      <c r="E7" s="5" t="n"/>
      <c r="F7" s="5" t="n"/>
      <c r="G7" s="26" t="n"/>
      <c r="H7" s="5" t="n"/>
    </row>
    <row r="8" ht="40" customHeight="1">
      <c r="A8" s="22" t="inlineStr">
        <is>
          <t>A.5.24-04</t>
        </is>
      </c>
      <c r="B8" s="23" t="inlineStr">
        <is>
          <t>IRT Roles</t>
        </is>
      </c>
      <c r="C8" s="24" t="inlineStr">
        <is>
          <t>The following incident response team roles shall be assigned and documented: IRT Leader, Technical Lead, Communications Lead, Legal Advisor, Business Liaison; deputies shall be assigned for each role.</t>
        </is>
      </c>
      <c r="D8" s="25" t="n"/>
      <c r="E8" s="5" t="n"/>
      <c r="F8" s="5" t="n"/>
      <c r="G8" s="26" t="n"/>
      <c r="H8" s="5" t="n"/>
    </row>
    <row r="9" ht="40" customHeight="1">
      <c r="A9" s="22" t="inlineStr">
        <is>
          <t>A.5.24-05</t>
        </is>
      </c>
      <c r="B9" s="23" t="inlineStr">
        <is>
          <t>Role Review</t>
        </is>
      </c>
      <c r="C9" s="24" t="inlineStr">
        <is>
          <t>Role assignments shall be documented, communicated to all team members, and reviewed annually.</t>
        </is>
      </c>
      <c r="D9" s="25" t="n"/>
      <c r="E9" s="5" t="n"/>
      <c r="F9" s="5" t="n"/>
      <c r="G9" s="26" t="n"/>
      <c r="H9" s="5" t="n"/>
    </row>
    <row r="10" ht="40" customHeight="1">
      <c r="A10" s="22" t="inlineStr">
        <is>
          <t>A.5.24-06</t>
        </is>
      </c>
      <c r="B10" s="23" t="inlineStr">
        <is>
          <t>Significant Incident Team</t>
        </is>
      </c>
      <c r="C10" s="24" t="inlineStr">
        <is>
          <t>In all instances where a situation may lead to an external investigation or legal proceedings, specialist external resources shall be engaged and a Significant Incident Team Leader shall be appointed from senior management.</t>
        </is>
      </c>
      <c r="D10" s="25" t="n"/>
      <c r="E10" s="5" t="n"/>
      <c r="F10" s="5" t="n"/>
      <c r="G10" s="26" t="n"/>
      <c r="H10" s="5" t="n"/>
    </row>
    <row r="11" ht="40" customHeight="1">
      <c r="A11" s="22" t="inlineStr">
        <is>
          <t>A.5.24-07</t>
        </is>
      </c>
      <c r="B11" s="23" t="inlineStr">
        <is>
          <t>Stop and Make Safe</t>
        </is>
      </c>
      <c r="C11" s="24" t="inlineStr">
        <is>
          <t>For significant incidents, all work on, access to, modification of, or tampering with affected systems shall stop; the only exceptions are preservation of life, health, and safety, or bare minimum triage actions.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Breach Notification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A.5.26-09</t>
        </is>
      </c>
      <c r="B4" s="23" t="inlineStr">
        <is>
          <t>FDPIC Notification</t>
        </is>
      </c>
      <c r="C4" s="24" t="inlineStr">
        <is>
          <t>Where a data breach is likely to result in a high risk to data subjects, the FDPIC shall be notified as soon as possible after becoming aware of the breach (nFADP Art. 24).</t>
        </is>
      </c>
      <c r="D4" s="25" t="n"/>
      <c r="E4" s="5" t="n"/>
      <c r="F4" s="5" t="n"/>
      <c r="G4" s="26" t="n"/>
      <c r="H4" s="5" t="n"/>
    </row>
    <row r="5" ht="40" customHeight="1">
      <c r="A5" s="22" t="inlineStr">
        <is>
          <t>A.5.26-10</t>
        </is>
      </c>
      <c r="B5" s="23" t="inlineStr">
        <is>
          <t>Data Subject Notification</t>
        </is>
      </c>
      <c r="C5" s="24" t="inlineStr">
        <is>
          <t>Where notification is necessary for the protection of data subjects or where the FDPIC requests it, data subjects shall be notified as soon as possible.</t>
        </is>
      </c>
      <c r="D5" s="25" t="n"/>
      <c r="E5" s="5" t="n"/>
      <c r="F5" s="5" t="n"/>
      <c r="G5" s="26" t="n"/>
      <c r="H5" s="5" t="n"/>
    </row>
    <row r="6" ht="40" customHeight="1">
      <c r="A6" s="22" t="inlineStr">
        <is>
          <t>A.5.26-11</t>
        </is>
      </c>
      <c r="B6" s="23" t="inlineStr">
        <is>
          <t>Processor Notification</t>
        </is>
      </c>
      <c r="C6" s="24" t="inlineStr">
        <is>
          <t>Where the organisation acts as processor, the controller shall be notified as soon as possible after discovery of a breach involving the controller's personal data.</t>
        </is>
      </c>
      <c r="D6" s="25" t="n"/>
      <c r="E6" s="5" t="n"/>
      <c r="F6" s="5" t="n"/>
      <c r="G6" s="26" t="n"/>
      <c r="H6" s="5" t="n"/>
    </row>
    <row r="7" ht="40" customHeight="1">
      <c r="A7" s="22" t="inlineStr">
        <is>
          <t>A.5.26-12</t>
        </is>
      </c>
      <c r="B7" s="23" t="inlineStr">
        <is>
          <t>GDPR 72-Hour Notification</t>
        </is>
      </c>
      <c r="C7" s="24" t="inlineStr">
        <is>
          <t>Where GDPR applies, the supervisory authority shall be notified within 72 hours of becoming aware of a personal data breach; the organisation shall meet the stricter timeline where both nFADP and GDPR apply.</t>
        </is>
      </c>
      <c r="D7" s="25" t="n"/>
      <c r="E7" s="5" t="n"/>
      <c r="F7" s="5" t="n"/>
      <c r="G7" s="26" t="n"/>
      <c r="H7" s="5" t="n"/>
    </row>
    <row r="8" ht="40" customHeight="1">
      <c r="A8" s="22" t="inlineStr">
        <is>
          <t>A.5.26-13</t>
        </is>
      </c>
      <c r="B8" s="23" t="inlineStr">
        <is>
          <t>Notification Content</t>
        </is>
      </c>
      <c r="C8" s="24" t="inlineStr">
        <is>
          <t>Breach notifications shall include: nature of the breach, consequences and risks, measures taken or planned, and contact point for further information.</t>
        </is>
      </c>
      <c r="D8" s="25" t="n"/>
      <c r="E8" s="5" t="n"/>
      <c r="F8" s="5" t="n"/>
      <c r="G8" s="26" t="n"/>
      <c r="H8" s="5" t="n"/>
    </row>
    <row r="9" ht="40" customHeight="1">
      <c r="A9" s="22" t="inlineStr">
        <is>
          <t>A.5.26-14</t>
        </is>
      </c>
      <c r="B9" s="23" t="inlineStr">
        <is>
          <t>Phased Notification</t>
        </is>
      </c>
      <c r="C9" s="24" t="inlineStr">
        <is>
          <t>Where full information is not available at the time of notification, it shall be provided in phases without undue delay.</t>
        </is>
      </c>
      <c r="D9" s="25" t="n"/>
      <c r="E9" s="5" t="n"/>
      <c r="F9" s="5" t="n"/>
      <c r="G9" s="26" t="n"/>
      <c r="H9" s="5" t="n"/>
    </row>
    <row r="10" ht="40" customHeight="1">
      <c r="A10" s="22" t="inlineStr">
        <is>
          <t>A.5.26-15</t>
        </is>
      </c>
      <c r="B10" s="23" t="inlineStr">
        <is>
          <t>Breach Assessment</t>
        </is>
      </c>
      <c r="C10" s="24" t="inlineStr">
        <is>
          <t>The incident response team shall assess whether personal data incidents require notification based on: nature/sensitivity of data, number of subjects, severity/likelihood of consequences, encryption status, and containment status.</t>
        </is>
      </c>
      <c r="D10" s="25" t="n"/>
      <c r="E10" s="5" t="n"/>
      <c r="F10" s="5" t="n"/>
      <c r="G10" s="26" t="n"/>
      <c r="H10" s="5" t="n"/>
    </row>
    <row r="11" ht="40" customHeight="1">
      <c r="A11" s="22" t="inlineStr">
        <is>
          <t>A.5.26-16</t>
        </is>
      </c>
      <c r="B11" s="23" t="inlineStr">
        <is>
          <t>Assessment Documentation</t>
        </is>
      </c>
      <c r="C11" s="24" t="inlineStr">
        <is>
          <t>The breach assessment and decision (including rationale for not notifying, if applicable) shall be documented.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Evidence Collection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A.5.28-01</t>
        </is>
      </c>
      <c r="B4" s="23" t="inlineStr">
        <is>
          <t>Timely Collection</t>
        </is>
      </c>
      <c r="C4" s="24" t="inlineStr">
        <is>
          <t>Evidence shall be collected as soon as possible after the incident is identified.</t>
        </is>
      </c>
      <c r="D4" s="25" t="n"/>
      <c r="E4" s="5" t="n"/>
      <c r="F4" s="5" t="n"/>
      <c r="G4" s="26" t="n"/>
      <c r="H4" s="5" t="n"/>
    </row>
    <row r="5" ht="40" customHeight="1">
      <c r="A5" s="22" t="inlineStr">
        <is>
          <t>A.5.28-02</t>
        </is>
      </c>
      <c r="B5" s="23" t="inlineStr">
        <is>
          <t>Forensic Copies</t>
        </is>
      </c>
      <c r="C5" s="24" t="inlineStr">
        <is>
          <t>Original evidence shall not be accessed, modified, or analysed directly; forensic copies (bit-for-bit images) shall be created using write-blocking tools.</t>
        </is>
      </c>
      <c r="D5" s="25" t="n"/>
      <c r="E5" s="5" t="n"/>
      <c r="F5" s="5" t="n"/>
      <c r="G5" s="26" t="n"/>
      <c r="H5" s="5" t="n"/>
    </row>
    <row r="6" ht="40" customHeight="1">
      <c r="A6" s="22" t="inlineStr">
        <is>
          <t>A.5.28-03</t>
        </is>
      </c>
      <c r="B6" s="23" t="inlineStr">
        <is>
          <t>Hash Verification</t>
        </is>
      </c>
      <c r="C6" s="24" t="inlineStr">
        <is>
          <t>All evidence shall be verified using cryptographic hash functions (SHA-256 minimum) to confirm integrity.</t>
        </is>
      </c>
      <c r="D6" s="25" t="n"/>
      <c r="E6" s="5" t="n"/>
      <c r="F6" s="5" t="n"/>
      <c r="G6" s="26" t="n"/>
      <c r="H6" s="5" t="n"/>
    </row>
    <row r="7" ht="40" customHeight="1">
      <c r="A7" s="22" t="inlineStr">
        <is>
          <t>A.5.28-04</t>
        </is>
      </c>
      <c r="B7" s="23" t="inlineStr">
        <is>
          <t>Chain of Custody</t>
        </is>
      </c>
      <c r="C7" s="24" t="inlineStr">
        <is>
          <t>A chain of custody record shall be maintained for all evidence documenting: what was collected, when, by whom, where stored, who accessed it, and any transfers between custodians.</t>
        </is>
      </c>
      <c r="D7" s="25" t="n"/>
      <c r="E7" s="5" t="n"/>
      <c r="F7" s="5" t="n"/>
      <c r="G7" s="26" t="n"/>
      <c r="H7" s="5" t="n"/>
    </row>
    <row r="8" ht="40" customHeight="1">
      <c r="A8" s="22" t="inlineStr">
        <is>
          <t>A.5.28-05</t>
        </is>
      </c>
      <c r="B8" s="23" t="inlineStr">
        <is>
          <t>Evidence Storage</t>
        </is>
      </c>
      <c r="C8" s="24" t="inlineStr">
        <is>
          <t>Evidence shall be stored in a secure location with restricted access; digital evidence on encrypted media; physical evidence in a locked, tamper-evident container; retained for minimum 12 months from incident closure or longer where required.</t>
        </is>
      </c>
      <c r="D8" s="25" t="n"/>
      <c r="E8" s="5" t="n"/>
      <c r="F8" s="5" t="n"/>
      <c r="G8" s="26" t="n"/>
      <c r="H8" s="5" t="n"/>
    </row>
    <row r="9" ht="40" customHeight="1">
      <c r="A9" s="22" t="inlineStr">
        <is>
          <t>A.5.28-06</t>
        </is>
      </c>
      <c r="B9" s="23" t="inlineStr">
        <is>
          <t>External Forensics</t>
        </is>
      </c>
      <c r="C9" s="24" t="inlineStr">
        <is>
          <t>For significant incidents, qualified external forensic investigators shall be engaged; the organisation shall identify and pre-approve at least one external forensic provider.</t>
        </is>
      </c>
      <c r="D9" s="25" t="n"/>
      <c r="E9" s="5" t="n"/>
      <c r="F9" s="5" t="n"/>
      <c r="G9" s="26" t="n"/>
      <c r="H9" s="5" t="n"/>
    </row>
    <row r="10" ht="40" customHeight="1">
      <c r="A10" s="22" t="inlineStr">
        <is>
          <t>A.5.28-07</t>
        </is>
      </c>
      <c r="B10" s="23" t="inlineStr">
        <is>
          <t>Internal Forensics Restriction</t>
        </is>
      </c>
      <c r="C10" s="24" t="inlineStr">
        <is>
          <t>Internal personnel shall not conduct forensic analysis unless trained and qualified to do so.</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Lessons Learned &amp; Testing — Compliance Checklist</t>
        </is>
      </c>
    </row>
    <row r="2">
      <c r="A2" s="21" t="inlineStr">
        <is>
          <t>ISO/IEC 27001:2022 — Controls A.5.24-28: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A.5.27-01</t>
        </is>
      </c>
      <c r="B4" s="23" t="inlineStr">
        <is>
          <t>Post-Incident Review</t>
        </is>
      </c>
      <c r="C4" s="24" t="inlineStr">
        <is>
          <t>A post-incident review shall be conducted for all Critical and High severity incidents within 5 business days of incident resolution.</t>
        </is>
      </c>
      <c r="D4" s="25" t="n"/>
      <c r="E4" s="5" t="n"/>
      <c r="F4" s="5" t="n"/>
      <c r="G4" s="26" t="n"/>
      <c r="H4" s="5" t="n"/>
    </row>
    <row r="5" ht="40" customHeight="1">
      <c r="A5" s="22" t="inlineStr">
        <is>
          <t>A.5.27-02</t>
        </is>
      </c>
      <c r="B5" s="23" t="inlineStr">
        <is>
          <t>Review Content</t>
        </is>
      </c>
      <c r="C5" s="24" t="inlineStr">
        <is>
          <t>The review shall document: timeline (factual chronology), root cause, what worked, what could be improved, and specific measurable action items with owner and deadline.</t>
        </is>
      </c>
      <c r="D5" s="25" t="n"/>
      <c r="E5" s="5" t="n"/>
      <c r="F5" s="5" t="n"/>
      <c r="G5" s="26" t="n"/>
      <c r="H5" s="5" t="n"/>
    </row>
    <row r="6" ht="40" customHeight="1">
      <c r="A6" s="22" t="inlineStr">
        <is>
          <t>A.5.27-03</t>
        </is>
      </c>
      <c r="B6" s="23" t="inlineStr">
        <is>
          <t>Action Tracking</t>
        </is>
      </c>
      <c r="C6" s="24" t="inlineStr">
        <is>
          <t>Action items from post-incident reviews shall be tracked to completion.</t>
        </is>
      </c>
      <c r="D6" s="25" t="n"/>
      <c r="E6" s="5" t="n"/>
      <c r="F6" s="5" t="n"/>
      <c r="G6" s="26" t="n"/>
      <c r="H6" s="5" t="n"/>
    </row>
    <row r="7" ht="40" customHeight="1">
      <c r="A7" s="22" t="inlineStr">
        <is>
          <t>A.5.27-04</t>
        </is>
      </c>
      <c r="B7" s="23" t="inlineStr">
        <is>
          <t>Trend Review</t>
        </is>
      </c>
      <c r="C7" s="24" t="inlineStr">
        <is>
          <t>Trends across incidents shall be reviewed quarterly to identify systemic issues.</t>
        </is>
      </c>
      <c r="D7" s="25" t="n"/>
      <c r="E7" s="5" t="n"/>
      <c r="F7" s="5" t="n"/>
      <c r="G7" s="26" t="n"/>
      <c r="H7" s="5" t="n"/>
    </row>
    <row r="8" ht="40" customHeight="1">
      <c r="A8" s="22" t="inlineStr">
        <is>
          <t>A.5.27-05</t>
        </is>
      </c>
      <c r="B8" s="23" t="inlineStr">
        <is>
          <t>Blame-Free Reviews</t>
        </is>
      </c>
      <c r="C8" s="24" t="inlineStr">
        <is>
          <t>Reviews shall be conducted in a blame-free manner, focusing on system and process improvement rather than individual fault.</t>
        </is>
      </c>
      <c r="D8" s="25" t="n"/>
      <c r="E8" s="5" t="n"/>
      <c r="F8" s="5" t="n"/>
      <c r="G8" s="26" t="n"/>
      <c r="H8" s="5" t="n"/>
    </row>
    <row r="9" ht="40" customHeight="1">
      <c r="A9" s="22" t="inlineStr">
        <is>
          <t>A.5.24-08</t>
        </is>
      </c>
      <c r="B9" s="23" t="inlineStr">
        <is>
          <t>Annual Response Testing</t>
        </is>
      </c>
      <c r="C9" s="24" t="inlineStr">
        <is>
          <t>The incident response plan shall be tested at least annually through tabletop exercises or simulations to verify roles, communication, escalation, evidence collection, and breach notification timelines.</t>
        </is>
      </c>
      <c r="D9" s="25" t="n"/>
      <c r="E9" s="5" t="n"/>
      <c r="F9" s="5" t="n"/>
      <c r="G9" s="26" t="n"/>
      <c r="H9" s="5" t="n"/>
    </row>
    <row r="10" ht="40" customHeight="1">
      <c r="A10" s="22" t="inlineStr">
        <is>
          <t>A.5.24-09</t>
        </is>
      </c>
      <c r="B10" s="23" t="inlineStr">
        <is>
          <t>Incident Metrics</t>
        </is>
      </c>
      <c r="C10" s="24" t="inlineStr">
        <is>
          <t>The following metrics shall be reported quarterly: total events, events-to-incidents ratio, incidents by severity, MTTD, MTTR, mean time to resolve, overdue incidents, data breaches reported, and post-incident review completion rate.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2026-02-07T18:38:05Z</dcterms:created>
  <dcterms:modified xmlns:dcterms="http://purl.org/dc/terms/" xmlns:xsi="http://www.w3.org/2001/XMLSchema-instance" xsi:type="dcterms:W3CDTF">2026-02-07T18:38:05Z</dcterms:modified>
</cp:coreProperties>
</file>