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gister &amp; Classification" sheetId="3" state="visible" r:id="rId3"/>
    <sheet xmlns:r="http://schemas.openxmlformats.org/officeDocument/2006/relationships" name="Due Diligence &amp; Selection" sheetId="4" state="visible" r:id="rId4"/>
    <sheet xmlns:r="http://schemas.openxmlformats.org/officeDocument/2006/relationships" name="Contracts &amp; Data Processing" sheetId="5" state="visible" r:id="rId5"/>
    <sheet xmlns:r="http://schemas.openxmlformats.org/officeDocument/2006/relationships" name="Cross-Border &amp; Compliance" sheetId="6" state="visible" r:id="rId6"/>
    <sheet xmlns:r="http://schemas.openxmlformats.org/officeDocument/2006/relationships" name="Monitoring &amp; Incidents" sheetId="7" state="visible" r:id="rId7"/>
    <sheet xmlns:r="http://schemas.openxmlformats.org/officeDocument/2006/relationships" name="Exit &amp; Continuity" sheetId="8" state="visible" r:id="rId8"/>
  </sheets>
  <definedNames>
    <definedName name="_xlnm.Print_Area" localSheetId="0">'Executive Summary'!$A$1:$H$65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ISMS-OP-CHK-A.5.19-23 — Cloud Services and Supplier Security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ISMS-OP-CHK-A.5.19-23</t>
        </is>
      </c>
    </row>
    <row r="5">
      <c r="A5" s="3" t="inlineStr">
        <is>
          <t>Source Policy</t>
        </is>
      </c>
      <c r="B5" s="4" t="inlineStr">
        <is>
          <t>ISMS-OP-POL-A.5.19-23</t>
        </is>
      </c>
    </row>
    <row r="6">
      <c r="A6" s="3" t="inlineStr">
        <is>
          <t>ISO Controls</t>
        </is>
      </c>
      <c r="B6" s="4" t="inlineStr">
        <is>
          <t>ISO/IEC 27001:2022 — Controls A.5.19-23: Cloud Services and Supplier Security</t>
        </is>
      </c>
    </row>
    <row r="7">
      <c r="A7" s="3" t="inlineStr">
        <is>
          <t>Generated</t>
        </is>
      </c>
      <c r="B7" s="4" t="inlineStr">
        <is>
          <t>07.02.2026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'Dashboard'!G10</f>
        <v/>
      </c>
    </row>
    <row r="14">
      <c r="A14" s="7" t="inlineStr">
        <is>
          <t>Status</t>
        </is>
      </c>
      <c r="B14" s="9">
        <f>IF(Dashboard!G10="N/A","NOT ASSESSED",IF(ISNUMBER(VALUE(SUBSTITUTE(Dashboard!G10,"%",""))),IF(VALUE(SUBSTITUTE(Dashboard!G10,"%",""))&gt;=90,"GREEN",IF(VALUE(SUBSTITUTE(Dashboard!G10,"%",""))&gt;=70,"AMBER","RED")),"NOT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'Dashboard'!B10</f>
        <v/>
      </c>
    </row>
    <row r="18">
      <c r="A18" s="3" t="inlineStr">
        <is>
          <t>Compliant</t>
        </is>
      </c>
      <c r="B18" s="10">
        <f>'Dashboard'!C10</f>
        <v/>
      </c>
    </row>
    <row r="19">
      <c r="A19" s="3" t="inlineStr">
        <is>
          <t>Partial</t>
        </is>
      </c>
      <c r="B19" s="10">
        <f>'Dashboard'!D10</f>
        <v/>
      </c>
    </row>
    <row r="20">
      <c r="A20" s="3" t="inlineStr">
        <is>
          <t>Non-Compliant</t>
        </is>
      </c>
      <c r="B20" s="10">
        <f>'Dashboard'!E10</f>
        <v/>
      </c>
    </row>
    <row r="21">
      <c r="A21" s="3" t="inlineStr">
        <is>
          <t>Not Applicable</t>
        </is>
      </c>
      <c r="B21" s="10">
        <f>'Dashboard'!F10</f>
        <v/>
      </c>
    </row>
    <row r="22">
      <c r="A22" s="3" t="inlineStr">
        <is>
          <t>Owner Coverage</t>
        </is>
      </c>
      <c r="B22" s="10">
        <f>IF(Dashboard!B10=0,"N/A",ROUND((COUNTA('Register &amp; Classification'!F4:F11)+COUNTA('Due Diligence &amp; Selection'!F4:F9)+COUNTA('Contracts &amp; Data Processing'!F4:F11)+COUNTA('Cross-Border &amp; Compliance'!F4:F8)+COUNTA('Monitoring &amp; Incidents'!F4:F11)+COUNTA('Exit &amp; Continuity'!F4:F10))/Dashboard!B10*100,0)&amp;"%")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Register &amp; Classification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Due Diligence &amp; Selection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Contracts &amp; Data Processing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Cross-Border &amp; Compliance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Monitoring &amp; Incidents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Exit &amp; Continuity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3">
      <c r="A33" s="6" t="inlineStr">
        <is>
          <t>CRITICAL ISSUES</t>
        </is>
      </c>
    </row>
    <row r="34">
      <c r="A34" s="11" t="inlineStr">
        <is>
          <t>#</t>
        </is>
      </c>
      <c r="B34" s="11" t="inlineStr">
        <is>
          <t>Issue Description</t>
        </is>
      </c>
      <c r="C34" s="11" t="inlineStr">
        <is>
          <t>Domain</t>
        </is>
      </c>
      <c r="D34" s="11" t="inlineStr">
        <is>
          <t>Owner</t>
        </is>
      </c>
      <c r="E34" s="11" t="inlineStr">
        <is>
          <t>Due Date</t>
        </is>
      </c>
    </row>
    <row r="35">
      <c r="A35" s="4" t="n">
        <v>1</v>
      </c>
      <c r="B35" s="5" t="n"/>
      <c r="C35" s="5" t="n"/>
      <c r="D35" s="5" t="n"/>
      <c r="E35" s="5" t="n"/>
    </row>
    <row r="36">
      <c r="A36" s="4" t="n">
        <v>2</v>
      </c>
      <c r="B36" s="5" t="n"/>
      <c r="C36" s="5" t="n"/>
      <c r="D36" s="5" t="n"/>
      <c r="E36" s="5" t="n"/>
    </row>
    <row r="37">
      <c r="A37" s="4" t="n">
        <v>3</v>
      </c>
      <c r="B37" s="5" t="n"/>
      <c r="C37" s="5" t="n"/>
      <c r="D37" s="5" t="n"/>
      <c r="E37" s="5" t="n"/>
    </row>
    <row r="38">
      <c r="A38" s="4" t="n">
        <v>4</v>
      </c>
      <c r="B38" s="5" t="n"/>
      <c r="C38" s="5" t="n"/>
      <c r="D38" s="5" t="n"/>
      <c r="E38" s="5" t="n"/>
    </row>
    <row r="39">
      <c r="A39" s="4" t="n">
        <v>5</v>
      </c>
      <c r="B39" s="5" t="n"/>
      <c r="C39" s="5" t="n"/>
      <c r="D39" s="5" t="n"/>
      <c r="E39" s="5" t="n"/>
    </row>
    <row r="41">
      <c r="A41" s="6" t="inlineStr">
        <is>
          <t>MANAGEMENT COMMENTARY</t>
        </is>
      </c>
    </row>
    <row r="42" ht="60" customHeight="1">
      <c r="A42" s="12" t="inlineStr">
        <is>
          <t>[Enter management commentary on supplier and cloud service security posture]</t>
        </is>
      </c>
    </row>
    <row r="43"/>
    <row r="44"/>
    <row r="46">
      <c r="A46" s="6" t="inlineStr">
        <is>
          <t>APPROVAL</t>
        </is>
      </c>
    </row>
    <row r="47">
      <c r="A47" s="13" t="inlineStr">
        <is>
          <t>Assessed By</t>
        </is>
      </c>
    </row>
    <row r="48">
      <c r="A48" s="14" t="inlineStr">
        <is>
          <t>Name:</t>
        </is>
      </c>
      <c r="B48" s="5" t="n"/>
    </row>
    <row r="49">
      <c r="A49" s="14" t="inlineStr">
        <is>
          <t>Date:</t>
        </is>
      </c>
      <c r="B49" s="5" t="n"/>
    </row>
    <row r="50">
      <c r="A50" s="14" t="inlineStr">
        <is>
          <t>Signature:</t>
        </is>
      </c>
      <c r="B50" s="5" t="n"/>
    </row>
    <row r="51">
      <c r="A51" s="14" t="inlineStr">
        <is>
          <t>Decision:</t>
        </is>
      </c>
      <c r="B51" s="5" t="n"/>
    </row>
    <row r="53">
      <c r="A53" s="13" t="inlineStr">
        <is>
          <t>Reviewed By (ISO Manager)</t>
        </is>
      </c>
    </row>
    <row r="54">
      <c r="A54" s="14" t="inlineStr">
        <is>
          <t>Name:</t>
        </is>
      </c>
      <c r="B54" s="5" t="n"/>
    </row>
    <row r="55">
      <c r="A55" s="14" t="inlineStr">
        <is>
          <t>Date:</t>
        </is>
      </c>
      <c r="B55" s="5" t="n"/>
    </row>
    <row r="56">
      <c r="A56" s="14" t="inlineStr">
        <is>
          <t>Signature:</t>
        </is>
      </c>
      <c r="B56" s="5" t="n"/>
    </row>
    <row r="57">
      <c r="A57" s="14" t="inlineStr">
        <is>
          <t>Decision:</t>
        </is>
      </c>
      <c r="B57" s="5" t="n"/>
    </row>
    <row r="59">
      <c r="A59" s="13" t="inlineStr">
        <is>
          <t>Approved By (CISO)</t>
        </is>
      </c>
    </row>
    <row r="60">
      <c r="A60" s="14" t="inlineStr">
        <is>
          <t>Name:</t>
        </is>
      </c>
      <c r="B60" s="5" t="n"/>
    </row>
    <row r="61">
      <c r="A61" s="14" t="inlineStr">
        <is>
          <t>Date:</t>
        </is>
      </c>
      <c r="B61" s="5" t="n"/>
    </row>
    <row r="62">
      <c r="A62" s="14" t="inlineStr">
        <is>
          <t>Signature:</t>
        </is>
      </c>
      <c r="B62" s="5" t="n"/>
    </row>
    <row r="63">
      <c r="A63" s="14" t="inlineStr">
        <is>
          <t>Decision:</t>
        </is>
      </c>
      <c r="B63" s="5" t="n"/>
    </row>
  </sheetData>
  <mergeCells count="12">
    <mergeCell ref="A12:H12"/>
    <mergeCell ref="A59:B59"/>
    <mergeCell ref="A24:H24"/>
    <mergeCell ref="A16:H16"/>
    <mergeCell ref="A47:B47"/>
    <mergeCell ref="A41:H41"/>
    <mergeCell ref="A33:H33"/>
    <mergeCell ref="A42:H44"/>
    <mergeCell ref="A1:H1"/>
    <mergeCell ref="A46:H46"/>
    <mergeCell ref="A3:B3"/>
    <mergeCell ref="A53:B53"/>
  </mergeCells>
  <dataValidations count="1">
    <dataValidation sqref="B51 B57 B63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Cloud Services and Supplier Security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Register &amp; Classification</t>
        </is>
      </c>
      <c r="B4" s="15">
        <f>COUNTA('Register &amp; Classification'!D4:D11)</f>
        <v/>
      </c>
      <c r="C4" s="15">
        <f>COUNTIF('Register &amp; Classification'!D4:D11,"Compliant")</f>
        <v/>
      </c>
      <c r="D4" s="15">
        <f>COUNTIF('Register &amp; Classification'!D4:D11,"Partial")</f>
        <v/>
      </c>
      <c r="E4" s="15">
        <f>COUNTIF('Register &amp; Classification'!D4:D11,"Non-Compliant")</f>
        <v/>
      </c>
      <c r="F4" s="15">
        <f>COUNTIF('Register &amp; Classification'!D4:D11,"N/A")</f>
        <v/>
      </c>
      <c r="G4" s="15">
        <f>IF((B4-F4)=0,"N/A",ROUND(C4/(B4-F4)*100,1)&amp;"%")</f>
        <v/>
      </c>
    </row>
    <row r="5">
      <c r="A5" s="3" t="inlineStr">
        <is>
          <t>Due Diligence &amp; Selection</t>
        </is>
      </c>
      <c r="B5" s="15">
        <f>COUNTA('Due Diligence &amp; Selection'!D4:D9)</f>
        <v/>
      </c>
      <c r="C5" s="15">
        <f>COUNTIF('Due Diligence &amp; Selection'!D4:D9,"Compliant")</f>
        <v/>
      </c>
      <c r="D5" s="15">
        <f>COUNTIF('Due Diligence &amp; Selection'!D4:D9,"Partial")</f>
        <v/>
      </c>
      <c r="E5" s="15">
        <f>COUNTIF('Due Diligence &amp; Selection'!D4:D9,"Non-Compliant")</f>
        <v/>
      </c>
      <c r="F5" s="15">
        <f>COUNTIF('Due Diligence &amp; Selection'!D4:D9,"N/A")</f>
        <v/>
      </c>
      <c r="G5" s="15">
        <f>IF((B5-F5)=0,"N/A",ROUND(C5/(B5-F5)*100,1)&amp;"%")</f>
        <v/>
      </c>
    </row>
    <row r="6">
      <c r="A6" s="3" t="inlineStr">
        <is>
          <t>Contracts &amp; Data Processing</t>
        </is>
      </c>
      <c r="B6" s="15">
        <f>COUNTA('Contracts &amp; Data Processing'!D4:D11)</f>
        <v/>
      </c>
      <c r="C6" s="15">
        <f>COUNTIF('Contracts &amp; Data Processing'!D4:D11,"Compliant")</f>
        <v/>
      </c>
      <c r="D6" s="15">
        <f>COUNTIF('Contracts &amp; Data Processing'!D4:D11,"Partial")</f>
        <v/>
      </c>
      <c r="E6" s="15">
        <f>COUNTIF('Contracts &amp; Data Processing'!D4:D11,"Non-Compliant")</f>
        <v/>
      </c>
      <c r="F6" s="15">
        <f>COUNTIF('Contracts &amp; Data Processing'!D4:D11,"N/A")</f>
        <v/>
      </c>
      <c r="G6" s="15">
        <f>IF((B6-F6)=0,"N/A",ROUND(C6/(B6-F6)*100,1)&amp;"%")</f>
        <v/>
      </c>
    </row>
    <row r="7">
      <c r="A7" s="3" t="inlineStr">
        <is>
          <t>Cross-Border &amp; Compliance</t>
        </is>
      </c>
      <c r="B7" s="15">
        <f>COUNTA('Cross-Border &amp; Compliance'!D4:D8)</f>
        <v/>
      </c>
      <c r="C7" s="15">
        <f>COUNTIF('Cross-Border &amp; Compliance'!D4:D8,"Compliant")</f>
        <v/>
      </c>
      <c r="D7" s="15">
        <f>COUNTIF('Cross-Border &amp; Compliance'!D4:D8,"Partial")</f>
        <v/>
      </c>
      <c r="E7" s="15">
        <f>COUNTIF('Cross-Border &amp; Compliance'!D4:D8,"Non-Compliant")</f>
        <v/>
      </c>
      <c r="F7" s="15">
        <f>COUNTIF('Cross-Border &amp; Compliance'!D4:D8,"N/A")</f>
        <v/>
      </c>
      <c r="G7" s="15">
        <f>IF((B7-F7)=0,"N/A",ROUND(C7/(B7-F7)*100,1)&amp;"%")</f>
        <v/>
      </c>
    </row>
    <row r="8">
      <c r="A8" s="3" t="inlineStr">
        <is>
          <t>Monitoring &amp; Incidents</t>
        </is>
      </c>
      <c r="B8" s="15">
        <f>COUNTA('Monitoring &amp; Incidents'!D4:D11)</f>
        <v/>
      </c>
      <c r="C8" s="15">
        <f>COUNTIF('Monitoring &amp; Incidents'!D4:D11,"Compliant")</f>
        <v/>
      </c>
      <c r="D8" s="15">
        <f>COUNTIF('Monitoring &amp; Incidents'!D4:D11,"Partial")</f>
        <v/>
      </c>
      <c r="E8" s="15">
        <f>COUNTIF('Monitoring &amp; Incidents'!D4:D11,"Non-Compliant")</f>
        <v/>
      </c>
      <c r="F8" s="15">
        <f>COUNTIF('Monitoring &amp; Incidents'!D4:D11,"N/A")</f>
        <v/>
      </c>
      <c r="G8" s="15">
        <f>IF((B8-F8)=0,"N/A",ROUND(C8/(B8-F8)*100,1)&amp;"%")</f>
        <v/>
      </c>
    </row>
    <row r="9">
      <c r="A9" s="3" t="inlineStr">
        <is>
          <t>Exit &amp; Continuity</t>
        </is>
      </c>
      <c r="B9" s="15">
        <f>COUNTA('Exit &amp; Continuity'!D4:D10)</f>
        <v/>
      </c>
      <c r="C9" s="15">
        <f>COUNTIF('Exit &amp; Continuity'!D4:D10,"Compliant")</f>
        <v/>
      </c>
      <c r="D9" s="15">
        <f>COUNTIF('Exit &amp; Continuity'!D4:D10,"Partial")</f>
        <v/>
      </c>
      <c r="E9" s="15">
        <f>COUNTIF('Exit &amp; Continuity'!D4:D10,"Non-Compliant")</f>
        <v/>
      </c>
      <c r="F9" s="15">
        <f>COUNTIF('Exit &amp; Continuity'!D4:D10,"N/A")</f>
        <v/>
      </c>
      <c r="G9" s="15">
        <f>IF((B9-F9)=0,"N/A",ROUND(C9/(B9-F9)*100,1)&amp;"%")</f>
        <v/>
      </c>
    </row>
    <row r="10">
      <c r="A10" s="16" t="inlineStr">
        <is>
          <t>TOTAL</t>
        </is>
      </c>
      <c r="B10" s="16">
        <f>SUM(B4:B9)</f>
        <v/>
      </c>
      <c r="C10" s="16">
        <f>SUM(C4:C9)</f>
        <v/>
      </c>
      <c r="D10" s="16">
        <f>SUM(D4:D9)</f>
        <v/>
      </c>
      <c r="E10" s="16">
        <f>SUM(E4:E9)</f>
        <v/>
      </c>
      <c r="F10" s="16">
        <f>SUM(F4:F9)</f>
        <v/>
      </c>
      <c r="G10" s="16">
        <f>IF((B10-F10)=0,"N/A",ROUND(C10/(B10-F10)*100,1)&amp;"%")</f>
        <v/>
      </c>
    </row>
    <row r="12">
      <c r="A12" s="6" t="inlineStr">
        <is>
          <t>COMPLIANCE BY STATUS</t>
        </is>
      </c>
    </row>
    <row r="13">
      <c r="A13" s="3" t="inlineStr">
        <is>
          <t>Compliant</t>
        </is>
      </c>
      <c r="B13" s="17">
        <f>C10</f>
        <v/>
      </c>
      <c r="C13" s="4">
        <f>IF(B10=0,"",ROUND(B13/B10*100,1)&amp;"%")</f>
        <v/>
      </c>
    </row>
    <row r="14">
      <c r="A14" s="3" t="inlineStr">
        <is>
          <t>Partial</t>
        </is>
      </c>
      <c r="B14" s="18">
        <f>D10</f>
        <v/>
      </c>
      <c r="C14" s="4">
        <f>IF(B10=0,"",ROUND(B14/B10*100,1)&amp;"%")</f>
        <v/>
      </c>
    </row>
    <row r="15">
      <c r="A15" s="3" t="inlineStr">
        <is>
          <t>Non-Compliant</t>
        </is>
      </c>
      <c r="B15" s="19">
        <f>E10</f>
        <v/>
      </c>
      <c r="C15" s="4">
        <f>IF(B10=0,"",ROUND(B15/B10*100,1)&amp;"%")</f>
        <v/>
      </c>
    </row>
    <row r="16">
      <c r="A16" s="3" t="inlineStr">
        <is>
          <t>N/A</t>
        </is>
      </c>
      <c r="B16" s="20">
        <f>F10</f>
        <v/>
      </c>
      <c r="C16" s="4">
        <f>IF(B10=0,"",ROUND(B16/B10*100,1)&amp;"%")</f>
        <v/>
      </c>
    </row>
    <row r="18">
      <c r="A18" s="6" t="inlineStr">
        <is>
          <t>TOP GAPS (Manual Entry)</t>
        </is>
      </c>
    </row>
    <row r="19">
      <c r="A19" s="11" t="inlineStr">
        <is>
          <t>Priority</t>
        </is>
      </c>
      <c r="B19" s="11" t="inlineStr">
        <is>
          <t>Domain</t>
        </is>
      </c>
      <c r="C19" s="11" t="inlineStr">
        <is>
          <t>Requirement</t>
        </is>
      </c>
      <c r="D19" s="11" t="inlineStr">
        <is>
          <t>Owner</t>
        </is>
      </c>
      <c r="E19" s="11" t="inlineStr">
        <is>
          <t>Due Date</t>
        </is>
      </c>
      <c r="F19" s="11" t="inlineStr">
        <is>
          <t>Status</t>
        </is>
      </c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1">
      <c r="A31" s="6" t="inlineStr">
        <is>
          <t>COMPLIANCE TREND (Manual Entry)</t>
        </is>
      </c>
    </row>
    <row r="32">
      <c r="A32" s="11" t="inlineStr">
        <is>
          <t>Assessment Date</t>
        </is>
      </c>
      <c r="B32" s="11" t="inlineStr">
        <is>
          <t>Overall %</t>
        </is>
      </c>
      <c r="C32" s="11" t="inlineStr">
        <is>
          <t>Compliant</t>
        </is>
      </c>
      <c r="D32" s="11" t="inlineStr">
        <is>
          <t>Gaps</t>
        </is>
      </c>
      <c r="E32" s="11" t="inlineStr">
        <is>
          <t>Assessor</t>
        </is>
      </c>
      <c r="F32" s="11" t="inlineStr">
        <is>
          <t>Notes</t>
        </is>
      </c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</sheetData>
  <mergeCells count="4">
    <mergeCell ref="A31:G31"/>
    <mergeCell ref="A1:G1"/>
    <mergeCell ref="A12:G12"/>
    <mergeCell ref="A18:G18"/>
  </mergeCells>
  <dataValidations count="1">
    <dataValidation sqref="F20 F21 F22 F23 F24 F25 F26 F27 F28 F29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Register &amp; Classification — Compliance Checklist</t>
        </is>
      </c>
    </row>
    <row r="2">
      <c r="A2" s="21" t="inlineStr">
        <is>
          <t>ISO/IEC 27001:2022 — Controls A.5.19-23: Cloud Services and Supplier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A.5.19-01</t>
        </is>
      </c>
      <c r="B4" s="23" t="inlineStr">
        <is>
          <t>Supplier Register</t>
        </is>
      </c>
      <c r="C4" s="24" t="inlineStr">
        <is>
          <t>All third-party suppliers and cloud services shall be registered and recorded in the Supplier and Cloud Service Register.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A.5.19-02</t>
        </is>
      </c>
      <c r="B5" s="23" t="inlineStr">
        <is>
          <t>Register Review</t>
        </is>
      </c>
      <c r="C5" s="24" t="inlineStr">
        <is>
          <t>The register shall be reviewed and updated at least quarterly or upon any new supplier engagement, contract change, or supplier exit.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A.5.19-03</t>
        </is>
      </c>
      <c r="B6" s="23" t="inlineStr">
        <is>
          <t>Criticality Assessment</t>
        </is>
      </c>
      <c r="C6" s="24" t="inlineStr">
        <is>
          <t>Suppliers and cloud services shall be assessed for criticality to the business (Critical / Important / Standard).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A.5.19-04</t>
        </is>
      </c>
      <c r="B7" s="23" t="inlineStr">
        <is>
          <t>Data Classification</t>
        </is>
      </c>
      <c r="C7" s="24" t="inlineStr">
        <is>
          <t>Suppliers and cloud services shall be classified based on the data processed, stored, or transmitted and their criticality to business operations.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A.5.19-05</t>
        </is>
      </c>
      <c r="B8" s="23" t="inlineStr">
        <is>
          <t>Register Minimum Data</t>
        </is>
      </c>
      <c r="C8" s="24" t="inlineStr">
        <is>
          <t>The register shall capture as a minimum: supplier name/contacts, service description, data processed, data classification, contract status, security assurance, data locations, contract/review dates, and sub-processors.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A.5.23-01</t>
        </is>
      </c>
      <c r="B9" s="23" t="inlineStr">
        <is>
          <t>Shared Responsibility Model</t>
        </is>
      </c>
      <c r="C9" s="24" t="inlineStr">
        <is>
          <t>The organisation shall understand and document the shared responsibility model for each cloud service; areas of shared responsibility shall be explicitly documented and reviewed.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A.5.23-02</t>
        </is>
      </c>
      <c r="B10" s="23" t="inlineStr">
        <is>
          <t>Shared Responsibility Review</t>
        </is>
      </c>
      <c r="C10" s="24" t="inlineStr">
        <is>
          <t>Shared responsibility models shall be documented for each Critical cloud service and reviewed annually.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A.5.23-03</t>
        </is>
      </c>
      <c r="B11" s="23" t="inlineStr">
        <is>
          <t>Non-Negotiable Terms Assessment</t>
        </is>
      </c>
      <c r="C11" s="24" t="inlineStr">
        <is>
          <t>Where cloud service agreements are non-negotiable, the organisation shall assess whether the provider's standard terms meet its security requirements and document any residual risks.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Due Diligence &amp; Selection — Compliance Checklist</t>
        </is>
      </c>
    </row>
    <row r="2">
      <c r="A2" s="21" t="inlineStr">
        <is>
          <t>ISO/IEC 27001:2022 — Controls A.5.19-23: Cloud Services and Supplier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A.5.19-06</t>
        </is>
      </c>
      <c r="B4" s="23" t="inlineStr">
        <is>
          <t>Selection Criteria</t>
        </is>
      </c>
      <c r="C4" s="24" t="inlineStr">
        <is>
          <t>Suppliers and cloud services shall be selected based on their ability to meet the needs of the business.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A.5.19-07</t>
        </is>
      </c>
      <c r="B5" s="23" t="inlineStr">
        <is>
          <t>Pre-Engagement Due Diligence</t>
        </is>
      </c>
      <c r="C5" s="24" t="inlineStr">
        <is>
          <t>Before engaging a supplier or cloud service provider, data security due diligence shall be carried out including: security level, references, certifications, contracts, legal compliance, data residency, terms assessment, and exit feasibility.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A.5.19-08</t>
        </is>
      </c>
      <c r="B6" s="23" t="inlineStr">
        <is>
          <t>Uncertified Supplier Risk Assessment</t>
        </is>
      </c>
      <c r="C6" s="24" t="inlineStr">
        <is>
          <t>Where a supplier cannot provide recognised certification (ISO 27001, SOC 2 Type II), the organisation shall conduct a documented risk assessment and implement compensating controls with risk acceptance from the Information Security Manager.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A.5.22-01</t>
        </is>
      </c>
      <c r="B7" s="23" t="inlineStr">
        <is>
          <t>Annual Audit Report Review</t>
        </is>
      </c>
      <c r="C7" s="24" t="inlineStr">
        <is>
          <t>The organisation shall obtain and review the most current independent audit reports (within 12 months) for each Critical cloud service annually.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A.5.22-02</t>
        </is>
      </c>
      <c r="B8" s="23" t="inlineStr">
        <is>
          <t>No Reports — CISO Approval</t>
        </is>
      </c>
      <c r="C8" s="24" t="inlineStr">
        <is>
          <t>Where a cloud provider does not provide independent third-party reports, the service shall not be used for Confidential or Restricted data without CISO approval and documented residual risk acceptance.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A.5.23-04</t>
        </is>
      </c>
      <c r="B9" s="23" t="inlineStr">
        <is>
          <t>Compensating Controls</t>
        </is>
      </c>
      <c r="C9" s="24" t="inlineStr">
        <is>
          <t>Where provider terms do not meet requirements, compensating controls shall be identified or an alternative provider shall be evaluated.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Contracts &amp; Data Processing — Compliance Checklist</t>
        </is>
      </c>
    </row>
    <row r="2">
      <c r="A2" s="21" t="inlineStr">
        <is>
          <t>ISO/IEC 27001:2022 — Controls A.5.19-23: Cloud Services and Supplier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A.5.20-01</t>
        </is>
      </c>
      <c r="B4" s="23" t="inlineStr">
        <is>
          <t>Contract Before Engagement</t>
        </is>
      </c>
      <c r="C4" s="24" t="inlineStr">
        <is>
          <t>An appropriate contract, agreement, and/or Data Processing Agreement shall be in place and enforceable before engaging any supplier or cloud service provider to process, store, or transmit confidential or personal information.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A.5.20-02</t>
        </is>
      </c>
      <c r="B5" s="23" t="inlineStr">
        <is>
          <t>Contract Minimum Terms</t>
        </is>
      </c>
      <c r="C5" s="24" t="inlineStr">
        <is>
          <t>Contracts and agreements shall address at a minimum: data description, security obligations, incident notification, audit rights, sub-processor disclosure, data destruction, SLAs, and exit provisions.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A.5.20-03</t>
        </is>
      </c>
      <c r="B6" s="23" t="inlineStr">
        <is>
          <t>DPA for Personal Data</t>
        </is>
      </c>
      <c r="C6" s="24" t="inlineStr">
        <is>
          <t>All suppliers processing personal data on behalf of the organisation shall have a Data Processing Agreement meeting nFADP Art. 9 and, where applicable, GDPR Art. 28 requirements.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A.5.20-04</t>
        </is>
      </c>
      <c r="B7" s="23" t="inlineStr">
        <is>
          <t>DPA Minimum Content</t>
        </is>
      </c>
      <c r="C7" s="24" t="inlineStr">
        <is>
          <t>The DPA shall address: subject/duration, nature/purpose, data types/subjects, controller rights, sub-processor approval, security measures, data subject rights assistance, data return/deletion, and audit rights.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A.5.21-01</t>
        </is>
      </c>
      <c r="B8" s="23" t="inlineStr">
        <is>
          <t>Sub-Processor Approval</t>
        </is>
      </c>
      <c r="C8" s="24" t="inlineStr">
        <is>
          <t>The use by suppliers of sub-contractors or sub-processors shall be approved by the Information Security Manager.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A.5.21-02</t>
        </is>
      </c>
      <c r="B9" s="23" t="inlineStr">
        <is>
          <t>Sub-Processor Disclosure</t>
        </is>
      </c>
      <c r="C9" s="24" t="inlineStr">
        <is>
          <t>Cloud service providers shall disclose their sub-processor list.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A.5.21-03</t>
        </is>
      </c>
      <c r="B10" s="23" t="inlineStr">
        <is>
          <t>Sub-Processor Change Notification</t>
        </is>
      </c>
      <c r="C10" s="24" t="inlineStr">
        <is>
          <t>The organisation shall be notified of changes to sub-processors at least 30 days in advance and shall retain the right to object where contractually achievable.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A.5.21-04</t>
        </is>
      </c>
      <c r="B11" s="23" t="inlineStr">
        <is>
          <t>Residual Risk Documentation</t>
        </is>
      </c>
      <c r="C11" s="24" t="inlineStr">
        <is>
          <t>Where objection rights cannot be obtained, this limitation shall be documented in the risk register as residual risk with compensating controls (encryption, access monitoring).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Cross-Border &amp; Compliance — Compliance Checklist</t>
        </is>
      </c>
    </row>
    <row r="2">
      <c r="A2" s="21" t="inlineStr">
        <is>
          <t>ISO/IEC 27001:2022 — Controls A.5.19-23: Cloud Services and Supplier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A.5.20-05</t>
        </is>
      </c>
      <c r="B4" s="23" t="inlineStr">
        <is>
          <t>Adequacy Verification</t>
        </is>
      </c>
      <c r="C4" s="24" t="inlineStr">
        <is>
          <t>Where suppliers process or store personal data outside Switzerland, the organisation shall verify that adequate data protection exists per the Swiss Federal Council's adequacy list.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A.5.20-06</t>
        </is>
      </c>
      <c r="B5" s="23" t="inlineStr">
        <is>
          <t>Transfer Safeguards</t>
        </is>
      </c>
      <c r="C5" s="24" t="inlineStr">
        <is>
          <t>For transfers to countries not on the adequacy list, appropriate safeguards shall be in place: Standard Contractual Clauses (SCCs), Binding Corporate Rules (BCRs), or other recognised transfer mechanisms.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A.5.20-07</t>
        </is>
      </c>
      <c r="B6" s="23" t="inlineStr">
        <is>
          <t>Swiss-U.S. DPF Verification</t>
        </is>
      </c>
      <c r="C6" s="24" t="inlineStr">
        <is>
          <t>For transfers to the United States, the organisation shall verify that the receiving organisation is certified under the Swiss-U.S. Data Privacy Framework.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A.5.20-08</t>
        </is>
      </c>
      <c r="B7" s="23" t="inlineStr">
        <is>
          <t>US CLOUD Act Assessment</t>
        </is>
      </c>
      <c r="C7" s="24" t="inlineStr">
        <is>
          <t>Where the provider is US-headquartered and subject to the US CLOUD Act, a jurisdictional risk assessment shall be documented, including encryption, key management, and legal challenge commitments.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A.5.19-09</t>
        </is>
      </c>
      <c r="B8" s="23" t="inlineStr">
        <is>
          <t>Risk Register Entry</t>
        </is>
      </c>
      <c r="C8" s="24" t="inlineStr">
        <is>
          <t>Every supplier handling confidential or personal data shall be entered onto the Risk Register and managed via the organisation's risk management process.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Monitoring &amp; Incidents — Compliance Checklist</t>
        </is>
      </c>
    </row>
    <row r="2">
      <c r="A2" s="21" t="inlineStr">
        <is>
          <t>ISO/IEC 27001:2022 — Controls A.5.19-23: Cloud Services and Supplier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A.5.22-03</t>
        </is>
      </c>
      <c r="B4" s="23" t="inlineStr">
        <is>
          <t>Supplier Incident Process</t>
        </is>
      </c>
      <c r="C4" s="24" t="inlineStr">
        <is>
          <t>Suppliers and cloud service providers shall have a security incident management process in place.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A.5.22-04</t>
        </is>
      </c>
      <c r="B5" s="23" t="inlineStr">
        <is>
          <t>Incident Notification Timelines</t>
        </is>
      </c>
      <c r="C5" s="24" t="inlineStr">
        <is>
          <t>Supplier security incidents impacting confidential or personal information shall be reported: Critical suppliers within 12 hours, Important within 24 hours, Standard within 72 hours.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A.5.22-05</t>
        </is>
      </c>
      <c r="B6" s="23" t="inlineStr">
        <is>
          <t>Non-12h Timeline Documentation</t>
        </is>
      </c>
      <c r="C6" s="24" t="inlineStr">
        <is>
          <t>Where a supplier cannot commit to the 12-hour timeline, this shall be documented as a residual risk with compensating controls.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A.5.22-06</t>
        </is>
      </c>
      <c r="B7" s="23" t="inlineStr">
        <is>
          <t>Notification Minimum Content</t>
        </is>
      </c>
      <c r="C7" s="24" t="inlineStr">
        <is>
          <t>The incident notification shall include at a minimum: description, affected systems/data, containment measures, and estimated impact/resolution timeline.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A.5.22-07</t>
        </is>
      </c>
      <c r="B8" s="23" t="inlineStr">
        <is>
          <t>Integrated Incident Management</t>
        </is>
      </c>
      <c r="C8" s="24" t="inlineStr">
        <is>
          <t>Supplier and cloud service security incidents shall be managed as part of the organisation's incident management process.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A.5.22-08</t>
        </is>
      </c>
      <c r="B9" s="23" t="inlineStr">
        <is>
          <t>Breach Notification Assessment</t>
        </is>
      </c>
      <c r="C9" s="24" t="inlineStr">
        <is>
          <t>Where a supplier incident involves a personal data breach, the organisation shall assess notification obligations under nFADP and, where applicable, GDPR Art. 33.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A.5.19-10</t>
        </is>
      </c>
      <c r="B10" s="23" t="inlineStr">
        <is>
          <t>Concentration Risk</t>
        </is>
      </c>
      <c r="C10" s="24" t="inlineStr">
        <is>
          <t>Where a single provider hosts &gt;50% of critical services or &gt;75% of Confidential data, this shall be flagged in the risk register with a mitigation plan or accepted residual risk.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A.5.22-09</t>
        </is>
      </c>
      <c r="B11" s="23" t="inlineStr">
        <is>
          <t>Cloud Service Audit Approach</t>
        </is>
      </c>
      <c r="C11" s="24" t="inlineStr">
        <is>
          <t>Where major cloud providers do not permit direct audit, independent third-party attestation (SOC 2, ISO 27001, CSA STAR) shall be obtained and reviewed as alternative assurance.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Exit &amp; Continuity — Compliance Checklist</t>
        </is>
      </c>
    </row>
    <row r="2">
      <c r="A2" s="21" t="inlineStr">
        <is>
          <t>ISO/IEC 27001:2022 — Controls A.5.19-23: Cloud Services and Supplier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A.5.20-09</t>
        </is>
      </c>
      <c r="B4" s="23" t="inlineStr">
        <is>
          <t>Data Destruction Confirmation</t>
        </is>
      </c>
      <c r="C4" s="24" t="inlineStr">
        <is>
          <t>At end of contract, the supplier shall confirm in writing that it has met obligations for destruction of organisation confidential and personal information.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A.5.20-10</t>
        </is>
      </c>
      <c r="B5" s="23" t="inlineStr">
        <is>
          <t>Exit Completion Requirements</t>
        </is>
      </c>
      <c r="C5" s="24" t="inlineStr">
        <is>
          <t>Upon contract end: all data returned or destroyed, written destruction confirmation provided, all access revoked, all assets returned, certificates of destruction obtained for Confidential/Restricted data.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A.5.23-05</t>
        </is>
      </c>
      <c r="B6" s="23" t="inlineStr">
        <is>
          <t>CEO Approval for Changes</t>
        </is>
      </c>
      <c r="C6" s="24" t="inlineStr">
        <is>
          <t>Changes to a cloud service supplier require the formal, written, documented approval of the CEO or delegated authority.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A.5.23-06</t>
        </is>
      </c>
      <c r="B7" s="23" t="inlineStr">
        <is>
          <t>Change Management Integration</t>
        </is>
      </c>
      <c r="C7" s="24" t="inlineStr">
        <is>
          <t>Changes to cloud suppliers shall follow the Change Management Policy and shall be treated as a project with appropriate resources, risk management, and stakeholder communication.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A.5.23-07</t>
        </is>
      </c>
      <c r="B8" s="23" t="inlineStr">
        <is>
          <t>Exit Strategy Maintenance</t>
        </is>
      </c>
      <c r="C8" s="24" t="inlineStr">
        <is>
          <t>The organisation shall maintain an exit strategy for each Critical cloud service including: data export capability, transition timeline, alternative providers, transition costs, dependencies, and exit testing.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A.5.23-08</t>
        </is>
      </c>
      <c r="B9" s="23" t="inlineStr">
        <is>
          <t>Exit Strategy Review</t>
        </is>
      </c>
      <c r="C9" s="24" t="inlineStr">
        <is>
          <t>Exit strategies shall be reviewed annually or upon contract renewal.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A.5.23-09</t>
        </is>
      </c>
      <c r="B10" s="23" t="inlineStr">
        <is>
          <t>Exit Testing</t>
        </is>
      </c>
      <c r="C10" s="24" t="inlineStr">
        <is>
          <t>Verification that data export works shall be performed annually for Critical services.</t>
        </is>
      </c>
      <c r="D10" s="25" t="n"/>
      <c r="E10" s="5" t="n"/>
      <c r="F10" s="5" t="n"/>
      <c r="G10" s="26" t="n"/>
      <c r="H10" s="5" t="n"/>
    </row>
  </sheetData>
  <mergeCells count="2">
    <mergeCell ref="A2:H2"/>
    <mergeCell ref="A1:H1"/>
  </mergeCells>
  <conditionalFormatting sqref="D4:D1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2026-02-07T18:33:01Z</dcterms:created>
  <dcterms:modified xmlns:dcterms="http://purl.org/dc/terms/" xmlns:xsi="http://www.w3.org/2001/XMLSchema-instance" xsi:type="dcterms:W3CDTF">2026-02-07T18:33:01Z</dcterms:modified>
</cp:coreProperties>
</file>