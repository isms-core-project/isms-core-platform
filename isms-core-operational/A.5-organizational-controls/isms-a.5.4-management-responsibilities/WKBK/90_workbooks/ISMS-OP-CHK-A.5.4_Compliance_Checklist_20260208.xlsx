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gmt Commitment Requirements" sheetId="3" state="visible" r:id="rId3"/>
    <sheet xmlns:r="http://schemas.openxmlformats.org/officeDocument/2006/relationships" name="Security Culture Leadership" sheetId="4" state="visible" r:id="rId4"/>
    <sheet xmlns:r="http://schemas.openxmlformats.org/officeDocument/2006/relationships" name="Personnel Compl Accountability" sheetId="5" state="visible" r:id="rId5"/>
    <sheet xmlns:r="http://schemas.openxmlformats.org/officeDocument/2006/relationships" name="Management Review Participation" sheetId="6" state="visible" r:id="rId6"/>
    <sheet xmlns:r="http://schemas.openxmlformats.org/officeDocument/2006/relationships" name="Mgmt Commitment Assessment" sheetId="7" state="visible" r:id="rId7"/>
    <sheet xmlns:r="http://schemas.openxmlformats.org/officeDocument/2006/relationships" name="Escalation Path" sheetId="8" state="visible" r:id="rId8"/>
  </sheets>
  <definedNames>
    <definedName name="_xlnm.Print_Area" localSheetId="0">'Executive Summary'!$A$1:$H$65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ISMS-OP-CHK-A.5.4 — Management Responsibilities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ISMS-OP-CHK-A.5.4</t>
        </is>
      </c>
    </row>
    <row r="5">
      <c r="A5" s="3" t="inlineStr">
        <is>
          <t>Source Policy</t>
        </is>
      </c>
      <c r="B5" s="4" t="inlineStr">
        <is>
          <t>ISMS-OP-POL-A.5.4</t>
        </is>
      </c>
    </row>
    <row r="6">
      <c r="A6" s="3" t="inlineStr">
        <is>
          <t>ISO Controls</t>
        </is>
      </c>
      <c r="B6" s="4" t="inlineStr">
        <is>
          <t>Management Responsibilities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'Dashboard'!G10</f>
        <v/>
      </c>
    </row>
    <row r="14">
      <c r="A14" s="7" t="inlineStr">
        <is>
          <t>Status</t>
        </is>
      </c>
      <c r="B14" s="9">
        <f>IF(Dashboard!G10="N/A","NOT ASSESSED",IF(ISNUMBER(VALUE(SUBSTITUTE(Dashboard!G10,"%",""))),IF(VALUE(SUBSTITUTE(Dashboard!G10,"%",""))&gt;=90,"GREEN",IF(VALUE(SUBSTITUTE(Dashboard!G10,"%",""))&gt;=70,"AMBER","RED")),"NOT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'Dashboard'!B10</f>
        <v/>
      </c>
    </row>
    <row r="18">
      <c r="A18" s="3" t="inlineStr">
        <is>
          <t>Compliant</t>
        </is>
      </c>
      <c r="B18" s="10">
        <f>'Dashboard'!C10</f>
        <v/>
      </c>
    </row>
    <row r="19">
      <c r="A19" s="3" t="inlineStr">
        <is>
          <t>Partial</t>
        </is>
      </c>
      <c r="B19" s="10">
        <f>'Dashboard'!D10</f>
        <v/>
      </c>
    </row>
    <row r="20">
      <c r="A20" s="3" t="inlineStr">
        <is>
          <t>Non-Compliant</t>
        </is>
      </c>
      <c r="B20" s="10">
        <f>'Dashboard'!E10</f>
        <v/>
      </c>
    </row>
    <row r="21">
      <c r="A21" s="3" t="inlineStr">
        <is>
          <t>Not Applicable</t>
        </is>
      </c>
      <c r="B21" s="10">
        <f>'Dashboard'!F10</f>
        <v/>
      </c>
    </row>
    <row r="22">
      <c r="A22" s="3" t="inlineStr">
        <is>
          <t>Owner Coverage</t>
        </is>
      </c>
      <c r="B22" s="10">
        <f>IF(Dashboard!B10=0,"N/A",ROUND((COUNTA('Mgmt Commitment Requirements'!F4:F10)+COUNTA('Security Culture Leadership'!F4:F7)+COUNTA('Personnel Compl Accountability'!F4:F9)+COUNTA('Management Review Participation'!F4:F9)+COUNTA('Mgmt Commitment Assessment'!F4:F5)+COUNTA('Escalation Path'!F4:F4))/Dashboard!B10*100,0)&amp;"%")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Mgmt Commitment Requirements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Security Culture Leadership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Personnel Compl Accountability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Management Review Participation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Mgmt Commitment Assessment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Escalation Path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3">
      <c r="A33" s="6" t="inlineStr">
        <is>
          <t>CRITICAL ISSUES</t>
        </is>
      </c>
    </row>
    <row r="34">
      <c r="A34" s="11" t="inlineStr">
        <is>
          <t>#</t>
        </is>
      </c>
      <c r="B34" s="11" t="inlineStr">
        <is>
          <t>Issue Description</t>
        </is>
      </c>
      <c r="C34" s="11" t="inlineStr">
        <is>
          <t>Domain</t>
        </is>
      </c>
      <c r="D34" s="11" t="inlineStr">
        <is>
          <t>Owner</t>
        </is>
      </c>
      <c r="E34" s="11" t="inlineStr">
        <is>
          <t>Due Date</t>
        </is>
      </c>
    </row>
    <row r="35">
      <c r="A35" s="4" t="n">
        <v>1</v>
      </c>
      <c r="B35" s="5" t="n"/>
      <c r="C35" s="5" t="n"/>
      <c r="D35" s="5" t="n"/>
      <c r="E35" s="5" t="n"/>
    </row>
    <row r="36">
      <c r="A36" s="4" t="n">
        <v>2</v>
      </c>
      <c r="B36" s="5" t="n"/>
      <c r="C36" s="5" t="n"/>
      <c r="D36" s="5" t="n"/>
      <c r="E36" s="5" t="n"/>
    </row>
    <row r="37">
      <c r="A37" s="4" t="n">
        <v>3</v>
      </c>
      <c r="B37" s="5" t="n"/>
      <c r="C37" s="5" t="n"/>
      <c r="D37" s="5" t="n"/>
      <c r="E37" s="5" t="n"/>
    </row>
    <row r="38">
      <c r="A38" s="4" t="n">
        <v>4</v>
      </c>
      <c r="B38" s="5" t="n"/>
      <c r="C38" s="5" t="n"/>
      <c r="D38" s="5" t="n"/>
      <c r="E38" s="5" t="n"/>
    </row>
    <row r="39">
      <c r="A39" s="4" t="n">
        <v>5</v>
      </c>
      <c r="B39" s="5" t="n"/>
      <c r="C39" s="5" t="n"/>
      <c r="D39" s="5" t="n"/>
      <c r="E39" s="5" t="n"/>
    </row>
    <row r="41">
      <c r="A41" s="6" t="inlineStr">
        <is>
          <t>MANAGEMENT COMMENTARY</t>
        </is>
      </c>
    </row>
    <row r="42" ht="60" customHeight="1">
      <c r="A42" s="12" t="inlineStr">
        <is>
          <t>[Enter management commentary on management responsibilities posture]</t>
        </is>
      </c>
    </row>
    <row r="43"/>
    <row r="44"/>
    <row r="46">
      <c r="A46" s="6" t="inlineStr">
        <is>
          <t>APPROVAL</t>
        </is>
      </c>
    </row>
    <row r="47">
      <c r="A47" s="13" t="inlineStr">
        <is>
          <t>Assessed By</t>
        </is>
      </c>
    </row>
    <row r="48">
      <c r="A48" s="14" t="inlineStr">
        <is>
          <t>Name:</t>
        </is>
      </c>
      <c r="B48" s="5" t="n"/>
    </row>
    <row r="49">
      <c r="A49" s="14" t="inlineStr">
        <is>
          <t>Date:</t>
        </is>
      </c>
      <c r="B49" s="5" t="n"/>
    </row>
    <row r="50">
      <c r="A50" s="14" t="inlineStr">
        <is>
          <t>Signature:</t>
        </is>
      </c>
      <c r="B50" s="5" t="n"/>
    </row>
    <row r="51">
      <c r="A51" s="14" t="inlineStr">
        <is>
          <t>Decision:</t>
        </is>
      </c>
      <c r="B51" s="5" t="n"/>
    </row>
    <row r="53">
      <c r="A53" s="13" t="inlineStr">
        <is>
          <t>Reviewed By (ISO Manager)</t>
        </is>
      </c>
    </row>
    <row r="54">
      <c r="A54" s="14" t="inlineStr">
        <is>
          <t>Name:</t>
        </is>
      </c>
      <c r="B54" s="5" t="n"/>
    </row>
    <row r="55">
      <c r="A55" s="14" t="inlineStr">
        <is>
          <t>Date:</t>
        </is>
      </c>
      <c r="B55" s="5" t="n"/>
    </row>
    <row r="56">
      <c r="A56" s="14" t="inlineStr">
        <is>
          <t>Signature:</t>
        </is>
      </c>
      <c r="B56" s="5" t="n"/>
    </row>
    <row r="57">
      <c r="A57" s="14" t="inlineStr">
        <is>
          <t>Decision:</t>
        </is>
      </c>
      <c r="B57" s="5" t="n"/>
    </row>
    <row r="59">
      <c r="A59" s="13" t="inlineStr">
        <is>
          <t>Approved By (CISO)</t>
        </is>
      </c>
    </row>
    <row r="60">
      <c r="A60" s="14" t="inlineStr">
        <is>
          <t>Name:</t>
        </is>
      </c>
      <c r="B60" s="5" t="n"/>
    </row>
    <row r="61">
      <c r="A61" s="14" t="inlineStr">
        <is>
          <t>Date:</t>
        </is>
      </c>
      <c r="B61" s="5" t="n"/>
    </row>
    <row r="62">
      <c r="A62" s="14" t="inlineStr">
        <is>
          <t>Signature:</t>
        </is>
      </c>
      <c r="B62" s="5" t="n"/>
    </row>
    <row r="63">
      <c r="A63" s="14" t="inlineStr">
        <is>
          <t>Decision:</t>
        </is>
      </c>
      <c r="B63" s="5" t="n"/>
    </row>
  </sheetData>
  <mergeCells count="12">
    <mergeCell ref="A12:H12"/>
    <mergeCell ref="A59:B59"/>
    <mergeCell ref="A24:H24"/>
    <mergeCell ref="A16:H16"/>
    <mergeCell ref="A47:B47"/>
    <mergeCell ref="A41:H41"/>
    <mergeCell ref="A33:H33"/>
    <mergeCell ref="A42:H44"/>
    <mergeCell ref="A1:H1"/>
    <mergeCell ref="A46:H46"/>
    <mergeCell ref="A3:B3"/>
    <mergeCell ref="A53:B53"/>
  </mergeCells>
  <dataValidations count="1">
    <dataValidation sqref="B51 B57 B63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Management Responsibilities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Mgmt Commitment Requirements</t>
        </is>
      </c>
      <c r="B4" s="15">
        <f>COUNTA('Mgmt Commitment Requirements'!D4:D10)</f>
        <v/>
      </c>
      <c r="C4" s="15">
        <f>COUNTIF('Mgmt Commitment Requirements'!D4:D10,"Compliant")</f>
        <v/>
      </c>
      <c r="D4" s="15">
        <f>COUNTIF('Mgmt Commitment Requirements'!D4:D10,"Partial")</f>
        <v/>
      </c>
      <c r="E4" s="15">
        <f>COUNTIF('Mgmt Commitment Requirements'!D4:D10,"Non-Compliant")</f>
        <v/>
      </c>
      <c r="F4" s="15">
        <f>COUNTIF('Mgmt Commitment Requirements'!D4:D10,"N/A")</f>
        <v/>
      </c>
      <c r="G4" s="15">
        <f>IF((B4-F4)=0,"N/A",ROUND(C4/(B4-F4)*100,1)&amp;"%")</f>
        <v/>
      </c>
    </row>
    <row r="5">
      <c r="A5" s="3" t="inlineStr">
        <is>
          <t>Security Culture Leadership</t>
        </is>
      </c>
      <c r="B5" s="15">
        <f>COUNTA('Security Culture Leadership'!D4:D7)</f>
        <v/>
      </c>
      <c r="C5" s="15">
        <f>COUNTIF('Security Culture Leadership'!D4:D7,"Compliant")</f>
        <v/>
      </c>
      <c r="D5" s="15">
        <f>COUNTIF('Security Culture Leadership'!D4:D7,"Partial")</f>
        <v/>
      </c>
      <c r="E5" s="15">
        <f>COUNTIF('Security Culture Leadership'!D4:D7,"Non-Compliant")</f>
        <v/>
      </c>
      <c r="F5" s="15">
        <f>COUNTIF('Security Culture Leadership'!D4:D7,"N/A")</f>
        <v/>
      </c>
      <c r="G5" s="15">
        <f>IF((B5-F5)=0,"N/A",ROUND(C5/(B5-F5)*100,1)&amp;"%")</f>
        <v/>
      </c>
    </row>
    <row r="6">
      <c r="A6" s="3" t="inlineStr">
        <is>
          <t>Personnel Compl Accountability</t>
        </is>
      </c>
      <c r="B6" s="15">
        <f>COUNTA('Personnel Compl Accountability'!D4:D9)</f>
        <v/>
      </c>
      <c r="C6" s="15">
        <f>COUNTIF('Personnel Compl Accountability'!D4:D9,"Compliant")</f>
        <v/>
      </c>
      <c r="D6" s="15">
        <f>COUNTIF('Personnel Compl Accountability'!D4:D9,"Partial")</f>
        <v/>
      </c>
      <c r="E6" s="15">
        <f>COUNTIF('Personnel Compl Accountability'!D4:D9,"Non-Compliant")</f>
        <v/>
      </c>
      <c r="F6" s="15">
        <f>COUNTIF('Personnel Compl Accountability'!D4:D9,"N/A")</f>
        <v/>
      </c>
      <c r="G6" s="15">
        <f>IF((B6-F6)=0,"N/A",ROUND(C6/(B6-F6)*100,1)&amp;"%")</f>
        <v/>
      </c>
    </row>
    <row r="7">
      <c r="A7" s="3" t="inlineStr">
        <is>
          <t>Management Review Participation</t>
        </is>
      </c>
      <c r="B7" s="15">
        <f>COUNTA('Management Review Participation'!D4:D9)</f>
        <v/>
      </c>
      <c r="C7" s="15">
        <f>COUNTIF('Management Review Participation'!D4:D9,"Compliant")</f>
        <v/>
      </c>
      <c r="D7" s="15">
        <f>COUNTIF('Management Review Participation'!D4:D9,"Partial")</f>
        <v/>
      </c>
      <c r="E7" s="15">
        <f>COUNTIF('Management Review Participation'!D4:D9,"Non-Compliant")</f>
        <v/>
      </c>
      <c r="F7" s="15">
        <f>COUNTIF('Management Review Participation'!D4:D9,"N/A")</f>
        <v/>
      </c>
      <c r="G7" s="15">
        <f>IF((B7-F7)=0,"N/A",ROUND(C7/(B7-F7)*100,1)&amp;"%")</f>
        <v/>
      </c>
    </row>
    <row r="8">
      <c r="A8" s="3" t="inlineStr">
        <is>
          <t>Mgmt Commitment Assessment</t>
        </is>
      </c>
      <c r="B8" s="15">
        <f>COUNTA('Mgmt Commitment Assessment'!D4:D5)</f>
        <v/>
      </c>
      <c r="C8" s="15">
        <f>COUNTIF('Mgmt Commitment Assessment'!D4:D5,"Compliant")</f>
        <v/>
      </c>
      <c r="D8" s="15">
        <f>COUNTIF('Mgmt Commitment Assessment'!D4:D5,"Partial")</f>
        <v/>
      </c>
      <c r="E8" s="15">
        <f>COUNTIF('Mgmt Commitment Assessment'!D4:D5,"Non-Compliant")</f>
        <v/>
      </c>
      <c r="F8" s="15">
        <f>COUNTIF('Mgmt Commitment Assessment'!D4:D5,"N/A")</f>
        <v/>
      </c>
      <c r="G8" s="15">
        <f>IF((B8-F8)=0,"N/A",ROUND(C8/(B8-F8)*100,1)&amp;"%")</f>
        <v/>
      </c>
    </row>
    <row r="9">
      <c r="A9" s="3" t="inlineStr">
        <is>
          <t>Escalation Path</t>
        </is>
      </c>
      <c r="B9" s="15">
        <f>COUNTA('Escalation Path'!D4:D4)</f>
        <v/>
      </c>
      <c r="C9" s="15">
        <f>COUNTIF('Escalation Path'!D4:D4,"Compliant")</f>
        <v/>
      </c>
      <c r="D9" s="15">
        <f>COUNTIF('Escalation Path'!D4:D4,"Partial")</f>
        <v/>
      </c>
      <c r="E9" s="15">
        <f>COUNTIF('Escalation Path'!D4:D4,"Non-Compliant")</f>
        <v/>
      </c>
      <c r="F9" s="15">
        <f>COUNTIF('Escalation Path'!D4:D4,"N/A")</f>
        <v/>
      </c>
      <c r="G9" s="15">
        <f>IF((B9-F9)=0,"N/A",ROUND(C9/(B9-F9)*100,1)&amp;"%")</f>
        <v/>
      </c>
    </row>
    <row r="10">
      <c r="A10" s="16" t="inlineStr">
        <is>
          <t>TOTAL</t>
        </is>
      </c>
      <c r="B10" s="16">
        <f>SUM(B4:B9)</f>
        <v/>
      </c>
      <c r="C10" s="16">
        <f>SUM(C4:C9)</f>
        <v/>
      </c>
      <c r="D10" s="16">
        <f>SUM(D4:D9)</f>
        <v/>
      </c>
      <c r="E10" s="16">
        <f>SUM(E4:E9)</f>
        <v/>
      </c>
      <c r="F10" s="16">
        <f>SUM(F4:F9)</f>
        <v/>
      </c>
      <c r="G10" s="16">
        <f>IF((B10-F10)=0,"N/A",ROUND(C10/(B10-F10)*100,1)&amp;"%")</f>
        <v/>
      </c>
    </row>
    <row r="12">
      <c r="A12" s="6" t="inlineStr">
        <is>
          <t>COMPLIANCE BY STATUS</t>
        </is>
      </c>
    </row>
    <row r="13">
      <c r="A13" s="3" t="inlineStr">
        <is>
          <t>Compliant</t>
        </is>
      </c>
      <c r="B13" s="17">
        <f>C10</f>
        <v/>
      </c>
      <c r="C13" s="4">
        <f>IF(B10=0,"",ROUND(B13/B10*100,1)&amp;"%")</f>
        <v/>
      </c>
    </row>
    <row r="14">
      <c r="A14" s="3" t="inlineStr">
        <is>
          <t>Partial</t>
        </is>
      </c>
      <c r="B14" s="18">
        <f>D10</f>
        <v/>
      </c>
      <c r="C14" s="4">
        <f>IF(B10=0,"",ROUND(B14/B10*100,1)&amp;"%")</f>
        <v/>
      </c>
    </row>
    <row r="15">
      <c r="A15" s="3" t="inlineStr">
        <is>
          <t>Non-Compliant</t>
        </is>
      </c>
      <c r="B15" s="19">
        <f>E10</f>
        <v/>
      </c>
      <c r="C15" s="4">
        <f>IF(B10=0,"",ROUND(B15/B10*100,1)&amp;"%")</f>
        <v/>
      </c>
    </row>
    <row r="16">
      <c r="A16" s="3" t="inlineStr">
        <is>
          <t>N/A</t>
        </is>
      </c>
      <c r="B16" s="20">
        <f>F10</f>
        <v/>
      </c>
      <c r="C16" s="4">
        <f>IF(B10=0,"",ROUND(B16/B10*100,1)&amp;"%")</f>
        <v/>
      </c>
    </row>
    <row r="18">
      <c r="A18" s="6" t="inlineStr">
        <is>
          <t>TOP GAPS (Manual Entry)</t>
        </is>
      </c>
    </row>
    <row r="19">
      <c r="A19" s="11" t="inlineStr">
        <is>
          <t>Priority</t>
        </is>
      </c>
      <c r="B19" s="11" t="inlineStr">
        <is>
          <t>Domain</t>
        </is>
      </c>
      <c r="C19" s="11" t="inlineStr">
        <is>
          <t>Requirement</t>
        </is>
      </c>
      <c r="D19" s="11" t="inlineStr">
        <is>
          <t>Owner</t>
        </is>
      </c>
      <c r="E19" s="11" t="inlineStr">
        <is>
          <t>Due Date</t>
        </is>
      </c>
      <c r="F19" s="11" t="inlineStr">
        <is>
          <t>Status</t>
        </is>
      </c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1">
      <c r="A31" s="6" t="inlineStr">
        <is>
          <t>COMPLIANCE TREND (Manual Entry)</t>
        </is>
      </c>
    </row>
    <row r="32">
      <c r="A32" s="11" t="inlineStr">
        <is>
          <t>Assessment Date</t>
        </is>
      </c>
      <c r="B32" s="11" t="inlineStr">
        <is>
          <t>Overall %</t>
        </is>
      </c>
      <c r="C32" s="11" t="inlineStr">
        <is>
          <t>Compliant</t>
        </is>
      </c>
      <c r="D32" s="11" t="inlineStr">
        <is>
          <t>Gaps</t>
        </is>
      </c>
      <c r="E32" s="11" t="inlineStr">
        <is>
          <t>Assessor</t>
        </is>
      </c>
      <c r="F32" s="11" t="inlineStr">
        <is>
          <t>Notes</t>
        </is>
      </c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</sheetData>
  <mergeCells count="4">
    <mergeCell ref="A31:G31"/>
    <mergeCell ref="A1:G1"/>
    <mergeCell ref="A12:G12"/>
    <mergeCell ref="A18:G18"/>
  </mergeCells>
  <dataValidations count="1">
    <dataValidation sqref="F20 F21 F22 F23 F24 F25 F26 F27 F28 F29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Mgmt Commitment Requirements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A.5.4-01</t>
        </is>
      </c>
      <c r="B4" s="23" t="inlineStr">
        <is>
          <t>Management Personnel</t>
        </is>
      </c>
      <c r="C4" s="24" t="inlineStr">
        <is>
          <t>All management personnel shall demonstrate active commitment to information security through:.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A.5.4-02</t>
        </is>
      </c>
      <c r="B5" s="23" t="inlineStr">
        <is>
          <t>Ensure Adequate Resources Are Available</t>
        </is>
      </c>
      <c r="C5" s="24" t="inlineStr">
        <is>
          <t>Management shall ensure adequate resources are available for information security:.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A.5.4-03</t>
        </is>
      </c>
      <c r="B6" s="23" t="inlineStr">
        <is>
          <t>Adequacy Criteria* For Resource</t>
        </is>
      </c>
      <c r="C6" s="24" t="inlineStr">
        <is>
          <t>Adequacy criteria* for resource allocation decisions shall consider:.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A.5.4-04</t>
        </is>
      </c>
      <c r="B7" s="23" t="inlineStr">
        <is>
          <t>Resource Requests For Approved Security</t>
        </is>
      </c>
      <c r="C7" s="24" t="inlineStr">
        <is>
          <t>Resource requests for approved security initiatives shall be processed within 30 calendar days. Disputes over resource adequacy shall be escalated per the escalation path defined in this policy.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A.5.4-05</t>
        </is>
      </c>
      <c r="B8" s="23" t="inlineStr">
        <is>
          <t>Ensure Their Teams Understand And Comply</t>
        </is>
      </c>
      <c r="C8" s="24" t="inlineStr">
        <is>
          <t>Management shall ensure their teams understand and comply with applicable security policies:.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A.5.4-06</t>
        </is>
      </c>
      <c r="B9" s="23" t="inlineStr">
        <is>
          <t>Management Commitment</t>
        </is>
      </c>
      <c r="C9" s="24" t="inlineStr">
        <is>
          <t>Management commitment shall be assessed annually using objective criteria:.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A.5.4-07</t>
        </is>
      </c>
      <c r="B10" s="23" t="inlineStr">
        <is>
          <t>Assessment Results</t>
        </is>
      </c>
      <c r="C10" s="24" t="inlineStr">
        <is>
          <t>Assessment results shall be documented and reviewed by Executive Management. Scores below 70% trigger a mandatory remediation plan (see Remediation for Non-Compliance).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Security Culture Leadership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A.5.4-08</t>
        </is>
      </c>
      <c r="B4" s="23" t="inlineStr">
        <is>
          <t>Foster A Positive Security Culture</t>
        </is>
      </c>
      <c r="C4" s="24" t="inlineStr">
        <is>
          <t>Management shall foster a positive security culture across the organisation through deliberate action and consistent example.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A.5.4-09</t>
        </is>
      </c>
      <c r="B5" s="23" t="inlineStr">
        <is>
          <t>Create An Environment Where Personnel</t>
        </is>
      </c>
      <c r="C5" s="24" t="inlineStr">
        <is>
          <t>Management shall create an environment where personnel feel safe reporting security issues:.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A.5.4-10</t>
        </is>
      </c>
      <c r="B6" s="23" t="inlineStr">
        <is>
          <t>Implement A Structured Recognition</t>
        </is>
      </c>
      <c r="C6" s="24" t="inlineStr">
        <is>
          <t>Management shall implement a structured recognition programme for security-conscious behaviour:.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A.5.4-11</t>
        </is>
      </c>
      <c r="B7" s="23" t="inlineStr">
        <is>
          <t>An Annual Security Culture Survey</t>
        </is>
      </c>
      <c r="C7" s="24" t="inlineStr">
        <is>
          <t>An annual Security Culture Survey shall be conducted to measure the effectiveness of management's security leadership and the organisation's overall security awareness posture.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Personnel Compl Accountability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A.5.4-12</t>
        </is>
      </c>
      <c r="B4" s="23" t="inlineStr">
        <is>
          <t>Ensure All Personnel Under Their</t>
        </is>
      </c>
      <c r="C4" s="24" t="inlineStr">
        <is>
          <t>Management shall ensure all personnel under their authority comply with information security requirements throughout the employment lifecycle.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A.5.4-13</t>
        </is>
      </c>
      <c r="B5" s="23" t="inlineStr">
        <is>
          <t>Verify That New Personnel Complete All</t>
        </is>
      </c>
      <c r="C5" s="24" t="inlineStr">
        <is>
          <t>Management shall verify that new personnel complete all security onboarding requirements before being granted system access.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A.5.4-14</t>
        </is>
      </c>
      <c r="B6" s="23" t="inlineStr">
        <is>
          <t>Access Gate*: System Access (Beyond</t>
        </is>
      </c>
      <c r="C6" s="24" t="inlineStr">
        <is>
          <t>Access gate*: System access (beyond basic email and intranet) shall not be provisioned until items 1-4 are confirmed complete. [Identity Provider] group assignment conditional on [LMS] training completion status.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A.5.4-15</t>
        </is>
      </c>
      <c r="B7" s="23" t="inlineStr">
        <is>
          <t>Maintain Continuous Oversight Of</t>
        </is>
      </c>
      <c r="C7" s="24" t="inlineStr">
        <is>
          <t>Management shall maintain continuous oversight of personnel compliance:.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A.5.4-16</t>
        </is>
      </c>
      <c r="B8" s="23" t="inlineStr">
        <is>
          <t>Important*: Security Performance</t>
        </is>
      </c>
      <c r="C8" s="24" t="inlineStr">
        <is>
          <t>Important*: Security performance criteria shall be communicated to personnel at the start of each review period. No individual shall be evaluated against criteria they were not informed of in advance.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A.5.4-17</t>
        </is>
      </c>
      <c r="B9" s="23" t="inlineStr">
        <is>
          <t>Ensure Timely And Complete Security</t>
        </is>
      </c>
      <c r="C9" s="24" t="inlineStr">
        <is>
          <t>Management shall ensure timely and complete security offboarding for departing personnel.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Management Review Participation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A.5.4-18</t>
        </is>
      </c>
      <c r="B4" s="23" t="inlineStr">
        <is>
          <t>Actively Participate In Isms Management</t>
        </is>
      </c>
      <c r="C4" s="24" t="inlineStr">
        <is>
          <t>Management shall actively participate in ISMS management review activities as required by ISO 27001:2022 Clause 9.3.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A.5.4-19</t>
        </is>
      </c>
      <c r="B5" s="23" t="inlineStr">
        <is>
          <t>Active Participation Means More Than</t>
        </is>
      </c>
      <c r="C5" s="24" t="inlineStr">
        <is>
          <t>Active participation means more than attendance. Management personnel shall:.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A.5.4-20</t>
        </is>
      </c>
      <c r="B6" s="23" t="inlineStr">
        <is>
          <t>Quarterly Management Review</t>
        </is>
      </c>
      <c r="C6" s="24" t="inlineStr">
        <is>
          <t>Each quarterly management review shall follow a standardised agenda to ensure consistent coverage and efficient use of executive time:.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A.5.4-21</t>
        </is>
      </c>
      <c r="B7" s="23" t="inlineStr">
        <is>
          <t>Provide The Following Inputs To Isms</t>
        </is>
      </c>
      <c r="C7" s="24" t="inlineStr">
        <is>
          <t>Management shall provide the following inputs to ISMS management reviews:.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A.5.4-22</t>
        </is>
      </c>
      <c r="B8" s="23" t="inlineStr">
        <is>
          <t>Within Management Reviews, Management</t>
        </is>
      </c>
      <c r="C8" s="24" t="inlineStr">
        <is>
          <t>Within management reviews, management personnel shall exercise their authority to:.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A.5.4-23</t>
        </is>
      </c>
      <c r="B9" s="23" t="inlineStr">
        <is>
          <t>Be Tracked And Reported As Part</t>
        </is>
      </c>
      <c r="C9" s="24" t="inlineStr">
        <is>
          <t>Participation shall be tracked and reported as part of the annual management commitment assessment.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Mgmt Commitment Assessment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A.5.4-24</t>
        </is>
      </c>
      <c r="B4" s="23" t="inlineStr">
        <is>
          <t>An Annual Management Commitment</t>
        </is>
      </c>
      <c r="C4" s="24" t="inlineStr">
        <is>
          <t>An annual Management Commitment Assessment shall be conducted by the CISO to evaluate management's fulfilment of their information security responsibilities. The assessment shall cover:.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A.5.4-25</t>
        </is>
      </c>
      <c r="B5" s="23" t="inlineStr">
        <is>
          <t>Management Responsibility Gaps</t>
        </is>
      </c>
      <c r="C5" s="24" t="inlineStr">
        <is>
          <t>All management responsibility gaps shall be recorded in the central ISMS Gap Register maintained in [GRC Tool / SharePoint / Confluence]. The Gap Register is the single source of truth for tracking management commitment findings across all assessment cycles.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Escalation Path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A.5.4-26</t>
        </is>
      </c>
      <c r="B4" s="23" t="inlineStr">
        <is>
          <t>The Following Escalation Paths</t>
        </is>
      </c>
      <c r="C4" s="24" t="inlineStr">
        <is>
          <t>The following escalation paths shall be used for security-related matters:.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2026-02-08T10:04:09Z</dcterms:created>
  <dcterms:modified xmlns:dcterms="http://purl.org/dc/terms/" xmlns:xsi="http://www.w3.org/2001/XMLSchema-instance" xsi:type="dcterms:W3CDTF">2026-02-08T10:04:09Z</dcterms:modified>
</cp:coreProperties>
</file>