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licting Duties Ident" sheetId="3" state="visible" r:id="rId3"/>
    <sheet xmlns:r="http://schemas.openxmlformats.org/officeDocument/2006/relationships" name="Small Team &amp; SME Comp Controls" sheetId="4" state="visible" r:id="rId4"/>
    <sheet xmlns:r="http://schemas.openxmlformats.org/officeDocument/2006/relationships" name="Technical Segregation Controls" sheetId="5" state="visible" r:id="rId5"/>
    <sheet xmlns:r="http://schemas.openxmlformats.org/officeDocument/2006/relationships" name="Exception Management" sheetId="6" state="visible" r:id="rId6"/>
    <sheet xmlns:r="http://schemas.openxmlformats.org/officeDocument/2006/relationships" name="SoD Matrix Maintenance" sheetId="7" state="visible" r:id="rId7"/>
    <sheet xmlns:r="http://schemas.openxmlformats.org/officeDocument/2006/relationships" name="Compliance Measurement" sheetId="8" state="visible" r:id="rId8"/>
  </sheets>
  <definedNames>
    <definedName name="_xlnm.Print_Area" localSheetId="0">'Executive 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ISMS-OP-CHK-A.5.3 — Segregation of Duties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ISMS-OP-CHK-A.5.3</t>
        </is>
      </c>
    </row>
    <row r="5">
      <c r="A5" s="3" t="inlineStr">
        <is>
          <t>Source Policy</t>
        </is>
      </c>
      <c r="B5" s="4" t="inlineStr">
        <is>
          <t>ISMS-OP-POL-A.5.3</t>
        </is>
      </c>
    </row>
    <row r="6">
      <c r="A6" s="3" t="inlineStr">
        <is>
          <t>ISO Controls</t>
        </is>
      </c>
      <c r="B6" s="4" t="inlineStr">
        <is>
          <t>Segregation of Duties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'Dashboard'!G10</f>
        <v/>
      </c>
    </row>
    <row r="14">
      <c r="A14" s="7" t="inlineStr">
        <is>
          <t>Status</t>
        </is>
      </c>
      <c r="B14" s="9">
        <f>IF(Dashboard!G10="N/A","NOT ASSESSED",IF(ISNUMBER(VALUE(SUBSTITUTE(Dashboard!G10,"%",""))),IF(VALUE(SUBSTITUTE(Dashboard!G10,"%",""))&gt;=90,"GREEN",IF(VALUE(SUBSTITUTE(Dashboard!G10,"%",""))&gt;=70,"AMBER","RED")),"NOT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'Dashboard'!B10</f>
        <v/>
      </c>
    </row>
    <row r="18">
      <c r="A18" s="3" t="inlineStr">
        <is>
          <t>Compliant</t>
        </is>
      </c>
      <c r="B18" s="10">
        <f>'Dashboard'!C10</f>
        <v/>
      </c>
    </row>
    <row r="19">
      <c r="A19" s="3" t="inlineStr">
        <is>
          <t>Partial</t>
        </is>
      </c>
      <c r="B19" s="10">
        <f>'Dashboard'!D10</f>
        <v/>
      </c>
    </row>
    <row r="20">
      <c r="A20" s="3" t="inlineStr">
        <is>
          <t>Non-Compliant</t>
        </is>
      </c>
      <c r="B20" s="10">
        <f>'Dashboard'!E10</f>
        <v/>
      </c>
    </row>
    <row r="21">
      <c r="A21" s="3" t="inlineStr">
        <is>
          <t>Not Applicable</t>
        </is>
      </c>
      <c r="B21" s="10">
        <f>'Dashboard'!F10</f>
        <v/>
      </c>
    </row>
    <row r="22">
      <c r="A22" s="3" t="inlineStr">
        <is>
          <t>Owner Coverage</t>
        </is>
      </c>
      <c r="B22" s="10">
        <f>IF(Dashboard!B10=0,"N/A",ROUND((COUNTA('Conflicting Duties Ident'!F4:F10)+COUNTA('Small Team &amp; SME Comp Controls'!F4:F12)+COUNTA('Technical Segregation Controls'!F4:F15)+COUNTA('Exception Management'!F4:F9)+COUNTA('SoD Matrix Maintenance'!F4:F6)+COUNTA('Compliance Measurement'!F4:F5))/Dashboard!B10*100,0)&amp;"%")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Conflicting Duties Ident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Small Team &amp; SME Comp Controls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Technical Segregation Controls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Exception Management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SoD Matrix Maintenance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Compliance Measurement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3">
      <c r="A33" s="6" t="inlineStr">
        <is>
          <t>CRITICAL ISSUES</t>
        </is>
      </c>
    </row>
    <row r="34">
      <c r="A34" s="11" t="inlineStr">
        <is>
          <t>#</t>
        </is>
      </c>
      <c r="B34" s="11" t="inlineStr">
        <is>
          <t>Issue Description</t>
        </is>
      </c>
      <c r="C34" s="11" t="inlineStr">
        <is>
          <t>Domain</t>
        </is>
      </c>
      <c r="D34" s="11" t="inlineStr">
        <is>
          <t>Owner</t>
        </is>
      </c>
      <c r="E34" s="11" t="inlineStr">
        <is>
          <t>Due Date</t>
        </is>
      </c>
    </row>
    <row r="35">
      <c r="A35" s="4" t="n">
        <v>1</v>
      </c>
      <c r="B35" s="5" t="n"/>
      <c r="C35" s="5" t="n"/>
      <c r="D35" s="5" t="n"/>
      <c r="E35" s="5" t="n"/>
    </row>
    <row r="36">
      <c r="A36" s="4" t="n">
        <v>2</v>
      </c>
      <c r="B36" s="5" t="n"/>
      <c r="C36" s="5" t="n"/>
      <c r="D36" s="5" t="n"/>
      <c r="E36" s="5" t="n"/>
    </row>
    <row r="37">
      <c r="A37" s="4" t="n">
        <v>3</v>
      </c>
      <c r="B37" s="5" t="n"/>
      <c r="C37" s="5" t="n"/>
      <c r="D37" s="5" t="n"/>
      <c r="E37" s="5" t="n"/>
    </row>
    <row r="38">
      <c r="A38" s="4" t="n">
        <v>4</v>
      </c>
      <c r="B38" s="5" t="n"/>
      <c r="C38" s="5" t="n"/>
      <c r="D38" s="5" t="n"/>
      <c r="E38" s="5" t="n"/>
    </row>
    <row r="39">
      <c r="A39" s="4" t="n">
        <v>5</v>
      </c>
      <c r="B39" s="5" t="n"/>
      <c r="C39" s="5" t="n"/>
      <c r="D39" s="5" t="n"/>
      <c r="E39" s="5" t="n"/>
    </row>
    <row r="41">
      <c r="A41" s="6" t="inlineStr">
        <is>
          <t>MANAGEMENT COMMENTARY</t>
        </is>
      </c>
    </row>
    <row r="42" ht="60" customHeight="1">
      <c r="A42" s="12" t="inlineStr">
        <is>
          <t>[Enter management commentary on segregation of duties posture]</t>
        </is>
      </c>
    </row>
    <row r="43"/>
    <row r="44"/>
    <row r="46">
      <c r="A46" s="6" t="inlineStr">
        <is>
          <t>APPROVAL</t>
        </is>
      </c>
    </row>
    <row r="47">
      <c r="A47" s="13" t="inlineStr">
        <is>
          <t>Assessed By</t>
        </is>
      </c>
    </row>
    <row r="48">
      <c r="A48" s="14" t="inlineStr">
        <is>
          <t>Name:</t>
        </is>
      </c>
      <c r="B48" s="5" t="n"/>
    </row>
    <row r="49">
      <c r="A49" s="14" t="inlineStr">
        <is>
          <t>Date:</t>
        </is>
      </c>
      <c r="B49" s="5" t="n"/>
    </row>
    <row r="50">
      <c r="A50" s="14" t="inlineStr">
        <is>
          <t>Signature:</t>
        </is>
      </c>
      <c r="B50" s="5" t="n"/>
    </row>
    <row r="51">
      <c r="A51" s="14" t="inlineStr">
        <is>
          <t>Decision:</t>
        </is>
      </c>
      <c r="B51" s="5" t="n"/>
    </row>
    <row r="53">
      <c r="A53" s="13" t="inlineStr">
        <is>
          <t>Reviewed By (ISO Manager)</t>
        </is>
      </c>
    </row>
    <row r="54">
      <c r="A54" s="14" t="inlineStr">
        <is>
          <t>Name:</t>
        </is>
      </c>
      <c r="B54" s="5" t="n"/>
    </row>
    <row r="55">
      <c r="A55" s="14" t="inlineStr">
        <is>
          <t>Date:</t>
        </is>
      </c>
      <c r="B55" s="5" t="n"/>
    </row>
    <row r="56">
      <c r="A56" s="14" t="inlineStr">
        <is>
          <t>Signature:</t>
        </is>
      </c>
      <c r="B56" s="5" t="n"/>
    </row>
    <row r="57">
      <c r="A57" s="14" t="inlineStr">
        <is>
          <t>Decision:</t>
        </is>
      </c>
      <c r="B57" s="5" t="n"/>
    </row>
    <row r="59">
      <c r="A59" s="13" t="inlineStr">
        <is>
          <t>Approved By (CISO)</t>
        </is>
      </c>
    </row>
    <row r="60">
      <c r="A60" s="14" t="inlineStr">
        <is>
          <t>Name:</t>
        </is>
      </c>
      <c r="B60" s="5" t="n"/>
    </row>
    <row r="61">
      <c r="A61" s="14" t="inlineStr">
        <is>
          <t>Date:</t>
        </is>
      </c>
      <c r="B61" s="5" t="n"/>
    </row>
    <row r="62">
      <c r="A62" s="14" t="inlineStr">
        <is>
          <t>Signature:</t>
        </is>
      </c>
      <c r="B62" s="5" t="n"/>
    </row>
    <row r="63">
      <c r="A63" s="14" t="inlineStr">
        <is>
          <t>Decision:</t>
        </is>
      </c>
      <c r="B63" s="5" t="n"/>
    </row>
  </sheetData>
  <mergeCells count="12">
    <mergeCell ref="A12:H12"/>
    <mergeCell ref="A59:B59"/>
    <mergeCell ref="A24:H24"/>
    <mergeCell ref="A16:H16"/>
    <mergeCell ref="A47:B47"/>
    <mergeCell ref="A41:H41"/>
    <mergeCell ref="A33:H33"/>
    <mergeCell ref="A42:H44"/>
    <mergeCell ref="A1:H1"/>
    <mergeCell ref="A46:H46"/>
    <mergeCell ref="A3:B3"/>
    <mergeCell ref="A53:B53"/>
  </mergeCells>
  <dataValidations count="1">
    <dataValidation sqref="B51 B57 B63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Segregation of Duties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Conflicting Duties Ident</t>
        </is>
      </c>
      <c r="B4" s="15">
        <f>COUNTA('Conflicting Duties Ident'!D4:D10)</f>
        <v/>
      </c>
      <c r="C4" s="15">
        <f>COUNTIF('Conflicting Duties Ident'!D4:D10,"Compliant")</f>
        <v/>
      </c>
      <c r="D4" s="15">
        <f>COUNTIF('Conflicting Duties Ident'!D4:D10,"Partial")</f>
        <v/>
      </c>
      <c r="E4" s="15">
        <f>COUNTIF('Conflicting Duties Ident'!D4:D10,"Non-Compliant")</f>
        <v/>
      </c>
      <c r="F4" s="15">
        <f>COUNTIF('Conflicting Duties Ident'!D4:D10,"N/A")</f>
        <v/>
      </c>
      <c r="G4" s="15">
        <f>IF((B4-F4)=0,"N/A",ROUND(C4/(B4-F4)*100,1)&amp;"%")</f>
        <v/>
      </c>
    </row>
    <row r="5">
      <c r="A5" s="3" t="inlineStr">
        <is>
          <t>Small Team &amp; SME Comp Controls</t>
        </is>
      </c>
      <c r="B5" s="15">
        <f>COUNTA('Small Team &amp; SME Comp Controls'!D4:D12)</f>
        <v/>
      </c>
      <c r="C5" s="15">
        <f>COUNTIF('Small Team &amp; SME Comp Controls'!D4:D12,"Compliant")</f>
        <v/>
      </c>
      <c r="D5" s="15">
        <f>COUNTIF('Small Team &amp; SME Comp Controls'!D4:D12,"Partial")</f>
        <v/>
      </c>
      <c r="E5" s="15">
        <f>COUNTIF('Small Team &amp; SME Comp Controls'!D4:D12,"Non-Compliant")</f>
        <v/>
      </c>
      <c r="F5" s="15">
        <f>COUNTIF('Small Team &amp; SME Comp Controls'!D4:D12,"N/A")</f>
        <v/>
      </c>
      <c r="G5" s="15">
        <f>IF((B5-F5)=0,"N/A",ROUND(C5/(B5-F5)*100,1)&amp;"%")</f>
        <v/>
      </c>
    </row>
    <row r="6">
      <c r="A6" s="3" t="inlineStr">
        <is>
          <t>Technical Segregation Controls</t>
        </is>
      </c>
      <c r="B6" s="15">
        <f>COUNTA('Technical Segregation Controls'!D4:D15)</f>
        <v/>
      </c>
      <c r="C6" s="15">
        <f>COUNTIF('Technical Segregation Controls'!D4:D15,"Compliant")</f>
        <v/>
      </c>
      <c r="D6" s="15">
        <f>COUNTIF('Technical Segregation Controls'!D4:D15,"Partial")</f>
        <v/>
      </c>
      <c r="E6" s="15">
        <f>COUNTIF('Technical Segregation Controls'!D4:D15,"Non-Compliant")</f>
        <v/>
      </c>
      <c r="F6" s="15">
        <f>COUNTIF('Technical Segregation Controls'!D4:D15,"N/A")</f>
        <v/>
      </c>
      <c r="G6" s="15">
        <f>IF((B6-F6)=0,"N/A",ROUND(C6/(B6-F6)*100,1)&amp;"%")</f>
        <v/>
      </c>
    </row>
    <row r="7">
      <c r="A7" s="3" t="inlineStr">
        <is>
          <t>Exception Management</t>
        </is>
      </c>
      <c r="B7" s="15">
        <f>COUNTA('Exception Management'!D4:D9)</f>
        <v/>
      </c>
      <c r="C7" s="15">
        <f>COUNTIF('Exception Management'!D4:D9,"Compliant")</f>
        <v/>
      </c>
      <c r="D7" s="15">
        <f>COUNTIF('Exception Management'!D4:D9,"Partial")</f>
        <v/>
      </c>
      <c r="E7" s="15">
        <f>COUNTIF('Exception Management'!D4:D9,"Non-Compliant")</f>
        <v/>
      </c>
      <c r="F7" s="15">
        <f>COUNTIF('Exception Management'!D4:D9,"N/A")</f>
        <v/>
      </c>
      <c r="G7" s="15">
        <f>IF((B7-F7)=0,"N/A",ROUND(C7/(B7-F7)*100,1)&amp;"%")</f>
        <v/>
      </c>
    </row>
    <row r="8">
      <c r="A8" s="3" t="inlineStr">
        <is>
          <t>SoD Matrix Maintenance</t>
        </is>
      </c>
      <c r="B8" s="15">
        <f>COUNTA('SoD Matrix Maintenance'!D4:D6)</f>
        <v/>
      </c>
      <c r="C8" s="15">
        <f>COUNTIF('SoD Matrix Maintenance'!D4:D6,"Compliant")</f>
        <v/>
      </c>
      <c r="D8" s="15">
        <f>COUNTIF('SoD Matrix Maintenance'!D4:D6,"Partial")</f>
        <v/>
      </c>
      <c r="E8" s="15">
        <f>COUNTIF('SoD Matrix Maintenance'!D4:D6,"Non-Compliant")</f>
        <v/>
      </c>
      <c r="F8" s="15">
        <f>COUNTIF('SoD Matrix Maintenance'!D4:D6,"N/A")</f>
        <v/>
      </c>
      <c r="G8" s="15">
        <f>IF((B8-F8)=0,"N/A",ROUND(C8/(B8-F8)*100,1)&amp;"%")</f>
        <v/>
      </c>
    </row>
    <row r="9">
      <c r="A9" s="3" t="inlineStr">
        <is>
          <t>Compliance Measurement</t>
        </is>
      </c>
      <c r="B9" s="15">
        <f>COUNTA('Compliance Measurement'!D4:D5)</f>
        <v/>
      </c>
      <c r="C9" s="15">
        <f>COUNTIF('Compliance Measurement'!D4:D5,"Compliant")</f>
        <v/>
      </c>
      <c r="D9" s="15">
        <f>COUNTIF('Compliance Measurement'!D4:D5,"Partial")</f>
        <v/>
      </c>
      <c r="E9" s="15">
        <f>COUNTIF('Compliance Measurement'!D4:D5,"Non-Compliant")</f>
        <v/>
      </c>
      <c r="F9" s="15">
        <f>COUNTIF('Compliance Measurement'!D4:D5,"N/A")</f>
        <v/>
      </c>
      <c r="G9" s="15">
        <f>IF((B9-F9)=0,"N/A",ROUND(C9/(B9-F9)*100,1)&amp;"%")</f>
        <v/>
      </c>
    </row>
    <row r="10">
      <c r="A10" s="16" t="inlineStr">
        <is>
          <t>TOTAL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IF((B10-F10)=0,"N/A",ROUND(C10/(B10-F10)*100,1)&amp;"%")</f>
        <v/>
      </c>
    </row>
    <row r="12">
      <c r="A12" s="6" t="inlineStr">
        <is>
          <t>COMPLIANCE BY STATUS</t>
        </is>
      </c>
    </row>
    <row r="13">
      <c r="A13" s="3" t="inlineStr">
        <is>
          <t>Compliant</t>
        </is>
      </c>
      <c r="B13" s="17">
        <f>C10</f>
        <v/>
      </c>
      <c r="C13" s="4">
        <f>IF(B10=0,"",ROUND(B13/B10*100,1)&amp;"%")</f>
        <v/>
      </c>
    </row>
    <row r="14">
      <c r="A14" s="3" t="inlineStr">
        <is>
          <t>Partial</t>
        </is>
      </c>
      <c r="B14" s="18">
        <f>D10</f>
        <v/>
      </c>
      <c r="C14" s="4">
        <f>IF(B10=0,"",ROUND(B14/B10*100,1)&amp;"%")</f>
        <v/>
      </c>
    </row>
    <row r="15">
      <c r="A15" s="3" t="inlineStr">
        <is>
          <t>Non-Compliant</t>
        </is>
      </c>
      <c r="B15" s="19">
        <f>E10</f>
        <v/>
      </c>
      <c r="C15" s="4">
        <f>IF(B10=0,"",ROUND(B15/B10*100,1)&amp;"%")</f>
        <v/>
      </c>
    </row>
    <row r="16">
      <c r="A16" s="3" t="inlineStr">
        <is>
          <t>N/A</t>
        </is>
      </c>
      <c r="B16" s="20">
        <f>F10</f>
        <v/>
      </c>
      <c r="C16" s="4">
        <f>IF(B10=0,"",ROUND(B16/B10*100,1)&amp;"%")</f>
        <v/>
      </c>
    </row>
    <row r="18">
      <c r="A18" s="6" t="inlineStr">
        <is>
          <t>TOP GAPS (Manual Entry)</t>
        </is>
      </c>
    </row>
    <row r="19">
      <c r="A19" s="11" t="inlineStr">
        <is>
          <t>Priority</t>
        </is>
      </c>
      <c r="B19" s="11" t="inlineStr">
        <is>
          <t>Domain</t>
        </is>
      </c>
      <c r="C19" s="11" t="inlineStr">
        <is>
          <t>Requirement</t>
        </is>
      </c>
      <c r="D19" s="11" t="inlineStr">
        <is>
          <t>Owner</t>
        </is>
      </c>
      <c r="E19" s="11" t="inlineStr">
        <is>
          <t>Due Date</t>
        </is>
      </c>
      <c r="F19" s="11" t="inlineStr">
        <is>
          <t>Status</t>
        </is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1">
      <c r="A31" s="6" t="inlineStr">
        <is>
          <t>COMPLIANCE TREND (Manual Entry)</t>
        </is>
      </c>
    </row>
    <row r="32">
      <c r="A32" s="11" t="inlineStr">
        <is>
          <t>Assessment Date</t>
        </is>
      </c>
      <c r="B32" s="11" t="inlineStr">
        <is>
          <t>Overall %</t>
        </is>
      </c>
      <c r="C32" s="11" t="inlineStr">
        <is>
          <t>Compliant</t>
        </is>
      </c>
      <c r="D32" s="11" t="inlineStr">
        <is>
          <t>Gaps</t>
        </is>
      </c>
      <c r="E32" s="11" t="inlineStr">
        <is>
          <t>Assessor</t>
        </is>
      </c>
      <c r="F32" s="11" t="inlineStr">
        <is>
          <t>Notes</t>
        </is>
      </c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4">
    <mergeCell ref="A31:G31"/>
    <mergeCell ref="A1:G1"/>
    <mergeCell ref="A12:G12"/>
    <mergeCell ref="A18:G18"/>
  </mergeCells>
  <dataValidations count="1">
    <dataValidation sqref="F20 F21 F22 F23 F24 F25 F26 F27 F28 F29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Conflicting Duties Ident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A.5.3-01</t>
        </is>
      </c>
      <c r="B4" s="23" t="inlineStr">
        <is>
          <t>Maintain A Documented Sod Matrix</t>
        </is>
      </c>
      <c r="C4" s="24" t="inlineStr">
        <is>
          <t>The organisation shall maintain a documented SoD matrix identifying duty combinations that require segregation. The following categories provide the baseline:.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A.5.3-02</t>
        </is>
      </c>
      <c r="B5" s="23" t="inlineStr">
        <is>
          <t>The Following Duty Combinations</t>
        </is>
      </c>
      <c r="C5" s="24" t="inlineStr">
        <is>
          <t>The following duty combinations shall be segregated:.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A.5.3-03</t>
        </is>
      </c>
      <c r="B6" s="23" t="inlineStr">
        <is>
          <t>The Following Duty Combinations</t>
        </is>
      </c>
      <c r="C6" s="24" t="inlineStr">
        <is>
          <t>The following duty combinations shall be segregated:.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A.5.3-04</t>
        </is>
      </c>
      <c r="B7" s="23" t="inlineStr">
        <is>
          <t>The Following Duty Combinations</t>
        </is>
      </c>
      <c r="C7" s="24" t="inlineStr">
        <is>
          <t>The following duty combinations shall be segregated:.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A.5.3-05</t>
        </is>
      </c>
      <c r="B8" s="23" t="inlineStr">
        <is>
          <t>The Following Duty Combinations</t>
        </is>
      </c>
      <c r="C8" s="24" t="inlineStr">
        <is>
          <t>The following duty combinations shall be segregated:.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A.5.3-06</t>
        </is>
      </c>
      <c r="B9" s="23" t="inlineStr">
        <is>
          <t>Department Heads</t>
        </is>
      </c>
      <c r="C9" s="24" t="inlineStr">
        <is>
          <t>Department heads shall review the SoD matrix annually for their area and report any newly identified conflicts to the CISO. The CISO shall maintain the consolidated organisational SoD matrix in [GRC Tool] or equivalent register.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A.5.3-07</t>
        </is>
      </c>
      <c r="B10" s="23" t="inlineStr">
        <is>
          <t>&gt; Where A Dedicated Grc Tool</t>
        </is>
      </c>
      <c r="C10" s="24" t="inlineStr">
        <is>
          <t>&gt; Where a dedicated GRC tool is not yet deployed, the organisation shall maintain registers in controlled shared storage with version control, access logging, and quarterly integrity verification by the CISO.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Small Team &amp; SME Comp Controls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A.5.3-08</t>
        </is>
      </c>
      <c r="B4" s="23" t="inlineStr">
        <is>
          <t>Where Segregation Cannot Be Fully</t>
        </is>
      </c>
      <c r="C4" s="24" t="inlineStr">
        <is>
          <t>Where segregation cannot be fully achieved due to limited personnel — a common situation in small and medium-sized organisations — compensating controls shall be implemented to provide equivalent risk mitigation.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A.5.3-09</t>
        </is>
      </c>
      <c r="B5" s="23" t="inlineStr">
        <is>
          <t>All Five Of The Following Compensating</t>
        </is>
      </c>
      <c r="C5" s="24" t="inlineStr">
        <is>
          <t>When full duty segregation is not feasible, all five of the following compensating controls shall be implemented for each identified conflict:.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A.5.3-10</t>
        </is>
      </c>
      <c r="B6" s="23" t="inlineStr">
        <is>
          <t>An Independent Party</t>
        </is>
      </c>
      <c r="C6" s="24" t="inlineStr">
        <is>
          <t>An independent party shall review the process quarterly at minimum. The review shall include:.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A.5.3-11</t>
        </is>
      </c>
      <c r="B7" s="23" t="inlineStr">
        <is>
          <t>Review Documentation*: Each Quarterly</t>
        </is>
      </c>
      <c r="C7" s="24" t="inlineStr">
        <is>
          <t>Review documentation*: Each quarterly review shall produce a written report documenting scope, findings, issues identified, and recommendations. Reports retained for 3 years.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A.5.3-12</t>
        </is>
      </c>
      <c r="B8" s="23" t="inlineStr">
        <is>
          <t>Issue Escalation*: Issues Identified</t>
        </is>
      </c>
      <c r="C8" s="24" t="inlineStr">
        <is>
          <t>Issue escalation*: Issues identified during independent review shall be escalated to the CISO within 5 business days and resolved within 30 calendar days.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A.5.3-13</t>
        </is>
      </c>
      <c r="B9" s="23" t="inlineStr">
        <is>
          <t>Compensating Control Arrangement</t>
        </is>
      </c>
      <c r="C9" s="24" t="inlineStr">
        <is>
          <t>Each compensating control arrangement shall be formally documented with:.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A.5.3-14</t>
        </is>
      </c>
      <c r="B10" s="23" t="inlineStr">
        <is>
          <t>Compensating Control Documentation</t>
        </is>
      </c>
      <c r="C10" s="24" t="inlineStr">
        <is>
          <t>Compensating control documentation shall be maintained in [GRC Tool] or an equivalent register accessible to the CISO and Internal Audit.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A.5.3-15</t>
        </is>
      </c>
      <c r="B11" s="23" t="inlineStr">
        <is>
          <t>Compensating Control Arrangements</t>
        </is>
      </c>
      <c r="C11" s="24" t="inlineStr">
        <is>
          <t>Compensating control arrangements shall be re-evaluated when:.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A.5.3-16</t>
        </is>
      </c>
      <c r="B12" s="23" t="inlineStr">
        <is>
          <t>The Effectiveness Of Compensating</t>
        </is>
      </c>
      <c r="C12" s="24" t="inlineStr">
        <is>
          <t>The effectiveness of compensating controls shall be verified through:.</t>
        </is>
      </c>
      <c r="D12" s="25" t="n"/>
      <c r="E12" s="5" t="n"/>
      <c r="F12" s="5" t="n"/>
      <c r="G12" s="26" t="n"/>
      <c r="H12" s="5" t="n"/>
    </row>
  </sheetData>
  <mergeCells count="2">
    <mergeCell ref="A2:H2"/>
    <mergeCell ref="A1:H1"/>
  </mergeCells>
  <conditionalFormatting sqref="D4:D12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Technical Segregation Controls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A.5.3-17</t>
        </is>
      </c>
      <c r="B4" s="23" t="inlineStr">
        <is>
          <t>Information Systems Supporting</t>
        </is>
      </c>
      <c r="C4" s="24" t="inlineStr">
        <is>
          <t>Information systems supporting segregated processes shall implement the following technical controls:.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A.5.3-18</t>
        </is>
      </c>
      <c r="B5" s="23" t="inlineStr">
        <is>
          <t>Role-Based Access Control (Rbac): Roles</t>
        </is>
      </c>
      <c r="C5" s="24" t="inlineStr">
        <is>
          <t>Role-based access control (RBAC): Roles shall be defined in the identity provider or application to enforce duty separation. Conflicting roles shall be documented as mutually exclusive.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A.5.3-19</t>
        </is>
      </c>
      <c r="B6" s="23" t="inlineStr">
        <is>
          <t>Mutual Exclusion Constraints: The Access</t>
        </is>
      </c>
      <c r="C6" s="24" t="inlineStr">
        <is>
          <t>Mutual exclusion constraints: The access control system ([Identity Provider / ERP / HR System]) shall prevent a single user from holding conflicting roles simultaneously. Where the system does not natively support mutual exclusion, a manual review shall be conducted at every access provisioning event.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A.5.3-20</t>
        </is>
      </c>
      <c r="B7" s="23" t="inlineStr">
        <is>
          <t>Workflow Controls: Multi-Step Business</t>
        </is>
      </c>
      <c r="C7" s="24" t="inlineStr">
        <is>
          <t>Workflow controls: Multi-step business processes shall require different authorised individuals at each approval stage. Self-approval shall be technically blocked where feasible and prohibited by policy in all cases.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A.5.3-21</t>
        </is>
      </c>
      <c r="B8" s="23" t="inlineStr">
        <is>
          <t>Privileged Access Management: Privileged</t>
        </is>
      </c>
      <c r="C8" s="24" t="inlineStr">
        <is>
          <t>Privileged access management: Privileged accounts shall be separate from standard accounts. No individual shall approve their own elevated access requests.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A.5.3-22</t>
        </is>
      </c>
      <c r="B9" s="23" t="inlineStr">
        <is>
          <t>Automated Systems: Mutual Exclusion</t>
        </is>
      </c>
      <c r="C9" s="24" t="inlineStr">
        <is>
          <t>Automated systems: Mutual exclusion constraints shall be tested annually by attempting to assign conflicting roles to a test user and verifying the system blocks the assignment. Test results documented.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A.5.3-23</t>
        </is>
      </c>
      <c r="B10" s="23" t="inlineStr">
        <is>
          <t>Manual Review Systems: Access</t>
        </is>
      </c>
      <c r="C10" s="24" t="inlineStr">
        <is>
          <t>Manual review systems: Access provisioning checklists shall include SoD conflict check with documented verification before access grant. Provisioner shall reference SoD matrix and confirm no conflicts.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A.5.3-24</t>
        </is>
      </c>
      <c r="B11" s="23" t="inlineStr">
        <is>
          <t>Quarterly Access Review: All User Role</t>
        </is>
      </c>
      <c r="C11" s="24" t="inlineStr">
        <is>
          <t>Quarterly access review: All user role assignments shall be compared against SoD matrix to detect any conflicts that bypassed provisioning controls. Findings resolved within 30 calendar days.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A.5.3-25</t>
        </is>
      </c>
      <c r="B12" s="23" t="inlineStr">
        <is>
          <t>Immutable Logging: All Activities In</t>
        </is>
      </c>
      <c r="C12" s="24" t="inlineStr">
        <is>
          <t>Immutable logging: All activities in segregated processes shall be logged to a centralised logging platform ([SIEM] or equivalent) that the process participants cannot modify or delete.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A.5.3-26</t>
        </is>
      </c>
      <c r="B13" s="23" t="inlineStr">
        <is>
          <t>Actor Identification: Logs</t>
        </is>
      </c>
      <c r="C13" s="24" t="inlineStr">
        <is>
          <t>Actor identification: Logs shall clearly identify the individual performing each action at every stage of the process.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A.5.3-27</t>
        </is>
      </c>
      <c r="B14" s="23" t="inlineStr">
        <is>
          <t>Timestamp And Action Recording: All</t>
        </is>
      </c>
      <c r="C14" s="24" t="inlineStr">
        <is>
          <t>Timestamp and action recording: All approvals, modifications, and process completions shall be recorded with accurate timestamps.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A.5.3-28</t>
        </is>
      </c>
      <c r="B15" s="23" t="inlineStr">
        <is>
          <t>Log Protection: Audit Logs</t>
        </is>
      </c>
      <c r="C15" s="24" t="inlineStr">
        <is>
          <t>Log protection: Audit logs shall be protected against modification or deletion per the Logging and Monitoring Policy. Acceptable implementations include write-once storage, restricted administrator access with separate log reviewer, retention locks, or centralised log aggregation with integrity verification.</t>
        </is>
      </c>
      <c r="D15" s="25" t="n"/>
      <c r="E15" s="5" t="n"/>
      <c r="F15" s="5" t="n"/>
      <c r="G15" s="26" t="n"/>
      <c r="H15" s="5" t="n"/>
    </row>
  </sheetData>
  <mergeCells count="2">
    <mergeCell ref="A2:H2"/>
    <mergeCell ref="A1:H1"/>
  </mergeCells>
  <conditionalFormatting sqref="D4:D1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Exception Management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A.5.3-29</t>
        </is>
      </c>
      <c r="B4" s="23" t="inlineStr">
        <is>
          <t>Exceptions To Segregation Requirements</t>
        </is>
      </c>
      <c r="C4" s="24" t="inlineStr">
        <is>
          <t>Exceptions to segregation requirements shall be managed through a formal process. Self-approval of segregation exceptions is never permitted.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A.5.3-30</t>
        </is>
      </c>
      <c r="B5" s="23" t="inlineStr">
        <is>
          <t>Full Review Within 24 Hours Of</t>
        </is>
      </c>
      <c r="C5" s="24" t="inlineStr">
        <is>
          <t>Full review within 24 hours of exception end — the CISO or delegate shall verify that compensating controls were effective and no irregularities occurred. Review sign-off documented.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A.5.3-31</t>
        </is>
      </c>
      <c r="B6" s="23" t="inlineStr">
        <is>
          <t>Emergency Exception Log*: All Emergency</t>
        </is>
      </c>
      <c r="C6" s="24" t="inlineStr">
        <is>
          <t>Emergency exception log*: All emergency exceptions shall be logged in the Exception Register with 'Emergency' flag.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A.5.3-32</t>
        </is>
      </c>
      <c r="B7" s="23" t="inlineStr">
        <is>
          <t>The Following Exceptions</t>
        </is>
      </c>
      <c r="C7" s="24" t="inlineStr">
        <is>
          <t>The following exceptions shall not be granted under any circumstances:.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A.5.3-33</t>
        </is>
      </c>
      <c r="B8" s="23" t="inlineStr">
        <is>
          <t>Be Recorded In The Exception Register</t>
        </is>
      </c>
      <c r="C8" s="24" t="inlineStr">
        <is>
          <t>All exceptions shall be recorded in the Exception Register maintained in [GRC Tool] or equivalent. Each record shall include:.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A.5.3-34</t>
        </is>
      </c>
      <c r="B9" s="23" t="inlineStr">
        <is>
          <t>The Ciso</t>
        </is>
      </c>
      <c r="C9" s="24" t="inlineStr">
        <is>
          <t>The CISO shall review the Exception Register monthly and report active exceptions to Executive Management quarterly.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SoD Matrix Maintenance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A.5.3-35</t>
        </is>
      </c>
      <c r="B4" s="23" t="inlineStr">
        <is>
          <t>The Organisational Sod Matrix</t>
        </is>
      </c>
      <c r="C4" s="24" t="inlineStr">
        <is>
          <t>The organisational SoD matrix shall be reviewed and updated annually. The review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A.5.3-36</t>
        </is>
      </c>
      <c r="B5" s="23" t="inlineStr">
        <is>
          <t>It Operations</t>
        </is>
      </c>
      <c r="C5" s="24" t="inlineStr">
        <is>
          <t>IT Operations shall generate access reports quarterly from the identity provider and application access systems. The CISO shall compare these reports against the SoD matrix to verify:.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A.5.3-37</t>
        </is>
      </c>
      <c r="B6" s="23" t="inlineStr">
        <is>
          <t>Be Documented And Conflicts Resolved</t>
        </is>
      </c>
      <c r="C6" s="24" t="inlineStr">
        <is>
          <t>Findings shall be documented and conflicts resolved within 30 calendar days of discovery.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A.5.3-38</t>
        </is>
      </c>
      <c r="B4" s="23" t="inlineStr">
        <is>
          <t>The Following Metrics</t>
        </is>
      </c>
      <c r="C4" s="24" t="inlineStr">
        <is>
          <t>The following metrics shall be tracked and reported to the CISO quarterly:.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A.5.3-39</t>
        </is>
      </c>
      <c r="B5" s="23" t="inlineStr">
        <is>
          <t>Metrics Breaching Red Thresholds</t>
        </is>
      </c>
      <c r="C5" s="24" t="inlineStr">
        <is>
          <t>Metrics breaching red thresholds shall be escalated to the CISO for immediate attention and reported at the next Management Review.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2026-02-08T10:04:08Z</dcterms:created>
  <dcterms:modified xmlns:dcterms="http://purl.org/dc/terms/" xmlns:xsi="http://www.w3.org/2001/XMLSchema-instance" xsi:type="dcterms:W3CDTF">2026-02-08T10:04:08Z</dcterms:modified>
</cp:coreProperties>
</file>