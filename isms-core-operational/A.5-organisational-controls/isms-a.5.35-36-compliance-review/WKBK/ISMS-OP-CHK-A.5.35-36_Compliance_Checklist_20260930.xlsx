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udit Programme" sheetId="3" state="visible" r:id="rId3"/>
    <sheet xmlns:r="http://schemas.openxmlformats.org/officeDocument/2006/relationships" name="Independent Review of Info Sec" sheetId="4" state="visible" r:id="rId4"/>
    <sheet xmlns:r="http://schemas.openxmlformats.org/officeDocument/2006/relationships" name="Finding Severity Classification" sheetId="5" state="visible" r:id="rId5"/>
    <sheet xmlns:r="http://schemas.openxmlformats.org/officeDocument/2006/relationships" name="Corrective Action &amp; Remediation" sheetId="6" state="visible" r:id="rId6"/>
    <sheet xmlns:r="http://schemas.openxmlformats.org/officeDocument/2006/relationships" name="Compliance Verification" sheetId="7" state="visible" r:id="rId7"/>
    <sheet xmlns:r="http://schemas.openxmlformats.org/officeDocument/2006/relationships" name="Non-Conformity Management" sheetId="8" state="visible" r:id="rId8"/>
    <sheet xmlns:r="http://schemas.openxmlformats.org/officeDocument/2006/relationships" name="Risk Acceptance" sheetId="9" state="visible" r:id="rId9"/>
    <sheet xmlns:r="http://schemas.openxmlformats.org/officeDocument/2006/relationships" name="Compl Metrics and Reporting" sheetId="10" state="visible" r:id="rId10"/>
    <sheet xmlns:r="http://schemas.openxmlformats.org/officeDocument/2006/relationships" name="Improvement Inputs" sheetId="11" state="visible" r:id="rId11"/>
  </sheets>
  <definedNames>
    <definedName name="_xlnm.Print_Area" localSheetId="0">'Executive Summary'!$A$1:$H$69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ISMS-OP-CHK-A.5.35-36 — Independent Review and Compliance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ISMS-OP-CHK-A.5.35-36</t>
        </is>
      </c>
    </row>
    <row r="5">
      <c r="A5" s="3" t="inlineStr">
        <is>
          <t>Source Policy</t>
        </is>
      </c>
      <c r="B5" s="4" t="inlineStr">
        <is>
          <t>ISMS-OP-POL-A.5.35-36</t>
        </is>
      </c>
    </row>
    <row r="6">
      <c r="A6" s="3" t="inlineStr">
        <is>
          <t>ISO Controls</t>
        </is>
      </c>
      <c r="B6" s="4" t="inlineStr">
        <is>
          <t>Independent Review and Compliance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'Dashboard'!G13</f>
        <v/>
      </c>
    </row>
    <row r="14">
      <c r="A14" s="7" t="inlineStr">
        <is>
          <t>Status</t>
        </is>
      </c>
      <c r="B14" s="9">
        <f>IF(Dashboard!H13&gt;0,"INCOMPLETE",IF(Dashboard!G13="N/A","NOT ASSESSED",IF(ISNUMBER(VALUE(SUBSTITUTE(Dashboard!G13,"%",""))),IF(VALUE(SUBSTITUTE(Dashboard!G13,"%",""))&gt;=90,"GREEN",IF(VALUE(SUBSTITUTE(Dashboard!G13,"%",""))&gt;=70,"AMBER","RED")),"NOT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'Dashboard'!B13</f>
        <v/>
      </c>
    </row>
    <row r="18">
      <c r="A18" s="3" t="inlineStr">
        <is>
          <t>Compliant</t>
        </is>
      </c>
      <c r="B18" s="10">
        <f>'Dashboard'!C13</f>
        <v/>
      </c>
    </row>
    <row r="19">
      <c r="A19" s="3" t="inlineStr">
        <is>
          <t>Partial</t>
        </is>
      </c>
      <c r="B19" s="10">
        <f>'Dashboard'!D13</f>
        <v/>
      </c>
    </row>
    <row r="20">
      <c r="A20" s="3" t="inlineStr">
        <is>
          <t>Non-Compliant</t>
        </is>
      </c>
      <c r="B20" s="10">
        <f>'Dashboard'!E13</f>
        <v/>
      </c>
    </row>
    <row r="21">
      <c r="A21" s="3" t="inlineStr">
        <is>
          <t>Not Applicable</t>
        </is>
      </c>
      <c r="B21" s="10">
        <f>'Dashboard'!F13</f>
        <v/>
      </c>
    </row>
    <row r="22">
      <c r="A22" s="3" t="inlineStr">
        <is>
          <t>Unanswered</t>
        </is>
      </c>
      <c r="B22" s="10">
        <f>'Dashboard'!H13</f>
        <v/>
      </c>
    </row>
    <row r="23">
      <c r="A23" s="3" t="inlineStr">
        <is>
          <t>Owner Coverage</t>
        </is>
      </c>
      <c r="B23" s="10">
        <f>IF(Dashboard!B13=0,"N/A",ROUND((COUNTA('Audit Programme'!F4:F14)+COUNTA('Independent Review of Info Sec'!F4:F23)+COUNTA('Finding Severity Classification'!F4:F4)+COUNTA('Corrective Action &amp; Remediation'!F4:F7)+COUNTA('Compliance Verification'!F4:F8)+COUNTA('Non-Conformity Management'!F4:F9)+COUNTA('Risk Acceptance'!F4:F6)+COUNTA('Compl Metrics and Reporting'!F4:F6)+COUNTA('Improvement Inputs'!F4:F6))/Dashboard!B13*100,0)&amp;"%")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Audit Programme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Independent Review of Info Sec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Finding Severity Classification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Corrective Action &amp; Remediation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Compliance Verification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Non-Conformity Management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Risk Acceptance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4">
      <c r="A34" s="4" t="inlineStr">
        <is>
          <t>Compl Metrics and Reporting</t>
        </is>
      </c>
      <c r="B34" s="4">
        <f>'Dashboard'!G11</f>
        <v/>
      </c>
      <c r="C34" s="4">
        <f>'Dashboard'!C11</f>
        <v/>
      </c>
      <c r="D34" s="4">
        <f>'Dashboard'!E11</f>
        <v/>
      </c>
      <c r="E34" s="4">
        <f>IF(Dashboard!H11&gt;0,"INCOMPLETE",IF(Dashboard!G11="N/A","--",IF(ISNUMBER(VALUE(SUBSTITUTE(Dashboard!G11,"%",""))),IF(VALUE(SUBSTITUTE(Dashboard!G11,"%",""))&gt;=90,"PASS",IF(VALUE(SUBSTITUTE(Dashboard!G11,"%",""))&gt;=70,"REVIEW","FAIL")),"--")))</f>
        <v/>
      </c>
    </row>
    <row r="35">
      <c r="A35" s="4" t="inlineStr">
        <is>
          <t>Improvement Inputs</t>
        </is>
      </c>
      <c r="B35" s="4">
        <f>'Dashboard'!G12</f>
        <v/>
      </c>
      <c r="C35" s="4">
        <f>'Dashboard'!C12</f>
        <v/>
      </c>
      <c r="D35" s="4">
        <f>'Dashboard'!E12</f>
        <v/>
      </c>
      <c r="E35" s="4">
        <f>IF(Dashboard!H12&gt;0,"INCOMPLETE",IF(Dashboard!G12="N/A","--",IF(ISNUMBER(VALUE(SUBSTITUTE(Dashboard!G12,"%",""))),IF(VALUE(SUBSTITUTE(Dashboard!G12,"%",""))&gt;=90,"PASS",IF(VALUE(SUBSTITUTE(Dashboard!G12,"%",""))&gt;=70,"REVIEW","FAIL")),"--")))</f>
        <v/>
      </c>
    </row>
    <row r="37">
      <c r="A37" s="6" t="inlineStr">
        <is>
          <t>CRITICAL ISSUES</t>
        </is>
      </c>
    </row>
    <row r="38">
      <c r="A38" s="11" t="inlineStr">
        <is>
          <t>#</t>
        </is>
      </c>
      <c r="B38" s="11" t="inlineStr">
        <is>
          <t>Issue Description</t>
        </is>
      </c>
      <c r="C38" s="11" t="inlineStr">
        <is>
          <t>Domain</t>
        </is>
      </c>
      <c r="D38" s="11" t="inlineStr">
        <is>
          <t>Owner</t>
        </is>
      </c>
      <c r="E38" s="11" t="inlineStr">
        <is>
          <t>Due Date</t>
        </is>
      </c>
    </row>
    <row r="39">
      <c r="A39" s="4" t="n">
        <v>1</v>
      </c>
      <c r="B39" s="5" t="n"/>
      <c r="C39" s="5" t="n"/>
      <c r="D39" s="5" t="n"/>
      <c r="E39" s="5" t="n"/>
    </row>
    <row r="40">
      <c r="A40" s="4" t="n">
        <v>2</v>
      </c>
      <c r="B40" s="5" t="n"/>
      <c r="C40" s="5" t="n"/>
      <c r="D40" s="5" t="n"/>
      <c r="E40" s="5" t="n"/>
    </row>
    <row r="41">
      <c r="A41" s="4" t="n">
        <v>3</v>
      </c>
      <c r="B41" s="5" t="n"/>
      <c r="C41" s="5" t="n"/>
      <c r="D41" s="5" t="n"/>
      <c r="E41" s="5" t="n"/>
    </row>
    <row r="42">
      <c r="A42" s="4" t="n">
        <v>4</v>
      </c>
      <c r="B42" s="5" t="n"/>
      <c r="C42" s="5" t="n"/>
      <c r="D42" s="5" t="n"/>
      <c r="E42" s="5" t="n"/>
    </row>
    <row r="43">
      <c r="A43" s="4" t="n">
        <v>5</v>
      </c>
      <c r="B43" s="5" t="n"/>
      <c r="C43" s="5" t="n"/>
      <c r="D43" s="5" t="n"/>
      <c r="E43" s="5" t="n"/>
    </row>
    <row r="45">
      <c r="A45" s="6" t="inlineStr">
        <is>
          <t>MANAGEMENT COMMENTARY</t>
        </is>
      </c>
    </row>
    <row r="46" ht="60" customHeight="1">
      <c r="A46" s="12" t="inlineStr">
        <is>
          <t>[Enter management commentary on independent review and compliance posture]</t>
        </is>
      </c>
    </row>
    <row r="47"/>
    <row r="48"/>
    <row r="50">
      <c r="A50" s="6" t="inlineStr">
        <is>
          <t>APPROVAL</t>
        </is>
      </c>
    </row>
    <row r="51">
      <c r="A51" s="13" t="inlineStr">
        <is>
          <t>Assessed By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Reviewed By (ISO Manager)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  <row r="63">
      <c r="A63" s="13" t="inlineStr">
        <is>
          <t>Approved By (CISO)</t>
        </is>
      </c>
    </row>
    <row r="64">
      <c r="A64" s="14" t="inlineStr">
        <is>
          <t>Name:</t>
        </is>
      </c>
      <c r="B64" s="5" t="n"/>
    </row>
    <row r="65">
      <c r="A65" s="14" t="inlineStr">
        <is>
          <t>Date:</t>
        </is>
      </c>
      <c r="B65" s="5" t="n"/>
    </row>
    <row r="66">
      <c r="A66" s="14" t="inlineStr">
        <is>
          <t>Signature:</t>
        </is>
      </c>
      <c r="B66" s="5" t="n"/>
    </row>
    <row r="67">
      <c r="A67" s="14" t="inlineStr">
        <is>
          <t>Decision:</t>
        </is>
      </c>
      <c r="B67" s="5" t="n"/>
    </row>
  </sheetData>
  <mergeCells count="12">
    <mergeCell ref="A12:H12"/>
    <mergeCell ref="A45:H45"/>
    <mergeCell ref="A50:H50"/>
    <mergeCell ref="A25:H25"/>
    <mergeCell ref="A57:B57"/>
    <mergeCell ref="A16:H16"/>
    <mergeCell ref="A51:B51"/>
    <mergeCell ref="A63:B63"/>
    <mergeCell ref="A46:H48"/>
    <mergeCell ref="A1:H1"/>
    <mergeCell ref="A37:H37"/>
    <mergeCell ref="A3:B3"/>
  </mergeCells>
  <dataValidations count="1">
    <dataValidation sqref="B55 B61 B67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Independent Review and Compliance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Audit Programme</t>
        </is>
      </c>
      <c r="B4" s="15">
        <f>COUNTA('Audit Programme'!A4:A14)</f>
        <v/>
      </c>
      <c r="C4" s="15">
        <f>COUNTIF('Audit Programme'!D4:D14,"Compliant")</f>
        <v/>
      </c>
      <c r="D4" s="15">
        <f>COUNTIF('Audit Programme'!D4:D14,"Partial")</f>
        <v/>
      </c>
      <c r="E4" s="15">
        <f>COUNTIF('Audit Programme'!D4:D14,"Non-Compliant")</f>
        <v/>
      </c>
      <c r="F4" s="15">
        <f>COUNTIF('Audit Programme'!D4:D14,"N/A")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Independent Review of Info Sec</t>
        </is>
      </c>
      <c r="B5" s="15">
        <f>COUNTA('Independent Review of Info Sec'!A4:A23)</f>
        <v/>
      </c>
      <c r="C5" s="15">
        <f>COUNTIF('Independent Review of Info Sec'!D4:D23,"Compliant")</f>
        <v/>
      </c>
      <c r="D5" s="15">
        <f>COUNTIF('Independent Review of Info Sec'!D4:D23,"Partial")</f>
        <v/>
      </c>
      <c r="E5" s="15">
        <f>COUNTIF('Independent Review of Info Sec'!D4:D23,"Non-Compliant")</f>
        <v/>
      </c>
      <c r="F5" s="15">
        <f>COUNTIF('Independent Review of Info Sec'!D4:D23,"N/A")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Finding Severity Classification</t>
        </is>
      </c>
      <c r="B6" s="15">
        <f>COUNTA('Finding Severity Classification'!A4:A4)</f>
        <v/>
      </c>
      <c r="C6" s="15">
        <f>COUNTIF('Finding Severity Classification'!D4:D4,"Compliant")</f>
        <v/>
      </c>
      <c r="D6" s="15">
        <f>COUNTIF('Finding Severity Classification'!D4:D4,"Partial")</f>
        <v/>
      </c>
      <c r="E6" s="15">
        <f>COUNTIF('Finding Severity Classification'!D4:D4,"Non-Compliant")</f>
        <v/>
      </c>
      <c r="F6" s="15">
        <f>COUNTIF('Finding Severity Classification'!D4:D4,"N/A")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Corrective Action &amp; Remediation</t>
        </is>
      </c>
      <c r="B7" s="15">
        <f>COUNTA('Corrective Action &amp; Remediation'!A4:A7)</f>
        <v/>
      </c>
      <c r="C7" s="15">
        <f>COUNTIF('Corrective Action &amp; Remediation'!D4:D7,"Compliant")</f>
        <v/>
      </c>
      <c r="D7" s="15">
        <f>COUNTIF('Corrective Action &amp; Remediation'!D4:D7,"Partial")</f>
        <v/>
      </c>
      <c r="E7" s="15">
        <f>COUNTIF('Corrective Action &amp; Remediation'!D4:D7,"Non-Compliant")</f>
        <v/>
      </c>
      <c r="F7" s="15">
        <f>COUNTIF('Corrective Action &amp; Remediation'!D4:D7,"N/A")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Compliance Verification</t>
        </is>
      </c>
      <c r="B8" s="15">
        <f>COUNTA('Compliance Verification'!A4:A8)</f>
        <v/>
      </c>
      <c r="C8" s="15">
        <f>COUNTIF('Compliance Verification'!D4:D8,"Compliant")</f>
        <v/>
      </c>
      <c r="D8" s="15">
        <f>COUNTIF('Compliance Verification'!D4:D8,"Partial")</f>
        <v/>
      </c>
      <c r="E8" s="15">
        <f>COUNTIF('Compliance Verification'!D4:D8,"Non-Compliant")</f>
        <v/>
      </c>
      <c r="F8" s="15">
        <f>COUNTIF('Compliance Verification'!D4:D8,"N/A")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Non-Conformity Management</t>
        </is>
      </c>
      <c r="B9" s="15">
        <f>COUNTA('Non-Conformity Management'!A4:A9)</f>
        <v/>
      </c>
      <c r="C9" s="15">
        <f>COUNTIF('Non-Conformity Management'!D4:D9,"Compliant")</f>
        <v/>
      </c>
      <c r="D9" s="15">
        <f>COUNTIF('Non-Conformity Management'!D4:D9,"Partial")</f>
        <v/>
      </c>
      <c r="E9" s="15">
        <f>COUNTIF('Non-Conformity Management'!D4:D9,"Non-Compliant")</f>
        <v/>
      </c>
      <c r="F9" s="15">
        <f>COUNTIF('Non-Conformity Management'!D4:D9,"N/A")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Risk Acceptance</t>
        </is>
      </c>
      <c r="B10" s="15">
        <f>COUNTA('Risk Acceptance'!A4:A6)</f>
        <v/>
      </c>
      <c r="C10" s="15">
        <f>COUNTIF('Risk Acceptance'!D4:D6,"Compliant")</f>
        <v/>
      </c>
      <c r="D10" s="15">
        <f>COUNTIF('Risk Acceptance'!D4:D6,"Partial")</f>
        <v/>
      </c>
      <c r="E10" s="15">
        <f>COUNTIF('Risk Acceptance'!D4:D6,"Non-Compliant")</f>
        <v/>
      </c>
      <c r="F10" s="15">
        <f>COUNTIF('Risk Acceptance'!D4:D6,"N/A")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3" t="inlineStr">
        <is>
          <t>Compl Metrics and Reporting</t>
        </is>
      </c>
      <c r="B11" s="15">
        <f>COUNTA('Compl Metrics and Reporting'!A4:A6)</f>
        <v/>
      </c>
      <c r="C11" s="15">
        <f>COUNTIF('Compl Metrics and Reporting'!D4:D6,"Compliant")</f>
        <v/>
      </c>
      <c r="D11" s="15">
        <f>COUNTIF('Compl Metrics and Reporting'!D4:D6,"Partial")</f>
        <v/>
      </c>
      <c r="E11" s="15">
        <f>COUNTIF('Compl Metrics and Reporting'!D4:D6,"Non-Compliant")</f>
        <v/>
      </c>
      <c r="F11" s="15">
        <f>COUNTIF('Compl Metrics and Reporting'!D4:D6,"N/A")</f>
        <v/>
      </c>
      <c r="G11" s="15">
        <f>IF((B11-F11)=0,"N/A",ROUND(C11/(B11-F11)*100,1)&amp;"%")</f>
        <v/>
      </c>
      <c r="H11" s="15">
        <f>B11-(C11+D11+E11+F11)</f>
        <v/>
      </c>
    </row>
    <row r="12">
      <c r="A12" s="3" t="inlineStr">
        <is>
          <t>Improvement Inputs</t>
        </is>
      </c>
      <c r="B12" s="15">
        <f>COUNTA('Improvement Inputs'!A4:A6)</f>
        <v/>
      </c>
      <c r="C12" s="15">
        <f>COUNTIF('Improvement Inputs'!D4:D6,"Compliant")</f>
        <v/>
      </c>
      <c r="D12" s="15">
        <f>COUNTIF('Improvement Inputs'!D4:D6,"Partial")</f>
        <v/>
      </c>
      <c r="E12" s="15">
        <f>COUNTIF('Improvement Inputs'!D4:D6,"Non-Compliant")</f>
        <v/>
      </c>
      <c r="F12" s="15">
        <f>COUNTIF('Improvement Inputs'!D4:D6,"N/A")</f>
        <v/>
      </c>
      <c r="G12" s="15">
        <f>IF((B12-F12)=0,"N/A",ROUND(C12/(B12-F12)*100,1)&amp;"%")</f>
        <v/>
      </c>
      <c r="H12" s="15">
        <f>B12-(C12+D12+E12+F12)</f>
        <v/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IF((B13-F13)=0,"N/A",ROUND(C13/(B13-F13)*100,1)&amp;"%")</f>
        <v/>
      </c>
      <c r="H13" s="16">
        <f>SUM(H4:H12)</f>
        <v/>
      </c>
    </row>
    <row r="15">
      <c r="A15" s="6" t="inlineStr">
        <is>
          <t>COMPLIANCE BY STATUS</t>
        </is>
      </c>
    </row>
    <row r="16">
      <c r="A16" s="3" t="inlineStr">
        <is>
          <t>Compliant</t>
        </is>
      </c>
      <c r="B16" s="17">
        <f>C13</f>
        <v/>
      </c>
      <c r="C16" s="4">
        <f>IF(B13=0,"",ROUND(B16/B13*100,1)&amp;"%")</f>
        <v/>
      </c>
    </row>
    <row r="17">
      <c r="A17" s="3" t="inlineStr">
        <is>
          <t>Partial</t>
        </is>
      </c>
      <c r="B17" s="18">
        <f>D13</f>
        <v/>
      </c>
      <c r="C17" s="4">
        <f>IF(B13=0,"",ROUND(B17/B13*100,1)&amp;"%")</f>
        <v/>
      </c>
    </row>
    <row r="18">
      <c r="A18" s="3" t="inlineStr">
        <is>
          <t>Non-Compliant</t>
        </is>
      </c>
      <c r="B18" s="19">
        <f>E13</f>
        <v/>
      </c>
      <c r="C18" s="4">
        <f>IF(B13=0,"",ROUND(B18/B13*100,1)&amp;"%")</f>
        <v/>
      </c>
    </row>
    <row r="19">
      <c r="A19" s="3" t="inlineStr">
        <is>
          <t>N/A</t>
        </is>
      </c>
      <c r="B19" s="20">
        <f>F13</f>
        <v/>
      </c>
      <c r="C19" s="4">
        <f>IF(B13=0,"",ROUND(B19/B13*100,1)&amp;"%")</f>
        <v/>
      </c>
    </row>
    <row r="21">
      <c r="A21" s="6" t="inlineStr">
        <is>
          <t>TOP GAPS (Manual Entry)</t>
        </is>
      </c>
    </row>
    <row r="22">
      <c r="A22" s="11" t="inlineStr">
        <is>
          <t>Priority</t>
        </is>
      </c>
      <c r="B22" s="11" t="inlineStr">
        <is>
          <t>Domain</t>
        </is>
      </c>
      <c r="C22" s="11" t="inlineStr">
        <is>
          <t>Requirement</t>
        </is>
      </c>
      <c r="D22" s="11" t="inlineStr">
        <is>
          <t>Owner</t>
        </is>
      </c>
      <c r="E22" s="11" t="inlineStr">
        <is>
          <t>Due Date</t>
        </is>
      </c>
      <c r="F22" s="11" t="inlineStr">
        <is>
          <t>Status</t>
        </is>
      </c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4">
      <c r="A34" s="6" t="inlineStr">
        <is>
          <t>COMPLIANCE TREND (Manual Entry)</t>
        </is>
      </c>
    </row>
    <row r="35">
      <c r="A35" s="11" t="inlineStr">
        <is>
          <t>Assessment Date</t>
        </is>
      </c>
      <c r="B35" s="11" t="inlineStr">
        <is>
          <t>Overall %</t>
        </is>
      </c>
      <c r="C35" s="11" t="inlineStr">
        <is>
          <t>Compliant</t>
        </is>
      </c>
      <c r="D35" s="11" t="inlineStr">
        <is>
          <t>Gaps</t>
        </is>
      </c>
      <c r="E35" s="11" t="inlineStr">
        <is>
          <t>Assessor</t>
        </is>
      </c>
      <c r="F35" s="11" t="inlineStr">
        <is>
          <t>Notes</t>
        </is>
      </c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</sheetData>
  <mergeCells count="4">
    <mergeCell ref="A34:G34"/>
    <mergeCell ref="A21:G21"/>
    <mergeCell ref="A1:G1"/>
    <mergeCell ref="A15:G15"/>
  </mergeCells>
  <dataValidations count="1">
    <dataValidation sqref="F23 F24 F25 F26 F27 F28 F29 F30 F31 F32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Audit Programme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A.5.35-36-01</t>
        </is>
      </c>
      <c r="B4" s="23" t="inlineStr">
        <is>
          <t>Internal Audits</t>
        </is>
      </c>
      <c r="C4" s="24" t="inlineStr">
        <is>
          <t>Internal audits shall be conducted to assess the effectiveness of the information security management system and the controls documented in the Statement of Applicability.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A.5.35-36-02</t>
        </is>
      </c>
      <c r="B5" s="23" t="inlineStr">
        <is>
          <t>Internal Audits</t>
        </is>
      </c>
      <c r="C5" s="24" t="inlineStr">
        <is>
          <t>Internal audits shall be planned annually, based on risk and business need, ensuring all ISMS areas are covered over the [specify: 1-year / 3-year] audit cycle.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A.5.35-36-03</t>
        </is>
      </c>
      <c r="B6" s="23" t="inlineStr">
        <is>
          <t>Annual Audit Programme</t>
        </is>
      </c>
      <c r="C6" s="24" t="inlineStr">
        <is>
          <t>Annual audit programme shall prioritise:.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A.5.35-36-04</t>
        </is>
      </c>
      <c r="B7" s="23" t="inlineStr">
        <is>
          <t>The Annual Audit Plan</t>
        </is>
      </c>
      <c r="C7" s="24" t="inlineStr">
        <is>
          <t>The annual audit plan shall be approved by the Management Review Team by [month, e.g., December] for the following year.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A.5.35-36-05</t>
        </is>
      </c>
      <c r="B8" s="23" t="inlineStr">
        <is>
          <t>Internal Audits</t>
        </is>
      </c>
      <c r="C8" s="24" t="inlineStr">
        <is>
          <t>Internal audits shall be conducted by individuals independent of the area being audited (i.e., auditors shall not audit their own work).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A.5.35-36-06</t>
        </is>
      </c>
      <c r="B9" s="23" t="inlineStr">
        <is>
          <t>Internal Audit Results</t>
        </is>
      </c>
      <c r="C9" s="24" t="inlineStr">
        <is>
          <t>Internal audit results shall be reported to and overseen by the Management Review Team.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A.5.35-36-07</t>
        </is>
      </c>
      <c r="B10" s="23" t="inlineStr">
        <is>
          <t>External Certification Audits</t>
        </is>
      </c>
      <c r="C10" s="24" t="inlineStr">
        <is>
          <t>External certification audits shall be conducted to assess the effectiveness of the information security management system and the controls documented in the Statement of Applicability.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A.5.35-36-08</t>
        </is>
      </c>
      <c r="B11" s="23" t="inlineStr">
        <is>
          <t>External Certification Audits</t>
        </is>
      </c>
      <c r="C11" s="24" t="inlineStr">
        <is>
          <t>External certification audits shall be conducted per the certification body's requirements and schedule.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A.5.35-36-09</t>
        </is>
      </c>
      <c r="B12" s="23" t="inlineStr">
        <is>
          <t>External Audit Results</t>
        </is>
      </c>
      <c r="C12" s="24" t="inlineStr">
        <is>
          <t>External audit results shall be reported to and overseen by the Management Review Team.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A.5.35-36-10</t>
        </is>
      </c>
      <c r="B13" s="23" t="inlineStr">
        <is>
          <t>Client And Third-Party Audits</t>
        </is>
      </c>
      <c r="C13" s="24" t="inlineStr">
        <is>
          <t>Client and third-party audits shall be conducted subject to a contract and/or non-disclosure agreement being in place.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A.5.35-36-11</t>
        </is>
      </c>
      <c r="B14" s="23" t="inlineStr">
        <is>
          <t>Be Reported To And Overseen By</t>
        </is>
      </c>
      <c r="C14" s="24" t="inlineStr">
        <is>
          <t>Results shall be reported to and overseen by the Management Review Team.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Independent Review of Info Sec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A.5.35-36-12</t>
        </is>
      </c>
      <c r="B4" s="23" t="inlineStr">
        <is>
          <t>Independent Reviews Of The</t>
        </is>
      </c>
      <c r="C4" s="24" t="inlineStr">
        <is>
          <t>Independent reviews of the organisation's approach to managing information security shall be conducted:.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A.5.35-36-13</t>
        </is>
      </c>
      <c r="B5" s="23" t="inlineStr">
        <is>
          <t>Be Conducted By Persons Independent Of</t>
        </is>
      </c>
      <c r="C5" s="24" t="inlineStr">
        <is>
          <t>Reviews shall be conducted by persons independent of the area being reviewed to prevent 'marking your own homework.' Independence may be achieved through:.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A.5.35-36-14</t>
        </is>
      </c>
      <c r="B6" s="23" t="inlineStr">
        <is>
          <t>Possess Appropriate Competence To</t>
        </is>
      </c>
      <c r="C6" s="24" t="inlineStr">
        <is>
          <t>Reviewers shall possess appropriate competence to conduct information security reviews, demonstrated through:.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A.5.35-36-15</t>
        </is>
      </c>
      <c r="B7" s="23" t="inlineStr">
        <is>
          <t>Reviewer Qualifications</t>
        </is>
      </c>
      <c r="C7" s="24" t="inlineStr">
        <is>
          <t>Reviewer qualifications shall be verified and documented before assignment to review activities.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A.5.35-36-16</t>
        </is>
      </c>
      <c r="B8" s="23" t="inlineStr">
        <is>
          <t>Independent Reviews</t>
        </is>
      </c>
      <c r="C8" s="24" t="inlineStr">
        <is>
          <t>Independent reviews shall assess whether the organisation's information security approach:.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A.5.35-36-17</t>
        </is>
      </c>
      <c r="B9" s="23" t="inlineStr">
        <is>
          <t>Review'S Scope</t>
        </is>
      </c>
      <c r="C9" s="24" t="inlineStr">
        <is>
          <t>Each review's scope shall be documented in advance, including: controls and areas to be reviewed, time period covered, review methodology, documentation and evidence requirements, and planned interviews and assessments.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A.5.35-36-18</t>
        </is>
      </c>
      <c r="B10" s="23" t="inlineStr">
        <is>
          <t>Independent Reviews</t>
        </is>
      </c>
      <c r="C10" s="24" t="inlineStr">
        <is>
          <t>Independent reviews shall follow a documented plan covering objectives, criteria, sampling methodology, timeline, resource requirements, and reporting requirements.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A.5.35-36-19</t>
        </is>
      </c>
      <c r="B11" s="23" t="inlineStr">
        <is>
          <t>Be Evidence-Based. Evidence Collected</t>
        </is>
      </c>
      <c r="C11" s="24" t="inlineStr">
        <is>
          <t>Reviews shall be evidence-based. Evidence collected during reviews shall be retained in the ISMS Evidence Library: [Specify: SharePoint site URL, Confluence space, GRC platform, or equivalent].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A.5.35-36-20</t>
        </is>
      </c>
      <c r="B12" s="23" t="inlineStr">
        <is>
          <t>Evidence Retained</t>
        </is>
      </c>
      <c r="C12" s="24" t="inlineStr">
        <is>
          <t>Evidence retained shall include: documentation reviewed, interview notes, observation records, technical assessment results, and sampling records.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A.5.35-36-21</t>
        </is>
      </c>
      <c r="B13" s="23" t="inlineStr">
        <is>
          <t>Review Findings</t>
        </is>
      </c>
      <c r="C13" s="24" t="inlineStr">
        <is>
          <t>Review findings shall be documented in a formal review report and communicated to appropriate management levels.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A.5.35-36-22</t>
        </is>
      </c>
      <c r="B14" s="23" t="inlineStr">
        <is>
          <t>Audit And Review Activities</t>
        </is>
      </c>
      <c r="C14" s="24" t="inlineStr">
        <is>
          <t>Audit and review activities shall not compromise the security, availability, or integrity of production systems or data (ISO 27001:2022 Control A.8.34).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A.5.35-36-23</t>
        </is>
      </c>
      <c r="B15" s="23" t="inlineStr">
        <is>
          <t>Approved Tools Only: Auditors</t>
        </is>
      </c>
      <c r="C15" s="24" t="inlineStr">
        <is>
          <t>Approved tools only: Auditors shall use pre-approved security assessment tools and scanning software. Approval list maintained by CISO.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A.5.35-36-24</t>
        </is>
      </c>
      <c r="B16" s="23" t="inlineStr">
        <is>
          <t>Change Management: Intrusive Testing</t>
        </is>
      </c>
      <c r="C16" s="24" t="inlineStr">
        <is>
          <t>Change management: Intrusive testing (penetration testing, vulnerability scanning with exploits) shall follow the change management process with risk assessment and rollback plan.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A.5.35-36-25</t>
        </is>
      </c>
      <c r="B17" s="23" t="inlineStr">
        <is>
          <t>Non-Production First: Testing</t>
        </is>
      </c>
      <c r="C17" s="24" t="inlineStr">
        <is>
          <t>Non-production first: Testing shall be performed in non-production environments where feasible; production testing requires CISO approval and business owner acceptance.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A.5.35-36-26</t>
        </is>
      </c>
      <c r="B18" s="23" t="inlineStr">
        <is>
          <t>Time Windows: Testing</t>
        </is>
      </c>
      <c r="C18" s="24" t="inlineStr">
        <is>
          <t>Time windows: Testing shall be scheduled during approved maintenance windows or low-impact periods.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A.5.35-36-27</t>
        </is>
      </c>
      <c r="B19" s="23" t="inlineStr">
        <is>
          <t>Backups Verified: Current Backups</t>
        </is>
      </c>
      <c r="C19" s="24" t="inlineStr">
        <is>
          <t>Backups verified: Current backups shall be verified before intrusive testing.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A.5.35-36-28</t>
        </is>
      </c>
      <c r="B20" s="23" t="inlineStr">
        <is>
          <t>Monitoring: Audit Testing</t>
        </is>
      </c>
      <c r="C20" s="24" t="inlineStr">
        <is>
          <t>Monitoring: Audit testing shall be logged; security monitoring teams notified to reduce false positive alerts.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A.5.35-36-29</t>
        </is>
      </c>
      <c r="B21" s="23" t="inlineStr">
        <is>
          <t>Live Production Data</t>
        </is>
      </c>
      <c r="C21" s="24" t="inlineStr">
        <is>
          <t>Live production data shall not be exported for audit analysis without Data Protection Officer approval and encryption.</t>
        </is>
      </c>
      <c r="D21" s="25" t="n"/>
      <c r="E21" s="5" t="n"/>
      <c r="F21" s="5" t="n"/>
      <c r="G21" s="26" t="n"/>
      <c r="H21" s="5" t="n"/>
    </row>
    <row r="22" ht="40" customHeight="1">
      <c r="A22" s="22" t="inlineStr">
        <is>
          <t>A.5.35-36-30</t>
        </is>
      </c>
      <c r="B22" s="23" t="inlineStr">
        <is>
          <t>Audit Working Papers</t>
        </is>
      </c>
      <c r="C22" s="24" t="inlineStr">
        <is>
          <t>Audit working papers containing personal or confidential data shall be protected per the Information Classification and Handling Policy.</t>
        </is>
      </c>
      <c r="D22" s="25" t="n"/>
      <c r="E22" s="5" t="n"/>
      <c r="F22" s="5" t="n"/>
      <c r="G22" s="26" t="n"/>
      <c r="H22" s="5" t="n"/>
    </row>
    <row r="23" ht="40" customHeight="1">
      <c r="A23" s="22" t="inlineStr">
        <is>
          <t>A.5.35-36-31</t>
        </is>
      </c>
      <c r="B23" s="23" t="inlineStr">
        <is>
          <t>Audit Evidence</t>
        </is>
      </c>
      <c r="C23" s="24" t="inlineStr">
        <is>
          <t>Audit evidence shall be securely disposed of after the retention period per this policy.</t>
        </is>
      </c>
      <c r="D23" s="25" t="n"/>
      <c r="E23" s="5" t="n"/>
      <c r="F23" s="5" t="n"/>
      <c r="G23" s="26" t="n"/>
      <c r="H23" s="5" t="n"/>
    </row>
  </sheetData>
  <mergeCells count="2">
    <mergeCell ref="A2:H2"/>
    <mergeCell ref="A1:H1"/>
  </mergeCells>
  <conditionalFormatting sqref="D4:D2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 D22 D2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Finding Severity Classification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A.5.35-36-32</t>
        </is>
      </c>
      <c r="B4" s="23" t="inlineStr">
        <is>
          <t>Findings From Independent Reviews,</t>
        </is>
      </c>
      <c r="C4" s="24" t="inlineStr">
        <is>
          <t>All findings from independent reviews, compliance assessments, and audits shall be classified by severity:.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Corrective Action &amp; Remediation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A.5.35-36-33</t>
        </is>
      </c>
      <c r="B4" s="23" t="inlineStr">
        <is>
          <t>Corrective Actions</t>
        </is>
      </c>
      <c r="C4" s="24" t="inlineStr">
        <is>
          <t>When findings are identified, corrective actions shall be planned and implemented within the following timeframes:.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A.5.35-36-34</t>
        </is>
      </c>
      <c r="B5" s="23" t="inlineStr">
        <is>
          <t>Corrective Actions</t>
        </is>
      </c>
      <c r="C5" s="24" t="inlineStr">
        <is>
          <t>All corrective actions shall be tracked in the corrective action register (incident and corrective action log) with:.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A.5.35-36-35</t>
        </is>
      </c>
      <c r="B6" s="23" t="inlineStr">
        <is>
          <t>Be Tracked And Reported</t>
        </is>
      </c>
      <c r="C6" s="24" t="inlineStr">
        <is>
          <t>Progress shall be tracked and reported:.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A.5.35-36-36</t>
        </is>
      </c>
      <c r="B7" s="23" t="inlineStr">
        <is>
          <t>Corrective Actions</t>
        </is>
      </c>
      <c r="C7" s="24" t="inlineStr">
        <is>
          <t>Corrective actions shall not be marked as complete until:.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Compliance Verification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A.5.35-36-37</t>
        </is>
      </c>
      <c r="B4" s="23" t="inlineStr">
        <is>
          <t>Compliance With The Organisation'S</t>
        </is>
      </c>
      <c r="C4" s="24" t="inlineStr">
        <is>
          <t>Compliance with the organisation's information security policy, topic-specific policies, rules, and standards shall be reviewed through a three-tier approach:.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A.5.35-36-38</t>
        </is>
      </c>
      <c r="B5" s="23" t="inlineStr">
        <is>
          <t>Be Verified Through Appropriate Methods</t>
        </is>
      </c>
      <c r="C5" s="24" t="inlineStr">
        <is>
          <t>Compliance shall be verified through appropriate methods, including:.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A.5.35-36-39</t>
        </is>
      </c>
      <c r="B6" s="23" t="inlineStr">
        <is>
          <t>Compliance Claims</t>
        </is>
      </c>
      <c r="C6" s="24" t="inlineStr">
        <is>
          <t>Compliance claims shall be supported by evidence, including:.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A.5.35-36-40</t>
        </is>
      </c>
      <c r="B7" s="23" t="inlineStr">
        <is>
          <t>Compliance Evidence</t>
        </is>
      </c>
      <c r="C7" s="24" t="inlineStr">
        <is>
          <t>Compliance evidence shall be stored in the ISMS Evidence Library (SharePoint, Confluence, or equivalent) and retained in accordance with the organisation's records retention schedule.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A.5.35-36-41</t>
        </is>
      </c>
      <c r="B8" s="23" t="inlineStr">
        <is>
          <t>Non-Completion Of Scheduled Assessments</t>
        </is>
      </c>
      <c r="C8" s="24" t="inlineStr">
        <is>
          <t>Non-completion of scheduled assessments shall be escalated: 30 days overdue to Department Head, 60 days overdue to CISO, reported at next Management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Non-Conformity Management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A.5.35-36-42</t>
        </is>
      </c>
      <c r="B4" s="23" t="inlineStr">
        <is>
          <t>Non-Conformities Not Resolved Within</t>
        </is>
      </c>
      <c r="C4" s="24" t="inlineStr">
        <is>
          <t>Non-conformities not resolved within target timeframes shall be escalated:.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A.5.35-36-43</t>
        </is>
      </c>
      <c r="B5" s="23" t="inlineStr">
        <is>
          <t>Root Cause Analysis (Rca)</t>
        </is>
      </c>
      <c r="C5" s="24" t="inlineStr">
        <is>
          <t>Root cause analysis (RCA) shall be conducted for:.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A.5.35-36-44</t>
        </is>
      </c>
      <c r="B6" s="23" t="inlineStr">
        <is>
          <t>Rca Methodology*: The Organisation</t>
        </is>
      </c>
      <c r="C6" s="24" t="inlineStr">
        <is>
          <t>RCA methodology*: The organisation shall use a structured RCA approach such as:.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A.5.35-36-45</t>
        </is>
      </c>
      <c r="B7" s="23" t="inlineStr">
        <is>
          <t>Rca Documentation*</t>
        </is>
      </c>
      <c r="C7" s="24" t="inlineStr">
        <is>
          <t>RCA documentation* shall include: finding description, analysis method used, identified root cause(s), contributing factors, corrective actions, and preventive actions.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A.5.35-36-46</t>
        </is>
      </c>
      <c r="B8" s="23" t="inlineStr">
        <is>
          <t>The Organisation</t>
        </is>
      </c>
      <c r="C8" s="24" t="inlineStr">
        <is>
          <t>When a non-conformity occurs, the organisation shall:.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A.5.35-36-47</t>
        </is>
      </c>
      <c r="B9" s="23" t="inlineStr">
        <is>
          <t>Non-Conformities</t>
        </is>
      </c>
      <c r="C9" s="24" t="inlineStr">
        <is>
          <t>Non-conformities shall be recorded, documented, and tracked in the incident and corrective action log. The effectiveness of corrective and preventive actions shall be reviewed.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Risk Acceptance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A.5.35-36-48</t>
        </is>
      </c>
      <c r="B4" s="23" t="inlineStr">
        <is>
          <t>Risk Acceptance Requests</t>
        </is>
      </c>
      <c r="C4" s="24" t="inlineStr">
        <is>
          <t>Risk acceptance requests shall include:.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A.5.35-36-49</t>
        </is>
      </c>
      <c r="B5" s="23" t="inlineStr">
        <is>
          <t>Risk Acceptances</t>
        </is>
      </c>
      <c r="C5" s="24" t="inlineStr">
        <is>
          <t>Risk acceptances shall be reviewed:.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A.5.35-36-50</t>
        </is>
      </c>
      <c r="B6" s="23" t="inlineStr">
        <is>
          <t>The Risk Owner</t>
        </is>
      </c>
      <c r="C6" s="24" t="inlineStr">
        <is>
          <t>When a trigger condition occurs, the risk owner shall notify the CISO within 14 days for reassessment.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Compl Metrics and Reporting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A.5.35-36-51</t>
        </is>
      </c>
      <c r="B4" s="23" t="inlineStr">
        <is>
          <t>The Following Kpis</t>
        </is>
      </c>
      <c r="C4" s="24" t="inlineStr">
        <is>
          <t>The following KPIs shall be tracked to measure the effectiveness of the compliance and review programme:.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A.5.35-36-52</t>
        </is>
      </c>
      <c r="B5" s="23" t="inlineStr">
        <is>
          <t>Compliance And Review Metrics</t>
        </is>
      </c>
      <c r="C5" s="24" t="inlineStr">
        <is>
          <t>Compliance and review metrics shall be tracked over time to identify improvement or degradation trends (quarter-over-quarter, year-over-year), recurring finding patterns, areas requiring focused attention, and the effectiveness of remediation efforts.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A.5.35-36-53</t>
        </is>
      </c>
      <c r="B6" s="23" t="inlineStr">
        <is>
          <t>Trend Data</t>
        </is>
      </c>
      <c r="C6" s="24" t="inlineStr">
        <is>
          <t>Trend data shall be retained for a minimum of 3 years to support long-term analysis and certification audit preparation.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Improvement Inputs — Compliance Checklist</t>
        </is>
      </c>
    </row>
    <row r="2">
      <c r="A2" s="21" t="inlineStr">
        <is>
          <t>ISO/IEC 27001:2022 — Controls A.5.35-36: Independent Review and Compliance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A.5.35-36-54</t>
        </is>
      </c>
      <c r="B4" s="23" t="inlineStr">
        <is>
          <t>The Following Sources</t>
        </is>
      </c>
      <c r="C4" s="24" t="inlineStr">
        <is>
          <t>The following sources shall be considered as inputs for continual improvement of the ISMS:.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A.5.35-36-55</t>
        </is>
      </c>
      <c r="B5" s="23" t="inlineStr">
        <is>
          <t>Management Review Team — The Management</t>
        </is>
      </c>
      <c r="C5" s="24" t="inlineStr">
        <is>
          <t>Management Review Team — The Management Review Team shall consider opportunities for improvement as a standing agenda item.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A.5.35-36-56</t>
        </is>
      </c>
      <c r="B6" s="23" t="inlineStr">
        <is>
          <t>Changes To The Information Security</t>
        </is>
      </c>
      <c r="C6" s="24" t="inlineStr">
        <is>
          <t>Changes to the information security management system resulting from improvement activities shall be planned, managed, and recorded in the incident and corrective action log or change log, as appropriate.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2026-09-30T11:46:10Z</dcterms:created>
  <dcterms:modified xmlns:dcterms="http://purl.org/dc/terms/" xmlns:xsi="http://www.w3.org/2001/XMLSchema-instance" xsi:type="dcterms:W3CDTF">2026-09-30T11:46:10Z</dcterms:modified>
</cp:coreProperties>
</file>