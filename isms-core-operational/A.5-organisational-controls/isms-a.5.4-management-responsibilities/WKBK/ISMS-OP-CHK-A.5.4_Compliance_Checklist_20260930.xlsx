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gmt Commitment Requirements" sheetId="3" state="visible" r:id="rId3"/>
    <sheet xmlns:r="http://schemas.openxmlformats.org/officeDocument/2006/relationships" name="Security Culture Leadership" sheetId="4" state="visible" r:id="rId4"/>
    <sheet xmlns:r="http://schemas.openxmlformats.org/officeDocument/2006/relationships" name="Personnel Compl Accountability" sheetId="5" state="visible" r:id="rId5"/>
    <sheet xmlns:r="http://schemas.openxmlformats.org/officeDocument/2006/relationships" name="Management Review Participation" sheetId="6" state="visible" r:id="rId6"/>
    <sheet xmlns:r="http://schemas.openxmlformats.org/officeDocument/2006/relationships" name="Mgmt Commitment Assessment" sheetId="7" state="visible" r:id="rId7"/>
    <sheet xmlns:r="http://schemas.openxmlformats.org/officeDocument/2006/relationships" name="Escalation Path" sheetId="8" state="visible" r:id="rId8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ISMS-OP-CHK-A.5.4 — Management Responsibilities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ISMS-OP-CHK-A.5.4</t>
        </is>
      </c>
    </row>
    <row r="5">
      <c r="A5" s="3" t="inlineStr">
        <is>
          <t>Source Policy</t>
        </is>
      </c>
      <c r="B5" s="4" t="inlineStr">
        <is>
          <t>ISMS-OP-POL-A.5.4</t>
        </is>
      </c>
    </row>
    <row r="6">
      <c r="A6" s="3" t="inlineStr">
        <is>
          <t>ISO Controls</t>
        </is>
      </c>
      <c r="B6" s="4" t="inlineStr">
        <is>
          <t>Management Responsibilities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IF(Dashboard!H10&gt;0,"INCOMPLETE",IF(Dashboard!G10="N/A","NOT ASSESSED",IF(ISNUMBER(VALUE(SUBSTITUTE(Dashboard!G10,"%",""))),IF(VALUE(SUBSTITUTE(Dashboard!G10,"%",""))&gt;=90,"GREEN",IF(VALUE(SUBSTITUTE(Dashboard!G10,"%",""))&gt;=70,"AMBER","RED")),"NOT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Unanswered</t>
        </is>
      </c>
      <c r="B22" s="10">
        <f>'Dashboard'!H10</f>
        <v/>
      </c>
    </row>
    <row r="23">
      <c r="A23" s="3" t="inlineStr">
        <is>
          <t>Owner Coverage</t>
        </is>
      </c>
      <c r="B23" s="10">
        <f>IF(Dashboard!B10=0,"N/A",ROUND((COUNTA('Mgmt Commitment Requirements'!F4:F10)+COUNTA('Security Culture Leadership'!F4:F7)+COUNTA('Personnel Compl Accountability'!F4:F9)+COUNTA('Management Review Participation'!F4:F9)+COUNTA('Mgmt Commitment Assessment'!F4:F5)+COUNTA('Escalation Path'!F4:F4))/Dashboard!B10*100,0)&amp;"%")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Mgmt Commitment Requirements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Security Culture Leadership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Personnel Compl Accountability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Management Review Participation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Mgmt Commitment Assessment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Escalation Path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management responsibilities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25:H25"/>
    <mergeCell ref="A60:B60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Management Responsibilities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Mgmt Commitment Requirements</t>
        </is>
      </c>
      <c r="B4" s="15">
        <f>COUNTA('Mgmt Commitment Requirements'!A4:A10)</f>
        <v/>
      </c>
      <c r="C4" s="15">
        <f>COUNTIF('Mgmt Commitment Requirements'!D4:D10,"Compliant")</f>
        <v/>
      </c>
      <c r="D4" s="15">
        <f>COUNTIF('Mgmt Commitment Requirements'!D4:D10,"Partial")</f>
        <v/>
      </c>
      <c r="E4" s="15">
        <f>COUNTIF('Mgmt Commitment Requirements'!D4:D10,"Non-Compliant")</f>
        <v/>
      </c>
      <c r="F4" s="15">
        <f>COUNTIF('Mgmt Commitment Requirements'!D4:D10,"N/A")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Security Culture Leadership</t>
        </is>
      </c>
      <c r="B5" s="15">
        <f>COUNTA('Security Culture Leadership'!A4:A7)</f>
        <v/>
      </c>
      <c r="C5" s="15">
        <f>COUNTIF('Security Culture Leadership'!D4:D7,"Compliant")</f>
        <v/>
      </c>
      <c r="D5" s="15">
        <f>COUNTIF('Security Culture Leadership'!D4:D7,"Partial")</f>
        <v/>
      </c>
      <c r="E5" s="15">
        <f>COUNTIF('Security Culture Leadership'!D4:D7,"Non-Compliant")</f>
        <v/>
      </c>
      <c r="F5" s="15">
        <f>COUNTIF('Security Culture Leadership'!D4:D7,"N/A")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Personnel Compl Accountability</t>
        </is>
      </c>
      <c r="B6" s="15">
        <f>COUNTA('Personnel Compl Accountability'!A4:A9)</f>
        <v/>
      </c>
      <c r="C6" s="15">
        <f>COUNTIF('Personnel Compl Accountability'!D4:D9,"Compliant")</f>
        <v/>
      </c>
      <c r="D6" s="15">
        <f>COUNTIF('Personnel Compl Accountability'!D4:D9,"Partial")</f>
        <v/>
      </c>
      <c r="E6" s="15">
        <f>COUNTIF('Personnel Compl Accountability'!D4:D9,"Non-Compliant")</f>
        <v/>
      </c>
      <c r="F6" s="15">
        <f>COUNTIF('Personnel Compl Accountability'!D4:D9,"N/A")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Management Review Participation</t>
        </is>
      </c>
      <c r="B7" s="15">
        <f>COUNTA('Management Review Participation'!A4:A9)</f>
        <v/>
      </c>
      <c r="C7" s="15">
        <f>COUNTIF('Management Review Participation'!D4:D9,"Compliant")</f>
        <v/>
      </c>
      <c r="D7" s="15">
        <f>COUNTIF('Management Review Participation'!D4:D9,"Partial")</f>
        <v/>
      </c>
      <c r="E7" s="15">
        <f>COUNTIF('Management Review Participation'!D4:D9,"Non-Compliant")</f>
        <v/>
      </c>
      <c r="F7" s="15">
        <f>COUNTIF('Management Review Participation'!D4:D9,"N/A")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Mgmt Commitment Assessment</t>
        </is>
      </c>
      <c r="B8" s="15">
        <f>COUNTA('Mgmt Commitment Assessment'!A4:A5)</f>
        <v/>
      </c>
      <c r="C8" s="15">
        <f>COUNTIF('Mgmt Commitment Assessment'!D4:D5,"Compliant")</f>
        <v/>
      </c>
      <c r="D8" s="15">
        <f>COUNTIF('Mgmt Commitment Assessment'!D4:D5,"Partial")</f>
        <v/>
      </c>
      <c r="E8" s="15">
        <f>COUNTIF('Mgmt Commitment Assessment'!D4:D5,"Non-Compliant")</f>
        <v/>
      </c>
      <c r="F8" s="15">
        <f>COUNTIF('Mgmt Commitment Assessment'!D4:D5,"N/A")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Escalation Path</t>
        </is>
      </c>
      <c r="B9" s="15">
        <f>COUNTA('Escalation Path'!A4:A4)</f>
        <v/>
      </c>
      <c r="C9" s="15">
        <f>COUNTIF('Escalation Path'!D4:D4,"Compliant")</f>
        <v/>
      </c>
      <c r="D9" s="15">
        <f>COUNTIF('Escalation Path'!D4:D4,"Partial")</f>
        <v/>
      </c>
      <c r="E9" s="15">
        <f>COUNTIF('Escalation Path'!D4:D4,"Non-Compliant")</f>
        <v/>
      </c>
      <c r="F9" s="15">
        <f>COUNTIF('Escalation Path'!D4:D4,"N/A")</f>
        <v/>
      </c>
      <c r="G9" s="15">
        <f>IF((B9-F9)=0,"N/A",ROUND(C9/(B9-F9)*100,1)&amp;"%")</f>
        <v/>
      </c>
      <c r="H9" s="15">
        <f>B9-(C9+D9+E9+F9)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  <c r="H10" s="16">
        <f>SUM(H4:H9)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Mgmt Commitment Requirements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A.5.4-01</t>
        </is>
      </c>
      <c r="B4" s="23" t="inlineStr">
        <is>
          <t>Management Personnel</t>
        </is>
      </c>
      <c r="C4" s="24" t="inlineStr">
        <is>
          <t>All management personnel shall demonstrate active commitment to information security through:.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A.5.4-02</t>
        </is>
      </c>
      <c r="B5" s="23" t="inlineStr">
        <is>
          <t>Ensure Adequate Resources Are Available</t>
        </is>
      </c>
      <c r="C5" s="24" t="inlineStr">
        <is>
          <t>Management shall ensure adequate resources are available for information security:.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A.5.4-03</t>
        </is>
      </c>
      <c r="B6" s="23" t="inlineStr">
        <is>
          <t>Adequacy Criteria* For Resource</t>
        </is>
      </c>
      <c r="C6" s="24" t="inlineStr">
        <is>
          <t>Adequacy criteria* for resource allocation decisions shall consider:.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A.5.4-04</t>
        </is>
      </c>
      <c r="B7" s="23" t="inlineStr">
        <is>
          <t>Resource Requests For Approved Security</t>
        </is>
      </c>
      <c r="C7" s="24" t="inlineStr">
        <is>
          <t>Resource requests for approved security initiatives shall be processed within 30 calendar days. Disputes over resource adequacy shall be escalated per the escalation path defined in this policy.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A.5.4-05</t>
        </is>
      </c>
      <c r="B8" s="23" t="inlineStr">
        <is>
          <t>Ensure Their Teams Understand And Comply</t>
        </is>
      </c>
      <c r="C8" s="24" t="inlineStr">
        <is>
          <t>Management shall ensure their teams understand and comply with applicable security policies:.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A.5.4-06</t>
        </is>
      </c>
      <c r="B9" s="23" t="inlineStr">
        <is>
          <t>Management Commitment</t>
        </is>
      </c>
      <c r="C9" s="24" t="inlineStr">
        <is>
          <t>Management commitment shall be assessed annually using objective criteria:.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A.5.4-07</t>
        </is>
      </c>
      <c r="B10" s="23" t="inlineStr">
        <is>
          <t>Assessment Results</t>
        </is>
      </c>
      <c r="C10" s="24" t="inlineStr">
        <is>
          <t>Assessment results shall be documented and reviewed by Executive Management. Scores below 70% trigger a mandatory remediation plan (see Remediation for Non-Compliance).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Culture Leadership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A.5.4-08</t>
        </is>
      </c>
      <c r="B4" s="23" t="inlineStr">
        <is>
          <t>Foster A Positive Security Culture</t>
        </is>
      </c>
      <c r="C4" s="24" t="inlineStr">
        <is>
          <t>Management shall foster a positive security culture across the organisation through deliberate action and consistent example.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A.5.4-09</t>
        </is>
      </c>
      <c r="B5" s="23" t="inlineStr">
        <is>
          <t>Create An Environment Where Personnel</t>
        </is>
      </c>
      <c r="C5" s="24" t="inlineStr">
        <is>
          <t>Management shall create an environment where personnel feel safe reporting security issues:.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A.5.4-10</t>
        </is>
      </c>
      <c r="B6" s="23" t="inlineStr">
        <is>
          <t>Implement A Structured Recognition</t>
        </is>
      </c>
      <c r="C6" s="24" t="inlineStr">
        <is>
          <t>Management shall implement a structured recognition programme for security-conscious behaviour:.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A.5.4-11</t>
        </is>
      </c>
      <c r="B7" s="23" t="inlineStr">
        <is>
          <t>An Annual Security Culture Survey</t>
        </is>
      </c>
      <c r="C7" s="24" t="inlineStr">
        <is>
          <t>An annual Security Culture Survey shall be conducted to measure the effectiveness of management's security leadership and the organisation's overall security awareness posture.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Personnel Compl Accountability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A.5.4-12</t>
        </is>
      </c>
      <c r="B4" s="23" t="inlineStr">
        <is>
          <t>Ensure All Personnel Under Their</t>
        </is>
      </c>
      <c r="C4" s="24" t="inlineStr">
        <is>
          <t>Management shall ensure all personnel under their authority comply with information security requirements throughout the employment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A.5.4-13</t>
        </is>
      </c>
      <c r="B5" s="23" t="inlineStr">
        <is>
          <t>Verify That New Personnel Complete All</t>
        </is>
      </c>
      <c r="C5" s="24" t="inlineStr">
        <is>
          <t>Management shall verify that new personnel complete all security onboarding requirements before being granted system access.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A.5.4-14</t>
        </is>
      </c>
      <c r="B6" s="23" t="inlineStr">
        <is>
          <t>Access Gate*: System Access (Beyond</t>
        </is>
      </c>
      <c r="C6" s="24" t="inlineStr">
        <is>
          <t>Access gate*: System access (beyond basic email and intranet) shall not be provisioned until items 1-4 are confirmed complete. [Identity Provider] group assignment conditional on [LMS] training completion status.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A.5.4-15</t>
        </is>
      </c>
      <c r="B7" s="23" t="inlineStr">
        <is>
          <t>Maintain Continuous Oversight Of</t>
        </is>
      </c>
      <c r="C7" s="24" t="inlineStr">
        <is>
          <t>Management shall maintain continuous oversight of personnel compliance:.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A.5.4-16</t>
        </is>
      </c>
      <c r="B8" s="23" t="inlineStr">
        <is>
          <t>Important*: Security Performance</t>
        </is>
      </c>
      <c r="C8" s="24" t="inlineStr">
        <is>
          <t>Important*: Security performance criteria shall be communicated to personnel at the start of each review period. No individual shall be evaluated against criteria they were not informed of in advance.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A.5.4-17</t>
        </is>
      </c>
      <c r="B9" s="23" t="inlineStr">
        <is>
          <t>Ensure Timely And Complete Security</t>
        </is>
      </c>
      <c r="C9" s="24" t="inlineStr">
        <is>
          <t>Management shall ensure timely and complete security offboarding for departing personnel.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Management Review Participation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A.5.4-18</t>
        </is>
      </c>
      <c r="B4" s="23" t="inlineStr">
        <is>
          <t>Actively Participate In Isms Management</t>
        </is>
      </c>
      <c r="C4" s="24" t="inlineStr">
        <is>
          <t>Management shall actively participate in ISMS management review activities as required by ISO 27001:2022 Clause 9.3.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A.5.4-19</t>
        </is>
      </c>
      <c r="B5" s="23" t="inlineStr">
        <is>
          <t>Active Participation Means More Than</t>
        </is>
      </c>
      <c r="C5" s="24" t="inlineStr">
        <is>
          <t>Active participation means more than attendance. Management personnel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A.5.4-20</t>
        </is>
      </c>
      <c r="B6" s="23" t="inlineStr">
        <is>
          <t>Quarterly Management Review</t>
        </is>
      </c>
      <c r="C6" s="24" t="inlineStr">
        <is>
          <t>Each quarterly management review shall follow a standardised agenda to ensure consistent coverage and efficient use of executive time:.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A.5.4-21</t>
        </is>
      </c>
      <c r="B7" s="23" t="inlineStr">
        <is>
          <t>Provide The Following Inputs To Isms</t>
        </is>
      </c>
      <c r="C7" s="24" t="inlineStr">
        <is>
          <t>Management shall provide the following inputs to ISMS management reviews:.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A.5.4-22</t>
        </is>
      </c>
      <c r="B8" s="23" t="inlineStr">
        <is>
          <t>Within Management Reviews, Management</t>
        </is>
      </c>
      <c r="C8" s="24" t="inlineStr">
        <is>
          <t>Within management reviews, management personnel shall exercise their authority to:.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A.5.4-23</t>
        </is>
      </c>
      <c r="B9" s="23" t="inlineStr">
        <is>
          <t>Be Tracked And Reported As Part</t>
        </is>
      </c>
      <c r="C9" s="24" t="inlineStr">
        <is>
          <t>Participation shall be tracked and reported as part of the annual management commitment assessment.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Mgmt Commitment Assessment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A.5.4-24</t>
        </is>
      </c>
      <c r="B4" s="23" t="inlineStr">
        <is>
          <t>An Annual Management Commitment</t>
        </is>
      </c>
      <c r="C4" s="24" t="inlineStr">
        <is>
          <t>An annual Management Commitment Assessment shall be conducted by the CISO to evaluate management's fulfilment of their information security responsibilities. The assessment shall cover:.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A.5.4-25</t>
        </is>
      </c>
      <c r="B5" s="23" t="inlineStr">
        <is>
          <t>Management Responsibility Gaps</t>
        </is>
      </c>
      <c r="C5" s="24" t="inlineStr">
        <is>
          <t>All management responsibility gaps shall be recorded in the central ISMS Gap Register maintained in [GRC Tool / SharePoint / Confluence]. The Gap Register is the single source of truth for tracking management commitment findings across all assessment cycles.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Escalation Path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A.5.4-26</t>
        </is>
      </c>
      <c r="B4" s="23" t="inlineStr">
        <is>
          <t>The Following Escalation Paths</t>
        </is>
      </c>
      <c r="C4" s="24" t="inlineStr">
        <is>
          <t>The following escalation paths shall be used for security-related matters:.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2026-09-30T11:46:10Z</dcterms:created>
  <dcterms:modified xmlns:dcterms="http://purl.org/dc/terms/" xmlns:xsi="http://www.w3.org/2001/XMLSchema-instance" xsi:type="dcterms:W3CDTF">2026-09-30T11:46:10Z</dcterms:modified>
</cp:coreProperties>
</file>