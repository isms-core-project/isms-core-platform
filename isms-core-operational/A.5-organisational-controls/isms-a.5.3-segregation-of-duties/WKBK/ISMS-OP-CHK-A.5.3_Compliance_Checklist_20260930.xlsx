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Conflicting Duties Ident" sheetId="3" state="visible" r:id="rId3"/>
    <sheet xmlns:r="http://schemas.openxmlformats.org/officeDocument/2006/relationships" name="Small Team &amp; SME Comp Controls" sheetId="4" state="visible" r:id="rId4"/>
    <sheet xmlns:r="http://schemas.openxmlformats.org/officeDocument/2006/relationships" name="Technical Segregation Controls" sheetId="5" state="visible" r:id="rId5"/>
    <sheet xmlns:r="http://schemas.openxmlformats.org/officeDocument/2006/relationships" name="Exception Management" sheetId="6" state="visible" r:id="rId6"/>
    <sheet xmlns:r="http://schemas.openxmlformats.org/officeDocument/2006/relationships" name="SoD Matrix Maintenance" sheetId="7" state="visible" r:id="rId7"/>
    <sheet xmlns:r="http://schemas.openxmlformats.org/officeDocument/2006/relationships" name="Compliance Measurement" sheetId="8" state="visible" r:id="rId8"/>
  </sheets>
  <definedNames>
    <definedName name="_xlnm.Print_Area" localSheetId="0">'Executive Summary'!$A$1:$H$66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4472C4"/>
      <sz val="10"/>
    </font>
    <font>
      <name val="Calibri"/>
      <b val="1"/>
      <sz val="10"/>
    </font>
    <font>
      <name val="Calibri"/>
      <color rgb="00666666"/>
      <sz val="9"/>
    </font>
    <font>
      <name val="Calibri"/>
      <sz val="9"/>
    </font>
    <font>
      <name val="Calibri"/>
      <b val="1"/>
      <sz val="11"/>
    </font>
    <font>
      <name val="Calibri"/>
      <b val="1"/>
      <color rgb="00FFFFFF"/>
      <sz val="11"/>
    </font>
    <font>
      <name val="Calibri"/>
      <b val="1"/>
      <sz val="14"/>
    </font>
    <font>
      <name val="Calibri"/>
      <b val="1"/>
      <color rgb="00003366"/>
      <sz val="12"/>
    </font>
    <font>
      <name val="Calibri"/>
      <b val="1"/>
      <sz val="12"/>
    </font>
    <font>
      <name val="Calibri"/>
      <b val="1"/>
      <sz val="20"/>
    </font>
    <font>
      <name val="Calibri"/>
      <b val="1"/>
      <sz val="16"/>
    </font>
    <font>
      <name val="Calibri"/>
      <b val="1"/>
      <color rgb="004472C4"/>
      <sz val="14"/>
    </font>
    <font>
      <name val="Calibri"/>
      <sz val="10"/>
    </font>
  </fonts>
  <fills count="10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D9D9D9"/>
        <bgColor rgb="00D9D9D9"/>
      </patternFill>
    </fill>
    <fill>
      <patternFill patternType="solid">
        <fgColor rgb="00FFFFCC"/>
        <bgColor rgb="00FFFFCC"/>
      </patternFill>
    </fill>
    <fill>
      <patternFill patternType="solid">
        <fgColor rgb="00F2F2F2"/>
        <bgColor rgb="00F2F2F2"/>
      </patternFill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/>
    </xf>
    <xf numFmtId="0" fontId="3" fillId="0" borderId="1" pivotButton="0" quotePrefix="0" xfId="0"/>
    <xf numFmtId="0" fontId="0" fillId="0" borderId="1" pivotButton="0" quotePrefix="0" xfId="0"/>
    <xf numFmtId="0" fontId="0" fillId="4" borderId="1" applyAlignment="1" pivotButton="0" quotePrefix="0" xfId="0">
      <alignment horizontal="left" vertical="center" wrapText="1"/>
    </xf>
    <xf numFmtId="0" fontId="7" fillId="6" borderId="0" applyAlignment="1" pivotButton="0" quotePrefix="0" xfId="0">
      <alignment horizontal="left" vertical="center" wrapText="1"/>
    </xf>
    <xf numFmtId="0" fontId="10" fillId="0" borderId="0" pivotButton="0" quotePrefix="0" xfId="0"/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top" wrapText="1"/>
    </xf>
    <xf numFmtId="0" fontId="6" fillId="0" borderId="0" pivotButton="0" quotePrefix="0" xfId="0"/>
    <xf numFmtId="0" fontId="14" fillId="0" borderId="1" pivotButton="0" quotePrefix="0" xfId="0"/>
    <xf numFmtId="0" fontId="2" fillId="5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4" fillId="0" borderId="1" pivotButton="0" quotePrefix="0" xfId="0"/>
    <xf numFmtId="0" fontId="5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4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  <dxf>
      <fill>
        <patternFill patternType="solid">
          <fgColor rgb="00F2F2F2"/>
          <bgColor rgb="00F2F2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3366"/>
    <outlinePr summaryBelow="1" summaryRight="1"/>
    <pageSetUpPr fitToPage="1"/>
  </sheetPr>
  <dimension ref="A1:H64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40" customHeight="1">
      <c r="A1" s="1" t="inlineStr">
        <is>
          <t>ISMS-OP-CHK-A.5.3 — Segregation of Duties Compliance Checklist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s="4" t="inlineStr">
        <is>
          <t>ISMS-OP-CHK-A.5.3</t>
        </is>
      </c>
    </row>
    <row r="5">
      <c r="A5" s="3" t="inlineStr">
        <is>
          <t>Source Policy</t>
        </is>
      </c>
      <c r="B5" s="4" t="inlineStr">
        <is>
          <t>ISMS-OP-POL-A.5.3</t>
        </is>
      </c>
    </row>
    <row r="6">
      <c r="A6" s="3" t="inlineStr">
        <is>
          <t>ISO Controls</t>
        </is>
      </c>
      <c r="B6" s="4" t="inlineStr">
        <is>
          <t>Segregation of Duties</t>
        </is>
      </c>
    </row>
    <row r="7">
      <c r="A7" s="3" t="inlineStr">
        <is>
          <t>Generated</t>
        </is>
      </c>
      <c r="B7" s="4" t="inlineStr">
        <is>
          <t>30.09.2026</t>
        </is>
      </c>
    </row>
    <row r="8">
      <c r="A8" s="3" t="inlineStr">
        <is>
          <t>Prepared By</t>
        </is>
      </c>
      <c r="B8" s="5" t="inlineStr"/>
    </row>
    <row r="9">
      <c r="A9" s="3" t="inlineStr">
        <is>
          <t>Organisation</t>
        </is>
      </c>
      <c r="B9" s="5" t="inlineStr"/>
    </row>
    <row r="10">
      <c r="A10" s="3" t="inlineStr">
        <is>
          <t>Review Cycle</t>
        </is>
      </c>
      <c r="B10" s="4" t="inlineStr">
        <is>
          <t>Annual</t>
        </is>
      </c>
    </row>
    <row r="12">
      <c r="A12" s="6" t="inlineStr">
        <is>
          <t>OVERALL COMPLIANCE STATUS</t>
        </is>
      </c>
    </row>
    <row r="13">
      <c r="A13" s="7" t="inlineStr">
        <is>
          <t>Overall Compliance</t>
        </is>
      </c>
      <c r="B13" s="8">
        <f>'Dashboard'!G10</f>
        <v/>
      </c>
    </row>
    <row r="14">
      <c r="A14" s="7" t="inlineStr">
        <is>
          <t>Status</t>
        </is>
      </c>
      <c r="B14" s="9">
        <f>IF(Dashboard!H10&gt;0,"INCOMPLETE",IF(Dashboard!G10="N/A","NOT ASSESSED",IF(ISNUMBER(VALUE(SUBSTITUTE(Dashboard!G10,"%",""))),IF(VALUE(SUBSTITUTE(Dashboard!G10,"%",""))&gt;=90,"GREEN",IF(VALUE(SUBSTITUTE(Dashboard!G10,"%",""))&gt;=70,"AMBER","RED")),"NOT ASSESSED")))</f>
        <v/>
      </c>
    </row>
    <row r="16">
      <c r="A16" s="6" t="inlineStr">
        <is>
          <t>KEY METRICS</t>
        </is>
      </c>
    </row>
    <row r="17">
      <c r="A17" s="3" t="inlineStr">
        <is>
          <t>Total Requirements</t>
        </is>
      </c>
      <c r="B17" s="10">
        <f>'Dashboard'!B10</f>
        <v/>
      </c>
    </row>
    <row r="18">
      <c r="A18" s="3" t="inlineStr">
        <is>
          <t>Compliant</t>
        </is>
      </c>
      <c r="B18" s="10">
        <f>'Dashboard'!C10</f>
        <v/>
      </c>
    </row>
    <row r="19">
      <c r="A19" s="3" t="inlineStr">
        <is>
          <t>Partial</t>
        </is>
      </c>
      <c r="B19" s="10">
        <f>'Dashboard'!D10</f>
        <v/>
      </c>
    </row>
    <row r="20">
      <c r="A20" s="3" t="inlineStr">
        <is>
          <t>Non-Compliant</t>
        </is>
      </c>
      <c r="B20" s="10">
        <f>'Dashboard'!E10</f>
        <v/>
      </c>
    </row>
    <row r="21">
      <c r="A21" s="3" t="inlineStr">
        <is>
          <t>Not Applicable</t>
        </is>
      </c>
      <c r="B21" s="10">
        <f>'Dashboard'!F10</f>
        <v/>
      </c>
    </row>
    <row r="22">
      <c r="A22" s="3" t="inlineStr">
        <is>
          <t>Unanswered</t>
        </is>
      </c>
      <c r="B22" s="10">
        <f>'Dashboard'!H10</f>
        <v/>
      </c>
    </row>
    <row r="23">
      <c r="A23" s="3" t="inlineStr">
        <is>
          <t>Owner Coverage</t>
        </is>
      </c>
      <c r="B23" s="10">
        <f>IF(Dashboard!B10=0,"N/A",ROUND((COUNTA('Conflicting Duties Ident'!F4:F10)+COUNTA('Small Team &amp; SME Comp Controls'!F4:F12)+COUNTA('Technical Segregation Controls'!F4:F15)+COUNTA('Exception Management'!F4:F9)+COUNTA('SoD Matrix Maintenance'!F4:F6)+COUNTA('Compliance Measurement'!F4:F5))/Dashboard!B10*100,0)&amp;"%")</f>
        <v/>
      </c>
    </row>
    <row r="25">
      <c r="A25" s="6" t="inlineStr">
        <is>
          <t>DOMAIN STATUS SUMMARY</t>
        </is>
      </c>
    </row>
    <row r="26">
      <c r="A26" s="11" t="inlineStr">
        <is>
          <t>Domain</t>
        </is>
      </c>
      <c r="B26" s="11" t="inlineStr">
        <is>
          <t>Compliance %</t>
        </is>
      </c>
      <c r="C26" s="11" t="inlineStr">
        <is>
          <t>Compliant</t>
        </is>
      </c>
      <c r="D26" s="11" t="inlineStr">
        <is>
          <t>Gaps</t>
        </is>
      </c>
      <c r="E26" s="11" t="inlineStr">
        <is>
          <t>Status</t>
        </is>
      </c>
    </row>
    <row r="27">
      <c r="A27" s="4" t="inlineStr">
        <is>
          <t>Conflicting Duties Ident</t>
        </is>
      </c>
      <c r="B27" s="4">
        <f>'Dashboard'!G4</f>
        <v/>
      </c>
      <c r="C27" s="4">
        <f>'Dashboard'!C4</f>
        <v/>
      </c>
      <c r="D27" s="4">
        <f>'Dashboard'!E4</f>
        <v/>
      </c>
      <c r="E27" s="4">
        <f>IF(Dashboard!H4&gt;0,"INCOMPLETE",IF(Dashboard!G4="N/A","--",IF(ISNUMBER(VALUE(SUBSTITUTE(Dashboard!G4,"%",""))),IF(VALUE(SUBSTITUTE(Dashboard!G4,"%",""))&gt;=90,"PASS",IF(VALUE(SUBSTITUTE(Dashboard!G4,"%",""))&gt;=70,"REVIEW","FAIL")),"--")))</f>
        <v/>
      </c>
    </row>
    <row r="28">
      <c r="A28" s="4" t="inlineStr">
        <is>
          <t>Small Team &amp; SME Comp Controls</t>
        </is>
      </c>
      <c r="B28" s="4">
        <f>'Dashboard'!G5</f>
        <v/>
      </c>
      <c r="C28" s="4">
        <f>'Dashboard'!C5</f>
        <v/>
      </c>
      <c r="D28" s="4">
        <f>'Dashboard'!E5</f>
        <v/>
      </c>
      <c r="E28" s="4">
        <f>IF(Dashboard!H5&gt;0,"INCOMPLETE",IF(Dashboard!G5="N/A","--",IF(ISNUMBER(VALUE(SUBSTITUTE(Dashboard!G5,"%",""))),IF(VALUE(SUBSTITUTE(Dashboard!G5,"%",""))&gt;=90,"PASS",IF(VALUE(SUBSTITUTE(Dashboard!G5,"%",""))&gt;=70,"REVIEW","FAIL")),"--")))</f>
        <v/>
      </c>
    </row>
    <row r="29">
      <c r="A29" s="4" t="inlineStr">
        <is>
          <t>Technical Segregation Controls</t>
        </is>
      </c>
      <c r="B29" s="4">
        <f>'Dashboard'!G6</f>
        <v/>
      </c>
      <c r="C29" s="4">
        <f>'Dashboard'!C6</f>
        <v/>
      </c>
      <c r="D29" s="4">
        <f>'Dashboard'!E6</f>
        <v/>
      </c>
      <c r="E29" s="4">
        <f>IF(Dashboard!H6&gt;0,"INCOMPLETE",IF(Dashboard!G6="N/A","--",IF(ISNUMBER(VALUE(SUBSTITUTE(Dashboard!G6,"%",""))),IF(VALUE(SUBSTITUTE(Dashboard!G6,"%",""))&gt;=90,"PASS",IF(VALUE(SUBSTITUTE(Dashboard!G6,"%",""))&gt;=70,"REVIEW","FAIL")),"--")))</f>
        <v/>
      </c>
    </row>
    <row r="30">
      <c r="A30" s="4" t="inlineStr">
        <is>
          <t>Exception Management</t>
        </is>
      </c>
      <c r="B30" s="4">
        <f>'Dashboard'!G7</f>
        <v/>
      </c>
      <c r="C30" s="4">
        <f>'Dashboard'!C7</f>
        <v/>
      </c>
      <c r="D30" s="4">
        <f>'Dashboard'!E7</f>
        <v/>
      </c>
      <c r="E30" s="4">
        <f>IF(Dashboard!H7&gt;0,"INCOMPLETE",IF(Dashboard!G7="N/A","--",IF(ISNUMBER(VALUE(SUBSTITUTE(Dashboard!G7,"%",""))),IF(VALUE(SUBSTITUTE(Dashboard!G7,"%",""))&gt;=90,"PASS",IF(VALUE(SUBSTITUTE(Dashboard!G7,"%",""))&gt;=70,"REVIEW","FAIL")),"--")))</f>
        <v/>
      </c>
    </row>
    <row r="31">
      <c r="A31" s="4" t="inlineStr">
        <is>
          <t>SoD Matrix Maintenance</t>
        </is>
      </c>
      <c r="B31" s="4">
        <f>'Dashboard'!G8</f>
        <v/>
      </c>
      <c r="C31" s="4">
        <f>'Dashboard'!C8</f>
        <v/>
      </c>
      <c r="D31" s="4">
        <f>'Dashboard'!E8</f>
        <v/>
      </c>
      <c r="E31" s="4">
        <f>IF(Dashboard!H8&gt;0,"INCOMPLETE",IF(Dashboard!G8="N/A","--",IF(ISNUMBER(VALUE(SUBSTITUTE(Dashboard!G8,"%",""))),IF(VALUE(SUBSTITUTE(Dashboard!G8,"%",""))&gt;=90,"PASS",IF(VALUE(SUBSTITUTE(Dashboard!G8,"%",""))&gt;=70,"REVIEW","FAIL")),"--")))</f>
        <v/>
      </c>
    </row>
    <row r="32">
      <c r="A32" s="4" t="inlineStr">
        <is>
          <t>Compliance Measurement</t>
        </is>
      </c>
      <c r="B32" s="4">
        <f>'Dashboard'!G9</f>
        <v/>
      </c>
      <c r="C32" s="4">
        <f>'Dashboard'!C9</f>
        <v/>
      </c>
      <c r="D32" s="4">
        <f>'Dashboard'!E9</f>
        <v/>
      </c>
      <c r="E32" s="4">
        <f>IF(Dashboard!H9&gt;0,"INCOMPLETE",IF(Dashboard!G9="N/A","--",IF(ISNUMBER(VALUE(SUBSTITUTE(Dashboard!G9,"%",""))),IF(VALUE(SUBSTITUTE(Dashboard!G9,"%",""))&gt;=90,"PASS",IF(VALUE(SUBSTITUTE(Dashboard!G9,"%",""))&gt;=70,"REVIEW","FAIL")),"--")))</f>
        <v/>
      </c>
    </row>
    <row r="34">
      <c r="A34" s="6" t="inlineStr">
        <is>
          <t>CRITICAL ISSUES</t>
        </is>
      </c>
    </row>
    <row r="35">
      <c r="A35" s="11" t="inlineStr">
        <is>
          <t>#</t>
        </is>
      </c>
      <c r="B35" s="11" t="inlineStr">
        <is>
          <t>Issue Description</t>
        </is>
      </c>
      <c r="C35" s="11" t="inlineStr">
        <is>
          <t>Domain</t>
        </is>
      </c>
      <c r="D35" s="11" t="inlineStr">
        <is>
          <t>Owner</t>
        </is>
      </c>
      <c r="E35" s="11" t="inlineStr">
        <is>
          <t>Due Date</t>
        </is>
      </c>
    </row>
    <row r="36">
      <c r="A36" s="4" t="n">
        <v>1</v>
      </c>
      <c r="B36" s="5" t="n"/>
      <c r="C36" s="5" t="n"/>
      <c r="D36" s="5" t="n"/>
      <c r="E36" s="5" t="n"/>
    </row>
    <row r="37">
      <c r="A37" s="4" t="n">
        <v>2</v>
      </c>
      <c r="B37" s="5" t="n"/>
      <c r="C37" s="5" t="n"/>
      <c r="D37" s="5" t="n"/>
      <c r="E37" s="5" t="n"/>
    </row>
    <row r="38">
      <c r="A38" s="4" t="n">
        <v>3</v>
      </c>
      <c r="B38" s="5" t="n"/>
      <c r="C38" s="5" t="n"/>
      <c r="D38" s="5" t="n"/>
      <c r="E38" s="5" t="n"/>
    </row>
    <row r="39">
      <c r="A39" s="4" t="n">
        <v>4</v>
      </c>
      <c r="B39" s="5" t="n"/>
      <c r="C39" s="5" t="n"/>
      <c r="D39" s="5" t="n"/>
      <c r="E39" s="5" t="n"/>
    </row>
    <row r="40">
      <c r="A40" s="4" t="n">
        <v>5</v>
      </c>
      <c r="B40" s="5" t="n"/>
      <c r="C40" s="5" t="n"/>
      <c r="D40" s="5" t="n"/>
      <c r="E40" s="5" t="n"/>
    </row>
    <row r="42">
      <c r="A42" s="6" t="inlineStr">
        <is>
          <t>MANAGEMENT COMMENTARY</t>
        </is>
      </c>
    </row>
    <row r="43" ht="60" customHeight="1">
      <c r="A43" s="12" t="inlineStr">
        <is>
          <t>[Enter management commentary on segregation of duties posture]</t>
        </is>
      </c>
    </row>
    <row r="44"/>
    <row r="45"/>
    <row r="47">
      <c r="A47" s="6" t="inlineStr">
        <is>
          <t>APPROVAL</t>
        </is>
      </c>
    </row>
    <row r="48">
      <c r="A48" s="13" t="inlineStr">
        <is>
          <t>Assessed By</t>
        </is>
      </c>
    </row>
    <row r="49">
      <c r="A49" s="14" t="inlineStr">
        <is>
          <t>Name:</t>
        </is>
      </c>
      <c r="B49" s="5" t="n"/>
    </row>
    <row r="50">
      <c r="A50" s="14" t="inlineStr">
        <is>
          <t>Date:</t>
        </is>
      </c>
      <c r="B50" s="5" t="n"/>
    </row>
    <row r="51">
      <c r="A51" s="14" t="inlineStr">
        <is>
          <t>Signature:</t>
        </is>
      </c>
      <c r="B51" s="5" t="n"/>
    </row>
    <row r="52">
      <c r="A52" s="14" t="inlineStr">
        <is>
          <t>Decision:</t>
        </is>
      </c>
      <c r="B52" s="5" t="n"/>
    </row>
    <row r="54">
      <c r="A54" s="13" t="inlineStr">
        <is>
          <t>Reviewed By (ISO Manager)</t>
        </is>
      </c>
    </row>
    <row r="55">
      <c r="A55" s="14" t="inlineStr">
        <is>
          <t>Name:</t>
        </is>
      </c>
      <c r="B55" s="5" t="n"/>
    </row>
    <row r="56">
      <c r="A56" s="14" t="inlineStr">
        <is>
          <t>Date:</t>
        </is>
      </c>
      <c r="B56" s="5" t="n"/>
    </row>
    <row r="57">
      <c r="A57" s="14" t="inlineStr">
        <is>
          <t>Signature:</t>
        </is>
      </c>
      <c r="B57" s="5" t="n"/>
    </row>
    <row r="58">
      <c r="A58" s="14" t="inlineStr">
        <is>
          <t>Decision:</t>
        </is>
      </c>
      <c r="B58" s="5" t="n"/>
    </row>
    <row r="60">
      <c r="A60" s="13" t="inlineStr">
        <is>
          <t>Approved By (CISO)</t>
        </is>
      </c>
    </row>
    <row r="61">
      <c r="A61" s="14" t="inlineStr">
        <is>
          <t>Name:</t>
        </is>
      </c>
      <c r="B61" s="5" t="n"/>
    </row>
    <row r="62">
      <c r="A62" s="14" t="inlineStr">
        <is>
          <t>Date:</t>
        </is>
      </c>
      <c r="B62" s="5" t="n"/>
    </row>
    <row r="63">
      <c r="A63" s="14" t="inlineStr">
        <is>
          <t>Signature:</t>
        </is>
      </c>
      <c r="B63" s="5" t="n"/>
    </row>
    <row r="64">
      <c r="A64" s="14" t="inlineStr">
        <is>
          <t>Decision:</t>
        </is>
      </c>
      <c r="B64" s="5" t="n"/>
    </row>
  </sheetData>
  <mergeCells count="12">
    <mergeCell ref="A12:H12"/>
    <mergeCell ref="A43:H45"/>
    <mergeCell ref="A48:B48"/>
    <mergeCell ref="A54:B54"/>
    <mergeCell ref="A25:H25"/>
    <mergeCell ref="A60:B60"/>
    <mergeCell ref="A16:H16"/>
    <mergeCell ref="A42:H42"/>
    <mergeCell ref="A47:H47"/>
    <mergeCell ref="A1:H1"/>
    <mergeCell ref="A3:B3"/>
    <mergeCell ref="A34:H34"/>
  </mergeCells>
  <dataValidations count="1">
    <dataValidation sqref="B52 B58 B64" showDropDown="0" showInputMessage="0" showErrorMessage="0" allowBlank="1" type="list">
      <formula1>"Approved,Approved with Conditions,Not Approved"</formula1>
    </dataValidation>
  </dataValidations>
  <pageMargins left="0.75" right="0.75" top="1" bottom="1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6" customWidth="1" min="5" max="5"/>
    <col width="10" customWidth="1" min="6" max="6"/>
    <col width="16" customWidth="1" min="7" max="7"/>
  </cols>
  <sheetData>
    <row r="1" ht="40" customHeight="1">
      <c r="A1" s="1" t="inlineStr">
        <is>
          <t>Segregation of Duties — Compliance Dashboard</t>
        </is>
      </c>
    </row>
    <row r="3">
      <c r="A3" s="11" t="inlineStr">
        <is>
          <t>Domain</t>
        </is>
      </c>
      <c r="B3" s="11" t="inlineStr">
        <is>
          <t>Total Reqs</t>
        </is>
      </c>
      <c r="C3" s="11" t="inlineStr">
        <is>
          <t>Compliant</t>
        </is>
      </c>
      <c r="D3" s="11" t="inlineStr">
        <is>
          <t>Partial</t>
        </is>
      </c>
      <c r="E3" s="11" t="inlineStr">
        <is>
          <t>Non-Compliant</t>
        </is>
      </c>
      <c r="F3" s="11" t="inlineStr">
        <is>
          <t>N/A</t>
        </is>
      </c>
      <c r="G3" s="11" t="inlineStr">
        <is>
          <t>Compliance %</t>
        </is>
      </c>
      <c r="H3" s="11" t="inlineStr">
        <is>
          <t>Unassessed</t>
        </is>
      </c>
    </row>
    <row r="4">
      <c r="A4" s="3" t="inlineStr">
        <is>
          <t>Conflicting Duties Ident</t>
        </is>
      </c>
      <c r="B4" s="15">
        <f>COUNTA('Conflicting Duties Ident'!A4:A10)</f>
        <v/>
      </c>
      <c r="C4" s="15">
        <f>COUNTIF('Conflicting Duties Ident'!D4:D10,"Compliant")</f>
        <v/>
      </c>
      <c r="D4" s="15">
        <f>COUNTIF('Conflicting Duties Ident'!D4:D10,"Partial")</f>
        <v/>
      </c>
      <c r="E4" s="15">
        <f>COUNTIF('Conflicting Duties Ident'!D4:D10,"Non-Compliant")</f>
        <v/>
      </c>
      <c r="F4" s="15">
        <f>COUNTIF('Conflicting Duties Ident'!D4:D10,"N/A")</f>
        <v/>
      </c>
      <c r="G4" s="15">
        <f>IF((B4-F4)=0,"N/A",ROUND(C4/(B4-F4)*100,1)&amp;"%")</f>
        <v/>
      </c>
      <c r="H4" s="15">
        <f>B4-(C4+D4+E4+F4)</f>
        <v/>
      </c>
    </row>
    <row r="5">
      <c r="A5" s="3" t="inlineStr">
        <is>
          <t>Small Team &amp; SME Comp Controls</t>
        </is>
      </c>
      <c r="B5" s="15">
        <f>COUNTA('Small Team &amp; SME Comp Controls'!A4:A12)</f>
        <v/>
      </c>
      <c r="C5" s="15">
        <f>COUNTIF('Small Team &amp; SME Comp Controls'!D4:D12,"Compliant")</f>
        <v/>
      </c>
      <c r="D5" s="15">
        <f>COUNTIF('Small Team &amp; SME Comp Controls'!D4:D12,"Partial")</f>
        <v/>
      </c>
      <c r="E5" s="15">
        <f>COUNTIF('Small Team &amp; SME Comp Controls'!D4:D12,"Non-Compliant")</f>
        <v/>
      </c>
      <c r="F5" s="15">
        <f>COUNTIF('Small Team &amp; SME Comp Controls'!D4:D12,"N/A")</f>
        <v/>
      </c>
      <c r="G5" s="15">
        <f>IF((B5-F5)=0,"N/A",ROUND(C5/(B5-F5)*100,1)&amp;"%")</f>
        <v/>
      </c>
      <c r="H5" s="15">
        <f>B5-(C5+D5+E5+F5)</f>
        <v/>
      </c>
    </row>
    <row r="6">
      <c r="A6" s="3" t="inlineStr">
        <is>
          <t>Technical Segregation Controls</t>
        </is>
      </c>
      <c r="B6" s="15">
        <f>COUNTA('Technical Segregation Controls'!A4:A15)</f>
        <v/>
      </c>
      <c r="C6" s="15">
        <f>COUNTIF('Technical Segregation Controls'!D4:D15,"Compliant")</f>
        <v/>
      </c>
      <c r="D6" s="15">
        <f>COUNTIF('Technical Segregation Controls'!D4:D15,"Partial")</f>
        <v/>
      </c>
      <c r="E6" s="15">
        <f>COUNTIF('Technical Segregation Controls'!D4:D15,"Non-Compliant")</f>
        <v/>
      </c>
      <c r="F6" s="15">
        <f>COUNTIF('Technical Segregation Controls'!D4:D15,"N/A")</f>
        <v/>
      </c>
      <c r="G6" s="15">
        <f>IF((B6-F6)=0,"N/A",ROUND(C6/(B6-F6)*100,1)&amp;"%")</f>
        <v/>
      </c>
      <c r="H6" s="15">
        <f>B6-(C6+D6+E6+F6)</f>
        <v/>
      </c>
    </row>
    <row r="7">
      <c r="A7" s="3" t="inlineStr">
        <is>
          <t>Exception Management</t>
        </is>
      </c>
      <c r="B7" s="15">
        <f>COUNTA('Exception Management'!A4:A9)</f>
        <v/>
      </c>
      <c r="C7" s="15">
        <f>COUNTIF('Exception Management'!D4:D9,"Compliant")</f>
        <v/>
      </c>
      <c r="D7" s="15">
        <f>COUNTIF('Exception Management'!D4:D9,"Partial")</f>
        <v/>
      </c>
      <c r="E7" s="15">
        <f>COUNTIF('Exception Management'!D4:D9,"Non-Compliant")</f>
        <v/>
      </c>
      <c r="F7" s="15">
        <f>COUNTIF('Exception Management'!D4:D9,"N/A")</f>
        <v/>
      </c>
      <c r="G7" s="15">
        <f>IF((B7-F7)=0,"N/A",ROUND(C7/(B7-F7)*100,1)&amp;"%")</f>
        <v/>
      </c>
      <c r="H7" s="15">
        <f>B7-(C7+D7+E7+F7)</f>
        <v/>
      </c>
    </row>
    <row r="8">
      <c r="A8" s="3" t="inlineStr">
        <is>
          <t>SoD Matrix Maintenance</t>
        </is>
      </c>
      <c r="B8" s="15">
        <f>COUNTA('SoD Matrix Maintenance'!A4:A6)</f>
        <v/>
      </c>
      <c r="C8" s="15">
        <f>COUNTIF('SoD Matrix Maintenance'!D4:D6,"Compliant")</f>
        <v/>
      </c>
      <c r="D8" s="15">
        <f>COUNTIF('SoD Matrix Maintenance'!D4:D6,"Partial")</f>
        <v/>
      </c>
      <c r="E8" s="15">
        <f>COUNTIF('SoD Matrix Maintenance'!D4:D6,"Non-Compliant")</f>
        <v/>
      </c>
      <c r="F8" s="15">
        <f>COUNTIF('SoD Matrix Maintenance'!D4:D6,"N/A")</f>
        <v/>
      </c>
      <c r="G8" s="15">
        <f>IF((B8-F8)=0,"N/A",ROUND(C8/(B8-F8)*100,1)&amp;"%")</f>
        <v/>
      </c>
      <c r="H8" s="15">
        <f>B8-(C8+D8+E8+F8)</f>
        <v/>
      </c>
    </row>
    <row r="9">
      <c r="A9" s="3" t="inlineStr">
        <is>
          <t>Compliance Measurement</t>
        </is>
      </c>
      <c r="B9" s="15">
        <f>COUNTA('Compliance Measurement'!A4:A5)</f>
        <v/>
      </c>
      <c r="C9" s="15">
        <f>COUNTIF('Compliance Measurement'!D4:D5,"Compliant")</f>
        <v/>
      </c>
      <c r="D9" s="15">
        <f>COUNTIF('Compliance Measurement'!D4:D5,"Partial")</f>
        <v/>
      </c>
      <c r="E9" s="15">
        <f>COUNTIF('Compliance Measurement'!D4:D5,"Non-Compliant")</f>
        <v/>
      </c>
      <c r="F9" s="15">
        <f>COUNTIF('Compliance Measurement'!D4:D5,"N/A")</f>
        <v/>
      </c>
      <c r="G9" s="15">
        <f>IF((B9-F9)=0,"N/A",ROUND(C9/(B9-F9)*100,1)&amp;"%")</f>
        <v/>
      </c>
      <c r="H9" s="15">
        <f>B9-(C9+D9+E9+F9)</f>
        <v/>
      </c>
    </row>
    <row r="10">
      <c r="A10" s="16" t="inlineStr">
        <is>
          <t>TOTAL</t>
        </is>
      </c>
      <c r="B10" s="16">
        <f>SUM(B4:B9)</f>
        <v/>
      </c>
      <c r="C10" s="16">
        <f>SUM(C4:C9)</f>
        <v/>
      </c>
      <c r="D10" s="16">
        <f>SUM(D4:D9)</f>
        <v/>
      </c>
      <c r="E10" s="16">
        <f>SUM(E4:E9)</f>
        <v/>
      </c>
      <c r="F10" s="16">
        <f>SUM(F4:F9)</f>
        <v/>
      </c>
      <c r="G10" s="16">
        <f>IF((B10-F10)=0,"N/A",ROUND(C10/(B10-F10)*100,1)&amp;"%")</f>
        <v/>
      </c>
      <c r="H10" s="16">
        <f>SUM(H4:H9)</f>
        <v/>
      </c>
    </row>
    <row r="12">
      <c r="A12" s="6" t="inlineStr">
        <is>
          <t>COMPLIANCE BY STATUS</t>
        </is>
      </c>
    </row>
    <row r="13">
      <c r="A13" s="3" t="inlineStr">
        <is>
          <t>Compliant</t>
        </is>
      </c>
      <c r="B13" s="17">
        <f>C10</f>
        <v/>
      </c>
      <c r="C13" s="4">
        <f>IF(B10=0,"",ROUND(B13/B10*100,1)&amp;"%")</f>
        <v/>
      </c>
    </row>
    <row r="14">
      <c r="A14" s="3" t="inlineStr">
        <is>
          <t>Partial</t>
        </is>
      </c>
      <c r="B14" s="18">
        <f>D10</f>
        <v/>
      </c>
      <c r="C14" s="4">
        <f>IF(B10=0,"",ROUND(B14/B10*100,1)&amp;"%")</f>
        <v/>
      </c>
    </row>
    <row r="15">
      <c r="A15" s="3" t="inlineStr">
        <is>
          <t>Non-Compliant</t>
        </is>
      </c>
      <c r="B15" s="19">
        <f>E10</f>
        <v/>
      </c>
      <c r="C15" s="4">
        <f>IF(B10=0,"",ROUND(B15/B10*100,1)&amp;"%")</f>
        <v/>
      </c>
    </row>
    <row r="16">
      <c r="A16" s="3" t="inlineStr">
        <is>
          <t>N/A</t>
        </is>
      </c>
      <c r="B16" s="20">
        <f>F10</f>
        <v/>
      </c>
      <c r="C16" s="4">
        <f>IF(B10=0,"",ROUND(B16/B10*100,1)&amp;"%")</f>
        <v/>
      </c>
    </row>
    <row r="18">
      <c r="A18" s="6" t="inlineStr">
        <is>
          <t>TOP GAPS (Manual Entry)</t>
        </is>
      </c>
    </row>
    <row r="19">
      <c r="A19" s="11" t="inlineStr">
        <is>
          <t>Priority</t>
        </is>
      </c>
      <c r="B19" s="11" t="inlineStr">
        <is>
          <t>Domain</t>
        </is>
      </c>
      <c r="C19" s="11" t="inlineStr">
        <is>
          <t>Requirement</t>
        </is>
      </c>
      <c r="D19" s="11" t="inlineStr">
        <is>
          <t>Owner</t>
        </is>
      </c>
      <c r="E19" s="11" t="inlineStr">
        <is>
          <t>Due Date</t>
        </is>
      </c>
      <c r="F19" s="11" t="inlineStr">
        <is>
          <t>Status</t>
        </is>
      </c>
    </row>
    <row r="20">
      <c r="A20" s="5" t="n"/>
      <c r="B20" s="5" t="n"/>
      <c r="C20" s="5" t="n"/>
      <c r="D20" s="5" t="n"/>
      <c r="E20" s="5" t="n"/>
      <c r="F20" s="5" t="n"/>
    </row>
    <row r="21">
      <c r="A21" s="5" t="n"/>
      <c r="B21" s="5" t="n"/>
      <c r="C21" s="5" t="n"/>
      <c r="D21" s="5" t="n"/>
      <c r="E21" s="5" t="n"/>
      <c r="F21" s="5" t="n"/>
    </row>
    <row r="22">
      <c r="A22" s="5" t="n"/>
      <c r="B22" s="5" t="n"/>
      <c r="C22" s="5" t="n"/>
      <c r="D22" s="5" t="n"/>
      <c r="E22" s="5" t="n"/>
      <c r="F22" s="5" t="n"/>
    </row>
    <row r="23">
      <c r="A23" s="5" t="n"/>
      <c r="B23" s="5" t="n"/>
      <c r="C23" s="5" t="n"/>
      <c r="D23" s="5" t="n"/>
      <c r="E23" s="5" t="n"/>
      <c r="F23" s="5" t="n"/>
    </row>
    <row r="24">
      <c r="A24" s="5" t="n"/>
      <c r="B24" s="5" t="n"/>
      <c r="C24" s="5" t="n"/>
      <c r="D24" s="5" t="n"/>
      <c r="E24" s="5" t="n"/>
      <c r="F24" s="5" t="n"/>
    </row>
    <row r="25">
      <c r="A25" s="5" t="n"/>
      <c r="B25" s="5" t="n"/>
      <c r="C25" s="5" t="n"/>
      <c r="D25" s="5" t="n"/>
      <c r="E25" s="5" t="n"/>
      <c r="F25" s="5" t="n"/>
    </row>
    <row r="26">
      <c r="A26" s="5" t="n"/>
      <c r="B26" s="5" t="n"/>
      <c r="C26" s="5" t="n"/>
      <c r="D26" s="5" t="n"/>
      <c r="E26" s="5" t="n"/>
      <c r="F26" s="5" t="n"/>
    </row>
    <row r="27">
      <c r="A27" s="5" t="n"/>
      <c r="B27" s="5" t="n"/>
      <c r="C27" s="5" t="n"/>
      <c r="D27" s="5" t="n"/>
      <c r="E27" s="5" t="n"/>
      <c r="F27" s="5" t="n"/>
    </row>
    <row r="28">
      <c r="A28" s="5" t="n"/>
      <c r="B28" s="5" t="n"/>
      <c r="C28" s="5" t="n"/>
      <c r="D28" s="5" t="n"/>
      <c r="E28" s="5" t="n"/>
      <c r="F28" s="5" t="n"/>
    </row>
    <row r="29">
      <c r="A29" s="5" t="n"/>
      <c r="B29" s="5" t="n"/>
      <c r="C29" s="5" t="n"/>
      <c r="D29" s="5" t="n"/>
      <c r="E29" s="5" t="n"/>
      <c r="F29" s="5" t="n"/>
    </row>
    <row r="31">
      <c r="A31" s="6" t="inlineStr">
        <is>
          <t>COMPLIANCE TREND (Manual Entry)</t>
        </is>
      </c>
    </row>
    <row r="32">
      <c r="A32" s="11" t="inlineStr">
        <is>
          <t>Assessment Date</t>
        </is>
      </c>
      <c r="B32" s="11" t="inlineStr">
        <is>
          <t>Overall %</t>
        </is>
      </c>
      <c r="C32" s="11" t="inlineStr">
        <is>
          <t>Compliant</t>
        </is>
      </c>
      <c r="D32" s="11" t="inlineStr">
        <is>
          <t>Gaps</t>
        </is>
      </c>
      <c r="E32" s="11" t="inlineStr">
        <is>
          <t>Assessor</t>
        </is>
      </c>
      <c r="F32" s="11" t="inlineStr">
        <is>
          <t>Notes</t>
        </is>
      </c>
    </row>
    <row r="33">
      <c r="A33" s="5" t="n"/>
      <c r="B33" s="5" t="n"/>
      <c r="C33" s="5" t="n"/>
      <c r="D33" s="5" t="n"/>
      <c r="E33" s="5" t="n"/>
      <c r="F33" s="5" t="n"/>
    </row>
    <row r="34">
      <c r="A34" s="5" t="n"/>
      <c r="B34" s="5" t="n"/>
      <c r="C34" s="5" t="n"/>
      <c r="D34" s="5" t="n"/>
      <c r="E34" s="5" t="n"/>
      <c r="F34" s="5" t="n"/>
    </row>
    <row r="35">
      <c r="A35" s="5" t="n"/>
      <c r="B35" s="5" t="n"/>
      <c r="C35" s="5" t="n"/>
      <c r="D35" s="5" t="n"/>
      <c r="E35" s="5" t="n"/>
      <c r="F35" s="5" t="n"/>
    </row>
    <row r="36">
      <c r="A36" s="5" t="n"/>
      <c r="B36" s="5" t="n"/>
      <c r="C36" s="5" t="n"/>
      <c r="D36" s="5" t="n"/>
      <c r="E36" s="5" t="n"/>
      <c r="F36" s="5" t="n"/>
    </row>
  </sheetData>
  <mergeCells count="4">
    <mergeCell ref="A31:G31"/>
    <mergeCell ref="A1:G1"/>
    <mergeCell ref="A12:G12"/>
    <mergeCell ref="A18:G18"/>
  </mergeCells>
  <dataValidations count="1">
    <dataValidation sqref="F20 F21 F22 F23 F24 F25 F26 F27 F28 F29" showDropDown="0" showInputMessage="0" showErrorMessage="0" allowBlank="1" type="list">
      <formula1>"Open,In Progress,Closed,Deferred"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472C4"/>
    <outlinePr summaryBelow="1" summaryRight="1"/>
    <pageSetUpPr/>
  </sheetPr>
  <dimension ref="A1:H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Conflicting Duties Ident — Compliance Checklist</t>
        </is>
      </c>
    </row>
    <row r="2">
      <c r="A2" s="21" t="inlineStr">
        <is>
          <t>ISO/IEC 27001:2022 — Control A.5.3: Segregation of Duties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A.5.3-01</t>
        </is>
      </c>
      <c r="B4" s="23" t="inlineStr">
        <is>
          <t>Maintain A Documented Sod Matrix</t>
        </is>
      </c>
      <c r="C4" s="24" t="inlineStr">
        <is>
          <t>The organisation shall maintain a documented SoD matrix identifying duty combinations that require segregation. The following categories provide the baseline:.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A.5.3-02</t>
        </is>
      </c>
      <c r="B5" s="23" t="inlineStr">
        <is>
          <t>The Following Duty Combinations</t>
        </is>
      </c>
      <c r="C5" s="24" t="inlineStr">
        <is>
          <t>The following duty combinations shall be segregated:.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A.5.3-03</t>
        </is>
      </c>
      <c r="B6" s="23" t="inlineStr">
        <is>
          <t>The Following Duty Combinations</t>
        </is>
      </c>
      <c r="C6" s="24" t="inlineStr">
        <is>
          <t>The following duty combinations shall be segregated:.</t>
        </is>
      </c>
      <c r="D6" s="25" t="n"/>
      <c r="E6" s="5" t="n"/>
      <c r="F6" s="5" t="n"/>
      <c r="G6" s="26" t="n"/>
      <c r="H6" s="5" t="n"/>
    </row>
    <row r="7" ht="40" customHeight="1">
      <c r="A7" s="22" t="inlineStr">
        <is>
          <t>A.5.3-04</t>
        </is>
      </c>
      <c r="B7" s="23" t="inlineStr">
        <is>
          <t>The Following Duty Combinations</t>
        </is>
      </c>
      <c r="C7" s="24" t="inlineStr">
        <is>
          <t>The following duty combinations shall be segregated:.</t>
        </is>
      </c>
      <c r="D7" s="25" t="n"/>
      <c r="E7" s="5" t="n"/>
      <c r="F7" s="5" t="n"/>
      <c r="G7" s="26" t="n"/>
      <c r="H7" s="5" t="n"/>
    </row>
    <row r="8" ht="40" customHeight="1">
      <c r="A8" s="22" t="inlineStr">
        <is>
          <t>A.5.3-05</t>
        </is>
      </c>
      <c r="B8" s="23" t="inlineStr">
        <is>
          <t>The Following Duty Combinations</t>
        </is>
      </c>
      <c r="C8" s="24" t="inlineStr">
        <is>
          <t>The following duty combinations shall be segregated:.</t>
        </is>
      </c>
      <c r="D8" s="25" t="n"/>
      <c r="E8" s="5" t="n"/>
      <c r="F8" s="5" t="n"/>
      <c r="G8" s="26" t="n"/>
      <c r="H8" s="5" t="n"/>
    </row>
    <row r="9" ht="40" customHeight="1">
      <c r="A9" s="22" t="inlineStr">
        <is>
          <t>A.5.3-06</t>
        </is>
      </c>
      <c r="B9" s="23" t="inlineStr">
        <is>
          <t>Department Heads</t>
        </is>
      </c>
      <c r="C9" s="24" t="inlineStr">
        <is>
          <t>Department heads shall review the SoD matrix annually for their area and report any newly identified conflicts to the CISO. The CISO shall maintain the consolidated organisational SoD matrix in [GRC Tool] or equivalent register.</t>
        </is>
      </c>
      <c r="D9" s="25" t="n"/>
      <c r="E9" s="5" t="n"/>
      <c r="F9" s="5" t="n"/>
      <c r="G9" s="26" t="n"/>
      <c r="H9" s="5" t="n"/>
    </row>
    <row r="10" ht="40" customHeight="1">
      <c r="A10" s="22" t="inlineStr">
        <is>
          <t>A.5.3-07</t>
        </is>
      </c>
      <c r="B10" s="23" t="inlineStr">
        <is>
          <t>&gt; Where A Dedicated Grc Tool</t>
        </is>
      </c>
      <c r="C10" s="24" t="inlineStr">
        <is>
          <t>&gt; Where a dedicated GRC tool is not yet deployed, the organisation shall maintain registers in controlled shared storage with version control, access logging, and quarterly integrity verification by the CISO.</t>
        </is>
      </c>
      <c r="D10" s="25" t="n"/>
      <c r="E10" s="5" t="n"/>
      <c r="F10" s="5" t="n"/>
      <c r="G10" s="26" t="n"/>
      <c r="H10" s="5" t="n"/>
    </row>
  </sheetData>
  <mergeCells count="2">
    <mergeCell ref="A2:H2"/>
    <mergeCell ref="A1:H1"/>
  </mergeCells>
  <conditionalFormatting sqref="D4:D10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 D7 D8 D9 D10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472C4"/>
    <outlinePr summaryBelow="1" summaryRight="1"/>
    <pageSetUpPr/>
  </sheetPr>
  <dimension ref="A1:H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Small Team &amp; SME Comp Controls — Compliance Checklist</t>
        </is>
      </c>
    </row>
    <row r="2">
      <c r="A2" s="21" t="inlineStr">
        <is>
          <t>ISO/IEC 27001:2022 — Control A.5.3: Segregation of Duties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A.5.3-08</t>
        </is>
      </c>
      <c r="B4" s="23" t="inlineStr">
        <is>
          <t>Where Segregation Cannot Be Fully</t>
        </is>
      </c>
      <c r="C4" s="24" t="inlineStr">
        <is>
          <t>Where segregation cannot be fully achieved due to limited personnel — a common situation in small and medium-sized organisations — compensating controls shall be implemented to provide equivalent risk mitigation.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A.5.3-09</t>
        </is>
      </c>
      <c r="B5" s="23" t="inlineStr">
        <is>
          <t>All Five Of The Following Compensating</t>
        </is>
      </c>
      <c r="C5" s="24" t="inlineStr">
        <is>
          <t>When full duty segregation is not feasible, all five of the following compensating controls shall be implemented for each identified conflict:.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A.5.3-10</t>
        </is>
      </c>
      <c r="B6" s="23" t="inlineStr">
        <is>
          <t>An Independent Party</t>
        </is>
      </c>
      <c r="C6" s="24" t="inlineStr">
        <is>
          <t>An independent party shall review the process quarterly at minimum. The review shall include:.</t>
        </is>
      </c>
      <c r="D6" s="25" t="n"/>
      <c r="E6" s="5" t="n"/>
      <c r="F6" s="5" t="n"/>
      <c r="G6" s="26" t="n"/>
      <c r="H6" s="5" t="n"/>
    </row>
    <row r="7" ht="40" customHeight="1">
      <c r="A7" s="22" t="inlineStr">
        <is>
          <t>A.5.3-11</t>
        </is>
      </c>
      <c r="B7" s="23" t="inlineStr">
        <is>
          <t>Review Documentation*: Each Quarterly</t>
        </is>
      </c>
      <c r="C7" s="24" t="inlineStr">
        <is>
          <t>Review documentation*: Each quarterly review shall produce a written report documenting scope, findings, issues identified, and recommendations. Reports retained for 3 years.</t>
        </is>
      </c>
      <c r="D7" s="25" t="n"/>
      <c r="E7" s="5" t="n"/>
      <c r="F7" s="5" t="n"/>
      <c r="G7" s="26" t="n"/>
      <c r="H7" s="5" t="n"/>
    </row>
    <row r="8" ht="40" customHeight="1">
      <c r="A8" s="22" t="inlineStr">
        <is>
          <t>A.5.3-12</t>
        </is>
      </c>
      <c r="B8" s="23" t="inlineStr">
        <is>
          <t>Issue Escalation*: Issues Identified</t>
        </is>
      </c>
      <c r="C8" s="24" t="inlineStr">
        <is>
          <t>Issue escalation*: Issues identified during independent review shall be escalated to the CISO within 5 business days and resolved within 30 calendar days.</t>
        </is>
      </c>
      <c r="D8" s="25" t="n"/>
      <c r="E8" s="5" t="n"/>
      <c r="F8" s="5" t="n"/>
      <c r="G8" s="26" t="n"/>
      <c r="H8" s="5" t="n"/>
    </row>
    <row r="9" ht="40" customHeight="1">
      <c r="A9" s="22" t="inlineStr">
        <is>
          <t>A.5.3-13</t>
        </is>
      </c>
      <c r="B9" s="23" t="inlineStr">
        <is>
          <t>Compensating Control Arrangement</t>
        </is>
      </c>
      <c r="C9" s="24" t="inlineStr">
        <is>
          <t>Each compensating control arrangement shall be formally documented with:.</t>
        </is>
      </c>
      <c r="D9" s="25" t="n"/>
      <c r="E9" s="5" t="n"/>
      <c r="F9" s="5" t="n"/>
      <c r="G9" s="26" t="n"/>
      <c r="H9" s="5" t="n"/>
    </row>
    <row r="10" ht="40" customHeight="1">
      <c r="A10" s="22" t="inlineStr">
        <is>
          <t>A.5.3-14</t>
        </is>
      </c>
      <c r="B10" s="23" t="inlineStr">
        <is>
          <t>Compensating Control Documentation</t>
        </is>
      </c>
      <c r="C10" s="24" t="inlineStr">
        <is>
          <t>Compensating control documentation shall be maintained in [GRC Tool] or an equivalent register accessible to the CISO and Internal Audit.</t>
        </is>
      </c>
      <c r="D10" s="25" t="n"/>
      <c r="E10" s="5" t="n"/>
      <c r="F10" s="5" t="n"/>
      <c r="G10" s="26" t="n"/>
      <c r="H10" s="5" t="n"/>
    </row>
    <row r="11" ht="40" customHeight="1">
      <c r="A11" s="22" t="inlineStr">
        <is>
          <t>A.5.3-15</t>
        </is>
      </c>
      <c r="B11" s="23" t="inlineStr">
        <is>
          <t>Compensating Control Arrangements</t>
        </is>
      </c>
      <c r="C11" s="24" t="inlineStr">
        <is>
          <t>Compensating control arrangements shall be re-evaluated when:.</t>
        </is>
      </c>
      <c r="D11" s="25" t="n"/>
      <c r="E11" s="5" t="n"/>
      <c r="F11" s="5" t="n"/>
      <c r="G11" s="26" t="n"/>
      <c r="H11" s="5" t="n"/>
    </row>
    <row r="12" ht="40" customHeight="1">
      <c r="A12" s="22" t="inlineStr">
        <is>
          <t>A.5.3-16</t>
        </is>
      </c>
      <c r="B12" s="23" t="inlineStr">
        <is>
          <t>The Effectiveness Of Compensating</t>
        </is>
      </c>
      <c r="C12" s="24" t="inlineStr">
        <is>
          <t>The effectiveness of compensating controls shall be verified through:.</t>
        </is>
      </c>
      <c r="D12" s="25" t="n"/>
      <c r="E12" s="5" t="n"/>
      <c r="F12" s="5" t="n"/>
      <c r="G12" s="26" t="n"/>
      <c r="H12" s="5" t="n"/>
    </row>
  </sheetData>
  <mergeCells count="2">
    <mergeCell ref="A2:H2"/>
    <mergeCell ref="A1:H1"/>
  </mergeCells>
  <conditionalFormatting sqref="D4:D12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 D7 D8 D9 D10 D11 D12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472C4"/>
    <outlinePr summaryBelow="1" summaryRight="1"/>
    <pageSetUpPr/>
  </sheetPr>
  <dimension ref="A1:H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Technical Segregation Controls — Compliance Checklist</t>
        </is>
      </c>
    </row>
    <row r="2">
      <c r="A2" s="21" t="inlineStr">
        <is>
          <t>ISO/IEC 27001:2022 — Control A.5.3: Segregation of Duties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A.5.3-17</t>
        </is>
      </c>
      <c r="B4" s="23" t="inlineStr">
        <is>
          <t>Information Systems Supporting</t>
        </is>
      </c>
      <c r="C4" s="24" t="inlineStr">
        <is>
          <t>Information systems supporting segregated processes shall implement the following technical controls:.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A.5.3-18</t>
        </is>
      </c>
      <c r="B5" s="23" t="inlineStr">
        <is>
          <t>Role-Based Access Control (Rbac): Roles</t>
        </is>
      </c>
      <c r="C5" s="24" t="inlineStr">
        <is>
          <t>Role-based access control (RBAC): Roles shall be defined in the identity provider or application to enforce duty separation. Conflicting roles shall be documented as mutually exclusive.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A.5.3-19</t>
        </is>
      </c>
      <c r="B6" s="23" t="inlineStr">
        <is>
          <t>Mutual Exclusion Constraints: The Access</t>
        </is>
      </c>
      <c r="C6" s="24" t="inlineStr">
        <is>
          <t>Mutual exclusion constraints: The access control system ([Identity Provider / ERP / HR System]) shall prevent a single user from holding conflicting roles simultaneously. Where the system does not natively support mutual exclusion, a manual review shall be conducted at every access provisioning event.</t>
        </is>
      </c>
      <c r="D6" s="25" t="n"/>
      <c r="E6" s="5" t="n"/>
      <c r="F6" s="5" t="n"/>
      <c r="G6" s="26" t="n"/>
      <c r="H6" s="5" t="n"/>
    </row>
    <row r="7" ht="40" customHeight="1">
      <c r="A7" s="22" t="inlineStr">
        <is>
          <t>A.5.3-20</t>
        </is>
      </c>
      <c r="B7" s="23" t="inlineStr">
        <is>
          <t>Workflow Controls: Multi-Step Business</t>
        </is>
      </c>
      <c r="C7" s="24" t="inlineStr">
        <is>
          <t>Workflow controls: Multi-step business processes shall require different authorised individuals at each approval stage. Self-approval shall be technically blocked where feasible and prohibited by policy in all cases.</t>
        </is>
      </c>
      <c r="D7" s="25" t="n"/>
      <c r="E7" s="5" t="n"/>
      <c r="F7" s="5" t="n"/>
      <c r="G7" s="26" t="n"/>
      <c r="H7" s="5" t="n"/>
    </row>
    <row r="8" ht="40" customHeight="1">
      <c r="A8" s="22" t="inlineStr">
        <is>
          <t>A.5.3-21</t>
        </is>
      </c>
      <c r="B8" s="23" t="inlineStr">
        <is>
          <t>Privileged Access Management: Privileged</t>
        </is>
      </c>
      <c r="C8" s="24" t="inlineStr">
        <is>
          <t>Privileged access management: Privileged accounts shall be separate from standard accounts. No individual shall approve their own elevated access requests.</t>
        </is>
      </c>
      <c r="D8" s="25" t="n"/>
      <c r="E8" s="5" t="n"/>
      <c r="F8" s="5" t="n"/>
      <c r="G8" s="26" t="n"/>
      <c r="H8" s="5" t="n"/>
    </row>
    <row r="9" ht="40" customHeight="1">
      <c r="A9" s="22" t="inlineStr">
        <is>
          <t>A.5.3-22</t>
        </is>
      </c>
      <c r="B9" s="23" t="inlineStr">
        <is>
          <t>Automated Systems: Mutual Exclusion</t>
        </is>
      </c>
      <c r="C9" s="24" t="inlineStr">
        <is>
          <t>Automated systems: Mutual exclusion constraints shall be tested annually by attempting to assign conflicting roles to a test user and verifying the system blocks the assignment. Test results documented.</t>
        </is>
      </c>
      <c r="D9" s="25" t="n"/>
      <c r="E9" s="5" t="n"/>
      <c r="F9" s="5" t="n"/>
      <c r="G9" s="26" t="n"/>
      <c r="H9" s="5" t="n"/>
    </row>
    <row r="10" ht="40" customHeight="1">
      <c r="A10" s="22" t="inlineStr">
        <is>
          <t>A.5.3-23</t>
        </is>
      </c>
      <c r="B10" s="23" t="inlineStr">
        <is>
          <t>Manual Review Systems: Access</t>
        </is>
      </c>
      <c r="C10" s="24" t="inlineStr">
        <is>
          <t>Manual review systems: Access provisioning checklists shall include SoD conflict check with documented verification before access grant. Provisioner shall reference SoD matrix and confirm no conflicts.</t>
        </is>
      </c>
      <c r="D10" s="25" t="n"/>
      <c r="E10" s="5" t="n"/>
      <c r="F10" s="5" t="n"/>
      <c r="G10" s="26" t="n"/>
      <c r="H10" s="5" t="n"/>
    </row>
    <row r="11" ht="40" customHeight="1">
      <c r="A11" s="22" t="inlineStr">
        <is>
          <t>A.5.3-24</t>
        </is>
      </c>
      <c r="B11" s="23" t="inlineStr">
        <is>
          <t>Quarterly Access Review: All User Role</t>
        </is>
      </c>
      <c r="C11" s="24" t="inlineStr">
        <is>
          <t>Quarterly access review: All user role assignments shall be compared against SoD matrix to detect any conflicts that bypassed provisioning controls. Findings resolved within 30 calendar days.</t>
        </is>
      </c>
      <c r="D11" s="25" t="n"/>
      <c r="E11" s="5" t="n"/>
      <c r="F11" s="5" t="n"/>
      <c r="G11" s="26" t="n"/>
      <c r="H11" s="5" t="n"/>
    </row>
    <row r="12" ht="40" customHeight="1">
      <c r="A12" s="22" t="inlineStr">
        <is>
          <t>A.5.3-25</t>
        </is>
      </c>
      <c r="B12" s="23" t="inlineStr">
        <is>
          <t>Immutable Logging: All Activities In</t>
        </is>
      </c>
      <c r="C12" s="24" t="inlineStr">
        <is>
          <t>Immutable logging: All activities in segregated processes shall be logged to a centralised logging platform ([SIEM] or equivalent) that the process participants cannot modify or delete.</t>
        </is>
      </c>
      <c r="D12" s="25" t="n"/>
      <c r="E12" s="5" t="n"/>
      <c r="F12" s="5" t="n"/>
      <c r="G12" s="26" t="n"/>
      <c r="H12" s="5" t="n"/>
    </row>
    <row r="13" ht="40" customHeight="1">
      <c r="A13" s="22" t="inlineStr">
        <is>
          <t>A.5.3-26</t>
        </is>
      </c>
      <c r="B13" s="23" t="inlineStr">
        <is>
          <t>Actor Identification: Logs</t>
        </is>
      </c>
      <c r="C13" s="24" t="inlineStr">
        <is>
          <t>Actor identification: Logs shall clearly identify the individual performing each action at every stage of the process.</t>
        </is>
      </c>
      <c r="D13" s="25" t="n"/>
      <c r="E13" s="5" t="n"/>
      <c r="F13" s="5" t="n"/>
      <c r="G13" s="26" t="n"/>
      <c r="H13" s="5" t="n"/>
    </row>
    <row r="14" ht="40" customHeight="1">
      <c r="A14" s="22" t="inlineStr">
        <is>
          <t>A.5.3-27</t>
        </is>
      </c>
      <c r="B14" s="23" t="inlineStr">
        <is>
          <t>Timestamp And Action Recording: All</t>
        </is>
      </c>
      <c r="C14" s="24" t="inlineStr">
        <is>
          <t>Timestamp and action recording: All approvals, modifications, and process completions shall be recorded with accurate timestamps.</t>
        </is>
      </c>
      <c r="D14" s="25" t="n"/>
      <c r="E14" s="5" t="n"/>
      <c r="F14" s="5" t="n"/>
      <c r="G14" s="26" t="n"/>
      <c r="H14" s="5" t="n"/>
    </row>
    <row r="15" ht="40" customHeight="1">
      <c r="A15" s="22" t="inlineStr">
        <is>
          <t>A.5.3-28</t>
        </is>
      </c>
      <c r="B15" s="23" t="inlineStr">
        <is>
          <t>Log Protection: Audit Logs</t>
        </is>
      </c>
      <c r="C15" s="24" t="inlineStr">
        <is>
          <t>Log protection: Audit logs shall be protected against modification or deletion per the Logging Policy. Acceptable implementations include write-once storage, restricted administrator access with separate log reviewer, retention locks, or centralised log aggregation with integrity verification.</t>
        </is>
      </c>
      <c r="D15" s="25" t="n"/>
      <c r="E15" s="5" t="n"/>
      <c r="F15" s="5" t="n"/>
      <c r="G15" s="26" t="n"/>
      <c r="H15" s="5" t="n"/>
    </row>
  </sheetData>
  <mergeCells count="2">
    <mergeCell ref="A2:H2"/>
    <mergeCell ref="A1:H1"/>
  </mergeCells>
  <conditionalFormatting sqref="D4:D15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 D7 D8 D9 D10 D11 D12 D13 D14 D15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472C4"/>
    <outlinePr summaryBelow="1" summaryRight="1"/>
    <pageSetUpPr/>
  </sheetPr>
  <dimension ref="A1:H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Exception Management — Compliance Checklist</t>
        </is>
      </c>
    </row>
    <row r="2">
      <c r="A2" s="21" t="inlineStr">
        <is>
          <t>ISO/IEC 27001:2022 — Control A.5.3: Segregation of Duties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A.5.3-29</t>
        </is>
      </c>
      <c r="B4" s="23" t="inlineStr">
        <is>
          <t>Exceptions To Segregation Requirements</t>
        </is>
      </c>
      <c r="C4" s="24" t="inlineStr">
        <is>
          <t>Exceptions to segregation requirements shall be managed through a formal process. Self-approval of segregation exceptions is never permitted.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A.5.3-30</t>
        </is>
      </c>
      <c r="B5" s="23" t="inlineStr">
        <is>
          <t>Full Review Within 24 Hours Of</t>
        </is>
      </c>
      <c r="C5" s="24" t="inlineStr">
        <is>
          <t>Full review within 24 hours of exception end — the CISO or delegate shall verify that compensating controls were effective and no irregularities occurred. Review sign-off documented.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A.5.3-31</t>
        </is>
      </c>
      <c r="B6" s="23" t="inlineStr">
        <is>
          <t>Emergency Exception Log*: All Emergency</t>
        </is>
      </c>
      <c r="C6" s="24" t="inlineStr">
        <is>
          <t>Emergency exception log*: All emergency exceptions shall be logged in the Exception Register with 'Emergency' flag.</t>
        </is>
      </c>
      <c r="D6" s="25" t="n"/>
      <c r="E6" s="5" t="n"/>
      <c r="F6" s="5" t="n"/>
      <c r="G6" s="26" t="n"/>
      <c r="H6" s="5" t="n"/>
    </row>
    <row r="7" ht="40" customHeight="1">
      <c r="A7" s="22" t="inlineStr">
        <is>
          <t>A.5.3-32</t>
        </is>
      </c>
      <c r="B7" s="23" t="inlineStr">
        <is>
          <t>The Following Exceptions</t>
        </is>
      </c>
      <c r="C7" s="24" t="inlineStr">
        <is>
          <t>The following exceptions shall not be granted under any circumstances:.</t>
        </is>
      </c>
      <c r="D7" s="25" t="n"/>
      <c r="E7" s="5" t="n"/>
      <c r="F7" s="5" t="n"/>
      <c r="G7" s="26" t="n"/>
      <c r="H7" s="5" t="n"/>
    </row>
    <row r="8" ht="40" customHeight="1">
      <c r="A8" s="22" t="inlineStr">
        <is>
          <t>A.5.3-33</t>
        </is>
      </c>
      <c r="B8" s="23" t="inlineStr">
        <is>
          <t>Be Recorded In The Exception Register</t>
        </is>
      </c>
      <c r="C8" s="24" t="inlineStr">
        <is>
          <t>All exceptions shall be recorded in the Exception Register maintained in [GRC Tool] or equivalent. Each record shall include:.</t>
        </is>
      </c>
      <c r="D8" s="25" t="n"/>
      <c r="E8" s="5" t="n"/>
      <c r="F8" s="5" t="n"/>
      <c r="G8" s="26" t="n"/>
      <c r="H8" s="5" t="n"/>
    </row>
    <row r="9" ht="40" customHeight="1">
      <c r="A9" s="22" t="inlineStr">
        <is>
          <t>A.5.3-34</t>
        </is>
      </c>
      <c r="B9" s="23" t="inlineStr">
        <is>
          <t>The Ciso</t>
        </is>
      </c>
      <c r="C9" s="24" t="inlineStr">
        <is>
          <t>The CISO shall review the Exception Register monthly and report active exceptions to Executive Management quarterly.</t>
        </is>
      </c>
      <c r="D9" s="25" t="n"/>
      <c r="E9" s="5" t="n"/>
      <c r="F9" s="5" t="n"/>
      <c r="G9" s="26" t="n"/>
      <c r="H9" s="5" t="n"/>
    </row>
  </sheetData>
  <mergeCells count="2">
    <mergeCell ref="A2:H2"/>
    <mergeCell ref="A1:H1"/>
  </mergeCells>
  <conditionalFormatting sqref="D4:D9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 D7 D8 D9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4472C4"/>
    <outlinePr summaryBelow="1" summaryRight="1"/>
    <pageSetUpPr/>
  </sheetPr>
  <dimension ref="A1:H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SoD Matrix Maintenance — Compliance Checklist</t>
        </is>
      </c>
    </row>
    <row r="2">
      <c r="A2" s="21" t="inlineStr">
        <is>
          <t>ISO/IEC 27001:2022 — Control A.5.3: Segregation of Duties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A.5.3-35</t>
        </is>
      </c>
      <c r="B4" s="23" t="inlineStr">
        <is>
          <t>The Organisational Sod Matrix</t>
        </is>
      </c>
      <c r="C4" s="24" t="inlineStr">
        <is>
          <t>The organisational SoD matrix shall be reviewed and updated annually. The review shall:.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A.5.3-36</t>
        </is>
      </c>
      <c r="B5" s="23" t="inlineStr">
        <is>
          <t>It Operations</t>
        </is>
      </c>
      <c r="C5" s="24" t="inlineStr">
        <is>
          <t>IT Operations shall generate access reports quarterly from the identity provider and application access systems. The CISO shall compare these reports against the SoD matrix to verify:.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A.5.3-37</t>
        </is>
      </c>
      <c r="B6" s="23" t="inlineStr">
        <is>
          <t>Be Documented And Conflicts Resolved</t>
        </is>
      </c>
      <c r="C6" s="24" t="inlineStr">
        <is>
          <t>Findings shall be documented and conflicts resolved within 30 calendar days of discovery.</t>
        </is>
      </c>
      <c r="D6" s="25" t="n"/>
      <c r="E6" s="5" t="n"/>
      <c r="F6" s="5" t="n"/>
      <c r="G6" s="26" t="n"/>
      <c r="H6" s="5" t="n"/>
    </row>
  </sheetData>
  <mergeCells count="2">
    <mergeCell ref="A2:H2"/>
    <mergeCell ref="A1:H1"/>
  </mergeCells>
  <conditionalFormatting sqref="D4:D6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4472C4"/>
    <outlinePr summaryBelow="1" summaryRight="1"/>
    <pageSetUpPr/>
  </sheetPr>
  <dimension ref="A1:H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Compliance Measurement — Compliance Checklist</t>
        </is>
      </c>
    </row>
    <row r="2">
      <c r="A2" s="21" t="inlineStr">
        <is>
          <t>ISO/IEC 27001:2022 — Control A.5.3: Segregation of Duties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A.5.3-38</t>
        </is>
      </c>
      <c r="B4" s="23" t="inlineStr">
        <is>
          <t>The Following Metrics</t>
        </is>
      </c>
      <c r="C4" s="24" t="inlineStr">
        <is>
          <t>The following metrics shall be tracked and reported to the CISO quarterly:.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A.5.3-39</t>
        </is>
      </c>
      <c r="B5" s="23" t="inlineStr">
        <is>
          <t>Metrics Breaching Red Thresholds</t>
        </is>
      </c>
      <c r="C5" s="24" t="inlineStr">
        <is>
          <t>Metrics breaching red thresholds shall be escalated to the CISO for immediate attention and reported at the next Management Review.</t>
        </is>
      </c>
      <c r="D5" s="25" t="n"/>
      <c r="E5" s="5" t="n"/>
      <c r="F5" s="5" t="n"/>
      <c r="G5" s="26" t="n"/>
      <c r="H5" s="5" t="n"/>
    </row>
  </sheetData>
  <mergeCells count="2">
    <mergeCell ref="A2:H2"/>
    <mergeCell ref="A1:H1"/>
  </mergeCells>
  <conditionalFormatting sqref="D4:D5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2026-09-30T11:46:09Z</dcterms:created>
  <dcterms:modified xmlns:dcterms="http://purl.org/dc/terms/" xmlns:xsi="http://www.w3.org/2001/XMLSchema-instance" xsi:type="dcterms:W3CDTF">2026-09-30T11:46:09Z</dcterms:modified>
</cp:coreProperties>
</file>