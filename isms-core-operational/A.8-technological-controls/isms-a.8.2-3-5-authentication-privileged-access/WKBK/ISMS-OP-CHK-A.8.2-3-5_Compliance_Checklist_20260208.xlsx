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dentity and Access Mgmt Infra" sheetId="3" state="visible" r:id="rId3"/>
    <sheet xmlns:r="http://schemas.openxmlformats.org/officeDocument/2006/relationships" name="Authentication Requirements" sheetId="4" state="visible" r:id="rId4"/>
    <sheet xmlns:r="http://schemas.openxmlformats.org/officeDocument/2006/relationships" name="Privileged Access Management" sheetId="5" state="visible" r:id="rId5"/>
    <sheet xmlns:r="http://schemas.openxmlformats.org/officeDocument/2006/relationships" name="Access Restriction" sheetId="6" state="visible" r:id="rId6"/>
    <sheet xmlns:r="http://schemas.openxmlformats.org/officeDocument/2006/relationships" name="Key Performance Indicators" sheetId="7" state="visible" r:id="rId7"/>
  </sheets>
  <definedNames>
    <definedName name="_xlnm.Print_Area" localSheetId="0">'Executive Summary'!$A$1:$H$64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ISMS-OP-CHK-A.8.2-3-5 — Authentication and Privileged Access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ISMS-OP-CHK-A.8.2-3-5</t>
        </is>
      </c>
    </row>
    <row r="5">
      <c r="A5" s="3" t="inlineStr">
        <is>
          <t>Source Policy</t>
        </is>
      </c>
      <c r="B5" s="4" t="inlineStr">
        <is>
          <t>ISMS-OP-POL-A.8.2-3-5</t>
        </is>
      </c>
    </row>
    <row r="6">
      <c r="A6" s="3" t="inlineStr">
        <is>
          <t>ISO Controls</t>
        </is>
      </c>
      <c r="B6" s="4" t="inlineStr">
        <is>
          <t>Authentication and Privileged Access</t>
        </is>
      </c>
    </row>
    <row r="7">
      <c r="A7" s="3" t="inlineStr">
        <is>
          <t>Generated</t>
        </is>
      </c>
      <c r="B7" s="4" t="inlineStr">
        <is>
          <t>08.02.2026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'Dashboard'!G9</f>
        <v/>
      </c>
    </row>
    <row r="14">
      <c r="A14" s="7" t="inlineStr">
        <is>
          <t>Status</t>
        </is>
      </c>
      <c r="B14" s="9">
        <f>IF(Dashboard!G9="N/A","NOT ASSESSED",IF(ISNUMBER(VALUE(SUBSTITUTE(Dashboard!G9,"%",""))),IF(VALUE(SUBSTITUTE(Dashboard!G9,"%",""))&gt;=90,"GREEN",IF(VALUE(SUBSTITUTE(Dashboard!G9,"%",""))&gt;=70,"AMBER","RED")),"NOT ASSESSED"))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'Dashboard'!B9</f>
        <v/>
      </c>
    </row>
    <row r="18">
      <c r="A18" s="3" t="inlineStr">
        <is>
          <t>Compliant</t>
        </is>
      </c>
      <c r="B18" s="10">
        <f>'Dashboard'!C9</f>
        <v/>
      </c>
    </row>
    <row r="19">
      <c r="A19" s="3" t="inlineStr">
        <is>
          <t>Partial</t>
        </is>
      </c>
      <c r="B19" s="10">
        <f>'Dashboard'!D9</f>
        <v/>
      </c>
    </row>
    <row r="20">
      <c r="A20" s="3" t="inlineStr">
        <is>
          <t>Non-Compliant</t>
        </is>
      </c>
      <c r="B20" s="10">
        <f>'Dashboard'!E9</f>
        <v/>
      </c>
    </row>
    <row r="21">
      <c r="A21" s="3" t="inlineStr">
        <is>
          <t>Not Applicable</t>
        </is>
      </c>
      <c r="B21" s="10">
        <f>'Dashboard'!F9</f>
        <v/>
      </c>
    </row>
    <row r="22">
      <c r="A22" s="3" t="inlineStr">
        <is>
          <t>Owner Coverage</t>
        </is>
      </c>
      <c r="B22" s="10">
        <f>IF(Dashboard!B9=0,"N/A",ROUND((COUNTA('Identity and Access Mgmt Infra'!F4:F4)+COUNTA('Authentication Requirements'!F4:F16)+COUNTA('Privileged Access Management'!F4:F21)+COUNTA('Access Restriction'!F4:F10)+COUNTA('Key Performance Indicators'!F4:F5))/Dashboard!B9*100,0)&amp;"%")</f>
        <v/>
      </c>
    </row>
    <row r="24">
      <c r="A24" s="6" t="inlineStr">
        <is>
          <t>DOMAIN STATUS SUMMARY</t>
        </is>
      </c>
    </row>
    <row r="25">
      <c r="A25" s="11" t="inlineStr">
        <is>
          <t>Domain</t>
        </is>
      </c>
      <c r="B25" s="11" t="inlineStr">
        <is>
          <t>Compliance %</t>
        </is>
      </c>
      <c r="C25" s="11" t="inlineStr">
        <is>
          <t>Compliant</t>
        </is>
      </c>
      <c r="D25" s="11" t="inlineStr">
        <is>
          <t>Gaps</t>
        </is>
      </c>
      <c r="E25" s="11" t="inlineStr">
        <is>
          <t>Status</t>
        </is>
      </c>
    </row>
    <row r="26">
      <c r="A26" s="4" t="inlineStr">
        <is>
          <t>Identity and Access Mgmt Infra</t>
        </is>
      </c>
      <c r="B26" s="4">
        <f>'Dashboard'!G4</f>
        <v/>
      </c>
      <c r="C26" s="4">
        <f>'Dashboard'!C4</f>
        <v/>
      </c>
      <c r="D26" s="4">
        <f>'Dashboard'!E4</f>
        <v/>
      </c>
      <c r="E26" s="4">
        <f>IF(Dashboard!G4="N/A","--",IF(ISNUMBER(VALUE(SUBSTITUTE(Dashboard!G4,"%",""))),IF(VALUE(SUBSTITUTE(Dashboard!G4,"%",""))&gt;=90,"PASS",IF(VALUE(SUBSTITUTE(Dashboard!G4,"%",""))&gt;=70,"REVIEW","FAIL")),"--"))</f>
        <v/>
      </c>
    </row>
    <row r="27">
      <c r="A27" s="4" t="inlineStr">
        <is>
          <t>Authentication Requirements</t>
        </is>
      </c>
      <c r="B27" s="4">
        <f>'Dashboard'!G5</f>
        <v/>
      </c>
      <c r="C27" s="4">
        <f>'Dashboard'!C5</f>
        <v/>
      </c>
      <c r="D27" s="4">
        <f>'Dashboard'!E5</f>
        <v/>
      </c>
      <c r="E27" s="4">
        <f>IF(Dashboard!G5="N/A","--",IF(ISNUMBER(VALUE(SUBSTITUTE(Dashboard!G5,"%",""))),IF(VALUE(SUBSTITUTE(Dashboard!G5,"%",""))&gt;=90,"PASS",IF(VALUE(SUBSTITUTE(Dashboard!G5,"%",""))&gt;=70,"REVIEW","FAIL")),"--"))</f>
        <v/>
      </c>
    </row>
    <row r="28">
      <c r="A28" s="4" t="inlineStr">
        <is>
          <t>Privileged Access Management</t>
        </is>
      </c>
      <c r="B28" s="4">
        <f>'Dashboard'!G6</f>
        <v/>
      </c>
      <c r="C28" s="4">
        <f>'Dashboard'!C6</f>
        <v/>
      </c>
      <c r="D28" s="4">
        <f>'Dashboard'!E6</f>
        <v/>
      </c>
      <c r="E28" s="4">
        <f>IF(Dashboard!G6="N/A","--",IF(ISNUMBER(VALUE(SUBSTITUTE(Dashboard!G6,"%",""))),IF(VALUE(SUBSTITUTE(Dashboard!G6,"%",""))&gt;=90,"PASS",IF(VALUE(SUBSTITUTE(Dashboard!G6,"%",""))&gt;=70,"REVIEW","FAIL")),"--"))</f>
        <v/>
      </c>
    </row>
    <row r="29">
      <c r="A29" s="4" t="inlineStr">
        <is>
          <t>Access Restriction</t>
        </is>
      </c>
      <c r="B29" s="4">
        <f>'Dashboard'!G7</f>
        <v/>
      </c>
      <c r="C29" s="4">
        <f>'Dashboard'!C7</f>
        <v/>
      </c>
      <c r="D29" s="4">
        <f>'Dashboard'!E7</f>
        <v/>
      </c>
      <c r="E29" s="4">
        <f>IF(Dashboard!G7="N/A","--",IF(ISNUMBER(VALUE(SUBSTITUTE(Dashboard!G7,"%",""))),IF(VALUE(SUBSTITUTE(Dashboard!G7,"%",""))&gt;=90,"PASS",IF(VALUE(SUBSTITUTE(Dashboard!G7,"%",""))&gt;=70,"REVIEW","FAIL")),"--"))</f>
        <v/>
      </c>
    </row>
    <row r="30">
      <c r="A30" s="4" t="inlineStr">
        <is>
          <t>Key Performance Indicators</t>
        </is>
      </c>
      <c r="B30" s="4">
        <f>'Dashboard'!G8</f>
        <v/>
      </c>
      <c r="C30" s="4">
        <f>'Dashboard'!C8</f>
        <v/>
      </c>
      <c r="D30" s="4">
        <f>'Dashboard'!E8</f>
        <v/>
      </c>
      <c r="E30" s="4">
        <f>IF(Dashboard!G8="N/A","--",IF(ISNUMBER(VALUE(SUBSTITUTE(Dashboard!G8,"%",""))),IF(VALUE(SUBSTITUTE(Dashboard!G8,"%",""))&gt;=90,"PASS",IF(VALUE(SUBSTITUTE(Dashboard!G8,"%",""))&gt;=70,"REVIEW","FAIL")),"--"))</f>
        <v/>
      </c>
    </row>
    <row r="32">
      <c r="A32" s="6" t="inlineStr">
        <is>
          <t>CRITICAL ISSUES</t>
        </is>
      </c>
    </row>
    <row r="33">
      <c r="A33" s="11" t="inlineStr">
        <is>
          <t>#</t>
        </is>
      </c>
      <c r="B33" s="11" t="inlineStr">
        <is>
          <t>Issue Description</t>
        </is>
      </c>
      <c r="C33" s="11" t="inlineStr">
        <is>
          <t>Domain</t>
        </is>
      </c>
      <c r="D33" s="11" t="inlineStr">
        <is>
          <t>Owner</t>
        </is>
      </c>
      <c r="E33" s="11" t="inlineStr">
        <is>
          <t>Due Date</t>
        </is>
      </c>
    </row>
    <row r="34">
      <c r="A34" s="4" t="n">
        <v>1</v>
      </c>
      <c r="B34" s="5" t="n"/>
      <c r="C34" s="5" t="n"/>
      <c r="D34" s="5" t="n"/>
      <c r="E34" s="5" t="n"/>
    </row>
    <row r="35">
      <c r="A35" s="4" t="n">
        <v>2</v>
      </c>
      <c r="B35" s="5" t="n"/>
      <c r="C35" s="5" t="n"/>
      <c r="D35" s="5" t="n"/>
      <c r="E35" s="5" t="n"/>
    </row>
    <row r="36">
      <c r="A36" s="4" t="n">
        <v>3</v>
      </c>
      <c r="B36" s="5" t="n"/>
      <c r="C36" s="5" t="n"/>
      <c r="D36" s="5" t="n"/>
      <c r="E36" s="5" t="n"/>
    </row>
    <row r="37">
      <c r="A37" s="4" t="n">
        <v>4</v>
      </c>
      <c r="B37" s="5" t="n"/>
      <c r="C37" s="5" t="n"/>
      <c r="D37" s="5" t="n"/>
      <c r="E37" s="5" t="n"/>
    </row>
    <row r="38">
      <c r="A38" s="4" t="n">
        <v>5</v>
      </c>
      <c r="B38" s="5" t="n"/>
      <c r="C38" s="5" t="n"/>
      <c r="D38" s="5" t="n"/>
      <c r="E38" s="5" t="n"/>
    </row>
    <row r="40">
      <c r="A40" s="6" t="inlineStr">
        <is>
          <t>MANAGEMENT COMMENTARY</t>
        </is>
      </c>
    </row>
    <row r="41" ht="60" customHeight="1">
      <c r="A41" s="12" t="inlineStr">
        <is>
          <t>[Enter management commentary on authentication and privileged access posture]</t>
        </is>
      </c>
    </row>
    <row r="42"/>
    <row r="43"/>
    <row r="45">
      <c r="A45" s="6" t="inlineStr">
        <is>
          <t>APPROVAL</t>
        </is>
      </c>
    </row>
    <row r="46">
      <c r="A46" s="13" t="inlineStr">
        <is>
          <t>Assessed By</t>
        </is>
      </c>
    </row>
    <row r="47">
      <c r="A47" s="14" t="inlineStr">
        <is>
          <t>Name:</t>
        </is>
      </c>
      <c r="B47" s="5" t="n"/>
    </row>
    <row r="48">
      <c r="A48" s="14" t="inlineStr">
        <is>
          <t>Date:</t>
        </is>
      </c>
      <c r="B48" s="5" t="n"/>
    </row>
    <row r="49">
      <c r="A49" s="14" t="inlineStr">
        <is>
          <t>Signature:</t>
        </is>
      </c>
      <c r="B49" s="5" t="n"/>
    </row>
    <row r="50">
      <c r="A50" s="14" t="inlineStr">
        <is>
          <t>Decision:</t>
        </is>
      </c>
      <c r="B50" s="5" t="n"/>
    </row>
    <row r="52">
      <c r="A52" s="13" t="inlineStr">
        <is>
          <t>Reviewed By (ISO Manager)</t>
        </is>
      </c>
    </row>
    <row r="53">
      <c r="A53" s="14" t="inlineStr">
        <is>
          <t>Name:</t>
        </is>
      </c>
      <c r="B53" s="5" t="n"/>
    </row>
    <row r="54">
      <c r="A54" s="14" t="inlineStr">
        <is>
          <t>Date:</t>
        </is>
      </c>
      <c r="B54" s="5" t="n"/>
    </row>
    <row r="55">
      <c r="A55" s="14" t="inlineStr">
        <is>
          <t>Signature:</t>
        </is>
      </c>
      <c r="B55" s="5" t="n"/>
    </row>
    <row r="56">
      <c r="A56" s="14" t="inlineStr">
        <is>
          <t>Decision:</t>
        </is>
      </c>
      <c r="B56" s="5" t="n"/>
    </row>
    <row r="58">
      <c r="A58" s="13" t="inlineStr">
        <is>
          <t>Approved By (CISO)</t>
        </is>
      </c>
    </row>
    <row r="59">
      <c r="A59" s="14" t="inlineStr">
        <is>
          <t>Name:</t>
        </is>
      </c>
      <c r="B59" s="5" t="n"/>
    </row>
    <row r="60">
      <c r="A60" s="14" t="inlineStr">
        <is>
          <t>Date:</t>
        </is>
      </c>
      <c r="B60" s="5" t="n"/>
    </row>
    <row r="61">
      <c r="A61" s="14" t="inlineStr">
        <is>
          <t>Signature:</t>
        </is>
      </c>
      <c r="B61" s="5" t="n"/>
    </row>
    <row r="62">
      <c r="A62" s="14" t="inlineStr">
        <is>
          <t>Decision:</t>
        </is>
      </c>
      <c r="B62" s="5" t="n"/>
    </row>
  </sheetData>
  <mergeCells count="12">
    <mergeCell ref="A12:H12"/>
    <mergeCell ref="A45:H45"/>
    <mergeCell ref="A52:B52"/>
    <mergeCell ref="A24:H24"/>
    <mergeCell ref="A16:H16"/>
    <mergeCell ref="A41:H43"/>
    <mergeCell ref="A46:B46"/>
    <mergeCell ref="A1:H1"/>
    <mergeCell ref="A32:H32"/>
    <mergeCell ref="A3:B3"/>
    <mergeCell ref="A58:B58"/>
    <mergeCell ref="A40:H40"/>
  </mergeCells>
  <dataValidations count="1">
    <dataValidation sqref="B50 B56 B62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Authentication and Privileged Access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</row>
    <row r="4">
      <c r="A4" s="3" t="inlineStr">
        <is>
          <t>Identity and Access Mgmt Infra</t>
        </is>
      </c>
      <c r="B4" s="15">
        <f>COUNTA('Identity and Access Mgmt Infra'!D4:D4)</f>
        <v/>
      </c>
      <c r="C4" s="15">
        <f>COUNTIF('Identity and Access Mgmt Infra'!D4:D4,"Compliant")</f>
        <v/>
      </c>
      <c r="D4" s="15">
        <f>COUNTIF('Identity and Access Mgmt Infra'!D4:D4,"Partial")</f>
        <v/>
      </c>
      <c r="E4" s="15">
        <f>COUNTIF('Identity and Access Mgmt Infra'!D4:D4,"Non-Compliant")</f>
        <v/>
      </c>
      <c r="F4" s="15">
        <f>COUNTIF('Identity and Access Mgmt Infra'!D4:D4,"N/A")</f>
        <v/>
      </c>
      <c r="G4" s="15">
        <f>IF((B4-F4)=0,"N/A",ROUND(C4/(B4-F4)*100,1)&amp;"%")</f>
        <v/>
      </c>
    </row>
    <row r="5">
      <c r="A5" s="3" t="inlineStr">
        <is>
          <t>Authentication Requirements</t>
        </is>
      </c>
      <c r="B5" s="15">
        <f>COUNTA('Authentication Requirements'!D4:D16)</f>
        <v/>
      </c>
      <c r="C5" s="15">
        <f>COUNTIF('Authentication Requirements'!D4:D16,"Compliant")</f>
        <v/>
      </c>
      <c r="D5" s="15">
        <f>COUNTIF('Authentication Requirements'!D4:D16,"Partial")</f>
        <v/>
      </c>
      <c r="E5" s="15">
        <f>COUNTIF('Authentication Requirements'!D4:D16,"Non-Compliant")</f>
        <v/>
      </c>
      <c r="F5" s="15">
        <f>COUNTIF('Authentication Requirements'!D4:D16,"N/A")</f>
        <v/>
      </c>
      <c r="G5" s="15">
        <f>IF((B5-F5)=0,"N/A",ROUND(C5/(B5-F5)*100,1)&amp;"%")</f>
        <v/>
      </c>
    </row>
    <row r="6">
      <c r="A6" s="3" t="inlineStr">
        <is>
          <t>Privileged Access Management</t>
        </is>
      </c>
      <c r="B6" s="15">
        <f>COUNTA('Privileged Access Management'!D4:D21)</f>
        <v/>
      </c>
      <c r="C6" s="15">
        <f>COUNTIF('Privileged Access Management'!D4:D21,"Compliant")</f>
        <v/>
      </c>
      <c r="D6" s="15">
        <f>COUNTIF('Privileged Access Management'!D4:D21,"Partial")</f>
        <v/>
      </c>
      <c r="E6" s="15">
        <f>COUNTIF('Privileged Access Management'!D4:D21,"Non-Compliant")</f>
        <v/>
      </c>
      <c r="F6" s="15">
        <f>COUNTIF('Privileged Access Management'!D4:D21,"N/A")</f>
        <v/>
      </c>
      <c r="G6" s="15">
        <f>IF((B6-F6)=0,"N/A",ROUND(C6/(B6-F6)*100,1)&amp;"%")</f>
        <v/>
      </c>
    </row>
    <row r="7">
      <c r="A7" s="3" t="inlineStr">
        <is>
          <t>Access Restriction</t>
        </is>
      </c>
      <c r="B7" s="15">
        <f>COUNTA('Access Restriction'!D4:D10)</f>
        <v/>
      </c>
      <c r="C7" s="15">
        <f>COUNTIF('Access Restriction'!D4:D10,"Compliant")</f>
        <v/>
      </c>
      <c r="D7" s="15">
        <f>COUNTIF('Access Restriction'!D4:D10,"Partial")</f>
        <v/>
      </c>
      <c r="E7" s="15">
        <f>COUNTIF('Access Restriction'!D4:D10,"Non-Compliant")</f>
        <v/>
      </c>
      <c r="F7" s="15">
        <f>COUNTIF('Access Restriction'!D4:D10,"N/A")</f>
        <v/>
      </c>
      <c r="G7" s="15">
        <f>IF((B7-F7)=0,"N/A",ROUND(C7/(B7-F7)*100,1)&amp;"%")</f>
        <v/>
      </c>
    </row>
    <row r="8">
      <c r="A8" s="3" t="inlineStr">
        <is>
          <t>Key Performance Indicators</t>
        </is>
      </c>
      <c r="B8" s="15">
        <f>COUNTA('Key Performance Indicators'!D4:D5)</f>
        <v/>
      </c>
      <c r="C8" s="15">
        <f>COUNTIF('Key Performance Indicators'!D4:D5,"Compliant")</f>
        <v/>
      </c>
      <c r="D8" s="15">
        <f>COUNTIF('Key Performance Indicators'!D4:D5,"Partial")</f>
        <v/>
      </c>
      <c r="E8" s="15">
        <f>COUNTIF('Key Performance Indicators'!D4:D5,"Non-Compliant")</f>
        <v/>
      </c>
      <c r="F8" s="15">
        <f>COUNTIF('Key Performance Indicators'!D4:D5,"N/A")</f>
        <v/>
      </c>
      <c r="G8" s="15">
        <f>IF((B8-F8)=0,"N/A",ROUND(C8/(B8-F8)*100,1)&amp;"%")</f>
        <v/>
      </c>
    </row>
    <row r="9">
      <c r="A9" s="16" t="inlineStr">
        <is>
          <t>TOTAL</t>
        </is>
      </c>
      <c r="B9" s="16">
        <f>SUM(B4:B8)</f>
        <v/>
      </c>
      <c r="C9" s="16">
        <f>SUM(C4:C8)</f>
        <v/>
      </c>
      <c r="D9" s="16">
        <f>SUM(D4:D8)</f>
        <v/>
      </c>
      <c r="E9" s="16">
        <f>SUM(E4:E8)</f>
        <v/>
      </c>
      <c r="F9" s="16">
        <f>SUM(F4:F8)</f>
        <v/>
      </c>
      <c r="G9" s="16">
        <f>IF((B9-F9)=0,"N/A",ROUND(C9/(B9-F9)*100,1)&amp;"%")</f>
        <v/>
      </c>
    </row>
    <row r="11">
      <c r="A11" s="6" t="inlineStr">
        <is>
          <t>COMPLIANCE BY STATUS</t>
        </is>
      </c>
    </row>
    <row r="12">
      <c r="A12" s="3" t="inlineStr">
        <is>
          <t>Compliant</t>
        </is>
      </c>
      <c r="B12" s="17">
        <f>C9</f>
        <v/>
      </c>
      <c r="C12" s="4">
        <f>IF(B9=0,"",ROUND(B12/B9*100,1)&amp;"%")</f>
        <v/>
      </c>
    </row>
    <row r="13">
      <c r="A13" s="3" t="inlineStr">
        <is>
          <t>Partial</t>
        </is>
      </c>
      <c r="B13" s="18">
        <f>D9</f>
        <v/>
      </c>
      <c r="C13" s="4">
        <f>IF(B9=0,"",ROUND(B13/B9*100,1)&amp;"%")</f>
        <v/>
      </c>
    </row>
    <row r="14">
      <c r="A14" s="3" t="inlineStr">
        <is>
          <t>Non-Compliant</t>
        </is>
      </c>
      <c r="B14" s="19">
        <f>E9</f>
        <v/>
      </c>
      <c r="C14" s="4">
        <f>IF(B9=0,"",ROUND(B14/B9*100,1)&amp;"%")</f>
        <v/>
      </c>
    </row>
    <row r="15">
      <c r="A15" s="3" t="inlineStr">
        <is>
          <t>N/A</t>
        </is>
      </c>
      <c r="B15" s="20">
        <f>F9</f>
        <v/>
      </c>
      <c r="C15" s="4">
        <f>IF(B9=0,"",ROUND(B15/B9*100,1)&amp;"%")</f>
        <v/>
      </c>
    </row>
    <row r="17">
      <c r="A17" s="6" t="inlineStr">
        <is>
          <t>TOP GAPS (Manual Entry)</t>
        </is>
      </c>
    </row>
    <row r="18">
      <c r="A18" s="11" t="inlineStr">
        <is>
          <t>Priority</t>
        </is>
      </c>
      <c r="B18" s="11" t="inlineStr">
        <is>
          <t>Domain</t>
        </is>
      </c>
      <c r="C18" s="11" t="inlineStr">
        <is>
          <t>Requirement</t>
        </is>
      </c>
      <c r="D18" s="11" t="inlineStr">
        <is>
          <t>Owner</t>
        </is>
      </c>
      <c r="E18" s="11" t="inlineStr">
        <is>
          <t>Due Date</t>
        </is>
      </c>
      <c r="F18" s="11" t="inlineStr">
        <is>
          <t>Status</t>
        </is>
      </c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30">
      <c r="A30" s="6" t="inlineStr">
        <is>
          <t>COMPLIANCE TREND (Manual Entry)</t>
        </is>
      </c>
    </row>
    <row r="31">
      <c r="A31" s="11" t="inlineStr">
        <is>
          <t>Assessment Date</t>
        </is>
      </c>
      <c r="B31" s="11" t="inlineStr">
        <is>
          <t>Overall %</t>
        </is>
      </c>
      <c r="C31" s="11" t="inlineStr">
        <is>
          <t>Compliant</t>
        </is>
      </c>
      <c r="D31" s="11" t="inlineStr">
        <is>
          <t>Gaps</t>
        </is>
      </c>
      <c r="E31" s="11" t="inlineStr">
        <is>
          <t>Assessor</t>
        </is>
      </c>
      <c r="F31" s="11" t="inlineStr">
        <is>
          <t>Notes</t>
        </is>
      </c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</sheetData>
  <mergeCells count="4">
    <mergeCell ref="A30:G30"/>
    <mergeCell ref="A11:G11"/>
    <mergeCell ref="A1:G1"/>
    <mergeCell ref="A17:G17"/>
  </mergeCells>
  <dataValidations count="1">
    <dataValidation sqref="F19 F20 F21 F22 F23 F24 F25 F26 F27 F28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Identity and Access Mgmt Infra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A.8.2-3-5-01</t>
        </is>
      </c>
      <c r="B4" s="23" t="inlineStr">
        <is>
          <t>Integration Points*: Idp</t>
        </is>
      </c>
      <c r="C4" s="24" t="inlineStr">
        <is>
          <t>Integration points*: IdP shall integrate with HR system for joiner/mover/leaver automation. PAM, IdP, and SIEM shall be integrated for centralised monitoring. MFA shall be enforced via IdP conditional access policies. Session recording logs shall forward to SIEM.</t>
        </is>
      </c>
      <c r="D4" s="25" t="n"/>
      <c r="E4" s="5" t="n"/>
      <c r="F4" s="5" t="n"/>
      <c r="G4" s="26" t="n"/>
      <c r="H4" s="5" t="n"/>
    </row>
  </sheetData>
  <mergeCells count="2">
    <mergeCell ref="A2:H2"/>
    <mergeCell ref="A1:H1"/>
  </mergeCells>
  <conditionalFormatting sqref="D4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Authentication Requirements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A.8.2-3-5-02</t>
        </is>
      </c>
      <c r="B4" s="23" t="inlineStr">
        <is>
          <t>Access To Systems And Information Is</t>
        </is>
      </c>
      <c r="C4" s="24" t="inlineStr">
        <is>
          <t>Access to systems and information is authenticated by passwords or stronger mechanisms. The organisation shall enforce the following password standards, aligned with NIST SP 800-63B:.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A.8.2-3-5-03</t>
        </is>
      </c>
      <c r="B5" s="23" t="inlineStr">
        <is>
          <t>Passwords Found In Breach Databases</t>
        </is>
      </c>
      <c r="C5" s="24" t="inlineStr">
        <is>
          <t>Passwords found in breach databases shall be rejected at set/change and force-changed if detected during monthly scans. Screening coverage metric: percentage of password set/change events validated against breach databases (target: 100%).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A.8.2-3-5-04</t>
        </is>
      </c>
      <c r="B6" s="23" t="inlineStr">
        <is>
          <t>Multi-Factor Authentication</t>
        </is>
      </c>
      <c r="C6" s="24" t="inlineStr">
        <is>
          <t>Multi-factor authentication shall be required for:.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A.8.2-3-5-05</t>
        </is>
      </c>
      <c r="B7" s="23" t="inlineStr">
        <is>
          <t>Sms-Based Otp Should Be Phased Out</t>
        </is>
      </c>
      <c r="C7" s="24" t="inlineStr">
        <is>
          <t>SMS-based OTP should be phased out where possible due to known vulnerabilities (SIM swapping, interception). Systems relying solely on SMS-based MFA shall be documented in the risk register with a migration plan.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A.8.2-3-5-06</t>
        </is>
      </c>
      <c r="B8" s="23" t="inlineStr">
        <is>
          <t>Systems Unable To Support Mfa</t>
        </is>
      </c>
      <c r="C8" s="24" t="inlineStr">
        <is>
          <t>Systems unable to support MFA shall be documented in the risk register with technical justification, compensating controls (e.g., network segmentation, enhanced monitoring, IP restriction), and CISO-approved risk acceptance reviewed annually.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A.8.2-3-5-07</t>
        </is>
      </c>
      <c r="B9" s="23" t="inlineStr">
        <is>
          <t>Implement Centralised Sso Via The</t>
        </is>
      </c>
      <c r="C9" s="24" t="inlineStr">
        <is>
          <t>The organisation shall implement centralised SSO via the identity provider using SAML 2.0 or OIDC with the following targets:.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A.8.2-3-5-08</t>
        </is>
      </c>
      <c r="B10" s="23" t="inlineStr">
        <is>
          <t>An Sso Integration Inventory</t>
        </is>
      </c>
      <c r="C10" s="24" t="inlineStr">
        <is>
          <t>An SSO integration inventory shall be maintained listing each application, its SSO status (integrated / in progress / exception), priority tier, and target date. The inventory shall be reviewed quarterly.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A.8.2-3-5-09</t>
        </is>
      </c>
      <c r="B11" s="23" t="inlineStr">
        <is>
          <t>Authentication Events</t>
        </is>
      </c>
      <c r="C11" s="24" t="inlineStr">
        <is>
          <t>All authentication events shall be logged and forwarded to the centralised logging system SIEM:.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A.8.2-3-5-10</t>
        </is>
      </c>
      <c r="B12" s="23" t="inlineStr">
        <is>
          <t>Authentication Logs</t>
        </is>
      </c>
      <c r="C12" s="24" t="inlineStr">
        <is>
          <t>Authentication logs shall be retained for a minimum of 12 months.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A.8.2-3-5-11</t>
        </is>
      </c>
      <c r="B13" s="23" t="inlineStr">
        <is>
          <t>Approved Geographic Locations*:</t>
        </is>
      </c>
      <c r="C13" s="24" t="inlineStr">
        <is>
          <t>Approved geographic locations*: Switzerland, [additional countries per business operations]. Logins from unapproved countries shall trigger alerts per table above.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A.8.2-3-5-12</t>
        </is>
      </c>
      <c r="B14" s="23" t="inlineStr">
        <is>
          <t>Alert Rules</t>
        </is>
      </c>
      <c r="C14" s="24" t="inlineStr">
        <is>
          <t>Alert rules shall be reviewed and tuned quarterly to reduce false positive rates. Investigation workflow: receive alert → validate (true/false positive) → enrich with context → escalate if confirmed → document outcome.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A.8.2-3-5-13</t>
        </is>
      </c>
      <c r="B15" s="23" t="inlineStr">
        <is>
          <t>The Main Access Authentication System</t>
        </is>
      </c>
      <c r="C15" s="24" t="inlineStr">
        <is>
          <t>The main access authentication system shall:.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A.8.2-3-5-14</t>
        </is>
      </c>
      <c r="B16" s="23" t="inlineStr">
        <is>
          <t>Validate The Log-On Information Only On</t>
        </is>
      </c>
      <c r="C16" s="24" t="inlineStr">
        <is>
          <t>Validate the log-on information only on completion of all input data. If an error condition arises, the system shall not indicate which part of the data is correct or incorrect.</t>
        </is>
      </c>
      <c r="D16" s="25" t="n"/>
      <c r="E16" s="5" t="n"/>
      <c r="F16" s="5" t="n"/>
      <c r="G16" s="26" t="n"/>
      <c r="H16" s="5" t="n"/>
    </row>
  </sheetData>
  <mergeCells count="2">
    <mergeCell ref="A2:H2"/>
    <mergeCell ref="A1:H1"/>
  </mergeCells>
  <conditionalFormatting sqref="D4:D16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Privileged Access Management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A.8.2-3-5-15</t>
        </is>
      </c>
      <c r="B4" s="23" t="inlineStr">
        <is>
          <t>Privileged Access</t>
        </is>
      </c>
      <c r="C4" s="24" t="inlineStr">
        <is>
          <t>Privileged access shall be restricted based on:.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A.8.2-3-5-16</t>
        </is>
      </c>
      <c r="B5" s="23" t="inlineStr">
        <is>
          <t>Implement Tiered Administration To Limit</t>
        </is>
      </c>
      <c r="C5" s="24" t="inlineStr">
        <is>
          <t>The organisation shall implement tiered administration to limit the impact of compromised credentials:.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A.8.2-3-5-17</t>
        </is>
      </c>
      <c r="B6" s="23" t="inlineStr">
        <is>
          <t>Tier 0 Accounts</t>
        </is>
      </c>
      <c r="C6" s="24" t="inlineStr">
        <is>
          <t>Tier 0 accounts shall never authenticate to Tier 1 or Tier 2 systems.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A.8.2-3-5-18</t>
        </is>
      </c>
      <c r="B7" s="23" t="inlineStr">
        <is>
          <t>Tier 1 Accounts</t>
        </is>
      </c>
      <c r="C7" s="24" t="inlineStr">
        <is>
          <t>Tier 1 accounts shall never authenticate to Tier 2 systems.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A.8.2-3-5-19</t>
        </is>
      </c>
      <c r="B8" s="23" t="inlineStr">
        <is>
          <t>Separate Credentials</t>
        </is>
      </c>
      <c r="C8" s="24" t="inlineStr">
        <is>
          <t>Separate credentials shall be used per tier (e.g., j.smith.t0, j.smith.t1).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A.8.2-3-5-20</t>
        </is>
      </c>
      <c r="B9" s="23" t="inlineStr">
        <is>
          <t>Daily Work Activities (Email, Web</t>
        </is>
      </c>
      <c r="C9" s="24" t="inlineStr">
        <is>
          <t>Daily work activities (email, web browsing) shall not be performed on dedicated admin workstations.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A.8.2-3-5-21</t>
        </is>
      </c>
      <c r="B10" s="23" t="inlineStr">
        <is>
          <t>Technical Controls</t>
        </is>
      </c>
      <c r="C10" s="24" t="inlineStr">
        <is>
          <t>Technical controls shall enforce tier boundaries. The following are implementation options depending on the organisation's identity platform:.</t>
        </is>
      </c>
      <c r="D10" s="25" t="n"/>
      <c r="E10" s="5" t="n"/>
      <c r="F10" s="5" t="n"/>
      <c r="G10" s="26" t="n"/>
      <c r="H10" s="5" t="n"/>
    </row>
    <row r="11" ht="40" customHeight="1">
      <c r="A11" s="22" t="inlineStr">
        <is>
          <t>A.8.2-3-5-22</t>
        </is>
      </c>
      <c r="B11" s="23" t="inlineStr">
        <is>
          <t>Phased Deployment*: Phase 1 (Year 1)</t>
        </is>
      </c>
      <c r="C11" s="24" t="inlineStr">
        <is>
          <t>Phased deployment*: Phase 1 (Year 1): Tier 0 PAWs deployed. Phase 2 (Year 2): Tier 1 PAWs deployed. Compensating controls shall be documented for any period where PAWs are not yet in place (e.g., enhanced monitoring, dedicated VMs, restricted admin accounts on standard workstations).</t>
        </is>
      </c>
      <c r="D11" s="25" t="n"/>
      <c r="E11" s="5" t="n"/>
      <c r="F11" s="5" t="n"/>
      <c r="G11" s="26" t="n"/>
      <c r="H11" s="5" t="n"/>
    </row>
    <row r="12" ht="40" customHeight="1">
      <c r="A12" s="22" t="inlineStr">
        <is>
          <t>A.8.2-3-5-23</t>
        </is>
      </c>
      <c r="B12" s="23" t="inlineStr">
        <is>
          <t>Deployment Status Tracking*: The Current</t>
        </is>
      </c>
      <c r="C12" s="24" t="inlineStr">
        <is>
          <t>Deployment status tracking*: The current deployment phase (planning, pilot, partial enforcement, full enforcement) shall be documented for each tier with compensating controls for non-enforced tiers and target completion dates.</t>
        </is>
      </c>
      <c r="D12" s="25" t="n"/>
      <c r="E12" s="5" t="n"/>
      <c r="F12" s="5" t="n"/>
      <c r="G12" s="26" t="n"/>
      <c r="H12" s="5" t="n"/>
    </row>
    <row r="13" ht="40" customHeight="1">
      <c r="A13" s="22" t="inlineStr">
        <is>
          <t>A.8.2-3-5-24</t>
        </is>
      </c>
      <c r="B13" s="23" t="inlineStr">
        <is>
          <t>Privileged Accounts</t>
        </is>
      </c>
      <c r="C13" s="24" t="inlineStr">
        <is>
          <t>All privileged accounts shall be:.</t>
        </is>
      </c>
      <c r="D13" s="25" t="n"/>
      <c r="E13" s="5" t="n"/>
      <c r="F13" s="5" t="n"/>
      <c r="G13" s="26" t="n"/>
      <c r="H13" s="5" t="n"/>
    </row>
    <row r="14" ht="40" customHeight="1">
      <c r="A14" s="22" t="inlineStr">
        <is>
          <t>A.8.2-3-5-25</t>
        </is>
      </c>
      <c r="B14" s="23" t="inlineStr">
        <is>
          <t>Implement Privileged Access Controls,</t>
        </is>
      </c>
      <c r="C14" s="24" t="inlineStr">
        <is>
          <t>The organisation shall implement privileged access controls, which may include a dedicated PAM solution PAM solution (see IAM Infrastructure table) or equivalent manual controls:.</t>
        </is>
      </c>
      <c r="D14" s="25" t="n"/>
      <c r="E14" s="5" t="n"/>
      <c r="F14" s="5" t="n"/>
      <c r="G14" s="26" t="n"/>
      <c r="H14" s="5" t="n"/>
    </row>
    <row r="15" ht="40" customHeight="1">
      <c r="A15" s="22" t="inlineStr">
        <is>
          <t>A.8.2-3-5-26</t>
        </is>
      </c>
      <c r="B15" s="23" t="inlineStr">
        <is>
          <t>Compensating Controls</t>
        </is>
      </c>
      <c r="C15" s="24" t="inlineStr">
        <is>
          <t>Where a dedicated PAM solution is not yet deployed, compensating controls shall be documented (e.g., manual credential rotation, shared password manager with audit trail, alternative session logging via SIEM).</t>
        </is>
      </c>
      <c r="D15" s="25" t="n"/>
      <c r="E15" s="5" t="n"/>
      <c r="F15" s="5" t="n"/>
      <c r="G15" s="26" t="n"/>
      <c r="H15" s="5" t="n"/>
    </row>
    <row r="16" ht="40" customHeight="1">
      <c r="A16" s="22" t="inlineStr">
        <is>
          <t>A.8.2-3-5-27</t>
        </is>
      </c>
      <c r="B16" s="23" t="inlineStr">
        <is>
          <t>Be Rotated Immediately Upon Suspected Or</t>
        </is>
      </c>
      <c r="C16" s="24" t="inlineStr">
        <is>
          <t>All credentials shall be rotated immediately upon suspected or confirmed compromise, regardless of schedule.</t>
        </is>
      </c>
      <c r="D16" s="25" t="n"/>
      <c r="E16" s="5" t="n"/>
      <c r="F16" s="5" t="n"/>
      <c r="G16" s="26" t="n"/>
      <c r="H16" s="5" t="n"/>
    </row>
    <row r="17" ht="40" customHeight="1">
      <c r="A17" s="22" t="inlineStr">
        <is>
          <t>A.8.2-3-5-28</t>
        </is>
      </c>
      <c r="B17" s="23" t="inlineStr">
        <is>
          <t>Service Accounts</t>
        </is>
      </c>
      <c r="C17" s="24" t="inlineStr">
        <is>
          <t>Service accounts shall be managed through a defined lifecycle:.</t>
        </is>
      </c>
      <c r="D17" s="25" t="n"/>
      <c r="E17" s="5" t="n"/>
      <c r="F17" s="5" t="n"/>
      <c r="G17" s="26" t="n"/>
      <c r="H17" s="5" t="n"/>
    </row>
    <row r="18" ht="40" customHeight="1">
      <c r="A18" s="22" t="inlineStr">
        <is>
          <t>A.8.2-3-5-29</t>
        </is>
      </c>
      <c r="B18" s="23" t="inlineStr">
        <is>
          <t>Service Account Monitoring*: Siem Alert</t>
        </is>
      </c>
      <c r="C18" s="24" t="inlineStr">
        <is>
          <t>Service account monitoring*: SIEM alert rules shall detect interactive logon by service accounts, authentication from unexpected locations, and failed authentication attempts. A quarterly discovery scan shall identify undocumented service accounts.</t>
        </is>
      </c>
      <c r="D18" s="25" t="n"/>
      <c r="E18" s="5" t="n"/>
      <c r="F18" s="5" t="n"/>
      <c r="G18" s="26" t="n"/>
      <c r="H18" s="5" t="n"/>
    </row>
    <row r="19" ht="40" customHeight="1">
      <c r="A19" s="22" t="inlineStr">
        <is>
          <t>A.8.2-3-5-30</t>
        </is>
      </c>
      <c r="B19" s="23" t="inlineStr">
        <is>
          <t>Quarterly Access Reviews</t>
        </is>
      </c>
      <c r="C19" s="24" t="inlineStr">
        <is>
          <t>Quarterly access reviews shall follow a structured campaign:.</t>
        </is>
      </c>
      <c r="D19" s="25" t="n"/>
      <c r="E19" s="5" t="n"/>
      <c r="F19" s="5" t="n"/>
      <c r="G19" s="26" t="n"/>
      <c r="H19" s="5" t="n"/>
    </row>
    <row r="20" ht="40" customHeight="1">
      <c r="A20" s="22" t="inlineStr">
        <is>
          <t>A.8.2-3-5-31</t>
        </is>
      </c>
      <c r="B20" s="23" t="inlineStr">
        <is>
          <t>Maintain Emergency Access Procedures For</t>
        </is>
      </c>
      <c r="C20" s="24" t="inlineStr">
        <is>
          <t>The organisation shall maintain emergency access procedures for situations where normal authentication channels are unavailable:.</t>
        </is>
      </c>
      <c r="D20" s="25" t="n"/>
      <c r="E20" s="5" t="n"/>
      <c r="F20" s="5" t="n"/>
      <c r="G20" s="26" t="n"/>
      <c r="H20" s="5" t="n"/>
    </row>
    <row r="21" ht="40" customHeight="1">
      <c r="A21" s="22" t="inlineStr">
        <is>
          <t>A.8.2-3-5-32</t>
        </is>
      </c>
      <c r="B21" s="23" t="inlineStr">
        <is>
          <t>Test Records</t>
        </is>
      </c>
      <c r="C21" s="24" t="inlineStr">
        <is>
          <t>Test records shall document the date, tester, successful authentication confirmation, and post-test credential rotation.</t>
        </is>
      </c>
      <c r="D21" s="25" t="n"/>
      <c r="E21" s="5" t="n"/>
      <c r="F21" s="5" t="n"/>
      <c r="G21" s="26" t="n"/>
      <c r="H21" s="5" t="n"/>
    </row>
  </sheetData>
  <mergeCells count="2">
    <mergeCell ref="A2:H2"/>
    <mergeCell ref="A1:H1"/>
  </mergeCells>
  <conditionalFormatting sqref="D4:D21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 D11 D12 D13 D14 D15 D16 D17 D18 D19 D20 D21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Access Restriction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A.8.2-3-5-33</t>
        </is>
      </c>
      <c r="B4" s="23" t="inlineStr">
        <is>
          <t>Access To Information And Other</t>
        </is>
      </c>
      <c r="C4" s="24" t="inlineStr">
        <is>
          <t>Access to information and other associated assets shall be restricted in accordance with this policy and the Identity and Access Management Policy:.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A.8.2-3-5-34</t>
        </is>
      </c>
      <c r="B5" s="23" t="inlineStr">
        <is>
          <t>System Sessions</t>
        </is>
      </c>
      <c r="C5" s="24" t="inlineStr">
        <is>
          <t>System sessions shall enforce the following timeout periods:.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A.8.2-3-5-35</t>
        </is>
      </c>
      <c r="B6" s="23" t="inlineStr">
        <is>
          <t>Network Segmentation</t>
        </is>
      </c>
      <c r="C6" s="24" t="inlineStr">
        <is>
          <t>Network segmentation shall separate trust zones to support access restriction (detailed in the Network Security Policy).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A.8.2-3-5-36</t>
        </is>
      </c>
      <c r="B7" s="23" t="inlineStr">
        <is>
          <t>Firewall Rules</t>
        </is>
      </c>
      <c r="C7" s="24" t="inlineStr">
        <is>
          <t>Firewall rules shall enforce access boundaries between network segments.</t>
        </is>
      </c>
      <c r="D7" s="25" t="n"/>
      <c r="E7" s="5" t="n"/>
      <c r="F7" s="5" t="n"/>
      <c r="G7" s="26" t="n"/>
      <c r="H7" s="5" t="n"/>
    </row>
    <row r="8" ht="40" customHeight="1">
      <c r="A8" s="22" t="inlineStr">
        <is>
          <t>A.8.2-3-5-37</t>
        </is>
      </c>
      <c r="B8" s="23" t="inlineStr">
        <is>
          <t>Network Access Control (Nac) Or</t>
        </is>
      </c>
      <c r="C8" s="24" t="inlineStr">
        <is>
          <t>Network access control (NAC) or equivalent shall verify endpoint compliance before granting access where feasible.</t>
        </is>
      </c>
      <c r="D8" s="25" t="n"/>
      <c r="E8" s="5" t="n"/>
      <c r="F8" s="5" t="n"/>
      <c r="G8" s="26" t="n"/>
      <c r="H8" s="5" t="n"/>
    </row>
    <row r="9" ht="40" customHeight="1">
      <c r="A9" s="22" t="inlineStr">
        <is>
          <t>A.8.2-3-5-38</t>
        </is>
      </c>
      <c r="B9" s="23" t="inlineStr">
        <is>
          <t>The Organisation Masks Data In Line</t>
        </is>
      </c>
      <c r="C9" s="24" t="inlineStr">
        <is>
          <t>The organisation masks data in line with legal and regulatory obligations, including Swiss nFADP and GDPR requirements where applicable. Data masking shall be applied to:.</t>
        </is>
      </c>
      <c r="D9" s="25" t="n"/>
      <c r="E9" s="5" t="n"/>
      <c r="F9" s="5" t="n"/>
      <c r="G9" s="26" t="n"/>
      <c r="H9" s="5" t="n"/>
    </row>
    <row r="10" ht="40" customHeight="1">
      <c r="A10" s="22" t="inlineStr">
        <is>
          <t>A.8.2-3-5-39</t>
        </is>
      </c>
      <c r="B10" s="23" t="inlineStr">
        <is>
          <t>Verify Access Controls Through</t>
        </is>
      </c>
      <c r="C10" s="24" t="inlineStr">
        <is>
          <t>The organisation shall verify access controls through:.</t>
        </is>
      </c>
      <c r="D10" s="25" t="n"/>
      <c r="E10" s="5" t="n"/>
      <c r="F10" s="5" t="n"/>
      <c r="G10" s="26" t="n"/>
      <c r="H10" s="5" t="n"/>
    </row>
  </sheetData>
  <mergeCells count="2">
    <mergeCell ref="A2:H2"/>
    <mergeCell ref="A1:H1"/>
  </mergeCells>
  <conditionalFormatting sqref="D4:D10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 D8 D9 D10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Key Performance Indicators — Compliance Checklist</t>
        </is>
      </c>
    </row>
    <row r="2">
      <c r="A2" s="21" t="inlineStr">
        <is>
          <t>ISO/IEC 27001:2022 — Controls A.8.2-3-5: Authentication and Privileged Access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A.8.2-3-5-40</t>
        </is>
      </c>
      <c r="B4" s="23" t="inlineStr">
        <is>
          <t>The Following Metrics</t>
        </is>
      </c>
      <c r="C4" s="24" t="inlineStr">
        <is>
          <t>The following metrics shall be tracked to measure the effectiveness of authentication and privileged access controls:.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A.8.2-3-5-41</t>
        </is>
      </c>
      <c r="B5" s="23" t="inlineStr">
        <is>
          <t>Be Reported To The Ciso Quarterly</t>
        </is>
      </c>
      <c r="C5" s="24" t="inlineStr">
        <is>
          <t>Metrics shall be reported to the CISO quarterly. Metrics falling below target shall include a remediation plan with owner and target date.</t>
        </is>
      </c>
      <c r="D5" s="25" t="n"/>
      <c r="E5" s="5" t="n"/>
      <c r="F5" s="5" t="n"/>
      <c r="G5" s="26" t="n"/>
      <c r="H5" s="5" t="n"/>
    </row>
  </sheetData>
  <mergeCells count="2">
    <mergeCell ref="A2:H2"/>
    <mergeCell ref="A1:H1"/>
  </mergeCells>
  <conditionalFormatting sqref="D4:D5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2026-02-08T11:26:19Z</dcterms:created>
  <dcterms:modified xmlns:dcterms="http://purl.org/dc/terms/" xmlns:xsi="http://www.w3.org/2001/XMLSchema-instance" xsi:type="dcterms:W3CDTF">2026-02-08T11:26:19Z</dcterms:modified>
</cp:coreProperties>
</file>