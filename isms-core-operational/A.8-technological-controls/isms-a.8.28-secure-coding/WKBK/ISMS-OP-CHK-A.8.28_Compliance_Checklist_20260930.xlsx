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cure Coding Standards" sheetId="3" state="visible" r:id="rId3"/>
    <sheet xmlns:r="http://schemas.openxmlformats.org/officeDocument/2006/relationships" name="Common Vulnerability Prevention" sheetId="4" state="visible" r:id="rId4"/>
    <sheet xmlns:r="http://schemas.openxmlformats.org/officeDocument/2006/relationships" name="Dependency and Library Mgmt" sheetId="5" state="visible" r:id="rId5"/>
    <sheet xmlns:r="http://schemas.openxmlformats.org/officeDocument/2006/relationships" name="Code Review Requirements" sheetId="6" state="visible" r:id="rId6"/>
    <sheet xmlns:r="http://schemas.openxmlformats.org/officeDocument/2006/relationships" name="Static App Sec Testing (SAST)" sheetId="7" state="visible" r:id="rId7"/>
    <sheet xmlns:r="http://schemas.openxmlformats.org/officeDocument/2006/relationships" name="Secure Coding Training" sheetId="8" state="visible" r:id="rId8"/>
    <sheet xmlns:r="http://schemas.openxmlformats.org/officeDocument/2006/relationships" name="Insecure Coding Practices" sheetId="9" state="visible" r:id="rId9"/>
    <sheet xmlns:r="http://schemas.openxmlformats.org/officeDocument/2006/relationships" name="Outsourced Development" sheetId="10" state="visible" r:id="rId10"/>
    <sheet xmlns:r="http://schemas.openxmlformats.org/officeDocument/2006/relationships" name="Sec Champion Programme" sheetId="11" state="visible" r:id="rId11"/>
    <sheet xmlns:r="http://schemas.openxmlformats.org/officeDocument/2006/relationships" name="Exception Management" sheetId="12" state="visible" r:id="rId12"/>
  </sheets>
  <definedNames>
    <definedName name="_xlnm.Print_Area" localSheetId="0">'Executive Summary'!$A$1:$H$70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ISMS-OP-CHK-A.8.28 — Secure Coding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ISMS-OP-CHK-A.8.28</t>
        </is>
      </c>
    </row>
    <row r="5">
      <c r="A5" s="3" t="inlineStr">
        <is>
          <t>Source Policy</t>
        </is>
      </c>
      <c r="B5" s="4" t="inlineStr">
        <is>
          <t>ISMS-OP-POL-A.8.28</t>
        </is>
      </c>
    </row>
    <row r="6">
      <c r="A6" s="3" t="inlineStr">
        <is>
          <t>ISO Controls</t>
        </is>
      </c>
      <c r="B6" s="4" t="inlineStr">
        <is>
          <t>Secure Coding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'Dashboard'!G14</f>
        <v/>
      </c>
    </row>
    <row r="14">
      <c r="A14" s="7" t="inlineStr">
        <is>
          <t>Status</t>
        </is>
      </c>
      <c r="B14" s="9">
        <f>IF(Dashboard!H14&gt;0,"INCOMPLETE",IF(Dashboard!G14="N/A","NOT ASSESSED",IF(ISNUMBER(VALUE(SUBSTITUTE(Dashboard!G14,"%",""))),IF(VALUE(SUBSTITUTE(Dashboard!G14,"%",""))&gt;=90,"GREEN",IF(VALUE(SUBSTITUTE(Dashboard!G14,"%",""))&gt;=70,"AMBER","RED")),"NOT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'Dashboard'!B14</f>
        <v/>
      </c>
    </row>
    <row r="18">
      <c r="A18" s="3" t="inlineStr">
        <is>
          <t>Compliant</t>
        </is>
      </c>
      <c r="B18" s="10">
        <f>'Dashboard'!C14</f>
        <v/>
      </c>
    </row>
    <row r="19">
      <c r="A19" s="3" t="inlineStr">
        <is>
          <t>Partial</t>
        </is>
      </c>
      <c r="B19" s="10">
        <f>'Dashboard'!D14</f>
        <v/>
      </c>
    </row>
    <row r="20">
      <c r="A20" s="3" t="inlineStr">
        <is>
          <t>Non-Compliant</t>
        </is>
      </c>
      <c r="B20" s="10">
        <f>'Dashboard'!E14</f>
        <v/>
      </c>
    </row>
    <row r="21">
      <c r="A21" s="3" t="inlineStr">
        <is>
          <t>Not Applicable</t>
        </is>
      </c>
      <c r="B21" s="10">
        <f>'Dashboard'!F14</f>
        <v/>
      </c>
    </row>
    <row r="22">
      <c r="A22" s="3" t="inlineStr">
        <is>
          <t>Unanswered</t>
        </is>
      </c>
      <c r="B22" s="10">
        <f>'Dashboard'!H14</f>
        <v/>
      </c>
    </row>
    <row r="23">
      <c r="A23" s="3" t="inlineStr">
        <is>
          <t>Owner Coverage</t>
        </is>
      </c>
      <c r="B23" s="10">
        <f>IF(Dashboard!B14=0,"N/A",ROUND((COUNTA('Secure Coding Standards'!F4:F7)+COUNTA('Common Vulnerability Prevention'!F4:F11)+COUNTA('Dependency and Library Mgmt'!F4:F11)+COUNTA('Code Review Requirements'!F4:F17)+COUNTA('Static App Sec Testing (SAST)'!F4:F13)+COUNTA('Secure Coding Training'!F4:F7)+COUNTA('Insecure Coding Practices'!F4:F8)+COUNTA('Outsourced Development'!F4:F15)+COUNTA('Sec Champion Programme'!F4:F4)+COUNTA('Exception Management'!F4:F6))/Dashboard!B14*100,0)&amp;"%")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Secure Coding Standards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Common Vulnerability Prevention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Dependency and Library Mgmt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0">
      <c r="A30" s="4" t="inlineStr">
        <is>
          <t>Code Review Requirements</t>
        </is>
      </c>
      <c r="B30" s="4">
        <f>'Dashboard'!G7</f>
        <v/>
      </c>
      <c r="C30" s="4">
        <f>'Dashboard'!C7</f>
        <v/>
      </c>
      <c r="D30" s="4">
        <f>'Dashboard'!E7</f>
        <v/>
      </c>
      <c r="E30" s="4">
        <f>IF(Dashboard!H7&gt;0,"INCOMPLETE",IF(Dashboard!G7="N/A","--",IF(ISNUMBER(VALUE(SUBSTITUTE(Dashboard!G7,"%",""))),IF(VALUE(SUBSTITUTE(Dashboard!G7,"%",""))&gt;=90,"PASS",IF(VALUE(SUBSTITUTE(Dashboard!G7,"%",""))&gt;=70,"REVIEW","FAIL")),"--")))</f>
        <v/>
      </c>
    </row>
    <row r="31">
      <c r="A31" s="4" t="inlineStr">
        <is>
          <t>Static App Sec Testing (SAST)</t>
        </is>
      </c>
      <c r="B31" s="4">
        <f>'Dashboard'!G8</f>
        <v/>
      </c>
      <c r="C31" s="4">
        <f>'Dashboard'!C8</f>
        <v/>
      </c>
      <c r="D31" s="4">
        <f>'Dashboard'!E8</f>
        <v/>
      </c>
      <c r="E31" s="4">
        <f>IF(Dashboard!H8&gt;0,"INCOMPLETE",IF(Dashboard!G8="N/A","--",IF(ISNUMBER(VALUE(SUBSTITUTE(Dashboard!G8,"%",""))),IF(VALUE(SUBSTITUTE(Dashboard!G8,"%",""))&gt;=90,"PASS",IF(VALUE(SUBSTITUTE(Dashboard!G8,"%",""))&gt;=70,"REVIEW","FAIL")),"--")))</f>
        <v/>
      </c>
    </row>
    <row r="32">
      <c r="A32" s="4" t="inlineStr">
        <is>
          <t>Secure Coding Training</t>
        </is>
      </c>
      <c r="B32" s="4">
        <f>'Dashboard'!G9</f>
        <v/>
      </c>
      <c r="C32" s="4">
        <f>'Dashboard'!C9</f>
        <v/>
      </c>
      <c r="D32" s="4">
        <f>'Dashboard'!E9</f>
        <v/>
      </c>
      <c r="E32" s="4">
        <f>IF(Dashboard!H9&gt;0,"INCOMPLETE",IF(Dashboard!G9="N/A","--",IF(ISNUMBER(VALUE(SUBSTITUTE(Dashboard!G9,"%",""))),IF(VALUE(SUBSTITUTE(Dashboard!G9,"%",""))&gt;=90,"PASS",IF(VALUE(SUBSTITUTE(Dashboard!G9,"%",""))&gt;=70,"REVIEW","FAIL")),"--")))</f>
        <v/>
      </c>
    </row>
    <row r="33">
      <c r="A33" s="4" t="inlineStr">
        <is>
          <t>Insecure Coding Practices</t>
        </is>
      </c>
      <c r="B33" s="4">
        <f>'Dashboard'!G10</f>
        <v/>
      </c>
      <c r="C33" s="4">
        <f>'Dashboard'!C10</f>
        <v/>
      </c>
      <c r="D33" s="4">
        <f>'Dashboard'!E10</f>
        <v/>
      </c>
      <c r="E33" s="4">
        <f>IF(Dashboard!H10&gt;0,"INCOMPLETE",IF(Dashboard!G10="N/A","--",IF(ISNUMBER(VALUE(SUBSTITUTE(Dashboard!G10,"%",""))),IF(VALUE(SUBSTITUTE(Dashboard!G10,"%",""))&gt;=90,"PASS",IF(VALUE(SUBSTITUTE(Dashboard!G10,"%",""))&gt;=70,"REVIEW","FAIL")),"--")))</f>
        <v/>
      </c>
    </row>
    <row r="34">
      <c r="A34" s="4" t="inlineStr">
        <is>
          <t>Outsourced Development</t>
        </is>
      </c>
      <c r="B34" s="4">
        <f>'Dashboard'!G11</f>
        <v/>
      </c>
      <c r="C34" s="4">
        <f>'Dashboard'!C11</f>
        <v/>
      </c>
      <c r="D34" s="4">
        <f>'Dashboard'!E11</f>
        <v/>
      </c>
      <c r="E34" s="4">
        <f>IF(Dashboard!H11&gt;0,"INCOMPLETE",IF(Dashboard!G11="N/A","--",IF(ISNUMBER(VALUE(SUBSTITUTE(Dashboard!G11,"%",""))),IF(VALUE(SUBSTITUTE(Dashboard!G11,"%",""))&gt;=90,"PASS",IF(VALUE(SUBSTITUTE(Dashboard!G11,"%",""))&gt;=70,"REVIEW","FAIL")),"--")))</f>
        <v/>
      </c>
    </row>
    <row r="35">
      <c r="A35" s="4" t="inlineStr">
        <is>
          <t>Sec Champion Programme</t>
        </is>
      </c>
      <c r="B35" s="4">
        <f>'Dashboard'!G12</f>
        <v/>
      </c>
      <c r="C35" s="4">
        <f>'Dashboard'!C12</f>
        <v/>
      </c>
      <c r="D35" s="4">
        <f>'Dashboard'!E12</f>
        <v/>
      </c>
      <c r="E35" s="4">
        <f>IF(Dashboard!H12&gt;0,"INCOMPLETE",IF(Dashboard!G12="N/A","--",IF(ISNUMBER(VALUE(SUBSTITUTE(Dashboard!G12,"%",""))),IF(VALUE(SUBSTITUTE(Dashboard!G12,"%",""))&gt;=90,"PASS",IF(VALUE(SUBSTITUTE(Dashboard!G12,"%",""))&gt;=70,"REVIEW","FAIL")),"--")))</f>
        <v/>
      </c>
    </row>
    <row r="36">
      <c r="A36" s="4" t="inlineStr">
        <is>
          <t>Exception Management</t>
        </is>
      </c>
      <c r="B36" s="4">
        <f>'Dashboard'!G13</f>
        <v/>
      </c>
      <c r="C36" s="4">
        <f>'Dashboard'!C13</f>
        <v/>
      </c>
      <c r="D36" s="4">
        <f>'Dashboard'!E13</f>
        <v/>
      </c>
      <c r="E36" s="4">
        <f>IF(Dashboard!H13&gt;0,"INCOMPLETE",IF(Dashboard!G13="N/A","--",IF(ISNUMBER(VALUE(SUBSTITUTE(Dashboard!G13,"%",""))),IF(VALUE(SUBSTITUTE(Dashboard!G13,"%",""))&gt;=90,"PASS",IF(VALUE(SUBSTITUTE(Dashboard!G13,"%",""))&gt;=70,"REVIEW","FAIL")),"--")))</f>
        <v/>
      </c>
    </row>
    <row r="38">
      <c r="A38" s="6" t="inlineStr">
        <is>
          <t>CRITICAL ISSUES</t>
        </is>
      </c>
    </row>
    <row r="39">
      <c r="A39" s="11" t="inlineStr">
        <is>
          <t>#</t>
        </is>
      </c>
      <c r="B39" s="11" t="inlineStr">
        <is>
          <t>Issue Description</t>
        </is>
      </c>
      <c r="C39" s="11" t="inlineStr">
        <is>
          <t>Domain</t>
        </is>
      </c>
      <c r="D39" s="11" t="inlineStr">
        <is>
          <t>Owner</t>
        </is>
      </c>
      <c r="E39" s="11" t="inlineStr">
        <is>
          <t>Due Date</t>
        </is>
      </c>
    </row>
    <row r="40">
      <c r="A40" s="4" t="n">
        <v>1</v>
      </c>
      <c r="B40" s="5" t="n"/>
      <c r="C40" s="5" t="n"/>
      <c r="D40" s="5" t="n"/>
      <c r="E40" s="5" t="n"/>
    </row>
    <row r="41">
      <c r="A41" s="4" t="n">
        <v>2</v>
      </c>
      <c r="B41" s="5" t="n"/>
      <c r="C41" s="5" t="n"/>
      <c r="D41" s="5" t="n"/>
      <c r="E41" s="5" t="n"/>
    </row>
    <row r="42">
      <c r="A42" s="4" t="n">
        <v>3</v>
      </c>
      <c r="B42" s="5" t="n"/>
      <c r="C42" s="5" t="n"/>
      <c r="D42" s="5" t="n"/>
      <c r="E42" s="5" t="n"/>
    </row>
    <row r="43">
      <c r="A43" s="4" t="n">
        <v>4</v>
      </c>
      <c r="B43" s="5" t="n"/>
      <c r="C43" s="5" t="n"/>
      <c r="D43" s="5" t="n"/>
      <c r="E43" s="5" t="n"/>
    </row>
    <row r="44">
      <c r="A44" s="4" t="n">
        <v>5</v>
      </c>
      <c r="B44" s="5" t="n"/>
      <c r="C44" s="5" t="n"/>
      <c r="D44" s="5" t="n"/>
      <c r="E44" s="5" t="n"/>
    </row>
    <row r="46">
      <c r="A46" s="6" t="inlineStr">
        <is>
          <t>MANAGEMENT COMMENTARY</t>
        </is>
      </c>
    </row>
    <row r="47" ht="60" customHeight="1">
      <c r="A47" s="12" t="inlineStr">
        <is>
          <t>[Enter management commentary on secure coding posture]</t>
        </is>
      </c>
    </row>
    <row r="48"/>
    <row r="49"/>
    <row r="51">
      <c r="A51" s="6" t="inlineStr">
        <is>
          <t>APPROVAL</t>
        </is>
      </c>
    </row>
    <row r="52">
      <c r="A52" s="13" t="inlineStr">
        <is>
          <t>Assessed By</t>
        </is>
      </c>
    </row>
    <row r="53">
      <c r="A53" s="14" t="inlineStr">
        <is>
          <t>Name:</t>
        </is>
      </c>
      <c r="B53" s="5" t="n"/>
    </row>
    <row r="54">
      <c r="A54" s="14" t="inlineStr">
        <is>
          <t>Date:</t>
        </is>
      </c>
      <c r="B54" s="5" t="n"/>
    </row>
    <row r="55">
      <c r="A55" s="14" t="inlineStr">
        <is>
          <t>Signature:</t>
        </is>
      </c>
      <c r="B55" s="5" t="n"/>
    </row>
    <row r="56">
      <c r="A56" s="14" t="inlineStr">
        <is>
          <t>Decision:</t>
        </is>
      </c>
      <c r="B56" s="5" t="n"/>
    </row>
    <row r="58">
      <c r="A58" s="13" t="inlineStr">
        <is>
          <t>Reviewed By (ISO Manager)</t>
        </is>
      </c>
    </row>
    <row r="59">
      <c r="A59" s="14" t="inlineStr">
        <is>
          <t>Name:</t>
        </is>
      </c>
      <c r="B59" s="5" t="n"/>
    </row>
    <row r="60">
      <c r="A60" s="14" t="inlineStr">
        <is>
          <t>Date:</t>
        </is>
      </c>
      <c r="B60" s="5" t="n"/>
    </row>
    <row r="61">
      <c r="A61" s="14" t="inlineStr">
        <is>
          <t>Signature:</t>
        </is>
      </c>
      <c r="B61" s="5" t="n"/>
    </row>
    <row r="62">
      <c r="A62" s="14" t="inlineStr">
        <is>
          <t>Decision:</t>
        </is>
      </c>
      <c r="B62" s="5" t="n"/>
    </row>
    <row r="64">
      <c r="A64" s="13" t="inlineStr">
        <is>
          <t>Approved By (CISO)</t>
        </is>
      </c>
    </row>
    <row r="65">
      <c r="A65" s="14" t="inlineStr">
        <is>
          <t>Name:</t>
        </is>
      </c>
      <c r="B65" s="5" t="n"/>
    </row>
    <row r="66">
      <c r="A66" s="14" t="inlineStr">
        <is>
          <t>Date:</t>
        </is>
      </c>
      <c r="B66" s="5" t="n"/>
    </row>
    <row r="67">
      <c r="A67" s="14" t="inlineStr">
        <is>
          <t>Signature:</t>
        </is>
      </c>
      <c r="B67" s="5" t="n"/>
    </row>
    <row r="68">
      <c r="A68" s="14" t="inlineStr">
        <is>
          <t>Decision:</t>
        </is>
      </c>
      <c r="B68" s="5" t="n"/>
    </row>
  </sheetData>
  <mergeCells count="12">
    <mergeCell ref="A12:H12"/>
    <mergeCell ref="A52:B52"/>
    <mergeCell ref="A64:B64"/>
    <mergeCell ref="A25:H25"/>
    <mergeCell ref="A38:H38"/>
    <mergeCell ref="A16:H16"/>
    <mergeCell ref="A47:H49"/>
    <mergeCell ref="A51:H51"/>
    <mergeCell ref="A1:H1"/>
    <mergeCell ref="A46:H46"/>
    <mergeCell ref="A3:B3"/>
    <mergeCell ref="A58:B58"/>
  </mergeCells>
  <dataValidations count="1">
    <dataValidation sqref="B56 B62 B68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Secure Coding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Secure Coding Standards</t>
        </is>
      </c>
      <c r="B4" s="15">
        <f>COUNTA('Secure Coding Standards'!A4:A7)</f>
        <v/>
      </c>
      <c r="C4" s="15">
        <f>COUNTIF('Secure Coding Standards'!D4:D7,"Compliant")</f>
        <v/>
      </c>
      <c r="D4" s="15">
        <f>COUNTIF('Secure Coding Standards'!D4:D7,"Partial")</f>
        <v/>
      </c>
      <c r="E4" s="15">
        <f>COUNTIF('Secure Coding Standards'!D4:D7,"Non-Compliant")</f>
        <v/>
      </c>
      <c r="F4" s="15">
        <f>COUNTIF('Secure Coding Standards'!D4:D7,"N/A")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Common Vulnerability Prevention</t>
        </is>
      </c>
      <c r="B5" s="15">
        <f>COUNTA('Common Vulnerability Prevention'!A4:A11)</f>
        <v/>
      </c>
      <c r="C5" s="15">
        <f>COUNTIF('Common Vulnerability Prevention'!D4:D11,"Compliant")</f>
        <v/>
      </c>
      <c r="D5" s="15">
        <f>COUNTIF('Common Vulnerability Prevention'!D4:D11,"Partial")</f>
        <v/>
      </c>
      <c r="E5" s="15">
        <f>COUNTIF('Common Vulnerability Prevention'!D4:D11,"Non-Compliant")</f>
        <v/>
      </c>
      <c r="F5" s="15">
        <f>COUNTIF('Common Vulnerability Prevention'!D4:D11,"N/A")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Dependency and Library Mgmt</t>
        </is>
      </c>
      <c r="B6" s="15">
        <f>COUNTA('Dependency and Library Mgmt'!A4:A11)</f>
        <v/>
      </c>
      <c r="C6" s="15">
        <f>COUNTIF('Dependency and Library Mgmt'!D4:D11,"Compliant")</f>
        <v/>
      </c>
      <c r="D6" s="15">
        <f>COUNTIF('Dependency and Library Mgmt'!D4:D11,"Partial")</f>
        <v/>
      </c>
      <c r="E6" s="15">
        <f>COUNTIF('Dependency and Library Mgmt'!D4:D11,"Non-Compliant")</f>
        <v/>
      </c>
      <c r="F6" s="15">
        <f>COUNTIF('Dependency and Library Mgmt'!D4:D11,"N/A")</f>
        <v/>
      </c>
      <c r="G6" s="15">
        <f>IF((B6-F6)=0,"N/A",ROUND(C6/(B6-F6)*100,1)&amp;"%")</f>
        <v/>
      </c>
      <c r="H6" s="15">
        <f>B6-(C6+D6+E6+F6)</f>
        <v/>
      </c>
    </row>
    <row r="7">
      <c r="A7" s="3" t="inlineStr">
        <is>
          <t>Code Review Requirements</t>
        </is>
      </c>
      <c r="B7" s="15">
        <f>COUNTA('Code Review Requirements'!A4:A17)</f>
        <v/>
      </c>
      <c r="C7" s="15">
        <f>COUNTIF('Code Review Requirements'!D4:D17,"Compliant")</f>
        <v/>
      </c>
      <c r="D7" s="15">
        <f>COUNTIF('Code Review Requirements'!D4:D17,"Partial")</f>
        <v/>
      </c>
      <c r="E7" s="15">
        <f>COUNTIF('Code Review Requirements'!D4:D17,"Non-Compliant")</f>
        <v/>
      </c>
      <c r="F7" s="15">
        <f>COUNTIF('Code Review Requirements'!D4:D17,"N/A")</f>
        <v/>
      </c>
      <c r="G7" s="15">
        <f>IF((B7-F7)=0,"N/A",ROUND(C7/(B7-F7)*100,1)&amp;"%")</f>
        <v/>
      </c>
      <c r="H7" s="15">
        <f>B7-(C7+D7+E7+F7)</f>
        <v/>
      </c>
    </row>
    <row r="8">
      <c r="A8" s="3" t="inlineStr">
        <is>
          <t>Static App Sec Testing (SAST)</t>
        </is>
      </c>
      <c r="B8" s="15">
        <f>COUNTA('Static App Sec Testing (SAST)'!A4:A13)</f>
        <v/>
      </c>
      <c r="C8" s="15">
        <f>COUNTIF('Static App Sec Testing (SAST)'!D4:D13,"Compliant")</f>
        <v/>
      </c>
      <c r="D8" s="15">
        <f>COUNTIF('Static App Sec Testing (SAST)'!D4:D13,"Partial")</f>
        <v/>
      </c>
      <c r="E8" s="15">
        <f>COUNTIF('Static App Sec Testing (SAST)'!D4:D13,"Non-Compliant")</f>
        <v/>
      </c>
      <c r="F8" s="15">
        <f>COUNTIF('Static App Sec Testing (SAST)'!D4:D13,"N/A")</f>
        <v/>
      </c>
      <c r="G8" s="15">
        <f>IF((B8-F8)=0,"N/A",ROUND(C8/(B8-F8)*100,1)&amp;"%")</f>
        <v/>
      </c>
      <c r="H8" s="15">
        <f>B8-(C8+D8+E8+F8)</f>
        <v/>
      </c>
    </row>
    <row r="9">
      <c r="A9" s="3" t="inlineStr">
        <is>
          <t>Secure Coding Training</t>
        </is>
      </c>
      <c r="B9" s="15">
        <f>COUNTA('Secure Coding Training'!A4:A7)</f>
        <v/>
      </c>
      <c r="C9" s="15">
        <f>COUNTIF('Secure Coding Training'!D4:D7,"Compliant")</f>
        <v/>
      </c>
      <c r="D9" s="15">
        <f>COUNTIF('Secure Coding Training'!D4:D7,"Partial")</f>
        <v/>
      </c>
      <c r="E9" s="15">
        <f>COUNTIF('Secure Coding Training'!D4:D7,"Non-Compliant")</f>
        <v/>
      </c>
      <c r="F9" s="15">
        <f>COUNTIF('Secure Coding Training'!D4:D7,"N/A")</f>
        <v/>
      </c>
      <c r="G9" s="15">
        <f>IF((B9-F9)=0,"N/A",ROUND(C9/(B9-F9)*100,1)&amp;"%")</f>
        <v/>
      </c>
      <c r="H9" s="15">
        <f>B9-(C9+D9+E9+F9)</f>
        <v/>
      </c>
    </row>
    <row r="10">
      <c r="A10" s="3" t="inlineStr">
        <is>
          <t>Insecure Coding Practices</t>
        </is>
      </c>
      <c r="B10" s="15">
        <f>COUNTA('Insecure Coding Practices'!A4:A8)</f>
        <v/>
      </c>
      <c r="C10" s="15">
        <f>COUNTIF('Insecure Coding Practices'!D4:D8,"Compliant")</f>
        <v/>
      </c>
      <c r="D10" s="15">
        <f>COUNTIF('Insecure Coding Practices'!D4:D8,"Partial")</f>
        <v/>
      </c>
      <c r="E10" s="15">
        <f>COUNTIF('Insecure Coding Practices'!D4:D8,"Non-Compliant")</f>
        <v/>
      </c>
      <c r="F10" s="15">
        <f>COUNTIF('Insecure Coding Practices'!D4:D8,"N/A")</f>
        <v/>
      </c>
      <c r="G10" s="15">
        <f>IF((B10-F10)=0,"N/A",ROUND(C10/(B10-F10)*100,1)&amp;"%")</f>
        <v/>
      </c>
      <c r="H10" s="15">
        <f>B10-(C10+D10+E10+F10)</f>
        <v/>
      </c>
    </row>
    <row r="11">
      <c r="A11" s="3" t="inlineStr">
        <is>
          <t>Outsourced Development</t>
        </is>
      </c>
      <c r="B11" s="15">
        <f>COUNTA('Outsourced Development'!A4:A15)</f>
        <v/>
      </c>
      <c r="C11" s="15">
        <f>COUNTIF('Outsourced Development'!D4:D15,"Compliant")</f>
        <v/>
      </c>
      <c r="D11" s="15">
        <f>COUNTIF('Outsourced Development'!D4:D15,"Partial")</f>
        <v/>
      </c>
      <c r="E11" s="15">
        <f>COUNTIF('Outsourced Development'!D4:D15,"Non-Compliant")</f>
        <v/>
      </c>
      <c r="F11" s="15">
        <f>COUNTIF('Outsourced Development'!D4:D15,"N/A")</f>
        <v/>
      </c>
      <c r="G11" s="15">
        <f>IF((B11-F11)=0,"N/A",ROUND(C11/(B11-F11)*100,1)&amp;"%")</f>
        <v/>
      </c>
      <c r="H11" s="15">
        <f>B11-(C11+D11+E11+F11)</f>
        <v/>
      </c>
    </row>
    <row r="12">
      <c r="A12" s="3" t="inlineStr">
        <is>
          <t>Sec Champion Programme</t>
        </is>
      </c>
      <c r="B12" s="15">
        <f>COUNTA('Sec Champion Programme'!A4:A4)</f>
        <v/>
      </c>
      <c r="C12" s="15">
        <f>COUNTIF('Sec Champion Programme'!D4:D4,"Compliant")</f>
        <v/>
      </c>
      <c r="D12" s="15">
        <f>COUNTIF('Sec Champion Programme'!D4:D4,"Partial")</f>
        <v/>
      </c>
      <c r="E12" s="15">
        <f>COUNTIF('Sec Champion Programme'!D4:D4,"Non-Compliant")</f>
        <v/>
      </c>
      <c r="F12" s="15">
        <f>COUNTIF('Sec Champion Programme'!D4:D4,"N/A")</f>
        <v/>
      </c>
      <c r="G12" s="15">
        <f>IF((B12-F12)=0,"N/A",ROUND(C12/(B12-F12)*100,1)&amp;"%")</f>
        <v/>
      </c>
      <c r="H12" s="15">
        <f>B12-(C12+D12+E12+F12)</f>
        <v/>
      </c>
    </row>
    <row r="13">
      <c r="A13" s="3" t="inlineStr">
        <is>
          <t>Exception Management</t>
        </is>
      </c>
      <c r="B13" s="15">
        <f>COUNTA('Exception Management'!A4:A6)</f>
        <v/>
      </c>
      <c r="C13" s="15">
        <f>COUNTIF('Exception Management'!D4:D6,"Compliant")</f>
        <v/>
      </c>
      <c r="D13" s="15">
        <f>COUNTIF('Exception Management'!D4:D6,"Partial")</f>
        <v/>
      </c>
      <c r="E13" s="15">
        <f>COUNTIF('Exception Management'!D4:D6,"Non-Compliant")</f>
        <v/>
      </c>
      <c r="F13" s="15">
        <f>COUNTIF('Exception Management'!D4:D6,"N/A")</f>
        <v/>
      </c>
      <c r="G13" s="15">
        <f>IF((B13-F13)=0,"N/A",ROUND(C13/(B13-F13)*100,1)&amp;"%")</f>
        <v/>
      </c>
      <c r="H13" s="15">
        <f>B13-(C13+D13+E13+F13)</f>
        <v/>
      </c>
    </row>
    <row r="14">
      <c r="A14" s="16" t="inlineStr">
        <is>
          <t>TOTAL</t>
        </is>
      </c>
      <c r="B14" s="16">
        <f>SUM(B4:B13)</f>
        <v/>
      </c>
      <c r="C14" s="16">
        <f>SUM(C4:C13)</f>
        <v/>
      </c>
      <c r="D14" s="16">
        <f>SUM(D4:D13)</f>
        <v/>
      </c>
      <c r="E14" s="16">
        <f>SUM(E4:E13)</f>
        <v/>
      </c>
      <c r="F14" s="16">
        <f>SUM(F4:F13)</f>
        <v/>
      </c>
      <c r="G14" s="16">
        <f>IF((B14-F14)=0,"N/A",ROUND(C14/(B14-F14)*100,1)&amp;"%")</f>
        <v/>
      </c>
      <c r="H14" s="16">
        <f>SUM(H4:H13)</f>
        <v/>
      </c>
    </row>
    <row r="16">
      <c r="A16" s="6" t="inlineStr">
        <is>
          <t>COMPLIANCE BY STATUS</t>
        </is>
      </c>
    </row>
    <row r="17">
      <c r="A17" s="3" t="inlineStr">
        <is>
          <t>Compliant</t>
        </is>
      </c>
      <c r="B17" s="17">
        <f>C14</f>
        <v/>
      </c>
      <c r="C17" s="4">
        <f>IF(B14=0,"",ROUND(B17/B14*100,1)&amp;"%")</f>
        <v/>
      </c>
    </row>
    <row r="18">
      <c r="A18" s="3" t="inlineStr">
        <is>
          <t>Partial</t>
        </is>
      </c>
      <c r="B18" s="18">
        <f>D14</f>
        <v/>
      </c>
      <c r="C18" s="4">
        <f>IF(B14=0,"",ROUND(B18/B14*100,1)&amp;"%")</f>
        <v/>
      </c>
    </row>
    <row r="19">
      <c r="A19" s="3" t="inlineStr">
        <is>
          <t>Non-Compliant</t>
        </is>
      </c>
      <c r="B19" s="19">
        <f>E14</f>
        <v/>
      </c>
      <c r="C19" s="4">
        <f>IF(B14=0,"",ROUND(B19/B14*100,1)&amp;"%")</f>
        <v/>
      </c>
    </row>
    <row r="20">
      <c r="A20" s="3" t="inlineStr">
        <is>
          <t>N/A</t>
        </is>
      </c>
      <c r="B20" s="20">
        <f>F14</f>
        <v/>
      </c>
      <c r="C20" s="4">
        <f>IF(B14=0,"",ROUND(B20/B14*100,1)&amp;"%")</f>
        <v/>
      </c>
    </row>
    <row r="22">
      <c r="A22" s="6" t="inlineStr">
        <is>
          <t>TOP GAPS (Manual Entry)</t>
        </is>
      </c>
    </row>
    <row r="23">
      <c r="A23" s="11" t="inlineStr">
        <is>
          <t>Priority</t>
        </is>
      </c>
      <c r="B23" s="11" t="inlineStr">
        <is>
          <t>Domain</t>
        </is>
      </c>
      <c r="C23" s="11" t="inlineStr">
        <is>
          <t>Requirement</t>
        </is>
      </c>
      <c r="D23" s="11" t="inlineStr">
        <is>
          <t>Owner</t>
        </is>
      </c>
      <c r="E23" s="11" t="inlineStr">
        <is>
          <t>Due Date</t>
        </is>
      </c>
      <c r="F23" s="11" t="inlineStr">
        <is>
          <t>Status</t>
        </is>
      </c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5">
      <c r="A35" s="6" t="inlineStr">
        <is>
          <t>COMPLIANCE TREND (Manual Entry)</t>
        </is>
      </c>
    </row>
    <row r="36">
      <c r="A36" s="11" t="inlineStr">
        <is>
          <t>Assessment Date</t>
        </is>
      </c>
      <c r="B36" s="11" t="inlineStr">
        <is>
          <t>Overall %</t>
        </is>
      </c>
      <c r="C36" s="11" t="inlineStr">
        <is>
          <t>Compliant</t>
        </is>
      </c>
      <c r="D36" s="11" t="inlineStr">
        <is>
          <t>Gaps</t>
        </is>
      </c>
      <c r="E36" s="11" t="inlineStr">
        <is>
          <t>Assessor</t>
        </is>
      </c>
      <c r="F36" s="11" t="inlineStr">
        <is>
          <t>Notes</t>
        </is>
      </c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</sheetData>
  <mergeCells count="4">
    <mergeCell ref="A16:G16"/>
    <mergeCell ref="A22:G22"/>
    <mergeCell ref="A1:G1"/>
    <mergeCell ref="A35:G35"/>
  </mergeCells>
  <dataValidations count="1">
    <dataValidation sqref="F24 F25 F26 F27 F28 F29 F30 F31 F32 F33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Secure Coding Standards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A.8.28-01</t>
        </is>
      </c>
      <c r="B4" s="23" t="inlineStr">
        <is>
          <t>Establish And Maintain Documented Secure</t>
        </is>
      </c>
      <c r="C4" s="24" t="inlineStr">
        <is>
          <t>The organisation shall establish and maintain documented secure coding standards applicable to each programming language and framework in active use.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A.8.28-02</t>
        </is>
      </c>
      <c r="B5" s="23" t="inlineStr">
        <is>
          <t>The Development Manager</t>
        </is>
      </c>
      <c r="C5" s="24" t="inlineStr">
        <is>
          <t>The Development Manager shall maintain a register of approved languages and their associated secure coding references. At minimum:.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A.8.28-03</t>
        </is>
      </c>
      <c r="B6" s="23" t="inlineStr">
        <is>
          <t>The Development Manager</t>
        </is>
      </c>
      <c r="C6" s="24" t="inlineStr">
        <is>
          <t>Where a language is used that has no entry in this register, the Development Manager shall document the applicable secure coding reference before the language enters production use.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A.8.28-04</t>
        </is>
      </c>
      <c r="B7" s="23" t="inlineStr">
        <is>
          <t>Coding Standards Review*: Secure Coding</t>
        </is>
      </c>
      <c r="C7" s="24" t="inlineStr">
        <is>
          <t>Coding Standards Review*: Secure coding standards shall be reviewed annually, or when a new language or framework is adopted, or when a significant vulnerability class emerges that requires additional guidance.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Common Vulnerability Prevention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A.8.28-05</t>
        </is>
      </c>
      <c r="B4" s="23" t="inlineStr">
        <is>
          <t>Write Code That Prevents The</t>
        </is>
      </c>
      <c r="C4" s="24" t="inlineStr">
        <is>
          <t>Developers shall write code that prevents the vulnerability classes identified by the OWASP Top 10 and CWE/SANS Top 25. The following sections define mandatory coding practices for the most prevalent vulnerability categories.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A.8.28-06</t>
        </is>
      </c>
      <c r="B5" s="23" t="inlineStr">
        <is>
          <t>Input From External Sources</t>
        </is>
      </c>
      <c r="C5" s="24" t="inlineStr">
        <is>
          <t>All input from external sources shall be treated as untrusted and validated before processing.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A.8.28-07</t>
        </is>
      </c>
      <c r="B6" s="23" t="inlineStr">
        <is>
          <t>Output Rendered To Users Or External</t>
        </is>
      </c>
      <c r="C6" s="24" t="inlineStr">
        <is>
          <t>All output rendered to users or external systems shall be encoded to prevent injection attacks.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A.8.28-08</t>
        </is>
      </c>
      <c r="B7" s="23" t="inlineStr">
        <is>
          <t>Application Code Implementing</t>
        </is>
      </c>
      <c r="C7" s="24" t="inlineStr">
        <is>
          <t>Application code implementing authentication and session handling shall follow established secure patterns.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A.8.28-09</t>
        </is>
      </c>
      <c r="B8" s="23" t="inlineStr">
        <is>
          <t>Generate Session Identifiers Using</t>
        </is>
      </c>
      <c r="C8" s="24" t="inlineStr">
        <is>
          <t>Generate session identifiers using cryptographically secure random number generators. Session IDs shall be of sufficient length (minimum 128 bits of entropy).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A.8.28-10</t>
        </is>
      </c>
      <c r="B9" s="23" t="inlineStr">
        <is>
          <t>Application Error Handling</t>
        </is>
      </c>
      <c r="C9" s="24" t="inlineStr">
        <is>
          <t>Application error handling shall prevent information disclosure and support security monitoring.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A.8.28-11</t>
        </is>
      </c>
      <c r="B10" s="23" t="inlineStr">
        <is>
          <t>Application Code That Implements Or Uses</t>
        </is>
      </c>
      <c r="C10" s="24" t="inlineStr">
        <is>
          <t>Application code that implements or uses cryptography shall follow the organisation's cryptographic policy.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A.8.28-12</t>
        </is>
      </c>
      <c r="B11" s="23" t="inlineStr">
        <is>
          <t>Application Code</t>
        </is>
      </c>
      <c r="C11" s="24" t="inlineStr">
        <is>
          <t>Application code shall enforce authorisation consistently.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Dependency and Library Mgmt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A.8.28-13</t>
        </is>
      </c>
      <c r="B4" s="23" t="inlineStr">
        <is>
          <t>Third-Party Libraries, Frameworks, And</t>
        </is>
      </c>
      <c r="C4" s="24" t="inlineStr">
        <is>
          <t>Third-party libraries, frameworks, and open source components introduce supply chain risk and shall be managed throughout their lifecycle.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A.8.28-14</t>
        </is>
      </c>
      <c r="B5" s="23" t="inlineStr">
        <is>
          <t>Maintain A Dependency Inventory For Each</t>
        </is>
      </c>
      <c r="C5" s="24" t="inlineStr">
        <is>
          <t>Maintain a dependency inventory for each application. All production applications shall maintain a Software Bill of Materials (SBOM) in CycloneDX or SPDX format, generated automatically via the build pipeline.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A.8.28-15</t>
        </is>
      </c>
      <c r="B6" s="23" t="inlineStr">
        <is>
          <t>Sca Scanning</t>
        </is>
      </c>
      <c r="C6" s="24" t="inlineStr">
        <is>
          <t>SCA scanning shall run on every build (CI/CD pipeline integration). Builds shall fail if critical or high-severity dependency vulnerabilities are detected and unresolved.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A.8.28-16</t>
        </is>
      </c>
      <c r="B7" s="23" t="inlineStr">
        <is>
          <t>Evaluate New Dependencies Before</t>
        </is>
      </c>
      <c r="C7" s="24" t="inlineStr">
        <is>
          <t>Evaluate new dependencies before adoption: check maintenance status, known vulnerabilities, licence compatibility, and community activity. Abandoned or unmaintained libraries shall not be introduced.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A.8.28-17</t>
        </is>
      </c>
      <c r="B8" s="23" t="inlineStr">
        <is>
          <t>Sbom Generation</t>
        </is>
      </c>
      <c r="C8" s="24" t="inlineStr">
        <is>
          <t>SBOM generation shall be standard practice for all applications, not limited to high-risk applications.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A.8.28-18</t>
        </is>
      </c>
      <c r="B9" s="23" t="inlineStr">
        <is>
          <t>Storage And Access: Sboms Stored In</t>
        </is>
      </c>
      <c r="C9" s="24" t="inlineStr">
        <is>
          <t>Storage and access: SBOMs stored in [Artifact Repository / Dependency Track / SBOM Platform], accessible to the Development Team, Security Team, Legal (for licence compliance), and Incident Response team. Each SBOM shall be tagged with the corresponding application version (1:1 relationship).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A.8.28-19</t>
        </is>
      </c>
      <c r="B10" s="23" t="inlineStr">
        <is>
          <t>Timeline: All Production Applications</t>
        </is>
      </c>
      <c r="C10" s="24" t="inlineStr">
        <is>
          <t>Timeline: All production applications shall generate SBOMs by [Date — suggest 6 months from policy effective date]. Phased rollout: critical applications first (Month 1–3), then all production (Month 4–6).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A.8.28-20</t>
        </is>
      </c>
      <c r="B11" s="23" t="inlineStr">
        <is>
          <t>Pinning Dependency Versions Ensures</t>
        </is>
      </c>
      <c r="C11" s="24" t="inlineStr">
        <is>
          <t>Pinning dependency versions ensures reproducible builds but creates staleness risk if versions are never updated. The organisation shall maintain a dependency update cadence to balance stability with security.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Code Review Requirements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A.8.28-21</t>
        </is>
      </c>
      <c r="B4" s="23" t="inlineStr">
        <is>
          <t>Code Changes</t>
        </is>
      </c>
      <c r="C4" s="24" t="inlineStr">
        <is>
          <t>All code changes shall be reviewed before merging to protected branches.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A.8.28-22</t>
        </is>
      </c>
      <c r="B5" s="23" t="inlineStr">
        <is>
          <t>The Number Of Reviewers And Their</t>
        </is>
      </c>
      <c r="C5" s="24" t="inlineStr">
        <is>
          <t>The number of reviewers and their qualifications shall be determined by the risk classification of the code change:.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A.8.28-23</t>
        </is>
      </c>
      <c r="B6" s="23" t="inlineStr">
        <is>
          <t>Qualifications: Security Champion</t>
        </is>
      </c>
      <c r="C6" s="24" t="inlineStr">
        <is>
          <t>Qualifications: Security Champion shall have completed Security Champion training.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A.8.28-24</t>
        </is>
      </c>
      <c r="B7" s="23" t="inlineStr">
        <is>
          <t>Approval: Both Reviewers</t>
        </is>
      </c>
      <c r="C7" s="24" t="inlineStr">
        <is>
          <t>Approval: Both reviewers shall approve before merge.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A.8.28-25</t>
        </is>
      </c>
      <c r="B8" s="23" t="inlineStr">
        <is>
          <t>Qualifications: Reviewer</t>
        </is>
      </c>
      <c r="C8" s="24" t="inlineStr">
        <is>
          <t>Qualifications: Reviewer shall understand infrastructure implications.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A.8.28-26</t>
        </is>
      </c>
      <c r="B9" s="23" t="inlineStr">
        <is>
          <t>Testing</t>
        </is>
      </c>
      <c r="C9" s="24" t="inlineStr">
        <is>
          <t>Testing: Shall include automated security tests (SAST passed, integration tests passed).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A.8.28-27</t>
        </is>
      </c>
      <c r="B10" s="23" t="inlineStr">
        <is>
          <t>Security Champions</t>
        </is>
      </c>
      <c r="C10" s="24" t="inlineStr">
        <is>
          <t>Security Champions shall have dedicated time allocation for security reviews (10% of work time).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A.8.28-28</t>
        </is>
      </c>
      <c r="B11" s="23" t="inlineStr">
        <is>
          <t>If Security Champion Unavailable:</t>
        </is>
      </c>
      <c r="C11" s="24" t="inlineStr">
        <is>
          <t>If Security Champion unavailable: Security Team shall provide review within 48 hours.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A.8.28-29</t>
        </is>
      </c>
      <c r="B12" s="23" t="inlineStr">
        <is>
          <t>Documentation: Pr Description</t>
        </is>
      </c>
      <c r="C12" s="24" t="inlineStr">
        <is>
          <t>Documentation: PR description shall state the review type required based on code classification (standard, security-critical, high-risk). CI/CD checks shall verify that the review approval count matches the requirement.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A.8.28-30</t>
        </is>
      </c>
      <c r="B13" s="23" t="inlineStr">
        <is>
          <t>The Code Author</t>
        </is>
      </c>
      <c r="C13" s="24" t="inlineStr">
        <is>
          <t>The code author shall not approve their own code (separation of duties).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A.8.28-31</t>
        </is>
      </c>
      <c r="B14" s="23" t="inlineStr">
        <is>
          <t>Verify Adherence To The Organisation'S</t>
        </is>
      </c>
      <c r="C14" s="24" t="inlineStr">
        <is>
          <t>Reviewers shall verify adherence to the organisation's secure coding standards.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A.8.28-32</t>
        </is>
      </c>
      <c r="B15" s="23" t="inlineStr">
        <is>
          <t>Check For: Hard-Coded Secrets, Insecure</t>
        </is>
      </c>
      <c r="C15" s="24" t="inlineStr">
        <is>
          <t>Reviewers shall check for: hard-coded secrets, insecure coding patterns, missing input validation, missing output encoding, excessive permissions, inadequate error handling, and missing logging.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A.8.28-33</t>
        </is>
      </c>
      <c r="B16" s="23" t="inlineStr">
        <is>
          <t>Pull Requests</t>
        </is>
      </c>
      <c r="C16" s="24" t="inlineStr">
        <is>
          <t>Pull requests shall include a description of changes, link to the related issue or ticket, and evidence of testing.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A.8.28-34</t>
        </is>
      </c>
      <c r="B17" s="23" t="inlineStr">
        <is>
          <t>Be Completed Before The Code Is</t>
        </is>
      </c>
      <c r="C17" s="24" t="inlineStr">
        <is>
          <t>Reviews shall be completed before the code is merged to a protected branch.</t>
        </is>
      </c>
      <c r="D17" s="25" t="n"/>
      <c r="E17" s="5" t="n"/>
      <c r="F17" s="5" t="n"/>
      <c r="G17" s="26" t="n"/>
      <c r="H17" s="5" t="n"/>
    </row>
  </sheetData>
  <mergeCells count="2">
    <mergeCell ref="A2:H2"/>
    <mergeCell ref="A1:H1"/>
  </mergeCells>
  <conditionalFormatting sqref="D4:D1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Static App Sec Testing (SAST)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A.8.28-35</t>
        </is>
      </c>
      <c r="B4" s="23" t="inlineStr">
        <is>
          <t>Automated Static Analysis</t>
        </is>
      </c>
      <c r="C4" s="24" t="inlineStr">
        <is>
          <t>Automated static analysis shall be integrated into the development workflow to detect security defects before deployment.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A.8.28-36</t>
        </is>
      </c>
      <c r="B5" s="23" t="inlineStr">
        <is>
          <t>Deploy A Sast Tool ([Sast Tool]</t>
        </is>
      </c>
      <c r="C5" s="24" t="inlineStr">
        <is>
          <t>The organisation shall deploy a SAST tool ([SAST Tool] — e.g., SonarQube, Semgrep, CodeQL, Checkmarx, or equivalent) integrated into the CI/CD pipeline.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A.8.28-37</t>
        </is>
      </c>
      <c r="B6" s="23" t="inlineStr">
        <is>
          <t>Sast Scans</t>
        </is>
      </c>
      <c r="C6" s="24" t="inlineStr">
        <is>
          <t>SAST scans shall run on every pull request or merge request to a protected branch.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A.8.28-38</t>
        </is>
      </c>
      <c r="B7" s="23" t="inlineStr">
        <is>
          <t>Sast Results</t>
        </is>
      </c>
      <c r="C7" s="24" t="inlineStr">
        <is>
          <t>SAST results shall be reviewed before merging. Critical and high-severity findings shall block the merge until resolved or explicitly accepted as false positives with documented justification.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A.8.28-39</t>
        </is>
      </c>
      <c r="B8" s="23" t="inlineStr">
        <is>
          <t>Sast Rule Sets</t>
        </is>
      </c>
      <c r="C8" s="24" t="inlineStr">
        <is>
          <t>SAST rule sets shall cover, at minimum, the OWASP Top 10 and CWE/SANS Top 25 vulnerability classes.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A.8.28-40</t>
        </is>
      </c>
      <c r="B9" s="23" t="inlineStr">
        <is>
          <t>False Positives</t>
        </is>
      </c>
      <c r="C9" s="24" t="inlineStr">
        <is>
          <t>False positives shall be documented and suppressed following the suppression procedure below. Suppression without justification and peer review is prohibited.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A.8.28-41</t>
        </is>
      </c>
      <c r="B10" s="23" t="inlineStr">
        <is>
          <t>Sast Tool Configuration And Rule Sets</t>
        </is>
      </c>
      <c r="C10" s="24" t="inlineStr">
        <is>
          <t>SAST tool configuration and rule sets shall be reviewed annually by the Development Manager and Security Team.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A.8.28-42</t>
        </is>
      </c>
      <c r="B11" s="23" t="inlineStr">
        <is>
          <t>Peer Review Required: Another Developer</t>
        </is>
      </c>
      <c r="C11" s="24" t="inlineStr">
        <is>
          <t>Peer review required: Another developer OR Security Champion shall review the suppression request.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A.8.28-43</t>
        </is>
      </c>
      <c r="B12" s="23" t="inlineStr">
        <is>
          <t>Security Team Approval (For</t>
        </is>
      </c>
      <c r="C12" s="24" t="inlineStr">
        <is>
          <t>Security Team approval (for Critical/High findings): The Security Team shall approve suppression of Critical/High severity findings. Medium/Low findings may be approved by a peer reviewer.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A.8.28-44</t>
        </is>
      </c>
      <c r="B13" s="23" t="inlineStr">
        <is>
          <t>Quarterly Review: Security Team</t>
        </is>
      </c>
      <c r="C13" s="24" t="inlineStr">
        <is>
          <t>Quarterly review: Security Team shall sample 20% of suppressed findings.</t>
        </is>
      </c>
      <c r="D13" s="25" t="n"/>
      <c r="E13" s="5" t="n"/>
      <c r="F13" s="5" t="n"/>
      <c r="G13" s="26" t="n"/>
      <c r="H13" s="5" t="n"/>
    </row>
  </sheetData>
  <mergeCells count="2">
    <mergeCell ref="A2:H2"/>
    <mergeCell ref="A1:H1"/>
  </mergeCells>
  <conditionalFormatting sqref="D4:D13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Secure Coding Training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A.8.28-45</t>
        </is>
      </c>
      <c r="B4" s="23" t="inlineStr">
        <is>
          <t>Receive Training To Write Secure Code</t>
        </is>
      </c>
      <c r="C4" s="24" t="inlineStr">
        <is>
          <t>Developers shall receive training to write secure code effectively.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A.8.28-46</t>
        </is>
      </c>
      <c r="B5" s="23" t="inlineStr">
        <is>
          <t>Training Content*</t>
        </is>
      </c>
      <c r="C5" s="24" t="inlineStr">
        <is>
          <t>Training Content* shall cover, at minimum:.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A.8.28-47</t>
        </is>
      </c>
      <c r="B6" s="23" t="inlineStr">
        <is>
          <t>Training Evidence*: Completion Records</t>
        </is>
      </c>
      <c r="C6" s="24" t="inlineStr">
        <is>
          <t>Training Evidence*: Completion records shall be maintained in [HR System / LMS] and reviewed by the Development Manager quarterly.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A.8.28-48</t>
        </is>
      </c>
      <c r="B7" s="23" t="inlineStr">
        <is>
          <t>Training Requirements</t>
        </is>
      </c>
      <c r="C7" s="24" t="inlineStr">
        <is>
          <t>Training requirements shall be enforced through escalating consequences for non-compliance:.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Insecure Coding Practices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A.8.28-49</t>
        </is>
      </c>
      <c r="B4" s="23" t="inlineStr">
        <is>
          <t>The Prohibition On Hard-Coded Secrets In</t>
        </is>
      </c>
      <c r="C4" s="24" t="inlineStr">
        <is>
          <t>The prohibition on hard-coded secrets in the table above shall be enforced through automated detection at multiple layers.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A.8.28-50</t>
        </is>
      </c>
      <c r="B5" s="23" t="inlineStr">
        <is>
          <t>Blocks Commit If Secrets Detected</t>
        </is>
      </c>
      <c r="C5" s="24" t="inlineStr">
        <is>
          <t>Blocks commit if secrets detected (developer shall remove before re-commit).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A.8.28-51</t>
        </is>
      </c>
      <c r="B6" s="23" t="inlineStr">
        <is>
          <t>Onboarding: All Developers</t>
        </is>
      </c>
      <c r="C6" s="24" t="inlineStr">
        <is>
          <t>Onboarding: All developers shall be instructed to install the pre-commit hook during onboarding.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A.8.28-52</t>
        </is>
      </c>
      <c r="B7" s="23" t="inlineStr">
        <is>
          <t>Fail If Secrets Are Detected (No</t>
        </is>
      </c>
      <c r="C7" s="24" t="inlineStr">
        <is>
          <t>Builds shall fail if secrets are detected (no merge until remediated).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A.8.28-53</t>
        </is>
      </c>
      <c r="B8" s="23" t="inlineStr">
        <is>
          <t>Documentation: Secrets Detection Tool</t>
        </is>
      </c>
      <c r="C8" s="24" t="inlineStr">
        <is>
          <t>Documentation: Secrets detection tool configuration shall be maintained in [CI/CD Config Repository] and reviewed quarterly by the Security Team.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Outsourced Development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A.8.28-54</t>
        </is>
      </c>
      <c r="B4" s="23" t="inlineStr">
        <is>
          <t>Code Produced By External Contractors</t>
        </is>
      </c>
      <c r="C4" s="24" t="inlineStr">
        <is>
          <t>Code produced by external contractors and outsourced development teams shall meet the same secure coding standards as internally developed code.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A.8.28-55</t>
        </is>
      </c>
      <c r="B5" s="23" t="inlineStr">
        <is>
          <t>Require Adherence To The Organisation'S</t>
        </is>
      </c>
      <c r="C5" s="24" t="inlineStr">
        <is>
          <t>Contracts shall require adherence to the organisation's secure coding standards and this policy.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A.8.28-56</t>
        </is>
      </c>
      <c r="B6" s="23" t="inlineStr">
        <is>
          <t>Provide Evidence Of Secure Coding</t>
        </is>
      </c>
      <c r="C6" s="24" t="inlineStr">
        <is>
          <t>Contractors shall provide evidence of secure coding training for their developers.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A.8.28-57</t>
        </is>
      </c>
      <c r="B7" s="23" t="inlineStr">
        <is>
          <t>Contractor-Produced Code</t>
        </is>
      </c>
      <c r="C7" s="24" t="inlineStr">
        <is>
          <t>All contractor-produced code shall undergo the same code review and SAST scanning as internal code.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A.8.28-58</t>
        </is>
      </c>
      <c r="B8" s="23" t="inlineStr">
        <is>
          <t>Remediate Security Findings Within The</t>
        </is>
      </c>
      <c r="C8" s="24" t="inlineStr">
        <is>
          <t>Contractors shall remediate security findings within the organisation's defined SLAs.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A.8.28-59</t>
        </is>
      </c>
      <c r="B9" s="23" t="inlineStr">
        <is>
          <t>Contractor Code</t>
        </is>
      </c>
      <c r="C9" s="24" t="inlineStr">
        <is>
          <t>Contractor code shall be reviewed by an internal developer before merging.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A.8.28-60</t>
        </is>
      </c>
      <c r="B10" s="23" t="inlineStr">
        <is>
          <t>Sast And Sca Results For</t>
        </is>
      </c>
      <c r="C10" s="24" t="inlineStr">
        <is>
          <t>SAST and SCA results for contractor-produced code shall be visible to the organisation's Security Team.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A.8.28-61</t>
        </is>
      </c>
      <c r="B11" s="23" t="inlineStr">
        <is>
          <t>High-Risk Code Produced By Contractors</t>
        </is>
      </c>
      <c r="C11" s="24" t="inlineStr">
        <is>
          <t>High-risk code produced by contractors (authentication, authorisation, cryptography, data protection) shall receive a security-focused code review by a Security Champion or Security Architect.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A.8.28-62</t>
        </is>
      </c>
      <c r="B12" s="23" t="inlineStr">
        <is>
          <t>In Addition To Ongoing Code Review</t>
        </is>
      </c>
      <c r="C12" s="24" t="inlineStr">
        <is>
          <t>In addition to ongoing code review and scanning, the organisation shall conduct periodic audits of contractor-produced code to verify sustained quality and compliance.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A.8.28-63</t>
        </is>
      </c>
      <c r="B13" s="23" t="inlineStr">
        <is>
          <t>Poor Performance: 3 Consecutive Quarters</t>
        </is>
      </c>
      <c r="C13" s="24" t="inlineStr">
        <is>
          <t>Poor performance: 3 consecutive quarters below threshold shall trigger contract review and possible termination.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A.8.28-64</t>
        </is>
      </c>
      <c r="B14" s="23" t="inlineStr">
        <is>
          <t>Action: Contractors</t>
        </is>
      </c>
      <c r="C14" s="24" t="inlineStr">
        <is>
          <t>Action: Contractors shall address Critical/High recommendations within 90 days.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A.8.28-65</t>
        </is>
      </c>
      <c r="B15" s="23" t="inlineStr">
        <is>
          <t>Documentation: Contractor Audit Reports</t>
        </is>
      </c>
      <c r="C15" s="24" t="inlineStr">
        <is>
          <t>Documentation: Contractor audit reports shall be retained for contract duration + 3 years.</t>
        </is>
      </c>
      <c r="D15" s="25" t="n"/>
      <c r="E15" s="5" t="n"/>
      <c r="F15" s="5" t="n"/>
      <c r="G15" s="26" t="n"/>
      <c r="H15" s="5" t="n"/>
    </row>
  </sheetData>
  <mergeCells count="2">
    <mergeCell ref="A2:H2"/>
    <mergeCell ref="A1:H1"/>
  </mergeCells>
  <conditionalFormatting sqref="D4:D1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 Champion Programme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A.8.28-66</t>
        </is>
      </c>
      <c r="B4" s="23" t="inlineStr">
        <is>
          <t>Documentation: Security Champion</t>
        </is>
      </c>
      <c r="C4" s="24" t="inlineStr">
        <is>
          <t>Documentation: Security Champion Register shall be maintained in [HR System / Wiki] with names, teams, appointment dates, and training completion.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Exception Management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A.8.28-67</t>
        </is>
      </c>
      <c r="B4" s="23" t="inlineStr">
        <is>
          <t>Exceptions To This Policy</t>
        </is>
      </c>
      <c r="C4" s="24" t="inlineStr">
        <is>
          <t>Exceptions to this policy shall be requested in writing and shall include:.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A.8.28-68</t>
        </is>
      </c>
      <c r="B5" s="23" t="inlineStr">
        <is>
          <t>Be Approved By The Development Manager</t>
        </is>
      </c>
      <c r="C5" s="24" t="inlineStr">
        <is>
          <t>Exceptions shall be approved by the Development Manager and Information Security Manager (mandatory), plus the CISO for production application exceptions. All active exceptions shall be reviewed quarterly.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A.8.28-69</t>
        </is>
      </c>
      <c r="B6" s="23" t="inlineStr">
        <is>
          <t>Legacy Code Base That Cannot Be</t>
        </is>
      </c>
      <c r="C6" s="24" t="inlineStr">
        <is>
          <t>Where technically infeasible to meet a requirement (e.g., legacy code base that cannot be refactored immediately), compensating controls shall be implemented, documented, verified by the Information Security Manager, and reviewed annually.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2026-09-30T11:46:14Z</dcterms:created>
  <dcterms:modified xmlns:dcterms="http://purl.org/dc/terms/" xmlns:xsi="http://www.w3.org/2001/XMLSchema-instance" xsi:type="dcterms:W3CDTF">2026-09-30T11:46:14Z</dcterms:modified>
</cp:coreProperties>
</file>