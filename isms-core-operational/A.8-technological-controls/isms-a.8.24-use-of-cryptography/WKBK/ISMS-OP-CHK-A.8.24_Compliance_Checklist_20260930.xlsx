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ryptographic Controls" sheetId="3" state="visible" r:id="rId3"/>
    <sheet xmlns:r="http://schemas.openxmlformats.org/officeDocument/2006/relationships" name="Cryptographic Key Management" sheetId="4" state="visible" r:id="rId4"/>
    <sheet xmlns:r="http://schemas.openxmlformats.org/officeDocument/2006/relationships" name="Optional Payment Card Data" sheetId="5" state="visible" r:id="rId5"/>
  </sheets>
  <definedNames>
    <definedName name="_xlnm.Print_Area" localSheetId="0">'Executive Summary'!$A$1:$H$63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ISMS-OP-CHK-A.8.24 — Use of Cryptography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ISMS-OP-CHK-A.8.24</t>
        </is>
      </c>
    </row>
    <row r="5">
      <c r="A5" s="3" t="inlineStr">
        <is>
          <t>Source Policy</t>
        </is>
      </c>
      <c r="B5" s="4" t="inlineStr">
        <is>
          <t>ISMS-OP-POL-A.8.24</t>
        </is>
      </c>
    </row>
    <row r="6">
      <c r="A6" s="3" t="inlineStr">
        <is>
          <t>ISO Controls</t>
        </is>
      </c>
      <c r="B6" s="4" t="inlineStr">
        <is>
          <t>Use of Cryptography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'Dashboard'!G7</f>
        <v/>
      </c>
    </row>
    <row r="14">
      <c r="A14" s="7" t="inlineStr">
        <is>
          <t>Status</t>
        </is>
      </c>
      <c r="B14" s="9">
        <f>IF(Dashboard!H7&gt;0,"INCOMPLETE",IF(Dashboard!G7="N/A","NOT ASSESSED",IF(ISNUMBER(VALUE(SUBSTITUTE(Dashboard!G7,"%",""))),IF(VALUE(SUBSTITUTE(Dashboard!G7,"%",""))&gt;=90,"GREEN",IF(VALUE(SUBSTITUTE(Dashboard!G7,"%",""))&gt;=70,"AMBER","RED")),"NOT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'Dashboard'!B7</f>
        <v/>
      </c>
    </row>
    <row r="18">
      <c r="A18" s="3" t="inlineStr">
        <is>
          <t>Compliant</t>
        </is>
      </c>
      <c r="B18" s="10">
        <f>'Dashboard'!C7</f>
        <v/>
      </c>
    </row>
    <row r="19">
      <c r="A19" s="3" t="inlineStr">
        <is>
          <t>Partial</t>
        </is>
      </c>
      <c r="B19" s="10">
        <f>'Dashboard'!D7</f>
        <v/>
      </c>
    </row>
    <row r="20">
      <c r="A20" s="3" t="inlineStr">
        <is>
          <t>Non-Compliant</t>
        </is>
      </c>
      <c r="B20" s="10">
        <f>'Dashboard'!E7</f>
        <v/>
      </c>
    </row>
    <row r="21">
      <c r="A21" s="3" t="inlineStr">
        <is>
          <t>Not Applicable</t>
        </is>
      </c>
      <c r="B21" s="10">
        <f>'Dashboard'!F7</f>
        <v/>
      </c>
    </row>
    <row r="22">
      <c r="A22" s="3" t="inlineStr">
        <is>
          <t>Unanswered</t>
        </is>
      </c>
      <c r="B22" s="10">
        <f>'Dashboard'!H7</f>
        <v/>
      </c>
    </row>
    <row r="23">
      <c r="A23" s="3" t="inlineStr">
        <is>
          <t>Owner Coverage</t>
        </is>
      </c>
      <c r="B23" s="10">
        <f>IF(Dashboard!B7=0,"N/A",ROUND((COUNTA('Cryptographic Controls'!F4:F25)+COUNTA('Cryptographic Key Management'!F4:F25)+COUNTA('Optional Payment Card Data'!F4:F5))/Dashboard!B7*100,0)&amp;"%")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Cryptographic Controls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Cryptographic Key Management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Optional Payment Card Data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1">
      <c r="A31" s="6" t="inlineStr">
        <is>
          <t>CRITICAL ISSUES</t>
        </is>
      </c>
    </row>
    <row r="32">
      <c r="A32" s="11" t="inlineStr">
        <is>
          <t>#</t>
        </is>
      </c>
      <c r="B32" s="11" t="inlineStr">
        <is>
          <t>Issue Description</t>
        </is>
      </c>
      <c r="C32" s="11" t="inlineStr">
        <is>
          <t>Domain</t>
        </is>
      </c>
      <c r="D32" s="11" t="inlineStr">
        <is>
          <t>Owner</t>
        </is>
      </c>
      <c r="E32" s="11" t="inlineStr">
        <is>
          <t>Due Date</t>
        </is>
      </c>
    </row>
    <row r="33">
      <c r="A33" s="4" t="n">
        <v>1</v>
      </c>
      <c r="B33" s="5" t="n"/>
      <c r="C33" s="5" t="n"/>
      <c r="D33" s="5" t="n"/>
      <c r="E33" s="5" t="n"/>
    </row>
    <row r="34">
      <c r="A34" s="4" t="n">
        <v>2</v>
      </c>
      <c r="B34" s="5" t="n"/>
      <c r="C34" s="5" t="n"/>
      <c r="D34" s="5" t="n"/>
      <c r="E34" s="5" t="n"/>
    </row>
    <row r="35">
      <c r="A35" s="4" t="n">
        <v>3</v>
      </c>
      <c r="B35" s="5" t="n"/>
      <c r="C35" s="5" t="n"/>
      <c r="D35" s="5" t="n"/>
      <c r="E35" s="5" t="n"/>
    </row>
    <row r="36">
      <c r="A36" s="4" t="n">
        <v>4</v>
      </c>
      <c r="B36" s="5" t="n"/>
      <c r="C36" s="5" t="n"/>
      <c r="D36" s="5" t="n"/>
      <c r="E36" s="5" t="n"/>
    </row>
    <row r="37">
      <c r="A37" s="4" t="n">
        <v>5</v>
      </c>
      <c r="B37" s="5" t="n"/>
      <c r="C37" s="5" t="n"/>
      <c r="D37" s="5" t="n"/>
      <c r="E37" s="5" t="n"/>
    </row>
    <row r="39">
      <c r="A39" s="6" t="inlineStr">
        <is>
          <t>MANAGEMENT COMMENTARY</t>
        </is>
      </c>
    </row>
    <row r="40" ht="60" customHeight="1">
      <c r="A40" s="12" t="inlineStr">
        <is>
          <t>[Enter management commentary on use of cryptography posture]</t>
        </is>
      </c>
    </row>
    <row r="41"/>
    <row r="42"/>
    <row r="44">
      <c r="A44" s="6" t="inlineStr">
        <is>
          <t>APPROVAL</t>
        </is>
      </c>
    </row>
    <row r="45">
      <c r="A45" s="13" t="inlineStr">
        <is>
          <t>Assessed By</t>
        </is>
      </c>
    </row>
    <row r="46">
      <c r="A46" s="14" t="inlineStr">
        <is>
          <t>Name:</t>
        </is>
      </c>
      <c r="B46" s="5" t="n"/>
    </row>
    <row r="47">
      <c r="A47" s="14" t="inlineStr">
        <is>
          <t>Date:</t>
        </is>
      </c>
      <c r="B47" s="5" t="n"/>
    </row>
    <row r="48">
      <c r="A48" s="14" t="inlineStr">
        <is>
          <t>Signature:</t>
        </is>
      </c>
      <c r="B48" s="5" t="n"/>
    </row>
    <row r="49">
      <c r="A49" s="14" t="inlineStr">
        <is>
          <t>Decision:</t>
        </is>
      </c>
      <c r="B49" s="5" t="n"/>
    </row>
    <row r="51">
      <c r="A51" s="13" t="inlineStr">
        <is>
          <t>Reviewed By (ISO Manager)</t>
        </is>
      </c>
    </row>
    <row r="52">
      <c r="A52" s="14" t="inlineStr">
        <is>
          <t>Name:</t>
        </is>
      </c>
      <c r="B52" s="5" t="n"/>
    </row>
    <row r="53">
      <c r="A53" s="14" t="inlineStr">
        <is>
          <t>Date:</t>
        </is>
      </c>
      <c r="B53" s="5" t="n"/>
    </row>
    <row r="54">
      <c r="A54" s="14" t="inlineStr">
        <is>
          <t>Signature:</t>
        </is>
      </c>
      <c r="B54" s="5" t="n"/>
    </row>
    <row r="55">
      <c r="A55" s="14" t="inlineStr">
        <is>
          <t>Decision:</t>
        </is>
      </c>
      <c r="B55" s="5" t="n"/>
    </row>
    <row r="57">
      <c r="A57" s="13" t="inlineStr">
        <is>
          <t>Approved By (CISO)</t>
        </is>
      </c>
    </row>
    <row r="58">
      <c r="A58" s="14" t="inlineStr">
        <is>
          <t>Name:</t>
        </is>
      </c>
      <c r="B58" s="5" t="n"/>
    </row>
    <row r="59">
      <c r="A59" s="14" t="inlineStr">
        <is>
          <t>Date:</t>
        </is>
      </c>
      <c r="B59" s="5" t="n"/>
    </row>
    <row r="60">
      <c r="A60" s="14" t="inlineStr">
        <is>
          <t>Signature:</t>
        </is>
      </c>
      <c r="B60" s="5" t="n"/>
    </row>
    <row r="61">
      <c r="A61" s="14" t="inlineStr">
        <is>
          <t>Decision:</t>
        </is>
      </c>
      <c r="B61" s="5" t="n"/>
    </row>
  </sheetData>
  <mergeCells count="12">
    <mergeCell ref="A12:H12"/>
    <mergeCell ref="A39:H39"/>
    <mergeCell ref="A25:H25"/>
    <mergeCell ref="A57:B57"/>
    <mergeCell ref="A31:H31"/>
    <mergeCell ref="A16:H16"/>
    <mergeCell ref="A51:B51"/>
    <mergeCell ref="A45:B45"/>
    <mergeCell ref="A44:H44"/>
    <mergeCell ref="A40:H42"/>
    <mergeCell ref="A1:H1"/>
    <mergeCell ref="A3:B3"/>
  </mergeCells>
  <dataValidations count="1">
    <dataValidation sqref="B49 B55 B61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Use of Cryptography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Cryptographic Controls</t>
        </is>
      </c>
      <c r="B4" s="15">
        <f>COUNTA('Cryptographic Controls'!A4:A25)</f>
        <v/>
      </c>
      <c r="C4" s="15">
        <f>COUNTIF('Cryptographic Controls'!D4:D25,"Compliant")</f>
        <v/>
      </c>
      <c r="D4" s="15">
        <f>COUNTIF('Cryptographic Controls'!D4:D25,"Partial")</f>
        <v/>
      </c>
      <c r="E4" s="15">
        <f>COUNTIF('Cryptographic Controls'!D4:D25,"Non-Compliant")</f>
        <v/>
      </c>
      <c r="F4" s="15">
        <f>COUNTIF('Cryptographic Controls'!D4:D25,"N/A")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Cryptographic Key Management</t>
        </is>
      </c>
      <c r="B5" s="15">
        <f>COUNTA('Cryptographic Key Management'!A4:A25)</f>
        <v/>
      </c>
      <c r="C5" s="15">
        <f>COUNTIF('Cryptographic Key Management'!D4:D25,"Compliant")</f>
        <v/>
      </c>
      <c r="D5" s="15">
        <f>COUNTIF('Cryptographic Key Management'!D4:D25,"Partial")</f>
        <v/>
      </c>
      <c r="E5" s="15">
        <f>COUNTIF('Cryptographic Key Management'!D4:D25,"Non-Compliant")</f>
        <v/>
      </c>
      <c r="F5" s="15">
        <f>COUNTIF('Cryptographic Key Management'!D4:D25,"N/A")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Optional Payment Card Data</t>
        </is>
      </c>
      <c r="B6" s="15">
        <f>COUNTA('Optional Payment Card Data'!A4:A5)</f>
        <v/>
      </c>
      <c r="C6" s="15">
        <f>COUNTIF('Optional Payment Card Data'!D4:D5,"Compliant")</f>
        <v/>
      </c>
      <c r="D6" s="15">
        <f>COUNTIF('Optional Payment Card Data'!D4:D5,"Partial")</f>
        <v/>
      </c>
      <c r="E6" s="15">
        <f>COUNTIF('Optional Payment Card Data'!D4:D5,"Non-Compliant")</f>
        <v/>
      </c>
      <c r="F6" s="15">
        <f>COUNTIF('Optional Payment Card Data'!D4:D5,"N/A")</f>
        <v/>
      </c>
      <c r="G6" s="15">
        <f>IF((B6-F6)=0,"N/A",ROUND(C6/(B6-F6)*100,1)&amp;"%")</f>
        <v/>
      </c>
      <c r="H6" s="15">
        <f>B6-(C6+D6+E6+F6)</f>
        <v/>
      </c>
    </row>
    <row r="7">
      <c r="A7" s="16" t="inlineStr">
        <is>
          <t>TOTAL</t>
        </is>
      </c>
      <c r="B7" s="16">
        <f>SUM(B4:B6)</f>
        <v/>
      </c>
      <c r="C7" s="16">
        <f>SUM(C4:C6)</f>
        <v/>
      </c>
      <c r="D7" s="16">
        <f>SUM(D4:D6)</f>
        <v/>
      </c>
      <c r="E7" s="16">
        <f>SUM(E4:E6)</f>
        <v/>
      </c>
      <c r="F7" s="16">
        <f>SUM(F4:F6)</f>
        <v/>
      </c>
      <c r="G7" s="16">
        <f>IF((B7-F7)=0,"N/A",ROUND(C7/(B7-F7)*100,1)&amp;"%")</f>
        <v/>
      </c>
      <c r="H7" s="16">
        <f>SUM(H4:H6)</f>
        <v/>
      </c>
    </row>
    <row r="9">
      <c r="A9" s="6" t="inlineStr">
        <is>
          <t>COMPLIANCE BY STATUS</t>
        </is>
      </c>
    </row>
    <row r="10">
      <c r="A10" s="3" t="inlineStr">
        <is>
          <t>Compliant</t>
        </is>
      </c>
      <c r="B10" s="17">
        <f>C7</f>
        <v/>
      </c>
      <c r="C10" s="4">
        <f>IF(B7=0,"",ROUND(B10/B7*100,1)&amp;"%")</f>
        <v/>
      </c>
    </row>
    <row r="11">
      <c r="A11" s="3" t="inlineStr">
        <is>
          <t>Partial</t>
        </is>
      </c>
      <c r="B11" s="18">
        <f>D7</f>
        <v/>
      </c>
      <c r="C11" s="4">
        <f>IF(B7=0,"",ROUND(B11/B7*100,1)&amp;"%")</f>
        <v/>
      </c>
    </row>
    <row r="12">
      <c r="A12" s="3" t="inlineStr">
        <is>
          <t>Non-Compliant</t>
        </is>
      </c>
      <c r="B12" s="19">
        <f>E7</f>
        <v/>
      </c>
      <c r="C12" s="4">
        <f>IF(B7=0,"",ROUND(B12/B7*100,1)&amp;"%")</f>
        <v/>
      </c>
    </row>
    <row r="13">
      <c r="A13" s="3" t="inlineStr">
        <is>
          <t>N/A</t>
        </is>
      </c>
      <c r="B13" s="20">
        <f>F7</f>
        <v/>
      </c>
      <c r="C13" s="4">
        <f>IF(B7=0,"",ROUND(B13/B7*100,1)&amp;"%")</f>
        <v/>
      </c>
    </row>
    <row r="15">
      <c r="A15" s="6" t="inlineStr">
        <is>
          <t>TOP GAPS (Manual Entry)</t>
        </is>
      </c>
    </row>
    <row r="16">
      <c r="A16" s="11" t="inlineStr">
        <is>
          <t>Priority</t>
        </is>
      </c>
      <c r="B16" s="11" t="inlineStr">
        <is>
          <t>Domain</t>
        </is>
      </c>
      <c r="C16" s="11" t="inlineStr">
        <is>
          <t>Requirement</t>
        </is>
      </c>
      <c r="D16" s="11" t="inlineStr">
        <is>
          <t>Owner</t>
        </is>
      </c>
      <c r="E16" s="11" t="inlineStr">
        <is>
          <t>Due Date</t>
        </is>
      </c>
      <c r="F16" s="11" t="inlineStr">
        <is>
          <t>Status</t>
        </is>
      </c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8">
      <c r="A28" s="6" t="inlineStr">
        <is>
          <t>COMPLIANCE TREND (Manual Entry)</t>
        </is>
      </c>
    </row>
    <row r="29">
      <c r="A29" s="11" t="inlineStr">
        <is>
          <t>Assessment Date</t>
        </is>
      </c>
      <c r="B29" s="11" t="inlineStr">
        <is>
          <t>Overall %</t>
        </is>
      </c>
      <c r="C29" s="11" t="inlineStr">
        <is>
          <t>Compliant</t>
        </is>
      </c>
      <c r="D29" s="11" t="inlineStr">
        <is>
          <t>Gaps</t>
        </is>
      </c>
      <c r="E29" s="11" t="inlineStr">
        <is>
          <t>Assessor</t>
        </is>
      </c>
      <c r="F29" s="11" t="inlineStr">
        <is>
          <t>Notes</t>
        </is>
      </c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</sheetData>
  <mergeCells count="4">
    <mergeCell ref="A15:G15"/>
    <mergeCell ref="A1:G1"/>
    <mergeCell ref="A28:G28"/>
    <mergeCell ref="A9:G9"/>
  </mergeCells>
  <dataValidations count="1">
    <dataValidation sqref="F17 F18 F19 F20 F21 F22 F23 F24 F25 F26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Cryptographic Controls — Compliance Checklist</t>
        </is>
      </c>
    </row>
    <row r="2">
      <c r="A2" s="21" t="inlineStr">
        <is>
          <t>ISO/IEC 27001:2022 — Control A.8.24: Use of Cryptography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A.8.24-01</t>
        </is>
      </c>
      <c r="B4" s="23" t="inlineStr">
        <is>
          <t>Use The Following Minimum Cryptographic</t>
        </is>
      </c>
      <c r="C4" s="24" t="inlineStr">
        <is>
          <t>The organisation shall use the following minimum cryptographic standards:.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A.8.24-02</t>
        </is>
      </c>
      <c r="B5" s="23" t="inlineStr">
        <is>
          <t>Prohibited Algorithms:* Md5, Sha-1, Des,</t>
        </is>
      </c>
      <c r="C5" s="24" t="inlineStr">
        <is>
          <t>Prohibited algorithms:* MD5, SHA-1, DES, 3DES, RC4, RSA below 2048-bit. These shall not be used for any purpose.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A.8.24-03</t>
        </is>
      </c>
      <c r="B6" s="23" t="inlineStr">
        <is>
          <t>Monitor Nist Post-Quantum Cryptography</t>
        </is>
      </c>
      <c r="C6" s="24" t="inlineStr">
        <is>
          <t>The organisation shall monitor NIST post-quantum cryptography standards (FIPS 203 ML-KEM, FIPS 204 ML-DSA, FIPS 205 SLH-DSA) and plan migration as adoption timelines are established. A crypto-agility assessment shall be conducted to identify systems and data stores requiring PQC migration planning, prioritising long-lived keys and data with retention periods exceeding 10 years.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A.8.24-04</t>
        </is>
      </c>
      <c r="B7" s="23" t="inlineStr">
        <is>
          <t>Network Communications Carrying</t>
        </is>
      </c>
      <c r="C7" s="24" t="inlineStr">
        <is>
          <t>All network communications carrying confidential or personal data shall use encrypted transport:.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A.8.24-05</t>
        </is>
      </c>
      <c r="B8" s="23" t="inlineStr">
        <is>
          <t>Tls 1.3 Is Preferred And</t>
        </is>
      </c>
      <c r="C8" s="24" t="inlineStr">
        <is>
          <t>TLS 1.3 is preferred and shall be used where supported.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A.8.24-06</t>
        </is>
      </c>
      <c r="B9" s="23" t="inlineStr">
        <is>
          <t>Tls 1.0 And Tls 1.1</t>
        </is>
      </c>
      <c r="C9" s="24" t="inlineStr">
        <is>
          <t>TLS 1.0 and TLS 1.1 shall be disabled on all systems.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A.8.24-07</t>
        </is>
      </c>
      <c r="B10" s="23" t="inlineStr">
        <is>
          <t>Ssl (All Versions)</t>
        </is>
      </c>
      <c r="C10" s="24" t="inlineStr">
        <is>
          <t>SSL (all versions) shall be disabled on all systems.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A.8.24-08</t>
        </is>
      </c>
      <c r="B11" s="23" t="inlineStr">
        <is>
          <t>Only Cipher Suites Using Aead (E.G</t>
        </is>
      </c>
      <c r="C11" s="24" t="inlineStr">
        <is>
          <t>Only cipher suites using AEAD (e.g., AES-GCM) shall be enabled where feasible.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A.8.24-09</t>
        </is>
      </c>
      <c r="B12" s="23" t="inlineStr">
        <is>
          <t>Mobile Devices, Laptops, And Removable</t>
        </is>
      </c>
      <c r="C12" s="24" t="inlineStr">
        <is>
          <t>Mobile devices, laptops, and removable media shall have full-disk encryption enabled at the hardware or operating system level.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A.8.24-10</t>
        </is>
      </c>
      <c r="B13" s="23" t="inlineStr">
        <is>
          <t>Device Encryption</t>
        </is>
      </c>
      <c r="C13" s="24" t="inlineStr">
        <is>
          <t>Device encryption shall not be disabled.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A.8.24-11</t>
        </is>
      </c>
      <c r="B14" s="23" t="inlineStr">
        <is>
          <t>Access To Encrypted Storage</t>
        </is>
      </c>
      <c r="C14" s="24" t="inlineStr">
        <is>
          <t>Access to encrypted storage shall be protected by a password, passphrase, PIN, or biometric authentication.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A.8.24-12</t>
        </is>
      </c>
      <c r="B15" s="23" t="inlineStr">
        <is>
          <t>Not Be Used To Transfer Confidential</t>
        </is>
      </c>
      <c r="C15" s="24" t="inlineStr">
        <is>
          <t>Email shall not be used to transfer confidential or personal data in an unencrypted format, in line with the Information Transfer Policy.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A.8.24-13</t>
        </is>
      </c>
      <c r="B16" s="23" t="inlineStr">
        <is>
          <t>An Encrypted Attachment</t>
        </is>
      </c>
      <c r="C16" s="24" t="inlineStr">
        <is>
          <t>Where confidential data must be sent via email, an encrypted attachment shall be used with a key length that meets the approved algorithm requirements above.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A.8.24-14</t>
        </is>
      </c>
      <c r="B17" s="23" t="inlineStr">
        <is>
          <t>Evaluate And Approve An Email Encryption</t>
        </is>
      </c>
      <c r="C17" s="24" t="inlineStr">
        <is>
          <t>The organisation shall evaluate and approve an email encryption solution appropriate to its needs. Until a solution is deployed, encrypted file attachments with out-of-band key exchange shall be used as an interim measure.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A.8.24-15</t>
        </is>
      </c>
      <c r="B18" s="23" t="inlineStr">
        <is>
          <t>Web And Cloud Services That Process</t>
        </is>
      </c>
      <c r="C18" s="24" t="inlineStr">
        <is>
          <t>Web and cloud services that process, store, or transmit confidential or personal data shall implement TLS 1.2 at a minimum to protect data in transit.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A.8.24-16</t>
        </is>
      </c>
      <c r="B19" s="23" t="inlineStr">
        <is>
          <t>Have A Valid Certificate Issued By</t>
        </is>
      </c>
      <c r="C19" s="24" t="inlineStr">
        <is>
          <t>All servers shall have a valid certificate issued by a recognised Certificate Authority. System owners are responsible for certificate renewal and ensuring systems are updated before expiry.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A.8.24-17</t>
        </is>
      </c>
      <c r="B20" s="23" t="inlineStr">
        <is>
          <t>Not Be Used</t>
        </is>
      </c>
      <c r="C20" s="24" t="inlineStr">
        <is>
          <t>WEP shall not be used.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A.8.24-18</t>
        </is>
      </c>
      <c r="B21" s="23" t="inlineStr">
        <is>
          <t>Backups</t>
        </is>
      </c>
      <c r="C21" s="24" t="inlineStr">
        <is>
          <t>Backups containing confidential or personal data shall be encrypted using organisation-approved encryption technology meeting the minimum algorithm requirements above.</t>
        </is>
      </c>
      <c r="D21" s="25" t="n"/>
      <c r="E21" s="5" t="n"/>
      <c r="F21" s="5" t="n"/>
      <c r="G21" s="26" t="n"/>
      <c r="H21" s="5" t="n"/>
    </row>
    <row r="22" ht="40" customHeight="1">
      <c r="A22" s="22" t="inlineStr">
        <is>
          <t>A.8.24-19</t>
        </is>
      </c>
      <c r="B22" s="23" t="inlineStr">
        <is>
          <t>Backup Encryption</t>
        </is>
      </c>
      <c r="C22" s="24" t="inlineStr">
        <is>
          <t>Backup encryption shall not rely solely on vendor-proprietary mechanisms without documented assurance of the encryption standard used.</t>
        </is>
      </c>
      <c r="D22" s="25" t="n"/>
      <c r="E22" s="5" t="n"/>
      <c r="F22" s="5" t="n"/>
      <c r="G22" s="26" t="n"/>
      <c r="H22" s="5" t="n"/>
    </row>
    <row r="23" ht="40" customHeight="1">
      <c r="A23" s="22" t="inlineStr">
        <is>
          <t>A.8.24-20</t>
        </is>
      </c>
      <c r="B23" s="23" t="inlineStr">
        <is>
          <t>Databases</t>
        </is>
      </c>
      <c r="C23" s="24" t="inlineStr">
        <is>
          <t>Databases containing confidential information or personal data shall be encrypted at rest at either the database application layer or the disk/volume layer.</t>
        </is>
      </c>
      <c r="D23" s="25" t="n"/>
      <c r="E23" s="5" t="n"/>
      <c r="F23" s="5" t="n"/>
      <c r="G23" s="26" t="n"/>
      <c r="H23" s="5" t="n"/>
    </row>
    <row r="24" ht="40" customHeight="1">
      <c r="A24" s="22" t="inlineStr">
        <is>
          <t>A.8.24-21</t>
        </is>
      </c>
      <c r="B24" s="23" t="inlineStr">
        <is>
          <t>The Transfer Of Confidential And</t>
        </is>
      </c>
      <c r="C24" s="24" t="inlineStr">
        <is>
          <t>The transfer of confidential and personal information shall use encrypted channels. Encryption is required for:.</t>
        </is>
      </c>
      <c r="D24" s="25" t="n"/>
      <c r="E24" s="5" t="n"/>
      <c r="F24" s="5" t="n"/>
      <c r="G24" s="26" t="n"/>
      <c r="H24" s="5" t="n"/>
    </row>
    <row r="25" ht="40" customHeight="1">
      <c r="A25" s="22" t="inlineStr">
        <is>
          <t>A.8.24-22</t>
        </is>
      </c>
      <c r="B25" s="23" t="inlineStr">
        <is>
          <t>Not Be Used As A Communication</t>
        </is>
      </c>
      <c r="C25" s="24" t="inlineStr">
        <is>
          <t>Bluetooth shall not be used as a communication method for unencrypted confidential, personal, or otherwise sensitive data. See the Information Transfer Policy.</t>
        </is>
      </c>
      <c r="D25" s="25" t="n"/>
      <c r="E25" s="5" t="n"/>
      <c r="F25" s="5" t="n"/>
      <c r="G25" s="26" t="n"/>
      <c r="H25" s="5" t="n"/>
    </row>
  </sheetData>
  <mergeCells count="2">
    <mergeCell ref="A2:H2"/>
    <mergeCell ref="A1:H1"/>
  </mergeCells>
  <conditionalFormatting sqref="D4:D2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 D22 D23 D24 D2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Cryptographic Key Management — Compliance Checklist</t>
        </is>
      </c>
    </row>
    <row r="2">
      <c r="A2" s="21" t="inlineStr">
        <is>
          <t>ISO/IEC 27001:2022 — Control A.8.24: Use of Cryptography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A.8.24-23</t>
        </is>
      </c>
      <c r="B4" s="23" t="inlineStr">
        <is>
          <t>Cryptographic Keys</t>
        </is>
      </c>
      <c r="C4" s="24" t="inlineStr">
        <is>
          <t>Cryptographic keys shall be generated within cryptographic modules with at least FIPS 140-2 or FIPS 140-3 compliance, or equivalent validated assurance.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A.8.24-24</t>
        </is>
      </c>
      <c r="B5" s="23" t="inlineStr">
        <is>
          <t>Any Random Values Required For Key</t>
        </is>
      </c>
      <c r="C5" s="24" t="inlineStr">
        <is>
          <t>Any random values required for key generation shall be generated within the cryptographic module using a validated random bit generator.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A.8.24-25</t>
        </is>
      </c>
      <c r="B6" s="23" t="inlineStr">
        <is>
          <t>Be Transported Using Secure Channels.</t>
        </is>
      </c>
      <c r="C6" s="24" t="inlineStr">
        <is>
          <t>Keys shall be transported using secure channels. Key material shall not be transmitted in plaintext over any network.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A.8.24-26</t>
        </is>
      </c>
      <c r="B7" s="23" t="inlineStr">
        <is>
          <t>Never Be Stored In Plaintext Format</t>
        </is>
      </c>
      <c r="C7" s="24" t="inlineStr">
        <is>
          <t>Keys shall never be stored in plaintext format.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A.8.24-27</t>
        </is>
      </c>
      <c r="B8" s="23" t="inlineStr">
        <is>
          <t>Be Stored In A Cryptographic Vault</t>
        </is>
      </c>
      <c r="C8" s="24" t="inlineStr">
        <is>
          <t>Keys shall be stored in a cryptographic vault, HSM, or cloud key management service (KMS).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A.8.24-28</t>
        </is>
      </c>
      <c r="B9" s="23" t="inlineStr">
        <is>
          <t>Not Be Hard-Coded In Source Code</t>
        </is>
      </c>
      <c r="C9" s="24" t="inlineStr">
        <is>
          <t>Keys shall not be hard-coded in source code, stored in configuration files in plaintext, or shared via email or messaging. This extends to API keys, tokens, service credentials, and other secrets — these shall be managed through a dedicated secrets management solution (e.g., AWS KMS, Azure Key Vault, HashiCorp Vault, or equivalent). Secrets do not require the same encryption-at-rest standards as data encryption keys but shall never be stored in plaintext and shall be rotated according to the key rotation periods above.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A.8.24-29</t>
        </is>
      </c>
      <c r="B10" s="23" t="inlineStr">
        <is>
          <t>Key Encryption Keys (Keks) Used To</t>
        </is>
      </c>
      <c r="C10" s="24" t="inlineStr">
        <is>
          <t>Key encryption keys (KEKs) used to wrap stored keys shall be at least as strong as the keys they protect.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A.8.24-30</t>
        </is>
      </c>
      <c r="B11" s="23" t="inlineStr">
        <is>
          <t>Have Integrity Protections Applied While</t>
        </is>
      </c>
      <c r="C11" s="24" t="inlineStr">
        <is>
          <t>Keys shall have integrity protections applied while in storage.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A.8.24-31</t>
        </is>
      </c>
      <c r="B12" s="23" t="inlineStr">
        <is>
          <t>Access To Cryptographic Keys</t>
        </is>
      </c>
      <c r="C12" s="24" t="inlineStr">
        <is>
          <t>Access to cryptographic keys shall follow the principle of least privilege.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A.8.24-32</t>
        </is>
      </c>
      <c r="B13" s="23" t="inlineStr">
        <is>
          <t>Administrative And Operational Access To</t>
        </is>
      </c>
      <c r="C13" s="24" t="inlineStr">
        <is>
          <t>Administrative and operational access to keys shall be separated where possible.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A.8.24-33</t>
        </is>
      </c>
      <c r="B14" s="23" t="inlineStr">
        <is>
          <t>Multi-Factor Authentication</t>
        </is>
      </c>
      <c r="C14" s="24" t="inlineStr">
        <is>
          <t>Multi-factor authentication shall be required for key custodians.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A.8.24-34</t>
        </is>
      </c>
      <c r="B15" s="23" t="inlineStr">
        <is>
          <t>A Register Of Individuals With Access</t>
        </is>
      </c>
      <c r="C15" s="24" t="inlineStr">
        <is>
          <t>A register of individuals with access to key material shall be maintained.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A.8.24-35</t>
        </is>
      </c>
      <c r="B16" s="23" t="inlineStr">
        <is>
          <t>Key Rotation Periods</t>
        </is>
      </c>
      <c r="C16" s="24" t="inlineStr">
        <is>
          <t>Key rotation periods shall be defined based on key type, risk, and regulatory requirements.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A.8.24-36</t>
        </is>
      </c>
      <c r="B17" s="23" t="inlineStr">
        <is>
          <t>Be Rotated Immediately Upon Suspected Or</t>
        </is>
      </c>
      <c r="C17" s="24" t="inlineStr">
        <is>
          <t>Keys shall be rotated immediately upon suspected or confirmed compromise, regardless of scheduled rotation.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A.8.24-37</t>
        </is>
      </c>
      <c r="B18" s="23" t="inlineStr">
        <is>
          <t>Key Material</t>
        </is>
      </c>
      <c r="C18" s="24" t="inlineStr">
        <is>
          <t>Key material shall be backed up to enable recovery of encrypted data.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A.8.24-38</t>
        </is>
      </c>
      <c r="B19" s="23" t="inlineStr">
        <is>
          <t>Backup Key Storage</t>
        </is>
      </c>
      <c r="C19" s="24" t="inlineStr">
        <is>
          <t>Backup key storage shall be encrypted using at least the same assurance level as the operational keys.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A.8.24-39</t>
        </is>
      </c>
      <c r="B20" s="23" t="inlineStr">
        <is>
          <t>Signing Keys</t>
        </is>
      </c>
      <c r="C20" s="24" t="inlineStr">
        <is>
          <t>Signing keys shall not be escrowed.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A.8.24-40</t>
        </is>
      </c>
      <c r="B21" s="23" t="inlineStr">
        <is>
          <t>A Key Compromise Recovery Plan</t>
        </is>
      </c>
      <c r="C21" s="24" t="inlineStr">
        <is>
          <t>A key compromise recovery plan shall be documented, tested annually, and maintained as a referenced procedure. The plan shall include:.</t>
        </is>
      </c>
      <c r="D21" s="25" t="n"/>
      <c r="E21" s="5" t="n"/>
      <c r="F21" s="5" t="n"/>
      <c r="G21" s="26" t="n"/>
      <c r="H21" s="5" t="n"/>
    </row>
    <row r="22" ht="40" customHeight="1">
      <c r="A22" s="22" t="inlineStr">
        <is>
          <t>A.8.24-41</t>
        </is>
      </c>
      <c r="B22" s="23" t="inlineStr">
        <is>
          <t>Trust Stores</t>
        </is>
      </c>
      <c r="C22" s="24" t="inlineStr">
        <is>
          <t>Trust stores shall be protected against injection of unauthorised root certificates. Access controls shall be managed and enforced per entity and application.</t>
        </is>
      </c>
      <c r="D22" s="25" t="n"/>
      <c r="E22" s="5" t="n"/>
      <c r="F22" s="5" t="n"/>
      <c r="G22" s="26" t="n"/>
      <c r="H22" s="5" t="n"/>
    </row>
    <row r="23" ht="40" customHeight="1">
      <c r="A23" s="22" t="inlineStr">
        <is>
          <t>A.8.24-42</t>
        </is>
      </c>
      <c r="B23" s="23" t="inlineStr">
        <is>
          <t>A Secure Process For Updating The</t>
        </is>
      </c>
      <c r="C23" s="24" t="inlineStr">
        <is>
          <t>A secure process for updating the trust store shall be implemented.</t>
        </is>
      </c>
      <c r="D23" s="25" t="n"/>
      <c r="E23" s="5" t="n"/>
      <c r="F23" s="5" t="n"/>
      <c r="G23" s="26" t="n"/>
      <c r="H23" s="5" t="n"/>
    </row>
    <row r="24" ht="40" customHeight="1">
      <c r="A24" s="22" t="inlineStr">
        <is>
          <t>A.8.24-43</t>
        </is>
      </c>
      <c r="B24" s="23" t="inlineStr">
        <is>
          <t>Only Reputable Cryptographic Libraries</t>
        </is>
      </c>
      <c r="C24" s="24" t="inlineStr">
        <is>
          <t>Only reputable cryptographic libraries shall be used that are actively maintained, regularly updated, and validated by third-party organisations (e.g., NIST/FIPS, Common Criteria).</t>
        </is>
      </c>
      <c r="D24" s="25" t="n"/>
      <c r="E24" s="5" t="n"/>
      <c r="F24" s="5" t="n"/>
      <c r="G24" s="26" t="n"/>
      <c r="H24" s="5" t="n"/>
    </row>
    <row r="25" ht="40" customHeight="1">
      <c r="A25" s="22" t="inlineStr">
        <is>
          <t>A.8.24-44</t>
        </is>
      </c>
      <c r="B25" s="23" t="inlineStr">
        <is>
          <t>Custom Cryptographic Implementations</t>
        </is>
      </c>
      <c r="C25" s="24" t="inlineStr">
        <is>
          <t>Custom cryptographic implementations shall not be developed unless specifically approved by the CISO with documented justification.</t>
        </is>
      </c>
      <c r="D25" s="25" t="n"/>
      <c r="E25" s="5" t="n"/>
      <c r="F25" s="5" t="n"/>
      <c r="G25" s="26" t="n"/>
      <c r="H25" s="5" t="n"/>
    </row>
  </sheetData>
  <mergeCells count="2">
    <mergeCell ref="A2:H2"/>
    <mergeCell ref="A1:H1"/>
  </mergeCells>
  <conditionalFormatting sqref="D4:D2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 D22 D23 D24 D2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Optional Payment Card Data — Compliance Checklist</t>
        </is>
      </c>
    </row>
    <row r="2">
      <c r="A2" s="21" t="inlineStr">
        <is>
          <t>ISO/IEC 27001:2022 — Control A.8.24: Use of Cryptography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A.8.24-45</t>
        </is>
      </c>
      <c r="B4" s="23" t="inlineStr">
        <is>
          <t>Secret And Private Keys Used To</t>
        </is>
      </c>
      <c r="C4" s="24" t="inlineStr">
        <is>
          <t>Secret and private keys used to encrypt/decrypt cardholder data shall be stored encrypted with a key-encrypting key at least as strong as the data-encrypting key, stored separately from the data-encrypting key, or within a PTS-approved device or HSM.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A.8.24-46</t>
        </is>
      </c>
      <c r="B5" s="23" t="inlineStr">
        <is>
          <t>Cardholder Data Environment Encryption</t>
        </is>
      </c>
      <c r="C5" s="24" t="inlineStr">
        <is>
          <t>Cardholder data environment encryption shall meet PCI DSS requirements in addition to this policy.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2026-09-30T11:46:14Z</dcterms:created>
  <dcterms:modified xmlns:dcterms="http://purl.org/dc/terms/" xmlns:xsi="http://www.w3.org/2001/XMLSchema-instance" xsi:type="dcterms:W3CDTF">2026-09-30T11:46:14Z</dcterms:modified>
</cp:coreProperties>
</file>