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Encryption Standards" sheetId="3" state="visible" r:id="rId3"/>
    <sheet xmlns:r="http://schemas.openxmlformats.org/officeDocument/2006/relationships" name="Data in Transit" sheetId="4" state="visible" r:id="rId4"/>
    <sheet xmlns:r="http://schemas.openxmlformats.org/officeDocument/2006/relationships" name="Data at Rest" sheetId="5" state="visible" r:id="rId5"/>
    <sheet xmlns:r="http://schemas.openxmlformats.org/officeDocument/2006/relationships" name="Key Management" sheetId="6" state="visible" r:id="rId6"/>
    <sheet xmlns:r="http://schemas.openxmlformats.org/officeDocument/2006/relationships" name="Crypto Governance" sheetId="7" state="visible" r:id="rId7"/>
  </sheets>
  <definedNames>
    <definedName name="_xlnm.Print_Area" localSheetId="0">'Executive Summary'!$A$1:$H$64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ISMS-OP-CHK-A.8.24 — Use of Cryptography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ISMS-OP-CHK-A.8.24</t>
        </is>
      </c>
    </row>
    <row r="5">
      <c r="A5" s="3" t="inlineStr">
        <is>
          <t>Source Policy</t>
        </is>
      </c>
      <c r="B5" s="4" t="inlineStr">
        <is>
          <t>ISMS-OP-POL-A.8.24</t>
        </is>
      </c>
    </row>
    <row r="6">
      <c r="A6" s="3" t="inlineStr">
        <is>
          <t>ISO Control</t>
        </is>
      </c>
      <c r="B6" s="4" t="inlineStr">
        <is>
          <t>ISO/IEC 27001:2022 — Control A.8.24: Use of Cryptography</t>
        </is>
      </c>
    </row>
    <row r="7">
      <c r="A7" s="3" t="inlineStr">
        <is>
          <t>Generated</t>
        </is>
      </c>
      <c r="B7" s="4" t="inlineStr">
        <is>
          <t>07.02.2026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'Dashboard'!G9</f>
        <v/>
      </c>
    </row>
    <row r="14">
      <c r="A14" s="7" t="inlineStr">
        <is>
          <t>Status</t>
        </is>
      </c>
      <c r="B14" s="9">
        <f>IF(Dashboard!G9="N/A","NOT ASSESSED",IF(ISNUMBER(VALUE(SUBSTITUTE(Dashboard!G9,"%",""))),IF(VALUE(SUBSTITUTE(Dashboard!G9,"%",""))&gt;=90,"GREEN",IF(VALUE(SUBSTITUTE(Dashboard!G9,"%",""))&gt;=70,"AMBER","RED")),"NOT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'Dashboard'!B9</f>
        <v/>
      </c>
    </row>
    <row r="18">
      <c r="A18" s="3" t="inlineStr">
        <is>
          <t>Compliant</t>
        </is>
      </c>
      <c r="B18" s="10">
        <f>'Dashboard'!C9</f>
        <v/>
      </c>
    </row>
    <row r="19">
      <c r="A19" s="3" t="inlineStr">
        <is>
          <t>Partial</t>
        </is>
      </c>
      <c r="B19" s="10">
        <f>'Dashboard'!D9</f>
        <v/>
      </c>
    </row>
    <row r="20">
      <c r="A20" s="3" t="inlineStr">
        <is>
          <t>Non-Compliant</t>
        </is>
      </c>
      <c r="B20" s="10">
        <f>'Dashboard'!E9</f>
        <v/>
      </c>
    </row>
    <row r="21">
      <c r="A21" s="3" t="inlineStr">
        <is>
          <t>Not Applicable</t>
        </is>
      </c>
      <c r="B21" s="10">
        <f>'Dashboard'!F9</f>
        <v/>
      </c>
    </row>
    <row r="22">
      <c r="A22" s="3" t="inlineStr">
        <is>
          <t>Owner Coverage</t>
        </is>
      </c>
      <c r="B22" s="10">
        <f>IF(Dashboard!B9=0,"N/A",ROUND((COUNTA('Encryption Standards'!F4:F7)+COUNTA('Data in Transit'!F4:F14)+COUNTA('Data at Rest'!F4:F11)+COUNTA('Key Management'!F4:F21)+COUNTA('Crypto Governance'!F4:F9))/Dashboard!B9*100,0)&amp;"%")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Encryption Standards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Data in Transit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Data at Rest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Key Management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Crypto Governance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2">
      <c r="A32" s="6" t="inlineStr">
        <is>
          <t>CRITICAL ISSUES</t>
        </is>
      </c>
    </row>
    <row r="33">
      <c r="A33" s="11" t="inlineStr">
        <is>
          <t>#</t>
        </is>
      </c>
      <c r="B33" s="11" t="inlineStr">
        <is>
          <t>Issue Description</t>
        </is>
      </c>
      <c r="C33" s="11" t="inlineStr">
        <is>
          <t>Domain</t>
        </is>
      </c>
      <c r="D33" s="11" t="inlineStr">
        <is>
          <t>Owner</t>
        </is>
      </c>
      <c r="E33" s="11" t="inlineStr">
        <is>
          <t>Due Date</t>
        </is>
      </c>
    </row>
    <row r="34">
      <c r="A34" s="4" t="n">
        <v>1</v>
      </c>
      <c r="B34" s="5" t="n"/>
      <c r="C34" s="5" t="n"/>
      <c r="D34" s="5" t="n"/>
      <c r="E34" s="5" t="n"/>
    </row>
    <row r="35">
      <c r="A35" s="4" t="n">
        <v>2</v>
      </c>
      <c r="B35" s="5" t="n"/>
      <c r="C35" s="5" t="n"/>
      <c r="D35" s="5" t="n"/>
      <c r="E35" s="5" t="n"/>
    </row>
    <row r="36">
      <c r="A36" s="4" t="n">
        <v>3</v>
      </c>
      <c r="B36" s="5" t="n"/>
      <c r="C36" s="5" t="n"/>
      <c r="D36" s="5" t="n"/>
      <c r="E36" s="5" t="n"/>
    </row>
    <row r="37">
      <c r="A37" s="4" t="n">
        <v>4</v>
      </c>
      <c r="B37" s="5" t="n"/>
      <c r="C37" s="5" t="n"/>
      <c r="D37" s="5" t="n"/>
      <c r="E37" s="5" t="n"/>
    </row>
    <row r="38">
      <c r="A38" s="4" t="n">
        <v>5</v>
      </c>
      <c r="B38" s="5" t="n"/>
      <c r="C38" s="5" t="n"/>
      <c r="D38" s="5" t="n"/>
      <c r="E38" s="5" t="n"/>
    </row>
    <row r="40">
      <c r="A40" s="6" t="inlineStr">
        <is>
          <t>MANAGEMENT COMMENTARY</t>
        </is>
      </c>
    </row>
    <row r="41" ht="60" customHeight="1">
      <c r="A41" s="12" t="inlineStr">
        <is>
          <t>[Enter management commentary on cryptographic compliance posture]</t>
        </is>
      </c>
    </row>
    <row r="42"/>
    <row r="43"/>
    <row r="45">
      <c r="A45" s="6" t="inlineStr">
        <is>
          <t>APPROVAL</t>
        </is>
      </c>
    </row>
    <row r="46">
      <c r="A46" s="13" t="inlineStr">
        <is>
          <t>Assessed By</t>
        </is>
      </c>
    </row>
    <row r="47">
      <c r="A47" s="14" t="inlineStr">
        <is>
          <t>Name:</t>
        </is>
      </c>
      <c r="B47" s="5" t="n"/>
    </row>
    <row r="48">
      <c r="A48" s="14" t="inlineStr">
        <is>
          <t>Date:</t>
        </is>
      </c>
      <c r="B48" s="5" t="n"/>
    </row>
    <row r="49">
      <c r="A49" s="14" t="inlineStr">
        <is>
          <t>Signature:</t>
        </is>
      </c>
      <c r="B49" s="5" t="n"/>
    </row>
    <row r="50">
      <c r="A50" s="14" t="inlineStr">
        <is>
          <t>Decision:</t>
        </is>
      </c>
      <c r="B50" s="5" t="n"/>
    </row>
    <row r="52">
      <c r="A52" s="13" t="inlineStr">
        <is>
          <t>Reviewed By (ISO Manager)</t>
        </is>
      </c>
    </row>
    <row r="53">
      <c r="A53" s="14" t="inlineStr">
        <is>
          <t>Name:</t>
        </is>
      </c>
      <c r="B53" s="5" t="n"/>
    </row>
    <row r="54">
      <c r="A54" s="14" t="inlineStr">
        <is>
          <t>Date:</t>
        </is>
      </c>
      <c r="B54" s="5" t="n"/>
    </row>
    <row r="55">
      <c r="A55" s="14" t="inlineStr">
        <is>
          <t>Signature:</t>
        </is>
      </c>
      <c r="B55" s="5" t="n"/>
    </row>
    <row r="56">
      <c r="A56" s="14" t="inlineStr">
        <is>
          <t>Decision:</t>
        </is>
      </c>
      <c r="B56" s="5" t="n"/>
    </row>
    <row r="58">
      <c r="A58" s="13" t="inlineStr">
        <is>
          <t>Approved By (CISO)</t>
        </is>
      </c>
    </row>
    <row r="59">
      <c r="A59" s="14" t="inlineStr">
        <is>
          <t>Name:</t>
        </is>
      </c>
      <c r="B59" s="5" t="n"/>
    </row>
    <row r="60">
      <c r="A60" s="14" t="inlineStr">
        <is>
          <t>Date:</t>
        </is>
      </c>
      <c r="B60" s="5" t="n"/>
    </row>
    <row r="61">
      <c r="A61" s="14" t="inlineStr">
        <is>
          <t>Signature:</t>
        </is>
      </c>
      <c r="B61" s="5" t="n"/>
    </row>
    <row r="62">
      <c r="A62" s="14" t="inlineStr">
        <is>
          <t>Decision:</t>
        </is>
      </c>
      <c r="B62" s="5" t="n"/>
    </row>
  </sheetData>
  <mergeCells count="12">
    <mergeCell ref="A12:H12"/>
    <mergeCell ref="A45:H45"/>
    <mergeCell ref="A52:B52"/>
    <mergeCell ref="A24:H24"/>
    <mergeCell ref="A16:H16"/>
    <mergeCell ref="A41:H43"/>
    <mergeCell ref="A46:B46"/>
    <mergeCell ref="A1:H1"/>
    <mergeCell ref="A32:H32"/>
    <mergeCell ref="A3:B3"/>
    <mergeCell ref="A58:B58"/>
    <mergeCell ref="A40:H40"/>
  </mergeCells>
  <dataValidations count="1">
    <dataValidation sqref="B50 B56 B62" showDropDown="0" showInputMessage="0" showErrorMessage="0" allowBlank="1" errorTitle="Invalid Decision" error="Select a valid decision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Use of Cryptography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Encryption Standards</t>
        </is>
      </c>
      <c r="B4" s="15">
        <f>COUNTA('Encryption Standards'!D4:D7)</f>
        <v/>
      </c>
      <c r="C4" s="15">
        <f>COUNTIF('Encryption Standards'!D4:D7,"Compliant")</f>
        <v/>
      </c>
      <c r="D4" s="15">
        <f>COUNTIF('Encryption Standards'!D4:D7,"Partial")</f>
        <v/>
      </c>
      <c r="E4" s="15">
        <f>COUNTIF('Encryption Standards'!D4:D7,"Non-Compliant")</f>
        <v/>
      </c>
      <c r="F4" s="15">
        <f>COUNTIF('Encryption Standards'!D4:D7,"N/A")</f>
        <v/>
      </c>
      <c r="G4" s="15">
        <f>IF((B4-F4)=0,"N/A",ROUND(C4/(B4-F4)*100,1)&amp;"%")</f>
        <v/>
      </c>
    </row>
    <row r="5">
      <c r="A5" s="3" t="inlineStr">
        <is>
          <t>Data in Transit</t>
        </is>
      </c>
      <c r="B5" s="15">
        <f>COUNTA('Data in Transit'!D4:D14)</f>
        <v/>
      </c>
      <c r="C5" s="15">
        <f>COUNTIF('Data in Transit'!D4:D14,"Compliant")</f>
        <v/>
      </c>
      <c r="D5" s="15">
        <f>COUNTIF('Data in Transit'!D4:D14,"Partial")</f>
        <v/>
      </c>
      <c r="E5" s="15">
        <f>COUNTIF('Data in Transit'!D4:D14,"Non-Compliant")</f>
        <v/>
      </c>
      <c r="F5" s="15">
        <f>COUNTIF('Data in Transit'!D4:D14,"N/A")</f>
        <v/>
      </c>
      <c r="G5" s="15">
        <f>IF((B5-F5)=0,"N/A",ROUND(C5/(B5-F5)*100,1)&amp;"%")</f>
        <v/>
      </c>
    </row>
    <row r="6">
      <c r="A6" s="3" t="inlineStr">
        <is>
          <t>Data at Rest</t>
        </is>
      </c>
      <c r="B6" s="15">
        <f>COUNTA('Data at Rest'!D4:D11)</f>
        <v/>
      </c>
      <c r="C6" s="15">
        <f>COUNTIF('Data at Rest'!D4:D11,"Compliant")</f>
        <v/>
      </c>
      <c r="D6" s="15">
        <f>COUNTIF('Data at Rest'!D4:D11,"Partial")</f>
        <v/>
      </c>
      <c r="E6" s="15">
        <f>COUNTIF('Data at Rest'!D4:D11,"Non-Compliant")</f>
        <v/>
      </c>
      <c r="F6" s="15">
        <f>COUNTIF('Data at Rest'!D4:D11,"N/A")</f>
        <v/>
      </c>
      <c r="G6" s="15">
        <f>IF((B6-F6)=0,"N/A",ROUND(C6/(B6-F6)*100,1)&amp;"%")</f>
        <v/>
      </c>
    </row>
    <row r="7">
      <c r="A7" s="3" t="inlineStr">
        <is>
          <t>Key Management</t>
        </is>
      </c>
      <c r="B7" s="15">
        <f>COUNTA('Key Management'!D4:D21)</f>
        <v/>
      </c>
      <c r="C7" s="15">
        <f>COUNTIF('Key Management'!D4:D21,"Compliant")</f>
        <v/>
      </c>
      <c r="D7" s="15">
        <f>COUNTIF('Key Management'!D4:D21,"Partial")</f>
        <v/>
      </c>
      <c r="E7" s="15">
        <f>COUNTIF('Key Management'!D4:D21,"Non-Compliant")</f>
        <v/>
      </c>
      <c r="F7" s="15">
        <f>COUNTIF('Key Management'!D4:D21,"N/A")</f>
        <v/>
      </c>
      <c r="G7" s="15">
        <f>IF((B7-F7)=0,"N/A",ROUND(C7/(B7-F7)*100,1)&amp;"%")</f>
        <v/>
      </c>
    </row>
    <row r="8">
      <c r="A8" s="3" t="inlineStr">
        <is>
          <t>Crypto Governance</t>
        </is>
      </c>
      <c r="B8" s="15">
        <f>COUNTA('Crypto Governance'!D4:D9)</f>
        <v/>
      </c>
      <c r="C8" s="15">
        <f>COUNTIF('Crypto Governance'!D4:D9,"Compliant")</f>
        <v/>
      </c>
      <c r="D8" s="15">
        <f>COUNTIF('Crypto Governance'!D4:D9,"Partial")</f>
        <v/>
      </c>
      <c r="E8" s="15">
        <f>COUNTIF('Crypto Governance'!D4:D9,"Non-Compliant")</f>
        <v/>
      </c>
      <c r="F8" s="15">
        <f>COUNTIF('Crypto Governance'!D4:D9,"N/A")</f>
        <v/>
      </c>
      <c r="G8" s="15">
        <f>IF((B8-F8)=0,"N/A",ROUND(C8/(B8-F8)*100,1)&amp;"%")</f>
        <v/>
      </c>
    </row>
    <row r="9">
      <c r="A9" s="16" t="inlineStr">
        <is>
          <t>TOTAL</t>
        </is>
      </c>
      <c r="B9" s="16">
        <f>SUM(B4:B8)</f>
        <v/>
      </c>
      <c r="C9" s="16">
        <f>SUM(C4:C8)</f>
        <v/>
      </c>
      <c r="D9" s="16">
        <f>SUM(D4:D8)</f>
        <v/>
      </c>
      <c r="E9" s="16">
        <f>SUM(E4:E8)</f>
        <v/>
      </c>
      <c r="F9" s="16">
        <f>SUM(F4:F8)</f>
        <v/>
      </c>
      <c r="G9" s="16">
        <f>IF((B9-F9)=0,"N/A",ROUND(C9/(B9-F9)*100,1)&amp;"%")</f>
        <v/>
      </c>
    </row>
    <row r="11">
      <c r="A11" s="6" t="inlineStr">
        <is>
          <t>COMPLIANCE BY STATUS</t>
        </is>
      </c>
    </row>
    <row r="12">
      <c r="A12" s="3" t="inlineStr">
        <is>
          <t>Compliant</t>
        </is>
      </c>
      <c r="B12" s="17">
        <f>C9</f>
        <v/>
      </c>
      <c r="C12" s="4">
        <f>IF(B9=0,"",ROUND(B12/B9*100,1)&amp;"%")</f>
        <v/>
      </c>
    </row>
    <row r="13">
      <c r="A13" s="3" t="inlineStr">
        <is>
          <t>Partial</t>
        </is>
      </c>
      <c r="B13" s="18">
        <f>D9</f>
        <v/>
      </c>
      <c r="C13" s="4">
        <f>IF(B9=0,"",ROUND(B13/B9*100,1)&amp;"%")</f>
        <v/>
      </c>
    </row>
    <row r="14">
      <c r="A14" s="3" t="inlineStr">
        <is>
          <t>Non-Compliant</t>
        </is>
      </c>
      <c r="B14" s="19">
        <f>E9</f>
        <v/>
      </c>
      <c r="C14" s="4">
        <f>IF(B9=0,"",ROUND(B14/B9*100,1)&amp;"%")</f>
        <v/>
      </c>
    </row>
    <row r="15">
      <c r="A15" s="3" t="inlineStr">
        <is>
          <t>N/A</t>
        </is>
      </c>
      <c r="B15" s="20">
        <f>F9</f>
        <v/>
      </c>
      <c r="C15" s="4">
        <f>IF(B9=0,"",ROUND(B15/B9*100,1)&amp;"%")</f>
        <v/>
      </c>
    </row>
    <row r="17">
      <c r="A17" s="6" t="inlineStr">
        <is>
          <t>TOP GAPS (Manual Entry)</t>
        </is>
      </c>
    </row>
    <row r="18">
      <c r="A18" s="11" t="inlineStr">
        <is>
          <t>Priority</t>
        </is>
      </c>
      <c r="B18" s="11" t="inlineStr">
        <is>
          <t>Domain</t>
        </is>
      </c>
      <c r="C18" s="11" t="inlineStr">
        <is>
          <t>Requirement</t>
        </is>
      </c>
      <c r="D18" s="11" t="inlineStr">
        <is>
          <t>Owner</t>
        </is>
      </c>
      <c r="E18" s="11" t="inlineStr">
        <is>
          <t>Due Date</t>
        </is>
      </c>
      <c r="F18" s="11" t="inlineStr">
        <is>
          <t>Status</t>
        </is>
      </c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30">
      <c r="A30" s="6" t="inlineStr">
        <is>
          <t>COMPLIANCE TREND (Manual Entry)</t>
        </is>
      </c>
    </row>
    <row r="31">
      <c r="A31" s="11" t="inlineStr">
        <is>
          <t>Assessment Date</t>
        </is>
      </c>
      <c r="B31" s="11" t="inlineStr">
        <is>
          <t>Overall %</t>
        </is>
      </c>
      <c r="C31" s="11" t="inlineStr">
        <is>
          <t>Compliant</t>
        </is>
      </c>
      <c r="D31" s="11" t="inlineStr">
        <is>
          <t>Gaps</t>
        </is>
      </c>
      <c r="E31" s="11" t="inlineStr">
        <is>
          <t>Assessor</t>
        </is>
      </c>
      <c r="F31" s="11" t="inlineStr">
        <is>
          <t>Notes</t>
        </is>
      </c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</sheetData>
  <mergeCells count="4">
    <mergeCell ref="A30:G30"/>
    <mergeCell ref="A11:G11"/>
    <mergeCell ref="A1:G1"/>
    <mergeCell ref="A17:G17"/>
  </mergeCells>
  <dataValidations count="1">
    <dataValidation sqref="F19 F20 F21 F22 F23 F24 F25 F26 F27 F28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Encryption Standards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A.8.24-01</t>
        </is>
      </c>
      <c r="B4" s="23" t="inlineStr">
        <is>
          <t>Approved Algorithms</t>
        </is>
      </c>
      <c r="C4" s="24" t="inlineStr">
        <is>
          <t>The organisation shall use the following minimum cryptographic standards: AES-256 (symmetric), RSA 2048+ (asymmetric), ECDSA/ECDH P-256+ (asymmetric), SHA-256+ (hash), PBKDF2/scrypt/Argon2 (key derivation).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A.8.24-02</t>
        </is>
      </c>
      <c r="B5" s="23" t="inlineStr">
        <is>
          <t>Prohibited Algorithms</t>
        </is>
      </c>
      <c r="C5" s="24" t="inlineStr">
        <is>
          <t>Prohibited algorithms (MD5, SHA-1, DES, 3DES, RC4, RSA below 2048-bit) shall not be used for any purpose.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A.8.24-03</t>
        </is>
      </c>
      <c r="B6" s="23" t="inlineStr">
        <is>
          <t>Post-Quantum Monitoring</t>
        </is>
      </c>
      <c r="C6" s="24" t="inlineStr">
        <is>
          <t>The organisation shall monitor NIST post-quantum cryptography standards (FIPS 203/204/205) and plan migration as adoption timelines are established.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A.8.24-04</t>
        </is>
      </c>
      <c r="B7" s="23" t="inlineStr">
        <is>
          <t>Crypto-Agility Assessment</t>
        </is>
      </c>
      <c r="C7" s="24" t="inlineStr">
        <is>
          <t>A crypto-agility assessment shall be conducted to identify systems and data stores requiring PQC migration planning, prioritising long-lived keys and data with retention exceeding 10 years.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Title="Invalid Status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Data in Transit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A.8.24-05</t>
        </is>
      </c>
      <c r="B4" s="23" t="inlineStr">
        <is>
          <t>Encrypted Transport</t>
        </is>
      </c>
      <c r="C4" s="24" t="inlineStr">
        <is>
          <t>All network communications carrying confidential or personal data shall use encrypted transport.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A.8.24-06</t>
        </is>
      </c>
      <c r="B5" s="23" t="inlineStr">
        <is>
          <t>TLS Version</t>
        </is>
      </c>
      <c r="C5" s="24" t="inlineStr">
        <is>
          <t>TLS 1.3 shall be used where supported; TLS 1.2 is the minimum acceptable version.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A.8.24-07</t>
        </is>
      </c>
      <c r="B6" s="23" t="inlineStr">
        <is>
          <t>Disable Legacy TLS</t>
        </is>
      </c>
      <c r="C6" s="24" t="inlineStr">
        <is>
          <t>TLS 1.0 and TLS 1.1 shall be disabled on all systems.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A.8.24-08</t>
        </is>
      </c>
      <c r="B7" s="23" t="inlineStr">
        <is>
          <t>Disable SSL</t>
        </is>
      </c>
      <c r="C7" s="24" t="inlineStr">
        <is>
          <t>SSL (all versions) shall be disabled on all systems.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A.8.24-09</t>
        </is>
      </c>
      <c r="B8" s="23" t="inlineStr">
        <is>
          <t>AEAD Cipher Suites</t>
        </is>
      </c>
      <c r="C8" s="24" t="inlineStr">
        <is>
          <t>Only cipher suites using AEAD (e.g., AES-GCM) shall be enabled where feasible.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A.8.24-10</t>
        </is>
      </c>
      <c r="B9" s="23" t="inlineStr">
        <is>
          <t>Email — No Unencrypted PII</t>
        </is>
      </c>
      <c r="C9" s="24" t="inlineStr">
        <is>
          <t>Email shall not be used to transfer confidential or personal data in an unencrypted format.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A.8.24-11</t>
        </is>
      </c>
      <c r="B10" s="23" t="inlineStr">
        <is>
          <t>Email — Encrypted Attachments</t>
        </is>
      </c>
      <c r="C10" s="24" t="inlineStr">
        <is>
          <t>Where confidential data must be sent via email, an encrypted attachment shall be used with a key length meeting approved algorithm requirements.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A.8.24-12</t>
        </is>
      </c>
      <c r="B11" s="23" t="inlineStr">
        <is>
          <t>Email Encryption Solution</t>
        </is>
      </c>
      <c r="C11" s="24" t="inlineStr">
        <is>
          <t>The organisation shall evaluate and approve an email encryption solution appropriate to its needs.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A.8.24-13</t>
        </is>
      </c>
      <c r="B12" s="23" t="inlineStr">
        <is>
          <t>WEP Prohibited</t>
        </is>
      </c>
      <c r="C12" s="24" t="inlineStr">
        <is>
          <t>WEP shall not be used on any wireless network.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A.8.24-14</t>
        </is>
      </c>
      <c r="B13" s="23" t="inlineStr">
        <is>
          <t>Encrypted Transfer Channels</t>
        </is>
      </c>
      <c r="C13" s="24" t="inlineStr">
        <is>
          <t>The transfer of confidential and personal information shall use encrypted channels (SFTP, SCP, VPN, SSH; Telnet prohibited).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A.8.24-15</t>
        </is>
      </c>
      <c r="B14" s="23" t="inlineStr">
        <is>
          <t>Bluetooth Restriction</t>
        </is>
      </c>
      <c r="C14" s="24" t="inlineStr">
        <is>
          <t>Bluetooth shall not be used as a communication method for unencrypted confidential, personal, or otherwise sensitive data.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Title="Invalid Status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Data at Rest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A.8.24-16</t>
        </is>
      </c>
      <c r="B4" s="23" t="inlineStr">
        <is>
          <t>Full-Disk Encryption</t>
        </is>
      </c>
      <c r="C4" s="24" t="inlineStr">
        <is>
          <t>Mobile devices, laptops, and removable media shall have full-disk encryption enabled at the hardware or operating system level.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A.8.24-17</t>
        </is>
      </c>
      <c r="B5" s="23" t="inlineStr">
        <is>
          <t>Encryption Not Disabled</t>
        </is>
      </c>
      <c r="C5" s="24" t="inlineStr">
        <is>
          <t>Device encryption shall not be disabled.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A.8.24-18</t>
        </is>
      </c>
      <c r="B6" s="23" t="inlineStr">
        <is>
          <t>Cloud/Web TLS</t>
        </is>
      </c>
      <c r="C6" s="24" t="inlineStr">
        <is>
          <t>Web and cloud services that process, store, or transmit confidential or personal data shall implement TLS 1.2 at a minimum.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A.8.24-19</t>
        </is>
      </c>
      <c r="B7" s="23" t="inlineStr">
        <is>
          <t>Valid Certificates</t>
        </is>
      </c>
      <c r="C7" s="24" t="inlineStr">
        <is>
          <t>All servers shall have a valid certificate issued by a recognised Certificate Authority; system owners are responsible for renewal before expiry.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A.8.24-20</t>
        </is>
      </c>
      <c r="B8" s="23" t="inlineStr">
        <is>
          <t>Backup Encryption</t>
        </is>
      </c>
      <c r="C8" s="24" t="inlineStr">
        <is>
          <t>Backups containing confidential or personal data shall be encrypted using organisation-approved encryption technology.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A.8.24-21</t>
        </is>
      </c>
      <c r="B9" s="23" t="inlineStr">
        <is>
          <t>No Sole Vendor-Proprietary</t>
        </is>
      </c>
      <c r="C9" s="24" t="inlineStr">
        <is>
          <t>Backup encryption shall not rely solely on vendor-proprietary mechanisms without documented assurance of the encryption standard used.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A.8.24-22</t>
        </is>
      </c>
      <c r="B10" s="23" t="inlineStr">
        <is>
          <t>Database Encryption</t>
        </is>
      </c>
      <c r="C10" s="24" t="inlineStr">
        <is>
          <t>Databases containing confidential information or personal data shall be encrypted at rest at either the database application layer or the disk/volume layer.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A.8.24-23</t>
        </is>
      </c>
      <c r="B11" s="23" t="inlineStr">
        <is>
          <t>Approved Technology Only</t>
        </is>
      </c>
      <c r="C11" s="24" t="inlineStr">
        <is>
          <t>Only organisation-approved encryption technology and processes shall be used.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Title="Invalid Status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Key Management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A.8.24-24</t>
        </is>
      </c>
      <c r="B4" s="23" t="inlineStr">
        <is>
          <t>FIPS-Compliant Generation</t>
        </is>
      </c>
      <c r="C4" s="24" t="inlineStr">
        <is>
          <t>Cryptographic keys shall be generated within cryptographic modules with at least FIPS 140-2 or FIPS 140-3 compliance, or equivalent validated assurance.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A.8.24-25</t>
        </is>
      </c>
      <c r="B5" s="23" t="inlineStr">
        <is>
          <t>Validated RNG</t>
        </is>
      </c>
      <c r="C5" s="24" t="inlineStr">
        <is>
          <t>Any random values required for key generation shall be generated within the cryptographic module using a validated random bit generator.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A.8.24-26</t>
        </is>
      </c>
      <c r="B6" s="23" t="inlineStr">
        <is>
          <t>Secure Distribution</t>
        </is>
      </c>
      <c r="C6" s="24" t="inlineStr">
        <is>
          <t>Keys shall be transported using secure channels; key material shall not be transmitted in plaintext over any network.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A.8.24-27</t>
        </is>
      </c>
      <c r="B7" s="23" t="inlineStr">
        <is>
          <t>No Plaintext Storage</t>
        </is>
      </c>
      <c r="C7" s="24" t="inlineStr">
        <is>
          <t>Keys shall never be stored in plaintext format.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A.8.24-28</t>
        </is>
      </c>
      <c r="B8" s="23" t="inlineStr">
        <is>
          <t>Secure Key Storage</t>
        </is>
      </c>
      <c r="C8" s="24" t="inlineStr">
        <is>
          <t>Keys shall be stored in a cryptographic vault, HSM, or cloud key management service (KMS).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A.8.24-29</t>
        </is>
      </c>
      <c r="B9" s="23" t="inlineStr">
        <is>
          <t>No Hard-Coded Keys</t>
        </is>
      </c>
      <c r="C9" s="24" t="inlineStr">
        <is>
          <t>Keys shall not be hard-coded in source code, stored in config files in plaintext, or shared via email/messaging. Secrets shall be managed through a dedicated secrets management solution.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A.8.24-30</t>
        </is>
      </c>
      <c r="B10" s="23" t="inlineStr">
        <is>
          <t>KEK Strength</t>
        </is>
      </c>
      <c r="C10" s="24" t="inlineStr">
        <is>
          <t>Key encryption keys (KEKs) used to wrap stored keys shall be at least as strong as the keys they protect.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A.8.24-31</t>
        </is>
      </c>
      <c r="B11" s="23" t="inlineStr">
        <is>
          <t>Integrity Protection</t>
        </is>
      </c>
      <c r="C11" s="24" t="inlineStr">
        <is>
          <t>Keys shall have integrity protections applied while in storage.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A.8.24-32</t>
        </is>
      </c>
      <c r="B12" s="23" t="inlineStr">
        <is>
          <t>Least Privilege Access</t>
        </is>
      </c>
      <c r="C12" s="24" t="inlineStr">
        <is>
          <t>Access to cryptographic keys shall follow the principle of least privilege.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A.8.24-33</t>
        </is>
      </c>
      <c r="B13" s="23" t="inlineStr">
        <is>
          <t>MFA for Key Custodians</t>
        </is>
      </c>
      <c r="C13" s="24" t="inlineStr">
        <is>
          <t>Multi-factor authentication shall be required for key custodians.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A.8.24-34</t>
        </is>
      </c>
      <c r="B14" s="23" t="inlineStr">
        <is>
          <t>Key Access Register</t>
        </is>
      </c>
      <c r="C14" s="24" t="inlineStr">
        <is>
          <t>A register of individuals with access to key material shall be maintained.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A.8.24-35</t>
        </is>
      </c>
      <c r="B15" s="23" t="inlineStr">
        <is>
          <t>Rotation Periods Defined</t>
        </is>
      </c>
      <c r="C15" s="24" t="inlineStr">
        <is>
          <t>Key rotation periods shall be defined based on key type, risk, and regulatory requirements (TLS: 398d, AES: 2y, RSA/ECDSA: 3y, API keys: 90d, DB keys: 1y).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A.8.24-36</t>
        </is>
      </c>
      <c r="B16" s="23" t="inlineStr">
        <is>
          <t>Immediate Rotation on Compromise</t>
        </is>
      </c>
      <c r="C16" s="24" t="inlineStr">
        <is>
          <t>Keys shall be rotated immediately upon suspected or confirmed compromise, regardless of scheduled rotation.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A.8.24-37</t>
        </is>
      </c>
      <c r="B17" s="23" t="inlineStr">
        <is>
          <t>Key Backup for Recovery</t>
        </is>
      </c>
      <c r="C17" s="24" t="inlineStr">
        <is>
          <t>Key material shall be backed up to enable recovery of encrypted data.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A.8.24-38</t>
        </is>
      </c>
      <c r="B18" s="23" t="inlineStr">
        <is>
          <t>Backup Key Encryption</t>
        </is>
      </c>
      <c r="C18" s="24" t="inlineStr">
        <is>
          <t>Backup key storage shall be encrypted using at least the same assurance level as the operational keys.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A.8.24-39</t>
        </is>
      </c>
      <c r="B19" s="23" t="inlineStr">
        <is>
          <t>No Signing Key Escrow</t>
        </is>
      </c>
      <c r="C19" s="24" t="inlineStr">
        <is>
          <t>Signing keys shall not be escrowed.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A.8.24-40</t>
        </is>
      </c>
      <c r="B20" s="23" t="inlineStr">
        <is>
          <t>Compromise Recovery Plan</t>
        </is>
      </c>
      <c r="C20" s="24" t="inlineStr">
        <is>
          <t>A key compromise recovery plan shall be documented, tested annually, and maintained — including contact lists, re-keying procedures, key inventory, and monitoring of re-keying completion.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A.8.24-41</t>
        </is>
      </c>
      <c r="B21" s="23" t="inlineStr">
        <is>
          <t>Export Control Guidance</t>
        </is>
      </c>
      <c r="C21" s="24" t="inlineStr">
        <is>
          <t>Personnel shall seek guidance from the legal department should export of cryptographic technologies or encrypted data be required.</t>
        </is>
      </c>
      <c r="D21" s="25" t="n"/>
      <c r="E21" s="5" t="n"/>
      <c r="F21" s="5" t="n"/>
      <c r="G21" s="26" t="n"/>
      <c r="H21" s="5" t="n"/>
    </row>
  </sheetData>
  <mergeCells count="2">
    <mergeCell ref="A2:H2"/>
    <mergeCell ref="A1:H1"/>
  </mergeCells>
  <conditionalFormatting sqref="D4:D2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" showDropDown="0" showInputMessage="0" showErrorMessage="0" allowBlank="1" errorTitle="Invalid Status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Crypto Governance — Compliance Checklist</t>
        </is>
      </c>
    </row>
    <row r="2">
      <c r="A2" s="21" t="inlineStr">
        <is>
          <t>ISO/IEC 27001:2022 — Control A.8.24: Use of Cryptography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A.8.24-42</t>
        </is>
      </c>
      <c r="B4" s="23" t="inlineStr">
        <is>
          <t>Trust Store Protection</t>
        </is>
      </c>
      <c r="C4" s="24" t="inlineStr">
        <is>
          <t>Trust stores shall be protected against injection of unauthorised root certificates; access controls shall be managed per entity and application.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A.8.24-43</t>
        </is>
      </c>
      <c r="B5" s="23" t="inlineStr">
        <is>
          <t>Trust Store Update Process</t>
        </is>
      </c>
      <c r="C5" s="24" t="inlineStr">
        <is>
          <t>A secure process for updating the trust store shall be implemented.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A.8.24-44</t>
        </is>
      </c>
      <c r="B6" s="23" t="inlineStr">
        <is>
          <t>Approved Libraries Only</t>
        </is>
      </c>
      <c r="C6" s="24" t="inlineStr">
        <is>
          <t>Only reputable cryptographic libraries shall be used that are actively maintained, regularly updated, and validated by third-party organisations (NIST/FIPS, Common Criteria).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A.8.24-45</t>
        </is>
      </c>
      <c r="B7" s="23" t="inlineStr">
        <is>
          <t>No Custom Crypto</t>
        </is>
      </c>
      <c r="C7" s="24" t="inlineStr">
        <is>
          <t>Custom cryptographic implementations shall not be developed unless specifically approved by the CISO with documented justification.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A.8.24-46</t>
        </is>
      </c>
      <c r="B8" s="23" t="inlineStr">
        <is>
          <t>[PCI — Optional] Cardholder Key Storage</t>
        </is>
      </c>
      <c r="C8" s="24" t="inlineStr">
        <is>
          <t>Secret and private keys used to encrypt/decrypt cardholder data shall be stored encrypted with a KEK at least as strong, stored separately, or within a PTS-approved device or HSM.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A.8.24-47</t>
        </is>
      </c>
      <c r="B9" s="23" t="inlineStr">
        <is>
          <t>[PCI — Optional] CDE Encryption</t>
        </is>
      </c>
      <c r="C9" s="24" t="inlineStr">
        <is>
          <t>Cardholder data environment encryption shall meet PCI DSS requirements in addition to this policy.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Title="Invalid Status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2026-02-07T18:26:00Z</dcterms:created>
  <dcterms:modified xmlns:dcterms="http://purl.org/dc/terms/" xmlns:xsi="http://www.w3.org/2001/XMLSchema-instance" xsi:type="dcterms:W3CDTF">2026-02-07T18:26:01Z</dcterms:modified>
</cp:coreProperties>
</file>