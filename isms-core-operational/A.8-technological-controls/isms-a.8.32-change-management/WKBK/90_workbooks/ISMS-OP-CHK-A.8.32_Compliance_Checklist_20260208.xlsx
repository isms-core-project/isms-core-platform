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hange Classification" sheetId="3" state="visible" r:id="rId3"/>
    <sheet xmlns:r="http://schemas.openxmlformats.org/officeDocument/2006/relationships" name="Change Request Process" sheetId="4" state="visible" r:id="rId4"/>
    <sheet xmlns:r="http://schemas.openxmlformats.org/officeDocument/2006/relationships" name="Change Advisory Board (CAB)" sheetId="5" state="visible" r:id="rId5"/>
    <sheet xmlns:r="http://schemas.openxmlformats.org/officeDocument/2006/relationships" name="Standard Change Catalogue" sheetId="6" state="visible" r:id="rId6"/>
    <sheet xmlns:r="http://schemas.openxmlformats.org/officeDocument/2006/relationships" name="Testing and Validation" sheetId="7" state="visible" r:id="rId7"/>
    <sheet xmlns:r="http://schemas.openxmlformats.org/officeDocument/2006/relationships" name="Implementation and Rollback" sheetId="8" state="visible" r:id="rId8"/>
    <sheet xmlns:r="http://schemas.openxmlformats.org/officeDocument/2006/relationships" name="Communication" sheetId="9" state="visible" r:id="rId9"/>
    <sheet xmlns:r="http://schemas.openxmlformats.org/officeDocument/2006/relationships" name="Emergency Changes" sheetId="10" state="visible" r:id="rId10"/>
    <sheet xmlns:r="http://schemas.openxmlformats.org/officeDocument/2006/relationships" name="Post-Impl Review (PIR)" sheetId="11" state="visible" r:id="rId11"/>
    <sheet xmlns:r="http://schemas.openxmlformats.org/officeDocument/2006/relationships" name="Change Freeze Periods" sheetId="12" state="visible" r:id="rId12"/>
    <sheet xmlns:r="http://schemas.openxmlformats.org/officeDocument/2006/relationships" name="Record Keeping &amp; Documentation" sheetId="13" state="visible" r:id="rId13"/>
    <sheet xmlns:r="http://schemas.openxmlformats.org/officeDocument/2006/relationships" name="Configuration Mgmt Integration" sheetId="14" state="visible" r:id="rId14"/>
    <sheet xmlns:r="http://schemas.openxmlformats.org/officeDocument/2006/relationships" name="Unauthorised Changes" sheetId="15" state="visible" r:id="rId15"/>
    <sheet xmlns:r="http://schemas.openxmlformats.org/officeDocument/2006/relationships" name="Change-Incident Correlation" sheetId="16" state="visible" r:id="rId16"/>
    <sheet xmlns:r="http://schemas.openxmlformats.org/officeDocument/2006/relationships" name="Change Management Metrics" sheetId="17" state="visible" r:id="rId17"/>
  </sheets>
  <definedNames>
    <definedName name="_xlnm.Print_Area" localSheetId="0">'Executive Summary'!$A$1:$H$74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7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ISMS-OP-CHK-A.8.32 — Change Management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ISMS-OP-CHK-A.8.32</t>
        </is>
      </c>
    </row>
    <row r="5">
      <c r="A5" s="3" t="inlineStr">
        <is>
          <t>Source Policy</t>
        </is>
      </c>
      <c r="B5" s="4" t="inlineStr">
        <is>
          <t>ISMS-OP-POL-A.8.32</t>
        </is>
      </c>
    </row>
    <row r="6">
      <c r="A6" s="3" t="inlineStr">
        <is>
          <t>ISO Controls</t>
        </is>
      </c>
      <c r="B6" s="4" t="inlineStr">
        <is>
          <t>Change Management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'Dashboard'!G19</f>
        <v/>
      </c>
    </row>
    <row r="14">
      <c r="A14" s="7" t="inlineStr">
        <is>
          <t>Status</t>
        </is>
      </c>
      <c r="B14" s="9">
        <f>IF(Dashboard!G19="N/A","NOT ASSESSED",IF(ISNUMBER(VALUE(SUBSTITUTE(Dashboard!G19,"%",""))),IF(VALUE(SUBSTITUTE(Dashboard!G19,"%",""))&gt;=90,"GREEN",IF(VALUE(SUBSTITUTE(Dashboard!G19,"%",""))&gt;=70,"AMBER","RED")),"NOT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'Dashboard'!B19</f>
        <v/>
      </c>
    </row>
    <row r="18">
      <c r="A18" s="3" t="inlineStr">
        <is>
          <t>Compliant</t>
        </is>
      </c>
      <c r="B18" s="10">
        <f>'Dashboard'!C19</f>
        <v/>
      </c>
    </row>
    <row r="19">
      <c r="A19" s="3" t="inlineStr">
        <is>
          <t>Partial</t>
        </is>
      </c>
      <c r="B19" s="10">
        <f>'Dashboard'!D19</f>
        <v/>
      </c>
    </row>
    <row r="20">
      <c r="A20" s="3" t="inlineStr">
        <is>
          <t>Non-Compliant</t>
        </is>
      </c>
      <c r="B20" s="10">
        <f>'Dashboard'!E19</f>
        <v/>
      </c>
    </row>
    <row r="21">
      <c r="A21" s="3" t="inlineStr">
        <is>
          <t>Not Applicable</t>
        </is>
      </c>
      <c r="B21" s="10">
        <f>'Dashboard'!F19</f>
        <v/>
      </c>
    </row>
    <row r="22">
      <c r="A22" s="3" t="inlineStr">
        <is>
          <t>Owner Coverage</t>
        </is>
      </c>
      <c r="B22" s="10">
        <f>IF(Dashboard!B19=0,"N/A",ROUND((COUNTA('Change Classification'!F4:F5)+COUNTA('Change Request Process'!F4:F8)+COUNTA('Change Advisory Board (CAB)'!F4:F5)+COUNTA('Standard Change Catalogue'!F4:F6)+COUNTA('Testing and Validation'!F4:F14)+COUNTA('Implementation and Rollback'!F4:F9)+COUNTA('Communication'!F4:F4)+COUNTA('Emergency Changes'!F4:F7)+COUNTA('Post-Impl Review (PIR)'!F4:F4)+COUNTA('Change Freeze Periods'!F4:F4)+COUNTA('Record Keeping &amp; Documentation'!F4:F6)+COUNTA('Configuration Mgmt Integration'!F4:F6)+COUNTA('Unauthorised Changes'!F4:F4)+COUNTA('Change-Incident Correlation'!F4:F5)+COUNTA('Change Management Metrics'!F4:F5))/Dashboard!B19*100,0)&amp;"%")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Change Classification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Change Request Process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Change Advisory Board (CAB)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Standard Change Catalogue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Testing and Validation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Implementation and Rollback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2">
      <c r="A32" s="4" t="inlineStr">
        <is>
          <t>Communication</t>
        </is>
      </c>
      <c r="B32" s="4">
        <f>'Dashboard'!G10</f>
        <v/>
      </c>
      <c r="C32" s="4">
        <f>'Dashboard'!C10</f>
        <v/>
      </c>
      <c r="D32" s="4">
        <f>'Dashboard'!E10</f>
        <v/>
      </c>
      <c r="E32" s="4">
        <f>IF(Dashboard!G10="N/A","--",IF(ISNUMBER(VALUE(SUBSTITUTE(Dashboard!G10,"%",""))),IF(VALUE(SUBSTITUTE(Dashboard!G10,"%",""))&gt;=90,"PASS",IF(VALUE(SUBSTITUTE(Dashboard!G10,"%",""))&gt;=70,"REVIEW","FAIL")),"--"))</f>
        <v/>
      </c>
    </row>
    <row r="33">
      <c r="A33" s="4" t="inlineStr">
        <is>
          <t>Emergency Changes</t>
        </is>
      </c>
      <c r="B33" s="4">
        <f>'Dashboard'!G11</f>
        <v/>
      </c>
      <c r="C33" s="4">
        <f>'Dashboard'!C11</f>
        <v/>
      </c>
      <c r="D33" s="4">
        <f>'Dashboard'!E11</f>
        <v/>
      </c>
      <c r="E33" s="4">
        <f>IF(Dashboard!G11="N/A","--",IF(ISNUMBER(VALUE(SUBSTITUTE(Dashboard!G11,"%",""))),IF(VALUE(SUBSTITUTE(Dashboard!G11,"%",""))&gt;=90,"PASS",IF(VALUE(SUBSTITUTE(Dashboard!G11,"%",""))&gt;=70,"REVIEW","FAIL")),"--"))</f>
        <v/>
      </c>
    </row>
    <row r="34">
      <c r="A34" s="4" t="inlineStr">
        <is>
          <t>Post-Impl Review (PIR)</t>
        </is>
      </c>
      <c r="B34" s="4">
        <f>'Dashboard'!G12</f>
        <v/>
      </c>
      <c r="C34" s="4">
        <f>'Dashboard'!C12</f>
        <v/>
      </c>
      <c r="D34" s="4">
        <f>'Dashboard'!E12</f>
        <v/>
      </c>
      <c r="E34" s="4">
        <f>IF(Dashboard!G12="N/A","--",IF(ISNUMBER(VALUE(SUBSTITUTE(Dashboard!G12,"%",""))),IF(VALUE(SUBSTITUTE(Dashboard!G12,"%",""))&gt;=90,"PASS",IF(VALUE(SUBSTITUTE(Dashboard!G12,"%",""))&gt;=70,"REVIEW","FAIL")),"--"))</f>
        <v/>
      </c>
    </row>
    <row r="35">
      <c r="A35" s="4" t="inlineStr">
        <is>
          <t>Change Freeze Periods</t>
        </is>
      </c>
      <c r="B35" s="4">
        <f>'Dashboard'!G13</f>
        <v/>
      </c>
      <c r="C35" s="4">
        <f>'Dashboard'!C13</f>
        <v/>
      </c>
      <c r="D35" s="4">
        <f>'Dashboard'!E13</f>
        <v/>
      </c>
      <c r="E35" s="4">
        <f>IF(Dashboard!G13="N/A","--",IF(ISNUMBER(VALUE(SUBSTITUTE(Dashboard!G13,"%",""))),IF(VALUE(SUBSTITUTE(Dashboard!G13,"%",""))&gt;=90,"PASS",IF(VALUE(SUBSTITUTE(Dashboard!G13,"%",""))&gt;=70,"REVIEW","FAIL")),"--"))</f>
        <v/>
      </c>
    </row>
    <row r="36">
      <c r="A36" s="4" t="inlineStr">
        <is>
          <t>Record Keeping &amp; Documentation</t>
        </is>
      </c>
      <c r="B36" s="4">
        <f>'Dashboard'!G14</f>
        <v/>
      </c>
      <c r="C36" s="4">
        <f>'Dashboard'!C14</f>
        <v/>
      </c>
      <c r="D36" s="4">
        <f>'Dashboard'!E14</f>
        <v/>
      </c>
      <c r="E36" s="4">
        <f>IF(Dashboard!G14="N/A","--",IF(ISNUMBER(VALUE(SUBSTITUTE(Dashboard!G14,"%",""))),IF(VALUE(SUBSTITUTE(Dashboard!G14,"%",""))&gt;=90,"PASS",IF(VALUE(SUBSTITUTE(Dashboard!G14,"%",""))&gt;=70,"REVIEW","FAIL")),"--"))</f>
        <v/>
      </c>
    </row>
    <row r="37">
      <c r="A37" s="4" t="inlineStr">
        <is>
          <t>Configuration Mgmt Integration</t>
        </is>
      </c>
      <c r="B37" s="4">
        <f>'Dashboard'!G15</f>
        <v/>
      </c>
      <c r="C37" s="4">
        <f>'Dashboard'!C15</f>
        <v/>
      </c>
      <c r="D37" s="4">
        <f>'Dashboard'!E15</f>
        <v/>
      </c>
      <c r="E37" s="4">
        <f>IF(Dashboard!G15="N/A","--",IF(ISNUMBER(VALUE(SUBSTITUTE(Dashboard!G15,"%",""))),IF(VALUE(SUBSTITUTE(Dashboard!G15,"%",""))&gt;=90,"PASS",IF(VALUE(SUBSTITUTE(Dashboard!G15,"%",""))&gt;=70,"REVIEW","FAIL")),"--"))</f>
        <v/>
      </c>
    </row>
    <row r="38">
      <c r="A38" s="4" t="inlineStr">
        <is>
          <t>Unauthorised Changes</t>
        </is>
      </c>
      <c r="B38" s="4">
        <f>'Dashboard'!G16</f>
        <v/>
      </c>
      <c r="C38" s="4">
        <f>'Dashboard'!C16</f>
        <v/>
      </c>
      <c r="D38" s="4">
        <f>'Dashboard'!E16</f>
        <v/>
      </c>
      <c r="E38" s="4">
        <f>IF(Dashboard!G16="N/A","--",IF(ISNUMBER(VALUE(SUBSTITUTE(Dashboard!G16,"%",""))),IF(VALUE(SUBSTITUTE(Dashboard!G16,"%",""))&gt;=90,"PASS",IF(VALUE(SUBSTITUTE(Dashboard!G16,"%",""))&gt;=70,"REVIEW","FAIL")),"--"))</f>
        <v/>
      </c>
    </row>
    <row r="39">
      <c r="A39" s="4" t="inlineStr">
        <is>
          <t>Change-Incident Correlation</t>
        </is>
      </c>
      <c r="B39" s="4">
        <f>'Dashboard'!G17</f>
        <v/>
      </c>
      <c r="C39" s="4">
        <f>'Dashboard'!C17</f>
        <v/>
      </c>
      <c r="D39" s="4">
        <f>'Dashboard'!E17</f>
        <v/>
      </c>
      <c r="E39" s="4">
        <f>IF(Dashboard!G17="N/A","--",IF(ISNUMBER(VALUE(SUBSTITUTE(Dashboard!G17,"%",""))),IF(VALUE(SUBSTITUTE(Dashboard!G17,"%",""))&gt;=90,"PASS",IF(VALUE(SUBSTITUTE(Dashboard!G17,"%",""))&gt;=70,"REVIEW","FAIL")),"--"))</f>
        <v/>
      </c>
    </row>
    <row r="40">
      <c r="A40" s="4" t="inlineStr">
        <is>
          <t>Change Management Metrics</t>
        </is>
      </c>
      <c r="B40" s="4">
        <f>'Dashboard'!G18</f>
        <v/>
      </c>
      <c r="C40" s="4">
        <f>'Dashboard'!C18</f>
        <v/>
      </c>
      <c r="D40" s="4">
        <f>'Dashboard'!E18</f>
        <v/>
      </c>
      <c r="E40" s="4">
        <f>IF(Dashboard!G18="N/A","--",IF(ISNUMBER(VALUE(SUBSTITUTE(Dashboard!G18,"%",""))),IF(VALUE(SUBSTITUTE(Dashboard!G18,"%",""))&gt;=90,"PASS",IF(VALUE(SUBSTITUTE(Dashboard!G18,"%",""))&gt;=70,"REVIEW","FAIL")),"--"))</f>
        <v/>
      </c>
    </row>
    <row r="42">
      <c r="A42" s="6" t="inlineStr">
        <is>
          <t>CRITICAL ISSUES</t>
        </is>
      </c>
    </row>
    <row r="43">
      <c r="A43" s="11" t="inlineStr">
        <is>
          <t>#</t>
        </is>
      </c>
      <c r="B43" s="11" t="inlineStr">
        <is>
          <t>Issue Description</t>
        </is>
      </c>
      <c r="C43" s="11" t="inlineStr">
        <is>
          <t>Domain</t>
        </is>
      </c>
      <c r="D43" s="11" t="inlineStr">
        <is>
          <t>Owner</t>
        </is>
      </c>
      <c r="E43" s="11" t="inlineStr">
        <is>
          <t>Due Date</t>
        </is>
      </c>
    </row>
    <row r="44">
      <c r="A44" s="4" t="n">
        <v>1</v>
      </c>
      <c r="B44" s="5" t="n"/>
      <c r="C44" s="5" t="n"/>
      <c r="D44" s="5" t="n"/>
      <c r="E44" s="5" t="n"/>
    </row>
    <row r="45">
      <c r="A45" s="4" t="n">
        <v>2</v>
      </c>
      <c r="B45" s="5" t="n"/>
      <c r="C45" s="5" t="n"/>
      <c r="D45" s="5" t="n"/>
      <c r="E45" s="5" t="n"/>
    </row>
    <row r="46">
      <c r="A46" s="4" t="n">
        <v>3</v>
      </c>
      <c r="B46" s="5" t="n"/>
      <c r="C46" s="5" t="n"/>
      <c r="D46" s="5" t="n"/>
      <c r="E46" s="5" t="n"/>
    </row>
    <row r="47">
      <c r="A47" s="4" t="n">
        <v>4</v>
      </c>
      <c r="B47" s="5" t="n"/>
      <c r="C47" s="5" t="n"/>
      <c r="D47" s="5" t="n"/>
      <c r="E47" s="5" t="n"/>
    </row>
    <row r="48">
      <c r="A48" s="4" t="n">
        <v>5</v>
      </c>
      <c r="B48" s="5" t="n"/>
      <c r="C48" s="5" t="n"/>
      <c r="D48" s="5" t="n"/>
      <c r="E48" s="5" t="n"/>
    </row>
    <row r="50">
      <c r="A50" s="6" t="inlineStr">
        <is>
          <t>MANAGEMENT COMMENTARY</t>
        </is>
      </c>
    </row>
    <row r="51" ht="60" customHeight="1">
      <c r="A51" s="12" t="inlineStr">
        <is>
          <t>[Enter management commentary on change management posture]</t>
        </is>
      </c>
    </row>
    <row r="52"/>
    <row r="53"/>
    <row r="55">
      <c r="A55" s="6" t="inlineStr">
        <is>
          <t>APPROVAL</t>
        </is>
      </c>
    </row>
    <row r="56">
      <c r="A56" s="13" t="inlineStr">
        <is>
          <t>Assessed By</t>
        </is>
      </c>
    </row>
    <row r="57">
      <c r="A57" s="14" t="inlineStr">
        <is>
          <t>Name:</t>
        </is>
      </c>
      <c r="B57" s="5" t="n"/>
    </row>
    <row r="58">
      <c r="A58" s="14" t="inlineStr">
        <is>
          <t>Date:</t>
        </is>
      </c>
      <c r="B58" s="5" t="n"/>
    </row>
    <row r="59">
      <c r="A59" s="14" t="inlineStr">
        <is>
          <t>Signature:</t>
        </is>
      </c>
      <c r="B59" s="5" t="n"/>
    </row>
    <row r="60">
      <c r="A60" s="14" t="inlineStr">
        <is>
          <t>Decision:</t>
        </is>
      </c>
      <c r="B60" s="5" t="n"/>
    </row>
    <row r="62">
      <c r="A62" s="13" t="inlineStr">
        <is>
          <t>Reviewed By (ISO Manager)</t>
        </is>
      </c>
    </row>
    <row r="63">
      <c r="A63" s="14" t="inlineStr">
        <is>
          <t>Name:</t>
        </is>
      </c>
      <c r="B63" s="5" t="n"/>
    </row>
    <row r="64">
      <c r="A64" s="14" t="inlineStr">
        <is>
          <t>Date:</t>
        </is>
      </c>
      <c r="B64" s="5" t="n"/>
    </row>
    <row r="65">
      <c r="A65" s="14" t="inlineStr">
        <is>
          <t>Signature:</t>
        </is>
      </c>
      <c r="B65" s="5" t="n"/>
    </row>
    <row r="66">
      <c r="A66" s="14" t="inlineStr">
        <is>
          <t>Decision:</t>
        </is>
      </c>
      <c r="B66" s="5" t="n"/>
    </row>
    <row r="68">
      <c r="A68" s="13" t="inlineStr">
        <is>
          <t>Approved By (CISO)</t>
        </is>
      </c>
    </row>
    <row r="69">
      <c r="A69" s="14" t="inlineStr">
        <is>
          <t>Name:</t>
        </is>
      </c>
      <c r="B69" s="5" t="n"/>
    </row>
    <row r="70">
      <c r="A70" s="14" t="inlineStr">
        <is>
          <t>Date:</t>
        </is>
      </c>
      <c r="B70" s="5" t="n"/>
    </row>
    <row r="71">
      <c r="A71" s="14" t="inlineStr">
        <is>
          <t>Signature:</t>
        </is>
      </c>
      <c r="B71" s="5" t="n"/>
    </row>
    <row r="72">
      <c r="A72" s="14" t="inlineStr">
        <is>
          <t>Decision:</t>
        </is>
      </c>
      <c r="B72" s="5" t="n"/>
    </row>
  </sheetData>
  <mergeCells count="12">
    <mergeCell ref="A12:H12"/>
    <mergeCell ref="A50:H50"/>
    <mergeCell ref="A62:B62"/>
    <mergeCell ref="A55:H55"/>
    <mergeCell ref="A24:H24"/>
    <mergeCell ref="A16:H16"/>
    <mergeCell ref="A51:H53"/>
    <mergeCell ref="A68:B68"/>
    <mergeCell ref="A42:H42"/>
    <mergeCell ref="A1:H1"/>
    <mergeCell ref="A56:B56"/>
    <mergeCell ref="A3:B3"/>
  </mergeCells>
  <dataValidations count="1">
    <dataValidation sqref="B60 B66 B72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Change Management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Change Classification</t>
        </is>
      </c>
      <c r="B4" s="15">
        <f>COUNTA('Change Classification'!D4:D5)</f>
        <v/>
      </c>
      <c r="C4" s="15">
        <f>COUNTIF('Change Classification'!D4:D5,"Compliant")</f>
        <v/>
      </c>
      <c r="D4" s="15">
        <f>COUNTIF('Change Classification'!D4:D5,"Partial")</f>
        <v/>
      </c>
      <c r="E4" s="15">
        <f>COUNTIF('Change Classification'!D4:D5,"Non-Compliant")</f>
        <v/>
      </c>
      <c r="F4" s="15">
        <f>COUNTIF('Change Classification'!D4:D5,"N/A")</f>
        <v/>
      </c>
      <c r="G4" s="15">
        <f>IF((B4-F4)=0,"N/A",ROUND(C4/(B4-F4)*100,1)&amp;"%")</f>
        <v/>
      </c>
    </row>
    <row r="5">
      <c r="A5" s="3" t="inlineStr">
        <is>
          <t>Change Request Process</t>
        </is>
      </c>
      <c r="B5" s="15">
        <f>COUNTA('Change Request Process'!D4:D8)</f>
        <v/>
      </c>
      <c r="C5" s="15">
        <f>COUNTIF('Change Request Process'!D4:D8,"Compliant")</f>
        <v/>
      </c>
      <c r="D5" s="15">
        <f>COUNTIF('Change Request Process'!D4:D8,"Partial")</f>
        <v/>
      </c>
      <c r="E5" s="15">
        <f>COUNTIF('Change Request Process'!D4:D8,"Non-Compliant")</f>
        <v/>
      </c>
      <c r="F5" s="15">
        <f>COUNTIF('Change Request Process'!D4:D8,"N/A")</f>
        <v/>
      </c>
      <c r="G5" s="15">
        <f>IF((B5-F5)=0,"N/A",ROUND(C5/(B5-F5)*100,1)&amp;"%")</f>
        <v/>
      </c>
    </row>
    <row r="6">
      <c r="A6" s="3" t="inlineStr">
        <is>
          <t>Change Advisory Board (CAB)</t>
        </is>
      </c>
      <c r="B6" s="15">
        <f>COUNTA('Change Advisory Board (CAB)'!D4:D5)</f>
        <v/>
      </c>
      <c r="C6" s="15">
        <f>COUNTIF('Change Advisory Board (CAB)'!D4:D5,"Compliant")</f>
        <v/>
      </c>
      <c r="D6" s="15">
        <f>COUNTIF('Change Advisory Board (CAB)'!D4:D5,"Partial")</f>
        <v/>
      </c>
      <c r="E6" s="15">
        <f>COUNTIF('Change Advisory Board (CAB)'!D4:D5,"Non-Compliant")</f>
        <v/>
      </c>
      <c r="F6" s="15">
        <f>COUNTIF('Change Advisory Board (CAB)'!D4:D5,"N/A")</f>
        <v/>
      </c>
      <c r="G6" s="15">
        <f>IF((B6-F6)=0,"N/A",ROUND(C6/(B6-F6)*100,1)&amp;"%")</f>
        <v/>
      </c>
    </row>
    <row r="7">
      <c r="A7" s="3" t="inlineStr">
        <is>
          <t>Standard Change Catalogue</t>
        </is>
      </c>
      <c r="B7" s="15">
        <f>COUNTA('Standard Change Catalogue'!D4:D6)</f>
        <v/>
      </c>
      <c r="C7" s="15">
        <f>COUNTIF('Standard Change Catalogue'!D4:D6,"Compliant")</f>
        <v/>
      </c>
      <c r="D7" s="15">
        <f>COUNTIF('Standard Change Catalogue'!D4:D6,"Partial")</f>
        <v/>
      </c>
      <c r="E7" s="15">
        <f>COUNTIF('Standard Change Catalogue'!D4:D6,"Non-Compliant")</f>
        <v/>
      </c>
      <c r="F7" s="15">
        <f>COUNTIF('Standard Change Catalogue'!D4:D6,"N/A")</f>
        <v/>
      </c>
      <c r="G7" s="15">
        <f>IF((B7-F7)=0,"N/A",ROUND(C7/(B7-F7)*100,1)&amp;"%")</f>
        <v/>
      </c>
    </row>
    <row r="8">
      <c r="A8" s="3" t="inlineStr">
        <is>
          <t>Testing and Validation</t>
        </is>
      </c>
      <c r="B8" s="15">
        <f>COUNTA('Testing and Validation'!D4:D14)</f>
        <v/>
      </c>
      <c r="C8" s="15">
        <f>COUNTIF('Testing and Validation'!D4:D14,"Compliant")</f>
        <v/>
      </c>
      <c r="D8" s="15">
        <f>COUNTIF('Testing and Validation'!D4:D14,"Partial")</f>
        <v/>
      </c>
      <c r="E8" s="15">
        <f>COUNTIF('Testing and Validation'!D4:D14,"Non-Compliant")</f>
        <v/>
      </c>
      <c r="F8" s="15">
        <f>COUNTIF('Testing and Validation'!D4:D14,"N/A")</f>
        <v/>
      </c>
      <c r="G8" s="15">
        <f>IF((B8-F8)=0,"N/A",ROUND(C8/(B8-F8)*100,1)&amp;"%")</f>
        <v/>
      </c>
    </row>
    <row r="9">
      <c r="A9" s="3" t="inlineStr">
        <is>
          <t>Implementation and Rollback</t>
        </is>
      </c>
      <c r="B9" s="15">
        <f>COUNTA('Implementation and Rollback'!D4:D9)</f>
        <v/>
      </c>
      <c r="C9" s="15">
        <f>COUNTIF('Implementation and Rollback'!D4:D9,"Compliant")</f>
        <v/>
      </c>
      <c r="D9" s="15">
        <f>COUNTIF('Implementation and Rollback'!D4:D9,"Partial")</f>
        <v/>
      </c>
      <c r="E9" s="15">
        <f>COUNTIF('Implementation and Rollback'!D4:D9,"Non-Compliant")</f>
        <v/>
      </c>
      <c r="F9" s="15">
        <f>COUNTIF('Implementation and Rollback'!D4:D9,"N/A")</f>
        <v/>
      </c>
      <c r="G9" s="15">
        <f>IF((B9-F9)=0,"N/A",ROUND(C9/(B9-F9)*100,1)&amp;"%")</f>
        <v/>
      </c>
    </row>
    <row r="10">
      <c r="A10" s="3" t="inlineStr">
        <is>
          <t>Communication</t>
        </is>
      </c>
      <c r="B10" s="15">
        <f>COUNTA('Communication'!D4:D4)</f>
        <v/>
      </c>
      <c r="C10" s="15">
        <f>COUNTIF('Communication'!D4:D4,"Compliant")</f>
        <v/>
      </c>
      <c r="D10" s="15">
        <f>COUNTIF('Communication'!D4:D4,"Partial")</f>
        <v/>
      </c>
      <c r="E10" s="15">
        <f>COUNTIF('Communication'!D4:D4,"Non-Compliant")</f>
        <v/>
      </c>
      <c r="F10" s="15">
        <f>COUNTIF('Communication'!D4:D4,"N/A")</f>
        <v/>
      </c>
      <c r="G10" s="15">
        <f>IF((B10-F10)=0,"N/A",ROUND(C10/(B10-F10)*100,1)&amp;"%")</f>
        <v/>
      </c>
    </row>
    <row r="11">
      <c r="A11" s="3" t="inlineStr">
        <is>
          <t>Emergency Changes</t>
        </is>
      </c>
      <c r="B11" s="15">
        <f>COUNTA('Emergency Changes'!D4:D7)</f>
        <v/>
      </c>
      <c r="C11" s="15">
        <f>COUNTIF('Emergency Changes'!D4:D7,"Compliant")</f>
        <v/>
      </c>
      <c r="D11" s="15">
        <f>COUNTIF('Emergency Changes'!D4:D7,"Partial")</f>
        <v/>
      </c>
      <c r="E11" s="15">
        <f>COUNTIF('Emergency Changes'!D4:D7,"Non-Compliant")</f>
        <v/>
      </c>
      <c r="F11" s="15">
        <f>COUNTIF('Emergency Changes'!D4:D7,"N/A")</f>
        <v/>
      </c>
      <c r="G11" s="15">
        <f>IF((B11-F11)=0,"N/A",ROUND(C11/(B11-F11)*100,1)&amp;"%")</f>
        <v/>
      </c>
    </row>
    <row r="12">
      <c r="A12" s="3" t="inlineStr">
        <is>
          <t>Post-Impl Review (PIR)</t>
        </is>
      </c>
      <c r="B12" s="15">
        <f>COUNTA('Post-Impl Review (PIR)'!D4:D4)</f>
        <v/>
      </c>
      <c r="C12" s="15">
        <f>COUNTIF('Post-Impl Review (PIR)'!D4:D4,"Compliant")</f>
        <v/>
      </c>
      <c r="D12" s="15">
        <f>COUNTIF('Post-Impl Review (PIR)'!D4:D4,"Partial")</f>
        <v/>
      </c>
      <c r="E12" s="15">
        <f>COUNTIF('Post-Impl Review (PIR)'!D4:D4,"Non-Compliant")</f>
        <v/>
      </c>
      <c r="F12" s="15">
        <f>COUNTIF('Post-Impl Review (PIR)'!D4:D4,"N/A")</f>
        <v/>
      </c>
      <c r="G12" s="15">
        <f>IF((B12-F12)=0,"N/A",ROUND(C12/(B12-F12)*100,1)&amp;"%")</f>
        <v/>
      </c>
    </row>
    <row r="13">
      <c r="A13" s="3" t="inlineStr">
        <is>
          <t>Change Freeze Periods</t>
        </is>
      </c>
      <c r="B13" s="15">
        <f>COUNTA('Change Freeze Periods'!D4:D4)</f>
        <v/>
      </c>
      <c r="C13" s="15">
        <f>COUNTIF('Change Freeze Periods'!D4:D4,"Compliant")</f>
        <v/>
      </c>
      <c r="D13" s="15">
        <f>COUNTIF('Change Freeze Periods'!D4:D4,"Partial")</f>
        <v/>
      </c>
      <c r="E13" s="15">
        <f>COUNTIF('Change Freeze Periods'!D4:D4,"Non-Compliant")</f>
        <v/>
      </c>
      <c r="F13" s="15">
        <f>COUNTIF('Change Freeze Periods'!D4:D4,"N/A")</f>
        <v/>
      </c>
      <c r="G13" s="15">
        <f>IF((B13-F13)=0,"N/A",ROUND(C13/(B13-F13)*100,1)&amp;"%")</f>
        <v/>
      </c>
    </row>
    <row r="14">
      <c r="A14" s="3" t="inlineStr">
        <is>
          <t>Record Keeping &amp; Documentation</t>
        </is>
      </c>
      <c r="B14" s="15">
        <f>COUNTA('Record Keeping &amp; Documentation'!D4:D6)</f>
        <v/>
      </c>
      <c r="C14" s="15">
        <f>COUNTIF('Record Keeping &amp; Documentation'!D4:D6,"Compliant")</f>
        <v/>
      </c>
      <c r="D14" s="15">
        <f>COUNTIF('Record Keeping &amp; Documentation'!D4:D6,"Partial")</f>
        <v/>
      </c>
      <c r="E14" s="15">
        <f>COUNTIF('Record Keeping &amp; Documentation'!D4:D6,"Non-Compliant")</f>
        <v/>
      </c>
      <c r="F14" s="15">
        <f>COUNTIF('Record Keeping &amp; Documentation'!D4:D6,"N/A")</f>
        <v/>
      </c>
      <c r="G14" s="15">
        <f>IF((B14-F14)=0,"N/A",ROUND(C14/(B14-F14)*100,1)&amp;"%")</f>
        <v/>
      </c>
    </row>
    <row r="15">
      <c r="A15" s="3" t="inlineStr">
        <is>
          <t>Configuration Mgmt Integration</t>
        </is>
      </c>
      <c r="B15" s="15">
        <f>COUNTA('Configuration Mgmt Integration'!D4:D6)</f>
        <v/>
      </c>
      <c r="C15" s="15">
        <f>COUNTIF('Configuration Mgmt Integration'!D4:D6,"Compliant")</f>
        <v/>
      </c>
      <c r="D15" s="15">
        <f>COUNTIF('Configuration Mgmt Integration'!D4:D6,"Partial")</f>
        <v/>
      </c>
      <c r="E15" s="15">
        <f>COUNTIF('Configuration Mgmt Integration'!D4:D6,"Non-Compliant")</f>
        <v/>
      </c>
      <c r="F15" s="15">
        <f>COUNTIF('Configuration Mgmt Integration'!D4:D6,"N/A")</f>
        <v/>
      </c>
      <c r="G15" s="15">
        <f>IF((B15-F15)=0,"N/A",ROUND(C15/(B15-F15)*100,1)&amp;"%")</f>
        <v/>
      </c>
    </row>
    <row r="16">
      <c r="A16" s="3" t="inlineStr">
        <is>
          <t>Unauthorised Changes</t>
        </is>
      </c>
      <c r="B16" s="15">
        <f>COUNTA('Unauthorised Changes'!D4:D4)</f>
        <v/>
      </c>
      <c r="C16" s="15">
        <f>COUNTIF('Unauthorised Changes'!D4:D4,"Compliant")</f>
        <v/>
      </c>
      <c r="D16" s="15">
        <f>COUNTIF('Unauthorised Changes'!D4:D4,"Partial")</f>
        <v/>
      </c>
      <c r="E16" s="15">
        <f>COUNTIF('Unauthorised Changes'!D4:D4,"Non-Compliant")</f>
        <v/>
      </c>
      <c r="F16" s="15">
        <f>COUNTIF('Unauthorised Changes'!D4:D4,"N/A")</f>
        <v/>
      </c>
      <c r="G16" s="15">
        <f>IF((B16-F16)=0,"N/A",ROUND(C16/(B16-F16)*100,1)&amp;"%")</f>
        <v/>
      </c>
    </row>
    <row r="17">
      <c r="A17" s="3" t="inlineStr">
        <is>
          <t>Change-Incident Correlation</t>
        </is>
      </c>
      <c r="B17" s="15">
        <f>COUNTA('Change-Incident Correlation'!D4:D5)</f>
        <v/>
      </c>
      <c r="C17" s="15">
        <f>COUNTIF('Change-Incident Correlation'!D4:D5,"Compliant")</f>
        <v/>
      </c>
      <c r="D17" s="15">
        <f>COUNTIF('Change-Incident Correlation'!D4:D5,"Partial")</f>
        <v/>
      </c>
      <c r="E17" s="15">
        <f>COUNTIF('Change-Incident Correlation'!D4:D5,"Non-Compliant")</f>
        <v/>
      </c>
      <c r="F17" s="15">
        <f>COUNTIF('Change-Incident Correlation'!D4:D5,"N/A")</f>
        <v/>
      </c>
      <c r="G17" s="15">
        <f>IF((B17-F17)=0,"N/A",ROUND(C17/(B17-F17)*100,1)&amp;"%")</f>
        <v/>
      </c>
    </row>
    <row r="18">
      <c r="A18" s="3" t="inlineStr">
        <is>
          <t>Change Management Metrics</t>
        </is>
      </c>
      <c r="B18" s="15">
        <f>COUNTA('Change Management Metrics'!D4:D5)</f>
        <v/>
      </c>
      <c r="C18" s="15">
        <f>COUNTIF('Change Management Metrics'!D4:D5,"Compliant")</f>
        <v/>
      </c>
      <c r="D18" s="15">
        <f>COUNTIF('Change Management Metrics'!D4:D5,"Partial")</f>
        <v/>
      </c>
      <c r="E18" s="15">
        <f>COUNTIF('Change Management Metrics'!D4:D5,"Non-Compliant")</f>
        <v/>
      </c>
      <c r="F18" s="15">
        <f>COUNTIF('Change Management Metrics'!D4:D5,"N/A")</f>
        <v/>
      </c>
      <c r="G18" s="15">
        <f>IF((B18-F18)=0,"N/A",ROUND(C18/(B18-F18)*100,1)&amp;"%")</f>
        <v/>
      </c>
    </row>
    <row r="19">
      <c r="A19" s="16" t="inlineStr">
        <is>
          <t>TOTAL</t>
        </is>
      </c>
      <c r="B19" s="16">
        <f>SUM(B4:B18)</f>
        <v/>
      </c>
      <c r="C19" s="16">
        <f>SUM(C4:C18)</f>
        <v/>
      </c>
      <c r="D19" s="16">
        <f>SUM(D4:D18)</f>
        <v/>
      </c>
      <c r="E19" s="16">
        <f>SUM(E4:E18)</f>
        <v/>
      </c>
      <c r="F19" s="16">
        <f>SUM(F4:F18)</f>
        <v/>
      </c>
      <c r="G19" s="16">
        <f>IF((B19-F19)=0,"N/A",ROUND(C19/(B19-F19)*100,1)&amp;"%")</f>
        <v/>
      </c>
    </row>
    <row r="21">
      <c r="A21" s="6" t="inlineStr">
        <is>
          <t>COMPLIANCE BY STATUS</t>
        </is>
      </c>
    </row>
    <row r="22">
      <c r="A22" s="3" t="inlineStr">
        <is>
          <t>Compliant</t>
        </is>
      </c>
      <c r="B22" s="17">
        <f>C19</f>
        <v/>
      </c>
      <c r="C22" s="4">
        <f>IF(B19=0,"",ROUND(B22/B19*100,1)&amp;"%")</f>
        <v/>
      </c>
    </row>
    <row r="23">
      <c r="A23" s="3" t="inlineStr">
        <is>
          <t>Partial</t>
        </is>
      </c>
      <c r="B23" s="18">
        <f>D19</f>
        <v/>
      </c>
      <c r="C23" s="4">
        <f>IF(B19=0,"",ROUND(B23/B19*100,1)&amp;"%")</f>
        <v/>
      </c>
    </row>
    <row r="24">
      <c r="A24" s="3" t="inlineStr">
        <is>
          <t>Non-Compliant</t>
        </is>
      </c>
      <c r="B24" s="19">
        <f>E19</f>
        <v/>
      </c>
      <c r="C24" s="4">
        <f>IF(B19=0,"",ROUND(B24/B19*100,1)&amp;"%")</f>
        <v/>
      </c>
    </row>
    <row r="25">
      <c r="A25" s="3" t="inlineStr">
        <is>
          <t>N/A</t>
        </is>
      </c>
      <c r="B25" s="20">
        <f>F19</f>
        <v/>
      </c>
      <c r="C25" s="4">
        <f>IF(B19=0,"",ROUND(B25/B19*100,1)&amp;"%")</f>
        <v/>
      </c>
    </row>
    <row r="27">
      <c r="A27" s="6" t="inlineStr">
        <is>
          <t>TOP GAPS (Manual Entry)</t>
        </is>
      </c>
    </row>
    <row r="28">
      <c r="A28" s="11" t="inlineStr">
        <is>
          <t>Priority</t>
        </is>
      </c>
      <c r="B28" s="11" t="inlineStr">
        <is>
          <t>Domain</t>
        </is>
      </c>
      <c r="C28" s="11" t="inlineStr">
        <is>
          <t>Requirement</t>
        </is>
      </c>
      <c r="D28" s="11" t="inlineStr">
        <is>
          <t>Owner</t>
        </is>
      </c>
      <c r="E28" s="11" t="inlineStr">
        <is>
          <t>Due Date</t>
        </is>
      </c>
      <c r="F28" s="11" t="inlineStr">
        <is>
          <t>Status</t>
        </is>
      </c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40">
      <c r="A40" s="6" t="inlineStr">
        <is>
          <t>COMPLIANCE TREND (Manual Entry)</t>
        </is>
      </c>
    </row>
    <row r="41">
      <c r="A41" s="11" t="inlineStr">
        <is>
          <t>Assessment Date</t>
        </is>
      </c>
      <c r="B41" s="11" t="inlineStr">
        <is>
          <t>Overall %</t>
        </is>
      </c>
      <c r="C41" s="11" t="inlineStr">
        <is>
          <t>Compliant</t>
        </is>
      </c>
      <c r="D41" s="11" t="inlineStr">
        <is>
          <t>Gaps</t>
        </is>
      </c>
      <c r="E41" s="11" t="inlineStr">
        <is>
          <t>Assessor</t>
        </is>
      </c>
      <c r="F41" s="11" t="inlineStr">
        <is>
          <t>Notes</t>
        </is>
      </c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</sheetData>
  <mergeCells count="4">
    <mergeCell ref="A27:G27"/>
    <mergeCell ref="A21:G21"/>
    <mergeCell ref="A1:G1"/>
    <mergeCell ref="A40:G40"/>
  </mergeCells>
  <dataValidations count="1">
    <dataValidation sqref="F29 F30 F31 F32 F33 F34 F35 F36 F37 F38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Change Classification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A.8.32-01</t>
        </is>
      </c>
      <c r="B4" s="23" t="inlineStr">
        <is>
          <t>Be Classified Into One Of Three</t>
        </is>
      </c>
      <c r="C4" s="24" t="inlineStr">
        <is>
          <t>All changes shall be classified into one of three categories:.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A.8.32-02</t>
        </is>
      </c>
      <c r="B5" s="23" t="inlineStr">
        <is>
          <t>Changes That Fall Into Grey Areas</t>
        </is>
      </c>
      <c r="C5" s="24" t="inlineStr">
        <is>
          <t>Changes that fall into grey areas shall be escalated to the Change Manager for classification.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Change Request Process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A.8.32-03</t>
        </is>
      </c>
      <c r="B4" s="23" t="inlineStr">
        <is>
          <t>In-Scope Changes</t>
        </is>
      </c>
      <c r="C4" s="24" t="inlineStr">
        <is>
          <t>All in-scope changes shall be submitted as formal change requests in the change management system: [Specify: ServiceNow, Jira Service Management, Azure DevOps, or 'In selection; interim: ticketing system/spreadsheet'].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A.8.32-04</t>
        </is>
      </c>
      <c r="B5" s="23" t="inlineStr">
        <is>
          <t>Change Request</t>
        </is>
      </c>
      <c r="C5" s="24" t="inlineStr">
        <is>
          <t>Each change request shall include, at minimum:.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A.8.32-05</t>
        </is>
      </c>
      <c r="B6" s="23" t="inlineStr">
        <is>
          <t>Be Assessed For Impact Before</t>
        </is>
      </c>
      <c r="C6" s="24" t="inlineStr">
        <is>
          <t>All changes shall be assessed for impact before implementation:.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A.8.32-06</t>
        </is>
      </c>
      <c r="B7" s="23" t="inlineStr">
        <is>
          <t>Security Impact: Confidentiality,</t>
        </is>
      </c>
      <c r="C7" s="24" t="inlineStr">
        <is>
          <t>Security impact: Confidentiality, integrity, availability risks. Changes affecting systems that process personal data shall include an assessment of data protection impact.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A.8.32-07</t>
        </is>
      </c>
      <c r="B8" s="23" t="inlineStr">
        <is>
          <t>Approval Authority</t>
        </is>
      </c>
      <c r="C8" s="24" t="inlineStr">
        <is>
          <t>Approval authority shall be based on change risk level:.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Change Advisory Board (CAB)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A.8.32-08</t>
        </is>
      </c>
      <c r="B4" s="23" t="inlineStr">
        <is>
          <t>Establish A Change Advisory Board For</t>
        </is>
      </c>
      <c r="C4" s="24" t="inlineStr">
        <is>
          <t>The organisation shall establish a Change Advisory Board for review of normal and emergency changes.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A.8.32-09</t>
        </is>
      </c>
      <c r="B5" s="23" t="inlineStr">
        <is>
          <t>Records: Meeting Minutes</t>
        </is>
      </c>
      <c r="C5" s="24" t="inlineStr">
        <is>
          <t>Records: Meeting minutes shall be maintained for all CAB meetings, documenting date, attendees, changes reviewed, decisions, rationale, and action items. Minutes retained for 3 years.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Standard Change Catalogue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A.8.32-10</t>
        </is>
      </c>
      <c r="B4" s="23" t="inlineStr">
        <is>
          <t>Maintain A Standard Change Catalogue</t>
        </is>
      </c>
      <c r="C4" s="24" t="inlineStr">
        <is>
          <t>The organisation shall maintain a Standard Change Catalogue containing pre-approved, low-risk, routine changes.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A.8.32-11</t>
        </is>
      </c>
      <c r="B5" s="23" t="inlineStr">
        <is>
          <t>Catalogue Entry</t>
        </is>
      </c>
      <c r="C5" s="24" t="inlineStr">
        <is>
          <t>Each catalogue entry shall include:.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A.8.32-12</t>
        </is>
      </c>
      <c r="B6" s="23" t="inlineStr">
        <is>
          <t>Standard Changes</t>
        </is>
      </c>
      <c r="C6" s="24" t="inlineStr">
        <is>
          <t>Standard changes shall still be logged in the change management system for audit trail and incident correlation, even though CAB review is not required.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Testing and Validation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A.8.32-13</t>
        </is>
      </c>
      <c r="B4" s="23" t="inlineStr">
        <is>
          <t>Be Tested Before Deployment To</t>
        </is>
      </c>
      <c r="C4" s="24" t="inlineStr">
        <is>
          <t>Changes shall be tested before deployment to production:.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A.8.32-14</t>
        </is>
      </c>
      <c r="B5" s="23" t="inlineStr">
        <is>
          <t>Be Tested In Non-Production Environments</t>
        </is>
      </c>
      <c r="C5" s="24" t="inlineStr">
        <is>
          <t>Changes shall be tested in non-production environments (development, test/QA, staging) before production deployment.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A.8.32-15</t>
        </is>
      </c>
      <c r="B6" s="23" t="inlineStr">
        <is>
          <t>Non-Production Environments</t>
        </is>
      </c>
      <c r="C6" s="24" t="inlineStr">
        <is>
          <t>Non-production environments shall be logically or physically separated from production with separate credentials and access controls.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A.8.32-16</t>
        </is>
      </c>
      <c r="B7" s="23" t="inlineStr">
        <is>
          <t>Production Data</t>
        </is>
      </c>
      <c r="C7" s="24" t="inlineStr">
        <is>
          <t>Production data shall not be used in test environments without masking or anonymisation per the Information Classification and Handling Policy.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A.8.32-17</t>
        </is>
      </c>
      <c r="B8" s="23" t="inlineStr">
        <is>
          <t>Promotion From Test To Production</t>
        </is>
      </c>
      <c r="C8" s="24" t="inlineStr">
        <is>
          <t>Promotion from test to production shall require formal sign-off and verified test results.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A.8.32-18</t>
        </is>
      </c>
      <c r="B9" s="23" t="inlineStr">
        <is>
          <t>Production Changes</t>
        </is>
      </c>
      <c r="C9" s="24" t="inlineStr">
        <is>
          <t>Production changes shall be executed only by authorised personnel with the following controls:.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A.8.32-19</t>
        </is>
      </c>
      <c r="B10" s="23" t="inlineStr">
        <is>
          <t>Separation Of Duties: Developers</t>
        </is>
      </c>
      <c r="C10" s="24" t="inlineStr">
        <is>
          <t>Separation of duties: Developers shall not deploy their own changes to production without independent review and approval from a designated release manager, operations team member, or CAB.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A.8.32-20</t>
        </is>
      </c>
      <c r="B11" s="23" t="inlineStr">
        <is>
          <t>Multi-Factor Authentication</t>
        </is>
      </c>
      <c r="C11" s="24" t="inlineStr">
        <is>
          <t>Multi-factor authentication shall be required for production access.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A.8.32-21</t>
        </is>
      </c>
      <c r="B12" s="23" t="inlineStr">
        <is>
          <t>Privileged Access Management: Production</t>
        </is>
      </c>
      <c r="C12" s="24" t="inlineStr">
        <is>
          <t>Privileged access management: Production deployment accounts shall be separate from development accounts.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A.8.32-22</t>
        </is>
      </c>
      <c r="B13" s="23" t="inlineStr">
        <is>
          <t>Production Changes</t>
        </is>
      </c>
      <c r="C13" s="24" t="inlineStr">
        <is>
          <t>All production changes shall be audit-logged with user identity, timestamp, and change content.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A.8.32-23</t>
        </is>
      </c>
      <c r="B14" s="23" t="inlineStr">
        <is>
          <t>Exception*: In Organisations With Fewer</t>
        </is>
      </c>
      <c r="C14" s="24" t="inlineStr">
        <is>
          <t>Exception*: In organisations with fewer than 5 IT staff where full separation is not feasible, compensating controls shall include enhanced logging, CISO review of all production changes monthly, and peer review post-implementation.</t>
        </is>
      </c>
      <c r="D14" s="25" t="n"/>
      <c r="E14" s="5" t="n"/>
      <c r="F14" s="5" t="n"/>
      <c r="G14" s="26" t="n"/>
      <c r="H14" s="5" t="n"/>
    </row>
  </sheetData>
  <mergeCells count="2">
    <mergeCell ref="A2:H2"/>
    <mergeCell ref="A1:H1"/>
  </mergeCells>
  <conditionalFormatting sqref="D4:D1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Implementation and Rollback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A.8.32-24</t>
        </is>
      </c>
      <c r="B4" s="23" t="inlineStr">
        <is>
          <t>Be Implemented Following The Approved</t>
        </is>
      </c>
      <c r="C4" s="24" t="inlineStr">
        <is>
          <t>Changes shall be implemented following the approved implementation plan with:.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A.8.32-25</t>
        </is>
      </c>
      <c r="B5" s="23" t="inlineStr">
        <is>
          <t>Establish Preferred Change Windows To</t>
        </is>
      </c>
      <c r="C5" s="24" t="inlineStr">
        <is>
          <t>The organisation shall establish preferred change windows to minimise business disruption:.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A.8.32-26</t>
        </is>
      </c>
      <c r="B6" s="23" t="inlineStr">
        <is>
          <t>A Rollback Procedure</t>
        </is>
      </c>
      <c r="C6" s="24" t="inlineStr">
        <is>
          <t>A rollback procedure shall be agreed upon before implementing changes to production systems. Rollback shall be executed when:.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A.8.32-27</t>
        </is>
      </c>
      <c r="B7" s="23" t="inlineStr">
        <is>
          <t>For High And Critical Risk Changes</t>
        </is>
      </c>
      <c r="C7" s="24" t="inlineStr">
        <is>
          <t>For High and Critical risk changes, rollback procedures shall be:.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A.8.32-28</t>
        </is>
      </c>
      <c r="B8" s="23" t="inlineStr">
        <is>
          <t>Rollback Testing</t>
        </is>
      </c>
      <c r="C8" s="24" t="inlineStr">
        <is>
          <t>Rollback testing shall verify:.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A.8.32-29</t>
        </is>
      </c>
      <c r="B9" s="23" t="inlineStr">
        <is>
          <t>Destructive Changes), A Forward-Fix Plan</t>
        </is>
      </c>
      <c r="C9" s="24" t="inlineStr">
        <is>
          <t>Where rollback testing is not feasible (one-way migrations, destructive changes), a forward-fix plan shall be documented as an alternative to rollback.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Communication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A.8.32-30</t>
        </is>
      </c>
      <c r="B4" s="23" t="inlineStr">
        <is>
          <t>Affected Stakeholders</t>
        </is>
      </c>
      <c r="C4" s="24" t="inlineStr">
        <is>
          <t>Affected stakeholders shall be notified of changes, including:.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Emergency Changes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A.8.32-31</t>
        </is>
      </c>
      <c r="B4" s="23" t="inlineStr">
        <is>
          <t>Be Classified As Emergency Only When</t>
        </is>
      </c>
      <c r="C4" s="24" t="inlineStr">
        <is>
          <t>Changes shall be classified as emergency only when:.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A.8.32-32</t>
        </is>
      </c>
      <c r="B5" s="23" t="inlineStr">
        <is>
          <t>Emergency Classification</t>
        </is>
      </c>
      <c r="C5" s="24" t="inlineStr">
        <is>
          <t>Emergency classification shall not be used for convenience, poor planning, routine work, or desired features.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A.8.32-33</t>
        </is>
      </c>
      <c r="B6" s="23" t="inlineStr">
        <is>
          <t>Emergency Change Percentage</t>
        </is>
      </c>
      <c r="C6" s="24" t="inlineStr">
        <is>
          <t>Emergency change percentage shall be tracked monthly. Target: &lt;5% of all changes.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A.8.32-34</t>
        </is>
      </c>
      <c r="B7" s="23" t="inlineStr">
        <is>
          <t>Emergency Change Abuse*: Using Emergency</t>
        </is>
      </c>
      <c r="C7" s="24" t="inlineStr">
        <is>
          <t>Emergency change abuse*: Using emergency classification inappropriately (convenience, poor planning) constitutes policy non-compliance and shall be escalated to the CISO.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Post-Impl Review (PIR)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A.8.32-35</t>
        </is>
      </c>
      <c r="B4" s="23" t="inlineStr">
        <is>
          <t>Post-Implementation Reviews</t>
        </is>
      </c>
      <c r="C4" s="24" t="inlineStr">
        <is>
          <t>Post-implementation reviews shall be conducted for:.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Change Freeze Periods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A.8.32-36</t>
        </is>
      </c>
      <c r="B4" s="23" t="inlineStr">
        <is>
          <t>Change Freeze Periods</t>
        </is>
      </c>
      <c r="C4" s="24" t="inlineStr">
        <is>
          <t>Change freeze periods shall be:.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Record Keeping &amp; Documentation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A.8.32-37</t>
        </is>
      </c>
      <c r="B4" s="23" t="inlineStr">
        <is>
          <t>Complete Change Records</t>
        </is>
      </c>
      <c r="C4" s="24" t="inlineStr">
        <is>
          <t>Complete change records shall be maintained including:.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A.8.32-38</t>
        </is>
      </c>
      <c r="B5" s="23" t="inlineStr">
        <is>
          <t>Change Records</t>
        </is>
      </c>
      <c r="C5" s="24" t="inlineStr">
        <is>
          <t>Change records shall be retained for a minimum of 3 years for operational reference and 7 years for audit evidence.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A.8.32-39</t>
        </is>
      </c>
      <c r="B6" s="23" t="inlineStr">
        <is>
          <t>Following System Changes, The Following</t>
        </is>
      </c>
      <c r="C6" s="24" t="inlineStr">
        <is>
          <t>Following system changes, the following documentation shall be updated within 5 business days:.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Configuration Mgmt Integration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A.8.32-40</t>
        </is>
      </c>
      <c r="B4" s="23" t="inlineStr">
        <is>
          <t>Configuration Baselines</t>
        </is>
      </c>
      <c r="C4" s="24" t="inlineStr">
        <is>
          <t>Configuration baselines shall be updated following approved changes.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A.8.32-41</t>
        </is>
      </c>
      <c r="B5" s="23" t="inlineStr">
        <is>
          <t>Configuration Drift Detection (Actual</t>
        </is>
      </c>
      <c r="C5" s="24" t="inlineStr">
        <is>
          <t>Configuration drift detection (actual vs. baseline) shall trigger investigation and a corrective change request.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A.8.32-42</t>
        </is>
      </c>
      <c r="B6" s="23" t="inlineStr">
        <is>
          <t>The Configuration Management Database</t>
        </is>
      </c>
      <c r="C6" s="24" t="inlineStr">
        <is>
          <t>The configuration management database (CMDB) or equivalent inventory shall be the authoritative source for impact assessment (what systems are affected).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Unauthorised Changes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A.8.32-43</t>
        </is>
      </c>
      <c r="B4" s="23" t="inlineStr">
        <is>
          <t>Unauthorised Changes — Changes Made</t>
        </is>
      </c>
      <c r="C4" s="24" t="inlineStr">
        <is>
          <t>Unauthorised changes — changes made without following the change management process — shall be:.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Change-Incident Correlation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A.8.32-44</t>
        </is>
      </c>
      <c r="B4" s="23" t="inlineStr">
        <is>
          <t>The Change Manager</t>
        </is>
      </c>
      <c r="C4" s="24" t="inlineStr">
        <is>
          <t>When a security incident or service outage occurs, the Change Manager shall:.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A.8.32-45</t>
        </is>
      </c>
      <c r="B5" s="23" t="inlineStr">
        <is>
          <t>The Catalogue Entry</t>
        </is>
      </c>
      <c r="C5" s="24" t="inlineStr">
        <is>
          <t>If the change was in the Standard Change Catalogue, the catalogue entry shall be reviewed and potentially reclassified or removed.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Change Management Metrics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A.8.32-46</t>
        </is>
      </c>
      <c r="B4" s="23" t="inlineStr">
        <is>
          <t>The Information Security Management Team</t>
        </is>
      </c>
      <c r="C4" s="24" t="inlineStr">
        <is>
          <t>The information security management team shall report change management metrics to the CISO at least quarterly:.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A.8.32-47</t>
        </is>
      </c>
      <c r="B5" s="23" t="inlineStr">
        <is>
          <t>Metrics Breaching Red Thresholds</t>
        </is>
      </c>
      <c r="C5" s="24" t="inlineStr">
        <is>
          <t>Metrics breaching red thresholds shall be escalated to the CISO for immediate attention and reported at the next Management Review.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2026-02-08T11:26:21Z</dcterms:created>
  <dcterms:modified xmlns:dcterms="http://purl.org/dc/terms/" xmlns:xsi="http://www.w3.org/2001/XMLSchema-instance" xsi:type="dcterms:W3CDTF">2026-02-08T11:26:21Z</dcterms:modified>
</cp:coreProperties>
</file>