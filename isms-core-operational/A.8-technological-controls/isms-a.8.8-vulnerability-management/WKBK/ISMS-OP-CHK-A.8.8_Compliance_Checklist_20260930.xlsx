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Vulnerability Identification" sheetId="3" state="visible" r:id="rId3"/>
    <sheet xmlns:r="http://schemas.openxmlformats.org/officeDocument/2006/relationships" name="Vulnerability Assessment" sheetId="4" state="visible" r:id="rId4"/>
    <sheet xmlns:r="http://schemas.openxmlformats.org/officeDocument/2006/relationships" name="Remediation" sheetId="5" state="visible" r:id="rId5"/>
    <sheet xmlns:r="http://schemas.openxmlformats.org/officeDocument/2006/relationships" name="Exception Management" sheetId="6" state="visible" r:id="rId6"/>
    <sheet xmlns:r="http://schemas.openxmlformats.org/officeDocument/2006/relationships" name="Unsupported Software &amp; Firmware" sheetId="7" state="visible" r:id="rId7"/>
    <sheet xmlns:r="http://schemas.openxmlformats.org/officeDocument/2006/relationships" name="Reporting and Metrics" sheetId="8" state="visible" r:id="rId8"/>
    <sheet xmlns:r="http://schemas.openxmlformats.org/officeDocument/2006/relationships" name="Change Management Integration" sheetId="9" state="visible" r:id="rId9"/>
  </sheets>
  <definedNames>
    <definedName name="_xlnm.Print_Area" localSheetId="0">'Executive Summary'!$A$1:$H$67</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5"/>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ISMS-OP-CHK-A.8.8 — Management of Technical Vulnerabilities Compliance Checklist</t>
        </is>
      </c>
    </row>
    <row r="3">
      <c r="A3" s="2" t="inlineStr">
        <is>
          <t>DOCUMENT INFORMATION</t>
        </is>
      </c>
    </row>
    <row r="4">
      <c r="A4" s="3" t="inlineStr">
        <is>
          <t>Document ID</t>
        </is>
      </c>
      <c r="B4" s="4" t="inlineStr">
        <is>
          <t>ISMS-OP-CHK-A.8.8</t>
        </is>
      </c>
    </row>
    <row r="5">
      <c r="A5" s="3" t="inlineStr">
        <is>
          <t>Source Policy</t>
        </is>
      </c>
      <c r="B5" s="4" t="inlineStr">
        <is>
          <t>ISMS-OP-POL-A.8.8</t>
        </is>
      </c>
    </row>
    <row r="6">
      <c r="A6" s="3" t="inlineStr">
        <is>
          <t>ISO Controls</t>
        </is>
      </c>
      <c r="B6" s="4" t="inlineStr">
        <is>
          <t>Management of Technical Vulnerabilities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'Dashboard'!G11</f>
        <v/>
      </c>
    </row>
    <row r="14">
      <c r="A14" s="7" t="inlineStr">
        <is>
          <t>Status</t>
        </is>
      </c>
      <c r="B14" s="9">
        <f>IF(Dashboard!H11&gt;0,"INCOMPLETE",IF(Dashboard!G11="N/A","NOT ASSESSED",IF(ISNUMBER(VALUE(SUBSTITUTE(Dashboard!G11,"%",""))),IF(VALUE(SUBSTITUTE(Dashboard!G11,"%",""))&gt;=90,"GREEN",IF(VALUE(SUBSTITUTE(Dashboard!G11,"%",""))&gt;=70,"AMBER","RED")),"NOT ASSESSED")))</f>
        <v/>
      </c>
    </row>
    <row r="16">
      <c r="A16" s="6" t="inlineStr">
        <is>
          <t>KEY METRICS</t>
        </is>
      </c>
    </row>
    <row r="17">
      <c r="A17" s="3" t="inlineStr">
        <is>
          <t>Total Requirements</t>
        </is>
      </c>
      <c r="B17" s="10">
        <f>'Dashboard'!B11</f>
        <v/>
      </c>
    </row>
    <row r="18">
      <c r="A18" s="3" t="inlineStr">
        <is>
          <t>Compliant</t>
        </is>
      </c>
      <c r="B18" s="10">
        <f>'Dashboard'!C11</f>
        <v/>
      </c>
    </row>
    <row r="19">
      <c r="A19" s="3" t="inlineStr">
        <is>
          <t>Partial</t>
        </is>
      </c>
      <c r="B19" s="10">
        <f>'Dashboard'!D11</f>
        <v/>
      </c>
    </row>
    <row r="20">
      <c r="A20" s="3" t="inlineStr">
        <is>
          <t>Non-Compliant</t>
        </is>
      </c>
      <c r="B20" s="10">
        <f>'Dashboard'!E11</f>
        <v/>
      </c>
    </row>
    <row r="21">
      <c r="A21" s="3" t="inlineStr">
        <is>
          <t>Not Applicable</t>
        </is>
      </c>
      <c r="B21" s="10">
        <f>'Dashboard'!F11</f>
        <v/>
      </c>
    </row>
    <row r="22">
      <c r="A22" s="3" t="inlineStr">
        <is>
          <t>Unanswered</t>
        </is>
      </c>
      <c r="B22" s="10">
        <f>'Dashboard'!H11</f>
        <v/>
      </c>
    </row>
    <row r="23">
      <c r="A23" s="3" t="inlineStr">
        <is>
          <t>Owner Coverage</t>
        </is>
      </c>
      <c r="B23" s="10">
        <f>IF(Dashboard!B11=0,"N/A",ROUND((COUNTA('Vulnerability Identification'!F4:F11)+COUNTA('Vulnerability Assessment'!F4:F9)+COUNTA('Remediation'!F4:F19)+COUNTA('Exception Management'!F4:F11)+COUNTA('Unsupported Software &amp; Firmware'!F4:F9)+COUNTA('Reporting and Metrics'!F4:F5)+COUNTA('Change Management Integration'!F4:F5))/Dashboard!B11*100,0)&amp;"%")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Vulnerability Identification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Vulnerability Assessment</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Remediation</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Exception Management</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Unsupported Software &amp; Firmware</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Reporting and Metrics</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Change Management Integration</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5">
      <c r="A35" s="6" t="inlineStr">
        <is>
          <t>CRITICAL ISSUES</t>
        </is>
      </c>
    </row>
    <row r="36">
      <c r="A36" s="11" t="inlineStr">
        <is>
          <t>#</t>
        </is>
      </c>
      <c r="B36" s="11" t="inlineStr">
        <is>
          <t>Issue Description</t>
        </is>
      </c>
      <c r="C36" s="11" t="inlineStr">
        <is>
          <t>Domain</t>
        </is>
      </c>
      <c r="D36" s="11" t="inlineStr">
        <is>
          <t>Owner</t>
        </is>
      </c>
      <c r="E36" s="11" t="inlineStr">
        <is>
          <t>Due Date</t>
        </is>
      </c>
    </row>
    <row r="37">
      <c r="A37" s="4" t="n">
        <v>1</v>
      </c>
      <c r="B37" s="5" t="n"/>
      <c r="C37" s="5" t="n"/>
      <c r="D37" s="5" t="n"/>
      <c r="E37" s="5" t="n"/>
    </row>
    <row r="38">
      <c r="A38" s="4" t="n">
        <v>2</v>
      </c>
      <c r="B38" s="5" t="n"/>
      <c r="C38" s="5" t="n"/>
      <c r="D38" s="5" t="n"/>
      <c r="E38" s="5" t="n"/>
    </row>
    <row r="39">
      <c r="A39" s="4" t="n">
        <v>3</v>
      </c>
      <c r="B39" s="5" t="n"/>
      <c r="C39" s="5" t="n"/>
      <c r="D39" s="5" t="n"/>
      <c r="E39" s="5" t="n"/>
    </row>
    <row r="40">
      <c r="A40" s="4" t="n">
        <v>4</v>
      </c>
      <c r="B40" s="5" t="n"/>
      <c r="C40" s="5" t="n"/>
      <c r="D40" s="5" t="n"/>
      <c r="E40" s="5" t="n"/>
    </row>
    <row r="41">
      <c r="A41" s="4" t="n">
        <v>5</v>
      </c>
      <c r="B41" s="5" t="n"/>
      <c r="C41" s="5" t="n"/>
      <c r="D41" s="5" t="n"/>
      <c r="E41" s="5" t="n"/>
    </row>
    <row r="43">
      <c r="A43" s="6" t="inlineStr">
        <is>
          <t>MANAGEMENT COMMENTARY</t>
        </is>
      </c>
    </row>
    <row r="44" ht="60" customHeight="1">
      <c r="A44" s="12" t="inlineStr">
        <is>
          <t>[Enter management commentary on management of technical vulnerabilities posture]</t>
        </is>
      </c>
    </row>
    <row r="45"/>
    <row r="46"/>
    <row r="48">
      <c r="A48" s="6" t="inlineStr">
        <is>
          <t>APPROVAL</t>
        </is>
      </c>
    </row>
    <row r="49">
      <c r="A49" s="13" t="inlineStr">
        <is>
          <t>Assessed By</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Reviewed By (ISO Manager)</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Approved By (CISO)</t>
        </is>
      </c>
    </row>
    <row r="62">
      <c r="A62" s="14" t="inlineStr">
        <is>
          <t>Name:</t>
        </is>
      </c>
      <c r="B62" s="5" t="n"/>
    </row>
    <row r="63">
      <c r="A63" s="14" t="inlineStr">
        <is>
          <t>Date:</t>
        </is>
      </c>
      <c r="B63" s="5" t="n"/>
    </row>
    <row r="64">
      <c r="A64" s="14" t="inlineStr">
        <is>
          <t>Signature:</t>
        </is>
      </c>
      <c r="B64" s="5" t="n"/>
    </row>
    <row r="65">
      <c r="A65" s="14" t="inlineStr">
        <is>
          <t>Decision:</t>
        </is>
      </c>
      <c r="B65" s="5" t="n"/>
    </row>
  </sheetData>
  <mergeCells count="12">
    <mergeCell ref="A12:H12"/>
    <mergeCell ref="A48:H48"/>
    <mergeCell ref="A35:H35"/>
    <mergeCell ref="A25:H25"/>
    <mergeCell ref="A43:H43"/>
    <mergeCell ref="A16:H16"/>
    <mergeCell ref="A49:B49"/>
    <mergeCell ref="A61:B61"/>
    <mergeCell ref="A1:H1"/>
    <mergeCell ref="A3:B3"/>
    <mergeCell ref="A55:B55"/>
    <mergeCell ref="A44:H46"/>
  </mergeCells>
  <dataValidations count="1">
    <dataValidation sqref="B53 B59 B65"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Management of Technical Vulnerabilities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Vulnerability Identification</t>
        </is>
      </c>
      <c r="B4" s="15">
        <f>COUNTA('Vulnerability Identification'!A4:A11)</f>
        <v/>
      </c>
      <c r="C4" s="15">
        <f>COUNTIF('Vulnerability Identification'!D4:D11,"Compliant")</f>
        <v/>
      </c>
      <c r="D4" s="15">
        <f>COUNTIF('Vulnerability Identification'!D4:D11,"Partial")</f>
        <v/>
      </c>
      <c r="E4" s="15">
        <f>COUNTIF('Vulnerability Identification'!D4:D11,"Non-Compliant")</f>
        <v/>
      </c>
      <c r="F4" s="15">
        <f>COUNTIF('Vulnerability Identification'!D4:D11,"N/A")</f>
        <v/>
      </c>
      <c r="G4" s="15">
        <f>IF((B4-F4)=0,"N/A",ROUND(C4/(B4-F4)*100,1)&amp;"%")</f>
        <v/>
      </c>
      <c r="H4" s="15">
        <f>B4-(C4+D4+E4+F4)</f>
        <v/>
      </c>
    </row>
    <row r="5">
      <c r="A5" s="3" t="inlineStr">
        <is>
          <t>Vulnerability Assessment</t>
        </is>
      </c>
      <c r="B5" s="15">
        <f>COUNTA('Vulnerability Assessment'!A4:A9)</f>
        <v/>
      </c>
      <c r="C5" s="15">
        <f>COUNTIF('Vulnerability Assessment'!D4:D9,"Compliant")</f>
        <v/>
      </c>
      <c r="D5" s="15">
        <f>COUNTIF('Vulnerability Assessment'!D4:D9,"Partial")</f>
        <v/>
      </c>
      <c r="E5" s="15">
        <f>COUNTIF('Vulnerability Assessment'!D4:D9,"Non-Compliant")</f>
        <v/>
      </c>
      <c r="F5" s="15">
        <f>COUNTIF('Vulnerability Assessment'!D4:D9,"N/A")</f>
        <v/>
      </c>
      <c r="G5" s="15">
        <f>IF((B5-F5)=0,"N/A",ROUND(C5/(B5-F5)*100,1)&amp;"%")</f>
        <v/>
      </c>
      <c r="H5" s="15">
        <f>B5-(C5+D5+E5+F5)</f>
        <v/>
      </c>
    </row>
    <row r="6">
      <c r="A6" s="3" t="inlineStr">
        <is>
          <t>Remediation</t>
        </is>
      </c>
      <c r="B6" s="15">
        <f>COUNTA('Remediation'!A4:A19)</f>
        <v/>
      </c>
      <c r="C6" s="15">
        <f>COUNTIF('Remediation'!D4:D19,"Compliant")</f>
        <v/>
      </c>
      <c r="D6" s="15">
        <f>COUNTIF('Remediation'!D4:D19,"Partial")</f>
        <v/>
      </c>
      <c r="E6" s="15">
        <f>COUNTIF('Remediation'!D4:D19,"Non-Compliant")</f>
        <v/>
      </c>
      <c r="F6" s="15">
        <f>COUNTIF('Remediation'!D4:D19,"N/A")</f>
        <v/>
      </c>
      <c r="G6" s="15">
        <f>IF((B6-F6)=0,"N/A",ROUND(C6/(B6-F6)*100,1)&amp;"%")</f>
        <v/>
      </c>
      <c r="H6" s="15">
        <f>B6-(C6+D6+E6+F6)</f>
        <v/>
      </c>
    </row>
    <row r="7">
      <c r="A7" s="3" t="inlineStr">
        <is>
          <t>Exception Management</t>
        </is>
      </c>
      <c r="B7" s="15">
        <f>COUNTA('Exception Management'!A4:A11)</f>
        <v/>
      </c>
      <c r="C7" s="15">
        <f>COUNTIF('Exception Management'!D4:D11,"Compliant")</f>
        <v/>
      </c>
      <c r="D7" s="15">
        <f>COUNTIF('Exception Management'!D4:D11,"Partial")</f>
        <v/>
      </c>
      <c r="E7" s="15">
        <f>COUNTIF('Exception Management'!D4:D11,"Non-Compliant")</f>
        <v/>
      </c>
      <c r="F7" s="15">
        <f>COUNTIF('Exception Management'!D4:D11,"N/A")</f>
        <v/>
      </c>
      <c r="G7" s="15">
        <f>IF((B7-F7)=0,"N/A",ROUND(C7/(B7-F7)*100,1)&amp;"%")</f>
        <v/>
      </c>
      <c r="H7" s="15">
        <f>B7-(C7+D7+E7+F7)</f>
        <v/>
      </c>
    </row>
    <row r="8">
      <c r="A8" s="3" t="inlineStr">
        <is>
          <t>Unsupported Software &amp; Firmware</t>
        </is>
      </c>
      <c r="B8" s="15">
        <f>COUNTA('Unsupported Software &amp; Firmware'!A4:A9)</f>
        <v/>
      </c>
      <c r="C8" s="15">
        <f>COUNTIF('Unsupported Software &amp; Firmware'!D4:D9,"Compliant")</f>
        <v/>
      </c>
      <c r="D8" s="15">
        <f>COUNTIF('Unsupported Software &amp; Firmware'!D4:D9,"Partial")</f>
        <v/>
      </c>
      <c r="E8" s="15">
        <f>COUNTIF('Unsupported Software &amp; Firmware'!D4:D9,"Non-Compliant")</f>
        <v/>
      </c>
      <c r="F8" s="15">
        <f>COUNTIF('Unsupported Software &amp; Firmware'!D4:D9,"N/A")</f>
        <v/>
      </c>
      <c r="G8" s="15">
        <f>IF((B8-F8)=0,"N/A",ROUND(C8/(B8-F8)*100,1)&amp;"%")</f>
        <v/>
      </c>
      <c r="H8" s="15">
        <f>B8-(C8+D8+E8+F8)</f>
        <v/>
      </c>
    </row>
    <row r="9">
      <c r="A9" s="3" t="inlineStr">
        <is>
          <t>Reporting and Metrics</t>
        </is>
      </c>
      <c r="B9" s="15">
        <f>COUNTA('Reporting and Metrics'!A4:A5)</f>
        <v/>
      </c>
      <c r="C9" s="15">
        <f>COUNTIF('Reporting and Metrics'!D4:D5,"Compliant")</f>
        <v/>
      </c>
      <c r="D9" s="15">
        <f>COUNTIF('Reporting and Metrics'!D4:D5,"Partial")</f>
        <v/>
      </c>
      <c r="E9" s="15">
        <f>COUNTIF('Reporting and Metrics'!D4:D5,"Non-Compliant")</f>
        <v/>
      </c>
      <c r="F9" s="15">
        <f>COUNTIF('Reporting and Metrics'!D4:D5,"N/A")</f>
        <v/>
      </c>
      <c r="G9" s="15">
        <f>IF((B9-F9)=0,"N/A",ROUND(C9/(B9-F9)*100,1)&amp;"%")</f>
        <v/>
      </c>
      <c r="H9" s="15">
        <f>B9-(C9+D9+E9+F9)</f>
        <v/>
      </c>
    </row>
    <row r="10">
      <c r="A10" s="3" t="inlineStr">
        <is>
          <t>Change Management Integration</t>
        </is>
      </c>
      <c r="B10" s="15">
        <f>COUNTA('Change Management Integration'!A4:A5)</f>
        <v/>
      </c>
      <c r="C10" s="15">
        <f>COUNTIF('Change Management Integration'!D4:D5,"Compliant")</f>
        <v/>
      </c>
      <c r="D10" s="15">
        <f>COUNTIF('Change Management Integration'!D4:D5,"Partial")</f>
        <v/>
      </c>
      <c r="E10" s="15">
        <f>COUNTIF('Change Management Integration'!D4:D5,"Non-Compliant")</f>
        <v/>
      </c>
      <c r="F10" s="15">
        <f>COUNTIF('Change Management Integration'!D4:D5,"N/A")</f>
        <v/>
      </c>
      <c r="G10" s="15">
        <f>IF((B10-F10)=0,"N/A",ROUND(C10/(B10-F10)*100,1)&amp;"%")</f>
        <v/>
      </c>
      <c r="H10" s="15">
        <f>B10-(C10+D10+E10+F10)</f>
        <v/>
      </c>
    </row>
    <row r="11">
      <c r="A11" s="16" t="inlineStr">
        <is>
          <t>TOTAL</t>
        </is>
      </c>
      <c r="B11" s="16">
        <f>SUM(B4:B10)</f>
        <v/>
      </c>
      <c r="C11" s="16">
        <f>SUM(C4:C10)</f>
        <v/>
      </c>
      <c r="D11" s="16">
        <f>SUM(D4:D10)</f>
        <v/>
      </c>
      <c r="E11" s="16">
        <f>SUM(E4:E10)</f>
        <v/>
      </c>
      <c r="F11" s="16">
        <f>SUM(F4:F10)</f>
        <v/>
      </c>
      <c r="G11" s="16">
        <f>IF((B11-F11)=0,"N/A",ROUND(C11/(B11-F11)*100,1)&amp;"%")</f>
        <v/>
      </c>
      <c r="H11" s="16">
        <f>SUM(H4:H10)</f>
        <v/>
      </c>
    </row>
    <row r="13">
      <c r="A13" s="6" t="inlineStr">
        <is>
          <t>COMPLIANCE BY STATUS</t>
        </is>
      </c>
    </row>
    <row r="14">
      <c r="A14" s="3" t="inlineStr">
        <is>
          <t>Compliant</t>
        </is>
      </c>
      <c r="B14" s="17">
        <f>C11</f>
        <v/>
      </c>
      <c r="C14" s="4">
        <f>IF(B11=0,"",ROUND(B14/B11*100,1)&amp;"%")</f>
        <v/>
      </c>
    </row>
    <row r="15">
      <c r="A15" s="3" t="inlineStr">
        <is>
          <t>Partial</t>
        </is>
      </c>
      <c r="B15" s="18">
        <f>D11</f>
        <v/>
      </c>
      <c r="C15" s="4">
        <f>IF(B11=0,"",ROUND(B15/B11*100,1)&amp;"%")</f>
        <v/>
      </c>
    </row>
    <row r="16">
      <c r="A16" s="3" t="inlineStr">
        <is>
          <t>Non-Compliant</t>
        </is>
      </c>
      <c r="B16" s="19">
        <f>E11</f>
        <v/>
      </c>
      <c r="C16" s="4">
        <f>IF(B11=0,"",ROUND(B16/B11*100,1)&amp;"%")</f>
        <v/>
      </c>
    </row>
    <row r="17">
      <c r="A17" s="3" t="inlineStr">
        <is>
          <t>N/A</t>
        </is>
      </c>
      <c r="B17" s="20">
        <f>F11</f>
        <v/>
      </c>
      <c r="C17" s="4">
        <f>IF(B11=0,"",ROUND(B17/B11*100,1)&amp;"%")</f>
        <v/>
      </c>
    </row>
    <row r="19">
      <c r="A19" s="6" t="inlineStr">
        <is>
          <t>TOP GAPS (Manual Entry)</t>
        </is>
      </c>
    </row>
    <row r="20">
      <c r="A20" s="11" t="inlineStr">
        <is>
          <t>Priority</t>
        </is>
      </c>
      <c r="B20" s="11" t="inlineStr">
        <is>
          <t>Domain</t>
        </is>
      </c>
      <c r="C20" s="11" t="inlineStr">
        <is>
          <t>Requirement</t>
        </is>
      </c>
      <c r="D20" s="11" t="inlineStr">
        <is>
          <t>Owner</t>
        </is>
      </c>
      <c r="E20" s="11" t="inlineStr">
        <is>
          <t>Due Date</t>
        </is>
      </c>
      <c r="F20" s="11" t="inlineStr">
        <is>
          <t>Status</t>
        </is>
      </c>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2">
      <c r="A32" s="6" t="inlineStr">
        <is>
          <t>COMPLIANCE TREND (Manual Entry)</t>
        </is>
      </c>
    </row>
    <row r="33">
      <c r="A33" s="11" t="inlineStr">
        <is>
          <t>Assessment Date</t>
        </is>
      </c>
      <c r="B33" s="11" t="inlineStr">
        <is>
          <t>Overall %</t>
        </is>
      </c>
      <c r="C33" s="11" t="inlineStr">
        <is>
          <t>Compliant</t>
        </is>
      </c>
      <c r="D33" s="11" t="inlineStr">
        <is>
          <t>Gaps</t>
        </is>
      </c>
      <c r="E33" s="11" t="inlineStr">
        <is>
          <t>Assessor</t>
        </is>
      </c>
      <c r="F33" s="11" t="inlineStr">
        <is>
          <t>Notes</t>
        </is>
      </c>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sheetData>
  <mergeCells count="4">
    <mergeCell ref="A32:G32"/>
    <mergeCell ref="A13:G13"/>
    <mergeCell ref="A19:G19"/>
    <mergeCell ref="A1:G1"/>
  </mergeCells>
  <dataValidations count="1">
    <dataValidation sqref="F21 F22 F23 F24 F25 F26 F27 F28 F29 F30"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Vulnerability Identification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A.8.8-01</t>
        </is>
      </c>
      <c r="B4" s="23" t="inlineStr">
        <is>
          <t>Vulnerability Scanning</t>
        </is>
      </c>
      <c r="C4" s="24" t="inlineStr">
        <is>
          <t>Vulnerability scanning shall be performed on all in-scope assets to identify known security weaknesses.</t>
        </is>
      </c>
      <c r="D4" s="25" t="n"/>
      <c r="E4" s="5" t="n"/>
      <c r="F4" s="5" t="n"/>
      <c r="G4" s="26" t="n"/>
      <c r="H4" s="5" t="n"/>
    </row>
    <row r="5" ht="40" customHeight="1">
      <c r="A5" s="22" t="inlineStr">
        <is>
          <t>A.8.8-02</t>
        </is>
      </c>
      <c r="B5" s="23" t="inlineStr">
        <is>
          <t>Legacy Systems, Ot Devices), Manual</t>
        </is>
      </c>
      <c r="C5" s="24" t="inlineStr">
        <is>
          <t>Where automated scanning is not feasible (e.g., legacy systems, OT devices), manual assessment shall be conducted at least quarterly with documented justification for the alternative approach.</t>
        </is>
      </c>
      <c r="D5" s="25" t="n"/>
      <c r="E5" s="5" t="n"/>
      <c r="F5" s="5" t="n"/>
      <c r="G5" s="26" t="n"/>
      <c r="H5" s="5" t="n"/>
    </row>
    <row r="6" ht="40" customHeight="1">
      <c r="A6" s="22" t="inlineStr">
        <is>
          <t>A.8.8-03</t>
        </is>
      </c>
      <c r="B6" s="23" t="inlineStr">
        <is>
          <t>Scanning Tools</t>
        </is>
      </c>
      <c r="C6" s="24" t="inlineStr">
        <is>
          <t>Scanning tools shall be kept current with the latest vulnerability definitions. Scanning results shall be retained for a minimum of 12 months.</t>
        </is>
      </c>
      <c r="D6" s="25" t="n"/>
      <c r="E6" s="5" t="n"/>
      <c r="F6" s="5" t="n"/>
      <c r="G6" s="26" t="n"/>
      <c r="H6" s="5" t="n"/>
    </row>
    <row r="7" ht="40" customHeight="1">
      <c r="A7" s="22" t="inlineStr">
        <is>
          <t>A.8.8-04</t>
        </is>
      </c>
      <c r="B7" s="23" t="inlineStr">
        <is>
          <t>The Following Categories Of Tools</t>
        </is>
      </c>
      <c r="C7" s="24" t="inlineStr">
        <is>
          <t>The following categories of tools shall be deployed to support the vulnerability management programme:.</t>
        </is>
      </c>
      <c r="D7" s="25" t="n"/>
      <c r="E7" s="5" t="n"/>
      <c r="F7" s="5" t="n"/>
      <c r="G7" s="26" t="n"/>
      <c r="H7" s="5" t="n"/>
    </row>
    <row r="8" ht="40" customHeight="1">
      <c r="A8" s="22" t="inlineStr">
        <is>
          <t>A.8.8-05</t>
        </is>
      </c>
      <c r="B8" s="23" t="inlineStr">
        <is>
          <t>The Information Security Management Team</t>
        </is>
      </c>
      <c r="C8" s="24" t="inlineStr">
        <is>
          <t>The information security management team shall monitor vendor security advisories for all deployed products. This includes:.</t>
        </is>
      </c>
      <c r="D8" s="25" t="n"/>
      <c r="E8" s="5" t="n"/>
      <c r="F8" s="5" t="n"/>
      <c r="G8" s="26" t="n"/>
      <c r="H8" s="5" t="n"/>
    </row>
    <row r="9" ht="40" customHeight="1">
      <c r="A9" s="22" t="inlineStr">
        <is>
          <t>A.8.8-06</t>
        </is>
      </c>
      <c r="B9" s="23" t="inlineStr">
        <is>
          <t>Be Performed At Least Weekly Through</t>
        </is>
      </c>
      <c r="C9" s="24" t="inlineStr">
        <is>
          <t>Monitoring shall be performed at least weekly through vendor mailing lists, security bulletin pages, or automated advisory feeds. A designated member of the information security management team shall be assigned as the vendor advisory owner, responsible for triaging advisories, assessing applicability, and initiating remediation within 2 business days of advisory publication for critical/high severity.</t>
        </is>
      </c>
      <c r="D9" s="25" t="n"/>
      <c r="E9" s="5" t="n"/>
      <c r="F9" s="5" t="n"/>
      <c r="G9" s="26" t="n"/>
      <c r="H9" s="5" t="n"/>
    </row>
    <row r="10" ht="40" customHeight="1">
      <c r="A10" s="22" t="inlineStr">
        <is>
          <t>A.8.8-07</t>
        </is>
      </c>
      <c r="B10" s="23" t="inlineStr">
        <is>
          <t>The Following Public Threat Intelligence</t>
        </is>
      </c>
      <c r="C10" s="24" t="inlineStr">
        <is>
          <t>The following public threat intelligence sources shall be monitored for vulnerabilities under active exploitation:.</t>
        </is>
      </c>
      <c r="D10" s="25" t="n"/>
      <c r="E10" s="5" t="n"/>
      <c r="F10" s="5" t="n"/>
      <c r="G10" s="26" t="n"/>
      <c r="H10" s="5" t="n"/>
    </row>
    <row r="11" ht="40" customHeight="1">
      <c r="A11" s="22" t="inlineStr">
        <is>
          <t>A.8.8-08</t>
        </is>
      </c>
      <c r="B11" s="23" t="inlineStr">
        <is>
          <t>Vulnerabilities Confirmed As Actively</t>
        </is>
      </c>
      <c r="C11" s="24" t="inlineStr">
        <is>
          <t>Vulnerabilities confirmed as actively exploited shall receive emergency priority (see Prioritisation section below).</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Vulnerability Assessment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A.8.8-09</t>
        </is>
      </c>
      <c r="B4" s="23" t="inlineStr">
        <is>
          <t>Vulnerability Severity</t>
        </is>
      </c>
      <c r="C4" s="24" t="inlineStr">
        <is>
          <t>Vulnerability severity shall be assessed using the Common Vulnerability Scoring System (CVSS):.</t>
        </is>
      </c>
      <c r="D4" s="25" t="n"/>
      <c r="E4" s="5" t="n"/>
      <c r="F4" s="5" t="n"/>
      <c r="G4" s="26" t="n"/>
      <c r="H4" s="5" t="n"/>
    </row>
    <row r="5" ht="40" customHeight="1">
      <c r="A5" s="22" t="inlineStr">
        <is>
          <t>A.8.8-10</t>
        </is>
      </c>
      <c r="B5" s="23" t="inlineStr">
        <is>
          <t>Cvss V3.1</t>
        </is>
      </c>
      <c r="C5" s="24" t="inlineStr">
        <is>
          <t>CVSS v3.1 shall be used as the primary scoring standard.</t>
        </is>
      </c>
      <c r="D5" s="25" t="n"/>
      <c r="E5" s="5" t="n"/>
      <c r="F5" s="5" t="n"/>
      <c r="G5" s="26" t="n"/>
      <c r="H5" s="5" t="n"/>
    </row>
    <row r="6" ht="40" customHeight="1">
      <c r="A6" s="22" t="inlineStr">
        <is>
          <t>A.8.8-11</t>
        </is>
      </c>
      <c r="B6" s="23" t="inlineStr">
        <is>
          <t>Cvss V4.0</t>
        </is>
      </c>
      <c r="C6" s="24" t="inlineStr">
        <is>
          <t>CVSS v4.0 shall be used when vendor advisories provide v4.0 scores and the vulnerability management platform supports v4.0 scoring.</t>
        </is>
      </c>
      <c r="D6" s="25" t="n"/>
      <c r="E6" s="5" t="n"/>
      <c r="F6" s="5" t="n"/>
      <c r="G6" s="26" t="n"/>
      <c r="H6" s="5" t="n"/>
    </row>
    <row r="7" ht="40" customHeight="1">
      <c r="A7" s="22" t="inlineStr">
        <is>
          <t>A.8.8-12</t>
        </is>
      </c>
      <c r="B7" s="23" t="inlineStr">
        <is>
          <t>This Policy</t>
        </is>
      </c>
      <c r="C7" s="24" t="inlineStr">
        <is>
          <t>This policy shall be reviewed when CVSS v4.0 achieves majority adoption across major vendors and scanning platforms.</t>
        </is>
      </c>
      <c r="D7" s="25" t="n"/>
      <c r="E7" s="5" t="n"/>
      <c r="F7" s="5" t="n"/>
      <c r="G7" s="26" t="n"/>
      <c r="H7" s="5" t="n"/>
    </row>
    <row r="8" ht="40" customHeight="1">
      <c r="A8" s="22" t="inlineStr">
        <is>
          <t>A.8.8-13</t>
        </is>
      </c>
      <c r="B8" s="23" t="inlineStr">
        <is>
          <t>Remediation Priority</t>
        </is>
      </c>
      <c r="C8" s="24" t="inlineStr">
        <is>
          <t>Remediation priority shall be determined by combining CVSS severity with asset criticality (as documented in the asset inventory):.</t>
        </is>
      </c>
      <c r="D8" s="25" t="n"/>
      <c r="E8" s="5" t="n"/>
      <c r="F8" s="5" t="n"/>
      <c r="G8" s="26" t="n"/>
      <c r="H8" s="5" t="n"/>
    </row>
    <row r="9" ht="40" customHeight="1">
      <c r="A9" s="22" t="inlineStr">
        <is>
          <t>A.8.8-14</t>
        </is>
      </c>
      <c r="B9" s="23" t="inlineStr">
        <is>
          <t>Override: Vulnerabilities Listed In The</t>
        </is>
      </c>
      <c r="C9" s="24" t="inlineStr">
        <is>
          <t>Override: Vulnerabilities listed in the CISA KEV Catalog or confirmed as actively exploited shall receive P0 Emergency* priority regardless of CVSS score or asset criticality.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Remediation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A.8.8-15</t>
        </is>
      </c>
      <c r="B4" s="23" t="inlineStr">
        <is>
          <t>Security Patches And Vulnerability Fixes</t>
        </is>
      </c>
      <c r="C4" s="24" t="inlineStr">
        <is>
          <t>Security patches and vulnerability fixes shall be applied according to the following timeframes:.</t>
        </is>
      </c>
      <c r="D4" s="25" t="n"/>
      <c r="E4" s="5" t="n"/>
      <c r="F4" s="5" t="n"/>
      <c r="G4" s="26" t="n"/>
      <c r="H4" s="5" t="n"/>
    </row>
    <row r="5" ht="40" customHeight="1">
      <c r="A5" s="22" t="inlineStr">
        <is>
          <t>A.8.8-16</t>
        </is>
      </c>
      <c r="B5" s="23" t="inlineStr">
        <is>
          <t>Be Remediated Using The Following</t>
        </is>
      </c>
      <c r="C5" s="24" t="inlineStr">
        <is>
          <t>Vulnerabilities shall be remediated using the following methods, in order of preference:.</t>
        </is>
      </c>
      <c r="D5" s="25" t="n"/>
      <c r="E5" s="5" t="n"/>
      <c r="F5" s="5" t="n"/>
      <c r="G5" s="26" t="n"/>
      <c r="H5" s="5" t="n"/>
    </row>
    <row r="6" ht="40" customHeight="1">
      <c r="A6" s="22" t="inlineStr">
        <is>
          <t>A.8.8-17</t>
        </is>
      </c>
      <c r="B6" s="23" t="inlineStr">
        <is>
          <t>Workarounds And Compensating Controls</t>
        </is>
      </c>
      <c r="C6" s="24" t="inlineStr">
        <is>
          <t>Workarounds and compensating controls are temporary measures. They shall be reviewed monthly and replaced with permanent remediation as soon as available.</t>
        </is>
      </c>
      <c r="D6" s="25" t="n"/>
      <c r="E6" s="5" t="n"/>
      <c r="F6" s="5" t="n"/>
      <c r="G6" s="26" t="n"/>
      <c r="H6" s="5" t="n"/>
    </row>
    <row r="7" ht="40" customHeight="1">
      <c r="A7" s="22" t="inlineStr">
        <is>
          <t>A.8.8-18</t>
        </is>
      </c>
      <c r="B7" s="23" t="inlineStr">
        <is>
          <t>Be Tested Before Deployment To</t>
        </is>
      </c>
      <c r="C7" s="24" t="inlineStr">
        <is>
          <t>Patches shall be tested before deployment to production systems according to the following requirements:.</t>
        </is>
      </c>
      <c r="D7" s="25" t="n"/>
      <c r="E7" s="5" t="n"/>
      <c r="F7" s="5" t="n"/>
      <c r="G7" s="26" t="n"/>
      <c r="H7" s="5" t="n"/>
    </row>
    <row r="8" ht="40" customHeight="1">
      <c r="A8" s="22" t="inlineStr">
        <is>
          <t>A.8.8-19</t>
        </is>
      </c>
      <c r="B8" s="23" t="inlineStr">
        <is>
          <t>P0 Emergency Patches May Be Deployed</t>
        </is>
      </c>
      <c r="C8" s="24" t="inlineStr">
        <is>
          <t>P0 emergency patches may be deployed without non-production testing when active exploitation is confirmed and delayed patching poses greater risk than potential operational impact. Testing bypass shall require CISO approval and include enhanced monitoring for 48 hours post-deployment and a documented rollback plan.</t>
        </is>
      </c>
      <c r="D8" s="25" t="n"/>
      <c r="E8" s="5" t="n"/>
      <c r="F8" s="5" t="n"/>
      <c r="G8" s="26" t="n"/>
      <c r="H8" s="5" t="n"/>
    </row>
    <row r="9" ht="40" customHeight="1">
      <c r="A9" s="22" t="inlineStr">
        <is>
          <t>A.8.8-20</t>
        </is>
      </c>
      <c r="B9" s="23" t="inlineStr">
        <is>
          <t>Patch Deployment</t>
        </is>
      </c>
      <c r="C9" s="24" t="inlineStr">
        <is>
          <t>Patch deployment shall follow the organisation's change management process. Emergency patches may follow an expedited change process with retrospective documentation within 2 business days.</t>
        </is>
      </c>
      <c r="D9" s="25" t="n"/>
      <c r="E9" s="5" t="n"/>
      <c r="F9" s="5" t="n"/>
      <c r="G9" s="26" t="n"/>
      <c r="H9" s="5" t="n"/>
    </row>
    <row r="10" ht="40" customHeight="1">
      <c r="A10" s="22" t="inlineStr">
        <is>
          <t>A.8.8-21</t>
        </is>
      </c>
      <c r="B10" s="23" t="inlineStr">
        <is>
          <t>A Rollback Plan</t>
        </is>
      </c>
      <c r="C10" s="24" t="inlineStr">
        <is>
          <t>A rollback plan shall be agreed upon before applying patches to production systems.</t>
        </is>
      </c>
      <c r="D10" s="25" t="n"/>
      <c r="E10" s="5" t="n"/>
      <c r="F10" s="5" t="n"/>
      <c r="G10" s="26" t="n"/>
      <c r="H10" s="5" t="n"/>
    </row>
    <row r="11" ht="40" customHeight="1">
      <c r="A11" s="22" t="inlineStr">
        <is>
          <t>A.8.8-22</t>
        </is>
      </c>
      <c r="B11" s="23" t="inlineStr">
        <is>
          <t>Automatic Patching</t>
        </is>
      </c>
      <c r="C11" s="24" t="inlineStr">
        <is>
          <t>Automatic patching shall be enabled for endpoint devices where available and appropriate. The patching status of endpoint devices shall be checked at least monthly.</t>
        </is>
      </c>
      <c r="D11" s="25" t="n"/>
      <c r="E11" s="5" t="n"/>
      <c r="F11" s="5" t="n"/>
      <c r="G11" s="26" t="n"/>
      <c r="H11" s="5" t="n"/>
    </row>
    <row r="12" ht="40" customHeight="1">
      <c r="A12" s="22" t="inlineStr">
        <is>
          <t>A.8.8-23</t>
        </is>
      </c>
      <c r="B12" s="23" t="inlineStr">
        <is>
          <t>Remedial Action</t>
        </is>
      </c>
      <c r="C12" s="24" t="inlineStr">
        <is>
          <t>Where a device is found to be non-compliant with patching requirements, remedial action shall be taken. Devices with critical unpatched vulnerabilities beyond the defined timeframe may be restricted from network access until remediated.</t>
        </is>
      </c>
      <c r="D12" s="25" t="n"/>
      <c r="E12" s="5" t="n"/>
      <c r="F12" s="5" t="n"/>
      <c r="G12" s="26" t="n"/>
      <c r="H12" s="5" t="n"/>
    </row>
    <row r="13" ht="40" customHeight="1">
      <c r="A13" s="22" t="inlineStr">
        <is>
          <t>A.8.8-24</t>
        </is>
      </c>
      <c r="B13" s="23" t="inlineStr">
        <is>
          <t>Patching Of Production Servers,</t>
        </is>
      </c>
      <c r="C13" s="24" t="inlineStr">
        <is>
          <t>Patching of production servers, databases, and infrastructure systems shall follow the standard change management process.</t>
        </is>
      </c>
      <c r="D13" s="25" t="n"/>
      <c r="E13" s="5" t="n"/>
      <c r="F13" s="5" t="n"/>
      <c r="G13" s="26" t="n"/>
      <c r="H13" s="5" t="n"/>
    </row>
    <row r="14" ht="40" customHeight="1">
      <c r="A14" s="22" t="inlineStr">
        <is>
          <t>A.8.8-25</t>
        </is>
      </c>
      <c r="B14" s="23" t="inlineStr">
        <is>
          <t>The Patching Status Of Production</t>
        </is>
      </c>
      <c r="C14" s="24" t="inlineStr">
        <is>
          <t>The patching status of production systems shall be checked at least monthly. Where a system is found to be non-compliant, remedial action shall be taken and the risk documented.</t>
        </is>
      </c>
      <c r="D14" s="25" t="n"/>
      <c r="E14" s="5" t="n"/>
      <c r="F14" s="5" t="n"/>
      <c r="G14" s="26" t="n"/>
      <c r="H14" s="5" t="n"/>
    </row>
    <row r="15" ht="40" customHeight="1">
      <c r="A15" s="22" t="inlineStr">
        <is>
          <t>A.8.8-26</t>
        </is>
      </c>
      <c r="B15" s="23" t="inlineStr">
        <is>
          <t>Be Verified Through Re-Scanning Or</t>
        </is>
      </c>
      <c r="C15" s="24" t="inlineStr">
        <is>
          <t>All remediation shall be verified through re-scanning or manual confirmation within 5 business days of patch application to confirm the vulnerability has been resolved and that the patch has not introduced new issues.</t>
        </is>
      </c>
      <c r="D15" s="25" t="n"/>
      <c r="E15" s="5" t="n"/>
      <c r="F15" s="5" t="n"/>
      <c r="G15" s="26" t="n"/>
      <c r="H15" s="5" t="n"/>
    </row>
    <row r="16" ht="40" customHeight="1">
      <c r="A16" s="22" t="inlineStr">
        <is>
          <t>A.8.8-27</t>
        </is>
      </c>
      <c r="B16" s="23" t="inlineStr">
        <is>
          <t>The System Owner</t>
        </is>
      </c>
      <c r="C16" s="24" t="inlineStr">
        <is>
          <t>The system owner shall be notified within 1 business day.</t>
        </is>
      </c>
      <c r="D16" s="25" t="n"/>
      <c r="E16" s="5" t="n"/>
      <c r="F16" s="5" t="n"/>
      <c r="G16" s="26" t="n"/>
      <c r="H16" s="5" t="n"/>
    </row>
    <row r="17" ht="40" customHeight="1">
      <c r="A17" s="22" t="inlineStr">
        <is>
          <t>A.8.8-28</t>
        </is>
      </c>
      <c r="B17" s="23" t="inlineStr">
        <is>
          <t>Root Cause Analysis</t>
        </is>
      </c>
      <c r="C17" s="24" t="inlineStr">
        <is>
          <t>Root cause analysis shall be performed (patch not applied, incorrect version, configuration conflict).</t>
        </is>
      </c>
      <c r="D17" s="25" t="n"/>
      <c r="E17" s="5" t="n"/>
      <c r="F17" s="5" t="n"/>
      <c r="G17" s="26" t="n"/>
      <c r="H17" s="5" t="n"/>
    </row>
    <row r="18" ht="40" customHeight="1">
      <c r="A18" s="22" t="inlineStr">
        <is>
          <t>A.8.8-29</t>
        </is>
      </c>
      <c r="B18" s="23" t="inlineStr">
        <is>
          <t>Re-Remediation</t>
        </is>
      </c>
      <c r="C18" s="24" t="inlineStr">
        <is>
          <t>Re-remediation shall be attempted within the original SLA timeframe (clock does not restart).</t>
        </is>
      </c>
      <c r="D18" s="25" t="n"/>
      <c r="E18" s="5" t="n"/>
      <c r="F18" s="5" t="n"/>
      <c r="G18" s="26" t="n"/>
      <c r="H18" s="5" t="n"/>
    </row>
    <row r="19" ht="40" customHeight="1">
      <c r="A19" s="22" t="inlineStr">
        <is>
          <t>A.8.8-30</t>
        </is>
      </c>
      <c r="B19" s="23" t="inlineStr">
        <is>
          <t>An Exception</t>
        </is>
      </c>
      <c r="C19" s="24" t="inlineStr">
        <is>
          <t>If re-remediation fails, an exception shall be raised with compensating controls, and the vulnerability shall be escalated to the CISO.</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A.8.8-31</t>
        </is>
      </c>
      <c r="B4" s="23" t="inlineStr">
        <is>
          <t>An Exception</t>
        </is>
      </c>
      <c r="C4" s="24" t="inlineStr">
        <is>
          <t>Where a patch or fix cannot be applied within the defined timeframe, an exception shall be raised.</t>
        </is>
      </c>
      <c r="D4" s="25" t="n"/>
      <c r="E4" s="5" t="n"/>
      <c r="F4" s="5" t="n"/>
      <c r="G4" s="26" t="n"/>
      <c r="H4" s="5" t="n"/>
    </row>
    <row r="5" ht="40" customHeight="1">
      <c r="A5" s="22" t="inlineStr">
        <is>
          <t>A.8.8-32</t>
        </is>
      </c>
      <c r="B5" s="23" t="inlineStr">
        <is>
          <t>The System Owner</t>
        </is>
      </c>
      <c r="C5" s="24" t="inlineStr">
        <is>
          <t>The system owner shall submit an exception request documenting the business justification, the affected systems, and the proposed compensating controls.</t>
        </is>
      </c>
      <c r="D5" s="25" t="n"/>
      <c r="E5" s="5" t="n"/>
      <c r="F5" s="5" t="n"/>
      <c r="G5" s="26" t="n"/>
      <c r="H5" s="5" t="n"/>
    </row>
    <row r="6" ht="40" customHeight="1">
      <c r="A6" s="22" t="inlineStr">
        <is>
          <t>A.8.8-33</t>
        </is>
      </c>
      <c r="B6" s="23" t="inlineStr">
        <is>
          <t>The Information Security Management Team</t>
        </is>
      </c>
      <c r="C6" s="24" t="inlineStr">
        <is>
          <t>The information security management team shall assess the risk.</t>
        </is>
      </c>
      <c r="D6" s="25" t="n"/>
      <c r="E6" s="5" t="n"/>
      <c r="F6" s="5" t="n"/>
      <c r="G6" s="26" t="n"/>
      <c r="H6" s="5" t="n"/>
    </row>
    <row r="7" ht="40" customHeight="1">
      <c r="A7" s="22" t="inlineStr">
        <is>
          <t>A.8.8-34</t>
        </is>
      </c>
      <c r="B7" s="23" t="inlineStr">
        <is>
          <t>The Ciso</t>
        </is>
      </c>
      <c r="C7" s="24" t="inlineStr">
        <is>
          <t>The CISO shall approve or deny the exception.</t>
        </is>
      </c>
      <c r="D7" s="25" t="n"/>
      <c r="E7" s="5" t="n"/>
      <c r="F7" s="5" t="n"/>
      <c r="G7" s="26" t="n"/>
      <c r="H7" s="5" t="n"/>
    </row>
    <row r="8" ht="40" customHeight="1">
      <c r="A8" s="22" t="inlineStr">
        <is>
          <t>A.8.8-35</t>
        </is>
      </c>
      <c r="B8" s="23" t="inlineStr">
        <is>
          <t>Approved Exceptions</t>
        </is>
      </c>
      <c r="C8" s="24" t="inlineStr">
        <is>
          <t>Approved exceptions shall be documented with:.</t>
        </is>
      </c>
      <c r="D8" s="25" t="n"/>
      <c r="E8" s="5" t="n"/>
      <c r="F8" s="5" t="n"/>
      <c r="G8" s="26" t="n"/>
      <c r="H8" s="5" t="n"/>
    </row>
    <row r="9" ht="40" customHeight="1">
      <c r="A9" s="22" t="inlineStr">
        <is>
          <t>A.8.8-36</t>
        </is>
      </c>
      <c r="B9" s="23" t="inlineStr">
        <is>
          <t>Be Reviewed Monthly And Tracked In</t>
        </is>
      </c>
      <c r="C9" s="24" t="inlineStr">
        <is>
          <t>Exceptions shall be reviewed monthly and tracked in the risk register.</t>
        </is>
      </c>
      <c r="D9" s="25" t="n"/>
      <c r="E9" s="5" t="n"/>
      <c r="F9" s="5" t="n"/>
      <c r="G9" s="26" t="n"/>
      <c r="H9" s="5" t="n"/>
    </row>
    <row r="10" ht="40" customHeight="1">
      <c r="A10" s="22" t="inlineStr">
        <is>
          <t>A.8.8-37</t>
        </is>
      </c>
      <c r="B10" s="23" t="inlineStr">
        <is>
          <t>P0 Emergency Vulnerabilities</t>
        </is>
      </c>
      <c r="C10" s="24" t="inlineStr">
        <is>
          <t>P0 emergency vulnerabilities shall not receive exceptions.* If a P0 patch cannot be applied, the affected system shall be isolated from the network until remediation is completed.</t>
        </is>
      </c>
      <c r="D10" s="25" t="n"/>
      <c r="E10" s="5" t="n"/>
      <c r="F10" s="5" t="n"/>
      <c r="G10" s="26" t="n"/>
      <c r="H10" s="5" t="n"/>
    </row>
    <row r="11" ht="40" customHeight="1">
      <c r="A11" s="22" t="inlineStr">
        <is>
          <t>A.8.8-38</t>
        </is>
      </c>
      <c r="B11" s="23" t="inlineStr">
        <is>
          <t>An Exception Register</t>
        </is>
      </c>
      <c r="C11" s="24" t="inlineStr">
        <is>
          <t>An exception register shall be maintained, managed, and reported via the Management Review Team. The register shall record, at minimum:.</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Unsupported Software &amp; Firmware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A.8.8-39</t>
        </is>
      </c>
      <c r="B4" s="23" t="inlineStr">
        <is>
          <t>Software Or Firmware That Has Reached</t>
        </is>
      </c>
      <c r="C4" s="24" t="inlineStr">
        <is>
          <t>Software or firmware that has reached end of life (EOL) or end of support (EOS) shall be identified and flagged in the asset inventory.</t>
        </is>
      </c>
      <c r="D4" s="25" t="n"/>
      <c r="E4" s="5" t="n"/>
      <c r="F4" s="5" t="n"/>
      <c r="G4" s="26" t="n"/>
      <c r="H4" s="5" t="n"/>
    </row>
    <row r="5" ht="40" customHeight="1">
      <c r="A5" s="22" t="inlineStr">
        <is>
          <t>A.8.8-40</t>
        </is>
      </c>
      <c r="B5" s="23" t="inlineStr">
        <is>
          <t>Unsupported Software Or Firmware</t>
        </is>
      </c>
      <c r="C5" s="24" t="inlineStr">
        <is>
          <t>Unsupported software or firmware shall be prioritised for upgrade or replacement. Where immediate replacement is not feasible:.</t>
        </is>
      </c>
      <c r="D5" s="25" t="n"/>
      <c r="E5" s="5" t="n"/>
      <c r="F5" s="5" t="n"/>
      <c r="G5" s="26" t="n"/>
      <c r="H5" s="5" t="n"/>
    </row>
    <row r="6" ht="40" customHeight="1">
      <c r="A6" s="22" t="inlineStr">
        <is>
          <t>A.8.8-41</t>
        </is>
      </c>
      <c r="B6" s="23" t="inlineStr">
        <is>
          <t>The Risk</t>
        </is>
      </c>
      <c r="C6" s="24" t="inlineStr">
        <is>
          <t>The risk shall be documented in the risk register.</t>
        </is>
      </c>
      <c r="D6" s="25" t="n"/>
      <c r="E6" s="5" t="n"/>
      <c r="F6" s="5" t="n"/>
      <c r="G6" s="26" t="n"/>
      <c r="H6" s="5" t="n"/>
    </row>
    <row r="7" ht="40" customHeight="1">
      <c r="A7" s="22" t="inlineStr">
        <is>
          <t>A.8.8-42</t>
        </is>
      </c>
      <c r="B7" s="23" t="inlineStr">
        <is>
          <t>Compensating Controls</t>
        </is>
      </c>
      <c r="C7" s="24" t="inlineStr">
        <is>
          <t>Compensating controls shall be implemented (e.g., network isolation, enhanced monitoring, restricted access).</t>
        </is>
      </c>
      <c r="D7" s="25" t="n"/>
      <c r="E7" s="5" t="n"/>
      <c r="F7" s="5" t="n"/>
      <c r="G7" s="26" t="n"/>
      <c r="H7" s="5" t="n"/>
    </row>
    <row r="8" ht="40" customHeight="1">
      <c r="A8" s="22" t="inlineStr">
        <is>
          <t>A.8.8-43</t>
        </is>
      </c>
      <c r="B8" s="23" t="inlineStr">
        <is>
          <t>A Remediation Plan With A Target</t>
        </is>
      </c>
      <c r="C8" s="24" t="inlineStr">
        <is>
          <t>A remediation plan with a target date shall be documented and approved by the CISO. Target dates for EOL/EOS remediation shall not exceed:.</t>
        </is>
      </c>
      <c r="D8" s="25" t="n"/>
      <c r="E8" s="5" t="n"/>
      <c r="F8" s="5" t="n"/>
      <c r="G8" s="26" t="n"/>
      <c r="H8" s="5" t="n"/>
    </row>
    <row r="9" ht="40" customHeight="1">
      <c r="A9" s="22" t="inlineStr">
        <is>
          <t>A.8.8-44</t>
        </is>
      </c>
      <c r="B9" s="23" t="inlineStr">
        <is>
          <t>The Exception</t>
        </is>
      </c>
      <c r="C9" s="24" t="inlineStr">
        <is>
          <t>The exception shall be reviewed quarterly.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and Metrics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A.8.8-45</t>
        </is>
      </c>
      <c r="B4" s="23" t="inlineStr">
        <is>
          <t>The Information Security Management Team</t>
        </is>
      </c>
      <c r="C4" s="24" t="inlineStr">
        <is>
          <t>The information security management team shall report vulnerability management metrics to the CISO at least quarterly:.</t>
        </is>
      </c>
      <c r="D4" s="25" t="n"/>
      <c r="E4" s="5" t="n"/>
      <c r="F4" s="5" t="n"/>
      <c r="G4" s="26" t="n"/>
      <c r="H4" s="5" t="n"/>
    </row>
    <row r="5" ht="40" customHeight="1">
      <c r="A5" s="22" t="inlineStr">
        <is>
          <t>A.8.8-46</t>
        </is>
      </c>
      <c r="B5" s="23" t="inlineStr">
        <is>
          <t>Metrics Breaching Red Thresholds</t>
        </is>
      </c>
      <c r="C5" s="24" t="inlineStr">
        <is>
          <t>Metrics breaching red thresholds shall be escalated to the CISO for immediate attention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Change Management Integration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A.8.8-47</t>
        </is>
      </c>
      <c r="B4" s="23" t="inlineStr">
        <is>
          <t>Patch Deployment</t>
        </is>
      </c>
      <c r="C4" s="24" t="inlineStr">
        <is>
          <t>Patch deployment shall follow the organisation's change management process:.</t>
        </is>
      </c>
      <c r="D4" s="25" t="n"/>
      <c r="E4" s="5" t="n"/>
      <c r="F4" s="5" t="n"/>
      <c r="G4" s="26" t="n"/>
      <c r="H4" s="5" t="n"/>
    </row>
    <row r="5" ht="40" customHeight="1">
      <c r="A5" s="22" t="inlineStr">
        <is>
          <t>A.8.8-48</t>
        </is>
      </c>
      <c r="B5" s="23" t="inlineStr">
        <is>
          <t>Patch Deployments</t>
        </is>
      </c>
      <c r="C5" s="24" t="inlineStr">
        <is>
          <t>All patch deployments shall be recorded as change records, linking the vulnerability ID (CVE), affected assets, deployment date, and verification result.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2026-09-30T11:46:15Z</dcterms:created>
  <dcterms:modified xmlns:dcterms="http://purl.org/dc/terms/" xmlns:xsi="http://www.w3.org/2001/XMLSchema-instance" xsi:type="dcterms:W3CDTF">2026-09-30T11:46:15Z</dcterms:modified>
</cp:coreProperties>
</file>