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 Architecture Documentation" sheetId="3" state="visible" r:id="rId3"/>
    <sheet xmlns:r="http://schemas.openxmlformats.org/officeDocument/2006/relationships" name="Architecture Review Process" sheetId="4" state="visible" r:id="rId4"/>
    <sheet xmlns:r="http://schemas.openxmlformats.org/officeDocument/2006/relationships" name="Technology Select Sec Criteria" sheetId="5" state="visible" r:id="rId5"/>
    <sheet xmlns:r="http://schemas.openxmlformats.org/officeDocument/2006/relationships" name="Security Baselines" sheetId="6" state="visible" r:id="rId6"/>
    <sheet xmlns:r="http://schemas.openxmlformats.org/officeDocument/2006/relationships" name="Secure Architecture Patterns" sheetId="7" state="visible" r:id="rId7"/>
    <sheet xmlns:r="http://schemas.openxmlformats.org/officeDocument/2006/relationships" name="Third-Party &amp; Acquired Systems" sheetId="8" state="visible" r:id="rId8"/>
    <sheet xmlns:r="http://schemas.openxmlformats.org/officeDocument/2006/relationships" name="Compliance Measurement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ISMS-OP-CHK-A.8.27 — Secure System Architecture and Engineering Principles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ISMS-OP-CHK-A.8.27</t>
        </is>
      </c>
    </row>
    <row r="5">
      <c r="A5" s="3" t="inlineStr">
        <is>
          <t>Source Policy</t>
        </is>
      </c>
      <c r="B5" s="4" t="inlineStr">
        <is>
          <t>ISMS-OP-POL-A.8.27</t>
        </is>
      </c>
    </row>
    <row r="6">
      <c r="A6" s="3" t="inlineStr">
        <is>
          <t>ISO Controls</t>
        </is>
      </c>
      <c r="B6" s="4" t="inlineStr">
        <is>
          <t>Secure System Architecture and Engineering Principles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IF(Dashboard!B11=0,"N/A",ROUND((COUNTA('Sec Architecture Documentation'!F4:F6)+COUNTA('Architecture Review Process'!F4:F12)+COUNTA('Technology Select Sec Criteria'!F4:F5)+COUNTA('Security Baselines'!F4:F7)+COUNTA('Secure Architecture Patterns'!F4:F7)+COUNTA('Third-Party &amp; Acquired Systems'!F4:F12)+COUNTA('Compliance Measurement'!F4:F5))/Dashboard!B11*100,0)&amp;"%")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Sec Architecture Documentation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Architecture Review Process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Technology Select Sec Criteria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Security Baselines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Secure Architecture Patterns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Third-Party &amp; Acquired Systems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Compliance Measurement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secure system architecture and engineering principles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Secure System Architecture and Engineering Principles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Sec Architecture Documentation</t>
        </is>
      </c>
      <c r="B4" s="15">
        <f>COUNTA('Sec Architecture Documentation'!D4:D6)</f>
        <v/>
      </c>
      <c r="C4" s="15">
        <f>COUNTIF('Sec Architecture Documentation'!D4:D6,"Compliant")</f>
        <v/>
      </c>
      <c r="D4" s="15">
        <f>COUNTIF('Sec Architecture Documentation'!D4:D6,"Partial")</f>
        <v/>
      </c>
      <c r="E4" s="15">
        <f>COUNTIF('Sec Architecture Documentation'!D4:D6,"Non-Compliant")</f>
        <v/>
      </c>
      <c r="F4" s="15">
        <f>COUNTIF('Sec Architecture Documentation'!D4:D6,"N/A")</f>
        <v/>
      </c>
      <c r="G4" s="15">
        <f>IF((B4-F4)=0,"N/A",ROUND(C4/(B4-F4)*100,1)&amp;"%")</f>
        <v/>
      </c>
    </row>
    <row r="5">
      <c r="A5" s="3" t="inlineStr">
        <is>
          <t>Architecture Review Process</t>
        </is>
      </c>
      <c r="B5" s="15">
        <f>COUNTA('Architecture Review Process'!D4:D12)</f>
        <v/>
      </c>
      <c r="C5" s="15">
        <f>COUNTIF('Architecture Review Process'!D4:D12,"Compliant")</f>
        <v/>
      </c>
      <c r="D5" s="15">
        <f>COUNTIF('Architecture Review Process'!D4:D12,"Partial")</f>
        <v/>
      </c>
      <c r="E5" s="15">
        <f>COUNTIF('Architecture Review Process'!D4:D12,"Non-Compliant")</f>
        <v/>
      </c>
      <c r="F5" s="15">
        <f>COUNTIF('Architecture Review Process'!D4:D12,"N/A")</f>
        <v/>
      </c>
      <c r="G5" s="15">
        <f>IF((B5-F5)=0,"N/A",ROUND(C5/(B5-F5)*100,1)&amp;"%")</f>
        <v/>
      </c>
    </row>
    <row r="6">
      <c r="A6" s="3" t="inlineStr">
        <is>
          <t>Technology Select Sec Criteria</t>
        </is>
      </c>
      <c r="B6" s="15">
        <f>COUNTA('Technology Select Sec Criteria'!D4:D5)</f>
        <v/>
      </c>
      <c r="C6" s="15">
        <f>COUNTIF('Technology Select Sec Criteria'!D4:D5,"Compliant")</f>
        <v/>
      </c>
      <c r="D6" s="15">
        <f>COUNTIF('Technology Select Sec Criteria'!D4:D5,"Partial")</f>
        <v/>
      </c>
      <c r="E6" s="15">
        <f>COUNTIF('Technology Select Sec Criteria'!D4:D5,"Non-Compliant")</f>
        <v/>
      </c>
      <c r="F6" s="15">
        <f>COUNTIF('Technology Select Sec Criteria'!D4:D5,"N/A")</f>
        <v/>
      </c>
      <c r="G6" s="15">
        <f>IF((B6-F6)=0,"N/A",ROUND(C6/(B6-F6)*100,1)&amp;"%")</f>
        <v/>
      </c>
    </row>
    <row r="7">
      <c r="A7" s="3" t="inlineStr">
        <is>
          <t>Security Baselines</t>
        </is>
      </c>
      <c r="B7" s="15">
        <f>COUNTA('Security Baselines'!D4:D7)</f>
        <v/>
      </c>
      <c r="C7" s="15">
        <f>COUNTIF('Security Baselines'!D4:D7,"Compliant")</f>
        <v/>
      </c>
      <c r="D7" s="15">
        <f>COUNTIF('Security Baselines'!D4:D7,"Partial")</f>
        <v/>
      </c>
      <c r="E7" s="15">
        <f>COUNTIF('Security Baselines'!D4:D7,"Non-Compliant")</f>
        <v/>
      </c>
      <c r="F7" s="15">
        <f>COUNTIF('Security Baselines'!D4:D7,"N/A")</f>
        <v/>
      </c>
      <c r="G7" s="15">
        <f>IF((B7-F7)=0,"N/A",ROUND(C7/(B7-F7)*100,1)&amp;"%")</f>
        <v/>
      </c>
    </row>
    <row r="8">
      <c r="A8" s="3" t="inlineStr">
        <is>
          <t>Secure Architecture Patterns</t>
        </is>
      </c>
      <c r="B8" s="15">
        <f>COUNTA('Secure Architecture Patterns'!D4:D7)</f>
        <v/>
      </c>
      <c r="C8" s="15">
        <f>COUNTIF('Secure Architecture Patterns'!D4:D7,"Compliant")</f>
        <v/>
      </c>
      <c r="D8" s="15">
        <f>COUNTIF('Secure Architecture Patterns'!D4:D7,"Partial")</f>
        <v/>
      </c>
      <c r="E8" s="15">
        <f>COUNTIF('Secure Architecture Patterns'!D4:D7,"Non-Compliant")</f>
        <v/>
      </c>
      <c r="F8" s="15">
        <f>COUNTIF('Secure Architecture Patterns'!D4:D7,"N/A")</f>
        <v/>
      </c>
      <c r="G8" s="15">
        <f>IF((B8-F8)=0,"N/A",ROUND(C8/(B8-F8)*100,1)&amp;"%")</f>
        <v/>
      </c>
    </row>
    <row r="9">
      <c r="A9" s="3" t="inlineStr">
        <is>
          <t>Third-Party &amp; Acquired Systems</t>
        </is>
      </c>
      <c r="B9" s="15">
        <f>COUNTA('Third-Party &amp; Acquired Systems'!D4:D12)</f>
        <v/>
      </c>
      <c r="C9" s="15">
        <f>COUNTIF('Third-Party &amp; Acquired Systems'!D4:D12,"Compliant")</f>
        <v/>
      </c>
      <c r="D9" s="15">
        <f>COUNTIF('Third-Party &amp; Acquired Systems'!D4:D12,"Partial")</f>
        <v/>
      </c>
      <c r="E9" s="15">
        <f>COUNTIF('Third-Party &amp; Acquired Systems'!D4:D12,"Non-Compliant")</f>
        <v/>
      </c>
      <c r="F9" s="15">
        <f>COUNTIF('Third-Party &amp; Acquired Systems'!D4:D12,"N/A")</f>
        <v/>
      </c>
      <c r="G9" s="15">
        <f>IF((B9-F9)=0,"N/A",ROUND(C9/(B9-F9)*100,1)&amp;"%")</f>
        <v/>
      </c>
    </row>
    <row r="10">
      <c r="A10" s="3" t="inlineStr">
        <is>
          <t>Compliance Measurement</t>
        </is>
      </c>
      <c r="B10" s="15">
        <f>COUNTA('Compliance Measurement'!D4:D5)</f>
        <v/>
      </c>
      <c r="C10" s="15">
        <f>COUNTIF('Compliance Measurement'!D4:D5,"Compliant")</f>
        <v/>
      </c>
      <c r="D10" s="15">
        <f>COUNTIF('Compliance Measurement'!D4:D5,"Partial")</f>
        <v/>
      </c>
      <c r="E10" s="15">
        <f>COUNTIF('Compliance Measurement'!D4:D5,"Non-Compliant")</f>
        <v/>
      </c>
      <c r="F10" s="15">
        <f>COUNTIF('Compliance Measurement'!D4:D5,"N/A")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 Architecture Documentation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A.8.27-01</t>
        </is>
      </c>
      <c r="B4" s="23" t="inlineStr">
        <is>
          <t>Systems Classified As High-Risk Or</t>
        </is>
      </c>
      <c r="C4" s="24" t="inlineStr">
        <is>
          <t>All systems classified as High-Risk or Medium-Risk shall have documented security architecture. Low-Risk systems shall have, at minimum, a completed security checklist.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A.8.27-02</t>
        </is>
      </c>
      <c r="B5" s="23" t="inlineStr">
        <is>
          <t>Documentation Storage*: Security</t>
        </is>
      </c>
      <c r="C5" s="24" t="inlineStr">
        <is>
          <t>Documentation Storage*: Security architecture documentation shall be stored in [Architecture Tool / Confluence / SharePoint] with access restricted to: CISO, Development Manager, System Owner, and personnel with documented need-to-know approved by the CISO. Documentation shall be version-controlled.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A.8.27-03</t>
        </is>
      </c>
      <c r="B6" s="23" t="inlineStr">
        <is>
          <t>Documentation Currency*: Security</t>
        </is>
      </c>
      <c r="C6" s="24" t="inlineStr">
        <is>
          <t>Documentation Currency*: Security architecture documentation shall be reviewed and updated: when significant changes are made to the system, when new threats are identified that affect the system, and at least annually for High-Risk systems.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Architecture Review Process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A.8.27-04</t>
        </is>
      </c>
      <c r="B4" s="23" t="inlineStr">
        <is>
          <t>New Systems And Significant Changes To</t>
        </is>
      </c>
      <c r="C4" s="24" t="inlineStr">
        <is>
          <t>All new systems and significant changes to existing systems shall undergo security architecture review before implementation.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A.8.27-05</t>
        </is>
      </c>
      <c r="B5" s="23" t="inlineStr">
        <is>
          <t>Approval Criteria*: Architecture</t>
        </is>
      </c>
      <c r="C5" s="24" t="inlineStr">
        <is>
          <t>Approval Criteria*: Architecture shall not be approved if:.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A.8.27-06</t>
        </is>
      </c>
      <c r="B6" s="23" t="inlineStr">
        <is>
          <t>Incomplete Submissions</t>
        </is>
      </c>
      <c r="C6" s="24" t="inlineStr">
        <is>
          <t>Incomplete submissions shall be returned within 3 business days with specific gaps identified. Clock resets upon resubmission of complete documentation.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A.8.27-07</t>
        </is>
      </c>
      <c r="B7" s="23" t="inlineStr">
        <is>
          <t>Engage External Security Architecture</t>
        </is>
      </c>
      <c r="C7" s="24" t="inlineStr">
        <is>
          <t>Organisations shall engage external security architecture specialists when:.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A.8.27-08</t>
        </is>
      </c>
      <c r="B8" s="23" t="inlineStr">
        <is>
          <t>External Reviewers</t>
        </is>
      </c>
      <c r="C8" s="24" t="inlineStr">
        <is>
          <t>External reviewers shall be selected based on: relevant industry certifications (CISSP, CCSP, or equivalent), demonstrated experience with similar architectures, and independence from implementation vendors.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A.8.27-09</t>
        </is>
      </c>
      <c r="B9" s="23" t="inlineStr">
        <is>
          <t>The Stride Methodology</t>
        </is>
      </c>
      <c r="C9" s="24" t="inlineStr">
        <is>
          <t>Where threat modelling is required, the STRIDE methodology shall be used as the primary approach:.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A.8.27-10</t>
        </is>
      </c>
      <c r="B10" s="23" t="inlineStr">
        <is>
          <t>Threat Models</t>
        </is>
      </c>
      <c r="C10" s="24" t="inlineStr">
        <is>
          <t>Threat models shall be retained for:.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A.8.27-11</t>
        </is>
      </c>
      <c r="B11" s="23" t="inlineStr">
        <is>
          <t>Major Incidents: Threat Models For</t>
        </is>
      </c>
      <c r="C11" s="24" t="inlineStr">
        <is>
          <t>Major incidents: Threat models for systems involved in security incidents shall be retained permanently (minimum 7 years).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A.8.27-12</t>
        </is>
      </c>
      <c r="B12" s="23" t="inlineStr">
        <is>
          <t>Threat Models</t>
        </is>
      </c>
      <c r="C12" s="24" t="inlineStr">
        <is>
          <t>Threat models shall be reviewed and updated: at each major release, when the system architecture changes significantly, when new threat intelligence relevant to the system is identified, and at least annually for High-Risk systems.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Technology Select Sec Criteria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A.8.27-13</t>
        </is>
      </c>
      <c r="B4" s="23" t="inlineStr">
        <is>
          <t>Platforms, Frameworks, Or Third-Party</t>
        </is>
      </c>
      <c r="C4" s="24" t="inlineStr">
        <is>
          <t>When selecting new technologies, platforms, frameworks, or third-party components, security shall be a selection criterion with equal weight to functional requirements.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A.8.27-14</t>
        </is>
      </c>
      <c r="B5" s="23" t="inlineStr">
        <is>
          <t>Technology Selection Decisions For</t>
        </is>
      </c>
      <c r="C5" s="24" t="inlineStr">
        <is>
          <t>Technology selection decisions for High-Risk systems shall be documented with security assessment evidence and approved by the CISO before procurement.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Baselines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A.8.27-15</t>
        </is>
      </c>
      <c r="B4" s="23" t="inlineStr">
        <is>
          <t>Maintain Security Baselines For Each</t>
        </is>
      </c>
      <c r="C4" s="24" t="inlineStr">
        <is>
          <t>The organisation shall maintain security baselines for each system tier, defining the minimum security controls required.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A.8.27-16</t>
        </is>
      </c>
      <c r="B5" s="23" t="inlineStr">
        <is>
          <t>System Tier</t>
        </is>
      </c>
      <c r="C5" s="24" t="inlineStr">
        <is>
          <t>System tier shall be reviewed and potentially reclassified when:.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A.8.27-17</t>
        </is>
      </c>
      <c r="B6" s="23" t="inlineStr">
        <is>
          <t>Re-Classification Triggers Updated</t>
        </is>
      </c>
      <c r="C6" s="24" t="inlineStr">
        <is>
          <t>Re-classification triggers updated security baseline requirements and architecture review. The System Owner shall request a re-classification review from the CISO when any trigger occurs.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A.8.27-18</t>
        </is>
      </c>
      <c r="B7" s="23" t="inlineStr">
        <is>
          <t>Security Baselines</t>
        </is>
      </c>
      <c r="C7" s="24" t="inlineStr">
        <is>
          <t>Security baselines shall be reviewed annually by the CISO and updated to reflect current threats, technology changes, and regulatory requirements.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Architecture Patterns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A.8.27-19</t>
        </is>
      </c>
      <c r="B4" s="23" t="inlineStr">
        <is>
          <t>Maintain A Catalogue Of Approved Secure</t>
        </is>
      </c>
      <c r="C4" s="24" t="inlineStr">
        <is>
          <t>The organisation shall maintain a catalogue of approved secure architecture patterns that system designers shall reference when building new systems or modifying existing ones.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A.8.27-20</t>
        </is>
      </c>
      <c r="B5" s="23" t="inlineStr">
        <is>
          <t>Approved Pattern</t>
        </is>
      </c>
      <c r="C5" s="24" t="inlineStr">
        <is>
          <t>Each approved pattern shall document:.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A.8.27-21</t>
        </is>
      </c>
      <c r="B6" s="23" t="inlineStr">
        <is>
          <t>Approved Patterns</t>
        </is>
      </c>
      <c r="C6" s="24" t="inlineStr">
        <is>
          <t>Approved patterns shall be reviewed annually for continued appropriateness.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A.8.27-22</t>
        </is>
      </c>
      <c r="B7" s="23" t="inlineStr">
        <is>
          <t>New Patterns</t>
        </is>
      </c>
      <c r="C7" s="24" t="inlineStr">
        <is>
          <t>New patterns shall be validated through threat modelling before addition to the catalogue.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Third-Party &amp; Acquired Systems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A.8.27-23</t>
        </is>
      </c>
      <c r="B4" s="23" t="inlineStr">
        <is>
          <t>Secure Engineering Principles</t>
        </is>
      </c>
      <c r="C4" s="24" t="inlineStr">
        <is>
          <t>Secure engineering principles shall apply to third-party developed and acquired systems that are integrated into the organisation's environment.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A.8.27-24</t>
        </is>
      </c>
      <c r="B5" s="23" t="inlineStr">
        <is>
          <t>Security Architecture Documentation</t>
        </is>
      </c>
      <c r="C5" s="24" t="inlineStr">
        <is>
          <t>Security architecture documentation shall be reviewed before procurement approval.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A.8.27-25</t>
        </is>
      </c>
      <c r="B6" s="23" t="inlineStr">
        <is>
          <t>Vendor Security Assessment</t>
        </is>
      </c>
      <c r="C6" s="24" t="inlineStr">
        <is>
          <t>Vendor security assessment shall be conducted per the Supplier and Cloud Services Policy (A.5.19-23).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A.8.27-26</t>
        </is>
      </c>
      <c r="B7" s="23" t="inlineStr">
        <is>
          <t>Architecture Compatibility With The</t>
        </is>
      </c>
      <c r="C7" s="24" t="inlineStr">
        <is>
          <t>Architecture compatibility with the organisation's security standards shall be verified.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A.8.27-27</t>
        </is>
      </c>
      <c r="B8" s="23" t="inlineStr">
        <is>
          <t>Third-Party Developers</t>
        </is>
      </c>
      <c r="C8" s="24" t="inlineStr">
        <is>
          <t>Third-party developers shall be contractually required to follow the organisation's secure engineering principles.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A.8.27-28</t>
        </is>
      </c>
      <c r="B9" s="23" t="inlineStr">
        <is>
          <t>Security Architecture Review</t>
        </is>
      </c>
      <c r="C9" s="24" t="inlineStr">
        <is>
          <t>Security architecture review shall be required at design milestone.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A.8.27-29</t>
        </is>
      </c>
      <c r="B10" s="23" t="inlineStr">
        <is>
          <t>Evidence Of Secure Development Practices</t>
        </is>
      </c>
      <c r="C10" s="24" t="inlineStr">
        <is>
          <t>Evidence of secure development practices shall be provided.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A.8.27-30</t>
        </is>
      </c>
      <c r="B11" s="23" t="inlineStr">
        <is>
          <t>Security Testing Results</t>
        </is>
      </c>
      <c r="C11" s="24" t="inlineStr">
        <is>
          <t>Security testing results shall be provided before acceptance.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A.8.27-31</t>
        </is>
      </c>
      <c r="B12" s="23" t="inlineStr">
        <is>
          <t>Vendor Non-Compliance</t>
        </is>
      </c>
      <c r="C12" s="24" t="inlineStr">
        <is>
          <t>Vendor non-compliance shall trigger issue escalation per contract terms.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A.8.27-32</t>
        </is>
      </c>
      <c r="B4" s="23" t="inlineStr">
        <is>
          <t>The Following Metrics</t>
        </is>
      </c>
      <c r="C4" s="24" t="inlineStr">
        <is>
          <t>The following metrics shall be tracked and reported to the CISO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A.8.27-33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2026-02-08T10:04:14Z</dcterms:created>
  <dcterms:modified xmlns:dcterms="http://purl.org/dc/terms/" xmlns:xsi="http://www.w3.org/2001/XMLSchema-instance" xsi:type="dcterms:W3CDTF">2026-02-08T10:04:14Z</dcterms:modified>
</cp:coreProperties>
</file>