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ec Architecture Documentation" sheetId="3" state="visible" r:id="rId3"/>
    <sheet xmlns:r="http://schemas.openxmlformats.org/officeDocument/2006/relationships" name="Architecture Review Process" sheetId="4" state="visible" r:id="rId4"/>
    <sheet xmlns:r="http://schemas.openxmlformats.org/officeDocument/2006/relationships" name="Technology Select Sec Criteria" sheetId="5" state="visible" r:id="rId5"/>
    <sheet xmlns:r="http://schemas.openxmlformats.org/officeDocument/2006/relationships" name="Security Baselines" sheetId="6" state="visible" r:id="rId6"/>
    <sheet xmlns:r="http://schemas.openxmlformats.org/officeDocument/2006/relationships" name="Secure Architecture Patterns" sheetId="7" state="visible" r:id="rId7"/>
    <sheet xmlns:r="http://schemas.openxmlformats.org/officeDocument/2006/relationships" name="Third-Party &amp; Acquired Systems" sheetId="8" state="visible" r:id="rId8"/>
    <sheet xmlns:r="http://schemas.openxmlformats.org/officeDocument/2006/relationships" name="Compliance Measurement" sheetId="9" state="visible" r:id="rId9"/>
  </sheets>
  <definedNames>
    <definedName name="_xlnm.Print_Area" localSheetId="0">'Executive Summary'!$A$1:$H$66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72C4"/>
      <sz val="10"/>
    </font>
    <font>
      <name val="Calibri"/>
      <b val="1"/>
      <sz val="10"/>
    </font>
    <font>
      <name val="Calibri"/>
      <color rgb="00666666"/>
      <sz val="9"/>
    </font>
    <font>
      <name val="Calibri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003366"/>
      <sz val="12"/>
    </font>
    <font>
      <name val="Calibri"/>
      <b val="1"/>
      <sz val="12"/>
    </font>
    <font>
      <name val="Calibri"/>
      <b val="1"/>
      <sz val="20"/>
    </font>
    <font>
      <name val="Calibri"/>
      <b val="1"/>
      <sz val="16"/>
    </font>
    <font>
      <name val="Calibri"/>
      <b val="1"/>
      <color rgb="004472C4"/>
      <sz val="14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14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 fitToPage="1"/>
  </sheetPr>
  <dimension ref="A1:H6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ISMS-OP-CHK-A.8.27 — Secure System Architecture and Engineering Principles Compliance Checklist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s="4" t="inlineStr">
        <is>
          <t>ISMS-OP-CHK-A.8.27</t>
        </is>
      </c>
    </row>
    <row r="5">
      <c r="A5" s="3" t="inlineStr">
        <is>
          <t>Source Policy</t>
        </is>
      </c>
      <c r="B5" s="4" t="inlineStr">
        <is>
          <t>ISMS-OP-POL-A.8.27</t>
        </is>
      </c>
    </row>
    <row r="6">
      <c r="A6" s="3" t="inlineStr">
        <is>
          <t>ISO Controls</t>
        </is>
      </c>
      <c r="B6" s="4" t="inlineStr">
        <is>
          <t>Secure System Architecture and Engineering Principles</t>
        </is>
      </c>
    </row>
    <row r="7">
      <c r="A7" s="3" t="inlineStr">
        <is>
          <t>Generated</t>
        </is>
      </c>
      <c r="B7" s="4" t="inlineStr">
        <is>
          <t>08.02.2026</t>
        </is>
      </c>
    </row>
    <row r="8">
      <c r="A8" s="3" t="inlineStr">
        <is>
          <t>Prepared By</t>
        </is>
      </c>
      <c r="B8" s="5" t="inlineStr"/>
    </row>
    <row r="9">
      <c r="A9" s="3" t="inlineStr">
        <is>
          <t>Organisation</t>
        </is>
      </c>
      <c r="B9" s="5" t="inlineStr"/>
    </row>
    <row r="10">
      <c r="A10" s="3" t="inlineStr">
        <is>
          <t>Review Cycle</t>
        </is>
      </c>
      <c r="B10" s="4" t="inlineStr">
        <is>
          <t>Annual</t>
        </is>
      </c>
    </row>
    <row r="12">
      <c r="A12" s="6" t="inlineStr">
        <is>
          <t>OVERALL COMPLIANCE STATUS</t>
        </is>
      </c>
    </row>
    <row r="13">
      <c r="A13" s="7" t="inlineStr">
        <is>
          <t>Overall Compliance</t>
        </is>
      </c>
      <c r="B13" s="8">
        <f>'Dashboard'!G11</f>
        <v/>
      </c>
    </row>
    <row r="14">
      <c r="A14" s="7" t="inlineStr">
        <is>
          <t>Status</t>
        </is>
      </c>
      <c r="B14" s="9">
        <f>IF(Dashboard!G11="N/A","NOT ASSESSED",IF(ISNUMBER(VALUE(SUBSTITUTE(Dashboard!G11,"%",""))),IF(VALUE(SUBSTITUTE(Dashboard!G11,"%",""))&gt;=90,"GREEN",IF(VALUE(SUBSTITUTE(Dashboard!G11,"%",""))&gt;=70,"AMBER","RED")),"NOT ASSESSED"))</f>
        <v/>
      </c>
    </row>
    <row r="16">
      <c r="A16" s="6" t="inlineStr">
        <is>
          <t>KEY METRICS</t>
        </is>
      </c>
    </row>
    <row r="17">
      <c r="A17" s="3" t="inlineStr">
        <is>
          <t>Total Requirements</t>
        </is>
      </c>
      <c r="B17" s="10">
        <f>'Dashboard'!B11</f>
        <v/>
      </c>
    </row>
    <row r="18">
      <c r="A18" s="3" t="inlineStr">
        <is>
          <t>Compliant</t>
        </is>
      </c>
      <c r="B18" s="10">
        <f>'Dashboard'!C11</f>
        <v/>
      </c>
    </row>
    <row r="19">
      <c r="A19" s="3" t="inlineStr">
        <is>
          <t>Partial</t>
        </is>
      </c>
      <c r="B19" s="10">
        <f>'Dashboard'!D11</f>
        <v/>
      </c>
    </row>
    <row r="20">
      <c r="A20" s="3" t="inlineStr">
        <is>
          <t>Non-Compliant</t>
        </is>
      </c>
      <c r="B20" s="10">
        <f>'Dashboard'!E11</f>
        <v/>
      </c>
    </row>
    <row r="21">
      <c r="A21" s="3" t="inlineStr">
        <is>
          <t>Not Applicable</t>
        </is>
      </c>
      <c r="B21" s="10">
        <f>'Dashboard'!F11</f>
        <v/>
      </c>
    </row>
    <row r="22">
      <c r="A22" s="3" t="inlineStr">
        <is>
          <t>Owner Coverage</t>
        </is>
      </c>
      <c r="B22" s="10">
        <f>IF(Dashboard!B11=0,"N/A",ROUND((COUNTA('Sec Architecture Documentation'!F4:F6)+COUNTA('Architecture Review Process'!F4:F12)+COUNTA('Technology Select Sec Criteria'!F4:F5)+COUNTA('Security Baselines'!F4:F7)+COUNTA('Secure Architecture Patterns'!F4:F7)+COUNTA('Third-Party &amp; Acquired Systems'!F4:F12)+COUNTA('Compliance Measurement'!F4:F5))/Dashboard!B11*100,0)&amp;"%")</f>
        <v/>
      </c>
    </row>
    <row r="24">
      <c r="A24" s="6" t="inlineStr">
        <is>
          <t>DOMAIN STATUS SUMMARY</t>
        </is>
      </c>
    </row>
    <row r="25">
      <c r="A25" s="11" t="inlineStr">
        <is>
          <t>Domain</t>
        </is>
      </c>
      <c r="B25" s="11" t="inlineStr">
        <is>
          <t>Compliance %</t>
        </is>
      </c>
      <c r="C25" s="11" t="inlineStr">
        <is>
          <t>Compliant</t>
        </is>
      </c>
      <c r="D25" s="11" t="inlineStr">
        <is>
          <t>Gaps</t>
        </is>
      </c>
      <c r="E25" s="11" t="inlineStr">
        <is>
          <t>Status</t>
        </is>
      </c>
    </row>
    <row r="26">
      <c r="A26" s="4" t="inlineStr">
        <is>
          <t>Sec Architecture Documentation</t>
        </is>
      </c>
      <c r="B26" s="4">
        <f>'Dashboard'!G4</f>
        <v/>
      </c>
      <c r="C26" s="4">
        <f>'Dashboard'!C4</f>
        <v/>
      </c>
      <c r="D26" s="4">
        <f>'Dashboard'!E4</f>
        <v/>
      </c>
      <c r="E26" s="4">
        <f>IF(Dashboard!G4="N/A","--",IF(ISNUMBER(VALUE(SUBSTITUTE(Dashboard!G4,"%",""))),IF(VALUE(SUBSTITUTE(Dashboard!G4,"%",""))&gt;=90,"PASS",IF(VALUE(SUBSTITUTE(Dashboard!G4,"%",""))&gt;=70,"REVIEW","FAIL")),"--"))</f>
        <v/>
      </c>
    </row>
    <row r="27">
      <c r="A27" s="4" t="inlineStr">
        <is>
          <t>Architecture Review Process</t>
        </is>
      </c>
      <c r="B27" s="4">
        <f>'Dashboard'!G5</f>
        <v/>
      </c>
      <c r="C27" s="4">
        <f>'Dashboard'!C5</f>
        <v/>
      </c>
      <c r="D27" s="4">
        <f>'Dashboard'!E5</f>
        <v/>
      </c>
      <c r="E27" s="4">
        <f>IF(Dashboard!G5="N/A","--",IF(ISNUMBER(VALUE(SUBSTITUTE(Dashboard!G5,"%",""))),IF(VALUE(SUBSTITUTE(Dashboard!G5,"%",""))&gt;=90,"PASS",IF(VALUE(SUBSTITUTE(Dashboard!G5,"%",""))&gt;=70,"REVIEW","FAIL")),"--"))</f>
        <v/>
      </c>
    </row>
    <row r="28">
      <c r="A28" s="4" t="inlineStr">
        <is>
          <t>Technology Select Sec Criteria</t>
        </is>
      </c>
      <c r="B28" s="4">
        <f>'Dashboard'!G6</f>
        <v/>
      </c>
      <c r="C28" s="4">
        <f>'Dashboard'!C6</f>
        <v/>
      </c>
      <c r="D28" s="4">
        <f>'Dashboard'!E6</f>
        <v/>
      </c>
      <c r="E28" s="4">
        <f>IF(Dashboard!G6="N/A","--",IF(ISNUMBER(VALUE(SUBSTITUTE(Dashboard!G6,"%",""))),IF(VALUE(SUBSTITUTE(Dashboard!G6,"%",""))&gt;=90,"PASS",IF(VALUE(SUBSTITUTE(Dashboard!G6,"%",""))&gt;=70,"REVIEW","FAIL")),"--"))</f>
        <v/>
      </c>
    </row>
    <row r="29">
      <c r="A29" s="4" t="inlineStr">
        <is>
          <t>Security Baselines</t>
        </is>
      </c>
      <c r="B29" s="4">
        <f>'Dashboard'!G7</f>
        <v/>
      </c>
      <c r="C29" s="4">
        <f>'Dashboard'!C7</f>
        <v/>
      </c>
      <c r="D29" s="4">
        <f>'Dashboard'!E7</f>
        <v/>
      </c>
      <c r="E29" s="4">
        <f>IF(Dashboard!G7="N/A","--",IF(ISNUMBER(VALUE(SUBSTITUTE(Dashboard!G7,"%",""))),IF(VALUE(SUBSTITUTE(Dashboard!G7,"%",""))&gt;=90,"PASS",IF(VALUE(SUBSTITUTE(Dashboard!G7,"%",""))&gt;=70,"REVIEW","FAIL")),"--"))</f>
        <v/>
      </c>
    </row>
    <row r="30">
      <c r="A30" s="4" t="inlineStr">
        <is>
          <t>Secure Architecture Patterns</t>
        </is>
      </c>
      <c r="B30" s="4">
        <f>'Dashboard'!G8</f>
        <v/>
      </c>
      <c r="C30" s="4">
        <f>'Dashboard'!C8</f>
        <v/>
      </c>
      <c r="D30" s="4">
        <f>'Dashboard'!E8</f>
        <v/>
      </c>
      <c r="E30" s="4">
        <f>IF(Dashboard!G8="N/A","--",IF(ISNUMBER(VALUE(SUBSTITUTE(Dashboard!G8,"%",""))),IF(VALUE(SUBSTITUTE(Dashboard!G8,"%",""))&gt;=90,"PASS",IF(VALUE(SUBSTITUTE(Dashboard!G8,"%",""))&gt;=70,"REVIEW","FAIL")),"--"))</f>
        <v/>
      </c>
    </row>
    <row r="31">
      <c r="A31" s="4" t="inlineStr">
        <is>
          <t>Third-Party &amp; Acquired Systems</t>
        </is>
      </c>
      <c r="B31" s="4">
        <f>'Dashboard'!G9</f>
        <v/>
      </c>
      <c r="C31" s="4">
        <f>'Dashboard'!C9</f>
        <v/>
      </c>
      <c r="D31" s="4">
        <f>'Dashboard'!E9</f>
        <v/>
      </c>
      <c r="E31" s="4">
        <f>IF(Dashboard!G9="N/A","--",IF(ISNUMBER(VALUE(SUBSTITUTE(Dashboard!G9,"%",""))),IF(VALUE(SUBSTITUTE(Dashboard!G9,"%",""))&gt;=90,"PASS",IF(VALUE(SUBSTITUTE(Dashboard!G9,"%",""))&gt;=70,"REVIEW","FAIL")),"--"))</f>
        <v/>
      </c>
    </row>
    <row r="32">
      <c r="A32" s="4" t="inlineStr">
        <is>
          <t>Compliance Measurement</t>
        </is>
      </c>
      <c r="B32" s="4">
        <f>'Dashboard'!G10</f>
        <v/>
      </c>
      <c r="C32" s="4">
        <f>'Dashboard'!C10</f>
        <v/>
      </c>
      <c r="D32" s="4">
        <f>'Dashboard'!E10</f>
        <v/>
      </c>
      <c r="E32" s="4">
        <f>IF(Dashboard!G10="N/A","--",IF(ISNUMBER(VALUE(SUBSTITUTE(Dashboard!G10,"%",""))),IF(VALUE(SUBSTITUTE(Dashboard!G10,"%",""))&gt;=90,"PASS",IF(VALUE(SUBSTITUTE(Dashboard!G10,"%",""))&gt;=70,"REVIEW","FAIL")),"--"))</f>
        <v/>
      </c>
    </row>
    <row r="34">
      <c r="A34" s="6" t="inlineStr">
        <is>
          <t>CRITICAL ISSUES</t>
        </is>
      </c>
    </row>
    <row r="35">
      <c r="A35" s="11" t="inlineStr">
        <is>
          <t>#</t>
        </is>
      </c>
      <c r="B35" s="11" t="inlineStr">
        <is>
          <t>Issue Description</t>
        </is>
      </c>
      <c r="C35" s="11" t="inlineStr">
        <is>
          <t>Domain</t>
        </is>
      </c>
      <c r="D35" s="11" t="inlineStr">
        <is>
          <t>Owner</t>
        </is>
      </c>
      <c r="E35" s="11" t="inlineStr">
        <is>
          <t>Due Date</t>
        </is>
      </c>
    </row>
    <row r="36">
      <c r="A36" s="4" t="n">
        <v>1</v>
      </c>
      <c r="B36" s="5" t="n"/>
      <c r="C36" s="5" t="n"/>
      <c r="D36" s="5" t="n"/>
      <c r="E36" s="5" t="n"/>
    </row>
    <row r="37">
      <c r="A37" s="4" t="n">
        <v>2</v>
      </c>
      <c r="B37" s="5" t="n"/>
      <c r="C37" s="5" t="n"/>
      <c r="D37" s="5" t="n"/>
      <c r="E37" s="5" t="n"/>
    </row>
    <row r="38">
      <c r="A38" s="4" t="n">
        <v>3</v>
      </c>
      <c r="B38" s="5" t="n"/>
      <c r="C38" s="5" t="n"/>
      <c r="D38" s="5" t="n"/>
      <c r="E38" s="5" t="n"/>
    </row>
    <row r="39">
      <c r="A39" s="4" t="n">
        <v>4</v>
      </c>
      <c r="B39" s="5" t="n"/>
      <c r="C39" s="5" t="n"/>
      <c r="D39" s="5" t="n"/>
      <c r="E39" s="5" t="n"/>
    </row>
    <row r="40">
      <c r="A40" s="4" t="n">
        <v>5</v>
      </c>
      <c r="B40" s="5" t="n"/>
      <c r="C40" s="5" t="n"/>
      <c r="D40" s="5" t="n"/>
      <c r="E40" s="5" t="n"/>
    </row>
    <row r="42">
      <c r="A42" s="6" t="inlineStr">
        <is>
          <t>MANAGEMENT COMMENTARY</t>
        </is>
      </c>
    </row>
    <row r="43" ht="60" customHeight="1">
      <c r="A43" s="12" t="inlineStr">
        <is>
          <t>[Enter management commentary on secure system architecture and engineering principles posture]</t>
        </is>
      </c>
    </row>
    <row r="44"/>
    <row r="45"/>
    <row r="47">
      <c r="A47" s="6" t="inlineStr">
        <is>
          <t>APPROVAL</t>
        </is>
      </c>
    </row>
    <row r="48">
      <c r="A48" s="13" t="inlineStr">
        <is>
          <t>Assessed By</t>
        </is>
      </c>
    </row>
    <row r="49">
      <c r="A49" s="14" t="inlineStr">
        <is>
          <t>Name:</t>
        </is>
      </c>
      <c r="B49" s="5" t="n"/>
    </row>
    <row r="50">
      <c r="A50" s="14" t="inlineStr">
        <is>
          <t>Date:</t>
        </is>
      </c>
      <c r="B50" s="5" t="n"/>
    </row>
    <row r="51">
      <c r="A51" s="14" t="inlineStr">
        <is>
          <t>Signature:</t>
        </is>
      </c>
      <c r="B51" s="5" t="n"/>
    </row>
    <row r="52">
      <c r="A52" s="14" t="inlineStr">
        <is>
          <t>Decision:</t>
        </is>
      </c>
      <c r="B52" s="5" t="n"/>
    </row>
    <row r="54">
      <c r="A54" s="13" t="inlineStr">
        <is>
          <t>Reviewed By (ISO Manager)</t>
        </is>
      </c>
    </row>
    <row r="55">
      <c r="A55" s="14" t="inlineStr">
        <is>
          <t>Name:</t>
        </is>
      </c>
      <c r="B55" s="5" t="n"/>
    </row>
    <row r="56">
      <c r="A56" s="14" t="inlineStr">
        <is>
          <t>Date:</t>
        </is>
      </c>
      <c r="B56" s="5" t="n"/>
    </row>
    <row r="57">
      <c r="A57" s="14" t="inlineStr">
        <is>
          <t>Signature:</t>
        </is>
      </c>
      <c r="B57" s="5" t="n"/>
    </row>
    <row r="58">
      <c r="A58" s="14" t="inlineStr">
        <is>
          <t>Decision:</t>
        </is>
      </c>
      <c r="B58" s="5" t="n"/>
    </row>
    <row r="60">
      <c r="A60" s="13" t="inlineStr">
        <is>
          <t>Approved By (CISO)</t>
        </is>
      </c>
    </row>
    <row r="61">
      <c r="A61" s="14" t="inlineStr">
        <is>
          <t>Name:</t>
        </is>
      </c>
      <c r="B61" s="5" t="n"/>
    </row>
    <row r="62">
      <c r="A62" s="14" t="inlineStr">
        <is>
          <t>Date:</t>
        </is>
      </c>
      <c r="B62" s="5" t="n"/>
    </row>
    <row r="63">
      <c r="A63" s="14" t="inlineStr">
        <is>
          <t>Signature:</t>
        </is>
      </c>
      <c r="B63" s="5" t="n"/>
    </row>
    <row r="64">
      <c r="A64" s="14" t="inlineStr">
        <is>
          <t>Decision:</t>
        </is>
      </c>
      <c r="B64" s="5" t="n"/>
    </row>
  </sheetData>
  <mergeCells count="12">
    <mergeCell ref="A12:H12"/>
    <mergeCell ref="A43:H45"/>
    <mergeCell ref="A48:B48"/>
    <mergeCell ref="A54:B54"/>
    <mergeCell ref="A60:B60"/>
    <mergeCell ref="A24:H24"/>
    <mergeCell ref="A16:H16"/>
    <mergeCell ref="A42:H42"/>
    <mergeCell ref="A47:H47"/>
    <mergeCell ref="A1:H1"/>
    <mergeCell ref="A3:B3"/>
    <mergeCell ref="A34:H34"/>
  </mergeCells>
  <dataValidations count="1">
    <dataValidation sqref="B52 B58 B64" showDropDown="0" showInputMessage="0" showErrorMessage="0" allowBlank="1" type="list">
      <formula1>"Approved,Approved with Conditions,Not Approved"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 ht="40" customHeight="1">
      <c r="A1" s="1" t="inlineStr">
        <is>
          <t>Secure System Architecture and Engineering Principles — Compliance Dashboard</t>
        </is>
      </c>
    </row>
    <row r="3">
      <c r="A3" s="11" t="inlineStr">
        <is>
          <t>Domain</t>
        </is>
      </c>
      <c r="B3" s="11" t="inlineStr">
        <is>
          <t>Total Reqs</t>
        </is>
      </c>
      <c r="C3" s="11" t="inlineStr">
        <is>
          <t>Compliant</t>
        </is>
      </c>
      <c r="D3" s="11" t="inlineStr">
        <is>
          <t>Partial</t>
        </is>
      </c>
      <c r="E3" s="11" t="inlineStr">
        <is>
          <t>Non-Compliant</t>
        </is>
      </c>
      <c r="F3" s="11" t="inlineStr">
        <is>
          <t>N/A</t>
        </is>
      </c>
      <c r="G3" s="11" t="inlineStr">
        <is>
          <t>Compliance %</t>
        </is>
      </c>
    </row>
    <row r="4">
      <c r="A4" s="3" t="inlineStr">
        <is>
          <t>Sec Architecture Documentation</t>
        </is>
      </c>
      <c r="B4" s="15">
        <f>COUNTA('Sec Architecture Documentation'!D4:D6)</f>
        <v/>
      </c>
      <c r="C4" s="15">
        <f>COUNTIF('Sec Architecture Documentation'!D4:D6,"Compliant")</f>
        <v/>
      </c>
      <c r="D4" s="15">
        <f>COUNTIF('Sec Architecture Documentation'!D4:D6,"Partial")</f>
        <v/>
      </c>
      <c r="E4" s="15">
        <f>COUNTIF('Sec Architecture Documentation'!D4:D6,"Non-Compliant")</f>
        <v/>
      </c>
      <c r="F4" s="15">
        <f>COUNTIF('Sec Architecture Documentation'!D4:D6,"N/A")</f>
        <v/>
      </c>
      <c r="G4" s="15">
        <f>IF((B4-F4)=0,"N/A",ROUND(C4/(B4-F4)*100,1)&amp;"%")</f>
        <v/>
      </c>
    </row>
    <row r="5">
      <c r="A5" s="3" t="inlineStr">
        <is>
          <t>Architecture Review Process</t>
        </is>
      </c>
      <c r="B5" s="15">
        <f>COUNTA('Architecture Review Process'!D4:D12)</f>
        <v/>
      </c>
      <c r="C5" s="15">
        <f>COUNTIF('Architecture Review Process'!D4:D12,"Compliant")</f>
        <v/>
      </c>
      <c r="D5" s="15">
        <f>COUNTIF('Architecture Review Process'!D4:D12,"Partial")</f>
        <v/>
      </c>
      <c r="E5" s="15">
        <f>COUNTIF('Architecture Review Process'!D4:D12,"Non-Compliant")</f>
        <v/>
      </c>
      <c r="F5" s="15">
        <f>COUNTIF('Architecture Review Process'!D4:D12,"N/A")</f>
        <v/>
      </c>
      <c r="G5" s="15">
        <f>IF((B5-F5)=0,"N/A",ROUND(C5/(B5-F5)*100,1)&amp;"%")</f>
        <v/>
      </c>
    </row>
    <row r="6">
      <c r="A6" s="3" t="inlineStr">
        <is>
          <t>Technology Select Sec Criteria</t>
        </is>
      </c>
      <c r="B6" s="15">
        <f>COUNTA('Technology Select Sec Criteria'!D4:D5)</f>
        <v/>
      </c>
      <c r="C6" s="15">
        <f>COUNTIF('Technology Select Sec Criteria'!D4:D5,"Compliant")</f>
        <v/>
      </c>
      <c r="D6" s="15">
        <f>COUNTIF('Technology Select Sec Criteria'!D4:D5,"Partial")</f>
        <v/>
      </c>
      <c r="E6" s="15">
        <f>COUNTIF('Technology Select Sec Criteria'!D4:D5,"Non-Compliant")</f>
        <v/>
      </c>
      <c r="F6" s="15">
        <f>COUNTIF('Technology Select Sec Criteria'!D4:D5,"N/A")</f>
        <v/>
      </c>
      <c r="G6" s="15">
        <f>IF((B6-F6)=0,"N/A",ROUND(C6/(B6-F6)*100,1)&amp;"%")</f>
        <v/>
      </c>
    </row>
    <row r="7">
      <c r="A7" s="3" t="inlineStr">
        <is>
          <t>Security Baselines</t>
        </is>
      </c>
      <c r="B7" s="15">
        <f>COUNTA('Security Baselines'!D4:D7)</f>
        <v/>
      </c>
      <c r="C7" s="15">
        <f>COUNTIF('Security Baselines'!D4:D7,"Compliant")</f>
        <v/>
      </c>
      <c r="D7" s="15">
        <f>COUNTIF('Security Baselines'!D4:D7,"Partial")</f>
        <v/>
      </c>
      <c r="E7" s="15">
        <f>COUNTIF('Security Baselines'!D4:D7,"Non-Compliant")</f>
        <v/>
      </c>
      <c r="F7" s="15">
        <f>COUNTIF('Security Baselines'!D4:D7,"N/A")</f>
        <v/>
      </c>
      <c r="G7" s="15">
        <f>IF((B7-F7)=0,"N/A",ROUND(C7/(B7-F7)*100,1)&amp;"%")</f>
        <v/>
      </c>
    </row>
    <row r="8">
      <c r="A8" s="3" t="inlineStr">
        <is>
          <t>Secure Architecture Patterns</t>
        </is>
      </c>
      <c r="B8" s="15">
        <f>COUNTA('Secure Architecture Patterns'!D4:D7)</f>
        <v/>
      </c>
      <c r="C8" s="15">
        <f>COUNTIF('Secure Architecture Patterns'!D4:D7,"Compliant")</f>
        <v/>
      </c>
      <c r="D8" s="15">
        <f>COUNTIF('Secure Architecture Patterns'!D4:D7,"Partial")</f>
        <v/>
      </c>
      <c r="E8" s="15">
        <f>COUNTIF('Secure Architecture Patterns'!D4:D7,"Non-Compliant")</f>
        <v/>
      </c>
      <c r="F8" s="15">
        <f>COUNTIF('Secure Architecture Patterns'!D4:D7,"N/A")</f>
        <v/>
      </c>
      <c r="G8" s="15">
        <f>IF((B8-F8)=0,"N/A",ROUND(C8/(B8-F8)*100,1)&amp;"%")</f>
        <v/>
      </c>
    </row>
    <row r="9">
      <c r="A9" s="3" t="inlineStr">
        <is>
          <t>Third-Party &amp; Acquired Systems</t>
        </is>
      </c>
      <c r="B9" s="15">
        <f>COUNTA('Third-Party &amp; Acquired Systems'!D4:D12)</f>
        <v/>
      </c>
      <c r="C9" s="15">
        <f>COUNTIF('Third-Party &amp; Acquired Systems'!D4:D12,"Compliant")</f>
        <v/>
      </c>
      <c r="D9" s="15">
        <f>COUNTIF('Third-Party &amp; Acquired Systems'!D4:D12,"Partial")</f>
        <v/>
      </c>
      <c r="E9" s="15">
        <f>COUNTIF('Third-Party &amp; Acquired Systems'!D4:D12,"Non-Compliant")</f>
        <v/>
      </c>
      <c r="F9" s="15">
        <f>COUNTIF('Third-Party &amp; Acquired Systems'!D4:D12,"N/A")</f>
        <v/>
      </c>
      <c r="G9" s="15">
        <f>IF((B9-F9)=0,"N/A",ROUND(C9/(B9-F9)*100,1)&amp;"%")</f>
        <v/>
      </c>
    </row>
    <row r="10">
      <c r="A10" s="3" t="inlineStr">
        <is>
          <t>Compliance Measurement</t>
        </is>
      </c>
      <c r="B10" s="15">
        <f>COUNTA('Compliance Measurement'!D4:D5)</f>
        <v/>
      </c>
      <c r="C10" s="15">
        <f>COUNTIF('Compliance Measurement'!D4:D5,"Compliant")</f>
        <v/>
      </c>
      <c r="D10" s="15">
        <f>COUNTIF('Compliance Measurement'!D4:D5,"Partial")</f>
        <v/>
      </c>
      <c r="E10" s="15">
        <f>COUNTIF('Compliance Measurement'!D4:D5,"Non-Compliant")</f>
        <v/>
      </c>
      <c r="F10" s="15">
        <f>COUNTIF('Compliance Measurement'!D4:D5,"N/A")</f>
        <v/>
      </c>
      <c r="G10" s="15">
        <f>IF((B10-F10)=0,"N/A",ROUND(C10/(B10-F10)*100,1)&amp;"%")</f>
        <v/>
      </c>
    </row>
    <row r="11">
      <c r="A11" s="16" t="inlineStr">
        <is>
          <t>TOTAL</t>
        </is>
      </c>
      <c r="B11" s="16">
        <f>SUM(B4:B10)</f>
        <v/>
      </c>
      <c r="C11" s="16">
        <f>SUM(C4:C10)</f>
        <v/>
      </c>
      <c r="D11" s="16">
        <f>SUM(D4:D10)</f>
        <v/>
      </c>
      <c r="E11" s="16">
        <f>SUM(E4:E10)</f>
        <v/>
      </c>
      <c r="F11" s="16">
        <f>SUM(F4:F10)</f>
        <v/>
      </c>
      <c r="G11" s="16">
        <f>IF((B11-F11)=0,"N/A",ROUND(C11/(B11-F11)*100,1)&amp;"%")</f>
        <v/>
      </c>
    </row>
    <row r="13">
      <c r="A13" s="6" t="inlineStr">
        <is>
          <t>COMPLIANCE BY STATUS</t>
        </is>
      </c>
    </row>
    <row r="14">
      <c r="A14" s="3" t="inlineStr">
        <is>
          <t>Compliant</t>
        </is>
      </c>
      <c r="B14" s="17">
        <f>C11</f>
        <v/>
      </c>
      <c r="C14" s="4">
        <f>IF(B11=0,"",ROUND(B14/B11*100,1)&amp;"%")</f>
        <v/>
      </c>
    </row>
    <row r="15">
      <c r="A15" s="3" t="inlineStr">
        <is>
          <t>Partial</t>
        </is>
      </c>
      <c r="B15" s="18">
        <f>D11</f>
        <v/>
      </c>
      <c r="C15" s="4">
        <f>IF(B11=0,"",ROUND(B15/B11*100,1)&amp;"%")</f>
        <v/>
      </c>
    </row>
    <row r="16">
      <c r="A16" s="3" t="inlineStr">
        <is>
          <t>Non-Compliant</t>
        </is>
      </c>
      <c r="B16" s="19">
        <f>E11</f>
        <v/>
      </c>
      <c r="C16" s="4">
        <f>IF(B11=0,"",ROUND(B16/B11*100,1)&amp;"%")</f>
        <v/>
      </c>
    </row>
    <row r="17">
      <c r="A17" s="3" t="inlineStr">
        <is>
          <t>N/A</t>
        </is>
      </c>
      <c r="B17" s="20">
        <f>F11</f>
        <v/>
      </c>
      <c r="C17" s="4">
        <f>IF(B11=0,"",ROUND(B17/B11*100,1)&amp;"%")</f>
        <v/>
      </c>
    </row>
    <row r="19">
      <c r="A19" s="6" t="inlineStr">
        <is>
          <t>TOP GAPS (Manual Entry)</t>
        </is>
      </c>
    </row>
    <row r="20">
      <c r="A20" s="11" t="inlineStr">
        <is>
          <t>Priority</t>
        </is>
      </c>
      <c r="B20" s="11" t="inlineStr">
        <is>
          <t>Domain</t>
        </is>
      </c>
      <c r="C20" s="11" t="inlineStr">
        <is>
          <t>Requirement</t>
        </is>
      </c>
      <c r="D20" s="11" t="inlineStr">
        <is>
          <t>Owner</t>
        </is>
      </c>
      <c r="E20" s="11" t="inlineStr">
        <is>
          <t>Due Date</t>
        </is>
      </c>
      <c r="F20" s="11" t="inlineStr">
        <is>
          <t>Status</t>
        </is>
      </c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0">
      <c r="A30" s="5" t="n"/>
      <c r="B30" s="5" t="n"/>
      <c r="C30" s="5" t="n"/>
      <c r="D30" s="5" t="n"/>
      <c r="E30" s="5" t="n"/>
      <c r="F30" s="5" t="n"/>
    </row>
    <row r="32">
      <c r="A32" s="6" t="inlineStr">
        <is>
          <t>COMPLIANCE TREND (Manual Entry)</t>
        </is>
      </c>
    </row>
    <row r="33">
      <c r="A33" s="11" t="inlineStr">
        <is>
          <t>Assessment Date</t>
        </is>
      </c>
      <c r="B33" s="11" t="inlineStr">
        <is>
          <t>Overall %</t>
        </is>
      </c>
      <c r="C33" s="11" t="inlineStr">
        <is>
          <t>Compliant</t>
        </is>
      </c>
      <c r="D33" s="11" t="inlineStr">
        <is>
          <t>Gaps</t>
        </is>
      </c>
      <c r="E33" s="11" t="inlineStr">
        <is>
          <t>Assessor</t>
        </is>
      </c>
      <c r="F33" s="11" t="inlineStr">
        <is>
          <t>Notes</t>
        </is>
      </c>
    </row>
    <row r="34">
      <c r="A34" s="5" t="n"/>
      <c r="B34" s="5" t="n"/>
      <c r="C34" s="5" t="n"/>
      <c r="D34" s="5" t="n"/>
      <c r="E34" s="5" t="n"/>
      <c r="F34" s="5" t="n"/>
    </row>
    <row r="35">
      <c r="A35" s="5" t="n"/>
      <c r="B35" s="5" t="n"/>
      <c r="C35" s="5" t="n"/>
      <c r="D35" s="5" t="n"/>
      <c r="E35" s="5" t="n"/>
      <c r="F35" s="5" t="n"/>
    </row>
    <row r="36">
      <c r="A36" s="5" t="n"/>
      <c r="B36" s="5" t="n"/>
      <c r="C36" s="5" t="n"/>
      <c r="D36" s="5" t="n"/>
      <c r="E36" s="5" t="n"/>
      <c r="F36" s="5" t="n"/>
    </row>
    <row r="37">
      <c r="A37" s="5" t="n"/>
      <c r="B37" s="5" t="n"/>
      <c r="C37" s="5" t="n"/>
      <c r="D37" s="5" t="n"/>
      <c r="E37" s="5" t="n"/>
      <c r="F37" s="5" t="n"/>
    </row>
  </sheetData>
  <mergeCells count="4">
    <mergeCell ref="A32:G32"/>
    <mergeCell ref="A13:G13"/>
    <mergeCell ref="A19:G19"/>
    <mergeCell ref="A1:G1"/>
  </mergeCells>
  <dataValidations count="1">
    <dataValidation sqref="F21 F22 F23 F24 F25 F26 F27 F28 F29 F30" showDropDown="0" showInputMessage="0" showErrorMessage="0" allowBlank="1" type="list">
      <formula1>"Open,In Progress,Closed,Deferred"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Sec Architecture Documentation — Compliance Checklist</t>
        </is>
      </c>
    </row>
    <row r="2">
      <c r="A2" s="21" t="inlineStr">
        <is>
          <t>ISO/IEC 27001:2022 — Control A.8.27: Secure System Architecture and Engineering Principles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A.8.27-01</t>
        </is>
      </c>
      <c r="B4" s="23" t="inlineStr">
        <is>
          <t>Systems Classified As High-Risk Or</t>
        </is>
      </c>
      <c r="C4" s="24" t="inlineStr">
        <is>
          <t>All systems classified as High-Risk or Medium-Risk shall have documented security architecture. Low-Risk systems shall have, at minimum, a completed security checklist.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A.8.27-02</t>
        </is>
      </c>
      <c r="B5" s="23" t="inlineStr">
        <is>
          <t>Documentation Storage*: Security</t>
        </is>
      </c>
      <c r="C5" s="24" t="inlineStr">
        <is>
          <t>Documentation Storage*: Security architecture documentation shall be stored in [Architecture Tool / Confluence / SharePoint] with access restricted to: CISO, Development Manager, System Owner, and personnel with documented need-to-know approved by the CISO. Documentation shall be version-controlled.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A.8.27-03</t>
        </is>
      </c>
      <c r="B6" s="23" t="inlineStr">
        <is>
          <t>Documentation Currency*: Security</t>
        </is>
      </c>
      <c r="C6" s="24" t="inlineStr">
        <is>
          <t>Documentation Currency*: Security architecture documentation shall be reviewed and updated: when significant changes are made to the system, when new threats are identified that affect the system, and at least annually for High-Risk systems.</t>
        </is>
      </c>
      <c r="D6" s="25" t="n"/>
      <c r="E6" s="5" t="n"/>
      <c r="F6" s="5" t="n"/>
      <c r="G6" s="26" t="n"/>
      <c r="H6" s="5" t="n"/>
    </row>
  </sheetData>
  <mergeCells count="2">
    <mergeCell ref="A2:H2"/>
    <mergeCell ref="A1:H1"/>
  </mergeCells>
  <conditionalFormatting sqref="D4:D6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Architecture Review Process — Compliance Checklist</t>
        </is>
      </c>
    </row>
    <row r="2">
      <c r="A2" s="21" t="inlineStr">
        <is>
          <t>ISO/IEC 27001:2022 — Control A.8.27: Secure System Architecture and Engineering Principles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A.8.27-04</t>
        </is>
      </c>
      <c r="B4" s="23" t="inlineStr">
        <is>
          <t>New Systems And Significant Changes To</t>
        </is>
      </c>
      <c r="C4" s="24" t="inlineStr">
        <is>
          <t>All new systems and significant changes to existing systems shall undergo security architecture review before implementation.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A.8.27-05</t>
        </is>
      </c>
      <c r="B5" s="23" t="inlineStr">
        <is>
          <t>Approval Criteria*: Architecture</t>
        </is>
      </c>
      <c r="C5" s="24" t="inlineStr">
        <is>
          <t>Approval Criteria*: Architecture shall not be approved if:.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A.8.27-06</t>
        </is>
      </c>
      <c r="B6" s="23" t="inlineStr">
        <is>
          <t>Incomplete Submissions</t>
        </is>
      </c>
      <c r="C6" s="24" t="inlineStr">
        <is>
          <t>Incomplete submissions shall be returned within 3 business days with specific gaps identified. Clock resets upon resubmission of complete documentation.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A.8.27-07</t>
        </is>
      </c>
      <c r="B7" s="23" t="inlineStr">
        <is>
          <t>Engage External Security Architecture</t>
        </is>
      </c>
      <c r="C7" s="24" t="inlineStr">
        <is>
          <t>Organisations shall engage external security architecture specialists when:.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A.8.27-08</t>
        </is>
      </c>
      <c r="B8" s="23" t="inlineStr">
        <is>
          <t>External Reviewers</t>
        </is>
      </c>
      <c r="C8" s="24" t="inlineStr">
        <is>
          <t>External reviewers shall be selected based on: relevant industry certifications (CISSP, CCSP, or equivalent), demonstrated experience with similar architectures, and independence from implementation vendors.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A.8.27-09</t>
        </is>
      </c>
      <c r="B9" s="23" t="inlineStr">
        <is>
          <t>The Stride Methodology</t>
        </is>
      </c>
      <c r="C9" s="24" t="inlineStr">
        <is>
          <t>Where threat modelling is required, the STRIDE methodology shall be used as the primary approach:.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A.8.27-10</t>
        </is>
      </c>
      <c r="B10" s="23" t="inlineStr">
        <is>
          <t>Threat Models</t>
        </is>
      </c>
      <c r="C10" s="24" t="inlineStr">
        <is>
          <t>Threat models shall be retained for:.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A.8.27-11</t>
        </is>
      </c>
      <c r="B11" s="23" t="inlineStr">
        <is>
          <t>Major Incidents: Threat Models For</t>
        </is>
      </c>
      <c r="C11" s="24" t="inlineStr">
        <is>
          <t>Major incidents: Threat models for systems involved in security incidents shall be retained permanently (minimum 7 years).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A.8.27-12</t>
        </is>
      </c>
      <c r="B12" s="23" t="inlineStr">
        <is>
          <t>Threat Models</t>
        </is>
      </c>
      <c r="C12" s="24" t="inlineStr">
        <is>
          <t>Threat models shall be reviewed and updated: at each major release, when the system architecture changes significantly, when new threat intelligence relevant to the system is identified, and at least annually for High-Risk systems.</t>
        </is>
      </c>
      <c r="D12" s="25" t="n"/>
      <c r="E12" s="5" t="n"/>
      <c r="F12" s="5" t="n"/>
      <c r="G12" s="26" t="n"/>
      <c r="H12" s="5" t="n"/>
    </row>
  </sheetData>
  <mergeCells count="2">
    <mergeCell ref="A2:H2"/>
    <mergeCell ref="A1:H1"/>
  </mergeCells>
  <conditionalFormatting sqref="D4:D12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Technology Select Sec Criteria — Compliance Checklist</t>
        </is>
      </c>
    </row>
    <row r="2">
      <c r="A2" s="21" t="inlineStr">
        <is>
          <t>ISO/IEC 27001:2022 — Control A.8.27: Secure System Architecture and Engineering Principles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A.8.27-13</t>
        </is>
      </c>
      <c r="B4" s="23" t="inlineStr">
        <is>
          <t>Platforms, Frameworks, Or Third-Party</t>
        </is>
      </c>
      <c r="C4" s="24" t="inlineStr">
        <is>
          <t>When selecting new technologies, platforms, frameworks, or third-party components, security shall be a selection criterion with equal weight to functional requirements.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A.8.27-14</t>
        </is>
      </c>
      <c r="B5" s="23" t="inlineStr">
        <is>
          <t>Technology Selection Decisions For</t>
        </is>
      </c>
      <c r="C5" s="24" t="inlineStr">
        <is>
          <t>Technology selection decisions for High-Risk systems shall be documented with security assessment evidence and approved by the CISO before procurement.</t>
        </is>
      </c>
      <c r="D5" s="25" t="n"/>
      <c r="E5" s="5" t="n"/>
      <c r="F5" s="5" t="n"/>
      <c r="G5" s="26" t="n"/>
      <c r="H5" s="5" t="n"/>
    </row>
  </sheetData>
  <mergeCells count="2">
    <mergeCell ref="A2:H2"/>
    <mergeCell ref="A1:H1"/>
  </mergeCells>
  <conditionalFormatting sqref="D4:D5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Security Baselines — Compliance Checklist</t>
        </is>
      </c>
    </row>
    <row r="2">
      <c r="A2" s="21" t="inlineStr">
        <is>
          <t>ISO/IEC 27001:2022 — Control A.8.27: Secure System Architecture and Engineering Principles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A.8.27-15</t>
        </is>
      </c>
      <c r="B4" s="23" t="inlineStr">
        <is>
          <t>Maintain Security Baselines For Each</t>
        </is>
      </c>
      <c r="C4" s="24" t="inlineStr">
        <is>
          <t>The organisation shall maintain security baselines for each system tier, defining the minimum security controls required.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A.8.27-16</t>
        </is>
      </c>
      <c r="B5" s="23" t="inlineStr">
        <is>
          <t>System Tier</t>
        </is>
      </c>
      <c r="C5" s="24" t="inlineStr">
        <is>
          <t>System tier shall be reviewed and potentially reclassified when:.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A.8.27-17</t>
        </is>
      </c>
      <c r="B6" s="23" t="inlineStr">
        <is>
          <t>Re-Classification Triggers Updated</t>
        </is>
      </c>
      <c r="C6" s="24" t="inlineStr">
        <is>
          <t>Re-classification triggers updated security baseline requirements and architecture review. The System Owner shall request a re-classification review from the CISO when any trigger occurs.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A.8.27-18</t>
        </is>
      </c>
      <c r="B7" s="23" t="inlineStr">
        <is>
          <t>Security Baselines</t>
        </is>
      </c>
      <c r="C7" s="24" t="inlineStr">
        <is>
          <t>Security baselines shall be reviewed annually by the CISO and updated to reflect current threats, technology changes, and regulatory requirements.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Secure Architecture Patterns — Compliance Checklist</t>
        </is>
      </c>
    </row>
    <row r="2">
      <c r="A2" s="21" t="inlineStr">
        <is>
          <t>ISO/IEC 27001:2022 — Control A.8.27: Secure System Architecture and Engineering Principles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A.8.27-19</t>
        </is>
      </c>
      <c r="B4" s="23" t="inlineStr">
        <is>
          <t>Maintain A Catalogue Of Approved Secure</t>
        </is>
      </c>
      <c r="C4" s="24" t="inlineStr">
        <is>
          <t>The organisation shall maintain a catalogue of approved secure architecture patterns that system designers shall reference when building new systems or modifying existing ones.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A.8.27-20</t>
        </is>
      </c>
      <c r="B5" s="23" t="inlineStr">
        <is>
          <t>Approved Pattern</t>
        </is>
      </c>
      <c r="C5" s="24" t="inlineStr">
        <is>
          <t>Each approved pattern shall document:.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A.8.27-21</t>
        </is>
      </c>
      <c r="B6" s="23" t="inlineStr">
        <is>
          <t>Approved Patterns</t>
        </is>
      </c>
      <c r="C6" s="24" t="inlineStr">
        <is>
          <t>Approved patterns shall be reviewed annually for continued appropriateness.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A.8.27-22</t>
        </is>
      </c>
      <c r="B7" s="23" t="inlineStr">
        <is>
          <t>New Patterns</t>
        </is>
      </c>
      <c r="C7" s="24" t="inlineStr">
        <is>
          <t>New patterns shall be validated through threat modelling before addition to the catalogue.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Third-Party &amp; Acquired Systems — Compliance Checklist</t>
        </is>
      </c>
    </row>
    <row r="2">
      <c r="A2" s="21" t="inlineStr">
        <is>
          <t>ISO/IEC 27001:2022 — Control A.8.27: Secure System Architecture and Engineering Principles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A.8.27-23</t>
        </is>
      </c>
      <c r="B4" s="23" t="inlineStr">
        <is>
          <t>Secure Engineering Principles</t>
        </is>
      </c>
      <c r="C4" s="24" t="inlineStr">
        <is>
          <t>Secure engineering principles shall apply to third-party developed and acquired systems that are integrated into the organisation's environment.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A.8.27-24</t>
        </is>
      </c>
      <c r="B5" s="23" t="inlineStr">
        <is>
          <t>Security Architecture Documentation</t>
        </is>
      </c>
      <c r="C5" s="24" t="inlineStr">
        <is>
          <t>Security architecture documentation shall be reviewed before procurement approval.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A.8.27-25</t>
        </is>
      </c>
      <c r="B6" s="23" t="inlineStr">
        <is>
          <t>Vendor Security Assessment</t>
        </is>
      </c>
      <c r="C6" s="24" t="inlineStr">
        <is>
          <t>Vendor security assessment shall be conducted per the Supplier and Cloud Services Policy (A.5.19-23).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A.8.27-26</t>
        </is>
      </c>
      <c r="B7" s="23" t="inlineStr">
        <is>
          <t>Architecture Compatibility With The</t>
        </is>
      </c>
      <c r="C7" s="24" t="inlineStr">
        <is>
          <t>Architecture compatibility with the organisation's security standards shall be verified.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A.8.27-27</t>
        </is>
      </c>
      <c r="B8" s="23" t="inlineStr">
        <is>
          <t>Third-Party Developers</t>
        </is>
      </c>
      <c r="C8" s="24" t="inlineStr">
        <is>
          <t>Third-party developers shall be contractually required to follow the organisation's secure engineering principles.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A.8.27-28</t>
        </is>
      </c>
      <c r="B9" s="23" t="inlineStr">
        <is>
          <t>Security Architecture Review</t>
        </is>
      </c>
      <c r="C9" s="24" t="inlineStr">
        <is>
          <t>Security architecture review shall be required at design milestone.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A.8.27-29</t>
        </is>
      </c>
      <c r="B10" s="23" t="inlineStr">
        <is>
          <t>Evidence Of Secure Development Practices</t>
        </is>
      </c>
      <c r="C10" s="24" t="inlineStr">
        <is>
          <t>Evidence of secure development practices shall be provided.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A.8.27-30</t>
        </is>
      </c>
      <c r="B11" s="23" t="inlineStr">
        <is>
          <t>Security Testing Results</t>
        </is>
      </c>
      <c r="C11" s="24" t="inlineStr">
        <is>
          <t>Security testing results shall be provided before acceptance.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A.8.27-31</t>
        </is>
      </c>
      <c r="B12" s="23" t="inlineStr">
        <is>
          <t>Vendor Non-Compliance</t>
        </is>
      </c>
      <c r="C12" s="24" t="inlineStr">
        <is>
          <t>Vendor non-compliance shall trigger issue escalation per contract terms.</t>
        </is>
      </c>
      <c r="D12" s="25" t="n"/>
      <c r="E12" s="5" t="n"/>
      <c r="F12" s="5" t="n"/>
      <c r="G12" s="26" t="n"/>
      <c r="H12" s="5" t="n"/>
    </row>
  </sheetData>
  <mergeCells count="2">
    <mergeCell ref="A2:H2"/>
    <mergeCell ref="A1:H1"/>
  </mergeCells>
  <conditionalFormatting sqref="D4:D12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Compliance Measurement — Compliance Checklist</t>
        </is>
      </c>
    </row>
    <row r="2">
      <c r="A2" s="21" t="inlineStr">
        <is>
          <t>ISO/IEC 27001:2022 — Control A.8.27: Secure System Architecture and Engineering Principles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A.8.27-32</t>
        </is>
      </c>
      <c r="B4" s="23" t="inlineStr">
        <is>
          <t>The Following Metrics</t>
        </is>
      </c>
      <c r="C4" s="24" t="inlineStr">
        <is>
          <t>The following metrics shall be tracked and reported to the CISO quarterly:.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A.8.27-33</t>
        </is>
      </c>
      <c r="B5" s="23" t="inlineStr">
        <is>
          <t>Metrics Breaching Red Thresholds</t>
        </is>
      </c>
      <c r="C5" s="24" t="inlineStr">
        <is>
          <t>Metrics breaching red thresholds shall be escalated to the CISO for immediate attention and reported at the next Management Review.</t>
        </is>
      </c>
      <c r="D5" s="25" t="n"/>
      <c r="E5" s="5" t="n"/>
      <c r="F5" s="5" t="n"/>
      <c r="G5" s="26" t="n"/>
      <c r="H5" s="5" t="n"/>
    </row>
  </sheetData>
  <mergeCells count="2">
    <mergeCell ref="A2:H2"/>
    <mergeCell ref="A1:H1"/>
  </mergeCells>
  <conditionalFormatting sqref="D4:D5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2026-02-08T11:26:20Z</dcterms:created>
  <dcterms:modified xmlns:dcterms="http://purl.org/dc/terms/" xmlns:xsi="http://www.w3.org/2001/XMLSchema-instance" xsi:type="dcterms:W3CDTF">2026-02-08T11:26:21Z</dcterms:modified>
</cp:coreProperties>
</file>