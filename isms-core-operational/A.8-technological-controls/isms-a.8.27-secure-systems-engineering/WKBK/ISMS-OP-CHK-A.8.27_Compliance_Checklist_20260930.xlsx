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 Architecture Documentation" sheetId="3" state="visible" r:id="rId3"/>
    <sheet xmlns:r="http://schemas.openxmlformats.org/officeDocument/2006/relationships" name="Architecture Review Process" sheetId="4" state="visible" r:id="rId4"/>
    <sheet xmlns:r="http://schemas.openxmlformats.org/officeDocument/2006/relationships" name="Technology Select Sec Criteria" sheetId="5" state="visible" r:id="rId5"/>
    <sheet xmlns:r="http://schemas.openxmlformats.org/officeDocument/2006/relationships" name="Security Baselines" sheetId="6" state="visible" r:id="rId6"/>
    <sheet xmlns:r="http://schemas.openxmlformats.org/officeDocument/2006/relationships" name="Secure Architecture Patterns" sheetId="7" state="visible" r:id="rId7"/>
    <sheet xmlns:r="http://schemas.openxmlformats.org/officeDocument/2006/relationships" name="Third-Party &amp; Acquired Systems" sheetId="8" state="visible" r:id="rId8"/>
    <sheet xmlns:r="http://schemas.openxmlformats.org/officeDocument/2006/relationships" name="Compliance Measurement" sheetId="9" state="visible" r:id="rId9"/>
  </sheets>
  <definedNames>
    <definedName name="_xlnm.Print_Area" localSheetId="0">'Executive Summary'!$A$1:$H$67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ISMS-OP-CHK-A.8.27 — Secure System Architecture and Engineering Principles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ISMS-OP-CHK-A.8.27</t>
        </is>
      </c>
    </row>
    <row r="5">
      <c r="A5" s="3" t="inlineStr">
        <is>
          <t>Source Policy</t>
        </is>
      </c>
      <c r="B5" s="4" t="inlineStr">
        <is>
          <t>ISMS-OP-POL-A.8.27</t>
        </is>
      </c>
    </row>
    <row r="6">
      <c r="A6" s="3" t="inlineStr">
        <is>
          <t>ISO Controls</t>
        </is>
      </c>
      <c r="B6" s="4" t="inlineStr">
        <is>
          <t>Secure System Architecture and Engineering Principles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IF(Dashboard!H11&gt;0,"INCOMPLETE",IF(Dashboard!G11="N/A","NOT ASSESSED",IF(ISNUMBER(VALUE(SUBSTITUTE(Dashboard!G11,"%",""))),IF(VALUE(SUBSTITUTE(Dashboard!G11,"%",""))&gt;=90,"GREEN",IF(VALUE(SUBSTITUTE(Dashboard!G11,"%",""))&gt;=70,"AMBER","RED")),"NOT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Unanswered</t>
        </is>
      </c>
      <c r="B22" s="10">
        <f>'Dashboard'!H11</f>
        <v/>
      </c>
    </row>
    <row r="23">
      <c r="A23" s="3" t="inlineStr">
        <is>
          <t>Owner Coverage</t>
        </is>
      </c>
      <c r="B23" s="10">
        <f>IF(Dashboard!B11=0,"N/A",ROUND((COUNTA('Sec Architecture Documentation'!F4:F6)+COUNTA('Architecture Review Process'!F4:F12)+COUNTA('Technology Select Sec Criteria'!F4:F5)+COUNTA('Security Baselines'!F4:F7)+COUNTA('Secure Architecture Patterns'!F4:F7)+COUNTA('Third-Party &amp; Acquired Systems'!F4:F12)+COUNTA('Compliance Measurement'!F4:F5))/Dashboard!B11*100,0)&amp;"%")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Sec Architecture Documentation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Architecture Review Process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Technology Select Sec Criteria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Security Baselines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Secure Architecture Patterns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Third-Party &amp; Acquired Systems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Compliance Measurement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5">
      <c r="A35" s="6" t="inlineStr">
        <is>
          <t>CRITICAL ISSUES</t>
        </is>
      </c>
    </row>
    <row r="36">
      <c r="A36" s="11" t="inlineStr">
        <is>
          <t>#</t>
        </is>
      </c>
      <c r="B36" s="11" t="inlineStr">
        <is>
          <t>Issue Description</t>
        </is>
      </c>
      <c r="C36" s="11" t="inlineStr">
        <is>
          <t>Domain</t>
        </is>
      </c>
      <c r="D36" s="11" t="inlineStr">
        <is>
          <t>Owner</t>
        </is>
      </c>
      <c r="E36" s="11" t="inlineStr">
        <is>
          <t>Due Date</t>
        </is>
      </c>
    </row>
    <row r="37">
      <c r="A37" s="4" t="n">
        <v>1</v>
      </c>
      <c r="B37" s="5" t="n"/>
      <c r="C37" s="5" t="n"/>
      <c r="D37" s="5" t="n"/>
      <c r="E37" s="5" t="n"/>
    </row>
    <row r="38">
      <c r="A38" s="4" t="n">
        <v>2</v>
      </c>
      <c r="B38" s="5" t="n"/>
      <c r="C38" s="5" t="n"/>
      <c r="D38" s="5" t="n"/>
      <c r="E38" s="5" t="n"/>
    </row>
    <row r="39">
      <c r="A39" s="4" t="n">
        <v>3</v>
      </c>
      <c r="B39" s="5" t="n"/>
      <c r="C39" s="5" t="n"/>
      <c r="D39" s="5" t="n"/>
      <c r="E39" s="5" t="n"/>
    </row>
    <row r="40">
      <c r="A40" s="4" t="n">
        <v>4</v>
      </c>
      <c r="B40" s="5" t="n"/>
      <c r="C40" s="5" t="n"/>
      <c r="D40" s="5" t="n"/>
      <c r="E40" s="5" t="n"/>
    </row>
    <row r="41">
      <c r="A41" s="4" t="n">
        <v>5</v>
      </c>
      <c r="B41" s="5" t="n"/>
      <c r="C41" s="5" t="n"/>
      <c r="D41" s="5" t="n"/>
      <c r="E41" s="5" t="n"/>
    </row>
    <row r="43">
      <c r="A43" s="6" t="inlineStr">
        <is>
          <t>MANAGEMENT COMMENTARY</t>
        </is>
      </c>
    </row>
    <row r="44" ht="60" customHeight="1">
      <c r="A44" s="12" t="inlineStr">
        <is>
          <t>[Enter management commentary on secure system architecture and engineering principles posture]</t>
        </is>
      </c>
    </row>
    <row r="45"/>
    <row r="46"/>
    <row r="48">
      <c r="A48" s="6" t="inlineStr">
        <is>
          <t>APPROVAL</t>
        </is>
      </c>
    </row>
    <row r="49">
      <c r="A49" s="13" t="inlineStr">
        <is>
          <t>Assessed By</t>
        </is>
      </c>
    </row>
    <row r="50">
      <c r="A50" s="14" t="inlineStr">
        <is>
          <t>Name:</t>
        </is>
      </c>
      <c r="B50" s="5" t="n"/>
    </row>
    <row r="51">
      <c r="A51" s="14" t="inlineStr">
        <is>
          <t>Date:</t>
        </is>
      </c>
      <c r="B51" s="5" t="n"/>
    </row>
    <row r="52">
      <c r="A52" s="14" t="inlineStr">
        <is>
          <t>Signature:</t>
        </is>
      </c>
      <c r="B52" s="5" t="n"/>
    </row>
    <row r="53">
      <c r="A53" s="14" t="inlineStr">
        <is>
          <t>Decision:</t>
        </is>
      </c>
      <c r="B53" s="5" t="n"/>
    </row>
    <row r="55">
      <c r="A55" s="13" t="inlineStr">
        <is>
          <t>Reviewed By (ISO Manager)</t>
        </is>
      </c>
    </row>
    <row r="56">
      <c r="A56" s="14" t="inlineStr">
        <is>
          <t>Name:</t>
        </is>
      </c>
      <c r="B56" s="5" t="n"/>
    </row>
    <row r="57">
      <c r="A57" s="14" t="inlineStr">
        <is>
          <t>Date:</t>
        </is>
      </c>
      <c r="B57" s="5" t="n"/>
    </row>
    <row r="58">
      <c r="A58" s="14" t="inlineStr">
        <is>
          <t>Signature:</t>
        </is>
      </c>
      <c r="B58" s="5" t="n"/>
    </row>
    <row r="59">
      <c r="A59" s="14" t="inlineStr">
        <is>
          <t>Decision:</t>
        </is>
      </c>
      <c r="B59" s="5" t="n"/>
    </row>
    <row r="61">
      <c r="A61" s="13" t="inlineStr">
        <is>
          <t>Approved By (CISO)</t>
        </is>
      </c>
    </row>
    <row r="62">
      <c r="A62" s="14" t="inlineStr">
        <is>
          <t>Name:</t>
        </is>
      </c>
      <c r="B62" s="5" t="n"/>
    </row>
    <row r="63">
      <c r="A63" s="14" t="inlineStr">
        <is>
          <t>Date:</t>
        </is>
      </c>
      <c r="B63" s="5" t="n"/>
    </row>
    <row r="64">
      <c r="A64" s="14" t="inlineStr">
        <is>
          <t>Signature:</t>
        </is>
      </c>
      <c r="B64" s="5" t="n"/>
    </row>
    <row r="65">
      <c r="A65" s="14" t="inlineStr">
        <is>
          <t>Decision:</t>
        </is>
      </c>
      <c r="B65" s="5" t="n"/>
    </row>
  </sheetData>
  <mergeCells count="12">
    <mergeCell ref="A12:H12"/>
    <mergeCell ref="A48:H48"/>
    <mergeCell ref="A35:H35"/>
    <mergeCell ref="A25:H25"/>
    <mergeCell ref="A43:H43"/>
    <mergeCell ref="A16:H16"/>
    <mergeCell ref="A49:B49"/>
    <mergeCell ref="A61:B61"/>
    <mergeCell ref="A1:H1"/>
    <mergeCell ref="A3:B3"/>
    <mergeCell ref="A55:B55"/>
    <mergeCell ref="A44:H46"/>
  </mergeCells>
  <dataValidations count="1">
    <dataValidation sqref="B53 B59 B65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Secure System Architecture and Engineering Principles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Sec Architecture Documentation</t>
        </is>
      </c>
      <c r="B4" s="15">
        <f>COUNTA('Sec Architecture Documentation'!A4:A6)</f>
        <v/>
      </c>
      <c r="C4" s="15">
        <f>COUNTIF('Sec Architecture Documentation'!D4:D6,"Compliant")</f>
        <v/>
      </c>
      <c r="D4" s="15">
        <f>COUNTIF('Sec Architecture Documentation'!D4:D6,"Partial")</f>
        <v/>
      </c>
      <c r="E4" s="15">
        <f>COUNTIF('Sec Architecture Documentation'!D4:D6,"Non-Compliant")</f>
        <v/>
      </c>
      <c r="F4" s="15">
        <f>COUNTIF('Sec Architecture Documentation'!D4:D6,"N/A")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Architecture Review Process</t>
        </is>
      </c>
      <c r="B5" s="15">
        <f>COUNTA('Architecture Review Process'!A4:A12)</f>
        <v/>
      </c>
      <c r="C5" s="15">
        <f>COUNTIF('Architecture Review Process'!D4:D12,"Compliant")</f>
        <v/>
      </c>
      <c r="D5" s="15">
        <f>COUNTIF('Architecture Review Process'!D4:D12,"Partial")</f>
        <v/>
      </c>
      <c r="E5" s="15">
        <f>COUNTIF('Architecture Review Process'!D4:D12,"Non-Compliant")</f>
        <v/>
      </c>
      <c r="F5" s="15">
        <f>COUNTIF('Architecture Review Process'!D4:D12,"N/A")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Technology Select Sec Criteria</t>
        </is>
      </c>
      <c r="B6" s="15">
        <f>COUNTA('Technology Select Sec Criteria'!A4:A5)</f>
        <v/>
      </c>
      <c r="C6" s="15">
        <f>COUNTIF('Technology Select Sec Criteria'!D4:D5,"Compliant")</f>
        <v/>
      </c>
      <c r="D6" s="15">
        <f>COUNTIF('Technology Select Sec Criteria'!D4:D5,"Partial")</f>
        <v/>
      </c>
      <c r="E6" s="15">
        <f>COUNTIF('Technology Select Sec Criteria'!D4:D5,"Non-Compliant")</f>
        <v/>
      </c>
      <c r="F6" s="15">
        <f>COUNTIF('Technology Select Sec Criteria'!D4:D5,"N/A")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Security Baselines</t>
        </is>
      </c>
      <c r="B7" s="15">
        <f>COUNTA('Security Baselines'!A4:A7)</f>
        <v/>
      </c>
      <c r="C7" s="15">
        <f>COUNTIF('Security Baselines'!D4:D7,"Compliant")</f>
        <v/>
      </c>
      <c r="D7" s="15">
        <f>COUNTIF('Security Baselines'!D4:D7,"Partial")</f>
        <v/>
      </c>
      <c r="E7" s="15">
        <f>COUNTIF('Security Baselines'!D4:D7,"Non-Compliant")</f>
        <v/>
      </c>
      <c r="F7" s="15">
        <f>COUNTIF('Security Baselines'!D4:D7,"N/A")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Secure Architecture Patterns</t>
        </is>
      </c>
      <c r="B8" s="15">
        <f>COUNTA('Secure Architecture Patterns'!A4:A7)</f>
        <v/>
      </c>
      <c r="C8" s="15">
        <f>COUNTIF('Secure Architecture Patterns'!D4:D7,"Compliant")</f>
        <v/>
      </c>
      <c r="D8" s="15">
        <f>COUNTIF('Secure Architecture Patterns'!D4:D7,"Partial")</f>
        <v/>
      </c>
      <c r="E8" s="15">
        <f>COUNTIF('Secure Architecture Patterns'!D4:D7,"Non-Compliant")</f>
        <v/>
      </c>
      <c r="F8" s="15">
        <f>COUNTIF('Secure Architecture Patterns'!D4:D7,"N/A")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Third-Party &amp; Acquired Systems</t>
        </is>
      </c>
      <c r="B9" s="15">
        <f>COUNTA('Third-Party &amp; Acquired Systems'!A4:A12)</f>
        <v/>
      </c>
      <c r="C9" s="15">
        <f>COUNTIF('Third-Party &amp; Acquired Systems'!D4:D12,"Compliant")</f>
        <v/>
      </c>
      <c r="D9" s="15">
        <f>COUNTIF('Third-Party &amp; Acquired Systems'!D4:D12,"Partial")</f>
        <v/>
      </c>
      <c r="E9" s="15">
        <f>COUNTIF('Third-Party &amp; Acquired Systems'!D4:D12,"Non-Compliant")</f>
        <v/>
      </c>
      <c r="F9" s="15">
        <f>COUNTIF('Third-Party &amp; Acquired Systems'!D4:D12,"N/A")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Compliance Measurement</t>
        </is>
      </c>
      <c r="B10" s="15">
        <f>COUNTA('Compliance Measurement'!A4:A5)</f>
        <v/>
      </c>
      <c r="C10" s="15">
        <f>COUNTIF('Compliance Measurement'!D4:D5,"Compliant")</f>
        <v/>
      </c>
      <c r="D10" s="15">
        <f>COUNTIF('Compliance Measurement'!D4:D5,"Partial")</f>
        <v/>
      </c>
      <c r="E10" s="15">
        <f>COUNTIF('Compliance Measurement'!D4:D5,"Non-Compliant")</f>
        <v/>
      </c>
      <c r="F10" s="15">
        <f>COUNTIF('Compliance Measurement'!D4:D5,"N/A")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  <c r="H11" s="16">
        <f>SUM(H4:H10)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 Architecture Documentation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A.8.27-01</t>
        </is>
      </c>
      <c r="B4" s="23" t="inlineStr">
        <is>
          <t>Systems Classified As High-Risk Or</t>
        </is>
      </c>
      <c r="C4" s="24" t="inlineStr">
        <is>
          <t>All systems classified as High-Risk or Medium-Risk shall have documented security architecture. Low-Risk systems shall have, at minimum, a completed security checklist.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A.8.27-02</t>
        </is>
      </c>
      <c r="B5" s="23" t="inlineStr">
        <is>
          <t>Documentation Storage*: Security</t>
        </is>
      </c>
      <c r="C5" s="24" t="inlineStr">
        <is>
          <t>Documentation Storage*: Security architecture documentation shall be stored in [Architecture Tool / Confluence / SharePoint] with access restricted to: CISO, Development Manager, System Owner, and personnel with documented need-to-know approved by the CISO. Documentation shall be version-controlled.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A.8.27-03</t>
        </is>
      </c>
      <c r="B6" s="23" t="inlineStr">
        <is>
          <t>Documentation Currency*: Security</t>
        </is>
      </c>
      <c r="C6" s="24" t="inlineStr">
        <is>
          <t>Documentation Currency*: Security architecture documentation shall be reviewed and updated: when significant changes are made to the system, when new threats are identified that affect the system, and at least annually for High-Risk systems.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Architecture Review Process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A.8.27-04</t>
        </is>
      </c>
      <c r="B4" s="23" t="inlineStr">
        <is>
          <t>New Systems And Significant Changes To</t>
        </is>
      </c>
      <c r="C4" s="24" t="inlineStr">
        <is>
          <t>All new systems and significant changes to existing systems shall undergo security architecture review before implementation.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A.8.27-05</t>
        </is>
      </c>
      <c r="B5" s="23" t="inlineStr">
        <is>
          <t>Approval Criteria*: Architecture</t>
        </is>
      </c>
      <c r="C5" s="24" t="inlineStr">
        <is>
          <t>Approval Criteria*: Architecture shall not be approved if:.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A.8.27-06</t>
        </is>
      </c>
      <c r="B6" s="23" t="inlineStr">
        <is>
          <t>Incomplete Submissions</t>
        </is>
      </c>
      <c r="C6" s="24" t="inlineStr">
        <is>
          <t>Incomplete submissions shall be returned within 3 business days with specific gaps identified. Clock resets upon resubmission of complete documentation.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A.8.27-07</t>
        </is>
      </c>
      <c r="B7" s="23" t="inlineStr">
        <is>
          <t>Engage External Security Architecture</t>
        </is>
      </c>
      <c r="C7" s="24" t="inlineStr">
        <is>
          <t>Organisations shall engage external security architecture specialists when:.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A.8.27-08</t>
        </is>
      </c>
      <c r="B8" s="23" t="inlineStr">
        <is>
          <t>External Reviewers</t>
        </is>
      </c>
      <c r="C8" s="24" t="inlineStr">
        <is>
          <t>External reviewers shall be selected based on: relevant industry certifications (CISSP, CCSP, or equivalent), demonstrated experience with similar architectures, and independence from implementation vendors.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A.8.27-09</t>
        </is>
      </c>
      <c r="B9" s="23" t="inlineStr">
        <is>
          <t>The Stride Methodology</t>
        </is>
      </c>
      <c r="C9" s="24" t="inlineStr">
        <is>
          <t>Where threat modelling is required, the STRIDE methodology shall be used as the primary approach:.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A.8.27-10</t>
        </is>
      </c>
      <c r="B10" s="23" t="inlineStr">
        <is>
          <t>Threat Models</t>
        </is>
      </c>
      <c r="C10" s="24" t="inlineStr">
        <is>
          <t>Threat models shall be retained for:.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A.8.27-11</t>
        </is>
      </c>
      <c r="B11" s="23" t="inlineStr">
        <is>
          <t>Major Incidents: Threat Models For</t>
        </is>
      </c>
      <c r="C11" s="24" t="inlineStr">
        <is>
          <t>Major incidents: Threat models for systems involved in security incidents shall be retained permanently (minimum 7 years).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A.8.27-12</t>
        </is>
      </c>
      <c r="B12" s="23" t="inlineStr">
        <is>
          <t>Threat Models</t>
        </is>
      </c>
      <c r="C12" s="24" t="inlineStr">
        <is>
          <t>Threat models shall be reviewed and updated: at each major release, when the system architecture changes significantly, when new threat intelligence relevant to the system is identified, and at least annually for High-Risk systems.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Technology Select Sec Criteria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A.8.27-13</t>
        </is>
      </c>
      <c r="B4" s="23" t="inlineStr">
        <is>
          <t>Platforms, Frameworks, Or Third-Party</t>
        </is>
      </c>
      <c r="C4" s="24" t="inlineStr">
        <is>
          <t>When selecting new technologies, platforms, frameworks, or third-party components, security shall be a selection criterion with equal weight to functional requirements.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A.8.27-14</t>
        </is>
      </c>
      <c r="B5" s="23" t="inlineStr">
        <is>
          <t>Technology Selection Decisions For</t>
        </is>
      </c>
      <c r="C5" s="24" t="inlineStr">
        <is>
          <t>Technology selection decisions for High-Risk systems shall be documented with security assessment evidence and approved by the CISO before procurement.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Baselines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A.8.27-15</t>
        </is>
      </c>
      <c r="B4" s="23" t="inlineStr">
        <is>
          <t>Maintain Security Baselines For Each</t>
        </is>
      </c>
      <c r="C4" s="24" t="inlineStr">
        <is>
          <t>The organisation shall maintain security baselines for each system tier, defining the minimum security controls required.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A.8.27-16</t>
        </is>
      </c>
      <c r="B5" s="23" t="inlineStr">
        <is>
          <t>System Tier</t>
        </is>
      </c>
      <c r="C5" s="24" t="inlineStr">
        <is>
          <t>System tier shall be reviewed and potentially reclassified when:.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A.8.27-17</t>
        </is>
      </c>
      <c r="B6" s="23" t="inlineStr">
        <is>
          <t>Re-Classification Triggers Updated</t>
        </is>
      </c>
      <c r="C6" s="24" t="inlineStr">
        <is>
          <t>Re-classification triggers updated security baseline requirements and architecture review. The System Owner shall request a re-classification review from the CISO when any trigger occurs.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A.8.27-18</t>
        </is>
      </c>
      <c r="B7" s="23" t="inlineStr">
        <is>
          <t>Security Baselines</t>
        </is>
      </c>
      <c r="C7" s="24" t="inlineStr">
        <is>
          <t>Security baselines shall be reviewed annually by the CISO and updated to reflect current threats, technology changes, and regulatory requirements.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Architecture Patterns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A.8.27-19</t>
        </is>
      </c>
      <c r="B4" s="23" t="inlineStr">
        <is>
          <t>Maintain A Catalogue Of Approved Secure</t>
        </is>
      </c>
      <c r="C4" s="24" t="inlineStr">
        <is>
          <t>The organisation shall maintain a catalogue of approved secure architecture patterns that system designers shall reference when building new systems or modifying existing ones.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A.8.27-20</t>
        </is>
      </c>
      <c r="B5" s="23" t="inlineStr">
        <is>
          <t>Approved Pattern</t>
        </is>
      </c>
      <c r="C5" s="24" t="inlineStr">
        <is>
          <t>Each approved pattern shall document:.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A.8.27-21</t>
        </is>
      </c>
      <c r="B6" s="23" t="inlineStr">
        <is>
          <t>Approved Patterns</t>
        </is>
      </c>
      <c r="C6" s="24" t="inlineStr">
        <is>
          <t>Approved patterns shall be reviewed annually for continued appropriateness.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A.8.27-22</t>
        </is>
      </c>
      <c r="B7" s="23" t="inlineStr">
        <is>
          <t>New Patterns</t>
        </is>
      </c>
      <c r="C7" s="24" t="inlineStr">
        <is>
          <t>New patterns shall be validated through threat modelling before addition to the catalogue.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Third-Party &amp; Acquired Systems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A.8.27-23</t>
        </is>
      </c>
      <c r="B4" s="23" t="inlineStr">
        <is>
          <t>Secure Engineering Principles</t>
        </is>
      </c>
      <c r="C4" s="24" t="inlineStr">
        <is>
          <t>Secure engineering principles shall apply to third-party developed and acquired systems that are integrated into the organisation's environment.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A.8.27-24</t>
        </is>
      </c>
      <c r="B5" s="23" t="inlineStr">
        <is>
          <t>Security Architecture Documentation</t>
        </is>
      </c>
      <c r="C5" s="24" t="inlineStr">
        <is>
          <t>Security architecture documentation shall be reviewed before procurement approval.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A.8.27-25</t>
        </is>
      </c>
      <c r="B6" s="23" t="inlineStr">
        <is>
          <t>Vendor Security Assessment</t>
        </is>
      </c>
      <c r="C6" s="24" t="inlineStr">
        <is>
          <t>Vendor security assessment shall be conducted per the Supplier and Cloud Services Policy (A.5.19-23).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A.8.27-26</t>
        </is>
      </c>
      <c r="B7" s="23" t="inlineStr">
        <is>
          <t>Architecture Compatibility With The</t>
        </is>
      </c>
      <c r="C7" s="24" t="inlineStr">
        <is>
          <t>Architecture compatibility with the organisation's security standards shall be verified.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A.8.27-27</t>
        </is>
      </c>
      <c r="B8" s="23" t="inlineStr">
        <is>
          <t>Third-Party Developers</t>
        </is>
      </c>
      <c r="C8" s="24" t="inlineStr">
        <is>
          <t>Third-party developers shall be contractually required to follow the organisation's secure engineering principles.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A.8.27-28</t>
        </is>
      </c>
      <c r="B9" s="23" t="inlineStr">
        <is>
          <t>Security Architecture Review</t>
        </is>
      </c>
      <c r="C9" s="24" t="inlineStr">
        <is>
          <t>Security architecture review shall be required at design milestone.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A.8.27-29</t>
        </is>
      </c>
      <c r="B10" s="23" t="inlineStr">
        <is>
          <t>Evidence Of Secure Development Practices</t>
        </is>
      </c>
      <c r="C10" s="24" t="inlineStr">
        <is>
          <t>Evidence of secure development practices shall be provided.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A.8.27-30</t>
        </is>
      </c>
      <c r="B11" s="23" t="inlineStr">
        <is>
          <t>Security Testing Results</t>
        </is>
      </c>
      <c r="C11" s="24" t="inlineStr">
        <is>
          <t>Security testing results shall be provided before acceptance.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A.8.27-31</t>
        </is>
      </c>
      <c r="B12" s="23" t="inlineStr">
        <is>
          <t>Vendor Non-Compliance</t>
        </is>
      </c>
      <c r="C12" s="24" t="inlineStr">
        <is>
          <t>Vendor non-compliance shall trigger issue escalation per contract terms.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A.8.27-32</t>
        </is>
      </c>
      <c r="B4" s="23" t="inlineStr">
        <is>
          <t>The Following Metrics</t>
        </is>
      </c>
      <c r="C4" s="24" t="inlineStr">
        <is>
          <t>The following metrics shall be tracked and reported to the CISO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A.8.27-33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2026-09-30T11:46:14Z</dcterms:created>
  <dcterms:modified xmlns:dcterms="http://purl.org/dc/terms/" xmlns:xsi="http://www.w3.org/2001/XMLSchema-instance" xsi:type="dcterms:W3CDTF">2026-09-30T11:46:14Z</dcterms:modified>
</cp:coreProperties>
</file>