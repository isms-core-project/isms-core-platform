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figuration Baselines" sheetId="3" state="visible" r:id="rId3"/>
    <sheet xmlns:r="http://schemas.openxmlformats.org/officeDocument/2006/relationships" name="Standard Builds &amp; Golden Images" sheetId="4" state="visible" r:id="rId4"/>
    <sheet xmlns:r="http://schemas.openxmlformats.org/officeDocument/2006/relationships" name="Configuration Change Control" sheetId="5" state="visible" r:id="rId5"/>
    <sheet xmlns:r="http://schemas.openxmlformats.org/officeDocument/2006/relationships" name="Config Drift Detection and Mon" sheetId="6" state="visible" r:id="rId6"/>
    <sheet xmlns:r="http://schemas.openxmlformats.org/officeDocument/2006/relationships" name="Security Hardening Standards" sheetId="7" state="visible" r:id="rId7"/>
    <sheet xmlns:r="http://schemas.openxmlformats.org/officeDocument/2006/relationships" name="Configuration Audit" sheetId="8" state="visible" r:id="rId8"/>
    <sheet xmlns:r="http://schemas.openxmlformats.org/officeDocument/2006/relationships" name="Emergency Configuration Changes" sheetId="9" state="visible" r:id="rId9"/>
  </sheets>
  <definedNames>
    <definedName name="_xlnm.Print_Area" localSheetId="0">'Executive Summary'!$A$1:$H$67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ISMS-OP-CHK-A.8.9 — Configuration Management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ISMS-OP-CHK-A.8.9</t>
        </is>
      </c>
    </row>
    <row r="5">
      <c r="A5" s="3" t="inlineStr">
        <is>
          <t>Source Policy</t>
        </is>
      </c>
      <c r="B5" s="4" t="inlineStr">
        <is>
          <t>ISMS-OP-POL-A.8.9</t>
        </is>
      </c>
    </row>
    <row r="6">
      <c r="A6" s="3" t="inlineStr">
        <is>
          <t>ISO Controls</t>
        </is>
      </c>
      <c r="B6" s="4" t="inlineStr">
        <is>
          <t>Configuration Management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'Dashboard'!G11</f>
        <v/>
      </c>
    </row>
    <row r="14">
      <c r="A14" s="7" t="inlineStr">
        <is>
          <t>Status</t>
        </is>
      </c>
      <c r="B14" s="9">
        <f>IF(Dashboard!H11&gt;0,"INCOMPLETE",IF(Dashboard!G11="N/A","NOT ASSESSED",IF(ISNUMBER(VALUE(SUBSTITUTE(Dashboard!G11,"%",""))),IF(VALUE(SUBSTITUTE(Dashboard!G11,"%",""))&gt;=90,"GREEN",IF(VALUE(SUBSTITUTE(Dashboard!G11,"%",""))&gt;=70,"AMBER","RED")),"NOT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'Dashboard'!B11</f>
        <v/>
      </c>
    </row>
    <row r="18">
      <c r="A18" s="3" t="inlineStr">
        <is>
          <t>Compliant</t>
        </is>
      </c>
      <c r="B18" s="10">
        <f>'Dashboard'!C11</f>
        <v/>
      </c>
    </row>
    <row r="19">
      <c r="A19" s="3" t="inlineStr">
        <is>
          <t>Partial</t>
        </is>
      </c>
      <c r="B19" s="10">
        <f>'Dashboard'!D11</f>
        <v/>
      </c>
    </row>
    <row r="20">
      <c r="A20" s="3" t="inlineStr">
        <is>
          <t>Non-Compliant</t>
        </is>
      </c>
      <c r="B20" s="10">
        <f>'Dashboard'!E11</f>
        <v/>
      </c>
    </row>
    <row r="21">
      <c r="A21" s="3" t="inlineStr">
        <is>
          <t>Not Applicable</t>
        </is>
      </c>
      <c r="B21" s="10">
        <f>'Dashboard'!F11</f>
        <v/>
      </c>
    </row>
    <row r="22">
      <c r="A22" s="3" t="inlineStr">
        <is>
          <t>Unanswered</t>
        </is>
      </c>
      <c r="B22" s="10">
        <f>'Dashboard'!H11</f>
        <v/>
      </c>
    </row>
    <row r="23">
      <c r="A23" s="3" t="inlineStr">
        <is>
          <t>Owner Coverage</t>
        </is>
      </c>
      <c r="B23" s="10">
        <f>IF(Dashboard!B11=0,"N/A",ROUND((COUNTA('Configuration Baselines'!F4:F14)+COUNTA('Standard Builds &amp; Golden Images'!F4:F6)+COUNTA('Configuration Change Control'!F4:F9)+COUNTA('Config Drift Detection and Mon'!F4:F11)+COUNTA('Security Hardening Standards'!F4:F13)+COUNTA('Configuration Audit'!F4:F6)+COUNTA('Emergency Configuration Changes'!F4:F8))/Dashboard!B11*100,0)&amp;"%")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Configuration Baselines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Standard Builds &amp; Golden Images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29">
      <c r="A29" s="4" t="inlineStr">
        <is>
          <t>Configuration Change Control</t>
        </is>
      </c>
      <c r="B29" s="4">
        <f>'Dashboard'!G6</f>
        <v/>
      </c>
      <c r="C29" s="4">
        <f>'Dashboard'!C6</f>
        <v/>
      </c>
      <c r="D29" s="4">
        <f>'Dashboard'!E6</f>
        <v/>
      </c>
      <c r="E29" s="4">
        <f>IF(Dashboard!H6&gt;0,"INCOMPLETE",IF(Dashboard!G6="N/A","--",IF(ISNUMBER(VALUE(SUBSTITUTE(Dashboard!G6,"%",""))),IF(VALUE(SUBSTITUTE(Dashboard!G6,"%",""))&gt;=90,"PASS",IF(VALUE(SUBSTITUTE(Dashboard!G6,"%",""))&gt;=70,"REVIEW","FAIL")),"--")))</f>
        <v/>
      </c>
    </row>
    <row r="30">
      <c r="A30" s="4" t="inlineStr">
        <is>
          <t>Config Drift Detection and Mon</t>
        </is>
      </c>
      <c r="B30" s="4">
        <f>'Dashboard'!G7</f>
        <v/>
      </c>
      <c r="C30" s="4">
        <f>'Dashboard'!C7</f>
        <v/>
      </c>
      <c r="D30" s="4">
        <f>'Dashboard'!E7</f>
        <v/>
      </c>
      <c r="E30" s="4">
        <f>IF(Dashboard!H7&gt;0,"INCOMPLETE",IF(Dashboard!G7="N/A","--",IF(ISNUMBER(VALUE(SUBSTITUTE(Dashboard!G7,"%",""))),IF(VALUE(SUBSTITUTE(Dashboard!G7,"%",""))&gt;=90,"PASS",IF(VALUE(SUBSTITUTE(Dashboard!G7,"%",""))&gt;=70,"REVIEW","FAIL")),"--")))</f>
        <v/>
      </c>
    </row>
    <row r="31">
      <c r="A31" s="4" t="inlineStr">
        <is>
          <t>Security Hardening Standards</t>
        </is>
      </c>
      <c r="B31" s="4">
        <f>'Dashboard'!G8</f>
        <v/>
      </c>
      <c r="C31" s="4">
        <f>'Dashboard'!C8</f>
        <v/>
      </c>
      <c r="D31" s="4">
        <f>'Dashboard'!E8</f>
        <v/>
      </c>
      <c r="E31" s="4">
        <f>IF(Dashboard!H8&gt;0,"INCOMPLETE",IF(Dashboard!G8="N/A","--",IF(ISNUMBER(VALUE(SUBSTITUTE(Dashboard!G8,"%",""))),IF(VALUE(SUBSTITUTE(Dashboard!G8,"%",""))&gt;=90,"PASS",IF(VALUE(SUBSTITUTE(Dashboard!G8,"%",""))&gt;=70,"REVIEW","FAIL")),"--")))</f>
        <v/>
      </c>
    </row>
    <row r="32">
      <c r="A32" s="4" t="inlineStr">
        <is>
          <t>Configuration Audit</t>
        </is>
      </c>
      <c r="B32" s="4">
        <f>'Dashboard'!G9</f>
        <v/>
      </c>
      <c r="C32" s="4">
        <f>'Dashboard'!C9</f>
        <v/>
      </c>
      <c r="D32" s="4">
        <f>'Dashboard'!E9</f>
        <v/>
      </c>
      <c r="E32" s="4">
        <f>IF(Dashboard!H9&gt;0,"INCOMPLETE",IF(Dashboard!G9="N/A","--",IF(ISNUMBER(VALUE(SUBSTITUTE(Dashboard!G9,"%",""))),IF(VALUE(SUBSTITUTE(Dashboard!G9,"%",""))&gt;=90,"PASS",IF(VALUE(SUBSTITUTE(Dashboard!G9,"%",""))&gt;=70,"REVIEW","FAIL")),"--")))</f>
        <v/>
      </c>
    </row>
    <row r="33">
      <c r="A33" s="4" t="inlineStr">
        <is>
          <t>Emergency Configuration Changes</t>
        </is>
      </c>
      <c r="B33" s="4">
        <f>'Dashboard'!G10</f>
        <v/>
      </c>
      <c r="C33" s="4">
        <f>'Dashboard'!C10</f>
        <v/>
      </c>
      <c r="D33" s="4">
        <f>'Dashboard'!E10</f>
        <v/>
      </c>
      <c r="E33" s="4">
        <f>IF(Dashboard!H10&gt;0,"INCOMPLETE",IF(Dashboard!G10="N/A","--",IF(ISNUMBER(VALUE(SUBSTITUTE(Dashboard!G10,"%",""))),IF(VALUE(SUBSTITUTE(Dashboard!G10,"%",""))&gt;=90,"PASS",IF(VALUE(SUBSTITUTE(Dashboard!G10,"%",""))&gt;=70,"REVIEW","FAIL")),"--")))</f>
        <v/>
      </c>
    </row>
    <row r="35">
      <c r="A35" s="6" t="inlineStr">
        <is>
          <t>CRITICAL ISSUES</t>
        </is>
      </c>
    </row>
    <row r="36">
      <c r="A36" s="11" t="inlineStr">
        <is>
          <t>#</t>
        </is>
      </c>
      <c r="B36" s="11" t="inlineStr">
        <is>
          <t>Issue Description</t>
        </is>
      </c>
      <c r="C36" s="11" t="inlineStr">
        <is>
          <t>Domain</t>
        </is>
      </c>
      <c r="D36" s="11" t="inlineStr">
        <is>
          <t>Owner</t>
        </is>
      </c>
      <c r="E36" s="11" t="inlineStr">
        <is>
          <t>Due Date</t>
        </is>
      </c>
    </row>
    <row r="37">
      <c r="A37" s="4" t="n">
        <v>1</v>
      </c>
      <c r="B37" s="5" t="n"/>
      <c r="C37" s="5" t="n"/>
      <c r="D37" s="5" t="n"/>
      <c r="E37" s="5" t="n"/>
    </row>
    <row r="38">
      <c r="A38" s="4" t="n">
        <v>2</v>
      </c>
      <c r="B38" s="5" t="n"/>
      <c r="C38" s="5" t="n"/>
      <c r="D38" s="5" t="n"/>
      <c r="E38" s="5" t="n"/>
    </row>
    <row r="39">
      <c r="A39" s="4" t="n">
        <v>3</v>
      </c>
      <c r="B39" s="5" t="n"/>
      <c r="C39" s="5" t="n"/>
      <c r="D39" s="5" t="n"/>
      <c r="E39" s="5" t="n"/>
    </row>
    <row r="40">
      <c r="A40" s="4" t="n">
        <v>4</v>
      </c>
      <c r="B40" s="5" t="n"/>
      <c r="C40" s="5" t="n"/>
      <c r="D40" s="5" t="n"/>
      <c r="E40" s="5" t="n"/>
    </row>
    <row r="41">
      <c r="A41" s="4" t="n">
        <v>5</v>
      </c>
      <c r="B41" s="5" t="n"/>
      <c r="C41" s="5" t="n"/>
      <c r="D41" s="5" t="n"/>
      <c r="E41" s="5" t="n"/>
    </row>
    <row r="43">
      <c r="A43" s="6" t="inlineStr">
        <is>
          <t>MANAGEMENT COMMENTARY</t>
        </is>
      </c>
    </row>
    <row r="44" ht="60" customHeight="1">
      <c r="A44" s="12" t="inlineStr">
        <is>
          <t>[Enter management commentary on configuration management posture]</t>
        </is>
      </c>
    </row>
    <row r="45"/>
    <row r="46"/>
    <row r="48">
      <c r="A48" s="6" t="inlineStr">
        <is>
          <t>APPROVAL</t>
        </is>
      </c>
    </row>
    <row r="49">
      <c r="A49" s="13" t="inlineStr">
        <is>
          <t>Assessed By</t>
        </is>
      </c>
    </row>
    <row r="50">
      <c r="A50" s="14" t="inlineStr">
        <is>
          <t>Name:</t>
        </is>
      </c>
      <c r="B50" s="5" t="n"/>
    </row>
    <row r="51">
      <c r="A51" s="14" t="inlineStr">
        <is>
          <t>Date:</t>
        </is>
      </c>
      <c r="B51" s="5" t="n"/>
    </row>
    <row r="52">
      <c r="A52" s="14" t="inlineStr">
        <is>
          <t>Signature:</t>
        </is>
      </c>
      <c r="B52" s="5" t="n"/>
    </row>
    <row r="53">
      <c r="A53" s="14" t="inlineStr">
        <is>
          <t>Decision:</t>
        </is>
      </c>
      <c r="B53" s="5" t="n"/>
    </row>
    <row r="55">
      <c r="A55" s="13" t="inlineStr">
        <is>
          <t>Reviewed By (ISO Manager)</t>
        </is>
      </c>
    </row>
    <row r="56">
      <c r="A56" s="14" t="inlineStr">
        <is>
          <t>Name:</t>
        </is>
      </c>
      <c r="B56" s="5" t="n"/>
    </row>
    <row r="57">
      <c r="A57" s="14" t="inlineStr">
        <is>
          <t>Date:</t>
        </is>
      </c>
      <c r="B57" s="5" t="n"/>
    </row>
    <row r="58">
      <c r="A58" s="14" t="inlineStr">
        <is>
          <t>Signature:</t>
        </is>
      </c>
      <c r="B58" s="5" t="n"/>
    </row>
    <row r="59">
      <c r="A59" s="14" t="inlineStr">
        <is>
          <t>Decision:</t>
        </is>
      </c>
      <c r="B59" s="5" t="n"/>
    </row>
    <row r="61">
      <c r="A61" s="13" t="inlineStr">
        <is>
          <t>Approved By (CISO)</t>
        </is>
      </c>
    </row>
    <row r="62">
      <c r="A62" s="14" t="inlineStr">
        <is>
          <t>Name:</t>
        </is>
      </c>
      <c r="B62" s="5" t="n"/>
    </row>
    <row r="63">
      <c r="A63" s="14" t="inlineStr">
        <is>
          <t>Date:</t>
        </is>
      </c>
      <c r="B63" s="5" t="n"/>
    </row>
    <row r="64">
      <c r="A64" s="14" t="inlineStr">
        <is>
          <t>Signature:</t>
        </is>
      </c>
      <c r="B64" s="5" t="n"/>
    </row>
    <row r="65">
      <c r="A65" s="14" t="inlineStr">
        <is>
          <t>Decision:</t>
        </is>
      </c>
      <c r="B65" s="5" t="n"/>
    </row>
  </sheetData>
  <mergeCells count="12">
    <mergeCell ref="A12:H12"/>
    <mergeCell ref="A48:H48"/>
    <mergeCell ref="A35:H35"/>
    <mergeCell ref="A25:H25"/>
    <mergeCell ref="A43:H43"/>
    <mergeCell ref="A16:H16"/>
    <mergeCell ref="A49:B49"/>
    <mergeCell ref="A61:B61"/>
    <mergeCell ref="A1:H1"/>
    <mergeCell ref="A3:B3"/>
    <mergeCell ref="A55:B55"/>
    <mergeCell ref="A44:H46"/>
  </mergeCells>
  <dataValidations count="1">
    <dataValidation sqref="B53 B59 B65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Configuration Management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Configuration Baselines</t>
        </is>
      </c>
      <c r="B4" s="15">
        <f>COUNTA('Configuration Baselines'!A4:A14)</f>
        <v/>
      </c>
      <c r="C4" s="15">
        <f>COUNTIF('Configuration Baselines'!D4:D14,"Compliant")</f>
        <v/>
      </c>
      <c r="D4" s="15">
        <f>COUNTIF('Configuration Baselines'!D4:D14,"Partial")</f>
        <v/>
      </c>
      <c r="E4" s="15">
        <f>COUNTIF('Configuration Baselines'!D4:D14,"Non-Compliant")</f>
        <v/>
      </c>
      <c r="F4" s="15">
        <f>COUNTIF('Configuration Baselines'!D4:D14,"N/A")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Standard Builds &amp; Golden Images</t>
        </is>
      </c>
      <c r="B5" s="15">
        <f>COUNTA('Standard Builds &amp; Golden Images'!A4:A6)</f>
        <v/>
      </c>
      <c r="C5" s="15">
        <f>COUNTIF('Standard Builds &amp; Golden Images'!D4:D6,"Compliant")</f>
        <v/>
      </c>
      <c r="D5" s="15">
        <f>COUNTIF('Standard Builds &amp; Golden Images'!D4:D6,"Partial")</f>
        <v/>
      </c>
      <c r="E5" s="15">
        <f>COUNTIF('Standard Builds &amp; Golden Images'!D4:D6,"Non-Compliant")</f>
        <v/>
      </c>
      <c r="F5" s="15">
        <f>COUNTIF('Standard Builds &amp; Golden Images'!D4:D6,"N/A")</f>
        <v/>
      </c>
      <c r="G5" s="15">
        <f>IF((B5-F5)=0,"N/A",ROUND(C5/(B5-F5)*100,1)&amp;"%")</f>
        <v/>
      </c>
      <c r="H5" s="15">
        <f>B5-(C5+D5+E5+F5)</f>
        <v/>
      </c>
    </row>
    <row r="6">
      <c r="A6" s="3" t="inlineStr">
        <is>
          <t>Configuration Change Control</t>
        </is>
      </c>
      <c r="B6" s="15">
        <f>COUNTA('Configuration Change Control'!A4:A9)</f>
        <v/>
      </c>
      <c r="C6" s="15">
        <f>COUNTIF('Configuration Change Control'!D4:D9,"Compliant")</f>
        <v/>
      </c>
      <c r="D6" s="15">
        <f>COUNTIF('Configuration Change Control'!D4:D9,"Partial")</f>
        <v/>
      </c>
      <c r="E6" s="15">
        <f>COUNTIF('Configuration Change Control'!D4:D9,"Non-Compliant")</f>
        <v/>
      </c>
      <c r="F6" s="15">
        <f>COUNTIF('Configuration Change Control'!D4:D9,"N/A")</f>
        <v/>
      </c>
      <c r="G6" s="15">
        <f>IF((B6-F6)=0,"N/A",ROUND(C6/(B6-F6)*100,1)&amp;"%")</f>
        <v/>
      </c>
      <c r="H6" s="15">
        <f>B6-(C6+D6+E6+F6)</f>
        <v/>
      </c>
    </row>
    <row r="7">
      <c r="A7" s="3" t="inlineStr">
        <is>
          <t>Config Drift Detection and Mon</t>
        </is>
      </c>
      <c r="B7" s="15">
        <f>COUNTA('Config Drift Detection and Mon'!A4:A11)</f>
        <v/>
      </c>
      <c r="C7" s="15">
        <f>COUNTIF('Config Drift Detection and Mon'!D4:D11,"Compliant")</f>
        <v/>
      </c>
      <c r="D7" s="15">
        <f>COUNTIF('Config Drift Detection and Mon'!D4:D11,"Partial")</f>
        <v/>
      </c>
      <c r="E7" s="15">
        <f>COUNTIF('Config Drift Detection and Mon'!D4:D11,"Non-Compliant")</f>
        <v/>
      </c>
      <c r="F7" s="15">
        <f>COUNTIF('Config Drift Detection and Mon'!D4:D11,"N/A")</f>
        <v/>
      </c>
      <c r="G7" s="15">
        <f>IF((B7-F7)=0,"N/A",ROUND(C7/(B7-F7)*100,1)&amp;"%")</f>
        <v/>
      </c>
      <c r="H7" s="15">
        <f>B7-(C7+D7+E7+F7)</f>
        <v/>
      </c>
    </row>
    <row r="8">
      <c r="A8" s="3" t="inlineStr">
        <is>
          <t>Security Hardening Standards</t>
        </is>
      </c>
      <c r="B8" s="15">
        <f>COUNTA('Security Hardening Standards'!A4:A13)</f>
        <v/>
      </c>
      <c r="C8" s="15">
        <f>COUNTIF('Security Hardening Standards'!D4:D13,"Compliant")</f>
        <v/>
      </c>
      <c r="D8" s="15">
        <f>COUNTIF('Security Hardening Standards'!D4:D13,"Partial")</f>
        <v/>
      </c>
      <c r="E8" s="15">
        <f>COUNTIF('Security Hardening Standards'!D4:D13,"Non-Compliant")</f>
        <v/>
      </c>
      <c r="F8" s="15">
        <f>COUNTIF('Security Hardening Standards'!D4:D13,"N/A")</f>
        <v/>
      </c>
      <c r="G8" s="15">
        <f>IF((B8-F8)=0,"N/A",ROUND(C8/(B8-F8)*100,1)&amp;"%")</f>
        <v/>
      </c>
      <c r="H8" s="15">
        <f>B8-(C8+D8+E8+F8)</f>
        <v/>
      </c>
    </row>
    <row r="9">
      <c r="A9" s="3" t="inlineStr">
        <is>
          <t>Configuration Audit</t>
        </is>
      </c>
      <c r="B9" s="15">
        <f>COUNTA('Configuration Audit'!A4:A6)</f>
        <v/>
      </c>
      <c r="C9" s="15">
        <f>COUNTIF('Configuration Audit'!D4:D6,"Compliant")</f>
        <v/>
      </c>
      <c r="D9" s="15">
        <f>COUNTIF('Configuration Audit'!D4:D6,"Partial")</f>
        <v/>
      </c>
      <c r="E9" s="15">
        <f>COUNTIF('Configuration Audit'!D4:D6,"Non-Compliant")</f>
        <v/>
      </c>
      <c r="F9" s="15">
        <f>COUNTIF('Configuration Audit'!D4:D6,"N/A")</f>
        <v/>
      </c>
      <c r="G9" s="15">
        <f>IF((B9-F9)=0,"N/A",ROUND(C9/(B9-F9)*100,1)&amp;"%")</f>
        <v/>
      </c>
      <c r="H9" s="15">
        <f>B9-(C9+D9+E9+F9)</f>
        <v/>
      </c>
    </row>
    <row r="10">
      <c r="A10" s="3" t="inlineStr">
        <is>
          <t>Emergency Configuration Changes</t>
        </is>
      </c>
      <c r="B10" s="15">
        <f>COUNTA('Emergency Configuration Changes'!A4:A8)</f>
        <v/>
      </c>
      <c r="C10" s="15">
        <f>COUNTIF('Emergency Configuration Changes'!D4:D8,"Compliant")</f>
        <v/>
      </c>
      <c r="D10" s="15">
        <f>COUNTIF('Emergency Configuration Changes'!D4:D8,"Partial")</f>
        <v/>
      </c>
      <c r="E10" s="15">
        <f>COUNTIF('Emergency Configuration Changes'!D4:D8,"Non-Compliant")</f>
        <v/>
      </c>
      <c r="F10" s="15">
        <f>COUNTIF('Emergency Configuration Changes'!D4:D8,"N/A")</f>
        <v/>
      </c>
      <c r="G10" s="15">
        <f>IF((B10-F10)=0,"N/A",ROUND(C10/(B10-F10)*100,1)&amp;"%")</f>
        <v/>
      </c>
      <c r="H10" s="15">
        <f>B10-(C10+D10+E10+F10)</f>
        <v/>
      </c>
    </row>
    <row r="11">
      <c r="A11" s="16" t="inlineStr">
        <is>
          <t>TOTAL</t>
        </is>
      </c>
      <c r="B11" s="16">
        <f>SUM(B4:B10)</f>
        <v/>
      </c>
      <c r="C11" s="16">
        <f>SUM(C4:C10)</f>
        <v/>
      </c>
      <c r="D11" s="16">
        <f>SUM(D4:D10)</f>
        <v/>
      </c>
      <c r="E11" s="16">
        <f>SUM(E4:E10)</f>
        <v/>
      </c>
      <c r="F11" s="16">
        <f>SUM(F4:F10)</f>
        <v/>
      </c>
      <c r="G11" s="16">
        <f>IF((B11-F11)=0,"N/A",ROUND(C11/(B11-F11)*100,1)&amp;"%")</f>
        <v/>
      </c>
      <c r="H11" s="16">
        <f>SUM(H4:H10)</f>
        <v/>
      </c>
    </row>
    <row r="13">
      <c r="A13" s="6" t="inlineStr">
        <is>
          <t>COMPLIANCE BY STATUS</t>
        </is>
      </c>
    </row>
    <row r="14">
      <c r="A14" s="3" t="inlineStr">
        <is>
          <t>Compliant</t>
        </is>
      </c>
      <c r="B14" s="17">
        <f>C11</f>
        <v/>
      </c>
      <c r="C14" s="4">
        <f>IF(B11=0,"",ROUND(B14/B11*100,1)&amp;"%")</f>
        <v/>
      </c>
    </row>
    <row r="15">
      <c r="A15" s="3" t="inlineStr">
        <is>
          <t>Partial</t>
        </is>
      </c>
      <c r="B15" s="18">
        <f>D11</f>
        <v/>
      </c>
      <c r="C15" s="4">
        <f>IF(B11=0,"",ROUND(B15/B11*100,1)&amp;"%")</f>
        <v/>
      </c>
    </row>
    <row r="16">
      <c r="A16" s="3" t="inlineStr">
        <is>
          <t>Non-Compliant</t>
        </is>
      </c>
      <c r="B16" s="19">
        <f>E11</f>
        <v/>
      </c>
      <c r="C16" s="4">
        <f>IF(B11=0,"",ROUND(B16/B11*100,1)&amp;"%")</f>
        <v/>
      </c>
    </row>
    <row r="17">
      <c r="A17" s="3" t="inlineStr">
        <is>
          <t>N/A</t>
        </is>
      </c>
      <c r="B17" s="20">
        <f>F11</f>
        <v/>
      </c>
      <c r="C17" s="4">
        <f>IF(B11=0,"",ROUND(B17/B11*100,1)&amp;"%")</f>
        <v/>
      </c>
    </row>
    <row r="19">
      <c r="A19" s="6" t="inlineStr">
        <is>
          <t>TOP GAPS (Manual Entry)</t>
        </is>
      </c>
    </row>
    <row r="20">
      <c r="A20" s="11" t="inlineStr">
        <is>
          <t>Priority</t>
        </is>
      </c>
      <c r="B20" s="11" t="inlineStr">
        <is>
          <t>Domain</t>
        </is>
      </c>
      <c r="C20" s="11" t="inlineStr">
        <is>
          <t>Requirement</t>
        </is>
      </c>
      <c r="D20" s="11" t="inlineStr">
        <is>
          <t>Owner</t>
        </is>
      </c>
      <c r="E20" s="11" t="inlineStr">
        <is>
          <t>Due Date</t>
        </is>
      </c>
      <c r="F20" s="11" t="inlineStr">
        <is>
          <t>Status</t>
        </is>
      </c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2">
      <c r="A32" s="6" t="inlineStr">
        <is>
          <t>COMPLIANCE TREND (Manual Entry)</t>
        </is>
      </c>
    </row>
    <row r="33">
      <c r="A33" s="11" t="inlineStr">
        <is>
          <t>Assessment Date</t>
        </is>
      </c>
      <c r="B33" s="11" t="inlineStr">
        <is>
          <t>Overall %</t>
        </is>
      </c>
      <c r="C33" s="11" t="inlineStr">
        <is>
          <t>Compliant</t>
        </is>
      </c>
      <c r="D33" s="11" t="inlineStr">
        <is>
          <t>Gaps</t>
        </is>
      </c>
      <c r="E33" s="11" t="inlineStr">
        <is>
          <t>Assessor</t>
        </is>
      </c>
      <c r="F33" s="11" t="inlineStr">
        <is>
          <t>Notes</t>
        </is>
      </c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</sheetData>
  <mergeCells count="4">
    <mergeCell ref="A32:G32"/>
    <mergeCell ref="A13:G13"/>
    <mergeCell ref="A19:G19"/>
    <mergeCell ref="A1:G1"/>
  </mergeCells>
  <dataValidations count="1">
    <dataValidation sqref="F21 F22 F23 F24 F25 F26 F27 F28 F29 F30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Configuration Baselines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A.8.9-01</t>
        </is>
      </c>
      <c r="B4" s="23" t="inlineStr">
        <is>
          <t>Define And Maintain Secure Configuration</t>
        </is>
      </c>
      <c r="C4" s="24" t="inlineStr">
        <is>
          <t>The organisation shall define and maintain secure configuration baselines at the asset-type level (e.g., 'Windows Server 2022 — Domain Controller', 'Ubuntu 24.04 — Application Server', 'Cisco IOS-XE — Core Switch'), not at the individual asset level.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A.8.9-02</t>
        </is>
      </c>
      <c r="B5" s="23" t="inlineStr">
        <is>
          <t>Be Defined For All Asset Types</t>
        </is>
      </c>
      <c r="C5" s="24" t="inlineStr">
        <is>
          <t>Baselines shall be defined for all asset types in active production use.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A.8.9-03</t>
        </is>
      </c>
      <c r="B6" s="23" t="inlineStr">
        <is>
          <t>Be Measured By</t>
        </is>
      </c>
      <c r="C6" s="24" t="inlineStr">
        <is>
          <t>Coverage shall be measured by:.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A.8.9-04</t>
        </is>
      </c>
      <c r="B7" s="23" t="inlineStr">
        <is>
          <t>Tier 1/2 Assets Without Baselines:</t>
        </is>
      </c>
      <c r="C7" s="24" t="inlineStr">
        <is>
          <t>Tier 1/2 assets without baselines: Deployment to production shall be blocked until a baseline is created (enforced via change approval).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A.8.9-05</t>
        </is>
      </c>
      <c r="B8" s="23" t="inlineStr">
        <is>
          <t>Document</t>
        </is>
      </c>
      <c r="C8" s="24" t="inlineStr">
        <is>
          <t>Each baseline shall document:.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A.8.9-06</t>
        </is>
      </c>
      <c r="B9" s="23" t="inlineStr">
        <is>
          <t>New Baselines And Baseline Updates</t>
        </is>
      </c>
      <c r="C9" s="24" t="inlineStr">
        <is>
          <t>New baselines and baseline updates shall follow a defined approval workflow:.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A.8.9-07</t>
        </is>
      </c>
      <c r="B10" s="23" t="inlineStr">
        <is>
          <t>Be Reviewed And Updated</t>
        </is>
      </c>
      <c r="C10" s="24" t="inlineStr">
        <is>
          <t>Baselines shall be reviewed and updated:.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A.8.9-08</t>
        </is>
      </c>
      <c r="B11" s="23" t="inlineStr">
        <is>
          <t>The Baseline</t>
        </is>
      </c>
      <c r="C11" s="24" t="inlineStr">
        <is>
          <t>The baseline shall be marked 'DEPRECATED' with an effective date.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A.8.9-09</t>
        </is>
      </c>
      <c r="B12" s="23" t="inlineStr">
        <is>
          <t>The Baseline</t>
        </is>
      </c>
      <c r="C12" s="24" t="inlineStr">
        <is>
          <t>The baseline shall be retained in the repository for 3 years for historical reference.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A.8.9-10</t>
        </is>
      </c>
      <c r="B13" s="23" t="inlineStr">
        <is>
          <t>The Baseline</t>
        </is>
      </c>
      <c r="C13" s="24" t="inlineStr">
        <is>
          <t>The baseline shall be removed from active compliance monitoring.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A.8.9-11</t>
        </is>
      </c>
      <c r="B14" s="23" t="inlineStr">
        <is>
          <t>A Replacement Baseline (If Applicable)</t>
        </is>
      </c>
      <c r="C14" s="24" t="inlineStr">
        <is>
          <t>A replacement baseline (if applicable) shall be linked in the repository.</t>
        </is>
      </c>
      <c r="D14" s="25" t="n"/>
      <c r="E14" s="5" t="n"/>
      <c r="F14" s="5" t="n"/>
      <c r="G14" s="26" t="n"/>
      <c r="H14" s="5" t="n"/>
    </row>
  </sheetData>
  <mergeCells count="2">
    <mergeCell ref="A2:H2"/>
    <mergeCell ref="A1:H1"/>
  </mergeCells>
  <conditionalFormatting sqref="D4:D1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Standard Builds &amp; Golden Images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A.8.9-12</t>
        </is>
      </c>
      <c r="B4" s="23" t="inlineStr">
        <is>
          <t>Golden Images</t>
        </is>
      </c>
      <c r="C4" s="24" t="inlineStr">
        <is>
          <t>Golden images shall:.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A.8.9-13</t>
        </is>
      </c>
      <c r="B5" s="23" t="inlineStr">
        <is>
          <t>Image Age Tracking*: [Asset Management</t>
        </is>
      </c>
      <c r="C5" s="24" t="inlineStr">
        <is>
          <t>Image age tracking*: [Asset Management System] shall record image creation date per deployed instance; report monthly on 'stale deployments' (instances from images older than 30 days).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A.8.9-14</t>
        </is>
      </c>
      <c r="B6" s="23" t="inlineStr">
        <is>
          <t>Golden Image Creation</t>
        </is>
      </c>
      <c r="C6" s="24" t="inlineStr">
        <is>
          <t>Golden image creation shall be restricted to authorised personnel (system administrators or DevOps engineers). New or updated golden images shall be validated by the security team before approval.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Configuration Change Control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A.8.9-15</t>
        </is>
      </c>
      <c r="B4" s="23" t="inlineStr">
        <is>
          <t>Changes To System Configurations</t>
        </is>
      </c>
      <c r="C4" s="24" t="inlineStr">
        <is>
          <t>All changes to system configurations shall follow the organisation's change management process (see Change Management Policy — A.8.32). This section addresses configuration-specific requirements that complement change management.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A.8.9-16</t>
        </is>
      </c>
      <c r="B5" s="23" t="inlineStr">
        <is>
          <t>Configuration Changes</t>
        </is>
      </c>
      <c r="C5" s="24" t="inlineStr">
        <is>
          <t>Configuration changes shall be classified according to risk and impact:.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A.8.9-17</t>
        </is>
      </c>
      <c r="B6" s="23" t="inlineStr">
        <is>
          <t>Documentation: Standard Change Catalogue</t>
        </is>
      </c>
      <c r="C6" s="24" t="inlineStr">
        <is>
          <t>Documentation: Standard change catalogue shall be maintained in [Change Management System] with pre-approved procedures and risk assessments.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A.8.9-18</t>
        </is>
      </c>
      <c r="B7" s="23" t="inlineStr">
        <is>
          <t>Following Any Approved Configuration</t>
        </is>
      </c>
      <c r="C7" s="24" t="inlineStr">
        <is>
          <t>Following any approved configuration change, the following shall be updated within 5 business days:.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A.8.9-19</t>
        </is>
      </c>
      <c r="B8" s="23" t="inlineStr">
        <is>
          <t>Configuration Changes Made Outside The</t>
        </is>
      </c>
      <c r="C8" s="24" t="inlineStr">
        <is>
          <t>Configuration changes made outside the approved change management process shall be treated as security events:.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A.8.9-20</t>
        </is>
      </c>
      <c r="B9" s="23" t="inlineStr">
        <is>
          <t>The Affected System</t>
        </is>
      </c>
      <c r="C9" s="24" t="inlineStr">
        <is>
          <t>The affected system shall be remediated to the approved baseline or a new baseline formally approved through the standard process.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Config Drift Detection and Mon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A.8.9-21</t>
        </is>
      </c>
      <c r="B4" s="23" t="inlineStr">
        <is>
          <t>Implement Configuration Monitoring To</t>
        </is>
      </c>
      <c r="C4" s="24" t="inlineStr">
        <is>
          <t>The organisation shall implement configuration monitoring to detect deviations from approved baselines.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A.8.9-22</t>
        </is>
      </c>
      <c r="B5" s="23" t="inlineStr">
        <is>
          <t>Monitoring Tools</t>
        </is>
      </c>
      <c r="C5" s="24" t="inlineStr">
        <is>
          <t>Monitoring tools shall:.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A.8.9-23</t>
        </is>
      </c>
      <c r="B6" s="23" t="inlineStr">
        <is>
          <t>Tool Selection*: The Organisation</t>
        </is>
      </c>
      <c r="C6" s="24" t="inlineStr">
        <is>
          <t>Tool selection*: The organisation shall select configuration monitoring tools appropriate to its technical environment. Tools shall support baseline comparison and drift detection. Examples include: file integrity monitoring (FIM) tools, cloud configuration assessment tools (e.g., AWS Config, Azure Policy, GCP Security Command Center), endpoint management platforms, and configuration compliance scanners.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A.8.9-24</t>
        </is>
      </c>
      <c r="B7" s="23" t="inlineStr">
        <is>
          <t>Asset Types Not Yet Under Automated</t>
        </is>
      </c>
      <c r="C7" s="24" t="inlineStr">
        <is>
          <t>Asset types not yet under automated monitoring shall be documented with a planned deployment date and interim manual controls (e.g., quarterly manual audits). Coverage gaps shall be risk-accepted by the CISO and recorded in the risk register.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A.8.9-25</t>
        </is>
      </c>
      <c r="B8" s="23" t="inlineStr">
        <is>
          <t>Risk Acceptance Does Not Waive Interim</t>
        </is>
      </c>
      <c r="C8" s="24" t="inlineStr">
        <is>
          <t>Risk acceptance does not waive interim controls — manual audits shall continue.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A.8.9-26</t>
        </is>
      </c>
      <c r="B9" s="23" t="inlineStr">
        <is>
          <t>Be Classified By Severity And Responded</t>
        </is>
      </c>
      <c r="C9" s="24" t="inlineStr">
        <is>
          <t>When configuration drift is detected, it shall be classified by severity and responded to within defined timelines:.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A.8.9-27</t>
        </is>
      </c>
      <c r="B10" s="23" t="inlineStr">
        <is>
          <t>Drift Remediation</t>
        </is>
      </c>
      <c r="C10" s="24" t="inlineStr">
        <is>
          <t>Drift remediation shall follow a structured workflow:.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A.8.9-28</t>
        </is>
      </c>
      <c r="B11" s="23" t="inlineStr">
        <is>
          <t>Recurring Drift On The Same System</t>
        </is>
      </c>
      <c r="C11" s="24" t="inlineStr">
        <is>
          <t>Recurring drift on the same system or asset type shall trigger a root cause analysis. If the root cause is a baseline that is impractical to maintain, the baseline shall be reviewed and updated through the standard approval process rather than repeatedly accepting exceptions.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Security Hardening Standards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A.8.9-29</t>
        </is>
      </c>
      <c r="B4" s="23" t="inlineStr">
        <is>
          <t>Select And Apply Recognised Security</t>
        </is>
      </c>
      <c r="C4" s="24" t="inlineStr">
        <is>
          <t>The organisation shall select and apply recognised security hardening standards for all production asset types.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A.8.9-30</t>
        </is>
      </c>
      <c r="B5" s="23" t="inlineStr">
        <is>
          <t>The Organisation</t>
        </is>
      </c>
      <c r="C5" s="24" t="inlineStr">
        <is>
          <t>Where multiple standards exist for an asset type, the organisation shall select the standard most appropriate to its risk profile and document the selection rationale.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A.8.9-31</t>
        </is>
      </c>
      <c r="B6" s="23" t="inlineStr">
        <is>
          <t>Production Systems</t>
        </is>
      </c>
      <c r="C6" s="24" t="inlineStr">
        <is>
          <t>All production systems shall be hardened before deployment. Hardening shall include, at minimum:.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A.8.9-32</t>
        </is>
      </c>
      <c r="B7" s="23" t="inlineStr">
        <is>
          <t>Hardening Compliance</t>
        </is>
      </c>
      <c r="C7" s="24" t="inlineStr">
        <is>
          <t>Hardening compliance shall be verified through periodic scanning:.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A.8.9-33</t>
        </is>
      </c>
      <c r="B8" s="23" t="inlineStr">
        <is>
          <t>Scan Results And Compliance Reports</t>
        </is>
      </c>
      <c r="C8" s="24" t="inlineStr">
        <is>
          <t>Scan results and compliance reports shall be retained for a minimum of 3 years for audit purposes.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A.8.9-34</t>
        </is>
      </c>
      <c r="B9" s="23" t="inlineStr">
        <is>
          <t>Hardening Gaps Identified Through</t>
        </is>
      </c>
      <c r="C9" s="24" t="inlineStr">
        <is>
          <t>Hardening gaps identified through verification shall be remediated according to risk:.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A.8.9-35</t>
        </is>
      </c>
      <c r="B10" s="23" t="inlineStr">
        <is>
          <t>Gaps That Cannot Be Remediated Due</t>
        </is>
      </c>
      <c r="C10" s="24" t="inlineStr">
        <is>
          <t>Gaps that cannot be remediated due to technical constraints or business requirements shall be documented as exceptions with compensating controls (see Exception Management below).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A.8.9-36</t>
        </is>
      </c>
      <c r="B11" s="23" t="inlineStr">
        <is>
          <t>Reduce Risk To An Acceptable Level</t>
        </is>
      </c>
      <c r="C11" s="24" t="inlineStr">
        <is>
          <t>Controls shall reduce risk to an acceptable level (CISO determination).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A.8.9-37</t>
        </is>
      </c>
      <c r="B12" s="23" t="inlineStr">
        <is>
          <t>Be Verifiable And Auditable (Not Merely</t>
        </is>
      </c>
      <c r="C12" s="24" t="inlineStr">
        <is>
          <t>Controls shall be verifiable and auditable (not merely 'we will be careful').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A.8.9-38</t>
        </is>
      </c>
      <c r="B13" s="23" t="inlineStr">
        <is>
          <t>Expiry: 12 Months Maximum</t>
        </is>
      </c>
      <c r="C13" s="24" t="inlineStr">
        <is>
          <t>Expiry: 12 months maximum; shall be re-justified if still needed.</t>
        </is>
      </c>
      <c r="D13" s="25" t="n"/>
      <c r="E13" s="5" t="n"/>
      <c r="F13" s="5" t="n"/>
      <c r="G13" s="26" t="n"/>
      <c r="H13" s="5" t="n"/>
    </row>
  </sheetData>
  <mergeCells count="2">
    <mergeCell ref="A2:H2"/>
    <mergeCell ref="A1:H1"/>
  </mergeCells>
  <conditionalFormatting sqref="D4:D13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Configuration Audit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A.8.9-39</t>
        </is>
      </c>
      <c r="B4" s="23" t="inlineStr">
        <is>
          <t>Conduct Periodic Configuration Audits To</t>
        </is>
      </c>
      <c r="C4" s="24" t="inlineStr">
        <is>
          <t>The organisation shall conduct periodic configuration audits to verify that:.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A.8.9-40</t>
        </is>
      </c>
      <c r="B5" s="23" t="inlineStr">
        <is>
          <t>Configuration Audits</t>
        </is>
      </c>
      <c r="C5" s="24" t="inlineStr">
        <is>
          <t>Configuration audits shall produce documented evidence including:.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A.8.9-41</t>
        </is>
      </c>
      <c r="B6" s="23" t="inlineStr">
        <is>
          <t>Audit Results</t>
        </is>
      </c>
      <c r="C6" s="24" t="inlineStr">
        <is>
          <t>Audit results shall be reported to the CISO and included in the management review process.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Emergency Configuration Changes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A.8.9-42</t>
        </is>
      </c>
      <c r="B4" s="23" t="inlineStr">
        <is>
          <t>The System</t>
        </is>
      </c>
      <c r="C4" s="24" t="inlineStr">
        <is>
          <t>The system shall be restored to a documented, known-good configuration state as quickly as possible.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A.8.9-43</t>
        </is>
      </c>
      <c r="B5" s="23" t="inlineStr">
        <is>
          <t>The Baseline</t>
        </is>
      </c>
      <c r="C5" s="24" t="inlineStr">
        <is>
          <t>If the emergency change results in a new configuration state (not a return to baseline), the baseline shall be updated through the standard approval process within 5 business days.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A.8.9-44</t>
        </is>
      </c>
      <c r="B6" s="23" t="inlineStr">
        <is>
          <t>Emergency Configuration Changes</t>
        </is>
      </c>
      <c r="C6" s="24" t="inlineStr">
        <is>
          <t>All emergency configuration changes shall be logged with: the specific configuration parameters changed, the previous values, the new values, the person who made the change, and the business justification.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A.8.9-45</t>
        </is>
      </c>
      <c r="B7" s="23" t="inlineStr">
        <is>
          <t>Retrospective Review By The Ciso Or</t>
        </is>
      </c>
      <c r="C7" s="24" t="inlineStr">
        <is>
          <t>Retrospective review by the CISO or delegate shall occur within 48 hours.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A.8.9-46</t>
        </is>
      </c>
      <c r="B8" s="23" t="inlineStr">
        <is>
          <t>Emergency Configuration Changes</t>
        </is>
      </c>
      <c r="C8" s="24" t="inlineStr">
        <is>
          <t>Emergency configuration changes shall not exceed 10% of all configuration changes in any calendar month. Exceeding this threshold triggers a process review.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2026-09-30T11:46:15Z</dcterms:created>
  <dcterms:modified xmlns:dcterms="http://purl.org/dc/terms/" xmlns:xsi="http://www.w3.org/2001/XMLSchema-instance" xsi:type="dcterms:W3CDTF">2026-09-30T11:46:16Z</dcterms:modified>
</cp:coreProperties>
</file>