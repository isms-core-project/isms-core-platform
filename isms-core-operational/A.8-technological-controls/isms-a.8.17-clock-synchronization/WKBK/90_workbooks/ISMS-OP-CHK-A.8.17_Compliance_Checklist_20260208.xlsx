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uthoritative Time Sources" sheetId="3" state="visible" r:id="rId3"/>
    <sheet xmlns:r="http://schemas.openxmlformats.org/officeDocument/2006/relationships" name="Synchronisation Protocol" sheetId="4" state="visible" r:id="rId4"/>
    <sheet xmlns:r="http://schemas.openxmlformats.org/officeDocument/2006/relationships" name="Timestamp Format" sheetId="5" state="visible" r:id="rId5"/>
    <sheet xmlns:r="http://schemas.openxmlformats.org/officeDocument/2006/relationships" name="Clock Drift Tolerances" sheetId="6" state="visible" r:id="rId6"/>
    <sheet xmlns:r="http://schemas.openxmlformats.org/officeDocument/2006/relationships" name="Cloud Service Time" sheetId="7" state="visible" r:id="rId7"/>
    <sheet xmlns:r="http://schemas.openxmlformats.org/officeDocument/2006/relationships" name="Leap Second Handling" sheetId="8" state="visible" r:id="rId8"/>
    <sheet xmlns:r="http://schemas.openxmlformats.org/officeDocument/2006/relationships" name="NTP Security" sheetId="9" state="visible" r:id="rId9"/>
  </sheets>
  <definedNames>
    <definedName name="_xlnm.Print_Area" localSheetId="0">'Executive Summary'!$A$1:$H$66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ISMS-OP-CHK-A.8.17 — Clock Synchronisation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ISMS-OP-CHK-A.8.17</t>
        </is>
      </c>
    </row>
    <row r="5">
      <c r="A5" s="3" t="inlineStr">
        <is>
          <t>Source Policy</t>
        </is>
      </c>
      <c r="B5" s="4" t="inlineStr">
        <is>
          <t>ISMS-OP-POL-A.8.17</t>
        </is>
      </c>
    </row>
    <row r="6">
      <c r="A6" s="3" t="inlineStr">
        <is>
          <t>ISO Controls</t>
        </is>
      </c>
      <c r="B6" s="4" t="inlineStr">
        <is>
          <t>Clock Synchronisation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IF(Dashboard!G11="N/A","NOT ASSESSED",IF(ISNUMBER(VALUE(SUBSTITUTE(Dashboard!G11,"%",""))),IF(VALUE(SUBSTITUTE(Dashboard!G11,"%",""))&gt;=90,"GREEN",IF(VALUE(SUBSTITUTE(Dashboard!G11,"%",""))&gt;=70,"AMBER","RED")),"NOT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Owner Coverage</t>
        </is>
      </c>
      <c r="B22" s="10">
        <f>IF(Dashboard!B11=0,"N/A",ROUND((COUNTA('Authoritative Time Sources'!F4:F6)+COUNTA('Synchronisation Protocol'!F4:F6)+COUNTA('Timestamp Format'!F4:F7)+COUNTA('Clock Drift Tolerances'!F4:F7)+COUNTA('Cloud Service Time'!F4:F4)+COUNTA('Leap Second Handling'!F4:F4)+COUNTA('NTP Security'!F4:F7))/Dashboard!B11*100,0)&amp;"%")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Authoritative Time Sources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Synchronisation Protocol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Timestamp Format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Clock Drift Tolerances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Cloud Service Time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Leap Second Handling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NTP Security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4">
      <c r="A34" s="6" t="inlineStr">
        <is>
          <t>CRITICAL ISSUES</t>
        </is>
      </c>
    </row>
    <row r="35">
      <c r="A35" s="11" t="inlineStr">
        <is>
          <t>#</t>
        </is>
      </c>
      <c r="B35" s="11" t="inlineStr">
        <is>
          <t>Issue Description</t>
        </is>
      </c>
      <c r="C35" s="11" t="inlineStr">
        <is>
          <t>Domain</t>
        </is>
      </c>
      <c r="D35" s="11" t="inlineStr">
        <is>
          <t>Owner</t>
        </is>
      </c>
      <c r="E35" s="11" t="inlineStr">
        <is>
          <t>Due Date</t>
        </is>
      </c>
    </row>
    <row r="36">
      <c r="A36" s="4" t="n">
        <v>1</v>
      </c>
      <c r="B36" s="5" t="n"/>
      <c r="C36" s="5" t="n"/>
      <c r="D36" s="5" t="n"/>
      <c r="E36" s="5" t="n"/>
    </row>
    <row r="37">
      <c r="A37" s="4" t="n">
        <v>2</v>
      </c>
      <c r="B37" s="5" t="n"/>
      <c r="C37" s="5" t="n"/>
      <c r="D37" s="5" t="n"/>
      <c r="E37" s="5" t="n"/>
    </row>
    <row r="38">
      <c r="A38" s="4" t="n">
        <v>3</v>
      </c>
      <c r="B38" s="5" t="n"/>
      <c r="C38" s="5" t="n"/>
      <c r="D38" s="5" t="n"/>
      <c r="E38" s="5" t="n"/>
    </row>
    <row r="39">
      <c r="A39" s="4" t="n">
        <v>4</v>
      </c>
      <c r="B39" s="5" t="n"/>
      <c r="C39" s="5" t="n"/>
      <c r="D39" s="5" t="n"/>
      <c r="E39" s="5" t="n"/>
    </row>
    <row r="40">
      <c r="A40" s="4" t="n">
        <v>5</v>
      </c>
      <c r="B40" s="5" t="n"/>
      <c r="C40" s="5" t="n"/>
      <c r="D40" s="5" t="n"/>
      <c r="E40" s="5" t="n"/>
    </row>
    <row r="42">
      <c r="A42" s="6" t="inlineStr">
        <is>
          <t>MANAGEMENT COMMENTARY</t>
        </is>
      </c>
    </row>
    <row r="43" ht="60" customHeight="1">
      <c r="A43" s="12" t="inlineStr">
        <is>
          <t>[Enter management commentary on clock synchronisation posture]</t>
        </is>
      </c>
    </row>
    <row r="44"/>
    <row r="45"/>
    <row r="47">
      <c r="A47" s="6" t="inlineStr">
        <is>
          <t>APPROVAL</t>
        </is>
      </c>
    </row>
    <row r="48">
      <c r="A48" s="13" t="inlineStr">
        <is>
          <t>Assessed By</t>
        </is>
      </c>
    </row>
    <row r="49">
      <c r="A49" s="14" t="inlineStr">
        <is>
          <t>Name:</t>
        </is>
      </c>
      <c r="B49" s="5" t="n"/>
    </row>
    <row r="50">
      <c r="A50" s="14" t="inlineStr">
        <is>
          <t>Date:</t>
        </is>
      </c>
      <c r="B50" s="5" t="n"/>
    </row>
    <row r="51">
      <c r="A51" s="14" t="inlineStr">
        <is>
          <t>Signature:</t>
        </is>
      </c>
      <c r="B51" s="5" t="n"/>
    </row>
    <row r="52">
      <c r="A52" s="14" t="inlineStr">
        <is>
          <t>Decision:</t>
        </is>
      </c>
      <c r="B52" s="5" t="n"/>
    </row>
    <row r="54">
      <c r="A54" s="13" t="inlineStr">
        <is>
          <t>Reviewed By (ISO Manager)</t>
        </is>
      </c>
    </row>
    <row r="55">
      <c r="A55" s="14" t="inlineStr">
        <is>
          <t>Name:</t>
        </is>
      </c>
      <c r="B55" s="5" t="n"/>
    </row>
    <row r="56">
      <c r="A56" s="14" t="inlineStr">
        <is>
          <t>Date:</t>
        </is>
      </c>
      <c r="B56" s="5" t="n"/>
    </row>
    <row r="57">
      <c r="A57" s="14" t="inlineStr">
        <is>
          <t>Signature:</t>
        </is>
      </c>
      <c r="B57" s="5" t="n"/>
    </row>
    <row r="58">
      <c r="A58" s="14" t="inlineStr">
        <is>
          <t>Decision:</t>
        </is>
      </c>
      <c r="B58" s="5" t="n"/>
    </row>
    <row r="60">
      <c r="A60" s="13" t="inlineStr">
        <is>
          <t>Approved By (CISO)</t>
        </is>
      </c>
    </row>
    <row r="61">
      <c r="A61" s="14" t="inlineStr">
        <is>
          <t>Name:</t>
        </is>
      </c>
      <c r="B61" s="5" t="n"/>
    </row>
    <row r="62">
      <c r="A62" s="14" t="inlineStr">
        <is>
          <t>Date:</t>
        </is>
      </c>
      <c r="B62" s="5" t="n"/>
    </row>
    <row r="63">
      <c r="A63" s="14" t="inlineStr">
        <is>
          <t>Signature:</t>
        </is>
      </c>
      <c r="B63" s="5" t="n"/>
    </row>
    <row r="64">
      <c r="A64" s="14" t="inlineStr">
        <is>
          <t>Decision:</t>
        </is>
      </c>
      <c r="B64" s="5" t="n"/>
    </row>
  </sheetData>
  <mergeCells count="12">
    <mergeCell ref="A12:H12"/>
    <mergeCell ref="A43:H45"/>
    <mergeCell ref="A48:B48"/>
    <mergeCell ref="A54:B54"/>
    <mergeCell ref="A60:B60"/>
    <mergeCell ref="A24:H24"/>
    <mergeCell ref="A16:H16"/>
    <mergeCell ref="A42:H42"/>
    <mergeCell ref="A47:H47"/>
    <mergeCell ref="A1:H1"/>
    <mergeCell ref="A3:B3"/>
    <mergeCell ref="A34:H34"/>
  </mergeCells>
  <dataValidations count="1">
    <dataValidation sqref="B52 B58 B64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Clock Synchronisation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Authoritative Time Sources</t>
        </is>
      </c>
      <c r="B4" s="15">
        <f>COUNTA('Authoritative Time Sources'!D4:D6)</f>
        <v/>
      </c>
      <c r="C4" s="15">
        <f>COUNTIF('Authoritative Time Sources'!D4:D6,"Compliant")</f>
        <v/>
      </c>
      <c r="D4" s="15">
        <f>COUNTIF('Authoritative Time Sources'!D4:D6,"Partial")</f>
        <v/>
      </c>
      <c r="E4" s="15">
        <f>COUNTIF('Authoritative Time Sources'!D4:D6,"Non-Compliant")</f>
        <v/>
      </c>
      <c r="F4" s="15">
        <f>COUNTIF('Authoritative Time Sources'!D4:D6,"N/A")</f>
        <v/>
      </c>
      <c r="G4" s="15">
        <f>IF((B4-F4)=0,"N/A",ROUND(C4/(B4-F4)*100,1)&amp;"%")</f>
        <v/>
      </c>
    </row>
    <row r="5">
      <c r="A5" s="3" t="inlineStr">
        <is>
          <t>Synchronisation Protocol</t>
        </is>
      </c>
      <c r="B5" s="15">
        <f>COUNTA('Synchronisation Protocol'!D4:D6)</f>
        <v/>
      </c>
      <c r="C5" s="15">
        <f>COUNTIF('Synchronisation Protocol'!D4:D6,"Compliant")</f>
        <v/>
      </c>
      <c r="D5" s="15">
        <f>COUNTIF('Synchronisation Protocol'!D4:D6,"Partial")</f>
        <v/>
      </c>
      <c r="E5" s="15">
        <f>COUNTIF('Synchronisation Protocol'!D4:D6,"Non-Compliant")</f>
        <v/>
      </c>
      <c r="F5" s="15">
        <f>COUNTIF('Synchronisation Protocol'!D4:D6,"N/A")</f>
        <v/>
      </c>
      <c r="G5" s="15">
        <f>IF((B5-F5)=0,"N/A",ROUND(C5/(B5-F5)*100,1)&amp;"%")</f>
        <v/>
      </c>
    </row>
    <row r="6">
      <c r="A6" s="3" t="inlineStr">
        <is>
          <t>Timestamp Format</t>
        </is>
      </c>
      <c r="B6" s="15">
        <f>COUNTA('Timestamp Format'!D4:D7)</f>
        <v/>
      </c>
      <c r="C6" s="15">
        <f>COUNTIF('Timestamp Format'!D4:D7,"Compliant")</f>
        <v/>
      </c>
      <c r="D6" s="15">
        <f>COUNTIF('Timestamp Format'!D4:D7,"Partial")</f>
        <v/>
      </c>
      <c r="E6" s="15">
        <f>COUNTIF('Timestamp Format'!D4:D7,"Non-Compliant")</f>
        <v/>
      </c>
      <c r="F6" s="15">
        <f>COUNTIF('Timestamp Format'!D4:D7,"N/A")</f>
        <v/>
      </c>
      <c r="G6" s="15">
        <f>IF((B6-F6)=0,"N/A",ROUND(C6/(B6-F6)*100,1)&amp;"%")</f>
        <v/>
      </c>
    </row>
    <row r="7">
      <c r="A7" s="3" t="inlineStr">
        <is>
          <t>Clock Drift Tolerances</t>
        </is>
      </c>
      <c r="B7" s="15">
        <f>COUNTA('Clock Drift Tolerances'!D4:D7)</f>
        <v/>
      </c>
      <c r="C7" s="15">
        <f>COUNTIF('Clock Drift Tolerances'!D4:D7,"Compliant")</f>
        <v/>
      </c>
      <c r="D7" s="15">
        <f>COUNTIF('Clock Drift Tolerances'!D4:D7,"Partial")</f>
        <v/>
      </c>
      <c r="E7" s="15">
        <f>COUNTIF('Clock Drift Tolerances'!D4:D7,"Non-Compliant")</f>
        <v/>
      </c>
      <c r="F7" s="15">
        <f>COUNTIF('Clock Drift Tolerances'!D4:D7,"N/A")</f>
        <v/>
      </c>
      <c r="G7" s="15">
        <f>IF((B7-F7)=0,"N/A",ROUND(C7/(B7-F7)*100,1)&amp;"%")</f>
        <v/>
      </c>
    </row>
    <row r="8">
      <c r="A8" s="3" t="inlineStr">
        <is>
          <t>Cloud Service Time</t>
        </is>
      </c>
      <c r="B8" s="15">
        <f>COUNTA('Cloud Service Time'!D4:D4)</f>
        <v/>
      </c>
      <c r="C8" s="15">
        <f>COUNTIF('Cloud Service Time'!D4:D4,"Compliant")</f>
        <v/>
      </c>
      <c r="D8" s="15">
        <f>COUNTIF('Cloud Service Time'!D4:D4,"Partial")</f>
        <v/>
      </c>
      <c r="E8" s="15">
        <f>COUNTIF('Cloud Service Time'!D4:D4,"Non-Compliant")</f>
        <v/>
      </c>
      <c r="F8" s="15">
        <f>COUNTIF('Cloud Service Time'!D4:D4,"N/A")</f>
        <v/>
      </c>
      <c r="G8" s="15">
        <f>IF((B8-F8)=0,"N/A",ROUND(C8/(B8-F8)*100,1)&amp;"%")</f>
        <v/>
      </c>
    </row>
    <row r="9">
      <c r="A9" s="3" t="inlineStr">
        <is>
          <t>Leap Second Handling</t>
        </is>
      </c>
      <c r="B9" s="15">
        <f>COUNTA('Leap Second Handling'!D4:D4)</f>
        <v/>
      </c>
      <c r="C9" s="15">
        <f>COUNTIF('Leap Second Handling'!D4:D4,"Compliant")</f>
        <v/>
      </c>
      <c r="D9" s="15">
        <f>COUNTIF('Leap Second Handling'!D4:D4,"Partial")</f>
        <v/>
      </c>
      <c r="E9" s="15">
        <f>COUNTIF('Leap Second Handling'!D4:D4,"Non-Compliant")</f>
        <v/>
      </c>
      <c r="F9" s="15">
        <f>COUNTIF('Leap Second Handling'!D4:D4,"N/A")</f>
        <v/>
      </c>
      <c r="G9" s="15">
        <f>IF((B9-F9)=0,"N/A",ROUND(C9/(B9-F9)*100,1)&amp;"%")</f>
        <v/>
      </c>
    </row>
    <row r="10">
      <c r="A10" s="3" t="inlineStr">
        <is>
          <t>NTP Security</t>
        </is>
      </c>
      <c r="B10" s="15">
        <f>COUNTA('NTP Security'!D4:D7)</f>
        <v/>
      </c>
      <c r="C10" s="15">
        <f>COUNTIF('NTP Security'!D4:D7,"Compliant")</f>
        <v/>
      </c>
      <c r="D10" s="15">
        <f>COUNTIF('NTP Security'!D4:D7,"Partial")</f>
        <v/>
      </c>
      <c r="E10" s="15">
        <f>COUNTIF('NTP Security'!D4:D7,"Non-Compliant")</f>
        <v/>
      </c>
      <c r="F10" s="15">
        <f>COUNTIF('NTP Security'!D4:D7,"N/A")</f>
        <v/>
      </c>
      <c r="G10" s="15">
        <f>IF((B10-F10)=0,"N/A",ROUND(C10/(B10-F10)*100,1)&amp;"%")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Authoritative Time Sources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A.8.17-01</t>
        </is>
      </c>
      <c r="B4" s="23" t="inlineStr">
        <is>
          <t>Designate A Primary Authoritative Time</t>
        </is>
      </c>
      <c r="C4" s="24" t="inlineStr">
        <is>
          <t>The organisation shall designate a primary authoritative time source:.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A.8.17-02</t>
        </is>
      </c>
      <c r="B5" s="23" t="inlineStr">
        <is>
          <t>Deploy Internal Ntp Servers In A</t>
        </is>
      </c>
      <c r="C5" s="24" t="inlineStr">
        <is>
          <t>The organisation shall deploy internal NTP servers in a tiered architecture:.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A.8.17-03</t>
        </is>
      </c>
      <c r="B6" s="23" t="inlineStr">
        <is>
          <t>Air-Gapped Networks), These</t>
        </is>
      </c>
      <c r="C6" s="24" t="inlineStr">
        <is>
          <t>Where the organisation operates GPS-disciplined oscillators (GPSDOs) for Stratum 0/1 independence (e.g., air-gapped networks), these shall be documented and maintained per manufacturer specifications.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Synchronisation Protocol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A.8.17-04</t>
        </is>
      </c>
      <c r="B4" s="23" t="inlineStr">
        <is>
          <t>Network Time Protocol (Ntp)</t>
        </is>
      </c>
      <c r="C4" s="24" t="inlineStr">
        <is>
          <t>Network Time Protocol (NTP) shall be used for time synchronisation across all standard enterprise systems.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A.8.17-05</t>
        </is>
      </c>
      <c r="B5" s="23" t="inlineStr">
        <is>
          <t>Financial Trading, Industrial Control,</t>
        </is>
      </c>
      <c r="C5" s="24" t="inlineStr">
        <is>
          <t>Where sub-microsecond accuracy is required (e.g., financial trading, industrial control, high-frequency data processing), IEEE 1588 Precision Time Protocol (PTPv2) shall be deployed:.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A.8.17-06</t>
        </is>
      </c>
      <c r="B6" s="23" t="inlineStr">
        <is>
          <t>A Ptp Grandmaster Clock</t>
        </is>
      </c>
      <c r="C6" s="24" t="inlineStr">
        <is>
          <t>A PTP grandmaster clock (GPS-disciplined) shall be deployed.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Timestamp Format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A.8.17-07</t>
        </is>
      </c>
      <c r="B4" s="23" t="inlineStr">
        <is>
          <t>Record Timestamps In One Of The</t>
        </is>
      </c>
      <c r="C4" s="24" t="inlineStr">
        <is>
          <t>All systems shall record timestamps in one of the following formats:.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A.8.17-08</t>
        </is>
      </c>
      <c r="B5" s="23" t="inlineStr">
        <is>
          <t>Iso 8601 / Rfc 3339 Format</t>
        </is>
      </c>
      <c r="C5" s="24" t="inlineStr">
        <is>
          <t>ISO 8601 / RFC 3339 format shall be used for all machine-generated timestamps.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A.8.17-09</t>
        </is>
      </c>
      <c r="B6" s="23" t="inlineStr">
        <is>
          <t>Named Timezone Abbreviations</t>
        </is>
      </c>
      <c r="C6" s="24" t="inlineStr">
        <is>
          <t>Named timezone abbreviations shall not be used in log timestamps.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A.8.17-10</t>
        </is>
      </c>
      <c r="B7" s="23" t="inlineStr">
        <is>
          <t>Use Utc Or Explicit Offset To</t>
        </is>
      </c>
      <c r="C7" s="24" t="inlineStr">
        <is>
          <t>All systems shall use UTC or explicit offset to prevent DST-related timestamp ambiguity.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Clock Drift Tolerances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A.8.17-11</t>
        </is>
      </c>
      <c r="B4" s="23" t="inlineStr">
        <is>
          <t>Maintain Clock Accuracy Within The</t>
        </is>
      </c>
      <c r="C4" s="24" t="inlineStr">
        <is>
          <t>Systems shall maintain clock accuracy within the following tolerances:.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A.8.17-12</t>
        </is>
      </c>
      <c r="B5" s="23" t="inlineStr">
        <is>
          <t>Clock Drift</t>
        </is>
      </c>
      <c r="C5" s="24" t="inlineStr">
        <is>
          <t>Clock drift shall be monitored continuously using system monitoring tools (e.g., Prometheus, Nagios, CloudWatch, or equivalent):.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A.8.17-13</t>
        </is>
      </c>
      <c r="B6" s="23" t="inlineStr">
        <is>
          <t>Ntp Offset, Jitter, And Stratum Metrics</t>
        </is>
      </c>
      <c r="C6" s="24" t="inlineStr">
        <is>
          <t>NTP offset, jitter, and stratum metrics shall be collected from all monitored systems.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A.8.17-14</t>
        </is>
      </c>
      <c r="B7" s="23" t="inlineStr">
        <is>
          <t>Clock Drift Alerts</t>
        </is>
      </c>
      <c r="C7" s="24" t="inlineStr">
        <is>
          <t>Clock drift alerts shall be forwarded to the centralised monitoring platform.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Cloud Service Time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A.8.17-15</t>
        </is>
      </c>
      <c r="B4" s="23" t="inlineStr">
        <is>
          <t>The Provider'S Time Synchronisation</t>
        </is>
      </c>
      <c r="C4" s="24" t="inlineStr">
        <is>
          <t>Where systems run in cloud environments, the provider's time synchronisation service shall be used:.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Leap Second Handling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A.8.17-16</t>
        </is>
      </c>
      <c r="B4" s="23" t="inlineStr">
        <is>
          <t>Adopt A Single, Consistent Leap Second</t>
        </is>
      </c>
      <c r="C4" s="24" t="inlineStr">
        <is>
          <t>The organisation shall adopt a single, consistent leap second handling strategy across all environments:.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NTP Security — Compliance Checklist</t>
        </is>
      </c>
    </row>
    <row r="2">
      <c r="A2" s="21" t="inlineStr">
        <is>
          <t>ISO/IEC 27001:2022 — Control A.8.17: Clock Synchronisation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A.8.17-17</t>
        </is>
      </c>
      <c r="B4" s="23" t="inlineStr">
        <is>
          <t>Ntp Infrastructure</t>
        </is>
      </c>
      <c r="C4" s="24" t="inlineStr">
        <is>
          <t>NTP infrastructure shall be protected against spoofing, replay, and denial-of-service attacks:.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A.8.17-18</t>
        </is>
      </c>
      <c r="B5" s="23" t="inlineStr">
        <is>
          <t>Ntp Configuration Files</t>
        </is>
      </c>
      <c r="C5" s="24" t="inlineStr">
        <is>
          <t>NTP configuration files shall be protected from unauthorised modification (file permissions, integrity monitoring).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A.8.17-19</t>
        </is>
      </c>
      <c r="B6" s="23" t="inlineStr">
        <is>
          <t>Changes To Ntp Configuration</t>
        </is>
      </c>
      <c r="C6" s="24" t="inlineStr">
        <is>
          <t>Changes to NTP configuration shall follow the change management process.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A.8.17-20</t>
        </is>
      </c>
      <c r="B7" s="23" t="inlineStr">
        <is>
          <t>Ntp Service Status</t>
        </is>
      </c>
      <c r="C7" s="24" t="inlineStr">
        <is>
          <t>NTP service status shall be monitored; service failure shall generate an alert.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2026-02-08T10:04:13Z</dcterms:created>
  <dcterms:modified xmlns:dcterms="http://purl.org/dc/terms/" xmlns:xsi="http://www.w3.org/2001/XMLSchema-instance" xsi:type="dcterms:W3CDTF">2026-02-08T10:04:13Z</dcterms:modified>
</cp:coreProperties>
</file>