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uthoritative Time Sources" sheetId="3" state="visible" r:id="rId3"/>
    <sheet xmlns:r="http://schemas.openxmlformats.org/officeDocument/2006/relationships" name="Synchronisation Protocol" sheetId="4" state="visible" r:id="rId4"/>
    <sheet xmlns:r="http://schemas.openxmlformats.org/officeDocument/2006/relationships" name="Timestamp Format" sheetId="5" state="visible" r:id="rId5"/>
    <sheet xmlns:r="http://schemas.openxmlformats.org/officeDocument/2006/relationships" name="Clock Drift Tolerances" sheetId="6" state="visible" r:id="rId6"/>
    <sheet xmlns:r="http://schemas.openxmlformats.org/officeDocument/2006/relationships" name="Cloud Service Time" sheetId="7" state="visible" r:id="rId7"/>
    <sheet xmlns:r="http://schemas.openxmlformats.org/officeDocument/2006/relationships" name="Leap Second Handling" sheetId="8" state="visible" r:id="rId8"/>
    <sheet xmlns:r="http://schemas.openxmlformats.org/officeDocument/2006/relationships" name="NTP Security" sheetId="9" state="visible" r:id="rId9"/>
  </sheets>
  <definedNames>
    <definedName name="_xlnm.Print_Area" localSheetId="0">'Executive Summary'!$A$1:$H$66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4472C4"/>
      <sz val="10"/>
    </font>
    <font>
      <name val="Calibri"/>
      <b val="1"/>
      <sz val="10"/>
    </font>
    <font>
      <name val="Calibri"/>
      <color rgb="00666666"/>
      <sz val="9"/>
    </font>
    <font>
      <name val="Calibri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sz val="14"/>
    </font>
    <font>
      <name val="Calibri"/>
      <b val="1"/>
      <color rgb="00003366"/>
      <sz val="12"/>
    </font>
    <font>
      <name val="Calibri"/>
      <b val="1"/>
      <sz val="12"/>
    </font>
    <font>
      <name val="Calibri"/>
      <b val="1"/>
      <sz val="20"/>
    </font>
    <font>
      <name val="Calibri"/>
      <b val="1"/>
      <sz val="16"/>
    </font>
    <font>
      <name val="Calibri"/>
      <b val="1"/>
      <color rgb="004472C4"/>
      <sz val="14"/>
    </font>
    <font>
      <name val="Calibri"/>
      <sz val="10"/>
    </font>
  </fonts>
  <fills count="10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D9D9D9"/>
        <bgColor rgb="00D9D9D9"/>
      </patternFill>
    </fill>
    <fill>
      <patternFill patternType="solid">
        <fgColor rgb="00FFFFCC"/>
        <bgColor rgb="00FFFFCC"/>
      </patternFill>
    </fill>
    <fill>
      <patternFill patternType="solid">
        <fgColor rgb="00F2F2F2"/>
        <bgColor rgb="00F2F2F2"/>
      </patternFill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/>
    </xf>
    <xf numFmtId="0" fontId="3" fillId="0" borderId="1" pivotButton="0" quotePrefix="0" xfId="0"/>
    <xf numFmtId="0" fontId="0" fillId="0" borderId="1" pivotButton="0" quotePrefix="0" xfId="0"/>
    <xf numFmtId="0" fontId="0" fillId="4" borderId="1" applyAlignment="1" pivotButton="0" quotePrefix="0" xfId="0">
      <alignment horizontal="left" vertical="center" wrapText="1"/>
    </xf>
    <xf numFmtId="0" fontId="7" fillId="6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top" wrapText="1"/>
    </xf>
    <xf numFmtId="0" fontId="6" fillId="0" borderId="0" pivotButton="0" quotePrefix="0" xfId="0"/>
    <xf numFmtId="0" fontId="14" fillId="0" borderId="1" pivotButton="0" quotePrefix="0" xfId="0"/>
    <xf numFmtId="0" fontId="2" fillId="5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4" fillId="0" borderId="1" pivotButton="0" quotePrefix="0" xfId="0"/>
    <xf numFmtId="0" fontId="5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4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366"/>
    <outlinePr summaryBelow="1" summaryRight="1"/>
    <pageSetUpPr fitToPage="1"/>
  </sheetPr>
  <dimension ref="A1:H64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2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0" customHeight="1">
      <c r="A1" s="1" t="inlineStr">
        <is>
          <t>ISMS-OP-CHK-A.8.17 — Clock Synchronisation Compliance Checklist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s="4" t="inlineStr">
        <is>
          <t>ISMS-OP-CHK-A.8.17</t>
        </is>
      </c>
    </row>
    <row r="5">
      <c r="A5" s="3" t="inlineStr">
        <is>
          <t>Source Policy</t>
        </is>
      </c>
      <c r="B5" s="4" t="inlineStr">
        <is>
          <t>ISMS-OP-POL-A.8.17</t>
        </is>
      </c>
    </row>
    <row r="6">
      <c r="A6" s="3" t="inlineStr">
        <is>
          <t>ISO Controls</t>
        </is>
      </c>
      <c r="B6" s="4" t="inlineStr">
        <is>
          <t>Clock Synchronisation</t>
        </is>
      </c>
    </row>
    <row r="7">
      <c r="A7" s="3" t="inlineStr">
        <is>
          <t>Generated</t>
        </is>
      </c>
      <c r="B7" s="4" t="inlineStr">
        <is>
          <t>08.02.2026</t>
        </is>
      </c>
    </row>
    <row r="8">
      <c r="A8" s="3" t="inlineStr">
        <is>
          <t>Prepared By</t>
        </is>
      </c>
      <c r="B8" s="5" t="inlineStr"/>
    </row>
    <row r="9">
      <c r="A9" s="3" t="inlineStr">
        <is>
          <t>Organisation</t>
        </is>
      </c>
      <c r="B9" s="5" t="inlineStr"/>
    </row>
    <row r="10">
      <c r="A10" s="3" t="inlineStr">
        <is>
          <t>Review Cycle</t>
        </is>
      </c>
      <c r="B10" s="4" t="inlineStr">
        <is>
          <t>Annual</t>
        </is>
      </c>
    </row>
    <row r="12">
      <c r="A12" s="6" t="inlineStr">
        <is>
          <t>OVERALL COMPLIANCE STATUS</t>
        </is>
      </c>
    </row>
    <row r="13">
      <c r="A13" s="7" t="inlineStr">
        <is>
          <t>Overall Compliance</t>
        </is>
      </c>
      <c r="B13" s="8">
        <f>'Dashboard'!G11</f>
        <v/>
      </c>
    </row>
    <row r="14">
      <c r="A14" s="7" t="inlineStr">
        <is>
          <t>Status</t>
        </is>
      </c>
      <c r="B14" s="9">
        <f>IF(Dashboard!G11="N/A","NOT ASSESSED",IF(ISNUMBER(VALUE(SUBSTITUTE(Dashboard!G11,"%",""))),IF(VALUE(SUBSTITUTE(Dashboard!G11,"%",""))&gt;=90,"GREEN",IF(VALUE(SUBSTITUTE(Dashboard!G11,"%",""))&gt;=70,"AMBER","RED")),"NOT ASSESSED"))</f>
        <v/>
      </c>
    </row>
    <row r="16">
      <c r="A16" s="6" t="inlineStr">
        <is>
          <t>KEY METRICS</t>
        </is>
      </c>
    </row>
    <row r="17">
      <c r="A17" s="3" t="inlineStr">
        <is>
          <t>Total Requirements</t>
        </is>
      </c>
      <c r="B17" s="10">
        <f>'Dashboard'!B11</f>
        <v/>
      </c>
    </row>
    <row r="18">
      <c r="A18" s="3" t="inlineStr">
        <is>
          <t>Compliant</t>
        </is>
      </c>
      <c r="B18" s="10">
        <f>'Dashboard'!C11</f>
        <v/>
      </c>
    </row>
    <row r="19">
      <c r="A19" s="3" t="inlineStr">
        <is>
          <t>Partial</t>
        </is>
      </c>
      <c r="B19" s="10">
        <f>'Dashboard'!D11</f>
        <v/>
      </c>
    </row>
    <row r="20">
      <c r="A20" s="3" t="inlineStr">
        <is>
          <t>Non-Compliant</t>
        </is>
      </c>
      <c r="B20" s="10">
        <f>'Dashboard'!E11</f>
        <v/>
      </c>
    </row>
    <row r="21">
      <c r="A21" s="3" t="inlineStr">
        <is>
          <t>Not Applicable</t>
        </is>
      </c>
      <c r="B21" s="10">
        <f>'Dashboard'!F11</f>
        <v/>
      </c>
    </row>
    <row r="22">
      <c r="A22" s="3" t="inlineStr">
        <is>
          <t>Owner Coverage</t>
        </is>
      </c>
      <c r="B22" s="10">
        <f>IF(Dashboard!B11=0,"N/A",ROUND((COUNTA('Authoritative Time Sources'!F4:F6)+COUNTA('Synchronisation Protocol'!F4:F6)+COUNTA('Timestamp Format'!F4:F7)+COUNTA('Clock Drift Tolerances'!F4:F7)+COUNTA('Cloud Service Time'!F4:F4)+COUNTA('Leap Second Handling'!F4:F4)+COUNTA('NTP Security'!F4:F7))/Dashboard!B11*100,0)&amp;"%")</f>
        <v/>
      </c>
    </row>
    <row r="24">
      <c r="A24" s="6" t="inlineStr">
        <is>
          <t>DOMAIN STATUS SUMMARY</t>
        </is>
      </c>
    </row>
    <row r="25">
      <c r="A25" s="11" t="inlineStr">
        <is>
          <t>Domain</t>
        </is>
      </c>
      <c r="B25" s="11" t="inlineStr">
        <is>
          <t>Compliance %</t>
        </is>
      </c>
      <c r="C25" s="11" t="inlineStr">
        <is>
          <t>Compliant</t>
        </is>
      </c>
      <c r="D25" s="11" t="inlineStr">
        <is>
          <t>Gaps</t>
        </is>
      </c>
      <c r="E25" s="11" t="inlineStr">
        <is>
          <t>Status</t>
        </is>
      </c>
    </row>
    <row r="26">
      <c r="A26" s="4" t="inlineStr">
        <is>
          <t>Authoritative Time Sources</t>
        </is>
      </c>
      <c r="B26" s="4">
        <f>'Dashboard'!G4</f>
        <v/>
      </c>
      <c r="C26" s="4">
        <f>'Dashboard'!C4</f>
        <v/>
      </c>
      <c r="D26" s="4">
        <f>'Dashboard'!E4</f>
        <v/>
      </c>
      <c r="E26" s="4">
        <f>IF(Dashboard!G4="N/A","--",IF(ISNUMBER(VALUE(SUBSTITUTE(Dashboard!G4,"%",""))),IF(VALUE(SUBSTITUTE(Dashboard!G4,"%",""))&gt;=90,"PASS",IF(VALUE(SUBSTITUTE(Dashboard!G4,"%",""))&gt;=70,"REVIEW","FAIL")),"--"))</f>
        <v/>
      </c>
    </row>
    <row r="27">
      <c r="A27" s="4" t="inlineStr">
        <is>
          <t>Synchronisation Protocol</t>
        </is>
      </c>
      <c r="B27" s="4">
        <f>'Dashboard'!G5</f>
        <v/>
      </c>
      <c r="C27" s="4">
        <f>'Dashboard'!C5</f>
        <v/>
      </c>
      <c r="D27" s="4">
        <f>'Dashboard'!E5</f>
        <v/>
      </c>
      <c r="E27" s="4">
        <f>IF(Dashboard!G5="N/A","--",IF(ISNUMBER(VALUE(SUBSTITUTE(Dashboard!G5,"%",""))),IF(VALUE(SUBSTITUTE(Dashboard!G5,"%",""))&gt;=90,"PASS",IF(VALUE(SUBSTITUTE(Dashboard!G5,"%",""))&gt;=70,"REVIEW","FAIL")),"--"))</f>
        <v/>
      </c>
    </row>
    <row r="28">
      <c r="A28" s="4" t="inlineStr">
        <is>
          <t>Timestamp Format</t>
        </is>
      </c>
      <c r="B28" s="4">
        <f>'Dashboard'!G6</f>
        <v/>
      </c>
      <c r="C28" s="4">
        <f>'Dashboard'!C6</f>
        <v/>
      </c>
      <c r="D28" s="4">
        <f>'Dashboard'!E6</f>
        <v/>
      </c>
      <c r="E28" s="4">
        <f>IF(Dashboard!G6="N/A","--",IF(ISNUMBER(VALUE(SUBSTITUTE(Dashboard!G6,"%",""))),IF(VALUE(SUBSTITUTE(Dashboard!G6,"%",""))&gt;=90,"PASS",IF(VALUE(SUBSTITUTE(Dashboard!G6,"%",""))&gt;=70,"REVIEW","FAIL")),"--"))</f>
        <v/>
      </c>
    </row>
    <row r="29">
      <c r="A29" s="4" t="inlineStr">
        <is>
          <t>Clock Drift Tolerances</t>
        </is>
      </c>
      <c r="B29" s="4">
        <f>'Dashboard'!G7</f>
        <v/>
      </c>
      <c r="C29" s="4">
        <f>'Dashboard'!C7</f>
        <v/>
      </c>
      <c r="D29" s="4">
        <f>'Dashboard'!E7</f>
        <v/>
      </c>
      <c r="E29" s="4">
        <f>IF(Dashboard!G7="N/A","--",IF(ISNUMBER(VALUE(SUBSTITUTE(Dashboard!G7,"%",""))),IF(VALUE(SUBSTITUTE(Dashboard!G7,"%",""))&gt;=90,"PASS",IF(VALUE(SUBSTITUTE(Dashboard!G7,"%",""))&gt;=70,"REVIEW","FAIL")),"--"))</f>
        <v/>
      </c>
    </row>
    <row r="30">
      <c r="A30" s="4" t="inlineStr">
        <is>
          <t>Cloud Service Time</t>
        </is>
      </c>
      <c r="B30" s="4">
        <f>'Dashboard'!G8</f>
        <v/>
      </c>
      <c r="C30" s="4">
        <f>'Dashboard'!C8</f>
        <v/>
      </c>
      <c r="D30" s="4">
        <f>'Dashboard'!E8</f>
        <v/>
      </c>
      <c r="E30" s="4">
        <f>IF(Dashboard!G8="N/A","--",IF(ISNUMBER(VALUE(SUBSTITUTE(Dashboard!G8,"%",""))),IF(VALUE(SUBSTITUTE(Dashboard!G8,"%",""))&gt;=90,"PASS",IF(VALUE(SUBSTITUTE(Dashboard!G8,"%",""))&gt;=70,"REVIEW","FAIL")),"--"))</f>
        <v/>
      </c>
    </row>
    <row r="31">
      <c r="A31" s="4" t="inlineStr">
        <is>
          <t>Leap Second Handling</t>
        </is>
      </c>
      <c r="B31" s="4">
        <f>'Dashboard'!G9</f>
        <v/>
      </c>
      <c r="C31" s="4">
        <f>'Dashboard'!C9</f>
        <v/>
      </c>
      <c r="D31" s="4">
        <f>'Dashboard'!E9</f>
        <v/>
      </c>
      <c r="E31" s="4">
        <f>IF(Dashboard!G9="N/A","--",IF(ISNUMBER(VALUE(SUBSTITUTE(Dashboard!G9,"%",""))),IF(VALUE(SUBSTITUTE(Dashboard!G9,"%",""))&gt;=90,"PASS",IF(VALUE(SUBSTITUTE(Dashboard!G9,"%",""))&gt;=70,"REVIEW","FAIL")),"--"))</f>
        <v/>
      </c>
    </row>
    <row r="32">
      <c r="A32" s="4" t="inlineStr">
        <is>
          <t>NTP Security</t>
        </is>
      </c>
      <c r="B32" s="4">
        <f>'Dashboard'!G10</f>
        <v/>
      </c>
      <c r="C32" s="4">
        <f>'Dashboard'!C10</f>
        <v/>
      </c>
      <c r="D32" s="4">
        <f>'Dashboard'!E10</f>
        <v/>
      </c>
      <c r="E32" s="4">
        <f>IF(Dashboard!G10="N/A","--",IF(ISNUMBER(VALUE(SUBSTITUTE(Dashboard!G10,"%",""))),IF(VALUE(SUBSTITUTE(Dashboard!G10,"%",""))&gt;=90,"PASS",IF(VALUE(SUBSTITUTE(Dashboard!G10,"%",""))&gt;=70,"REVIEW","FAIL")),"--"))</f>
        <v/>
      </c>
    </row>
    <row r="34">
      <c r="A34" s="6" t="inlineStr">
        <is>
          <t>CRITICAL ISSUES</t>
        </is>
      </c>
    </row>
    <row r="35">
      <c r="A35" s="11" t="inlineStr">
        <is>
          <t>#</t>
        </is>
      </c>
      <c r="B35" s="11" t="inlineStr">
        <is>
          <t>Issue Description</t>
        </is>
      </c>
      <c r="C35" s="11" t="inlineStr">
        <is>
          <t>Domain</t>
        </is>
      </c>
      <c r="D35" s="11" t="inlineStr">
        <is>
          <t>Owner</t>
        </is>
      </c>
      <c r="E35" s="11" t="inlineStr">
        <is>
          <t>Due Date</t>
        </is>
      </c>
    </row>
    <row r="36">
      <c r="A36" s="4" t="n">
        <v>1</v>
      </c>
      <c r="B36" s="5" t="n"/>
      <c r="C36" s="5" t="n"/>
      <c r="D36" s="5" t="n"/>
      <c r="E36" s="5" t="n"/>
    </row>
    <row r="37">
      <c r="A37" s="4" t="n">
        <v>2</v>
      </c>
      <c r="B37" s="5" t="n"/>
      <c r="C37" s="5" t="n"/>
      <c r="D37" s="5" t="n"/>
      <c r="E37" s="5" t="n"/>
    </row>
    <row r="38">
      <c r="A38" s="4" t="n">
        <v>3</v>
      </c>
      <c r="B38" s="5" t="n"/>
      <c r="C38" s="5" t="n"/>
      <c r="D38" s="5" t="n"/>
      <c r="E38" s="5" t="n"/>
    </row>
    <row r="39">
      <c r="A39" s="4" t="n">
        <v>4</v>
      </c>
      <c r="B39" s="5" t="n"/>
      <c r="C39" s="5" t="n"/>
      <c r="D39" s="5" t="n"/>
      <c r="E39" s="5" t="n"/>
    </row>
    <row r="40">
      <c r="A40" s="4" t="n">
        <v>5</v>
      </c>
      <c r="B40" s="5" t="n"/>
      <c r="C40" s="5" t="n"/>
      <c r="D40" s="5" t="n"/>
      <c r="E40" s="5" t="n"/>
    </row>
    <row r="42">
      <c r="A42" s="6" t="inlineStr">
        <is>
          <t>MANAGEMENT COMMENTARY</t>
        </is>
      </c>
    </row>
    <row r="43" ht="60" customHeight="1">
      <c r="A43" s="12" t="inlineStr">
        <is>
          <t>[Enter management commentary on clock synchronisation posture]</t>
        </is>
      </c>
    </row>
    <row r="44"/>
    <row r="45"/>
    <row r="47">
      <c r="A47" s="6" t="inlineStr">
        <is>
          <t>APPROVAL</t>
        </is>
      </c>
    </row>
    <row r="48">
      <c r="A48" s="13" t="inlineStr">
        <is>
          <t>Assessed By</t>
        </is>
      </c>
    </row>
    <row r="49">
      <c r="A49" s="14" t="inlineStr">
        <is>
          <t>Name:</t>
        </is>
      </c>
      <c r="B49" s="5" t="n"/>
    </row>
    <row r="50">
      <c r="A50" s="14" t="inlineStr">
        <is>
          <t>Date:</t>
        </is>
      </c>
      <c r="B50" s="5" t="n"/>
    </row>
    <row r="51">
      <c r="A51" s="14" t="inlineStr">
        <is>
          <t>Signature:</t>
        </is>
      </c>
      <c r="B51" s="5" t="n"/>
    </row>
    <row r="52">
      <c r="A52" s="14" t="inlineStr">
        <is>
          <t>Decision:</t>
        </is>
      </c>
      <c r="B52" s="5" t="n"/>
    </row>
    <row r="54">
      <c r="A54" s="13" t="inlineStr">
        <is>
          <t>Reviewed By (ISO Manager)</t>
        </is>
      </c>
    </row>
    <row r="55">
      <c r="A55" s="14" t="inlineStr">
        <is>
          <t>Name:</t>
        </is>
      </c>
      <c r="B55" s="5" t="n"/>
    </row>
    <row r="56">
      <c r="A56" s="14" t="inlineStr">
        <is>
          <t>Date:</t>
        </is>
      </c>
      <c r="B56" s="5" t="n"/>
    </row>
    <row r="57">
      <c r="A57" s="14" t="inlineStr">
        <is>
          <t>Signature:</t>
        </is>
      </c>
      <c r="B57" s="5" t="n"/>
    </row>
    <row r="58">
      <c r="A58" s="14" t="inlineStr">
        <is>
          <t>Decision:</t>
        </is>
      </c>
      <c r="B58" s="5" t="n"/>
    </row>
    <row r="60">
      <c r="A60" s="13" t="inlineStr">
        <is>
          <t>Approved By (CISO)</t>
        </is>
      </c>
    </row>
    <row r="61">
      <c r="A61" s="14" t="inlineStr">
        <is>
          <t>Name:</t>
        </is>
      </c>
      <c r="B61" s="5" t="n"/>
    </row>
    <row r="62">
      <c r="A62" s="14" t="inlineStr">
        <is>
          <t>Date:</t>
        </is>
      </c>
      <c r="B62" s="5" t="n"/>
    </row>
    <row r="63">
      <c r="A63" s="14" t="inlineStr">
        <is>
          <t>Signature:</t>
        </is>
      </c>
      <c r="B63" s="5" t="n"/>
    </row>
    <row r="64">
      <c r="A64" s="14" t="inlineStr">
        <is>
          <t>Decision:</t>
        </is>
      </c>
      <c r="B64" s="5" t="n"/>
    </row>
  </sheetData>
  <mergeCells count="12">
    <mergeCell ref="A12:H12"/>
    <mergeCell ref="A43:H45"/>
    <mergeCell ref="A48:B48"/>
    <mergeCell ref="A54:B54"/>
    <mergeCell ref="A60:B60"/>
    <mergeCell ref="A24:H24"/>
    <mergeCell ref="A16:H16"/>
    <mergeCell ref="A42:H42"/>
    <mergeCell ref="A47:H47"/>
    <mergeCell ref="A1:H1"/>
    <mergeCell ref="A3:B3"/>
    <mergeCell ref="A34:H34"/>
  </mergeCells>
  <dataValidations count="1">
    <dataValidation sqref="B52 B58 B64" showDropDown="0" showInputMessage="0" showErrorMessage="0" allowBlank="1" type="list">
      <formula1>"Approved,Approved with Conditions,Not Approved"</formula1>
    </dataValidation>
  </dataValidations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6" customWidth="1" min="5" max="5"/>
    <col width="10" customWidth="1" min="6" max="6"/>
    <col width="16" customWidth="1" min="7" max="7"/>
  </cols>
  <sheetData>
    <row r="1" ht="40" customHeight="1">
      <c r="A1" s="1" t="inlineStr">
        <is>
          <t>Clock Synchronisation — Compliance Dashboard</t>
        </is>
      </c>
    </row>
    <row r="3">
      <c r="A3" s="11" t="inlineStr">
        <is>
          <t>Domain</t>
        </is>
      </c>
      <c r="B3" s="11" t="inlineStr">
        <is>
          <t>Total Reqs</t>
        </is>
      </c>
      <c r="C3" s="11" t="inlineStr">
        <is>
          <t>Compliant</t>
        </is>
      </c>
      <c r="D3" s="11" t="inlineStr">
        <is>
          <t>Partial</t>
        </is>
      </c>
      <c r="E3" s="11" t="inlineStr">
        <is>
          <t>Non-Compliant</t>
        </is>
      </c>
      <c r="F3" s="11" t="inlineStr">
        <is>
          <t>N/A</t>
        </is>
      </c>
      <c r="G3" s="11" t="inlineStr">
        <is>
          <t>Compliance %</t>
        </is>
      </c>
    </row>
    <row r="4">
      <c r="A4" s="3" t="inlineStr">
        <is>
          <t>Authoritative Time Sources</t>
        </is>
      </c>
      <c r="B4" s="15">
        <f>COUNTA('Authoritative Time Sources'!D4:D6)</f>
        <v/>
      </c>
      <c r="C4" s="15">
        <f>COUNTIF('Authoritative Time Sources'!D4:D6,"Compliant")</f>
        <v/>
      </c>
      <c r="D4" s="15">
        <f>COUNTIF('Authoritative Time Sources'!D4:D6,"Partial")</f>
        <v/>
      </c>
      <c r="E4" s="15">
        <f>COUNTIF('Authoritative Time Sources'!D4:D6,"Non-Compliant")</f>
        <v/>
      </c>
      <c r="F4" s="15">
        <f>COUNTIF('Authoritative Time Sources'!D4:D6,"N/A")</f>
        <v/>
      </c>
      <c r="G4" s="15">
        <f>IF((B4-F4)=0,"N/A",ROUND(C4/(B4-F4)*100,1)&amp;"%")</f>
        <v/>
      </c>
    </row>
    <row r="5">
      <c r="A5" s="3" t="inlineStr">
        <is>
          <t>Synchronisation Protocol</t>
        </is>
      </c>
      <c r="B5" s="15">
        <f>COUNTA('Synchronisation Protocol'!D4:D6)</f>
        <v/>
      </c>
      <c r="C5" s="15">
        <f>COUNTIF('Synchronisation Protocol'!D4:D6,"Compliant")</f>
        <v/>
      </c>
      <c r="D5" s="15">
        <f>COUNTIF('Synchronisation Protocol'!D4:D6,"Partial")</f>
        <v/>
      </c>
      <c r="E5" s="15">
        <f>COUNTIF('Synchronisation Protocol'!D4:D6,"Non-Compliant")</f>
        <v/>
      </c>
      <c r="F5" s="15">
        <f>COUNTIF('Synchronisation Protocol'!D4:D6,"N/A")</f>
        <v/>
      </c>
      <c r="G5" s="15">
        <f>IF((B5-F5)=0,"N/A",ROUND(C5/(B5-F5)*100,1)&amp;"%")</f>
        <v/>
      </c>
    </row>
    <row r="6">
      <c r="A6" s="3" t="inlineStr">
        <is>
          <t>Timestamp Format</t>
        </is>
      </c>
      <c r="B6" s="15">
        <f>COUNTA('Timestamp Format'!D4:D7)</f>
        <v/>
      </c>
      <c r="C6" s="15">
        <f>COUNTIF('Timestamp Format'!D4:D7,"Compliant")</f>
        <v/>
      </c>
      <c r="D6" s="15">
        <f>COUNTIF('Timestamp Format'!D4:D7,"Partial")</f>
        <v/>
      </c>
      <c r="E6" s="15">
        <f>COUNTIF('Timestamp Format'!D4:D7,"Non-Compliant")</f>
        <v/>
      </c>
      <c r="F6" s="15">
        <f>COUNTIF('Timestamp Format'!D4:D7,"N/A")</f>
        <v/>
      </c>
      <c r="G6" s="15">
        <f>IF((B6-F6)=0,"N/A",ROUND(C6/(B6-F6)*100,1)&amp;"%")</f>
        <v/>
      </c>
    </row>
    <row r="7">
      <c r="A7" s="3" t="inlineStr">
        <is>
          <t>Clock Drift Tolerances</t>
        </is>
      </c>
      <c r="B7" s="15">
        <f>COUNTA('Clock Drift Tolerances'!D4:D7)</f>
        <v/>
      </c>
      <c r="C7" s="15">
        <f>COUNTIF('Clock Drift Tolerances'!D4:D7,"Compliant")</f>
        <v/>
      </c>
      <c r="D7" s="15">
        <f>COUNTIF('Clock Drift Tolerances'!D4:D7,"Partial")</f>
        <v/>
      </c>
      <c r="E7" s="15">
        <f>COUNTIF('Clock Drift Tolerances'!D4:D7,"Non-Compliant")</f>
        <v/>
      </c>
      <c r="F7" s="15">
        <f>COUNTIF('Clock Drift Tolerances'!D4:D7,"N/A")</f>
        <v/>
      </c>
      <c r="G7" s="15">
        <f>IF((B7-F7)=0,"N/A",ROUND(C7/(B7-F7)*100,1)&amp;"%")</f>
        <v/>
      </c>
    </row>
    <row r="8">
      <c r="A8" s="3" t="inlineStr">
        <is>
          <t>Cloud Service Time</t>
        </is>
      </c>
      <c r="B8" s="15">
        <f>COUNTA('Cloud Service Time'!D4:D4)</f>
        <v/>
      </c>
      <c r="C8" s="15">
        <f>COUNTIF('Cloud Service Time'!D4:D4,"Compliant")</f>
        <v/>
      </c>
      <c r="D8" s="15">
        <f>COUNTIF('Cloud Service Time'!D4:D4,"Partial")</f>
        <v/>
      </c>
      <c r="E8" s="15">
        <f>COUNTIF('Cloud Service Time'!D4:D4,"Non-Compliant")</f>
        <v/>
      </c>
      <c r="F8" s="15">
        <f>COUNTIF('Cloud Service Time'!D4:D4,"N/A")</f>
        <v/>
      </c>
      <c r="G8" s="15">
        <f>IF((B8-F8)=0,"N/A",ROUND(C8/(B8-F8)*100,1)&amp;"%")</f>
        <v/>
      </c>
    </row>
    <row r="9">
      <c r="A9" s="3" t="inlineStr">
        <is>
          <t>Leap Second Handling</t>
        </is>
      </c>
      <c r="B9" s="15">
        <f>COUNTA('Leap Second Handling'!D4:D4)</f>
        <v/>
      </c>
      <c r="C9" s="15">
        <f>COUNTIF('Leap Second Handling'!D4:D4,"Compliant")</f>
        <v/>
      </c>
      <c r="D9" s="15">
        <f>COUNTIF('Leap Second Handling'!D4:D4,"Partial")</f>
        <v/>
      </c>
      <c r="E9" s="15">
        <f>COUNTIF('Leap Second Handling'!D4:D4,"Non-Compliant")</f>
        <v/>
      </c>
      <c r="F9" s="15">
        <f>COUNTIF('Leap Second Handling'!D4:D4,"N/A")</f>
        <v/>
      </c>
      <c r="G9" s="15">
        <f>IF((B9-F9)=0,"N/A",ROUND(C9/(B9-F9)*100,1)&amp;"%")</f>
        <v/>
      </c>
    </row>
    <row r="10">
      <c r="A10" s="3" t="inlineStr">
        <is>
          <t>NTP Security</t>
        </is>
      </c>
      <c r="B10" s="15">
        <f>COUNTA('NTP Security'!D4:D7)</f>
        <v/>
      </c>
      <c r="C10" s="15">
        <f>COUNTIF('NTP Security'!D4:D7,"Compliant")</f>
        <v/>
      </c>
      <c r="D10" s="15">
        <f>COUNTIF('NTP Security'!D4:D7,"Partial")</f>
        <v/>
      </c>
      <c r="E10" s="15">
        <f>COUNTIF('NTP Security'!D4:D7,"Non-Compliant")</f>
        <v/>
      </c>
      <c r="F10" s="15">
        <f>COUNTIF('NTP Security'!D4:D7,"N/A")</f>
        <v/>
      </c>
      <c r="G10" s="15">
        <f>IF((B10-F10)=0,"N/A",ROUND(C10/(B10-F10)*100,1)&amp;"%")</f>
        <v/>
      </c>
    </row>
    <row r="11">
      <c r="A11" s="16" t="inlineStr">
        <is>
          <t>TOTAL</t>
        </is>
      </c>
      <c r="B11" s="16">
        <f>SUM(B4:B10)</f>
        <v/>
      </c>
      <c r="C11" s="16">
        <f>SUM(C4:C10)</f>
        <v/>
      </c>
      <c r="D11" s="16">
        <f>SUM(D4:D10)</f>
        <v/>
      </c>
      <c r="E11" s="16">
        <f>SUM(E4:E10)</f>
        <v/>
      </c>
      <c r="F11" s="16">
        <f>SUM(F4:F10)</f>
        <v/>
      </c>
      <c r="G11" s="16">
        <f>IF((B11-F11)=0,"N/A",ROUND(C11/(B11-F11)*100,1)&amp;"%")</f>
        <v/>
      </c>
    </row>
    <row r="13">
      <c r="A13" s="6" t="inlineStr">
        <is>
          <t>COMPLIANCE BY STATUS</t>
        </is>
      </c>
    </row>
    <row r="14">
      <c r="A14" s="3" t="inlineStr">
        <is>
          <t>Compliant</t>
        </is>
      </c>
      <c r="B14" s="17">
        <f>C11</f>
        <v/>
      </c>
      <c r="C14" s="4">
        <f>IF(B11=0,"",ROUND(B14/B11*100,1)&amp;"%")</f>
        <v/>
      </c>
    </row>
    <row r="15">
      <c r="A15" s="3" t="inlineStr">
        <is>
          <t>Partial</t>
        </is>
      </c>
      <c r="B15" s="18">
        <f>D11</f>
        <v/>
      </c>
      <c r="C15" s="4">
        <f>IF(B11=0,"",ROUND(B15/B11*100,1)&amp;"%")</f>
        <v/>
      </c>
    </row>
    <row r="16">
      <c r="A16" s="3" t="inlineStr">
        <is>
          <t>Non-Compliant</t>
        </is>
      </c>
      <c r="B16" s="19">
        <f>E11</f>
        <v/>
      </c>
      <c r="C16" s="4">
        <f>IF(B11=0,"",ROUND(B16/B11*100,1)&amp;"%")</f>
        <v/>
      </c>
    </row>
    <row r="17">
      <c r="A17" s="3" t="inlineStr">
        <is>
          <t>N/A</t>
        </is>
      </c>
      <c r="B17" s="20">
        <f>F11</f>
        <v/>
      </c>
      <c r="C17" s="4">
        <f>IF(B11=0,"",ROUND(B17/B11*100,1)&amp;"%")</f>
        <v/>
      </c>
    </row>
    <row r="19">
      <c r="A19" s="6" t="inlineStr">
        <is>
          <t>TOP GAPS (Manual Entry)</t>
        </is>
      </c>
    </row>
    <row r="20">
      <c r="A20" s="11" t="inlineStr">
        <is>
          <t>Priority</t>
        </is>
      </c>
      <c r="B20" s="11" t="inlineStr">
        <is>
          <t>Domain</t>
        </is>
      </c>
      <c r="C20" s="11" t="inlineStr">
        <is>
          <t>Requirement</t>
        </is>
      </c>
      <c r="D20" s="11" t="inlineStr">
        <is>
          <t>Owner</t>
        </is>
      </c>
      <c r="E20" s="11" t="inlineStr">
        <is>
          <t>Due Date</t>
        </is>
      </c>
      <c r="F20" s="11" t="inlineStr">
        <is>
          <t>Status</t>
        </is>
      </c>
    </row>
    <row r="21">
      <c r="A21" s="5" t="n"/>
      <c r="B21" s="5" t="n"/>
      <c r="C21" s="5" t="n"/>
      <c r="D21" s="5" t="n"/>
      <c r="E21" s="5" t="n"/>
      <c r="F21" s="5" t="n"/>
    </row>
    <row r="22">
      <c r="A22" s="5" t="n"/>
      <c r="B22" s="5" t="n"/>
      <c r="C22" s="5" t="n"/>
      <c r="D22" s="5" t="n"/>
      <c r="E22" s="5" t="n"/>
      <c r="F22" s="5" t="n"/>
    </row>
    <row r="23">
      <c r="A23" s="5" t="n"/>
      <c r="B23" s="5" t="n"/>
      <c r="C23" s="5" t="n"/>
      <c r="D23" s="5" t="n"/>
      <c r="E23" s="5" t="n"/>
      <c r="F23" s="5" t="n"/>
    </row>
    <row r="24">
      <c r="A24" s="5" t="n"/>
      <c r="B24" s="5" t="n"/>
      <c r="C24" s="5" t="n"/>
      <c r="D24" s="5" t="n"/>
      <c r="E24" s="5" t="n"/>
      <c r="F24" s="5" t="n"/>
    </row>
    <row r="25">
      <c r="A25" s="5" t="n"/>
      <c r="B25" s="5" t="n"/>
      <c r="C25" s="5" t="n"/>
      <c r="D25" s="5" t="n"/>
      <c r="E25" s="5" t="n"/>
      <c r="F25" s="5" t="n"/>
    </row>
    <row r="26">
      <c r="A26" s="5" t="n"/>
      <c r="B26" s="5" t="n"/>
      <c r="C26" s="5" t="n"/>
      <c r="D26" s="5" t="n"/>
      <c r="E26" s="5" t="n"/>
      <c r="F26" s="5" t="n"/>
    </row>
    <row r="27">
      <c r="A27" s="5" t="n"/>
      <c r="B27" s="5" t="n"/>
      <c r="C27" s="5" t="n"/>
      <c r="D27" s="5" t="n"/>
      <c r="E27" s="5" t="n"/>
      <c r="F27" s="5" t="n"/>
    </row>
    <row r="28">
      <c r="A28" s="5" t="n"/>
      <c r="B28" s="5" t="n"/>
      <c r="C28" s="5" t="n"/>
      <c r="D28" s="5" t="n"/>
      <c r="E28" s="5" t="n"/>
      <c r="F28" s="5" t="n"/>
    </row>
    <row r="29">
      <c r="A29" s="5" t="n"/>
      <c r="B29" s="5" t="n"/>
      <c r="C29" s="5" t="n"/>
      <c r="D29" s="5" t="n"/>
      <c r="E29" s="5" t="n"/>
      <c r="F29" s="5" t="n"/>
    </row>
    <row r="30">
      <c r="A30" s="5" t="n"/>
      <c r="B30" s="5" t="n"/>
      <c r="C30" s="5" t="n"/>
      <c r="D30" s="5" t="n"/>
      <c r="E30" s="5" t="n"/>
      <c r="F30" s="5" t="n"/>
    </row>
    <row r="32">
      <c r="A32" s="6" t="inlineStr">
        <is>
          <t>COMPLIANCE TREND (Manual Entry)</t>
        </is>
      </c>
    </row>
    <row r="33">
      <c r="A33" s="11" t="inlineStr">
        <is>
          <t>Assessment Date</t>
        </is>
      </c>
      <c r="B33" s="11" t="inlineStr">
        <is>
          <t>Overall %</t>
        </is>
      </c>
      <c r="C33" s="11" t="inlineStr">
        <is>
          <t>Compliant</t>
        </is>
      </c>
      <c r="D33" s="11" t="inlineStr">
        <is>
          <t>Gaps</t>
        </is>
      </c>
      <c r="E33" s="11" t="inlineStr">
        <is>
          <t>Assessor</t>
        </is>
      </c>
      <c r="F33" s="11" t="inlineStr">
        <is>
          <t>Notes</t>
        </is>
      </c>
    </row>
    <row r="34">
      <c r="A34" s="5" t="n"/>
      <c r="B34" s="5" t="n"/>
      <c r="C34" s="5" t="n"/>
      <c r="D34" s="5" t="n"/>
      <c r="E34" s="5" t="n"/>
      <c r="F34" s="5" t="n"/>
    </row>
    <row r="35">
      <c r="A35" s="5" t="n"/>
      <c r="B35" s="5" t="n"/>
      <c r="C35" s="5" t="n"/>
      <c r="D35" s="5" t="n"/>
      <c r="E35" s="5" t="n"/>
      <c r="F35" s="5" t="n"/>
    </row>
    <row r="36">
      <c r="A36" s="5" t="n"/>
      <c r="B36" s="5" t="n"/>
      <c r="C36" s="5" t="n"/>
      <c r="D36" s="5" t="n"/>
      <c r="E36" s="5" t="n"/>
      <c r="F36" s="5" t="n"/>
    </row>
    <row r="37">
      <c r="A37" s="5" t="n"/>
      <c r="B37" s="5" t="n"/>
      <c r="C37" s="5" t="n"/>
      <c r="D37" s="5" t="n"/>
      <c r="E37" s="5" t="n"/>
      <c r="F37" s="5" t="n"/>
    </row>
  </sheetData>
  <mergeCells count="4">
    <mergeCell ref="A32:G32"/>
    <mergeCell ref="A13:G13"/>
    <mergeCell ref="A19:G19"/>
    <mergeCell ref="A1:G1"/>
  </mergeCells>
  <dataValidations count="1">
    <dataValidation sqref="F21 F22 F23 F24 F25 F26 F27 F28 F29 F30" showDropDown="0" showInputMessage="0" showErrorMessage="0" allowBlank="1" type="list">
      <formula1>"Open,In Progress,Closed,Deferred"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/>
  </sheetPr>
  <dimension ref="A1:H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Authoritative Time Sources — Compliance Checklist</t>
        </is>
      </c>
    </row>
    <row r="2">
      <c r="A2" s="21" t="inlineStr">
        <is>
          <t>ISO/IEC 27001:2022 — Control A.8.17: Clock Synchronisation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A.8.17-01</t>
        </is>
      </c>
      <c r="B4" s="23" t="inlineStr">
        <is>
          <t>Designate A Primary Authoritative Time</t>
        </is>
      </c>
      <c r="C4" s="24" t="inlineStr">
        <is>
          <t>The organisation shall designate a primary authoritative time source:.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A.8.17-02</t>
        </is>
      </c>
      <c r="B5" s="23" t="inlineStr">
        <is>
          <t>Deploy Internal Ntp Servers In A</t>
        </is>
      </c>
      <c r="C5" s="24" t="inlineStr">
        <is>
          <t>The organisation shall deploy internal NTP servers in a tiered architecture:.</t>
        </is>
      </c>
      <c r="D5" s="25" t="n"/>
      <c r="E5" s="5" t="n"/>
      <c r="F5" s="5" t="n"/>
      <c r="G5" s="26" t="n"/>
      <c r="H5" s="5" t="n"/>
    </row>
    <row r="6" ht="40" customHeight="1">
      <c r="A6" s="22" t="inlineStr">
        <is>
          <t>A.8.17-03</t>
        </is>
      </c>
      <c r="B6" s="23" t="inlineStr">
        <is>
          <t>Air-Gapped Networks), These</t>
        </is>
      </c>
      <c r="C6" s="24" t="inlineStr">
        <is>
          <t>Where the organisation operates GPS-disciplined oscillators (GPSDOs) for Stratum 0/1 independence (e.g., air-gapped networks), these shall be documented and maintained per manufacturer specifications.</t>
        </is>
      </c>
      <c r="D6" s="25" t="n"/>
      <c r="E6" s="5" t="n"/>
      <c r="F6" s="5" t="n"/>
      <c r="G6" s="26" t="n"/>
      <c r="H6" s="5" t="n"/>
    </row>
  </sheetData>
  <mergeCells count="2">
    <mergeCell ref="A2:H2"/>
    <mergeCell ref="A1:H1"/>
  </mergeCells>
  <conditionalFormatting sqref="D4:D6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 D6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472C4"/>
    <outlinePr summaryBelow="1" summaryRight="1"/>
    <pageSetUpPr/>
  </sheetPr>
  <dimension ref="A1:H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Synchronisation Protocol — Compliance Checklist</t>
        </is>
      </c>
    </row>
    <row r="2">
      <c r="A2" s="21" t="inlineStr">
        <is>
          <t>ISO/IEC 27001:2022 — Control A.8.17: Clock Synchronisation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A.8.17-04</t>
        </is>
      </c>
      <c r="B4" s="23" t="inlineStr">
        <is>
          <t>Network Time Protocol (Ntp)</t>
        </is>
      </c>
      <c r="C4" s="24" t="inlineStr">
        <is>
          <t>Network Time Protocol (NTP) shall be used for time synchronisation across all standard enterprise systems.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A.8.17-05</t>
        </is>
      </c>
      <c r="B5" s="23" t="inlineStr">
        <is>
          <t>Financial Trading, Industrial Control,</t>
        </is>
      </c>
      <c r="C5" s="24" t="inlineStr">
        <is>
          <t>Where sub-microsecond accuracy is required (e.g., financial trading, industrial control, high-frequency data processing), IEEE 1588 Precision Time Protocol (PTPv2) shall be deployed:.</t>
        </is>
      </c>
      <c r="D5" s="25" t="n"/>
      <c r="E5" s="5" t="n"/>
      <c r="F5" s="5" t="n"/>
      <c r="G5" s="26" t="n"/>
      <c r="H5" s="5" t="n"/>
    </row>
    <row r="6" ht="40" customHeight="1">
      <c r="A6" s="22" t="inlineStr">
        <is>
          <t>A.8.17-06</t>
        </is>
      </c>
      <c r="B6" s="23" t="inlineStr">
        <is>
          <t>A Ptp Grandmaster Clock</t>
        </is>
      </c>
      <c r="C6" s="24" t="inlineStr">
        <is>
          <t>A PTP grandmaster clock (GPS-disciplined) shall be deployed.</t>
        </is>
      </c>
      <c r="D6" s="25" t="n"/>
      <c r="E6" s="5" t="n"/>
      <c r="F6" s="5" t="n"/>
      <c r="G6" s="26" t="n"/>
      <c r="H6" s="5" t="n"/>
    </row>
  </sheetData>
  <mergeCells count="2">
    <mergeCell ref="A2:H2"/>
    <mergeCell ref="A1:H1"/>
  </mergeCells>
  <conditionalFormatting sqref="D4:D6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 D6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H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Timestamp Format — Compliance Checklist</t>
        </is>
      </c>
    </row>
    <row r="2">
      <c r="A2" s="21" t="inlineStr">
        <is>
          <t>ISO/IEC 27001:2022 — Control A.8.17: Clock Synchronisation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A.8.17-07</t>
        </is>
      </c>
      <c r="B4" s="23" t="inlineStr">
        <is>
          <t>Record Timestamps In One Of The</t>
        </is>
      </c>
      <c r="C4" s="24" t="inlineStr">
        <is>
          <t>All systems shall record timestamps in one of the following formats:.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A.8.17-08</t>
        </is>
      </c>
      <c r="B5" s="23" t="inlineStr">
        <is>
          <t>Iso 8601 / Rfc 3339 Format</t>
        </is>
      </c>
      <c r="C5" s="24" t="inlineStr">
        <is>
          <t>ISO 8601 / RFC 3339 format shall be used for all machine-generated timestamps.</t>
        </is>
      </c>
      <c r="D5" s="25" t="n"/>
      <c r="E5" s="5" t="n"/>
      <c r="F5" s="5" t="n"/>
      <c r="G5" s="26" t="n"/>
      <c r="H5" s="5" t="n"/>
    </row>
    <row r="6" ht="40" customHeight="1">
      <c r="A6" s="22" t="inlineStr">
        <is>
          <t>A.8.17-09</t>
        </is>
      </c>
      <c r="B6" s="23" t="inlineStr">
        <is>
          <t>Named Timezone Abbreviations</t>
        </is>
      </c>
      <c r="C6" s="24" t="inlineStr">
        <is>
          <t>Named timezone abbreviations shall not be used in log timestamps.</t>
        </is>
      </c>
      <c r="D6" s="25" t="n"/>
      <c r="E6" s="5" t="n"/>
      <c r="F6" s="5" t="n"/>
      <c r="G6" s="26" t="n"/>
      <c r="H6" s="5" t="n"/>
    </row>
    <row r="7" ht="40" customHeight="1">
      <c r="A7" s="22" t="inlineStr">
        <is>
          <t>A.8.17-10</t>
        </is>
      </c>
      <c r="B7" s="23" t="inlineStr">
        <is>
          <t>Use Utc Or Explicit Offset To</t>
        </is>
      </c>
      <c r="C7" s="24" t="inlineStr">
        <is>
          <t>All systems shall use UTC or explicit offset to prevent DST-related timestamp ambiguity.</t>
        </is>
      </c>
      <c r="D7" s="25" t="n"/>
      <c r="E7" s="5" t="n"/>
      <c r="F7" s="5" t="n"/>
      <c r="G7" s="26" t="n"/>
      <c r="H7" s="5" t="n"/>
    </row>
  </sheetData>
  <mergeCells count="2">
    <mergeCell ref="A2:H2"/>
    <mergeCell ref="A1:H1"/>
  </mergeCells>
  <conditionalFormatting sqref="D4:D7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 D6 D7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H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Clock Drift Tolerances — Compliance Checklist</t>
        </is>
      </c>
    </row>
    <row r="2">
      <c r="A2" s="21" t="inlineStr">
        <is>
          <t>ISO/IEC 27001:2022 — Control A.8.17: Clock Synchronisation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A.8.17-11</t>
        </is>
      </c>
      <c r="B4" s="23" t="inlineStr">
        <is>
          <t>Maintain Clock Accuracy Within The</t>
        </is>
      </c>
      <c r="C4" s="24" t="inlineStr">
        <is>
          <t>Systems shall maintain clock accuracy within the following tolerances:.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A.8.17-12</t>
        </is>
      </c>
      <c r="B5" s="23" t="inlineStr">
        <is>
          <t>Clock Drift</t>
        </is>
      </c>
      <c r="C5" s="24" t="inlineStr">
        <is>
          <t>Clock drift shall be monitored continuously using system monitoring tools (e.g., Prometheus, Nagios, CloudWatch, or equivalent):.</t>
        </is>
      </c>
      <c r="D5" s="25" t="n"/>
      <c r="E5" s="5" t="n"/>
      <c r="F5" s="5" t="n"/>
      <c r="G5" s="26" t="n"/>
      <c r="H5" s="5" t="n"/>
    </row>
    <row r="6" ht="40" customHeight="1">
      <c r="A6" s="22" t="inlineStr">
        <is>
          <t>A.8.17-13</t>
        </is>
      </c>
      <c r="B6" s="23" t="inlineStr">
        <is>
          <t>Ntp Offset, Jitter, And Stratum Metrics</t>
        </is>
      </c>
      <c r="C6" s="24" t="inlineStr">
        <is>
          <t>NTP offset, jitter, and stratum metrics shall be collected from all monitored systems.</t>
        </is>
      </c>
      <c r="D6" s="25" t="n"/>
      <c r="E6" s="5" t="n"/>
      <c r="F6" s="5" t="n"/>
      <c r="G6" s="26" t="n"/>
      <c r="H6" s="5" t="n"/>
    </row>
    <row r="7" ht="40" customHeight="1">
      <c r="A7" s="22" t="inlineStr">
        <is>
          <t>A.8.17-14</t>
        </is>
      </c>
      <c r="B7" s="23" t="inlineStr">
        <is>
          <t>Clock Drift Alerts</t>
        </is>
      </c>
      <c r="C7" s="24" t="inlineStr">
        <is>
          <t>Clock drift alerts shall be forwarded to the centralised monitoring platform.</t>
        </is>
      </c>
      <c r="D7" s="25" t="n"/>
      <c r="E7" s="5" t="n"/>
      <c r="F7" s="5" t="n"/>
      <c r="G7" s="26" t="n"/>
      <c r="H7" s="5" t="n"/>
    </row>
  </sheetData>
  <mergeCells count="2">
    <mergeCell ref="A2:H2"/>
    <mergeCell ref="A1:H1"/>
  </mergeCells>
  <conditionalFormatting sqref="D4:D7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 D6 D7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H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Cloud Service Time — Compliance Checklist</t>
        </is>
      </c>
    </row>
    <row r="2">
      <c r="A2" s="21" t="inlineStr">
        <is>
          <t>ISO/IEC 27001:2022 — Control A.8.17: Clock Synchronisation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A.8.17-15</t>
        </is>
      </c>
      <c r="B4" s="23" t="inlineStr">
        <is>
          <t>The Provider'S Time Synchronisation</t>
        </is>
      </c>
      <c r="C4" s="24" t="inlineStr">
        <is>
          <t>Where systems run in cloud environments, the provider's time synchronisation service shall be used:.</t>
        </is>
      </c>
      <c r="D4" s="25" t="n"/>
      <c r="E4" s="5" t="n"/>
      <c r="F4" s="5" t="n"/>
      <c r="G4" s="26" t="n"/>
      <c r="H4" s="5" t="n"/>
    </row>
  </sheetData>
  <mergeCells count="2">
    <mergeCell ref="A2:H2"/>
    <mergeCell ref="A1:H1"/>
  </mergeCells>
  <conditionalFormatting sqref="D4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4472C4"/>
    <outlinePr summaryBelow="1" summaryRight="1"/>
    <pageSetUpPr/>
  </sheetPr>
  <dimension ref="A1:H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Leap Second Handling — Compliance Checklist</t>
        </is>
      </c>
    </row>
    <row r="2">
      <c r="A2" s="21" t="inlineStr">
        <is>
          <t>ISO/IEC 27001:2022 — Control A.8.17: Clock Synchronisation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A.8.17-16</t>
        </is>
      </c>
      <c r="B4" s="23" t="inlineStr">
        <is>
          <t>Adopt A Single, Consistent Leap Second</t>
        </is>
      </c>
      <c r="C4" s="24" t="inlineStr">
        <is>
          <t>The organisation shall adopt a single, consistent leap second handling strategy across all environments:.</t>
        </is>
      </c>
      <c r="D4" s="25" t="n"/>
      <c r="E4" s="5" t="n"/>
      <c r="F4" s="5" t="n"/>
      <c r="G4" s="26" t="n"/>
      <c r="H4" s="5" t="n"/>
    </row>
  </sheetData>
  <mergeCells count="2">
    <mergeCell ref="A2:H2"/>
    <mergeCell ref="A1:H1"/>
  </mergeCells>
  <conditionalFormatting sqref="D4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472C4"/>
    <outlinePr summaryBelow="1" summaryRight="1"/>
    <pageSetUpPr/>
  </sheetPr>
  <dimension ref="A1:H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NTP Security — Compliance Checklist</t>
        </is>
      </c>
    </row>
    <row r="2">
      <c r="A2" s="21" t="inlineStr">
        <is>
          <t>ISO/IEC 27001:2022 — Control A.8.17: Clock Synchronisation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A.8.17-17</t>
        </is>
      </c>
      <c r="B4" s="23" t="inlineStr">
        <is>
          <t>Ntp Infrastructure</t>
        </is>
      </c>
      <c r="C4" s="24" t="inlineStr">
        <is>
          <t>NTP infrastructure shall be protected against spoofing, replay, and denial-of-service attacks:.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A.8.17-18</t>
        </is>
      </c>
      <c r="B5" s="23" t="inlineStr">
        <is>
          <t>Ntp Configuration Files</t>
        </is>
      </c>
      <c r="C5" s="24" t="inlineStr">
        <is>
          <t>NTP configuration files shall be protected from unauthorised modification (file permissions, integrity monitoring).</t>
        </is>
      </c>
      <c r="D5" s="25" t="n"/>
      <c r="E5" s="5" t="n"/>
      <c r="F5" s="5" t="n"/>
      <c r="G5" s="26" t="n"/>
      <c r="H5" s="5" t="n"/>
    </row>
    <row r="6" ht="40" customHeight="1">
      <c r="A6" s="22" t="inlineStr">
        <is>
          <t>A.8.17-19</t>
        </is>
      </c>
      <c r="B6" s="23" t="inlineStr">
        <is>
          <t>Changes To Ntp Configuration</t>
        </is>
      </c>
      <c r="C6" s="24" t="inlineStr">
        <is>
          <t>Changes to NTP configuration shall follow the change management process.</t>
        </is>
      </c>
      <c r="D6" s="25" t="n"/>
      <c r="E6" s="5" t="n"/>
      <c r="F6" s="5" t="n"/>
      <c r="G6" s="26" t="n"/>
      <c r="H6" s="5" t="n"/>
    </row>
    <row r="7" ht="40" customHeight="1">
      <c r="A7" s="22" t="inlineStr">
        <is>
          <t>A.8.17-20</t>
        </is>
      </c>
      <c r="B7" s="23" t="inlineStr">
        <is>
          <t>Ntp Service Status</t>
        </is>
      </c>
      <c r="C7" s="24" t="inlineStr">
        <is>
          <t>NTP service status shall be monitored; service failure shall generate an alert.</t>
        </is>
      </c>
      <c r="D7" s="25" t="n"/>
      <c r="E7" s="5" t="n"/>
      <c r="F7" s="5" t="n"/>
      <c r="G7" s="26" t="n"/>
      <c r="H7" s="5" t="n"/>
    </row>
  </sheetData>
  <mergeCells count="2">
    <mergeCell ref="A2:H2"/>
    <mergeCell ref="A1:H1"/>
  </mergeCells>
  <conditionalFormatting sqref="D4:D7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 D6 D7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2026-02-08T11:26:19Z</dcterms:created>
  <dcterms:modified xmlns:dcterms="http://purl.org/dc/terms/" xmlns:xsi="http://www.w3.org/2001/XMLSchema-instance" xsi:type="dcterms:W3CDTF">2026-02-08T11:26:19Z</dcterms:modified>
</cp:coreProperties>
</file>