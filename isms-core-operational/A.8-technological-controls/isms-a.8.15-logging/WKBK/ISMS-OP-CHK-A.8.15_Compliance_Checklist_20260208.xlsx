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Event Logging" sheetId="3" state="visible" r:id="rId3"/>
    <sheet xmlns:r="http://schemas.openxmlformats.org/officeDocument/2006/relationships" name="Event Logging Access Control" sheetId="4" state="visible" r:id="rId4"/>
    <sheet xmlns:r="http://schemas.openxmlformats.org/officeDocument/2006/relationships" name="Protection of Event Log Info" sheetId="5" state="visible" r:id="rId5"/>
    <sheet xmlns:r="http://schemas.openxmlformats.org/officeDocument/2006/relationships" name="Centralised Logging" sheetId="6" state="visible" r:id="rId6"/>
    <sheet xmlns:r="http://schemas.openxmlformats.org/officeDocument/2006/relationships" name="Administrator and Operator Logs" sheetId="7" state="visible" r:id="rId7"/>
    <sheet xmlns:r="http://schemas.openxmlformats.org/officeDocument/2006/relationships" name="Event Log Review" sheetId="8" state="visible" r:id="rId8"/>
    <sheet xmlns:r="http://schemas.openxmlformats.org/officeDocument/2006/relationships" name="Event Log Retention" sheetId="9" state="visible" r:id="rId9"/>
    <sheet xmlns:r="http://schemas.openxmlformats.org/officeDocument/2006/relationships" name="Swiss nFADP — DSV Article 4" sheetId="10" state="visible" r:id="rId10"/>
    <sheet xmlns:r="http://schemas.openxmlformats.org/officeDocument/2006/relationships" name="Personal Privacy" sheetId="11" state="visible" r:id="rId11"/>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ISMS-OP-CHK-A.8.15 — Logging Compliance Checklist</t>
        </is>
      </c>
    </row>
    <row r="3">
      <c r="A3" s="2" t="inlineStr">
        <is>
          <t>DOCUMENT INFORMATION</t>
        </is>
      </c>
    </row>
    <row r="4">
      <c r="A4" s="3" t="inlineStr">
        <is>
          <t>Document ID</t>
        </is>
      </c>
      <c r="B4" s="4" t="inlineStr">
        <is>
          <t>ISMS-OP-CHK-A.8.15</t>
        </is>
      </c>
    </row>
    <row r="5">
      <c r="A5" s="3" t="inlineStr">
        <is>
          <t>Source Policy</t>
        </is>
      </c>
      <c r="B5" s="4" t="inlineStr">
        <is>
          <t>ISMS-OP-POL-A.8.15</t>
        </is>
      </c>
    </row>
    <row r="6">
      <c r="A6" s="3" t="inlineStr">
        <is>
          <t>ISO Controls</t>
        </is>
      </c>
      <c r="B6" s="4" t="inlineStr">
        <is>
          <t>Logging</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Owner Coverage</t>
        </is>
      </c>
      <c r="B22" s="10">
        <f>IF(Dashboard!B13=0,"N/A",ROUND((COUNTA('Event Logging'!F4:F5)+COUNTA('Event Logging Access Control'!F4:F6)+COUNTA('Protection of Event Log Info'!F4:F7)+COUNTA('Centralised Logging'!F4:F7)+COUNTA('Administrator and Operator Logs'!F4:F7)+COUNTA('Event Log Review'!F4:F6)+COUNTA('Event Log Retention'!F4:F6)+COUNTA('Swiss nFADP — DSV Article 4'!F4:F5)+COUNTA('Personal Privacy'!F4:F10))/Dashboard!B13*100,0)&amp;"%")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Event Logging</t>
        </is>
      </c>
      <c r="B26" s="4">
        <f>'Dashboard'!G4</f>
        <v/>
      </c>
      <c r="C26" s="4">
        <f>'Dashboard'!C4</f>
        <v/>
      </c>
      <c r="D26" s="4">
        <f>'Dashboard'!E4</f>
        <v/>
      </c>
      <c r="E26" s="4">
        <f>IF(Dashboard!G4="N/A","--",IF(ISNUMBER(VALUE(SUBSTITUTE(Dashboard!G4,"%",""))),IF(VALUE(SUBSTITUTE(Dashboard!G4,"%",""))&gt;=90,"PASS",IF(VALUE(SUBSTITUTE(Dashboard!G4,"%",""))&gt;=70,"REVIEW","FAIL")),"--"))</f>
        <v/>
      </c>
    </row>
    <row r="27">
      <c r="A27" s="4" t="inlineStr">
        <is>
          <t>Event Logging Access Control</t>
        </is>
      </c>
      <c r="B27" s="4">
        <f>'Dashboard'!G5</f>
        <v/>
      </c>
      <c r="C27" s="4">
        <f>'Dashboard'!C5</f>
        <v/>
      </c>
      <c r="D27" s="4">
        <f>'Dashboard'!E5</f>
        <v/>
      </c>
      <c r="E27" s="4">
        <f>IF(Dashboard!G5="N/A","--",IF(ISNUMBER(VALUE(SUBSTITUTE(Dashboard!G5,"%",""))),IF(VALUE(SUBSTITUTE(Dashboard!G5,"%",""))&gt;=90,"PASS",IF(VALUE(SUBSTITUTE(Dashboard!G5,"%",""))&gt;=70,"REVIEW","FAIL")),"--"))</f>
        <v/>
      </c>
    </row>
    <row r="28">
      <c r="A28" s="4" t="inlineStr">
        <is>
          <t>Protection of Event Log Info</t>
        </is>
      </c>
      <c r="B28" s="4">
        <f>'Dashboard'!G6</f>
        <v/>
      </c>
      <c r="C28" s="4">
        <f>'Dashboard'!C6</f>
        <v/>
      </c>
      <c r="D28" s="4">
        <f>'Dashboard'!E6</f>
        <v/>
      </c>
      <c r="E28" s="4">
        <f>IF(Dashboard!G6="N/A","--",IF(ISNUMBER(VALUE(SUBSTITUTE(Dashboard!G6,"%",""))),IF(VALUE(SUBSTITUTE(Dashboard!G6,"%",""))&gt;=90,"PASS",IF(VALUE(SUBSTITUTE(Dashboard!G6,"%",""))&gt;=70,"REVIEW","FAIL")),"--"))</f>
        <v/>
      </c>
    </row>
    <row r="29">
      <c r="A29" s="4" t="inlineStr">
        <is>
          <t>Centralised Logging</t>
        </is>
      </c>
      <c r="B29" s="4">
        <f>'Dashboard'!G7</f>
        <v/>
      </c>
      <c r="C29" s="4">
        <f>'Dashboard'!C7</f>
        <v/>
      </c>
      <c r="D29" s="4">
        <f>'Dashboard'!E7</f>
        <v/>
      </c>
      <c r="E29" s="4">
        <f>IF(Dashboard!G7="N/A","--",IF(ISNUMBER(VALUE(SUBSTITUTE(Dashboard!G7,"%",""))),IF(VALUE(SUBSTITUTE(Dashboard!G7,"%",""))&gt;=90,"PASS",IF(VALUE(SUBSTITUTE(Dashboard!G7,"%",""))&gt;=70,"REVIEW","FAIL")),"--"))</f>
        <v/>
      </c>
    </row>
    <row r="30">
      <c r="A30" s="4" t="inlineStr">
        <is>
          <t>Administrator and Operator Logs</t>
        </is>
      </c>
      <c r="B30" s="4">
        <f>'Dashboard'!G8</f>
        <v/>
      </c>
      <c r="C30" s="4">
        <f>'Dashboard'!C8</f>
        <v/>
      </c>
      <c r="D30" s="4">
        <f>'Dashboard'!E8</f>
        <v/>
      </c>
      <c r="E30" s="4">
        <f>IF(Dashboard!G8="N/A","--",IF(ISNUMBER(VALUE(SUBSTITUTE(Dashboard!G8,"%",""))),IF(VALUE(SUBSTITUTE(Dashboard!G8,"%",""))&gt;=90,"PASS",IF(VALUE(SUBSTITUTE(Dashboard!G8,"%",""))&gt;=70,"REVIEW","FAIL")),"--"))</f>
        <v/>
      </c>
    </row>
    <row r="31">
      <c r="A31" s="4" t="inlineStr">
        <is>
          <t>Event Log Review</t>
        </is>
      </c>
      <c r="B31" s="4">
        <f>'Dashboard'!G9</f>
        <v/>
      </c>
      <c r="C31" s="4">
        <f>'Dashboard'!C9</f>
        <v/>
      </c>
      <c r="D31" s="4">
        <f>'Dashboard'!E9</f>
        <v/>
      </c>
      <c r="E31" s="4">
        <f>IF(Dashboard!G9="N/A","--",IF(ISNUMBER(VALUE(SUBSTITUTE(Dashboard!G9,"%",""))),IF(VALUE(SUBSTITUTE(Dashboard!G9,"%",""))&gt;=90,"PASS",IF(VALUE(SUBSTITUTE(Dashboard!G9,"%",""))&gt;=70,"REVIEW","FAIL")),"--"))</f>
        <v/>
      </c>
    </row>
    <row r="32">
      <c r="A32" s="4" t="inlineStr">
        <is>
          <t>Event Log Retention</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Swiss nFADP — DSV Article 4</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Personal Privacy</t>
        </is>
      </c>
      <c r="B34" s="4">
        <f>'Dashboard'!G12</f>
        <v/>
      </c>
      <c r="C34" s="4">
        <f>'Dashboard'!C12</f>
        <v/>
      </c>
      <c r="D34" s="4">
        <f>'Dashboard'!E12</f>
        <v/>
      </c>
      <c r="E34" s="4">
        <f>IF(Dashboard!G12="N/A","--",IF(ISNUMBER(VALUE(SUBSTITUTE(Dashboard!G12,"%",""))),IF(VALUE(SUBSTITUTE(Dashboard!G12,"%",""))&gt;=90,"PASS",IF(VALUE(SUBSTITUTE(Dashboard!G12,"%",""))&gt;=70,"REVIEW","FAIL")),"--"))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logging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4:H24"/>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Logging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Event Logging</t>
        </is>
      </c>
      <c r="B4" s="15">
        <f>COUNTA('Event Logging'!D4:D5)</f>
        <v/>
      </c>
      <c r="C4" s="15">
        <f>COUNTIF('Event Logging'!D4:D5,"Compliant")</f>
        <v/>
      </c>
      <c r="D4" s="15">
        <f>COUNTIF('Event Logging'!D4:D5,"Partial")</f>
        <v/>
      </c>
      <c r="E4" s="15">
        <f>COUNTIF('Event Logging'!D4:D5,"Non-Compliant")</f>
        <v/>
      </c>
      <c r="F4" s="15">
        <f>COUNTIF('Event Logging'!D4:D5,"N/A")</f>
        <v/>
      </c>
      <c r="G4" s="15">
        <f>IF((B4-F4)=0,"N/A",ROUND(C4/(B4-F4)*100,1)&amp;"%")</f>
        <v/>
      </c>
    </row>
    <row r="5">
      <c r="A5" s="3" t="inlineStr">
        <is>
          <t>Event Logging Access Control</t>
        </is>
      </c>
      <c r="B5" s="15">
        <f>COUNTA('Event Logging Access Control'!D4:D6)</f>
        <v/>
      </c>
      <c r="C5" s="15">
        <f>COUNTIF('Event Logging Access Control'!D4:D6,"Compliant")</f>
        <v/>
      </c>
      <c r="D5" s="15">
        <f>COUNTIF('Event Logging Access Control'!D4:D6,"Partial")</f>
        <v/>
      </c>
      <c r="E5" s="15">
        <f>COUNTIF('Event Logging Access Control'!D4:D6,"Non-Compliant")</f>
        <v/>
      </c>
      <c r="F5" s="15">
        <f>COUNTIF('Event Logging Access Control'!D4:D6,"N/A")</f>
        <v/>
      </c>
      <c r="G5" s="15">
        <f>IF((B5-F5)=0,"N/A",ROUND(C5/(B5-F5)*100,1)&amp;"%")</f>
        <v/>
      </c>
    </row>
    <row r="6">
      <c r="A6" s="3" t="inlineStr">
        <is>
          <t>Protection of Event Log Info</t>
        </is>
      </c>
      <c r="B6" s="15">
        <f>COUNTA('Protection of Event Log Info'!D4:D7)</f>
        <v/>
      </c>
      <c r="C6" s="15">
        <f>COUNTIF('Protection of Event Log Info'!D4:D7,"Compliant")</f>
        <v/>
      </c>
      <c r="D6" s="15">
        <f>COUNTIF('Protection of Event Log Info'!D4:D7,"Partial")</f>
        <v/>
      </c>
      <c r="E6" s="15">
        <f>COUNTIF('Protection of Event Log Info'!D4:D7,"Non-Compliant")</f>
        <v/>
      </c>
      <c r="F6" s="15">
        <f>COUNTIF('Protection of Event Log Info'!D4:D7,"N/A")</f>
        <v/>
      </c>
      <c r="G6" s="15">
        <f>IF((B6-F6)=0,"N/A",ROUND(C6/(B6-F6)*100,1)&amp;"%")</f>
        <v/>
      </c>
    </row>
    <row r="7">
      <c r="A7" s="3" t="inlineStr">
        <is>
          <t>Centralised Logging</t>
        </is>
      </c>
      <c r="B7" s="15">
        <f>COUNTA('Centralised Logging'!D4:D7)</f>
        <v/>
      </c>
      <c r="C7" s="15">
        <f>COUNTIF('Centralised Logging'!D4:D7,"Compliant")</f>
        <v/>
      </c>
      <c r="D7" s="15">
        <f>COUNTIF('Centralised Logging'!D4:D7,"Partial")</f>
        <v/>
      </c>
      <c r="E7" s="15">
        <f>COUNTIF('Centralised Logging'!D4:D7,"Non-Compliant")</f>
        <v/>
      </c>
      <c r="F7" s="15">
        <f>COUNTIF('Centralised Logging'!D4:D7,"N/A")</f>
        <v/>
      </c>
      <c r="G7" s="15">
        <f>IF((B7-F7)=0,"N/A",ROUND(C7/(B7-F7)*100,1)&amp;"%")</f>
        <v/>
      </c>
    </row>
    <row r="8">
      <c r="A8" s="3" t="inlineStr">
        <is>
          <t>Administrator and Operator Logs</t>
        </is>
      </c>
      <c r="B8" s="15">
        <f>COUNTA('Administrator and Operator Logs'!D4:D7)</f>
        <v/>
      </c>
      <c r="C8" s="15">
        <f>COUNTIF('Administrator and Operator Logs'!D4:D7,"Compliant")</f>
        <v/>
      </c>
      <c r="D8" s="15">
        <f>COUNTIF('Administrator and Operator Logs'!D4:D7,"Partial")</f>
        <v/>
      </c>
      <c r="E8" s="15">
        <f>COUNTIF('Administrator and Operator Logs'!D4:D7,"Non-Compliant")</f>
        <v/>
      </c>
      <c r="F8" s="15">
        <f>COUNTIF('Administrator and Operator Logs'!D4:D7,"N/A")</f>
        <v/>
      </c>
      <c r="G8" s="15">
        <f>IF((B8-F8)=0,"N/A",ROUND(C8/(B8-F8)*100,1)&amp;"%")</f>
        <v/>
      </c>
    </row>
    <row r="9">
      <c r="A9" s="3" t="inlineStr">
        <is>
          <t>Event Log Review</t>
        </is>
      </c>
      <c r="B9" s="15">
        <f>COUNTA('Event Log Review'!D4:D6)</f>
        <v/>
      </c>
      <c r="C9" s="15">
        <f>COUNTIF('Event Log Review'!D4:D6,"Compliant")</f>
        <v/>
      </c>
      <c r="D9" s="15">
        <f>COUNTIF('Event Log Review'!D4:D6,"Partial")</f>
        <v/>
      </c>
      <c r="E9" s="15">
        <f>COUNTIF('Event Log Review'!D4:D6,"Non-Compliant")</f>
        <v/>
      </c>
      <c r="F9" s="15">
        <f>COUNTIF('Event Log Review'!D4:D6,"N/A")</f>
        <v/>
      </c>
      <c r="G9" s="15">
        <f>IF((B9-F9)=0,"N/A",ROUND(C9/(B9-F9)*100,1)&amp;"%")</f>
        <v/>
      </c>
    </row>
    <row r="10">
      <c r="A10" s="3" t="inlineStr">
        <is>
          <t>Event Log Retention</t>
        </is>
      </c>
      <c r="B10" s="15">
        <f>COUNTA('Event Log Retention'!D4:D6)</f>
        <v/>
      </c>
      <c r="C10" s="15">
        <f>COUNTIF('Event Log Retention'!D4:D6,"Compliant")</f>
        <v/>
      </c>
      <c r="D10" s="15">
        <f>COUNTIF('Event Log Retention'!D4:D6,"Partial")</f>
        <v/>
      </c>
      <c r="E10" s="15">
        <f>COUNTIF('Event Log Retention'!D4:D6,"Non-Compliant")</f>
        <v/>
      </c>
      <c r="F10" s="15">
        <f>COUNTIF('Event Log Retention'!D4:D6,"N/A")</f>
        <v/>
      </c>
      <c r="G10" s="15">
        <f>IF((B10-F10)=0,"N/A",ROUND(C10/(B10-F10)*100,1)&amp;"%")</f>
        <v/>
      </c>
    </row>
    <row r="11">
      <c r="A11" s="3" t="inlineStr">
        <is>
          <t>Swiss nFADP — DSV Article 4</t>
        </is>
      </c>
      <c r="B11" s="15">
        <f>COUNTA('Swiss nFADP — DSV Article 4'!D4:D5)</f>
        <v/>
      </c>
      <c r="C11" s="15">
        <f>COUNTIF('Swiss nFADP — DSV Article 4'!D4:D5,"Compliant")</f>
        <v/>
      </c>
      <c r="D11" s="15">
        <f>COUNTIF('Swiss nFADP — DSV Article 4'!D4:D5,"Partial")</f>
        <v/>
      </c>
      <c r="E11" s="15">
        <f>COUNTIF('Swiss nFADP — DSV Article 4'!D4:D5,"Non-Compliant")</f>
        <v/>
      </c>
      <c r="F11" s="15">
        <f>COUNTIF('Swiss nFADP — DSV Article 4'!D4:D5,"N/A")</f>
        <v/>
      </c>
      <c r="G11" s="15">
        <f>IF((B11-F11)=0,"N/A",ROUND(C11/(B11-F11)*100,1)&amp;"%")</f>
        <v/>
      </c>
    </row>
    <row r="12">
      <c r="A12" s="3" t="inlineStr">
        <is>
          <t>Personal Privacy</t>
        </is>
      </c>
      <c r="B12" s="15">
        <f>COUNTA('Personal Privacy'!D4:D10)</f>
        <v/>
      </c>
      <c r="C12" s="15">
        <f>COUNTIF('Personal Privacy'!D4:D10,"Compliant")</f>
        <v/>
      </c>
      <c r="D12" s="15">
        <f>COUNTIF('Personal Privacy'!D4:D10,"Partial")</f>
        <v/>
      </c>
      <c r="E12" s="15">
        <f>COUNTIF('Personal Privacy'!D4:D10,"Non-Compliant")</f>
        <v/>
      </c>
      <c r="F12" s="15">
        <f>COUNTIF('Personal Privacy'!D4:D10,"N/A")</f>
        <v/>
      </c>
      <c r="G12" s="15">
        <f>IF((B12-F12)=0,"N/A",ROUND(C12/(B12-F12)*100,1)&amp;"%")</f>
        <v/>
      </c>
    </row>
    <row r="13">
      <c r="A13" s="16" t="inlineStr">
        <is>
          <t>TOTAL</t>
        </is>
      </c>
      <c r="B13" s="16">
        <f>SUM(B4:B12)</f>
        <v/>
      </c>
      <c r="C13" s="16">
        <f>SUM(C4:C12)</f>
        <v/>
      </c>
      <c r="D13" s="16">
        <f>SUM(D4:D12)</f>
        <v/>
      </c>
      <c r="E13" s="16">
        <f>SUM(E4:E12)</f>
        <v/>
      </c>
      <c r="F13" s="16">
        <f>SUM(F4:F12)</f>
        <v/>
      </c>
      <c r="G13" s="16">
        <f>IF((B13-F13)=0,"N/A",ROUND(C13/(B13-F13)*100,1)&amp;"%")</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Logging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A.8.15-01</t>
        </is>
      </c>
      <c r="B4" s="23" t="inlineStr">
        <is>
          <t>Event Logs Recording User Activities,</t>
        </is>
      </c>
      <c r="C4" s="24" t="inlineStr">
        <is>
          <t>Event logs recording user activities, exceptions, faults, and information security events shall be produced, kept, and regularly reviewed. The following events shall be logged:.</t>
        </is>
      </c>
      <c r="D4" s="25" t="n"/>
      <c r="E4" s="5" t="n"/>
      <c r="F4" s="5" t="n"/>
      <c r="G4" s="26" t="n"/>
      <c r="H4" s="5" t="n"/>
    </row>
    <row r="5" ht="40" customHeight="1">
      <c r="A5" s="22" t="inlineStr">
        <is>
          <t>A.8.15-02</t>
        </is>
      </c>
      <c r="B5" s="23" t="inlineStr">
        <is>
          <t>Log Entry</t>
        </is>
      </c>
      <c r="C5" s="24" t="inlineStr">
        <is>
          <t>Each log entry shall include, at minimum:.</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Logging Access Control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A.8.15-03</t>
        </is>
      </c>
      <c r="B4" s="23" t="inlineStr">
        <is>
          <t>Event Logging Access</t>
        </is>
      </c>
      <c r="C4" s="24" t="inlineStr">
        <is>
          <t>Event logging shall be performed by authorised personnel only.</t>
        </is>
      </c>
      <c r="D4" s="25" t="n"/>
      <c r="E4" s="5" t="n"/>
      <c r="F4" s="5" t="n"/>
      <c r="G4" s="26" t="n"/>
      <c r="H4" s="5" t="n"/>
    </row>
    <row r="5" ht="40" customHeight="1">
      <c r="A5" s="22" t="inlineStr">
        <is>
          <t>A.8.15-04</t>
        </is>
      </c>
      <c r="B5" s="23" t="inlineStr">
        <is>
          <t>Event Log Protection</t>
        </is>
      </c>
      <c r="C5" s="24" t="inlineStr">
        <is>
          <t>Event logs shall be protected and access restricted in line with the Access Control Policy. Access to raw logs shall be limited to the information security management team and authorised IT personnel.</t>
        </is>
      </c>
      <c r="D5" s="25" t="n"/>
      <c r="E5" s="5" t="n"/>
      <c r="F5" s="5" t="n"/>
      <c r="G5" s="26" t="n"/>
      <c r="H5" s="5" t="n"/>
    </row>
    <row r="6" ht="40" customHeight="1">
      <c r="A6" s="22" t="inlineStr">
        <is>
          <t>A.8.15-05</t>
        </is>
      </c>
      <c r="B6" s="23" t="inlineStr">
        <is>
          <t>System Administrators</t>
        </is>
      </c>
      <c r="C6" s="24" t="inlineStr">
        <is>
          <t>System administrators shall not have permission to erase or deactivate logs of their own activities. Where this is not technically enforceable, compensating controls shall be implemented (e.g., forwarding logs to a central system outside the administrator's control, periodic review of administrator activity by a separate role).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Protection of Event Log Info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A.8.15-06</t>
        </is>
      </c>
      <c r="B4" s="23" t="inlineStr">
        <is>
          <t>Logging Facilities And Log Information</t>
        </is>
      </c>
      <c r="C4" s="24" t="inlineStr">
        <is>
          <t>Logging facilities and log information shall be protected against tampering and unauthorised access.</t>
        </is>
      </c>
      <c r="D4" s="25" t="n"/>
      <c r="E4" s="5" t="n"/>
      <c r="F4" s="5" t="n"/>
      <c r="G4" s="26" t="n"/>
      <c r="H4" s="5" t="n"/>
    </row>
    <row r="5" ht="40" customHeight="1">
      <c r="A5" s="22" t="inlineStr">
        <is>
          <t>A.8.15-07</t>
        </is>
      </c>
      <c r="B5" s="23" t="inlineStr">
        <is>
          <t>Protect Against</t>
        </is>
      </c>
      <c r="C5" s="24" t="inlineStr">
        <is>
          <t>Controls shall protect against:.</t>
        </is>
      </c>
      <c r="D5" s="25" t="n"/>
      <c r="E5" s="5" t="n"/>
      <c r="F5" s="5" t="n"/>
      <c r="G5" s="26" t="n"/>
      <c r="H5" s="5" t="n"/>
    </row>
    <row r="6" ht="40" customHeight="1">
      <c r="A6" s="22" t="inlineStr">
        <is>
          <t>A.8.15-08</t>
        </is>
      </c>
      <c r="B6" s="23" t="inlineStr">
        <is>
          <t>Storage Exhaustion Causing Loss Of Log</t>
        </is>
      </c>
      <c r="C6" s="24" t="inlineStr">
        <is>
          <t>Storage exhaustion causing loss of log data (logs shall fail open — alert when storage reaches 80% capacity rather than silently overwriting). Log storage capacity shall be monitored continuously, with automated alerts at 80% and 90% thresholds. When 90% capacity is reached, archived logs shall be offloaded to long-term storage and the platform team shall assess whether additional capacity is required.</t>
        </is>
      </c>
      <c r="D6" s="25" t="n"/>
      <c r="E6" s="5" t="n"/>
      <c r="F6" s="5" t="n"/>
      <c r="G6" s="26" t="n"/>
      <c r="H6" s="5" t="n"/>
    </row>
    <row r="7" ht="40" customHeight="1">
      <c r="A7" s="22" t="inlineStr">
        <is>
          <t>A.8.15-09</t>
        </is>
      </c>
      <c r="B7" s="23" t="inlineStr">
        <is>
          <t>Log Protection</t>
        </is>
      </c>
      <c r="C7" s="24" t="inlineStr">
        <is>
          <t>Log protection shall be achieved through:.</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Centralised Logging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A.8.15-10</t>
        </is>
      </c>
      <c r="B4" s="23" t="inlineStr">
        <is>
          <t>The Centralised Logging Platform</t>
        </is>
      </c>
      <c r="C4" s="24" t="inlineStr">
        <is>
          <t>The centralised logging platform shall meet the following requirements:.</t>
        </is>
      </c>
      <c r="D4" s="25" t="n"/>
      <c r="E4" s="5" t="n"/>
      <c r="F4" s="5" t="n"/>
      <c r="G4" s="26" t="n"/>
      <c r="H4" s="5" t="n"/>
    </row>
    <row r="5" ht="40" customHeight="1">
      <c r="A5" s="22" t="inlineStr">
        <is>
          <t>A.8.15-11</t>
        </is>
      </c>
      <c r="B5" s="23" t="inlineStr">
        <is>
          <t>Logs From All Critical Systems</t>
        </is>
      </c>
      <c r="C5" s="24" t="inlineStr">
        <is>
          <t>Logs from all critical systems shall be forwarded to the centralised logging platform. The platform shall be:.</t>
        </is>
      </c>
      <c r="D5" s="25" t="n"/>
      <c r="E5" s="5" t="n"/>
      <c r="F5" s="5" t="n"/>
      <c r="G5" s="26" t="n"/>
      <c r="H5" s="5" t="n"/>
    </row>
    <row r="6" ht="40" customHeight="1">
      <c r="A6" s="22" t="inlineStr">
        <is>
          <t>A.8.15-12</t>
        </is>
      </c>
      <c r="B6" s="23" t="inlineStr">
        <is>
          <t>Separate From The Systems Generating The</t>
        </is>
      </c>
      <c r="C6" s="24" t="inlineStr">
        <is>
          <t>Separate from the systems generating the logs (source system administrators shall not have administrative access to the central log store).</t>
        </is>
      </c>
      <c r="D6" s="25" t="n"/>
      <c r="E6" s="5" t="n"/>
      <c r="F6" s="5" t="n"/>
      <c r="G6" s="26" t="n"/>
      <c r="H6" s="5" t="n"/>
    </row>
    <row r="7" ht="40" customHeight="1">
      <c r="A7" s="22" t="inlineStr">
        <is>
          <t>A.8.15-13</t>
        </is>
      </c>
      <c r="B7" s="23" t="inlineStr">
        <is>
          <t>Manual Log Collection And Review</t>
        </is>
      </c>
      <c r="C7" s="24" t="inlineStr">
        <is>
          <t>Where automated centralised logging is not feasible for a specific system, manual log collection and review shall be performed at a defined frequency with documented justification.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Administrator and Operator Logs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A.8.15-14</t>
        </is>
      </c>
      <c r="B4" s="23" t="inlineStr">
        <is>
          <t>System Administrator And System Operator</t>
        </is>
      </c>
      <c r="C4" s="24" t="inlineStr">
        <is>
          <t>System administrator and system operator activities shall be logged, and the logs protected and regularly reviewed.</t>
        </is>
      </c>
      <c r="D4" s="25" t="n"/>
      <c r="E4" s="5" t="n"/>
      <c r="F4" s="5" t="n"/>
      <c r="G4" s="26" t="n"/>
      <c r="H4" s="5" t="n"/>
    </row>
    <row r="5" ht="40" customHeight="1">
      <c r="A5" s="22" t="inlineStr">
        <is>
          <t>A.8.15-15</t>
        </is>
      </c>
      <c r="B5" s="23" t="inlineStr">
        <is>
          <t>Administrator Actions</t>
        </is>
      </c>
      <c r="C5" s="24" t="inlineStr">
        <is>
          <t>Administrator actions shall be forwarded to the centralised logging system in real-time or near-real-time.</t>
        </is>
      </c>
      <c r="D5" s="25" t="n"/>
      <c r="E5" s="5" t="n"/>
      <c r="F5" s="5" t="n"/>
      <c r="G5" s="26" t="n"/>
      <c r="H5" s="5" t="n"/>
    </row>
    <row r="6" ht="40" customHeight="1">
      <c r="A6" s="22" t="inlineStr">
        <is>
          <t>A.8.15-16</t>
        </is>
      </c>
      <c r="B6" s="23" t="inlineStr">
        <is>
          <t>A Periodic Review Of Privileged User</t>
        </is>
      </c>
      <c r="C6" s="24" t="inlineStr">
        <is>
          <t>A periodic review of privileged user activity shall be conducted (at least quarterly).</t>
        </is>
      </c>
      <c r="D6" s="25" t="n"/>
      <c r="E6" s="5" t="n"/>
      <c r="F6" s="5" t="n"/>
      <c r="G6" s="26" t="n"/>
      <c r="H6" s="5" t="n"/>
    </row>
    <row r="7" ht="40" customHeight="1">
      <c r="A7" s="22" t="inlineStr">
        <is>
          <t>A.8.15-17</t>
        </is>
      </c>
      <c r="B7" s="23" t="inlineStr">
        <is>
          <t>Anomalous Privileged Activity (E.G.,</t>
        </is>
      </c>
      <c r="C7" s="24" t="inlineStr">
        <is>
          <t>Anomalous privileged activity (e.g., after-hours access, bulk data operations, security configuration changes) shall generate alerts.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 Review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A.8.15-18</t>
        </is>
      </c>
      <c r="B4" s="23" t="inlineStr">
        <is>
          <t>Responsibilities For Log Analysis</t>
        </is>
      </c>
      <c r="C4" s="24" t="inlineStr">
        <is>
          <t>Responsibilities shall be assigned for the analysis of security events recorded in logs.</t>
        </is>
      </c>
      <c r="D4" s="25" t="n"/>
      <c r="E4" s="5" t="n"/>
      <c r="F4" s="5" t="n"/>
      <c r="G4" s="26" t="n"/>
      <c r="H4" s="5" t="n"/>
    </row>
    <row r="5" ht="40" customHeight="1">
      <c r="A5" s="22" t="inlineStr">
        <is>
          <t>A.8.15-19</t>
        </is>
      </c>
      <c r="B5" s="23" t="inlineStr">
        <is>
          <t>Automated Alerts For High-Risk Events</t>
        </is>
      </c>
      <c r="C5" s="24" t="inlineStr">
        <is>
          <t>The following events shall trigger immediate automated alerts and be escalated to the incident management process:.</t>
        </is>
      </c>
      <c r="D5" s="25" t="n"/>
      <c r="E5" s="5" t="n"/>
      <c r="F5" s="5" t="n"/>
      <c r="G5" s="26" t="n"/>
      <c r="H5" s="5" t="n"/>
    </row>
    <row r="6" ht="40" customHeight="1">
      <c r="A6" s="22" t="inlineStr">
        <is>
          <t>A.8.15-20</t>
        </is>
      </c>
      <c r="B6" s="23" t="inlineStr">
        <is>
          <t>Escalation Process For High-Risk Events</t>
        </is>
      </c>
      <c r="C6" s="24" t="inlineStr">
        <is>
          <t>When a high-risk event is detected, the following escalation process shall be followed:.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 Retention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A.8.15-21</t>
        </is>
      </c>
      <c r="B4" s="23" t="inlineStr">
        <is>
          <t>Archived Logs</t>
        </is>
      </c>
      <c r="C4" s="24" t="inlineStr">
        <is>
          <t>Archived logs shall be encrypted, stored in a secure location, and retrievable within the following timeframes:.</t>
        </is>
      </c>
      <c r="D4" s="25" t="n"/>
      <c r="E4" s="5" t="n"/>
      <c r="F4" s="5" t="n"/>
      <c r="G4" s="26" t="n"/>
      <c r="H4" s="5" t="n"/>
    </row>
    <row r="5" ht="40" customHeight="1">
      <c r="A5" s="22" t="inlineStr">
        <is>
          <t>A.8.15-22</t>
        </is>
      </c>
      <c r="B5" s="23" t="inlineStr">
        <is>
          <t>Retrieval Procedures</t>
        </is>
      </c>
      <c r="C5" s="24" t="inlineStr">
        <is>
          <t>Retrieval procedures shall be tested at least annually to verify that archived logs are accessible and intact.</t>
        </is>
      </c>
      <c r="D5" s="25" t="n"/>
      <c r="E5" s="5" t="n"/>
      <c r="F5" s="5" t="n"/>
      <c r="G5" s="26" t="n"/>
      <c r="H5" s="5" t="n"/>
    </row>
    <row r="6" ht="40" customHeight="1">
      <c r="A6" s="22" t="inlineStr">
        <is>
          <t>A.8.15-23</t>
        </is>
      </c>
      <c r="B6" s="23" t="inlineStr">
        <is>
          <t>Not Be Retained Longer Than Necessary</t>
        </is>
      </c>
      <c r="C6" s="24" t="inlineStr">
        <is>
          <t>Logs shall not be retained longer than necessary. When retention periods expire, logs shall be securely deleted in line with the Information Classification and Handling Policy.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Swiss nFADP — DSV Article 4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A.8.15-24</t>
        </is>
      </c>
      <c r="B4" s="23" t="inlineStr">
        <is>
          <t>Log Storage: Logs Of Sensitive Personal</t>
        </is>
      </c>
      <c r="C4" s="24" t="inlineStr">
        <is>
          <t>Log storage: Logs of sensitive personal data processing shall be stored separately from the processing system, retained for a minimum of 1 year, and access restricted to verifying data security compliance and ensuring confidentiality, integrity, availability, and traceability.</t>
        </is>
      </c>
      <c r="D4" s="25" t="n"/>
      <c r="E4" s="5" t="n"/>
      <c r="F4" s="5" t="n"/>
      <c r="G4" s="26" t="n"/>
      <c r="H4" s="5" t="n"/>
    </row>
    <row r="5" ht="40" customHeight="1">
      <c r="A5" s="22" t="inlineStr">
        <is>
          <t>A.8.15-25</t>
        </is>
      </c>
      <c r="B5" s="23" t="inlineStr">
        <is>
          <t>Determine Whether DSV Art. 4 Applies</t>
        </is>
      </c>
      <c r="C5" s="24" t="inlineStr">
        <is>
          <t>The organisation shall determine whether DSV Art. 4 applies by assessing the following criteria:.</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Personal Privacy — Compliance Checklist</t>
        </is>
      </c>
    </row>
    <row r="2">
      <c r="A2" s="21" t="inlineStr">
        <is>
          <t>ISO/IEC 27001:2022 — Control A.8.15: Logging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A.8.15-26</t>
        </is>
      </c>
      <c r="B4" s="23" t="inlineStr">
        <is>
          <t>The Privacy Of Employees And Customers</t>
        </is>
      </c>
      <c r="C4" s="24" t="inlineStr">
        <is>
          <t>The privacy of employees and customers shall be respected in line with Swiss nFADP and applicable legal requirements when implementing logging.</t>
        </is>
      </c>
      <c r="D4" s="25" t="n"/>
      <c r="E4" s="5" t="n"/>
      <c r="F4" s="5" t="n"/>
      <c r="G4" s="26" t="n"/>
      <c r="H4" s="5" t="n"/>
    </row>
    <row r="5" ht="40" customHeight="1">
      <c r="A5" s="22" t="inlineStr">
        <is>
          <t>A.8.15-27</t>
        </is>
      </c>
      <c r="B5" s="23" t="inlineStr">
        <is>
          <t>Logging Systems</t>
        </is>
      </c>
      <c r="C5" s="24" t="inlineStr">
        <is>
          <t>Logging systems shall serve legitimate security purposes (detecting threats, investigating incidents, verifying compliance) — not primarily for monitoring employee behaviour.</t>
        </is>
      </c>
      <c r="D5" s="25" t="n"/>
      <c r="E5" s="5" t="n"/>
      <c r="F5" s="5" t="n"/>
      <c r="G5" s="26" t="n"/>
      <c r="H5" s="5" t="n"/>
    </row>
    <row r="6" ht="40" customHeight="1">
      <c r="A6" s="22" t="inlineStr">
        <is>
          <t>A.8.15-28</t>
        </is>
      </c>
      <c r="B6" s="23" t="inlineStr">
        <is>
          <t>Be Informed In Advance That Logging</t>
        </is>
      </c>
      <c r="C6" s="24" t="inlineStr">
        <is>
          <t>Employees shall be informed in advance that logging takes place, what is logged, and why, through the information security awareness programme and employment documentation.</t>
        </is>
      </c>
      <c r="D6" s="25" t="n"/>
      <c r="E6" s="5" t="n"/>
      <c r="F6" s="5" t="n"/>
      <c r="G6" s="26" t="n"/>
      <c r="H6" s="5" t="n"/>
    </row>
    <row r="7" ht="40" customHeight="1">
      <c r="A7" s="22" t="inlineStr">
        <is>
          <t>A.8.15-29</t>
        </is>
      </c>
      <c r="B7" s="23" t="inlineStr">
        <is>
          <t>Only The Minimum Necessary Data</t>
        </is>
      </c>
      <c r="C7" s="24" t="inlineStr">
        <is>
          <t>Only the minimum necessary data shall be collected and retained (data minimisation).</t>
        </is>
      </c>
      <c r="D7" s="25" t="n"/>
      <c r="E7" s="5" t="n"/>
      <c r="F7" s="5" t="n"/>
      <c r="G7" s="26" t="n"/>
      <c r="H7" s="5" t="n"/>
    </row>
    <row r="8" ht="40" customHeight="1">
      <c r="A8" s="22" t="inlineStr">
        <is>
          <t>A.8.15-30</t>
        </is>
      </c>
      <c r="B8" s="23" t="inlineStr">
        <is>
          <t>Access To Logs</t>
        </is>
      </c>
      <c r="C8" s="24" t="inlineStr">
        <is>
          <t>Access to logs containing employee data shall be restricted to authorised security and compliance personnel only — not line managers for general browsing.</t>
        </is>
      </c>
      <c r="D8" s="25" t="n"/>
      <c r="E8" s="5" t="n"/>
      <c r="F8" s="5" t="n"/>
      <c r="G8" s="26" t="n"/>
      <c r="H8" s="5" t="n"/>
    </row>
    <row r="9" ht="40" customHeight="1">
      <c r="A9" s="22" t="inlineStr">
        <is>
          <t>A.8.15-31</t>
        </is>
      </c>
      <c r="B9" s="23" t="inlineStr">
        <is>
          <t>Keystroke Logging And Continuous</t>
        </is>
      </c>
      <c r="C9" s="24" t="inlineStr">
        <is>
          <t>Keystroke logging and continuous individual activity surveillance are disproportionate and shall not be implemented.</t>
        </is>
      </c>
      <c r="D9" s="25" t="n"/>
      <c r="E9" s="5" t="n"/>
      <c r="F9" s="5" t="n"/>
      <c r="G9" s="26" t="n"/>
      <c r="H9" s="5" t="n"/>
    </row>
    <row r="10" ht="40" customHeight="1">
      <c r="A10" s="22" t="inlineStr">
        <is>
          <t>A.8.15-32</t>
        </is>
      </c>
      <c r="B10" s="23" t="inlineStr">
        <is>
          <t>Vendors For Troubleshooting</t>
        </is>
      </c>
      <c r="C10" s="24" t="inlineStr">
        <is>
          <t>Where logs containing personal data are shared with external parties (e.g., vendors for troubleshooting), personal identifiers shall be masked or anonymised.</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2026-02-08T16:41:00Z</dcterms:created>
  <dcterms:modified xmlns:dcterms="http://purl.org/dc/terms/" xmlns:xsi="http://www.w3.org/2001/XMLSchema-instance" xsi:type="dcterms:W3CDTF">2026-02-08T16:41:00Z</dcterms:modified>
</cp:coreProperties>
</file>