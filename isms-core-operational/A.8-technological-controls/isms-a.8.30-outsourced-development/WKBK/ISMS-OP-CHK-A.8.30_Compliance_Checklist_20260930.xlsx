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Vendor Security Assessment" sheetId="3" state="visible" r:id="rId3"/>
    <sheet xmlns:r="http://schemas.openxmlformats.org/officeDocument/2006/relationships" name="Contractual Security Reqs" sheetId="4" state="visible" r:id="rId4"/>
    <sheet xmlns:r="http://schemas.openxmlformats.org/officeDocument/2006/relationships" name="Secure Dev Reqs for Vendors" sheetId="5" state="visible" r:id="rId5"/>
    <sheet xmlns:r="http://schemas.openxmlformats.org/officeDocument/2006/relationships" name="Code Review and Sec Testing" sheetId="6" state="visible" r:id="rId6"/>
    <sheet xmlns:r="http://schemas.openxmlformats.org/officeDocument/2006/relationships" name="Acceptance Criteria" sheetId="7" state="visible" r:id="rId7"/>
    <sheet xmlns:r="http://schemas.openxmlformats.org/officeDocument/2006/relationships" name="IP Property and Code Escrow" sheetId="8" state="visible" r:id="rId8"/>
    <sheet xmlns:r="http://schemas.openxmlformats.org/officeDocument/2006/relationships" name="Ongoing Monitoring" sheetId="9" state="visible" r:id="rId9"/>
    <sheet xmlns:r="http://schemas.openxmlformats.org/officeDocument/2006/relationships" name="Vendor Sec Incident Response" sheetId="10" state="visible" r:id="rId10"/>
    <sheet xmlns:r="http://schemas.openxmlformats.org/officeDocument/2006/relationships" name="Data Protection Requirements" sheetId="11" state="visible" r:id="rId11"/>
  </sheets>
  <definedNames>
    <definedName name="_xlnm.Print_Area" localSheetId="0">'Executive Summary'!$A$1:$H$69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ISMS-OP-CHK-A.8.30 — Outsourced Development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ISMS-OP-CHK-A.8.30</t>
        </is>
      </c>
    </row>
    <row r="5">
      <c r="A5" s="3" t="inlineStr">
        <is>
          <t>Source Policy</t>
        </is>
      </c>
      <c r="B5" s="4" t="inlineStr">
        <is>
          <t>ISMS-OP-POL-A.8.30</t>
        </is>
      </c>
    </row>
    <row r="6">
      <c r="A6" s="3" t="inlineStr">
        <is>
          <t>ISO Controls</t>
        </is>
      </c>
      <c r="B6" s="4" t="inlineStr">
        <is>
          <t>Outsourced Development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'Dashboard'!G13</f>
        <v/>
      </c>
    </row>
    <row r="14">
      <c r="A14" s="7" t="inlineStr">
        <is>
          <t>Status</t>
        </is>
      </c>
      <c r="B14" s="9">
        <f>IF(Dashboard!H13&gt;0,"INCOMPLETE",IF(Dashboard!G13="N/A","NOT ASSESSED",IF(ISNUMBER(VALUE(SUBSTITUTE(Dashboard!G13,"%",""))),IF(VALUE(SUBSTITUTE(Dashboard!G13,"%",""))&gt;=90,"GREEN",IF(VALUE(SUBSTITUTE(Dashboard!G13,"%",""))&gt;=70,"AMBER","RED")),"NOT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'Dashboard'!B13</f>
        <v/>
      </c>
    </row>
    <row r="18">
      <c r="A18" s="3" t="inlineStr">
        <is>
          <t>Compliant</t>
        </is>
      </c>
      <c r="B18" s="10">
        <f>'Dashboard'!C13</f>
        <v/>
      </c>
    </row>
    <row r="19">
      <c r="A19" s="3" t="inlineStr">
        <is>
          <t>Partial</t>
        </is>
      </c>
      <c r="B19" s="10">
        <f>'Dashboard'!D13</f>
        <v/>
      </c>
    </row>
    <row r="20">
      <c r="A20" s="3" t="inlineStr">
        <is>
          <t>Non-Compliant</t>
        </is>
      </c>
      <c r="B20" s="10">
        <f>'Dashboard'!E13</f>
        <v/>
      </c>
    </row>
    <row r="21">
      <c r="A21" s="3" t="inlineStr">
        <is>
          <t>Not Applicable</t>
        </is>
      </c>
      <c r="B21" s="10">
        <f>'Dashboard'!F13</f>
        <v/>
      </c>
    </row>
    <row r="22">
      <c r="A22" s="3" t="inlineStr">
        <is>
          <t>Unanswered</t>
        </is>
      </c>
      <c r="B22" s="10">
        <f>'Dashboard'!H13</f>
        <v/>
      </c>
    </row>
    <row r="23">
      <c r="A23" s="3" t="inlineStr">
        <is>
          <t>Owner Coverage</t>
        </is>
      </c>
      <c r="B23" s="10">
        <f>IF(Dashboard!B13=0,"N/A",ROUND((COUNTA('Vendor Security Assessment'!F4:F8)+COUNTA('Contractual Security Reqs'!F4:F4)+COUNTA('Secure Dev Reqs for Vendors'!F4:F11)+COUNTA('Code Review and Sec Testing'!F4:F10)+COUNTA('Acceptance Criteria'!F4:F5)+COUNTA('IP Property and Code Escrow'!F4:F8)+COUNTA('Ongoing Monitoring'!F4:F5)+COUNTA('Vendor Sec Incident Response'!F4:F4)+COUNTA('Data Protection Requirements'!F4:F14))/Dashboard!B13*100,0)&amp;"%")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Vendor Security Assessment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Contractual Security Reqs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Secure Dev Reqs for Vendors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0">
      <c r="A30" s="4" t="inlineStr">
        <is>
          <t>Code Review and Sec Testing</t>
        </is>
      </c>
      <c r="B30" s="4">
        <f>'Dashboard'!G7</f>
        <v/>
      </c>
      <c r="C30" s="4">
        <f>'Dashboard'!C7</f>
        <v/>
      </c>
      <c r="D30" s="4">
        <f>'Dashboard'!E7</f>
        <v/>
      </c>
      <c r="E30" s="4">
        <f>IF(Dashboard!H7&gt;0,"INCOMPLETE",IF(Dashboard!G7="N/A","--",IF(ISNUMBER(VALUE(SUBSTITUTE(Dashboard!G7,"%",""))),IF(VALUE(SUBSTITUTE(Dashboard!G7,"%",""))&gt;=90,"PASS",IF(VALUE(SUBSTITUTE(Dashboard!G7,"%",""))&gt;=70,"REVIEW","FAIL")),"--")))</f>
        <v/>
      </c>
    </row>
    <row r="31">
      <c r="A31" s="4" t="inlineStr">
        <is>
          <t>Acceptance Criteria</t>
        </is>
      </c>
      <c r="B31" s="4">
        <f>'Dashboard'!G8</f>
        <v/>
      </c>
      <c r="C31" s="4">
        <f>'Dashboard'!C8</f>
        <v/>
      </c>
      <c r="D31" s="4">
        <f>'Dashboard'!E8</f>
        <v/>
      </c>
      <c r="E31" s="4">
        <f>IF(Dashboard!H8&gt;0,"INCOMPLETE",IF(Dashboard!G8="N/A","--",IF(ISNUMBER(VALUE(SUBSTITUTE(Dashboard!G8,"%",""))),IF(VALUE(SUBSTITUTE(Dashboard!G8,"%",""))&gt;=90,"PASS",IF(VALUE(SUBSTITUTE(Dashboard!G8,"%",""))&gt;=70,"REVIEW","FAIL")),"--")))</f>
        <v/>
      </c>
    </row>
    <row r="32">
      <c r="A32" s="4" t="inlineStr">
        <is>
          <t>IP Property and Code Escrow</t>
        </is>
      </c>
      <c r="B32" s="4">
        <f>'Dashboard'!G9</f>
        <v/>
      </c>
      <c r="C32" s="4">
        <f>'Dashboard'!C9</f>
        <v/>
      </c>
      <c r="D32" s="4">
        <f>'Dashboard'!E9</f>
        <v/>
      </c>
      <c r="E32" s="4">
        <f>IF(Dashboard!H9&gt;0,"INCOMPLETE",IF(Dashboard!G9="N/A","--",IF(ISNUMBER(VALUE(SUBSTITUTE(Dashboard!G9,"%",""))),IF(VALUE(SUBSTITUTE(Dashboard!G9,"%",""))&gt;=90,"PASS",IF(VALUE(SUBSTITUTE(Dashboard!G9,"%",""))&gt;=70,"REVIEW","FAIL")),"--")))</f>
        <v/>
      </c>
    </row>
    <row r="33">
      <c r="A33" s="4" t="inlineStr">
        <is>
          <t>Ongoing Monitoring</t>
        </is>
      </c>
      <c r="B33" s="4">
        <f>'Dashboard'!G10</f>
        <v/>
      </c>
      <c r="C33" s="4">
        <f>'Dashboard'!C10</f>
        <v/>
      </c>
      <c r="D33" s="4">
        <f>'Dashboard'!E10</f>
        <v/>
      </c>
      <c r="E33" s="4">
        <f>IF(Dashboard!H10&gt;0,"INCOMPLETE",IF(Dashboard!G10="N/A","--",IF(ISNUMBER(VALUE(SUBSTITUTE(Dashboard!G10,"%",""))),IF(VALUE(SUBSTITUTE(Dashboard!G10,"%",""))&gt;=90,"PASS",IF(VALUE(SUBSTITUTE(Dashboard!G10,"%",""))&gt;=70,"REVIEW","FAIL")),"--")))</f>
        <v/>
      </c>
    </row>
    <row r="34">
      <c r="A34" s="4" t="inlineStr">
        <is>
          <t>Vendor Sec Incident Response</t>
        </is>
      </c>
      <c r="B34" s="4">
        <f>'Dashboard'!G11</f>
        <v/>
      </c>
      <c r="C34" s="4">
        <f>'Dashboard'!C11</f>
        <v/>
      </c>
      <c r="D34" s="4">
        <f>'Dashboard'!E11</f>
        <v/>
      </c>
      <c r="E34" s="4">
        <f>IF(Dashboard!H11&gt;0,"INCOMPLETE",IF(Dashboard!G11="N/A","--",IF(ISNUMBER(VALUE(SUBSTITUTE(Dashboard!G11,"%",""))),IF(VALUE(SUBSTITUTE(Dashboard!G11,"%",""))&gt;=90,"PASS",IF(VALUE(SUBSTITUTE(Dashboard!G11,"%",""))&gt;=70,"REVIEW","FAIL")),"--")))</f>
        <v/>
      </c>
    </row>
    <row r="35">
      <c r="A35" s="4" t="inlineStr">
        <is>
          <t>Data Protection Requirements</t>
        </is>
      </c>
      <c r="B35" s="4">
        <f>'Dashboard'!G12</f>
        <v/>
      </c>
      <c r="C35" s="4">
        <f>'Dashboard'!C12</f>
        <v/>
      </c>
      <c r="D35" s="4">
        <f>'Dashboard'!E12</f>
        <v/>
      </c>
      <c r="E35" s="4">
        <f>IF(Dashboard!H12&gt;0,"INCOMPLETE",IF(Dashboard!G12="N/A","--",IF(ISNUMBER(VALUE(SUBSTITUTE(Dashboard!G12,"%",""))),IF(VALUE(SUBSTITUTE(Dashboard!G12,"%",""))&gt;=90,"PASS",IF(VALUE(SUBSTITUTE(Dashboard!G12,"%",""))&gt;=70,"REVIEW","FAIL")),"--")))</f>
        <v/>
      </c>
    </row>
    <row r="37">
      <c r="A37" s="6" t="inlineStr">
        <is>
          <t>CRITICAL ISSUES</t>
        </is>
      </c>
    </row>
    <row r="38">
      <c r="A38" s="11" t="inlineStr">
        <is>
          <t>#</t>
        </is>
      </c>
      <c r="B38" s="11" t="inlineStr">
        <is>
          <t>Issue Description</t>
        </is>
      </c>
      <c r="C38" s="11" t="inlineStr">
        <is>
          <t>Domain</t>
        </is>
      </c>
      <c r="D38" s="11" t="inlineStr">
        <is>
          <t>Owner</t>
        </is>
      </c>
      <c r="E38" s="11" t="inlineStr">
        <is>
          <t>Due Date</t>
        </is>
      </c>
    </row>
    <row r="39">
      <c r="A39" s="4" t="n">
        <v>1</v>
      </c>
      <c r="B39" s="5" t="n"/>
      <c r="C39" s="5" t="n"/>
      <c r="D39" s="5" t="n"/>
      <c r="E39" s="5" t="n"/>
    </row>
    <row r="40">
      <c r="A40" s="4" t="n">
        <v>2</v>
      </c>
      <c r="B40" s="5" t="n"/>
      <c r="C40" s="5" t="n"/>
      <c r="D40" s="5" t="n"/>
      <c r="E40" s="5" t="n"/>
    </row>
    <row r="41">
      <c r="A41" s="4" t="n">
        <v>3</v>
      </c>
      <c r="B41" s="5" t="n"/>
      <c r="C41" s="5" t="n"/>
      <c r="D41" s="5" t="n"/>
      <c r="E41" s="5" t="n"/>
    </row>
    <row r="42">
      <c r="A42" s="4" t="n">
        <v>4</v>
      </c>
      <c r="B42" s="5" t="n"/>
      <c r="C42" s="5" t="n"/>
      <c r="D42" s="5" t="n"/>
      <c r="E42" s="5" t="n"/>
    </row>
    <row r="43">
      <c r="A43" s="4" t="n">
        <v>5</v>
      </c>
      <c r="B43" s="5" t="n"/>
      <c r="C43" s="5" t="n"/>
      <c r="D43" s="5" t="n"/>
      <c r="E43" s="5" t="n"/>
    </row>
    <row r="45">
      <c r="A45" s="6" t="inlineStr">
        <is>
          <t>MANAGEMENT COMMENTARY</t>
        </is>
      </c>
    </row>
    <row r="46" ht="60" customHeight="1">
      <c r="A46" s="12" t="inlineStr">
        <is>
          <t>[Enter management commentary on outsourced development posture]</t>
        </is>
      </c>
    </row>
    <row r="47"/>
    <row r="48"/>
    <row r="50">
      <c r="A50" s="6" t="inlineStr">
        <is>
          <t>APPROVAL</t>
        </is>
      </c>
    </row>
    <row r="51">
      <c r="A51" s="13" t="inlineStr">
        <is>
          <t>Assessed By</t>
        </is>
      </c>
    </row>
    <row r="52">
      <c r="A52" s="14" t="inlineStr">
        <is>
          <t>Name:</t>
        </is>
      </c>
      <c r="B52" s="5" t="n"/>
    </row>
    <row r="53">
      <c r="A53" s="14" t="inlineStr">
        <is>
          <t>Date:</t>
        </is>
      </c>
      <c r="B53" s="5" t="n"/>
    </row>
    <row r="54">
      <c r="A54" s="14" t="inlineStr">
        <is>
          <t>Signature:</t>
        </is>
      </c>
      <c r="B54" s="5" t="n"/>
    </row>
    <row r="55">
      <c r="A55" s="14" t="inlineStr">
        <is>
          <t>Decision:</t>
        </is>
      </c>
      <c r="B55" s="5" t="n"/>
    </row>
    <row r="57">
      <c r="A57" s="13" t="inlineStr">
        <is>
          <t>Reviewed By (ISO Manager)</t>
        </is>
      </c>
    </row>
    <row r="58">
      <c r="A58" s="14" t="inlineStr">
        <is>
          <t>Name:</t>
        </is>
      </c>
      <c r="B58" s="5" t="n"/>
    </row>
    <row r="59">
      <c r="A59" s="14" t="inlineStr">
        <is>
          <t>Date:</t>
        </is>
      </c>
      <c r="B59" s="5" t="n"/>
    </row>
    <row r="60">
      <c r="A60" s="14" t="inlineStr">
        <is>
          <t>Signature:</t>
        </is>
      </c>
      <c r="B60" s="5" t="n"/>
    </row>
    <row r="61">
      <c r="A61" s="14" t="inlineStr">
        <is>
          <t>Decision:</t>
        </is>
      </c>
      <c r="B61" s="5" t="n"/>
    </row>
    <row r="63">
      <c r="A63" s="13" t="inlineStr">
        <is>
          <t>Approved By (CISO)</t>
        </is>
      </c>
    </row>
    <row r="64">
      <c r="A64" s="14" t="inlineStr">
        <is>
          <t>Name:</t>
        </is>
      </c>
      <c r="B64" s="5" t="n"/>
    </row>
    <row r="65">
      <c r="A65" s="14" t="inlineStr">
        <is>
          <t>Date:</t>
        </is>
      </c>
      <c r="B65" s="5" t="n"/>
    </row>
    <row r="66">
      <c r="A66" s="14" t="inlineStr">
        <is>
          <t>Signature:</t>
        </is>
      </c>
      <c r="B66" s="5" t="n"/>
    </row>
    <row r="67">
      <c r="A67" s="14" t="inlineStr">
        <is>
          <t>Decision:</t>
        </is>
      </c>
      <c r="B67" s="5" t="n"/>
    </row>
  </sheetData>
  <mergeCells count="12">
    <mergeCell ref="A12:H12"/>
    <mergeCell ref="A45:H45"/>
    <mergeCell ref="A50:H50"/>
    <mergeCell ref="A25:H25"/>
    <mergeCell ref="A57:B57"/>
    <mergeCell ref="A16:H16"/>
    <mergeCell ref="A51:B51"/>
    <mergeCell ref="A63:B63"/>
    <mergeCell ref="A46:H48"/>
    <mergeCell ref="A1:H1"/>
    <mergeCell ref="A37:H37"/>
    <mergeCell ref="A3:B3"/>
  </mergeCells>
  <dataValidations count="1">
    <dataValidation sqref="B55 B61 B67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Outsourced Development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Vendor Security Assessment</t>
        </is>
      </c>
      <c r="B4" s="15">
        <f>COUNTA('Vendor Security Assessment'!A4:A8)</f>
        <v/>
      </c>
      <c r="C4" s="15">
        <f>COUNTIF('Vendor Security Assessment'!D4:D8,"Compliant")</f>
        <v/>
      </c>
      <c r="D4" s="15">
        <f>COUNTIF('Vendor Security Assessment'!D4:D8,"Partial")</f>
        <v/>
      </c>
      <c r="E4" s="15">
        <f>COUNTIF('Vendor Security Assessment'!D4:D8,"Non-Compliant")</f>
        <v/>
      </c>
      <c r="F4" s="15">
        <f>COUNTIF('Vendor Security Assessment'!D4:D8,"N/A")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Contractual Security Reqs</t>
        </is>
      </c>
      <c r="B5" s="15">
        <f>COUNTA('Contractual Security Reqs'!A4:A4)</f>
        <v/>
      </c>
      <c r="C5" s="15">
        <f>COUNTIF('Contractual Security Reqs'!D4:D4,"Compliant")</f>
        <v/>
      </c>
      <c r="D5" s="15">
        <f>COUNTIF('Contractual Security Reqs'!D4:D4,"Partial")</f>
        <v/>
      </c>
      <c r="E5" s="15">
        <f>COUNTIF('Contractual Security Reqs'!D4:D4,"Non-Compliant")</f>
        <v/>
      </c>
      <c r="F5" s="15">
        <f>COUNTIF('Contractual Security Reqs'!D4:D4,"N/A")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Secure Dev Reqs for Vendors</t>
        </is>
      </c>
      <c r="B6" s="15">
        <f>COUNTA('Secure Dev Reqs for Vendors'!A4:A11)</f>
        <v/>
      </c>
      <c r="C6" s="15">
        <f>COUNTIF('Secure Dev Reqs for Vendors'!D4:D11,"Compliant")</f>
        <v/>
      </c>
      <c r="D6" s="15">
        <f>COUNTIF('Secure Dev Reqs for Vendors'!D4:D11,"Partial")</f>
        <v/>
      </c>
      <c r="E6" s="15">
        <f>COUNTIF('Secure Dev Reqs for Vendors'!D4:D11,"Non-Compliant")</f>
        <v/>
      </c>
      <c r="F6" s="15">
        <f>COUNTIF('Secure Dev Reqs for Vendors'!D4:D11,"N/A")</f>
        <v/>
      </c>
      <c r="G6" s="15">
        <f>IF((B6-F6)=0,"N/A",ROUND(C6/(B6-F6)*100,1)&amp;"%")</f>
        <v/>
      </c>
      <c r="H6" s="15">
        <f>B6-(C6+D6+E6+F6)</f>
        <v/>
      </c>
    </row>
    <row r="7">
      <c r="A7" s="3" t="inlineStr">
        <is>
          <t>Code Review and Sec Testing</t>
        </is>
      </c>
      <c r="B7" s="15">
        <f>COUNTA('Code Review and Sec Testing'!A4:A10)</f>
        <v/>
      </c>
      <c r="C7" s="15">
        <f>COUNTIF('Code Review and Sec Testing'!D4:D10,"Compliant")</f>
        <v/>
      </c>
      <c r="D7" s="15">
        <f>COUNTIF('Code Review and Sec Testing'!D4:D10,"Partial")</f>
        <v/>
      </c>
      <c r="E7" s="15">
        <f>COUNTIF('Code Review and Sec Testing'!D4:D10,"Non-Compliant")</f>
        <v/>
      </c>
      <c r="F7" s="15">
        <f>COUNTIF('Code Review and Sec Testing'!D4:D10,"N/A")</f>
        <v/>
      </c>
      <c r="G7" s="15">
        <f>IF((B7-F7)=0,"N/A",ROUND(C7/(B7-F7)*100,1)&amp;"%")</f>
        <v/>
      </c>
      <c r="H7" s="15">
        <f>B7-(C7+D7+E7+F7)</f>
        <v/>
      </c>
    </row>
    <row r="8">
      <c r="A8" s="3" t="inlineStr">
        <is>
          <t>Acceptance Criteria</t>
        </is>
      </c>
      <c r="B8" s="15">
        <f>COUNTA('Acceptance Criteria'!A4:A5)</f>
        <v/>
      </c>
      <c r="C8" s="15">
        <f>COUNTIF('Acceptance Criteria'!D4:D5,"Compliant")</f>
        <v/>
      </c>
      <c r="D8" s="15">
        <f>COUNTIF('Acceptance Criteria'!D4:D5,"Partial")</f>
        <v/>
      </c>
      <c r="E8" s="15">
        <f>COUNTIF('Acceptance Criteria'!D4:D5,"Non-Compliant")</f>
        <v/>
      </c>
      <c r="F8" s="15">
        <f>COUNTIF('Acceptance Criteria'!D4:D5,"N/A")</f>
        <v/>
      </c>
      <c r="G8" s="15">
        <f>IF((B8-F8)=0,"N/A",ROUND(C8/(B8-F8)*100,1)&amp;"%")</f>
        <v/>
      </c>
      <c r="H8" s="15">
        <f>B8-(C8+D8+E8+F8)</f>
        <v/>
      </c>
    </row>
    <row r="9">
      <c r="A9" s="3" t="inlineStr">
        <is>
          <t>IP Property and Code Escrow</t>
        </is>
      </c>
      <c r="B9" s="15">
        <f>COUNTA('IP Property and Code Escrow'!A4:A8)</f>
        <v/>
      </c>
      <c r="C9" s="15">
        <f>COUNTIF('IP Property and Code Escrow'!D4:D8,"Compliant")</f>
        <v/>
      </c>
      <c r="D9" s="15">
        <f>COUNTIF('IP Property and Code Escrow'!D4:D8,"Partial")</f>
        <v/>
      </c>
      <c r="E9" s="15">
        <f>COUNTIF('IP Property and Code Escrow'!D4:D8,"Non-Compliant")</f>
        <v/>
      </c>
      <c r="F9" s="15">
        <f>COUNTIF('IP Property and Code Escrow'!D4:D8,"N/A")</f>
        <v/>
      </c>
      <c r="G9" s="15">
        <f>IF((B9-F9)=0,"N/A",ROUND(C9/(B9-F9)*100,1)&amp;"%")</f>
        <v/>
      </c>
      <c r="H9" s="15">
        <f>B9-(C9+D9+E9+F9)</f>
        <v/>
      </c>
    </row>
    <row r="10">
      <c r="A10" s="3" t="inlineStr">
        <is>
          <t>Ongoing Monitoring</t>
        </is>
      </c>
      <c r="B10" s="15">
        <f>COUNTA('Ongoing Monitoring'!A4:A5)</f>
        <v/>
      </c>
      <c r="C10" s="15">
        <f>COUNTIF('Ongoing Monitoring'!D4:D5,"Compliant")</f>
        <v/>
      </c>
      <c r="D10" s="15">
        <f>COUNTIF('Ongoing Monitoring'!D4:D5,"Partial")</f>
        <v/>
      </c>
      <c r="E10" s="15">
        <f>COUNTIF('Ongoing Monitoring'!D4:D5,"Non-Compliant")</f>
        <v/>
      </c>
      <c r="F10" s="15">
        <f>COUNTIF('Ongoing Monitoring'!D4:D5,"N/A")</f>
        <v/>
      </c>
      <c r="G10" s="15">
        <f>IF((B10-F10)=0,"N/A",ROUND(C10/(B10-F10)*100,1)&amp;"%")</f>
        <v/>
      </c>
      <c r="H10" s="15">
        <f>B10-(C10+D10+E10+F10)</f>
        <v/>
      </c>
    </row>
    <row r="11">
      <c r="A11" s="3" t="inlineStr">
        <is>
          <t>Vendor Sec Incident Response</t>
        </is>
      </c>
      <c r="B11" s="15">
        <f>COUNTA('Vendor Sec Incident Response'!A4:A4)</f>
        <v/>
      </c>
      <c r="C11" s="15">
        <f>COUNTIF('Vendor Sec Incident Response'!D4:D4,"Compliant")</f>
        <v/>
      </c>
      <c r="D11" s="15">
        <f>COUNTIF('Vendor Sec Incident Response'!D4:D4,"Partial")</f>
        <v/>
      </c>
      <c r="E11" s="15">
        <f>COUNTIF('Vendor Sec Incident Response'!D4:D4,"Non-Compliant")</f>
        <v/>
      </c>
      <c r="F11" s="15">
        <f>COUNTIF('Vendor Sec Incident Response'!D4:D4,"N/A")</f>
        <v/>
      </c>
      <c r="G11" s="15">
        <f>IF((B11-F11)=0,"N/A",ROUND(C11/(B11-F11)*100,1)&amp;"%")</f>
        <v/>
      </c>
      <c r="H11" s="15">
        <f>B11-(C11+D11+E11+F11)</f>
        <v/>
      </c>
    </row>
    <row r="12">
      <c r="A12" s="3" t="inlineStr">
        <is>
          <t>Data Protection Requirements</t>
        </is>
      </c>
      <c r="B12" s="15">
        <f>COUNTA('Data Protection Requirements'!A4:A14)</f>
        <v/>
      </c>
      <c r="C12" s="15">
        <f>COUNTIF('Data Protection Requirements'!D4:D14,"Compliant")</f>
        <v/>
      </c>
      <c r="D12" s="15">
        <f>COUNTIF('Data Protection Requirements'!D4:D14,"Partial")</f>
        <v/>
      </c>
      <c r="E12" s="15">
        <f>COUNTIF('Data Protection Requirements'!D4:D14,"Non-Compliant")</f>
        <v/>
      </c>
      <c r="F12" s="15">
        <f>COUNTIF('Data Protection Requirements'!D4:D14,"N/A")</f>
        <v/>
      </c>
      <c r="G12" s="15">
        <f>IF((B12-F12)=0,"N/A",ROUND(C12/(B12-F12)*100,1)&amp;"%")</f>
        <v/>
      </c>
      <c r="H12" s="15">
        <f>B12-(C12+D12+E12+F12)</f>
        <v/>
      </c>
    </row>
    <row r="13">
      <c r="A13" s="16" t="inlineStr">
        <is>
          <t>TOTAL</t>
        </is>
      </c>
      <c r="B13" s="16">
        <f>SUM(B4:B12)</f>
        <v/>
      </c>
      <c r="C13" s="16">
        <f>SUM(C4:C12)</f>
        <v/>
      </c>
      <c r="D13" s="16">
        <f>SUM(D4:D12)</f>
        <v/>
      </c>
      <c r="E13" s="16">
        <f>SUM(E4:E12)</f>
        <v/>
      </c>
      <c r="F13" s="16">
        <f>SUM(F4:F12)</f>
        <v/>
      </c>
      <c r="G13" s="16">
        <f>IF((B13-F13)=0,"N/A",ROUND(C13/(B13-F13)*100,1)&amp;"%")</f>
        <v/>
      </c>
      <c r="H13" s="16">
        <f>SUM(H4:H12)</f>
        <v/>
      </c>
    </row>
    <row r="15">
      <c r="A15" s="6" t="inlineStr">
        <is>
          <t>COMPLIANCE BY STATUS</t>
        </is>
      </c>
    </row>
    <row r="16">
      <c r="A16" s="3" t="inlineStr">
        <is>
          <t>Compliant</t>
        </is>
      </c>
      <c r="B16" s="17">
        <f>C13</f>
        <v/>
      </c>
      <c r="C16" s="4">
        <f>IF(B13=0,"",ROUND(B16/B13*100,1)&amp;"%")</f>
        <v/>
      </c>
    </row>
    <row r="17">
      <c r="A17" s="3" t="inlineStr">
        <is>
          <t>Partial</t>
        </is>
      </c>
      <c r="B17" s="18">
        <f>D13</f>
        <v/>
      </c>
      <c r="C17" s="4">
        <f>IF(B13=0,"",ROUND(B17/B13*100,1)&amp;"%")</f>
        <v/>
      </c>
    </row>
    <row r="18">
      <c r="A18" s="3" t="inlineStr">
        <is>
          <t>Non-Compliant</t>
        </is>
      </c>
      <c r="B18" s="19">
        <f>E13</f>
        <v/>
      </c>
      <c r="C18" s="4">
        <f>IF(B13=0,"",ROUND(B18/B13*100,1)&amp;"%")</f>
        <v/>
      </c>
    </row>
    <row r="19">
      <c r="A19" s="3" t="inlineStr">
        <is>
          <t>N/A</t>
        </is>
      </c>
      <c r="B19" s="20">
        <f>F13</f>
        <v/>
      </c>
      <c r="C19" s="4">
        <f>IF(B13=0,"",ROUND(B19/B13*100,1)&amp;"%")</f>
        <v/>
      </c>
    </row>
    <row r="21">
      <c r="A21" s="6" t="inlineStr">
        <is>
          <t>TOP GAPS (Manual Entry)</t>
        </is>
      </c>
    </row>
    <row r="22">
      <c r="A22" s="11" t="inlineStr">
        <is>
          <t>Priority</t>
        </is>
      </c>
      <c r="B22" s="11" t="inlineStr">
        <is>
          <t>Domain</t>
        </is>
      </c>
      <c r="C22" s="11" t="inlineStr">
        <is>
          <t>Requirement</t>
        </is>
      </c>
      <c r="D22" s="11" t="inlineStr">
        <is>
          <t>Owner</t>
        </is>
      </c>
      <c r="E22" s="11" t="inlineStr">
        <is>
          <t>Due Date</t>
        </is>
      </c>
      <c r="F22" s="11" t="inlineStr">
        <is>
          <t>Status</t>
        </is>
      </c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4">
      <c r="A34" s="6" t="inlineStr">
        <is>
          <t>COMPLIANCE TREND (Manual Entry)</t>
        </is>
      </c>
    </row>
    <row r="35">
      <c r="A35" s="11" t="inlineStr">
        <is>
          <t>Assessment Date</t>
        </is>
      </c>
      <c r="B35" s="11" t="inlineStr">
        <is>
          <t>Overall %</t>
        </is>
      </c>
      <c r="C35" s="11" t="inlineStr">
        <is>
          <t>Compliant</t>
        </is>
      </c>
      <c r="D35" s="11" t="inlineStr">
        <is>
          <t>Gaps</t>
        </is>
      </c>
      <c r="E35" s="11" t="inlineStr">
        <is>
          <t>Assessor</t>
        </is>
      </c>
      <c r="F35" s="11" t="inlineStr">
        <is>
          <t>Notes</t>
        </is>
      </c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</sheetData>
  <mergeCells count="4">
    <mergeCell ref="A34:G34"/>
    <mergeCell ref="A21:G21"/>
    <mergeCell ref="A1:G1"/>
    <mergeCell ref="A15:G15"/>
  </mergeCells>
  <dataValidations count="1">
    <dataValidation sqref="F23 F24 F25 F26 F27 F28 F29 F30 F31 F32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Vendor Security Assessment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A.8.30-01</t>
        </is>
      </c>
      <c r="B4" s="23" t="inlineStr">
        <is>
          <t>Before Engaging An External Development</t>
        </is>
      </c>
      <c r="C4" s="24" t="inlineStr">
        <is>
          <t>Before engaging an external development partner, the organisation shall conduct a security assessment to confirm the vendor's ability to meet information security requirements.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A.8.30-02</t>
        </is>
      </c>
      <c r="B5" s="23" t="inlineStr">
        <is>
          <t>Be Classified Based On The Highest</t>
        </is>
      </c>
      <c r="C5" s="24" t="inlineStr">
        <is>
          <t>Vendors shall be classified based on the highest risk factor present:.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A.8.30-03</t>
        </is>
      </c>
      <c r="B6" s="23" t="inlineStr">
        <is>
          <t>Tier Determination</t>
        </is>
      </c>
      <c r="C6" s="24" t="inlineStr">
        <is>
          <t>Tier determination shall be documented in the vendor security assessment record and reviewed upon scope changes.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A.8.30-04</t>
        </is>
      </c>
      <c r="B7" s="23" t="inlineStr">
        <is>
          <t>Assessment Results</t>
        </is>
      </c>
      <c r="C7" s="24" t="inlineStr">
        <is>
          <t>Assessment results shall be documented and retained for the duration of the vendor relationship plus 3 years.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A.8.30-05</t>
        </is>
      </c>
      <c r="B8" s="23" t="inlineStr">
        <is>
          <t>Vendors That Fail The Security</t>
        </is>
      </c>
      <c r="C8" s="24" t="inlineStr">
        <is>
          <t>Vendors that fail the security assessment shall not be engaged until identified deficiencies are remediated and verified.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Contractual Security Reqs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A.8.30-06</t>
        </is>
      </c>
      <c r="B4" s="23" t="inlineStr">
        <is>
          <t>Outsourced Development Agreements</t>
        </is>
      </c>
      <c r="C4" s="24" t="inlineStr">
        <is>
          <t>All outsourced development agreements shall include security requirements as contractual obligations.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Secure Dev Reqs for Vendors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A.8.30-07</t>
        </is>
      </c>
      <c r="B4" s="23" t="inlineStr">
        <is>
          <t>The Organisation'S Secure Development</t>
        </is>
      </c>
      <c r="C4" s="24" t="inlineStr">
        <is>
          <t>The organisation's secure development standards shall be communicated to vendors at the start of every engagement.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A.8.30-08</t>
        </is>
      </c>
      <c r="B5" s="23" t="inlineStr">
        <is>
          <t>Provide Each Vendor With</t>
        </is>
      </c>
      <c r="C5" s="24" t="inlineStr">
        <is>
          <t>The organisation shall provide each vendor with:.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A.8.30-09</t>
        </is>
      </c>
      <c r="B6" s="23" t="inlineStr">
        <is>
          <t>Implement Controls To Mitigate Software</t>
        </is>
      </c>
      <c r="C6" s="24" t="inlineStr">
        <is>
          <t>Vendors shall implement controls to mitigate software supply chain risks in accordance with OWASP Top 10:2025 A03 (Software Supply Chain Failures):.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A.8.30-10</t>
        </is>
      </c>
      <c r="B7" s="23" t="inlineStr">
        <is>
          <t>Third-Party Dependencies</t>
        </is>
      </c>
      <c r="C7" s="24" t="inlineStr">
        <is>
          <t>All third-party dependencies shall be inventoried and tracked in an SBOM (CycloneDX or SPDX format).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A.8.30-11</t>
        </is>
      </c>
      <c r="B8" s="23" t="inlineStr">
        <is>
          <t>Be Pinned To Specific Versions And</t>
        </is>
      </c>
      <c r="C8" s="24" t="inlineStr">
        <is>
          <t>Dependencies shall be pinned to specific versions and sourced from trusted registries.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A.8.30-12</t>
        </is>
      </c>
      <c r="B9" s="23" t="inlineStr">
        <is>
          <t>Transitive Dependencies</t>
        </is>
      </c>
      <c r="C9" s="24" t="inlineStr">
        <is>
          <t>Transitive dependencies shall be included in vulnerability scanning.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A.8.30-13</t>
        </is>
      </c>
      <c r="B10" s="23" t="inlineStr">
        <is>
          <t>Monitor Dependencies Against</t>
        </is>
      </c>
      <c r="C10" s="24" t="inlineStr">
        <is>
          <t>Vendors shall monitor dependencies against vulnerability databases (NVD, OSV, GitHub Advisory Database) and remediate identified vulnerabilities within the agreed SLAs.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A.8.30-14</t>
        </is>
      </c>
      <c r="B11" s="23" t="inlineStr">
        <is>
          <t>Use Of Unmaintained Or End-Of-Life</t>
        </is>
      </c>
      <c r="C11" s="24" t="inlineStr">
        <is>
          <t>Use of unmaintained or end-of-life components shall require documented risk acceptance from the organisation.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Code Review and Sec Testing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A.8.30-15</t>
        </is>
      </c>
      <c r="B4" s="23" t="inlineStr">
        <is>
          <t>Outsourced Code</t>
        </is>
      </c>
      <c r="C4" s="24" t="inlineStr">
        <is>
          <t>All outsourced code shall undergo independent security validation by the organisation before acceptance.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A.8.30-16</t>
        </is>
      </c>
      <c r="B5" s="23" t="inlineStr">
        <is>
          <t>Vendor-Side Test Results</t>
        </is>
      </c>
      <c r="C5" s="24" t="inlineStr">
        <is>
          <t>Vendor-side test results shall be shared with the organisation at agreed intervals (minimum: per milestone or sprint delivery).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A.8.30-17</t>
        </is>
      </c>
      <c r="B6" s="23" t="inlineStr">
        <is>
          <t>Minimum Testing Baseline*: All Security</t>
        </is>
      </c>
      <c r="C6" s="24" t="inlineStr">
        <is>
          <t>Minimum testing baseline*: All security testing shall, at a minimum, cover the OWASP Top 10:2025 categories.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A.8.30-18</t>
        </is>
      </c>
      <c r="B7" s="23" t="inlineStr">
        <is>
          <t>Penetration Testing</t>
        </is>
      </c>
      <c r="C7" s="24" t="inlineStr">
        <is>
          <t>All penetration testing shall be conducted by an independent external specialist company meeting at least one of:.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A.8.30-19</t>
        </is>
      </c>
      <c r="B8" s="23" t="inlineStr">
        <is>
          <t>Penetration Test Provider</t>
        </is>
      </c>
      <c r="C8" s="24" t="inlineStr">
        <is>
          <t>Penetration test provider shall not be the same entity as the development vendor to ensure independence.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A.8.30-20</t>
        </is>
      </c>
      <c r="B9" s="23" t="inlineStr">
        <is>
          <t>Vulnerabilities Identified During</t>
        </is>
      </c>
      <c r="C9" s="24" t="inlineStr">
        <is>
          <t>Vulnerabilities identified during testing shall be remediated by the vendor at the vendor's cost before the organisation accepts the deliverable. Critical and High vulnerabilities shall block acceptance.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A.8.30-21</t>
        </is>
      </c>
      <c r="B10" s="23" t="inlineStr">
        <is>
          <t>Vulnerabilities Identified In Vendor</t>
        </is>
      </c>
      <c r="C10" s="24" t="inlineStr">
        <is>
          <t>All vulnerabilities identified in vendor deliverables shall be tracked through resolution:.</t>
        </is>
      </c>
      <c r="D10" s="25" t="n"/>
      <c r="E10" s="5" t="n"/>
      <c r="F10" s="5" t="n"/>
      <c r="G10" s="26" t="n"/>
      <c r="H10" s="5" t="n"/>
    </row>
  </sheetData>
  <mergeCells count="2">
    <mergeCell ref="A2:H2"/>
    <mergeCell ref="A1:H1"/>
  </mergeCells>
  <conditionalFormatting sqref="D4:D1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Acceptance Criteria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A.8.30-22</t>
        </is>
      </c>
      <c r="B4" s="23" t="inlineStr">
        <is>
          <t>Outsourced Deliverables</t>
        </is>
      </c>
      <c r="C4" s="24" t="inlineStr">
        <is>
          <t>Outsourced deliverables shall not be accepted or deployed to production until all acceptance criteria are satisfied.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A.8.30-23</t>
        </is>
      </c>
      <c r="B5" s="23" t="inlineStr">
        <is>
          <t>Acceptance Records</t>
        </is>
      </c>
      <c r="C5" s="24" t="inlineStr">
        <is>
          <t>Acceptance records shall be retained for the duration of the application lifecycle plus 3 years.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IP Property and Code Escrow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A.8.30-24</t>
        </is>
      </c>
      <c r="B4" s="23" t="inlineStr">
        <is>
          <t>The Development Agreement</t>
        </is>
      </c>
      <c r="C4" s="24" t="inlineStr">
        <is>
          <t>The development agreement shall clearly define ownership of all work products, including source code, documentation, designs, and related intellectual property.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A.8.30-25</t>
        </is>
      </c>
      <c r="B5" s="23" t="inlineStr">
        <is>
          <t>The Default Position</t>
        </is>
      </c>
      <c r="C5" s="24" t="inlineStr">
        <is>
          <t>Where the organisation commissions bespoke development, the default position shall be that the organisation owns all intellectual property rights in the deliverables upon final payment or upon delivery if payment-on-delivery, whichever occurs first. Any deviation from full ownership shall be documented, approved by Legal and the CISO, and justified by business need.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A.8.30-26</t>
        </is>
      </c>
      <c r="B6" s="23" t="inlineStr">
        <is>
          <t>Vendor Retains Rights To Pre-Existing</t>
        </is>
      </c>
      <c r="C6" s="24" t="inlineStr">
        <is>
          <t>Where full ownership transfer is not possible (e.g., vendor retains rights to pre-existing components or frameworks), the agreement shall specify:.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A.8.30-27</t>
        </is>
      </c>
      <c r="B7" s="23" t="inlineStr">
        <is>
          <t>For Tier 1 Vendor Engagements Where</t>
        </is>
      </c>
      <c r="C7" s="24" t="inlineStr">
        <is>
          <t>For Tier 1 vendor engagements where the organisation does not hold the source code directly, the organisation shall establish a code escrow arrangement with an independent escrow agent (e.g., Escode, Codekeeper, or equivalent).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A.8.30-28</t>
        </is>
      </c>
      <c r="B8" s="23" t="inlineStr">
        <is>
          <t>Code Escrow Is Not Required, But</t>
        </is>
      </c>
      <c r="C8" s="24" t="inlineStr">
        <is>
          <t>Where the organisation holds source code directly in its own repositories, code escrow is not required, but the organisation shall maintain its own verified backups.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Ongoing Monitoring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A.8.30-29</t>
        </is>
      </c>
      <c r="B4" s="23" t="inlineStr">
        <is>
          <t>Continuously Monitor Outsourced</t>
        </is>
      </c>
      <c r="C4" s="24" t="inlineStr">
        <is>
          <t>The organisation shall continuously monitor outsourced development activities throughout the engagement lifecycle.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A.8.30-30</t>
        </is>
      </c>
      <c r="B5" s="23" t="inlineStr">
        <is>
          <t>Vendor Performance Scorecard</t>
        </is>
      </c>
      <c r="C5" s="24" t="inlineStr">
        <is>
          <t>Vendor performance scorecard shall be maintained quarterly, tracking: security testing compliance, SLA adherence, incident count, and audit findings. Results shall be reported to management annually.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Vendor Sec Incident Response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A.8.30-31</t>
        </is>
      </c>
      <c r="B4" s="23" t="inlineStr">
        <is>
          <t>Notify Executive Management Within 24</t>
        </is>
      </c>
      <c r="C4" s="24" t="inlineStr">
        <is>
          <t>CISO shall notify Executive Management within 24 hours of any vendor incident affecting organisational data or systems.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Data Protection Requirements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A.8.30-32</t>
        </is>
      </c>
      <c r="B4" s="23" t="inlineStr">
        <is>
          <t>Additional Data Protection Requirements</t>
        </is>
      </c>
      <c r="C4" s="24" t="inlineStr">
        <is>
          <t>Where outsourced development involves access to personal data or systems processing personal data, additional data protection requirements shall apply.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A.8.30-33</t>
        </is>
      </c>
      <c r="B5" s="23" t="inlineStr">
        <is>
          <t>In Accordance With Swiss Nfadp Art</t>
        </is>
      </c>
      <c r="C5" s="24" t="inlineStr">
        <is>
          <t>In accordance with Swiss nFADP Art. 9, the organisation shall execute a DPA with the development vendor that addresses:.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A.8.30-34</t>
        </is>
      </c>
      <c r="B6" s="23" t="inlineStr">
        <is>
          <t>A Transfer Impact Assessment</t>
        </is>
      </c>
      <c r="C6" s="24" t="inlineStr">
        <is>
          <t>A transfer impact assessment shall be completed per Swiss nFADP requirements.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A.8.30-35</t>
        </is>
      </c>
      <c r="B7" s="23" t="inlineStr">
        <is>
          <t>Appropriate Safeguards</t>
        </is>
      </c>
      <c r="C7" s="24" t="inlineStr">
        <is>
          <t>Appropriate safeguards shall be in place (e.g., Standard Contractual Clauses, adequacy decisions by the Federal Council, or binding corporate rules).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A.8.30-36</t>
        </is>
      </c>
      <c r="B8" s="23" t="inlineStr">
        <is>
          <t>Gdpr Chapter V Transfer Requirements</t>
        </is>
      </c>
      <c r="C8" s="24" t="inlineStr">
        <is>
          <t>Where the vendor processes data of EU/EEA individuals, GDPR Chapter V transfer requirements shall also be met.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A.8.30-37</t>
        </is>
      </c>
      <c r="B9" s="23" t="inlineStr">
        <is>
          <t>Not Receive Production Personal Data For</t>
        </is>
      </c>
      <c r="C9" s="24" t="inlineStr">
        <is>
          <t>Vendors shall not receive production personal data for development or testing purposes.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A.8.30-38</t>
        </is>
      </c>
      <c r="B10" s="23" t="inlineStr">
        <is>
          <t>Sanitised, Anonymised, Or Pseudonymised</t>
        </is>
      </c>
      <c r="C10" s="24" t="inlineStr">
        <is>
          <t>Where realistic data is required, sanitised, anonymised, or pseudonymised data shall be used.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A.8.30-39</t>
        </is>
      </c>
      <c r="B11" s="23" t="inlineStr">
        <is>
          <t>Any Use Of Transformed Personal Data</t>
        </is>
      </c>
      <c r="C11" s="24" t="inlineStr">
        <is>
          <t>Any use of transformed personal data shall be documented and approved by the Data Protection Officer or CISO.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A.8.30-40</t>
        </is>
      </c>
      <c r="B12" s="23" t="inlineStr">
        <is>
          <t>Rare Edge Cases), Data</t>
        </is>
      </c>
      <c r="C12" s="24" t="inlineStr">
        <is>
          <t>Where absolutely necessary to use production data (complex data relationships, rare edge cases), data shall be:.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A.8.30-41</t>
        </is>
      </c>
      <c r="B13" s="23" t="inlineStr">
        <is>
          <t>The Organisation</t>
        </is>
      </c>
      <c r="C13" s="24" t="inlineStr">
        <is>
          <t>Where a vendor security incident results in high risk to data subjects (nFADP Art. 24), the organisation shall notify the FDPIC without undue delay. High risk indicators include:.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A.8.30-42</t>
        </is>
      </c>
      <c r="B14" s="23" t="inlineStr">
        <is>
          <t>Vendor Dpa</t>
        </is>
      </c>
      <c r="C14" s="24" t="inlineStr">
        <is>
          <t>Vendor DPA shall require vendor to provide all information necessary for FDPIC notification within 48 hours of incident discovery.</t>
        </is>
      </c>
      <c r="D14" s="25" t="n"/>
      <c r="E14" s="5" t="n"/>
      <c r="F14" s="5" t="n"/>
      <c r="G14" s="26" t="n"/>
      <c r="H14" s="5" t="n"/>
    </row>
  </sheetData>
  <mergeCells count="2">
    <mergeCell ref="A2:H2"/>
    <mergeCell ref="A1:H1"/>
  </mergeCells>
  <conditionalFormatting sqref="D4:D1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2026-09-30T11:46:14Z</dcterms:created>
  <dcterms:modified xmlns:dcterms="http://purl.org/dc/terms/" xmlns:xsi="http://www.w3.org/2001/XMLSchema-instance" xsi:type="dcterms:W3CDTF">2026-09-30T11:46:14Z</dcterms:modified>
</cp:coreProperties>
</file>