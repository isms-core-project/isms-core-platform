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ource_Inventory" sheetId="2" state="visible" r:id="rId2"/>
    <sheet xmlns:r="http://schemas.openxmlformats.org/officeDocument/2006/relationships" name="Source_Evaluation" sheetId="3" state="visible" r:id="rId3"/>
    <sheet xmlns:r="http://schemas.openxmlformats.org/officeDocument/2006/relationships" name="Coverage_Matrix" sheetId="4" state="visible" r:id="rId4"/>
    <sheet xmlns:r="http://schemas.openxmlformats.org/officeDocument/2006/relationships" name="Cost_Analysis" sheetId="5" state="visible" r:id="rId5"/>
    <sheet xmlns:r="http://schemas.openxmlformats.org/officeDocument/2006/relationships" name="Compliance_Check" sheetId="6" state="visible" r:id="rId6"/>
    <sheet xmlns:r="http://schemas.openxmlformats.org/officeDocument/2006/relationships" name="Action_Items" sheetId="7" state="visible" r:id="rId7"/>
    <sheet xmlns:r="http://schemas.openxmlformats.org/officeDocument/2006/relationships" name="Metadata" sheetId="8" state="visible" r:id="rId8"/>
    <sheet xmlns:r="http://schemas.openxmlformats.org/officeDocument/2006/relationships" name="Integration_Points" sheetId="9" state="visible" r:id="rId9"/>
    <sheet xmlns:r="http://schemas.openxmlformats.org/officeDocument/2006/relationships" name="Update_Frequency" sheetId="10" state="visible" r:id="rId10"/>
    <sheet xmlns:r="http://schemas.openxmlformats.org/officeDocument/2006/relationships" name="Source_Contacts" sheetId="11" state="visible" r:id="rId11"/>
    <sheet xmlns:r="http://schemas.openxmlformats.org/officeDocument/2006/relationships" name="Vendor_SLAs" sheetId="12" state="visible" r:id="rId12"/>
    <sheet xmlns:r="http://schemas.openxmlformats.org/officeDocument/2006/relationships" name="API_Integration" sheetId="13" state="visible" r:id="rId13"/>
    <sheet xmlns:r="http://schemas.openxmlformats.org/officeDocument/2006/relationships" name="Source_Performance_Validation" sheetId="14" state="visible" r:id="rId14"/>
    <sheet xmlns:r="http://schemas.openxmlformats.org/officeDocument/2006/relationships" name="Business_Continuity_Plan" sheetId="15" state="visible" r:id="rId15"/>
  </sheets>
  <definedNames>
    <definedName name="SourceInventory_Data">'Source_Inventory'!$A$5:$P$104</definedName>
  </definedNames>
  <calcPr calcId="124519" fullCalcOnLoad="1"/>
</workbook>
</file>

<file path=xl/styles.xml><?xml version="1.0" encoding="utf-8"?>
<styleSheet xmlns="http://schemas.openxmlformats.org/spreadsheetml/2006/main">
  <numFmts count="4">
    <numFmt numFmtId="164" formatCode="DD.MM.YYYY"/>
    <numFmt numFmtId="165" formatCode="0.0%"/>
    <numFmt numFmtId="166" formatCode="DD.MM.YYYY HH:MM"/>
    <numFmt numFmtId="167" formatCode="0.0&quot;%&quot;"/>
  </numFmts>
  <fonts count="10">
    <font>
      <name val="Calibri"/>
      <family val="2"/>
      <color theme="1"/>
      <sz val="11"/>
      <scheme val="minor"/>
    </font>
    <font>
      <name val="Calibri"/>
      <b val="1"/>
      <color rgb="00FFFFFF"/>
      <sz val="14"/>
    </font>
    <font>
      <name val="Calibri"/>
      <i val="1"/>
      <sz val="11"/>
    </font>
    <font>
      <name val="Calibri"/>
      <b val="1"/>
      <color rgb="00FFFFFF"/>
      <sz val="11"/>
    </font>
    <font>
      <b val="1"/>
    </font>
    <font>
      <i val="1"/>
      <sz val="9"/>
    </font>
    <font>
      <name val="Calibri"/>
      <b val="1"/>
      <sz val="10"/>
    </font>
    <font>
      <name val="Calibri"/>
      <b val="1"/>
      <sz val="8"/>
    </font>
    <font>
      <b val="1"/>
      <i val="1"/>
      <sz val="9"/>
    </font>
    <font>
      <name val="Calibri"/>
      <b val="1"/>
      <sz val="9"/>
    </font>
  </fonts>
  <fills count="7">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C7CE"/>
        <bgColor rgb="00FFC7CE"/>
      </patternFill>
    </fill>
    <fill>
      <patternFill patternType="solid">
        <fgColor rgb="00D9D9D9"/>
        <bgColor rgb="00D9D9D9"/>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3" borderId="0" applyAlignment="1" pivotButton="0" quotePrefix="0" xfId="0">
      <alignment horizontal="left" vertical="center"/>
    </xf>
    <xf numFmtId="0" fontId="0" fillId="0" borderId="0" applyAlignment="1" pivotButton="0" quotePrefix="0" xfId="0">
      <alignment vertical="top" wrapText="1"/>
    </xf>
    <xf numFmtId="0" fontId="0" fillId="0" borderId="0" applyAlignment="1" pivotButton="0" quotePrefix="0" xfId="0">
      <alignment wrapText="1"/>
    </xf>
    <xf numFmtId="0" fontId="4" fillId="0" borderId="0" pivotButton="0" quotePrefix="0" xfId="0"/>
    <xf numFmtId="0" fontId="3" fillId="4" borderId="0" applyAlignment="1" pivotButton="0" quotePrefix="0" xfId="0">
      <alignment horizontal="left" vertical="center"/>
    </xf>
    <xf numFmtId="0" fontId="5" fillId="0" borderId="0" applyAlignment="1" pivotButton="0" quotePrefix="0" xfId="0">
      <alignment horizontal="center"/>
    </xf>
    <xf numFmtId="0" fontId="5" fillId="0" borderId="0" applyAlignment="1" pivotButton="0" quotePrefix="0" xfId="0">
      <alignment wrapText="1"/>
    </xf>
    <xf numFmtId="0" fontId="6" fillId="5" borderId="1" applyAlignment="1" pivotButton="0" quotePrefix="0" xfId="0">
      <alignment horizontal="center" vertical="center" wrapText="1"/>
    </xf>
    <xf numFmtId="164" fontId="0" fillId="0" borderId="0" pivotButton="0" quotePrefix="0" xfId="0"/>
    <xf numFmtId="2" fontId="0" fillId="0" borderId="0" pivotButton="0" quotePrefix="0" xfId="0"/>
    <xf numFmtId="165" fontId="0" fillId="0" borderId="0" pivotButton="0" quotePrefix="0" xfId="0"/>
    <xf numFmtId="1" fontId="0" fillId="0" borderId="0" pivotButton="0" quotePrefix="0" xfId="0"/>
    <xf numFmtId="0" fontId="6" fillId="5" borderId="0" pivotButton="0" quotePrefix="0" xfId="0"/>
    <xf numFmtId="0" fontId="6" fillId="5" borderId="0" applyAlignment="1" pivotButton="0" quotePrefix="0" xfId="0">
      <alignment horizontal="center" vertical="center" wrapText="1"/>
    </xf>
    <xf numFmtId="166" fontId="0" fillId="0" borderId="0" pivotButton="0" quotePrefix="0" xfId="0"/>
    <xf numFmtId="0" fontId="7" fillId="5" borderId="0" pivotButton="0" quotePrefix="0" xfId="0"/>
    <xf numFmtId="0" fontId="1" fillId="4" borderId="0" applyAlignment="1" pivotButton="0" quotePrefix="0" xfId="0">
      <alignment horizontal="center" vertical="center"/>
    </xf>
    <xf numFmtId="0" fontId="8" fillId="6" borderId="0" applyAlignment="1" pivotButton="0" quotePrefix="0" xfId="0">
      <alignment wrapText="1"/>
    </xf>
    <xf numFmtId="0" fontId="9" fillId="5" borderId="0" applyAlignment="1" pivotButton="0" quotePrefix="0" xfId="0">
      <alignment horizontal="center" vertical="center" wrapText="1"/>
    </xf>
    <xf numFmtId="167" fontId="0" fillId="0" borderId="0" pivotButton="0" quotePrefix="0" xfId="0"/>
  </cellXfs>
  <cellStyles count="1">
    <cellStyle name="Normal" xfId="0" builtinId="0" hidden="0"/>
  </cellStyles>
  <dxfs count="13">
    <dxf>
      <fill>
        <patternFill patternType="solid">
          <fgColor rgb="00C6EFCE"/>
          <bgColor rgb="00C6EFCE"/>
        </patternFill>
      </fill>
    </dxf>
    <dxf>
      <fill>
        <patternFill patternType="solid">
          <fgColor rgb="00E7F4E4"/>
          <bgColor rgb="00E7F4E4"/>
        </patternFill>
      </fill>
    </dxf>
    <dxf>
      <fill>
        <patternFill patternType="solid">
          <fgColor rgb="00FFEB9C"/>
          <bgColor rgb="00FFEB9C"/>
        </patternFill>
      </fill>
    </dxf>
    <dxf>
      <fill>
        <patternFill patternType="solid">
          <fgColor rgb="00FFF4CC"/>
          <bgColor rgb="00FFF4CC"/>
        </patternFill>
      </fill>
    </dxf>
    <dxf>
      <fill>
        <patternFill patternType="solid">
          <fgColor rgb="00FFD966"/>
          <bgColor rgb="00FFD966"/>
        </patternFill>
      </fill>
    </dxf>
    <dxf>
      <fill>
        <patternFill patternType="solid">
          <fgColor rgb="00FFC7CE"/>
          <bgColor rgb="00FFC7CE"/>
        </patternFill>
      </fill>
    </dxf>
    <dxf>
      <fill>
        <patternFill patternType="solid">
          <fgColor rgb="00D9D9D9"/>
          <bgColor rgb="00D9D9D9"/>
        </patternFill>
      </fill>
    </dxf>
    <dxf>
      <fill>
        <patternFill patternType="solid">
          <fgColor rgb="0000B050"/>
          <bgColor rgb="0000B050"/>
        </patternFill>
      </fill>
    </dxf>
    <dxf>
      <font>
        <b val="1"/>
        <color rgb="00FFFFFF"/>
      </font>
      <fill>
        <patternFill patternType="solid">
          <fgColor rgb="00006100"/>
          <bgColor rgb="00006100"/>
        </patternFill>
      </fill>
    </dxf>
    <dxf>
      <font>
        <b val="1"/>
        <color rgb="009C0006"/>
      </font>
      <fill>
        <patternFill patternType="solid">
          <fgColor rgb="00FFC7CE"/>
          <bgColor rgb="00FFC7CE"/>
        </patternFill>
      </fill>
    </dxf>
    <dxf>
      <font>
        <b val="1"/>
      </font>
      <fill>
        <patternFill patternType="solid">
          <fgColor rgb="00FFC7CE"/>
          <bgColor rgb="00FFC7CE"/>
        </patternFill>
      </fill>
    </dxf>
    <dxf>
      <font>
        <b val="1"/>
      </font>
      <fill>
        <patternFill patternType="solid">
          <fgColor rgb="00D8E4F8"/>
          <bgColor rgb="00D8E4F8"/>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00" customWidth="1" min="1" max="1"/>
    <col width="15" customWidth="1" min="2" max="2"/>
    <col width="15" customWidth="1" min="3" max="3"/>
    <col width="15" customWidth="1" min="4" max="4"/>
    <col width="15" customWidth="1" min="5" max="5"/>
    <col width="15" customWidth="1" min="6" max="6"/>
  </cols>
  <sheetData>
    <row r="1" ht="30" customHeight="1">
      <c r="A1" s="1" t="inlineStr">
        <is>
          <t>ISMS-IMP-A.5.7.1 - Threat Intelligence Sources Assessment v1.0</t>
        </is>
      </c>
    </row>
    <row r="2">
      <c r="A2" s="2" t="inlineStr">
        <is>
          <t>Assessment of Threat Intelligence Source Portfolio (15 Sheets - Expanded for CVSS &amp; Audit Evidence)</t>
        </is>
      </c>
    </row>
    <row r="4">
      <c r="A4" s="3" t="inlineStr">
        <is>
          <t>PURPOSE &amp; OBJECTIVES</t>
        </is>
      </c>
    </row>
    <row r="5" ht="80" customHeight="1">
      <c r="A5" s="4" t="inlineStr">
        <is>
          <t>This workbook assesses the organization's threat intelligence source portfolio to ensure:
- Comprehensive coverage of relevant threat landscapes
- Reliability and credibility of intelligence sources
- CVSS vulnerability scoring capability (v4.0/3.1)
- Cost-effectiveness of subscription services
- Compliance with data protection and privacy regulations
- Vendor SLA compliance and integration health
- Audit-ready evidence for source validation and business continuity</t>
        </is>
      </c>
    </row>
    <row r="7">
      <c r="A7" s="3" t="inlineStr">
        <is>
          <t>WORKBOOK STRUCTURE (15 SHEETS)</t>
        </is>
      </c>
    </row>
    <row r="8" ht="20" customHeight="1">
      <c r="A8" s="5" t="inlineStr">
        <is>
          <t>Sheet 1: Instructions - This guide</t>
        </is>
      </c>
    </row>
    <row r="9" ht="20" customHeight="1">
      <c r="A9" s="5" t="inlineStr">
        <is>
          <t>Sheet 2: Source_Inventory - Master list + CVSS capability tracking</t>
        </is>
      </c>
    </row>
    <row r="10" ht="20" customHeight="1">
      <c r="A10" s="5" t="inlineStr">
        <is>
          <t>Sheet 3: Source_Evaluation - Quality assessment + CVSS accuracy</t>
        </is>
      </c>
    </row>
    <row r="11" ht="20" customHeight="1">
      <c r="A11" s="5" t="inlineStr">
        <is>
          <t>Sheet 4: Coverage_Matrix - Geographic/sector/threat coverage</t>
        </is>
      </c>
    </row>
    <row r="12" ht="20" customHeight="1">
      <c r="A12" s="5" t="inlineStr">
        <is>
          <t>Sheet 5: Cost_Analysis - ROI and budget tracking</t>
        </is>
      </c>
    </row>
    <row r="13" ht="20" customHeight="1">
      <c r="A13" s="5" t="inlineStr">
        <is>
          <t>Sheet 6: Compliance_Check - Legal/regulatory compliance</t>
        </is>
      </c>
    </row>
    <row r="14" ht="20" customHeight="1">
      <c r="A14" s="5" t="inlineStr">
        <is>
          <t>Sheet 7: Action_Items - Remediation tracking</t>
        </is>
      </c>
    </row>
    <row r="15" ht="20" customHeight="1">
      <c r="A15" s="5" t="inlineStr">
        <is>
          <t>Sheet 8: Metadata - Workbook generation info</t>
        </is>
      </c>
    </row>
    <row r="16" ht="20" customHeight="1">
      <c r="A16" s="5" t="inlineStr">
        <is>
          <t>Sheet 9: Integration_Points - API/feed integration status (NEW)</t>
        </is>
      </c>
    </row>
    <row r="17" ht="20" customHeight="1">
      <c r="A17" s="5" t="inlineStr">
        <is>
          <t>Sheet 10: Update_Frequency - SLA compliance tracking (NEW)</t>
        </is>
      </c>
    </row>
    <row r="18" ht="20" customHeight="1">
      <c r="A18" s="5" t="inlineStr">
        <is>
          <t>Sheet 11: Source_Contacts - Vendor escalation contacts (NEW)</t>
        </is>
      </c>
    </row>
    <row r="19" ht="20" customHeight="1">
      <c r="A19" s="5" t="inlineStr">
        <is>
          <t>Sheet 12: Vendor_SLAs - Performance vs. contractual SLAs (NEW)</t>
        </is>
      </c>
    </row>
    <row r="20" ht="20" customHeight="1">
      <c r="A20" s="5" t="inlineStr">
        <is>
          <t>Sheet 13: API_Integration - API health and rate limits (NEW)</t>
        </is>
      </c>
    </row>
    <row r="21" ht="20" customHeight="1">
      <c r="A21" s="5" t="inlineStr">
        <is>
          <t>Sheet 14: Source_Performance_Validation - Quarterly validation (NEW - AUDIT CRITICAL)</t>
        </is>
      </c>
    </row>
    <row r="22" ht="20" customHeight="1">
      <c r="A22" s="5" t="inlineStr">
        <is>
          <t>Sheet 15: Business_Continuity_Plan - Role continuity (NEW - AUDIT CRITICAL)</t>
        </is>
      </c>
    </row>
    <row r="24">
      <c r="A24" s="3" t="inlineStr">
        <is>
          <t>CVSS SUPPORT LEVELS (NEW v1.0)</t>
        </is>
      </c>
    </row>
    <row r="25" ht="18" customHeight="1">
      <c r="A25" s="5" t="inlineStr">
        <is>
          <t>4.0 Full: Complete CVSS 4.0 (vectors, base scores, temporal metrics)</t>
        </is>
      </c>
    </row>
    <row r="26" ht="18" customHeight="1">
      <c r="A26" s="5" t="inlineStr">
        <is>
          <t>4.0 Basic: CVSS 4.0 base scores only, no vectors</t>
        </is>
      </c>
    </row>
    <row r="27" ht="18" customHeight="1">
      <c r="A27" s="5" t="inlineStr">
        <is>
          <t>3.1 Full: Complete CVSS 3.1 (vectors, base scores, temporal metrics)</t>
        </is>
      </c>
    </row>
    <row r="28" ht="18" customHeight="1">
      <c r="A28" s="5" t="inlineStr">
        <is>
          <t>3.1 Basic: CVSS 3.1 base scores only, no vectors</t>
        </is>
      </c>
    </row>
    <row r="29" ht="18" customHeight="1">
      <c r="A29" s="5" t="inlineStr">
        <is>
          <t>2.0 Only: Legacy CVSS 2.0 (flag for deprecation planning)</t>
        </is>
      </c>
    </row>
    <row r="30" ht="18" customHeight="1">
      <c r="A30" s="5" t="inlineStr">
        <is>
          <t>Proprietary: Vendor-specific severity without CVSS</t>
        </is>
      </c>
    </row>
    <row r="31" ht="18" customHeight="1">
      <c r="A31" s="5" t="inlineStr">
        <is>
          <t>None: No vulnerability severity assessment capability</t>
        </is>
      </c>
    </row>
    <row r="33">
      <c r="A33" s="3" t="inlineStr">
        <is>
          <t>ADMIRALTY CODE REFERENCE</t>
        </is>
      </c>
    </row>
    <row r="34">
      <c r="A34" s="6" t="inlineStr">
        <is>
          <t>Source Reliability (A-F):</t>
        </is>
      </c>
    </row>
    <row r="35">
      <c r="A35" t="inlineStr">
        <is>
          <t>A = Completely reliable (≥95% accuracy)</t>
        </is>
      </c>
    </row>
    <row r="36">
      <c r="A36" t="inlineStr">
        <is>
          <t>B = Usually reliable (90-95% accuracy)</t>
        </is>
      </c>
    </row>
    <row r="37">
      <c r="A37" t="inlineStr">
        <is>
          <t>C = Fairly reliable (85-90% accuracy)</t>
        </is>
      </c>
    </row>
    <row r="38">
      <c r="A38" t="inlineStr">
        <is>
          <t>D = Not usually reliable (80-85% accuracy)</t>
        </is>
      </c>
    </row>
    <row r="39">
      <c r="A39" t="inlineStr">
        <is>
          <t>E = Unreliable (&lt;80% accuracy)</t>
        </is>
      </c>
    </row>
    <row r="40">
      <c r="A40" t="inlineStr">
        <is>
          <t>F = Reliability cannot be judged (insufficient data)</t>
        </is>
      </c>
    </row>
    <row r="42">
      <c r="A42" s="6" t="inlineStr">
        <is>
          <t>Information Credibility (1-6):</t>
        </is>
      </c>
    </row>
    <row r="43">
      <c r="A43" t="inlineStr">
        <is>
          <t>1 = Confirmed by other sources</t>
        </is>
      </c>
    </row>
    <row r="44">
      <c r="A44" t="inlineStr">
        <is>
          <t>2 = Probably true</t>
        </is>
      </c>
    </row>
    <row r="45">
      <c r="A45" t="inlineStr">
        <is>
          <t>3 = Possibly true</t>
        </is>
      </c>
    </row>
    <row r="46">
      <c r="A46" t="inlineStr">
        <is>
          <t>4 = Doubtful</t>
        </is>
      </c>
    </row>
    <row r="47">
      <c r="A47" t="inlineStr">
        <is>
          <t>5 = Improbable</t>
        </is>
      </c>
    </row>
    <row r="48">
      <c r="A48" t="inlineStr">
        <is>
          <t>6 = Truth cannot be judged</t>
        </is>
      </c>
    </row>
    <row r="51">
      <c r="A51" s="7" t="inlineStr">
        <is>
          <t>QUARTERLY VALIDATION REQUIREMENT (SHEET 14 - AUDIT CRITICAL)</t>
        </is>
      </c>
    </row>
    <row r="52" ht="18" customHeight="1">
      <c r="A52" s="5" t="inlineStr">
        <is>
          <t>Per ISMS-POL-A.5.7-S4 Section 4.4.3, Sheet 14 must be completed EVERY QUARTER:</t>
        </is>
      </c>
    </row>
    <row r="53" ht="18" customHeight="1">
      <c r="A53" s="5" t="inlineStr">
        <is>
          <t xml:space="preserve">  • Minimum sample size: 10 IOCs + 10 CVEs per source</t>
        </is>
      </c>
    </row>
    <row r="54" ht="18" customHeight="1">
      <c r="A54" s="5" t="inlineStr">
        <is>
          <t xml:space="preserve">  • Target accuracy: ≥85% overall, ≥90% CVSS accuracy</t>
        </is>
      </c>
    </row>
    <row r="55" ht="18" customHeight="1">
      <c r="A55" s="5" t="inlineStr">
        <is>
          <t xml:space="preserve">  • Validation failure triggers action items in Sheet 7</t>
        </is>
      </c>
    </row>
    <row r="56" ht="18" customHeight="1">
      <c r="A56" s="5" t="inlineStr">
        <is>
          <t xml:space="preserve">  • Evidence must be archived for audit (3 years minimum)</t>
        </is>
      </c>
    </row>
    <row r="58">
      <c r="A58" s="7" t="inlineStr">
        <is>
          <t>BUSINESS CONTINUITY REQUIREMENT (SHEET 15 - AUDIT CRITICAL)</t>
        </is>
      </c>
    </row>
    <row r="59" ht="18" customHeight="1">
      <c r="A59" s="5" t="inlineStr">
        <is>
          <t>Per ISMS-POL-A.5.7-S4 Section 4.4.6, Sheet 15 must document:</t>
        </is>
      </c>
    </row>
    <row r="60" ht="18" customHeight="1">
      <c r="A60" s="5" t="inlineStr">
        <is>
          <t xml:space="preserve">  • Backup personnel for ALL critical roles (100% requirement)</t>
        </is>
      </c>
    </row>
    <row r="61" ht="18" customHeight="1">
      <c r="A61" s="5" t="inlineStr">
        <is>
          <t xml:space="preserve">  • Training completion for primary and backup (documented dates)</t>
        </is>
      </c>
    </row>
    <row r="62" ht="18" customHeight="1">
      <c r="A62" s="5" t="inlineStr">
        <is>
          <t xml:space="preserve">  • Access documentation for critical sources (verified locations)</t>
        </is>
      </c>
    </row>
    <row r="63" ht="18" customHeight="1">
      <c r="A63" s="5" t="inlineStr">
        <is>
          <t xml:space="preserve">  • Annual continuity testing (pass required for compliance)</t>
        </is>
      </c>
    </row>
    <row r="66">
      <c r="A66" s="3" t="inlineStr">
        <is>
          <t>COMPLETION INSTRUCTIONS</t>
        </is>
      </c>
    </row>
    <row r="67" ht="18" customHeight="1">
      <c r="A67" s="5" t="inlineStr">
        <is>
          <t>INITIAL ASSESSMENT (3-5 days for 15-20 sources):</t>
        </is>
      </c>
    </row>
    <row r="68" ht="18" customHeight="1">
      <c r="A68" s="5" t="inlineStr">
        <is>
          <t xml:space="preserve">  1. Start with Source_Inventory (Sheet 2) - document all sources + CVSS capability</t>
        </is>
      </c>
    </row>
    <row r="69" ht="18" customHeight="1">
      <c r="A69" s="5" t="inlineStr">
        <is>
          <t xml:space="preserve">  2. Complete Source_Evaluation (Sheet 3) for each active source</t>
        </is>
      </c>
    </row>
    <row r="70" ht="18" customHeight="1">
      <c r="A70" s="5" t="inlineStr">
        <is>
          <t xml:space="preserve">  3. Fill Coverage_Matrix (Sheet 4) to identify gaps</t>
        </is>
      </c>
    </row>
    <row r="71" ht="18" customHeight="1">
      <c r="A71" s="5" t="inlineStr">
        <is>
          <t xml:space="preserve">  4. Document costs in Cost_Analysis (Sheet 5)</t>
        </is>
      </c>
    </row>
    <row r="72" ht="18" customHeight="1">
      <c r="A72" s="5" t="inlineStr">
        <is>
          <t xml:space="preserve">  5. Verify compliance in Compliance_Check (Sheet 6)</t>
        </is>
      </c>
    </row>
    <row r="73" ht="18" customHeight="1">
      <c r="A73" s="5" t="inlineStr">
        <is>
          <t xml:space="preserve">  6. Complete vendor management (Sheets 9-13)</t>
        </is>
      </c>
    </row>
    <row r="74" ht="18" customHeight="1">
      <c r="A74" s="5" t="inlineStr">
        <is>
          <t xml:space="preserve">  7. Perform initial validation in Sheet 14 (may use historical data)</t>
        </is>
      </c>
    </row>
    <row r="75" ht="18" customHeight="1">
      <c r="A75" s="5" t="inlineStr">
        <is>
          <t xml:space="preserve">  8. Document continuity in Sheet 15 (identify critical roles, assign backups)</t>
        </is>
      </c>
    </row>
    <row r="76" ht="18" customHeight="1">
      <c r="A76" s="5" t="inlineStr">
        <is>
          <t xml:space="preserve">  9. Generate Action_Items (Sheet 7) for any issues</t>
        </is>
      </c>
    </row>
    <row r="77" ht="12" customHeight="1">
      <c r="A77" s="5" t="inlineStr"/>
    </row>
    <row r="78" ht="18" customHeight="1">
      <c r="A78" s="5" t="inlineStr">
        <is>
          <t>QUARTERLY REVIEW (6-8 hours per quarter):</t>
        </is>
      </c>
    </row>
    <row r="79" ht="18" customHeight="1">
      <c r="A79" s="5" t="inlineStr">
        <is>
          <t xml:space="preserve">  1. Update Source_Inventory (Sheet 2) - add/remove sources, update CVSS</t>
        </is>
      </c>
    </row>
    <row r="80" ht="18" customHeight="1">
      <c r="A80" s="5" t="inlineStr">
        <is>
          <t xml:space="preserve">  2. CRITICAL: Complete Sheet 14 quarterly validation (audit requirement)</t>
        </is>
      </c>
    </row>
    <row r="81" ht="18" customHeight="1">
      <c r="A81" s="5" t="inlineStr">
        <is>
          <t xml:space="preserve">  3. Update Sheet 3 with validation results (CVSS accuracy rates)</t>
        </is>
      </c>
    </row>
    <row r="82" ht="18" customHeight="1">
      <c r="A82" s="5" t="inlineStr">
        <is>
          <t xml:space="preserve">  4. Review vendor data (Sheets 9-13) for integration health and SLA compliance</t>
        </is>
      </c>
    </row>
    <row r="83" ht="18" customHeight="1">
      <c r="A83" s="5" t="inlineStr">
        <is>
          <t xml:space="preserve">  5. Review Sheet 15 for personnel changes or training expirations</t>
        </is>
      </c>
    </row>
    <row r="84" ht="18" customHeight="1">
      <c r="A84" s="5" t="inlineStr">
        <is>
          <t xml:space="preserve">  6. Update/close action items in Sheet 7</t>
        </is>
      </c>
    </row>
    <row r="85" ht="12" customHeight="1">
      <c r="A85" s="5" t="inlineStr"/>
    </row>
    <row r="86" ht="18" customHeight="1">
      <c r="A86" s="5" t="inlineStr">
        <is>
          <t>ANNUAL REVIEW (2-3 days additional):</t>
        </is>
      </c>
    </row>
    <row r="87" ht="18" customHeight="1">
      <c r="A87" s="5" t="inlineStr">
        <is>
          <t xml:space="preserve">  1. Execute annual continuity test per Sheet 15 procedures</t>
        </is>
      </c>
    </row>
    <row r="88" ht="18" customHeight="1">
      <c r="A88" s="5" t="inlineStr">
        <is>
          <t xml:space="preserve">  2. Comprehensive coverage gap analysis</t>
        </is>
      </c>
    </row>
    <row r="89" ht="18" customHeight="1">
      <c r="A89" s="5" t="inlineStr">
        <is>
          <t xml:space="preserve">  3. Strategic vendor performance review</t>
        </is>
      </c>
    </row>
    <row r="90" ht="18" customHeight="1">
      <c r="A90" s="5" t="inlineStr">
        <is>
          <t xml:space="preserve">  4. Source portfolio optimization (add/deprecate sources)</t>
        </is>
      </c>
    </row>
    <row r="93">
      <c r="A93" s="8" t="inlineStr">
        <is>
          <t>"The first principle is that you must not fool yourself—and you are the easiest person to fool." - Richard Feynman</t>
        </is>
      </c>
    </row>
  </sheetData>
  <mergeCells count="67">
    <mergeCell ref="A16:F16"/>
    <mergeCell ref="A54:F54"/>
    <mergeCell ref="A84:F84"/>
    <mergeCell ref="A90:F90"/>
    <mergeCell ref="A66:F66"/>
    <mergeCell ref="A80:F80"/>
    <mergeCell ref="A75:F75"/>
    <mergeCell ref="A27:F27"/>
    <mergeCell ref="A89:F89"/>
    <mergeCell ref="A74:F74"/>
    <mergeCell ref="A12:F12"/>
    <mergeCell ref="A18:F18"/>
    <mergeCell ref="A56:F56"/>
    <mergeCell ref="A26:F26"/>
    <mergeCell ref="A21:F21"/>
    <mergeCell ref="A55:F55"/>
    <mergeCell ref="A86:F86"/>
    <mergeCell ref="A2:F2"/>
    <mergeCell ref="A33:F33"/>
    <mergeCell ref="A71:F71"/>
    <mergeCell ref="A85:F85"/>
    <mergeCell ref="A76:F76"/>
    <mergeCell ref="A14:F14"/>
    <mergeCell ref="A5:F5"/>
    <mergeCell ref="A8:F8"/>
    <mergeCell ref="A22:F22"/>
    <mergeCell ref="A17:F17"/>
    <mergeCell ref="A4:F4"/>
    <mergeCell ref="A62:F62"/>
    <mergeCell ref="A20:F20"/>
    <mergeCell ref="A53:F53"/>
    <mergeCell ref="A72:F72"/>
    <mergeCell ref="A29:F29"/>
    <mergeCell ref="A81:F81"/>
    <mergeCell ref="A63:F63"/>
    <mergeCell ref="A52:F52"/>
    <mergeCell ref="A10:F10"/>
    <mergeCell ref="A28:F28"/>
    <mergeCell ref="A93:F93"/>
    <mergeCell ref="A13:F13"/>
    <mergeCell ref="A19:F19"/>
    <mergeCell ref="A68:F68"/>
    <mergeCell ref="A9:F9"/>
    <mergeCell ref="A67:F67"/>
    <mergeCell ref="A31:F31"/>
    <mergeCell ref="A58:F58"/>
    <mergeCell ref="A83:F83"/>
    <mergeCell ref="A30:F30"/>
    <mergeCell ref="A77:F77"/>
    <mergeCell ref="A15:F15"/>
    <mergeCell ref="A59:F59"/>
    <mergeCell ref="A24:F24"/>
    <mergeCell ref="A73:F73"/>
    <mergeCell ref="A11:F11"/>
    <mergeCell ref="A51:F51"/>
    <mergeCell ref="A82:F82"/>
    <mergeCell ref="A60:F60"/>
    <mergeCell ref="A1:F1"/>
    <mergeCell ref="A70:F70"/>
    <mergeCell ref="A79:F79"/>
    <mergeCell ref="A61:F61"/>
    <mergeCell ref="A88:F88"/>
    <mergeCell ref="A78:F78"/>
    <mergeCell ref="A69:F69"/>
    <mergeCell ref="A87:F87"/>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4"/>
  <sheetViews>
    <sheetView workbookViewId="0">
      <selection activeCell="A1" sqref="A1"/>
    </sheetView>
  </sheetViews>
  <sheetFormatPr baseColWidth="8" defaultRowHeight="15"/>
  <cols>
    <col width="15" customWidth="1" min="1" max="1"/>
    <col width="35" customWidth="1" min="2" max="2"/>
    <col width="15" customWidth="1" min="3" max="3"/>
    <col width="20" customWidth="1" min="4" max="4"/>
    <col width="25" customWidth="1" min="5" max="5"/>
    <col width="30" customWidth="1" min="6" max="6"/>
    <col width="15" customWidth="1" min="7" max="7"/>
    <col width="15" customWidth="1" min="8" max="8"/>
    <col width="15" customWidth="1" min="9" max="9"/>
    <col width="15" customWidth="1" min="10" max="10"/>
    <col width="18" customWidth="1" min="11" max="11"/>
    <col width="25" customWidth="1" min="12" max="12"/>
    <col width="25" customWidth="1" min="13" max="13"/>
    <col width="15" customWidth="1" min="14" max="14"/>
    <col width="15" customWidth="1" min="15" max="15"/>
    <col width="50" customWidth="1" min="16" max="16"/>
  </cols>
  <sheetData>
    <row r="1" ht="25" customHeight="1">
      <c r="A1" s="1" t="inlineStr">
        <is>
          <t>Threat Intelligence Source Inventory (with CVSS Capability Tracking)</t>
        </is>
      </c>
    </row>
    <row r="2" ht="30" customHeight="1">
      <c r="A2" s="9" t="inlineStr">
        <is>
          <t>Document all threat intelligence sources. NEW: Track CVSS v4.0/3.1 support for vulnerability intelligence integration with Control 8.8.</t>
        </is>
      </c>
    </row>
    <row r="4">
      <c r="A4" s="10" t="inlineStr">
        <is>
          <t>Source_ID</t>
        </is>
      </c>
      <c r="B4" s="10" t="inlineStr">
        <is>
          <t>Source_Name</t>
        </is>
      </c>
      <c r="C4" s="10" t="inlineStr">
        <is>
          <t>Source_Type</t>
        </is>
      </c>
      <c r="D4" s="10" t="inlineStr">
        <is>
          <t>Source_Category</t>
        </is>
      </c>
      <c r="E4" s="10" t="inlineStr">
        <is>
          <t>Provider</t>
        </is>
      </c>
      <c r="F4" s="10" t="inlineStr">
        <is>
          <t>Contact_Email</t>
        </is>
      </c>
      <c r="G4" s="10" t="inlineStr">
        <is>
          <t>Contract_Start</t>
        </is>
      </c>
      <c r="H4" s="10" t="inlineStr">
        <is>
          <t>Contract_End</t>
        </is>
      </c>
      <c r="I4" s="10" t="inlineStr">
        <is>
          <t>Auto_Renew</t>
        </is>
      </c>
      <c r="J4" s="10" t="inlineStr">
        <is>
          <t>Status</t>
        </is>
      </c>
      <c r="K4" s="10" t="inlineStr">
        <is>
          <t>CVSS_Support</t>
        </is>
      </c>
      <c r="L4" s="10" t="inlineStr">
        <is>
          <t>Primary_Owner</t>
        </is>
      </c>
      <c r="M4" s="10" t="inlineStr">
        <is>
          <t>Backup_Owner</t>
        </is>
      </c>
      <c r="N4" s="10" t="inlineStr">
        <is>
          <t>Last_Review_Date</t>
        </is>
      </c>
      <c r="O4" s="10" t="inlineStr">
        <is>
          <t>Next_Review_Date</t>
        </is>
      </c>
      <c r="P4" s="10" t="inlineStr">
        <is>
          <t>Notes</t>
        </is>
      </c>
    </row>
    <row r="5">
      <c r="O5" s="11">
        <f>IF(N5&lt;&gt;"", N5+90, "")</f>
        <v/>
      </c>
    </row>
    <row r="6">
      <c r="O6" s="11">
        <f>IF(N6&lt;&gt;"", N6+90, "")</f>
        <v/>
      </c>
    </row>
    <row r="7">
      <c r="O7" s="11">
        <f>IF(N7&lt;&gt;"", N7+90, "")</f>
        <v/>
      </c>
    </row>
    <row r="8">
      <c r="O8" s="11">
        <f>IF(N8&lt;&gt;"", N8+90, "")</f>
        <v/>
      </c>
    </row>
    <row r="9">
      <c r="O9" s="11">
        <f>IF(N9&lt;&gt;"", N9+90, "")</f>
        <v/>
      </c>
    </row>
    <row r="10">
      <c r="O10" s="11">
        <f>IF(N10&lt;&gt;"", N10+90, "")</f>
        <v/>
      </c>
    </row>
    <row r="11">
      <c r="O11" s="11">
        <f>IF(N11&lt;&gt;"", N11+90, "")</f>
        <v/>
      </c>
    </row>
    <row r="12">
      <c r="O12" s="11">
        <f>IF(N12&lt;&gt;"", N12+90, "")</f>
        <v/>
      </c>
    </row>
    <row r="13">
      <c r="O13" s="11">
        <f>IF(N13&lt;&gt;"", N13+90, "")</f>
        <v/>
      </c>
    </row>
    <row r="14">
      <c r="O14" s="11">
        <f>IF(N14&lt;&gt;"", N14+90, "")</f>
        <v/>
      </c>
    </row>
    <row r="15">
      <c r="O15" s="11">
        <f>IF(N15&lt;&gt;"", N15+90, "")</f>
        <v/>
      </c>
    </row>
    <row r="16">
      <c r="O16" s="11">
        <f>IF(N16&lt;&gt;"", N16+90, "")</f>
        <v/>
      </c>
    </row>
    <row r="17">
      <c r="O17" s="11">
        <f>IF(N17&lt;&gt;"", N17+90, "")</f>
        <v/>
      </c>
    </row>
    <row r="18">
      <c r="O18" s="11">
        <f>IF(N18&lt;&gt;"", N18+90, "")</f>
        <v/>
      </c>
    </row>
    <row r="19">
      <c r="O19" s="11">
        <f>IF(N19&lt;&gt;"", N19+90, "")</f>
        <v/>
      </c>
    </row>
    <row r="20">
      <c r="O20" s="11">
        <f>IF(N20&lt;&gt;"", N20+90, "")</f>
        <v/>
      </c>
    </row>
    <row r="21">
      <c r="O21" s="11">
        <f>IF(N21&lt;&gt;"", N21+90, "")</f>
        <v/>
      </c>
    </row>
    <row r="22">
      <c r="O22" s="11">
        <f>IF(N22&lt;&gt;"", N22+90, "")</f>
        <v/>
      </c>
    </row>
    <row r="23">
      <c r="O23" s="11">
        <f>IF(N23&lt;&gt;"", N23+90, "")</f>
        <v/>
      </c>
    </row>
    <row r="24">
      <c r="O24" s="11">
        <f>IF(N24&lt;&gt;"", N24+90, "")</f>
        <v/>
      </c>
    </row>
    <row r="25">
      <c r="O25" s="11">
        <f>IF(N25&lt;&gt;"", N25+90, "")</f>
        <v/>
      </c>
    </row>
    <row r="26">
      <c r="O26" s="11">
        <f>IF(N26&lt;&gt;"", N26+90, "")</f>
        <v/>
      </c>
    </row>
    <row r="27">
      <c r="O27" s="11">
        <f>IF(N27&lt;&gt;"", N27+90, "")</f>
        <v/>
      </c>
    </row>
    <row r="28">
      <c r="O28" s="11">
        <f>IF(N28&lt;&gt;"", N28+90, "")</f>
        <v/>
      </c>
    </row>
    <row r="29">
      <c r="O29" s="11">
        <f>IF(N29&lt;&gt;"", N29+90, "")</f>
        <v/>
      </c>
    </row>
    <row r="30">
      <c r="O30" s="11">
        <f>IF(N30&lt;&gt;"", N30+90, "")</f>
        <v/>
      </c>
    </row>
    <row r="31">
      <c r="O31" s="11">
        <f>IF(N31&lt;&gt;"", N31+90, "")</f>
        <v/>
      </c>
    </row>
    <row r="32">
      <c r="O32" s="11">
        <f>IF(N32&lt;&gt;"", N32+90, "")</f>
        <v/>
      </c>
    </row>
    <row r="33">
      <c r="O33" s="11">
        <f>IF(N33&lt;&gt;"", N33+90, "")</f>
        <v/>
      </c>
    </row>
    <row r="34">
      <c r="O34" s="11">
        <f>IF(N34&lt;&gt;"", N34+90, "")</f>
        <v/>
      </c>
    </row>
    <row r="35">
      <c r="O35" s="11">
        <f>IF(N35&lt;&gt;"", N35+90, "")</f>
        <v/>
      </c>
    </row>
    <row r="36">
      <c r="O36" s="11">
        <f>IF(N36&lt;&gt;"", N36+90, "")</f>
        <v/>
      </c>
    </row>
    <row r="37">
      <c r="O37" s="11">
        <f>IF(N37&lt;&gt;"", N37+90, "")</f>
        <v/>
      </c>
    </row>
    <row r="38">
      <c r="O38" s="11">
        <f>IF(N38&lt;&gt;"", N38+90, "")</f>
        <v/>
      </c>
    </row>
    <row r="39">
      <c r="O39" s="11">
        <f>IF(N39&lt;&gt;"", N39+90, "")</f>
        <v/>
      </c>
    </row>
    <row r="40">
      <c r="O40" s="11">
        <f>IF(N40&lt;&gt;"", N40+90, "")</f>
        <v/>
      </c>
    </row>
    <row r="41">
      <c r="O41" s="11">
        <f>IF(N41&lt;&gt;"", N41+90, "")</f>
        <v/>
      </c>
    </row>
    <row r="42">
      <c r="O42" s="11">
        <f>IF(N42&lt;&gt;"", N42+90, "")</f>
        <v/>
      </c>
    </row>
    <row r="43">
      <c r="O43" s="11">
        <f>IF(N43&lt;&gt;"", N43+90, "")</f>
        <v/>
      </c>
    </row>
    <row r="44">
      <c r="O44" s="11">
        <f>IF(N44&lt;&gt;"", N44+90, "")</f>
        <v/>
      </c>
    </row>
    <row r="45">
      <c r="O45" s="11">
        <f>IF(N45&lt;&gt;"", N45+90, "")</f>
        <v/>
      </c>
    </row>
    <row r="46">
      <c r="O46" s="11">
        <f>IF(N46&lt;&gt;"", N46+90, "")</f>
        <v/>
      </c>
    </row>
    <row r="47">
      <c r="O47" s="11">
        <f>IF(N47&lt;&gt;"", N47+90, "")</f>
        <v/>
      </c>
    </row>
    <row r="48">
      <c r="O48" s="11">
        <f>IF(N48&lt;&gt;"", N48+90, "")</f>
        <v/>
      </c>
    </row>
    <row r="49">
      <c r="O49" s="11">
        <f>IF(N49&lt;&gt;"", N49+90, "")</f>
        <v/>
      </c>
    </row>
    <row r="50">
      <c r="O50" s="11">
        <f>IF(N50&lt;&gt;"", N50+90, "")</f>
        <v/>
      </c>
    </row>
    <row r="51">
      <c r="O51" s="11">
        <f>IF(N51&lt;&gt;"", N51+90, "")</f>
        <v/>
      </c>
    </row>
    <row r="52">
      <c r="O52" s="11">
        <f>IF(N52&lt;&gt;"", N52+90, "")</f>
        <v/>
      </c>
    </row>
    <row r="53">
      <c r="O53" s="11">
        <f>IF(N53&lt;&gt;"", N53+90, "")</f>
        <v/>
      </c>
    </row>
    <row r="54">
      <c r="O54" s="11">
        <f>IF(N54&lt;&gt;"", N54+90, "")</f>
        <v/>
      </c>
    </row>
    <row r="55">
      <c r="O55" s="11">
        <f>IF(N55&lt;&gt;"", N55+90, "")</f>
        <v/>
      </c>
    </row>
    <row r="56">
      <c r="O56" s="11">
        <f>IF(N56&lt;&gt;"", N56+90, "")</f>
        <v/>
      </c>
    </row>
    <row r="57">
      <c r="O57" s="11">
        <f>IF(N57&lt;&gt;"", N57+90, "")</f>
        <v/>
      </c>
    </row>
    <row r="58">
      <c r="O58" s="11">
        <f>IF(N58&lt;&gt;"", N58+90, "")</f>
        <v/>
      </c>
    </row>
    <row r="59">
      <c r="O59" s="11">
        <f>IF(N59&lt;&gt;"", N59+90, "")</f>
        <v/>
      </c>
    </row>
    <row r="60">
      <c r="O60" s="11">
        <f>IF(N60&lt;&gt;"", N60+90, "")</f>
        <v/>
      </c>
    </row>
    <row r="61">
      <c r="O61" s="11">
        <f>IF(N61&lt;&gt;"", N61+90, "")</f>
        <v/>
      </c>
    </row>
    <row r="62">
      <c r="O62" s="11">
        <f>IF(N62&lt;&gt;"", N62+90, "")</f>
        <v/>
      </c>
    </row>
    <row r="63">
      <c r="O63" s="11">
        <f>IF(N63&lt;&gt;"", N63+90, "")</f>
        <v/>
      </c>
    </row>
    <row r="64">
      <c r="O64" s="11">
        <f>IF(N64&lt;&gt;"", N64+90, "")</f>
        <v/>
      </c>
    </row>
    <row r="65">
      <c r="O65" s="11">
        <f>IF(N65&lt;&gt;"", N65+90, "")</f>
        <v/>
      </c>
    </row>
    <row r="66">
      <c r="O66" s="11">
        <f>IF(N66&lt;&gt;"", N66+90, "")</f>
        <v/>
      </c>
    </row>
    <row r="67">
      <c r="O67" s="11">
        <f>IF(N67&lt;&gt;"", N67+90, "")</f>
        <v/>
      </c>
    </row>
    <row r="68">
      <c r="O68" s="11">
        <f>IF(N68&lt;&gt;"", N68+90, "")</f>
        <v/>
      </c>
    </row>
    <row r="69">
      <c r="O69" s="11">
        <f>IF(N69&lt;&gt;"", N69+90, "")</f>
        <v/>
      </c>
    </row>
    <row r="70">
      <c r="O70" s="11">
        <f>IF(N70&lt;&gt;"", N70+90, "")</f>
        <v/>
      </c>
    </row>
    <row r="71">
      <c r="O71" s="11">
        <f>IF(N71&lt;&gt;"", N71+90, "")</f>
        <v/>
      </c>
    </row>
    <row r="72">
      <c r="O72" s="11">
        <f>IF(N72&lt;&gt;"", N72+90, "")</f>
        <v/>
      </c>
    </row>
    <row r="73">
      <c r="O73" s="11">
        <f>IF(N73&lt;&gt;"", N73+90, "")</f>
        <v/>
      </c>
    </row>
    <row r="74">
      <c r="O74" s="11">
        <f>IF(N74&lt;&gt;"", N74+90, "")</f>
        <v/>
      </c>
    </row>
    <row r="75">
      <c r="O75" s="11">
        <f>IF(N75&lt;&gt;"", N75+90, "")</f>
        <v/>
      </c>
    </row>
    <row r="76">
      <c r="O76" s="11">
        <f>IF(N76&lt;&gt;"", N76+90, "")</f>
        <v/>
      </c>
    </row>
    <row r="77">
      <c r="O77" s="11">
        <f>IF(N77&lt;&gt;"", N77+90, "")</f>
        <v/>
      </c>
    </row>
    <row r="78">
      <c r="O78" s="11">
        <f>IF(N78&lt;&gt;"", N78+90, "")</f>
        <v/>
      </c>
    </row>
    <row r="79">
      <c r="O79" s="11">
        <f>IF(N79&lt;&gt;"", N79+90, "")</f>
        <v/>
      </c>
    </row>
    <row r="80">
      <c r="O80" s="11">
        <f>IF(N80&lt;&gt;"", N80+90, "")</f>
        <v/>
      </c>
    </row>
    <row r="81">
      <c r="O81" s="11">
        <f>IF(N81&lt;&gt;"", N81+90, "")</f>
        <v/>
      </c>
    </row>
    <row r="82">
      <c r="O82" s="11">
        <f>IF(N82&lt;&gt;"", N82+90, "")</f>
        <v/>
      </c>
    </row>
    <row r="83">
      <c r="O83" s="11">
        <f>IF(N83&lt;&gt;"", N83+90, "")</f>
        <v/>
      </c>
    </row>
    <row r="84">
      <c r="O84" s="11">
        <f>IF(N84&lt;&gt;"", N84+90, "")</f>
        <v/>
      </c>
    </row>
    <row r="85">
      <c r="O85" s="11">
        <f>IF(N85&lt;&gt;"", N85+90, "")</f>
        <v/>
      </c>
    </row>
    <row r="86">
      <c r="O86" s="11">
        <f>IF(N86&lt;&gt;"", N86+90, "")</f>
        <v/>
      </c>
    </row>
    <row r="87">
      <c r="O87" s="11">
        <f>IF(N87&lt;&gt;"", N87+90, "")</f>
        <v/>
      </c>
    </row>
    <row r="88">
      <c r="O88" s="11">
        <f>IF(N88&lt;&gt;"", N88+90, "")</f>
        <v/>
      </c>
    </row>
    <row r="89">
      <c r="O89" s="11">
        <f>IF(N89&lt;&gt;"", N89+90, "")</f>
        <v/>
      </c>
    </row>
    <row r="90">
      <c r="O90" s="11">
        <f>IF(N90&lt;&gt;"", N90+90, "")</f>
        <v/>
      </c>
    </row>
    <row r="91">
      <c r="O91" s="11">
        <f>IF(N91&lt;&gt;"", N91+90, "")</f>
        <v/>
      </c>
    </row>
    <row r="92">
      <c r="O92" s="11">
        <f>IF(N92&lt;&gt;"", N92+90, "")</f>
        <v/>
      </c>
    </row>
    <row r="93">
      <c r="O93" s="11">
        <f>IF(N93&lt;&gt;"", N93+90, "")</f>
        <v/>
      </c>
    </row>
    <row r="94">
      <c r="O94" s="11">
        <f>IF(N94&lt;&gt;"", N94+90, "")</f>
        <v/>
      </c>
    </row>
    <row r="95">
      <c r="O95" s="11">
        <f>IF(N95&lt;&gt;"", N95+90, "")</f>
        <v/>
      </c>
    </row>
    <row r="96">
      <c r="O96" s="11">
        <f>IF(N96&lt;&gt;"", N96+90, "")</f>
        <v/>
      </c>
    </row>
    <row r="97">
      <c r="O97" s="11">
        <f>IF(N97&lt;&gt;"", N97+90, "")</f>
        <v/>
      </c>
    </row>
    <row r="98">
      <c r="O98" s="11">
        <f>IF(N98&lt;&gt;"", N98+90, "")</f>
        <v/>
      </c>
    </row>
    <row r="99">
      <c r="O99" s="11">
        <f>IF(N99&lt;&gt;"", N99+90, "")</f>
        <v/>
      </c>
    </row>
    <row r="100">
      <c r="O100" s="11">
        <f>IF(N100&lt;&gt;"", N100+90, "")</f>
        <v/>
      </c>
    </row>
    <row r="101">
      <c r="O101" s="11">
        <f>IF(N101&lt;&gt;"", N101+90, "")</f>
        <v/>
      </c>
    </row>
    <row r="102">
      <c r="O102" s="11">
        <f>IF(N102&lt;&gt;"", N102+90, "")</f>
        <v/>
      </c>
    </row>
    <row r="103">
      <c r="O103" s="11">
        <f>IF(N103&lt;&gt;"", N103+90, "")</f>
        <v/>
      </c>
    </row>
    <row r="104">
      <c r="O104" s="11">
        <f>IF(N104&lt;&gt;"", N104+90, "")</f>
        <v/>
      </c>
    </row>
  </sheetData>
  <mergeCells count="2">
    <mergeCell ref="A1:P1"/>
    <mergeCell ref="A2:P2"/>
  </mergeCells>
  <conditionalFormatting sqref="K5:K104">
    <cfRule type="cellIs" priority="1" operator="equal" dxfId="0">
      <formula>"4.0 Full"</formula>
    </cfRule>
    <cfRule type="cellIs" priority="2" operator="equal" dxfId="1">
      <formula>"4.0 Basic"</formula>
    </cfRule>
    <cfRule type="cellIs" priority="3" operator="equal" dxfId="2">
      <formula>"3.1 Full"</formula>
    </cfRule>
    <cfRule type="cellIs" priority="4" operator="equal" dxfId="3">
      <formula>"3.1 Basic"</formula>
    </cfRule>
    <cfRule type="cellIs" priority="5" operator="equal" dxfId="4">
      <formula>"2.0 Only"</formula>
    </cfRule>
    <cfRule type="cellIs" priority="6" operator="equal" dxfId="5">
      <formula>"Proprietary"</formula>
    </cfRule>
    <cfRule type="cellIs" priority="7" operator="equal" dxfId="5">
      <formula>"None"</formula>
    </cfRule>
  </conditionalFormatting>
  <conditionalFormatting sqref="J5:J104">
    <cfRule type="cellIs" priority="8" operator="equal" dxfId="6">
      <formula>"Inactive"</formula>
    </cfRule>
    <cfRule type="cellIs" priority="9" operator="equal" dxfId="6">
      <formula>"Cancelled"</formula>
    </cfRule>
  </conditionalFormatting>
  <conditionalFormatting sqref="H5:H104">
    <cfRule type="cellIs" priority="10" operator="between" dxfId="4">
      <formula>TODAY()</formula>
      <formula>TODAY()+30</formula>
    </cfRule>
    <cfRule type="cellIs" priority="11" operator="lessThan" dxfId="5">
      <formula>TODAY()</formula>
    </cfRule>
  </conditionalFormatting>
  <conditionalFormatting sqref="O5:O104">
    <cfRule type="cellIs" priority="12" operator="lessThan" dxfId="2">
      <formula>TODAY()</formula>
    </cfRule>
  </conditionalFormatting>
  <dataValidations count="500">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2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3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4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5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6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7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8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5"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6"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7"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8"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99"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00"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01"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02"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03"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"Commercial,OSINT,Government,Internal,Vendor,Peer_Sharing"</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"Threat_Feed,ISAC,Vendor_Advisory,Blog,Social_Media,Research_Report,Internal_Telemetry"</formula1>
    </dataValidation>
    <dataValidation sqref="I104" showDropDown="0" showInputMessage="0" showErrorMessage="0" allowBlank="0" type="list">
      <formula1>"Yes,No,Under_Review"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"Active,Inactive,Trial,Pending_Renewal,Cancelled"</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"4.0 Full,4.0 Basic,3.1 Full,3.1 Basic,2.0 Only,Proprietary,None"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04"/>
  <sheetViews>
    <sheetView workbookViewId="0">
      <selection activeCell="A1" sqref="A1"/>
    </sheetView>
  </sheetViews>
  <sheetFormatPr baseColWidth="8" defaultRowHeight="15"/>
  <cols>
    <col width="15" customWidth="1" min="1" max="1"/>
    <col width="30" customWidth="1" min="2" max="2"/>
    <col width="15" customWidth="1" min="3" max="3"/>
    <col width="25" customWidth="1" min="4" max="4"/>
    <col width="20" customWidth="1" min="5" max="5"/>
    <col width="35" customWidth="1" min="6" max="6"/>
    <col width="20" customWidth="1" min="7" max="7"/>
    <col width="35" customWidth="1" min="8" max="8"/>
    <col width="12" customWidth="1" min="9" max="9"/>
    <col width="30" customWidth="1" min="10" max="10"/>
    <col width="12" customWidth="1" min="11" max="11"/>
    <col width="30" customWidth="1" min="12" max="12"/>
    <col width="15" customWidth="1" min="13" max="13"/>
    <col width="30" customWidth="1" min="14" max="14"/>
    <col width="18" customWidth="1" min="15" max="15"/>
    <col width="15" customWidth="1" min="16" max="16"/>
    <col width="18" customWidth="1" min="17" max="17"/>
    <col width="15" customWidth="1" min="18" max="18"/>
    <col width="15" customWidth="1" min="19" max="19"/>
    <col width="15" customWidth="1" min="20" max="20"/>
    <col width="30" customWidth="1" min="21" max="21"/>
    <col width="18" customWidth="1" min="22" max="22"/>
    <col width="15" customWidth="1" min="23" max="23"/>
  </cols>
  <sheetData>
    <row r="1" ht="25" customHeight="1">
      <c r="A1" s="1" t="inlineStr">
        <is>
          <t>Threat Intelligence Source Evaluation (Quality + CVSS Accuracy Assessment)</t>
        </is>
      </c>
    </row>
    <row r="2" ht="30" customHeight="1">
      <c r="A2" s="9" t="inlineStr">
        <is>
          <t>Assess source reliability using Admiralty Code. NEW: Track CVSS accuracy rate per ISMS-POL-A.5.7-S4 Section 4.4.3 (target: ≥90%).</t>
        </is>
      </c>
    </row>
    <row r="4">
      <c r="A4" s="10" t="inlineStr">
        <is>
          <t>Source_ID</t>
        </is>
      </c>
      <c r="B4" s="10" t="inlineStr">
        <is>
          <t>Source_Name</t>
        </is>
      </c>
      <c r="C4" s="10" t="inlineStr">
        <is>
          <t>Evaluation_Date</t>
        </is>
      </c>
      <c r="D4" s="10" t="inlineStr">
        <is>
          <t>Evaluator</t>
        </is>
      </c>
      <c r="E4" s="10" t="inlineStr">
        <is>
          <t>Reliability_Rating</t>
        </is>
      </c>
      <c r="F4" s="10" t="inlineStr">
        <is>
          <t>Reliability_Justification</t>
        </is>
      </c>
      <c r="G4" s="10" t="inlineStr">
        <is>
          <t>Credibility_Rating</t>
        </is>
      </c>
      <c r="H4" s="10" t="inlineStr">
        <is>
          <t>Credibility_Justification</t>
        </is>
      </c>
      <c r="I4" s="10" t="inlineStr">
        <is>
          <t>Timeliness_Score</t>
        </is>
      </c>
      <c r="J4" s="10" t="inlineStr">
        <is>
          <t>Timeliness_Notes</t>
        </is>
      </c>
      <c r="K4" s="10" t="inlineStr">
        <is>
          <t>Relevance_Score</t>
        </is>
      </c>
      <c r="L4" s="10" t="inlineStr">
        <is>
          <t>Relevance_Notes</t>
        </is>
      </c>
      <c r="M4" s="10" t="inlineStr">
        <is>
          <t>Actionability_Score</t>
        </is>
      </c>
      <c r="N4" s="10" t="inlineStr">
        <is>
          <t>Actionability_Notes</t>
        </is>
      </c>
      <c r="O4" s="10" t="inlineStr">
        <is>
          <t>Overall_Quality_Score</t>
        </is>
      </c>
      <c r="P4" s="10" t="inlineStr">
        <is>
          <t>Quality_Rating</t>
        </is>
      </c>
      <c r="Q4" s="10" t="inlineStr">
        <is>
          <t>False_Positive_Rate</t>
        </is>
      </c>
      <c r="R4" s="10" t="inlineStr">
        <is>
          <t>CVSS_Accuracy_Rate</t>
        </is>
      </c>
      <c r="S4" s="10" t="inlineStr">
        <is>
          <t>CVSS_Sample_Size</t>
        </is>
      </c>
      <c r="T4" s="10" t="inlineStr">
        <is>
          <t>CVSS_Validation_Date</t>
        </is>
      </c>
      <c r="U4" s="10" t="inlineStr">
        <is>
          <t>Evidence_Link</t>
        </is>
      </c>
      <c r="V4" s="10" t="inlineStr">
        <is>
          <t>Recommendation</t>
        </is>
      </c>
      <c r="W4" s="10" t="inlineStr">
        <is>
          <t>Next_Evaluation</t>
        </is>
      </c>
    </row>
    <row r="5">
      <c r="B5">
        <f>IFERROR(VLOOKUP(A5,Source_Inventory!$A$5:$P$104,2,FALSE),"[Source Not Found]")</f>
        <v/>
      </c>
      <c r="C5" s="11">
        <f>IF(A5&lt;&gt;"",TODAY(),"")</f>
        <v/>
      </c>
      <c r="O5" s="12">
        <f>IF(AND(I5&lt;&gt;"",K5&lt;&gt;"",M5&lt;&gt;""),AVERAGE(I5,K5,M5),"")</f>
        <v/>
      </c>
      <c r="P5">
        <f>IF(O5="","",IF(O5&gt;=4.5,"Excellent",IF(O5&gt;=3.5,"Good",IF(O5&gt;=2.5,"Fair","Poor"))))</f>
        <v/>
      </c>
      <c r="R5" s="13" t="n"/>
      <c r="S5" s="14" t="n"/>
      <c r="T5" s="11" t="n"/>
      <c r="W5" s="11">
        <f>IF(C5&lt;&gt;"",C5+90,"")</f>
        <v/>
      </c>
    </row>
    <row r="6">
      <c r="B6">
        <f>IFERROR(VLOOKUP(A6,Source_Inventory!$A$5:$P$104,2,FALSE),"[Source Not Found]")</f>
        <v/>
      </c>
      <c r="C6" s="11">
        <f>IF(A6&lt;&gt;"",TODAY(),"")</f>
        <v/>
      </c>
      <c r="O6" s="12">
        <f>IF(AND(I6&lt;&gt;"",K6&lt;&gt;"",M6&lt;&gt;""),AVERAGE(I6,K6,M6),"")</f>
        <v/>
      </c>
      <c r="P6">
        <f>IF(O6="","",IF(O6&gt;=4.5,"Excellent",IF(O6&gt;=3.5,"Good",IF(O6&gt;=2.5,"Fair","Poor"))))</f>
        <v/>
      </c>
      <c r="R6" s="13" t="n"/>
      <c r="S6" s="14" t="n"/>
      <c r="T6" s="11" t="n"/>
      <c r="W6" s="11">
        <f>IF(C6&lt;&gt;"",C6+90,"")</f>
        <v/>
      </c>
    </row>
    <row r="7">
      <c r="B7">
        <f>IFERROR(VLOOKUP(A7,Source_Inventory!$A$5:$P$104,2,FALSE),"[Source Not Found]")</f>
        <v/>
      </c>
      <c r="C7" s="11">
        <f>IF(A7&lt;&gt;"",TODAY(),"")</f>
        <v/>
      </c>
      <c r="O7" s="12">
        <f>IF(AND(I7&lt;&gt;"",K7&lt;&gt;"",M7&lt;&gt;""),AVERAGE(I7,K7,M7),"")</f>
        <v/>
      </c>
      <c r="P7">
        <f>IF(O7="","",IF(O7&gt;=4.5,"Excellent",IF(O7&gt;=3.5,"Good",IF(O7&gt;=2.5,"Fair","Poor"))))</f>
        <v/>
      </c>
      <c r="R7" s="13" t="n"/>
      <c r="S7" s="14" t="n"/>
      <c r="T7" s="11" t="n"/>
      <c r="W7" s="11">
        <f>IF(C7&lt;&gt;"",C7+90,"")</f>
        <v/>
      </c>
    </row>
    <row r="8">
      <c r="B8">
        <f>IFERROR(VLOOKUP(A8,Source_Inventory!$A$5:$P$104,2,FALSE),"[Source Not Found]")</f>
        <v/>
      </c>
      <c r="C8" s="11">
        <f>IF(A8&lt;&gt;"",TODAY(),"")</f>
        <v/>
      </c>
      <c r="O8" s="12">
        <f>IF(AND(I8&lt;&gt;"",K8&lt;&gt;"",M8&lt;&gt;""),AVERAGE(I8,K8,M8),"")</f>
        <v/>
      </c>
      <c r="P8">
        <f>IF(O8="","",IF(O8&gt;=4.5,"Excellent",IF(O8&gt;=3.5,"Good",IF(O8&gt;=2.5,"Fair","Poor"))))</f>
        <v/>
      </c>
      <c r="R8" s="13" t="n"/>
      <c r="S8" s="14" t="n"/>
      <c r="T8" s="11" t="n"/>
      <c r="W8" s="11">
        <f>IF(C8&lt;&gt;"",C8+90,"")</f>
        <v/>
      </c>
    </row>
    <row r="9">
      <c r="B9">
        <f>IFERROR(VLOOKUP(A9,Source_Inventory!$A$5:$P$104,2,FALSE),"[Source Not Found]")</f>
        <v/>
      </c>
      <c r="C9" s="11">
        <f>IF(A9&lt;&gt;"",TODAY(),"")</f>
        <v/>
      </c>
      <c r="O9" s="12">
        <f>IF(AND(I9&lt;&gt;"",K9&lt;&gt;"",M9&lt;&gt;""),AVERAGE(I9,K9,M9),"")</f>
        <v/>
      </c>
      <c r="P9">
        <f>IF(O9="","",IF(O9&gt;=4.5,"Excellent",IF(O9&gt;=3.5,"Good",IF(O9&gt;=2.5,"Fair","Poor"))))</f>
        <v/>
      </c>
      <c r="R9" s="13" t="n"/>
      <c r="S9" s="14" t="n"/>
      <c r="T9" s="11" t="n"/>
      <c r="W9" s="11">
        <f>IF(C9&lt;&gt;"",C9+90,"")</f>
        <v/>
      </c>
    </row>
    <row r="10">
      <c r="B10">
        <f>IFERROR(VLOOKUP(A10,Source_Inventory!$A$5:$P$104,2,FALSE),"[Source Not Found]")</f>
        <v/>
      </c>
      <c r="C10" s="11">
        <f>IF(A10&lt;&gt;"",TODAY(),"")</f>
        <v/>
      </c>
      <c r="O10" s="12">
        <f>IF(AND(I10&lt;&gt;"",K10&lt;&gt;"",M10&lt;&gt;""),AVERAGE(I10,K10,M10),"")</f>
        <v/>
      </c>
      <c r="P10">
        <f>IF(O10="","",IF(O10&gt;=4.5,"Excellent",IF(O10&gt;=3.5,"Good",IF(O10&gt;=2.5,"Fair","Poor"))))</f>
        <v/>
      </c>
      <c r="R10" s="13" t="n"/>
      <c r="S10" s="14" t="n"/>
      <c r="T10" s="11" t="n"/>
      <c r="W10" s="11">
        <f>IF(C10&lt;&gt;"",C10+90,"")</f>
        <v/>
      </c>
    </row>
    <row r="11">
      <c r="B11">
        <f>IFERROR(VLOOKUP(A11,Source_Inventory!$A$5:$P$104,2,FALSE),"[Source Not Found]")</f>
        <v/>
      </c>
      <c r="C11" s="11">
        <f>IF(A11&lt;&gt;"",TODAY(),"")</f>
        <v/>
      </c>
      <c r="O11" s="12">
        <f>IF(AND(I11&lt;&gt;"",K11&lt;&gt;"",M11&lt;&gt;""),AVERAGE(I11,K11,M11),"")</f>
        <v/>
      </c>
      <c r="P11">
        <f>IF(O11="","",IF(O11&gt;=4.5,"Excellent",IF(O11&gt;=3.5,"Good",IF(O11&gt;=2.5,"Fair","Poor"))))</f>
        <v/>
      </c>
      <c r="R11" s="13" t="n"/>
      <c r="S11" s="14" t="n"/>
      <c r="T11" s="11" t="n"/>
      <c r="W11" s="11">
        <f>IF(C11&lt;&gt;"",C11+90,"")</f>
        <v/>
      </c>
    </row>
    <row r="12">
      <c r="B12">
        <f>IFERROR(VLOOKUP(A12,Source_Inventory!$A$5:$P$104,2,FALSE),"[Source Not Found]")</f>
        <v/>
      </c>
      <c r="C12" s="11">
        <f>IF(A12&lt;&gt;"",TODAY(),"")</f>
        <v/>
      </c>
      <c r="O12" s="12">
        <f>IF(AND(I12&lt;&gt;"",K12&lt;&gt;"",M12&lt;&gt;""),AVERAGE(I12,K12,M12),"")</f>
        <v/>
      </c>
      <c r="P12">
        <f>IF(O12="","",IF(O12&gt;=4.5,"Excellent",IF(O12&gt;=3.5,"Good",IF(O12&gt;=2.5,"Fair","Poor"))))</f>
        <v/>
      </c>
      <c r="R12" s="13" t="n"/>
      <c r="S12" s="14" t="n"/>
      <c r="T12" s="11" t="n"/>
      <c r="W12" s="11">
        <f>IF(C12&lt;&gt;"",C12+90,"")</f>
        <v/>
      </c>
    </row>
    <row r="13">
      <c r="B13">
        <f>IFERROR(VLOOKUP(A13,Source_Inventory!$A$5:$P$104,2,FALSE),"[Source Not Found]")</f>
        <v/>
      </c>
      <c r="C13" s="11">
        <f>IF(A13&lt;&gt;"",TODAY(),"")</f>
        <v/>
      </c>
      <c r="O13" s="12">
        <f>IF(AND(I13&lt;&gt;"",K13&lt;&gt;"",M13&lt;&gt;""),AVERAGE(I13,K13,M13),"")</f>
        <v/>
      </c>
      <c r="P13">
        <f>IF(O13="","",IF(O13&gt;=4.5,"Excellent",IF(O13&gt;=3.5,"Good",IF(O13&gt;=2.5,"Fair","Poor"))))</f>
        <v/>
      </c>
      <c r="R13" s="13" t="n"/>
      <c r="S13" s="14" t="n"/>
      <c r="T13" s="11" t="n"/>
      <c r="W13" s="11">
        <f>IF(C13&lt;&gt;"",C13+90,"")</f>
        <v/>
      </c>
    </row>
    <row r="14">
      <c r="B14">
        <f>IFERROR(VLOOKUP(A14,Source_Inventory!$A$5:$P$104,2,FALSE),"[Source Not Found]")</f>
        <v/>
      </c>
      <c r="C14" s="11">
        <f>IF(A14&lt;&gt;"",TODAY(),"")</f>
        <v/>
      </c>
      <c r="O14" s="12">
        <f>IF(AND(I14&lt;&gt;"",K14&lt;&gt;"",M14&lt;&gt;""),AVERAGE(I14,K14,M14),"")</f>
        <v/>
      </c>
      <c r="P14">
        <f>IF(O14="","",IF(O14&gt;=4.5,"Excellent",IF(O14&gt;=3.5,"Good",IF(O14&gt;=2.5,"Fair","Poor"))))</f>
        <v/>
      </c>
      <c r="R14" s="13" t="n"/>
      <c r="S14" s="14" t="n"/>
      <c r="T14" s="11" t="n"/>
      <c r="W14" s="11">
        <f>IF(C14&lt;&gt;"",C14+90,"")</f>
        <v/>
      </c>
    </row>
    <row r="15">
      <c r="B15">
        <f>IFERROR(VLOOKUP(A15,Source_Inventory!$A$5:$P$104,2,FALSE),"[Source Not Found]")</f>
        <v/>
      </c>
      <c r="C15" s="11">
        <f>IF(A15&lt;&gt;"",TODAY(),"")</f>
        <v/>
      </c>
      <c r="O15" s="12">
        <f>IF(AND(I15&lt;&gt;"",K15&lt;&gt;"",M15&lt;&gt;""),AVERAGE(I15,K15,M15),"")</f>
        <v/>
      </c>
      <c r="P15">
        <f>IF(O15="","",IF(O15&gt;=4.5,"Excellent",IF(O15&gt;=3.5,"Good",IF(O15&gt;=2.5,"Fair","Poor"))))</f>
        <v/>
      </c>
      <c r="R15" s="13" t="n"/>
      <c r="S15" s="14" t="n"/>
      <c r="T15" s="11" t="n"/>
      <c r="W15" s="11">
        <f>IF(C15&lt;&gt;"",C15+90,"")</f>
        <v/>
      </c>
    </row>
    <row r="16">
      <c r="B16">
        <f>IFERROR(VLOOKUP(A16,Source_Inventory!$A$5:$P$104,2,FALSE),"[Source Not Found]")</f>
        <v/>
      </c>
      <c r="C16" s="11">
        <f>IF(A16&lt;&gt;"",TODAY(),"")</f>
        <v/>
      </c>
      <c r="O16" s="12">
        <f>IF(AND(I16&lt;&gt;"",K16&lt;&gt;"",M16&lt;&gt;""),AVERAGE(I16,K16,M16),"")</f>
        <v/>
      </c>
      <c r="P16">
        <f>IF(O16="","",IF(O16&gt;=4.5,"Excellent",IF(O16&gt;=3.5,"Good",IF(O16&gt;=2.5,"Fair","Poor"))))</f>
        <v/>
      </c>
      <c r="R16" s="13" t="n"/>
      <c r="S16" s="14" t="n"/>
      <c r="T16" s="11" t="n"/>
      <c r="W16" s="11">
        <f>IF(C16&lt;&gt;"",C16+90,"")</f>
        <v/>
      </c>
    </row>
    <row r="17">
      <c r="B17">
        <f>IFERROR(VLOOKUP(A17,Source_Inventory!$A$5:$P$104,2,FALSE),"[Source Not Found]")</f>
        <v/>
      </c>
      <c r="C17" s="11">
        <f>IF(A17&lt;&gt;"",TODAY(),"")</f>
        <v/>
      </c>
      <c r="O17" s="12">
        <f>IF(AND(I17&lt;&gt;"",K17&lt;&gt;"",M17&lt;&gt;""),AVERAGE(I17,K17,M17),"")</f>
        <v/>
      </c>
      <c r="P17">
        <f>IF(O17="","",IF(O17&gt;=4.5,"Excellent",IF(O17&gt;=3.5,"Good",IF(O17&gt;=2.5,"Fair","Poor"))))</f>
        <v/>
      </c>
      <c r="R17" s="13" t="n"/>
      <c r="S17" s="14" t="n"/>
      <c r="T17" s="11" t="n"/>
      <c r="W17" s="11">
        <f>IF(C17&lt;&gt;"",C17+90,"")</f>
        <v/>
      </c>
    </row>
    <row r="18">
      <c r="B18">
        <f>IFERROR(VLOOKUP(A18,Source_Inventory!$A$5:$P$104,2,FALSE),"[Source Not Found]")</f>
        <v/>
      </c>
      <c r="C18" s="11">
        <f>IF(A18&lt;&gt;"",TODAY(),"")</f>
        <v/>
      </c>
      <c r="O18" s="12">
        <f>IF(AND(I18&lt;&gt;"",K18&lt;&gt;"",M18&lt;&gt;""),AVERAGE(I18,K18,M18),"")</f>
        <v/>
      </c>
      <c r="P18">
        <f>IF(O18="","",IF(O18&gt;=4.5,"Excellent",IF(O18&gt;=3.5,"Good",IF(O18&gt;=2.5,"Fair","Poor"))))</f>
        <v/>
      </c>
      <c r="R18" s="13" t="n"/>
      <c r="S18" s="14" t="n"/>
      <c r="T18" s="11" t="n"/>
      <c r="W18" s="11">
        <f>IF(C18&lt;&gt;"",C18+90,"")</f>
        <v/>
      </c>
    </row>
    <row r="19">
      <c r="B19">
        <f>IFERROR(VLOOKUP(A19,Source_Inventory!$A$5:$P$104,2,FALSE),"[Source Not Found]")</f>
        <v/>
      </c>
      <c r="C19" s="11">
        <f>IF(A19&lt;&gt;"",TODAY(),"")</f>
        <v/>
      </c>
      <c r="O19" s="12">
        <f>IF(AND(I19&lt;&gt;"",K19&lt;&gt;"",M19&lt;&gt;""),AVERAGE(I19,K19,M19),"")</f>
        <v/>
      </c>
      <c r="P19">
        <f>IF(O19="","",IF(O19&gt;=4.5,"Excellent",IF(O19&gt;=3.5,"Good",IF(O19&gt;=2.5,"Fair","Poor"))))</f>
        <v/>
      </c>
      <c r="R19" s="13" t="n"/>
      <c r="S19" s="14" t="n"/>
      <c r="T19" s="11" t="n"/>
      <c r="W19" s="11">
        <f>IF(C19&lt;&gt;"",C19+90,"")</f>
        <v/>
      </c>
    </row>
    <row r="20">
      <c r="B20">
        <f>IFERROR(VLOOKUP(A20,Source_Inventory!$A$5:$P$104,2,FALSE),"[Source Not Found]")</f>
        <v/>
      </c>
      <c r="C20" s="11">
        <f>IF(A20&lt;&gt;"",TODAY(),"")</f>
        <v/>
      </c>
      <c r="O20" s="12">
        <f>IF(AND(I20&lt;&gt;"",K20&lt;&gt;"",M20&lt;&gt;""),AVERAGE(I20,K20,M20),"")</f>
        <v/>
      </c>
      <c r="P20">
        <f>IF(O20="","",IF(O20&gt;=4.5,"Excellent",IF(O20&gt;=3.5,"Good",IF(O20&gt;=2.5,"Fair","Poor"))))</f>
        <v/>
      </c>
      <c r="R20" s="13" t="n"/>
      <c r="S20" s="14" t="n"/>
      <c r="T20" s="11" t="n"/>
      <c r="W20" s="11">
        <f>IF(C20&lt;&gt;"",C20+90,"")</f>
        <v/>
      </c>
    </row>
    <row r="21">
      <c r="B21">
        <f>IFERROR(VLOOKUP(A21,Source_Inventory!$A$5:$P$104,2,FALSE),"[Source Not Found]")</f>
        <v/>
      </c>
      <c r="C21" s="11">
        <f>IF(A21&lt;&gt;"",TODAY(),"")</f>
        <v/>
      </c>
      <c r="O21" s="12">
        <f>IF(AND(I21&lt;&gt;"",K21&lt;&gt;"",M21&lt;&gt;""),AVERAGE(I21,K21,M21),"")</f>
        <v/>
      </c>
      <c r="P21">
        <f>IF(O21="","",IF(O21&gt;=4.5,"Excellent",IF(O21&gt;=3.5,"Good",IF(O21&gt;=2.5,"Fair","Poor"))))</f>
        <v/>
      </c>
      <c r="R21" s="13" t="n"/>
      <c r="S21" s="14" t="n"/>
      <c r="T21" s="11" t="n"/>
      <c r="W21" s="11">
        <f>IF(C21&lt;&gt;"",C21+90,"")</f>
        <v/>
      </c>
    </row>
    <row r="22">
      <c r="B22">
        <f>IFERROR(VLOOKUP(A22,Source_Inventory!$A$5:$P$104,2,FALSE),"[Source Not Found]")</f>
        <v/>
      </c>
      <c r="C22" s="11">
        <f>IF(A22&lt;&gt;"",TODAY(),"")</f>
        <v/>
      </c>
      <c r="O22" s="12">
        <f>IF(AND(I22&lt;&gt;"",K22&lt;&gt;"",M22&lt;&gt;""),AVERAGE(I22,K22,M22),"")</f>
        <v/>
      </c>
      <c r="P22">
        <f>IF(O22="","",IF(O22&gt;=4.5,"Excellent",IF(O22&gt;=3.5,"Good",IF(O22&gt;=2.5,"Fair","Poor"))))</f>
        <v/>
      </c>
      <c r="R22" s="13" t="n"/>
      <c r="S22" s="14" t="n"/>
      <c r="T22" s="11" t="n"/>
      <c r="W22" s="11">
        <f>IF(C22&lt;&gt;"",C22+90,"")</f>
        <v/>
      </c>
    </row>
    <row r="23">
      <c r="B23">
        <f>IFERROR(VLOOKUP(A23,Source_Inventory!$A$5:$P$104,2,FALSE),"[Source Not Found]")</f>
        <v/>
      </c>
      <c r="C23" s="11">
        <f>IF(A23&lt;&gt;"",TODAY(),"")</f>
        <v/>
      </c>
      <c r="O23" s="12">
        <f>IF(AND(I23&lt;&gt;"",K23&lt;&gt;"",M23&lt;&gt;""),AVERAGE(I23,K23,M23),"")</f>
        <v/>
      </c>
      <c r="P23">
        <f>IF(O23="","",IF(O23&gt;=4.5,"Excellent",IF(O23&gt;=3.5,"Good",IF(O23&gt;=2.5,"Fair","Poor"))))</f>
        <v/>
      </c>
      <c r="R23" s="13" t="n"/>
      <c r="S23" s="14" t="n"/>
      <c r="T23" s="11" t="n"/>
      <c r="W23" s="11">
        <f>IF(C23&lt;&gt;"",C23+90,"")</f>
        <v/>
      </c>
    </row>
    <row r="24">
      <c r="B24">
        <f>IFERROR(VLOOKUP(A24,Source_Inventory!$A$5:$P$104,2,FALSE),"[Source Not Found]")</f>
        <v/>
      </c>
      <c r="C24" s="11">
        <f>IF(A24&lt;&gt;"",TODAY(),"")</f>
        <v/>
      </c>
      <c r="O24" s="12">
        <f>IF(AND(I24&lt;&gt;"",K24&lt;&gt;"",M24&lt;&gt;""),AVERAGE(I24,K24,M24),"")</f>
        <v/>
      </c>
      <c r="P24">
        <f>IF(O24="","",IF(O24&gt;=4.5,"Excellent",IF(O24&gt;=3.5,"Good",IF(O24&gt;=2.5,"Fair","Poor"))))</f>
        <v/>
      </c>
      <c r="R24" s="13" t="n"/>
      <c r="S24" s="14" t="n"/>
      <c r="T24" s="11" t="n"/>
      <c r="W24" s="11">
        <f>IF(C24&lt;&gt;"",C24+90,"")</f>
        <v/>
      </c>
    </row>
    <row r="25">
      <c r="B25">
        <f>IFERROR(VLOOKUP(A25,Source_Inventory!$A$5:$P$104,2,FALSE),"[Source Not Found]")</f>
        <v/>
      </c>
      <c r="C25" s="11">
        <f>IF(A25&lt;&gt;"",TODAY(),"")</f>
        <v/>
      </c>
      <c r="O25" s="12">
        <f>IF(AND(I25&lt;&gt;"",K25&lt;&gt;"",M25&lt;&gt;""),AVERAGE(I25,K25,M25),"")</f>
        <v/>
      </c>
      <c r="P25">
        <f>IF(O25="","",IF(O25&gt;=4.5,"Excellent",IF(O25&gt;=3.5,"Good",IF(O25&gt;=2.5,"Fair","Poor"))))</f>
        <v/>
      </c>
      <c r="R25" s="13" t="n"/>
      <c r="S25" s="14" t="n"/>
      <c r="T25" s="11" t="n"/>
      <c r="W25" s="11">
        <f>IF(C25&lt;&gt;"",C25+90,"")</f>
        <v/>
      </c>
    </row>
    <row r="26">
      <c r="B26">
        <f>IFERROR(VLOOKUP(A26,Source_Inventory!$A$5:$P$104,2,FALSE),"[Source Not Found]")</f>
        <v/>
      </c>
      <c r="C26" s="11">
        <f>IF(A26&lt;&gt;"",TODAY(),"")</f>
        <v/>
      </c>
      <c r="O26" s="12">
        <f>IF(AND(I26&lt;&gt;"",K26&lt;&gt;"",M26&lt;&gt;""),AVERAGE(I26,K26,M26),"")</f>
        <v/>
      </c>
      <c r="P26">
        <f>IF(O26="","",IF(O26&gt;=4.5,"Excellent",IF(O26&gt;=3.5,"Good",IF(O26&gt;=2.5,"Fair","Poor"))))</f>
        <v/>
      </c>
      <c r="R26" s="13" t="n"/>
      <c r="S26" s="14" t="n"/>
      <c r="T26" s="11" t="n"/>
      <c r="W26" s="11">
        <f>IF(C26&lt;&gt;"",C26+90,"")</f>
        <v/>
      </c>
    </row>
    <row r="27">
      <c r="B27">
        <f>IFERROR(VLOOKUP(A27,Source_Inventory!$A$5:$P$104,2,FALSE),"[Source Not Found]")</f>
        <v/>
      </c>
      <c r="C27" s="11">
        <f>IF(A27&lt;&gt;"",TODAY(),"")</f>
        <v/>
      </c>
      <c r="O27" s="12">
        <f>IF(AND(I27&lt;&gt;"",K27&lt;&gt;"",M27&lt;&gt;""),AVERAGE(I27,K27,M27),"")</f>
        <v/>
      </c>
      <c r="P27">
        <f>IF(O27="","",IF(O27&gt;=4.5,"Excellent",IF(O27&gt;=3.5,"Good",IF(O27&gt;=2.5,"Fair","Poor"))))</f>
        <v/>
      </c>
      <c r="R27" s="13" t="n"/>
      <c r="S27" s="14" t="n"/>
      <c r="T27" s="11" t="n"/>
      <c r="W27" s="11">
        <f>IF(C27&lt;&gt;"",C27+90,"")</f>
        <v/>
      </c>
    </row>
    <row r="28">
      <c r="B28">
        <f>IFERROR(VLOOKUP(A28,Source_Inventory!$A$5:$P$104,2,FALSE),"[Source Not Found]")</f>
        <v/>
      </c>
      <c r="C28" s="11">
        <f>IF(A28&lt;&gt;"",TODAY(),"")</f>
        <v/>
      </c>
      <c r="O28" s="12">
        <f>IF(AND(I28&lt;&gt;"",K28&lt;&gt;"",M28&lt;&gt;""),AVERAGE(I28,K28,M28),"")</f>
        <v/>
      </c>
      <c r="P28">
        <f>IF(O28="","",IF(O28&gt;=4.5,"Excellent",IF(O28&gt;=3.5,"Good",IF(O28&gt;=2.5,"Fair","Poor"))))</f>
        <v/>
      </c>
      <c r="R28" s="13" t="n"/>
      <c r="S28" s="14" t="n"/>
      <c r="T28" s="11" t="n"/>
      <c r="W28" s="11">
        <f>IF(C28&lt;&gt;"",C28+90,"")</f>
        <v/>
      </c>
    </row>
    <row r="29">
      <c r="B29">
        <f>IFERROR(VLOOKUP(A29,Source_Inventory!$A$5:$P$104,2,FALSE),"[Source Not Found]")</f>
        <v/>
      </c>
      <c r="C29" s="11">
        <f>IF(A29&lt;&gt;"",TODAY(),"")</f>
        <v/>
      </c>
      <c r="O29" s="12">
        <f>IF(AND(I29&lt;&gt;"",K29&lt;&gt;"",M29&lt;&gt;""),AVERAGE(I29,K29,M29),"")</f>
        <v/>
      </c>
      <c r="P29">
        <f>IF(O29="","",IF(O29&gt;=4.5,"Excellent",IF(O29&gt;=3.5,"Good",IF(O29&gt;=2.5,"Fair","Poor"))))</f>
        <v/>
      </c>
      <c r="R29" s="13" t="n"/>
      <c r="S29" s="14" t="n"/>
      <c r="T29" s="11" t="n"/>
      <c r="W29" s="11">
        <f>IF(C29&lt;&gt;"",C29+90,"")</f>
        <v/>
      </c>
    </row>
    <row r="30">
      <c r="B30">
        <f>IFERROR(VLOOKUP(A30,Source_Inventory!$A$5:$P$104,2,FALSE),"[Source Not Found]")</f>
        <v/>
      </c>
      <c r="C30" s="11">
        <f>IF(A30&lt;&gt;"",TODAY(),"")</f>
        <v/>
      </c>
      <c r="O30" s="12">
        <f>IF(AND(I30&lt;&gt;"",K30&lt;&gt;"",M30&lt;&gt;""),AVERAGE(I30,K30,M30),"")</f>
        <v/>
      </c>
      <c r="P30">
        <f>IF(O30="","",IF(O30&gt;=4.5,"Excellent",IF(O30&gt;=3.5,"Good",IF(O30&gt;=2.5,"Fair","Poor"))))</f>
        <v/>
      </c>
      <c r="R30" s="13" t="n"/>
      <c r="S30" s="14" t="n"/>
      <c r="T30" s="11" t="n"/>
      <c r="W30" s="11">
        <f>IF(C30&lt;&gt;"",C30+90,"")</f>
        <v/>
      </c>
    </row>
    <row r="31">
      <c r="B31">
        <f>IFERROR(VLOOKUP(A31,Source_Inventory!$A$5:$P$104,2,FALSE),"[Source Not Found]")</f>
        <v/>
      </c>
      <c r="C31" s="11">
        <f>IF(A31&lt;&gt;"",TODAY(),"")</f>
        <v/>
      </c>
      <c r="O31" s="12">
        <f>IF(AND(I31&lt;&gt;"",K31&lt;&gt;"",M31&lt;&gt;""),AVERAGE(I31,K31,M31),"")</f>
        <v/>
      </c>
      <c r="P31">
        <f>IF(O31="","",IF(O31&gt;=4.5,"Excellent",IF(O31&gt;=3.5,"Good",IF(O31&gt;=2.5,"Fair","Poor"))))</f>
        <v/>
      </c>
      <c r="R31" s="13" t="n"/>
      <c r="S31" s="14" t="n"/>
      <c r="T31" s="11" t="n"/>
      <c r="W31" s="11">
        <f>IF(C31&lt;&gt;"",C31+90,"")</f>
        <v/>
      </c>
    </row>
    <row r="32">
      <c r="B32">
        <f>IFERROR(VLOOKUP(A32,Source_Inventory!$A$5:$P$104,2,FALSE),"[Source Not Found]")</f>
        <v/>
      </c>
      <c r="C32" s="11">
        <f>IF(A32&lt;&gt;"",TODAY(),"")</f>
        <v/>
      </c>
      <c r="O32" s="12">
        <f>IF(AND(I32&lt;&gt;"",K32&lt;&gt;"",M32&lt;&gt;""),AVERAGE(I32,K32,M32),"")</f>
        <v/>
      </c>
      <c r="P32">
        <f>IF(O32="","",IF(O32&gt;=4.5,"Excellent",IF(O32&gt;=3.5,"Good",IF(O32&gt;=2.5,"Fair","Poor"))))</f>
        <v/>
      </c>
      <c r="R32" s="13" t="n"/>
      <c r="S32" s="14" t="n"/>
      <c r="T32" s="11" t="n"/>
      <c r="W32" s="11">
        <f>IF(C32&lt;&gt;"",C32+90,"")</f>
        <v/>
      </c>
    </row>
    <row r="33">
      <c r="B33">
        <f>IFERROR(VLOOKUP(A33,Source_Inventory!$A$5:$P$104,2,FALSE),"[Source Not Found]")</f>
        <v/>
      </c>
      <c r="C33" s="11">
        <f>IF(A33&lt;&gt;"",TODAY(),"")</f>
        <v/>
      </c>
      <c r="O33" s="12">
        <f>IF(AND(I33&lt;&gt;"",K33&lt;&gt;"",M33&lt;&gt;""),AVERAGE(I33,K33,M33),"")</f>
        <v/>
      </c>
      <c r="P33">
        <f>IF(O33="","",IF(O33&gt;=4.5,"Excellent",IF(O33&gt;=3.5,"Good",IF(O33&gt;=2.5,"Fair","Poor"))))</f>
        <v/>
      </c>
      <c r="R33" s="13" t="n"/>
      <c r="S33" s="14" t="n"/>
      <c r="T33" s="11" t="n"/>
      <c r="W33" s="11">
        <f>IF(C33&lt;&gt;"",C33+90,"")</f>
        <v/>
      </c>
    </row>
    <row r="34">
      <c r="B34">
        <f>IFERROR(VLOOKUP(A34,Source_Inventory!$A$5:$P$104,2,FALSE),"[Source Not Found]")</f>
        <v/>
      </c>
      <c r="C34" s="11">
        <f>IF(A34&lt;&gt;"",TODAY(),"")</f>
        <v/>
      </c>
      <c r="O34" s="12">
        <f>IF(AND(I34&lt;&gt;"",K34&lt;&gt;"",M34&lt;&gt;""),AVERAGE(I34,K34,M34),"")</f>
        <v/>
      </c>
      <c r="P34">
        <f>IF(O34="","",IF(O34&gt;=4.5,"Excellent",IF(O34&gt;=3.5,"Good",IF(O34&gt;=2.5,"Fair","Poor"))))</f>
        <v/>
      </c>
      <c r="R34" s="13" t="n"/>
      <c r="S34" s="14" t="n"/>
      <c r="T34" s="11" t="n"/>
      <c r="W34" s="11">
        <f>IF(C34&lt;&gt;"",C34+90,"")</f>
        <v/>
      </c>
    </row>
    <row r="35">
      <c r="B35">
        <f>IFERROR(VLOOKUP(A35,Source_Inventory!$A$5:$P$104,2,FALSE),"[Source Not Found]")</f>
        <v/>
      </c>
      <c r="C35" s="11">
        <f>IF(A35&lt;&gt;"",TODAY(),"")</f>
        <v/>
      </c>
      <c r="O35" s="12">
        <f>IF(AND(I35&lt;&gt;"",K35&lt;&gt;"",M35&lt;&gt;""),AVERAGE(I35,K35,M35),"")</f>
        <v/>
      </c>
      <c r="P35">
        <f>IF(O35="","",IF(O35&gt;=4.5,"Excellent",IF(O35&gt;=3.5,"Good",IF(O35&gt;=2.5,"Fair","Poor"))))</f>
        <v/>
      </c>
      <c r="R35" s="13" t="n"/>
      <c r="S35" s="14" t="n"/>
      <c r="T35" s="11" t="n"/>
      <c r="W35" s="11">
        <f>IF(C35&lt;&gt;"",C35+90,"")</f>
        <v/>
      </c>
    </row>
    <row r="36">
      <c r="B36">
        <f>IFERROR(VLOOKUP(A36,Source_Inventory!$A$5:$P$104,2,FALSE),"[Source Not Found]")</f>
        <v/>
      </c>
      <c r="C36" s="11">
        <f>IF(A36&lt;&gt;"",TODAY(),"")</f>
        <v/>
      </c>
      <c r="O36" s="12">
        <f>IF(AND(I36&lt;&gt;"",K36&lt;&gt;"",M36&lt;&gt;""),AVERAGE(I36,K36,M36),"")</f>
        <v/>
      </c>
      <c r="P36">
        <f>IF(O36="","",IF(O36&gt;=4.5,"Excellent",IF(O36&gt;=3.5,"Good",IF(O36&gt;=2.5,"Fair","Poor"))))</f>
        <v/>
      </c>
      <c r="R36" s="13" t="n"/>
      <c r="S36" s="14" t="n"/>
      <c r="T36" s="11" t="n"/>
      <c r="W36" s="11">
        <f>IF(C36&lt;&gt;"",C36+90,"")</f>
        <v/>
      </c>
    </row>
    <row r="37">
      <c r="B37">
        <f>IFERROR(VLOOKUP(A37,Source_Inventory!$A$5:$P$104,2,FALSE),"[Source Not Found]")</f>
        <v/>
      </c>
      <c r="C37" s="11">
        <f>IF(A37&lt;&gt;"",TODAY(),"")</f>
        <v/>
      </c>
      <c r="O37" s="12">
        <f>IF(AND(I37&lt;&gt;"",K37&lt;&gt;"",M37&lt;&gt;""),AVERAGE(I37,K37,M37),"")</f>
        <v/>
      </c>
      <c r="P37">
        <f>IF(O37="","",IF(O37&gt;=4.5,"Excellent",IF(O37&gt;=3.5,"Good",IF(O37&gt;=2.5,"Fair","Poor"))))</f>
        <v/>
      </c>
      <c r="R37" s="13" t="n"/>
      <c r="S37" s="14" t="n"/>
      <c r="T37" s="11" t="n"/>
      <c r="W37" s="11">
        <f>IF(C37&lt;&gt;"",C37+90,"")</f>
        <v/>
      </c>
    </row>
    <row r="38">
      <c r="B38">
        <f>IFERROR(VLOOKUP(A38,Source_Inventory!$A$5:$P$104,2,FALSE),"[Source Not Found]")</f>
        <v/>
      </c>
      <c r="C38" s="11">
        <f>IF(A38&lt;&gt;"",TODAY(),"")</f>
        <v/>
      </c>
      <c r="O38" s="12">
        <f>IF(AND(I38&lt;&gt;"",K38&lt;&gt;"",M38&lt;&gt;""),AVERAGE(I38,K38,M38),"")</f>
        <v/>
      </c>
      <c r="P38">
        <f>IF(O38="","",IF(O38&gt;=4.5,"Excellent",IF(O38&gt;=3.5,"Good",IF(O38&gt;=2.5,"Fair","Poor"))))</f>
        <v/>
      </c>
      <c r="R38" s="13" t="n"/>
      <c r="S38" s="14" t="n"/>
      <c r="T38" s="11" t="n"/>
      <c r="W38" s="11">
        <f>IF(C38&lt;&gt;"",C38+90,"")</f>
        <v/>
      </c>
    </row>
    <row r="39">
      <c r="B39">
        <f>IFERROR(VLOOKUP(A39,Source_Inventory!$A$5:$P$104,2,FALSE),"[Source Not Found]")</f>
        <v/>
      </c>
      <c r="C39" s="11">
        <f>IF(A39&lt;&gt;"",TODAY(),"")</f>
        <v/>
      </c>
      <c r="O39" s="12">
        <f>IF(AND(I39&lt;&gt;"",K39&lt;&gt;"",M39&lt;&gt;""),AVERAGE(I39,K39,M39),"")</f>
        <v/>
      </c>
      <c r="P39">
        <f>IF(O39="","",IF(O39&gt;=4.5,"Excellent",IF(O39&gt;=3.5,"Good",IF(O39&gt;=2.5,"Fair","Poor"))))</f>
        <v/>
      </c>
      <c r="R39" s="13" t="n"/>
      <c r="S39" s="14" t="n"/>
      <c r="T39" s="11" t="n"/>
      <c r="W39" s="11">
        <f>IF(C39&lt;&gt;"",C39+90,"")</f>
        <v/>
      </c>
    </row>
    <row r="40">
      <c r="B40">
        <f>IFERROR(VLOOKUP(A40,Source_Inventory!$A$5:$P$104,2,FALSE),"[Source Not Found]")</f>
        <v/>
      </c>
      <c r="C40" s="11">
        <f>IF(A40&lt;&gt;"",TODAY(),"")</f>
        <v/>
      </c>
      <c r="O40" s="12">
        <f>IF(AND(I40&lt;&gt;"",K40&lt;&gt;"",M40&lt;&gt;""),AVERAGE(I40,K40,M40),"")</f>
        <v/>
      </c>
      <c r="P40">
        <f>IF(O40="","",IF(O40&gt;=4.5,"Excellent",IF(O40&gt;=3.5,"Good",IF(O40&gt;=2.5,"Fair","Poor"))))</f>
        <v/>
      </c>
      <c r="R40" s="13" t="n"/>
      <c r="S40" s="14" t="n"/>
      <c r="T40" s="11" t="n"/>
      <c r="W40" s="11">
        <f>IF(C40&lt;&gt;"",C40+90,"")</f>
        <v/>
      </c>
    </row>
    <row r="41">
      <c r="B41">
        <f>IFERROR(VLOOKUP(A41,Source_Inventory!$A$5:$P$104,2,FALSE),"[Source Not Found]")</f>
        <v/>
      </c>
      <c r="C41" s="11">
        <f>IF(A41&lt;&gt;"",TODAY(),"")</f>
        <v/>
      </c>
      <c r="O41" s="12">
        <f>IF(AND(I41&lt;&gt;"",K41&lt;&gt;"",M41&lt;&gt;""),AVERAGE(I41,K41,M41),"")</f>
        <v/>
      </c>
      <c r="P41">
        <f>IF(O41="","",IF(O41&gt;=4.5,"Excellent",IF(O41&gt;=3.5,"Good",IF(O41&gt;=2.5,"Fair","Poor"))))</f>
        <v/>
      </c>
      <c r="R41" s="13" t="n"/>
      <c r="S41" s="14" t="n"/>
      <c r="T41" s="11" t="n"/>
      <c r="W41" s="11">
        <f>IF(C41&lt;&gt;"",C41+90,"")</f>
        <v/>
      </c>
    </row>
    <row r="42">
      <c r="B42">
        <f>IFERROR(VLOOKUP(A42,Source_Inventory!$A$5:$P$104,2,FALSE),"[Source Not Found]")</f>
        <v/>
      </c>
      <c r="C42" s="11">
        <f>IF(A42&lt;&gt;"",TODAY(),"")</f>
        <v/>
      </c>
      <c r="O42" s="12">
        <f>IF(AND(I42&lt;&gt;"",K42&lt;&gt;"",M42&lt;&gt;""),AVERAGE(I42,K42,M42),"")</f>
        <v/>
      </c>
      <c r="P42">
        <f>IF(O42="","",IF(O42&gt;=4.5,"Excellent",IF(O42&gt;=3.5,"Good",IF(O42&gt;=2.5,"Fair","Poor"))))</f>
        <v/>
      </c>
      <c r="R42" s="13" t="n"/>
      <c r="S42" s="14" t="n"/>
      <c r="T42" s="11" t="n"/>
      <c r="W42" s="11">
        <f>IF(C42&lt;&gt;"",C42+90,"")</f>
        <v/>
      </c>
    </row>
    <row r="43">
      <c r="B43">
        <f>IFERROR(VLOOKUP(A43,Source_Inventory!$A$5:$P$104,2,FALSE),"[Source Not Found]")</f>
        <v/>
      </c>
      <c r="C43" s="11">
        <f>IF(A43&lt;&gt;"",TODAY(),"")</f>
        <v/>
      </c>
      <c r="O43" s="12">
        <f>IF(AND(I43&lt;&gt;"",K43&lt;&gt;"",M43&lt;&gt;""),AVERAGE(I43,K43,M43),"")</f>
        <v/>
      </c>
      <c r="P43">
        <f>IF(O43="","",IF(O43&gt;=4.5,"Excellent",IF(O43&gt;=3.5,"Good",IF(O43&gt;=2.5,"Fair","Poor"))))</f>
        <v/>
      </c>
      <c r="R43" s="13" t="n"/>
      <c r="S43" s="14" t="n"/>
      <c r="T43" s="11" t="n"/>
      <c r="W43" s="11">
        <f>IF(C43&lt;&gt;"",C43+90,"")</f>
        <v/>
      </c>
    </row>
    <row r="44">
      <c r="B44">
        <f>IFERROR(VLOOKUP(A44,Source_Inventory!$A$5:$P$104,2,FALSE),"[Source Not Found]")</f>
        <v/>
      </c>
      <c r="C44" s="11">
        <f>IF(A44&lt;&gt;"",TODAY(),"")</f>
        <v/>
      </c>
      <c r="O44" s="12">
        <f>IF(AND(I44&lt;&gt;"",K44&lt;&gt;"",M44&lt;&gt;""),AVERAGE(I44,K44,M44),"")</f>
        <v/>
      </c>
      <c r="P44">
        <f>IF(O44="","",IF(O44&gt;=4.5,"Excellent",IF(O44&gt;=3.5,"Good",IF(O44&gt;=2.5,"Fair","Poor"))))</f>
        <v/>
      </c>
      <c r="R44" s="13" t="n"/>
      <c r="S44" s="14" t="n"/>
      <c r="T44" s="11" t="n"/>
      <c r="W44" s="11">
        <f>IF(C44&lt;&gt;"",C44+90,"")</f>
        <v/>
      </c>
    </row>
    <row r="45">
      <c r="B45">
        <f>IFERROR(VLOOKUP(A45,Source_Inventory!$A$5:$P$104,2,FALSE),"[Source Not Found]")</f>
        <v/>
      </c>
      <c r="C45" s="11">
        <f>IF(A45&lt;&gt;"",TODAY(),"")</f>
        <v/>
      </c>
      <c r="O45" s="12">
        <f>IF(AND(I45&lt;&gt;"",K45&lt;&gt;"",M45&lt;&gt;""),AVERAGE(I45,K45,M45),"")</f>
        <v/>
      </c>
      <c r="P45">
        <f>IF(O45="","",IF(O45&gt;=4.5,"Excellent",IF(O45&gt;=3.5,"Good",IF(O45&gt;=2.5,"Fair","Poor"))))</f>
        <v/>
      </c>
      <c r="R45" s="13" t="n"/>
      <c r="S45" s="14" t="n"/>
      <c r="T45" s="11" t="n"/>
      <c r="W45" s="11">
        <f>IF(C45&lt;&gt;"",C45+90,"")</f>
        <v/>
      </c>
    </row>
    <row r="46">
      <c r="B46">
        <f>IFERROR(VLOOKUP(A46,Source_Inventory!$A$5:$P$104,2,FALSE),"[Source Not Found]")</f>
        <v/>
      </c>
      <c r="C46" s="11">
        <f>IF(A46&lt;&gt;"",TODAY(),"")</f>
        <v/>
      </c>
      <c r="O46" s="12">
        <f>IF(AND(I46&lt;&gt;"",K46&lt;&gt;"",M46&lt;&gt;""),AVERAGE(I46,K46,M46),"")</f>
        <v/>
      </c>
      <c r="P46">
        <f>IF(O46="","",IF(O46&gt;=4.5,"Excellent",IF(O46&gt;=3.5,"Good",IF(O46&gt;=2.5,"Fair","Poor"))))</f>
        <v/>
      </c>
      <c r="R46" s="13" t="n"/>
      <c r="S46" s="14" t="n"/>
      <c r="T46" s="11" t="n"/>
      <c r="W46" s="11">
        <f>IF(C46&lt;&gt;"",C46+90,"")</f>
        <v/>
      </c>
    </row>
    <row r="47">
      <c r="B47">
        <f>IFERROR(VLOOKUP(A47,Source_Inventory!$A$5:$P$104,2,FALSE),"[Source Not Found]")</f>
        <v/>
      </c>
      <c r="C47" s="11">
        <f>IF(A47&lt;&gt;"",TODAY(),"")</f>
        <v/>
      </c>
      <c r="O47" s="12">
        <f>IF(AND(I47&lt;&gt;"",K47&lt;&gt;"",M47&lt;&gt;""),AVERAGE(I47,K47,M47),"")</f>
        <v/>
      </c>
      <c r="P47">
        <f>IF(O47="","",IF(O47&gt;=4.5,"Excellent",IF(O47&gt;=3.5,"Good",IF(O47&gt;=2.5,"Fair","Poor"))))</f>
        <v/>
      </c>
      <c r="R47" s="13" t="n"/>
      <c r="S47" s="14" t="n"/>
      <c r="T47" s="11" t="n"/>
      <c r="W47" s="11">
        <f>IF(C47&lt;&gt;"",C47+90,"")</f>
        <v/>
      </c>
    </row>
    <row r="48">
      <c r="B48">
        <f>IFERROR(VLOOKUP(A48,Source_Inventory!$A$5:$P$104,2,FALSE),"[Source Not Found]")</f>
        <v/>
      </c>
      <c r="C48" s="11">
        <f>IF(A48&lt;&gt;"",TODAY(),"")</f>
        <v/>
      </c>
      <c r="O48" s="12">
        <f>IF(AND(I48&lt;&gt;"",K48&lt;&gt;"",M48&lt;&gt;""),AVERAGE(I48,K48,M48),"")</f>
        <v/>
      </c>
      <c r="P48">
        <f>IF(O48="","",IF(O48&gt;=4.5,"Excellent",IF(O48&gt;=3.5,"Good",IF(O48&gt;=2.5,"Fair","Poor"))))</f>
        <v/>
      </c>
      <c r="R48" s="13" t="n"/>
      <c r="S48" s="14" t="n"/>
      <c r="T48" s="11" t="n"/>
      <c r="W48" s="11">
        <f>IF(C48&lt;&gt;"",C48+90,"")</f>
        <v/>
      </c>
    </row>
    <row r="49">
      <c r="B49">
        <f>IFERROR(VLOOKUP(A49,Source_Inventory!$A$5:$P$104,2,FALSE),"[Source Not Found]")</f>
        <v/>
      </c>
      <c r="C49" s="11">
        <f>IF(A49&lt;&gt;"",TODAY(),"")</f>
        <v/>
      </c>
      <c r="O49" s="12">
        <f>IF(AND(I49&lt;&gt;"",K49&lt;&gt;"",M49&lt;&gt;""),AVERAGE(I49,K49,M49),"")</f>
        <v/>
      </c>
      <c r="P49">
        <f>IF(O49="","",IF(O49&gt;=4.5,"Excellent",IF(O49&gt;=3.5,"Good",IF(O49&gt;=2.5,"Fair","Poor"))))</f>
        <v/>
      </c>
      <c r="R49" s="13" t="n"/>
      <c r="S49" s="14" t="n"/>
      <c r="T49" s="11" t="n"/>
      <c r="W49" s="11">
        <f>IF(C49&lt;&gt;"",C49+90,"")</f>
        <v/>
      </c>
    </row>
    <row r="50">
      <c r="B50">
        <f>IFERROR(VLOOKUP(A50,Source_Inventory!$A$5:$P$104,2,FALSE),"[Source Not Found]")</f>
        <v/>
      </c>
      <c r="C50" s="11">
        <f>IF(A50&lt;&gt;"",TODAY(),"")</f>
        <v/>
      </c>
      <c r="O50" s="12">
        <f>IF(AND(I50&lt;&gt;"",K50&lt;&gt;"",M50&lt;&gt;""),AVERAGE(I50,K50,M50),"")</f>
        <v/>
      </c>
      <c r="P50">
        <f>IF(O50="","",IF(O50&gt;=4.5,"Excellent",IF(O50&gt;=3.5,"Good",IF(O50&gt;=2.5,"Fair","Poor"))))</f>
        <v/>
      </c>
      <c r="R50" s="13" t="n"/>
      <c r="S50" s="14" t="n"/>
      <c r="T50" s="11" t="n"/>
      <c r="W50" s="11">
        <f>IF(C50&lt;&gt;"",C50+90,"")</f>
        <v/>
      </c>
    </row>
    <row r="51">
      <c r="B51">
        <f>IFERROR(VLOOKUP(A51,Source_Inventory!$A$5:$P$104,2,FALSE),"[Source Not Found]")</f>
        <v/>
      </c>
      <c r="C51" s="11">
        <f>IF(A51&lt;&gt;"",TODAY(),"")</f>
        <v/>
      </c>
      <c r="O51" s="12">
        <f>IF(AND(I51&lt;&gt;"",K51&lt;&gt;"",M51&lt;&gt;""),AVERAGE(I51,K51,M51),"")</f>
        <v/>
      </c>
      <c r="P51">
        <f>IF(O51="","",IF(O51&gt;=4.5,"Excellent",IF(O51&gt;=3.5,"Good",IF(O51&gt;=2.5,"Fair","Poor"))))</f>
        <v/>
      </c>
      <c r="R51" s="13" t="n"/>
      <c r="S51" s="14" t="n"/>
      <c r="T51" s="11" t="n"/>
      <c r="W51" s="11">
        <f>IF(C51&lt;&gt;"",C51+90,"")</f>
        <v/>
      </c>
    </row>
    <row r="52">
      <c r="B52">
        <f>IFERROR(VLOOKUP(A52,Source_Inventory!$A$5:$P$104,2,FALSE),"[Source Not Found]")</f>
        <v/>
      </c>
      <c r="C52" s="11">
        <f>IF(A52&lt;&gt;"",TODAY(),"")</f>
        <v/>
      </c>
      <c r="O52" s="12">
        <f>IF(AND(I52&lt;&gt;"",K52&lt;&gt;"",M52&lt;&gt;""),AVERAGE(I52,K52,M52),"")</f>
        <v/>
      </c>
      <c r="P52">
        <f>IF(O52="","",IF(O52&gt;=4.5,"Excellent",IF(O52&gt;=3.5,"Good",IF(O52&gt;=2.5,"Fair","Poor"))))</f>
        <v/>
      </c>
      <c r="R52" s="13" t="n"/>
      <c r="S52" s="14" t="n"/>
      <c r="T52" s="11" t="n"/>
      <c r="W52" s="11">
        <f>IF(C52&lt;&gt;"",C52+90,"")</f>
        <v/>
      </c>
    </row>
    <row r="53">
      <c r="B53">
        <f>IFERROR(VLOOKUP(A53,Source_Inventory!$A$5:$P$104,2,FALSE),"[Source Not Found]")</f>
        <v/>
      </c>
      <c r="C53" s="11">
        <f>IF(A53&lt;&gt;"",TODAY(),"")</f>
        <v/>
      </c>
      <c r="O53" s="12">
        <f>IF(AND(I53&lt;&gt;"",K53&lt;&gt;"",M53&lt;&gt;""),AVERAGE(I53,K53,M53),"")</f>
        <v/>
      </c>
      <c r="P53">
        <f>IF(O53="","",IF(O53&gt;=4.5,"Excellent",IF(O53&gt;=3.5,"Good",IF(O53&gt;=2.5,"Fair","Poor"))))</f>
        <v/>
      </c>
      <c r="R53" s="13" t="n"/>
      <c r="S53" s="14" t="n"/>
      <c r="T53" s="11" t="n"/>
      <c r="W53" s="11">
        <f>IF(C53&lt;&gt;"",C53+90,"")</f>
        <v/>
      </c>
    </row>
    <row r="54">
      <c r="B54">
        <f>IFERROR(VLOOKUP(A54,Source_Inventory!$A$5:$P$104,2,FALSE),"[Source Not Found]")</f>
        <v/>
      </c>
      <c r="C54" s="11">
        <f>IF(A54&lt;&gt;"",TODAY(),"")</f>
        <v/>
      </c>
      <c r="O54" s="12">
        <f>IF(AND(I54&lt;&gt;"",K54&lt;&gt;"",M54&lt;&gt;""),AVERAGE(I54,K54,M54),"")</f>
        <v/>
      </c>
      <c r="P54">
        <f>IF(O54="","",IF(O54&gt;=4.5,"Excellent",IF(O54&gt;=3.5,"Good",IF(O54&gt;=2.5,"Fair","Poor"))))</f>
        <v/>
      </c>
      <c r="R54" s="13" t="n"/>
      <c r="S54" s="14" t="n"/>
      <c r="T54" s="11" t="n"/>
      <c r="W54" s="11">
        <f>IF(C54&lt;&gt;"",C54+90,"")</f>
        <v/>
      </c>
    </row>
    <row r="55">
      <c r="B55">
        <f>IFERROR(VLOOKUP(A55,Source_Inventory!$A$5:$P$104,2,FALSE),"[Source Not Found]")</f>
        <v/>
      </c>
      <c r="C55" s="11">
        <f>IF(A55&lt;&gt;"",TODAY(),"")</f>
        <v/>
      </c>
      <c r="O55" s="12">
        <f>IF(AND(I55&lt;&gt;"",K55&lt;&gt;"",M55&lt;&gt;""),AVERAGE(I55,K55,M55),"")</f>
        <v/>
      </c>
      <c r="P55">
        <f>IF(O55="","",IF(O55&gt;=4.5,"Excellent",IF(O55&gt;=3.5,"Good",IF(O55&gt;=2.5,"Fair","Poor"))))</f>
        <v/>
      </c>
      <c r="R55" s="13" t="n"/>
      <c r="S55" s="14" t="n"/>
      <c r="T55" s="11" t="n"/>
      <c r="W55" s="11">
        <f>IF(C55&lt;&gt;"",C55+90,"")</f>
        <v/>
      </c>
    </row>
    <row r="56">
      <c r="B56">
        <f>IFERROR(VLOOKUP(A56,Source_Inventory!$A$5:$P$104,2,FALSE),"[Source Not Found]")</f>
        <v/>
      </c>
      <c r="C56" s="11">
        <f>IF(A56&lt;&gt;"",TODAY(),"")</f>
        <v/>
      </c>
      <c r="O56" s="12">
        <f>IF(AND(I56&lt;&gt;"",K56&lt;&gt;"",M56&lt;&gt;""),AVERAGE(I56,K56,M56),"")</f>
        <v/>
      </c>
      <c r="P56">
        <f>IF(O56="","",IF(O56&gt;=4.5,"Excellent",IF(O56&gt;=3.5,"Good",IF(O56&gt;=2.5,"Fair","Poor"))))</f>
        <v/>
      </c>
      <c r="R56" s="13" t="n"/>
      <c r="S56" s="14" t="n"/>
      <c r="T56" s="11" t="n"/>
      <c r="W56" s="11">
        <f>IF(C56&lt;&gt;"",C56+90,"")</f>
        <v/>
      </c>
    </row>
    <row r="57">
      <c r="B57">
        <f>IFERROR(VLOOKUP(A57,Source_Inventory!$A$5:$P$104,2,FALSE),"[Source Not Found]")</f>
        <v/>
      </c>
      <c r="C57" s="11">
        <f>IF(A57&lt;&gt;"",TODAY(),"")</f>
        <v/>
      </c>
      <c r="O57" s="12">
        <f>IF(AND(I57&lt;&gt;"",K57&lt;&gt;"",M57&lt;&gt;""),AVERAGE(I57,K57,M57),"")</f>
        <v/>
      </c>
      <c r="P57">
        <f>IF(O57="","",IF(O57&gt;=4.5,"Excellent",IF(O57&gt;=3.5,"Good",IF(O57&gt;=2.5,"Fair","Poor"))))</f>
        <v/>
      </c>
      <c r="R57" s="13" t="n"/>
      <c r="S57" s="14" t="n"/>
      <c r="T57" s="11" t="n"/>
      <c r="W57" s="11">
        <f>IF(C57&lt;&gt;"",C57+90,"")</f>
        <v/>
      </c>
    </row>
    <row r="58">
      <c r="B58">
        <f>IFERROR(VLOOKUP(A58,Source_Inventory!$A$5:$P$104,2,FALSE),"[Source Not Found]")</f>
        <v/>
      </c>
      <c r="C58" s="11">
        <f>IF(A58&lt;&gt;"",TODAY(),"")</f>
        <v/>
      </c>
      <c r="O58" s="12">
        <f>IF(AND(I58&lt;&gt;"",K58&lt;&gt;"",M58&lt;&gt;""),AVERAGE(I58,K58,M58),"")</f>
        <v/>
      </c>
      <c r="P58">
        <f>IF(O58="","",IF(O58&gt;=4.5,"Excellent",IF(O58&gt;=3.5,"Good",IF(O58&gt;=2.5,"Fair","Poor"))))</f>
        <v/>
      </c>
      <c r="R58" s="13" t="n"/>
      <c r="S58" s="14" t="n"/>
      <c r="T58" s="11" t="n"/>
      <c r="W58" s="11">
        <f>IF(C58&lt;&gt;"",C58+90,"")</f>
        <v/>
      </c>
    </row>
    <row r="59">
      <c r="B59">
        <f>IFERROR(VLOOKUP(A59,Source_Inventory!$A$5:$P$104,2,FALSE),"[Source Not Found]")</f>
        <v/>
      </c>
      <c r="C59" s="11">
        <f>IF(A59&lt;&gt;"",TODAY(),"")</f>
        <v/>
      </c>
      <c r="O59" s="12">
        <f>IF(AND(I59&lt;&gt;"",K59&lt;&gt;"",M59&lt;&gt;""),AVERAGE(I59,K59,M59),"")</f>
        <v/>
      </c>
      <c r="P59">
        <f>IF(O59="","",IF(O59&gt;=4.5,"Excellent",IF(O59&gt;=3.5,"Good",IF(O59&gt;=2.5,"Fair","Poor"))))</f>
        <v/>
      </c>
      <c r="R59" s="13" t="n"/>
      <c r="S59" s="14" t="n"/>
      <c r="T59" s="11" t="n"/>
      <c r="W59" s="11">
        <f>IF(C59&lt;&gt;"",C59+90,"")</f>
        <v/>
      </c>
    </row>
    <row r="60">
      <c r="B60">
        <f>IFERROR(VLOOKUP(A60,Source_Inventory!$A$5:$P$104,2,FALSE),"[Source Not Found]")</f>
        <v/>
      </c>
      <c r="C60" s="11">
        <f>IF(A60&lt;&gt;"",TODAY(),"")</f>
        <v/>
      </c>
      <c r="O60" s="12">
        <f>IF(AND(I60&lt;&gt;"",K60&lt;&gt;"",M60&lt;&gt;""),AVERAGE(I60,K60,M60),"")</f>
        <v/>
      </c>
      <c r="P60">
        <f>IF(O60="","",IF(O60&gt;=4.5,"Excellent",IF(O60&gt;=3.5,"Good",IF(O60&gt;=2.5,"Fair","Poor"))))</f>
        <v/>
      </c>
      <c r="R60" s="13" t="n"/>
      <c r="S60" s="14" t="n"/>
      <c r="T60" s="11" t="n"/>
      <c r="W60" s="11">
        <f>IF(C60&lt;&gt;"",C60+90,"")</f>
        <v/>
      </c>
    </row>
    <row r="61">
      <c r="B61">
        <f>IFERROR(VLOOKUP(A61,Source_Inventory!$A$5:$P$104,2,FALSE),"[Source Not Found]")</f>
        <v/>
      </c>
      <c r="C61" s="11">
        <f>IF(A61&lt;&gt;"",TODAY(),"")</f>
        <v/>
      </c>
      <c r="O61" s="12">
        <f>IF(AND(I61&lt;&gt;"",K61&lt;&gt;"",M61&lt;&gt;""),AVERAGE(I61,K61,M61),"")</f>
        <v/>
      </c>
      <c r="P61">
        <f>IF(O61="","",IF(O61&gt;=4.5,"Excellent",IF(O61&gt;=3.5,"Good",IF(O61&gt;=2.5,"Fair","Poor"))))</f>
        <v/>
      </c>
      <c r="R61" s="13" t="n"/>
      <c r="S61" s="14" t="n"/>
      <c r="T61" s="11" t="n"/>
      <c r="W61" s="11">
        <f>IF(C61&lt;&gt;"",C61+90,"")</f>
        <v/>
      </c>
    </row>
    <row r="62">
      <c r="B62">
        <f>IFERROR(VLOOKUP(A62,Source_Inventory!$A$5:$P$104,2,FALSE),"[Source Not Found]")</f>
        <v/>
      </c>
      <c r="C62" s="11">
        <f>IF(A62&lt;&gt;"",TODAY(),"")</f>
        <v/>
      </c>
      <c r="O62" s="12">
        <f>IF(AND(I62&lt;&gt;"",K62&lt;&gt;"",M62&lt;&gt;""),AVERAGE(I62,K62,M62),"")</f>
        <v/>
      </c>
      <c r="P62">
        <f>IF(O62="","",IF(O62&gt;=4.5,"Excellent",IF(O62&gt;=3.5,"Good",IF(O62&gt;=2.5,"Fair","Poor"))))</f>
        <v/>
      </c>
      <c r="R62" s="13" t="n"/>
      <c r="S62" s="14" t="n"/>
      <c r="T62" s="11" t="n"/>
      <c r="W62" s="11">
        <f>IF(C62&lt;&gt;"",C62+90,"")</f>
        <v/>
      </c>
    </row>
    <row r="63">
      <c r="B63">
        <f>IFERROR(VLOOKUP(A63,Source_Inventory!$A$5:$P$104,2,FALSE),"[Source Not Found]")</f>
        <v/>
      </c>
      <c r="C63" s="11">
        <f>IF(A63&lt;&gt;"",TODAY(),"")</f>
        <v/>
      </c>
      <c r="O63" s="12">
        <f>IF(AND(I63&lt;&gt;"",K63&lt;&gt;"",M63&lt;&gt;""),AVERAGE(I63,K63,M63),"")</f>
        <v/>
      </c>
      <c r="P63">
        <f>IF(O63="","",IF(O63&gt;=4.5,"Excellent",IF(O63&gt;=3.5,"Good",IF(O63&gt;=2.5,"Fair","Poor"))))</f>
        <v/>
      </c>
      <c r="R63" s="13" t="n"/>
      <c r="S63" s="14" t="n"/>
      <c r="T63" s="11" t="n"/>
      <c r="W63" s="11">
        <f>IF(C63&lt;&gt;"",C63+90,"")</f>
        <v/>
      </c>
    </row>
    <row r="64">
      <c r="B64">
        <f>IFERROR(VLOOKUP(A64,Source_Inventory!$A$5:$P$104,2,FALSE),"[Source Not Found]")</f>
        <v/>
      </c>
      <c r="C64" s="11">
        <f>IF(A64&lt;&gt;"",TODAY(),"")</f>
        <v/>
      </c>
      <c r="O64" s="12">
        <f>IF(AND(I64&lt;&gt;"",K64&lt;&gt;"",M64&lt;&gt;""),AVERAGE(I64,K64,M64),"")</f>
        <v/>
      </c>
      <c r="P64">
        <f>IF(O64="","",IF(O64&gt;=4.5,"Excellent",IF(O64&gt;=3.5,"Good",IF(O64&gt;=2.5,"Fair","Poor"))))</f>
        <v/>
      </c>
      <c r="R64" s="13" t="n"/>
      <c r="S64" s="14" t="n"/>
      <c r="T64" s="11" t="n"/>
      <c r="W64" s="11">
        <f>IF(C64&lt;&gt;"",C64+90,"")</f>
        <v/>
      </c>
    </row>
    <row r="65">
      <c r="B65">
        <f>IFERROR(VLOOKUP(A65,Source_Inventory!$A$5:$P$104,2,FALSE),"[Source Not Found]")</f>
        <v/>
      </c>
      <c r="C65" s="11">
        <f>IF(A65&lt;&gt;"",TODAY(),"")</f>
        <v/>
      </c>
      <c r="O65" s="12">
        <f>IF(AND(I65&lt;&gt;"",K65&lt;&gt;"",M65&lt;&gt;""),AVERAGE(I65,K65,M65),"")</f>
        <v/>
      </c>
      <c r="P65">
        <f>IF(O65="","",IF(O65&gt;=4.5,"Excellent",IF(O65&gt;=3.5,"Good",IF(O65&gt;=2.5,"Fair","Poor"))))</f>
        <v/>
      </c>
      <c r="R65" s="13" t="n"/>
      <c r="S65" s="14" t="n"/>
      <c r="T65" s="11" t="n"/>
      <c r="W65" s="11">
        <f>IF(C65&lt;&gt;"",C65+90,"")</f>
        <v/>
      </c>
    </row>
    <row r="66">
      <c r="B66">
        <f>IFERROR(VLOOKUP(A66,Source_Inventory!$A$5:$P$104,2,FALSE),"[Source Not Found]")</f>
        <v/>
      </c>
      <c r="C66" s="11">
        <f>IF(A66&lt;&gt;"",TODAY(),"")</f>
        <v/>
      </c>
      <c r="O66" s="12">
        <f>IF(AND(I66&lt;&gt;"",K66&lt;&gt;"",M66&lt;&gt;""),AVERAGE(I66,K66,M66),"")</f>
        <v/>
      </c>
      <c r="P66">
        <f>IF(O66="","",IF(O66&gt;=4.5,"Excellent",IF(O66&gt;=3.5,"Good",IF(O66&gt;=2.5,"Fair","Poor"))))</f>
        <v/>
      </c>
      <c r="R66" s="13" t="n"/>
      <c r="S66" s="14" t="n"/>
      <c r="T66" s="11" t="n"/>
      <c r="W66" s="11">
        <f>IF(C66&lt;&gt;"",C66+90,"")</f>
        <v/>
      </c>
    </row>
    <row r="67">
      <c r="B67">
        <f>IFERROR(VLOOKUP(A67,Source_Inventory!$A$5:$P$104,2,FALSE),"[Source Not Found]")</f>
        <v/>
      </c>
      <c r="C67" s="11">
        <f>IF(A67&lt;&gt;"",TODAY(),"")</f>
        <v/>
      </c>
      <c r="O67" s="12">
        <f>IF(AND(I67&lt;&gt;"",K67&lt;&gt;"",M67&lt;&gt;""),AVERAGE(I67,K67,M67),"")</f>
        <v/>
      </c>
      <c r="P67">
        <f>IF(O67="","",IF(O67&gt;=4.5,"Excellent",IF(O67&gt;=3.5,"Good",IF(O67&gt;=2.5,"Fair","Poor"))))</f>
        <v/>
      </c>
      <c r="R67" s="13" t="n"/>
      <c r="S67" s="14" t="n"/>
      <c r="T67" s="11" t="n"/>
      <c r="W67" s="11">
        <f>IF(C67&lt;&gt;"",C67+90,"")</f>
        <v/>
      </c>
    </row>
    <row r="68">
      <c r="B68">
        <f>IFERROR(VLOOKUP(A68,Source_Inventory!$A$5:$P$104,2,FALSE),"[Source Not Found]")</f>
        <v/>
      </c>
      <c r="C68" s="11">
        <f>IF(A68&lt;&gt;"",TODAY(),"")</f>
        <v/>
      </c>
      <c r="O68" s="12">
        <f>IF(AND(I68&lt;&gt;"",K68&lt;&gt;"",M68&lt;&gt;""),AVERAGE(I68,K68,M68),"")</f>
        <v/>
      </c>
      <c r="P68">
        <f>IF(O68="","",IF(O68&gt;=4.5,"Excellent",IF(O68&gt;=3.5,"Good",IF(O68&gt;=2.5,"Fair","Poor"))))</f>
        <v/>
      </c>
      <c r="R68" s="13" t="n"/>
      <c r="S68" s="14" t="n"/>
      <c r="T68" s="11" t="n"/>
      <c r="W68" s="11">
        <f>IF(C68&lt;&gt;"",C68+90,"")</f>
        <v/>
      </c>
    </row>
    <row r="69">
      <c r="B69">
        <f>IFERROR(VLOOKUP(A69,Source_Inventory!$A$5:$P$104,2,FALSE),"[Source Not Found]")</f>
        <v/>
      </c>
      <c r="C69" s="11">
        <f>IF(A69&lt;&gt;"",TODAY(),"")</f>
        <v/>
      </c>
      <c r="O69" s="12">
        <f>IF(AND(I69&lt;&gt;"",K69&lt;&gt;"",M69&lt;&gt;""),AVERAGE(I69,K69,M69),"")</f>
        <v/>
      </c>
      <c r="P69">
        <f>IF(O69="","",IF(O69&gt;=4.5,"Excellent",IF(O69&gt;=3.5,"Good",IF(O69&gt;=2.5,"Fair","Poor"))))</f>
        <v/>
      </c>
      <c r="R69" s="13" t="n"/>
      <c r="S69" s="14" t="n"/>
      <c r="T69" s="11" t="n"/>
      <c r="W69" s="11">
        <f>IF(C69&lt;&gt;"",C69+90,"")</f>
        <v/>
      </c>
    </row>
    <row r="70">
      <c r="B70">
        <f>IFERROR(VLOOKUP(A70,Source_Inventory!$A$5:$P$104,2,FALSE),"[Source Not Found]")</f>
        <v/>
      </c>
      <c r="C70" s="11">
        <f>IF(A70&lt;&gt;"",TODAY(),"")</f>
        <v/>
      </c>
      <c r="O70" s="12">
        <f>IF(AND(I70&lt;&gt;"",K70&lt;&gt;"",M70&lt;&gt;""),AVERAGE(I70,K70,M70),"")</f>
        <v/>
      </c>
      <c r="P70">
        <f>IF(O70="","",IF(O70&gt;=4.5,"Excellent",IF(O70&gt;=3.5,"Good",IF(O70&gt;=2.5,"Fair","Poor"))))</f>
        <v/>
      </c>
      <c r="R70" s="13" t="n"/>
      <c r="S70" s="14" t="n"/>
      <c r="T70" s="11" t="n"/>
      <c r="W70" s="11">
        <f>IF(C70&lt;&gt;"",C70+90,"")</f>
        <v/>
      </c>
    </row>
    <row r="71">
      <c r="B71">
        <f>IFERROR(VLOOKUP(A71,Source_Inventory!$A$5:$P$104,2,FALSE),"[Source Not Found]")</f>
        <v/>
      </c>
      <c r="C71" s="11">
        <f>IF(A71&lt;&gt;"",TODAY(),"")</f>
        <v/>
      </c>
      <c r="O71" s="12">
        <f>IF(AND(I71&lt;&gt;"",K71&lt;&gt;"",M71&lt;&gt;""),AVERAGE(I71,K71,M71),"")</f>
        <v/>
      </c>
      <c r="P71">
        <f>IF(O71="","",IF(O71&gt;=4.5,"Excellent",IF(O71&gt;=3.5,"Good",IF(O71&gt;=2.5,"Fair","Poor"))))</f>
        <v/>
      </c>
      <c r="R71" s="13" t="n"/>
      <c r="S71" s="14" t="n"/>
      <c r="T71" s="11" t="n"/>
      <c r="W71" s="11">
        <f>IF(C71&lt;&gt;"",C71+90,"")</f>
        <v/>
      </c>
    </row>
    <row r="72">
      <c r="B72">
        <f>IFERROR(VLOOKUP(A72,Source_Inventory!$A$5:$P$104,2,FALSE),"[Source Not Found]")</f>
        <v/>
      </c>
      <c r="C72" s="11">
        <f>IF(A72&lt;&gt;"",TODAY(),"")</f>
        <v/>
      </c>
      <c r="O72" s="12">
        <f>IF(AND(I72&lt;&gt;"",K72&lt;&gt;"",M72&lt;&gt;""),AVERAGE(I72,K72,M72),"")</f>
        <v/>
      </c>
      <c r="P72">
        <f>IF(O72="","",IF(O72&gt;=4.5,"Excellent",IF(O72&gt;=3.5,"Good",IF(O72&gt;=2.5,"Fair","Poor"))))</f>
        <v/>
      </c>
      <c r="R72" s="13" t="n"/>
      <c r="S72" s="14" t="n"/>
      <c r="T72" s="11" t="n"/>
      <c r="W72" s="11">
        <f>IF(C72&lt;&gt;"",C72+90,"")</f>
        <v/>
      </c>
    </row>
    <row r="73">
      <c r="B73">
        <f>IFERROR(VLOOKUP(A73,Source_Inventory!$A$5:$P$104,2,FALSE),"[Source Not Found]")</f>
        <v/>
      </c>
      <c r="C73" s="11">
        <f>IF(A73&lt;&gt;"",TODAY(),"")</f>
        <v/>
      </c>
      <c r="O73" s="12">
        <f>IF(AND(I73&lt;&gt;"",K73&lt;&gt;"",M73&lt;&gt;""),AVERAGE(I73,K73,M73),"")</f>
        <v/>
      </c>
      <c r="P73">
        <f>IF(O73="","",IF(O73&gt;=4.5,"Excellent",IF(O73&gt;=3.5,"Good",IF(O73&gt;=2.5,"Fair","Poor"))))</f>
        <v/>
      </c>
      <c r="R73" s="13" t="n"/>
      <c r="S73" s="14" t="n"/>
      <c r="T73" s="11" t="n"/>
      <c r="W73" s="11">
        <f>IF(C73&lt;&gt;"",C73+90,"")</f>
        <v/>
      </c>
    </row>
    <row r="74">
      <c r="B74">
        <f>IFERROR(VLOOKUP(A74,Source_Inventory!$A$5:$P$104,2,FALSE),"[Source Not Found]")</f>
        <v/>
      </c>
      <c r="C74" s="11">
        <f>IF(A74&lt;&gt;"",TODAY(),"")</f>
        <v/>
      </c>
      <c r="O74" s="12">
        <f>IF(AND(I74&lt;&gt;"",K74&lt;&gt;"",M74&lt;&gt;""),AVERAGE(I74,K74,M74),"")</f>
        <v/>
      </c>
      <c r="P74">
        <f>IF(O74="","",IF(O74&gt;=4.5,"Excellent",IF(O74&gt;=3.5,"Good",IF(O74&gt;=2.5,"Fair","Poor"))))</f>
        <v/>
      </c>
      <c r="R74" s="13" t="n"/>
      <c r="S74" s="14" t="n"/>
      <c r="T74" s="11" t="n"/>
      <c r="W74" s="11">
        <f>IF(C74&lt;&gt;"",C74+90,"")</f>
        <v/>
      </c>
    </row>
    <row r="75">
      <c r="B75">
        <f>IFERROR(VLOOKUP(A75,Source_Inventory!$A$5:$P$104,2,FALSE),"[Source Not Found]")</f>
        <v/>
      </c>
      <c r="C75" s="11">
        <f>IF(A75&lt;&gt;"",TODAY(),"")</f>
        <v/>
      </c>
      <c r="O75" s="12">
        <f>IF(AND(I75&lt;&gt;"",K75&lt;&gt;"",M75&lt;&gt;""),AVERAGE(I75,K75,M75),"")</f>
        <v/>
      </c>
      <c r="P75">
        <f>IF(O75="","",IF(O75&gt;=4.5,"Excellent",IF(O75&gt;=3.5,"Good",IF(O75&gt;=2.5,"Fair","Poor"))))</f>
        <v/>
      </c>
      <c r="R75" s="13" t="n"/>
      <c r="S75" s="14" t="n"/>
      <c r="T75" s="11" t="n"/>
      <c r="W75" s="11">
        <f>IF(C75&lt;&gt;"",C75+90,"")</f>
        <v/>
      </c>
    </row>
    <row r="76">
      <c r="B76">
        <f>IFERROR(VLOOKUP(A76,Source_Inventory!$A$5:$P$104,2,FALSE),"[Source Not Found]")</f>
        <v/>
      </c>
      <c r="C76" s="11">
        <f>IF(A76&lt;&gt;"",TODAY(),"")</f>
        <v/>
      </c>
      <c r="O76" s="12">
        <f>IF(AND(I76&lt;&gt;"",K76&lt;&gt;"",M76&lt;&gt;""),AVERAGE(I76,K76,M76),"")</f>
        <v/>
      </c>
      <c r="P76">
        <f>IF(O76="","",IF(O76&gt;=4.5,"Excellent",IF(O76&gt;=3.5,"Good",IF(O76&gt;=2.5,"Fair","Poor"))))</f>
        <v/>
      </c>
      <c r="R76" s="13" t="n"/>
      <c r="S76" s="14" t="n"/>
      <c r="T76" s="11" t="n"/>
      <c r="W76" s="11">
        <f>IF(C76&lt;&gt;"",C76+90,"")</f>
        <v/>
      </c>
    </row>
    <row r="77">
      <c r="B77">
        <f>IFERROR(VLOOKUP(A77,Source_Inventory!$A$5:$P$104,2,FALSE),"[Source Not Found]")</f>
        <v/>
      </c>
      <c r="C77" s="11">
        <f>IF(A77&lt;&gt;"",TODAY(),"")</f>
        <v/>
      </c>
      <c r="O77" s="12">
        <f>IF(AND(I77&lt;&gt;"",K77&lt;&gt;"",M77&lt;&gt;""),AVERAGE(I77,K77,M77),"")</f>
        <v/>
      </c>
      <c r="P77">
        <f>IF(O77="","",IF(O77&gt;=4.5,"Excellent",IF(O77&gt;=3.5,"Good",IF(O77&gt;=2.5,"Fair","Poor"))))</f>
        <v/>
      </c>
      <c r="R77" s="13" t="n"/>
      <c r="S77" s="14" t="n"/>
      <c r="T77" s="11" t="n"/>
      <c r="W77" s="11">
        <f>IF(C77&lt;&gt;"",C77+90,"")</f>
        <v/>
      </c>
    </row>
    <row r="78">
      <c r="B78">
        <f>IFERROR(VLOOKUP(A78,Source_Inventory!$A$5:$P$104,2,FALSE),"[Source Not Found]")</f>
        <v/>
      </c>
      <c r="C78" s="11">
        <f>IF(A78&lt;&gt;"",TODAY(),"")</f>
        <v/>
      </c>
      <c r="O78" s="12">
        <f>IF(AND(I78&lt;&gt;"",K78&lt;&gt;"",M78&lt;&gt;""),AVERAGE(I78,K78,M78),"")</f>
        <v/>
      </c>
      <c r="P78">
        <f>IF(O78="","",IF(O78&gt;=4.5,"Excellent",IF(O78&gt;=3.5,"Good",IF(O78&gt;=2.5,"Fair","Poor"))))</f>
        <v/>
      </c>
      <c r="R78" s="13" t="n"/>
      <c r="S78" s="14" t="n"/>
      <c r="T78" s="11" t="n"/>
      <c r="W78" s="11">
        <f>IF(C78&lt;&gt;"",C78+90,"")</f>
        <v/>
      </c>
    </row>
    <row r="79">
      <c r="B79">
        <f>IFERROR(VLOOKUP(A79,Source_Inventory!$A$5:$P$104,2,FALSE),"[Source Not Found]")</f>
        <v/>
      </c>
      <c r="C79" s="11">
        <f>IF(A79&lt;&gt;"",TODAY(),"")</f>
        <v/>
      </c>
      <c r="O79" s="12">
        <f>IF(AND(I79&lt;&gt;"",K79&lt;&gt;"",M79&lt;&gt;""),AVERAGE(I79,K79,M79),"")</f>
        <v/>
      </c>
      <c r="P79">
        <f>IF(O79="","",IF(O79&gt;=4.5,"Excellent",IF(O79&gt;=3.5,"Good",IF(O79&gt;=2.5,"Fair","Poor"))))</f>
        <v/>
      </c>
      <c r="R79" s="13" t="n"/>
      <c r="S79" s="14" t="n"/>
      <c r="T79" s="11" t="n"/>
      <c r="W79" s="11">
        <f>IF(C79&lt;&gt;"",C79+90,"")</f>
        <v/>
      </c>
    </row>
    <row r="80">
      <c r="B80">
        <f>IFERROR(VLOOKUP(A80,Source_Inventory!$A$5:$P$104,2,FALSE),"[Source Not Found]")</f>
        <v/>
      </c>
      <c r="C80" s="11">
        <f>IF(A80&lt;&gt;"",TODAY(),"")</f>
        <v/>
      </c>
      <c r="O80" s="12">
        <f>IF(AND(I80&lt;&gt;"",K80&lt;&gt;"",M80&lt;&gt;""),AVERAGE(I80,K80,M80),"")</f>
        <v/>
      </c>
      <c r="P80">
        <f>IF(O80="","",IF(O80&gt;=4.5,"Excellent",IF(O80&gt;=3.5,"Good",IF(O80&gt;=2.5,"Fair","Poor"))))</f>
        <v/>
      </c>
      <c r="R80" s="13" t="n"/>
      <c r="S80" s="14" t="n"/>
      <c r="T80" s="11" t="n"/>
      <c r="W80" s="11">
        <f>IF(C80&lt;&gt;"",C80+90,"")</f>
        <v/>
      </c>
    </row>
    <row r="81">
      <c r="B81">
        <f>IFERROR(VLOOKUP(A81,Source_Inventory!$A$5:$P$104,2,FALSE),"[Source Not Found]")</f>
        <v/>
      </c>
      <c r="C81" s="11">
        <f>IF(A81&lt;&gt;"",TODAY(),"")</f>
        <v/>
      </c>
      <c r="O81" s="12">
        <f>IF(AND(I81&lt;&gt;"",K81&lt;&gt;"",M81&lt;&gt;""),AVERAGE(I81,K81,M81),"")</f>
        <v/>
      </c>
      <c r="P81">
        <f>IF(O81="","",IF(O81&gt;=4.5,"Excellent",IF(O81&gt;=3.5,"Good",IF(O81&gt;=2.5,"Fair","Poor"))))</f>
        <v/>
      </c>
      <c r="R81" s="13" t="n"/>
      <c r="S81" s="14" t="n"/>
      <c r="T81" s="11" t="n"/>
      <c r="W81" s="11">
        <f>IF(C81&lt;&gt;"",C81+90,"")</f>
        <v/>
      </c>
    </row>
    <row r="82">
      <c r="B82">
        <f>IFERROR(VLOOKUP(A82,Source_Inventory!$A$5:$P$104,2,FALSE),"[Source Not Found]")</f>
        <v/>
      </c>
      <c r="C82" s="11">
        <f>IF(A82&lt;&gt;"",TODAY(),"")</f>
        <v/>
      </c>
      <c r="O82" s="12">
        <f>IF(AND(I82&lt;&gt;"",K82&lt;&gt;"",M82&lt;&gt;""),AVERAGE(I82,K82,M82),"")</f>
        <v/>
      </c>
      <c r="P82">
        <f>IF(O82="","",IF(O82&gt;=4.5,"Excellent",IF(O82&gt;=3.5,"Good",IF(O82&gt;=2.5,"Fair","Poor"))))</f>
        <v/>
      </c>
      <c r="R82" s="13" t="n"/>
      <c r="S82" s="14" t="n"/>
      <c r="T82" s="11" t="n"/>
      <c r="W82" s="11">
        <f>IF(C82&lt;&gt;"",C82+90,"")</f>
        <v/>
      </c>
    </row>
    <row r="83">
      <c r="B83">
        <f>IFERROR(VLOOKUP(A83,Source_Inventory!$A$5:$P$104,2,FALSE),"[Source Not Found]")</f>
        <v/>
      </c>
      <c r="C83" s="11">
        <f>IF(A83&lt;&gt;"",TODAY(),"")</f>
        <v/>
      </c>
      <c r="O83" s="12">
        <f>IF(AND(I83&lt;&gt;"",K83&lt;&gt;"",M83&lt;&gt;""),AVERAGE(I83,K83,M83),"")</f>
        <v/>
      </c>
      <c r="P83">
        <f>IF(O83="","",IF(O83&gt;=4.5,"Excellent",IF(O83&gt;=3.5,"Good",IF(O83&gt;=2.5,"Fair","Poor"))))</f>
        <v/>
      </c>
      <c r="R83" s="13" t="n"/>
      <c r="S83" s="14" t="n"/>
      <c r="T83" s="11" t="n"/>
      <c r="W83" s="11">
        <f>IF(C83&lt;&gt;"",C83+90,"")</f>
        <v/>
      </c>
    </row>
    <row r="84">
      <c r="B84">
        <f>IFERROR(VLOOKUP(A84,Source_Inventory!$A$5:$P$104,2,FALSE),"[Source Not Found]")</f>
        <v/>
      </c>
      <c r="C84" s="11">
        <f>IF(A84&lt;&gt;"",TODAY(),"")</f>
        <v/>
      </c>
      <c r="O84" s="12">
        <f>IF(AND(I84&lt;&gt;"",K84&lt;&gt;"",M84&lt;&gt;""),AVERAGE(I84,K84,M84),"")</f>
        <v/>
      </c>
      <c r="P84">
        <f>IF(O84="","",IF(O84&gt;=4.5,"Excellent",IF(O84&gt;=3.5,"Good",IF(O84&gt;=2.5,"Fair","Poor"))))</f>
        <v/>
      </c>
      <c r="R84" s="13" t="n"/>
      <c r="S84" s="14" t="n"/>
      <c r="T84" s="11" t="n"/>
      <c r="W84" s="11">
        <f>IF(C84&lt;&gt;"",C84+90,"")</f>
        <v/>
      </c>
    </row>
    <row r="85">
      <c r="B85">
        <f>IFERROR(VLOOKUP(A85,Source_Inventory!$A$5:$P$104,2,FALSE),"[Source Not Found]")</f>
        <v/>
      </c>
      <c r="C85" s="11">
        <f>IF(A85&lt;&gt;"",TODAY(),"")</f>
        <v/>
      </c>
      <c r="O85" s="12">
        <f>IF(AND(I85&lt;&gt;"",K85&lt;&gt;"",M85&lt;&gt;""),AVERAGE(I85,K85,M85),"")</f>
        <v/>
      </c>
      <c r="P85">
        <f>IF(O85="","",IF(O85&gt;=4.5,"Excellent",IF(O85&gt;=3.5,"Good",IF(O85&gt;=2.5,"Fair","Poor"))))</f>
        <v/>
      </c>
      <c r="R85" s="13" t="n"/>
      <c r="S85" s="14" t="n"/>
      <c r="T85" s="11" t="n"/>
      <c r="W85" s="11">
        <f>IF(C85&lt;&gt;"",C85+90,"")</f>
        <v/>
      </c>
    </row>
    <row r="86">
      <c r="B86">
        <f>IFERROR(VLOOKUP(A86,Source_Inventory!$A$5:$P$104,2,FALSE),"[Source Not Found]")</f>
        <v/>
      </c>
      <c r="C86" s="11">
        <f>IF(A86&lt;&gt;"",TODAY(),"")</f>
        <v/>
      </c>
      <c r="O86" s="12">
        <f>IF(AND(I86&lt;&gt;"",K86&lt;&gt;"",M86&lt;&gt;""),AVERAGE(I86,K86,M86),"")</f>
        <v/>
      </c>
      <c r="P86">
        <f>IF(O86="","",IF(O86&gt;=4.5,"Excellent",IF(O86&gt;=3.5,"Good",IF(O86&gt;=2.5,"Fair","Poor"))))</f>
        <v/>
      </c>
      <c r="R86" s="13" t="n"/>
      <c r="S86" s="14" t="n"/>
      <c r="T86" s="11" t="n"/>
      <c r="W86" s="11">
        <f>IF(C86&lt;&gt;"",C86+90,"")</f>
        <v/>
      </c>
    </row>
    <row r="87">
      <c r="B87">
        <f>IFERROR(VLOOKUP(A87,Source_Inventory!$A$5:$P$104,2,FALSE),"[Source Not Found]")</f>
        <v/>
      </c>
      <c r="C87" s="11">
        <f>IF(A87&lt;&gt;"",TODAY(),"")</f>
        <v/>
      </c>
      <c r="O87" s="12">
        <f>IF(AND(I87&lt;&gt;"",K87&lt;&gt;"",M87&lt;&gt;""),AVERAGE(I87,K87,M87),"")</f>
        <v/>
      </c>
      <c r="P87">
        <f>IF(O87="","",IF(O87&gt;=4.5,"Excellent",IF(O87&gt;=3.5,"Good",IF(O87&gt;=2.5,"Fair","Poor"))))</f>
        <v/>
      </c>
      <c r="R87" s="13" t="n"/>
      <c r="S87" s="14" t="n"/>
      <c r="T87" s="11" t="n"/>
      <c r="W87" s="11">
        <f>IF(C87&lt;&gt;"",C87+90,"")</f>
        <v/>
      </c>
    </row>
    <row r="88">
      <c r="B88">
        <f>IFERROR(VLOOKUP(A88,Source_Inventory!$A$5:$P$104,2,FALSE),"[Source Not Found]")</f>
        <v/>
      </c>
      <c r="C88" s="11">
        <f>IF(A88&lt;&gt;"",TODAY(),"")</f>
        <v/>
      </c>
      <c r="O88" s="12">
        <f>IF(AND(I88&lt;&gt;"",K88&lt;&gt;"",M88&lt;&gt;""),AVERAGE(I88,K88,M88),"")</f>
        <v/>
      </c>
      <c r="P88">
        <f>IF(O88="","",IF(O88&gt;=4.5,"Excellent",IF(O88&gt;=3.5,"Good",IF(O88&gt;=2.5,"Fair","Poor"))))</f>
        <v/>
      </c>
      <c r="R88" s="13" t="n"/>
      <c r="S88" s="14" t="n"/>
      <c r="T88" s="11" t="n"/>
      <c r="W88" s="11">
        <f>IF(C88&lt;&gt;"",C88+90,"")</f>
        <v/>
      </c>
    </row>
    <row r="89">
      <c r="B89">
        <f>IFERROR(VLOOKUP(A89,Source_Inventory!$A$5:$P$104,2,FALSE),"[Source Not Found]")</f>
        <v/>
      </c>
      <c r="C89" s="11">
        <f>IF(A89&lt;&gt;"",TODAY(),"")</f>
        <v/>
      </c>
      <c r="O89" s="12">
        <f>IF(AND(I89&lt;&gt;"",K89&lt;&gt;"",M89&lt;&gt;""),AVERAGE(I89,K89,M89),"")</f>
        <v/>
      </c>
      <c r="P89">
        <f>IF(O89="","",IF(O89&gt;=4.5,"Excellent",IF(O89&gt;=3.5,"Good",IF(O89&gt;=2.5,"Fair","Poor"))))</f>
        <v/>
      </c>
      <c r="R89" s="13" t="n"/>
      <c r="S89" s="14" t="n"/>
      <c r="T89" s="11" t="n"/>
      <c r="W89" s="11">
        <f>IF(C89&lt;&gt;"",C89+90,"")</f>
        <v/>
      </c>
    </row>
    <row r="90">
      <c r="B90">
        <f>IFERROR(VLOOKUP(A90,Source_Inventory!$A$5:$P$104,2,FALSE),"[Source Not Found]")</f>
        <v/>
      </c>
      <c r="C90" s="11">
        <f>IF(A90&lt;&gt;"",TODAY(),"")</f>
        <v/>
      </c>
      <c r="O90" s="12">
        <f>IF(AND(I90&lt;&gt;"",K90&lt;&gt;"",M90&lt;&gt;""),AVERAGE(I90,K90,M90),"")</f>
        <v/>
      </c>
      <c r="P90">
        <f>IF(O90="","",IF(O90&gt;=4.5,"Excellent",IF(O90&gt;=3.5,"Good",IF(O90&gt;=2.5,"Fair","Poor"))))</f>
        <v/>
      </c>
      <c r="R90" s="13" t="n"/>
      <c r="S90" s="14" t="n"/>
      <c r="T90" s="11" t="n"/>
      <c r="W90" s="11">
        <f>IF(C90&lt;&gt;"",C90+90,"")</f>
        <v/>
      </c>
    </row>
    <row r="91">
      <c r="B91">
        <f>IFERROR(VLOOKUP(A91,Source_Inventory!$A$5:$P$104,2,FALSE),"[Source Not Found]")</f>
        <v/>
      </c>
      <c r="C91" s="11">
        <f>IF(A91&lt;&gt;"",TODAY(),"")</f>
        <v/>
      </c>
      <c r="O91" s="12">
        <f>IF(AND(I91&lt;&gt;"",K91&lt;&gt;"",M91&lt;&gt;""),AVERAGE(I91,K91,M91),"")</f>
        <v/>
      </c>
      <c r="P91">
        <f>IF(O91="","",IF(O91&gt;=4.5,"Excellent",IF(O91&gt;=3.5,"Good",IF(O91&gt;=2.5,"Fair","Poor"))))</f>
        <v/>
      </c>
      <c r="R91" s="13" t="n"/>
      <c r="S91" s="14" t="n"/>
      <c r="T91" s="11" t="n"/>
      <c r="W91" s="11">
        <f>IF(C91&lt;&gt;"",C91+90,"")</f>
        <v/>
      </c>
    </row>
    <row r="92">
      <c r="B92">
        <f>IFERROR(VLOOKUP(A92,Source_Inventory!$A$5:$P$104,2,FALSE),"[Source Not Found]")</f>
        <v/>
      </c>
      <c r="C92" s="11">
        <f>IF(A92&lt;&gt;"",TODAY(),"")</f>
        <v/>
      </c>
      <c r="O92" s="12">
        <f>IF(AND(I92&lt;&gt;"",K92&lt;&gt;"",M92&lt;&gt;""),AVERAGE(I92,K92,M92),"")</f>
        <v/>
      </c>
      <c r="P92">
        <f>IF(O92="","",IF(O92&gt;=4.5,"Excellent",IF(O92&gt;=3.5,"Good",IF(O92&gt;=2.5,"Fair","Poor"))))</f>
        <v/>
      </c>
      <c r="R92" s="13" t="n"/>
      <c r="S92" s="14" t="n"/>
      <c r="T92" s="11" t="n"/>
      <c r="W92" s="11">
        <f>IF(C92&lt;&gt;"",C92+90,"")</f>
        <v/>
      </c>
    </row>
    <row r="93">
      <c r="B93">
        <f>IFERROR(VLOOKUP(A93,Source_Inventory!$A$5:$P$104,2,FALSE),"[Source Not Found]")</f>
        <v/>
      </c>
      <c r="C93" s="11">
        <f>IF(A93&lt;&gt;"",TODAY(),"")</f>
        <v/>
      </c>
      <c r="O93" s="12">
        <f>IF(AND(I93&lt;&gt;"",K93&lt;&gt;"",M93&lt;&gt;""),AVERAGE(I93,K93,M93),"")</f>
        <v/>
      </c>
      <c r="P93">
        <f>IF(O93="","",IF(O93&gt;=4.5,"Excellent",IF(O93&gt;=3.5,"Good",IF(O93&gt;=2.5,"Fair","Poor"))))</f>
        <v/>
      </c>
      <c r="R93" s="13" t="n"/>
      <c r="S93" s="14" t="n"/>
      <c r="T93" s="11" t="n"/>
      <c r="W93" s="11">
        <f>IF(C93&lt;&gt;"",C93+90,"")</f>
        <v/>
      </c>
    </row>
    <row r="94">
      <c r="B94">
        <f>IFERROR(VLOOKUP(A94,Source_Inventory!$A$5:$P$104,2,FALSE),"[Source Not Found]")</f>
        <v/>
      </c>
      <c r="C94" s="11">
        <f>IF(A94&lt;&gt;"",TODAY(),"")</f>
        <v/>
      </c>
      <c r="O94" s="12">
        <f>IF(AND(I94&lt;&gt;"",K94&lt;&gt;"",M94&lt;&gt;""),AVERAGE(I94,K94,M94),"")</f>
        <v/>
      </c>
      <c r="P94">
        <f>IF(O94="","",IF(O94&gt;=4.5,"Excellent",IF(O94&gt;=3.5,"Good",IF(O94&gt;=2.5,"Fair","Poor"))))</f>
        <v/>
      </c>
      <c r="R94" s="13" t="n"/>
      <c r="S94" s="14" t="n"/>
      <c r="T94" s="11" t="n"/>
      <c r="W94" s="11">
        <f>IF(C94&lt;&gt;"",C94+90,"")</f>
        <v/>
      </c>
    </row>
    <row r="95">
      <c r="B95">
        <f>IFERROR(VLOOKUP(A95,Source_Inventory!$A$5:$P$104,2,FALSE),"[Source Not Found]")</f>
        <v/>
      </c>
      <c r="C95" s="11">
        <f>IF(A95&lt;&gt;"",TODAY(),"")</f>
        <v/>
      </c>
      <c r="O95" s="12">
        <f>IF(AND(I95&lt;&gt;"",K95&lt;&gt;"",M95&lt;&gt;""),AVERAGE(I95,K95,M95),"")</f>
        <v/>
      </c>
      <c r="P95">
        <f>IF(O95="","",IF(O95&gt;=4.5,"Excellent",IF(O95&gt;=3.5,"Good",IF(O95&gt;=2.5,"Fair","Poor"))))</f>
        <v/>
      </c>
      <c r="R95" s="13" t="n"/>
      <c r="S95" s="14" t="n"/>
      <c r="T95" s="11" t="n"/>
      <c r="W95" s="11">
        <f>IF(C95&lt;&gt;"",C95+90,"")</f>
        <v/>
      </c>
    </row>
    <row r="96">
      <c r="B96">
        <f>IFERROR(VLOOKUP(A96,Source_Inventory!$A$5:$P$104,2,FALSE),"[Source Not Found]")</f>
        <v/>
      </c>
      <c r="C96" s="11">
        <f>IF(A96&lt;&gt;"",TODAY(),"")</f>
        <v/>
      </c>
      <c r="O96" s="12">
        <f>IF(AND(I96&lt;&gt;"",K96&lt;&gt;"",M96&lt;&gt;""),AVERAGE(I96,K96,M96),"")</f>
        <v/>
      </c>
      <c r="P96">
        <f>IF(O96="","",IF(O96&gt;=4.5,"Excellent",IF(O96&gt;=3.5,"Good",IF(O96&gt;=2.5,"Fair","Poor"))))</f>
        <v/>
      </c>
      <c r="R96" s="13" t="n"/>
      <c r="S96" s="14" t="n"/>
      <c r="T96" s="11" t="n"/>
      <c r="W96" s="11">
        <f>IF(C96&lt;&gt;"",C96+90,"")</f>
        <v/>
      </c>
    </row>
    <row r="97">
      <c r="B97">
        <f>IFERROR(VLOOKUP(A97,Source_Inventory!$A$5:$P$104,2,FALSE),"[Source Not Found]")</f>
        <v/>
      </c>
      <c r="C97" s="11">
        <f>IF(A97&lt;&gt;"",TODAY(),"")</f>
        <v/>
      </c>
      <c r="O97" s="12">
        <f>IF(AND(I97&lt;&gt;"",K97&lt;&gt;"",M97&lt;&gt;""),AVERAGE(I97,K97,M97),"")</f>
        <v/>
      </c>
      <c r="P97">
        <f>IF(O97="","",IF(O97&gt;=4.5,"Excellent",IF(O97&gt;=3.5,"Good",IF(O97&gt;=2.5,"Fair","Poor"))))</f>
        <v/>
      </c>
      <c r="R97" s="13" t="n"/>
      <c r="S97" s="14" t="n"/>
      <c r="T97" s="11" t="n"/>
      <c r="W97" s="11">
        <f>IF(C97&lt;&gt;"",C97+90,"")</f>
        <v/>
      </c>
    </row>
    <row r="98">
      <c r="B98">
        <f>IFERROR(VLOOKUP(A98,Source_Inventory!$A$5:$P$104,2,FALSE),"[Source Not Found]")</f>
        <v/>
      </c>
      <c r="C98" s="11">
        <f>IF(A98&lt;&gt;"",TODAY(),"")</f>
        <v/>
      </c>
      <c r="O98" s="12">
        <f>IF(AND(I98&lt;&gt;"",K98&lt;&gt;"",M98&lt;&gt;""),AVERAGE(I98,K98,M98),"")</f>
        <v/>
      </c>
      <c r="P98">
        <f>IF(O98="","",IF(O98&gt;=4.5,"Excellent",IF(O98&gt;=3.5,"Good",IF(O98&gt;=2.5,"Fair","Poor"))))</f>
        <v/>
      </c>
      <c r="R98" s="13" t="n"/>
      <c r="S98" s="14" t="n"/>
      <c r="T98" s="11" t="n"/>
      <c r="W98" s="11">
        <f>IF(C98&lt;&gt;"",C98+90,"")</f>
        <v/>
      </c>
    </row>
    <row r="99">
      <c r="B99">
        <f>IFERROR(VLOOKUP(A99,Source_Inventory!$A$5:$P$104,2,FALSE),"[Source Not Found]")</f>
        <v/>
      </c>
      <c r="C99" s="11">
        <f>IF(A99&lt;&gt;"",TODAY(),"")</f>
        <v/>
      </c>
      <c r="O99" s="12">
        <f>IF(AND(I99&lt;&gt;"",K99&lt;&gt;"",M99&lt;&gt;""),AVERAGE(I99,K99,M99),"")</f>
        <v/>
      </c>
      <c r="P99">
        <f>IF(O99="","",IF(O99&gt;=4.5,"Excellent",IF(O99&gt;=3.5,"Good",IF(O99&gt;=2.5,"Fair","Poor"))))</f>
        <v/>
      </c>
      <c r="R99" s="13" t="n"/>
      <c r="S99" s="14" t="n"/>
      <c r="T99" s="11" t="n"/>
      <c r="W99" s="11">
        <f>IF(C99&lt;&gt;"",C99+90,"")</f>
        <v/>
      </c>
    </row>
    <row r="100">
      <c r="B100">
        <f>IFERROR(VLOOKUP(A100,Source_Inventory!$A$5:$P$104,2,FALSE),"[Source Not Found]")</f>
        <v/>
      </c>
      <c r="C100" s="11">
        <f>IF(A100&lt;&gt;"",TODAY(),"")</f>
        <v/>
      </c>
      <c r="O100" s="12">
        <f>IF(AND(I100&lt;&gt;"",K100&lt;&gt;"",M100&lt;&gt;""),AVERAGE(I100,K100,M100),"")</f>
        <v/>
      </c>
      <c r="P100">
        <f>IF(O100="","",IF(O100&gt;=4.5,"Excellent",IF(O100&gt;=3.5,"Good",IF(O100&gt;=2.5,"Fair","Poor"))))</f>
        <v/>
      </c>
      <c r="R100" s="13" t="n"/>
      <c r="S100" s="14" t="n"/>
      <c r="T100" s="11" t="n"/>
      <c r="W100" s="11">
        <f>IF(C100&lt;&gt;"",C100+90,"")</f>
        <v/>
      </c>
    </row>
    <row r="101">
      <c r="B101">
        <f>IFERROR(VLOOKUP(A101,Source_Inventory!$A$5:$P$104,2,FALSE),"[Source Not Found]")</f>
        <v/>
      </c>
      <c r="C101" s="11">
        <f>IF(A101&lt;&gt;"",TODAY(),"")</f>
        <v/>
      </c>
      <c r="O101" s="12">
        <f>IF(AND(I101&lt;&gt;"",K101&lt;&gt;"",M101&lt;&gt;""),AVERAGE(I101,K101,M101),"")</f>
        <v/>
      </c>
      <c r="P101">
        <f>IF(O101="","",IF(O101&gt;=4.5,"Excellent",IF(O101&gt;=3.5,"Good",IF(O101&gt;=2.5,"Fair","Poor"))))</f>
        <v/>
      </c>
      <c r="R101" s="13" t="n"/>
      <c r="S101" s="14" t="n"/>
      <c r="T101" s="11" t="n"/>
      <c r="W101" s="11">
        <f>IF(C101&lt;&gt;"",C101+90,"")</f>
        <v/>
      </c>
    </row>
    <row r="102">
      <c r="B102">
        <f>IFERROR(VLOOKUP(A102,Source_Inventory!$A$5:$P$104,2,FALSE),"[Source Not Found]")</f>
        <v/>
      </c>
      <c r="C102" s="11">
        <f>IF(A102&lt;&gt;"",TODAY(),"")</f>
        <v/>
      </c>
      <c r="O102" s="12">
        <f>IF(AND(I102&lt;&gt;"",K102&lt;&gt;"",M102&lt;&gt;""),AVERAGE(I102,K102,M102),"")</f>
        <v/>
      </c>
      <c r="P102">
        <f>IF(O102="","",IF(O102&gt;=4.5,"Excellent",IF(O102&gt;=3.5,"Good",IF(O102&gt;=2.5,"Fair","Poor"))))</f>
        <v/>
      </c>
      <c r="R102" s="13" t="n"/>
      <c r="S102" s="14" t="n"/>
      <c r="T102" s="11" t="n"/>
      <c r="W102" s="11">
        <f>IF(C102&lt;&gt;"",C102+90,"")</f>
        <v/>
      </c>
    </row>
    <row r="103">
      <c r="B103">
        <f>IFERROR(VLOOKUP(A103,Source_Inventory!$A$5:$P$104,2,FALSE),"[Source Not Found]")</f>
        <v/>
      </c>
      <c r="C103" s="11">
        <f>IF(A103&lt;&gt;"",TODAY(),"")</f>
        <v/>
      </c>
      <c r="O103" s="12">
        <f>IF(AND(I103&lt;&gt;"",K103&lt;&gt;"",M103&lt;&gt;""),AVERAGE(I103,K103,M103),"")</f>
        <v/>
      </c>
      <c r="P103">
        <f>IF(O103="","",IF(O103&gt;=4.5,"Excellent",IF(O103&gt;=3.5,"Good",IF(O103&gt;=2.5,"Fair","Poor"))))</f>
        <v/>
      </c>
      <c r="R103" s="13" t="n"/>
      <c r="S103" s="14" t="n"/>
      <c r="T103" s="11" t="n"/>
      <c r="W103" s="11">
        <f>IF(C103&lt;&gt;"",C103+90,"")</f>
        <v/>
      </c>
    </row>
    <row r="104">
      <c r="B104">
        <f>IFERROR(VLOOKUP(A104,Source_Inventory!$A$5:$P$104,2,FALSE),"[Source Not Found]")</f>
        <v/>
      </c>
      <c r="C104" s="11">
        <f>IF(A104&lt;&gt;"",TODAY(),"")</f>
        <v/>
      </c>
      <c r="O104" s="12">
        <f>IF(AND(I104&lt;&gt;"",K104&lt;&gt;"",M104&lt;&gt;""),AVERAGE(I104,K104,M104),"")</f>
        <v/>
      </c>
      <c r="P104">
        <f>IF(O104="","",IF(O104&gt;=4.5,"Excellent",IF(O104&gt;=3.5,"Good",IF(O104&gt;=2.5,"Fair","Poor"))))</f>
        <v/>
      </c>
      <c r="R104" s="13" t="n"/>
      <c r="S104" s="14" t="n"/>
      <c r="T104" s="11" t="n"/>
      <c r="W104" s="11">
        <f>IF(C104&lt;&gt;"",C104+90,"")</f>
        <v/>
      </c>
    </row>
  </sheetData>
  <mergeCells count="2">
    <mergeCell ref="A1:U1"/>
    <mergeCell ref="A2:U2"/>
  </mergeCells>
  <conditionalFormatting sqref="P5:P104">
    <cfRule type="cellIs" priority="1" operator="equal" dxfId="7">
      <formula>"Excellent"</formula>
    </cfRule>
    <cfRule type="cellIs" priority="2" operator="equal" dxfId="0">
      <formula>"Good"</formula>
    </cfRule>
    <cfRule type="cellIs" priority="3" operator="equal" dxfId="2">
      <formula>"Fair"</formula>
    </cfRule>
    <cfRule type="cellIs" priority="4" operator="equal" dxfId="5">
      <formula>"Poor"</formula>
    </cfRule>
  </conditionalFormatting>
  <conditionalFormatting sqref="R5:R104">
    <cfRule type="cellIs" priority="5" operator="greaterThanOrEqual" dxfId="8">
      <formula>0.95</formula>
    </cfRule>
    <cfRule type="cellIs" priority="6" operator="greaterThanOrEqual" dxfId="7">
      <formula>0.9</formula>
    </cfRule>
    <cfRule type="cellIs" priority="7" operator="greaterThanOrEqual" dxfId="2">
      <formula>0.85</formula>
    </cfRule>
    <cfRule type="cellIs" priority="8" operator="lessThan" dxfId="9">
      <formula>0.85</formula>
    </cfRule>
  </conditionalFormatting>
  <conditionalFormatting sqref="V5:V104">
    <cfRule type="cellIs" priority="9" operator="equal" dxfId="5">
      <formula>"Discontinue"</formula>
    </cfRule>
  </conditionalFormatting>
  <dataValidations count="600">
    <dataValidation sqref="A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 K5 M5" showDropDown="0" showInputMessage="0" showErrorMessage="0" allowBlank="0" type="whole" operator="between">
      <formula1>1</formula1>
      <formula2>5</formula2>
    </dataValidation>
    <dataValidation sqref="Q5" showDropDown="0" showInputMessage="0" showErrorMessage="0" allowBlank="0" type="list">
      <formula1>"High,Medium,Low,Unknown"</formula1>
    </dataValidation>
    <dataValidation sqref="V5" showDropDown="0" showInputMessage="0" showErrorMessage="0" allowBlank="0" type="list">
      <formula1>"Continue,Enhance,Review,Discontinue"</formula1>
    </dataValidation>
    <dataValidation sqref="A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 K6 M6" showDropDown="0" showInputMessage="0" showErrorMessage="0" allowBlank="0" type="whole" operator="between">
      <formula1>1</formula1>
      <formula2>5</formula2>
    </dataValidation>
    <dataValidation sqref="Q6" showDropDown="0" showInputMessage="0" showErrorMessage="0" allowBlank="0" type="list">
      <formula1>"High,Medium,Low,Unknown"</formula1>
    </dataValidation>
    <dataValidation sqref="V6" showDropDown="0" showInputMessage="0" showErrorMessage="0" allowBlank="0" type="list">
      <formula1>"Continue,Enhance,Review,Discontinue"</formula1>
    </dataValidation>
    <dataValidation sqref="A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 K7 M7" showDropDown="0" showInputMessage="0" showErrorMessage="0" allowBlank="0" type="whole" operator="between">
      <formula1>1</formula1>
      <formula2>5</formula2>
    </dataValidation>
    <dataValidation sqref="Q7" showDropDown="0" showInputMessage="0" showErrorMessage="0" allowBlank="0" type="list">
      <formula1>"High,Medium,Low,Unknown"</formula1>
    </dataValidation>
    <dataValidation sqref="V7" showDropDown="0" showInputMessage="0" showErrorMessage="0" allowBlank="0" type="list">
      <formula1>"Continue,Enhance,Review,Discontinue"</formula1>
    </dataValidation>
    <dataValidation sqref="A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 K8 M8" showDropDown="0" showInputMessage="0" showErrorMessage="0" allowBlank="0" type="whole" operator="between">
      <formula1>1</formula1>
      <formula2>5</formula2>
    </dataValidation>
    <dataValidation sqref="Q8" showDropDown="0" showInputMessage="0" showErrorMessage="0" allowBlank="0" type="list">
      <formula1>"High,Medium,Low,Unknown"</formula1>
    </dataValidation>
    <dataValidation sqref="V8" showDropDown="0" showInputMessage="0" showErrorMessage="0" allowBlank="0" type="list">
      <formula1>"Continue,Enhance,Review,Discontinue"</formula1>
    </dataValidation>
    <dataValidation sqref="A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 K9 M9" showDropDown="0" showInputMessage="0" showErrorMessage="0" allowBlank="0" type="whole" operator="between">
      <formula1>1</formula1>
      <formula2>5</formula2>
    </dataValidation>
    <dataValidation sqref="Q9" showDropDown="0" showInputMessage="0" showErrorMessage="0" allowBlank="0" type="list">
      <formula1>"High,Medium,Low,Unknown"</formula1>
    </dataValidation>
    <dataValidation sqref="V9" showDropDown="0" showInputMessage="0" showErrorMessage="0" allowBlank="0" type="list">
      <formula1>"Continue,Enhance,Review,Discontinue"</formula1>
    </dataValidation>
    <dataValidation sqref="A1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0 K10 M10" showDropDown="0" showInputMessage="0" showErrorMessage="0" allowBlank="0" type="whole" operator="between">
      <formula1>1</formula1>
      <formula2>5</formula2>
    </dataValidation>
    <dataValidation sqref="Q10" showDropDown="0" showInputMessage="0" showErrorMessage="0" allowBlank="0" type="list">
      <formula1>"High,Medium,Low,Unknown"</formula1>
    </dataValidation>
    <dataValidation sqref="V10" showDropDown="0" showInputMessage="0" showErrorMessage="0" allowBlank="0" type="list">
      <formula1>"Continue,Enhance,Review,Discontinue"</formula1>
    </dataValidation>
    <dataValidation sqref="A1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1 K11 M11" showDropDown="0" showInputMessage="0" showErrorMessage="0" allowBlank="0" type="whole" operator="between">
      <formula1>1</formula1>
      <formula2>5</formula2>
    </dataValidation>
    <dataValidation sqref="Q11" showDropDown="0" showInputMessage="0" showErrorMessage="0" allowBlank="0" type="list">
      <formula1>"High,Medium,Low,Unknown"</formula1>
    </dataValidation>
    <dataValidation sqref="V11" showDropDown="0" showInputMessage="0" showErrorMessage="0" allowBlank="0" type="list">
      <formula1>"Continue,Enhance,Review,Discontinue"</formula1>
    </dataValidation>
    <dataValidation sqref="A1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2 K12 M12" showDropDown="0" showInputMessage="0" showErrorMessage="0" allowBlank="0" type="whole" operator="between">
      <formula1>1</formula1>
      <formula2>5</formula2>
    </dataValidation>
    <dataValidation sqref="Q12" showDropDown="0" showInputMessage="0" showErrorMessage="0" allowBlank="0" type="list">
      <formula1>"High,Medium,Low,Unknown"</formula1>
    </dataValidation>
    <dataValidation sqref="V12" showDropDown="0" showInputMessage="0" showErrorMessage="0" allowBlank="0" type="list">
      <formula1>"Continue,Enhance,Review,Discontinue"</formula1>
    </dataValidation>
    <dataValidation sqref="A1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3 K13 M13" showDropDown="0" showInputMessage="0" showErrorMessage="0" allowBlank="0" type="whole" operator="between">
      <formula1>1</formula1>
      <formula2>5</formula2>
    </dataValidation>
    <dataValidation sqref="Q13" showDropDown="0" showInputMessage="0" showErrorMessage="0" allowBlank="0" type="list">
      <formula1>"High,Medium,Low,Unknown"</formula1>
    </dataValidation>
    <dataValidation sqref="V13" showDropDown="0" showInputMessage="0" showErrorMessage="0" allowBlank="0" type="list">
      <formula1>"Continue,Enhance,Review,Discontinue"</formula1>
    </dataValidation>
    <dataValidation sqref="A1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4 K14 M14" showDropDown="0" showInputMessage="0" showErrorMessage="0" allowBlank="0" type="whole" operator="between">
      <formula1>1</formula1>
      <formula2>5</formula2>
    </dataValidation>
    <dataValidation sqref="Q14" showDropDown="0" showInputMessage="0" showErrorMessage="0" allowBlank="0" type="list">
      <formula1>"High,Medium,Low,Unknown"</formula1>
    </dataValidation>
    <dataValidation sqref="V14" showDropDown="0" showInputMessage="0" showErrorMessage="0" allowBlank="0" type="list">
      <formula1>"Continue,Enhance,Review,Discontinue"</formula1>
    </dataValidation>
    <dataValidation sqref="A1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5 K15 M15" showDropDown="0" showInputMessage="0" showErrorMessage="0" allowBlank="0" type="whole" operator="between">
      <formula1>1</formula1>
      <formula2>5</formula2>
    </dataValidation>
    <dataValidation sqref="Q15" showDropDown="0" showInputMessage="0" showErrorMessage="0" allowBlank="0" type="list">
      <formula1>"High,Medium,Low,Unknown"</formula1>
    </dataValidation>
    <dataValidation sqref="V15" showDropDown="0" showInputMessage="0" showErrorMessage="0" allowBlank="0" type="list">
      <formula1>"Continue,Enhance,Review,Discontinue"</formula1>
    </dataValidation>
    <dataValidation sqref="A1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6 K16 M16" showDropDown="0" showInputMessage="0" showErrorMessage="0" allowBlank="0" type="whole" operator="between">
      <formula1>1</formula1>
      <formula2>5</formula2>
    </dataValidation>
    <dataValidation sqref="Q16" showDropDown="0" showInputMessage="0" showErrorMessage="0" allowBlank="0" type="list">
      <formula1>"High,Medium,Low,Unknown"</formula1>
    </dataValidation>
    <dataValidation sqref="V16" showDropDown="0" showInputMessage="0" showErrorMessage="0" allowBlank="0" type="list">
      <formula1>"Continue,Enhance,Review,Discontinue"</formula1>
    </dataValidation>
    <dataValidation sqref="A1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7 K17 M17" showDropDown="0" showInputMessage="0" showErrorMessage="0" allowBlank="0" type="whole" operator="between">
      <formula1>1</formula1>
      <formula2>5</formula2>
    </dataValidation>
    <dataValidation sqref="Q17" showDropDown="0" showInputMessage="0" showErrorMessage="0" allowBlank="0" type="list">
      <formula1>"High,Medium,Low,Unknown"</formula1>
    </dataValidation>
    <dataValidation sqref="V17" showDropDown="0" showInputMessage="0" showErrorMessage="0" allowBlank="0" type="list">
      <formula1>"Continue,Enhance,Review,Discontinue"</formula1>
    </dataValidation>
    <dataValidation sqref="A1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8 K18 M18" showDropDown="0" showInputMessage="0" showErrorMessage="0" allowBlank="0" type="whole" operator="between">
      <formula1>1</formula1>
      <formula2>5</formula2>
    </dataValidation>
    <dataValidation sqref="Q18" showDropDown="0" showInputMessage="0" showErrorMessage="0" allowBlank="0" type="list">
      <formula1>"High,Medium,Low,Unknown"</formula1>
    </dataValidation>
    <dataValidation sqref="V18" showDropDown="0" showInputMessage="0" showErrorMessage="0" allowBlank="0" type="list">
      <formula1>"Continue,Enhance,Review,Discontinue"</formula1>
    </dataValidation>
    <dataValidation sqref="A1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9 K19 M19" showDropDown="0" showInputMessage="0" showErrorMessage="0" allowBlank="0" type="whole" operator="between">
      <formula1>1</formula1>
      <formula2>5</formula2>
    </dataValidation>
    <dataValidation sqref="Q19" showDropDown="0" showInputMessage="0" showErrorMessage="0" allowBlank="0" type="list">
      <formula1>"High,Medium,Low,Unknown"</formula1>
    </dataValidation>
    <dataValidation sqref="V19" showDropDown="0" showInputMessage="0" showErrorMessage="0" allowBlank="0" type="list">
      <formula1>"Continue,Enhance,Review,Discontinue"</formula1>
    </dataValidation>
    <dataValidation sqref="A2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0 K20 M20" showDropDown="0" showInputMessage="0" showErrorMessage="0" allowBlank="0" type="whole" operator="between">
      <formula1>1</formula1>
      <formula2>5</formula2>
    </dataValidation>
    <dataValidation sqref="Q20" showDropDown="0" showInputMessage="0" showErrorMessage="0" allowBlank="0" type="list">
      <formula1>"High,Medium,Low,Unknown"</formula1>
    </dataValidation>
    <dataValidation sqref="V20" showDropDown="0" showInputMessage="0" showErrorMessage="0" allowBlank="0" type="list">
      <formula1>"Continue,Enhance,Review,Discontinue"</formula1>
    </dataValidation>
    <dataValidation sqref="A2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1 K21 M21" showDropDown="0" showInputMessage="0" showErrorMessage="0" allowBlank="0" type="whole" operator="between">
      <formula1>1</formula1>
      <formula2>5</formula2>
    </dataValidation>
    <dataValidation sqref="Q21" showDropDown="0" showInputMessage="0" showErrorMessage="0" allowBlank="0" type="list">
      <formula1>"High,Medium,Low,Unknown"</formula1>
    </dataValidation>
    <dataValidation sqref="V21" showDropDown="0" showInputMessage="0" showErrorMessage="0" allowBlank="0" type="list">
      <formula1>"Continue,Enhance,Review,Discontinue"</formula1>
    </dataValidation>
    <dataValidation sqref="A2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2 K22 M22" showDropDown="0" showInputMessage="0" showErrorMessage="0" allowBlank="0" type="whole" operator="between">
      <formula1>1</formula1>
      <formula2>5</formula2>
    </dataValidation>
    <dataValidation sqref="Q22" showDropDown="0" showInputMessage="0" showErrorMessage="0" allowBlank="0" type="list">
      <formula1>"High,Medium,Low,Unknown"</formula1>
    </dataValidation>
    <dataValidation sqref="V22" showDropDown="0" showInputMessage="0" showErrorMessage="0" allowBlank="0" type="list">
      <formula1>"Continue,Enhance,Review,Discontinue"</formula1>
    </dataValidation>
    <dataValidation sqref="A2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3 K23 M23" showDropDown="0" showInputMessage="0" showErrorMessage="0" allowBlank="0" type="whole" operator="between">
      <formula1>1</formula1>
      <formula2>5</formula2>
    </dataValidation>
    <dataValidation sqref="Q23" showDropDown="0" showInputMessage="0" showErrorMessage="0" allowBlank="0" type="list">
      <formula1>"High,Medium,Low,Unknown"</formula1>
    </dataValidation>
    <dataValidation sqref="V23" showDropDown="0" showInputMessage="0" showErrorMessage="0" allowBlank="0" type="list">
      <formula1>"Continue,Enhance,Review,Discontinue"</formula1>
    </dataValidation>
    <dataValidation sqref="A2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4 K24 M24" showDropDown="0" showInputMessage="0" showErrorMessage="0" allowBlank="0" type="whole" operator="between">
      <formula1>1</formula1>
      <formula2>5</formula2>
    </dataValidation>
    <dataValidation sqref="Q24" showDropDown="0" showInputMessage="0" showErrorMessage="0" allowBlank="0" type="list">
      <formula1>"High,Medium,Low,Unknown"</formula1>
    </dataValidation>
    <dataValidation sqref="V24" showDropDown="0" showInputMessage="0" showErrorMessage="0" allowBlank="0" type="list">
      <formula1>"Continue,Enhance,Review,Discontinue"</formula1>
    </dataValidation>
    <dataValidation sqref="A2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5 K25 M25" showDropDown="0" showInputMessage="0" showErrorMessage="0" allowBlank="0" type="whole" operator="between">
      <formula1>1</formula1>
      <formula2>5</formula2>
    </dataValidation>
    <dataValidation sqref="Q25" showDropDown="0" showInputMessage="0" showErrorMessage="0" allowBlank="0" type="list">
      <formula1>"High,Medium,Low,Unknown"</formula1>
    </dataValidation>
    <dataValidation sqref="V25" showDropDown="0" showInputMessage="0" showErrorMessage="0" allowBlank="0" type="list">
      <formula1>"Continue,Enhance,Review,Discontinue"</formula1>
    </dataValidation>
    <dataValidation sqref="A2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6 K26 M26" showDropDown="0" showInputMessage="0" showErrorMessage="0" allowBlank="0" type="whole" operator="between">
      <formula1>1</formula1>
      <formula2>5</formula2>
    </dataValidation>
    <dataValidation sqref="Q26" showDropDown="0" showInputMessage="0" showErrorMessage="0" allowBlank="0" type="list">
      <formula1>"High,Medium,Low,Unknown"</formula1>
    </dataValidation>
    <dataValidation sqref="V26" showDropDown="0" showInputMessage="0" showErrorMessage="0" allowBlank="0" type="list">
      <formula1>"Continue,Enhance,Review,Discontinue"</formula1>
    </dataValidation>
    <dataValidation sqref="A2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7 K27 M27" showDropDown="0" showInputMessage="0" showErrorMessage="0" allowBlank="0" type="whole" operator="between">
      <formula1>1</formula1>
      <formula2>5</formula2>
    </dataValidation>
    <dataValidation sqref="Q27" showDropDown="0" showInputMessage="0" showErrorMessage="0" allowBlank="0" type="list">
      <formula1>"High,Medium,Low,Unknown"</formula1>
    </dataValidation>
    <dataValidation sqref="V27" showDropDown="0" showInputMessage="0" showErrorMessage="0" allowBlank="0" type="list">
      <formula1>"Continue,Enhance,Review,Discontinue"</formula1>
    </dataValidation>
    <dataValidation sqref="A2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8 K28 M28" showDropDown="0" showInputMessage="0" showErrorMessage="0" allowBlank="0" type="whole" operator="between">
      <formula1>1</formula1>
      <formula2>5</formula2>
    </dataValidation>
    <dataValidation sqref="Q28" showDropDown="0" showInputMessage="0" showErrorMessage="0" allowBlank="0" type="list">
      <formula1>"High,Medium,Low,Unknown"</formula1>
    </dataValidation>
    <dataValidation sqref="V28" showDropDown="0" showInputMessage="0" showErrorMessage="0" allowBlank="0" type="list">
      <formula1>"Continue,Enhance,Review,Discontinue"</formula1>
    </dataValidation>
    <dataValidation sqref="A2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29 K29 M29" showDropDown="0" showInputMessage="0" showErrorMessage="0" allowBlank="0" type="whole" operator="between">
      <formula1>1</formula1>
      <formula2>5</formula2>
    </dataValidation>
    <dataValidation sqref="Q29" showDropDown="0" showInputMessage="0" showErrorMessage="0" allowBlank="0" type="list">
      <formula1>"High,Medium,Low,Unknown"</formula1>
    </dataValidation>
    <dataValidation sqref="V29" showDropDown="0" showInputMessage="0" showErrorMessage="0" allowBlank="0" type="list">
      <formula1>"Continue,Enhance,Review,Discontinue"</formula1>
    </dataValidation>
    <dataValidation sqref="A3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0 K30 M30" showDropDown="0" showInputMessage="0" showErrorMessage="0" allowBlank="0" type="whole" operator="between">
      <formula1>1</formula1>
      <formula2>5</formula2>
    </dataValidation>
    <dataValidation sqref="Q30" showDropDown="0" showInputMessage="0" showErrorMessage="0" allowBlank="0" type="list">
      <formula1>"High,Medium,Low,Unknown"</formula1>
    </dataValidation>
    <dataValidation sqref="V30" showDropDown="0" showInputMessage="0" showErrorMessage="0" allowBlank="0" type="list">
      <formula1>"Continue,Enhance,Review,Discontinue"</formula1>
    </dataValidation>
    <dataValidation sqref="A3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1 K31 M31" showDropDown="0" showInputMessage="0" showErrorMessage="0" allowBlank="0" type="whole" operator="between">
      <formula1>1</formula1>
      <formula2>5</formula2>
    </dataValidation>
    <dataValidation sqref="Q31" showDropDown="0" showInputMessage="0" showErrorMessage="0" allowBlank="0" type="list">
      <formula1>"High,Medium,Low,Unknown"</formula1>
    </dataValidation>
    <dataValidation sqref="V31" showDropDown="0" showInputMessage="0" showErrorMessage="0" allowBlank="0" type="list">
      <formula1>"Continue,Enhance,Review,Discontinue"</formula1>
    </dataValidation>
    <dataValidation sqref="A3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2 K32 M32" showDropDown="0" showInputMessage="0" showErrorMessage="0" allowBlank="0" type="whole" operator="between">
      <formula1>1</formula1>
      <formula2>5</formula2>
    </dataValidation>
    <dataValidation sqref="Q32" showDropDown="0" showInputMessage="0" showErrorMessage="0" allowBlank="0" type="list">
      <formula1>"High,Medium,Low,Unknown"</formula1>
    </dataValidation>
    <dataValidation sqref="V32" showDropDown="0" showInputMessage="0" showErrorMessage="0" allowBlank="0" type="list">
      <formula1>"Continue,Enhance,Review,Discontinue"</formula1>
    </dataValidation>
    <dataValidation sqref="A3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3 K33 M33" showDropDown="0" showInputMessage="0" showErrorMessage="0" allowBlank="0" type="whole" operator="between">
      <formula1>1</formula1>
      <formula2>5</formula2>
    </dataValidation>
    <dataValidation sqref="Q33" showDropDown="0" showInputMessage="0" showErrorMessage="0" allowBlank="0" type="list">
      <formula1>"High,Medium,Low,Unknown"</formula1>
    </dataValidation>
    <dataValidation sqref="V33" showDropDown="0" showInputMessage="0" showErrorMessage="0" allowBlank="0" type="list">
      <formula1>"Continue,Enhance,Review,Discontinue"</formula1>
    </dataValidation>
    <dataValidation sqref="A3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4 K34 M34" showDropDown="0" showInputMessage="0" showErrorMessage="0" allowBlank="0" type="whole" operator="between">
      <formula1>1</formula1>
      <formula2>5</formula2>
    </dataValidation>
    <dataValidation sqref="Q34" showDropDown="0" showInputMessage="0" showErrorMessage="0" allowBlank="0" type="list">
      <formula1>"High,Medium,Low,Unknown"</formula1>
    </dataValidation>
    <dataValidation sqref="V34" showDropDown="0" showInputMessage="0" showErrorMessage="0" allowBlank="0" type="list">
      <formula1>"Continue,Enhance,Review,Discontinue"</formula1>
    </dataValidation>
    <dataValidation sqref="A3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5 K35 M35" showDropDown="0" showInputMessage="0" showErrorMessage="0" allowBlank="0" type="whole" operator="between">
      <formula1>1</formula1>
      <formula2>5</formula2>
    </dataValidation>
    <dataValidation sqref="Q35" showDropDown="0" showInputMessage="0" showErrorMessage="0" allowBlank="0" type="list">
      <formula1>"High,Medium,Low,Unknown"</formula1>
    </dataValidation>
    <dataValidation sqref="V35" showDropDown="0" showInputMessage="0" showErrorMessage="0" allowBlank="0" type="list">
      <formula1>"Continue,Enhance,Review,Discontinue"</formula1>
    </dataValidation>
    <dataValidation sqref="A3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6 K36 M36" showDropDown="0" showInputMessage="0" showErrorMessage="0" allowBlank="0" type="whole" operator="between">
      <formula1>1</formula1>
      <formula2>5</formula2>
    </dataValidation>
    <dataValidation sqref="Q36" showDropDown="0" showInputMessage="0" showErrorMessage="0" allowBlank="0" type="list">
      <formula1>"High,Medium,Low,Unknown"</formula1>
    </dataValidation>
    <dataValidation sqref="V36" showDropDown="0" showInputMessage="0" showErrorMessage="0" allowBlank="0" type="list">
      <formula1>"Continue,Enhance,Review,Discontinue"</formula1>
    </dataValidation>
    <dataValidation sqref="A3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7 K37 M37" showDropDown="0" showInputMessage="0" showErrorMessage="0" allowBlank="0" type="whole" operator="between">
      <formula1>1</formula1>
      <formula2>5</formula2>
    </dataValidation>
    <dataValidation sqref="Q37" showDropDown="0" showInputMessage="0" showErrorMessage="0" allowBlank="0" type="list">
      <formula1>"High,Medium,Low,Unknown"</formula1>
    </dataValidation>
    <dataValidation sqref="V37" showDropDown="0" showInputMessage="0" showErrorMessage="0" allowBlank="0" type="list">
      <formula1>"Continue,Enhance,Review,Discontinue"</formula1>
    </dataValidation>
    <dataValidation sqref="A3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8 K38 M38" showDropDown="0" showInputMessage="0" showErrorMessage="0" allowBlank="0" type="whole" operator="between">
      <formula1>1</formula1>
      <formula2>5</formula2>
    </dataValidation>
    <dataValidation sqref="Q38" showDropDown="0" showInputMessage="0" showErrorMessage="0" allowBlank="0" type="list">
      <formula1>"High,Medium,Low,Unknown"</formula1>
    </dataValidation>
    <dataValidation sqref="V38" showDropDown="0" showInputMessage="0" showErrorMessage="0" allowBlank="0" type="list">
      <formula1>"Continue,Enhance,Review,Discontinue"</formula1>
    </dataValidation>
    <dataValidation sqref="A3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39 K39 M39" showDropDown="0" showInputMessage="0" showErrorMessage="0" allowBlank="0" type="whole" operator="between">
      <formula1>1</formula1>
      <formula2>5</formula2>
    </dataValidation>
    <dataValidation sqref="Q39" showDropDown="0" showInputMessage="0" showErrorMessage="0" allowBlank="0" type="list">
      <formula1>"High,Medium,Low,Unknown"</formula1>
    </dataValidation>
    <dataValidation sqref="V39" showDropDown="0" showInputMessage="0" showErrorMessage="0" allowBlank="0" type="list">
      <formula1>"Continue,Enhance,Review,Discontinue"</formula1>
    </dataValidation>
    <dataValidation sqref="A4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0 K40 M40" showDropDown="0" showInputMessage="0" showErrorMessage="0" allowBlank="0" type="whole" operator="between">
      <formula1>1</formula1>
      <formula2>5</formula2>
    </dataValidation>
    <dataValidation sqref="Q40" showDropDown="0" showInputMessage="0" showErrorMessage="0" allowBlank="0" type="list">
      <formula1>"High,Medium,Low,Unknown"</formula1>
    </dataValidation>
    <dataValidation sqref="V40" showDropDown="0" showInputMessage="0" showErrorMessage="0" allowBlank="0" type="list">
      <formula1>"Continue,Enhance,Review,Discontinue"</formula1>
    </dataValidation>
    <dataValidation sqref="A4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1 K41 M41" showDropDown="0" showInputMessage="0" showErrorMessage="0" allowBlank="0" type="whole" operator="between">
      <formula1>1</formula1>
      <formula2>5</formula2>
    </dataValidation>
    <dataValidation sqref="Q41" showDropDown="0" showInputMessage="0" showErrorMessage="0" allowBlank="0" type="list">
      <formula1>"High,Medium,Low,Unknown"</formula1>
    </dataValidation>
    <dataValidation sqref="V41" showDropDown="0" showInputMessage="0" showErrorMessage="0" allowBlank="0" type="list">
      <formula1>"Continue,Enhance,Review,Discontinue"</formula1>
    </dataValidation>
    <dataValidation sqref="A4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2 K42 M42" showDropDown="0" showInputMessage="0" showErrorMessage="0" allowBlank="0" type="whole" operator="between">
      <formula1>1</formula1>
      <formula2>5</formula2>
    </dataValidation>
    <dataValidation sqref="Q42" showDropDown="0" showInputMessage="0" showErrorMessage="0" allowBlank="0" type="list">
      <formula1>"High,Medium,Low,Unknown"</formula1>
    </dataValidation>
    <dataValidation sqref="V42" showDropDown="0" showInputMessage="0" showErrorMessage="0" allowBlank="0" type="list">
      <formula1>"Continue,Enhance,Review,Discontinue"</formula1>
    </dataValidation>
    <dataValidation sqref="A4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3 K43 M43" showDropDown="0" showInputMessage="0" showErrorMessage="0" allowBlank="0" type="whole" operator="between">
      <formula1>1</formula1>
      <formula2>5</formula2>
    </dataValidation>
    <dataValidation sqref="Q43" showDropDown="0" showInputMessage="0" showErrorMessage="0" allowBlank="0" type="list">
      <formula1>"High,Medium,Low,Unknown"</formula1>
    </dataValidation>
    <dataValidation sqref="V43" showDropDown="0" showInputMessage="0" showErrorMessage="0" allowBlank="0" type="list">
      <formula1>"Continue,Enhance,Review,Discontinue"</formula1>
    </dataValidation>
    <dataValidation sqref="A4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4 K44 M44" showDropDown="0" showInputMessage="0" showErrorMessage="0" allowBlank="0" type="whole" operator="between">
      <formula1>1</formula1>
      <formula2>5</formula2>
    </dataValidation>
    <dataValidation sqref="Q44" showDropDown="0" showInputMessage="0" showErrorMessage="0" allowBlank="0" type="list">
      <formula1>"High,Medium,Low,Unknown"</formula1>
    </dataValidation>
    <dataValidation sqref="V44" showDropDown="0" showInputMessage="0" showErrorMessage="0" allowBlank="0" type="list">
      <formula1>"Continue,Enhance,Review,Discontinue"</formula1>
    </dataValidation>
    <dataValidation sqref="A4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5 K45 M45" showDropDown="0" showInputMessage="0" showErrorMessage="0" allowBlank="0" type="whole" operator="between">
      <formula1>1</formula1>
      <formula2>5</formula2>
    </dataValidation>
    <dataValidation sqref="Q45" showDropDown="0" showInputMessage="0" showErrorMessage="0" allowBlank="0" type="list">
      <formula1>"High,Medium,Low,Unknown"</formula1>
    </dataValidation>
    <dataValidation sqref="V45" showDropDown="0" showInputMessage="0" showErrorMessage="0" allowBlank="0" type="list">
      <formula1>"Continue,Enhance,Review,Discontinue"</formula1>
    </dataValidation>
    <dataValidation sqref="A4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6 K46 M46" showDropDown="0" showInputMessage="0" showErrorMessage="0" allowBlank="0" type="whole" operator="between">
      <formula1>1</formula1>
      <formula2>5</formula2>
    </dataValidation>
    <dataValidation sqref="Q46" showDropDown="0" showInputMessage="0" showErrorMessage="0" allowBlank="0" type="list">
      <formula1>"High,Medium,Low,Unknown"</formula1>
    </dataValidation>
    <dataValidation sqref="V46" showDropDown="0" showInputMessage="0" showErrorMessage="0" allowBlank="0" type="list">
      <formula1>"Continue,Enhance,Review,Discontinue"</formula1>
    </dataValidation>
    <dataValidation sqref="A4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7 K47 M47" showDropDown="0" showInputMessage="0" showErrorMessage="0" allowBlank="0" type="whole" operator="between">
      <formula1>1</formula1>
      <formula2>5</formula2>
    </dataValidation>
    <dataValidation sqref="Q47" showDropDown="0" showInputMessage="0" showErrorMessage="0" allowBlank="0" type="list">
      <formula1>"High,Medium,Low,Unknown"</formula1>
    </dataValidation>
    <dataValidation sqref="V47" showDropDown="0" showInputMessage="0" showErrorMessage="0" allowBlank="0" type="list">
      <formula1>"Continue,Enhance,Review,Discontinue"</formula1>
    </dataValidation>
    <dataValidation sqref="A4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8 K48 M48" showDropDown="0" showInputMessage="0" showErrorMessage="0" allowBlank="0" type="whole" operator="between">
      <formula1>1</formula1>
      <formula2>5</formula2>
    </dataValidation>
    <dataValidation sqref="Q48" showDropDown="0" showInputMessage="0" showErrorMessage="0" allowBlank="0" type="list">
      <formula1>"High,Medium,Low,Unknown"</formula1>
    </dataValidation>
    <dataValidation sqref="V48" showDropDown="0" showInputMessage="0" showErrorMessage="0" allowBlank="0" type="list">
      <formula1>"Continue,Enhance,Review,Discontinue"</formula1>
    </dataValidation>
    <dataValidation sqref="A4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49 K49 M49" showDropDown="0" showInputMessage="0" showErrorMessage="0" allowBlank="0" type="whole" operator="between">
      <formula1>1</formula1>
      <formula2>5</formula2>
    </dataValidation>
    <dataValidation sqref="Q49" showDropDown="0" showInputMessage="0" showErrorMessage="0" allowBlank="0" type="list">
      <formula1>"High,Medium,Low,Unknown"</formula1>
    </dataValidation>
    <dataValidation sqref="V49" showDropDown="0" showInputMessage="0" showErrorMessage="0" allowBlank="0" type="list">
      <formula1>"Continue,Enhance,Review,Discontinue"</formula1>
    </dataValidation>
    <dataValidation sqref="A5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0 K50 M50" showDropDown="0" showInputMessage="0" showErrorMessage="0" allowBlank="0" type="whole" operator="between">
      <formula1>1</formula1>
      <formula2>5</formula2>
    </dataValidation>
    <dataValidation sqref="Q50" showDropDown="0" showInputMessage="0" showErrorMessage="0" allowBlank="0" type="list">
      <formula1>"High,Medium,Low,Unknown"</formula1>
    </dataValidation>
    <dataValidation sqref="V50" showDropDown="0" showInputMessage="0" showErrorMessage="0" allowBlank="0" type="list">
      <formula1>"Continue,Enhance,Review,Discontinue"</formula1>
    </dataValidation>
    <dataValidation sqref="A5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1 K51 M51" showDropDown="0" showInputMessage="0" showErrorMessage="0" allowBlank="0" type="whole" operator="between">
      <formula1>1</formula1>
      <formula2>5</formula2>
    </dataValidation>
    <dataValidation sqref="Q51" showDropDown="0" showInputMessage="0" showErrorMessage="0" allowBlank="0" type="list">
      <formula1>"High,Medium,Low,Unknown"</formula1>
    </dataValidation>
    <dataValidation sqref="V51" showDropDown="0" showInputMessage="0" showErrorMessage="0" allowBlank="0" type="list">
      <formula1>"Continue,Enhance,Review,Discontinue"</formula1>
    </dataValidation>
    <dataValidation sqref="A5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2 K52 M52" showDropDown="0" showInputMessage="0" showErrorMessage="0" allowBlank="0" type="whole" operator="between">
      <formula1>1</formula1>
      <formula2>5</formula2>
    </dataValidation>
    <dataValidation sqref="Q52" showDropDown="0" showInputMessage="0" showErrorMessage="0" allowBlank="0" type="list">
      <formula1>"High,Medium,Low,Unknown"</formula1>
    </dataValidation>
    <dataValidation sqref="V52" showDropDown="0" showInputMessage="0" showErrorMessage="0" allowBlank="0" type="list">
      <formula1>"Continue,Enhance,Review,Discontinue"</formula1>
    </dataValidation>
    <dataValidation sqref="A5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3 K53 M53" showDropDown="0" showInputMessage="0" showErrorMessage="0" allowBlank="0" type="whole" operator="between">
      <formula1>1</formula1>
      <formula2>5</formula2>
    </dataValidation>
    <dataValidation sqref="Q53" showDropDown="0" showInputMessage="0" showErrorMessage="0" allowBlank="0" type="list">
      <formula1>"High,Medium,Low,Unknown"</formula1>
    </dataValidation>
    <dataValidation sqref="V53" showDropDown="0" showInputMessage="0" showErrorMessage="0" allowBlank="0" type="list">
      <formula1>"Continue,Enhance,Review,Discontinue"</formula1>
    </dataValidation>
    <dataValidation sqref="A5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4 K54 M54" showDropDown="0" showInputMessage="0" showErrorMessage="0" allowBlank="0" type="whole" operator="between">
      <formula1>1</formula1>
      <formula2>5</formula2>
    </dataValidation>
    <dataValidation sqref="Q54" showDropDown="0" showInputMessage="0" showErrorMessage="0" allowBlank="0" type="list">
      <formula1>"High,Medium,Low,Unknown"</formula1>
    </dataValidation>
    <dataValidation sqref="V54" showDropDown="0" showInputMessage="0" showErrorMessage="0" allowBlank="0" type="list">
      <formula1>"Continue,Enhance,Review,Discontinue"</formula1>
    </dataValidation>
    <dataValidation sqref="A5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5 K55 M55" showDropDown="0" showInputMessage="0" showErrorMessage="0" allowBlank="0" type="whole" operator="between">
      <formula1>1</formula1>
      <formula2>5</formula2>
    </dataValidation>
    <dataValidation sqref="Q55" showDropDown="0" showInputMessage="0" showErrorMessage="0" allowBlank="0" type="list">
      <formula1>"High,Medium,Low,Unknown"</formula1>
    </dataValidation>
    <dataValidation sqref="V55" showDropDown="0" showInputMessage="0" showErrorMessage="0" allowBlank="0" type="list">
      <formula1>"Continue,Enhance,Review,Discontinue"</formula1>
    </dataValidation>
    <dataValidation sqref="A5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6 K56 M56" showDropDown="0" showInputMessage="0" showErrorMessage="0" allowBlank="0" type="whole" operator="between">
      <formula1>1</formula1>
      <formula2>5</formula2>
    </dataValidation>
    <dataValidation sqref="Q56" showDropDown="0" showInputMessage="0" showErrorMessage="0" allowBlank="0" type="list">
      <formula1>"High,Medium,Low,Unknown"</formula1>
    </dataValidation>
    <dataValidation sqref="V56" showDropDown="0" showInputMessage="0" showErrorMessage="0" allowBlank="0" type="list">
      <formula1>"Continue,Enhance,Review,Discontinue"</formula1>
    </dataValidation>
    <dataValidation sqref="A5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7 K57 M57" showDropDown="0" showInputMessage="0" showErrorMessage="0" allowBlank="0" type="whole" operator="between">
      <formula1>1</formula1>
      <formula2>5</formula2>
    </dataValidation>
    <dataValidation sqref="Q57" showDropDown="0" showInputMessage="0" showErrorMessage="0" allowBlank="0" type="list">
      <formula1>"High,Medium,Low,Unknown"</formula1>
    </dataValidation>
    <dataValidation sqref="V57" showDropDown="0" showInputMessage="0" showErrorMessage="0" allowBlank="0" type="list">
      <formula1>"Continue,Enhance,Review,Discontinue"</formula1>
    </dataValidation>
    <dataValidation sqref="A5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8 K58 M58" showDropDown="0" showInputMessage="0" showErrorMessage="0" allowBlank="0" type="whole" operator="between">
      <formula1>1</formula1>
      <formula2>5</formula2>
    </dataValidation>
    <dataValidation sqref="Q58" showDropDown="0" showInputMessage="0" showErrorMessage="0" allowBlank="0" type="list">
      <formula1>"High,Medium,Low,Unknown"</formula1>
    </dataValidation>
    <dataValidation sqref="V58" showDropDown="0" showInputMessage="0" showErrorMessage="0" allowBlank="0" type="list">
      <formula1>"Continue,Enhance,Review,Discontinue"</formula1>
    </dataValidation>
    <dataValidation sqref="A5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59 K59 M59" showDropDown="0" showInputMessage="0" showErrorMessage="0" allowBlank="0" type="whole" operator="between">
      <formula1>1</formula1>
      <formula2>5</formula2>
    </dataValidation>
    <dataValidation sqref="Q59" showDropDown="0" showInputMessage="0" showErrorMessage="0" allowBlank="0" type="list">
      <formula1>"High,Medium,Low,Unknown"</formula1>
    </dataValidation>
    <dataValidation sqref="V59" showDropDown="0" showInputMessage="0" showErrorMessage="0" allowBlank="0" type="list">
      <formula1>"Continue,Enhance,Review,Discontinue"</formula1>
    </dataValidation>
    <dataValidation sqref="A6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0 K60 M60" showDropDown="0" showInputMessage="0" showErrorMessage="0" allowBlank="0" type="whole" operator="between">
      <formula1>1</formula1>
      <formula2>5</formula2>
    </dataValidation>
    <dataValidation sqref="Q60" showDropDown="0" showInputMessage="0" showErrorMessage="0" allowBlank="0" type="list">
      <formula1>"High,Medium,Low,Unknown"</formula1>
    </dataValidation>
    <dataValidation sqref="V60" showDropDown="0" showInputMessage="0" showErrorMessage="0" allowBlank="0" type="list">
      <formula1>"Continue,Enhance,Review,Discontinue"</formula1>
    </dataValidation>
    <dataValidation sqref="A6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1 K61 M61" showDropDown="0" showInputMessage="0" showErrorMessage="0" allowBlank="0" type="whole" operator="between">
      <formula1>1</formula1>
      <formula2>5</formula2>
    </dataValidation>
    <dataValidation sqref="Q61" showDropDown="0" showInputMessage="0" showErrorMessage="0" allowBlank="0" type="list">
      <formula1>"High,Medium,Low,Unknown"</formula1>
    </dataValidation>
    <dataValidation sqref="V61" showDropDown="0" showInputMessage="0" showErrorMessage="0" allowBlank="0" type="list">
      <formula1>"Continue,Enhance,Review,Discontinue"</formula1>
    </dataValidation>
    <dataValidation sqref="A6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2 K62 M62" showDropDown="0" showInputMessage="0" showErrorMessage="0" allowBlank="0" type="whole" operator="between">
      <formula1>1</formula1>
      <formula2>5</formula2>
    </dataValidation>
    <dataValidation sqref="Q62" showDropDown="0" showInputMessage="0" showErrorMessage="0" allowBlank="0" type="list">
      <formula1>"High,Medium,Low,Unknown"</formula1>
    </dataValidation>
    <dataValidation sqref="V62" showDropDown="0" showInputMessage="0" showErrorMessage="0" allowBlank="0" type="list">
      <formula1>"Continue,Enhance,Review,Discontinue"</formula1>
    </dataValidation>
    <dataValidation sqref="A6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3 K63 M63" showDropDown="0" showInputMessage="0" showErrorMessage="0" allowBlank="0" type="whole" operator="between">
      <formula1>1</formula1>
      <formula2>5</formula2>
    </dataValidation>
    <dataValidation sqref="Q63" showDropDown="0" showInputMessage="0" showErrorMessage="0" allowBlank="0" type="list">
      <formula1>"High,Medium,Low,Unknown"</formula1>
    </dataValidation>
    <dataValidation sqref="V63" showDropDown="0" showInputMessage="0" showErrorMessage="0" allowBlank="0" type="list">
      <formula1>"Continue,Enhance,Review,Discontinue"</formula1>
    </dataValidation>
    <dataValidation sqref="A6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4 K64 M64" showDropDown="0" showInputMessage="0" showErrorMessage="0" allowBlank="0" type="whole" operator="between">
      <formula1>1</formula1>
      <formula2>5</formula2>
    </dataValidation>
    <dataValidation sqref="Q64" showDropDown="0" showInputMessage="0" showErrorMessage="0" allowBlank="0" type="list">
      <formula1>"High,Medium,Low,Unknown"</formula1>
    </dataValidation>
    <dataValidation sqref="V64" showDropDown="0" showInputMessage="0" showErrorMessage="0" allowBlank="0" type="list">
      <formula1>"Continue,Enhance,Review,Discontinue"</formula1>
    </dataValidation>
    <dataValidation sqref="A6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5 K65 M65" showDropDown="0" showInputMessage="0" showErrorMessage="0" allowBlank="0" type="whole" operator="between">
      <formula1>1</formula1>
      <formula2>5</formula2>
    </dataValidation>
    <dataValidation sqref="Q65" showDropDown="0" showInputMessage="0" showErrorMessage="0" allowBlank="0" type="list">
      <formula1>"High,Medium,Low,Unknown"</formula1>
    </dataValidation>
    <dataValidation sqref="V65" showDropDown="0" showInputMessage="0" showErrorMessage="0" allowBlank="0" type="list">
      <formula1>"Continue,Enhance,Review,Discontinue"</formula1>
    </dataValidation>
    <dataValidation sqref="A6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6 K66 M66" showDropDown="0" showInputMessage="0" showErrorMessage="0" allowBlank="0" type="whole" operator="between">
      <formula1>1</formula1>
      <formula2>5</formula2>
    </dataValidation>
    <dataValidation sqref="Q66" showDropDown="0" showInputMessage="0" showErrorMessage="0" allowBlank="0" type="list">
      <formula1>"High,Medium,Low,Unknown"</formula1>
    </dataValidation>
    <dataValidation sqref="V66" showDropDown="0" showInputMessage="0" showErrorMessage="0" allowBlank="0" type="list">
      <formula1>"Continue,Enhance,Review,Discontinue"</formula1>
    </dataValidation>
    <dataValidation sqref="A6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7 K67 M67" showDropDown="0" showInputMessage="0" showErrorMessage="0" allowBlank="0" type="whole" operator="between">
      <formula1>1</formula1>
      <formula2>5</formula2>
    </dataValidation>
    <dataValidation sqref="Q67" showDropDown="0" showInputMessage="0" showErrorMessage="0" allowBlank="0" type="list">
      <formula1>"High,Medium,Low,Unknown"</formula1>
    </dataValidation>
    <dataValidation sqref="V67" showDropDown="0" showInputMessage="0" showErrorMessage="0" allowBlank="0" type="list">
      <formula1>"Continue,Enhance,Review,Discontinue"</formula1>
    </dataValidation>
    <dataValidation sqref="A6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8 K68 M68" showDropDown="0" showInputMessage="0" showErrorMessage="0" allowBlank="0" type="whole" operator="between">
      <formula1>1</formula1>
      <formula2>5</formula2>
    </dataValidation>
    <dataValidation sqref="Q68" showDropDown="0" showInputMessage="0" showErrorMessage="0" allowBlank="0" type="list">
      <formula1>"High,Medium,Low,Unknown"</formula1>
    </dataValidation>
    <dataValidation sqref="V68" showDropDown="0" showInputMessage="0" showErrorMessage="0" allowBlank="0" type="list">
      <formula1>"Continue,Enhance,Review,Discontinue"</formula1>
    </dataValidation>
    <dataValidation sqref="A6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69 K69 M69" showDropDown="0" showInputMessage="0" showErrorMessage="0" allowBlank="0" type="whole" operator="between">
      <formula1>1</formula1>
      <formula2>5</formula2>
    </dataValidation>
    <dataValidation sqref="Q69" showDropDown="0" showInputMessage="0" showErrorMessage="0" allowBlank="0" type="list">
      <formula1>"High,Medium,Low,Unknown"</formula1>
    </dataValidation>
    <dataValidation sqref="V69" showDropDown="0" showInputMessage="0" showErrorMessage="0" allowBlank="0" type="list">
      <formula1>"Continue,Enhance,Review,Discontinue"</formula1>
    </dataValidation>
    <dataValidation sqref="A7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0 K70 M70" showDropDown="0" showInputMessage="0" showErrorMessage="0" allowBlank="0" type="whole" operator="between">
      <formula1>1</formula1>
      <formula2>5</formula2>
    </dataValidation>
    <dataValidation sqref="Q70" showDropDown="0" showInputMessage="0" showErrorMessage="0" allowBlank="0" type="list">
      <formula1>"High,Medium,Low,Unknown"</formula1>
    </dataValidation>
    <dataValidation sqref="V70" showDropDown="0" showInputMessage="0" showErrorMessage="0" allowBlank="0" type="list">
      <formula1>"Continue,Enhance,Review,Discontinue"</formula1>
    </dataValidation>
    <dataValidation sqref="A7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1 K71 M71" showDropDown="0" showInputMessage="0" showErrorMessage="0" allowBlank="0" type="whole" operator="between">
      <formula1>1</formula1>
      <formula2>5</formula2>
    </dataValidation>
    <dataValidation sqref="Q71" showDropDown="0" showInputMessage="0" showErrorMessage="0" allowBlank="0" type="list">
      <formula1>"High,Medium,Low,Unknown"</formula1>
    </dataValidation>
    <dataValidation sqref="V71" showDropDown="0" showInputMessage="0" showErrorMessage="0" allowBlank="0" type="list">
      <formula1>"Continue,Enhance,Review,Discontinue"</formula1>
    </dataValidation>
    <dataValidation sqref="A7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2 K72 M72" showDropDown="0" showInputMessage="0" showErrorMessage="0" allowBlank="0" type="whole" operator="between">
      <formula1>1</formula1>
      <formula2>5</formula2>
    </dataValidation>
    <dataValidation sqref="Q72" showDropDown="0" showInputMessage="0" showErrorMessage="0" allowBlank="0" type="list">
      <formula1>"High,Medium,Low,Unknown"</formula1>
    </dataValidation>
    <dataValidation sqref="V72" showDropDown="0" showInputMessage="0" showErrorMessage="0" allowBlank="0" type="list">
      <formula1>"Continue,Enhance,Review,Discontinue"</formula1>
    </dataValidation>
    <dataValidation sqref="A7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3 K73 M73" showDropDown="0" showInputMessage="0" showErrorMessage="0" allowBlank="0" type="whole" operator="between">
      <formula1>1</formula1>
      <formula2>5</formula2>
    </dataValidation>
    <dataValidation sqref="Q73" showDropDown="0" showInputMessage="0" showErrorMessage="0" allowBlank="0" type="list">
      <formula1>"High,Medium,Low,Unknown"</formula1>
    </dataValidation>
    <dataValidation sqref="V73" showDropDown="0" showInputMessage="0" showErrorMessage="0" allowBlank="0" type="list">
      <formula1>"Continue,Enhance,Review,Discontinue"</formula1>
    </dataValidation>
    <dataValidation sqref="A7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4 K74 M74" showDropDown="0" showInputMessage="0" showErrorMessage="0" allowBlank="0" type="whole" operator="between">
      <formula1>1</formula1>
      <formula2>5</formula2>
    </dataValidation>
    <dataValidation sqref="Q74" showDropDown="0" showInputMessage="0" showErrorMessage="0" allowBlank="0" type="list">
      <formula1>"High,Medium,Low,Unknown"</formula1>
    </dataValidation>
    <dataValidation sqref="V74" showDropDown="0" showInputMessage="0" showErrorMessage="0" allowBlank="0" type="list">
      <formula1>"Continue,Enhance,Review,Discontinue"</formula1>
    </dataValidation>
    <dataValidation sqref="A7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5 K75 M75" showDropDown="0" showInputMessage="0" showErrorMessage="0" allowBlank="0" type="whole" operator="between">
      <formula1>1</formula1>
      <formula2>5</formula2>
    </dataValidation>
    <dataValidation sqref="Q75" showDropDown="0" showInputMessage="0" showErrorMessage="0" allowBlank="0" type="list">
      <formula1>"High,Medium,Low,Unknown"</formula1>
    </dataValidation>
    <dataValidation sqref="V75" showDropDown="0" showInputMessage="0" showErrorMessage="0" allowBlank="0" type="list">
      <formula1>"Continue,Enhance,Review,Discontinue"</formula1>
    </dataValidation>
    <dataValidation sqref="A7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6 K76 M76" showDropDown="0" showInputMessage="0" showErrorMessage="0" allowBlank="0" type="whole" operator="between">
      <formula1>1</formula1>
      <formula2>5</formula2>
    </dataValidation>
    <dataValidation sqref="Q76" showDropDown="0" showInputMessage="0" showErrorMessage="0" allowBlank="0" type="list">
      <formula1>"High,Medium,Low,Unknown"</formula1>
    </dataValidation>
    <dataValidation sqref="V76" showDropDown="0" showInputMessage="0" showErrorMessage="0" allowBlank="0" type="list">
      <formula1>"Continue,Enhance,Review,Discontinue"</formula1>
    </dataValidation>
    <dataValidation sqref="A7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7 K77 M77" showDropDown="0" showInputMessage="0" showErrorMessage="0" allowBlank="0" type="whole" operator="between">
      <formula1>1</formula1>
      <formula2>5</formula2>
    </dataValidation>
    <dataValidation sqref="Q77" showDropDown="0" showInputMessage="0" showErrorMessage="0" allowBlank="0" type="list">
      <formula1>"High,Medium,Low,Unknown"</formula1>
    </dataValidation>
    <dataValidation sqref="V77" showDropDown="0" showInputMessage="0" showErrorMessage="0" allowBlank="0" type="list">
      <formula1>"Continue,Enhance,Review,Discontinue"</formula1>
    </dataValidation>
    <dataValidation sqref="A7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8 K78 M78" showDropDown="0" showInputMessage="0" showErrorMessage="0" allowBlank="0" type="whole" operator="between">
      <formula1>1</formula1>
      <formula2>5</formula2>
    </dataValidation>
    <dataValidation sqref="Q78" showDropDown="0" showInputMessage="0" showErrorMessage="0" allowBlank="0" type="list">
      <formula1>"High,Medium,Low,Unknown"</formula1>
    </dataValidation>
    <dataValidation sqref="V78" showDropDown="0" showInputMessage="0" showErrorMessage="0" allowBlank="0" type="list">
      <formula1>"Continue,Enhance,Review,Discontinue"</formula1>
    </dataValidation>
    <dataValidation sqref="A7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79 K79 M79" showDropDown="0" showInputMessage="0" showErrorMessage="0" allowBlank="0" type="whole" operator="between">
      <formula1>1</formula1>
      <formula2>5</formula2>
    </dataValidation>
    <dataValidation sqref="Q79" showDropDown="0" showInputMessage="0" showErrorMessage="0" allowBlank="0" type="list">
      <formula1>"High,Medium,Low,Unknown"</formula1>
    </dataValidation>
    <dataValidation sqref="V79" showDropDown="0" showInputMessage="0" showErrorMessage="0" allowBlank="0" type="list">
      <formula1>"Continue,Enhance,Review,Discontinue"</formula1>
    </dataValidation>
    <dataValidation sqref="A8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0 K80 M80" showDropDown="0" showInputMessage="0" showErrorMessage="0" allowBlank="0" type="whole" operator="between">
      <formula1>1</formula1>
      <formula2>5</formula2>
    </dataValidation>
    <dataValidation sqref="Q80" showDropDown="0" showInputMessage="0" showErrorMessage="0" allowBlank="0" type="list">
      <formula1>"High,Medium,Low,Unknown"</formula1>
    </dataValidation>
    <dataValidation sqref="V80" showDropDown="0" showInputMessage="0" showErrorMessage="0" allowBlank="0" type="list">
      <formula1>"Continue,Enhance,Review,Discontinue"</formula1>
    </dataValidation>
    <dataValidation sqref="A8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1 K81 M81" showDropDown="0" showInputMessage="0" showErrorMessage="0" allowBlank="0" type="whole" operator="between">
      <formula1>1</formula1>
      <formula2>5</formula2>
    </dataValidation>
    <dataValidation sqref="Q81" showDropDown="0" showInputMessage="0" showErrorMessage="0" allowBlank="0" type="list">
      <formula1>"High,Medium,Low,Unknown"</formula1>
    </dataValidation>
    <dataValidation sqref="V81" showDropDown="0" showInputMessage="0" showErrorMessage="0" allowBlank="0" type="list">
      <formula1>"Continue,Enhance,Review,Discontinue"</formula1>
    </dataValidation>
    <dataValidation sqref="A8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2 K82 M82" showDropDown="0" showInputMessage="0" showErrorMessage="0" allowBlank="0" type="whole" operator="between">
      <formula1>1</formula1>
      <formula2>5</formula2>
    </dataValidation>
    <dataValidation sqref="Q82" showDropDown="0" showInputMessage="0" showErrorMessage="0" allowBlank="0" type="list">
      <formula1>"High,Medium,Low,Unknown"</formula1>
    </dataValidation>
    <dataValidation sqref="V82" showDropDown="0" showInputMessage="0" showErrorMessage="0" allowBlank="0" type="list">
      <formula1>"Continue,Enhance,Review,Discontinue"</formula1>
    </dataValidation>
    <dataValidation sqref="A8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3 K83 M83" showDropDown="0" showInputMessage="0" showErrorMessage="0" allowBlank="0" type="whole" operator="between">
      <formula1>1</formula1>
      <formula2>5</formula2>
    </dataValidation>
    <dataValidation sqref="Q83" showDropDown="0" showInputMessage="0" showErrorMessage="0" allowBlank="0" type="list">
      <formula1>"High,Medium,Low,Unknown"</formula1>
    </dataValidation>
    <dataValidation sqref="V83" showDropDown="0" showInputMessage="0" showErrorMessage="0" allowBlank="0" type="list">
      <formula1>"Continue,Enhance,Review,Discontinue"</formula1>
    </dataValidation>
    <dataValidation sqref="A8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4 K84 M84" showDropDown="0" showInputMessage="0" showErrorMessage="0" allowBlank="0" type="whole" operator="between">
      <formula1>1</formula1>
      <formula2>5</formula2>
    </dataValidation>
    <dataValidation sqref="Q84" showDropDown="0" showInputMessage="0" showErrorMessage="0" allowBlank="0" type="list">
      <formula1>"High,Medium,Low,Unknown"</formula1>
    </dataValidation>
    <dataValidation sqref="V84" showDropDown="0" showInputMessage="0" showErrorMessage="0" allowBlank="0" type="list">
      <formula1>"Continue,Enhance,Review,Discontinue"</formula1>
    </dataValidation>
    <dataValidation sqref="A8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5 K85 M85" showDropDown="0" showInputMessage="0" showErrorMessage="0" allowBlank="0" type="whole" operator="between">
      <formula1>1</formula1>
      <formula2>5</formula2>
    </dataValidation>
    <dataValidation sqref="Q85" showDropDown="0" showInputMessage="0" showErrorMessage="0" allowBlank="0" type="list">
      <formula1>"High,Medium,Low,Unknown"</formula1>
    </dataValidation>
    <dataValidation sqref="V85" showDropDown="0" showInputMessage="0" showErrorMessage="0" allowBlank="0" type="list">
      <formula1>"Continue,Enhance,Review,Discontinue"</formula1>
    </dataValidation>
    <dataValidation sqref="A8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6 K86 M86" showDropDown="0" showInputMessage="0" showErrorMessage="0" allowBlank="0" type="whole" operator="between">
      <formula1>1</formula1>
      <formula2>5</formula2>
    </dataValidation>
    <dataValidation sqref="Q86" showDropDown="0" showInputMessage="0" showErrorMessage="0" allowBlank="0" type="list">
      <formula1>"High,Medium,Low,Unknown"</formula1>
    </dataValidation>
    <dataValidation sqref="V86" showDropDown="0" showInputMessage="0" showErrorMessage="0" allowBlank="0" type="list">
      <formula1>"Continue,Enhance,Review,Discontinue"</formula1>
    </dataValidation>
    <dataValidation sqref="A8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7 K87 M87" showDropDown="0" showInputMessage="0" showErrorMessage="0" allowBlank="0" type="whole" operator="between">
      <formula1>1</formula1>
      <formula2>5</formula2>
    </dataValidation>
    <dataValidation sqref="Q87" showDropDown="0" showInputMessage="0" showErrorMessage="0" allowBlank="0" type="list">
      <formula1>"High,Medium,Low,Unknown"</formula1>
    </dataValidation>
    <dataValidation sqref="V87" showDropDown="0" showInputMessage="0" showErrorMessage="0" allowBlank="0" type="list">
      <formula1>"Continue,Enhance,Review,Discontinue"</formula1>
    </dataValidation>
    <dataValidation sqref="A8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8 K88 M88" showDropDown="0" showInputMessage="0" showErrorMessage="0" allowBlank="0" type="whole" operator="between">
      <formula1>1</formula1>
      <formula2>5</formula2>
    </dataValidation>
    <dataValidation sqref="Q88" showDropDown="0" showInputMessage="0" showErrorMessage="0" allowBlank="0" type="list">
      <formula1>"High,Medium,Low,Unknown"</formula1>
    </dataValidation>
    <dataValidation sqref="V88" showDropDown="0" showInputMessage="0" showErrorMessage="0" allowBlank="0" type="list">
      <formula1>"Continue,Enhance,Review,Discontinue"</formula1>
    </dataValidation>
    <dataValidation sqref="A8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89 K89 M89" showDropDown="0" showInputMessage="0" showErrorMessage="0" allowBlank="0" type="whole" operator="between">
      <formula1>1</formula1>
      <formula2>5</formula2>
    </dataValidation>
    <dataValidation sqref="Q89" showDropDown="0" showInputMessage="0" showErrorMessage="0" allowBlank="0" type="list">
      <formula1>"High,Medium,Low,Unknown"</formula1>
    </dataValidation>
    <dataValidation sqref="V89" showDropDown="0" showInputMessage="0" showErrorMessage="0" allowBlank="0" type="list">
      <formula1>"Continue,Enhance,Review,Discontinue"</formula1>
    </dataValidation>
    <dataValidation sqref="A9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0 K90 M90" showDropDown="0" showInputMessage="0" showErrorMessage="0" allowBlank="0" type="whole" operator="between">
      <formula1>1</formula1>
      <formula2>5</formula2>
    </dataValidation>
    <dataValidation sqref="Q90" showDropDown="0" showInputMessage="0" showErrorMessage="0" allowBlank="0" type="list">
      <formula1>"High,Medium,Low,Unknown"</formula1>
    </dataValidation>
    <dataValidation sqref="V90" showDropDown="0" showInputMessage="0" showErrorMessage="0" allowBlank="0" type="list">
      <formula1>"Continue,Enhance,Review,Discontinue"</formula1>
    </dataValidation>
    <dataValidation sqref="A9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1 K91 M91" showDropDown="0" showInputMessage="0" showErrorMessage="0" allowBlank="0" type="whole" operator="between">
      <formula1>1</formula1>
      <formula2>5</formula2>
    </dataValidation>
    <dataValidation sqref="Q91" showDropDown="0" showInputMessage="0" showErrorMessage="0" allowBlank="0" type="list">
      <formula1>"High,Medium,Low,Unknown"</formula1>
    </dataValidation>
    <dataValidation sqref="V91" showDropDown="0" showInputMessage="0" showErrorMessage="0" allowBlank="0" type="list">
      <formula1>"Continue,Enhance,Review,Discontinue"</formula1>
    </dataValidation>
    <dataValidation sqref="A9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2 K92 M92" showDropDown="0" showInputMessage="0" showErrorMessage="0" allowBlank="0" type="whole" operator="between">
      <formula1>1</formula1>
      <formula2>5</formula2>
    </dataValidation>
    <dataValidation sqref="Q92" showDropDown="0" showInputMessage="0" showErrorMessage="0" allowBlank="0" type="list">
      <formula1>"High,Medium,Low,Unknown"</formula1>
    </dataValidation>
    <dataValidation sqref="V92" showDropDown="0" showInputMessage="0" showErrorMessage="0" allowBlank="0" type="list">
      <formula1>"Continue,Enhance,Review,Discontinue"</formula1>
    </dataValidation>
    <dataValidation sqref="A9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3 K93 M93" showDropDown="0" showInputMessage="0" showErrorMessage="0" allowBlank="0" type="whole" operator="between">
      <formula1>1</formula1>
      <formula2>5</formula2>
    </dataValidation>
    <dataValidation sqref="Q93" showDropDown="0" showInputMessage="0" showErrorMessage="0" allowBlank="0" type="list">
      <formula1>"High,Medium,Low,Unknown"</formula1>
    </dataValidation>
    <dataValidation sqref="V93" showDropDown="0" showInputMessage="0" showErrorMessage="0" allowBlank="0" type="list">
      <formula1>"Continue,Enhance,Review,Discontinue"</formula1>
    </dataValidation>
    <dataValidation sqref="A9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4 K94 M94" showDropDown="0" showInputMessage="0" showErrorMessage="0" allowBlank="0" type="whole" operator="between">
      <formula1>1</formula1>
      <formula2>5</formula2>
    </dataValidation>
    <dataValidation sqref="Q94" showDropDown="0" showInputMessage="0" showErrorMessage="0" allowBlank="0" type="list">
      <formula1>"High,Medium,Low,Unknown"</formula1>
    </dataValidation>
    <dataValidation sqref="V94" showDropDown="0" showInputMessage="0" showErrorMessage="0" allowBlank="0" type="list">
      <formula1>"Continue,Enhance,Review,Discontinue"</formula1>
    </dataValidation>
    <dataValidation sqref="A95"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5 K95 M95" showDropDown="0" showInputMessage="0" showErrorMessage="0" allowBlank="0" type="whole" operator="between">
      <formula1>1</formula1>
      <formula2>5</formula2>
    </dataValidation>
    <dataValidation sqref="Q95" showDropDown="0" showInputMessage="0" showErrorMessage="0" allowBlank="0" type="list">
      <formula1>"High,Medium,Low,Unknown"</formula1>
    </dataValidation>
    <dataValidation sqref="V95" showDropDown="0" showInputMessage="0" showErrorMessage="0" allowBlank="0" type="list">
      <formula1>"Continue,Enhance,Review,Discontinue"</formula1>
    </dataValidation>
    <dataValidation sqref="A96"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6 K96 M96" showDropDown="0" showInputMessage="0" showErrorMessage="0" allowBlank="0" type="whole" operator="between">
      <formula1>1</formula1>
      <formula2>5</formula2>
    </dataValidation>
    <dataValidation sqref="Q96" showDropDown="0" showInputMessage="0" showErrorMessage="0" allowBlank="0" type="list">
      <formula1>"High,Medium,Low,Unknown"</formula1>
    </dataValidation>
    <dataValidation sqref="V96" showDropDown="0" showInputMessage="0" showErrorMessage="0" allowBlank="0" type="list">
      <formula1>"Continue,Enhance,Review,Discontinue"</formula1>
    </dataValidation>
    <dataValidation sqref="A97"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7 K97 M97" showDropDown="0" showInputMessage="0" showErrorMessage="0" allowBlank="0" type="whole" operator="between">
      <formula1>1</formula1>
      <formula2>5</formula2>
    </dataValidation>
    <dataValidation sqref="Q97" showDropDown="0" showInputMessage="0" showErrorMessage="0" allowBlank="0" type="list">
      <formula1>"High,Medium,Low,Unknown"</formula1>
    </dataValidation>
    <dataValidation sqref="V97" showDropDown="0" showInputMessage="0" showErrorMessage="0" allowBlank="0" type="list">
      <formula1>"Continue,Enhance,Review,Discontinue"</formula1>
    </dataValidation>
    <dataValidation sqref="A98"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8 K98 M98" showDropDown="0" showInputMessage="0" showErrorMessage="0" allowBlank="0" type="whole" operator="between">
      <formula1>1</formula1>
      <formula2>5</formula2>
    </dataValidation>
    <dataValidation sqref="Q98" showDropDown="0" showInputMessage="0" showErrorMessage="0" allowBlank="0" type="list">
      <formula1>"High,Medium,Low,Unknown"</formula1>
    </dataValidation>
    <dataValidation sqref="V98" showDropDown="0" showInputMessage="0" showErrorMessage="0" allowBlank="0" type="list">
      <formula1>"Continue,Enhance,Review,Discontinue"</formula1>
    </dataValidation>
    <dataValidation sqref="A99"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99 K99 M99" showDropDown="0" showInputMessage="0" showErrorMessage="0" allowBlank="0" type="whole" operator="between">
      <formula1>1</formula1>
      <formula2>5</formula2>
    </dataValidation>
    <dataValidation sqref="Q99" showDropDown="0" showInputMessage="0" showErrorMessage="0" allowBlank="0" type="list">
      <formula1>"High,Medium,Low,Unknown"</formula1>
    </dataValidation>
    <dataValidation sqref="V99" showDropDown="0" showInputMessage="0" showErrorMessage="0" allowBlank="0" type="list">
      <formula1>"Continue,Enhance,Review,Discontinue"</formula1>
    </dataValidation>
    <dataValidation sqref="A100"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00 K100 M100" showDropDown="0" showInputMessage="0" showErrorMessage="0" allowBlank="0" type="whole" operator="between">
      <formula1>1</formula1>
      <formula2>5</formula2>
    </dataValidation>
    <dataValidation sqref="Q100" showDropDown="0" showInputMessage="0" showErrorMessage="0" allowBlank="0" type="list">
      <formula1>"High,Medium,Low,Unknown"</formula1>
    </dataValidation>
    <dataValidation sqref="V100" showDropDown="0" showInputMessage="0" showErrorMessage="0" allowBlank="0" type="list">
      <formula1>"Continue,Enhance,Review,Discontinue"</formula1>
    </dataValidation>
    <dataValidation sqref="A101"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01 K101 M101" showDropDown="0" showInputMessage="0" showErrorMessage="0" allowBlank="0" type="whole" operator="between">
      <formula1>1</formula1>
      <formula2>5</formula2>
    </dataValidation>
    <dataValidation sqref="Q101" showDropDown="0" showInputMessage="0" showErrorMessage="0" allowBlank="0" type="list">
      <formula1>"High,Medium,Low,Unknown"</formula1>
    </dataValidation>
    <dataValidation sqref="V101" showDropDown="0" showInputMessage="0" showErrorMessage="0" allowBlank="0" type="list">
      <formula1>"Continue,Enhance,Review,Discontinue"</formula1>
    </dataValidation>
    <dataValidation sqref="A102"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02 K102 M102" showDropDown="0" showInputMessage="0" showErrorMessage="0" allowBlank="0" type="whole" operator="between">
      <formula1>1</formula1>
      <formula2>5</formula2>
    </dataValidation>
    <dataValidation sqref="Q102" showDropDown="0" showInputMessage="0" showErrorMessage="0" allowBlank="0" type="list">
      <formula1>"High,Medium,Low,Unknown"</formula1>
    </dataValidation>
    <dataValidation sqref="V102" showDropDown="0" showInputMessage="0" showErrorMessage="0" allowBlank="0" type="list">
      <formula1>"Continue,Enhance,Review,Discontinue"</formula1>
    </dataValidation>
    <dataValidation sqref="A103"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03 K103 M103" showDropDown="0" showInputMessage="0" showErrorMessage="0" allowBlank="0" type="whole" operator="between">
      <formula1>1</formula1>
      <formula2>5</formula2>
    </dataValidation>
    <dataValidation sqref="Q103" showDropDown="0" showInputMessage="0" showErrorMessage="0" allowBlank="0" type="list">
      <formula1>"High,Medium,Low,Unknown"</formula1>
    </dataValidation>
    <dataValidation sqref="V103" showDropDown="0" showInputMessage="0" showErrorMessage="0" allowBlank="0" type="list">
      <formula1>"Continue,Enhance,Review,Discontinue"</formula1>
    </dataValidation>
    <dataValidation sqref="A104" showDropDown="0" showInputMessage="0" showErrorMessage="0" allowBlank="0" type="list">
      <formula1>=Source_Inventory!$A$5:$A$104</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"A - Completely Reliable,B - Usually Reliable,C - Fairly Reliable,D - Not Usually Reliable,E - Unreliable,F - Cannot Judge"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"1 - Confirmed,2 - Probably True,3 - Possibly True,4 - Doubtful,5 - Improbable,6 - Cannot Judge"</formula1>
    </dataValidation>
    <dataValidation sqref="I104 K104 M104" showDropDown="0" showInputMessage="0" showErrorMessage="0" allowBlank="0" type="whole" operator="between">
      <formula1>1</formula1>
      <formula2>5</formula2>
    </dataValidation>
    <dataValidation sqref="Q104" showDropDown="0" showInputMessage="0" showErrorMessage="0" allowBlank="0" type="list">
      <formula1>"High,Medium,Low,Unknown"</formula1>
    </dataValidation>
    <dataValidation sqref="V104" showDropDown="0" showInputMessage="0" showErrorMessage="0" allowBlank="0" type="list">
      <formula1>"Continue,Enhance,Review,Discontinue"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s="1" t="inlineStr">
        <is>
          <t>Action Items - Remediation and Improvement Tasks</t>
        </is>
      </c>
    </row>
    <row r="4">
      <c r="A4" s="15" t="inlineStr">
        <is>
          <t>Action_ID</t>
        </is>
      </c>
      <c r="B4" s="15" t="inlineStr">
        <is>
          <t>Source_ID</t>
        </is>
      </c>
      <c r="C4" s="15" t="inlineStr">
        <is>
          <t>Issue_Type</t>
        </is>
      </c>
      <c r="D4" s="15" t="inlineStr">
        <is>
          <t>Issue_Description</t>
        </is>
      </c>
      <c r="E4" s="15" t="inlineStr">
        <is>
          <t>Detected_In_Sheet</t>
        </is>
      </c>
      <c r="F4" s="15" t="inlineStr">
        <is>
          <t>Priority</t>
        </is>
      </c>
      <c r="G4" s="15" t="inlineStr">
        <is>
          <t>Assigned_To</t>
        </is>
      </c>
      <c r="H4" s="15" t="inlineStr">
        <is>
          <t>Due_Date</t>
        </is>
      </c>
      <c r="I4" s="15" t="inlineStr">
        <is>
          <t>Status</t>
        </is>
      </c>
      <c r="J4" s="15" t="inlineStr">
        <is>
          <t>Status_Notes</t>
        </is>
      </c>
      <c r="K4" s="15" t="inlineStr">
        <is>
          <t>Resolution_Date</t>
        </is>
      </c>
      <c r="L4" s="15" t="inlineStr">
        <is>
          <t>Evidence_Link</t>
        </is>
      </c>
      <c r="M4" s="15" t="inlineStr">
        <is>
          <t>Created_Date</t>
        </is>
      </c>
      <c r="N4" s="15" t="inlineStr">
        <is>
          <t>Created_By</t>
        </is>
      </c>
      <c r="O4" s="15" t="inlineStr">
        <is>
          <t>Last_Updated</t>
        </is>
      </c>
    </row>
  </sheetData>
  <mergeCells count="1">
    <mergeCell ref="A1:O1"/>
  </mergeCells>
  <conditionalFormatting sqref="F5:F104">
    <cfRule type="cellIs" priority="1" operator="equal" dxfId="5">
      <formula>"Critical"</formula>
    </cfRule>
  </conditionalFormatting>
  <dataValidations count="300">
    <dataValidation sqref="C5" showDropDown="0" showInputMessage="0" showErrorMessage="0" allowBlank="0" type="list">
      <formula1>"Quality,Coverage_Gap,Cost,Compliance,Contract,Integration,CVSS_Accuracy,Continuity,Other"</formula1>
    </dataValidation>
    <dataValidation sqref="E5" showDropDown="0" showInputMessage="0" showErrorMessage="0" allowBlank="0" type="list">
      <formula1>"Sheet_3,Sheet_4,Sheet_5,Sheet_6,Sheet_9,Sheet_10,Sheet_11,Sheet_12,Sheet_13,Sheet_14,Sheet_15"</formula1>
    </dataValidation>
    <dataValidation sqref="I5" showDropDown="0" showInputMessage="0" showErrorMessage="0" allowBlank="0" type="list">
      <formula1>"Open,In_Progress,Blocked,Resolved,Closed"</formula1>
    </dataValidation>
    <dataValidation sqref="C6" showDropDown="0" showInputMessage="0" showErrorMessage="0" allowBlank="0" type="list">
      <formula1>"Quality,Coverage_Gap,Cost,Compliance,Contract,Integration,CVSS_Accuracy,Continuity,Other"</formula1>
    </dataValidation>
    <dataValidation sqref="E6" showDropDown="0" showInputMessage="0" showErrorMessage="0" allowBlank="0" type="list">
      <formula1>"Sheet_3,Sheet_4,Sheet_5,Sheet_6,Sheet_9,Sheet_10,Sheet_11,Sheet_12,Sheet_13,Sheet_14,Sheet_15"</formula1>
    </dataValidation>
    <dataValidation sqref="I6" showDropDown="0" showInputMessage="0" showErrorMessage="0" allowBlank="0" type="list">
      <formula1>"Open,In_Progress,Blocked,Resolved,Closed"</formula1>
    </dataValidation>
    <dataValidation sqref="C7" showDropDown="0" showInputMessage="0" showErrorMessage="0" allowBlank="0" type="list">
      <formula1>"Quality,Coverage_Gap,Cost,Compliance,Contract,Integration,CVSS_Accuracy,Continuity,Other"</formula1>
    </dataValidation>
    <dataValidation sqref="E7" showDropDown="0" showInputMessage="0" showErrorMessage="0" allowBlank="0" type="list">
      <formula1>"Sheet_3,Sheet_4,Sheet_5,Sheet_6,Sheet_9,Sheet_10,Sheet_11,Sheet_12,Sheet_13,Sheet_14,Sheet_15"</formula1>
    </dataValidation>
    <dataValidation sqref="I7" showDropDown="0" showInputMessage="0" showErrorMessage="0" allowBlank="0" type="list">
      <formula1>"Open,In_Progress,Blocked,Resolved,Closed"</formula1>
    </dataValidation>
    <dataValidation sqref="C8" showDropDown="0" showInputMessage="0" showErrorMessage="0" allowBlank="0" type="list">
      <formula1>"Quality,Coverage_Gap,Cost,Compliance,Contract,Integration,CVSS_Accuracy,Continuity,Other"</formula1>
    </dataValidation>
    <dataValidation sqref="E8" showDropDown="0" showInputMessage="0" showErrorMessage="0" allowBlank="0" type="list">
      <formula1>"Sheet_3,Sheet_4,Sheet_5,Sheet_6,Sheet_9,Sheet_10,Sheet_11,Sheet_12,Sheet_13,Sheet_14,Sheet_15"</formula1>
    </dataValidation>
    <dataValidation sqref="I8" showDropDown="0" showInputMessage="0" showErrorMessage="0" allowBlank="0" type="list">
      <formula1>"Open,In_Progress,Blocked,Resolved,Closed"</formula1>
    </dataValidation>
    <dataValidation sqref="C9" showDropDown="0" showInputMessage="0" showErrorMessage="0" allowBlank="0" type="list">
      <formula1>"Quality,Coverage_Gap,Cost,Compliance,Contract,Integration,CVSS_Accuracy,Continuity,Other"</formula1>
    </dataValidation>
    <dataValidation sqref="E9" showDropDown="0" showInputMessage="0" showErrorMessage="0" allowBlank="0" type="list">
      <formula1>"Sheet_3,Sheet_4,Sheet_5,Sheet_6,Sheet_9,Sheet_10,Sheet_11,Sheet_12,Sheet_13,Sheet_14,Sheet_15"</formula1>
    </dataValidation>
    <dataValidation sqref="I9" showDropDown="0" showInputMessage="0" showErrorMessage="0" allowBlank="0" type="list">
      <formula1>"Open,In_Progress,Blocked,Resolved,Closed"</formula1>
    </dataValidation>
    <dataValidation sqref="C10" showDropDown="0" showInputMessage="0" showErrorMessage="0" allowBlank="0" type="list">
      <formula1>"Quality,Coverage_Gap,Cost,Compliance,Contract,Integration,CVSS_Accuracy,Continuity,Other"</formula1>
    </dataValidation>
    <dataValidation sqref="E10" showDropDown="0" showInputMessage="0" showErrorMessage="0" allowBlank="0" type="list">
      <formula1>"Sheet_3,Sheet_4,Sheet_5,Sheet_6,Sheet_9,Sheet_10,Sheet_11,Sheet_12,Sheet_13,Sheet_14,Sheet_15"</formula1>
    </dataValidation>
    <dataValidation sqref="I10" showDropDown="0" showInputMessage="0" showErrorMessage="0" allowBlank="0" type="list">
      <formula1>"Open,In_Progress,Blocked,Resolved,Closed"</formula1>
    </dataValidation>
    <dataValidation sqref="C11" showDropDown="0" showInputMessage="0" showErrorMessage="0" allowBlank="0" type="list">
      <formula1>"Quality,Coverage_Gap,Cost,Compliance,Contract,Integration,CVSS_Accuracy,Continuity,Other"</formula1>
    </dataValidation>
    <dataValidation sqref="E11" showDropDown="0" showInputMessage="0" showErrorMessage="0" allowBlank="0" type="list">
      <formula1>"Sheet_3,Sheet_4,Sheet_5,Sheet_6,Sheet_9,Sheet_10,Sheet_11,Sheet_12,Sheet_13,Sheet_14,Sheet_15"</formula1>
    </dataValidation>
    <dataValidation sqref="I11" showDropDown="0" showInputMessage="0" showErrorMessage="0" allowBlank="0" type="list">
      <formula1>"Open,In_Progress,Blocked,Resolved,Closed"</formula1>
    </dataValidation>
    <dataValidation sqref="C12" showDropDown="0" showInputMessage="0" showErrorMessage="0" allowBlank="0" type="list">
      <formula1>"Quality,Coverage_Gap,Cost,Compliance,Contract,Integration,CVSS_Accuracy,Continuity,Other"</formula1>
    </dataValidation>
    <dataValidation sqref="E12" showDropDown="0" showInputMessage="0" showErrorMessage="0" allowBlank="0" type="list">
      <formula1>"Sheet_3,Sheet_4,Sheet_5,Sheet_6,Sheet_9,Sheet_10,Sheet_11,Sheet_12,Sheet_13,Sheet_14,Sheet_15"</formula1>
    </dataValidation>
    <dataValidation sqref="I12" showDropDown="0" showInputMessage="0" showErrorMessage="0" allowBlank="0" type="list">
      <formula1>"Open,In_Progress,Blocked,Resolved,Closed"</formula1>
    </dataValidation>
    <dataValidation sqref="C13" showDropDown="0" showInputMessage="0" showErrorMessage="0" allowBlank="0" type="list">
      <formula1>"Quality,Coverage_Gap,Cost,Compliance,Contract,Integration,CVSS_Accuracy,Continuity,Other"</formula1>
    </dataValidation>
    <dataValidation sqref="E13" showDropDown="0" showInputMessage="0" showErrorMessage="0" allowBlank="0" type="list">
      <formula1>"Sheet_3,Sheet_4,Sheet_5,Sheet_6,Sheet_9,Sheet_10,Sheet_11,Sheet_12,Sheet_13,Sheet_14,Sheet_15"</formula1>
    </dataValidation>
    <dataValidation sqref="I13" showDropDown="0" showInputMessage="0" showErrorMessage="0" allowBlank="0" type="list">
      <formula1>"Open,In_Progress,Blocked,Resolved,Closed"</formula1>
    </dataValidation>
    <dataValidation sqref="C14" showDropDown="0" showInputMessage="0" showErrorMessage="0" allowBlank="0" type="list">
      <formula1>"Quality,Coverage_Gap,Cost,Compliance,Contract,Integration,CVSS_Accuracy,Continuity,Other"</formula1>
    </dataValidation>
    <dataValidation sqref="E14" showDropDown="0" showInputMessage="0" showErrorMessage="0" allowBlank="0" type="list">
      <formula1>"Sheet_3,Sheet_4,Sheet_5,Sheet_6,Sheet_9,Sheet_10,Sheet_11,Sheet_12,Sheet_13,Sheet_14,Sheet_15"</formula1>
    </dataValidation>
    <dataValidation sqref="I14" showDropDown="0" showInputMessage="0" showErrorMessage="0" allowBlank="0" type="list">
      <formula1>"Open,In_Progress,Blocked,Resolved,Closed"</formula1>
    </dataValidation>
    <dataValidation sqref="C15" showDropDown="0" showInputMessage="0" showErrorMessage="0" allowBlank="0" type="list">
      <formula1>"Quality,Coverage_Gap,Cost,Compliance,Contract,Integration,CVSS_Accuracy,Continuity,Other"</formula1>
    </dataValidation>
    <dataValidation sqref="E15" showDropDown="0" showInputMessage="0" showErrorMessage="0" allowBlank="0" type="list">
      <formula1>"Sheet_3,Sheet_4,Sheet_5,Sheet_6,Sheet_9,Sheet_10,Sheet_11,Sheet_12,Sheet_13,Sheet_14,Sheet_15"</formula1>
    </dataValidation>
    <dataValidation sqref="I15" showDropDown="0" showInputMessage="0" showErrorMessage="0" allowBlank="0" type="list">
      <formula1>"Open,In_Progress,Blocked,Resolved,Closed"</formula1>
    </dataValidation>
    <dataValidation sqref="C16" showDropDown="0" showInputMessage="0" showErrorMessage="0" allowBlank="0" type="list">
      <formula1>"Quality,Coverage_Gap,Cost,Compliance,Contract,Integration,CVSS_Accuracy,Continuity,Other"</formula1>
    </dataValidation>
    <dataValidation sqref="E16" showDropDown="0" showInputMessage="0" showErrorMessage="0" allowBlank="0" type="list">
      <formula1>"Sheet_3,Sheet_4,Sheet_5,Sheet_6,Sheet_9,Sheet_10,Sheet_11,Sheet_12,Sheet_13,Sheet_14,Sheet_15"</formula1>
    </dataValidation>
    <dataValidation sqref="I16" showDropDown="0" showInputMessage="0" showErrorMessage="0" allowBlank="0" type="list">
      <formula1>"Open,In_Progress,Blocked,Resolved,Closed"</formula1>
    </dataValidation>
    <dataValidation sqref="C17" showDropDown="0" showInputMessage="0" showErrorMessage="0" allowBlank="0" type="list">
      <formula1>"Quality,Coverage_Gap,Cost,Compliance,Contract,Integration,CVSS_Accuracy,Continuity,Other"</formula1>
    </dataValidation>
    <dataValidation sqref="E17" showDropDown="0" showInputMessage="0" showErrorMessage="0" allowBlank="0" type="list">
      <formula1>"Sheet_3,Sheet_4,Sheet_5,Sheet_6,Sheet_9,Sheet_10,Sheet_11,Sheet_12,Sheet_13,Sheet_14,Sheet_15"</formula1>
    </dataValidation>
    <dataValidation sqref="I17" showDropDown="0" showInputMessage="0" showErrorMessage="0" allowBlank="0" type="list">
      <formula1>"Open,In_Progress,Blocked,Resolved,Closed"</formula1>
    </dataValidation>
    <dataValidation sqref="C18" showDropDown="0" showInputMessage="0" showErrorMessage="0" allowBlank="0" type="list">
      <formula1>"Quality,Coverage_Gap,Cost,Compliance,Contract,Integration,CVSS_Accuracy,Continuity,Other"</formula1>
    </dataValidation>
    <dataValidation sqref="E18" showDropDown="0" showInputMessage="0" showErrorMessage="0" allowBlank="0" type="list">
      <formula1>"Sheet_3,Sheet_4,Sheet_5,Sheet_6,Sheet_9,Sheet_10,Sheet_11,Sheet_12,Sheet_13,Sheet_14,Sheet_15"</formula1>
    </dataValidation>
    <dataValidation sqref="I18" showDropDown="0" showInputMessage="0" showErrorMessage="0" allowBlank="0" type="list">
      <formula1>"Open,In_Progress,Blocked,Resolved,Closed"</formula1>
    </dataValidation>
    <dataValidation sqref="C19" showDropDown="0" showInputMessage="0" showErrorMessage="0" allowBlank="0" type="list">
      <formula1>"Quality,Coverage_Gap,Cost,Compliance,Contract,Integration,CVSS_Accuracy,Continuity,Other"</formula1>
    </dataValidation>
    <dataValidation sqref="E19" showDropDown="0" showInputMessage="0" showErrorMessage="0" allowBlank="0" type="list">
      <formula1>"Sheet_3,Sheet_4,Sheet_5,Sheet_6,Sheet_9,Sheet_10,Sheet_11,Sheet_12,Sheet_13,Sheet_14,Sheet_15"</formula1>
    </dataValidation>
    <dataValidation sqref="I19" showDropDown="0" showInputMessage="0" showErrorMessage="0" allowBlank="0" type="list">
      <formula1>"Open,In_Progress,Blocked,Resolved,Closed"</formula1>
    </dataValidation>
    <dataValidation sqref="C20" showDropDown="0" showInputMessage="0" showErrorMessage="0" allowBlank="0" type="list">
      <formula1>"Quality,Coverage_Gap,Cost,Compliance,Contract,Integration,CVSS_Accuracy,Continuity,Other"</formula1>
    </dataValidation>
    <dataValidation sqref="E20" showDropDown="0" showInputMessage="0" showErrorMessage="0" allowBlank="0" type="list">
      <formula1>"Sheet_3,Sheet_4,Sheet_5,Sheet_6,Sheet_9,Sheet_10,Sheet_11,Sheet_12,Sheet_13,Sheet_14,Sheet_15"</formula1>
    </dataValidation>
    <dataValidation sqref="I20" showDropDown="0" showInputMessage="0" showErrorMessage="0" allowBlank="0" type="list">
      <formula1>"Open,In_Progress,Blocked,Resolved,Closed"</formula1>
    </dataValidation>
    <dataValidation sqref="C21" showDropDown="0" showInputMessage="0" showErrorMessage="0" allowBlank="0" type="list">
      <formula1>"Quality,Coverage_Gap,Cost,Compliance,Contract,Integration,CVSS_Accuracy,Continuity,Other"</formula1>
    </dataValidation>
    <dataValidation sqref="E21" showDropDown="0" showInputMessage="0" showErrorMessage="0" allowBlank="0" type="list">
      <formula1>"Sheet_3,Sheet_4,Sheet_5,Sheet_6,Sheet_9,Sheet_10,Sheet_11,Sheet_12,Sheet_13,Sheet_14,Sheet_15"</formula1>
    </dataValidation>
    <dataValidation sqref="I21" showDropDown="0" showInputMessage="0" showErrorMessage="0" allowBlank="0" type="list">
      <formula1>"Open,In_Progress,Blocked,Resolved,Closed"</formula1>
    </dataValidation>
    <dataValidation sqref="C22" showDropDown="0" showInputMessage="0" showErrorMessage="0" allowBlank="0" type="list">
      <formula1>"Quality,Coverage_Gap,Cost,Compliance,Contract,Integration,CVSS_Accuracy,Continuity,Other"</formula1>
    </dataValidation>
    <dataValidation sqref="E22" showDropDown="0" showInputMessage="0" showErrorMessage="0" allowBlank="0" type="list">
      <formula1>"Sheet_3,Sheet_4,Sheet_5,Sheet_6,Sheet_9,Sheet_10,Sheet_11,Sheet_12,Sheet_13,Sheet_14,Sheet_15"</formula1>
    </dataValidation>
    <dataValidation sqref="I22" showDropDown="0" showInputMessage="0" showErrorMessage="0" allowBlank="0" type="list">
      <formula1>"Open,In_Progress,Blocked,Resolved,Closed"</formula1>
    </dataValidation>
    <dataValidation sqref="C23" showDropDown="0" showInputMessage="0" showErrorMessage="0" allowBlank="0" type="list">
      <formula1>"Quality,Coverage_Gap,Cost,Compliance,Contract,Integration,CVSS_Accuracy,Continuity,Other"</formula1>
    </dataValidation>
    <dataValidation sqref="E23" showDropDown="0" showInputMessage="0" showErrorMessage="0" allowBlank="0" type="list">
      <formula1>"Sheet_3,Sheet_4,Sheet_5,Sheet_6,Sheet_9,Sheet_10,Sheet_11,Sheet_12,Sheet_13,Sheet_14,Sheet_15"</formula1>
    </dataValidation>
    <dataValidation sqref="I23" showDropDown="0" showInputMessage="0" showErrorMessage="0" allowBlank="0" type="list">
      <formula1>"Open,In_Progress,Blocked,Resolved,Closed"</formula1>
    </dataValidation>
    <dataValidation sqref="C24" showDropDown="0" showInputMessage="0" showErrorMessage="0" allowBlank="0" type="list">
      <formula1>"Quality,Coverage_Gap,Cost,Compliance,Contract,Integration,CVSS_Accuracy,Continuity,Other"</formula1>
    </dataValidation>
    <dataValidation sqref="E24" showDropDown="0" showInputMessage="0" showErrorMessage="0" allowBlank="0" type="list">
      <formula1>"Sheet_3,Sheet_4,Sheet_5,Sheet_6,Sheet_9,Sheet_10,Sheet_11,Sheet_12,Sheet_13,Sheet_14,Sheet_15"</formula1>
    </dataValidation>
    <dataValidation sqref="I24" showDropDown="0" showInputMessage="0" showErrorMessage="0" allowBlank="0" type="list">
      <formula1>"Open,In_Progress,Blocked,Resolved,Closed"</formula1>
    </dataValidation>
    <dataValidation sqref="C25" showDropDown="0" showInputMessage="0" showErrorMessage="0" allowBlank="0" type="list">
      <formula1>"Quality,Coverage_Gap,Cost,Compliance,Contract,Integration,CVSS_Accuracy,Continuity,Other"</formula1>
    </dataValidation>
    <dataValidation sqref="E25" showDropDown="0" showInputMessage="0" showErrorMessage="0" allowBlank="0" type="list">
      <formula1>"Sheet_3,Sheet_4,Sheet_5,Sheet_6,Sheet_9,Sheet_10,Sheet_11,Sheet_12,Sheet_13,Sheet_14,Sheet_15"</formula1>
    </dataValidation>
    <dataValidation sqref="I25" showDropDown="0" showInputMessage="0" showErrorMessage="0" allowBlank="0" type="list">
      <formula1>"Open,In_Progress,Blocked,Resolved,Closed"</formula1>
    </dataValidation>
    <dataValidation sqref="C26" showDropDown="0" showInputMessage="0" showErrorMessage="0" allowBlank="0" type="list">
      <formula1>"Quality,Coverage_Gap,Cost,Compliance,Contract,Integration,CVSS_Accuracy,Continuity,Other"</formula1>
    </dataValidation>
    <dataValidation sqref="E26" showDropDown="0" showInputMessage="0" showErrorMessage="0" allowBlank="0" type="list">
      <formula1>"Sheet_3,Sheet_4,Sheet_5,Sheet_6,Sheet_9,Sheet_10,Sheet_11,Sheet_12,Sheet_13,Sheet_14,Sheet_15"</formula1>
    </dataValidation>
    <dataValidation sqref="I26" showDropDown="0" showInputMessage="0" showErrorMessage="0" allowBlank="0" type="list">
      <formula1>"Open,In_Progress,Blocked,Resolved,Closed"</formula1>
    </dataValidation>
    <dataValidation sqref="C27" showDropDown="0" showInputMessage="0" showErrorMessage="0" allowBlank="0" type="list">
      <formula1>"Quality,Coverage_Gap,Cost,Compliance,Contract,Integration,CVSS_Accuracy,Continuity,Other"</formula1>
    </dataValidation>
    <dataValidation sqref="E27" showDropDown="0" showInputMessage="0" showErrorMessage="0" allowBlank="0" type="list">
      <formula1>"Sheet_3,Sheet_4,Sheet_5,Sheet_6,Sheet_9,Sheet_10,Sheet_11,Sheet_12,Sheet_13,Sheet_14,Sheet_15"</formula1>
    </dataValidation>
    <dataValidation sqref="I27" showDropDown="0" showInputMessage="0" showErrorMessage="0" allowBlank="0" type="list">
      <formula1>"Open,In_Progress,Blocked,Resolved,Closed"</formula1>
    </dataValidation>
    <dataValidation sqref="C28" showDropDown="0" showInputMessage="0" showErrorMessage="0" allowBlank="0" type="list">
      <formula1>"Quality,Coverage_Gap,Cost,Compliance,Contract,Integration,CVSS_Accuracy,Continuity,Other"</formula1>
    </dataValidation>
    <dataValidation sqref="E28" showDropDown="0" showInputMessage="0" showErrorMessage="0" allowBlank="0" type="list">
      <formula1>"Sheet_3,Sheet_4,Sheet_5,Sheet_6,Sheet_9,Sheet_10,Sheet_11,Sheet_12,Sheet_13,Sheet_14,Sheet_15"</formula1>
    </dataValidation>
    <dataValidation sqref="I28" showDropDown="0" showInputMessage="0" showErrorMessage="0" allowBlank="0" type="list">
      <formula1>"Open,In_Progress,Blocked,Resolved,Closed"</formula1>
    </dataValidation>
    <dataValidation sqref="C29" showDropDown="0" showInputMessage="0" showErrorMessage="0" allowBlank="0" type="list">
      <formula1>"Quality,Coverage_Gap,Cost,Compliance,Contract,Integration,CVSS_Accuracy,Continuity,Other"</formula1>
    </dataValidation>
    <dataValidation sqref="E29" showDropDown="0" showInputMessage="0" showErrorMessage="0" allowBlank="0" type="list">
      <formula1>"Sheet_3,Sheet_4,Sheet_5,Sheet_6,Sheet_9,Sheet_10,Sheet_11,Sheet_12,Sheet_13,Sheet_14,Sheet_15"</formula1>
    </dataValidation>
    <dataValidation sqref="I29" showDropDown="0" showInputMessage="0" showErrorMessage="0" allowBlank="0" type="list">
      <formula1>"Open,In_Progress,Blocked,Resolved,Closed"</formula1>
    </dataValidation>
    <dataValidation sqref="C30" showDropDown="0" showInputMessage="0" showErrorMessage="0" allowBlank="0" type="list">
      <formula1>"Quality,Coverage_Gap,Cost,Compliance,Contract,Integration,CVSS_Accuracy,Continuity,Other"</formula1>
    </dataValidation>
    <dataValidation sqref="E30" showDropDown="0" showInputMessage="0" showErrorMessage="0" allowBlank="0" type="list">
      <formula1>"Sheet_3,Sheet_4,Sheet_5,Sheet_6,Sheet_9,Sheet_10,Sheet_11,Sheet_12,Sheet_13,Sheet_14,Sheet_15"</formula1>
    </dataValidation>
    <dataValidation sqref="I30" showDropDown="0" showInputMessage="0" showErrorMessage="0" allowBlank="0" type="list">
      <formula1>"Open,In_Progress,Blocked,Resolved,Closed"</formula1>
    </dataValidation>
    <dataValidation sqref="C31" showDropDown="0" showInputMessage="0" showErrorMessage="0" allowBlank="0" type="list">
      <formula1>"Quality,Coverage_Gap,Cost,Compliance,Contract,Integration,CVSS_Accuracy,Continuity,Other"</formula1>
    </dataValidation>
    <dataValidation sqref="E31" showDropDown="0" showInputMessage="0" showErrorMessage="0" allowBlank="0" type="list">
      <formula1>"Sheet_3,Sheet_4,Sheet_5,Sheet_6,Sheet_9,Sheet_10,Sheet_11,Sheet_12,Sheet_13,Sheet_14,Sheet_15"</formula1>
    </dataValidation>
    <dataValidation sqref="I31" showDropDown="0" showInputMessage="0" showErrorMessage="0" allowBlank="0" type="list">
      <formula1>"Open,In_Progress,Blocked,Resolved,Closed"</formula1>
    </dataValidation>
    <dataValidation sqref="C32" showDropDown="0" showInputMessage="0" showErrorMessage="0" allowBlank="0" type="list">
      <formula1>"Quality,Coverage_Gap,Cost,Compliance,Contract,Integration,CVSS_Accuracy,Continuity,Other"</formula1>
    </dataValidation>
    <dataValidation sqref="E32" showDropDown="0" showInputMessage="0" showErrorMessage="0" allowBlank="0" type="list">
      <formula1>"Sheet_3,Sheet_4,Sheet_5,Sheet_6,Sheet_9,Sheet_10,Sheet_11,Sheet_12,Sheet_13,Sheet_14,Sheet_15"</formula1>
    </dataValidation>
    <dataValidation sqref="I32" showDropDown="0" showInputMessage="0" showErrorMessage="0" allowBlank="0" type="list">
      <formula1>"Open,In_Progress,Blocked,Resolved,Closed"</formula1>
    </dataValidation>
    <dataValidation sqref="C33" showDropDown="0" showInputMessage="0" showErrorMessage="0" allowBlank="0" type="list">
      <formula1>"Quality,Coverage_Gap,Cost,Compliance,Contract,Integration,CVSS_Accuracy,Continuity,Other"</formula1>
    </dataValidation>
    <dataValidation sqref="E33" showDropDown="0" showInputMessage="0" showErrorMessage="0" allowBlank="0" type="list">
      <formula1>"Sheet_3,Sheet_4,Sheet_5,Sheet_6,Sheet_9,Sheet_10,Sheet_11,Sheet_12,Sheet_13,Sheet_14,Sheet_15"</formula1>
    </dataValidation>
    <dataValidation sqref="I33" showDropDown="0" showInputMessage="0" showErrorMessage="0" allowBlank="0" type="list">
      <formula1>"Open,In_Progress,Blocked,Resolved,Closed"</formula1>
    </dataValidation>
    <dataValidation sqref="C34" showDropDown="0" showInputMessage="0" showErrorMessage="0" allowBlank="0" type="list">
      <formula1>"Quality,Coverage_Gap,Cost,Compliance,Contract,Integration,CVSS_Accuracy,Continuity,Other"</formula1>
    </dataValidation>
    <dataValidation sqref="E34" showDropDown="0" showInputMessage="0" showErrorMessage="0" allowBlank="0" type="list">
      <formula1>"Sheet_3,Sheet_4,Sheet_5,Sheet_6,Sheet_9,Sheet_10,Sheet_11,Sheet_12,Sheet_13,Sheet_14,Sheet_15"</formula1>
    </dataValidation>
    <dataValidation sqref="I34" showDropDown="0" showInputMessage="0" showErrorMessage="0" allowBlank="0" type="list">
      <formula1>"Open,In_Progress,Blocked,Resolved,Closed"</formula1>
    </dataValidation>
    <dataValidation sqref="C35" showDropDown="0" showInputMessage="0" showErrorMessage="0" allowBlank="0" type="list">
      <formula1>"Quality,Coverage_Gap,Cost,Compliance,Contract,Integration,CVSS_Accuracy,Continuity,Other"</formula1>
    </dataValidation>
    <dataValidation sqref="E35" showDropDown="0" showInputMessage="0" showErrorMessage="0" allowBlank="0" type="list">
      <formula1>"Sheet_3,Sheet_4,Sheet_5,Sheet_6,Sheet_9,Sheet_10,Sheet_11,Sheet_12,Sheet_13,Sheet_14,Sheet_15"</formula1>
    </dataValidation>
    <dataValidation sqref="I35" showDropDown="0" showInputMessage="0" showErrorMessage="0" allowBlank="0" type="list">
      <formula1>"Open,In_Progress,Blocked,Resolved,Closed"</formula1>
    </dataValidation>
    <dataValidation sqref="C36" showDropDown="0" showInputMessage="0" showErrorMessage="0" allowBlank="0" type="list">
      <formula1>"Quality,Coverage_Gap,Cost,Compliance,Contract,Integration,CVSS_Accuracy,Continuity,Other"</formula1>
    </dataValidation>
    <dataValidation sqref="E36" showDropDown="0" showInputMessage="0" showErrorMessage="0" allowBlank="0" type="list">
      <formula1>"Sheet_3,Sheet_4,Sheet_5,Sheet_6,Sheet_9,Sheet_10,Sheet_11,Sheet_12,Sheet_13,Sheet_14,Sheet_15"</formula1>
    </dataValidation>
    <dataValidation sqref="I36" showDropDown="0" showInputMessage="0" showErrorMessage="0" allowBlank="0" type="list">
      <formula1>"Open,In_Progress,Blocked,Resolved,Closed"</formula1>
    </dataValidation>
    <dataValidation sqref="C37" showDropDown="0" showInputMessage="0" showErrorMessage="0" allowBlank="0" type="list">
      <formula1>"Quality,Coverage_Gap,Cost,Compliance,Contract,Integration,CVSS_Accuracy,Continuity,Other"</formula1>
    </dataValidation>
    <dataValidation sqref="E37" showDropDown="0" showInputMessage="0" showErrorMessage="0" allowBlank="0" type="list">
      <formula1>"Sheet_3,Sheet_4,Sheet_5,Sheet_6,Sheet_9,Sheet_10,Sheet_11,Sheet_12,Sheet_13,Sheet_14,Sheet_15"</formula1>
    </dataValidation>
    <dataValidation sqref="I37" showDropDown="0" showInputMessage="0" showErrorMessage="0" allowBlank="0" type="list">
      <formula1>"Open,In_Progress,Blocked,Resolved,Closed"</formula1>
    </dataValidation>
    <dataValidation sqref="C38" showDropDown="0" showInputMessage="0" showErrorMessage="0" allowBlank="0" type="list">
      <formula1>"Quality,Coverage_Gap,Cost,Compliance,Contract,Integration,CVSS_Accuracy,Continuity,Other"</formula1>
    </dataValidation>
    <dataValidation sqref="E38" showDropDown="0" showInputMessage="0" showErrorMessage="0" allowBlank="0" type="list">
      <formula1>"Sheet_3,Sheet_4,Sheet_5,Sheet_6,Sheet_9,Sheet_10,Sheet_11,Sheet_12,Sheet_13,Sheet_14,Sheet_15"</formula1>
    </dataValidation>
    <dataValidation sqref="I38" showDropDown="0" showInputMessage="0" showErrorMessage="0" allowBlank="0" type="list">
      <formula1>"Open,In_Progress,Blocked,Resolved,Closed"</formula1>
    </dataValidation>
    <dataValidation sqref="C39" showDropDown="0" showInputMessage="0" showErrorMessage="0" allowBlank="0" type="list">
      <formula1>"Quality,Coverage_Gap,Cost,Compliance,Contract,Integration,CVSS_Accuracy,Continuity,Other"</formula1>
    </dataValidation>
    <dataValidation sqref="E39" showDropDown="0" showInputMessage="0" showErrorMessage="0" allowBlank="0" type="list">
      <formula1>"Sheet_3,Sheet_4,Sheet_5,Sheet_6,Sheet_9,Sheet_10,Sheet_11,Sheet_12,Sheet_13,Sheet_14,Sheet_15"</formula1>
    </dataValidation>
    <dataValidation sqref="I39" showDropDown="0" showInputMessage="0" showErrorMessage="0" allowBlank="0" type="list">
      <formula1>"Open,In_Progress,Blocked,Resolved,Closed"</formula1>
    </dataValidation>
    <dataValidation sqref="C40" showDropDown="0" showInputMessage="0" showErrorMessage="0" allowBlank="0" type="list">
      <formula1>"Quality,Coverage_Gap,Cost,Compliance,Contract,Integration,CVSS_Accuracy,Continuity,Other"</formula1>
    </dataValidation>
    <dataValidation sqref="E40" showDropDown="0" showInputMessage="0" showErrorMessage="0" allowBlank="0" type="list">
      <formula1>"Sheet_3,Sheet_4,Sheet_5,Sheet_6,Sheet_9,Sheet_10,Sheet_11,Sheet_12,Sheet_13,Sheet_14,Sheet_15"</formula1>
    </dataValidation>
    <dataValidation sqref="I40" showDropDown="0" showInputMessage="0" showErrorMessage="0" allowBlank="0" type="list">
      <formula1>"Open,In_Progress,Blocked,Resolved,Closed"</formula1>
    </dataValidation>
    <dataValidation sqref="C41" showDropDown="0" showInputMessage="0" showErrorMessage="0" allowBlank="0" type="list">
      <formula1>"Quality,Coverage_Gap,Cost,Compliance,Contract,Integration,CVSS_Accuracy,Continuity,Other"</formula1>
    </dataValidation>
    <dataValidation sqref="E41" showDropDown="0" showInputMessage="0" showErrorMessage="0" allowBlank="0" type="list">
      <formula1>"Sheet_3,Sheet_4,Sheet_5,Sheet_6,Sheet_9,Sheet_10,Sheet_11,Sheet_12,Sheet_13,Sheet_14,Sheet_15"</formula1>
    </dataValidation>
    <dataValidation sqref="I41" showDropDown="0" showInputMessage="0" showErrorMessage="0" allowBlank="0" type="list">
      <formula1>"Open,In_Progress,Blocked,Resolved,Closed"</formula1>
    </dataValidation>
    <dataValidation sqref="C42" showDropDown="0" showInputMessage="0" showErrorMessage="0" allowBlank="0" type="list">
      <formula1>"Quality,Coverage_Gap,Cost,Compliance,Contract,Integration,CVSS_Accuracy,Continuity,Other"</formula1>
    </dataValidation>
    <dataValidation sqref="E42" showDropDown="0" showInputMessage="0" showErrorMessage="0" allowBlank="0" type="list">
      <formula1>"Sheet_3,Sheet_4,Sheet_5,Sheet_6,Sheet_9,Sheet_10,Sheet_11,Sheet_12,Sheet_13,Sheet_14,Sheet_15"</formula1>
    </dataValidation>
    <dataValidation sqref="I42" showDropDown="0" showInputMessage="0" showErrorMessage="0" allowBlank="0" type="list">
      <formula1>"Open,In_Progress,Blocked,Resolved,Closed"</formula1>
    </dataValidation>
    <dataValidation sqref="C43" showDropDown="0" showInputMessage="0" showErrorMessage="0" allowBlank="0" type="list">
      <formula1>"Quality,Coverage_Gap,Cost,Compliance,Contract,Integration,CVSS_Accuracy,Continuity,Other"</formula1>
    </dataValidation>
    <dataValidation sqref="E43" showDropDown="0" showInputMessage="0" showErrorMessage="0" allowBlank="0" type="list">
      <formula1>"Sheet_3,Sheet_4,Sheet_5,Sheet_6,Sheet_9,Sheet_10,Sheet_11,Sheet_12,Sheet_13,Sheet_14,Sheet_15"</formula1>
    </dataValidation>
    <dataValidation sqref="I43" showDropDown="0" showInputMessage="0" showErrorMessage="0" allowBlank="0" type="list">
      <formula1>"Open,In_Progress,Blocked,Resolved,Closed"</formula1>
    </dataValidation>
    <dataValidation sqref="C44" showDropDown="0" showInputMessage="0" showErrorMessage="0" allowBlank="0" type="list">
      <formula1>"Quality,Coverage_Gap,Cost,Compliance,Contract,Integration,CVSS_Accuracy,Continuity,Other"</formula1>
    </dataValidation>
    <dataValidation sqref="E44" showDropDown="0" showInputMessage="0" showErrorMessage="0" allowBlank="0" type="list">
      <formula1>"Sheet_3,Sheet_4,Sheet_5,Sheet_6,Sheet_9,Sheet_10,Sheet_11,Sheet_12,Sheet_13,Sheet_14,Sheet_15"</formula1>
    </dataValidation>
    <dataValidation sqref="I44" showDropDown="0" showInputMessage="0" showErrorMessage="0" allowBlank="0" type="list">
      <formula1>"Open,In_Progress,Blocked,Resolved,Closed"</formula1>
    </dataValidation>
    <dataValidation sqref="C45" showDropDown="0" showInputMessage="0" showErrorMessage="0" allowBlank="0" type="list">
      <formula1>"Quality,Coverage_Gap,Cost,Compliance,Contract,Integration,CVSS_Accuracy,Continuity,Other"</formula1>
    </dataValidation>
    <dataValidation sqref="E45" showDropDown="0" showInputMessage="0" showErrorMessage="0" allowBlank="0" type="list">
      <formula1>"Sheet_3,Sheet_4,Sheet_5,Sheet_6,Sheet_9,Sheet_10,Sheet_11,Sheet_12,Sheet_13,Sheet_14,Sheet_15"</formula1>
    </dataValidation>
    <dataValidation sqref="I45" showDropDown="0" showInputMessage="0" showErrorMessage="0" allowBlank="0" type="list">
      <formula1>"Open,In_Progress,Blocked,Resolved,Closed"</formula1>
    </dataValidation>
    <dataValidation sqref="C46" showDropDown="0" showInputMessage="0" showErrorMessage="0" allowBlank="0" type="list">
      <formula1>"Quality,Coverage_Gap,Cost,Compliance,Contract,Integration,CVSS_Accuracy,Continuity,Other"</formula1>
    </dataValidation>
    <dataValidation sqref="E46" showDropDown="0" showInputMessage="0" showErrorMessage="0" allowBlank="0" type="list">
      <formula1>"Sheet_3,Sheet_4,Sheet_5,Sheet_6,Sheet_9,Sheet_10,Sheet_11,Sheet_12,Sheet_13,Sheet_14,Sheet_15"</formula1>
    </dataValidation>
    <dataValidation sqref="I46" showDropDown="0" showInputMessage="0" showErrorMessage="0" allowBlank="0" type="list">
      <formula1>"Open,In_Progress,Blocked,Resolved,Closed"</formula1>
    </dataValidation>
    <dataValidation sqref="C47" showDropDown="0" showInputMessage="0" showErrorMessage="0" allowBlank="0" type="list">
      <formula1>"Quality,Coverage_Gap,Cost,Compliance,Contract,Integration,CVSS_Accuracy,Continuity,Other"</formula1>
    </dataValidation>
    <dataValidation sqref="E47" showDropDown="0" showInputMessage="0" showErrorMessage="0" allowBlank="0" type="list">
      <formula1>"Sheet_3,Sheet_4,Sheet_5,Sheet_6,Sheet_9,Sheet_10,Sheet_11,Sheet_12,Sheet_13,Sheet_14,Sheet_15"</formula1>
    </dataValidation>
    <dataValidation sqref="I47" showDropDown="0" showInputMessage="0" showErrorMessage="0" allowBlank="0" type="list">
      <formula1>"Open,In_Progress,Blocked,Resolved,Closed"</formula1>
    </dataValidation>
    <dataValidation sqref="C48" showDropDown="0" showInputMessage="0" showErrorMessage="0" allowBlank="0" type="list">
      <formula1>"Quality,Coverage_Gap,Cost,Compliance,Contract,Integration,CVSS_Accuracy,Continuity,Other"</formula1>
    </dataValidation>
    <dataValidation sqref="E48" showDropDown="0" showInputMessage="0" showErrorMessage="0" allowBlank="0" type="list">
      <formula1>"Sheet_3,Sheet_4,Sheet_5,Sheet_6,Sheet_9,Sheet_10,Sheet_11,Sheet_12,Sheet_13,Sheet_14,Sheet_15"</formula1>
    </dataValidation>
    <dataValidation sqref="I48" showDropDown="0" showInputMessage="0" showErrorMessage="0" allowBlank="0" type="list">
      <formula1>"Open,In_Progress,Blocked,Resolved,Closed"</formula1>
    </dataValidation>
    <dataValidation sqref="C49" showDropDown="0" showInputMessage="0" showErrorMessage="0" allowBlank="0" type="list">
      <formula1>"Quality,Coverage_Gap,Cost,Compliance,Contract,Integration,CVSS_Accuracy,Continuity,Other"</formula1>
    </dataValidation>
    <dataValidation sqref="E49" showDropDown="0" showInputMessage="0" showErrorMessage="0" allowBlank="0" type="list">
      <formula1>"Sheet_3,Sheet_4,Sheet_5,Sheet_6,Sheet_9,Sheet_10,Sheet_11,Sheet_12,Sheet_13,Sheet_14,Sheet_15"</formula1>
    </dataValidation>
    <dataValidation sqref="I49" showDropDown="0" showInputMessage="0" showErrorMessage="0" allowBlank="0" type="list">
      <formula1>"Open,In_Progress,Blocked,Resolved,Closed"</formula1>
    </dataValidation>
    <dataValidation sqref="C50" showDropDown="0" showInputMessage="0" showErrorMessage="0" allowBlank="0" type="list">
      <formula1>"Quality,Coverage_Gap,Cost,Compliance,Contract,Integration,CVSS_Accuracy,Continuity,Other"</formula1>
    </dataValidation>
    <dataValidation sqref="E50" showDropDown="0" showInputMessage="0" showErrorMessage="0" allowBlank="0" type="list">
      <formula1>"Sheet_3,Sheet_4,Sheet_5,Sheet_6,Sheet_9,Sheet_10,Sheet_11,Sheet_12,Sheet_13,Sheet_14,Sheet_15"</formula1>
    </dataValidation>
    <dataValidation sqref="I50" showDropDown="0" showInputMessage="0" showErrorMessage="0" allowBlank="0" type="list">
      <formula1>"Open,In_Progress,Blocked,Resolved,Closed"</formula1>
    </dataValidation>
    <dataValidation sqref="C51" showDropDown="0" showInputMessage="0" showErrorMessage="0" allowBlank="0" type="list">
      <formula1>"Quality,Coverage_Gap,Cost,Compliance,Contract,Integration,CVSS_Accuracy,Continuity,Other"</formula1>
    </dataValidation>
    <dataValidation sqref="E51" showDropDown="0" showInputMessage="0" showErrorMessage="0" allowBlank="0" type="list">
      <formula1>"Sheet_3,Sheet_4,Sheet_5,Sheet_6,Sheet_9,Sheet_10,Sheet_11,Sheet_12,Sheet_13,Sheet_14,Sheet_15"</formula1>
    </dataValidation>
    <dataValidation sqref="I51" showDropDown="0" showInputMessage="0" showErrorMessage="0" allowBlank="0" type="list">
      <formula1>"Open,In_Progress,Blocked,Resolved,Closed"</formula1>
    </dataValidation>
    <dataValidation sqref="C52" showDropDown="0" showInputMessage="0" showErrorMessage="0" allowBlank="0" type="list">
      <formula1>"Quality,Coverage_Gap,Cost,Compliance,Contract,Integration,CVSS_Accuracy,Continuity,Other"</formula1>
    </dataValidation>
    <dataValidation sqref="E52" showDropDown="0" showInputMessage="0" showErrorMessage="0" allowBlank="0" type="list">
      <formula1>"Sheet_3,Sheet_4,Sheet_5,Sheet_6,Sheet_9,Sheet_10,Sheet_11,Sheet_12,Sheet_13,Sheet_14,Sheet_15"</formula1>
    </dataValidation>
    <dataValidation sqref="I52" showDropDown="0" showInputMessage="0" showErrorMessage="0" allowBlank="0" type="list">
      <formula1>"Open,In_Progress,Blocked,Resolved,Closed"</formula1>
    </dataValidation>
    <dataValidation sqref="C53" showDropDown="0" showInputMessage="0" showErrorMessage="0" allowBlank="0" type="list">
      <formula1>"Quality,Coverage_Gap,Cost,Compliance,Contract,Integration,CVSS_Accuracy,Continuity,Other"</formula1>
    </dataValidation>
    <dataValidation sqref="E53" showDropDown="0" showInputMessage="0" showErrorMessage="0" allowBlank="0" type="list">
      <formula1>"Sheet_3,Sheet_4,Sheet_5,Sheet_6,Sheet_9,Sheet_10,Sheet_11,Sheet_12,Sheet_13,Sheet_14,Sheet_15"</formula1>
    </dataValidation>
    <dataValidation sqref="I53" showDropDown="0" showInputMessage="0" showErrorMessage="0" allowBlank="0" type="list">
      <formula1>"Open,In_Progress,Blocked,Resolved,Closed"</formula1>
    </dataValidation>
    <dataValidation sqref="C54" showDropDown="0" showInputMessage="0" showErrorMessage="0" allowBlank="0" type="list">
      <formula1>"Quality,Coverage_Gap,Cost,Compliance,Contract,Integration,CVSS_Accuracy,Continuity,Other"</formula1>
    </dataValidation>
    <dataValidation sqref="E54" showDropDown="0" showInputMessage="0" showErrorMessage="0" allowBlank="0" type="list">
      <formula1>"Sheet_3,Sheet_4,Sheet_5,Sheet_6,Sheet_9,Sheet_10,Sheet_11,Sheet_12,Sheet_13,Sheet_14,Sheet_15"</formula1>
    </dataValidation>
    <dataValidation sqref="I54" showDropDown="0" showInputMessage="0" showErrorMessage="0" allowBlank="0" type="list">
      <formula1>"Open,In_Progress,Blocked,Resolved,Closed"</formula1>
    </dataValidation>
    <dataValidation sqref="C55" showDropDown="0" showInputMessage="0" showErrorMessage="0" allowBlank="0" type="list">
      <formula1>"Quality,Coverage_Gap,Cost,Compliance,Contract,Integration,CVSS_Accuracy,Continuity,Other"</formula1>
    </dataValidation>
    <dataValidation sqref="E55" showDropDown="0" showInputMessage="0" showErrorMessage="0" allowBlank="0" type="list">
      <formula1>"Sheet_3,Sheet_4,Sheet_5,Sheet_6,Sheet_9,Sheet_10,Sheet_11,Sheet_12,Sheet_13,Sheet_14,Sheet_15"</formula1>
    </dataValidation>
    <dataValidation sqref="I55" showDropDown="0" showInputMessage="0" showErrorMessage="0" allowBlank="0" type="list">
      <formula1>"Open,In_Progress,Blocked,Resolved,Closed"</formula1>
    </dataValidation>
    <dataValidation sqref="C56" showDropDown="0" showInputMessage="0" showErrorMessage="0" allowBlank="0" type="list">
      <formula1>"Quality,Coverage_Gap,Cost,Compliance,Contract,Integration,CVSS_Accuracy,Continuity,Other"</formula1>
    </dataValidation>
    <dataValidation sqref="E56" showDropDown="0" showInputMessage="0" showErrorMessage="0" allowBlank="0" type="list">
      <formula1>"Sheet_3,Sheet_4,Sheet_5,Sheet_6,Sheet_9,Sheet_10,Sheet_11,Sheet_12,Sheet_13,Sheet_14,Sheet_15"</formula1>
    </dataValidation>
    <dataValidation sqref="I56" showDropDown="0" showInputMessage="0" showErrorMessage="0" allowBlank="0" type="list">
      <formula1>"Open,In_Progress,Blocked,Resolved,Closed"</formula1>
    </dataValidation>
    <dataValidation sqref="C57" showDropDown="0" showInputMessage="0" showErrorMessage="0" allowBlank="0" type="list">
      <formula1>"Quality,Coverage_Gap,Cost,Compliance,Contract,Integration,CVSS_Accuracy,Continuity,Other"</formula1>
    </dataValidation>
    <dataValidation sqref="E57" showDropDown="0" showInputMessage="0" showErrorMessage="0" allowBlank="0" type="list">
      <formula1>"Sheet_3,Sheet_4,Sheet_5,Sheet_6,Sheet_9,Sheet_10,Sheet_11,Sheet_12,Sheet_13,Sheet_14,Sheet_15"</formula1>
    </dataValidation>
    <dataValidation sqref="I57" showDropDown="0" showInputMessage="0" showErrorMessage="0" allowBlank="0" type="list">
      <formula1>"Open,In_Progress,Blocked,Resolved,Closed"</formula1>
    </dataValidation>
    <dataValidation sqref="C58" showDropDown="0" showInputMessage="0" showErrorMessage="0" allowBlank="0" type="list">
      <formula1>"Quality,Coverage_Gap,Cost,Compliance,Contract,Integration,CVSS_Accuracy,Continuity,Other"</formula1>
    </dataValidation>
    <dataValidation sqref="E58" showDropDown="0" showInputMessage="0" showErrorMessage="0" allowBlank="0" type="list">
      <formula1>"Sheet_3,Sheet_4,Sheet_5,Sheet_6,Sheet_9,Sheet_10,Sheet_11,Sheet_12,Sheet_13,Sheet_14,Sheet_15"</formula1>
    </dataValidation>
    <dataValidation sqref="I58" showDropDown="0" showInputMessage="0" showErrorMessage="0" allowBlank="0" type="list">
      <formula1>"Open,In_Progress,Blocked,Resolved,Closed"</formula1>
    </dataValidation>
    <dataValidation sqref="C59" showDropDown="0" showInputMessage="0" showErrorMessage="0" allowBlank="0" type="list">
      <formula1>"Quality,Coverage_Gap,Cost,Compliance,Contract,Integration,CVSS_Accuracy,Continuity,Other"</formula1>
    </dataValidation>
    <dataValidation sqref="E59" showDropDown="0" showInputMessage="0" showErrorMessage="0" allowBlank="0" type="list">
      <formula1>"Sheet_3,Sheet_4,Sheet_5,Sheet_6,Sheet_9,Sheet_10,Sheet_11,Sheet_12,Sheet_13,Sheet_14,Sheet_15"</formula1>
    </dataValidation>
    <dataValidation sqref="I59" showDropDown="0" showInputMessage="0" showErrorMessage="0" allowBlank="0" type="list">
      <formula1>"Open,In_Progress,Blocked,Resolved,Closed"</formula1>
    </dataValidation>
    <dataValidation sqref="C60" showDropDown="0" showInputMessage="0" showErrorMessage="0" allowBlank="0" type="list">
      <formula1>"Quality,Coverage_Gap,Cost,Compliance,Contract,Integration,CVSS_Accuracy,Continuity,Other"</formula1>
    </dataValidation>
    <dataValidation sqref="E60" showDropDown="0" showInputMessage="0" showErrorMessage="0" allowBlank="0" type="list">
      <formula1>"Sheet_3,Sheet_4,Sheet_5,Sheet_6,Sheet_9,Sheet_10,Sheet_11,Sheet_12,Sheet_13,Sheet_14,Sheet_15"</formula1>
    </dataValidation>
    <dataValidation sqref="I60" showDropDown="0" showInputMessage="0" showErrorMessage="0" allowBlank="0" type="list">
      <formula1>"Open,In_Progress,Blocked,Resolved,Closed"</formula1>
    </dataValidation>
    <dataValidation sqref="C61" showDropDown="0" showInputMessage="0" showErrorMessage="0" allowBlank="0" type="list">
      <formula1>"Quality,Coverage_Gap,Cost,Compliance,Contract,Integration,CVSS_Accuracy,Continuity,Other"</formula1>
    </dataValidation>
    <dataValidation sqref="E61" showDropDown="0" showInputMessage="0" showErrorMessage="0" allowBlank="0" type="list">
      <formula1>"Sheet_3,Sheet_4,Sheet_5,Sheet_6,Sheet_9,Sheet_10,Sheet_11,Sheet_12,Sheet_13,Sheet_14,Sheet_15"</formula1>
    </dataValidation>
    <dataValidation sqref="I61" showDropDown="0" showInputMessage="0" showErrorMessage="0" allowBlank="0" type="list">
      <formula1>"Open,In_Progress,Blocked,Resolved,Closed"</formula1>
    </dataValidation>
    <dataValidation sqref="C62" showDropDown="0" showInputMessage="0" showErrorMessage="0" allowBlank="0" type="list">
      <formula1>"Quality,Coverage_Gap,Cost,Compliance,Contract,Integration,CVSS_Accuracy,Continuity,Other"</formula1>
    </dataValidation>
    <dataValidation sqref="E62" showDropDown="0" showInputMessage="0" showErrorMessage="0" allowBlank="0" type="list">
      <formula1>"Sheet_3,Sheet_4,Sheet_5,Sheet_6,Sheet_9,Sheet_10,Sheet_11,Sheet_12,Sheet_13,Sheet_14,Sheet_15"</formula1>
    </dataValidation>
    <dataValidation sqref="I62" showDropDown="0" showInputMessage="0" showErrorMessage="0" allowBlank="0" type="list">
      <formula1>"Open,In_Progress,Blocked,Resolved,Closed"</formula1>
    </dataValidation>
    <dataValidation sqref="C63" showDropDown="0" showInputMessage="0" showErrorMessage="0" allowBlank="0" type="list">
      <formula1>"Quality,Coverage_Gap,Cost,Compliance,Contract,Integration,CVSS_Accuracy,Continuity,Other"</formula1>
    </dataValidation>
    <dataValidation sqref="E63" showDropDown="0" showInputMessage="0" showErrorMessage="0" allowBlank="0" type="list">
      <formula1>"Sheet_3,Sheet_4,Sheet_5,Sheet_6,Sheet_9,Sheet_10,Sheet_11,Sheet_12,Sheet_13,Sheet_14,Sheet_15"</formula1>
    </dataValidation>
    <dataValidation sqref="I63" showDropDown="0" showInputMessage="0" showErrorMessage="0" allowBlank="0" type="list">
      <formula1>"Open,In_Progress,Blocked,Resolved,Closed"</formula1>
    </dataValidation>
    <dataValidation sqref="C64" showDropDown="0" showInputMessage="0" showErrorMessage="0" allowBlank="0" type="list">
      <formula1>"Quality,Coverage_Gap,Cost,Compliance,Contract,Integration,CVSS_Accuracy,Continuity,Other"</formula1>
    </dataValidation>
    <dataValidation sqref="E64" showDropDown="0" showInputMessage="0" showErrorMessage="0" allowBlank="0" type="list">
      <formula1>"Sheet_3,Sheet_4,Sheet_5,Sheet_6,Sheet_9,Sheet_10,Sheet_11,Sheet_12,Sheet_13,Sheet_14,Sheet_15"</formula1>
    </dataValidation>
    <dataValidation sqref="I64" showDropDown="0" showInputMessage="0" showErrorMessage="0" allowBlank="0" type="list">
      <formula1>"Open,In_Progress,Blocked,Resolved,Closed"</formula1>
    </dataValidation>
    <dataValidation sqref="C65" showDropDown="0" showInputMessage="0" showErrorMessage="0" allowBlank="0" type="list">
      <formula1>"Quality,Coverage_Gap,Cost,Compliance,Contract,Integration,CVSS_Accuracy,Continuity,Other"</formula1>
    </dataValidation>
    <dataValidation sqref="E65" showDropDown="0" showInputMessage="0" showErrorMessage="0" allowBlank="0" type="list">
      <formula1>"Sheet_3,Sheet_4,Sheet_5,Sheet_6,Sheet_9,Sheet_10,Sheet_11,Sheet_12,Sheet_13,Sheet_14,Sheet_15"</formula1>
    </dataValidation>
    <dataValidation sqref="I65" showDropDown="0" showInputMessage="0" showErrorMessage="0" allowBlank="0" type="list">
      <formula1>"Open,In_Progress,Blocked,Resolved,Closed"</formula1>
    </dataValidation>
    <dataValidation sqref="C66" showDropDown="0" showInputMessage="0" showErrorMessage="0" allowBlank="0" type="list">
      <formula1>"Quality,Coverage_Gap,Cost,Compliance,Contract,Integration,CVSS_Accuracy,Continuity,Other"</formula1>
    </dataValidation>
    <dataValidation sqref="E66" showDropDown="0" showInputMessage="0" showErrorMessage="0" allowBlank="0" type="list">
      <formula1>"Sheet_3,Sheet_4,Sheet_5,Sheet_6,Sheet_9,Sheet_10,Sheet_11,Sheet_12,Sheet_13,Sheet_14,Sheet_15"</formula1>
    </dataValidation>
    <dataValidation sqref="I66" showDropDown="0" showInputMessage="0" showErrorMessage="0" allowBlank="0" type="list">
      <formula1>"Open,In_Progress,Blocked,Resolved,Closed"</formula1>
    </dataValidation>
    <dataValidation sqref="C67" showDropDown="0" showInputMessage="0" showErrorMessage="0" allowBlank="0" type="list">
      <formula1>"Quality,Coverage_Gap,Cost,Compliance,Contract,Integration,CVSS_Accuracy,Continuity,Other"</formula1>
    </dataValidation>
    <dataValidation sqref="E67" showDropDown="0" showInputMessage="0" showErrorMessage="0" allowBlank="0" type="list">
      <formula1>"Sheet_3,Sheet_4,Sheet_5,Sheet_6,Sheet_9,Sheet_10,Sheet_11,Sheet_12,Sheet_13,Sheet_14,Sheet_15"</formula1>
    </dataValidation>
    <dataValidation sqref="I67" showDropDown="0" showInputMessage="0" showErrorMessage="0" allowBlank="0" type="list">
      <formula1>"Open,In_Progress,Blocked,Resolved,Closed"</formula1>
    </dataValidation>
    <dataValidation sqref="C68" showDropDown="0" showInputMessage="0" showErrorMessage="0" allowBlank="0" type="list">
      <formula1>"Quality,Coverage_Gap,Cost,Compliance,Contract,Integration,CVSS_Accuracy,Continuity,Other"</formula1>
    </dataValidation>
    <dataValidation sqref="E68" showDropDown="0" showInputMessage="0" showErrorMessage="0" allowBlank="0" type="list">
      <formula1>"Sheet_3,Sheet_4,Sheet_5,Sheet_6,Sheet_9,Sheet_10,Sheet_11,Sheet_12,Sheet_13,Sheet_14,Sheet_15"</formula1>
    </dataValidation>
    <dataValidation sqref="I68" showDropDown="0" showInputMessage="0" showErrorMessage="0" allowBlank="0" type="list">
      <formula1>"Open,In_Progress,Blocked,Resolved,Closed"</formula1>
    </dataValidation>
    <dataValidation sqref="C69" showDropDown="0" showInputMessage="0" showErrorMessage="0" allowBlank="0" type="list">
      <formula1>"Quality,Coverage_Gap,Cost,Compliance,Contract,Integration,CVSS_Accuracy,Continuity,Other"</formula1>
    </dataValidation>
    <dataValidation sqref="E69" showDropDown="0" showInputMessage="0" showErrorMessage="0" allowBlank="0" type="list">
      <formula1>"Sheet_3,Sheet_4,Sheet_5,Sheet_6,Sheet_9,Sheet_10,Sheet_11,Sheet_12,Sheet_13,Sheet_14,Sheet_15"</formula1>
    </dataValidation>
    <dataValidation sqref="I69" showDropDown="0" showInputMessage="0" showErrorMessage="0" allowBlank="0" type="list">
      <formula1>"Open,In_Progress,Blocked,Resolved,Closed"</formula1>
    </dataValidation>
    <dataValidation sqref="C70" showDropDown="0" showInputMessage="0" showErrorMessage="0" allowBlank="0" type="list">
      <formula1>"Quality,Coverage_Gap,Cost,Compliance,Contract,Integration,CVSS_Accuracy,Continuity,Other"</formula1>
    </dataValidation>
    <dataValidation sqref="E70" showDropDown="0" showInputMessage="0" showErrorMessage="0" allowBlank="0" type="list">
      <formula1>"Sheet_3,Sheet_4,Sheet_5,Sheet_6,Sheet_9,Sheet_10,Sheet_11,Sheet_12,Sheet_13,Sheet_14,Sheet_15"</formula1>
    </dataValidation>
    <dataValidation sqref="I70" showDropDown="0" showInputMessage="0" showErrorMessage="0" allowBlank="0" type="list">
      <formula1>"Open,In_Progress,Blocked,Resolved,Closed"</formula1>
    </dataValidation>
    <dataValidation sqref="C71" showDropDown="0" showInputMessage="0" showErrorMessage="0" allowBlank="0" type="list">
      <formula1>"Quality,Coverage_Gap,Cost,Compliance,Contract,Integration,CVSS_Accuracy,Continuity,Other"</formula1>
    </dataValidation>
    <dataValidation sqref="E71" showDropDown="0" showInputMessage="0" showErrorMessage="0" allowBlank="0" type="list">
      <formula1>"Sheet_3,Sheet_4,Sheet_5,Sheet_6,Sheet_9,Sheet_10,Sheet_11,Sheet_12,Sheet_13,Sheet_14,Sheet_15"</formula1>
    </dataValidation>
    <dataValidation sqref="I71" showDropDown="0" showInputMessage="0" showErrorMessage="0" allowBlank="0" type="list">
      <formula1>"Open,In_Progress,Blocked,Resolved,Closed"</formula1>
    </dataValidation>
    <dataValidation sqref="C72" showDropDown="0" showInputMessage="0" showErrorMessage="0" allowBlank="0" type="list">
      <formula1>"Quality,Coverage_Gap,Cost,Compliance,Contract,Integration,CVSS_Accuracy,Continuity,Other"</formula1>
    </dataValidation>
    <dataValidation sqref="E72" showDropDown="0" showInputMessage="0" showErrorMessage="0" allowBlank="0" type="list">
      <formula1>"Sheet_3,Sheet_4,Sheet_5,Sheet_6,Sheet_9,Sheet_10,Sheet_11,Sheet_12,Sheet_13,Sheet_14,Sheet_15"</formula1>
    </dataValidation>
    <dataValidation sqref="I72" showDropDown="0" showInputMessage="0" showErrorMessage="0" allowBlank="0" type="list">
      <formula1>"Open,In_Progress,Blocked,Resolved,Closed"</formula1>
    </dataValidation>
    <dataValidation sqref="C73" showDropDown="0" showInputMessage="0" showErrorMessage="0" allowBlank="0" type="list">
      <formula1>"Quality,Coverage_Gap,Cost,Compliance,Contract,Integration,CVSS_Accuracy,Continuity,Other"</formula1>
    </dataValidation>
    <dataValidation sqref="E73" showDropDown="0" showInputMessage="0" showErrorMessage="0" allowBlank="0" type="list">
      <formula1>"Sheet_3,Sheet_4,Sheet_5,Sheet_6,Sheet_9,Sheet_10,Sheet_11,Sheet_12,Sheet_13,Sheet_14,Sheet_15"</formula1>
    </dataValidation>
    <dataValidation sqref="I73" showDropDown="0" showInputMessage="0" showErrorMessage="0" allowBlank="0" type="list">
      <formula1>"Open,In_Progress,Blocked,Resolved,Closed"</formula1>
    </dataValidation>
    <dataValidation sqref="C74" showDropDown="0" showInputMessage="0" showErrorMessage="0" allowBlank="0" type="list">
      <formula1>"Quality,Coverage_Gap,Cost,Compliance,Contract,Integration,CVSS_Accuracy,Continuity,Other"</formula1>
    </dataValidation>
    <dataValidation sqref="E74" showDropDown="0" showInputMessage="0" showErrorMessage="0" allowBlank="0" type="list">
      <formula1>"Sheet_3,Sheet_4,Sheet_5,Sheet_6,Sheet_9,Sheet_10,Sheet_11,Sheet_12,Sheet_13,Sheet_14,Sheet_15"</formula1>
    </dataValidation>
    <dataValidation sqref="I74" showDropDown="0" showInputMessage="0" showErrorMessage="0" allowBlank="0" type="list">
      <formula1>"Open,In_Progress,Blocked,Resolved,Closed"</formula1>
    </dataValidation>
    <dataValidation sqref="C75" showDropDown="0" showInputMessage="0" showErrorMessage="0" allowBlank="0" type="list">
      <formula1>"Quality,Coverage_Gap,Cost,Compliance,Contract,Integration,CVSS_Accuracy,Continuity,Other"</formula1>
    </dataValidation>
    <dataValidation sqref="E75" showDropDown="0" showInputMessage="0" showErrorMessage="0" allowBlank="0" type="list">
      <formula1>"Sheet_3,Sheet_4,Sheet_5,Sheet_6,Sheet_9,Sheet_10,Sheet_11,Sheet_12,Sheet_13,Sheet_14,Sheet_15"</formula1>
    </dataValidation>
    <dataValidation sqref="I75" showDropDown="0" showInputMessage="0" showErrorMessage="0" allowBlank="0" type="list">
      <formula1>"Open,In_Progress,Blocked,Resolved,Closed"</formula1>
    </dataValidation>
    <dataValidation sqref="C76" showDropDown="0" showInputMessage="0" showErrorMessage="0" allowBlank="0" type="list">
      <formula1>"Quality,Coverage_Gap,Cost,Compliance,Contract,Integration,CVSS_Accuracy,Continuity,Other"</formula1>
    </dataValidation>
    <dataValidation sqref="E76" showDropDown="0" showInputMessage="0" showErrorMessage="0" allowBlank="0" type="list">
      <formula1>"Sheet_3,Sheet_4,Sheet_5,Sheet_6,Sheet_9,Sheet_10,Sheet_11,Sheet_12,Sheet_13,Sheet_14,Sheet_15"</formula1>
    </dataValidation>
    <dataValidation sqref="I76" showDropDown="0" showInputMessage="0" showErrorMessage="0" allowBlank="0" type="list">
      <formula1>"Open,In_Progress,Blocked,Resolved,Closed"</formula1>
    </dataValidation>
    <dataValidation sqref="C77" showDropDown="0" showInputMessage="0" showErrorMessage="0" allowBlank="0" type="list">
      <formula1>"Quality,Coverage_Gap,Cost,Compliance,Contract,Integration,CVSS_Accuracy,Continuity,Other"</formula1>
    </dataValidation>
    <dataValidation sqref="E77" showDropDown="0" showInputMessage="0" showErrorMessage="0" allowBlank="0" type="list">
      <formula1>"Sheet_3,Sheet_4,Sheet_5,Sheet_6,Sheet_9,Sheet_10,Sheet_11,Sheet_12,Sheet_13,Sheet_14,Sheet_15"</formula1>
    </dataValidation>
    <dataValidation sqref="I77" showDropDown="0" showInputMessage="0" showErrorMessage="0" allowBlank="0" type="list">
      <formula1>"Open,In_Progress,Blocked,Resolved,Closed"</formula1>
    </dataValidation>
    <dataValidation sqref="C78" showDropDown="0" showInputMessage="0" showErrorMessage="0" allowBlank="0" type="list">
      <formula1>"Quality,Coverage_Gap,Cost,Compliance,Contract,Integration,CVSS_Accuracy,Continuity,Other"</formula1>
    </dataValidation>
    <dataValidation sqref="E78" showDropDown="0" showInputMessage="0" showErrorMessage="0" allowBlank="0" type="list">
      <formula1>"Sheet_3,Sheet_4,Sheet_5,Sheet_6,Sheet_9,Sheet_10,Sheet_11,Sheet_12,Sheet_13,Sheet_14,Sheet_15"</formula1>
    </dataValidation>
    <dataValidation sqref="I78" showDropDown="0" showInputMessage="0" showErrorMessage="0" allowBlank="0" type="list">
      <formula1>"Open,In_Progress,Blocked,Resolved,Closed"</formula1>
    </dataValidation>
    <dataValidation sqref="C79" showDropDown="0" showInputMessage="0" showErrorMessage="0" allowBlank="0" type="list">
      <formula1>"Quality,Coverage_Gap,Cost,Compliance,Contract,Integration,CVSS_Accuracy,Continuity,Other"</formula1>
    </dataValidation>
    <dataValidation sqref="E79" showDropDown="0" showInputMessage="0" showErrorMessage="0" allowBlank="0" type="list">
      <formula1>"Sheet_3,Sheet_4,Sheet_5,Sheet_6,Sheet_9,Sheet_10,Sheet_11,Sheet_12,Sheet_13,Sheet_14,Sheet_15"</formula1>
    </dataValidation>
    <dataValidation sqref="I79" showDropDown="0" showInputMessage="0" showErrorMessage="0" allowBlank="0" type="list">
      <formula1>"Open,In_Progress,Blocked,Resolved,Closed"</formula1>
    </dataValidation>
    <dataValidation sqref="C80" showDropDown="0" showInputMessage="0" showErrorMessage="0" allowBlank="0" type="list">
      <formula1>"Quality,Coverage_Gap,Cost,Compliance,Contract,Integration,CVSS_Accuracy,Continuity,Other"</formula1>
    </dataValidation>
    <dataValidation sqref="E80" showDropDown="0" showInputMessage="0" showErrorMessage="0" allowBlank="0" type="list">
      <formula1>"Sheet_3,Sheet_4,Sheet_5,Sheet_6,Sheet_9,Sheet_10,Sheet_11,Sheet_12,Sheet_13,Sheet_14,Sheet_15"</formula1>
    </dataValidation>
    <dataValidation sqref="I80" showDropDown="0" showInputMessage="0" showErrorMessage="0" allowBlank="0" type="list">
      <formula1>"Open,In_Progress,Blocked,Resolved,Closed"</formula1>
    </dataValidation>
    <dataValidation sqref="C81" showDropDown="0" showInputMessage="0" showErrorMessage="0" allowBlank="0" type="list">
      <formula1>"Quality,Coverage_Gap,Cost,Compliance,Contract,Integration,CVSS_Accuracy,Continuity,Other"</formula1>
    </dataValidation>
    <dataValidation sqref="E81" showDropDown="0" showInputMessage="0" showErrorMessage="0" allowBlank="0" type="list">
      <formula1>"Sheet_3,Sheet_4,Sheet_5,Sheet_6,Sheet_9,Sheet_10,Sheet_11,Sheet_12,Sheet_13,Sheet_14,Sheet_15"</formula1>
    </dataValidation>
    <dataValidation sqref="I81" showDropDown="0" showInputMessage="0" showErrorMessage="0" allowBlank="0" type="list">
      <formula1>"Open,In_Progress,Blocked,Resolved,Closed"</formula1>
    </dataValidation>
    <dataValidation sqref="C82" showDropDown="0" showInputMessage="0" showErrorMessage="0" allowBlank="0" type="list">
      <formula1>"Quality,Coverage_Gap,Cost,Compliance,Contract,Integration,CVSS_Accuracy,Continuity,Other"</formula1>
    </dataValidation>
    <dataValidation sqref="E82" showDropDown="0" showInputMessage="0" showErrorMessage="0" allowBlank="0" type="list">
      <formula1>"Sheet_3,Sheet_4,Sheet_5,Sheet_6,Sheet_9,Sheet_10,Sheet_11,Sheet_12,Sheet_13,Sheet_14,Sheet_15"</formula1>
    </dataValidation>
    <dataValidation sqref="I82" showDropDown="0" showInputMessage="0" showErrorMessage="0" allowBlank="0" type="list">
      <formula1>"Open,In_Progress,Blocked,Resolved,Closed"</formula1>
    </dataValidation>
    <dataValidation sqref="C83" showDropDown="0" showInputMessage="0" showErrorMessage="0" allowBlank="0" type="list">
      <formula1>"Quality,Coverage_Gap,Cost,Compliance,Contract,Integration,CVSS_Accuracy,Continuity,Other"</formula1>
    </dataValidation>
    <dataValidation sqref="E83" showDropDown="0" showInputMessage="0" showErrorMessage="0" allowBlank="0" type="list">
      <formula1>"Sheet_3,Sheet_4,Sheet_5,Sheet_6,Sheet_9,Sheet_10,Sheet_11,Sheet_12,Sheet_13,Sheet_14,Sheet_15"</formula1>
    </dataValidation>
    <dataValidation sqref="I83" showDropDown="0" showInputMessage="0" showErrorMessage="0" allowBlank="0" type="list">
      <formula1>"Open,In_Progress,Blocked,Resolved,Closed"</formula1>
    </dataValidation>
    <dataValidation sqref="C84" showDropDown="0" showInputMessage="0" showErrorMessage="0" allowBlank="0" type="list">
      <formula1>"Quality,Coverage_Gap,Cost,Compliance,Contract,Integration,CVSS_Accuracy,Continuity,Other"</formula1>
    </dataValidation>
    <dataValidation sqref="E84" showDropDown="0" showInputMessage="0" showErrorMessage="0" allowBlank="0" type="list">
      <formula1>"Sheet_3,Sheet_4,Sheet_5,Sheet_6,Sheet_9,Sheet_10,Sheet_11,Sheet_12,Sheet_13,Sheet_14,Sheet_15"</formula1>
    </dataValidation>
    <dataValidation sqref="I84" showDropDown="0" showInputMessage="0" showErrorMessage="0" allowBlank="0" type="list">
      <formula1>"Open,In_Progress,Blocked,Resolved,Closed"</formula1>
    </dataValidation>
    <dataValidation sqref="C85" showDropDown="0" showInputMessage="0" showErrorMessage="0" allowBlank="0" type="list">
      <formula1>"Quality,Coverage_Gap,Cost,Compliance,Contract,Integration,CVSS_Accuracy,Continuity,Other"</formula1>
    </dataValidation>
    <dataValidation sqref="E85" showDropDown="0" showInputMessage="0" showErrorMessage="0" allowBlank="0" type="list">
      <formula1>"Sheet_3,Sheet_4,Sheet_5,Sheet_6,Sheet_9,Sheet_10,Sheet_11,Sheet_12,Sheet_13,Sheet_14,Sheet_15"</formula1>
    </dataValidation>
    <dataValidation sqref="I85" showDropDown="0" showInputMessage="0" showErrorMessage="0" allowBlank="0" type="list">
      <formula1>"Open,In_Progress,Blocked,Resolved,Closed"</formula1>
    </dataValidation>
    <dataValidation sqref="C86" showDropDown="0" showInputMessage="0" showErrorMessage="0" allowBlank="0" type="list">
      <formula1>"Quality,Coverage_Gap,Cost,Compliance,Contract,Integration,CVSS_Accuracy,Continuity,Other"</formula1>
    </dataValidation>
    <dataValidation sqref="E86" showDropDown="0" showInputMessage="0" showErrorMessage="0" allowBlank="0" type="list">
      <formula1>"Sheet_3,Sheet_4,Sheet_5,Sheet_6,Sheet_9,Sheet_10,Sheet_11,Sheet_12,Sheet_13,Sheet_14,Sheet_15"</formula1>
    </dataValidation>
    <dataValidation sqref="I86" showDropDown="0" showInputMessage="0" showErrorMessage="0" allowBlank="0" type="list">
      <formula1>"Open,In_Progress,Blocked,Resolved,Closed"</formula1>
    </dataValidation>
    <dataValidation sqref="C87" showDropDown="0" showInputMessage="0" showErrorMessage="0" allowBlank="0" type="list">
      <formula1>"Quality,Coverage_Gap,Cost,Compliance,Contract,Integration,CVSS_Accuracy,Continuity,Other"</formula1>
    </dataValidation>
    <dataValidation sqref="E87" showDropDown="0" showInputMessage="0" showErrorMessage="0" allowBlank="0" type="list">
      <formula1>"Sheet_3,Sheet_4,Sheet_5,Sheet_6,Sheet_9,Sheet_10,Sheet_11,Sheet_12,Sheet_13,Sheet_14,Sheet_15"</formula1>
    </dataValidation>
    <dataValidation sqref="I87" showDropDown="0" showInputMessage="0" showErrorMessage="0" allowBlank="0" type="list">
      <formula1>"Open,In_Progress,Blocked,Resolved,Closed"</formula1>
    </dataValidation>
    <dataValidation sqref="C88" showDropDown="0" showInputMessage="0" showErrorMessage="0" allowBlank="0" type="list">
      <formula1>"Quality,Coverage_Gap,Cost,Compliance,Contract,Integration,CVSS_Accuracy,Continuity,Other"</formula1>
    </dataValidation>
    <dataValidation sqref="E88" showDropDown="0" showInputMessage="0" showErrorMessage="0" allowBlank="0" type="list">
      <formula1>"Sheet_3,Sheet_4,Sheet_5,Sheet_6,Sheet_9,Sheet_10,Sheet_11,Sheet_12,Sheet_13,Sheet_14,Sheet_15"</formula1>
    </dataValidation>
    <dataValidation sqref="I88" showDropDown="0" showInputMessage="0" showErrorMessage="0" allowBlank="0" type="list">
      <formula1>"Open,In_Progress,Blocked,Resolved,Closed"</formula1>
    </dataValidation>
    <dataValidation sqref="C89" showDropDown="0" showInputMessage="0" showErrorMessage="0" allowBlank="0" type="list">
      <formula1>"Quality,Coverage_Gap,Cost,Compliance,Contract,Integration,CVSS_Accuracy,Continuity,Other"</formula1>
    </dataValidation>
    <dataValidation sqref="E89" showDropDown="0" showInputMessage="0" showErrorMessage="0" allowBlank="0" type="list">
      <formula1>"Sheet_3,Sheet_4,Sheet_5,Sheet_6,Sheet_9,Sheet_10,Sheet_11,Sheet_12,Sheet_13,Sheet_14,Sheet_15"</formula1>
    </dataValidation>
    <dataValidation sqref="I89" showDropDown="0" showInputMessage="0" showErrorMessage="0" allowBlank="0" type="list">
      <formula1>"Open,In_Progress,Blocked,Resolved,Closed"</formula1>
    </dataValidation>
    <dataValidation sqref="C90" showDropDown="0" showInputMessage="0" showErrorMessage="0" allowBlank="0" type="list">
      <formula1>"Quality,Coverage_Gap,Cost,Compliance,Contract,Integration,CVSS_Accuracy,Continuity,Other"</formula1>
    </dataValidation>
    <dataValidation sqref="E90" showDropDown="0" showInputMessage="0" showErrorMessage="0" allowBlank="0" type="list">
      <formula1>"Sheet_3,Sheet_4,Sheet_5,Sheet_6,Sheet_9,Sheet_10,Sheet_11,Sheet_12,Sheet_13,Sheet_14,Sheet_15"</formula1>
    </dataValidation>
    <dataValidation sqref="I90" showDropDown="0" showInputMessage="0" showErrorMessage="0" allowBlank="0" type="list">
      <formula1>"Open,In_Progress,Blocked,Resolved,Closed"</formula1>
    </dataValidation>
    <dataValidation sqref="C91" showDropDown="0" showInputMessage="0" showErrorMessage="0" allowBlank="0" type="list">
      <formula1>"Quality,Coverage_Gap,Cost,Compliance,Contract,Integration,CVSS_Accuracy,Continuity,Other"</formula1>
    </dataValidation>
    <dataValidation sqref="E91" showDropDown="0" showInputMessage="0" showErrorMessage="0" allowBlank="0" type="list">
      <formula1>"Sheet_3,Sheet_4,Sheet_5,Sheet_6,Sheet_9,Sheet_10,Sheet_11,Sheet_12,Sheet_13,Sheet_14,Sheet_15"</formula1>
    </dataValidation>
    <dataValidation sqref="I91" showDropDown="0" showInputMessage="0" showErrorMessage="0" allowBlank="0" type="list">
      <formula1>"Open,In_Progress,Blocked,Resolved,Closed"</formula1>
    </dataValidation>
    <dataValidation sqref="C92" showDropDown="0" showInputMessage="0" showErrorMessage="0" allowBlank="0" type="list">
      <formula1>"Quality,Coverage_Gap,Cost,Compliance,Contract,Integration,CVSS_Accuracy,Continuity,Other"</formula1>
    </dataValidation>
    <dataValidation sqref="E92" showDropDown="0" showInputMessage="0" showErrorMessage="0" allowBlank="0" type="list">
      <formula1>"Sheet_3,Sheet_4,Sheet_5,Sheet_6,Sheet_9,Sheet_10,Sheet_11,Sheet_12,Sheet_13,Sheet_14,Sheet_15"</formula1>
    </dataValidation>
    <dataValidation sqref="I92" showDropDown="0" showInputMessage="0" showErrorMessage="0" allowBlank="0" type="list">
      <formula1>"Open,In_Progress,Blocked,Resolved,Closed"</formula1>
    </dataValidation>
    <dataValidation sqref="C93" showDropDown="0" showInputMessage="0" showErrorMessage="0" allowBlank="0" type="list">
      <formula1>"Quality,Coverage_Gap,Cost,Compliance,Contract,Integration,CVSS_Accuracy,Continuity,Other"</formula1>
    </dataValidation>
    <dataValidation sqref="E93" showDropDown="0" showInputMessage="0" showErrorMessage="0" allowBlank="0" type="list">
      <formula1>"Sheet_3,Sheet_4,Sheet_5,Sheet_6,Sheet_9,Sheet_10,Sheet_11,Sheet_12,Sheet_13,Sheet_14,Sheet_15"</formula1>
    </dataValidation>
    <dataValidation sqref="I93" showDropDown="0" showInputMessage="0" showErrorMessage="0" allowBlank="0" type="list">
      <formula1>"Open,In_Progress,Blocked,Resolved,Closed"</formula1>
    </dataValidation>
    <dataValidation sqref="C94" showDropDown="0" showInputMessage="0" showErrorMessage="0" allowBlank="0" type="list">
      <formula1>"Quality,Coverage_Gap,Cost,Compliance,Contract,Integration,CVSS_Accuracy,Continuity,Other"</formula1>
    </dataValidation>
    <dataValidation sqref="E94" showDropDown="0" showInputMessage="0" showErrorMessage="0" allowBlank="0" type="list">
      <formula1>"Sheet_3,Sheet_4,Sheet_5,Sheet_6,Sheet_9,Sheet_10,Sheet_11,Sheet_12,Sheet_13,Sheet_14,Sheet_15"</formula1>
    </dataValidation>
    <dataValidation sqref="I94" showDropDown="0" showInputMessage="0" showErrorMessage="0" allowBlank="0" type="list">
      <formula1>"Open,In_Progress,Blocked,Resolved,Closed"</formula1>
    </dataValidation>
    <dataValidation sqref="C95" showDropDown="0" showInputMessage="0" showErrorMessage="0" allowBlank="0" type="list">
      <formula1>"Quality,Coverage_Gap,Cost,Compliance,Contract,Integration,CVSS_Accuracy,Continuity,Other"</formula1>
    </dataValidation>
    <dataValidation sqref="E95" showDropDown="0" showInputMessage="0" showErrorMessage="0" allowBlank="0" type="list">
      <formula1>"Sheet_3,Sheet_4,Sheet_5,Sheet_6,Sheet_9,Sheet_10,Sheet_11,Sheet_12,Sheet_13,Sheet_14,Sheet_15"</formula1>
    </dataValidation>
    <dataValidation sqref="I95" showDropDown="0" showInputMessage="0" showErrorMessage="0" allowBlank="0" type="list">
      <formula1>"Open,In_Progress,Blocked,Resolved,Closed"</formula1>
    </dataValidation>
    <dataValidation sqref="C96" showDropDown="0" showInputMessage="0" showErrorMessage="0" allowBlank="0" type="list">
      <formula1>"Quality,Coverage_Gap,Cost,Compliance,Contract,Integration,CVSS_Accuracy,Continuity,Other"</formula1>
    </dataValidation>
    <dataValidation sqref="E96" showDropDown="0" showInputMessage="0" showErrorMessage="0" allowBlank="0" type="list">
      <formula1>"Sheet_3,Sheet_4,Sheet_5,Sheet_6,Sheet_9,Sheet_10,Sheet_11,Sheet_12,Sheet_13,Sheet_14,Sheet_15"</formula1>
    </dataValidation>
    <dataValidation sqref="I96" showDropDown="0" showInputMessage="0" showErrorMessage="0" allowBlank="0" type="list">
      <formula1>"Open,In_Progress,Blocked,Resolved,Closed"</formula1>
    </dataValidation>
    <dataValidation sqref="C97" showDropDown="0" showInputMessage="0" showErrorMessage="0" allowBlank="0" type="list">
      <formula1>"Quality,Coverage_Gap,Cost,Compliance,Contract,Integration,CVSS_Accuracy,Continuity,Other"</formula1>
    </dataValidation>
    <dataValidation sqref="E97" showDropDown="0" showInputMessage="0" showErrorMessage="0" allowBlank="0" type="list">
      <formula1>"Sheet_3,Sheet_4,Sheet_5,Sheet_6,Sheet_9,Sheet_10,Sheet_11,Sheet_12,Sheet_13,Sheet_14,Sheet_15"</formula1>
    </dataValidation>
    <dataValidation sqref="I97" showDropDown="0" showInputMessage="0" showErrorMessage="0" allowBlank="0" type="list">
      <formula1>"Open,In_Progress,Blocked,Resolved,Closed"</formula1>
    </dataValidation>
    <dataValidation sqref="C98" showDropDown="0" showInputMessage="0" showErrorMessage="0" allowBlank="0" type="list">
      <formula1>"Quality,Coverage_Gap,Cost,Compliance,Contract,Integration,CVSS_Accuracy,Continuity,Other"</formula1>
    </dataValidation>
    <dataValidation sqref="E98" showDropDown="0" showInputMessage="0" showErrorMessage="0" allowBlank="0" type="list">
      <formula1>"Sheet_3,Sheet_4,Sheet_5,Sheet_6,Sheet_9,Sheet_10,Sheet_11,Sheet_12,Sheet_13,Sheet_14,Sheet_15"</formula1>
    </dataValidation>
    <dataValidation sqref="I98" showDropDown="0" showInputMessage="0" showErrorMessage="0" allowBlank="0" type="list">
      <formula1>"Open,In_Progress,Blocked,Resolved,Closed"</formula1>
    </dataValidation>
    <dataValidation sqref="C99" showDropDown="0" showInputMessage="0" showErrorMessage="0" allowBlank="0" type="list">
      <formula1>"Quality,Coverage_Gap,Cost,Compliance,Contract,Integration,CVSS_Accuracy,Continuity,Other"</formula1>
    </dataValidation>
    <dataValidation sqref="E99" showDropDown="0" showInputMessage="0" showErrorMessage="0" allowBlank="0" type="list">
      <formula1>"Sheet_3,Sheet_4,Sheet_5,Sheet_6,Sheet_9,Sheet_10,Sheet_11,Sheet_12,Sheet_13,Sheet_14,Sheet_15"</formula1>
    </dataValidation>
    <dataValidation sqref="I99" showDropDown="0" showInputMessage="0" showErrorMessage="0" allowBlank="0" type="list">
      <formula1>"Open,In_Progress,Blocked,Resolved,Closed"</formula1>
    </dataValidation>
    <dataValidation sqref="C100" showDropDown="0" showInputMessage="0" showErrorMessage="0" allowBlank="0" type="list">
      <formula1>"Quality,Coverage_Gap,Cost,Compliance,Contract,Integration,CVSS_Accuracy,Continuity,Other"</formula1>
    </dataValidation>
    <dataValidation sqref="E100" showDropDown="0" showInputMessage="0" showErrorMessage="0" allowBlank="0" type="list">
      <formula1>"Sheet_3,Sheet_4,Sheet_5,Sheet_6,Sheet_9,Sheet_10,Sheet_11,Sheet_12,Sheet_13,Sheet_14,Sheet_15"</formula1>
    </dataValidation>
    <dataValidation sqref="I100" showDropDown="0" showInputMessage="0" showErrorMessage="0" allowBlank="0" type="list">
      <formula1>"Open,In_Progress,Blocked,Resolved,Closed"</formula1>
    </dataValidation>
    <dataValidation sqref="C101" showDropDown="0" showInputMessage="0" showErrorMessage="0" allowBlank="0" type="list">
      <formula1>"Quality,Coverage_Gap,Cost,Compliance,Contract,Integration,CVSS_Accuracy,Continuity,Other"</formula1>
    </dataValidation>
    <dataValidation sqref="E101" showDropDown="0" showInputMessage="0" showErrorMessage="0" allowBlank="0" type="list">
      <formula1>"Sheet_3,Sheet_4,Sheet_5,Sheet_6,Sheet_9,Sheet_10,Sheet_11,Sheet_12,Sheet_13,Sheet_14,Sheet_15"</formula1>
    </dataValidation>
    <dataValidation sqref="I101" showDropDown="0" showInputMessage="0" showErrorMessage="0" allowBlank="0" type="list">
      <formula1>"Open,In_Progress,Blocked,Resolved,Closed"</formula1>
    </dataValidation>
    <dataValidation sqref="C102" showDropDown="0" showInputMessage="0" showErrorMessage="0" allowBlank="0" type="list">
      <formula1>"Quality,Coverage_Gap,Cost,Compliance,Contract,Integration,CVSS_Accuracy,Continuity,Other"</formula1>
    </dataValidation>
    <dataValidation sqref="E102" showDropDown="0" showInputMessage="0" showErrorMessage="0" allowBlank="0" type="list">
      <formula1>"Sheet_3,Sheet_4,Sheet_5,Sheet_6,Sheet_9,Sheet_10,Sheet_11,Sheet_12,Sheet_13,Sheet_14,Sheet_15"</formula1>
    </dataValidation>
    <dataValidation sqref="I102" showDropDown="0" showInputMessage="0" showErrorMessage="0" allowBlank="0" type="list">
      <formula1>"Open,In_Progress,Blocked,Resolved,Closed"</formula1>
    </dataValidation>
    <dataValidation sqref="C103" showDropDown="0" showInputMessage="0" showErrorMessage="0" allowBlank="0" type="list">
      <formula1>"Quality,Coverage_Gap,Cost,Compliance,Contract,Integration,CVSS_Accuracy,Continuity,Other"</formula1>
    </dataValidation>
    <dataValidation sqref="E103" showDropDown="0" showInputMessage="0" showErrorMessage="0" allowBlank="0" type="list">
      <formula1>"Sheet_3,Sheet_4,Sheet_5,Sheet_6,Sheet_9,Sheet_10,Sheet_11,Sheet_12,Sheet_13,Sheet_14,Sheet_15"</formula1>
    </dataValidation>
    <dataValidation sqref="I103" showDropDown="0" showInputMessage="0" showErrorMessage="0" allowBlank="0" type="list">
      <formula1>"Open,In_Progress,Blocked,Resolved,Closed"</formula1>
    </dataValidation>
    <dataValidation sqref="C104" showDropDown="0" showInputMessage="0" showErrorMessage="0" allowBlank="0" type="list">
      <formula1>"Quality,Coverage_Gap,Cost,Compliance,Contract,Integration,CVSS_Accuracy,Continuity,Other"</formula1>
    </dataValidation>
    <dataValidation sqref="E104" showDropDown="0" showInputMessage="0" showErrorMessage="0" allowBlank="0" type="list">
      <formula1>"Sheet_3,Sheet_4,Sheet_5,Sheet_6,Sheet_9,Sheet_10,Sheet_11,Sheet_12,Sheet_13,Sheet_14,Sheet_15"</formula1>
    </dataValidation>
    <dataValidation sqref="I104" showDropDown="0" showInputMessage="0" showErrorMessage="0" allowBlank="0" type="list">
      <formula1>"Open,In_Progress,Blocked,Resolved,Closed"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inlineStr">
        <is>
          <t>Workbook Metadata and Version Control</t>
        </is>
      </c>
    </row>
    <row r="4">
      <c r="A4" s="6" t="inlineStr">
        <is>
          <t>Workbook_Version</t>
        </is>
      </c>
      <c r="B4" t="inlineStr">
        <is>
          <t>2.0</t>
        </is>
      </c>
    </row>
    <row r="5">
      <c r="A5" s="6" t="inlineStr">
        <is>
          <t>Total_Sheets</t>
        </is>
      </c>
      <c r="B5" t="inlineStr">
        <is>
          <t>15</t>
        </is>
      </c>
    </row>
    <row r="6">
      <c r="A6" t="inlineStr">
        <is>
          <t>Generation_Date</t>
        </is>
      </c>
      <c r="B6" t="inlineStr">
        <is>
          <t>31.01.2026 03:16:12</t>
        </is>
      </c>
    </row>
    <row r="7">
      <c r="A7" t="inlineStr">
        <is>
          <t>Generator_Script</t>
        </is>
      </c>
      <c r="B7" t="inlineStr">
        <is>
          <t>generate_a57_1_sources.py</t>
        </is>
      </c>
    </row>
    <row r="8">
      <c r="A8" t="inlineStr">
        <is>
          <t>Script_Version</t>
        </is>
      </c>
      <c r="B8" t="inlineStr">
        <is>
          <t>2.0.0</t>
        </is>
      </c>
    </row>
    <row r="9">
      <c r="A9" t="inlineStr">
        <is>
          <t>Python_Version</t>
        </is>
      </c>
      <c r="B9" t="inlineStr">
        <is>
          <t>3.12+</t>
        </is>
      </c>
    </row>
    <row r="10">
      <c r="A10" t="inlineStr">
        <is>
          <t>openpyxl_Version</t>
        </is>
      </c>
      <c r="B10" t="inlineStr">
        <is>
          <t>3.1+</t>
        </is>
      </c>
    </row>
    <row r="11">
      <c r="A11" t="inlineStr">
        <is>
          <t>Related_Policy</t>
        </is>
      </c>
      <c r="B11" t="inlineStr">
        <is>
          <t>ISMS-POL-A.5.7</t>
        </is>
      </c>
    </row>
    <row r="12">
      <c r="A12" t="inlineStr">
        <is>
          <t>Related_IMP_Spec</t>
        </is>
      </c>
      <c r="B12" t="inlineStr">
        <is>
          <t>ISMS-IMP-A.5.7.1 v1.0</t>
        </is>
      </c>
    </row>
    <row r="13">
      <c r="A13" t="inlineStr"/>
      <c r="B13" t="inlineStr"/>
    </row>
    <row r="14">
      <c r="A14" s="6" t="inlineStr">
        <is>
          <t>V1.0_Changes</t>
        </is>
      </c>
      <c r="B14" t="inlineStr"/>
    </row>
    <row r="15">
      <c r="A15" t="inlineStr">
        <is>
          <t>CVSS_Support_Added</t>
        </is>
      </c>
      <c r="B15" t="inlineStr">
        <is>
          <t>Sheet 2 - Column K</t>
        </is>
      </c>
    </row>
    <row r="16">
      <c r="A16" t="inlineStr">
        <is>
          <t>CVSS_Accuracy_Added</t>
        </is>
      </c>
      <c r="B16" t="inlineStr">
        <is>
          <t>Sheet 3 - Columns R, S, T</t>
        </is>
      </c>
    </row>
    <row r="17">
      <c r="A17" t="inlineStr">
        <is>
          <t>Vendor_Mgmt_Added</t>
        </is>
      </c>
      <c r="B17" t="inlineStr">
        <is>
          <t>Sheets 9-13 (Integration, SLAs, Contacts, API)</t>
        </is>
      </c>
    </row>
    <row r="18">
      <c r="A18" t="inlineStr">
        <is>
          <t>Audit_Evidence_Added</t>
        </is>
      </c>
      <c r="B18" t="inlineStr">
        <is>
          <t>Sheets 14-15 (Validation, Continuity)</t>
        </is>
      </c>
    </row>
    <row r="19">
      <c r="A19" s="6" t="inlineStr">
        <is>
          <t>Sheet_14_CRITICAL</t>
        </is>
      </c>
      <c r="B19" t="inlineStr">
        <is>
          <t>Source_Performance_Validation (Quarterly validation per POL Section 4.4.3)</t>
        </is>
      </c>
    </row>
    <row r="20">
      <c r="A20" s="6" t="inlineStr">
        <is>
          <t>Sheet_15_CRITICAL</t>
        </is>
      </c>
      <c r="B20" t="inlineStr">
        <is>
          <t>Business_Continuity_Plan (Annual testing per POL Section 4.4.6)</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04"/>
  <sheetViews>
    <sheetView workbookViewId="0">
      <selection activeCell="A1" sqref="A1"/>
    </sheetView>
  </sheetViews>
  <sheetFormatPr baseColWidth="8" defaultRowHeight="15"/>
  <sheetData>
    <row r="1" ht="25" customHeight="1">
      <c r="A1" s="1" t="inlineStr">
        <is>
          <t>Integration Points - API and Feed Integration Status</t>
        </is>
      </c>
    </row>
    <row r="4">
      <c r="A4" s="16" t="inlineStr">
        <is>
          <t>Source_ID</t>
        </is>
      </c>
      <c r="B4" s="16" t="inlineStr">
        <is>
          <t>Source_Name</t>
        </is>
      </c>
      <c r="C4" s="16" t="inlineStr">
        <is>
          <t>Integration_Type</t>
        </is>
      </c>
      <c r="D4" s="16" t="inlineStr">
        <is>
          <t>Integration_Target_Type</t>
        </is>
      </c>
      <c r="E4" s="16" t="inlineStr">
        <is>
          <t>Integration_Target_Name</t>
        </is>
      </c>
      <c r="F4" s="16" t="inlineStr">
        <is>
          <t>API_Endpoint</t>
        </is>
      </c>
      <c r="G4" s="16" t="inlineStr">
        <is>
          <t>Authentication_Method</t>
        </is>
      </c>
      <c r="H4" s="16" t="inlineStr">
        <is>
          <t>Data_Format</t>
        </is>
      </c>
      <c r="I4" s="16" t="inlineStr">
        <is>
          <t>CVSS_In_Feed</t>
        </is>
      </c>
      <c r="J4" s="16" t="inlineStr">
        <is>
          <t>TLP_Support</t>
        </is>
      </c>
      <c r="K4" s="16" t="inlineStr">
        <is>
          <t>IOC_Types_Supported</t>
        </is>
      </c>
      <c r="L4" s="16" t="inlineStr">
        <is>
          <t>Bidirectional</t>
        </is>
      </c>
      <c r="M4" s="16" t="inlineStr">
        <is>
          <t>Integration_Status</t>
        </is>
      </c>
      <c r="N4" s="16" t="inlineStr">
        <is>
          <t>Last_Integration_Test</t>
        </is>
      </c>
      <c r="O4" s="16" t="inlineStr">
        <is>
          <t>Next_Integration_Test</t>
        </is>
      </c>
      <c r="P4" s="16" t="inlineStr">
        <is>
          <t>Integration_Owner</t>
        </is>
      </c>
      <c r="Q4" s="16" t="inlineStr">
        <is>
          <t>Documentation_Link</t>
        </is>
      </c>
      <c r="R4" s="16" t="inlineStr">
        <is>
          <t>Notes</t>
        </is>
      </c>
    </row>
    <row r="5">
      <c r="B5">
        <f>IFERROR(VLOOKUP(A5,Source_Inventory!$A$5:$P$104,2,FALSE),"[Not Found]")</f>
        <v/>
      </c>
      <c r="N5" s="11" t="n"/>
      <c r="O5" s="11">
        <f>IF(N5&lt;&gt;"",N5+90,"")</f>
        <v/>
      </c>
    </row>
    <row r="6">
      <c r="B6">
        <f>IFERROR(VLOOKUP(A6,Source_Inventory!$A$5:$P$104,2,FALSE),"[Not Found]")</f>
        <v/>
      </c>
      <c r="N6" s="11" t="n"/>
      <c r="O6" s="11">
        <f>IF(N6&lt;&gt;"",N6+90,"")</f>
        <v/>
      </c>
    </row>
    <row r="7">
      <c r="B7">
        <f>IFERROR(VLOOKUP(A7,Source_Inventory!$A$5:$P$104,2,FALSE),"[Not Found]")</f>
        <v/>
      </c>
      <c r="N7" s="11" t="n"/>
      <c r="O7" s="11">
        <f>IF(N7&lt;&gt;"",N7+90,"")</f>
        <v/>
      </c>
    </row>
    <row r="8">
      <c r="B8">
        <f>IFERROR(VLOOKUP(A8,Source_Inventory!$A$5:$P$104,2,FALSE),"[Not Found]")</f>
        <v/>
      </c>
      <c r="N8" s="11" t="n"/>
      <c r="O8" s="11">
        <f>IF(N8&lt;&gt;"",N8+90,"")</f>
        <v/>
      </c>
    </row>
    <row r="9">
      <c r="B9">
        <f>IFERROR(VLOOKUP(A9,Source_Inventory!$A$5:$P$104,2,FALSE),"[Not Found]")</f>
        <v/>
      </c>
      <c r="N9" s="11" t="n"/>
      <c r="O9" s="11">
        <f>IF(N9&lt;&gt;"",N9+90,"")</f>
        <v/>
      </c>
    </row>
    <row r="10">
      <c r="B10">
        <f>IFERROR(VLOOKUP(A10,Source_Inventory!$A$5:$P$104,2,FALSE),"[Not Found]")</f>
        <v/>
      </c>
      <c r="N10" s="11" t="n"/>
      <c r="O10" s="11">
        <f>IF(N10&lt;&gt;"",N10+90,"")</f>
        <v/>
      </c>
    </row>
    <row r="11">
      <c r="B11">
        <f>IFERROR(VLOOKUP(A11,Source_Inventory!$A$5:$P$104,2,FALSE),"[Not Found]")</f>
        <v/>
      </c>
      <c r="N11" s="11" t="n"/>
      <c r="O11" s="11">
        <f>IF(N11&lt;&gt;"",N11+90,"")</f>
        <v/>
      </c>
    </row>
    <row r="12">
      <c r="B12">
        <f>IFERROR(VLOOKUP(A12,Source_Inventory!$A$5:$P$104,2,FALSE),"[Not Found]")</f>
        <v/>
      </c>
      <c r="N12" s="11" t="n"/>
      <c r="O12" s="11">
        <f>IF(N12&lt;&gt;"",N12+90,"")</f>
        <v/>
      </c>
    </row>
    <row r="13">
      <c r="B13">
        <f>IFERROR(VLOOKUP(A13,Source_Inventory!$A$5:$P$104,2,FALSE),"[Not Found]")</f>
        <v/>
      </c>
      <c r="N13" s="11" t="n"/>
      <c r="O13" s="11">
        <f>IF(N13&lt;&gt;"",N13+90,"")</f>
        <v/>
      </c>
    </row>
    <row r="14">
      <c r="B14">
        <f>IFERROR(VLOOKUP(A14,Source_Inventory!$A$5:$P$104,2,FALSE),"[Not Found]")</f>
        <v/>
      </c>
      <c r="N14" s="11" t="n"/>
      <c r="O14" s="11">
        <f>IF(N14&lt;&gt;"",N14+90,"")</f>
        <v/>
      </c>
    </row>
    <row r="15">
      <c r="B15">
        <f>IFERROR(VLOOKUP(A15,Source_Inventory!$A$5:$P$104,2,FALSE),"[Not Found]")</f>
        <v/>
      </c>
      <c r="N15" s="11" t="n"/>
      <c r="O15" s="11">
        <f>IF(N15&lt;&gt;"",N15+90,"")</f>
        <v/>
      </c>
    </row>
    <row r="16">
      <c r="B16">
        <f>IFERROR(VLOOKUP(A16,Source_Inventory!$A$5:$P$104,2,FALSE),"[Not Found]")</f>
        <v/>
      </c>
      <c r="N16" s="11" t="n"/>
      <c r="O16" s="11">
        <f>IF(N16&lt;&gt;"",N16+90,"")</f>
        <v/>
      </c>
    </row>
    <row r="17">
      <c r="B17">
        <f>IFERROR(VLOOKUP(A17,Source_Inventory!$A$5:$P$104,2,FALSE),"[Not Found]")</f>
        <v/>
      </c>
      <c r="N17" s="11" t="n"/>
      <c r="O17" s="11">
        <f>IF(N17&lt;&gt;"",N17+90,"")</f>
        <v/>
      </c>
    </row>
    <row r="18">
      <c r="B18">
        <f>IFERROR(VLOOKUP(A18,Source_Inventory!$A$5:$P$104,2,FALSE),"[Not Found]")</f>
        <v/>
      </c>
      <c r="N18" s="11" t="n"/>
      <c r="O18" s="11">
        <f>IF(N18&lt;&gt;"",N18+90,"")</f>
        <v/>
      </c>
    </row>
    <row r="19">
      <c r="B19">
        <f>IFERROR(VLOOKUP(A19,Source_Inventory!$A$5:$P$104,2,FALSE),"[Not Found]")</f>
        <v/>
      </c>
      <c r="N19" s="11" t="n"/>
      <c r="O19" s="11">
        <f>IF(N19&lt;&gt;"",N19+90,"")</f>
        <v/>
      </c>
    </row>
    <row r="20">
      <c r="B20">
        <f>IFERROR(VLOOKUP(A20,Source_Inventory!$A$5:$P$104,2,FALSE),"[Not Found]")</f>
        <v/>
      </c>
      <c r="N20" s="11" t="n"/>
      <c r="O20" s="11">
        <f>IF(N20&lt;&gt;"",N20+90,"")</f>
        <v/>
      </c>
    </row>
    <row r="21">
      <c r="B21">
        <f>IFERROR(VLOOKUP(A21,Source_Inventory!$A$5:$P$104,2,FALSE),"[Not Found]")</f>
        <v/>
      </c>
      <c r="N21" s="11" t="n"/>
      <c r="O21" s="11">
        <f>IF(N21&lt;&gt;"",N21+90,"")</f>
        <v/>
      </c>
    </row>
    <row r="22">
      <c r="B22">
        <f>IFERROR(VLOOKUP(A22,Source_Inventory!$A$5:$P$104,2,FALSE),"[Not Found]")</f>
        <v/>
      </c>
      <c r="N22" s="11" t="n"/>
      <c r="O22" s="11">
        <f>IF(N22&lt;&gt;"",N22+90,"")</f>
        <v/>
      </c>
    </row>
    <row r="23">
      <c r="B23">
        <f>IFERROR(VLOOKUP(A23,Source_Inventory!$A$5:$P$104,2,FALSE),"[Not Found]")</f>
        <v/>
      </c>
      <c r="N23" s="11" t="n"/>
      <c r="O23" s="11">
        <f>IF(N23&lt;&gt;"",N23+90,"")</f>
        <v/>
      </c>
    </row>
    <row r="24">
      <c r="B24">
        <f>IFERROR(VLOOKUP(A24,Source_Inventory!$A$5:$P$104,2,FALSE),"[Not Found]")</f>
        <v/>
      </c>
      <c r="N24" s="11" t="n"/>
      <c r="O24" s="11">
        <f>IF(N24&lt;&gt;"",N24+90,"")</f>
        <v/>
      </c>
    </row>
    <row r="25">
      <c r="B25">
        <f>IFERROR(VLOOKUP(A25,Source_Inventory!$A$5:$P$104,2,FALSE),"[Not Found]")</f>
        <v/>
      </c>
      <c r="N25" s="11" t="n"/>
      <c r="O25" s="11">
        <f>IF(N25&lt;&gt;"",N25+90,"")</f>
        <v/>
      </c>
    </row>
    <row r="26">
      <c r="B26">
        <f>IFERROR(VLOOKUP(A26,Source_Inventory!$A$5:$P$104,2,FALSE),"[Not Found]")</f>
        <v/>
      </c>
      <c r="N26" s="11" t="n"/>
      <c r="O26" s="11">
        <f>IF(N26&lt;&gt;"",N26+90,"")</f>
        <v/>
      </c>
    </row>
    <row r="27">
      <c r="B27">
        <f>IFERROR(VLOOKUP(A27,Source_Inventory!$A$5:$P$104,2,FALSE),"[Not Found]")</f>
        <v/>
      </c>
      <c r="N27" s="11" t="n"/>
      <c r="O27" s="11">
        <f>IF(N27&lt;&gt;"",N27+90,"")</f>
        <v/>
      </c>
    </row>
    <row r="28">
      <c r="B28">
        <f>IFERROR(VLOOKUP(A28,Source_Inventory!$A$5:$P$104,2,FALSE),"[Not Found]")</f>
        <v/>
      </c>
      <c r="N28" s="11" t="n"/>
      <c r="O28" s="11">
        <f>IF(N28&lt;&gt;"",N28+90,"")</f>
        <v/>
      </c>
    </row>
    <row r="29">
      <c r="B29">
        <f>IFERROR(VLOOKUP(A29,Source_Inventory!$A$5:$P$104,2,FALSE),"[Not Found]")</f>
        <v/>
      </c>
      <c r="N29" s="11" t="n"/>
      <c r="O29" s="11">
        <f>IF(N29&lt;&gt;"",N29+90,"")</f>
        <v/>
      </c>
    </row>
    <row r="30">
      <c r="B30">
        <f>IFERROR(VLOOKUP(A30,Source_Inventory!$A$5:$P$104,2,FALSE),"[Not Found]")</f>
        <v/>
      </c>
      <c r="N30" s="11" t="n"/>
      <c r="O30" s="11">
        <f>IF(N30&lt;&gt;"",N30+90,"")</f>
        <v/>
      </c>
    </row>
    <row r="31">
      <c r="B31">
        <f>IFERROR(VLOOKUP(A31,Source_Inventory!$A$5:$P$104,2,FALSE),"[Not Found]")</f>
        <v/>
      </c>
      <c r="N31" s="11" t="n"/>
      <c r="O31" s="11">
        <f>IF(N31&lt;&gt;"",N31+90,"")</f>
        <v/>
      </c>
    </row>
    <row r="32">
      <c r="B32">
        <f>IFERROR(VLOOKUP(A32,Source_Inventory!$A$5:$P$104,2,FALSE),"[Not Found]")</f>
        <v/>
      </c>
      <c r="N32" s="11" t="n"/>
      <c r="O32" s="11">
        <f>IF(N32&lt;&gt;"",N32+90,"")</f>
        <v/>
      </c>
    </row>
    <row r="33">
      <c r="B33">
        <f>IFERROR(VLOOKUP(A33,Source_Inventory!$A$5:$P$104,2,FALSE),"[Not Found]")</f>
        <v/>
      </c>
      <c r="N33" s="11" t="n"/>
      <c r="O33" s="11">
        <f>IF(N33&lt;&gt;"",N33+90,"")</f>
        <v/>
      </c>
    </row>
    <row r="34">
      <c r="B34">
        <f>IFERROR(VLOOKUP(A34,Source_Inventory!$A$5:$P$104,2,FALSE),"[Not Found]")</f>
        <v/>
      </c>
      <c r="N34" s="11" t="n"/>
      <c r="O34" s="11">
        <f>IF(N34&lt;&gt;"",N34+90,"")</f>
        <v/>
      </c>
    </row>
    <row r="35">
      <c r="B35">
        <f>IFERROR(VLOOKUP(A35,Source_Inventory!$A$5:$P$104,2,FALSE),"[Not Found]")</f>
        <v/>
      </c>
      <c r="N35" s="11" t="n"/>
      <c r="O35" s="11">
        <f>IF(N35&lt;&gt;"",N35+90,"")</f>
        <v/>
      </c>
    </row>
    <row r="36">
      <c r="B36">
        <f>IFERROR(VLOOKUP(A36,Source_Inventory!$A$5:$P$104,2,FALSE),"[Not Found]")</f>
        <v/>
      </c>
      <c r="N36" s="11" t="n"/>
      <c r="O36" s="11">
        <f>IF(N36&lt;&gt;"",N36+90,"")</f>
        <v/>
      </c>
    </row>
    <row r="37">
      <c r="B37">
        <f>IFERROR(VLOOKUP(A37,Source_Inventory!$A$5:$P$104,2,FALSE),"[Not Found]")</f>
        <v/>
      </c>
      <c r="N37" s="11" t="n"/>
      <c r="O37" s="11">
        <f>IF(N37&lt;&gt;"",N37+90,"")</f>
        <v/>
      </c>
    </row>
    <row r="38">
      <c r="B38">
        <f>IFERROR(VLOOKUP(A38,Source_Inventory!$A$5:$P$104,2,FALSE),"[Not Found]")</f>
        <v/>
      </c>
      <c r="N38" s="11" t="n"/>
      <c r="O38" s="11">
        <f>IF(N38&lt;&gt;"",N38+90,"")</f>
        <v/>
      </c>
    </row>
    <row r="39">
      <c r="B39">
        <f>IFERROR(VLOOKUP(A39,Source_Inventory!$A$5:$P$104,2,FALSE),"[Not Found]")</f>
        <v/>
      </c>
      <c r="N39" s="11" t="n"/>
      <c r="O39" s="11">
        <f>IF(N39&lt;&gt;"",N39+90,"")</f>
        <v/>
      </c>
    </row>
    <row r="40">
      <c r="B40">
        <f>IFERROR(VLOOKUP(A40,Source_Inventory!$A$5:$P$104,2,FALSE),"[Not Found]")</f>
        <v/>
      </c>
      <c r="N40" s="11" t="n"/>
      <c r="O40" s="11">
        <f>IF(N40&lt;&gt;"",N40+90,"")</f>
        <v/>
      </c>
    </row>
    <row r="41">
      <c r="B41">
        <f>IFERROR(VLOOKUP(A41,Source_Inventory!$A$5:$P$104,2,FALSE),"[Not Found]")</f>
        <v/>
      </c>
      <c r="N41" s="11" t="n"/>
      <c r="O41" s="11">
        <f>IF(N41&lt;&gt;"",N41+90,"")</f>
        <v/>
      </c>
    </row>
    <row r="42">
      <c r="B42">
        <f>IFERROR(VLOOKUP(A42,Source_Inventory!$A$5:$P$104,2,FALSE),"[Not Found]")</f>
        <v/>
      </c>
      <c r="N42" s="11" t="n"/>
      <c r="O42" s="11">
        <f>IF(N42&lt;&gt;"",N42+90,"")</f>
        <v/>
      </c>
    </row>
    <row r="43">
      <c r="B43">
        <f>IFERROR(VLOOKUP(A43,Source_Inventory!$A$5:$P$104,2,FALSE),"[Not Found]")</f>
        <v/>
      </c>
      <c r="N43" s="11" t="n"/>
      <c r="O43" s="11">
        <f>IF(N43&lt;&gt;"",N43+90,"")</f>
        <v/>
      </c>
    </row>
    <row r="44">
      <c r="B44">
        <f>IFERROR(VLOOKUP(A44,Source_Inventory!$A$5:$P$104,2,FALSE),"[Not Found]")</f>
        <v/>
      </c>
      <c r="N44" s="11" t="n"/>
      <c r="O44" s="11">
        <f>IF(N44&lt;&gt;"",N44+90,"")</f>
        <v/>
      </c>
    </row>
    <row r="45">
      <c r="B45">
        <f>IFERROR(VLOOKUP(A45,Source_Inventory!$A$5:$P$104,2,FALSE),"[Not Found]")</f>
        <v/>
      </c>
      <c r="N45" s="11" t="n"/>
      <c r="O45" s="11">
        <f>IF(N45&lt;&gt;"",N45+90,"")</f>
        <v/>
      </c>
    </row>
    <row r="46">
      <c r="B46">
        <f>IFERROR(VLOOKUP(A46,Source_Inventory!$A$5:$P$104,2,FALSE),"[Not Found]")</f>
        <v/>
      </c>
      <c r="N46" s="11" t="n"/>
      <c r="O46" s="11">
        <f>IF(N46&lt;&gt;"",N46+90,"")</f>
        <v/>
      </c>
    </row>
    <row r="47">
      <c r="B47">
        <f>IFERROR(VLOOKUP(A47,Source_Inventory!$A$5:$P$104,2,FALSE),"[Not Found]")</f>
        <v/>
      </c>
      <c r="N47" s="11" t="n"/>
      <c r="O47" s="11">
        <f>IF(N47&lt;&gt;"",N47+90,"")</f>
        <v/>
      </c>
    </row>
    <row r="48">
      <c r="B48">
        <f>IFERROR(VLOOKUP(A48,Source_Inventory!$A$5:$P$104,2,FALSE),"[Not Found]")</f>
        <v/>
      </c>
      <c r="N48" s="11" t="n"/>
      <c r="O48" s="11">
        <f>IF(N48&lt;&gt;"",N48+90,"")</f>
        <v/>
      </c>
    </row>
    <row r="49">
      <c r="B49">
        <f>IFERROR(VLOOKUP(A49,Source_Inventory!$A$5:$P$104,2,FALSE),"[Not Found]")</f>
        <v/>
      </c>
      <c r="N49" s="11" t="n"/>
      <c r="O49" s="11">
        <f>IF(N49&lt;&gt;"",N49+90,"")</f>
        <v/>
      </c>
    </row>
    <row r="50">
      <c r="B50">
        <f>IFERROR(VLOOKUP(A50,Source_Inventory!$A$5:$P$104,2,FALSE),"[Not Found]")</f>
        <v/>
      </c>
      <c r="N50" s="11" t="n"/>
      <c r="O50" s="11">
        <f>IF(N50&lt;&gt;"",N50+90,"")</f>
        <v/>
      </c>
    </row>
    <row r="51">
      <c r="B51">
        <f>IFERROR(VLOOKUP(A51,Source_Inventory!$A$5:$P$104,2,FALSE),"[Not Found]")</f>
        <v/>
      </c>
      <c r="N51" s="11" t="n"/>
      <c r="O51" s="11">
        <f>IF(N51&lt;&gt;"",N51+90,"")</f>
        <v/>
      </c>
    </row>
    <row r="52">
      <c r="B52">
        <f>IFERROR(VLOOKUP(A52,Source_Inventory!$A$5:$P$104,2,FALSE),"[Not Found]")</f>
        <v/>
      </c>
      <c r="N52" s="11" t="n"/>
      <c r="O52" s="11">
        <f>IF(N52&lt;&gt;"",N52+90,"")</f>
        <v/>
      </c>
    </row>
    <row r="53">
      <c r="B53">
        <f>IFERROR(VLOOKUP(A53,Source_Inventory!$A$5:$P$104,2,FALSE),"[Not Found]")</f>
        <v/>
      </c>
      <c r="N53" s="11" t="n"/>
      <c r="O53" s="11">
        <f>IF(N53&lt;&gt;"",N53+90,"")</f>
        <v/>
      </c>
    </row>
    <row r="54">
      <c r="B54">
        <f>IFERROR(VLOOKUP(A54,Source_Inventory!$A$5:$P$104,2,FALSE),"[Not Found]")</f>
        <v/>
      </c>
      <c r="N54" s="11" t="n"/>
      <c r="O54" s="11">
        <f>IF(N54&lt;&gt;"",N54+90,"")</f>
        <v/>
      </c>
    </row>
    <row r="55">
      <c r="B55">
        <f>IFERROR(VLOOKUP(A55,Source_Inventory!$A$5:$P$104,2,FALSE),"[Not Found]")</f>
        <v/>
      </c>
      <c r="N55" s="11" t="n"/>
      <c r="O55" s="11">
        <f>IF(N55&lt;&gt;"",N55+90,"")</f>
        <v/>
      </c>
    </row>
    <row r="56">
      <c r="B56">
        <f>IFERROR(VLOOKUP(A56,Source_Inventory!$A$5:$P$104,2,FALSE),"[Not Found]")</f>
        <v/>
      </c>
      <c r="N56" s="11" t="n"/>
      <c r="O56" s="11">
        <f>IF(N56&lt;&gt;"",N56+90,"")</f>
        <v/>
      </c>
    </row>
    <row r="57">
      <c r="B57">
        <f>IFERROR(VLOOKUP(A57,Source_Inventory!$A$5:$P$104,2,FALSE),"[Not Found]")</f>
        <v/>
      </c>
      <c r="N57" s="11" t="n"/>
      <c r="O57" s="11">
        <f>IF(N57&lt;&gt;"",N57+90,"")</f>
        <v/>
      </c>
    </row>
    <row r="58">
      <c r="B58">
        <f>IFERROR(VLOOKUP(A58,Source_Inventory!$A$5:$P$104,2,FALSE),"[Not Found]")</f>
        <v/>
      </c>
      <c r="N58" s="11" t="n"/>
      <c r="O58" s="11">
        <f>IF(N58&lt;&gt;"",N58+90,"")</f>
        <v/>
      </c>
    </row>
    <row r="59">
      <c r="B59">
        <f>IFERROR(VLOOKUP(A59,Source_Inventory!$A$5:$P$104,2,FALSE),"[Not Found]")</f>
        <v/>
      </c>
      <c r="N59" s="11" t="n"/>
      <c r="O59" s="11">
        <f>IF(N59&lt;&gt;"",N59+90,"")</f>
        <v/>
      </c>
    </row>
    <row r="60">
      <c r="B60">
        <f>IFERROR(VLOOKUP(A60,Source_Inventory!$A$5:$P$104,2,FALSE),"[Not Found]")</f>
        <v/>
      </c>
      <c r="N60" s="11" t="n"/>
      <c r="O60" s="11">
        <f>IF(N60&lt;&gt;"",N60+90,"")</f>
        <v/>
      </c>
    </row>
    <row r="61">
      <c r="B61">
        <f>IFERROR(VLOOKUP(A61,Source_Inventory!$A$5:$P$104,2,FALSE),"[Not Found]")</f>
        <v/>
      </c>
      <c r="N61" s="11" t="n"/>
      <c r="O61" s="11">
        <f>IF(N61&lt;&gt;"",N61+90,"")</f>
        <v/>
      </c>
    </row>
    <row r="62">
      <c r="B62">
        <f>IFERROR(VLOOKUP(A62,Source_Inventory!$A$5:$P$104,2,FALSE),"[Not Found]")</f>
        <v/>
      </c>
      <c r="N62" s="11" t="n"/>
      <c r="O62" s="11">
        <f>IF(N62&lt;&gt;"",N62+90,"")</f>
        <v/>
      </c>
    </row>
    <row r="63">
      <c r="B63">
        <f>IFERROR(VLOOKUP(A63,Source_Inventory!$A$5:$P$104,2,FALSE),"[Not Found]")</f>
        <v/>
      </c>
      <c r="N63" s="11" t="n"/>
      <c r="O63" s="11">
        <f>IF(N63&lt;&gt;"",N63+90,"")</f>
        <v/>
      </c>
    </row>
    <row r="64">
      <c r="B64">
        <f>IFERROR(VLOOKUP(A64,Source_Inventory!$A$5:$P$104,2,FALSE),"[Not Found]")</f>
        <v/>
      </c>
      <c r="N64" s="11" t="n"/>
      <c r="O64" s="11">
        <f>IF(N64&lt;&gt;"",N64+90,"")</f>
        <v/>
      </c>
    </row>
    <row r="65">
      <c r="B65">
        <f>IFERROR(VLOOKUP(A65,Source_Inventory!$A$5:$P$104,2,FALSE),"[Not Found]")</f>
        <v/>
      </c>
      <c r="N65" s="11" t="n"/>
      <c r="O65" s="11">
        <f>IF(N65&lt;&gt;"",N65+90,"")</f>
        <v/>
      </c>
    </row>
    <row r="66">
      <c r="B66">
        <f>IFERROR(VLOOKUP(A66,Source_Inventory!$A$5:$P$104,2,FALSE),"[Not Found]")</f>
        <v/>
      </c>
      <c r="N66" s="11" t="n"/>
      <c r="O66" s="11">
        <f>IF(N66&lt;&gt;"",N66+90,"")</f>
        <v/>
      </c>
    </row>
    <row r="67">
      <c r="B67">
        <f>IFERROR(VLOOKUP(A67,Source_Inventory!$A$5:$P$104,2,FALSE),"[Not Found]")</f>
        <v/>
      </c>
      <c r="N67" s="11" t="n"/>
      <c r="O67" s="11">
        <f>IF(N67&lt;&gt;"",N67+90,"")</f>
        <v/>
      </c>
    </row>
    <row r="68">
      <c r="B68">
        <f>IFERROR(VLOOKUP(A68,Source_Inventory!$A$5:$P$104,2,FALSE),"[Not Found]")</f>
        <v/>
      </c>
      <c r="N68" s="11" t="n"/>
      <c r="O68" s="11">
        <f>IF(N68&lt;&gt;"",N68+90,"")</f>
        <v/>
      </c>
    </row>
    <row r="69">
      <c r="B69">
        <f>IFERROR(VLOOKUP(A69,Source_Inventory!$A$5:$P$104,2,FALSE),"[Not Found]")</f>
        <v/>
      </c>
      <c r="N69" s="11" t="n"/>
      <c r="O69" s="11">
        <f>IF(N69&lt;&gt;"",N69+90,"")</f>
        <v/>
      </c>
    </row>
    <row r="70">
      <c r="B70">
        <f>IFERROR(VLOOKUP(A70,Source_Inventory!$A$5:$P$104,2,FALSE),"[Not Found]")</f>
        <v/>
      </c>
      <c r="N70" s="11" t="n"/>
      <c r="O70" s="11">
        <f>IF(N70&lt;&gt;"",N70+90,"")</f>
        <v/>
      </c>
    </row>
    <row r="71">
      <c r="B71">
        <f>IFERROR(VLOOKUP(A71,Source_Inventory!$A$5:$P$104,2,FALSE),"[Not Found]")</f>
        <v/>
      </c>
      <c r="N71" s="11" t="n"/>
      <c r="O71" s="11">
        <f>IF(N71&lt;&gt;"",N71+90,"")</f>
        <v/>
      </c>
    </row>
    <row r="72">
      <c r="B72">
        <f>IFERROR(VLOOKUP(A72,Source_Inventory!$A$5:$P$104,2,FALSE),"[Not Found]")</f>
        <v/>
      </c>
      <c r="N72" s="11" t="n"/>
      <c r="O72" s="11">
        <f>IF(N72&lt;&gt;"",N72+90,"")</f>
        <v/>
      </c>
    </row>
    <row r="73">
      <c r="B73">
        <f>IFERROR(VLOOKUP(A73,Source_Inventory!$A$5:$P$104,2,FALSE),"[Not Found]")</f>
        <v/>
      </c>
      <c r="N73" s="11" t="n"/>
      <c r="O73" s="11">
        <f>IF(N73&lt;&gt;"",N73+90,"")</f>
        <v/>
      </c>
    </row>
    <row r="74">
      <c r="B74">
        <f>IFERROR(VLOOKUP(A74,Source_Inventory!$A$5:$P$104,2,FALSE),"[Not Found]")</f>
        <v/>
      </c>
      <c r="N74" s="11" t="n"/>
      <c r="O74" s="11">
        <f>IF(N74&lt;&gt;"",N74+90,"")</f>
        <v/>
      </c>
    </row>
    <row r="75">
      <c r="B75">
        <f>IFERROR(VLOOKUP(A75,Source_Inventory!$A$5:$P$104,2,FALSE),"[Not Found]")</f>
        <v/>
      </c>
      <c r="N75" s="11" t="n"/>
      <c r="O75" s="11">
        <f>IF(N75&lt;&gt;"",N75+90,"")</f>
        <v/>
      </c>
    </row>
    <row r="76">
      <c r="B76">
        <f>IFERROR(VLOOKUP(A76,Source_Inventory!$A$5:$P$104,2,FALSE),"[Not Found]")</f>
        <v/>
      </c>
      <c r="N76" s="11" t="n"/>
      <c r="O76" s="11">
        <f>IF(N76&lt;&gt;"",N76+90,"")</f>
        <v/>
      </c>
    </row>
    <row r="77">
      <c r="B77">
        <f>IFERROR(VLOOKUP(A77,Source_Inventory!$A$5:$P$104,2,FALSE),"[Not Found]")</f>
        <v/>
      </c>
      <c r="N77" s="11" t="n"/>
      <c r="O77" s="11">
        <f>IF(N77&lt;&gt;"",N77+90,"")</f>
        <v/>
      </c>
    </row>
    <row r="78">
      <c r="B78">
        <f>IFERROR(VLOOKUP(A78,Source_Inventory!$A$5:$P$104,2,FALSE),"[Not Found]")</f>
        <v/>
      </c>
      <c r="N78" s="11" t="n"/>
      <c r="O78" s="11">
        <f>IF(N78&lt;&gt;"",N78+90,"")</f>
        <v/>
      </c>
    </row>
    <row r="79">
      <c r="B79">
        <f>IFERROR(VLOOKUP(A79,Source_Inventory!$A$5:$P$104,2,FALSE),"[Not Found]")</f>
        <v/>
      </c>
      <c r="N79" s="11" t="n"/>
      <c r="O79" s="11">
        <f>IF(N79&lt;&gt;"",N79+90,"")</f>
        <v/>
      </c>
    </row>
    <row r="80">
      <c r="B80">
        <f>IFERROR(VLOOKUP(A80,Source_Inventory!$A$5:$P$104,2,FALSE),"[Not Found]")</f>
        <v/>
      </c>
      <c r="N80" s="11" t="n"/>
      <c r="O80" s="11">
        <f>IF(N80&lt;&gt;"",N80+90,"")</f>
        <v/>
      </c>
    </row>
    <row r="81">
      <c r="B81">
        <f>IFERROR(VLOOKUP(A81,Source_Inventory!$A$5:$P$104,2,FALSE),"[Not Found]")</f>
        <v/>
      </c>
      <c r="N81" s="11" t="n"/>
      <c r="O81" s="11">
        <f>IF(N81&lt;&gt;"",N81+90,"")</f>
        <v/>
      </c>
    </row>
    <row r="82">
      <c r="B82">
        <f>IFERROR(VLOOKUP(A82,Source_Inventory!$A$5:$P$104,2,FALSE),"[Not Found]")</f>
        <v/>
      </c>
      <c r="N82" s="11" t="n"/>
      <c r="O82" s="11">
        <f>IF(N82&lt;&gt;"",N82+90,"")</f>
        <v/>
      </c>
    </row>
    <row r="83">
      <c r="B83">
        <f>IFERROR(VLOOKUP(A83,Source_Inventory!$A$5:$P$104,2,FALSE),"[Not Found]")</f>
        <v/>
      </c>
      <c r="N83" s="11" t="n"/>
      <c r="O83" s="11">
        <f>IF(N83&lt;&gt;"",N83+90,"")</f>
        <v/>
      </c>
    </row>
    <row r="84">
      <c r="B84">
        <f>IFERROR(VLOOKUP(A84,Source_Inventory!$A$5:$P$104,2,FALSE),"[Not Found]")</f>
        <v/>
      </c>
      <c r="N84" s="11" t="n"/>
      <c r="O84" s="11">
        <f>IF(N84&lt;&gt;"",N84+90,"")</f>
        <v/>
      </c>
    </row>
    <row r="85">
      <c r="B85">
        <f>IFERROR(VLOOKUP(A85,Source_Inventory!$A$5:$P$104,2,FALSE),"[Not Found]")</f>
        <v/>
      </c>
      <c r="N85" s="11" t="n"/>
      <c r="O85" s="11">
        <f>IF(N85&lt;&gt;"",N85+90,"")</f>
        <v/>
      </c>
    </row>
    <row r="86">
      <c r="B86">
        <f>IFERROR(VLOOKUP(A86,Source_Inventory!$A$5:$P$104,2,FALSE),"[Not Found]")</f>
        <v/>
      </c>
      <c r="N86" s="11" t="n"/>
      <c r="O86" s="11">
        <f>IF(N86&lt;&gt;"",N86+90,"")</f>
        <v/>
      </c>
    </row>
    <row r="87">
      <c r="B87">
        <f>IFERROR(VLOOKUP(A87,Source_Inventory!$A$5:$P$104,2,FALSE),"[Not Found]")</f>
        <v/>
      </c>
      <c r="N87" s="11" t="n"/>
      <c r="O87" s="11">
        <f>IF(N87&lt;&gt;"",N87+90,"")</f>
        <v/>
      </c>
    </row>
    <row r="88">
      <c r="B88">
        <f>IFERROR(VLOOKUP(A88,Source_Inventory!$A$5:$P$104,2,FALSE),"[Not Found]")</f>
        <v/>
      </c>
      <c r="N88" s="11" t="n"/>
      <c r="O88" s="11">
        <f>IF(N88&lt;&gt;"",N88+90,"")</f>
        <v/>
      </c>
    </row>
    <row r="89">
      <c r="B89">
        <f>IFERROR(VLOOKUP(A89,Source_Inventory!$A$5:$P$104,2,FALSE),"[Not Found]")</f>
        <v/>
      </c>
      <c r="N89" s="11" t="n"/>
      <c r="O89" s="11">
        <f>IF(N89&lt;&gt;"",N89+90,"")</f>
        <v/>
      </c>
    </row>
    <row r="90">
      <c r="B90">
        <f>IFERROR(VLOOKUP(A90,Source_Inventory!$A$5:$P$104,2,FALSE),"[Not Found]")</f>
        <v/>
      </c>
      <c r="N90" s="11" t="n"/>
      <c r="O90" s="11">
        <f>IF(N90&lt;&gt;"",N90+90,"")</f>
        <v/>
      </c>
    </row>
    <row r="91">
      <c r="B91">
        <f>IFERROR(VLOOKUP(A91,Source_Inventory!$A$5:$P$104,2,FALSE),"[Not Found]")</f>
        <v/>
      </c>
      <c r="N91" s="11" t="n"/>
      <c r="O91" s="11">
        <f>IF(N91&lt;&gt;"",N91+90,"")</f>
        <v/>
      </c>
    </row>
    <row r="92">
      <c r="B92">
        <f>IFERROR(VLOOKUP(A92,Source_Inventory!$A$5:$P$104,2,FALSE),"[Not Found]")</f>
        <v/>
      </c>
      <c r="N92" s="11" t="n"/>
      <c r="O92" s="11">
        <f>IF(N92&lt;&gt;"",N92+90,"")</f>
        <v/>
      </c>
    </row>
    <row r="93">
      <c r="B93">
        <f>IFERROR(VLOOKUP(A93,Source_Inventory!$A$5:$P$104,2,FALSE),"[Not Found]")</f>
        <v/>
      </c>
      <c r="N93" s="11" t="n"/>
      <c r="O93" s="11">
        <f>IF(N93&lt;&gt;"",N93+90,"")</f>
        <v/>
      </c>
    </row>
    <row r="94">
      <c r="B94">
        <f>IFERROR(VLOOKUP(A94,Source_Inventory!$A$5:$P$104,2,FALSE),"[Not Found]")</f>
        <v/>
      </c>
      <c r="N94" s="11" t="n"/>
      <c r="O94" s="11">
        <f>IF(N94&lt;&gt;"",N94+90,"")</f>
        <v/>
      </c>
    </row>
    <row r="95">
      <c r="B95">
        <f>IFERROR(VLOOKUP(A95,Source_Inventory!$A$5:$P$104,2,FALSE),"[Not Found]")</f>
        <v/>
      </c>
      <c r="N95" s="11" t="n"/>
      <c r="O95" s="11">
        <f>IF(N95&lt;&gt;"",N95+90,"")</f>
        <v/>
      </c>
    </row>
    <row r="96">
      <c r="B96">
        <f>IFERROR(VLOOKUP(A96,Source_Inventory!$A$5:$P$104,2,FALSE),"[Not Found]")</f>
        <v/>
      </c>
      <c r="N96" s="11" t="n"/>
      <c r="O96" s="11">
        <f>IF(N96&lt;&gt;"",N96+90,"")</f>
        <v/>
      </c>
    </row>
    <row r="97">
      <c r="B97">
        <f>IFERROR(VLOOKUP(A97,Source_Inventory!$A$5:$P$104,2,FALSE),"[Not Found]")</f>
        <v/>
      </c>
      <c r="N97" s="11" t="n"/>
      <c r="O97" s="11">
        <f>IF(N97&lt;&gt;"",N97+90,"")</f>
        <v/>
      </c>
    </row>
    <row r="98">
      <c r="B98">
        <f>IFERROR(VLOOKUP(A98,Source_Inventory!$A$5:$P$104,2,FALSE),"[Not Found]")</f>
        <v/>
      </c>
      <c r="N98" s="11" t="n"/>
      <c r="O98" s="11">
        <f>IF(N98&lt;&gt;"",N98+90,"")</f>
        <v/>
      </c>
    </row>
    <row r="99">
      <c r="B99">
        <f>IFERROR(VLOOKUP(A99,Source_Inventory!$A$5:$P$104,2,FALSE),"[Not Found]")</f>
        <v/>
      </c>
      <c r="N99" s="11" t="n"/>
      <c r="O99" s="11">
        <f>IF(N99&lt;&gt;"",N99+90,"")</f>
        <v/>
      </c>
    </row>
    <row r="100">
      <c r="B100">
        <f>IFERROR(VLOOKUP(A100,Source_Inventory!$A$5:$P$104,2,FALSE),"[Not Found]")</f>
        <v/>
      </c>
      <c r="N100" s="11" t="n"/>
      <c r="O100" s="11">
        <f>IF(N100&lt;&gt;"",N100+90,"")</f>
        <v/>
      </c>
    </row>
    <row r="101">
      <c r="B101">
        <f>IFERROR(VLOOKUP(A101,Source_Inventory!$A$5:$P$104,2,FALSE),"[Not Found]")</f>
        <v/>
      </c>
      <c r="N101" s="11" t="n"/>
      <c r="O101" s="11">
        <f>IF(N101&lt;&gt;"",N101+90,"")</f>
        <v/>
      </c>
    </row>
    <row r="102">
      <c r="B102">
        <f>IFERROR(VLOOKUP(A102,Source_Inventory!$A$5:$P$104,2,FALSE),"[Not Found]")</f>
        <v/>
      </c>
      <c r="N102" s="11" t="n"/>
      <c r="O102" s="11">
        <f>IF(N102&lt;&gt;"",N102+90,"")</f>
        <v/>
      </c>
    </row>
    <row r="103">
      <c r="B103">
        <f>IFERROR(VLOOKUP(A103,Source_Inventory!$A$5:$P$104,2,FALSE),"[Not Found]")</f>
        <v/>
      </c>
      <c r="N103" s="11" t="n"/>
      <c r="O103" s="11">
        <f>IF(N103&lt;&gt;"",N103+90,"")</f>
        <v/>
      </c>
    </row>
    <row r="104">
      <c r="B104">
        <f>IFERROR(VLOOKUP(A104,Source_Inventory!$A$5:$P$104,2,FALSE),"[Not Found]")</f>
        <v/>
      </c>
      <c r="N104" s="11" t="n"/>
      <c r="O104" s="11">
        <f>IF(N104&lt;&gt;"",N104+90,"")</f>
        <v/>
      </c>
    </row>
  </sheetData>
  <mergeCells count="1">
    <mergeCell ref="A1:R1"/>
  </mergeCells>
  <conditionalFormatting sqref="M5:M104">
    <cfRule type="cellIs" priority="1" operator="equal" dxfId="5">
      <formula>"Failed"</formula>
    </cfRule>
    <cfRule type="cellIs" priority="2" operator="equal" dxfId="4">
      <formula>"Degraded"</formula>
    </cfRule>
  </conditionalFormatting>
  <dataValidations count="100">
    <dataValidation sqref="A5" showDropDown="0" showInputMessage="0" showErrorMessage="0" allowBlank="0" type="list">
      <formula1>=Source_Inventory!$A$5:$A$104</formula1>
    </dataValidation>
    <dataValidation sqref="A6" showDropDown="0" showInputMessage="0" showErrorMessage="0" allowBlank="0" type="list">
      <formula1>=Source_Inventory!$A$5:$A$104</formula1>
    </dataValidation>
    <dataValidation sqref="A7" showDropDown="0" showInputMessage="0" showErrorMessage="0" allowBlank="0" type="list">
      <formula1>=Source_Inventory!$A$5:$A$104</formula1>
    </dataValidation>
    <dataValidation sqref="A8" showDropDown="0" showInputMessage="0" showErrorMessage="0" allowBlank="0" type="list">
      <formula1>=Source_Inventory!$A$5:$A$104</formula1>
    </dataValidation>
    <dataValidation sqref="A9" showDropDown="0" showInputMessage="0" showErrorMessage="0" allowBlank="0" type="list">
      <formula1>=Source_Inventory!$A$5:$A$104</formula1>
    </dataValidation>
    <dataValidation sqref="A10" showDropDown="0" showInputMessage="0" showErrorMessage="0" allowBlank="0" type="list">
      <formula1>=Source_Inventory!$A$5:$A$104</formula1>
    </dataValidation>
    <dataValidation sqref="A11" showDropDown="0" showInputMessage="0" showErrorMessage="0" allowBlank="0" type="list">
      <formula1>=Source_Inventory!$A$5:$A$104</formula1>
    </dataValidation>
    <dataValidation sqref="A12" showDropDown="0" showInputMessage="0" showErrorMessage="0" allowBlank="0" type="list">
      <formula1>=Source_Inventory!$A$5:$A$104</formula1>
    </dataValidation>
    <dataValidation sqref="A13" showDropDown="0" showInputMessage="0" showErrorMessage="0" allowBlank="0" type="list">
      <formula1>=Source_Inventory!$A$5:$A$104</formula1>
    </dataValidation>
    <dataValidation sqref="A14" showDropDown="0" showInputMessage="0" showErrorMessage="0" allowBlank="0" type="list">
      <formula1>=Source_Inventory!$A$5:$A$104</formula1>
    </dataValidation>
    <dataValidation sqref="A15" showDropDown="0" showInputMessage="0" showErrorMessage="0" allowBlank="0" type="list">
      <formula1>=Source_Inventory!$A$5:$A$104</formula1>
    </dataValidation>
    <dataValidation sqref="A16" showDropDown="0" showInputMessage="0" showErrorMessage="0" allowBlank="0" type="list">
      <formula1>=Source_Inventory!$A$5:$A$104</formula1>
    </dataValidation>
    <dataValidation sqref="A17" showDropDown="0" showInputMessage="0" showErrorMessage="0" allowBlank="0" type="list">
      <formula1>=Source_Inventory!$A$5:$A$104</formula1>
    </dataValidation>
    <dataValidation sqref="A18" showDropDown="0" showInputMessage="0" showErrorMessage="0" allowBlank="0" type="list">
      <formula1>=Source_Inventory!$A$5:$A$104</formula1>
    </dataValidation>
    <dataValidation sqref="A19" showDropDown="0" showInputMessage="0" showErrorMessage="0" allowBlank="0" type="list">
      <formula1>=Source_Inventory!$A$5:$A$104</formula1>
    </dataValidation>
    <dataValidation sqref="A20" showDropDown="0" showInputMessage="0" showErrorMessage="0" allowBlank="0" type="list">
      <formula1>=Source_Inventory!$A$5:$A$104</formula1>
    </dataValidation>
    <dataValidation sqref="A21" showDropDown="0" showInputMessage="0" showErrorMessage="0" allowBlank="0" type="list">
      <formula1>=Source_Inventory!$A$5:$A$104</formula1>
    </dataValidation>
    <dataValidation sqref="A22" showDropDown="0" showInputMessage="0" showErrorMessage="0" allowBlank="0" type="list">
      <formula1>=Source_Inventory!$A$5:$A$104</formula1>
    </dataValidation>
    <dataValidation sqref="A23" showDropDown="0" showInputMessage="0" showErrorMessage="0" allowBlank="0" type="list">
      <formula1>=Source_Inventory!$A$5:$A$104</formula1>
    </dataValidation>
    <dataValidation sqref="A24" showDropDown="0" showInputMessage="0" showErrorMessage="0" allowBlank="0" type="list">
      <formula1>=Source_Inventory!$A$5:$A$104</formula1>
    </dataValidation>
    <dataValidation sqref="A25" showDropDown="0" showInputMessage="0" showErrorMessage="0" allowBlank="0" type="list">
      <formula1>=Source_Inventory!$A$5:$A$104</formula1>
    </dataValidation>
    <dataValidation sqref="A26" showDropDown="0" showInputMessage="0" showErrorMessage="0" allowBlank="0" type="list">
      <formula1>=Source_Inventory!$A$5:$A$104</formula1>
    </dataValidation>
    <dataValidation sqref="A27" showDropDown="0" showInputMessage="0" showErrorMessage="0" allowBlank="0" type="list">
      <formula1>=Source_Inventory!$A$5:$A$104</formula1>
    </dataValidation>
    <dataValidation sqref="A28" showDropDown="0" showInputMessage="0" showErrorMessage="0" allowBlank="0" type="list">
      <formula1>=Source_Inventory!$A$5:$A$104</formula1>
    </dataValidation>
    <dataValidation sqref="A29" showDropDown="0" showInputMessage="0" showErrorMessage="0" allowBlank="0" type="list">
      <formula1>=Source_Inventory!$A$5:$A$104</formula1>
    </dataValidation>
    <dataValidation sqref="A30" showDropDown="0" showInputMessage="0" showErrorMessage="0" allowBlank="0" type="list">
      <formula1>=Source_Inventory!$A$5:$A$104</formula1>
    </dataValidation>
    <dataValidation sqref="A31" showDropDown="0" showInputMessage="0" showErrorMessage="0" allowBlank="0" type="list">
      <formula1>=Source_Inventory!$A$5:$A$104</formula1>
    </dataValidation>
    <dataValidation sqref="A32" showDropDown="0" showInputMessage="0" showErrorMessage="0" allowBlank="0" type="list">
      <formula1>=Source_Inventory!$A$5:$A$104</formula1>
    </dataValidation>
    <dataValidation sqref="A33" showDropDown="0" showInputMessage="0" showErrorMessage="0" allowBlank="0" type="list">
      <formula1>=Source_Inventory!$A$5:$A$104</formula1>
    </dataValidation>
    <dataValidation sqref="A34" showDropDown="0" showInputMessage="0" showErrorMessage="0" allowBlank="0" type="list">
      <formula1>=Source_Inventory!$A$5:$A$104</formula1>
    </dataValidation>
    <dataValidation sqref="A35" showDropDown="0" showInputMessage="0" showErrorMessage="0" allowBlank="0" type="list">
      <formula1>=Source_Inventory!$A$5:$A$104</formula1>
    </dataValidation>
    <dataValidation sqref="A36" showDropDown="0" showInputMessage="0" showErrorMessage="0" allowBlank="0" type="list">
      <formula1>=Source_Inventory!$A$5:$A$104</formula1>
    </dataValidation>
    <dataValidation sqref="A37" showDropDown="0" showInputMessage="0" showErrorMessage="0" allowBlank="0" type="list">
      <formula1>=Source_Inventory!$A$5:$A$104</formula1>
    </dataValidation>
    <dataValidation sqref="A38" showDropDown="0" showInputMessage="0" showErrorMessage="0" allowBlank="0" type="list">
      <formula1>=Source_Inventory!$A$5:$A$104</formula1>
    </dataValidation>
    <dataValidation sqref="A39" showDropDown="0" showInputMessage="0" showErrorMessage="0" allowBlank="0" type="list">
      <formula1>=Source_Inventory!$A$5:$A$104</formula1>
    </dataValidation>
    <dataValidation sqref="A40" showDropDown="0" showInputMessage="0" showErrorMessage="0" allowBlank="0" type="list">
      <formula1>=Source_Inventory!$A$5:$A$104</formula1>
    </dataValidation>
    <dataValidation sqref="A41" showDropDown="0" showInputMessage="0" showErrorMessage="0" allowBlank="0" type="list">
      <formula1>=Source_Inventory!$A$5:$A$104</formula1>
    </dataValidation>
    <dataValidation sqref="A42" showDropDown="0" showInputMessage="0" showErrorMessage="0" allowBlank="0" type="list">
      <formula1>=Source_Inventory!$A$5:$A$104</formula1>
    </dataValidation>
    <dataValidation sqref="A43" showDropDown="0" showInputMessage="0" showErrorMessage="0" allowBlank="0" type="list">
      <formula1>=Source_Inventory!$A$5:$A$104</formula1>
    </dataValidation>
    <dataValidation sqref="A44" showDropDown="0" showInputMessage="0" showErrorMessage="0" allowBlank="0" type="list">
      <formula1>=Source_Inventory!$A$5:$A$104</formula1>
    </dataValidation>
    <dataValidation sqref="A45" showDropDown="0" showInputMessage="0" showErrorMessage="0" allowBlank="0" type="list">
      <formula1>=Source_Inventory!$A$5:$A$104</formula1>
    </dataValidation>
    <dataValidation sqref="A46" showDropDown="0" showInputMessage="0" showErrorMessage="0" allowBlank="0" type="list">
      <formula1>=Source_Inventory!$A$5:$A$104</formula1>
    </dataValidation>
    <dataValidation sqref="A47" showDropDown="0" showInputMessage="0" showErrorMessage="0" allowBlank="0" type="list">
      <formula1>=Source_Inventory!$A$5:$A$104</formula1>
    </dataValidation>
    <dataValidation sqref="A48" showDropDown="0" showInputMessage="0" showErrorMessage="0" allowBlank="0" type="list">
      <formula1>=Source_Inventory!$A$5:$A$104</formula1>
    </dataValidation>
    <dataValidation sqref="A49" showDropDown="0" showInputMessage="0" showErrorMessage="0" allowBlank="0" type="list">
      <formula1>=Source_Inventory!$A$5:$A$104</formula1>
    </dataValidation>
    <dataValidation sqref="A50" showDropDown="0" showInputMessage="0" showErrorMessage="0" allowBlank="0" type="list">
      <formula1>=Source_Inventory!$A$5:$A$104</formula1>
    </dataValidation>
    <dataValidation sqref="A51" showDropDown="0" showInputMessage="0" showErrorMessage="0" allowBlank="0" type="list">
      <formula1>=Source_Inventory!$A$5:$A$104</formula1>
    </dataValidation>
    <dataValidation sqref="A52" showDropDown="0" showInputMessage="0" showErrorMessage="0" allowBlank="0" type="list">
      <formula1>=Source_Inventory!$A$5:$A$104</formula1>
    </dataValidation>
    <dataValidation sqref="A53" showDropDown="0" showInputMessage="0" showErrorMessage="0" allowBlank="0" type="list">
      <formula1>=Source_Inventory!$A$5:$A$104</formula1>
    </dataValidation>
    <dataValidation sqref="A54" showDropDown="0" showInputMessage="0" showErrorMessage="0" allowBlank="0" type="list">
      <formula1>=Source_Inventory!$A$5:$A$104</formula1>
    </dataValidation>
    <dataValidation sqref="A55" showDropDown="0" showInputMessage="0" showErrorMessage="0" allowBlank="0" type="list">
      <formula1>=Source_Inventory!$A$5:$A$104</formula1>
    </dataValidation>
    <dataValidation sqref="A56" showDropDown="0" showInputMessage="0" showErrorMessage="0" allowBlank="0" type="list">
      <formula1>=Source_Inventory!$A$5:$A$104</formula1>
    </dataValidation>
    <dataValidation sqref="A57" showDropDown="0" showInputMessage="0" showErrorMessage="0" allowBlank="0" type="list">
      <formula1>=Source_Inventory!$A$5:$A$104</formula1>
    </dataValidation>
    <dataValidation sqref="A58" showDropDown="0" showInputMessage="0" showErrorMessage="0" allowBlank="0" type="list">
      <formula1>=Source_Inventory!$A$5:$A$104</formula1>
    </dataValidation>
    <dataValidation sqref="A59" showDropDown="0" showInputMessage="0" showErrorMessage="0" allowBlank="0" type="list">
      <formula1>=Source_Inventory!$A$5:$A$104</formula1>
    </dataValidation>
    <dataValidation sqref="A60" showDropDown="0" showInputMessage="0" showErrorMessage="0" allowBlank="0" type="list">
      <formula1>=Source_Inventory!$A$5:$A$104</formula1>
    </dataValidation>
    <dataValidation sqref="A61" showDropDown="0" showInputMessage="0" showErrorMessage="0" allowBlank="0" type="list">
      <formula1>=Source_Inventory!$A$5:$A$104</formula1>
    </dataValidation>
    <dataValidation sqref="A62" showDropDown="0" showInputMessage="0" showErrorMessage="0" allowBlank="0" type="list">
      <formula1>=Source_Inventory!$A$5:$A$104</formula1>
    </dataValidation>
    <dataValidation sqref="A63" showDropDown="0" showInputMessage="0" showErrorMessage="0" allowBlank="0" type="list">
      <formula1>=Source_Inventory!$A$5:$A$104</formula1>
    </dataValidation>
    <dataValidation sqref="A64" showDropDown="0" showInputMessage="0" showErrorMessage="0" allowBlank="0" type="list">
      <formula1>=Source_Inventory!$A$5:$A$104</formula1>
    </dataValidation>
    <dataValidation sqref="A65" showDropDown="0" showInputMessage="0" showErrorMessage="0" allowBlank="0" type="list">
      <formula1>=Source_Inventory!$A$5:$A$104</formula1>
    </dataValidation>
    <dataValidation sqref="A66" showDropDown="0" showInputMessage="0" showErrorMessage="0" allowBlank="0" type="list">
      <formula1>=Source_Inventory!$A$5:$A$104</formula1>
    </dataValidation>
    <dataValidation sqref="A67" showDropDown="0" showInputMessage="0" showErrorMessage="0" allowBlank="0" type="list">
      <formula1>=Source_Inventory!$A$5:$A$104</formula1>
    </dataValidation>
    <dataValidation sqref="A68" showDropDown="0" showInputMessage="0" showErrorMessage="0" allowBlank="0" type="list">
      <formula1>=Source_Inventory!$A$5:$A$104</formula1>
    </dataValidation>
    <dataValidation sqref="A69" showDropDown="0" showInputMessage="0" showErrorMessage="0" allowBlank="0" type="list">
      <formula1>=Source_Inventory!$A$5:$A$104</formula1>
    </dataValidation>
    <dataValidation sqref="A70" showDropDown="0" showInputMessage="0" showErrorMessage="0" allowBlank="0" type="list">
      <formula1>=Source_Inventory!$A$5:$A$104</formula1>
    </dataValidation>
    <dataValidation sqref="A71" showDropDown="0" showInputMessage="0" showErrorMessage="0" allowBlank="0" type="list">
      <formula1>=Source_Inventory!$A$5:$A$104</formula1>
    </dataValidation>
    <dataValidation sqref="A72" showDropDown="0" showInputMessage="0" showErrorMessage="0" allowBlank="0" type="list">
      <formula1>=Source_Inventory!$A$5:$A$104</formula1>
    </dataValidation>
    <dataValidation sqref="A73" showDropDown="0" showInputMessage="0" showErrorMessage="0" allowBlank="0" type="list">
      <formula1>=Source_Inventory!$A$5:$A$104</formula1>
    </dataValidation>
    <dataValidation sqref="A74" showDropDown="0" showInputMessage="0" showErrorMessage="0" allowBlank="0" type="list">
      <formula1>=Source_Inventory!$A$5:$A$104</formula1>
    </dataValidation>
    <dataValidation sqref="A75" showDropDown="0" showInputMessage="0" showErrorMessage="0" allowBlank="0" type="list">
      <formula1>=Source_Inventory!$A$5:$A$104</formula1>
    </dataValidation>
    <dataValidation sqref="A76" showDropDown="0" showInputMessage="0" showErrorMessage="0" allowBlank="0" type="list">
      <formula1>=Source_Inventory!$A$5:$A$104</formula1>
    </dataValidation>
    <dataValidation sqref="A77" showDropDown="0" showInputMessage="0" showErrorMessage="0" allowBlank="0" type="list">
      <formula1>=Source_Inventory!$A$5:$A$104</formula1>
    </dataValidation>
    <dataValidation sqref="A78" showDropDown="0" showInputMessage="0" showErrorMessage="0" allowBlank="0" type="list">
      <formula1>=Source_Inventory!$A$5:$A$104</formula1>
    </dataValidation>
    <dataValidation sqref="A79" showDropDown="0" showInputMessage="0" showErrorMessage="0" allowBlank="0" type="list">
      <formula1>=Source_Inventory!$A$5:$A$104</formula1>
    </dataValidation>
    <dataValidation sqref="A80" showDropDown="0" showInputMessage="0" showErrorMessage="0" allowBlank="0" type="list">
      <formula1>=Source_Inventory!$A$5:$A$104</formula1>
    </dataValidation>
    <dataValidation sqref="A81" showDropDown="0" showInputMessage="0" showErrorMessage="0" allowBlank="0" type="list">
      <formula1>=Source_Inventory!$A$5:$A$104</formula1>
    </dataValidation>
    <dataValidation sqref="A82" showDropDown="0" showInputMessage="0" showErrorMessage="0" allowBlank="0" type="list">
      <formula1>=Source_Inventory!$A$5:$A$104</formula1>
    </dataValidation>
    <dataValidation sqref="A83" showDropDown="0" showInputMessage="0" showErrorMessage="0" allowBlank="0" type="list">
      <formula1>=Source_Inventory!$A$5:$A$104</formula1>
    </dataValidation>
    <dataValidation sqref="A84" showDropDown="0" showInputMessage="0" showErrorMessage="0" allowBlank="0" type="list">
      <formula1>=Source_Inventory!$A$5:$A$104</formula1>
    </dataValidation>
    <dataValidation sqref="A85" showDropDown="0" showInputMessage="0" showErrorMessage="0" allowBlank="0" type="list">
      <formula1>=Source_Inventory!$A$5:$A$104</formula1>
    </dataValidation>
    <dataValidation sqref="A86" showDropDown="0" showInputMessage="0" showErrorMessage="0" allowBlank="0" type="list">
      <formula1>=Source_Inventory!$A$5:$A$104</formula1>
    </dataValidation>
    <dataValidation sqref="A87" showDropDown="0" showInputMessage="0" showErrorMessage="0" allowBlank="0" type="list">
      <formula1>=Source_Inventory!$A$5:$A$104</formula1>
    </dataValidation>
    <dataValidation sqref="A88" showDropDown="0" showInputMessage="0" showErrorMessage="0" allowBlank="0" type="list">
      <formula1>=Source_Inventory!$A$5:$A$104</formula1>
    </dataValidation>
    <dataValidation sqref="A89" showDropDown="0" showInputMessage="0" showErrorMessage="0" allowBlank="0" type="list">
      <formula1>=Source_Inventory!$A$5:$A$104</formula1>
    </dataValidation>
    <dataValidation sqref="A90" showDropDown="0" showInputMessage="0" showErrorMessage="0" allowBlank="0" type="list">
      <formula1>=Source_Inventory!$A$5:$A$104</formula1>
    </dataValidation>
    <dataValidation sqref="A91" showDropDown="0" showInputMessage="0" showErrorMessage="0" allowBlank="0" type="list">
      <formula1>=Source_Inventory!$A$5:$A$104</formula1>
    </dataValidation>
    <dataValidation sqref="A92" showDropDown="0" showInputMessage="0" showErrorMessage="0" allowBlank="0" type="list">
      <formula1>=Source_Inventory!$A$5:$A$104</formula1>
    </dataValidation>
    <dataValidation sqref="A93" showDropDown="0" showInputMessage="0" showErrorMessage="0" allowBlank="0" type="list">
      <formula1>=Source_Inventory!$A$5:$A$104</formula1>
    </dataValidation>
    <dataValidation sqref="A94" showDropDown="0" showInputMessage="0" showErrorMessage="0" allowBlank="0" type="list">
      <formula1>=Source_Inventory!$A$5:$A$104</formula1>
    </dataValidation>
    <dataValidation sqref="A95" showDropDown="0" showInputMessage="0" showErrorMessage="0" allowBlank="0" type="list">
      <formula1>=Source_Inventory!$A$5:$A$104</formula1>
    </dataValidation>
    <dataValidation sqref="A96" showDropDown="0" showInputMessage="0" showErrorMessage="0" allowBlank="0" type="list">
      <formula1>=Source_Inventory!$A$5:$A$104</formula1>
    </dataValidation>
    <dataValidation sqref="A97" showDropDown="0" showInputMessage="0" showErrorMessage="0" allowBlank="0" type="list">
      <formula1>=Source_Inventory!$A$5:$A$104</formula1>
    </dataValidation>
    <dataValidation sqref="A98" showDropDown="0" showInputMessage="0" showErrorMessage="0" allowBlank="0" type="list">
      <formula1>=Source_Inventory!$A$5:$A$104</formula1>
    </dataValidation>
    <dataValidation sqref="A99" showDropDown="0" showInputMessage="0" showErrorMessage="0" allowBlank="0" type="list">
      <formula1>=Source_Inventory!$A$5:$A$104</formula1>
    </dataValidation>
    <dataValidation sqref="A100" showDropDown="0" showInputMessage="0" showErrorMessage="0" allowBlank="0" type="list">
      <formula1>=Source_Inventory!$A$5:$A$104</formula1>
    </dataValidation>
    <dataValidation sqref="A101" showDropDown="0" showInputMessage="0" showErrorMessage="0" allowBlank="0" type="list">
      <formula1>=Source_Inventory!$A$5:$A$104</formula1>
    </dataValidation>
    <dataValidation sqref="A102" showDropDown="0" showInputMessage="0" showErrorMessage="0" allowBlank="0" type="list">
      <formula1>=Source_Inventory!$A$5:$A$104</formula1>
    </dataValidation>
    <dataValidation sqref="A103" showDropDown="0" showInputMessage="0" showErrorMessage="0" allowBlank="0" type="list">
      <formula1>=Source_Inventory!$A$5:$A$104</formula1>
    </dataValidation>
    <dataValidation sqref="A104" showDropDown="0" showInputMessage="0" showErrorMessage="0" allowBlank="0" type="list">
      <formula1>=Source_Inventory!$A$5:$A$104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04"/>
  <sheetViews>
    <sheetView workbookViewId="0">
      <selection activeCell="A1" sqref="A1"/>
    </sheetView>
  </sheetViews>
  <sheetFormatPr baseColWidth="8" defaultRowHeight="15"/>
  <sheetData>
    <row r="1">
      <c r="A1" s="1" t="inlineStr">
        <is>
          <t>Update Frequency - SLA Compliance Tracking</t>
        </is>
      </c>
    </row>
    <row r="4">
      <c r="A4" s="15" t="inlineStr">
        <is>
          <t>Source_ID</t>
        </is>
      </c>
      <c r="B4" s="15" t="inlineStr">
        <is>
          <t>Source_Name</t>
        </is>
      </c>
      <c r="C4" s="15" t="inlineStr">
        <is>
          <t>Contractual_Frequency</t>
        </is>
      </c>
      <c r="D4" s="15" t="inlineStr">
        <is>
          <t>Actual_Avg_Frequency</t>
        </is>
      </c>
      <c r="E4" s="15" t="inlineStr">
        <is>
          <t>Last_Update_Received</t>
        </is>
      </c>
      <c r="F4" s="15" t="inlineStr">
        <is>
          <t>Update_Count_Last_30_Days</t>
        </is>
      </c>
      <c r="G4" s="15" t="inlineStr">
        <is>
          <t>Expected_Update_Count</t>
        </is>
      </c>
      <c r="H4" s="15" t="inlineStr">
        <is>
          <t>Update_Variance</t>
        </is>
      </c>
      <c r="I4" s="15" t="inlineStr">
        <is>
          <t>SLA_Met</t>
        </is>
      </c>
      <c r="J4" s="15" t="inlineStr">
        <is>
          <t>SLA_Met_Justification</t>
        </is>
      </c>
      <c r="K4" s="15" t="inlineStr">
        <is>
          <t>Outage_Count_Last_Quarter</t>
        </is>
      </c>
      <c r="L4" s="15" t="inlineStr">
        <is>
          <t>Longest_Outage_Duration</t>
        </is>
      </c>
      <c r="M4" s="15" t="inlineStr">
        <is>
          <t>Average_Outage_Duration</t>
        </is>
      </c>
      <c r="N4" s="15" t="inlineStr">
        <is>
          <t>Timeliness_Score</t>
        </is>
      </c>
      <c r="O4" s="15" t="inlineStr">
        <is>
          <t>Timeliness_Trend</t>
        </is>
      </c>
      <c r="P4" s="15" t="inlineStr">
        <is>
          <t>Last_SLA_Review</t>
        </is>
      </c>
      <c r="Q4" s="15" t="inlineStr">
        <is>
          <t>Next_SLA_Review</t>
        </is>
      </c>
      <c r="R4" s="15" t="inlineStr">
        <is>
          <t>Notes</t>
        </is>
      </c>
    </row>
    <row r="5">
      <c r="B5">
        <f>IFERROR(VLOOKUP(A5,Source_Inventory!$A$5:$P$104,2,FALSE),"[Not Found]")</f>
        <v/>
      </c>
      <c r="E5" s="17" t="n"/>
      <c r="P5" s="11" t="n"/>
      <c r="Q5" s="11">
        <f>IF(P5&lt;&gt;"",P5+90,"")</f>
        <v/>
      </c>
    </row>
    <row r="6">
      <c r="B6">
        <f>IFERROR(VLOOKUP(A6,Source_Inventory!$A$5:$P$104,2,FALSE),"[Not Found]")</f>
        <v/>
      </c>
      <c r="E6" s="17" t="n"/>
      <c r="P6" s="11" t="n"/>
      <c r="Q6" s="11">
        <f>IF(P6&lt;&gt;"",P6+90,"")</f>
        <v/>
      </c>
    </row>
    <row r="7">
      <c r="B7">
        <f>IFERROR(VLOOKUP(A7,Source_Inventory!$A$5:$P$104,2,FALSE),"[Not Found]")</f>
        <v/>
      </c>
      <c r="E7" s="17" t="n"/>
      <c r="P7" s="11" t="n"/>
      <c r="Q7" s="11">
        <f>IF(P7&lt;&gt;"",P7+90,"")</f>
        <v/>
      </c>
    </row>
    <row r="8">
      <c r="B8">
        <f>IFERROR(VLOOKUP(A8,Source_Inventory!$A$5:$P$104,2,FALSE),"[Not Found]")</f>
        <v/>
      </c>
      <c r="E8" s="17" t="n"/>
      <c r="P8" s="11" t="n"/>
      <c r="Q8" s="11">
        <f>IF(P8&lt;&gt;"",P8+90,"")</f>
        <v/>
      </c>
    </row>
    <row r="9">
      <c r="B9">
        <f>IFERROR(VLOOKUP(A9,Source_Inventory!$A$5:$P$104,2,FALSE),"[Not Found]")</f>
        <v/>
      </c>
      <c r="E9" s="17" t="n"/>
      <c r="P9" s="11" t="n"/>
      <c r="Q9" s="11">
        <f>IF(P9&lt;&gt;"",P9+90,"")</f>
        <v/>
      </c>
    </row>
    <row r="10">
      <c r="B10">
        <f>IFERROR(VLOOKUP(A10,Source_Inventory!$A$5:$P$104,2,FALSE),"[Not Found]")</f>
        <v/>
      </c>
      <c r="E10" s="17" t="n"/>
      <c r="P10" s="11" t="n"/>
      <c r="Q10" s="11">
        <f>IF(P10&lt;&gt;"",P10+90,"")</f>
        <v/>
      </c>
    </row>
    <row r="11">
      <c r="B11">
        <f>IFERROR(VLOOKUP(A11,Source_Inventory!$A$5:$P$104,2,FALSE),"[Not Found]")</f>
        <v/>
      </c>
      <c r="E11" s="17" t="n"/>
      <c r="P11" s="11" t="n"/>
      <c r="Q11" s="11">
        <f>IF(P11&lt;&gt;"",P11+90,"")</f>
        <v/>
      </c>
    </row>
    <row r="12">
      <c r="B12">
        <f>IFERROR(VLOOKUP(A12,Source_Inventory!$A$5:$P$104,2,FALSE),"[Not Found]")</f>
        <v/>
      </c>
      <c r="E12" s="17" t="n"/>
      <c r="P12" s="11" t="n"/>
      <c r="Q12" s="11">
        <f>IF(P12&lt;&gt;"",P12+90,"")</f>
        <v/>
      </c>
    </row>
    <row r="13">
      <c r="B13">
        <f>IFERROR(VLOOKUP(A13,Source_Inventory!$A$5:$P$104,2,FALSE),"[Not Found]")</f>
        <v/>
      </c>
      <c r="E13" s="17" t="n"/>
      <c r="P13" s="11" t="n"/>
      <c r="Q13" s="11">
        <f>IF(P13&lt;&gt;"",P13+90,"")</f>
        <v/>
      </c>
    </row>
    <row r="14">
      <c r="B14">
        <f>IFERROR(VLOOKUP(A14,Source_Inventory!$A$5:$P$104,2,FALSE),"[Not Found]")</f>
        <v/>
      </c>
      <c r="E14" s="17" t="n"/>
      <c r="P14" s="11" t="n"/>
      <c r="Q14" s="11">
        <f>IF(P14&lt;&gt;"",P14+90,"")</f>
        <v/>
      </c>
    </row>
    <row r="15">
      <c r="B15">
        <f>IFERROR(VLOOKUP(A15,Source_Inventory!$A$5:$P$104,2,FALSE),"[Not Found]")</f>
        <v/>
      </c>
      <c r="E15" s="17" t="n"/>
      <c r="P15" s="11" t="n"/>
      <c r="Q15" s="11">
        <f>IF(P15&lt;&gt;"",P15+90,"")</f>
        <v/>
      </c>
    </row>
    <row r="16">
      <c r="B16">
        <f>IFERROR(VLOOKUP(A16,Source_Inventory!$A$5:$P$104,2,FALSE),"[Not Found]")</f>
        <v/>
      </c>
      <c r="E16" s="17" t="n"/>
      <c r="P16" s="11" t="n"/>
      <c r="Q16" s="11">
        <f>IF(P16&lt;&gt;"",P16+90,"")</f>
        <v/>
      </c>
    </row>
    <row r="17">
      <c r="B17">
        <f>IFERROR(VLOOKUP(A17,Source_Inventory!$A$5:$P$104,2,FALSE),"[Not Found]")</f>
        <v/>
      </c>
      <c r="E17" s="17" t="n"/>
      <c r="P17" s="11" t="n"/>
      <c r="Q17" s="11">
        <f>IF(P17&lt;&gt;"",P17+90,"")</f>
        <v/>
      </c>
    </row>
    <row r="18">
      <c r="B18">
        <f>IFERROR(VLOOKUP(A18,Source_Inventory!$A$5:$P$104,2,FALSE),"[Not Found]")</f>
        <v/>
      </c>
      <c r="E18" s="17" t="n"/>
      <c r="P18" s="11" t="n"/>
      <c r="Q18" s="11">
        <f>IF(P18&lt;&gt;"",P18+90,"")</f>
        <v/>
      </c>
    </row>
    <row r="19">
      <c r="B19">
        <f>IFERROR(VLOOKUP(A19,Source_Inventory!$A$5:$P$104,2,FALSE),"[Not Found]")</f>
        <v/>
      </c>
      <c r="E19" s="17" t="n"/>
      <c r="P19" s="11" t="n"/>
      <c r="Q19" s="11">
        <f>IF(P19&lt;&gt;"",P19+90,"")</f>
        <v/>
      </c>
    </row>
    <row r="20">
      <c r="B20">
        <f>IFERROR(VLOOKUP(A20,Source_Inventory!$A$5:$P$104,2,FALSE),"[Not Found]")</f>
        <v/>
      </c>
      <c r="E20" s="17" t="n"/>
      <c r="P20" s="11" t="n"/>
      <c r="Q20" s="11">
        <f>IF(P20&lt;&gt;"",P20+90,"")</f>
        <v/>
      </c>
    </row>
    <row r="21">
      <c r="B21">
        <f>IFERROR(VLOOKUP(A21,Source_Inventory!$A$5:$P$104,2,FALSE),"[Not Found]")</f>
        <v/>
      </c>
      <c r="E21" s="17" t="n"/>
      <c r="P21" s="11" t="n"/>
      <c r="Q21" s="11">
        <f>IF(P21&lt;&gt;"",P21+90,"")</f>
        <v/>
      </c>
    </row>
    <row r="22">
      <c r="B22">
        <f>IFERROR(VLOOKUP(A22,Source_Inventory!$A$5:$P$104,2,FALSE),"[Not Found]")</f>
        <v/>
      </c>
      <c r="E22" s="17" t="n"/>
      <c r="P22" s="11" t="n"/>
      <c r="Q22" s="11">
        <f>IF(P22&lt;&gt;"",P22+90,"")</f>
        <v/>
      </c>
    </row>
    <row r="23">
      <c r="B23">
        <f>IFERROR(VLOOKUP(A23,Source_Inventory!$A$5:$P$104,2,FALSE),"[Not Found]")</f>
        <v/>
      </c>
      <c r="E23" s="17" t="n"/>
      <c r="P23" s="11" t="n"/>
      <c r="Q23" s="11">
        <f>IF(P23&lt;&gt;"",P23+90,"")</f>
        <v/>
      </c>
    </row>
    <row r="24">
      <c r="B24">
        <f>IFERROR(VLOOKUP(A24,Source_Inventory!$A$5:$P$104,2,FALSE),"[Not Found]")</f>
        <v/>
      </c>
      <c r="E24" s="17" t="n"/>
      <c r="P24" s="11" t="n"/>
      <c r="Q24" s="11">
        <f>IF(P24&lt;&gt;"",P24+90,"")</f>
        <v/>
      </c>
    </row>
    <row r="25">
      <c r="B25">
        <f>IFERROR(VLOOKUP(A25,Source_Inventory!$A$5:$P$104,2,FALSE),"[Not Found]")</f>
        <v/>
      </c>
      <c r="E25" s="17" t="n"/>
      <c r="P25" s="11" t="n"/>
      <c r="Q25" s="11">
        <f>IF(P25&lt;&gt;"",P25+90,"")</f>
        <v/>
      </c>
    </row>
    <row r="26">
      <c r="B26">
        <f>IFERROR(VLOOKUP(A26,Source_Inventory!$A$5:$P$104,2,FALSE),"[Not Found]")</f>
        <v/>
      </c>
      <c r="E26" s="17" t="n"/>
      <c r="P26" s="11" t="n"/>
      <c r="Q26" s="11">
        <f>IF(P26&lt;&gt;"",P26+90,"")</f>
        <v/>
      </c>
    </row>
    <row r="27">
      <c r="B27">
        <f>IFERROR(VLOOKUP(A27,Source_Inventory!$A$5:$P$104,2,FALSE),"[Not Found]")</f>
        <v/>
      </c>
      <c r="E27" s="17" t="n"/>
      <c r="P27" s="11" t="n"/>
      <c r="Q27" s="11">
        <f>IF(P27&lt;&gt;"",P27+90,"")</f>
        <v/>
      </c>
    </row>
    <row r="28">
      <c r="B28">
        <f>IFERROR(VLOOKUP(A28,Source_Inventory!$A$5:$P$104,2,FALSE),"[Not Found]")</f>
        <v/>
      </c>
      <c r="E28" s="17" t="n"/>
      <c r="P28" s="11" t="n"/>
      <c r="Q28" s="11">
        <f>IF(P28&lt;&gt;"",P28+90,"")</f>
        <v/>
      </c>
    </row>
    <row r="29">
      <c r="B29">
        <f>IFERROR(VLOOKUP(A29,Source_Inventory!$A$5:$P$104,2,FALSE),"[Not Found]")</f>
        <v/>
      </c>
      <c r="E29" s="17" t="n"/>
      <c r="P29" s="11" t="n"/>
      <c r="Q29" s="11">
        <f>IF(P29&lt;&gt;"",P29+90,"")</f>
        <v/>
      </c>
    </row>
    <row r="30">
      <c r="B30">
        <f>IFERROR(VLOOKUP(A30,Source_Inventory!$A$5:$P$104,2,FALSE),"[Not Found]")</f>
        <v/>
      </c>
      <c r="E30" s="17" t="n"/>
      <c r="P30" s="11" t="n"/>
      <c r="Q30" s="11">
        <f>IF(P30&lt;&gt;"",P30+90,"")</f>
        <v/>
      </c>
    </row>
    <row r="31">
      <c r="B31">
        <f>IFERROR(VLOOKUP(A31,Source_Inventory!$A$5:$P$104,2,FALSE),"[Not Found]")</f>
        <v/>
      </c>
      <c r="E31" s="17" t="n"/>
      <c r="P31" s="11" t="n"/>
      <c r="Q31" s="11">
        <f>IF(P31&lt;&gt;"",P31+90,"")</f>
        <v/>
      </c>
    </row>
    <row r="32">
      <c r="B32">
        <f>IFERROR(VLOOKUP(A32,Source_Inventory!$A$5:$P$104,2,FALSE),"[Not Found]")</f>
        <v/>
      </c>
      <c r="E32" s="17" t="n"/>
      <c r="P32" s="11" t="n"/>
      <c r="Q32" s="11">
        <f>IF(P32&lt;&gt;"",P32+90,"")</f>
        <v/>
      </c>
    </row>
    <row r="33">
      <c r="B33">
        <f>IFERROR(VLOOKUP(A33,Source_Inventory!$A$5:$P$104,2,FALSE),"[Not Found]")</f>
        <v/>
      </c>
      <c r="E33" s="17" t="n"/>
      <c r="P33" s="11" t="n"/>
      <c r="Q33" s="11">
        <f>IF(P33&lt;&gt;"",P33+90,"")</f>
        <v/>
      </c>
    </row>
    <row r="34">
      <c r="B34">
        <f>IFERROR(VLOOKUP(A34,Source_Inventory!$A$5:$P$104,2,FALSE),"[Not Found]")</f>
        <v/>
      </c>
      <c r="E34" s="17" t="n"/>
      <c r="P34" s="11" t="n"/>
      <c r="Q34" s="11">
        <f>IF(P34&lt;&gt;"",P34+90,"")</f>
        <v/>
      </c>
    </row>
    <row r="35">
      <c r="B35">
        <f>IFERROR(VLOOKUP(A35,Source_Inventory!$A$5:$P$104,2,FALSE),"[Not Found]")</f>
        <v/>
      </c>
      <c r="E35" s="17" t="n"/>
      <c r="P35" s="11" t="n"/>
      <c r="Q35" s="11">
        <f>IF(P35&lt;&gt;"",P35+90,"")</f>
        <v/>
      </c>
    </row>
    <row r="36">
      <c r="B36">
        <f>IFERROR(VLOOKUP(A36,Source_Inventory!$A$5:$P$104,2,FALSE),"[Not Found]")</f>
        <v/>
      </c>
      <c r="E36" s="17" t="n"/>
      <c r="P36" s="11" t="n"/>
      <c r="Q36" s="11">
        <f>IF(P36&lt;&gt;"",P36+90,"")</f>
        <v/>
      </c>
    </row>
    <row r="37">
      <c r="B37">
        <f>IFERROR(VLOOKUP(A37,Source_Inventory!$A$5:$P$104,2,FALSE),"[Not Found]")</f>
        <v/>
      </c>
      <c r="E37" s="17" t="n"/>
      <c r="P37" s="11" t="n"/>
      <c r="Q37" s="11">
        <f>IF(P37&lt;&gt;"",P37+90,"")</f>
        <v/>
      </c>
    </row>
    <row r="38">
      <c r="B38">
        <f>IFERROR(VLOOKUP(A38,Source_Inventory!$A$5:$P$104,2,FALSE),"[Not Found]")</f>
        <v/>
      </c>
      <c r="E38" s="17" t="n"/>
      <c r="P38" s="11" t="n"/>
      <c r="Q38" s="11">
        <f>IF(P38&lt;&gt;"",P38+90,"")</f>
        <v/>
      </c>
    </row>
    <row r="39">
      <c r="B39">
        <f>IFERROR(VLOOKUP(A39,Source_Inventory!$A$5:$P$104,2,FALSE),"[Not Found]")</f>
        <v/>
      </c>
      <c r="E39" s="17" t="n"/>
      <c r="P39" s="11" t="n"/>
      <c r="Q39" s="11">
        <f>IF(P39&lt;&gt;"",P39+90,"")</f>
        <v/>
      </c>
    </row>
    <row r="40">
      <c r="B40">
        <f>IFERROR(VLOOKUP(A40,Source_Inventory!$A$5:$P$104,2,FALSE),"[Not Found]")</f>
        <v/>
      </c>
      <c r="E40" s="17" t="n"/>
      <c r="P40" s="11" t="n"/>
      <c r="Q40" s="11">
        <f>IF(P40&lt;&gt;"",P40+90,"")</f>
        <v/>
      </c>
    </row>
    <row r="41">
      <c r="B41">
        <f>IFERROR(VLOOKUP(A41,Source_Inventory!$A$5:$P$104,2,FALSE),"[Not Found]")</f>
        <v/>
      </c>
      <c r="E41" s="17" t="n"/>
      <c r="P41" s="11" t="n"/>
      <c r="Q41" s="11">
        <f>IF(P41&lt;&gt;"",P41+90,"")</f>
        <v/>
      </c>
    </row>
    <row r="42">
      <c r="B42">
        <f>IFERROR(VLOOKUP(A42,Source_Inventory!$A$5:$P$104,2,FALSE),"[Not Found]")</f>
        <v/>
      </c>
      <c r="E42" s="17" t="n"/>
      <c r="P42" s="11" t="n"/>
      <c r="Q42" s="11">
        <f>IF(P42&lt;&gt;"",P42+90,"")</f>
        <v/>
      </c>
    </row>
    <row r="43">
      <c r="B43">
        <f>IFERROR(VLOOKUP(A43,Source_Inventory!$A$5:$P$104,2,FALSE),"[Not Found]")</f>
        <v/>
      </c>
      <c r="E43" s="17" t="n"/>
      <c r="P43" s="11" t="n"/>
      <c r="Q43" s="11">
        <f>IF(P43&lt;&gt;"",P43+90,"")</f>
        <v/>
      </c>
    </row>
    <row r="44">
      <c r="B44">
        <f>IFERROR(VLOOKUP(A44,Source_Inventory!$A$5:$P$104,2,FALSE),"[Not Found]")</f>
        <v/>
      </c>
      <c r="E44" s="17" t="n"/>
      <c r="P44" s="11" t="n"/>
      <c r="Q44" s="11">
        <f>IF(P44&lt;&gt;"",P44+90,"")</f>
        <v/>
      </c>
    </row>
    <row r="45">
      <c r="B45">
        <f>IFERROR(VLOOKUP(A45,Source_Inventory!$A$5:$P$104,2,FALSE),"[Not Found]")</f>
        <v/>
      </c>
      <c r="E45" s="17" t="n"/>
      <c r="P45" s="11" t="n"/>
      <c r="Q45" s="11">
        <f>IF(P45&lt;&gt;"",P45+90,"")</f>
        <v/>
      </c>
    </row>
    <row r="46">
      <c r="B46">
        <f>IFERROR(VLOOKUP(A46,Source_Inventory!$A$5:$P$104,2,FALSE),"[Not Found]")</f>
        <v/>
      </c>
      <c r="E46" s="17" t="n"/>
      <c r="P46" s="11" t="n"/>
      <c r="Q46" s="11">
        <f>IF(P46&lt;&gt;"",P46+90,"")</f>
        <v/>
      </c>
    </row>
    <row r="47">
      <c r="B47">
        <f>IFERROR(VLOOKUP(A47,Source_Inventory!$A$5:$P$104,2,FALSE),"[Not Found]")</f>
        <v/>
      </c>
      <c r="E47" s="17" t="n"/>
      <c r="P47" s="11" t="n"/>
      <c r="Q47" s="11">
        <f>IF(P47&lt;&gt;"",P47+90,"")</f>
        <v/>
      </c>
    </row>
    <row r="48">
      <c r="B48">
        <f>IFERROR(VLOOKUP(A48,Source_Inventory!$A$5:$P$104,2,FALSE),"[Not Found]")</f>
        <v/>
      </c>
      <c r="E48" s="17" t="n"/>
      <c r="P48" s="11" t="n"/>
      <c r="Q48" s="11">
        <f>IF(P48&lt;&gt;"",P48+90,"")</f>
        <v/>
      </c>
    </row>
    <row r="49">
      <c r="B49">
        <f>IFERROR(VLOOKUP(A49,Source_Inventory!$A$5:$P$104,2,FALSE),"[Not Found]")</f>
        <v/>
      </c>
      <c r="E49" s="17" t="n"/>
      <c r="P49" s="11" t="n"/>
      <c r="Q49" s="11">
        <f>IF(P49&lt;&gt;"",P49+90,"")</f>
        <v/>
      </c>
    </row>
    <row r="50">
      <c r="B50">
        <f>IFERROR(VLOOKUP(A50,Source_Inventory!$A$5:$P$104,2,FALSE),"[Not Found]")</f>
        <v/>
      </c>
      <c r="E50" s="17" t="n"/>
      <c r="P50" s="11" t="n"/>
      <c r="Q50" s="11">
        <f>IF(P50&lt;&gt;"",P50+90,"")</f>
        <v/>
      </c>
    </row>
    <row r="51">
      <c r="B51">
        <f>IFERROR(VLOOKUP(A51,Source_Inventory!$A$5:$P$104,2,FALSE),"[Not Found]")</f>
        <v/>
      </c>
      <c r="E51" s="17" t="n"/>
      <c r="P51" s="11" t="n"/>
      <c r="Q51" s="11">
        <f>IF(P51&lt;&gt;"",P51+90,"")</f>
        <v/>
      </c>
    </row>
    <row r="52">
      <c r="B52">
        <f>IFERROR(VLOOKUP(A52,Source_Inventory!$A$5:$P$104,2,FALSE),"[Not Found]")</f>
        <v/>
      </c>
      <c r="E52" s="17" t="n"/>
      <c r="P52" s="11" t="n"/>
      <c r="Q52" s="11">
        <f>IF(P52&lt;&gt;"",P52+90,"")</f>
        <v/>
      </c>
    </row>
    <row r="53">
      <c r="B53">
        <f>IFERROR(VLOOKUP(A53,Source_Inventory!$A$5:$P$104,2,FALSE),"[Not Found]")</f>
        <v/>
      </c>
      <c r="E53" s="17" t="n"/>
      <c r="P53" s="11" t="n"/>
      <c r="Q53" s="11">
        <f>IF(P53&lt;&gt;"",P53+90,"")</f>
        <v/>
      </c>
    </row>
    <row r="54">
      <c r="B54">
        <f>IFERROR(VLOOKUP(A54,Source_Inventory!$A$5:$P$104,2,FALSE),"[Not Found]")</f>
        <v/>
      </c>
      <c r="E54" s="17" t="n"/>
      <c r="P54" s="11" t="n"/>
      <c r="Q54" s="11">
        <f>IF(P54&lt;&gt;"",P54+90,"")</f>
        <v/>
      </c>
    </row>
    <row r="55">
      <c r="B55">
        <f>IFERROR(VLOOKUP(A55,Source_Inventory!$A$5:$P$104,2,FALSE),"[Not Found]")</f>
        <v/>
      </c>
      <c r="E55" s="17" t="n"/>
      <c r="P55" s="11" t="n"/>
      <c r="Q55" s="11">
        <f>IF(P55&lt;&gt;"",P55+90,"")</f>
        <v/>
      </c>
    </row>
    <row r="56">
      <c r="B56">
        <f>IFERROR(VLOOKUP(A56,Source_Inventory!$A$5:$P$104,2,FALSE),"[Not Found]")</f>
        <v/>
      </c>
      <c r="E56" s="17" t="n"/>
      <c r="P56" s="11" t="n"/>
      <c r="Q56" s="11">
        <f>IF(P56&lt;&gt;"",P56+90,"")</f>
        <v/>
      </c>
    </row>
    <row r="57">
      <c r="B57">
        <f>IFERROR(VLOOKUP(A57,Source_Inventory!$A$5:$P$104,2,FALSE),"[Not Found]")</f>
        <v/>
      </c>
      <c r="E57" s="17" t="n"/>
      <c r="P57" s="11" t="n"/>
      <c r="Q57" s="11">
        <f>IF(P57&lt;&gt;"",P57+90,"")</f>
        <v/>
      </c>
    </row>
    <row r="58">
      <c r="B58">
        <f>IFERROR(VLOOKUP(A58,Source_Inventory!$A$5:$P$104,2,FALSE),"[Not Found]")</f>
        <v/>
      </c>
      <c r="E58" s="17" t="n"/>
      <c r="P58" s="11" t="n"/>
      <c r="Q58" s="11">
        <f>IF(P58&lt;&gt;"",P58+90,"")</f>
        <v/>
      </c>
    </row>
    <row r="59">
      <c r="B59">
        <f>IFERROR(VLOOKUP(A59,Source_Inventory!$A$5:$P$104,2,FALSE),"[Not Found]")</f>
        <v/>
      </c>
      <c r="E59" s="17" t="n"/>
      <c r="P59" s="11" t="n"/>
      <c r="Q59" s="11">
        <f>IF(P59&lt;&gt;"",P59+90,"")</f>
        <v/>
      </c>
    </row>
    <row r="60">
      <c r="B60">
        <f>IFERROR(VLOOKUP(A60,Source_Inventory!$A$5:$P$104,2,FALSE),"[Not Found]")</f>
        <v/>
      </c>
      <c r="E60" s="17" t="n"/>
      <c r="P60" s="11" t="n"/>
      <c r="Q60" s="11">
        <f>IF(P60&lt;&gt;"",P60+90,"")</f>
        <v/>
      </c>
    </row>
    <row r="61">
      <c r="B61">
        <f>IFERROR(VLOOKUP(A61,Source_Inventory!$A$5:$P$104,2,FALSE),"[Not Found]")</f>
        <v/>
      </c>
      <c r="E61" s="17" t="n"/>
      <c r="P61" s="11" t="n"/>
      <c r="Q61" s="11">
        <f>IF(P61&lt;&gt;"",P61+90,"")</f>
        <v/>
      </c>
    </row>
    <row r="62">
      <c r="B62">
        <f>IFERROR(VLOOKUP(A62,Source_Inventory!$A$5:$P$104,2,FALSE),"[Not Found]")</f>
        <v/>
      </c>
      <c r="E62" s="17" t="n"/>
      <c r="P62" s="11" t="n"/>
      <c r="Q62" s="11">
        <f>IF(P62&lt;&gt;"",P62+90,"")</f>
        <v/>
      </c>
    </row>
    <row r="63">
      <c r="B63">
        <f>IFERROR(VLOOKUP(A63,Source_Inventory!$A$5:$P$104,2,FALSE),"[Not Found]")</f>
        <v/>
      </c>
      <c r="E63" s="17" t="n"/>
      <c r="P63" s="11" t="n"/>
      <c r="Q63" s="11">
        <f>IF(P63&lt;&gt;"",P63+90,"")</f>
        <v/>
      </c>
    </row>
    <row r="64">
      <c r="B64">
        <f>IFERROR(VLOOKUP(A64,Source_Inventory!$A$5:$P$104,2,FALSE),"[Not Found]")</f>
        <v/>
      </c>
      <c r="E64" s="17" t="n"/>
      <c r="P64" s="11" t="n"/>
      <c r="Q64" s="11">
        <f>IF(P64&lt;&gt;"",P64+90,"")</f>
        <v/>
      </c>
    </row>
    <row r="65">
      <c r="B65">
        <f>IFERROR(VLOOKUP(A65,Source_Inventory!$A$5:$P$104,2,FALSE),"[Not Found]")</f>
        <v/>
      </c>
      <c r="E65" s="17" t="n"/>
      <c r="P65" s="11" t="n"/>
      <c r="Q65" s="11">
        <f>IF(P65&lt;&gt;"",P65+90,"")</f>
        <v/>
      </c>
    </row>
    <row r="66">
      <c r="B66">
        <f>IFERROR(VLOOKUP(A66,Source_Inventory!$A$5:$P$104,2,FALSE),"[Not Found]")</f>
        <v/>
      </c>
      <c r="E66" s="17" t="n"/>
      <c r="P66" s="11" t="n"/>
      <c r="Q66" s="11">
        <f>IF(P66&lt;&gt;"",P66+90,"")</f>
        <v/>
      </c>
    </row>
    <row r="67">
      <c r="B67">
        <f>IFERROR(VLOOKUP(A67,Source_Inventory!$A$5:$P$104,2,FALSE),"[Not Found]")</f>
        <v/>
      </c>
      <c r="E67" s="17" t="n"/>
      <c r="P67" s="11" t="n"/>
      <c r="Q67" s="11">
        <f>IF(P67&lt;&gt;"",P67+90,"")</f>
        <v/>
      </c>
    </row>
    <row r="68">
      <c r="B68">
        <f>IFERROR(VLOOKUP(A68,Source_Inventory!$A$5:$P$104,2,FALSE),"[Not Found]")</f>
        <v/>
      </c>
      <c r="E68" s="17" t="n"/>
      <c r="P68" s="11" t="n"/>
      <c r="Q68" s="11">
        <f>IF(P68&lt;&gt;"",P68+90,"")</f>
        <v/>
      </c>
    </row>
    <row r="69">
      <c r="B69">
        <f>IFERROR(VLOOKUP(A69,Source_Inventory!$A$5:$P$104,2,FALSE),"[Not Found]")</f>
        <v/>
      </c>
      <c r="E69" s="17" t="n"/>
      <c r="P69" s="11" t="n"/>
      <c r="Q69" s="11">
        <f>IF(P69&lt;&gt;"",P69+90,"")</f>
        <v/>
      </c>
    </row>
    <row r="70">
      <c r="B70">
        <f>IFERROR(VLOOKUP(A70,Source_Inventory!$A$5:$P$104,2,FALSE),"[Not Found]")</f>
        <v/>
      </c>
      <c r="E70" s="17" t="n"/>
      <c r="P70" s="11" t="n"/>
      <c r="Q70" s="11">
        <f>IF(P70&lt;&gt;"",P70+90,"")</f>
        <v/>
      </c>
    </row>
    <row r="71">
      <c r="B71">
        <f>IFERROR(VLOOKUP(A71,Source_Inventory!$A$5:$P$104,2,FALSE),"[Not Found]")</f>
        <v/>
      </c>
      <c r="E71" s="17" t="n"/>
      <c r="P71" s="11" t="n"/>
      <c r="Q71" s="11">
        <f>IF(P71&lt;&gt;"",P71+90,"")</f>
        <v/>
      </c>
    </row>
    <row r="72">
      <c r="B72">
        <f>IFERROR(VLOOKUP(A72,Source_Inventory!$A$5:$P$104,2,FALSE),"[Not Found]")</f>
        <v/>
      </c>
      <c r="E72" s="17" t="n"/>
      <c r="P72" s="11" t="n"/>
      <c r="Q72" s="11">
        <f>IF(P72&lt;&gt;"",P72+90,"")</f>
        <v/>
      </c>
    </row>
    <row r="73">
      <c r="B73">
        <f>IFERROR(VLOOKUP(A73,Source_Inventory!$A$5:$P$104,2,FALSE),"[Not Found]")</f>
        <v/>
      </c>
      <c r="E73" s="17" t="n"/>
      <c r="P73" s="11" t="n"/>
      <c r="Q73" s="11">
        <f>IF(P73&lt;&gt;"",P73+90,"")</f>
        <v/>
      </c>
    </row>
    <row r="74">
      <c r="B74">
        <f>IFERROR(VLOOKUP(A74,Source_Inventory!$A$5:$P$104,2,FALSE),"[Not Found]")</f>
        <v/>
      </c>
      <c r="E74" s="17" t="n"/>
      <c r="P74" s="11" t="n"/>
      <c r="Q74" s="11">
        <f>IF(P74&lt;&gt;"",P74+90,"")</f>
        <v/>
      </c>
    </row>
    <row r="75">
      <c r="B75">
        <f>IFERROR(VLOOKUP(A75,Source_Inventory!$A$5:$P$104,2,FALSE),"[Not Found]")</f>
        <v/>
      </c>
      <c r="E75" s="17" t="n"/>
      <c r="P75" s="11" t="n"/>
      <c r="Q75" s="11">
        <f>IF(P75&lt;&gt;"",P75+90,"")</f>
        <v/>
      </c>
    </row>
    <row r="76">
      <c r="B76">
        <f>IFERROR(VLOOKUP(A76,Source_Inventory!$A$5:$P$104,2,FALSE),"[Not Found]")</f>
        <v/>
      </c>
      <c r="E76" s="17" t="n"/>
      <c r="P76" s="11" t="n"/>
      <c r="Q76" s="11">
        <f>IF(P76&lt;&gt;"",P76+90,"")</f>
        <v/>
      </c>
    </row>
    <row r="77">
      <c r="B77">
        <f>IFERROR(VLOOKUP(A77,Source_Inventory!$A$5:$P$104,2,FALSE),"[Not Found]")</f>
        <v/>
      </c>
      <c r="E77" s="17" t="n"/>
      <c r="P77" s="11" t="n"/>
      <c r="Q77" s="11">
        <f>IF(P77&lt;&gt;"",P77+90,"")</f>
        <v/>
      </c>
    </row>
    <row r="78">
      <c r="B78">
        <f>IFERROR(VLOOKUP(A78,Source_Inventory!$A$5:$P$104,2,FALSE),"[Not Found]")</f>
        <v/>
      </c>
      <c r="E78" s="17" t="n"/>
      <c r="P78" s="11" t="n"/>
      <c r="Q78" s="11">
        <f>IF(P78&lt;&gt;"",P78+90,"")</f>
        <v/>
      </c>
    </row>
    <row r="79">
      <c r="B79">
        <f>IFERROR(VLOOKUP(A79,Source_Inventory!$A$5:$P$104,2,FALSE),"[Not Found]")</f>
        <v/>
      </c>
      <c r="E79" s="17" t="n"/>
      <c r="P79" s="11" t="n"/>
      <c r="Q79" s="11">
        <f>IF(P79&lt;&gt;"",P79+90,"")</f>
        <v/>
      </c>
    </row>
    <row r="80">
      <c r="B80">
        <f>IFERROR(VLOOKUP(A80,Source_Inventory!$A$5:$P$104,2,FALSE),"[Not Found]")</f>
        <v/>
      </c>
      <c r="E80" s="17" t="n"/>
      <c r="P80" s="11" t="n"/>
      <c r="Q80" s="11">
        <f>IF(P80&lt;&gt;"",P80+90,"")</f>
        <v/>
      </c>
    </row>
    <row r="81">
      <c r="B81">
        <f>IFERROR(VLOOKUP(A81,Source_Inventory!$A$5:$P$104,2,FALSE),"[Not Found]")</f>
        <v/>
      </c>
      <c r="E81" s="17" t="n"/>
      <c r="P81" s="11" t="n"/>
      <c r="Q81" s="11">
        <f>IF(P81&lt;&gt;"",P81+90,"")</f>
        <v/>
      </c>
    </row>
    <row r="82">
      <c r="B82">
        <f>IFERROR(VLOOKUP(A82,Source_Inventory!$A$5:$P$104,2,FALSE),"[Not Found]")</f>
        <v/>
      </c>
      <c r="E82" s="17" t="n"/>
      <c r="P82" s="11" t="n"/>
      <c r="Q82" s="11">
        <f>IF(P82&lt;&gt;"",P82+90,"")</f>
        <v/>
      </c>
    </row>
    <row r="83">
      <c r="B83">
        <f>IFERROR(VLOOKUP(A83,Source_Inventory!$A$5:$P$104,2,FALSE),"[Not Found]")</f>
        <v/>
      </c>
      <c r="E83" s="17" t="n"/>
      <c r="P83" s="11" t="n"/>
      <c r="Q83" s="11">
        <f>IF(P83&lt;&gt;"",P83+90,"")</f>
        <v/>
      </c>
    </row>
    <row r="84">
      <c r="B84">
        <f>IFERROR(VLOOKUP(A84,Source_Inventory!$A$5:$P$104,2,FALSE),"[Not Found]")</f>
        <v/>
      </c>
      <c r="E84" s="17" t="n"/>
      <c r="P84" s="11" t="n"/>
      <c r="Q84" s="11">
        <f>IF(P84&lt;&gt;"",P84+90,"")</f>
        <v/>
      </c>
    </row>
    <row r="85">
      <c r="B85">
        <f>IFERROR(VLOOKUP(A85,Source_Inventory!$A$5:$P$104,2,FALSE),"[Not Found]")</f>
        <v/>
      </c>
      <c r="E85" s="17" t="n"/>
      <c r="P85" s="11" t="n"/>
      <c r="Q85" s="11">
        <f>IF(P85&lt;&gt;"",P85+90,"")</f>
        <v/>
      </c>
    </row>
    <row r="86">
      <c r="B86">
        <f>IFERROR(VLOOKUP(A86,Source_Inventory!$A$5:$P$104,2,FALSE),"[Not Found]")</f>
        <v/>
      </c>
      <c r="E86" s="17" t="n"/>
      <c r="P86" s="11" t="n"/>
      <c r="Q86" s="11">
        <f>IF(P86&lt;&gt;"",P86+90,"")</f>
        <v/>
      </c>
    </row>
    <row r="87">
      <c r="B87">
        <f>IFERROR(VLOOKUP(A87,Source_Inventory!$A$5:$P$104,2,FALSE),"[Not Found]")</f>
        <v/>
      </c>
      <c r="E87" s="17" t="n"/>
      <c r="P87" s="11" t="n"/>
      <c r="Q87" s="11">
        <f>IF(P87&lt;&gt;"",P87+90,"")</f>
        <v/>
      </c>
    </row>
    <row r="88">
      <c r="B88">
        <f>IFERROR(VLOOKUP(A88,Source_Inventory!$A$5:$P$104,2,FALSE),"[Not Found]")</f>
        <v/>
      </c>
      <c r="E88" s="17" t="n"/>
      <c r="P88" s="11" t="n"/>
      <c r="Q88" s="11">
        <f>IF(P88&lt;&gt;"",P88+90,"")</f>
        <v/>
      </c>
    </row>
    <row r="89">
      <c r="B89">
        <f>IFERROR(VLOOKUP(A89,Source_Inventory!$A$5:$P$104,2,FALSE),"[Not Found]")</f>
        <v/>
      </c>
      <c r="E89" s="17" t="n"/>
      <c r="P89" s="11" t="n"/>
      <c r="Q89" s="11">
        <f>IF(P89&lt;&gt;"",P89+90,"")</f>
        <v/>
      </c>
    </row>
    <row r="90">
      <c r="B90">
        <f>IFERROR(VLOOKUP(A90,Source_Inventory!$A$5:$P$104,2,FALSE),"[Not Found]")</f>
        <v/>
      </c>
      <c r="E90" s="17" t="n"/>
      <c r="P90" s="11" t="n"/>
      <c r="Q90" s="11">
        <f>IF(P90&lt;&gt;"",P90+90,"")</f>
        <v/>
      </c>
    </row>
    <row r="91">
      <c r="B91">
        <f>IFERROR(VLOOKUP(A91,Source_Inventory!$A$5:$P$104,2,FALSE),"[Not Found]")</f>
        <v/>
      </c>
      <c r="E91" s="17" t="n"/>
      <c r="P91" s="11" t="n"/>
      <c r="Q91" s="11">
        <f>IF(P91&lt;&gt;"",P91+90,"")</f>
        <v/>
      </c>
    </row>
    <row r="92">
      <c r="B92">
        <f>IFERROR(VLOOKUP(A92,Source_Inventory!$A$5:$P$104,2,FALSE),"[Not Found]")</f>
        <v/>
      </c>
      <c r="E92" s="17" t="n"/>
      <c r="P92" s="11" t="n"/>
      <c r="Q92" s="11">
        <f>IF(P92&lt;&gt;"",P92+90,"")</f>
        <v/>
      </c>
    </row>
    <row r="93">
      <c r="B93">
        <f>IFERROR(VLOOKUP(A93,Source_Inventory!$A$5:$P$104,2,FALSE),"[Not Found]")</f>
        <v/>
      </c>
      <c r="E93" s="17" t="n"/>
      <c r="P93" s="11" t="n"/>
      <c r="Q93" s="11">
        <f>IF(P93&lt;&gt;"",P93+90,"")</f>
        <v/>
      </c>
    </row>
    <row r="94">
      <c r="B94">
        <f>IFERROR(VLOOKUP(A94,Source_Inventory!$A$5:$P$104,2,FALSE),"[Not Found]")</f>
        <v/>
      </c>
      <c r="E94" s="17" t="n"/>
      <c r="P94" s="11" t="n"/>
      <c r="Q94" s="11">
        <f>IF(P94&lt;&gt;"",P94+90,"")</f>
        <v/>
      </c>
    </row>
    <row r="95">
      <c r="B95">
        <f>IFERROR(VLOOKUP(A95,Source_Inventory!$A$5:$P$104,2,FALSE),"[Not Found]")</f>
        <v/>
      </c>
      <c r="E95" s="17" t="n"/>
      <c r="P95" s="11" t="n"/>
      <c r="Q95" s="11">
        <f>IF(P95&lt;&gt;"",P95+90,"")</f>
        <v/>
      </c>
    </row>
    <row r="96">
      <c r="B96">
        <f>IFERROR(VLOOKUP(A96,Source_Inventory!$A$5:$P$104,2,FALSE),"[Not Found]")</f>
        <v/>
      </c>
      <c r="E96" s="17" t="n"/>
      <c r="P96" s="11" t="n"/>
      <c r="Q96" s="11">
        <f>IF(P96&lt;&gt;"",P96+90,"")</f>
        <v/>
      </c>
    </row>
    <row r="97">
      <c r="B97">
        <f>IFERROR(VLOOKUP(A97,Source_Inventory!$A$5:$P$104,2,FALSE),"[Not Found]")</f>
        <v/>
      </c>
      <c r="E97" s="17" t="n"/>
      <c r="P97" s="11" t="n"/>
      <c r="Q97" s="11">
        <f>IF(P97&lt;&gt;"",P97+90,"")</f>
        <v/>
      </c>
    </row>
    <row r="98">
      <c r="B98">
        <f>IFERROR(VLOOKUP(A98,Source_Inventory!$A$5:$P$104,2,FALSE),"[Not Found]")</f>
        <v/>
      </c>
      <c r="E98" s="17" t="n"/>
      <c r="P98" s="11" t="n"/>
      <c r="Q98" s="11">
        <f>IF(P98&lt;&gt;"",P98+90,"")</f>
        <v/>
      </c>
    </row>
    <row r="99">
      <c r="B99">
        <f>IFERROR(VLOOKUP(A99,Source_Inventory!$A$5:$P$104,2,FALSE),"[Not Found]")</f>
        <v/>
      </c>
      <c r="E99" s="17" t="n"/>
      <c r="P99" s="11" t="n"/>
      <c r="Q99" s="11">
        <f>IF(P99&lt;&gt;"",P99+90,"")</f>
        <v/>
      </c>
    </row>
    <row r="100">
      <c r="B100">
        <f>IFERROR(VLOOKUP(A100,Source_Inventory!$A$5:$P$104,2,FALSE),"[Not Found]")</f>
        <v/>
      </c>
      <c r="E100" s="17" t="n"/>
      <c r="P100" s="11" t="n"/>
      <c r="Q100" s="11">
        <f>IF(P100&lt;&gt;"",P100+90,"")</f>
        <v/>
      </c>
    </row>
    <row r="101">
      <c r="B101">
        <f>IFERROR(VLOOKUP(A101,Source_Inventory!$A$5:$P$104,2,FALSE),"[Not Found]")</f>
        <v/>
      </c>
      <c r="E101" s="17" t="n"/>
      <c r="P101" s="11" t="n"/>
      <c r="Q101" s="11">
        <f>IF(P101&lt;&gt;"",P101+90,"")</f>
        <v/>
      </c>
    </row>
    <row r="102">
      <c r="B102">
        <f>IFERROR(VLOOKUP(A102,Source_Inventory!$A$5:$P$104,2,FALSE),"[Not Found]")</f>
        <v/>
      </c>
      <c r="E102" s="17" t="n"/>
      <c r="P102" s="11" t="n"/>
      <c r="Q102" s="11">
        <f>IF(P102&lt;&gt;"",P102+90,"")</f>
        <v/>
      </c>
    </row>
    <row r="103">
      <c r="B103">
        <f>IFERROR(VLOOKUP(A103,Source_Inventory!$A$5:$P$104,2,FALSE),"[Not Found]")</f>
        <v/>
      </c>
      <c r="E103" s="17" t="n"/>
      <c r="P103" s="11" t="n"/>
      <c r="Q103" s="11">
        <f>IF(P103&lt;&gt;"",P103+90,"")</f>
        <v/>
      </c>
    </row>
    <row r="104">
      <c r="B104">
        <f>IFERROR(VLOOKUP(A104,Source_Inventory!$A$5:$P$104,2,FALSE),"[Not Found]")</f>
        <v/>
      </c>
      <c r="E104" s="17" t="n"/>
      <c r="P104" s="11" t="n"/>
      <c r="Q104" s="11">
        <f>IF(P104&lt;&gt;"",P104+90,"")</f>
        <v/>
      </c>
    </row>
  </sheetData>
  <mergeCells count="1">
    <mergeCell ref="A1:Q1"/>
  </mergeCells>
  <conditionalFormatting sqref="I5:I104">
    <cfRule type="cellIs" priority="1" operator="equal" dxfId="5">
      <formula>"No"</formula>
    </cfRule>
  </conditionalFormatting>
  <dataValidations count="100">
    <dataValidation sqref="A5" showDropDown="0" showInputMessage="0" showErrorMessage="0" allowBlank="0" type="list">
      <formula1>=Source_Inventory!$A$5:$A$104</formula1>
    </dataValidation>
    <dataValidation sqref="A6" showDropDown="0" showInputMessage="0" showErrorMessage="0" allowBlank="0" type="list">
      <formula1>=Source_Inventory!$A$5:$A$104</formula1>
    </dataValidation>
    <dataValidation sqref="A7" showDropDown="0" showInputMessage="0" showErrorMessage="0" allowBlank="0" type="list">
      <formula1>=Source_Inventory!$A$5:$A$104</formula1>
    </dataValidation>
    <dataValidation sqref="A8" showDropDown="0" showInputMessage="0" showErrorMessage="0" allowBlank="0" type="list">
      <formula1>=Source_Inventory!$A$5:$A$104</formula1>
    </dataValidation>
    <dataValidation sqref="A9" showDropDown="0" showInputMessage="0" showErrorMessage="0" allowBlank="0" type="list">
      <formula1>=Source_Inventory!$A$5:$A$104</formula1>
    </dataValidation>
    <dataValidation sqref="A10" showDropDown="0" showInputMessage="0" showErrorMessage="0" allowBlank="0" type="list">
      <formula1>=Source_Inventory!$A$5:$A$104</formula1>
    </dataValidation>
    <dataValidation sqref="A11" showDropDown="0" showInputMessage="0" showErrorMessage="0" allowBlank="0" type="list">
      <formula1>=Source_Inventory!$A$5:$A$104</formula1>
    </dataValidation>
    <dataValidation sqref="A12" showDropDown="0" showInputMessage="0" showErrorMessage="0" allowBlank="0" type="list">
      <formula1>=Source_Inventory!$A$5:$A$104</formula1>
    </dataValidation>
    <dataValidation sqref="A13" showDropDown="0" showInputMessage="0" showErrorMessage="0" allowBlank="0" type="list">
      <formula1>=Source_Inventory!$A$5:$A$104</formula1>
    </dataValidation>
    <dataValidation sqref="A14" showDropDown="0" showInputMessage="0" showErrorMessage="0" allowBlank="0" type="list">
      <formula1>=Source_Inventory!$A$5:$A$104</formula1>
    </dataValidation>
    <dataValidation sqref="A15" showDropDown="0" showInputMessage="0" showErrorMessage="0" allowBlank="0" type="list">
      <formula1>=Source_Inventory!$A$5:$A$104</formula1>
    </dataValidation>
    <dataValidation sqref="A16" showDropDown="0" showInputMessage="0" showErrorMessage="0" allowBlank="0" type="list">
      <formula1>=Source_Inventory!$A$5:$A$104</formula1>
    </dataValidation>
    <dataValidation sqref="A17" showDropDown="0" showInputMessage="0" showErrorMessage="0" allowBlank="0" type="list">
      <formula1>=Source_Inventory!$A$5:$A$104</formula1>
    </dataValidation>
    <dataValidation sqref="A18" showDropDown="0" showInputMessage="0" showErrorMessage="0" allowBlank="0" type="list">
      <formula1>=Source_Inventory!$A$5:$A$104</formula1>
    </dataValidation>
    <dataValidation sqref="A19" showDropDown="0" showInputMessage="0" showErrorMessage="0" allowBlank="0" type="list">
      <formula1>=Source_Inventory!$A$5:$A$104</formula1>
    </dataValidation>
    <dataValidation sqref="A20" showDropDown="0" showInputMessage="0" showErrorMessage="0" allowBlank="0" type="list">
      <formula1>=Source_Inventory!$A$5:$A$104</formula1>
    </dataValidation>
    <dataValidation sqref="A21" showDropDown="0" showInputMessage="0" showErrorMessage="0" allowBlank="0" type="list">
      <formula1>=Source_Inventory!$A$5:$A$104</formula1>
    </dataValidation>
    <dataValidation sqref="A22" showDropDown="0" showInputMessage="0" showErrorMessage="0" allowBlank="0" type="list">
      <formula1>=Source_Inventory!$A$5:$A$104</formula1>
    </dataValidation>
    <dataValidation sqref="A23" showDropDown="0" showInputMessage="0" showErrorMessage="0" allowBlank="0" type="list">
      <formula1>=Source_Inventory!$A$5:$A$104</formula1>
    </dataValidation>
    <dataValidation sqref="A24" showDropDown="0" showInputMessage="0" showErrorMessage="0" allowBlank="0" type="list">
      <formula1>=Source_Inventory!$A$5:$A$104</formula1>
    </dataValidation>
    <dataValidation sqref="A25" showDropDown="0" showInputMessage="0" showErrorMessage="0" allowBlank="0" type="list">
      <formula1>=Source_Inventory!$A$5:$A$104</formula1>
    </dataValidation>
    <dataValidation sqref="A26" showDropDown="0" showInputMessage="0" showErrorMessage="0" allowBlank="0" type="list">
      <formula1>=Source_Inventory!$A$5:$A$104</formula1>
    </dataValidation>
    <dataValidation sqref="A27" showDropDown="0" showInputMessage="0" showErrorMessage="0" allowBlank="0" type="list">
      <formula1>=Source_Inventory!$A$5:$A$104</formula1>
    </dataValidation>
    <dataValidation sqref="A28" showDropDown="0" showInputMessage="0" showErrorMessage="0" allowBlank="0" type="list">
      <formula1>=Source_Inventory!$A$5:$A$104</formula1>
    </dataValidation>
    <dataValidation sqref="A29" showDropDown="0" showInputMessage="0" showErrorMessage="0" allowBlank="0" type="list">
      <formula1>=Source_Inventory!$A$5:$A$104</formula1>
    </dataValidation>
    <dataValidation sqref="A30" showDropDown="0" showInputMessage="0" showErrorMessage="0" allowBlank="0" type="list">
      <formula1>=Source_Inventory!$A$5:$A$104</formula1>
    </dataValidation>
    <dataValidation sqref="A31" showDropDown="0" showInputMessage="0" showErrorMessage="0" allowBlank="0" type="list">
      <formula1>=Source_Inventory!$A$5:$A$104</formula1>
    </dataValidation>
    <dataValidation sqref="A32" showDropDown="0" showInputMessage="0" showErrorMessage="0" allowBlank="0" type="list">
      <formula1>=Source_Inventory!$A$5:$A$104</formula1>
    </dataValidation>
    <dataValidation sqref="A33" showDropDown="0" showInputMessage="0" showErrorMessage="0" allowBlank="0" type="list">
      <formula1>=Source_Inventory!$A$5:$A$104</formula1>
    </dataValidation>
    <dataValidation sqref="A34" showDropDown="0" showInputMessage="0" showErrorMessage="0" allowBlank="0" type="list">
      <formula1>=Source_Inventory!$A$5:$A$104</formula1>
    </dataValidation>
    <dataValidation sqref="A35" showDropDown="0" showInputMessage="0" showErrorMessage="0" allowBlank="0" type="list">
      <formula1>=Source_Inventory!$A$5:$A$104</formula1>
    </dataValidation>
    <dataValidation sqref="A36" showDropDown="0" showInputMessage="0" showErrorMessage="0" allowBlank="0" type="list">
      <formula1>=Source_Inventory!$A$5:$A$104</formula1>
    </dataValidation>
    <dataValidation sqref="A37" showDropDown="0" showInputMessage="0" showErrorMessage="0" allowBlank="0" type="list">
      <formula1>=Source_Inventory!$A$5:$A$104</formula1>
    </dataValidation>
    <dataValidation sqref="A38" showDropDown="0" showInputMessage="0" showErrorMessage="0" allowBlank="0" type="list">
      <formula1>=Source_Inventory!$A$5:$A$104</formula1>
    </dataValidation>
    <dataValidation sqref="A39" showDropDown="0" showInputMessage="0" showErrorMessage="0" allowBlank="0" type="list">
      <formula1>=Source_Inventory!$A$5:$A$104</formula1>
    </dataValidation>
    <dataValidation sqref="A40" showDropDown="0" showInputMessage="0" showErrorMessage="0" allowBlank="0" type="list">
      <formula1>=Source_Inventory!$A$5:$A$104</formula1>
    </dataValidation>
    <dataValidation sqref="A41" showDropDown="0" showInputMessage="0" showErrorMessage="0" allowBlank="0" type="list">
      <formula1>=Source_Inventory!$A$5:$A$104</formula1>
    </dataValidation>
    <dataValidation sqref="A42" showDropDown="0" showInputMessage="0" showErrorMessage="0" allowBlank="0" type="list">
      <formula1>=Source_Inventory!$A$5:$A$104</formula1>
    </dataValidation>
    <dataValidation sqref="A43" showDropDown="0" showInputMessage="0" showErrorMessage="0" allowBlank="0" type="list">
      <formula1>=Source_Inventory!$A$5:$A$104</formula1>
    </dataValidation>
    <dataValidation sqref="A44" showDropDown="0" showInputMessage="0" showErrorMessage="0" allowBlank="0" type="list">
      <formula1>=Source_Inventory!$A$5:$A$104</formula1>
    </dataValidation>
    <dataValidation sqref="A45" showDropDown="0" showInputMessage="0" showErrorMessage="0" allowBlank="0" type="list">
      <formula1>=Source_Inventory!$A$5:$A$104</formula1>
    </dataValidation>
    <dataValidation sqref="A46" showDropDown="0" showInputMessage="0" showErrorMessage="0" allowBlank="0" type="list">
      <formula1>=Source_Inventory!$A$5:$A$104</formula1>
    </dataValidation>
    <dataValidation sqref="A47" showDropDown="0" showInputMessage="0" showErrorMessage="0" allowBlank="0" type="list">
      <formula1>=Source_Inventory!$A$5:$A$104</formula1>
    </dataValidation>
    <dataValidation sqref="A48" showDropDown="0" showInputMessage="0" showErrorMessage="0" allowBlank="0" type="list">
      <formula1>=Source_Inventory!$A$5:$A$104</formula1>
    </dataValidation>
    <dataValidation sqref="A49" showDropDown="0" showInputMessage="0" showErrorMessage="0" allowBlank="0" type="list">
      <formula1>=Source_Inventory!$A$5:$A$104</formula1>
    </dataValidation>
    <dataValidation sqref="A50" showDropDown="0" showInputMessage="0" showErrorMessage="0" allowBlank="0" type="list">
      <formula1>=Source_Inventory!$A$5:$A$104</formula1>
    </dataValidation>
    <dataValidation sqref="A51" showDropDown="0" showInputMessage="0" showErrorMessage="0" allowBlank="0" type="list">
      <formula1>=Source_Inventory!$A$5:$A$104</formula1>
    </dataValidation>
    <dataValidation sqref="A52" showDropDown="0" showInputMessage="0" showErrorMessage="0" allowBlank="0" type="list">
      <formula1>=Source_Inventory!$A$5:$A$104</formula1>
    </dataValidation>
    <dataValidation sqref="A53" showDropDown="0" showInputMessage="0" showErrorMessage="0" allowBlank="0" type="list">
      <formula1>=Source_Inventory!$A$5:$A$104</formula1>
    </dataValidation>
    <dataValidation sqref="A54" showDropDown="0" showInputMessage="0" showErrorMessage="0" allowBlank="0" type="list">
      <formula1>=Source_Inventory!$A$5:$A$104</formula1>
    </dataValidation>
    <dataValidation sqref="A55" showDropDown="0" showInputMessage="0" showErrorMessage="0" allowBlank="0" type="list">
      <formula1>=Source_Inventory!$A$5:$A$104</formula1>
    </dataValidation>
    <dataValidation sqref="A56" showDropDown="0" showInputMessage="0" showErrorMessage="0" allowBlank="0" type="list">
      <formula1>=Source_Inventory!$A$5:$A$104</formula1>
    </dataValidation>
    <dataValidation sqref="A57" showDropDown="0" showInputMessage="0" showErrorMessage="0" allowBlank="0" type="list">
      <formula1>=Source_Inventory!$A$5:$A$104</formula1>
    </dataValidation>
    <dataValidation sqref="A58" showDropDown="0" showInputMessage="0" showErrorMessage="0" allowBlank="0" type="list">
      <formula1>=Source_Inventory!$A$5:$A$104</formula1>
    </dataValidation>
    <dataValidation sqref="A59" showDropDown="0" showInputMessage="0" showErrorMessage="0" allowBlank="0" type="list">
      <formula1>=Source_Inventory!$A$5:$A$104</formula1>
    </dataValidation>
    <dataValidation sqref="A60" showDropDown="0" showInputMessage="0" showErrorMessage="0" allowBlank="0" type="list">
      <formula1>=Source_Inventory!$A$5:$A$104</formula1>
    </dataValidation>
    <dataValidation sqref="A61" showDropDown="0" showInputMessage="0" showErrorMessage="0" allowBlank="0" type="list">
      <formula1>=Source_Inventory!$A$5:$A$104</formula1>
    </dataValidation>
    <dataValidation sqref="A62" showDropDown="0" showInputMessage="0" showErrorMessage="0" allowBlank="0" type="list">
      <formula1>=Source_Inventory!$A$5:$A$104</formula1>
    </dataValidation>
    <dataValidation sqref="A63" showDropDown="0" showInputMessage="0" showErrorMessage="0" allowBlank="0" type="list">
      <formula1>=Source_Inventory!$A$5:$A$104</formula1>
    </dataValidation>
    <dataValidation sqref="A64" showDropDown="0" showInputMessage="0" showErrorMessage="0" allowBlank="0" type="list">
      <formula1>=Source_Inventory!$A$5:$A$104</formula1>
    </dataValidation>
    <dataValidation sqref="A65" showDropDown="0" showInputMessage="0" showErrorMessage="0" allowBlank="0" type="list">
      <formula1>=Source_Inventory!$A$5:$A$104</formula1>
    </dataValidation>
    <dataValidation sqref="A66" showDropDown="0" showInputMessage="0" showErrorMessage="0" allowBlank="0" type="list">
      <formula1>=Source_Inventory!$A$5:$A$104</formula1>
    </dataValidation>
    <dataValidation sqref="A67" showDropDown="0" showInputMessage="0" showErrorMessage="0" allowBlank="0" type="list">
      <formula1>=Source_Inventory!$A$5:$A$104</formula1>
    </dataValidation>
    <dataValidation sqref="A68" showDropDown="0" showInputMessage="0" showErrorMessage="0" allowBlank="0" type="list">
      <formula1>=Source_Inventory!$A$5:$A$104</formula1>
    </dataValidation>
    <dataValidation sqref="A69" showDropDown="0" showInputMessage="0" showErrorMessage="0" allowBlank="0" type="list">
      <formula1>=Source_Inventory!$A$5:$A$104</formula1>
    </dataValidation>
    <dataValidation sqref="A70" showDropDown="0" showInputMessage="0" showErrorMessage="0" allowBlank="0" type="list">
      <formula1>=Source_Inventory!$A$5:$A$104</formula1>
    </dataValidation>
    <dataValidation sqref="A71" showDropDown="0" showInputMessage="0" showErrorMessage="0" allowBlank="0" type="list">
      <formula1>=Source_Inventory!$A$5:$A$104</formula1>
    </dataValidation>
    <dataValidation sqref="A72" showDropDown="0" showInputMessage="0" showErrorMessage="0" allowBlank="0" type="list">
      <formula1>=Source_Inventory!$A$5:$A$104</formula1>
    </dataValidation>
    <dataValidation sqref="A73" showDropDown="0" showInputMessage="0" showErrorMessage="0" allowBlank="0" type="list">
      <formula1>=Source_Inventory!$A$5:$A$104</formula1>
    </dataValidation>
    <dataValidation sqref="A74" showDropDown="0" showInputMessage="0" showErrorMessage="0" allowBlank="0" type="list">
      <formula1>=Source_Inventory!$A$5:$A$104</formula1>
    </dataValidation>
    <dataValidation sqref="A75" showDropDown="0" showInputMessage="0" showErrorMessage="0" allowBlank="0" type="list">
      <formula1>=Source_Inventory!$A$5:$A$104</formula1>
    </dataValidation>
    <dataValidation sqref="A76" showDropDown="0" showInputMessage="0" showErrorMessage="0" allowBlank="0" type="list">
      <formula1>=Source_Inventory!$A$5:$A$104</formula1>
    </dataValidation>
    <dataValidation sqref="A77" showDropDown="0" showInputMessage="0" showErrorMessage="0" allowBlank="0" type="list">
      <formula1>=Source_Inventory!$A$5:$A$104</formula1>
    </dataValidation>
    <dataValidation sqref="A78" showDropDown="0" showInputMessage="0" showErrorMessage="0" allowBlank="0" type="list">
      <formula1>=Source_Inventory!$A$5:$A$104</formula1>
    </dataValidation>
    <dataValidation sqref="A79" showDropDown="0" showInputMessage="0" showErrorMessage="0" allowBlank="0" type="list">
      <formula1>=Source_Inventory!$A$5:$A$104</formula1>
    </dataValidation>
    <dataValidation sqref="A80" showDropDown="0" showInputMessage="0" showErrorMessage="0" allowBlank="0" type="list">
      <formula1>=Source_Inventory!$A$5:$A$104</formula1>
    </dataValidation>
    <dataValidation sqref="A81" showDropDown="0" showInputMessage="0" showErrorMessage="0" allowBlank="0" type="list">
      <formula1>=Source_Inventory!$A$5:$A$104</formula1>
    </dataValidation>
    <dataValidation sqref="A82" showDropDown="0" showInputMessage="0" showErrorMessage="0" allowBlank="0" type="list">
      <formula1>=Source_Inventory!$A$5:$A$104</formula1>
    </dataValidation>
    <dataValidation sqref="A83" showDropDown="0" showInputMessage="0" showErrorMessage="0" allowBlank="0" type="list">
      <formula1>=Source_Inventory!$A$5:$A$104</formula1>
    </dataValidation>
    <dataValidation sqref="A84" showDropDown="0" showInputMessage="0" showErrorMessage="0" allowBlank="0" type="list">
      <formula1>=Source_Inventory!$A$5:$A$104</formula1>
    </dataValidation>
    <dataValidation sqref="A85" showDropDown="0" showInputMessage="0" showErrorMessage="0" allowBlank="0" type="list">
      <formula1>=Source_Inventory!$A$5:$A$104</formula1>
    </dataValidation>
    <dataValidation sqref="A86" showDropDown="0" showInputMessage="0" showErrorMessage="0" allowBlank="0" type="list">
      <formula1>=Source_Inventory!$A$5:$A$104</formula1>
    </dataValidation>
    <dataValidation sqref="A87" showDropDown="0" showInputMessage="0" showErrorMessage="0" allowBlank="0" type="list">
      <formula1>=Source_Inventory!$A$5:$A$104</formula1>
    </dataValidation>
    <dataValidation sqref="A88" showDropDown="0" showInputMessage="0" showErrorMessage="0" allowBlank="0" type="list">
      <formula1>=Source_Inventory!$A$5:$A$104</formula1>
    </dataValidation>
    <dataValidation sqref="A89" showDropDown="0" showInputMessage="0" showErrorMessage="0" allowBlank="0" type="list">
      <formula1>=Source_Inventory!$A$5:$A$104</formula1>
    </dataValidation>
    <dataValidation sqref="A90" showDropDown="0" showInputMessage="0" showErrorMessage="0" allowBlank="0" type="list">
      <formula1>=Source_Inventory!$A$5:$A$104</formula1>
    </dataValidation>
    <dataValidation sqref="A91" showDropDown="0" showInputMessage="0" showErrorMessage="0" allowBlank="0" type="list">
      <formula1>=Source_Inventory!$A$5:$A$104</formula1>
    </dataValidation>
    <dataValidation sqref="A92" showDropDown="0" showInputMessage="0" showErrorMessage="0" allowBlank="0" type="list">
      <formula1>=Source_Inventory!$A$5:$A$104</formula1>
    </dataValidation>
    <dataValidation sqref="A93" showDropDown="0" showInputMessage="0" showErrorMessage="0" allowBlank="0" type="list">
      <formula1>=Source_Inventory!$A$5:$A$104</formula1>
    </dataValidation>
    <dataValidation sqref="A94" showDropDown="0" showInputMessage="0" showErrorMessage="0" allowBlank="0" type="list">
      <formula1>=Source_Inventory!$A$5:$A$104</formula1>
    </dataValidation>
    <dataValidation sqref="A95" showDropDown="0" showInputMessage="0" showErrorMessage="0" allowBlank="0" type="list">
      <formula1>=Source_Inventory!$A$5:$A$104</formula1>
    </dataValidation>
    <dataValidation sqref="A96" showDropDown="0" showInputMessage="0" showErrorMessage="0" allowBlank="0" type="list">
      <formula1>=Source_Inventory!$A$5:$A$104</formula1>
    </dataValidation>
    <dataValidation sqref="A97" showDropDown="0" showInputMessage="0" showErrorMessage="0" allowBlank="0" type="list">
      <formula1>=Source_Inventory!$A$5:$A$104</formula1>
    </dataValidation>
    <dataValidation sqref="A98" showDropDown="0" showInputMessage="0" showErrorMessage="0" allowBlank="0" type="list">
      <formula1>=Source_Inventory!$A$5:$A$104</formula1>
    </dataValidation>
    <dataValidation sqref="A99" showDropDown="0" showInputMessage="0" showErrorMessage="0" allowBlank="0" type="list">
      <formula1>=Source_Inventory!$A$5:$A$104</formula1>
    </dataValidation>
    <dataValidation sqref="A100" showDropDown="0" showInputMessage="0" showErrorMessage="0" allowBlank="0" type="list">
      <formula1>=Source_Inventory!$A$5:$A$104</formula1>
    </dataValidation>
    <dataValidation sqref="A101" showDropDown="0" showInputMessage="0" showErrorMessage="0" allowBlank="0" type="list">
      <formula1>=Source_Inventory!$A$5:$A$104</formula1>
    </dataValidation>
    <dataValidation sqref="A102" showDropDown="0" showInputMessage="0" showErrorMessage="0" allowBlank="0" type="list">
      <formula1>=Source_Inventory!$A$5:$A$104</formula1>
    </dataValidation>
    <dataValidation sqref="A103" showDropDown="0" showInputMessage="0" showErrorMessage="0" allowBlank="0" type="list">
      <formula1>=Source_Inventory!$A$5:$A$104</formula1>
    </dataValidation>
    <dataValidation sqref="A104" showDropDown="0" showInputMessage="0" showErrorMessage="0" allowBlank="0" type="list">
      <formula1>=Source_Inventory!$A$5:$A$104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104"/>
  <sheetViews>
    <sheetView workbookViewId="0">
      <selection activeCell="A1" sqref="A1"/>
    </sheetView>
  </sheetViews>
  <sheetFormatPr baseColWidth="8" defaultRowHeight="15"/>
  <sheetData>
    <row r="1">
      <c r="A1" s="1" t="inlineStr">
        <is>
          <t>Source Contacts - Vendor Escalation and Support</t>
        </is>
      </c>
    </row>
    <row r="4">
      <c r="A4" s="15" t="inlineStr">
        <is>
          <t>Source_ID</t>
        </is>
      </c>
      <c r="B4" s="15" t="inlineStr">
        <is>
          <t>Source_Name</t>
        </is>
      </c>
      <c r="C4" s="15" t="inlineStr">
        <is>
          <t>Contact_Type</t>
        </is>
      </c>
      <c r="D4" s="15" t="inlineStr">
        <is>
          <t>Contact_Name</t>
        </is>
      </c>
      <c r="E4" s="15" t="inlineStr">
        <is>
          <t>Contact_Title</t>
        </is>
      </c>
      <c r="F4" s="15" t="inlineStr">
        <is>
          <t>Contact_Email</t>
        </is>
      </c>
      <c r="G4" s="15" t="inlineStr">
        <is>
          <t>Contact_Phone</t>
        </is>
      </c>
      <c r="H4" s="15" t="inlineStr">
        <is>
          <t>Contact_Region</t>
        </is>
      </c>
      <c r="I4" s="15" t="inlineStr">
        <is>
          <t>Availability</t>
        </is>
      </c>
      <c r="J4" s="15" t="inlineStr">
        <is>
          <t>Escalation_Path</t>
        </is>
      </c>
      <c r="K4" s="15" t="inlineStr">
        <is>
          <t>Preferred_Contact_Method</t>
        </is>
      </c>
      <c r="L4" s="15" t="inlineStr">
        <is>
          <t>Language_Supported</t>
        </is>
      </c>
      <c r="M4" s="15" t="inlineStr">
        <is>
          <t>Last_Contact_Date</t>
        </is>
      </c>
      <c r="N4" s="15" t="inlineStr">
        <is>
          <t>Last_Contact_Reason</t>
        </is>
      </c>
      <c r="O4" s="15" t="inlineStr">
        <is>
          <t>Response_Quality</t>
        </is>
      </c>
      <c r="P4" s="15" t="inlineStr">
        <is>
          <t>Response_Time</t>
        </is>
      </c>
      <c r="Q4" s="15" t="inlineStr">
        <is>
          <t>Contact_Status</t>
        </is>
      </c>
      <c r="R4" s="15" t="inlineStr">
        <is>
          <t>Replacement_Contact</t>
        </is>
      </c>
      <c r="S4" s="15" t="inlineStr">
        <is>
          <t>Last_Verified</t>
        </is>
      </c>
      <c r="T4" s="15" t="inlineStr">
        <is>
          <t>Next_Verification</t>
        </is>
      </c>
      <c r="U4" s="15" t="inlineStr">
        <is>
          <t>Notes</t>
        </is>
      </c>
    </row>
    <row r="5">
      <c r="B5">
        <f>IFERROR(VLOOKUP(A5,Source_Inventory!$A$5:$P$104,2,FALSE),"[Not Found]")</f>
        <v/>
      </c>
      <c r="M5" s="11" t="n"/>
      <c r="S5" s="11" t="n"/>
      <c r="T5" s="11">
        <f>IF(S5&lt;&gt;"",S5+180,"")</f>
        <v/>
      </c>
    </row>
    <row r="6">
      <c r="B6">
        <f>IFERROR(VLOOKUP(A6,Source_Inventory!$A$5:$P$104,2,FALSE),"[Not Found]")</f>
        <v/>
      </c>
      <c r="M6" s="11" t="n"/>
      <c r="S6" s="11" t="n"/>
      <c r="T6" s="11">
        <f>IF(S6&lt;&gt;"",S6+180,"")</f>
        <v/>
      </c>
    </row>
    <row r="7">
      <c r="B7">
        <f>IFERROR(VLOOKUP(A7,Source_Inventory!$A$5:$P$104,2,FALSE),"[Not Found]")</f>
        <v/>
      </c>
      <c r="M7" s="11" t="n"/>
      <c r="S7" s="11" t="n"/>
      <c r="T7" s="11">
        <f>IF(S7&lt;&gt;"",S7+180,"")</f>
        <v/>
      </c>
    </row>
    <row r="8">
      <c r="B8">
        <f>IFERROR(VLOOKUP(A8,Source_Inventory!$A$5:$P$104,2,FALSE),"[Not Found]")</f>
        <v/>
      </c>
      <c r="M8" s="11" t="n"/>
      <c r="S8" s="11" t="n"/>
      <c r="T8" s="11">
        <f>IF(S8&lt;&gt;"",S8+180,"")</f>
        <v/>
      </c>
    </row>
    <row r="9">
      <c r="B9">
        <f>IFERROR(VLOOKUP(A9,Source_Inventory!$A$5:$P$104,2,FALSE),"[Not Found]")</f>
        <v/>
      </c>
      <c r="M9" s="11" t="n"/>
      <c r="S9" s="11" t="n"/>
      <c r="T9" s="11">
        <f>IF(S9&lt;&gt;"",S9+180,"")</f>
        <v/>
      </c>
    </row>
    <row r="10">
      <c r="B10">
        <f>IFERROR(VLOOKUP(A10,Source_Inventory!$A$5:$P$104,2,FALSE),"[Not Found]")</f>
        <v/>
      </c>
      <c r="M10" s="11" t="n"/>
      <c r="S10" s="11" t="n"/>
      <c r="T10" s="11">
        <f>IF(S10&lt;&gt;"",S10+180,"")</f>
        <v/>
      </c>
    </row>
    <row r="11">
      <c r="B11">
        <f>IFERROR(VLOOKUP(A11,Source_Inventory!$A$5:$P$104,2,FALSE),"[Not Found]")</f>
        <v/>
      </c>
      <c r="M11" s="11" t="n"/>
      <c r="S11" s="11" t="n"/>
      <c r="T11" s="11">
        <f>IF(S11&lt;&gt;"",S11+180,"")</f>
        <v/>
      </c>
    </row>
    <row r="12">
      <c r="B12">
        <f>IFERROR(VLOOKUP(A12,Source_Inventory!$A$5:$P$104,2,FALSE),"[Not Found]")</f>
        <v/>
      </c>
      <c r="M12" s="11" t="n"/>
      <c r="S12" s="11" t="n"/>
      <c r="T12" s="11">
        <f>IF(S12&lt;&gt;"",S12+180,"")</f>
        <v/>
      </c>
    </row>
    <row r="13">
      <c r="B13">
        <f>IFERROR(VLOOKUP(A13,Source_Inventory!$A$5:$P$104,2,FALSE),"[Not Found]")</f>
        <v/>
      </c>
      <c r="M13" s="11" t="n"/>
      <c r="S13" s="11" t="n"/>
      <c r="T13" s="11">
        <f>IF(S13&lt;&gt;"",S13+180,"")</f>
        <v/>
      </c>
    </row>
    <row r="14">
      <c r="B14">
        <f>IFERROR(VLOOKUP(A14,Source_Inventory!$A$5:$P$104,2,FALSE),"[Not Found]")</f>
        <v/>
      </c>
      <c r="M14" s="11" t="n"/>
      <c r="S14" s="11" t="n"/>
      <c r="T14" s="11">
        <f>IF(S14&lt;&gt;"",S14+180,"")</f>
        <v/>
      </c>
    </row>
    <row r="15">
      <c r="B15">
        <f>IFERROR(VLOOKUP(A15,Source_Inventory!$A$5:$P$104,2,FALSE),"[Not Found]")</f>
        <v/>
      </c>
      <c r="M15" s="11" t="n"/>
      <c r="S15" s="11" t="n"/>
      <c r="T15" s="11">
        <f>IF(S15&lt;&gt;"",S15+180,"")</f>
        <v/>
      </c>
    </row>
    <row r="16">
      <c r="B16">
        <f>IFERROR(VLOOKUP(A16,Source_Inventory!$A$5:$P$104,2,FALSE),"[Not Found]")</f>
        <v/>
      </c>
      <c r="M16" s="11" t="n"/>
      <c r="S16" s="11" t="n"/>
      <c r="T16" s="11">
        <f>IF(S16&lt;&gt;"",S16+180,"")</f>
        <v/>
      </c>
    </row>
    <row r="17">
      <c r="B17">
        <f>IFERROR(VLOOKUP(A17,Source_Inventory!$A$5:$P$104,2,FALSE),"[Not Found]")</f>
        <v/>
      </c>
      <c r="M17" s="11" t="n"/>
      <c r="S17" s="11" t="n"/>
      <c r="T17" s="11">
        <f>IF(S17&lt;&gt;"",S17+180,"")</f>
        <v/>
      </c>
    </row>
    <row r="18">
      <c r="B18">
        <f>IFERROR(VLOOKUP(A18,Source_Inventory!$A$5:$P$104,2,FALSE),"[Not Found]")</f>
        <v/>
      </c>
      <c r="M18" s="11" t="n"/>
      <c r="S18" s="11" t="n"/>
      <c r="T18" s="11">
        <f>IF(S18&lt;&gt;"",S18+180,"")</f>
        <v/>
      </c>
    </row>
    <row r="19">
      <c r="B19">
        <f>IFERROR(VLOOKUP(A19,Source_Inventory!$A$5:$P$104,2,FALSE),"[Not Found]")</f>
        <v/>
      </c>
      <c r="M19" s="11" t="n"/>
      <c r="S19" s="11" t="n"/>
      <c r="T19" s="11">
        <f>IF(S19&lt;&gt;"",S19+180,"")</f>
        <v/>
      </c>
    </row>
    <row r="20">
      <c r="B20">
        <f>IFERROR(VLOOKUP(A20,Source_Inventory!$A$5:$P$104,2,FALSE),"[Not Found]")</f>
        <v/>
      </c>
      <c r="M20" s="11" t="n"/>
      <c r="S20" s="11" t="n"/>
      <c r="T20" s="11">
        <f>IF(S20&lt;&gt;"",S20+180,"")</f>
        <v/>
      </c>
    </row>
    <row r="21">
      <c r="B21">
        <f>IFERROR(VLOOKUP(A21,Source_Inventory!$A$5:$P$104,2,FALSE),"[Not Found]")</f>
        <v/>
      </c>
      <c r="M21" s="11" t="n"/>
      <c r="S21" s="11" t="n"/>
      <c r="T21" s="11">
        <f>IF(S21&lt;&gt;"",S21+180,"")</f>
        <v/>
      </c>
    </row>
    <row r="22">
      <c r="B22">
        <f>IFERROR(VLOOKUP(A22,Source_Inventory!$A$5:$P$104,2,FALSE),"[Not Found]")</f>
        <v/>
      </c>
      <c r="M22" s="11" t="n"/>
      <c r="S22" s="11" t="n"/>
      <c r="T22" s="11">
        <f>IF(S22&lt;&gt;"",S22+180,"")</f>
        <v/>
      </c>
    </row>
    <row r="23">
      <c r="B23">
        <f>IFERROR(VLOOKUP(A23,Source_Inventory!$A$5:$P$104,2,FALSE),"[Not Found]")</f>
        <v/>
      </c>
      <c r="M23" s="11" t="n"/>
      <c r="S23" s="11" t="n"/>
      <c r="T23" s="11">
        <f>IF(S23&lt;&gt;"",S23+180,"")</f>
        <v/>
      </c>
    </row>
    <row r="24">
      <c r="B24">
        <f>IFERROR(VLOOKUP(A24,Source_Inventory!$A$5:$P$104,2,FALSE),"[Not Found]")</f>
        <v/>
      </c>
      <c r="M24" s="11" t="n"/>
      <c r="S24" s="11" t="n"/>
      <c r="T24" s="11">
        <f>IF(S24&lt;&gt;"",S24+180,"")</f>
        <v/>
      </c>
    </row>
    <row r="25">
      <c r="B25">
        <f>IFERROR(VLOOKUP(A25,Source_Inventory!$A$5:$P$104,2,FALSE),"[Not Found]")</f>
        <v/>
      </c>
      <c r="M25" s="11" t="n"/>
      <c r="S25" s="11" t="n"/>
      <c r="T25" s="11">
        <f>IF(S25&lt;&gt;"",S25+180,"")</f>
        <v/>
      </c>
    </row>
    <row r="26">
      <c r="B26">
        <f>IFERROR(VLOOKUP(A26,Source_Inventory!$A$5:$P$104,2,FALSE),"[Not Found]")</f>
        <v/>
      </c>
      <c r="M26" s="11" t="n"/>
      <c r="S26" s="11" t="n"/>
      <c r="T26" s="11">
        <f>IF(S26&lt;&gt;"",S26+180,"")</f>
        <v/>
      </c>
    </row>
    <row r="27">
      <c r="B27">
        <f>IFERROR(VLOOKUP(A27,Source_Inventory!$A$5:$P$104,2,FALSE),"[Not Found]")</f>
        <v/>
      </c>
      <c r="M27" s="11" t="n"/>
      <c r="S27" s="11" t="n"/>
      <c r="T27" s="11">
        <f>IF(S27&lt;&gt;"",S27+180,"")</f>
        <v/>
      </c>
    </row>
    <row r="28">
      <c r="B28">
        <f>IFERROR(VLOOKUP(A28,Source_Inventory!$A$5:$P$104,2,FALSE),"[Not Found]")</f>
        <v/>
      </c>
      <c r="M28" s="11" t="n"/>
      <c r="S28" s="11" t="n"/>
      <c r="T28" s="11">
        <f>IF(S28&lt;&gt;"",S28+180,"")</f>
        <v/>
      </c>
    </row>
    <row r="29">
      <c r="B29">
        <f>IFERROR(VLOOKUP(A29,Source_Inventory!$A$5:$P$104,2,FALSE),"[Not Found]")</f>
        <v/>
      </c>
      <c r="M29" s="11" t="n"/>
      <c r="S29" s="11" t="n"/>
      <c r="T29" s="11">
        <f>IF(S29&lt;&gt;"",S29+180,"")</f>
        <v/>
      </c>
    </row>
    <row r="30">
      <c r="B30">
        <f>IFERROR(VLOOKUP(A30,Source_Inventory!$A$5:$P$104,2,FALSE),"[Not Found]")</f>
        <v/>
      </c>
      <c r="M30" s="11" t="n"/>
      <c r="S30" s="11" t="n"/>
      <c r="T30" s="11">
        <f>IF(S30&lt;&gt;"",S30+180,"")</f>
        <v/>
      </c>
    </row>
    <row r="31">
      <c r="B31">
        <f>IFERROR(VLOOKUP(A31,Source_Inventory!$A$5:$P$104,2,FALSE),"[Not Found]")</f>
        <v/>
      </c>
      <c r="M31" s="11" t="n"/>
      <c r="S31" s="11" t="n"/>
      <c r="T31" s="11">
        <f>IF(S31&lt;&gt;"",S31+180,"")</f>
        <v/>
      </c>
    </row>
    <row r="32">
      <c r="B32">
        <f>IFERROR(VLOOKUP(A32,Source_Inventory!$A$5:$P$104,2,FALSE),"[Not Found]")</f>
        <v/>
      </c>
      <c r="M32" s="11" t="n"/>
      <c r="S32" s="11" t="n"/>
      <c r="T32" s="11">
        <f>IF(S32&lt;&gt;"",S32+180,"")</f>
        <v/>
      </c>
    </row>
    <row r="33">
      <c r="B33">
        <f>IFERROR(VLOOKUP(A33,Source_Inventory!$A$5:$P$104,2,FALSE),"[Not Found]")</f>
        <v/>
      </c>
      <c r="M33" s="11" t="n"/>
      <c r="S33" s="11" t="n"/>
      <c r="T33" s="11">
        <f>IF(S33&lt;&gt;"",S33+180,"")</f>
        <v/>
      </c>
    </row>
    <row r="34">
      <c r="B34">
        <f>IFERROR(VLOOKUP(A34,Source_Inventory!$A$5:$P$104,2,FALSE),"[Not Found]")</f>
        <v/>
      </c>
      <c r="M34" s="11" t="n"/>
      <c r="S34" s="11" t="n"/>
      <c r="T34" s="11">
        <f>IF(S34&lt;&gt;"",S34+180,"")</f>
        <v/>
      </c>
    </row>
    <row r="35">
      <c r="B35">
        <f>IFERROR(VLOOKUP(A35,Source_Inventory!$A$5:$P$104,2,FALSE),"[Not Found]")</f>
        <v/>
      </c>
      <c r="M35" s="11" t="n"/>
      <c r="S35" s="11" t="n"/>
      <c r="T35" s="11">
        <f>IF(S35&lt;&gt;"",S35+180,"")</f>
        <v/>
      </c>
    </row>
    <row r="36">
      <c r="B36">
        <f>IFERROR(VLOOKUP(A36,Source_Inventory!$A$5:$P$104,2,FALSE),"[Not Found]")</f>
        <v/>
      </c>
      <c r="M36" s="11" t="n"/>
      <c r="S36" s="11" t="n"/>
      <c r="T36" s="11">
        <f>IF(S36&lt;&gt;"",S36+180,"")</f>
        <v/>
      </c>
    </row>
    <row r="37">
      <c r="B37">
        <f>IFERROR(VLOOKUP(A37,Source_Inventory!$A$5:$P$104,2,FALSE),"[Not Found]")</f>
        <v/>
      </c>
      <c r="M37" s="11" t="n"/>
      <c r="S37" s="11" t="n"/>
      <c r="T37" s="11">
        <f>IF(S37&lt;&gt;"",S37+180,"")</f>
        <v/>
      </c>
    </row>
    <row r="38">
      <c r="B38">
        <f>IFERROR(VLOOKUP(A38,Source_Inventory!$A$5:$P$104,2,FALSE),"[Not Found]")</f>
        <v/>
      </c>
      <c r="M38" s="11" t="n"/>
      <c r="S38" s="11" t="n"/>
      <c r="T38" s="11">
        <f>IF(S38&lt;&gt;"",S38+180,"")</f>
        <v/>
      </c>
    </row>
    <row r="39">
      <c r="B39">
        <f>IFERROR(VLOOKUP(A39,Source_Inventory!$A$5:$P$104,2,FALSE),"[Not Found]")</f>
        <v/>
      </c>
      <c r="M39" s="11" t="n"/>
      <c r="S39" s="11" t="n"/>
      <c r="T39" s="11">
        <f>IF(S39&lt;&gt;"",S39+180,"")</f>
        <v/>
      </c>
    </row>
    <row r="40">
      <c r="B40">
        <f>IFERROR(VLOOKUP(A40,Source_Inventory!$A$5:$P$104,2,FALSE),"[Not Found]")</f>
        <v/>
      </c>
      <c r="M40" s="11" t="n"/>
      <c r="S40" s="11" t="n"/>
      <c r="T40" s="11">
        <f>IF(S40&lt;&gt;"",S40+180,"")</f>
        <v/>
      </c>
    </row>
    <row r="41">
      <c r="B41">
        <f>IFERROR(VLOOKUP(A41,Source_Inventory!$A$5:$P$104,2,FALSE),"[Not Found]")</f>
        <v/>
      </c>
      <c r="M41" s="11" t="n"/>
      <c r="S41" s="11" t="n"/>
      <c r="T41" s="11">
        <f>IF(S41&lt;&gt;"",S41+180,"")</f>
        <v/>
      </c>
    </row>
    <row r="42">
      <c r="B42">
        <f>IFERROR(VLOOKUP(A42,Source_Inventory!$A$5:$P$104,2,FALSE),"[Not Found]")</f>
        <v/>
      </c>
      <c r="M42" s="11" t="n"/>
      <c r="S42" s="11" t="n"/>
      <c r="T42" s="11">
        <f>IF(S42&lt;&gt;"",S42+180,"")</f>
        <v/>
      </c>
    </row>
    <row r="43">
      <c r="B43">
        <f>IFERROR(VLOOKUP(A43,Source_Inventory!$A$5:$P$104,2,FALSE),"[Not Found]")</f>
        <v/>
      </c>
      <c r="M43" s="11" t="n"/>
      <c r="S43" s="11" t="n"/>
      <c r="T43" s="11">
        <f>IF(S43&lt;&gt;"",S43+180,"")</f>
        <v/>
      </c>
    </row>
    <row r="44">
      <c r="B44">
        <f>IFERROR(VLOOKUP(A44,Source_Inventory!$A$5:$P$104,2,FALSE),"[Not Found]")</f>
        <v/>
      </c>
      <c r="M44" s="11" t="n"/>
      <c r="S44" s="11" t="n"/>
      <c r="T44" s="11">
        <f>IF(S44&lt;&gt;"",S44+180,"")</f>
        <v/>
      </c>
    </row>
    <row r="45">
      <c r="B45">
        <f>IFERROR(VLOOKUP(A45,Source_Inventory!$A$5:$P$104,2,FALSE),"[Not Found]")</f>
        <v/>
      </c>
      <c r="M45" s="11" t="n"/>
      <c r="S45" s="11" t="n"/>
      <c r="T45" s="11">
        <f>IF(S45&lt;&gt;"",S45+180,"")</f>
        <v/>
      </c>
    </row>
    <row r="46">
      <c r="B46">
        <f>IFERROR(VLOOKUP(A46,Source_Inventory!$A$5:$P$104,2,FALSE),"[Not Found]")</f>
        <v/>
      </c>
      <c r="M46" s="11" t="n"/>
      <c r="S46" s="11" t="n"/>
      <c r="T46" s="11">
        <f>IF(S46&lt;&gt;"",S46+180,"")</f>
        <v/>
      </c>
    </row>
    <row r="47">
      <c r="B47">
        <f>IFERROR(VLOOKUP(A47,Source_Inventory!$A$5:$P$104,2,FALSE),"[Not Found]")</f>
        <v/>
      </c>
      <c r="M47" s="11" t="n"/>
      <c r="S47" s="11" t="n"/>
      <c r="T47" s="11">
        <f>IF(S47&lt;&gt;"",S47+180,"")</f>
        <v/>
      </c>
    </row>
    <row r="48">
      <c r="B48">
        <f>IFERROR(VLOOKUP(A48,Source_Inventory!$A$5:$P$104,2,FALSE),"[Not Found]")</f>
        <v/>
      </c>
      <c r="M48" s="11" t="n"/>
      <c r="S48" s="11" t="n"/>
      <c r="T48" s="11">
        <f>IF(S48&lt;&gt;"",S48+180,"")</f>
        <v/>
      </c>
    </row>
    <row r="49">
      <c r="B49">
        <f>IFERROR(VLOOKUP(A49,Source_Inventory!$A$5:$P$104,2,FALSE),"[Not Found]")</f>
        <v/>
      </c>
      <c r="M49" s="11" t="n"/>
      <c r="S49" s="11" t="n"/>
      <c r="T49" s="11">
        <f>IF(S49&lt;&gt;"",S49+180,"")</f>
        <v/>
      </c>
    </row>
    <row r="50">
      <c r="B50">
        <f>IFERROR(VLOOKUP(A50,Source_Inventory!$A$5:$P$104,2,FALSE),"[Not Found]")</f>
        <v/>
      </c>
      <c r="M50" s="11" t="n"/>
      <c r="S50" s="11" t="n"/>
      <c r="T50" s="11">
        <f>IF(S50&lt;&gt;"",S50+180,"")</f>
        <v/>
      </c>
    </row>
    <row r="51">
      <c r="B51">
        <f>IFERROR(VLOOKUP(A51,Source_Inventory!$A$5:$P$104,2,FALSE),"[Not Found]")</f>
        <v/>
      </c>
      <c r="M51" s="11" t="n"/>
      <c r="S51" s="11" t="n"/>
      <c r="T51" s="11">
        <f>IF(S51&lt;&gt;"",S51+180,"")</f>
        <v/>
      </c>
    </row>
    <row r="52">
      <c r="B52">
        <f>IFERROR(VLOOKUP(A52,Source_Inventory!$A$5:$P$104,2,FALSE),"[Not Found]")</f>
        <v/>
      </c>
      <c r="M52" s="11" t="n"/>
      <c r="S52" s="11" t="n"/>
      <c r="T52" s="11">
        <f>IF(S52&lt;&gt;"",S52+180,"")</f>
        <v/>
      </c>
    </row>
    <row r="53">
      <c r="B53">
        <f>IFERROR(VLOOKUP(A53,Source_Inventory!$A$5:$P$104,2,FALSE),"[Not Found]")</f>
        <v/>
      </c>
      <c r="M53" s="11" t="n"/>
      <c r="S53" s="11" t="n"/>
      <c r="T53" s="11">
        <f>IF(S53&lt;&gt;"",S53+180,"")</f>
        <v/>
      </c>
    </row>
    <row r="54">
      <c r="B54">
        <f>IFERROR(VLOOKUP(A54,Source_Inventory!$A$5:$P$104,2,FALSE),"[Not Found]")</f>
        <v/>
      </c>
      <c r="M54" s="11" t="n"/>
      <c r="S54" s="11" t="n"/>
      <c r="T54" s="11">
        <f>IF(S54&lt;&gt;"",S54+180,"")</f>
        <v/>
      </c>
    </row>
    <row r="55">
      <c r="B55">
        <f>IFERROR(VLOOKUP(A55,Source_Inventory!$A$5:$P$104,2,FALSE),"[Not Found]")</f>
        <v/>
      </c>
      <c r="M55" s="11" t="n"/>
      <c r="S55" s="11" t="n"/>
      <c r="T55" s="11">
        <f>IF(S55&lt;&gt;"",S55+180,"")</f>
        <v/>
      </c>
    </row>
    <row r="56">
      <c r="B56">
        <f>IFERROR(VLOOKUP(A56,Source_Inventory!$A$5:$P$104,2,FALSE),"[Not Found]")</f>
        <v/>
      </c>
      <c r="M56" s="11" t="n"/>
      <c r="S56" s="11" t="n"/>
      <c r="T56" s="11">
        <f>IF(S56&lt;&gt;"",S56+180,"")</f>
        <v/>
      </c>
    </row>
    <row r="57">
      <c r="B57">
        <f>IFERROR(VLOOKUP(A57,Source_Inventory!$A$5:$P$104,2,FALSE),"[Not Found]")</f>
        <v/>
      </c>
      <c r="M57" s="11" t="n"/>
      <c r="S57" s="11" t="n"/>
      <c r="T57" s="11">
        <f>IF(S57&lt;&gt;"",S57+180,"")</f>
        <v/>
      </c>
    </row>
    <row r="58">
      <c r="B58">
        <f>IFERROR(VLOOKUP(A58,Source_Inventory!$A$5:$P$104,2,FALSE),"[Not Found]")</f>
        <v/>
      </c>
      <c r="M58" s="11" t="n"/>
      <c r="S58" s="11" t="n"/>
      <c r="T58" s="11">
        <f>IF(S58&lt;&gt;"",S58+180,"")</f>
        <v/>
      </c>
    </row>
    <row r="59">
      <c r="B59">
        <f>IFERROR(VLOOKUP(A59,Source_Inventory!$A$5:$P$104,2,FALSE),"[Not Found]")</f>
        <v/>
      </c>
      <c r="M59" s="11" t="n"/>
      <c r="S59" s="11" t="n"/>
      <c r="T59" s="11">
        <f>IF(S59&lt;&gt;"",S59+180,"")</f>
        <v/>
      </c>
    </row>
    <row r="60">
      <c r="B60">
        <f>IFERROR(VLOOKUP(A60,Source_Inventory!$A$5:$P$104,2,FALSE),"[Not Found]")</f>
        <v/>
      </c>
      <c r="M60" s="11" t="n"/>
      <c r="S60" s="11" t="n"/>
      <c r="T60" s="11">
        <f>IF(S60&lt;&gt;"",S60+180,"")</f>
        <v/>
      </c>
    </row>
    <row r="61">
      <c r="B61">
        <f>IFERROR(VLOOKUP(A61,Source_Inventory!$A$5:$P$104,2,FALSE),"[Not Found]")</f>
        <v/>
      </c>
      <c r="M61" s="11" t="n"/>
      <c r="S61" s="11" t="n"/>
      <c r="T61" s="11">
        <f>IF(S61&lt;&gt;"",S61+180,"")</f>
        <v/>
      </c>
    </row>
    <row r="62">
      <c r="B62">
        <f>IFERROR(VLOOKUP(A62,Source_Inventory!$A$5:$P$104,2,FALSE),"[Not Found]")</f>
        <v/>
      </c>
      <c r="M62" s="11" t="n"/>
      <c r="S62" s="11" t="n"/>
      <c r="T62" s="11">
        <f>IF(S62&lt;&gt;"",S62+180,"")</f>
        <v/>
      </c>
    </row>
    <row r="63">
      <c r="B63">
        <f>IFERROR(VLOOKUP(A63,Source_Inventory!$A$5:$P$104,2,FALSE),"[Not Found]")</f>
        <v/>
      </c>
      <c r="M63" s="11" t="n"/>
      <c r="S63" s="11" t="n"/>
      <c r="T63" s="11">
        <f>IF(S63&lt;&gt;"",S63+180,"")</f>
        <v/>
      </c>
    </row>
    <row r="64">
      <c r="B64">
        <f>IFERROR(VLOOKUP(A64,Source_Inventory!$A$5:$P$104,2,FALSE),"[Not Found]")</f>
        <v/>
      </c>
      <c r="M64" s="11" t="n"/>
      <c r="S64" s="11" t="n"/>
      <c r="T64" s="11">
        <f>IF(S64&lt;&gt;"",S64+180,"")</f>
        <v/>
      </c>
    </row>
    <row r="65">
      <c r="B65">
        <f>IFERROR(VLOOKUP(A65,Source_Inventory!$A$5:$P$104,2,FALSE),"[Not Found]")</f>
        <v/>
      </c>
      <c r="M65" s="11" t="n"/>
      <c r="S65" s="11" t="n"/>
      <c r="T65" s="11">
        <f>IF(S65&lt;&gt;"",S65+180,"")</f>
        <v/>
      </c>
    </row>
    <row r="66">
      <c r="B66">
        <f>IFERROR(VLOOKUP(A66,Source_Inventory!$A$5:$P$104,2,FALSE),"[Not Found]")</f>
        <v/>
      </c>
      <c r="M66" s="11" t="n"/>
      <c r="S66" s="11" t="n"/>
      <c r="T66" s="11">
        <f>IF(S66&lt;&gt;"",S66+180,"")</f>
        <v/>
      </c>
    </row>
    <row r="67">
      <c r="B67">
        <f>IFERROR(VLOOKUP(A67,Source_Inventory!$A$5:$P$104,2,FALSE),"[Not Found]")</f>
        <v/>
      </c>
      <c r="M67" s="11" t="n"/>
      <c r="S67" s="11" t="n"/>
      <c r="T67" s="11">
        <f>IF(S67&lt;&gt;"",S67+180,"")</f>
        <v/>
      </c>
    </row>
    <row r="68">
      <c r="B68">
        <f>IFERROR(VLOOKUP(A68,Source_Inventory!$A$5:$P$104,2,FALSE),"[Not Found]")</f>
        <v/>
      </c>
      <c r="M68" s="11" t="n"/>
      <c r="S68" s="11" t="n"/>
      <c r="T68" s="11">
        <f>IF(S68&lt;&gt;"",S68+180,"")</f>
        <v/>
      </c>
    </row>
    <row r="69">
      <c r="B69">
        <f>IFERROR(VLOOKUP(A69,Source_Inventory!$A$5:$P$104,2,FALSE),"[Not Found]")</f>
        <v/>
      </c>
      <c r="M69" s="11" t="n"/>
      <c r="S69" s="11" t="n"/>
      <c r="T69" s="11">
        <f>IF(S69&lt;&gt;"",S69+180,"")</f>
        <v/>
      </c>
    </row>
    <row r="70">
      <c r="B70">
        <f>IFERROR(VLOOKUP(A70,Source_Inventory!$A$5:$P$104,2,FALSE),"[Not Found]")</f>
        <v/>
      </c>
      <c r="M70" s="11" t="n"/>
      <c r="S70" s="11" t="n"/>
      <c r="T70" s="11">
        <f>IF(S70&lt;&gt;"",S70+180,"")</f>
        <v/>
      </c>
    </row>
    <row r="71">
      <c r="B71">
        <f>IFERROR(VLOOKUP(A71,Source_Inventory!$A$5:$P$104,2,FALSE),"[Not Found]")</f>
        <v/>
      </c>
      <c r="M71" s="11" t="n"/>
      <c r="S71" s="11" t="n"/>
      <c r="T71" s="11">
        <f>IF(S71&lt;&gt;"",S71+180,"")</f>
        <v/>
      </c>
    </row>
    <row r="72">
      <c r="B72">
        <f>IFERROR(VLOOKUP(A72,Source_Inventory!$A$5:$P$104,2,FALSE),"[Not Found]")</f>
        <v/>
      </c>
      <c r="M72" s="11" t="n"/>
      <c r="S72" s="11" t="n"/>
      <c r="T72" s="11">
        <f>IF(S72&lt;&gt;"",S72+180,"")</f>
        <v/>
      </c>
    </row>
    <row r="73">
      <c r="B73">
        <f>IFERROR(VLOOKUP(A73,Source_Inventory!$A$5:$P$104,2,FALSE),"[Not Found]")</f>
        <v/>
      </c>
      <c r="M73" s="11" t="n"/>
      <c r="S73" s="11" t="n"/>
      <c r="T73" s="11">
        <f>IF(S73&lt;&gt;"",S73+180,"")</f>
        <v/>
      </c>
    </row>
    <row r="74">
      <c r="B74">
        <f>IFERROR(VLOOKUP(A74,Source_Inventory!$A$5:$P$104,2,FALSE),"[Not Found]")</f>
        <v/>
      </c>
      <c r="M74" s="11" t="n"/>
      <c r="S74" s="11" t="n"/>
      <c r="T74" s="11">
        <f>IF(S74&lt;&gt;"",S74+180,"")</f>
        <v/>
      </c>
    </row>
    <row r="75">
      <c r="B75">
        <f>IFERROR(VLOOKUP(A75,Source_Inventory!$A$5:$P$104,2,FALSE),"[Not Found]")</f>
        <v/>
      </c>
      <c r="M75" s="11" t="n"/>
      <c r="S75" s="11" t="n"/>
      <c r="T75" s="11">
        <f>IF(S75&lt;&gt;"",S75+180,"")</f>
        <v/>
      </c>
    </row>
    <row r="76">
      <c r="B76">
        <f>IFERROR(VLOOKUP(A76,Source_Inventory!$A$5:$P$104,2,FALSE),"[Not Found]")</f>
        <v/>
      </c>
      <c r="M76" s="11" t="n"/>
      <c r="S76" s="11" t="n"/>
      <c r="T76" s="11">
        <f>IF(S76&lt;&gt;"",S76+180,"")</f>
        <v/>
      </c>
    </row>
    <row r="77">
      <c r="B77">
        <f>IFERROR(VLOOKUP(A77,Source_Inventory!$A$5:$P$104,2,FALSE),"[Not Found]")</f>
        <v/>
      </c>
      <c r="M77" s="11" t="n"/>
      <c r="S77" s="11" t="n"/>
      <c r="T77" s="11">
        <f>IF(S77&lt;&gt;"",S77+180,"")</f>
        <v/>
      </c>
    </row>
    <row r="78">
      <c r="B78">
        <f>IFERROR(VLOOKUP(A78,Source_Inventory!$A$5:$P$104,2,FALSE),"[Not Found]")</f>
        <v/>
      </c>
      <c r="M78" s="11" t="n"/>
      <c r="S78" s="11" t="n"/>
      <c r="T78" s="11">
        <f>IF(S78&lt;&gt;"",S78+180,"")</f>
        <v/>
      </c>
    </row>
    <row r="79">
      <c r="B79">
        <f>IFERROR(VLOOKUP(A79,Source_Inventory!$A$5:$P$104,2,FALSE),"[Not Found]")</f>
        <v/>
      </c>
      <c r="M79" s="11" t="n"/>
      <c r="S79" s="11" t="n"/>
      <c r="T79" s="11">
        <f>IF(S79&lt;&gt;"",S79+180,"")</f>
        <v/>
      </c>
    </row>
    <row r="80">
      <c r="B80">
        <f>IFERROR(VLOOKUP(A80,Source_Inventory!$A$5:$P$104,2,FALSE),"[Not Found]")</f>
        <v/>
      </c>
      <c r="M80" s="11" t="n"/>
      <c r="S80" s="11" t="n"/>
      <c r="T80" s="11">
        <f>IF(S80&lt;&gt;"",S80+180,"")</f>
        <v/>
      </c>
    </row>
    <row r="81">
      <c r="B81">
        <f>IFERROR(VLOOKUP(A81,Source_Inventory!$A$5:$P$104,2,FALSE),"[Not Found]")</f>
        <v/>
      </c>
      <c r="M81" s="11" t="n"/>
      <c r="S81" s="11" t="n"/>
      <c r="T81" s="11">
        <f>IF(S81&lt;&gt;"",S81+180,"")</f>
        <v/>
      </c>
    </row>
    <row r="82">
      <c r="B82">
        <f>IFERROR(VLOOKUP(A82,Source_Inventory!$A$5:$P$104,2,FALSE),"[Not Found]")</f>
        <v/>
      </c>
      <c r="M82" s="11" t="n"/>
      <c r="S82" s="11" t="n"/>
      <c r="T82" s="11">
        <f>IF(S82&lt;&gt;"",S82+180,"")</f>
        <v/>
      </c>
    </row>
    <row r="83">
      <c r="B83">
        <f>IFERROR(VLOOKUP(A83,Source_Inventory!$A$5:$P$104,2,FALSE),"[Not Found]")</f>
        <v/>
      </c>
      <c r="M83" s="11" t="n"/>
      <c r="S83" s="11" t="n"/>
      <c r="T83" s="11">
        <f>IF(S83&lt;&gt;"",S83+180,"")</f>
        <v/>
      </c>
    </row>
    <row r="84">
      <c r="B84">
        <f>IFERROR(VLOOKUP(A84,Source_Inventory!$A$5:$P$104,2,FALSE),"[Not Found]")</f>
        <v/>
      </c>
      <c r="M84" s="11" t="n"/>
      <c r="S84" s="11" t="n"/>
      <c r="T84" s="11">
        <f>IF(S84&lt;&gt;"",S84+180,"")</f>
        <v/>
      </c>
    </row>
    <row r="85">
      <c r="B85">
        <f>IFERROR(VLOOKUP(A85,Source_Inventory!$A$5:$P$104,2,FALSE),"[Not Found]")</f>
        <v/>
      </c>
      <c r="M85" s="11" t="n"/>
      <c r="S85" s="11" t="n"/>
      <c r="T85" s="11">
        <f>IF(S85&lt;&gt;"",S85+180,"")</f>
        <v/>
      </c>
    </row>
    <row r="86">
      <c r="B86">
        <f>IFERROR(VLOOKUP(A86,Source_Inventory!$A$5:$P$104,2,FALSE),"[Not Found]")</f>
        <v/>
      </c>
      <c r="M86" s="11" t="n"/>
      <c r="S86" s="11" t="n"/>
      <c r="T86" s="11">
        <f>IF(S86&lt;&gt;"",S86+180,"")</f>
        <v/>
      </c>
    </row>
    <row r="87">
      <c r="B87">
        <f>IFERROR(VLOOKUP(A87,Source_Inventory!$A$5:$P$104,2,FALSE),"[Not Found]")</f>
        <v/>
      </c>
      <c r="M87" s="11" t="n"/>
      <c r="S87" s="11" t="n"/>
      <c r="T87" s="11">
        <f>IF(S87&lt;&gt;"",S87+180,"")</f>
        <v/>
      </c>
    </row>
    <row r="88">
      <c r="B88">
        <f>IFERROR(VLOOKUP(A88,Source_Inventory!$A$5:$P$104,2,FALSE),"[Not Found]")</f>
        <v/>
      </c>
      <c r="M88" s="11" t="n"/>
      <c r="S88" s="11" t="n"/>
      <c r="T88" s="11">
        <f>IF(S88&lt;&gt;"",S88+180,"")</f>
        <v/>
      </c>
    </row>
    <row r="89">
      <c r="B89">
        <f>IFERROR(VLOOKUP(A89,Source_Inventory!$A$5:$P$104,2,FALSE),"[Not Found]")</f>
        <v/>
      </c>
      <c r="M89" s="11" t="n"/>
      <c r="S89" s="11" t="n"/>
      <c r="T89" s="11">
        <f>IF(S89&lt;&gt;"",S89+180,"")</f>
        <v/>
      </c>
    </row>
    <row r="90">
      <c r="B90">
        <f>IFERROR(VLOOKUP(A90,Source_Inventory!$A$5:$P$104,2,FALSE),"[Not Found]")</f>
        <v/>
      </c>
      <c r="M90" s="11" t="n"/>
      <c r="S90" s="11" t="n"/>
      <c r="T90" s="11">
        <f>IF(S90&lt;&gt;"",S90+180,"")</f>
        <v/>
      </c>
    </row>
    <row r="91">
      <c r="B91">
        <f>IFERROR(VLOOKUP(A91,Source_Inventory!$A$5:$P$104,2,FALSE),"[Not Found]")</f>
        <v/>
      </c>
      <c r="M91" s="11" t="n"/>
      <c r="S91" s="11" t="n"/>
      <c r="T91" s="11">
        <f>IF(S91&lt;&gt;"",S91+180,"")</f>
        <v/>
      </c>
    </row>
    <row r="92">
      <c r="B92">
        <f>IFERROR(VLOOKUP(A92,Source_Inventory!$A$5:$P$104,2,FALSE),"[Not Found]")</f>
        <v/>
      </c>
      <c r="M92" s="11" t="n"/>
      <c r="S92" s="11" t="n"/>
      <c r="T92" s="11">
        <f>IF(S92&lt;&gt;"",S92+180,"")</f>
        <v/>
      </c>
    </row>
    <row r="93">
      <c r="B93">
        <f>IFERROR(VLOOKUP(A93,Source_Inventory!$A$5:$P$104,2,FALSE),"[Not Found]")</f>
        <v/>
      </c>
      <c r="M93" s="11" t="n"/>
      <c r="S93" s="11" t="n"/>
      <c r="T93" s="11">
        <f>IF(S93&lt;&gt;"",S93+180,"")</f>
        <v/>
      </c>
    </row>
    <row r="94">
      <c r="B94">
        <f>IFERROR(VLOOKUP(A94,Source_Inventory!$A$5:$P$104,2,FALSE),"[Not Found]")</f>
        <v/>
      </c>
      <c r="M94" s="11" t="n"/>
      <c r="S94" s="11" t="n"/>
      <c r="T94" s="11">
        <f>IF(S94&lt;&gt;"",S94+180,"")</f>
        <v/>
      </c>
    </row>
    <row r="95">
      <c r="B95">
        <f>IFERROR(VLOOKUP(A95,Source_Inventory!$A$5:$P$104,2,FALSE),"[Not Found]")</f>
        <v/>
      </c>
      <c r="M95" s="11" t="n"/>
      <c r="S95" s="11" t="n"/>
      <c r="T95" s="11">
        <f>IF(S95&lt;&gt;"",S95+180,"")</f>
        <v/>
      </c>
    </row>
    <row r="96">
      <c r="B96">
        <f>IFERROR(VLOOKUP(A96,Source_Inventory!$A$5:$P$104,2,FALSE),"[Not Found]")</f>
        <v/>
      </c>
      <c r="M96" s="11" t="n"/>
      <c r="S96" s="11" t="n"/>
      <c r="T96" s="11">
        <f>IF(S96&lt;&gt;"",S96+180,"")</f>
        <v/>
      </c>
    </row>
    <row r="97">
      <c r="B97">
        <f>IFERROR(VLOOKUP(A97,Source_Inventory!$A$5:$P$104,2,FALSE),"[Not Found]")</f>
        <v/>
      </c>
      <c r="M97" s="11" t="n"/>
      <c r="S97" s="11" t="n"/>
      <c r="T97" s="11">
        <f>IF(S97&lt;&gt;"",S97+180,"")</f>
        <v/>
      </c>
    </row>
    <row r="98">
      <c r="B98">
        <f>IFERROR(VLOOKUP(A98,Source_Inventory!$A$5:$P$104,2,FALSE),"[Not Found]")</f>
        <v/>
      </c>
      <c r="M98" s="11" t="n"/>
      <c r="S98" s="11" t="n"/>
      <c r="T98" s="11">
        <f>IF(S98&lt;&gt;"",S98+180,"")</f>
        <v/>
      </c>
    </row>
    <row r="99">
      <c r="B99">
        <f>IFERROR(VLOOKUP(A99,Source_Inventory!$A$5:$P$104,2,FALSE),"[Not Found]")</f>
        <v/>
      </c>
      <c r="M99" s="11" t="n"/>
      <c r="S99" s="11" t="n"/>
      <c r="T99" s="11">
        <f>IF(S99&lt;&gt;"",S99+180,"")</f>
        <v/>
      </c>
    </row>
    <row r="100">
      <c r="B100">
        <f>IFERROR(VLOOKUP(A100,Source_Inventory!$A$5:$P$104,2,FALSE),"[Not Found]")</f>
        <v/>
      </c>
      <c r="M100" s="11" t="n"/>
      <c r="S100" s="11" t="n"/>
      <c r="T100" s="11">
        <f>IF(S100&lt;&gt;"",S100+180,"")</f>
        <v/>
      </c>
    </row>
    <row r="101">
      <c r="B101">
        <f>IFERROR(VLOOKUP(A101,Source_Inventory!$A$5:$P$104,2,FALSE),"[Not Found]")</f>
        <v/>
      </c>
      <c r="M101" s="11" t="n"/>
      <c r="S101" s="11" t="n"/>
      <c r="T101" s="11">
        <f>IF(S101&lt;&gt;"",S101+180,"")</f>
        <v/>
      </c>
    </row>
    <row r="102">
      <c r="B102">
        <f>IFERROR(VLOOKUP(A102,Source_Inventory!$A$5:$P$104,2,FALSE),"[Not Found]")</f>
        <v/>
      </c>
      <c r="M102" s="11" t="n"/>
      <c r="S102" s="11" t="n"/>
      <c r="T102" s="11">
        <f>IF(S102&lt;&gt;"",S102+180,"")</f>
        <v/>
      </c>
    </row>
    <row r="103">
      <c r="B103">
        <f>IFERROR(VLOOKUP(A103,Source_Inventory!$A$5:$P$104,2,FALSE),"[Not Found]")</f>
        <v/>
      </c>
      <c r="M103" s="11" t="n"/>
      <c r="S103" s="11" t="n"/>
      <c r="T103" s="11">
        <f>IF(S103&lt;&gt;"",S103+180,"")</f>
        <v/>
      </c>
    </row>
    <row r="104">
      <c r="B104">
        <f>IFERROR(VLOOKUP(A104,Source_Inventory!$A$5:$P$104,2,FALSE),"[Not Found]")</f>
        <v/>
      </c>
      <c r="M104" s="11" t="n"/>
      <c r="S104" s="11" t="n"/>
      <c r="T104" s="11">
        <f>IF(S104&lt;&gt;"",S104+180,"")</f>
        <v/>
      </c>
    </row>
  </sheetData>
  <mergeCells count="1">
    <mergeCell ref="A1:T1"/>
  </mergeCells>
  <dataValidations count="200">
    <dataValidation sqref="A5" showDropDown="0" showInputMessage="0" showErrorMessage="0" allowBlank="0" type="list">
      <formula1>=Source_Inventory!$A$5:$A$104</formula1>
    </dataValidation>
    <dataValidation sqref="C5" showDropDown="0" showInputMessage="0" showErrorMessage="0" allowBlank="0" type="list">
      <formula1>"Technical_Support,Account_Manager,Emergency_Contact,Billing,Executive,Data_Protection_Officer,Security_Team"</formula1>
    </dataValidation>
    <dataValidation sqref="A6" showDropDown="0" showInputMessage="0" showErrorMessage="0" allowBlank="0" type="list">
      <formula1>=Source_Inventory!$A$5:$A$104</formula1>
    </dataValidation>
    <dataValidation sqref="C6" showDropDown="0" showInputMessage="0" showErrorMessage="0" allowBlank="0" type="list">
      <formula1>"Technical_Support,Account_Manager,Emergency_Contact,Billing,Executive,Data_Protection_Officer,Security_Team"</formula1>
    </dataValidation>
    <dataValidation sqref="A7" showDropDown="0" showInputMessage="0" showErrorMessage="0" allowBlank="0" type="list">
      <formula1>=Source_Inventory!$A$5:$A$104</formula1>
    </dataValidation>
    <dataValidation sqref="C7" showDropDown="0" showInputMessage="0" showErrorMessage="0" allowBlank="0" type="list">
      <formula1>"Technical_Support,Account_Manager,Emergency_Contact,Billing,Executive,Data_Protection_Officer,Security_Team"</formula1>
    </dataValidation>
    <dataValidation sqref="A8" showDropDown="0" showInputMessage="0" showErrorMessage="0" allowBlank="0" type="list">
      <formula1>=Source_Inventory!$A$5:$A$104</formula1>
    </dataValidation>
    <dataValidation sqref="C8" showDropDown="0" showInputMessage="0" showErrorMessage="0" allowBlank="0" type="list">
      <formula1>"Technical_Support,Account_Manager,Emergency_Contact,Billing,Executive,Data_Protection_Officer,Security_Team"</formula1>
    </dataValidation>
    <dataValidation sqref="A9" showDropDown="0" showInputMessage="0" showErrorMessage="0" allowBlank="0" type="list">
      <formula1>=Source_Inventory!$A$5:$A$104</formula1>
    </dataValidation>
    <dataValidation sqref="C9" showDropDown="0" showInputMessage="0" showErrorMessage="0" allowBlank="0" type="list">
      <formula1>"Technical_Support,Account_Manager,Emergency_Contact,Billing,Executive,Data_Protection_Officer,Security_Team"</formula1>
    </dataValidation>
    <dataValidation sqref="A10" showDropDown="0" showInputMessage="0" showErrorMessage="0" allowBlank="0" type="list">
      <formula1>=Source_Inventory!$A$5:$A$104</formula1>
    </dataValidation>
    <dataValidation sqref="C10" showDropDown="0" showInputMessage="0" showErrorMessage="0" allowBlank="0" type="list">
      <formula1>"Technical_Support,Account_Manager,Emergency_Contact,Billing,Executive,Data_Protection_Officer,Security_Team"</formula1>
    </dataValidation>
    <dataValidation sqref="A11" showDropDown="0" showInputMessage="0" showErrorMessage="0" allowBlank="0" type="list">
      <formula1>=Source_Inventory!$A$5:$A$104</formula1>
    </dataValidation>
    <dataValidation sqref="C11" showDropDown="0" showInputMessage="0" showErrorMessage="0" allowBlank="0" type="list">
      <formula1>"Technical_Support,Account_Manager,Emergency_Contact,Billing,Executive,Data_Protection_Officer,Security_Team"</formula1>
    </dataValidation>
    <dataValidation sqref="A12" showDropDown="0" showInputMessage="0" showErrorMessage="0" allowBlank="0" type="list">
      <formula1>=Source_Inventory!$A$5:$A$104</formula1>
    </dataValidation>
    <dataValidation sqref="C12" showDropDown="0" showInputMessage="0" showErrorMessage="0" allowBlank="0" type="list">
      <formula1>"Technical_Support,Account_Manager,Emergency_Contact,Billing,Executive,Data_Protection_Officer,Security_Team"</formula1>
    </dataValidation>
    <dataValidation sqref="A13" showDropDown="0" showInputMessage="0" showErrorMessage="0" allowBlank="0" type="list">
      <formula1>=Source_Inventory!$A$5:$A$104</formula1>
    </dataValidation>
    <dataValidation sqref="C13" showDropDown="0" showInputMessage="0" showErrorMessage="0" allowBlank="0" type="list">
      <formula1>"Technical_Support,Account_Manager,Emergency_Contact,Billing,Executive,Data_Protection_Officer,Security_Team"</formula1>
    </dataValidation>
    <dataValidation sqref="A14" showDropDown="0" showInputMessage="0" showErrorMessage="0" allowBlank="0" type="list">
      <formula1>=Source_Inventory!$A$5:$A$104</formula1>
    </dataValidation>
    <dataValidation sqref="C14" showDropDown="0" showInputMessage="0" showErrorMessage="0" allowBlank="0" type="list">
      <formula1>"Technical_Support,Account_Manager,Emergency_Contact,Billing,Executive,Data_Protection_Officer,Security_Team"</formula1>
    </dataValidation>
    <dataValidation sqref="A15" showDropDown="0" showInputMessage="0" showErrorMessage="0" allowBlank="0" type="list">
      <formula1>=Source_Inventory!$A$5:$A$104</formula1>
    </dataValidation>
    <dataValidation sqref="C15" showDropDown="0" showInputMessage="0" showErrorMessage="0" allowBlank="0" type="list">
      <formula1>"Technical_Support,Account_Manager,Emergency_Contact,Billing,Executive,Data_Protection_Officer,Security_Team"</formula1>
    </dataValidation>
    <dataValidation sqref="A16" showDropDown="0" showInputMessage="0" showErrorMessage="0" allowBlank="0" type="list">
      <formula1>=Source_Inventory!$A$5:$A$104</formula1>
    </dataValidation>
    <dataValidation sqref="C16" showDropDown="0" showInputMessage="0" showErrorMessage="0" allowBlank="0" type="list">
      <formula1>"Technical_Support,Account_Manager,Emergency_Contact,Billing,Executive,Data_Protection_Officer,Security_Team"</formula1>
    </dataValidation>
    <dataValidation sqref="A17" showDropDown="0" showInputMessage="0" showErrorMessage="0" allowBlank="0" type="list">
      <formula1>=Source_Inventory!$A$5:$A$104</formula1>
    </dataValidation>
    <dataValidation sqref="C17" showDropDown="0" showInputMessage="0" showErrorMessage="0" allowBlank="0" type="list">
      <formula1>"Technical_Support,Account_Manager,Emergency_Contact,Billing,Executive,Data_Protection_Officer,Security_Team"</formula1>
    </dataValidation>
    <dataValidation sqref="A18" showDropDown="0" showInputMessage="0" showErrorMessage="0" allowBlank="0" type="list">
      <formula1>=Source_Inventory!$A$5:$A$104</formula1>
    </dataValidation>
    <dataValidation sqref="C18" showDropDown="0" showInputMessage="0" showErrorMessage="0" allowBlank="0" type="list">
      <formula1>"Technical_Support,Account_Manager,Emergency_Contact,Billing,Executive,Data_Protection_Officer,Security_Team"</formula1>
    </dataValidation>
    <dataValidation sqref="A19" showDropDown="0" showInputMessage="0" showErrorMessage="0" allowBlank="0" type="list">
      <formula1>=Source_Inventory!$A$5:$A$104</formula1>
    </dataValidation>
    <dataValidation sqref="C19" showDropDown="0" showInputMessage="0" showErrorMessage="0" allowBlank="0" type="list">
      <formula1>"Technical_Support,Account_Manager,Emergency_Contact,Billing,Executive,Data_Protection_Officer,Security_Team"</formula1>
    </dataValidation>
    <dataValidation sqref="A20" showDropDown="0" showInputMessage="0" showErrorMessage="0" allowBlank="0" type="list">
      <formula1>=Source_Inventory!$A$5:$A$104</formula1>
    </dataValidation>
    <dataValidation sqref="C20" showDropDown="0" showInputMessage="0" showErrorMessage="0" allowBlank="0" type="list">
      <formula1>"Technical_Support,Account_Manager,Emergency_Contact,Billing,Executive,Data_Protection_Officer,Security_Team"</formula1>
    </dataValidation>
    <dataValidation sqref="A21" showDropDown="0" showInputMessage="0" showErrorMessage="0" allowBlank="0" type="list">
      <formula1>=Source_Inventory!$A$5:$A$104</formula1>
    </dataValidation>
    <dataValidation sqref="C21" showDropDown="0" showInputMessage="0" showErrorMessage="0" allowBlank="0" type="list">
      <formula1>"Technical_Support,Account_Manager,Emergency_Contact,Billing,Executive,Data_Protection_Officer,Security_Team"</formula1>
    </dataValidation>
    <dataValidation sqref="A22" showDropDown="0" showInputMessage="0" showErrorMessage="0" allowBlank="0" type="list">
      <formula1>=Source_Inventory!$A$5:$A$104</formula1>
    </dataValidation>
    <dataValidation sqref="C22" showDropDown="0" showInputMessage="0" showErrorMessage="0" allowBlank="0" type="list">
      <formula1>"Technical_Support,Account_Manager,Emergency_Contact,Billing,Executive,Data_Protection_Officer,Security_Team"</formula1>
    </dataValidation>
    <dataValidation sqref="A23" showDropDown="0" showInputMessage="0" showErrorMessage="0" allowBlank="0" type="list">
      <formula1>=Source_Inventory!$A$5:$A$104</formula1>
    </dataValidation>
    <dataValidation sqref="C23" showDropDown="0" showInputMessage="0" showErrorMessage="0" allowBlank="0" type="list">
      <formula1>"Technical_Support,Account_Manager,Emergency_Contact,Billing,Executive,Data_Protection_Officer,Security_Team"</formula1>
    </dataValidation>
    <dataValidation sqref="A24" showDropDown="0" showInputMessage="0" showErrorMessage="0" allowBlank="0" type="list">
      <formula1>=Source_Inventory!$A$5:$A$104</formula1>
    </dataValidation>
    <dataValidation sqref="C24" showDropDown="0" showInputMessage="0" showErrorMessage="0" allowBlank="0" type="list">
      <formula1>"Technical_Support,Account_Manager,Emergency_Contact,Billing,Executive,Data_Protection_Officer,Security_Team"</formula1>
    </dataValidation>
    <dataValidation sqref="A25" showDropDown="0" showInputMessage="0" showErrorMessage="0" allowBlank="0" type="list">
      <formula1>=Source_Inventory!$A$5:$A$104</formula1>
    </dataValidation>
    <dataValidation sqref="C25" showDropDown="0" showInputMessage="0" showErrorMessage="0" allowBlank="0" type="list">
      <formula1>"Technical_Support,Account_Manager,Emergency_Contact,Billing,Executive,Data_Protection_Officer,Security_Team"</formula1>
    </dataValidation>
    <dataValidation sqref="A26" showDropDown="0" showInputMessage="0" showErrorMessage="0" allowBlank="0" type="list">
      <formula1>=Source_Inventory!$A$5:$A$104</formula1>
    </dataValidation>
    <dataValidation sqref="C26" showDropDown="0" showInputMessage="0" showErrorMessage="0" allowBlank="0" type="list">
      <formula1>"Technical_Support,Account_Manager,Emergency_Contact,Billing,Executive,Data_Protection_Officer,Security_Team"</formula1>
    </dataValidation>
    <dataValidation sqref="A27" showDropDown="0" showInputMessage="0" showErrorMessage="0" allowBlank="0" type="list">
      <formula1>=Source_Inventory!$A$5:$A$104</formula1>
    </dataValidation>
    <dataValidation sqref="C27" showDropDown="0" showInputMessage="0" showErrorMessage="0" allowBlank="0" type="list">
      <formula1>"Technical_Support,Account_Manager,Emergency_Contact,Billing,Executive,Data_Protection_Officer,Security_Team"</formula1>
    </dataValidation>
    <dataValidation sqref="A28" showDropDown="0" showInputMessage="0" showErrorMessage="0" allowBlank="0" type="list">
      <formula1>=Source_Inventory!$A$5:$A$104</formula1>
    </dataValidation>
    <dataValidation sqref="C28" showDropDown="0" showInputMessage="0" showErrorMessage="0" allowBlank="0" type="list">
      <formula1>"Technical_Support,Account_Manager,Emergency_Contact,Billing,Executive,Data_Protection_Officer,Security_Team"</formula1>
    </dataValidation>
    <dataValidation sqref="A29" showDropDown="0" showInputMessage="0" showErrorMessage="0" allowBlank="0" type="list">
      <formula1>=Source_Inventory!$A$5:$A$104</formula1>
    </dataValidation>
    <dataValidation sqref="C29" showDropDown="0" showInputMessage="0" showErrorMessage="0" allowBlank="0" type="list">
      <formula1>"Technical_Support,Account_Manager,Emergency_Contact,Billing,Executive,Data_Protection_Officer,Security_Team"</formula1>
    </dataValidation>
    <dataValidation sqref="A30" showDropDown="0" showInputMessage="0" showErrorMessage="0" allowBlank="0" type="list">
      <formula1>=Source_Inventory!$A$5:$A$104</formula1>
    </dataValidation>
    <dataValidation sqref="C30" showDropDown="0" showInputMessage="0" showErrorMessage="0" allowBlank="0" type="list">
      <formula1>"Technical_Support,Account_Manager,Emergency_Contact,Billing,Executive,Data_Protection_Officer,Security_Team"</formula1>
    </dataValidation>
    <dataValidation sqref="A31" showDropDown="0" showInputMessage="0" showErrorMessage="0" allowBlank="0" type="list">
      <formula1>=Source_Inventory!$A$5:$A$104</formula1>
    </dataValidation>
    <dataValidation sqref="C31" showDropDown="0" showInputMessage="0" showErrorMessage="0" allowBlank="0" type="list">
      <formula1>"Technical_Support,Account_Manager,Emergency_Contact,Billing,Executive,Data_Protection_Officer,Security_Team"</formula1>
    </dataValidation>
    <dataValidation sqref="A32" showDropDown="0" showInputMessage="0" showErrorMessage="0" allowBlank="0" type="list">
      <formula1>=Source_Inventory!$A$5:$A$104</formula1>
    </dataValidation>
    <dataValidation sqref="C32" showDropDown="0" showInputMessage="0" showErrorMessage="0" allowBlank="0" type="list">
      <formula1>"Technical_Support,Account_Manager,Emergency_Contact,Billing,Executive,Data_Protection_Officer,Security_Team"</formula1>
    </dataValidation>
    <dataValidation sqref="A33" showDropDown="0" showInputMessage="0" showErrorMessage="0" allowBlank="0" type="list">
      <formula1>=Source_Inventory!$A$5:$A$104</formula1>
    </dataValidation>
    <dataValidation sqref="C33" showDropDown="0" showInputMessage="0" showErrorMessage="0" allowBlank="0" type="list">
      <formula1>"Technical_Support,Account_Manager,Emergency_Contact,Billing,Executive,Data_Protection_Officer,Security_Team"</formula1>
    </dataValidation>
    <dataValidation sqref="A34" showDropDown="0" showInputMessage="0" showErrorMessage="0" allowBlank="0" type="list">
      <formula1>=Source_Inventory!$A$5:$A$104</formula1>
    </dataValidation>
    <dataValidation sqref="C34" showDropDown="0" showInputMessage="0" showErrorMessage="0" allowBlank="0" type="list">
      <formula1>"Technical_Support,Account_Manager,Emergency_Contact,Billing,Executive,Data_Protection_Officer,Security_Team"</formula1>
    </dataValidation>
    <dataValidation sqref="A35" showDropDown="0" showInputMessage="0" showErrorMessage="0" allowBlank="0" type="list">
      <formula1>=Source_Inventory!$A$5:$A$104</formula1>
    </dataValidation>
    <dataValidation sqref="C35" showDropDown="0" showInputMessage="0" showErrorMessage="0" allowBlank="0" type="list">
      <formula1>"Technical_Support,Account_Manager,Emergency_Contact,Billing,Executive,Data_Protection_Officer,Security_Team"</formula1>
    </dataValidation>
    <dataValidation sqref="A36" showDropDown="0" showInputMessage="0" showErrorMessage="0" allowBlank="0" type="list">
      <formula1>=Source_Inventory!$A$5:$A$104</formula1>
    </dataValidation>
    <dataValidation sqref="C36" showDropDown="0" showInputMessage="0" showErrorMessage="0" allowBlank="0" type="list">
      <formula1>"Technical_Support,Account_Manager,Emergency_Contact,Billing,Executive,Data_Protection_Officer,Security_Team"</formula1>
    </dataValidation>
    <dataValidation sqref="A37" showDropDown="0" showInputMessage="0" showErrorMessage="0" allowBlank="0" type="list">
      <formula1>=Source_Inventory!$A$5:$A$104</formula1>
    </dataValidation>
    <dataValidation sqref="C37" showDropDown="0" showInputMessage="0" showErrorMessage="0" allowBlank="0" type="list">
      <formula1>"Technical_Support,Account_Manager,Emergency_Contact,Billing,Executive,Data_Protection_Officer,Security_Team"</formula1>
    </dataValidation>
    <dataValidation sqref="A38" showDropDown="0" showInputMessage="0" showErrorMessage="0" allowBlank="0" type="list">
      <formula1>=Source_Inventory!$A$5:$A$104</formula1>
    </dataValidation>
    <dataValidation sqref="C38" showDropDown="0" showInputMessage="0" showErrorMessage="0" allowBlank="0" type="list">
      <formula1>"Technical_Support,Account_Manager,Emergency_Contact,Billing,Executive,Data_Protection_Officer,Security_Team"</formula1>
    </dataValidation>
    <dataValidation sqref="A39" showDropDown="0" showInputMessage="0" showErrorMessage="0" allowBlank="0" type="list">
      <formula1>=Source_Inventory!$A$5:$A$104</formula1>
    </dataValidation>
    <dataValidation sqref="C39" showDropDown="0" showInputMessage="0" showErrorMessage="0" allowBlank="0" type="list">
      <formula1>"Technical_Support,Account_Manager,Emergency_Contact,Billing,Executive,Data_Protection_Officer,Security_Team"</formula1>
    </dataValidation>
    <dataValidation sqref="A40" showDropDown="0" showInputMessage="0" showErrorMessage="0" allowBlank="0" type="list">
      <formula1>=Source_Inventory!$A$5:$A$104</formula1>
    </dataValidation>
    <dataValidation sqref="C40" showDropDown="0" showInputMessage="0" showErrorMessage="0" allowBlank="0" type="list">
      <formula1>"Technical_Support,Account_Manager,Emergency_Contact,Billing,Executive,Data_Protection_Officer,Security_Team"</formula1>
    </dataValidation>
    <dataValidation sqref="A41" showDropDown="0" showInputMessage="0" showErrorMessage="0" allowBlank="0" type="list">
      <formula1>=Source_Inventory!$A$5:$A$104</formula1>
    </dataValidation>
    <dataValidation sqref="C41" showDropDown="0" showInputMessage="0" showErrorMessage="0" allowBlank="0" type="list">
      <formula1>"Technical_Support,Account_Manager,Emergency_Contact,Billing,Executive,Data_Protection_Officer,Security_Team"</formula1>
    </dataValidation>
    <dataValidation sqref="A42" showDropDown="0" showInputMessage="0" showErrorMessage="0" allowBlank="0" type="list">
      <formula1>=Source_Inventory!$A$5:$A$104</formula1>
    </dataValidation>
    <dataValidation sqref="C42" showDropDown="0" showInputMessage="0" showErrorMessage="0" allowBlank="0" type="list">
      <formula1>"Technical_Support,Account_Manager,Emergency_Contact,Billing,Executive,Data_Protection_Officer,Security_Team"</formula1>
    </dataValidation>
    <dataValidation sqref="A43" showDropDown="0" showInputMessage="0" showErrorMessage="0" allowBlank="0" type="list">
      <formula1>=Source_Inventory!$A$5:$A$104</formula1>
    </dataValidation>
    <dataValidation sqref="C43" showDropDown="0" showInputMessage="0" showErrorMessage="0" allowBlank="0" type="list">
      <formula1>"Technical_Support,Account_Manager,Emergency_Contact,Billing,Executive,Data_Protection_Officer,Security_Team"</formula1>
    </dataValidation>
    <dataValidation sqref="A44" showDropDown="0" showInputMessage="0" showErrorMessage="0" allowBlank="0" type="list">
      <formula1>=Source_Inventory!$A$5:$A$104</formula1>
    </dataValidation>
    <dataValidation sqref="C44" showDropDown="0" showInputMessage="0" showErrorMessage="0" allowBlank="0" type="list">
      <formula1>"Technical_Support,Account_Manager,Emergency_Contact,Billing,Executive,Data_Protection_Officer,Security_Team"</formula1>
    </dataValidation>
    <dataValidation sqref="A45" showDropDown="0" showInputMessage="0" showErrorMessage="0" allowBlank="0" type="list">
      <formula1>=Source_Inventory!$A$5:$A$104</formula1>
    </dataValidation>
    <dataValidation sqref="C45" showDropDown="0" showInputMessage="0" showErrorMessage="0" allowBlank="0" type="list">
      <formula1>"Technical_Support,Account_Manager,Emergency_Contact,Billing,Executive,Data_Protection_Officer,Security_Team"</formula1>
    </dataValidation>
    <dataValidation sqref="A46" showDropDown="0" showInputMessage="0" showErrorMessage="0" allowBlank="0" type="list">
      <formula1>=Source_Inventory!$A$5:$A$104</formula1>
    </dataValidation>
    <dataValidation sqref="C46" showDropDown="0" showInputMessage="0" showErrorMessage="0" allowBlank="0" type="list">
      <formula1>"Technical_Support,Account_Manager,Emergency_Contact,Billing,Executive,Data_Protection_Officer,Security_Team"</formula1>
    </dataValidation>
    <dataValidation sqref="A47" showDropDown="0" showInputMessage="0" showErrorMessage="0" allowBlank="0" type="list">
      <formula1>=Source_Inventory!$A$5:$A$104</formula1>
    </dataValidation>
    <dataValidation sqref="C47" showDropDown="0" showInputMessage="0" showErrorMessage="0" allowBlank="0" type="list">
      <formula1>"Technical_Support,Account_Manager,Emergency_Contact,Billing,Executive,Data_Protection_Officer,Security_Team"</formula1>
    </dataValidation>
    <dataValidation sqref="A48" showDropDown="0" showInputMessage="0" showErrorMessage="0" allowBlank="0" type="list">
      <formula1>=Source_Inventory!$A$5:$A$104</formula1>
    </dataValidation>
    <dataValidation sqref="C48" showDropDown="0" showInputMessage="0" showErrorMessage="0" allowBlank="0" type="list">
      <formula1>"Technical_Support,Account_Manager,Emergency_Contact,Billing,Executive,Data_Protection_Officer,Security_Team"</formula1>
    </dataValidation>
    <dataValidation sqref="A49" showDropDown="0" showInputMessage="0" showErrorMessage="0" allowBlank="0" type="list">
      <formula1>=Source_Inventory!$A$5:$A$104</formula1>
    </dataValidation>
    <dataValidation sqref="C49" showDropDown="0" showInputMessage="0" showErrorMessage="0" allowBlank="0" type="list">
      <formula1>"Technical_Support,Account_Manager,Emergency_Contact,Billing,Executive,Data_Protection_Officer,Security_Team"</formula1>
    </dataValidation>
    <dataValidation sqref="A50" showDropDown="0" showInputMessage="0" showErrorMessage="0" allowBlank="0" type="list">
      <formula1>=Source_Inventory!$A$5:$A$104</formula1>
    </dataValidation>
    <dataValidation sqref="C50" showDropDown="0" showInputMessage="0" showErrorMessage="0" allowBlank="0" type="list">
      <formula1>"Technical_Support,Account_Manager,Emergency_Contact,Billing,Executive,Data_Protection_Officer,Security_Team"</formula1>
    </dataValidation>
    <dataValidation sqref="A51" showDropDown="0" showInputMessage="0" showErrorMessage="0" allowBlank="0" type="list">
      <formula1>=Source_Inventory!$A$5:$A$104</formula1>
    </dataValidation>
    <dataValidation sqref="C51" showDropDown="0" showInputMessage="0" showErrorMessage="0" allowBlank="0" type="list">
      <formula1>"Technical_Support,Account_Manager,Emergency_Contact,Billing,Executive,Data_Protection_Officer,Security_Team"</formula1>
    </dataValidation>
    <dataValidation sqref="A52" showDropDown="0" showInputMessage="0" showErrorMessage="0" allowBlank="0" type="list">
      <formula1>=Source_Inventory!$A$5:$A$104</formula1>
    </dataValidation>
    <dataValidation sqref="C52" showDropDown="0" showInputMessage="0" showErrorMessage="0" allowBlank="0" type="list">
      <formula1>"Technical_Support,Account_Manager,Emergency_Contact,Billing,Executive,Data_Protection_Officer,Security_Team"</formula1>
    </dataValidation>
    <dataValidation sqref="A53" showDropDown="0" showInputMessage="0" showErrorMessage="0" allowBlank="0" type="list">
      <formula1>=Source_Inventory!$A$5:$A$104</formula1>
    </dataValidation>
    <dataValidation sqref="C53" showDropDown="0" showInputMessage="0" showErrorMessage="0" allowBlank="0" type="list">
      <formula1>"Technical_Support,Account_Manager,Emergency_Contact,Billing,Executive,Data_Protection_Officer,Security_Team"</formula1>
    </dataValidation>
    <dataValidation sqref="A54" showDropDown="0" showInputMessage="0" showErrorMessage="0" allowBlank="0" type="list">
      <formula1>=Source_Inventory!$A$5:$A$104</formula1>
    </dataValidation>
    <dataValidation sqref="C54" showDropDown="0" showInputMessage="0" showErrorMessage="0" allowBlank="0" type="list">
      <formula1>"Technical_Support,Account_Manager,Emergency_Contact,Billing,Executive,Data_Protection_Officer,Security_Team"</formula1>
    </dataValidation>
    <dataValidation sqref="A55" showDropDown="0" showInputMessage="0" showErrorMessage="0" allowBlank="0" type="list">
      <formula1>=Source_Inventory!$A$5:$A$104</formula1>
    </dataValidation>
    <dataValidation sqref="C55" showDropDown="0" showInputMessage="0" showErrorMessage="0" allowBlank="0" type="list">
      <formula1>"Technical_Support,Account_Manager,Emergency_Contact,Billing,Executive,Data_Protection_Officer,Security_Team"</formula1>
    </dataValidation>
    <dataValidation sqref="A56" showDropDown="0" showInputMessage="0" showErrorMessage="0" allowBlank="0" type="list">
      <formula1>=Source_Inventory!$A$5:$A$104</formula1>
    </dataValidation>
    <dataValidation sqref="C56" showDropDown="0" showInputMessage="0" showErrorMessage="0" allowBlank="0" type="list">
      <formula1>"Technical_Support,Account_Manager,Emergency_Contact,Billing,Executive,Data_Protection_Officer,Security_Team"</formula1>
    </dataValidation>
    <dataValidation sqref="A57" showDropDown="0" showInputMessage="0" showErrorMessage="0" allowBlank="0" type="list">
      <formula1>=Source_Inventory!$A$5:$A$104</formula1>
    </dataValidation>
    <dataValidation sqref="C57" showDropDown="0" showInputMessage="0" showErrorMessage="0" allowBlank="0" type="list">
      <formula1>"Technical_Support,Account_Manager,Emergency_Contact,Billing,Executive,Data_Protection_Officer,Security_Team"</formula1>
    </dataValidation>
    <dataValidation sqref="A58" showDropDown="0" showInputMessage="0" showErrorMessage="0" allowBlank="0" type="list">
      <formula1>=Source_Inventory!$A$5:$A$104</formula1>
    </dataValidation>
    <dataValidation sqref="C58" showDropDown="0" showInputMessage="0" showErrorMessage="0" allowBlank="0" type="list">
      <formula1>"Technical_Support,Account_Manager,Emergency_Contact,Billing,Executive,Data_Protection_Officer,Security_Team"</formula1>
    </dataValidation>
    <dataValidation sqref="A59" showDropDown="0" showInputMessage="0" showErrorMessage="0" allowBlank="0" type="list">
      <formula1>=Source_Inventory!$A$5:$A$104</formula1>
    </dataValidation>
    <dataValidation sqref="C59" showDropDown="0" showInputMessage="0" showErrorMessage="0" allowBlank="0" type="list">
      <formula1>"Technical_Support,Account_Manager,Emergency_Contact,Billing,Executive,Data_Protection_Officer,Security_Team"</formula1>
    </dataValidation>
    <dataValidation sqref="A60" showDropDown="0" showInputMessage="0" showErrorMessage="0" allowBlank="0" type="list">
      <formula1>=Source_Inventory!$A$5:$A$104</formula1>
    </dataValidation>
    <dataValidation sqref="C60" showDropDown="0" showInputMessage="0" showErrorMessage="0" allowBlank="0" type="list">
      <formula1>"Technical_Support,Account_Manager,Emergency_Contact,Billing,Executive,Data_Protection_Officer,Security_Team"</formula1>
    </dataValidation>
    <dataValidation sqref="A61" showDropDown="0" showInputMessage="0" showErrorMessage="0" allowBlank="0" type="list">
      <formula1>=Source_Inventory!$A$5:$A$104</formula1>
    </dataValidation>
    <dataValidation sqref="C61" showDropDown="0" showInputMessage="0" showErrorMessage="0" allowBlank="0" type="list">
      <formula1>"Technical_Support,Account_Manager,Emergency_Contact,Billing,Executive,Data_Protection_Officer,Security_Team"</formula1>
    </dataValidation>
    <dataValidation sqref="A62" showDropDown="0" showInputMessage="0" showErrorMessage="0" allowBlank="0" type="list">
      <formula1>=Source_Inventory!$A$5:$A$104</formula1>
    </dataValidation>
    <dataValidation sqref="C62" showDropDown="0" showInputMessage="0" showErrorMessage="0" allowBlank="0" type="list">
      <formula1>"Technical_Support,Account_Manager,Emergency_Contact,Billing,Executive,Data_Protection_Officer,Security_Team"</formula1>
    </dataValidation>
    <dataValidation sqref="A63" showDropDown="0" showInputMessage="0" showErrorMessage="0" allowBlank="0" type="list">
      <formula1>=Source_Inventory!$A$5:$A$104</formula1>
    </dataValidation>
    <dataValidation sqref="C63" showDropDown="0" showInputMessage="0" showErrorMessage="0" allowBlank="0" type="list">
      <formula1>"Technical_Support,Account_Manager,Emergency_Contact,Billing,Executive,Data_Protection_Officer,Security_Team"</formula1>
    </dataValidation>
    <dataValidation sqref="A64" showDropDown="0" showInputMessage="0" showErrorMessage="0" allowBlank="0" type="list">
      <formula1>=Source_Inventory!$A$5:$A$104</formula1>
    </dataValidation>
    <dataValidation sqref="C64" showDropDown="0" showInputMessage="0" showErrorMessage="0" allowBlank="0" type="list">
      <formula1>"Technical_Support,Account_Manager,Emergency_Contact,Billing,Executive,Data_Protection_Officer,Security_Team"</formula1>
    </dataValidation>
    <dataValidation sqref="A65" showDropDown="0" showInputMessage="0" showErrorMessage="0" allowBlank="0" type="list">
      <formula1>=Source_Inventory!$A$5:$A$104</formula1>
    </dataValidation>
    <dataValidation sqref="C65" showDropDown="0" showInputMessage="0" showErrorMessage="0" allowBlank="0" type="list">
      <formula1>"Technical_Support,Account_Manager,Emergency_Contact,Billing,Executive,Data_Protection_Officer,Security_Team"</formula1>
    </dataValidation>
    <dataValidation sqref="A66" showDropDown="0" showInputMessage="0" showErrorMessage="0" allowBlank="0" type="list">
      <formula1>=Source_Inventory!$A$5:$A$104</formula1>
    </dataValidation>
    <dataValidation sqref="C66" showDropDown="0" showInputMessage="0" showErrorMessage="0" allowBlank="0" type="list">
      <formula1>"Technical_Support,Account_Manager,Emergency_Contact,Billing,Executive,Data_Protection_Officer,Security_Team"</formula1>
    </dataValidation>
    <dataValidation sqref="A67" showDropDown="0" showInputMessage="0" showErrorMessage="0" allowBlank="0" type="list">
      <formula1>=Source_Inventory!$A$5:$A$104</formula1>
    </dataValidation>
    <dataValidation sqref="C67" showDropDown="0" showInputMessage="0" showErrorMessage="0" allowBlank="0" type="list">
      <formula1>"Technical_Support,Account_Manager,Emergency_Contact,Billing,Executive,Data_Protection_Officer,Security_Team"</formula1>
    </dataValidation>
    <dataValidation sqref="A68" showDropDown="0" showInputMessage="0" showErrorMessage="0" allowBlank="0" type="list">
      <formula1>=Source_Inventory!$A$5:$A$104</formula1>
    </dataValidation>
    <dataValidation sqref="C68" showDropDown="0" showInputMessage="0" showErrorMessage="0" allowBlank="0" type="list">
      <formula1>"Technical_Support,Account_Manager,Emergency_Contact,Billing,Executive,Data_Protection_Officer,Security_Team"</formula1>
    </dataValidation>
    <dataValidation sqref="A69" showDropDown="0" showInputMessage="0" showErrorMessage="0" allowBlank="0" type="list">
      <formula1>=Source_Inventory!$A$5:$A$104</formula1>
    </dataValidation>
    <dataValidation sqref="C69" showDropDown="0" showInputMessage="0" showErrorMessage="0" allowBlank="0" type="list">
      <formula1>"Technical_Support,Account_Manager,Emergency_Contact,Billing,Executive,Data_Protection_Officer,Security_Team"</formula1>
    </dataValidation>
    <dataValidation sqref="A70" showDropDown="0" showInputMessage="0" showErrorMessage="0" allowBlank="0" type="list">
      <formula1>=Source_Inventory!$A$5:$A$104</formula1>
    </dataValidation>
    <dataValidation sqref="C70" showDropDown="0" showInputMessage="0" showErrorMessage="0" allowBlank="0" type="list">
      <formula1>"Technical_Support,Account_Manager,Emergency_Contact,Billing,Executive,Data_Protection_Officer,Security_Team"</formula1>
    </dataValidation>
    <dataValidation sqref="A71" showDropDown="0" showInputMessage="0" showErrorMessage="0" allowBlank="0" type="list">
      <formula1>=Source_Inventory!$A$5:$A$104</formula1>
    </dataValidation>
    <dataValidation sqref="C71" showDropDown="0" showInputMessage="0" showErrorMessage="0" allowBlank="0" type="list">
      <formula1>"Technical_Support,Account_Manager,Emergency_Contact,Billing,Executive,Data_Protection_Officer,Security_Team"</formula1>
    </dataValidation>
    <dataValidation sqref="A72" showDropDown="0" showInputMessage="0" showErrorMessage="0" allowBlank="0" type="list">
      <formula1>=Source_Inventory!$A$5:$A$104</formula1>
    </dataValidation>
    <dataValidation sqref="C72" showDropDown="0" showInputMessage="0" showErrorMessage="0" allowBlank="0" type="list">
      <formula1>"Technical_Support,Account_Manager,Emergency_Contact,Billing,Executive,Data_Protection_Officer,Security_Team"</formula1>
    </dataValidation>
    <dataValidation sqref="A73" showDropDown="0" showInputMessage="0" showErrorMessage="0" allowBlank="0" type="list">
      <formula1>=Source_Inventory!$A$5:$A$104</formula1>
    </dataValidation>
    <dataValidation sqref="C73" showDropDown="0" showInputMessage="0" showErrorMessage="0" allowBlank="0" type="list">
      <formula1>"Technical_Support,Account_Manager,Emergency_Contact,Billing,Executive,Data_Protection_Officer,Security_Team"</formula1>
    </dataValidation>
    <dataValidation sqref="A74" showDropDown="0" showInputMessage="0" showErrorMessage="0" allowBlank="0" type="list">
      <formula1>=Source_Inventory!$A$5:$A$104</formula1>
    </dataValidation>
    <dataValidation sqref="C74" showDropDown="0" showInputMessage="0" showErrorMessage="0" allowBlank="0" type="list">
      <formula1>"Technical_Support,Account_Manager,Emergency_Contact,Billing,Executive,Data_Protection_Officer,Security_Team"</formula1>
    </dataValidation>
    <dataValidation sqref="A75" showDropDown="0" showInputMessage="0" showErrorMessage="0" allowBlank="0" type="list">
      <formula1>=Source_Inventory!$A$5:$A$104</formula1>
    </dataValidation>
    <dataValidation sqref="C75" showDropDown="0" showInputMessage="0" showErrorMessage="0" allowBlank="0" type="list">
      <formula1>"Technical_Support,Account_Manager,Emergency_Contact,Billing,Executive,Data_Protection_Officer,Security_Team"</formula1>
    </dataValidation>
    <dataValidation sqref="A76" showDropDown="0" showInputMessage="0" showErrorMessage="0" allowBlank="0" type="list">
      <formula1>=Source_Inventory!$A$5:$A$104</formula1>
    </dataValidation>
    <dataValidation sqref="C76" showDropDown="0" showInputMessage="0" showErrorMessage="0" allowBlank="0" type="list">
      <formula1>"Technical_Support,Account_Manager,Emergency_Contact,Billing,Executive,Data_Protection_Officer,Security_Team"</formula1>
    </dataValidation>
    <dataValidation sqref="A77" showDropDown="0" showInputMessage="0" showErrorMessage="0" allowBlank="0" type="list">
      <formula1>=Source_Inventory!$A$5:$A$104</formula1>
    </dataValidation>
    <dataValidation sqref="C77" showDropDown="0" showInputMessage="0" showErrorMessage="0" allowBlank="0" type="list">
      <formula1>"Technical_Support,Account_Manager,Emergency_Contact,Billing,Executive,Data_Protection_Officer,Security_Team"</formula1>
    </dataValidation>
    <dataValidation sqref="A78" showDropDown="0" showInputMessage="0" showErrorMessage="0" allowBlank="0" type="list">
      <formula1>=Source_Inventory!$A$5:$A$104</formula1>
    </dataValidation>
    <dataValidation sqref="C78" showDropDown="0" showInputMessage="0" showErrorMessage="0" allowBlank="0" type="list">
      <formula1>"Technical_Support,Account_Manager,Emergency_Contact,Billing,Executive,Data_Protection_Officer,Security_Team"</formula1>
    </dataValidation>
    <dataValidation sqref="A79" showDropDown="0" showInputMessage="0" showErrorMessage="0" allowBlank="0" type="list">
      <formula1>=Source_Inventory!$A$5:$A$104</formula1>
    </dataValidation>
    <dataValidation sqref="C79" showDropDown="0" showInputMessage="0" showErrorMessage="0" allowBlank="0" type="list">
      <formula1>"Technical_Support,Account_Manager,Emergency_Contact,Billing,Executive,Data_Protection_Officer,Security_Team"</formula1>
    </dataValidation>
    <dataValidation sqref="A80" showDropDown="0" showInputMessage="0" showErrorMessage="0" allowBlank="0" type="list">
      <formula1>=Source_Inventory!$A$5:$A$104</formula1>
    </dataValidation>
    <dataValidation sqref="C80" showDropDown="0" showInputMessage="0" showErrorMessage="0" allowBlank="0" type="list">
      <formula1>"Technical_Support,Account_Manager,Emergency_Contact,Billing,Executive,Data_Protection_Officer,Security_Team"</formula1>
    </dataValidation>
    <dataValidation sqref="A81" showDropDown="0" showInputMessage="0" showErrorMessage="0" allowBlank="0" type="list">
      <formula1>=Source_Inventory!$A$5:$A$104</formula1>
    </dataValidation>
    <dataValidation sqref="C81" showDropDown="0" showInputMessage="0" showErrorMessage="0" allowBlank="0" type="list">
      <formula1>"Technical_Support,Account_Manager,Emergency_Contact,Billing,Executive,Data_Protection_Officer,Security_Team"</formula1>
    </dataValidation>
    <dataValidation sqref="A82" showDropDown="0" showInputMessage="0" showErrorMessage="0" allowBlank="0" type="list">
      <formula1>=Source_Inventory!$A$5:$A$104</formula1>
    </dataValidation>
    <dataValidation sqref="C82" showDropDown="0" showInputMessage="0" showErrorMessage="0" allowBlank="0" type="list">
      <formula1>"Technical_Support,Account_Manager,Emergency_Contact,Billing,Executive,Data_Protection_Officer,Security_Team"</formula1>
    </dataValidation>
    <dataValidation sqref="A83" showDropDown="0" showInputMessage="0" showErrorMessage="0" allowBlank="0" type="list">
      <formula1>=Source_Inventory!$A$5:$A$104</formula1>
    </dataValidation>
    <dataValidation sqref="C83" showDropDown="0" showInputMessage="0" showErrorMessage="0" allowBlank="0" type="list">
      <formula1>"Technical_Support,Account_Manager,Emergency_Contact,Billing,Executive,Data_Protection_Officer,Security_Team"</formula1>
    </dataValidation>
    <dataValidation sqref="A84" showDropDown="0" showInputMessage="0" showErrorMessage="0" allowBlank="0" type="list">
      <formula1>=Source_Inventory!$A$5:$A$104</formula1>
    </dataValidation>
    <dataValidation sqref="C84" showDropDown="0" showInputMessage="0" showErrorMessage="0" allowBlank="0" type="list">
      <formula1>"Technical_Support,Account_Manager,Emergency_Contact,Billing,Executive,Data_Protection_Officer,Security_Team"</formula1>
    </dataValidation>
    <dataValidation sqref="A85" showDropDown="0" showInputMessage="0" showErrorMessage="0" allowBlank="0" type="list">
      <formula1>=Source_Inventory!$A$5:$A$104</formula1>
    </dataValidation>
    <dataValidation sqref="C85" showDropDown="0" showInputMessage="0" showErrorMessage="0" allowBlank="0" type="list">
      <formula1>"Technical_Support,Account_Manager,Emergency_Contact,Billing,Executive,Data_Protection_Officer,Security_Team"</formula1>
    </dataValidation>
    <dataValidation sqref="A86" showDropDown="0" showInputMessage="0" showErrorMessage="0" allowBlank="0" type="list">
      <formula1>=Source_Inventory!$A$5:$A$104</formula1>
    </dataValidation>
    <dataValidation sqref="C86" showDropDown="0" showInputMessage="0" showErrorMessage="0" allowBlank="0" type="list">
      <formula1>"Technical_Support,Account_Manager,Emergency_Contact,Billing,Executive,Data_Protection_Officer,Security_Team"</formula1>
    </dataValidation>
    <dataValidation sqref="A87" showDropDown="0" showInputMessage="0" showErrorMessage="0" allowBlank="0" type="list">
      <formula1>=Source_Inventory!$A$5:$A$104</formula1>
    </dataValidation>
    <dataValidation sqref="C87" showDropDown="0" showInputMessage="0" showErrorMessage="0" allowBlank="0" type="list">
      <formula1>"Technical_Support,Account_Manager,Emergency_Contact,Billing,Executive,Data_Protection_Officer,Security_Team"</formula1>
    </dataValidation>
    <dataValidation sqref="A88" showDropDown="0" showInputMessage="0" showErrorMessage="0" allowBlank="0" type="list">
      <formula1>=Source_Inventory!$A$5:$A$104</formula1>
    </dataValidation>
    <dataValidation sqref="C88" showDropDown="0" showInputMessage="0" showErrorMessage="0" allowBlank="0" type="list">
      <formula1>"Technical_Support,Account_Manager,Emergency_Contact,Billing,Executive,Data_Protection_Officer,Security_Team"</formula1>
    </dataValidation>
    <dataValidation sqref="A89" showDropDown="0" showInputMessage="0" showErrorMessage="0" allowBlank="0" type="list">
      <formula1>=Source_Inventory!$A$5:$A$104</formula1>
    </dataValidation>
    <dataValidation sqref="C89" showDropDown="0" showInputMessage="0" showErrorMessage="0" allowBlank="0" type="list">
      <formula1>"Technical_Support,Account_Manager,Emergency_Contact,Billing,Executive,Data_Protection_Officer,Security_Team"</formula1>
    </dataValidation>
    <dataValidation sqref="A90" showDropDown="0" showInputMessage="0" showErrorMessage="0" allowBlank="0" type="list">
      <formula1>=Source_Inventory!$A$5:$A$104</formula1>
    </dataValidation>
    <dataValidation sqref="C90" showDropDown="0" showInputMessage="0" showErrorMessage="0" allowBlank="0" type="list">
      <formula1>"Technical_Support,Account_Manager,Emergency_Contact,Billing,Executive,Data_Protection_Officer,Security_Team"</formula1>
    </dataValidation>
    <dataValidation sqref="A91" showDropDown="0" showInputMessage="0" showErrorMessage="0" allowBlank="0" type="list">
      <formula1>=Source_Inventory!$A$5:$A$104</formula1>
    </dataValidation>
    <dataValidation sqref="C91" showDropDown="0" showInputMessage="0" showErrorMessage="0" allowBlank="0" type="list">
      <formula1>"Technical_Support,Account_Manager,Emergency_Contact,Billing,Executive,Data_Protection_Officer,Security_Team"</formula1>
    </dataValidation>
    <dataValidation sqref="A92" showDropDown="0" showInputMessage="0" showErrorMessage="0" allowBlank="0" type="list">
      <formula1>=Source_Inventory!$A$5:$A$104</formula1>
    </dataValidation>
    <dataValidation sqref="C92" showDropDown="0" showInputMessage="0" showErrorMessage="0" allowBlank="0" type="list">
      <formula1>"Technical_Support,Account_Manager,Emergency_Contact,Billing,Executive,Data_Protection_Officer,Security_Team"</formula1>
    </dataValidation>
    <dataValidation sqref="A93" showDropDown="0" showInputMessage="0" showErrorMessage="0" allowBlank="0" type="list">
      <formula1>=Source_Inventory!$A$5:$A$104</formula1>
    </dataValidation>
    <dataValidation sqref="C93" showDropDown="0" showInputMessage="0" showErrorMessage="0" allowBlank="0" type="list">
      <formula1>"Technical_Support,Account_Manager,Emergency_Contact,Billing,Executive,Data_Protection_Officer,Security_Team"</formula1>
    </dataValidation>
    <dataValidation sqref="A94" showDropDown="0" showInputMessage="0" showErrorMessage="0" allowBlank="0" type="list">
      <formula1>=Source_Inventory!$A$5:$A$104</formula1>
    </dataValidation>
    <dataValidation sqref="C94" showDropDown="0" showInputMessage="0" showErrorMessage="0" allowBlank="0" type="list">
      <formula1>"Technical_Support,Account_Manager,Emergency_Contact,Billing,Executive,Data_Protection_Officer,Security_Team"</formula1>
    </dataValidation>
    <dataValidation sqref="A95" showDropDown="0" showInputMessage="0" showErrorMessage="0" allowBlank="0" type="list">
      <formula1>=Source_Inventory!$A$5:$A$104</formula1>
    </dataValidation>
    <dataValidation sqref="C95" showDropDown="0" showInputMessage="0" showErrorMessage="0" allowBlank="0" type="list">
      <formula1>"Technical_Support,Account_Manager,Emergency_Contact,Billing,Executive,Data_Protection_Officer,Security_Team"</formula1>
    </dataValidation>
    <dataValidation sqref="A96" showDropDown="0" showInputMessage="0" showErrorMessage="0" allowBlank="0" type="list">
      <formula1>=Source_Inventory!$A$5:$A$104</formula1>
    </dataValidation>
    <dataValidation sqref="C96" showDropDown="0" showInputMessage="0" showErrorMessage="0" allowBlank="0" type="list">
      <formula1>"Technical_Support,Account_Manager,Emergency_Contact,Billing,Executive,Data_Protection_Officer,Security_Team"</formula1>
    </dataValidation>
    <dataValidation sqref="A97" showDropDown="0" showInputMessage="0" showErrorMessage="0" allowBlank="0" type="list">
      <formula1>=Source_Inventory!$A$5:$A$104</formula1>
    </dataValidation>
    <dataValidation sqref="C97" showDropDown="0" showInputMessage="0" showErrorMessage="0" allowBlank="0" type="list">
      <formula1>"Technical_Support,Account_Manager,Emergency_Contact,Billing,Executive,Data_Protection_Officer,Security_Team"</formula1>
    </dataValidation>
    <dataValidation sqref="A98" showDropDown="0" showInputMessage="0" showErrorMessage="0" allowBlank="0" type="list">
      <formula1>=Source_Inventory!$A$5:$A$104</formula1>
    </dataValidation>
    <dataValidation sqref="C98" showDropDown="0" showInputMessage="0" showErrorMessage="0" allowBlank="0" type="list">
      <formula1>"Technical_Support,Account_Manager,Emergency_Contact,Billing,Executive,Data_Protection_Officer,Security_Team"</formula1>
    </dataValidation>
    <dataValidation sqref="A99" showDropDown="0" showInputMessage="0" showErrorMessage="0" allowBlank="0" type="list">
      <formula1>=Source_Inventory!$A$5:$A$104</formula1>
    </dataValidation>
    <dataValidation sqref="C99" showDropDown="0" showInputMessage="0" showErrorMessage="0" allowBlank="0" type="list">
      <formula1>"Technical_Support,Account_Manager,Emergency_Contact,Billing,Executive,Data_Protection_Officer,Security_Team"</formula1>
    </dataValidation>
    <dataValidation sqref="A100" showDropDown="0" showInputMessage="0" showErrorMessage="0" allowBlank="0" type="list">
      <formula1>=Source_Inventory!$A$5:$A$104</formula1>
    </dataValidation>
    <dataValidation sqref="C100" showDropDown="0" showInputMessage="0" showErrorMessage="0" allowBlank="0" type="list">
      <formula1>"Technical_Support,Account_Manager,Emergency_Contact,Billing,Executive,Data_Protection_Officer,Security_Team"</formula1>
    </dataValidation>
    <dataValidation sqref="A101" showDropDown="0" showInputMessage="0" showErrorMessage="0" allowBlank="0" type="list">
      <formula1>=Source_Inventory!$A$5:$A$104</formula1>
    </dataValidation>
    <dataValidation sqref="C101" showDropDown="0" showInputMessage="0" showErrorMessage="0" allowBlank="0" type="list">
      <formula1>"Technical_Support,Account_Manager,Emergency_Contact,Billing,Executive,Data_Protection_Officer,Security_Team"</formula1>
    </dataValidation>
    <dataValidation sqref="A102" showDropDown="0" showInputMessage="0" showErrorMessage="0" allowBlank="0" type="list">
      <formula1>=Source_Inventory!$A$5:$A$104</formula1>
    </dataValidation>
    <dataValidation sqref="C102" showDropDown="0" showInputMessage="0" showErrorMessage="0" allowBlank="0" type="list">
      <formula1>"Technical_Support,Account_Manager,Emergency_Contact,Billing,Executive,Data_Protection_Officer,Security_Team"</formula1>
    </dataValidation>
    <dataValidation sqref="A103" showDropDown="0" showInputMessage="0" showErrorMessage="0" allowBlank="0" type="list">
      <formula1>=Source_Inventory!$A$5:$A$104</formula1>
    </dataValidation>
    <dataValidation sqref="C103" showDropDown="0" showInputMessage="0" showErrorMessage="0" allowBlank="0" type="list">
      <formula1>"Technical_Support,Account_Manager,Emergency_Contact,Billing,Executive,Data_Protection_Officer,Security_Team"</formula1>
    </dataValidation>
    <dataValidation sqref="A104" showDropDown="0" showInputMessage="0" showErrorMessage="0" allowBlank="0" type="list">
      <formula1>=Source_Inventory!$A$5:$A$104</formula1>
    </dataValidation>
    <dataValidation sqref="C104" showDropDown="0" showInputMessage="0" showErrorMessage="0" allowBlank="0" type="list">
      <formula1>"Technical_Support,Account_Manager,Emergency_Contact,Billing,Executive,Data_Protection_Officer,Security_Team"</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104"/>
  <sheetViews>
    <sheetView workbookViewId="0">
      <selection activeCell="A1" sqref="A1"/>
    </sheetView>
  </sheetViews>
  <sheetFormatPr baseColWidth="8" defaultRowHeight="15"/>
  <sheetData>
    <row r="1">
      <c r="A1" s="1" t="inlineStr">
        <is>
          <t>Vendor SLAs - Performance vs. Contractual Commitments</t>
        </is>
      </c>
    </row>
    <row r="4">
      <c r="A4" s="15" t="inlineStr">
        <is>
          <t>SLA_Record_ID</t>
        </is>
      </c>
      <c r="B4" s="15" t="inlineStr">
        <is>
          <t>Source_ID</t>
        </is>
      </c>
      <c r="C4" s="15" t="inlineStr">
        <is>
          <t>Source_Name</t>
        </is>
      </c>
      <c r="D4" s="15" t="inlineStr">
        <is>
          <t>SLA_Metric</t>
        </is>
      </c>
      <c r="E4" s="15" t="inlineStr">
        <is>
          <t>Contractual_Target</t>
        </is>
      </c>
      <c r="F4" s="15" t="inlineStr">
        <is>
          <t>Contractual_Target_Numeric</t>
        </is>
      </c>
      <c r="G4" s="15" t="inlineStr">
        <is>
          <t>Actual_Performance</t>
        </is>
      </c>
      <c r="H4" s="15" t="inlineStr">
        <is>
          <t>Actual_Performance_Numeric</t>
        </is>
      </c>
      <c r="I4" s="15" t="inlineStr">
        <is>
          <t>Performance_Variance</t>
        </is>
      </c>
      <c r="J4" s="15" t="inlineStr">
        <is>
          <t>Measurement_Period</t>
        </is>
      </c>
      <c r="K4" s="15" t="inlineStr">
        <is>
          <t>Measurement_Start_Date</t>
        </is>
      </c>
      <c r="L4" s="15" t="inlineStr">
        <is>
          <t>Measurement_End_Date</t>
        </is>
      </c>
      <c r="M4" s="15" t="inlineStr">
        <is>
          <t>SLA_Status</t>
        </is>
      </c>
      <c r="N4" s="15" t="inlineStr">
        <is>
          <t>SLA_Breach_Count</t>
        </is>
      </c>
      <c r="O4" s="15" t="inlineStr">
        <is>
          <t>Penalty_Clause</t>
        </is>
      </c>
      <c r="P4" s="15" t="inlineStr">
        <is>
          <t>Penalty_Amount</t>
        </is>
      </c>
      <c r="Q4" s="15" t="inlineStr">
        <is>
          <t>Penalty_Applied</t>
        </is>
      </c>
      <c r="R4" s="15" t="inlineStr">
        <is>
          <t>Penalty_Application_Date</t>
        </is>
      </c>
      <c r="S4" s="15" t="inlineStr">
        <is>
          <t>Credit_Received</t>
        </is>
      </c>
      <c r="T4" s="15" t="inlineStr">
        <is>
          <t>Escalated_To_Vendor</t>
        </is>
      </c>
      <c r="U4" s="15" t="inlineStr">
        <is>
          <t>Escalation_Date</t>
        </is>
      </c>
      <c r="V4" s="15" t="inlineStr">
        <is>
          <t>Vendor_Response</t>
        </is>
      </c>
      <c r="W4" s="15" t="inlineStr">
        <is>
          <t>Last_Review_Date</t>
        </is>
      </c>
      <c r="X4" s="15" t="inlineStr">
        <is>
          <t>Next_Review_Date</t>
        </is>
      </c>
      <c r="Y4" s="15" t="inlineStr">
        <is>
          <t>Reviewer</t>
        </is>
      </c>
      <c r="Z4" s="15" t="inlineStr">
        <is>
          <t>Notes</t>
        </is>
      </c>
    </row>
    <row r="5">
      <c r="C5">
        <f>IFERROR(VLOOKUP(B5,Source_Inventory!$A$5:$P$104,2,FALSE),"[Not Found]")</f>
        <v/>
      </c>
      <c r="I5">
        <f>IF(AND(H5&lt;&gt;"",F5&lt;&gt;""),H5-F5,"")</f>
        <v/>
      </c>
    </row>
    <row r="6">
      <c r="C6">
        <f>IFERROR(VLOOKUP(B6,Source_Inventory!$A$5:$P$104,2,FALSE),"[Not Found]")</f>
        <v/>
      </c>
      <c r="I6">
        <f>IF(AND(H6&lt;&gt;"",F6&lt;&gt;""),H6-F6,"")</f>
        <v/>
      </c>
    </row>
    <row r="7">
      <c r="C7">
        <f>IFERROR(VLOOKUP(B7,Source_Inventory!$A$5:$P$104,2,FALSE),"[Not Found]")</f>
        <v/>
      </c>
      <c r="I7">
        <f>IF(AND(H7&lt;&gt;"",F7&lt;&gt;""),H7-F7,"")</f>
        <v/>
      </c>
    </row>
    <row r="8">
      <c r="C8">
        <f>IFERROR(VLOOKUP(B8,Source_Inventory!$A$5:$P$104,2,FALSE),"[Not Found]")</f>
        <v/>
      </c>
      <c r="I8">
        <f>IF(AND(H8&lt;&gt;"",F8&lt;&gt;""),H8-F8,"")</f>
        <v/>
      </c>
    </row>
    <row r="9">
      <c r="C9">
        <f>IFERROR(VLOOKUP(B9,Source_Inventory!$A$5:$P$104,2,FALSE),"[Not Found]")</f>
        <v/>
      </c>
      <c r="I9">
        <f>IF(AND(H9&lt;&gt;"",F9&lt;&gt;""),H9-F9,"")</f>
        <v/>
      </c>
    </row>
    <row r="10">
      <c r="C10">
        <f>IFERROR(VLOOKUP(B10,Source_Inventory!$A$5:$P$104,2,FALSE),"[Not Found]")</f>
        <v/>
      </c>
      <c r="I10">
        <f>IF(AND(H10&lt;&gt;"",F10&lt;&gt;""),H10-F10,"")</f>
        <v/>
      </c>
    </row>
    <row r="11">
      <c r="C11">
        <f>IFERROR(VLOOKUP(B11,Source_Inventory!$A$5:$P$104,2,FALSE),"[Not Found]")</f>
        <v/>
      </c>
      <c r="I11">
        <f>IF(AND(H11&lt;&gt;"",F11&lt;&gt;""),H11-F11,"")</f>
        <v/>
      </c>
    </row>
    <row r="12">
      <c r="C12">
        <f>IFERROR(VLOOKUP(B12,Source_Inventory!$A$5:$P$104,2,FALSE),"[Not Found]")</f>
        <v/>
      </c>
      <c r="I12">
        <f>IF(AND(H12&lt;&gt;"",F12&lt;&gt;""),H12-F12,"")</f>
        <v/>
      </c>
    </row>
    <row r="13">
      <c r="C13">
        <f>IFERROR(VLOOKUP(B13,Source_Inventory!$A$5:$P$104,2,FALSE),"[Not Found]")</f>
        <v/>
      </c>
      <c r="I13">
        <f>IF(AND(H13&lt;&gt;"",F13&lt;&gt;""),H13-F13,"")</f>
        <v/>
      </c>
    </row>
    <row r="14">
      <c r="C14">
        <f>IFERROR(VLOOKUP(B14,Source_Inventory!$A$5:$P$104,2,FALSE),"[Not Found]")</f>
        <v/>
      </c>
      <c r="I14">
        <f>IF(AND(H14&lt;&gt;"",F14&lt;&gt;""),H14-F14,"")</f>
        <v/>
      </c>
    </row>
    <row r="15">
      <c r="C15">
        <f>IFERROR(VLOOKUP(B15,Source_Inventory!$A$5:$P$104,2,FALSE),"[Not Found]")</f>
        <v/>
      </c>
      <c r="I15">
        <f>IF(AND(H15&lt;&gt;"",F15&lt;&gt;""),H15-F15,"")</f>
        <v/>
      </c>
    </row>
    <row r="16">
      <c r="C16">
        <f>IFERROR(VLOOKUP(B16,Source_Inventory!$A$5:$P$104,2,FALSE),"[Not Found]")</f>
        <v/>
      </c>
      <c r="I16">
        <f>IF(AND(H16&lt;&gt;"",F16&lt;&gt;""),H16-F16,"")</f>
        <v/>
      </c>
    </row>
    <row r="17">
      <c r="C17">
        <f>IFERROR(VLOOKUP(B17,Source_Inventory!$A$5:$P$104,2,FALSE),"[Not Found]")</f>
        <v/>
      </c>
      <c r="I17">
        <f>IF(AND(H17&lt;&gt;"",F17&lt;&gt;""),H17-F17,"")</f>
        <v/>
      </c>
    </row>
    <row r="18">
      <c r="C18">
        <f>IFERROR(VLOOKUP(B18,Source_Inventory!$A$5:$P$104,2,FALSE),"[Not Found]")</f>
        <v/>
      </c>
      <c r="I18">
        <f>IF(AND(H18&lt;&gt;"",F18&lt;&gt;""),H18-F18,"")</f>
        <v/>
      </c>
    </row>
    <row r="19">
      <c r="C19">
        <f>IFERROR(VLOOKUP(B19,Source_Inventory!$A$5:$P$104,2,FALSE),"[Not Found]")</f>
        <v/>
      </c>
      <c r="I19">
        <f>IF(AND(H19&lt;&gt;"",F19&lt;&gt;""),H19-F19,"")</f>
        <v/>
      </c>
    </row>
    <row r="20">
      <c r="C20">
        <f>IFERROR(VLOOKUP(B20,Source_Inventory!$A$5:$P$104,2,FALSE),"[Not Found]")</f>
        <v/>
      </c>
      <c r="I20">
        <f>IF(AND(H20&lt;&gt;"",F20&lt;&gt;""),H20-F20,"")</f>
        <v/>
      </c>
    </row>
    <row r="21">
      <c r="C21">
        <f>IFERROR(VLOOKUP(B21,Source_Inventory!$A$5:$P$104,2,FALSE),"[Not Found]")</f>
        <v/>
      </c>
      <c r="I21">
        <f>IF(AND(H21&lt;&gt;"",F21&lt;&gt;""),H21-F21,"")</f>
        <v/>
      </c>
    </row>
    <row r="22">
      <c r="C22">
        <f>IFERROR(VLOOKUP(B22,Source_Inventory!$A$5:$P$104,2,FALSE),"[Not Found]")</f>
        <v/>
      </c>
      <c r="I22">
        <f>IF(AND(H22&lt;&gt;"",F22&lt;&gt;""),H22-F22,"")</f>
        <v/>
      </c>
    </row>
    <row r="23">
      <c r="C23">
        <f>IFERROR(VLOOKUP(B23,Source_Inventory!$A$5:$P$104,2,FALSE),"[Not Found]")</f>
        <v/>
      </c>
      <c r="I23">
        <f>IF(AND(H23&lt;&gt;"",F23&lt;&gt;""),H23-F23,"")</f>
        <v/>
      </c>
    </row>
    <row r="24">
      <c r="C24">
        <f>IFERROR(VLOOKUP(B24,Source_Inventory!$A$5:$P$104,2,FALSE),"[Not Found]")</f>
        <v/>
      </c>
      <c r="I24">
        <f>IF(AND(H24&lt;&gt;"",F24&lt;&gt;""),H24-F24,"")</f>
        <v/>
      </c>
    </row>
    <row r="25">
      <c r="C25">
        <f>IFERROR(VLOOKUP(B25,Source_Inventory!$A$5:$P$104,2,FALSE),"[Not Found]")</f>
        <v/>
      </c>
      <c r="I25">
        <f>IF(AND(H25&lt;&gt;"",F25&lt;&gt;""),H25-F25,"")</f>
        <v/>
      </c>
    </row>
    <row r="26">
      <c r="C26">
        <f>IFERROR(VLOOKUP(B26,Source_Inventory!$A$5:$P$104,2,FALSE),"[Not Found]")</f>
        <v/>
      </c>
      <c r="I26">
        <f>IF(AND(H26&lt;&gt;"",F26&lt;&gt;""),H26-F26,"")</f>
        <v/>
      </c>
    </row>
    <row r="27">
      <c r="C27">
        <f>IFERROR(VLOOKUP(B27,Source_Inventory!$A$5:$P$104,2,FALSE),"[Not Found]")</f>
        <v/>
      </c>
      <c r="I27">
        <f>IF(AND(H27&lt;&gt;"",F27&lt;&gt;""),H27-F27,"")</f>
        <v/>
      </c>
    </row>
    <row r="28">
      <c r="C28">
        <f>IFERROR(VLOOKUP(B28,Source_Inventory!$A$5:$P$104,2,FALSE),"[Not Found]")</f>
        <v/>
      </c>
      <c r="I28">
        <f>IF(AND(H28&lt;&gt;"",F28&lt;&gt;""),H28-F28,"")</f>
        <v/>
      </c>
    </row>
    <row r="29">
      <c r="C29">
        <f>IFERROR(VLOOKUP(B29,Source_Inventory!$A$5:$P$104,2,FALSE),"[Not Found]")</f>
        <v/>
      </c>
      <c r="I29">
        <f>IF(AND(H29&lt;&gt;"",F29&lt;&gt;""),H29-F29,"")</f>
        <v/>
      </c>
    </row>
    <row r="30">
      <c r="C30">
        <f>IFERROR(VLOOKUP(B30,Source_Inventory!$A$5:$P$104,2,FALSE),"[Not Found]")</f>
        <v/>
      </c>
      <c r="I30">
        <f>IF(AND(H30&lt;&gt;"",F30&lt;&gt;""),H30-F30,"")</f>
        <v/>
      </c>
    </row>
    <row r="31">
      <c r="C31">
        <f>IFERROR(VLOOKUP(B31,Source_Inventory!$A$5:$P$104,2,FALSE),"[Not Found]")</f>
        <v/>
      </c>
      <c r="I31">
        <f>IF(AND(H31&lt;&gt;"",F31&lt;&gt;""),H31-F31,"")</f>
        <v/>
      </c>
    </row>
    <row r="32">
      <c r="C32">
        <f>IFERROR(VLOOKUP(B32,Source_Inventory!$A$5:$P$104,2,FALSE),"[Not Found]")</f>
        <v/>
      </c>
      <c r="I32">
        <f>IF(AND(H32&lt;&gt;"",F32&lt;&gt;""),H32-F32,"")</f>
        <v/>
      </c>
    </row>
    <row r="33">
      <c r="C33">
        <f>IFERROR(VLOOKUP(B33,Source_Inventory!$A$5:$P$104,2,FALSE),"[Not Found]")</f>
        <v/>
      </c>
      <c r="I33">
        <f>IF(AND(H33&lt;&gt;"",F33&lt;&gt;""),H33-F33,"")</f>
        <v/>
      </c>
    </row>
    <row r="34">
      <c r="C34">
        <f>IFERROR(VLOOKUP(B34,Source_Inventory!$A$5:$P$104,2,FALSE),"[Not Found]")</f>
        <v/>
      </c>
      <c r="I34">
        <f>IF(AND(H34&lt;&gt;"",F34&lt;&gt;""),H34-F34,"")</f>
        <v/>
      </c>
    </row>
    <row r="35">
      <c r="C35">
        <f>IFERROR(VLOOKUP(B35,Source_Inventory!$A$5:$P$104,2,FALSE),"[Not Found]")</f>
        <v/>
      </c>
      <c r="I35">
        <f>IF(AND(H35&lt;&gt;"",F35&lt;&gt;""),H35-F35,"")</f>
        <v/>
      </c>
    </row>
    <row r="36">
      <c r="C36">
        <f>IFERROR(VLOOKUP(B36,Source_Inventory!$A$5:$P$104,2,FALSE),"[Not Found]")</f>
        <v/>
      </c>
      <c r="I36">
        <f>IF(AND(H36&lt;&gt;"",F36&lt;&gt;""),H36-F36,"")</f>
        <v/>
      </c>
    </row>
    <row r="37">
      <c r="C37">
        <f>IFERROR(VLOOKUP(B37,Source_Inventory!$A$5:$P$104,2,FALSE),"[Not Found]")</f>
        <v/>
      </c>
      <c r="I37">
        <f>IF(AND(H37&lt;&gt;"",F37&lt;&gt;""),H37-F37,"")</f>
        <v/>
      </c>
    </row>
    <row r="38">
      <c r="C38">
        <f>IFERROR(VLOOKUP(B38,Source_Inventory!$A$5:$P$104,2,FALSE),"[Not Found]")</f>
        <v/>
      </c>
      <c r="I38">
        <f>IF(AND(H38&lt;&gt;"",F38&lt;&gt;""),H38-F38,"")</f>
        <v/>
      </c>
    </row>
    <row r="39">
      <c r="C39">
        <f>IFERROR(VLOOKUP(B39,Source_Inventory!$A$5:$P$104,2,FALSE),"[Not Found]")</f>
        <v/>
      </c>
      <c r="I39">
        <f>IF(AND(H39&lt;&gt;"",F39&lt;&gt;""),H39-F39,"")</f>
        <v/>
      </c>
    </row>
    <row r="40">
      <c r="C40">
        <f>IFERROR(VLOOKUP(B40,Source_Inventory!$A$5:$P$104,2,FALSE),"[Not Found]")</f>
        <v/>
      </c>
      <c r="I40">
        <f>IF(AND(H40&lt;&gt;"",F40&lt;&gt;""),H40-F40,"")</f>
        <v/>
      </c>
    </row>
    <row r="41">
      <c r="C41">
        <f>IFERROR(VLOOKUP(B41,Source_Inventory!$A$5:$P$104,2,FALSE),"[Not Found]")</f>
        <v/>
      </c>
      <c r="I41">
        <f>IF(AND(H41&lt;&gt;"",F41&lt;&gt;""),H41-F41,"")</f>
        <v/>
      </c>
    </row>
    <row r="42">
      <c r="C42">
        <f>IFERROR(VLOOKUP(B42,Source_Inventory!$A$5:$P$104,2,FALSE),"[Not Found]")</f>
        <v/>
      </c>
      <c r="I42">
        <f>IF(AND(H42&lt;&gt;"",F42&lt;&gt;""),H42-F42,"")</f>
        <v/>
      </c>
    </row>
    <row r="43">
      <c r="C43">
        <f>IFERROR(VLOOKUP(B43,Source_Inventory!$A$5:$P$104,2,FALSE),"[Not Found]")</f>
        <v/>
      </c>
      <c r="I43">
        <f>IF(AND(H43&lt;&gt;"",F43&lt;&gt;""),H43-F43,"")</f>
        <v/>
      </c>
    </row>
    <row r="44">
      <c r="C44">
        <f>IFERROR(VLOOKUP(B44,Source_Inventory!$A$5:$P$104,2,FALSE),"[Not Found]")</f>
        <v/>
      </c>
      <c r="I44">
        <f>IF(AND(H44&lt;&gt;"",F44&lt;&gt;""),H44-F44,"")</f>
        <v/>
      </c>
    </row>
    <row r="45">
      <c r="C45">
        <f>IFERROR(VLOOKUP(B45,Source_Inventory!$A$5:$P$104,2,FALSE),"[Not Found]")</f>
        <v/>
      </c>
      <c r="I45">
        <f>IF(AND(H45&lt;&gt;"",F45&lt;&gt;""),H45-F45,"")</f>
        <v/>
      </c>
    </row>
    <row r="46">
      <c r="C46">
        <f>IFERROR(VLOOKUP(B46,Source_Inventory!$A$5:$P$104,2,FALSE),"[Not Found]")</f>
        <v/>
      </c>
      <c r="I46">
        <f>IF(AND(H46&lt;&gt;"",F46&lt;&gt;""),H46-F46,"")</f>
        <v/>
      </c>
    </row>
    <row r="47">
      <c r="C47">
        <f>IFERROR(VLOOKUP(B47,Source_Inventory!$A$5:$P$104,2,FALSE),"[Not Found]")</f>
        <v/>
      </c>
      <c r="I47">
        <f>IF(AND(H47&lt;&gt;"",F47&lt;&gt;""),H47-F47,"")</f>
        <v/>
      </c>
    </row>
    <row r="48">
      <c r="C48">
        <f>IFERROR(VLOOKUP(B48,Source_Inventory!$A$5:$P$104,2,FALSE),"[Not Found]")</f>
        <v/>
      </c>
      <c r="I48">
        <f>IF(AND(H48&lt;&gt;"",F48&lt;&gt;""),H48-F48,"")</f>
        <v/>
      </c>
    </row>
    <row r="49">
      <c r="C49">
        <f>IFERROR(VLOOKUP(B49,Source_Inventory!$A$5:$P$104,2,FALSE),"[Not Found]")</f>
        <v/>
      </c>
      <c r="I49">
        <f>IF(AND(H49&lt;&gt;"",F49&lt;&gt;""),H49-F49,"")</f>
        <v/>
      </c>
    </row>
    <row r="50">
      <c r="C50">
        <f>IFERROR(VLOOKUP(B50,Source_Inventory!$A$5:$P$104,2,FALSE),"[Not Found]")</f>
        <v/>
      </c>
      <c r="I50">
        <f>IF(AND(H50&lt;&gt;"",F50&lt;&gt;""),H50-F50,"")</f>
        <v/>
      </c>
    </row>
    <row r="51">
      <c r="C51">
        <f>IFERROR(VLOOKUP(B51,Source_Inventory!$A$5:$P$104,2,FALSE),"[Not Found]")</f>
        <v/>
      </c>
      <c r="I51">
        <f>IF(AND(H51&lt;&gt;"",F51&lt;&gt;""),H51-F51,"")</f>
        <v/>
      </c>
    </row>
    <row r="52">
      <c r="C52">
        <f>IFERROR(VLOOKUP(B52,Source_Inventory!$A$5:$P$104,2,FALSE),"[Not Found]")</f>
        <v/>
      </c>
      <c r="I52">
        <f>IF(AND(H52&lt;&gt;"",F52&lt;&gt;""),H52-F52,"")</f>
        <v/>
      </c>
    </row>
    <row r="53">
      <c r="C53">
        <f>IFERROR(VLOOKUP(B53,Source_Inventory!$A$5:$P$104,2,FALSE),"[Not Found]")</f>
        <v/>
      </c>
      <c r="I53">
        <f>IF(AND(H53&lt;&gt;"",F53&lt;&gt;""),H53-F53,"")</f>
        <v/>
      </c>
    </row>
    <row r="54">
      <c r="C54">
        <f>IFERROR(VLOOKUP(B54,Source_Inventory!$A$5:$P$104,2,FALSE),"[Not Found]")</f>
        <v/>
      </c>
      <c r="I54">
        <f>IF(AND(H54&lt;&gt;"",F54&lt;&gt;""),H54-F54,"")</f>
        <v/>
      </c>
    </row>
    <row r="55">
      <c r="C55">
        <f>IFERROR(VLOOKUP(B55,Source_Inventory!$A$5:$P$104,2,FALSE),"[Not Found]")</f>
        <v/>
      </c>
      <c r="I55">
        <f>IF(AND(H55&lt;&gt;"",F55&lt;&gt;""),H55-F55,"")</f>
        <v/>
      </c>
    </row>
    <row r="56">
      <c r="C56">
        <f>IFERROR(VLOOKUP(B56,Source_Inventory!$A$5:$P$104,2,FALSE),"[Not Found]")</f>
        <v/>
      </c>
      <c r="I56">
        <f>IF(AND(H56&lt;&gt;"",F56&lt;&gt;""),H56-F56,"")</f>
        <v/>
      </c>
    </row>
    <row r="57">
      <c r="C57">
        <f>IFERROR(VLOOKUP(B57,Source_Inventory!$A$5:$P$104,2,FALSE),"[Not Found]")</f>
        <v/>
      </c>
      <c r="I57">
        <f>IF(AND(H57&lt;&gt;"",F57&lt;&gt;""),H57-F57,"")</f>
        <v/>
      </c>
    </row>
    <row r="58">
      <c r="C58">
        <f>IFERROR(VLOOKUP(B58,Source_Inventory!$A$5:$P$104,2,FALSE),"[Not Found]")</f>
        <v/>
      </c>
      <c r="I58">
        <f>IF(AND(H58&lt;&gt;"",F58&lt;&gt;""),H58-F58,"")</f>
        <v/>
      </c>
    </row>
    <row r="59">
      <c r="C59">
        <f>IFERROR(VLOOKUP(B59,Source_Inventory!$A$5:$P$104,2,FALSE),"[Not Found]")</f>
        <v/>
      </c>
      <c r="I59">
        <f>IF(AND(H59&lt;&gt;"",F59&lt;&gt;""),H59-F59,"")</f>
        <v/>
      </c>
    </row>
    <row r="60">
      <c r="C60">
        <f>IFERROR(VLOOKUP(B60,Source_Inventory!$A$5:$P$104,2,FALSE),"[Not Found]")</f>
        <v/>
      </c>
      <c r="I60">
        <f>IF(AND(H60&lt;&gt;"",F60&lt;&gt;""),H60-F60,"")</f>
        <v/>
      </c>
    </row>
    <row r="61">
      <c r="C61">
        <f>IFERROR(VLOOKUP(B61,Source_Inventory!$A$5:$P$104,2,FALSE),"[Not Found]")</f>
        <v/>
      </c>
      <c r="I61">
        <f>IF(AND(H61&lt;&gt;"",F61&lt;&gt;""),H61-F61,"")</f>
        <v/>
      </c>
    </row>
    <row r="62">
      <c r="C62">
        <f>IFERROR(VLOOKUP(B62,Source_Inventory!$A$5:$P$104,2,FALSE),"[Not Found]")</f>
        <v/>
      </c>
      <c r="I62">
        <f>IF(AND(H62&lt;&gt;"",F62&lt;&gt;""),H62-F62,"")</f>
        <v/>
      </c>
    </row>
    <row r="63">
      <c r="C63">
        <f>IFERROR(VLOOKUP(B63,Source_Inventory!$A$5:$P$104,2,FALSE),"[Not Found]")</f>
        <v/>
      </c>
      <c r="I63">
        <f>IF(AND(H63&lt;&gt;"",F63&lt;&gt;""),H63-F63,"")</f>
        <v/>
      </c>
    </row>
    <row r="64">
      <c r="C64">
        <f>IFERROR(VLOOKUP(B64,Source_Inventory!$A$5:$P$104,2,FALSE),"[Not Found]")</f>
        <v/>
      </c>
      <c r="I64">
        <f>IF(AND(H64&lt;&gt;"",F64&lt;&gt;""),H64-F64,"")</f>
        <v/>
      </c>
    </row>
    <row r="65">
      <c r="C65">
        <f>IFERROR(VLOOKUP(B65,Source_Inventory!$A$5:$P$104,2,FALSE),"[Not Found]")</f>
        <v/>
      </c>
      <c r="I65">
        <f>IF(AND(H65&lt;&gt;"",F65&lt;&gt;""),H65-F65,"")</f>
        <v/>
      </c>
    </row>
    <row r="66">
      <c r="C66">
        <f>IFERROR(VLOOKUP(B66,Source_Inventory!$A$5:$P$104,2,FALSE),"[Not Found]")</f>
        <v/>
      </c>
      <c r="I66">
        <f>IF(AND(H66&lt;&gt;"",F66&lt;&gt;""),H66-F66,"")</f>
        <v/>
      </c>
    </row>
    <row r="67">
      <c r="C67">
        <f>IFERROR(VLOOKUP(B67,Source_Inventory!$A$5:$P$104,2,FALSE),"[Not Found]")</f>
        <v/>
      </c>
      <c r="I67">
        <f>IF(AND(H67&lt;&gt;"",F67&lt;&gt;""),H67-F67,"")</f>
        <v/>
      </c>
    </row>
    <row r="68">
      <c r="C68">
        <f>IFERROR(VLOOKUP(B68,Source_Inventory!$A$5:$P$104,2,FALSE),"[Not Found]")</f>
        <v/>
      </c>
      <c r="I68">
        <f>IF(AND(H68&lt;&gt;"",F68&lt;&gt;""),H68-F68,"")</f>
        <v/>
      </c>
    </row>
    <row r="69">
      <c r="C69">
        <f>IFERROR(VLOOKUP(B69,Source_Inventory!$A$5:$P$104,2,FALSE),"[Not Found]")</f>
        <v/>
      </c>
      <c r="I69">
        <f>IF(AND(H69&lt;&gt;"",F69&lt;&gt;""),H69-F69,"")</f>
        <v/>
      </c>
    </row>
    <row r="70">
      <c r="C70">
        <f>IFERROR(VLOOKUP(B70,Source_Inventory!$A$5:$P$104,2,FALSE),"[Not Found]")</f>
        <v/>
      </c>
      <c r="I70">
        <f>IF(AND(H70&lt;&gt;"",F70&lt;&gt;""),H70-F70,"")</f>
        <v/>
      </c>
    </row>
    <row r="71">
      <c r="C71">
        <f>IFERROR(VLOOKUP(B71,Source_Inventory!$A$5:$P$104,2,FALSE),"[Not Found]")</f>
        <v/>
      </c>
      <c r="I71">
        <f>IF(AND(H71&lt;&gt;"",F71&lt;&gt;""),H71-F71,"")</f>
        <v/>
      </c>
    </row>
    <row r="72">
      <c r="C72">
        <f>IFERROR(VLOOKUP(B72,Source_Inventory!$A$5:$P$104,2,FALSE),"[Not Found]")</f>
        <v/>
      </c>
      <c r="I72">
        <f>IF(AND(H72&lt;&gt;"",F72&lt;&gt;""),H72-F72,"")</f>
        <v/>
      </c>
    </row>
    <row r="73">
      <c r="C73">
        <f>IFERROR(VLOOKUP(B73,Source_Inventory!$A$5:$P$104,2,FALSE),"[Not Found]")</f>
        <v/>
      </c>
      <c r="I73">
        <f>IF(AND(H73&lt;&gt;"",F73&lt;&gt;""),H73-F73,"")</f>
        <v/>
      </c>
    </row>
    <row r="74">
      <c r="C74">
        <f>IFERROR(VLOOKUP(B74,Source_Inventory!$A$5:$P$104,2,FALSE),"[Not Found]")</f>
        <v/>
      </c>
      <c r="I74">
        <f>IF(AND(H74&lt;&gt;"",F74&lt;&gt;""),H74-F74,"")</f>
        <v/>
      </c>
    </row>
    <row r="75">
      <c r="C75">
        <f>IFERROR(VLOOKUP(B75,Source_Inventory!$A$5:$P$104,2,FALSE),"[Not Found]")</f>
        <v/>
      </c>
      <c r="I75">
        <f>IF(AND(H75&lt;&gt;"",F75&lt;&gt;""),H75-F75,"")</f>
        <v/>
      </c>
    </row>
    <row r="76">
      <c r="C76">
        <f>IFERROR(VLOOKUP(B76,Source_Inventory!$A$5:$P$104,2,FALSE),"[Not Found]")</f>
        <v/>
      </c>
      <c r="I76">
        <f>IF(AND(H76&lt;&gt;"",F76&lt;&gt;""),H76-F76,"")</f>
        <v/>
      </c>
    </row>
    <row r="77">
      <c r="C77">
        <f>IFERROR(VLOOKUP(B77,Source_Inventory!$A$5:$P$104,2,FALSE),"[Not Found]")</f>
        <v/>
      </c>
      <c r="I77">
        <f>IF(AND(H77&lt;&gt;"",F77&lt;&gt;""),H77-F77,"")</f>
        <v/>
      </c>
    </row>
    <row r="78">
      <c r="C78">
        <f>IFERROR(VLOOKUP(B78,Source_Inventory!$A$5:$P$104,2,FALSE),"[Not Found]")</f>
        <v/>
      </c>
      <c r="I78">
        <f>IF(AND(H78&lt;&gt;"",F78&lt;&gt;""),H78-F78,"")</f>
        <v/>
      </c>
    </row>
    <row r="79">
      <c r="C79">
        <f>IFERROR(VLOOKUP(B79,Source_Inventory!$A$5:$P$104,2,FALSE),"[Not Found]")</f>
        <v/>
      </c>
      <c r="I79">
        <f>IF(AND(H79&lt;&gt;"",F79&lt;&gt;""),H79-F79,"")</f>
        <v/>
      </c>
    </row>
    <row r="80">
      <c r="C80">
        <f>IFERROR(VLOOKUP(B80,Source_Inventory!$A$5:$P$104,2,FALSE),"[Not Found]")</f>
        <v/>
      </c>
      <c r="I80">
        <f>IF(AND(H80&lt;&gt;"",F80&lt;&gt;""),H80-F80,"")</f>
        <v/>
      </c>
    </row>
    <row r="81">
      <c r="C81">
        <f>IFERROR(VLOOKUP(B81,Source_Inventory!$A$5:$P$104,2,FALSE),"[Not Found]")</f>
        <v/>
      </c>
      <c r="I81">
        <f>IF(AND(H81&lt;&gt;"",F81&lt;&gt;""),H81-F81,"")</f>
        <v/>
      </c>
    </row>
    <row r="82">
      <c r="C82">
        <f>IFERROR(VLOOKUP(B82,Source_Inventory!$A$5:$P$104,2,FALSE),"[Not Found]")</f>
        <v/>
      </c>
      <c r="I82">
        <f>IF(AND(H82&lt;&gt;"",F82&lt;&gt;""),H82-F82,"")</f>
        <v/>
      </c>
    </row>
    <row r="83">
      <c r="C83">
        <f>IFERROR(VLOOKUP(B83,Source_Inventory!$A$5:$P$104,2,FALSE),"[Not Found]")</f>
        <v/>
      </c>
      <c r="I83">
        <f>IF(AND(H83&lt;&gt;"",F83&lt;&gt;""),H83-F83,"")</f>
        <v/>
      </c>
    </row>
    <row r="84">
      <c r="C84">
        <f>IFERROR(VLOOKUP(B84,Source_Inventory!$A$5:$P$104,2,FALSE),"[Not Found]")</f>
        <v/>
      </c>
      <c r="I84">
        <f>IF(AND(H84&lt;&gt;"",F84&lt;&gt;""),H84-F84,"")</f>
        <v/>
      </c>
    </row>
    <row r="85">
      <c r="C85">
        <f>IFERROR(VLOOKUP(B85,Source_Inventory!$A$5:$P$104,2,FALSE),"[Not Found]")</f>
        <v/>
      </c>
      <c r="I85">
        <f>IF(AND(H85&lt;&gt;"",F85&lt;&gt;""),H85-F85,"")</f>
        <v/>
      </c>
    </row>
    <row r="86">
      <c r="C86">
        <f>IFERROR(VLOOKUP(B86,Source_Inventory!$A$5:$P$104,2,FALSE),"[Not Found]")</f>
        <v/>
      </c>
      <c r="I86">
        <f>IF(AND(H86&lt;&gt;"",F86&lt;&gt;""),H86-F86,"")</f>
        <v/>
      </c>
    </row>
    <row r="87">
      <c r="C87">
        <f>IFERROR(VLOOKUP(B87,Source_Inventory!$A$5:$P$104,2,FALSE),"[Not Found]")</f>
        <v/>
      </c>
      <c r="I87">
        <f>IF(AND(H87&lt;&gt;"",F87&lt;&gt;""),H87-F87,"")</f>
        <v/>
      </c>
    </row>
    <row r="88">
      <c r="C88">
        <f>IFERROR(VLOOKUP(B88,Source_Inventory!$A$5:$P$104,2,FALSE),"[Not Found]")</f>
        <v/>
      </c>
      <c r="I88">
        <f>IF(AND(H88&lt;&gt;"",F88&lt;&gt;""),H88-F88,"")</f>
        <v/>
      </c>
    </row>
    <row r="89">
      <c r="C89">
        <f>IFERROR(VLOOKUP(B89,Source_Inventory!$A$5:$P$104,2,FALSE),"[Not Found]")</f>
        <v/>
      </c>
      <c r="I89">
        <f>IF(AND(H89&lt;&gt;"",F89&lt;&gt;""),H89-F89,"")</f>
        <v/>
      </c>
    </row>
    <row r="90">
      <c r="C90">
        <f>IFERROR(VLOOKUP(B90,Source_Inventory!$A$5:$P$104,2,FALSE),"[Not Found]")</f>
        <v/>
      </c>
      <c r="I90">
        <f>IF(AND(H90&lt;&gt;"",F90&lt;&gt;""),H90-F90,"")</f>
        <v/>
      </c>
    </row>
    <row r="91">
      <c r="C91">
        <f>IFERROR(VLOOKUP(B91,Source_Inventory!$A$5:$P$104,2,FALSE),"[Not Found]")</f>
        <v/>
      </c>
      <c r="I91">
        <f>IF(AND(H91&lt;&gt;"",F91&lt;&gt;""),H91-F91,"")</f>
        <v/>
      </c>
    </row>
    <row r="92">
      <c r="C92">
        <f>IFERROR(VLOOKUP(B92,Source_Inventory!$A$5:$P$104,2,FALSE),"[Not Found]")</f>
        <v/>
      </c>
      <c r="I92">
        <f>IF(AND(H92&lt;&gt;"",F92&lt;&gt;""),H92-F92,"")</f>
        <v/>
      </c>
    </row>
    <row r="93">
      <c r="C93">
        <f>IFERROR(VLOOKUP(B93,Source_Inventory!$A$5:$P$104,2,FALSE),"[Not Found]")</f>
        <v/>
      </c>
      <c r="I93">
        <f>IF(AND(H93&lt;&gt;"",F93&lt;&gt;""),H93-F93,"")</f>
        <v/>
      </c>
    </row>
    <row r="94">
      <c r="C94">
        <f>IFERROR(VLOOKUP(B94,Source_Inventory!$A$5:$P$104,2,FALSE),"[Not Found]")</f>
        <v/>
      </c>
      <c r="I94">
        <f>IF(AND(H94&lt;&gt;"",F94&lt;&gt;""),H94-F94,"")</f>
        <v/>
      </c>
    </row>
    <row r="95">
      <c r="C95">
        <f>IFERROR(VLOOKUP(B95,Source_Inventory!$A$5:$P$104,2,FALSE),"[Not Found]")</f>
        <v/>
      </c>
      <c r="I95">
        <f>IF(AND(H95&lt;&gt;"",F95&lt;&gt;""),H95-F95,"")</f>
        <v/>
      </c>
    </row>
    <row r="96">
      <c r="C96">
        <f>IFERROR(VLOOKUP(B96,Source_Inventory!$A$5:$P$104,2,FALSE),"[Not Found]")</f>
        <v/>
      </c>
      <c r="I96">
        <f>IF(AND(H96&lt;&gt;"",F96&lt;&gt;""),H96-F96,"")</f>
        <v/>
      </c>
    </row>
    <row r="97">
      <c r="C97">
        <f>IFERROR(VLOOKUP(B97,Source_Inventory!$A$5:$P$104,2,FALSE),"[Not Found]")</f>
        <v/>
      </c>
      <c r="I97">
        <f>IF(AND(H97&lt;&gt;"",F97&lt;&gt;""),H97-F97,"")</f>
        <v/>
      </c>
    </row>
    <row r="98">
      <c r="C98">
        <f>IFERROR(VLOOKUP(B98,Source_Inventory!$A$5:$P$104,2,FALSE),"[Not Found]")</f>
        <v/>
      </c>
      <c r="I98">
        <f>IF(AND(H98&lt;&gt;"",F98&lt;&gt;""),H98-F98,"")</f>
        <v/>
      </c>
    </row>
    <row r="99">
      <c r="C99">
        <f>IFERROR(VLOOKUP(B99,Source_Inventory!$A$5:$P$104,2,FALSE),"[Not Found]")</f>
        <v/>
      </c>
      <c r="I99">
        <f>IF(AND(H99&lt;&gt;"",F99&lt;&gt;""),H99-F99,"")</f>
        <v/>
      </c>
    </row>
    <row r="100">
      <c r="C100">
        <f>IFERROR(VLOOKUP(B100,Source_Inventory!$A$5:$P$104,2,FALSE),"[Not Found]")</f>
        <v/>
      </c>
      <c r="I100">
        <f>IF(AND(H100&lt;&gt;"",F100&lt;&gt;""),H100-F100,"")</f>
        <v/>
      </c>
    </row>
    <row r="101">
      <c r="C101">
        <f>IFERROR(VLOOKUP(B101,Source_Inventory!$A$5:$P$104,2,FALSE),"[Not Found]")</f>
        <v/>
      </c>
      <c r="I101">
        <f>IF(AND(H101&lt;&gt;"",F101&lt;&gt;""),H101-F101,"")</f>
        <v/>
      </c>
    </row>
    <row r="102">
      <c r="C102">
        <f>IFERROR(VLOOKUP(B102,Source_Inventory!$A$5:$P$104,2,FALSE),"[Not Found]")</f>
        <v/>
      </c>
      <c r="I102">
        <f>IF(AND(H102&lt;&gt;"",F102&lt;&gt;""),H102-F102,"")</f>
        <v/>
      </c>
    </row>
    <row r="103">
      <c r="C103">
        <f>IFERROR(VLOOKUP(B103,Source_Inventory!$A$5:$P$104,2,FALSE),"[Not Found]")</f>
        <v/>
      </c>
      <c r="I103">
        <f>IF(AND(H103&lt;&gt;"",F103&lt;&gt;""),H103-F103,"")</f>
        <v/>
      </c>
    </row>
    <row r="104">
      <c r="C104">
        <f>IFERROR(VLOOKUP(B104,Source_Inventory!$A$5:$P$104,2,FALSE),"[Not Found]")</f>
        <v/>
      </c>
      <c r="I104">
        <f>IF(AND(H104&lt;&gt;"",F104&lt;&gt;""),H104-F104,"")</f>
        <v/>
      </c>
    </row>
  </sheetData>
  <mergeCells count="1">
    <mergeCell ref="A1:X1"/>
  </mergeCells>
  <conditionalFormatting sqref="M5:M104">
    <cfRule type="cellIs" priority="1" operator="equal" dxfId="5">
      <formula>"Missed"</formula>
    </cfRule>
    <cfRule type="cellIs" priority="2" operator="equal" dxfId="0">
      <formula>"Exceeded"</formula>
    </cfRule>
  </conditionalFormatting>
  <dataValidations count="100">
    <dataValidation sqref="B5" showDropDown="0" showInputMessage="0" showErrorMessage="0" allowBlank="0" type="list">
      <formula1>=Source_Inventory!$A$5:$A$104</formula1>
    </dataValidation>
    <dataValidation sqref="B6" showDropDown="0" showInputMessage="0" showErrorMessage="0" allowBlank="0" type="list">
      <formula1>=Source_Inventory!$A$5:$A$104</formula1>
    </dataValidation>
    <dataValidation sqref="B7" showDropDown="0" showInputMessage="0" showErrorMessage="0" allowBlank="0" type="list">
      <formula1>=Source_Inventory!$A$5:$A$104</formula1>
    </dataValidation>
    <dataValidation sqref="B8" showDropDown="0" showInputMessage="0" showErrorMessage="0" allowBlank="0" type="list">
      <formula1>=Source_Inventory!$A$5:$A$104</formula1>
    </dataValidation>
    <dataValidation sqref="B9" showDropDown="0" showInputMessage="0" showErrorMessage="0" allowBlank="0" type="list">
      <formula1>=Source_Inventory!$A$5:$A$104</formula1>
    </dataValidation>
    <dataValidation sqref="B10" showDropDown="0" showInputMessage="0" showErrorMessage="0" allowBlank="0" type="list">
      <formula1>=Source_Inventory!$A$5:$A$104</formula1>
    </dataValidation>
    <dataValidation sqref="B11" showDropDown="0" showInputMessage="0" showErrorMessage="0" allowBlank="0" type="list">
      <formula1>=Source_Inventory!$A$5:$A$104</formula1>
    </dataValidation>
    <dataValidation sqref="B12" showDropDown="0" showInputMessage="0" showErrorMessage="0" allowBlank="0" type="list">
      <formula1>=Source_Inventory!$A$5:$A$104</formula1>
    </dataValidation>
    <dataValidation sqref="B13" showDropDown="0" showInputMessage="0" showErrorMessage="0" allowBlank="0" type="list">
      <formula1>=Source_Inventory!$A$5:$A$104</formula1>
    </dataValidation>
    <dataValidation sqref="B14" showDropDown="0" showInputMessage="0" showErrorMessage="0" allowBlank="0" type="list">
      <formula1>=Source_Inventory!$A$5:$A$104</formula1>
    </dataValidation>
    <dataValidation sqref="B15" showDropDown="0" showInputMessage="0" showErrorMessage="0" allowBlank="0" type="list">
      <formula1>=Source_Inventory!$A$5:$A$104</formula1>
    </dataValidation>
    <dataValidation sqref="B16" showDropDown="0" showInputMessage="0" showErrorMessage="0" allowBlank="0" type="list">
      <formula1>=Source_Inventory!$A$5:$A$104</formula1>
    </dataValidation>
    <dataValidation sqref="B17" showDropDown="0" showInputMessage="0" showErrorMessage="0" allowBlank="0" type="list">
      <formula1>=Source_Inventory!$A$5:$A$104</formula1>
    </dataValidation>
    <dataValidation sqref="B18" showDropDown="0" showInputMessage="0" showErrorMessage="0" allowBlank="0" type="list">
      <formula1>=Source_Inventory!$A$5:$A$104</formula1>
    </dataValidation>
    <dataValidation sqref="B19" showDropDown="0" showInputMessage="0" showErrorMessage="0" allowBlank="0" type="list">
      <formula1>=Source_Inventory!$A$5:$A$104</formula1>
    </dataValidation>
    <dataValidation sqref="B20" showDropDown="0" showInputMessage="0" showErrorMessage="0" allowBlank="0" type="list">
      <formula1>=Source_Inventory!$A$5:$A$104</formula1>
    </dataValidation>
    <dataValidation sqref="B21" showDropDown="0" showInputMessage="0" showErrorMessage="0" allowBlank="0" type="list">
      <formula1>=Source_Inventory!$A$5:$A$104</formula1>
    </dataValidation>
    <dataValidation sqref="B22" showDropDown="0" showInputMessage="0" showErrorMessage="0" allowBlank="0" type="list">
      <formula1>=Source_Inventory!$A$5:$A$104</formula1>
    </dataValidation>
    <dataValidation sqref="B23" showDropDown="0" showInputMessage="0" showErrorMessage="0" allowBlank="0" type="list">
      <formula1>=Source_Inventory!$A$5:$A$104</formula1>
    </dataValidation>
    <dataValidation sqref="B24" showDropDown="0" showInputMessage="0" showErrorMessage="0" allowBlank="0" type="list">
      <formula1>=Source_Inventory!$A$5:$A$104</formula1>
    </dataValidation>
    <dataValidation sqref="B25" showDropDown="0" showInputMessage="0" showErrorMessage="0" allowBlank="0" type="list">
      <formula1>=Source_Inventory!$A$5:$A$104</formula1>
    </dataValidation>
    <dataValidation sqref="B26" showDropDown="0" showInputMessage="0" showErrorMessage="0" allowBlank="0" type="list">
      <formula1>=Source_Inventory!$A$5:$A$104</formula1>
    </dataValidation>
    <dataValidation sqref="B27" showDropDown="0" showInputMessage="0" showErrorMessage="0" allowBlank="0" type="list">
      <formula1>=Source_Inventory!$A$5:$A$104</formula1>
    </dataValidation>
    <dataValidation sqref="B28" showDropDown="0" showInputMessage="0" showErrorMessage="0" allowBlank="0" type="list">
      <formula1>=Source_Inventory!$A$5:$A$104</formula1>
    </dataValidation>
    <dataValidation sqref="B29" showDropDown="0" showInputMessage="0" showErrorMessage="0" allowBlank="0" type="list">
      <formula1>=Source_Inventory!$A$5:$A$104</formula1>
    </dataValidation>
    <dataValidation sqref="B30" showDropDown="0" showInputMessage="0" showErrorMessage="0" allowBlank="0" type="list">
      <formula1>=Source_Inventory!$A$5:$A$104</formula1>
    </dataValidation>
    <dataValidation sqref="B31" showDropDown="0" showInputMessage="0" showErrorMessage="0" allowBlank="0" type="list">
      <formula1>=Source_Inventory!$A$5:$A$104</formula1>
    </dataValidation>
    <dataValidation sqref="B32" showDropDown="0" showInputMessage="0" showErrorMessage="0" allowBlank="0" type="list">
      <formula1>=Source_Inventory!$A$5:$A$104</formula1>
    </dataValidation>
    <dataValidation sqref="B33" showDropDown="0" showInputMessage="0" showErrorMessage="0" allowBlank="0" type="list">
      <formula1>=Source_Inventory!$A$5:$A$104</formula1>
    </dataValidation>
    <dataValidation sqref="B34" showDropDown="0" showInputMessage="0" showErrorMessage="0" allowBlank="0" type="list">
      <formula1>=Source_Inventory!$A$5:$A$104</formula1>
    </dataValidation>
    <dataValidation sqref="B35" showDropDown="0" showInputMessage="0" showErrorMessage="0" allowBlank="0" type="list">
      <formula1>=Source_Inventory!$A$5:$A$104</formula1>
    </dataValidation>
    <dataValidation sqref="B36" showDropDown="0" showInputMessage="0" showErrorMessage="0" allowBlank="0" type="list">
      <formula1>=Source_Inventory!$A$5:$A$104</formula1>
    </dataValidation>
    <dataValidation sqref="B37" showDropDown="0" showInputMessage="0" showErrorMessage="0" allowBlank="0" type="list">
      <formula1>=Source_Inventory!$A$5:$A$104</formula1>
    </dataValidation>
    <dataValidation sqref="B38" showDropDown="0" showInputMessage="0" showErrorMessage="0" allowBlank="0" type="list">
      <formula1>=Source_Inventory!$A$5:$A$104</formula1>
    </dataValidation>
    <dataValidation sqref="B39" showDropDown="0" showInputMessage="0" showErrorMessage="0" allowBlank="0" type="list">
      <formula1>=Source_Inventory!$A$5:$A$104</formula1>
    </dataValidation>
    <dataValidation sqref="B40" showDropDown="0" showInputMessage="0" showErrorMessage="0" allowBlank="0" type="list">
      <formula1>=Source_Inventory!$A$5:$A$104</formula1>
    </dataValidation>
    <dataValidation sqref="B41" showDropDown="0" showInputMessage="0" showErrorMessage="0" allowBlank="0" type="list">
      <formula1>=Source_Inventory!$A$5:$A$104</formula1>
    </dataValidation>
    <dataValidation sqref="B42" showDropDown="0" showInputMessage="0" showErrorMessage="0" allowBlank="0" type="list">
      <formula1>=Source_Inventory!$A$5:$A$104</formula1>
    </dataValidation>
    <dataValidation sqref="B43" showDropDown="0" showInputMessage="0" showErrorMessage="0" allowBlank="0" type="list">
      <formula1>=Source_Inventory!$A$5:$A$104</formula1>
    </dataValidation>
    <dataValidation sqref="B44" showDropDown="0" showInputMessage="0" showErrorMessage="0" allowBlank="0" type="list">
      <formula1>=Source_Inventory!$A$5:$A$104</formula1>
    </dataValidation>
    <dataValidation sqref="B45" showDropDown="0" showInputMessage="0" showErrorMessage="0" allowBlank="0" type="list">
      <formula1>=Source_Inventory!$A$5:$A$104</formula1>
    </dataValidation>
    <dataValidation sqref="B46" showDropDown="0" showInputMessage="0" showErrorMessage="0" allowBlank="0" type="list">
      <formula1>=Source_Inventory!$A$5:$A$104</formula1>
    </dataValidation>
    <dataValidation sqref="B47" showDropDown="0" showInputMessage="0" showErrorMessage="0" allowBlank="0" type="list">
      <formula1>=Source_Inventory!$A$5:$A$104</formula1>
    </dataValidation>
    <dataValidation sqref="B48" showDropDown="0" showInputMessage="0" showErrorMessage="0" allowBlank="0" type="list">
      <formula1>=Source_Inventory!$A$5:$A$104</formula1>
    </dataValidation>
    <dataValidation sqref="B49" showDropDown="0" showInputMessage="0" showErrorMessage="0" allowBlank="0" type="list">
      <formula1>=Source_Inventory!$A$5:$A$104</formula1>
    </dataValidation>
    <dataValidation sqref="B50" showDropDown="0" showInputMessage="0" showErrorMessage="0" allowBlank="0" type="list">
      <formula1>=Source_Inventory!$A$5:$A$104</formula1>
    </dataValidation>
    <dataValidation sqref="B51" showDropDown="0" showInputMessage="0" showErrorMessage="0" allowBlank="0" type="list">
      <formula1>=Source_Inventory!$A$5:$A$104</formula1>
    </dataValidation>
    <dataValidation sqref="B52" showDropDown="0" showInputMessage="0" showErrorMessage="0" allowBlank="0" type="list">
      <formula1>=Source_Inventory!$A$5:$A$104</formula1>
    </dataValidation>
    <dataValidation sqref="B53" showDropDown="0" showInputMessage="0" showErrorMessage="0" allowBlank="0" type="list">
      <formula1>=Source_Inventory!$A$5:$A$104</formula1>
    </dataValidation>
    <dataValidation sqref="B54" showDropDown="0" showInputMessage="0" showErrorMessage="0" allowBlank="0" type="list">
      <formula1>=Source_Inventory!$A$5:$A$104</formula1>
    </dataValidation>
    <dataValidation sqref="B55" showDropDown="0" showInputMessage="0" showErrorMessage="0" allowBlank="0" type="list">
      <formula1>=Source_Inventory!$A$5:$A$104</formula1>
    </dataValidation>
    <dataValidation sqref="B56" showDropDown="0" showInputMessage="0" showErrorMessage="0" allowBlank="0" type="list">
      <formula1>=Source_Inventory!$A$5:$A$104</formula1>
    </dataValidation>
    <dataValidation sqref="B57" showDropDown="0" showInputMessage="0" showErrorMessage="0" allowBlank="0" type="list">
      <formula1>=Source_Inventory!$A$5:$A$104</formula1>
    </dataValidation>
    <dataValidation sqref="B58" showDropDown="0" showInputMessage="0" showErrorMessage="0" allowBlank="0" type="list">
      <formula1>=Source_Inventory!$A$5:$A$104</formula1>
    </dataValidation>
    <dataValidation sqref="B59" showDropDown="0" showInputMessage="0" showErrorMessage="0" allowBlank="0" type="list">
      <formula1>=Source_Inventory!$A$5:$A$104</formula1>
    </dataValidation>
    <dataValidation sqref="B60" showDropDown="0" showInputMessage="0" showErrorMessage="0" allowBlank="0" type="list">
      <formula1>=Source_Inventory!$A$5:$A$104</formula1>
    </dataValidation>
    <dataValidation sqref="B61" showDropDown="0" showInputMessage="0" showErrorMessage="0" allowBlank="0" type="list">
      <formula1>=Source_Inventory!$A$5:$A$104</formula1>
    </dataValidation>
    <dataValidation sqref="B62" showDropDown="0" showInputMessage="0" showErrorMessage="0" allowBlank="0" type="list">
      <formula1>=Source_Inventory!$A$5:$A$104</formula1>
    </dataValidation>
    <dataValidation sqref="B63" showDropDown="0" showInputMessage="0" showErrorMessage="0" allowBlank="0" type="list">
      <formula1>=Source_Inventory!$A$5:$A$104</formula1>
    </dataValidation>
    <dataValidation sqref="B64" showDropDown="0" showInputMessage="0" showErrorMessage="0" allowBlank="0" type="list">
      <formula1>=Source_Inventory!$A$5:$A$104</formula1>
    </dataValidation>
    <dataValidation sqref="B65" showDropDown="0" showInputMessage="0" showErrorMessage="0" allowBlank="0" type="list">
      <formula1>=Source_Inventory!$A$5:$A$104</formula1>
    </dataValidation>
    <dataValidation sqref="B66" showDropDown="0" showInputMessage="0" showErrorMessage="0" allowBlank="0" type="list">
      <formula1>=Source_Inventory!$A$5:$A$104</formula1>
    </dataValidation>
    <dataValidation sqref="B67" showDropDown="0" showInputMessage="0" showErrorMessage="0" allowBlank="0" type="list">
      <formula1>=Source_Inventory!$A$5:$A$104</formula1>
    </dataValidation>
    <dataValidation sqref="B68" showDropDown="0" showInputMessage="0" showErrorMessage="0" allowBlank="0" type="list">
      <formula1>=Source_Inventory!$A$5:$A$104</formula1>
    </dataValidation>
    <dataValidation sqref="B69" showDropDown="0" showInputMessage="0" showErrorMessage="0" allowBlank="0" type="list">
      <formula1>=Source_Inventory!$A$5:$A$104</formula1>
    </dataValidation>
    <dataValidation sqref="B70" showDropDown="0" showInputMessage="0" showErrorMessage="0" allowBlank="0" type="list">
      <formula1>=Source_Inventory!$A$5:$A$104</formula1>
    </dataValidation>
    <dataValidation sqref="B71" showDropDown="0" showInputMessage="0" showErrorMessage="0" allowBlank="0" type="list">
      <formula1>=Source_Inventory!$A$5:$A$104</formula1>
    </dataValidation>
    <dataValidation sqref="B72" showDropDown="0" showInputMessage="0" showErrorMessage="0" allowBlank="0" type="list">
      <formula1>=Source_Inventory!$A$5:$A$104</formula1>
    </dataValidation>
    <dataValidation sqref="B73" showDropDown="0" showInputMessage="0" showErrorMessage="0" allowBlank="0" type="list">
      <formula1>=Source_Inventory!$A$5:$A$104</formula1>
    </dataValidation>
    <dataValidation sqref="B74" showDropDown="0" showInputMessage="0" showErrorMessage="0" allowBlank="0" type="list">
      <formula1>=Source_Inventory!$A$5:$A$104</formula1>
    </dataValidation>
    <dataValidation sqref="B75" showDropDown="0" showInputMessage="0" showErrorMessage="0" allowBlank="0" type="list">
      <formula1>=Source_Inventory!$A$5:$A$104</formula1>
    </dataValidation>
    <dataValidation sqref="B76" showDropDown="0" showInputMessage="0" showErrorMessage="0" allowBlank="0" type="list">
      <formula1>=Source_Inventory!$A$5:$A$104</formula1>
    </dataValidation>
    <dataValidation sqref="B77" showDropDown="0" showInputMessage="0" showErrorMessage="0" allowBlank="0" type="list">
      <formula1>=Source_Inventory!$A$5:$A$104</formula1>
    </dataValidation>
    <dataValidation sqref="B78" showDropDown="0" showInputMessage="0" showErrorMessage="0" allowBlank="0" type="list">
      <formula1>=Source_Inventory!$A$5:$A$104</formula1>
    </dataValidation>
    <dataValidation sqref="B79" showDropDown="0" showInputMessage="0" showErrorMessage="0" allowBlank="0" type="list">
      <formula1>=Source_Inventory!$A$5:$A$104</formula1>
    </dataValidation>
    <dataValidation sqref="B80" showDropDown="0" showInputMessage="0" showErrorMessage="0" allowBlank="0" type="list">
      <formula1>=Source_Inventory!$A$5:$A$104</formula1>
    </dataValidation>
    <dataValidation sqref="B81" showDropDown="0" showInputMessage="0" showErrorMessage="0" allowBlank="0" type="list">
      <formula1>=Source_Inventory!$A$5:$A$104</formula1>
    </dataValidation>
    <dataValidation sqref="B82" showDropDown="0" showInputMessage="0" showErrorMessage="0" allowBlank="0" type="list">
      <formula1>=Source_Inventory!$A$5:$A$104</formula1>
    </dataValidation>
    <dataValidation sqref="B83" showDropDown="0" showInputMessage="0" showErrorMessage="0" allowBlank="0" type="list">
      <formula1>=Source_Inventory!$A$5:$A$104</formula1>
    </dataValidation>
    <dataValidation sqref="B84" showDropDown="0" showInputMessage="0" showErrorMessage="0" allowBlank="0" type="list">
      <formula1>=Source_Inventory!$A$5:$A$104</formula1>
    </dataValidation>
    <dataValidation sqref="B85" showDropDown="0" showInputMessage="0" showErrorMessage="0" allowBlank="0" type="list">
      <formula1>=Source_Inventory!$A$5:$A$104</formula1>
    </dataValidation>
    <dataValidation sqref="B86" showDropDown="0" showInputMessage="0" showErrorMessage="0" allowBlank="0" type="list">
      <formula1>=Source_Inventory!$A$5:$A$104</formula1>
    </dataValidation>
    <dataValidation sqref="B87" showDropDown="0" showInputMessage="0" showErrorMessage="0" allowBlank="0" type="list">
      <formula1>=Source_Inventory!$A$5:$A$104</formula1>
    </dataValidation>
    <dataValidation sqref="B88" showDropDown="0" showInputMessage="0" showErrorMessage="0" allowBlank="0" type="list">
      <formula1>=Source_Inventory!$A$5:$A$104</formula1>
    </dataValidation>
    <dataValidation sqref="B89" showDropDown="0" showInputMessage="0" showErrorMessage="0" allowBlank="0" type="list">
      <formula1>=Source_Inventory!$A$5:$A$104</formula1>
    </dataValidation>
    <dataValidation sqref="B90" showDropDown="0" showInputMessage="0" showErrorMessage="0" allowBlank="0" type="list">
      <formula1>=Source_Inventory!$A$5:$A$104</formula1>
    </dataValidation>
    <dataValidation sqref="B91" showDropDown="0" showInputMessage="0" showErrorMessage="0" allowBlank="0" type="list">
      <formula1>=Source_Inventory!$A$5:$A$104</formula1>
    </dataValidation>
    <dataValidation sqref="B92" showDropDown="0" showInputMessage="0" showErrorMessage="0" allowBlank="0" type="list">
      <formula1>=Source_Inventory!$A$5:$A$104</formula1>
    </dataValidation>
    <dataValidation sqref="B93" showDropDown="0" showInputMessage="0" showErrorMessage="0" allowBlank="0" type="list">
      <formula1>=Source_Inventory!$A$5:$A$104</formula1>
    </dataValidation>
    <dataValidation sqref="B94" showDropDown="0" showInputMessage="0" showErrorMessage="0" allowBlank="0" type="list">
      <formula1>=Source_Inventory!$A$5:$A$104</formula1>
    </dataValidation>
    <dataValidation sqref="B95" showDropDown="0" showInputMessage="0" showErrorMessage="0" allowBlank="0" type="list">
      <formula1>=Source_Inventory!$A$5:$A$104</formula1>
    </dataValidation>
    <dataValidation sqref="B96" showDropDown="0" showInputMessage="0" showErrorMessage="0" allowBlank="0" type="list">
      <formula1>=Source_Inventory!$A$5:$A$104</formula1>
    </dataValidation>
    <dataValidation sqref="B97" showDropDown="0" showInputMessage="0" showErrorMessage="0" allowBlank="0" type="list">
      <formula1>=Source_Inventory!$A$5:$A$104</formula1>
    </dataValidation>
    <dataValidation sqref="B98" showDropDown="0" showInputMessage="0" showErrorMessage="0" allowBlank="0" type="list">
      <formula1>=Source_Inventory!$A$5:$A$104</formula1>
    </dataValidation>
    <dataValidation sqref="B99" showDropDown="0" showInputMessage="0" showErrorMessage="0" allowBlank="0" type="list">
      <formula1>=Source_Inventory!$A$5:$A$104</formula1>
    </dataValidation>
    <dataValidation sqref="B100" showDropDown="0" showInputMessage="0" showErrorMessage="0" allowBlank="0" type="list">
      <formula1>=Source_Inventory!$A$5:$A$104</formula1>
    </dataValidation>
    <dataValidation sqref="B101" showDropDown="0" showInputMessage="0" showErrorMessage="0" allowBlank="0" type="list">
      <formula1>=Source_Inventory!$A$5:$A$104</formula1>
    </dataValidation>
    <dataValidation sqref="B102" showDropDown="0" showInputMessage="0" showErrorMessage="0" allowBlank="0" type="list">
      <formula1>=Source_Inventory!$A$5:$A$104</formula1>
    </dataValidation>
    <dataValidation sqref="B103" showDropDown="0" showInputMessage="0" showErrorMessage="0" allowBlank="0" type="list">
      <formula1>=Source_Inventory!$A$5:$A$104</formula1>
    </dataValidation>
    <dataValidation sqref="B104" showDropDown="0" showInputMessage="0" showErrorMessage="0" allowBlank="0" type="list">
      <formula1>=Source_Inventory!$A$5:$A$104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N104"/>
  <sheetViews>
    <sheetView workbookViewId="0">
      <selection activeCell="A1" sqref="A1"/>
    </sheetView>
  </sheetViews>
  <sheetFormatPr baseColWidth="8" defaultRowHeight="15"/>
  <sheetData>
    <row r="1">
      <c r="A1" s="1" t="inlineStr">
        <is>
          <t>API Integration - Health Monitoring and Rate Limit Tracking</t>
        </is>
      </c>
    </row>
    <row r="4">
      <c r="A4" s="18" t="inlineStr">
        <is>
          <t>Source_ID</t>
        </is>
      </c>
      <c r="B4" s="18" t="inlineStr">
        <is>
          <t>Source_Name</t>
        </is>
      </c>
      <c r="C4" s="18" t="inlineStr">
        <is>
          <t>API_Version</t>
        </is>
      </c>
      <c r="D4" s="18" t="inlineStr">
        <is>
          <t>API_Endpoint_Base</t>
        </is>
      </c>
      <c r="E4" s="18" t="inlineStr">
        <is>
          <t>API_Endpoint_Intel</t>
        </is>
      </c>
      <c r="F4" s="18" t="inlineStr">
        <is>
          <t>API_Documentation_Link</t>
        </is>
      </c>
      <c r="G4" s="18" t="inlineStr">
        <is>
          <t>API_Key_Location</t>
        </is>
      </c>
      <c r="H4" s="18" t="inlineStr">
        <is>
          <t>API_Key_Rotation_Frequency</t>
        </is>
      </c>
      <c r="I4" s="18" t="inlineStr">
        <is>
          <t>Last_Key_Rotation</t>
        </is>
      </c>
      <c r="J4" s="18" t="inlineStr">
        <is>
          <t>Next_Key_Rotation</t>
        </is>
      </c>
      <c r="K4" s="18" t="inlineStr">
        <is>
          <t>Authentication_Method</t>
        </is>
      </c>
      <c r="L4" s="18" t="inlineStr">
        <is>
          <t>Authentication_Expiry</t>
        </is>
      </c>
      <c r="M4" s="18" t="inlineStr">
        <is>
          <t>Authentication_Status</t>
        </is>
      </c>
      <c r="N4" s="18" t="inlineStr">
        <is>
          <t>Rate_Limit_Calls</t>
        </is>
      </c>
      <c r="O4" s="18" t="inlineStr">
        <is>
          <t>Rate_Limit_Data</t>
        </is>
      </c>
      <c r="P4" s="18" t="inlineStr">
        <is>
          <t>Current_Usage_Calls</t>
        </is>
      </c>
      <c r="Q4" s="18" t="inlineStr">
        <is>
          <t>Current_Usage_Percentage</t>
        </is>
      </c>
      <c r="R4" s="18" t="inlineStr">
        <is>
          <t>Rate_Limit_Status</t>
        </is>
      </c>
      <c r="S4" s="18" t="inlineStr">
        <is>
          <t>Rate_Limit_Breaches_Last_30_Days</t>
        </is>
      </c>
      <c r="T4" s="18" t="inlineStr">
        <is>
          <t>Last_Successful_Call</t>
        </is>
      </c>
      <c r="U4" s="18" t="inlineStr">
        <is>
          <t>Last_Failed_Call</t>
        </is>
      </c>
      <c r="V4" s="18" t="inlineStr">
        <is>
          <t>Last_Failed_Reason</t>
        </is>
      </c>
      <c r="W4" s="18" t="inlineStr">
        <is>
          <t>Error_Rate_Last_7_Days</t>
        </is>
      </c>
      <c r="X4" s="18" t="inlineStr">
        <is>
          <t>Error_Rate_Last_30_Days</t>
        </is>
      </c>
      <c r="Y4" s="18" t="inlineStr">
        <is>
          <t>Common_Error_Codes</t>
        </is>
      </c>
      <c r="Z4" s="18" t="inlineStr">
        <is>
          <t>API_Health_Status</t>
        </is>
      </c>
      <c r="AA4" s="18" t="inlineStr">
        <is>
          <t>Last_Health_Check</t>
        </is>
      </c>
      <c r="AB4" s="18" t="inlineStr">
        <is>
          <t>Health_Check_Frequency</t>
        </is>
      </c>
      <c r="AC4" s="18" t="inlineStr">
        <is>
          <t>Monitoring_Dashboard</t>
        </is>
      </c>
      <c r="AD4" s="18" t="inlineStr">
        <is>
          <t>Alerting_Enabled</t>
        </is>
      </c>
      <c r="AE4" s="18" t="inlineStr">
        <is>
          <t>Alert_Threshold_Error_Rate</t>
        </is>
      </c>
      <c r="AF4" s="18" t="inlineStr">
        <is>
          <t>Alert_Contacts</t>
        </is>
      </c>
      <c r="AG4" s="18" t="inlineStr">
        <is>
          <t>Retry_Policy</t>
        </is>
      </c>
      <c r="AH4" s="18" t="inlineStr">
        <is>
          <t>Timeout_Setting</t>
        </is>
      </c>
      <c r="AI4" s="18" t="inlineStr">
        <is>
          <t>Pagination_Limit</t>
        </is>
      </c>
      <c r="AJ4" s="18" t="inlineStr">
        <is>
          <t>Max_Concurrent_Requests</t>
        </is>
      </c>
      <c r="AK4" s="18" t="inlineStr">
        <is>
          <t>Integration_Health_Score</t>
        </is>
      </c>
      <c r="AL4" s="18" t="inlineStr">
        <is>
          <t>Last_Integration_Review</t>
        </is>
      </c>
      <c r="AM4" s="18" t="inlineStr">
        <is>
          <t>Next_Integration_Review</t>
        </is>
      </c>
      <c r="AN4" s="18" t="inlineStr">
        <is>
          <t>Notes</t>
        </is>
      </c>
    </row>
    <row r="5">
      <c r="B5">
        <f>IFERROR(VLOOKUP(A5,Source_Inventory!$A$5:$P$104,2,FALSE),"[Not Found]")</f>
        <v/>
      </c>
      <c r="Q5" s="13">
        <f>IF(AND(P5&lt;&gt;"",N5&lt;&gt;""),(P5/N5)*100,"")</f>
        <v/>
      </c>
    </row>
    <row r="6">
      <c r="B6">
        <f>IFERROR(VLOOKUP(A6,Source_Inventory!$A$5:$P$104,2,FALSE),"[Not Found]")</f>
        <v/>
      </c>
      <c r="Q6" s="13">
        <f>IF(AND(P6&lt;&gt;"",N6&lt;&gt;""),(P6/N6)*100,"")</f>
        <v/>
      </c>
    </row>
    <row r="7">
      <c r="B7">
        <f>IFERROR(VLOOKUP(A7,Source_Inventory!$A$5:$P$104,2,FALSE),"[Not Found]")</f>
        <v/>
      </c>
      <c r="Q7" s="13">
        <f>IF(AND(P7&lt;&gt;"",N7&lt;&gt;""),(P7/N7)*100,"")</f>
        <v/>
      </c>
    </row>
    <row r="8">
      <c r="B8">
        <f>IFERROR(VLOOKUP(A8,Source_Inventory!$A$5:$P$104,2,FALSE),"[Not Found]")</f>
        <v/>
      </c>
      <c r="Q8" s="13">
        <f>IF(AND(P8&lt;&gt;"",N8&lt;&gt;""),(P8/N8)*100,"")</f>
        <v/>
      </c>
    </row>
    <row r="9">
      <c r="B9">
        <f>IFERROR(VLOOKUP(A9,Source_Inventory!$A$5:$P$104,2,FALSE),"[Not Found]")</f>
        <v/>
      </c>
      <c r="Q9" s="13">
        <f>IF(AND(P9&lt;&gt;"",N9&lt;&gt;""),(P9/N9)*100,"")</f>
        <v/>
      </c>
    </row>
    <row r="10">
      <c r="B10">
        <f>IFERROR(VLOOKUP(A10,Source_Inventory!$A$5:$P$104,2,FALSE),"[Not Found]")</f>
        <v/>
      </c>
      <c r="Q10" s="13">
        <f>IF(AND(P10&lt;&gt;"",N10&lt;&gt;""),(P10/N10)*100,"")</f>
        <v/>
      </c>
    </row>
    <row r="11">
      <c r="B11">
        <f>IFERROR(VLOOKUP(A11,Source_Inventory!$A$5:$P$104,2,FALSE),"[Not Found]")</f>
        <v/>
      </c>
      <c r="Q11" s="13">
        <f>IF(AND(P11&lt;&gt;"",N11&lt;&gt;""),(P11/N11)*100,"")</f>
        <v/>
      </c>
    </row>
    <row r="12">
      <c r="B12">
        <f>IFERROR(VLOOKUP(A12,Source_Inventory!$A$5:$P$104,2,FALSE),"[Not Found]")</f>
        <v/>
      </c>
      <c r="Q12" s="13">
        <f>IF(AND(P12&lt;&gt;"",N12&lt;&gt;""),(P12/N12)*100,"")</f>
        <v/>
      </c>
    </row>
    <row r="13">
      <c r="B13">
        <f>IFERROR(VLOOKUP(A13,Source_Inventory!$A$5:$P$104,2,FALSE),"[Not Found]")</f>
        <v/>
      </c>
      <c r="Q13" s="13">
        <f>IF(AND(P13&lt;&gt;"",N13&lt;&gt;""),(P13/N13)*100,"")</f>
        <v/>
      </c>
    </row>
    <row r="14">
      <c r="B14">
        <f>IFERROR(VLOOKUP(A14,Source_Inventory!$A$5:$P$104,2,FALSE),"[Not Found]")</f>
        <v/>
      </c>
      <c r="Q14" s="13">
        <f>IF(AND(P14&lt;&gt;"",N14&lt;&gt;""),(P14/N14)*100,"")</f>
        <v/>
      </c>
    </row>
    <row r="15">
      <c r="B15">
        <f>IFERROR(VLOOKUP(A15,Source_Inventory!$A$5:$P$104,2,FALSE),"[Not Found]")</f>
        <v/>
      </c>
      <c r="Q15" s="13">
        <f>IF(AND(P15&lt;&gt;"",N15&lt;&gt;""),(P15/N15)*100,"")</f>
        <v/>
      </c>
    </row>
    <row r="16">
      <c r="B16">
        <f>IFERROR(VLOOKUP(A16,Source_Inventory!$A$5:$P$104,2,FALSE),"[Not Found]")</f>
        <v/>
      </c>
      <c r="Q16" s="13">
        <f>IF(AND(P16&lt;&gt;"",N16&lt;&gt;""),(P16/N16)*100,"")</f>
        <v/>
      </c>
    </row>
    <row r="17">
      <c r="B17">
        <f>IFERROR(VLOOKUP(A17,Source_Inventory!$A$5:$P$104,2,FALSE),"[Not Found]")</f>
        <v/>
      </c>
      <c r="Q17" s="13">
        <f>IF(AND(P17&lt;&gt;"",N17&lt;&gt;""),(P17/N17)*100,"")</f>
        <v/>
      </c>
    </row>
    <row r="18">
      <c r="B18">
        <f>IFERROR(VLOOKUP(A18,Source_Inventory!$A$5:$P$104,2,FALSE),"[Not Found]")</f>
        <v/>
      </c>
      <c r="Q18" s="13">
        <f>IF(AND(P18&lt;&gt;"",N18&lt;&gt;""),(P18/N18)*100,"")</f>
        <v/>
      </c>
    </row>
    <row r="19">
      <c r="B19">
        <f>IFERROR(VLOOKUP(A19,Source_Inventory!$A$5:$P$104,2,FALSE),"[Not Found]")</f>
        <v/>
      </c>
      <c r="Q19" s="13">
        <f>IF(AND(P19&lt;&gt;"",N19&lt;&gt;""),(P19/N19)*100,"")</f>
        <v/>
      </c>
    </row>
    <row r="20">
      <c r="B20">
        <f>IFERROR(VLOOKUP(A20,Source_Inventory!$A$5:$P$104,2,FALSE),"[Not Found]")</f>
        <v/>
      </c>
      <c r="Q20" s="13">
        <f>IF(AND(P20&lt;&gt;"",N20&lt;&gt;""),(P20/N20)*100,"")</f>
        <v/>
      </c>
    </row>
    <row r="21">
      <c r="B21">
        <f>IFERROR(VLOOKUP(A21,Source_Inventory!$A$5:$P$104,2,FALSE),"[Not Found]")</f>
        <v/>
      </c>
      <c r="Q21" s="13">
        <f>IF(AND(P21&lt;&gt;"",N21&lt;&gt;""),(P21/N21)*100,"")</f>
        <v/>
      </c>
    </row>
    <row r="22">
      <c r="B22">
        <f>IFERROR(VLOOKUP(A22,Source_Inventory!$A$5:$P$104,2,FALSE),"[Not Found]")</f>
        <v/>
      </c>
      <c r="Q22" s="13">
        <f>IF(AND(P22&lt;&gt;"",N22&lt;&gt;""),(P22/N22)*100,"")</f>
        <v/>
      </c>
    </row>
    <row r="23">
      <c r="B23">
        <f>IFERROR(VLOOKUP(A23,Source_Inventory!$A$5:$P$104,2,FALSE),"[Not Found]")</f>
        <v/>
      </c>
      <c r="Q23" s="13">
        <f>IF(AND(P23&lt;&gt;"",N23&lt;&gt;""),(P23/N23)*100,"")</f>
        <v/>
      </c>
    </row>
    <row r="24">
      <c r="B24">
        <f>IFERROR(VLOOKUP(A24,Source_Inventory!$A$5:$P$104,2,FALSE),"[Not Found]")</f>
        <v/>
      </c>
      <c r="Q24" s="13">
        <f>IF(AND(P24&lt;&gt;"",N24&lt;&gt;""),(P24/N24)*100,"")</f>
        <v/>
      </c>
    </row>
    <row r="25">
      <c r="B25">
        <f>IFERROR(VLOOKUP(A25,Source_Inventory!$A$5:$P$104,2,FALSE),"[Not Found]")</f>
        <v/>
      </c>
      <c r="Q25" s="13">
        <f>IF(AND(P25&lt;&gt;"",N25&lt;&gt;""),(P25/N25)*100,"")</f>
        <v/>
      </c>
    </row>
    <row r="26">
      <c r="B26">
        <f>IFERROR(VLOOKUP(A26,Source_Inventory!$A$5:$P$104,2,FALSE),"[Not Found]")</f>
        <v/>
      </c>
      <c r="Q26" s="13">
        <f>IF(AND(P26&lt;&gt;"",N26&lt;&gt;""),(P26/N26)*100,"")</f>
        <v/>
      </c>
    </row>
    <row r="27">
      <c r="B27">
        <f>IFERROR(VLOOKUP(A27,Source_Inventory!$A$5:$P$104,2,FALSE),"[Not Found]")</f>
        <v/>
      </c>
      <c r="Q27" s="13">
        <f>IF(AND(P27&lt;&gt;"",N27&lt;&gt;""),(P27/N27)*100,"")</f>
        <v/>
      </c>
    </row>
    <row r="28">
      <c r="B28">
        <f>IFERROR(VLOOKUP(A28,Source_Inventory!$A$5:$P$104,2,FALSE),"[Not Found]")</f>
        <v/>
      </c>
      <c r="Q28" s="13">
        <f>IF(AND(P28&lt;&gt;"",N28&lt;&gt;""),(P28/N28)*100,"")</f>
        <v/>
      </c>
    </row>
    <row r="29">
      <c r="B29">
        <f>IFERROR(VLOOKUP(A29,Source_Inventory!$A$5:$P$104,2,FALSE),"[Not Found]")</f>
        <v/>
      </c>
      <c r="Q29" s="13">
        <f>IF(AND(P29&lt;&gt;"",N29&lt;&gt;""),(P29/N29)*100,"")</f>
        <v/>
      </c>
    </row>
    <row r="30">
      <c r="B30">
        <f>IFERROR(VLOOKUP(A30,Source_Inventory!$A$5:$P$104,2,FALSE),"[Not Found]")</f>
        <v/>
      </c>
      <c r="Q30" s="13">
        <f>IF(AND(P30&lt;&gt;"",N30&lt;&gt;""),(P30/N30)*100,"")</f>
        <v/>
      </c>
    </row>
    <row r="31">
      <c r="B31">
        <f>IFERROR(VLOOKUP(A31,Source_Inventory!$A$5:$P$104,2,FALSE),"[Not Found]")</f>
        <v/>
      </c>
      <c r="Q31" s="13">
        <f>IF(AND(P31&lt;&gt;"",N31&lt;&gt;""),(P31/N31)*100,"")</f>
        <v/>
      </c>
    </row>
    <row r="32">
      <c r="B32">
        <f>IFERROR(VLOOKUP(A32,Source_Inventory!$A$5:$P$104,2,FALSE),"[Not Found]")</f>
        <v/>
      </c>
      <c r="Q32" s="13">
        <f>IF(AND(P32&lt;&gt;"",N32&lt;&gt;""),(P32/N32)*100,"")</f>
        <v/>
      </c>
    </row>
    <row r="33">
      <c r="B33">
        <f>IFERROR(VLOOKUP(A33,Source_Inventory!$A$5:$P$104,2,FALSE),"[Not Found]")</f>
        <v/>
      </c>
      <c r="Q33" s="13">
        <f>IF(AND(P33&lt;&gt;"",N33&lt;&gt;""),(P33/N33)*100,"")</f>
        <v/>
      </c>
    </row>
    <row r="34">
      <c r="B34">
        <f>IFERROR(VLOOKUP(A34,Source_Inventory!$A$5:$P$104,2,FALSE),"[Not Found]")</f>
        <v/>
      </c>
      <c r="Q34" s="13">
        <f>IF(AND(P34&lt;&gt;"",N34&lt;&gt;""),(P34/N34)*100,"")</f>
        <v/>
      </c>
    </row>
    <row r="35">
      <c r="B35">
        <f>IFERROR(VLOOKUP(A35,Source_Inventory!$A$5:$P$104,2,FALSE),"[Not Found]")</f>
        <v/>
      </c>
      <c r="Q35" s="13">
        <f>IF(AND(P35&lt;&gt;"",N35&lt;&gt;""),(P35/N35)*100,"")</f>
        <v/>
      </c>
    </row>
    <row r="36">
      <c r="B36">
        <f>IFERROR(VLOOKUP(A36,Source_Inventory!$A$5:$P$104,2,FALSE),"[Not Found]")</f>
        <v/>
      </c>
      <c r="Q36" s="13">
        <f>IF(AND(P36&lt;&gt;"",N36&lt;&gt;""),(P36/N36)*100,"")</f>
        <v/>
      </c>
    </row>
    <row r="37">
      <c r="B37">
        <f>IFERROR(VLOOKUP(A37,Source_Inventory!$A$5:$P$104,2,FALSE),"[Not Found]")</f>
        <v/>
      </c>
      <c r="Q37" s="13">
        <f>IF(AND(P37&lt;&gt;"",N37&lt;&gt;""),(P37/N37)*100,"")</f>
        <v/>
      </c>
    </row>
    <row r="38">
      <c r="B38">
        <f>IFERROR(VLOOKUP(A38,Source_Inventory!$A$5:$P$104,2,FALSE),"[Not Found]")</f>
        <v/>
      </c>
      <c r="Q38" s="13">
        <f>IF(AND(P38&lt;&gt;"",N38&lt;&gt;""),(P38/N38)*100,"")</f>
        <v/>
      </c>
    </row>
    <row r="39">
      <c r="B39">
        <f>IFERROR(VLOOKUP(A39,Source_Inventory!$A$5:$P$104,2,FALSE),"[Not Found]")</f>
        <v/>
      </c>
      <c r="Q39" s="13">
        <f>IF(AND(P39&lt;&gt;"",N39&lt;&gt;""),(P39/N39)*100,"")</f>
        <v/>
      </c>
    </row>
    <row r="40">
      <c r="B40">
        <f>IFERROR(VLOOKUP(A40,Source_Inventory!$A$5:$P$104,2,FALSE),"[Not Found]")</f>
        <v/>
      </c>
      <c r="Q40" s="13">
        <f>IF(AND(P40&lt;&gt;"",N40&lt;&gt;""),(P40/N40)*100,"")</f>
        <v/>
      </c>
    </row>
    <row r="41">
      <c r="B41">
        <f>IFERROR(VLOOKUP(A41,Source_Inventory!$A$5:$P$104,2,FALSE),"[Not Found]")</f>
        <v/>
      </c>
      <c r="Q41" s="13">
        <f>IF(AND(P41&lt;&gt;"",N41&lt;&gt;""),(P41/N41)*100,"")</f>
        <v/>
      </c>
    </row>
    <row r="42">
      <c r="B42">
        <f>IFERROR(VLOOKUP(A42,Source_Inventory!$A$5:$P$104,2,FALSE),"[Not Found]")</f>
        <v/>
      </c>
      <c r="Q42" s="13">
        <f>IF(AND(P42&lt;&gt;"",N42&lt;&gt;""),(P42/N42)*100,"")</f>
        <v/>
      </c>
    </row>
    <row r="43">
      <c r="B43">
        <f>IFERROR(VLOOKUP(A43,Source_Inventory!$A$5:$P$104,2,FALSE),"[Not Found]")</f>
        <v/>
      </c>
      <c r="Q43" s="13">
        <f>IF(AND(P43&lt;&gt;"",N43&lt;&gt;""),(P43/N43)*100,"")</f>
        <v/>
      </c>
    </row>
    <row r="44">
      <c r="B44">
        <f>IFERROR(VLOOKUP(A44,Source_Inventory!$A$5:$P$104,2,FALSE),"[Not Found]")</f>
        <v/>
      </c>
      <c r="Q44" s="13">
        <f>IF(AND(P44&lt;&gt;"",N44&lt;&gt;""),(P44/N44)*100,"")</f>
        <v/>
      </c>
    </row>
    <row r="45">
      <c r="B45">
        <f>IFERROR(VLOOKUP(A45,Source_Inventory!$A$5:$P$104,2,FALSE),"[Not Found]")</f>
        <v/>
      </c>
      <c r="Q45" s="13">
        <f>IF(AND(P45&lt;&gt;"",N45&lt;&gt;""),(P45/N45)*100,"")</f>
        <v/>
      </c>
    </row>
    <row r="46">
      <c r="B46">
        <f>IFERROR(VLOOKUP(A46,Source_Inventory!$A$5:$P$104,2,FALSE),"[Not Found]")</f>
        <v/>
      </c>
      <c r="Q46" s="13">
        <f>IF(AND(P46&lt;&gt;"",N46&lt;&gt;""),(P46/N46)*100,"")</f>
        <v/>
      </c>
    </row>
    <row r="47">
      <c r="B47">
        <f>IFERROR(VLOOKUP(A47,Source_Inventory!$A$5:$P$104,2,FALSE),"[Not Found]")</f>
        <v/>
      </c>
      <c r="Q47" s="13">
        <f>IF(AND(P47&lt;&gt;"",N47&lt;&gt;""),(P47/N47)*100,"")</f>
        <v/>
      </c>
    </row>
    <row r="48">
      <c r="B48">
        <f>IFERROR(VLOOKUP(A48,Source_Inventory!$A$5:$P$104,2,FALSE),"[Not Found]")</f>
        <v/>
      </c>
      <c r="Q48" s="13">
        <f>IF(AND(P48&lt;&gt;"",N48&lt;&gt;""),(P48/N48)*100,"")</f>
        <v/>
      </c>
    </row>
    <row r="49">
      <c r="B49">
        <f>IFERROR(VLOOKUP(A49,Source_Inventory!$A$5:$P$104,2,FALSE),"[Not Found]")</f>
        <v/>
      </c>
      <c r="Q49" s="13">
        <f>IF(AND(P49&lt;&gt;"",N49&lt;&gt;""),(P49/N49)*100,"")</f>
        <v/>
      </c>
    </row>
    <row r="50">
      <c r="B50">
        <f>IFERROR(VLOOKUP(A50,Source_Inventory!$A$5:$P$104,2,FALSE),"[Not Found]")</f>
        <v/>
      </c>
      <c r="Q50" s="13">
        <f>IF(AND(P50&lt;&gt;"",N50&lt;&gt;""),(P50/N50)*100,"")</f>
        <v/>
      </c>
    </row>
    <row r="51">
      <c r="B51">
        <f>IFERROR(VLOOKUP(A51,Source_Inventory!$A$5:$P$104,2,FALSE),"[Not Found]")</f>
        <v/>
      </c>
      <c r="Q51" s="13">
        <f>IF(AND(P51&lt;&gt;"",N51&lt;&gt;""),(P51/N51)*100,"")</f>
        <v/>
      </c>
    </row>
    <row r="52">
      <c r="B52">
        <f>IFERROR(VLOOKUP(A52,Source_Inventory!$A$5:$P$104,2,FALSE),"[Not Found]")</f>
        <v/>
      </c>
      <c r="Q52" s="13">
        <f>IF(AND(P52&lt;&gt;"",N52&lt;&gt;""),(P52/N52)*100,"")</f>
        <v/>
      </c>
    </row>
    <row r="53">
      <c r="B53">
        <f>IFERROR(VLOOKUP(A53,Source_Inventory!$A$5:$P$104,2,FALSE),"[Not Found]")</f>
        <v/>
      </c>
      <c r="Q53" s="13">
        <f>IF(AND(P53&lt;&gt;"",N53&lt;&gt;""),(P53/N53)*100,"")</f>
        <v/>
      </c>
    </row>
    <row r="54">
      <c r="B54">
        <f>IFERROR(VLOOKUP(A54,Source_Inventory!$A$5:$P$104,2,FALSE),"[Not Found]")</f>
        <v/>
      </c>
      <c r="Q54" s="13">
        <f>IF(AND(P54&lt;&gt;"",N54&lt;&gt;""),(P54/N54)*100,"")</f>
        <v/>
      </c>
    </row>
    <row r="55">
      <c r="B55">
        <f>IFERROR(VLOOKUP(A55,Source_Inventory!$A$5:$P$104,2,FALSE),"[Not Found]")</f>
        <v/>
      </c>
      <c r="Q55" s="13">
        <f>IF(AND(P55&lt;&gt;"",N55&lt;&gt;""),(P55/N55)*100,"")</f>
        <v/>
      </c>
    </row>
    <row r="56">
      <c r="B56">
        <f>IFERROR(VLOOKUP(A56,Source_Inventory!$A$5:$P$104,2,FALSE),"[Not Found]")</f>
        <v/>
      </c>
      <c r="Q56" s="13">
        <f>IF(AND(P56&lt;&gt;"",N56&lt;&gt;""),(P56/N56)*100,"")</f>
        <v/>
      </c>
    </row>
    <row r="57">
      <c r="B57">
        <f>IFERROR(VLOOKUP(A57,Source_Inventory!$A$5:$P$104,2,FALSE),"[Not Found]")</f>
        <v/>
      </c>
      <c r="Q57" s="13">
        <f>IF(AND(P57&lt;&gt;"",N57&lt;&gt;""),(P57/N57)*100,"")</f>
        <v/>
      </c>
    </row>
    <row r="58">
      <c r="B58">
        <f>IFERROR(VLOOKUP(A58,Source_Inventory!$A$5:$P$104,2,FALSE),"[Not Found]")</f>
        <v/>
      </c>
      <c r="Q58" s="13">
        <f>IF(AND(P58&lt;&gt;"",N58&lt;&gt;""),(P58/N58)*100,"")</f>
        <v/>
      </c>
    </row>
    <row r="59">
      <c r="B59">
        <f>IFERROR(VLOOKUP(A59,Source_Inventory!$A$5:$P$104,2,FALSE),"[Not Found]")</f>
        <v/>
      </c>
      <c r="Q59" s="13">
        <f>IF(AND(P59&lt;&gt;"",N59&lt;&gt;""),(P59/N59)*100,"")</f>
        <v/>
      </c>
    </row>
    <row r="60">
      <c r="B60">
        <f>IFERROR(VLOOKUP(A60,Source_Inventory!$A$5:$P$104,2,FALSE),"[Not Found]")</f>
        <v/>
      </c>
      <c r="Q60" s="13">
        <f>IF(AND(P60&lt;&gt;"",N60&lt;&gt;""),(P60/N60)*100,"")</f>
        <v/>
      </c>
    </row>
    <row r="61">
      <c r="B61">
        <f>IFERROR(VLOOKUP(A61,Source_Inventory!$A$5:$P$104,2,FALSE),"[Not Found]")</f>
        <v/>
      </c>
      <c r="Q61" s="13">
        <f>IF(AND(P61&lt;&gt;"",N61&lt;&gt;""),(P61/N61)*100,"")</f>
        <v/>
      </c>
    </row>
    <row r="62">
      <c r="B62">
        <f>IFERROR(VLOOKUP(A62,Source_Inventory!$A$5:$P$104,2,FALSE),"[Not Found]")</f>
        <v/>
      </c>
      <c r="Q62" s="13">
        <f>IF(AND(P62&lt;&gt;"",N62&lt;&gt;""),(P62/N62)*100,"")</f>
        <v/>
      </c>
    </row>
    <row r="63">
      <c r="B63">
        <f>IFERROR(VLOOKUP(A63,Source_Inventory!$A$5:$P$104,2,FALSE),"[Not Found]")</f>
        <v/>
      </c>
      <c r="Q63" s="13">
        <f>IF(AND(P63&lt;&gt;"",N63&lt;&gt;""),(P63/N63)*100,"")</f>
        <v/>
      </c>
    </row>
    <row r="64">
      <c r="B64">
        <f>IFERROR(VLOOKUP(A64,Source_Inventory!$A$5:$P$104,2,FALSE),"[Not Found]")</f>
        <v/>
      </c>
      <c r="Q64" s="13">
        <f>IF(AND(P64&lt;&gt;"",N64&lt;&gt;""),(P64/N64)*100,"")</f>
        <v/>
      </c>
    </row>
    <row r="65">
      <c r="B65">
        <f>IFERROR(VLOOKUP(A65,Source_Inventory!$A$5:$P$104,2,FALSE),"[Not Found]")</f>
        <v/>
      </c>
      <c r="Q65" s="13">
        <f>IF(AND(P65&lt;&gt;"",N65&lt;&gt;""),(P65/N65)*100,"")</f>
        <v/>
      </c>
    </row>
    <row r="66">
      <c r="B66">
        <f>IFERROR(VLOOKUP(A66,Source_Inventory!$A$5:$P$104,2,FALSE),"[Not Found]")</f>
        <v/>
      </c>
      <c r="Q66" s="13">
        <f>IF(AND(P66&lt;&gt;"",N66&lt;&gt;""),(P66/N66)*100,"")</f>
        <v/>
      </c>
    </row>
    <row r="67">
      <c r="B67">
        <f>IFERROR(VLOOKUP(A67,Source_Inventory!$A$5:$P$104,2,FALSE),"[Not Found]")</f>
        <v/>
      </c>
      <c r="Q67" s="13">
        <f>IF(AND(P67&lt;&gt;"",N67&lt;&gt;""),(P67/N67)*100,"")</f>
        <v/>
      </c>
    </row>
    <row r="68">
      <c r="B68">
        <f>IFERROR(VLOOKUP(A68,Source_Inventory!$A$5:$P$104,2,FALSE),"[Not Found]")</f>
        <v/>
      </c>
      <c r="Q68" s="13">
        <f>IF(AND(P68&lt;&gt;"",N68&lt;&gt;""),(P68/N68)*100,"")</f>
        <v/>
      </c>
    </row>
    <row r="69">
      <c r="B69">
        <f>IFERROR(VLOOKUP(A69,Source_Inventory!$A$5:$P$104,2,FALSE),"[Not Found]")</f>
        <v/>
      </c>
      <c r="Q69" s="13">
        <f>IF(AND(P69&lt;&gt;"",N69&lt;&gt;""),(P69/N69)*100,"")</f>
        <v/>
      </c>
    </row>
    <row r="70">
      <c r="B70">
        <f>IFERROR(VLOOKUP(A70,Source_Inventory!$A$5:$P$104,2,FALSE),"[Not Found]")</f>
        <v/>
      </c>
      <c r="Q70" s="13">
        <f>IF(AND(P70&lt;&gt;"",N70&lt;&gt;""),(P70/N70)*100,"")</f>
        <v/>
      </c>
    </row>
    <row r="71">
      <c r="B71">
        <f>IFERROR(VLOOKUP(A71,Source_Inventory!$A$5:$P$104,2,FALSE),"[Not Found]")</f>
        <v/>
      </c>
      <c r="Q71" s="13">
        <f>IF(AND(P71&lt;&gt;"",N71&lt;&gt;""),(P71/N71)*100,"")</f>
        <v/>
      </c>
    </row>
    <row r="72">
      <c r="B72">
        <f>IFERROR(VLOOKUP(A72,Source_Inventory!$A$5:$P$104,2,FALSE),"[Not Found]")</f>
        <v/>
      </c>
      <c r="Q72" s="13">
        <f>IF(AND(P72&lt;&gt;"",N72&lt;&gt;""),(P72/N72)*100,"")</f>
        <v/>
      </c>
    </row>
    <row r="73">
      <c r="B73">
        <f>IFERROR(VLOOKUP(A73,Source_Inventory!$A$5:$P$104,2,FALSE),"[Not Found]")</f>
        <v/>
      </c>
      <c r="Q73" s="13">
        <f>IF(AND(P73&lt;&gt;"",N73&lt;&gt;""),(P73/N73)*100,"")</f>
        <v/>
      </c>
    </row>
    <row r="74">
      <c r="B74">
        <f>IFERROR(VLOOKUP(A74,Source_Inventory!$A$5:$P$104,2,FALSE),"[Not Found]")</f>
        <v/>
      </c>
      <c r="Q74" s="13">
        <f>IF(AND(P74&lt;&gt;"",N74&lt;&gt;""),(P74/N74)*100,"")</f>
        <v/>
      </c>
    </row>
    <row r="75">
      <c r="B75">
        <f>IFERROR(VLOOKUP(A75,Source_Inventory!$A$5:$P$104,2,FALSE),"[Not Found]")</f>
        <v/>
      </c>
      <c r="Q75" s="13">
        <f>IF(AND(P75&lt;&gt;"",N75&lt;&gt;""),(P75/N75)*100,"")</f>
        <v/>
      </c>
    </row>
    <row r="76">
      <c r="B76">
        <f>IFERROR(VLOOKUP(A76,Source_Inventory!$A$5:$P$104,2,FALSE),"[Not Found]")</f>
        <v/>
      </c>
      <c r="Q76" s="13">
        <f>IF(AND(P76&lt;&gt;"",N76&lt;&gt;""),(P76/N76)*100,"")</f>
        <v/>
      </c>
    </row>
    <row r="77">
      <c r="B77">
        <f>IFERROR(VLOOKUP(A77,Source_Inventory!$A$5:$P$104,2,FALSE),"[Not Found]")</f>
        <v/>
      </c>
      <c r="Q77" s="13">
        <f>IF(AND(P77&lt;&gt;"",N77&lt;&gt;""),(P77/N77)*100,"")</f>
        <v/>
      </c>
    </row>
    <row r="78">
      <c r="B78">
        <f>IFERROR(VLOOKUP(A78,Source_Inventory!$A$5:$P$104,2,FALSE),"[Not Found]")</f>
        <v/>
      </c>
      <c r="Q78" s="13">
        <f>IF(AND(P78&lt;&gt;"",N78&lt;&gt;""),(P78/N78)*100,"")</f>
        <v/>
      </c>
    </row>
    <row r="79">
      <c r="B79">
        <f>IFERROR(VLOOKUP(A79,Source_Inventory!$A$5:$P$104,2,FALSE),"[Not Found]")</f>
        <v/>
      </c>
      <c r="Q79" s="13">
        <f>IF(AND(P79&lt;&gt;"",N79&lt;&gt;""),(P79/N79)*100,"")</f>
        <v/>
      </c>
    </row>
    <row r="80">
      <c r="B80">
        <f>IFERROR(VLOOKUP(A80,Source_Inventory!$A$5:$P$104,2,FALSE),"[Not Found]")</f>
        <v/>
      </c>
      <c r="Q80" s="13">
        <f>IF(AND(P80&lt;&gt;"",N80&lt;&gt;""),(P80/N80)*100,"")</f>
        <v/>
      </c>
    </row>
    <row r="81">
      <c r="B81">
        <f>IFERROR(VLOOKUP(A81,Source_Inventory!$A$5:$P$104,2,FALSE),"[Not Found]")</f>
        <v/>
      </c>
      <c r="Q81" s="13">
        <f>IF(AND(P81&lt;&gt;"",N81&lt;&gt;""),(P81/N81)*100,"")</f>
        <v/>
      </c>
    </row>
    <row r="82">
      <c r="B82">
        <f>IFERROR(VLOOKUP(A82,Source_Inventory!$A$5:$P$104,2,FALSE),"[Not Found]")</f>
        <v/>
      </c>
      <c r="Q82" s="13">
        <f>IF(AND(P82&lt;&gt;"",N82&lt;&gt;""),(P82/N82)*100,"")</f>
        <v/>
      </c>
    </row>
    <row r="83">
      <c r="B83">
        <f>IFERROR(VLOOKUP(A83,Source_Inventory!$A$5:$P$104,2,FALSE),"[Not Found]")</f>
        <v/>
      </c>
      <c r="Q83" s="13">
        <f>IF(AND(P83&lt;&gt;"",N83&lt;&gt;""),(P83/N83)*100,"")</f>
        <v/>
      </c>
    </row>
    <row r="84">
      <c r="B84">
        <f>IFERROR(VLOOKUP(A84,Source_Inventory!$A$5:$P$104,2,FALSE),"[Not Found]")</f>
        <v/>
      </c>
      <c r="Q84" s="13">
        <f>IF(AND(P84&lt;&gt;"",N84&lt;&gt;""),(P84/N84)*100,"")</f>
        <v/>
      </c>
    </row>
    <row r="85">
      <c r="B85">
        <f>IFERROR(VLOOKUP(A85,Source_Inventory!$A$5:$P$104,2,FALSE),"[Not Found]")</f>
        <v/>
      </c>
      <c r="Q85" s="13">
        <f>IF(AND(P85&lt;&gt;"",N85&lt;&gt;""),(P85/N85)*100,"")</f>
        <v/>
      </c>
    </row>
    <row r="86">
      <c r="B86">
        <f>IFERROR(VLOOKUP(A86,Source_Inventory!$A$5:$P$104,2,FALSE),"[Not Found]")</f>
        <v/>
      </c>
      <c r="Q86" s="13">
        <f>IF(AND(P86&lt;&gt;"",N86&lt;&gt;""),(P86/N86)*100,"")</f>
        <v/>
      </c>
    </row>
    <row r="87">
      <c r="B87">
        <f>IFERROR(VLOOKUP(A87,Source_Inventory!$A$5:$P$104,2,FALSE),"[Not Found]")</f>
        <v/>
      </c>
      <c r="Q87" s="13">
        <f>IF(AND(P87&lt;&gt;"",N87&lt;&gt;""),(P87/N87)*100,"")</f>
        <v/>
      </c>
    </row>
    <row r="88">
      <c r="B88">
        <f>IFERROR(VLOOKUP(A88,Source_Inventory!$A$5:$P$104,2,FALSE),"[Not Found]")</f>
        <v/>
      </c>
      <c r="Q88" s="13">
        <f>IF(AND(P88&lt;&gt;"",N88&lt;&gt;""),(P88/N88)*100,"")</f>
        <v/>
      </c>
    </row>
    <row r="89">
      <c r="B89">
        <f>IFERROR(VLOOKUP(A89,Source_Inventory!$A$5:$P$104,2,FALSE),"[Not Found]")</f>
        <v/>
      </c>
      <c r="Q89" s="13">
        <f>IF(AND(P89&lt;&gt;"",N89&lt;&gt;""),(P89/N89)*100,"")</f>
        <v/>
      </c>
    </row>
    <row r="90">
      <c r="B90">
        <f>IFERROR(VLOOKUP(A90,Source_Inventory!$A$5:$P$104,2,FALSE),"[Not Found]")</f>
        <v/>
      </c>
      <c r="Q90" s="13">
        <f>IF(AND(P90&lt;&gt;"",N90&lt;&gt;""),(P90/N90)*100,"")</f>
        <v/>
      </c>
    </row>
    <row r="91">
      <c r="B91">
        <f>IFERROR(VLOOKUP(A91,Source_Inventory!$A$5:$P$104,2,FALSE),"[Not Found]")</f>
        <v/>
      </c>
      <c r="Q91" s="13">
        <f>IF(AND(P91&lt;&gt;"",N91&lt;&gt;""),(P91/N91)*100,"")</f>
        <v/>
      </c>
    </row>
    <row r="92">
      <c r="B92">
        <f>IFERROR(VLOOKUP(A92,Source_Inventory!$A$5:$P$104,2,FALSE),"[Not Found]")</f>
        <v/>
      </c>
      <c r="Q92" s="13">
        <f>IF(AND(P92&lt;&gt;"",N92&lt;&gt;""),(P92/N92)*100,"")</f>
        <v/>
      </c>
    </row>
    <row r="93">
      <c r="B93">
        <f>IFERROR(VLOOKUP(A93,Source_Inventory!$A$5:$P$104,2,FALSE),"[Not Found]")</f>
        <v/>
      </c>
      <c r="Q93" s="13">
        <f>IF(AND(P93&lt;&gt;"",N93&lt;&gt;""),(P93/N93)*100,"")</f>
        <v/>
      </c>
    </row>
    <row r="94">
      <c r="B94">
        <f>IFERROR(VLOOKUP(A94,Source_Inventory!$A$5:$P$104,2,FALSE),"[Not Found]")</f>
        <v/>
      </c>
      <c r="Q94" s="13">
        <f>IF(AND(P94&lt;&gt;"",N94&lt;&gt;""),(P94/N94)*100,"")</f>
        <v/>
      </c>
    </row>
    <row r="95">
      <c r="B95">
        <f>IFERROR(VLOOKUP(A95,Source_Inventory!$A$5:$P$104,2,FALSE),"[Not Found]")</f>
        <v/>
      </c>
      <c r="Q95" s="13">
        <f>IF(AND(P95&lt;&gt;"",N95&lt;&gt;""),(P95/N95)*100,"")</f>
        <v/>
      </c>
    </row>
    <row r="96">
      <c r="B96">
        <f>IFERROR(VLOOKUP(A96,Source_Inventory!$A$5:$P$104,2,FALSE),"[Not Found]")</f>
        <v/>
      </c>
      <c r="Q96" s="13">
        <f>IF(AND(P96&lt;&gt;"",N96&lt;&gt;""),(P96/N96)*100,"")</f>
        <v/>
      </c>
    </row>
    <row r="97">
      <c r="B97">
        <f>IFERROR(VLOOKUP(A97,Source_Inventory!$A$5:$P$104,2,FALSE),"[Not Found]")</f>
        <v/>
      </c>
      <c r="Q97" s="13">
        <f>IF(AND(P97&lt;&gt;"",N97&lt;&gt;""),(P97/N97)*100,"")</f>
        <v/>
      </c>
    </row>
    <row r="98">
      <c r="B98">
        <f>IFERROR(VLOOKUP(A98,Source_Inventory!$A$5:$P$104,2,FALSE),"[Not Found]")</f>
        <v/>
      </c>
      <c r="Q98" s="13">
        <f>IF(AND(P98&lt;&gt;"",N98&lt;&gt;""),(P98/N98)*100,"")</f>
        <v/>
      </c>
    </row>
    <row r="99">
      <c r="B99">
        <f>IFERROR(VLOOKUP(A99,Source_Inventory!$A$5:$P$104,2,FALSE),"[Not Found]")</f>
        <v/>
      </c>
      <c r="Q99" s="13">
        <f>IF(AND(P99&lt;&gt;"",N99&lt;&gt;""),(P99/N99)*100,"")</f>
        <v/>
      </c>
    </row>
    <row r="100">
      <c r="B100">
        <f>IFERROR(VLOOKUP(A100,Source_Inventory!$A$5:$P$104,2,FALSE),"[Not Found]")</f>
        <v/>
      </c>
      <c r="Q100" s="13">
        <f>IF(AND(P100&lt;&gt;"",N100&lt;&gt;""),(P100/N100)*100,"")</f>
        <v/>
      </c>
    </row>
    <row r="101">
      <c r="B101">
        <f>IFERROR(VLOOKUP(A101,Source_Inventory!$A$5:$P$104,2,FALSE),"[Not Found]")</f>
        <v/>
      </c>
      <c r="Q101" s="13">
        <f>IF(AND(P101&lt;&gt;"",N101&lt;&gt;""),(P101/N101)*100,"")</f>
        <v/>
      </c>
    </row>
    <row r="102">
      <c r="B102">
        <f>IFERROR(VLOOKUP(A102,Source_Inventory!$A$5:$P$104,2,FALSE),"[Not Found]")</f>
        <v/>
      </c>
      <c r="Q102" s="13">
        <f>IF(AND(P102&lt;&gt;"",N102&lt;&gt;""),(P102/N102)*100,"")</f>
        <v/>
      </c>
    </row>
    <row r="103">
      <c r="B103">
        <f>IFERROR(VLOOKUP(A103,Source_Inventory!$A$5:$P$104,2,FALSE),"[Not Found]")</f>
        <v/>
      </c>
      <c r="Q103" s="13">
        <f>IF(AND(P103&lt;&gt;"",N103&lt;&gt;""),(P103/N103)*100,"")</f>
        <v/>
      </c>
    </row>
    <row r="104">
      <c r="B104">
        <f>IFERROR(VLOOKUP(A104,Source_Inventory!$A$5:$P$104,2,FALSE),"[Not Found]")</f>
        <v/>
      </c>
      <c r="Q104" s="13">
        <f>IF(AND(P104&lt;&gt;"",N104&lt;&gt;""),(P104/N104)*100,"")</f>
        <v/>
      </c>
    </row>
  </sheetData>
  <mergeCells count="1">
    <mergeCell ref="A1:AK1"/>
  </mergeCells>
  <conditionalFormatting sqref="Z5:Z104">
    <cfRule type="cellIs" priority="1" operator="equal" dxfId="5">
      <formula>"Failed"</formula>
    </cfRule>
  </conditionalFormatting>
  <conditionalFormatting sqref="R5:R104">
    <cfRule type="cellIs" priority="2" operator="equal" dxfId="5">
      <formula>"Critical"</formula>
    </cfRule>
  </conditionalFormatting>
  <dataValidations count="100">
    <dataValidation sqref="A5" showDropDown="0" showInputMessage="0" showErrorMessage="0" allowBlank="0" type="list">
      <formula1>=Source_Inventory!$A$5:$A$104</formula1>
    </dataValidation>
    <dataValidation sqref="A6" showDropDown="0" showInputMessage="0" showErrorMessage="0" allowBlank="0" type="list">
      <formula1>=Source_Inventory!$A$5:$A$104</formula1>
    </dataValidation>
    <dataValidation sqref="A7" showDropDown="0" showInputMessage="0" showErrorMessage="0" allowBlank="0" type="list">
      <formula1>=Source_Inventory!$A$5:$A$104</formula1>
    </dataValidation>
    <dataValidation sqref="A8" showDropDown="0" showInputMessage="0" showErrorMessage="0" allowBlank="0" type="list">
      <formula1>=Source_Inventory!$A$5:$A$104</formula1>
    </dataValidation>
    <dataValidation sqref="A9" showDropDown="0" showInputMessage="0" showErrorMessage="0" allowBlank="0" type="list">
      <formula1>=Source_Inventory!$A$5:$A$104</formula1>
    </dataValidation>
    <dataValidation sqref="A10" showDropDown="0" showInputMessage="0" showErrorMessage="0" allowBlank="0" type="list">
      <formula1>=Source_Inventory!$A$5:$A$104</formula1>
    </dataValidation>
    <dataValidation sqref="A11" showDropDown="0" showInputMessage="0" showErrorMessage="0" allowBlank="0" type="list">
      <formula1>=Source_Inventory!$A$5:$A$104</formula1>
    </dataValidation>
    <dataValidation sqref="A12" showDropDown="0" showInputMessage="0" showErrorMessage="0" allowBlank="0" type="list">
      <formula1>=Source_Inventory!$A$5:$A$104</formula1>
    </dataValidation>
    <dataValidation sqref="A13" showDropDown="0" showInputMessage="0" showErrorMessage="0" allowBlank="0" type="list">
      <formula1>=Source_Inventory!$A$5:$A$104</formula1>
    </dataValidation>
    <dataValidation sqref="A14" showDropDown="0" showInputMessage="0" showErrorMessage="0" allowBlank="0" type="list">
      <formula1>=Source_Inventory!$A$5:$A$104</formula1>
    </dataValidation>
    <dataValidation sqref="A15" showDropDown="0" showInputMessage="0" showErrorMessage="0" allowBlank="0" type="list">
      <formula1>=Source_Inventory!$A$5:$A$104</formula1>
    </dataValidation>
    <dataValidation sqref="A16" showDropDown="0" showInputMessage="0" showErrorMessage="0" allowBlank="0" type="list">
      <formula1>=Source_Inventory!$A$5:$A$104</formula1>
    </dataValidation>
    <dataValidation sqref="A17" showDropDown="0" showInputMessage="0" showErrorMessage="0" allowBlank="0" type="list">
      <formula1>=Source_Inventory!$A$5:$A$104</formula1>
    </dataValidation>
    <dataValidation sqref="A18" showDropDown="0" showInputMessage="0" showErrorMessage="0" allowBlank="0" type="list">
      <formula1>=Source_Inventory!$A$5:$A$104</formula1>
    </dataValidation>
    <dataValidation sqref="A19" showDropDown="0" showInputMessage="0" showErrorMessage="0" allowBlank="0" type="list">
      <formula1>=Source_Inventory!$A$5:$A$104</formula1>
    </dataValidation>
    <dataValidation sqref="A20" showDropDown="0" showInputMessage="0" showErrorMessage="0" allowBlank="0" type="list">
      <formula1>=Source_Inventory!$A$5:$A$104</formula1>
    </dataValidation>
    <dataValidation sqref="A21" showDropDown="0" showInputMessage="0" showErrorMessage="0" allowBlank="0" type="list">
      <formula1>=Source_Inventory!$A$5:$A$104</formula1>
    </dataValidation>
    <dataValidation sqref="A22" showDropDown="0" showInputMessage="0" showErrorMessage="0" allowBlank="0" type="list">
      <formula1>=Source_Inventory!$A$5:$A$104</formula1>
    </dataValidation>
    <dataValidation sqref="A23" showDropDown="0" showInputMessage="0" showErrorMessage="0" allowBlank="0" type="list">
      <formula1>=Source_Inventory!$A$5:$A$104</formula1>
    </dataValidation>
    <dataValidation sqref="A24" showDropDown="0" showInputMessage="0" showErrorMessage="0" allowBlank="0" type="list">
      <formula1>=Source_Inventory!$A$5:$A$104</formula1>
    </dataValidation>
    <dataValidation sqref="A25" showDropDown="0" showInputMessage="0" showErrorMessage="0" allowBlank="0" type="list">
      <formula1>=Source_Inventory!$A$5:$A$104</formula1>
    </dataValidation>
    <dataValidation sqref="A26" showDropDown="0" showInputMessage="0" showErrorMessage="0" allowBlank="0" type="list">
      <formula1>=Source_Inventory!$A$5:$A$104</formula1>
    </dataValidation>
    <dataValidation sqref="A27" showDropDown="0" showInputMessage="0" showErrorMessage="0" allowBlank="0" type="list">
      <formula1>=Source_Inventory!$A$5:$A$104</formula1>
    </dataValidation>
    <dataValidation sqref="A28" showDropDown="0" showInputMessage="0" showErrorMessage="0" allowBlank="0" type="list">
      <formula1>=Source_Inventory!$A$5:$A$104</formula1>
    </dataValidation>
    <dataValidation sqref="A29" showDropDown="0" showInputMessage="0" showErrorMessage="0" allowBlank="0" type="list">
      <formula1>=Source_Inventory!$A$5:$A$104</formula1>
    </dataValidation>
    <dataValidation sqref="A30" showDropDown="0" showInputMessage="0" showErrorMessage="0" allowBlank="0" type="list">
      <formula1>=Source_Inventory!$A$5:$A$104</formula1>
    </dataValidation>
    <dataValidation sqref="A31" showDropDown="0" showInputMessage="0" showErrorMessage="0" allowBlank="0" type="list">
      <formula1>=Source_Inventory!$A$5:$A$104</formula1>
    </dataValidation>
    <dataValidation sqref="A32" showDropDown="0" showInputMessage="0" showErrorMessage="0" allowBlank="0" type="list">
      <formula1>=Source_Inventory!$A$5:$A$104</formula1>
    </dataValidation>
    <dataValidation sqref="A33" showDropDown="0" showInputMessage="0" showErrorMessage="0" allowBlank="0" type="list">
      <formula1>=Source_Inventory!$A$5:$A$104</formula1>
    </dataValidation>
    <dataValidation sqref="A34" showDropDown="0" showInputMessage="0" showErrorMessage="0" allowBlank="0" type="list">
      <formula1>=Source_Inventory!$A$5:$A$104</formula1>
    </dataValidation>
    <dataValidation sqref="A35" showDropDown="0" showInputMessage="0" showErrorMessage="0" allowBlank="0" type="list">
      <formula1>=Source_Inventory!$A$5:$A$104</formula1>
    </dataValidation>
    <dataValidation sqref="A36" showDropDown="0" showInputMessage="0" showErrorMessage="0" allowBlank="0" type="list">
      <formula1>=Source_Inventory!$A$5:$A$104</formula1>
    </dataValidation>
    <dataValidation sqref="A37" showDropDown="0" showInputMessage="0" showErrorMessage="0" allowBlank="0" type="list">
      <formula1>=Source_Inventory!$A$5:$A$104</formula1>
    </dataValidation>
    <dataValidation sqref="A38" showDropDown="0" showInputMessage="0" showErrorMessage="0" allowBlank="0" type="list">
      <formula1>=Source_Inventory!$A$5:$A$104</formula1>
    </dataValidation>
    <dataValidation sqref="A39" showDropDown="0" showInputMessage="0" showErrorMessage="0" allowBlank="0" type="list">
      <formula1>=Source_Inventory!$A$5:$A$104</formula1>
    </dataValidation>
    <dataValidation sqref="A40" showDropDown="0" showInputMessage="0" showErrorMessage="0" allowBlank="0" type="list">
      <formula1>=Source_Inventory!$A$5:$A$104</formula1>
    </dataValidation>
    <dataValidation sqref="A41" showDropDown="0" showInputMessage="0" showErrorMessage="0" allowBlank="0" type="list">
      <formula1>=Source_Inventory!$A$5:$A$104</formula1>
    </dataValidation>
    <dataValidation sqref="A42" showDropDown="0" showInputMessage="0" showErrorMessage="0" allowBlank="0" type="list">
      <formula1>=Source_Inventory!$A$5:$A$104</formula1>
    </dataValidation>
    <dataValidation sqref="A43" showDropDown="0" showInputMessage="0" showErrorMessage="0" allowBlank="0" type="list">
      <formula1>=Source_Inventory!$A$5:$A$104</formula1>
    </dataValidation>
    <dataValidation sqref="A44" showDropDown="0" showInputMessage="0" showErrorMessage="0" allowBlank="0" type="list">
      <formula1>=Source_Inventory!$A$5:$A$104</formula1>
    </dataValidation>
    <dataValidation sqref="A45" showDropDown="0" showInputMessage="0" showErrorMessage="0" allowBlank="0" type="list">
      <formula1>=Source_Inventory!$A$5:$A$104</formula1>
    </dataValidation>
    <dataValidation sqref="A46" showDropDown="0" showInputMessage="0" showErrorMessage="0" allowBlank="0" type="list">
      <formula1>=Source_Inventory!$A$5:$A$104</formula1>
    </dataValidation>
    <dataValidation sqref="A47" showDropDown="0" showInputMessage="0" showErrorMessage="0" allowBlank="0" type="list">
      <formula1>=Source_Inventory!$A$5:$A$104</formula1>
    </dataValidation>
    <dataValidation sqref="A48" showDropDown="0" showInputMessage="0" showErrorMessage="0" allowBlank="0" type="list">
      <formula1>=Source_Inventory!$A$5:$A$104</formula1>
    </dataValidation>
    <dataValidation sqref="A49" showDropDown="0" showInputMessage="0" showErrorMessage="0" allowBlank="0" type="list">
      <formula1>=Source_Inventory!$A$5:$A$104</formula1>
    </dataValidation>
    <dataValidation sqref="A50" showDropDown="0" showInputMessage="0" showErrorMessage="0" allowBlank="0" type="list">
      <formula1>=Source_Inventory!$A$5:$A$104</formula1>
    </dataValidation>
    <dataValidation sqref="A51" showDropDown="0" showInputMessage="0" showErrorMessage="0" allowBlank="0" type="list">
      <formula1>=Source_Inventory!$A$5:$A$104</formula1>
    </dataValidation>
    <dataValidation sqref="A52" showDropDown="0" showInputMessage="0" showErrorMessage="0" allowBlank="0" type="list">
      <formula1>=Source_Inventory!$A$5:$A$104</formula1>
    </dataValidation>
    <dataValidation sqref="A53" showDropDown="0" showInputMessage="0" showErrorMessage="0" allowBlank="0" type="list">
      <formula1>=Source_Inventory!$A$5:$A$104</formula1>
    </dataValidation>
    <dataValidation sqref="A54" showDropDown="0" showInputMessage="0" showErrorMessage="0" allowBlank="0" type="list">
      <formula1>=Source_Inventory!$A$5:$A$104</formula1>
    </dataValidation>
    <dataValidation sqref="A55" showDropDown="0" showInputMessage="0" showErrorMessage="0" allowBlank="0" type="list">
      <formula1>=Source_Inventory!$A$5:$A$104</formula1>
    </dataValidation>
    <dataValidation sqref="A56" showDropDown="0" showInputMessage="0" showErrorMessage="0" allowBlank="0" type="list">
      <formula1>=Source_Inventory!$A$5:$A$104</formula1>
    </dataValidation>
    <dataValidation sqref="A57" showDropDown="0" showInputMessage="0" showErrorMessage="0" allowBlank="0" type="list">
      <formula1>=Source_Inventory!$A$5:$A$104</formula1>
    </dataValidation>
    <dataValidation sqref="A58" showDropDown="0" showInputMessage="0" showErrorMessage="0" allowBlank="0" type="list">
      <formula1>=Source_Inventory!$A$5:$A$104</formula1>
    </dataValidation>
    <dataValidation sqref="A59" showDropDown="0" showInputMessage="0" showErrorMessage="0" allowBlank="0" type="list">
      <formula1>=Source_Inventory!$A$5:$A$104</formula1>
    </dataValidation>
    <dataValidation sqref="A60" showDropDown="0" showInputMessage="0" showErrorMessage="0" allowBlank="0" type="list">
      <formula1>=Source_Inventory!$A$5:$A$104</formula1>
    </dataValidation>
    <dataValidation sqref="A61" showDropDown="0" showInputMessage="0" showErrorMessage="0" allowBlank="0" type="list">
      <formula1>=Source_Inventory!$A$5:$A$104</formula1>
    </dataValidation>
    <dataValidation sqref="A62" showDropDown="0" showInputMessage="0" showErrorMessage="0" allowBlank="0" type="list">
      <formula1>=Source_Inventory!$A$5:$A$104</formula1>
    </dataValidation>
    <dataValidation sqref="A63" showDropDown="0" showInputMessage="0" showErrorMessage="0" allowBlank="0" type="list">
      <formula1>=Source_Inventory!$A$5:$A$104</formula1>
    </dataValidation>
    <dataValidation sqref="A64" showDropDown="0" showInputMessage="0" showErrorMessage="0" allowBlank="0" type="list">
      <formula1>=Source_Inventory!$A$5:$A$104</formula1>
    </dataValidation>
    <dataValidation sqref="A65" showDropDown="0" showInputMessage="0" showErrorMessage="0" allowBlank="0" type="list">
      <formula1>=Source_Inventory!$A$5:$A$104</formula1>
    </dataValidation>
    <dataValidation sqref="A66" showDropDown="0" showInputMessage="0" showErrorMessage="0" allowBlank="0" type="list">
      <formula1>=Source_Inventory!$A$5:$A$104</formula1>
    </dataValidation>
    <dataValidation sqref="A67" showDropDown="0" showInputMessage="0" showErrorMessage="0" allowBlank="0" type="list">
      <formula1>=Source_Inventory!$A$5:$A$104</formula1>
    </dataValidation>
    <dataValidation sqref="A68" showDropDown="0" showInputMessage="0" showErrorMessage="0" allowBlank="0" type="list">
      <formula1>=Source_Inventory!$A$5:$A$104</formula1>
    </dataValidation>
    <dataValidation sqref="A69" showDropDown="0" showInputMessage="0" showErrorMessage="0" allowBlank="0" type="list">
      <formula1>=Source_Inventory!$A$5:$A$104</formula1>
    </dataValidation>
    <dataValidation sqref="A70" showDropDown="0" showInputMessage="0" showErrorMessage="0" allowBlank="0" type="list">
      <formula1>=Source_Inventory!$A$5:$A$104</formula1>
    </dataValidation>
    <dataValidation sqref="A71" showDropDown="0" showInputMessage="0" showErrorMessage="0" allowBlank="0" type="list">
      <formula1>=Source_Inventory!$A$5:$A$104</formula1>
    </dataValidation>
    <dataValidation sqref="A72" showDropDown="0" showInputMessage="0" showErrorMessage="0" allowBlank="0" type="list">
      <formula1>=Source_Inventory!$A$5:$A$104</formula1>
    </dataValidation>
    <dataValidation sqref="A73" showDropDown="0" showInputMessage="0" showErrorMessage="0" allowBlank="0" type="list">
      <formula1>=Source_Inventory!$A$5:$A$104</formula1>
    </dataValidation>
    <dataValidation sqref="A74" showDropDown="0" showInputMessage="0" showErrorMessage="0" allowBlank="0" type="list">
      <formula1>=Source_Inventory!$A$5:$A$104</formula1>
    </dataValidation>
    <dataValidation sqref="A75" showDropDown="0" showInputMessage="0" showErrorMessage="0" allowBlank="0" type="list">
      <formula1>=Source_Inventory!$A$5:$A$104</formula1>
    </dataValidation>
    <dataValidation sqref="A76" showDropDown="0" showInputMessage="0" showErrorMessage="0" allowBlank="0" type="list">
      <formula1>=Source_Inventory!$A$5:$A$104</formula1>
    </dataValidation>
    <dataValidation sqref="A77" showDropDown="0" showInputMessage="0" showErrorMessage="0" allowBlank="0" type="list">
      <formula1>=Source_Inventory!$A$5:$A$104</formula1>
    </dataValidation>
    <dataValidation sqref="A78" showDropDown="0" showInputMessage="0" showErrorMessage="0" allowBlank="0" type="list">
      <formula1>=Source_Inventory!$A$5:$A$104</formula1>
    </dataValidation>
    <dataValidation sqref="A79" showDropDown="0" showInputMessage="0" showErrorMessage="0" allowBlank="0" type="list">
      <formula1>=Source_Inventory!$A$5:$A$104</formula1>
    </dataValidation>
    <dataValidation sqref="A80" showDropDown="0" showInputMessage="0" showErrorMessage="0" allowBlank="0" type="list">
      <formula1>=Source_Inventory!$A$5:$A$104</formula1>
    </dataValidation>
    <dataValidation sqref="A81" showDropDown="0" showInputMessage="0" showErrorMessage="0" allowBlank="0" type="list">
      <formula1>=Source_Inventory!$A$5:$A$104</formula1>
    </dataValidation>
    <dataValidation sqref="A82" showDropDown="0" showInputMessage="0" showErrorMessage="0" allowBlank="0" type="list">
      <formula1>=Source_Inventory!$A$5:$A$104</formula1>
    </dataValidation>
    <dataValidation sqref="A83" showDropDown="0" showInputMessage="0" showErrorMessage="0" allowBlank="0" type="list">
      <formula1>=Source_Inventory!$A$5:$A$104</formula1>
    </dataValidation>
    <dataValidation sqref="A84" showDropDown="0" showInputMessage="0" showErrorMessage="0" allowBlank="0" type="list">
      <formula1>=Source_Inventory!$A$5:$A$104</formula1>
    </dataValidation>
    <dataValidation sqref="A85" showDropDown="0" showInputMessage="0" showErrorMessage="0" allowBlank="0" type="list">
      <formula1>=Source_Inventory!$A$5:$A$104</formula1>
    </dataValidation>
    <dataValidation sqref="A86" showDropDown="0" showInputMessage="0" showErrorMessage="0" allowBlank="0" type="list">
      <formula1>=Source_Inventory!$A$5:$A$104</formula1>
    </dataValidation>
    <dataValidation sqref="A87" showDropDown="0" showInputMessage="0" showErrorMessage="0" allowBlank="0" type="list">
      <formula1>=Source_Inventory!$A$5:$A$104</formula1>
    </dataValidation>
    <dataValidation sqref="A88" showDropDown="0" showInputMessage="0" showErrorMessage="0" allowBlank="0" type="list">
      <formula1>=Source_Inventory!$A$5:$A$104</formula1>
    </dataValidation>
    <dataValidation sqref="A89" showDropDown="0" showInputMessage="0" showErrorMessage="0" allowBlank="0" type="list">
      <formula1>=Source_Inventory!$A$5:$A$104</formula1>
    </dataValidation>
    <dataValidation sqref="A90" showDropDown="0" showInputMessage="0" showErrorMessage="0" allowBlank="0" type="list">
      <formula1>=Source_Inventory!$A$5:$A$104</formula1>
    </dataValidation>
    <dataValidation sqref="A91" showDropDown="0" showInputMessage="0" showErrorMessage="0" allowBlank="0" type="list">
      <formula1>=Source_Inventory!$A$5:$A$104</formula1>
    </dataValidation>
    <dataValidation sqref="A92" showDropDown="0" showInputMessage="0" showErrorMessage="0" allowBlank="0" type="list">
      <formula1>=Source_Inventory!$A$5:$A$104</formula1>
    </dataValidation>
    <dataValidation sqref="A93" showDropDown="0" showInputMessage="0" showErrorMessage="0" allowBlank="0" type="list">
      <formula1>=Source_Inventory!$A$5:$A$104</formula1>
    </dataValidation>
    <dataValidation sqref="A94" showDropDown="0" showInputMessage="0" showErrorMessage="0" allowBlank="0" type="list">
      <formula1>=Source_Inventory!$A$5:$A$104</formula1>
    </dataValidation>
    <dataValidation sqref="A95" showDropDown="0" showInputMessage="0" showErrorMessage="0" allowBlank="0" type="list">
      <formula1>=Source_Inventory!$A$5:$A$104</formula1>
    </dataValidation>
    <dataValidation sqref="A96" showDropDown="0" showInputMessage="0" showErrorMessage="0" allowBlank="0" type="list">
      <formula1>=Source_Inventory!$A$5:$A$104</formula1>
    </dataValidation>
    <dataValidation sqref="A97" showDropDown="0" showInputMessage="0" showErrorMessage="0" allowBlank="0" type="list">
      <formula1>=Source_Inventory!$A$5:$A$104</formula1>
    </dataValidation>
    <dataValidation sqref="A98" showDropDown="0" showInputMessage="0" showErrorMessage="0" allowBlank="0" type="list">
      <formula1>=Source_Inventory!$A$5:$A$104</formula1>
    </dataValidation>
    <dataValidation sqref="A99" showDropDown="0" showInputMessage="0" showErrorMessage="0" allowBlank="0" type="list">
      <formula1>=Source_Inventory!$A$5:$A$104</formula1>
    </dataValidation>
    <dataValidation sqref="A100" showDropDown="0" showInputMessage="0" showErrorMessage="0" allowBlank="0" type="list">
      <formula1>=Source_Inventory!$A$5:$A$104</formula1>
    </dataValidation>
    <dataValidation sqref="A101" showDropDown="0" showInputMessage="0" showErrorMessage="0" allowBlank="0" type="list">
      <formula1>=Source_Inventory!$A$5:$A$104</formula1>
    </dataValidation>
    <dataValidation sqref="A102" showDropDown="0" showInputMessage="0" showErrorMessage="0" allowBlank="0" type="list">
      <formula1>=Source_Inventory!$A$5:$A$104</formula1>
    </dataValidation>
    <dataValidation sqref="A103" showDropDown="0" showInputMessage="0" showErrorMessage="0" allowBlank="0" type="list">
      <formula1>=Source_Inventory!$A$5:$A$104</formula1>
    </dataValidation>
    <dataValidation sqref="A104" showDropDown="0" showInputMessage="0" showErrorMessage="0" allowBlank="0" type="list">
      <formula1>=Source_Inventory!$A$5:$A$104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O104"/>
  <sheetViews>
    <sheetView workbookViewId="0">
      <selection activeCell="A1" sqref="A1"/>
    </sheetView>
  </sheetViews>
  <sheetFormatPr baseColWidth="8" defaultRowHeight="15"/>
  <cols>
    <col width="18" customWidth="1" min="1" max="1"/>
    <col width="15" customWidth="1" min="2" max="2"/>
    <col width="30" customWidth="1" min="3" max="3"/>
    <col width="15" customWidth="1" min="4" max="4"/>
    <col width="15" customWidth="1" min="5" max="5"/>
    <col width="25" customWidth="1" min="6" max="6"/>
    <col width="40"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5" customWidth="1" min="19" max="19"/>
    <col width="40" customWidth="1" min="20" max="20"/>
    <col width="15" customWidth="1" min="21" max="21"/>
    <col width="12" customWidth="1" min="22" max="22"/>
    <col width="12" customWidth="1" min="23" max="23"/>
    <col width="12" customWidth="1" min="24" max="24"/>
    <col width="15" customWidth="1" min="25" max="25"/>
    <col width="30" customWidth="1" min="26" max="26"/>
    <col width="15" customWidth="1" min="27" max="27"/>
    <col width="40" customWidth="1" min="28" max="28"/>
    <col width="12" customWidth="1" min="29" max="29"/>
    <col width="15" customWidth="1" min="30" max="30"/>
    <col width="40" customWidth="1" min="31" max="31"/>
    <col width="25" customWidth="1" min="32" max="32"/>
    <col width="15" customWidth="1" min="33" max="33"/>
    <col width="15" customWidth="1" min="34" max="34"/>
  </cols>
  <sheetData>
    <row r="1" ht="25" customHeight="1">
      <c r="A1" s="19" t="inlineStr">
        <is>
          <t>Source Performance Validation - Quarterly Accuracy Assessment (AUDIT CRITICAL)</t>
        </is>
      </c>
    </row>
    <row r="2" ht="40" customHeight="1">
      <c r="A2" s="20" t="inlineStr">
        <is>
          <t>QUARTERLY REQUIREMENT per ISMS-POL-A.5.7-S4 Section 4.4.3: Validate source accuracy. Sample ≥10 IOCs + ≥10 CVEs per source. Target: ≥85% overall, ≥90% CVSS. Evidence required for audit.</t>
        </is>
      </c>
    </row>
    <row r="4" ht="40" customHeight="1">
      <c r="A4" s="21" t="inlineStr">
        <is>
          <t>Validation_ID</t>
        </is>
      </c>
      <c r="B4" s="21" t="inlineStr">
        <is>
          <t>Source_ID</t>
        </is>
      </c>
      <c r="C4" s="21" t="inlineStr">
        <is>
          <t>Source_Name</t>
        </is>
      </c>
      <c r="D4" s="21" t="inlineStr">
        <is>
          <t>Validation_Quarter</t>
        </is>
      </c>
      <c r="E4" s="21" t="inlineStr">
        <is>
          <t>Validation_Date</t>
        </is>
      </c>
      <c r="F4" s="21" t="inlineStr">
        <is>
          <t>Validator</t>
        </is>
      </c>
      <c r="G4" s="21" t="inlineStr">
        <is>
          <t>Validation_Method</t>
        </is>
      </c>
      <c r="H4" s="21" t="inlineStr">
        <is>
          <t>Total_Sample_Size</t>
        </is>
      </c>
      <c r="I4" s="21" t="inlineStr">
        <is>
          <t>IOC_Sample_Size</t>
        </is>
      </c>
      <c r="J4" s="21" t="inlineStr">
        <is>
          <t>IOC_True_Positives</t>
        </is>
      </c>
      <c r="K4" s="21" t="inlineStr">
        <is>
          <t>IOC_False_Positives</t>
        </is>
      </c>
      <c r="L4" s="21" t="inlineStr">
        <is>
          <t>IOC_Accuracy</t>
        </is>
      </c>
      <c r="M4" s="21" t="inlineStr">
        <is>
          <t>CVE_Sample_Size</t>
        </is>
      </c>
      <c r="N4" s="21" t="inlineStr">
        <is>
          <t>CVE_Accurate</t>
        </is>
      </c>
      <c r="O4" s="21" t="inlineStr">
        <is>
          <t>CVE_Inaccurate</t>
        </is>
      </c>
      <c r="P4" s="21" t="inlineStr">
        <is>
          <t>CVE_Accuracy</t>
        </is>
      </c>
      <c r="Q4" s="21" t="inlineStr">
        <is>
          <t>CVSS_Accurate_Count</t>
        </is>
      </c>
      <c r="R4" s="21" t="inlineStr">
        <is>
          <t>CVSS_Inaccurate_Count</t>
        </is>
      </c>
      <c r="S4" s="21" t="inlineStr">
        <is>
          <t>CVSS_Accuracy_Rate</t>
        </is>
      </c>
      <c r="T4" s="21" t="inlineStr">
        <is>
          <t>CVSS_Accuracy_Method</t>
        </is>
      </c>
      <c r="U4" s="21" t="inlineStr">
        <is>
          <t>Overall_Accuracy_Rate</t>
        </is>
      </c>
      <c r="V4" s="21" t="inlineStr">
        <is>
          <t>Admiralty_Code_Source</t>
        </is>
      </c>
      <c r="W4" s="21" t="inlineStr">
        <is>
          <t>Admiralty_Code_Info</t>
        </is>
      </c>
      <c r="X4" s="21" t="inlineStr">
        <is>
          <t>Admiralty_Combined</t>
        </is>
      </c>
      <c r="Y4" s="21" t="inlineStr">
        <is>
          <t>Validation_Pass</t>
        </is>
      </c>
      <c r="Z4" s="21" t="inlineStr">
        <is>
          <t>Pass_Criteria_Met</t>
        </is>
      </c>
      <c r="AA4" s="21" t="inlineStr">
        <is>
          <t>Action_Required</t>
        </is>
      </c>
      <c r="AB4" s="21" t="inlineStr">
        <is>
          <t>Action_Notes</t>
        </is>
      </c>
      <c r="AC4" s="21" t="inlineStr">
        <is>
          <t>Action_Item_Created</t>
        </is>
      </c>
      <c r="AD4" s="21" t="inlineStr">
        <is>
          <t>Action_Item_ID</t>
        </is>
      </c>
      <c r="AE4" s="21" t="inlineStr">
        <is>
          <t>Evidence_Location</t>
        </is>
      </c>
      <c r="AF4" s="21" t="inlineStr">
        <is>
          <t>Reviewed_By</t>
        </is>
      </c>
      <c r="AG4" s="21" t="inlineStr">
        <is>
          <t>Review_Date</t>
        </is>
      </c>
      <c r="AH4" s="21" t="inlineStr">
        <is>
          <t>Next_Validation_Date</t>
        </is>
      </c>
    </row>
    <row r="5">
      <c r="C5">
        <f>IFERROR(VLOOKUP(B5,Source_Inventory!$A$5:$P$104,2,FALSE),"[Not Found]")</f>
        <v/>
      </c>
      <c r="E5" s="11" t="n"/>
      <c r="H5" s="14" t="n"/>
      <c r="I5" s="14" t="n"/>
      <c r="L5" s="22">
        <f>IFERROR((J5/I5)*100,"")</f>
        <v/>
      </c>
      <c r="M5" s="14" t="n"/>
      <c r="P5" s="22">
        <f>IFERROR((N5/M5)*100,"")</f>
        <v/>
      </c>
      <c r="S5" s="22">
        <f>IFERROR((Q5/M5)*100,"")</f>
        <v/>
      </c>
      <c r="U5" s="22">
        <f>IFERROR(((J5+N5)/H5)*100,"")</f>
        <v/>
      </c>
      <c r="X5">
        <f>IF(AND(V5&lt;&gt;"",W5&lt;&gt;""),CONCATENATE(V5,W5),"")</f>
        <v/>
      </c>
      <c r="Y5">
        <f>IF(AND(U5&gt;=85,S5&gt;=90),"Pass",IF(AND(U5&gt;=80,S5&gt;=85),"Conditional_Pass","Fail"))</f>
        <v/>
      </c>
      <c r="Z5">
        <f>IF(U5&gt;=85,"Overall ≥85% ✓","Overall &lt;85% ✗") &amp; ", " &amp; IF(S5&gt;=90,"CVSS ≥90% ✓","CVSS &lt;90% ✗")</f>
        <v/>
      </c>
      <c r="AA5">
        <f>IF(Y5="Pass","None",IF(Y5="Conditional_Pass","Review",IF(OR(V5="A",V5="B"),"Improve","Deprecate")))</f>
        <v/>
      </c>
      <c r="AG5" s="11" t="n"/>
      <c r="AH5" s="11">
        <f>IF(E5&lt;&gt;"",E5+90,"")</f>
        <v/>
      </c>
    </row>
    <row r="6">
      <c r="C6">
        <f>IFERROR(VLOOKUP(B6,Source_Inventory!$A$5:$P$104,2,FALSE),"[Not Found]")</f>
        <v/>
      </c>
      <c r="E6" s="11" t="n"/>
      <c r="H6" s="14" t="n"/>
      <c r="I6" s="14" t="n"/>
      <c r="L6" s="22">
        <f>IFERROR((J6/I6)*100,"")</f>
        <v/>
      </c>
      <c r="M6" s="14" t="n"/>
      <c r="P6" s="22">
        <f>IFERROR((N6/M6)*100,"")</f>
        <v/>
      </c>
      <c r="S6" s="22">
        <f>IFERROR((Q6/M6)*100,"")</f>
        <v/>
      </c>
      <c r="U6" s="22">
        <f>IFERROR(((J6+N6)/H6)*100,"")</f>
        <v/>
      </c>
      <c r="X6">
        <f>IF(AND(V6&lt;&gt;"",W6&lt;&gt;""),CONCATENATE(V6,W6),"")</f>
        <v/>
      </c>
      <c r="Y6">
        <f>IF(AND(U6&gt;=85,S6&gt;=90),"Pass",IF(AND(U6&gt;=80,S6&gt;=85),"Conditional_Pass","Fail"))</f>
        <v/>
      </c>
      <c r="Z6">
        <f>IF(U6&gt;=85,"Overall ≥85% ✓","Overall &lt;85% ✗") &amp; ", " &amp; IF(S6&gt;=90,"CVSS ≥90% ✓","CVSS &lt;90% ✗")</f>
        <v/>
      </c>
      <c r="AA6">
        <f>IF(Y6="Pass","None",IF(Y6="Conditional_Pass","Review",IF(OR(V6="A",V6="B"),"Improve","Deprecate")))</f>
        <v/>
      </c>
      <c r="AG6" s="11" t="n"/>
      <c r="AH6" s="11">
        <f>IF(E6&lt;&gt;"",E6+90,"")</f>
        <v/>
      </c>
    </row>
    <row r="7">
      <c r="C7">
        <f>IFERROR(VLOOKUP(B7,Source_Inventory!$A$5:$P$104,2,FALSE),"[Not Found]")</f>
        <v/>
      </c>
      <c r="E7" s="11" t="n"/>
      <c r="H7" s="14" t="n"/>
      <c r="I7" s="14" t="n"/>
      <c r="L7" s="22">
        <f>IFERROR((J7/I7)*100,"")</f>
        <v/>
      </c>
      <c r="M7" s="14" t="n"/>
      <c r="P7" s="22">
        <f>IFERROR((N7/M7)*100,"")</f>
        <v/>
      </c>
      <c r="S7" s="22">
        <f>IFERROR((Q7/M7)*100,"")</f>
        <v/>
      </c>
      <c r="U7" s="22">
        <f>IFERROR(((J7+N7)/H7)*100,"")</f>
        <v/>
      </c>
      <c r="X7">
        <f>IF(AND(V7&lt;&gt;"",W7&lt;&gt;""),CONCATENATE(V7,W7),"")</f>
        <v/>
      </c>
      <c r="Y7">
        <f>IF(AND(U7&gt;=85,S7&gt;=90),"Pass",IF(AND(U7&gt;=80,S7&gt;=85),"Conditional_Pass","Fail"))</f>
        <v/>
      </c>
      <c r="Z7">
        <f>IF(U7&gt;=85,"Overall ≥85% ✓","Overall &lt;85% ✗") &amp; ", " &amp; IF(S7&gt;=90,"CVSS ≥90% ✓","CVSS &lt;90% ✗")</f>
        <v/>
      </c>
      <c r="AA7">
        <f>IF(Y7="Pass","None",IF(Y7="Conditional_Pass","Review",IF(OR(V7="A",V7="B"),"Improve","Deprecate")))</f>
        <v/>
      </c>
      <c r="AG7" s="11" t="n"/>
      <c r="AH7" s="11">
        <f>IF(E7&lt;&gt;"",E7+90,"")</f>
        <v/>
      </c>
    </row>
    <row r="8">
      <c r="C8">
        <f>IFERROR(VLOOKUP(B8,Source_Inventory!$A$5:$P$104,2,FALSE),"[Not Found]")</f>
        <v/>
      </c>
      <c r="E8" s="11" t="n"/>
      <c r="H8" s="14" t="n"/>
      <c r="I8" s="14" t="n"/>
      <c r="L8" s="22">
        <f>IFERROR((J8/I8)*100,"")</f>
        <v/>
      </c>
      <c r="M8" s="14" t="n"/>
      <c r="P8" s="22">
        <f>IFERROR((N8/M8)*100,"")</f>
        <v/>
      </c>
      <c r="S8" s="22">
        <f>IFERROR((Q8/M8)*100,"")</f>
        <v/>
      </c>
      <c r="U8" s="22">
        <f>IFERROR(((J8+N8)/H8)*100,"")</f>
        <v/>
      </c>
      <c r="X8">
        <f>IF(AND(V8&lt;&gt;"",W8&lt;&gt;""),CONCATENATE(V8,W8),"")</f>
        <v/>
      </c>
      <c r="Y8">
        <f>IF(AND(U8&gt;=85,S8&gt;=90),"Pass",IF(AND(U8&gt;=80,S8&gt;=85),"Conditional_Pass","Fail"))</f>
        <v/>
      </c>
      <c r="Z8">
        <f>IF(U8&gt;=85,"Overall ≥85% ✓","Overall &lt;85% ✗") &amp; ", " &amp; IF(S8&gt;=90,"CVSS ≥90% ✓","CVSS &lt;90% ✗")</f>
        <v/>
      </c>
      <c r="AA8">
        <f>IF(Y8="Pass","None",IF(Y8="Conditional_Pass","Review",IF(OR(V8="A",V8="B"),"Improve","Deprecate")))</f>
        <v/>
      </c>
      <c r="AG8" s="11" t="n"/>
      <c r="AH8" s="11">
        <f>IF(E8&lt;&gt;"",E8+90,"")</f>
        <v/>
      </c>
    </row>
    <row r="9">
      <c r="C9">
        <f>IFERROR(VLOOKUP(B9,Source_Inventory!$A$5:$P$104,2,FALSE),"[Not Found]")</f>
        <v/>
      </c>
      <c r="E9" s="11" t="n"/>
      <c r="H9" s="14" t="n"/>
      <c r="I9" s="14" t="n"/>
      <c r="L9" s="22">
        <f>IFERROR((J9/I9)*100,"")</f>
        <v/>
      </c>
      <c r="M9" s="14" t="n"/>
      <c r="P9" s="22">
        <f>IFERROR((N9/M9)*100,"")</f>
        <v/>
      </c>
      <c r="S9" s="22">
        <f>IFERROR((Q9/M9)*100,"")</f>
        <v/>
      </c>
      <c r="U9" s="22">
        <f>IFERROR(((J9+N9)/H9)*100,"")</f>
        <v/>
      </c>
      <c r="X9">
        <f>IF(AND(V9&lt;&gt;"",W9&lt;&gt;""),CONCATENATE(V9,W9),"")</f>
        <v/>
      </c>
      <c r="Y9">
        <f>IF(AND(U9&gt;=85,S9&gt;=90),"Pass",IF(AND(U9&gt;=80,S9&gt;=85),"Conditional_Pass","Fail"))</f>
        <v/>
      </c>
      <c r="Z9">
        <f>IF(U9&gt;=85,"Overall ≥85% ✓","Overall &lt;85% ✗") &amp; ", " &amp; IF(S9&gt;=90,"CVSS ≥90% ✓","CVSS &lt;90% ✗")</f>
        <v/>
      </c>
      <c r="AA9">
        <f>IF(Y9="Pass","None",IF(Y9="Conditional_Pass","Review",IF(OR(V9="A",V9="B"),"Improve","Deprecate")))</f>
        <v/>
      </c>
      <c r="AG9" s="11" t="n"/>
      <c r="AH9" s="11">
        <f>IF(E9&lt;&gt;"",E9+90,"")</f>
        <v/>
      </c>
    </row>
    <row r="10">
      <c r="C10">
        <f>IFERROR(VLOOKUP(B10,Source_Inventory!$A$5:$P$104,2,FALSE),"[Not Found]")</f>
        <v/>
      </c>
      <c r="E10" s="11" t="n"/>
      <c r="H10" s="14" t="n"/>
      <c r="I10" s="14" t="n"/>
      <c r="L10" s="22">
        <f>IFERROR((J10/I10)*100,"")</f>
        <v/>
      </c>
      <c r="M10" s="14" t="n"/>
      <c r="P10" s="22">
        <f>IFERROR((N10/M10)*100,"")</f>
        <v/>
      </c>
      <c r="S10" s="22">
        <f>IFERROR((Q10/M10)*100,"")</f>
        <v/>
      </c>
      <c r="U10" s="22">
        <f>IFERROR(((J10+N10)/H10)*100,"")</f>
        <v/>
      </c>
      <c r="X10">
        <f>IF(AND(V10&lt;&gt;"",W10&lt;&gt;""),CONCATENATE(V10,W10),"")</f>
        <v/>
      </c>
      <c r="Y10">
        <f>IF(AND(U10&gt;=85,S10&gt;=90),"Pass",IF(AND(U10&gt;=80,S10&gt;=85),"Conditional_Pass","Fail"))</f>
        <v/>
      </c>
      <c r="Z10">
        <f>IF(U10&gt;=85,"Overall ≥85% ✓","Overall &lt;85% ✗") &amp; ", " &amp; IF(S10&gt;=90,"CVSS ≥90% ✓","CVSS &lt;90% ✗")</f>
        <v/>
      </c>
      <c r="AA10">
        <f>IF(Y10="Pass","None",IF(Y10="Conditional_Pass","Review",IF(OR(V10="A",V10="B"),"Improve","Deprecate")))</f>
        <v/>
      </c>
      <c r="AG10" s="11" t="n"/>
      <c r="AH10" s="11">
        <f>IF(E10&lt;&gt;"",E10+90,"")</f>
        <v/>
      </c>
    </row>
    <row r="11">
      <c r="C11">
        <f>IFERROR(VLOOKUP(B11,Source_Inventory!$A$5:$P$104,2,FALSE),"[Not Found]")</f>
        <v/>
      </c>
      <c r="E11" s="11" t="n"/>
      <c r="H11" s="14" t="n"/>
      <c r="I11" s="14" t="n"/>
      <c r="L11" s="22">
        <f>IFERROR((J11/I11)*100,"")</f>
        <v/>
      </c>
      <c r="M11" s="14" t="n"/>
      <c r="P11" s="22">
        <f>IFERROR((N11/M11)*100,"")</f>
        <v/>
      </c>
      <c r="S11" s="22">
        <f>IFERROR((Q11/M11)*100,"")</f>
        <v/>
      </c>
      <c r="U11" s="22">
        <f>IFERROR(((J11+N11)/H11)*100,"")</f>
        <v/>
      </c>
      <c r="X11">
        <f>IF(AND(V11&lt;&gt;"",W11&lt;&gt;""),CONCATENATE(V11,W11),"")</f>
        <v/>
      </c>
      <c r="Y11">
        <f>IF(AND(U11&gt;=85,S11&gt;=90),"Pass",IF(AND(U11&gt;=80,S11&gt;=85),"Conditional_Pass","Fail"))</f>
        <v/>
      </c>
      <c r="Z11">
        <f>IF(U11&gt;=85,"Overall ≥85% ✓","Overall &lt;85% ✗") &amp; ", " &amp; IF(S11&gt;=90,"CVSS ≥90% ✓","CVSS &lt;90% ✗")</f>
        <v/>
      </c>
      <c r="AA11">
        <f>IF(Y11="Pass","None",IF(Y11="Conditional_Pass","Review",IF(OR(V11="A",V11="B"),"Improve","Deprecate")))</f>
        <v/>
      </c>
      <c r="AG11" s="11" t="n"/>
      <c r="AH11" s="11">
        <f>IF(E11&lt;&gt;"",E11+90,"")</f>
        <v/>
      </c>
    </row>
    <row r="12">
      <c r="C12">
        <f>IFERROR(VLOOKUP(B12,Source_Inventory!$A$5:$P$104,2,FALSE),"[Not Found]")</f>
        <v/>
      </c>
      <c r="E12" s="11" t="n"/>
      <c r="H12" s="14" t="n"/>
      <c r="I12" s="14" t="n"/>
      <c r="L12" s="22">
        <f>IFERROR((J12/I12)*100,"")</f>
        <v/>
      </c>
      <c r="M12" s="14" t="n"/>
      <c r="P12" s="22">
        <f>IFERROR((N12/M12)*100,"")</f>
        <v/>
      </c>
      <c r="S12" s="22">
        <f>IFERROR((Q12/M12)*100,"")</f>
        <v/>
      </c>
      <c r="U12" s="22">
        <f>IFERROR(((J12+N12)/H12)*100,"")</f>
        <v/>
      </c>
      <c r="X12">
        <f>IF(AND(V12&lt;&gt;"",W12&lt;&gt;""),CONCATENATE(V12,W12),"")</f>
        <v/>
      </c>
      <c r="Y12">
        <f>IF(AND(U12&gt;=85,S12&gt;=90),"Pass",IF(AND(U12&gt;=80,S12&gt;=85),"Conditional_Pass","Fail"))</f>
        <v/>
      </c>
      <c r="Z12">
        <f>IF(U12&gt;=85,"Overall ≥85% ✓","Overall &lt;85% ✗") &amp; ", " &amp; IF(S12&gt;=90,"CVSS ≥90% ✓","CVSS &lt;90% ✗")</f>
        <v/>
      </c>
      <c r="AA12">
        <f>IF(Y12="Pass","None",IF(Y12="Conditional_Pass","Review",IF(OR(V12="A",V12="B"),"Improve","Deprecate")))</f>
        <v/>
      </c>
      <c r="AG12" s="11" t="n"/>
      <c r="AH12" s="11">
        <f>IF(E12&lt;&gt;"",E12+90,"")</f>
        <v/>
      </c>
    </row>
    <row r="13">
      <c r="C13">
        <f>IFERROR(VLOOKUP(B13,Source_Inventory!$A$5:$P$104,2,FALSE),"[Not Found]")</f>
        <v/>
      </c>
      <c r="E13" s="11" t="n"/>
      <c r="H13" s="14" t="n"/>
      <c r="I13" s="14" t="n"/>
      <c r="L13" s="22">
        <f>IFERROR((J13/I13)*100,"")</f>
        <v/>
      </c>
      <c r="M13" s="14" t="n"/>
      <c r="P13" s="22">
        <f>IFERROR((N13/M13)*100,"")</f>
        <v/>
      </c>
      <c r="S13" s="22">
        <f>IFERROR((Q13/M13)*100,"")</f>
        <v/>
      </c>
      <c r="U13" s="22">
        <f>IFERROR(((J13+N13)/H13)*100,"")</f>
        <v/>
      </c>
      <c r="X13">
        <f>IF(AND(V13&lt;&gt;"",W13&lt;&gt;""),CONCATENATE(V13,W13),"")</f>
        <v/>
      </c>
      <c r="Y13">
        <f>IF(AND(U13&gt;=85,S13&gt;=90),"Pass",IF(AND(U13&gt;=80,S13&gt;=85),"Conditional_Pass","Fail"))</f>
        <v/>
      </c>
      <c r="Z13">
        <f>IF(U13&gt;=85,"Overall ≥85% ✓","Overall &lt;85% ✗") &amp; ", " &amp; IF(S13&gt;=90,"CVSS ≥90% ✓","CVSS &lt;90% ✗")</f>
        <v/>
      </c>
      <c r="AA13">
        <f>IF(Y13="Pass","None",IF(Y13="Conditional_Pass","Review",IF(OR(V13="A",V13="B"),"Improve","Deprecate")))</f>
        <v/>
      </c>
      <c r="AG13" s="11" t="n"/>
      <c r="AH13" s="11">
        <f>IF(E13&lt;&gt;"",E13+90,"")</f>
        <v/>
      </c>
    </row>
    <row r="14">
      <c r="C14">
        <f>IFERROR(VLOOKUP(B14,Source_Inventory!$A$5:$P$104,2,FALSE),"[Not Found]")</f>
        <v/>
      </c>
      <c r="E14" s="11" t="n"/>
      <c r="H14" s="14" t="n"/>
      <c r="I14" s="14" t="n"/>
      <c r="L14" s="22">
        <f>IFERROR((J14/I14)*100,"")</f>
        <v/>
      </c>
      <c r="M14" s="14" t="n"/>
      <c r="P14" s="22">
        <f>IFERROR((N14/M14)*100,"")</f>
        <v/>
      </c>
      <c r="S14" s="22">
        <f>IFERROR((Q14/M14)*100,"")</f>
        <v/>
      </c>
      <c r="U14" s="22">
        <f>IFERROR(((J14+N14)/H14)*100,"")</f>
        <v/>
      </c>
      <c r="X14">
        <f>IF(AND(V14&lt;&gt;"",W14&lt;&gt;""),CONCATENATE(V14,W14),"")</f>
        <v/>
      </c>
      <c r="Y14">
        <f>IF(AND(U14&gt;=85,S14&gt;=90),"Pass",IF(AND(U14&gt;=80,S14&gt;=85),"Conditional_Pass","Fail"))</f>
        <v/>
      </c>
      <c r="Z14">
        <f>IF(U14&gt;=85,"Overall ≥85% ✓","Overall &lt;85% ✗") &amp; ", " &amp; IF(S14&gt;=90,"CVSS ≥90% ✓","CVSS &lt;90% ✗")</f>
        <v/>
      </c>
      <c r="AA14">
        <f>IF(Y14="Pass","None",IF(Y14="Conditional_Pass","Review",IF(OR(V14="A",V14="B"),"Improve","Deprecate")))</f>
        <v/>
      </c>
      <c r="AG14" s="11" t="n"/>
      <c r="AH14" s="11">
        <f>IF(E14&lt;&gt;"",E14+90,"")</f>
        <v/>
      </c>
    </row>
    <row r="15">
      <c r="C15">
        <f>IFERROR(VLOOKUP(B15,Source_Inventory!$A$5:$P$104,2,FALSE),"[Not Found]")</f>
        <v/>
      </c>
      <c r="E15" s="11" t="n"/>
      <c r="H15" s="14" t="n"/>
      <c r="I15" s="14" t="n"/>
      <c r="L15" s="22">
        <f>IFERROR((J15/I15)*100,"")</f>
        <v/>
      </c>
      <c r="M15" s="14" t="n"/>
      <c r="P15" s="22">
        <f>IFERROR((N15/M15)*100,"")</f>
        <v/>
      </c>
      <c r="S15" s="22">
        <f>IFERROR((Q15/M15)*100,"")</f>
        <v/>
      </c>
      <c r="U15" s="22">
        <f>IFERROR(((J15+N15)/H15)*100,"")</f>
        <v/>
      </c>
      <c r="X15">
        <f>IF(AND(V15&lt;&gt;"",W15&lt;&gt;""),CONCATENATE(V15,W15),"")</f>
        <v/>
      </c>
      <c r="Y15">
        <f>IF(AND(U15&gt;=85,S15&gt;=90),"Pass",IF(AND(U15&gt;=80,S15&gt;=85),"Conditional_Pass","Fail"))</f>
        <v/>
      </c>
      <c r="Z15">
        <f>IF(U15&gt;=85,"Overall ≥85% ✓","Overall &lt;85% ✗") &amp; ", " &amp; IF(S15&gt;=90,"CVSS ≥90% ✓","CVSS &lt;90% ✗")</f>
        <v/>
      </c>
      <c r="AA15">
        <f>IF(Y15="Pass","None",IF(Y15="Conditional_Pass","Review",IF(OR(V15="A",V15="B"),"Improve","Deprecate")))</f>
        <v/>
      </c>
      <c r="AG15" s="11" t="n"/>
      <c r="AH15" s="11">
        <f>IF(E15&lt;&gt;"",E15+90,"")</f>
        <v/>
      </c>
    </row>
    <row r="16">
      <c r="C16">
        <f>IFERROR(VLOOKUP(B16,Source_Inventory!$A$5:$P$104,2,FALSE),"[Not Found]")</f>
        <v/>
      </c>
      <c r="E16" s="11" t="n"/>
      <c r="H16" s="14" t="n"/>
      <c r="I16" s="14" t="n"/>
      <c r="L16" s="22">
        <f>IFERROR((J16/I16)*100,"")</f>
        <v/>
      </c>
      <c r="M16" s="14" t="n"/>
      <c r="P16" s="22">
        <f>IFERROR((N16/M16)*100,"")</f>
        <v/>
      </c>
      <c r="S16" s="22">
        <f>IFERROR((Q16/M16)*100,"")</f>
        <v/>
      </c>
      <c r="U16" s="22">
        <f>IFERROR(((J16+N16)/H16)*100,"")</f>
        <v/>
      </c>
      <c r="X16">
        <f>IF(AND(V16&lt;&gt;"",W16&lt;&gt;""),CONCATENATE(V16,W16),"")</f>
        <v/>
      </c>
      <c r="Y16">
        <f>IF(AND(U16&gt;=85,S16&gt;=90),"Pass",IF(AND(U16&gt;=80,S16&gt;=85),"Conditional_Pass","Fail"))</f>
        <v/>
      </c>
      <c r="Z16">
        <f>IF(U16&gt;=85,"Overall ≥85% ✓","Overall &lt;85% ✗") &amp; ", " &amp; IF(S16&gt;=90,"CVSS ≥90% ✓","CVSS &lt;90% ✗")</f>
        <v/>
      </c>
      <c r="AA16">
        <f>IF(Y16="Pass","None",IF(Y16="Conditional_Pass","Review",IF(OR(V16="A",V16="B"),"Improve","Deprecate")))</f>
        <v/>
      </c>
      <c r="AG16" s="11" t="n"/>
      <c r="AH16" s="11">
        <f>IF(E16&lt;&gt;"",E16+90,"")</f>
        <v/>
      </c>
    </row>
    <row r="17">
      <c r="C17">
        <f>IFERROR(VLOOKUP(B17,Source_Inventory!$A$5:$P$104,2,FALSE),"[Not Found]")</f>
        <v/>
      </c>
      <c r="E17" s="11" t="n"/>
      <c r="H17" s="14" t="n"/>
      <c r="I17" s="14" t="n"/>
      <c r="L17" s="22">
        <f>IFERROR((J17/I17)*100,"")</f>
        <v/>
      </c>
      <c r="M17" s="14" t="n"/>
      <c r="P17" s="22">
        <f>IFERROR((N17/M17)*100,"")</f>
        <v/>
      </c>
      <c r="S17" s="22">
        <f>IFERROR((Q17/M17)*100,"")</f>
        <v/>
      </c>
      <c r="U17" s="22">
        <f>IFERROR(((J17+N17)/H17)*100,"")</f>
        <v/>
      </c>
      <c r="X17">
        <f>IF(AND(V17&lt;&gt;"",W17&lt;&gt;""),CONCATENATE(V17,W17),"")</f>
        <v/>
      </c>
      <c r="Y17">
        <f>IF(AND(U17&gt;=85,S17&gt;=90),"Pass",IF(AND(U17&gt;=80,S17&gt;=85),"Conditional_Pass","Fail"))</f>
        <v/>
      </c>
      <c r="Z17">
        <f>IF(U17&gt;=85,"Overall ≥85% ✓","Overall &lt;85% ✗") &amp; ", " &amp; IF(S17&gt;=90,"CVSS ≥90% ✓","CVSS &lt;90% ✗")</f>
        <v/>
      </c>
      <c r="AA17">
        <f>IF(Y17="Pass","None",IF(Y17="Conditional_Pass","Review",IF(OR(V17="A",V17="B"),"Improve","Deprecate")))</f>
        <v/>
      </c>
      <c r="AG17" s="11" t="n"/>
      <c r="AH17" s="11">
        <f>IF(E17&lt;&gt;"",E17+90,"")</f>
        <v/>
      </c>
    </row>
    <row r="18">
      <c r="C18">
        <f>IFERROR(VLOOKUP(B18,Source_Inventory!$A$5:$P$104,2,FALSE),"[Not Found]")</f>
        <v/>
      </c>
      <c r="E18" s="11" t="n"/>
      <c r="H18" s="14" t="n"/>
      <c r="I18" s="14" t="n"/>
      <c r="L18" s="22">
        <f>IFERROR((J18/I18)*100,"")</f>
        <v/>
      </c>
      <c r="M18" s="14" t="n"/>
      <c r="P18" s="22">
        <f>IFERROR((N18/M18)*100,"")</f>
        <v/>
      </c>
      <c r="S18" s="22">
        <f>IFERROR((Q18/M18)*100,"")</f>
        <v/>
      </c>
      <c r="U18" s="22">
        <f>IFERROR(((J18+N18)/H18)*100,"")</f>
        <v/>
      </c>
      <c r="X18">
        <f>IF(AND(V18&lt;&gt;"",W18&lt;&gt;""),CONCATENATE(V18,W18),"")</f>
        <v/>
      </c>
      <c r="Y18">
        <f>IF(AND(U18&gt;=85,S18&gt;=90),"Pass",IF(AND(U18&gt;=80,S18&gt;=85),"Conditional_Pass","Fail"))</f>
        <v/>
      </c>
      <c r="Z18">
        <f>IF(U18&gt;=85,"Overall ≥85% ✓","Overall &lt;85% ✗") &amp; ", " &amp; IF(S18&gt;=90,"CVSS ≥90% ✓","CVSS &lt;90% ✗")</f>
        <v/>
      </c>
      <c r="AA18">
        <f>IF(Y18="Pass","None",IF(Y18="Conditional_Pass","Review",IF(OR(V18="A",V18="B"),"Improve","Deprecate")))</f>
        <v/>
      </c>
      <c r="AG18" s="11" t="n"/>
      <c r="AH18" s="11">
        <f>IF(E18&lt;&gt;"",E18+90,"")</f>
        <v/>
      </c>
    </row>
    <row r="19">
      <c r="C19">
        <f>IFERROR(VLOOKUP(B19,Source_Inventory!$A$5:$P$104,2,FALSE),"[Not Found]")</f>
        <v/>
      </c>
      <c r="E19" s="11" t="n"/>
      <c r="H19" s="14" t="n"/>
      <c r="I19" s="14" t="n"/>
      <c r="L19" s="22">
        <f>IFERROR((J19/I19)*100,"")</f>
        <v/>
      </c>
      <c r="M19" s="14" t="n"/>
      <c r="P19" s="22">
        <f>IFERROR((N19/M19)*100,"")</f>
        <v/>
      </c>
      <c r="S19" s="22">
        <f>IFERROR((Q19/M19)*100,"")</f>
        <v/>
      </c>
      <c r="U19" s="22">
        <f>IFERROR(((J19+N19)/H19)*100,"")</f>
        <v/>
      </c>
      <c r="X19">
        <f>IF(AND(V19&lt;&gt;"",W19&lt;&gt;""),CONCATENATE(V19,W19),"")</f>
        <v/>
      </c>
      <c r="Y19">
        <f>IF(AND(U19&gt;=85,S19&gt;=90),"Pass",IF(AND(U19&gt;=80,S19&gt;=85),"Conditional_Pass","Fail"))</f>
        <v/>
      </c>
      <c r="Z19">
        <f>IF(U19&gt;=85,"Overall ≥85% ✓","Overall &lt;85% ✗") &amp; ", " &amp; IF(S19&gt;=90,"CVSS ≥90% ✓","CVSS &lt;90% ✗")</f>
        <v/>
      </c>
      <c r="AA19">
        <f>IF(Y19="Pass","None",IF(Y19="Conditional_Pass","Review",IF(OR(V19="A",V19="B"),"Improve","Deprecate")))</f>
        <v/>
      </c>
      <c r="AG19" s="11" t="n"/>
      <c r="AH19" s="11">
        <f>IF(E19&lt;&gt;"",E19+90,"")</f>
        <v/>
      </c>
    </row>
    <row r="20">
      <c r="C20">
        <f>IFERROR(VLOOKUP(B20,Source_Inventory!$A$5:$P$104,2,FALSE),"[Not Found]")</f>
        <v/>
      </c>
      <c r="E20" s="11" t="n"/>
      <c r="H20" s="14" t="n"/>
      <c r="I20" s="14" t="n"/>
      <c r="L20" s="22">
        <f>IFERROR((J20/I20)*100,"")</f>
        <v/>
      </c>
      <c r="M20" s="14" t="n"/>
      <c r="P20" s="22">
        <f>IFERROR((N20/M20)*100,"")</f>
        <v/>
      </c>
      <c r="S20" s="22">
        <f>IFERROR((Q20/M20)*100,"")</f>
        <v/>
      </c>
      <c r="U20" s="22">
        <f>IFERROR(((J20+N20)/H20)*100,"")</f>
        <v/>
      </c>
      <c r="X20">
        <f>IF(AND(V20&lt;&gt;"",W20&lt;&gt;""),CONCATENATE(V20,W20),"")</f>
        <v/>
      </c>
      <c r="Y20">
        <f>IF(AND(U20&gt;=85,S20&gt;=90),"Pass",IF(AND(U20&gt;=80,S20&gt;=85),"Conditional_Pass","Fail"))</f>
        <v/>
      </c>
      <c r="Z20">
        <f>IF(U20&gt;=85,"Overall ≥85% ✓","Overall &lt;85% ✗") &amp; ", " &amp; IF(S20&gt;=90,"CVSS ≥90% ✓","CVSS &lt;90% ✗")</f>
        <v/>
      </c>
      <c r="AA20">
        <f>IF(Y20="Pass","None",IF(Y20="Conditional_Pass","Review",IF(OR(V20="A",V20="B"),"Improve","Deprecate")))</f>
        <v/>
      </c>
      <c r="AG20" s="11" t="n"/>
      <c r="AH20" s="11">
        <f>IF(E20&lt;&gt;"",E20+90,"")</f>
        <v/>
      </c>
    </row>
    <row r="21">
      <c r="C21">
        <f>IFERROR(VLOOKUP(B21,Source_Inventory!$A$5:$P$104,2,FALSE),"[Not Found]")</f>
        <v/>
      </c>
      <c r="E21" s="11" t="n"/>
      <c r="H21" s="14" t="n"/>
      <c r="I21" s="14" t="n"/>
      <c r="L21" s="22">
        <f>IFERROR((J21/I21)*100,"")</f>
        <v/>
      </c>
      <c r="M21" s="14" t="n"/>
      <c r="P21" s="22">
        <f>IFERROR((N21/M21)*100,"")</f>
        <v/>
      </c>
      <c r="S21" s="22">
        <f>IFERROR((Q21/M21)*100,"")</f>
        <v/>
      </c>
      <c r="U21" s="22">
        <f>IFERROR(((J21+N21)/H21)*100,"")</f>
        <v/>
      </c>
      <c r="X21">
        <f>IF(AND(V21&lt;&gt;"",W21&lt;&gt;""),CONCATENATE(V21,W21),"")</f>
        <v/>
      </c>
      <c r="Y21">
        <f>IF(AND(U21&gt;=85,S21&gt;=90),"Pass",IF(AND(U21&gt;=80,S21&gt;=85),"Conditional_Pass","Fail"))</f>
        <v/>
      </c>
      <c r="Z21">
        <f>IF(U21&gt;=85,"Overall ≥85% ✓","Overall &lt;85% ✗") &amp; ", " &amp; IF(S21&gt;=90,"CVSS ≥90% ✓","CVSS &lt;90% ✗")</f>
        <v/>
      </c>
      <c r="AA21">
        <f>IF(Y21="Pass","None",IF(Y21="Conditional_Pass","Review",IF(OR(V21="A",V21="B"),"Improve","Deprecate")))</f>
        <v/>
      </c>
      <c r="AG21" s="11" t="n"/>
      <c r="AH21" s="11">
        <f>IF(E21&lt;&gt;"",E21+90,"")</f>
        <v/>
      </c>
    </row>
    <row r="22">
      <c r="C22">
        <f>IFERROR(VLOOKUP(B22,Source_Inventory!$A$5:$P$104,2,FALSE),"[Not Found]")</f>
        <v/>
      </c>
      <c r="E22" s="11" t="n"/>
      <c r="H22" s="14" t="n"/>
      <c r="I22" s="14" t="n"/>
      <c r="L22" s="22">
        <f>IFERROR((J22/I22)*100,"")</f>
        <v/>
      </c>
      <c r="M22" s="14" t="n"/>
      <c r="P22" s="22">
        <f>IFERROR((N22/M22)*100,"")</f>
        <v/>
      </c>
      <c r="S22" s="22">
        <f>IFERROR((Q22/M22)*100,"")</f>
        <v/>
      </c>
      <c r="U22" s="22">
        <f>IFERROR(((J22+N22)/H22)*100,"")</f>
        <v/>
      </c>
      <c r="X22">
        <f>IF(AND(V22&lt;&gt;"",W22&lt;&gt;""),CONCATENATE(V22,W22),"")</f>
        <v/>
      </c>
      <c r="Y22">
        <f>IF(AND(U22&gt;=85,S22&gt;=90),"Pass",IF(AND(U22&gt;=80,S22&gt;=85),"Conditional_Pass","Fail"))</f>
        <v/>
      </c>
      <c r="Z22">
        <f>IF(U22&gt;=85,"Overall ≥85% ✓","Overall &lt;85% ✗") &amp; ", " &amp; IF(S22&gt;=90,"CVSS ≥90% ✓","CVSS &lt;90% ✗")</f>
        <v/>
      </c>
      <c r="AA22">
        <f>IF(Y22="Pass","None",IF(Y22="Conditional_Pass","Review",IF(OR(V22="A",V22="B"),"Improve","Deprecate")))</f>
        <v/>
      </c>
      <c r="AG22" s="11" t="n"/>
      <c r="AH22" s="11">
        <f>IF(E22&lt;&gt;"",E22+90,"")</f>
        <v/>
      </c>
    </row>
    <row r="23">
      <c r="C23">
        <f>IFERROR(VLOOKUP(B23,Source_Inventory!$A$5:$P$104,2,FALSE),"[Not Found]")</f>
        <v/>
      </c>
      <c r="E23" s="11" t="n"/>
      <c r="H23" s="14" t="n"/>
      <c r="I23" s="14" t="n"/>
      <c r="L23" s="22">
        <f>IFERROR((J23/I23)*100,"")</f>
        <v/>
      </c>
      <c r="M23" s="14" t="n"/>
      <c r="P23" s="22">
        <f>IFERROR((N23/M23)*100,"")</f>
        <v/>
      </c>
      <c r="S23" s="22">
        <f>IFERROR((Q23/M23)*100,"")</f>
        <v/>
      </c>
      <c r="U23" s="22">
        <f>IFERROR(((J23+N23)/H23)*100,"")</f>
        <v/>
      </c>
      <c r="X23">
        <f>IF(AND(V23&lt;&gt;"",W23&lt;&gt;""),CONCATENATE(V23,W23),"")</f>
        <v/>
      </c>
      <c r="Y23">
        <f>IF(AND(U23&gt;=85,S23&gt;=90),"Pass",IF(AND(U23&gt;=80,S23&gt;=85),"Conditional_Pass","Fail"))</f>
        <v/>
      </c>
      <c r="Z23">
        <f>IF(U23&gt;=85,"Overall ≥85% ✓","Overall &lt;85% ✗") &amp; ", " &amp; IF(S23&gt;=90,"CVSS ≥90% ✓","CVSS &lt;90% ✗")</f>
        <v/>
      </c>
      <c r="AA23">
        <f>IF(Y23="Pass","None",IF(Y23="Conditional_Pass","Review",IF(OR(V23="A",V23="B"),"Improve","Deprecate")))</f>
        <v/>
      </c>
      <c r="AG23" s="11" t="n"/>
      <c r="AH23" s="11">
        <f>IF(E23&lt;&gt;"",E23+90,"")</f>
        <v/>
      </c>
    </row>
    <row r="24">
      <c r="C24">
        <f>IFERROR(VLOOKUP(B24,Source_Inventory!$A$5:$P$104,2,FALSE),"[Not Found]")</f>
        <v/>
      </c>
      <c r="E24" s="11" t="n"/>
      <c r="H24" s="14" t="n"/>
      <c r="I24" s="14" t="n"/>
      <c r="L24" s="22">
        <f>IFERROR((J24/I24)*100,"")</f>
        <v/>
      </c>
      <c r="M24" s="14" t="n"/>
      <c r="P24" s="22">
        <f>IFERROR((N24/M24)*100,"")</f>
        <v/>
      </c>
      <c r="S24" s="22">
        <f>IFERROR((Q24/M24)*100,"")</f>
        <v/>
      </c>
      <c r="U24" s="22">
        <f>IFERROR(((J24+N24)/H24)*100,"")</f>
        <v/>
      </c>
      <c r="X24">
        <f>IF(AND(V24&lt;&gt;"",W24&lt;&gt;""),CONCATENATE(V24,W24),"")</f>
        <v/>
      </c>
      <c r="Y24">
        <f>IF(AND(U24&gt;=85,S24&gt;=90),"Pass",IF(AND(U24&gt;=80,S24&gt;=85),"Conditional_Pass","Fail"))</f>
        <v/>
      </c>
      <c r="Z24">
        <f>IF(U24&gt;=85,"Overall ≥85% ✓","Overall &lt;85% ✗") &amp; ", " &amp; IF(S24&gt;=90,"CVSS ≥90% ✓","CVSS &lt;90% ✗")</f>
        <v/>
      </c>
      <c r="AA24">
        <f>IF(Y24="Pass","None",IF(Y24="Conditional_Pass","Review",IF(OR(V24="A",V24="B"),"Improve","Deprecate")))</f>
        <v/>
      </c>
      <c r="AG24" s="11" t="n"/>
      <c r="AH24" s="11">
        <f>IF(E24&lt;&gt;"",E24+90,"")</f>
        <v/>
      </c>
    </row>
    <row r="25">
      <c r="C25">
        <f>IFERROR(VLOOKUP(B25,Source_Inventory!$A$5:$P$104,2,FALSE),"[Not Found]")</f>
        <v/>
      </c>
      <c r="E25" s="11" t="n"/>
      <c r="H25" s="14" t="n"/>
      <c r="I25" s="14" t="n"/>
      <c r="L25" s="22">
        <f>IFERROR((J25/I25)*100,"")</f>
        <v/>
      </c>
      <c r="M25" s="14" t="n"/>
      <c r="P25" s="22">
        <f>IFERROR((N25/M25)*100,"")</f>
        <v/>
      </c>
      <c r="S25" s="22">
        <f>IFERROR((Q25/M25)*100,"")</f>
        <v/>
      </c>
      <c r="U25" s="22">
        <f>IFERROR(((J25+N25)/H25)*100,"")</f>
        <v/>
      </c>
      <c r="X25">
        <f>IF(AND(V25&lt;&gt;"",W25&lt;&gt;""),CONCATENATE(V25,W25),"")</f>
        <v/>
      </c>
      <c r="Y25">
        <f>IF(AND(U25&gt;=85,S25&gt;=90),"Pass",IF(AND(U25&gt;=80,S25&gt;=85),"Conditional_Pass","Fail"))</f>
        <v/>
      </c>
      <c r="Z25">
        <f>IF(U25&gt;=85,"Overall ≥85% ✓","Overall &lt;85% ✗") &amp; ", " &amp; IF(S25&gt;=90,"CVSS ≥90% ✓","CVSS &lt;90% ✗")</f>
        <v/>
      </c>
      <c r="AA25">
        <f>IF(Y25="Pass","None",IF(Y25="Conditional_Pass","Review",IF(OR(V25="A",V25="B"),"Improve","Deprecate")))</f>
        <v/>
      </c>
      <c r="AG25" s="11" t="n"/>
      <c r="AH25" s="11">
        <f>IF(E25&lt;&gt;"",E25+90,"")</f>
        <v/>
      </c>
    </row>
    <row r="26">
      <c r="C26">
        <f>IFERROR(VLOOKUP(B26,Source_Inventory!$A$5:$P$104,2,FALSE),"[Not Found]")</f>
        <v/>
      </c>
      <c r="E26" s="11" t="n"/>
      <c r="H26" s="14" t="n"/>
      <c r="I26" s="14" t="n"/>
      <c r="L26" s="22">
        <f>IFERROR((J26/I26)*100,"")</f>
        <v/>
      </c>
      <c r="M26" s="14" t="n"/>
      <c r="P26" s="22">
        <f>IFERROR((N26/M26)*100,"")</f>
        <v/>
      </c>
      <c r="S26" s="22">
        <f>IFERROR((Q26/M26)*100,"")</f>
        <v/>
      </c>
      <c r="U26" s="22">
        <f>IFERROR(((J26+N26)/H26)*100,"")</f>
        <v/>
      </c>
      <c r="X26">
        <f>IF(AND(V26&lt;&gt;"",W26&lt;&gt;""),CONCATENATE(V26,W26),"")</f>
        <v/>
      </c>
      <c r="Y26">
        <f>IF(AND(U26&gt;=85,S26&gt;=90),"Pass",IF(AND(U26&gt;=80,S26&gt;=85),"Conditional_Pass","Fail"))</f>
        <v/>
      </c>
      <c r="Z26">
        <f>IF(U26&gt;=85,"Overall ≥85% ✓","Overall &lt;85% ✗") &amp; ", " &amp; IF(S26&gt;=90,"CVSS ≥90% ✓","CVSS &lt;90% ✗")</f>
        <v/>
      </c>
      <c r="AA26">
        <f>IF(Y26="Pass","None",IF(Y26="Conditional_Pass","Review",IF(OR(V26="A",V26="B"),"Improve","Deprecate")))</f>
        <v/>
      </c>
      <c r="AG26" s="11" t="n"/>
      <c r="AH26" s="11">
        <f>IF(E26&lt;&gt;"",E26+90,"")</f>
        <v/>
      </c>
    </row>
    <row r="27">
      <c r="C27">
        <f>IFERROR(VLOOKUP(B27,Source_Inventory!$A$5:$P$104,2,FALSE),"[Not Found]")</f>
        <v/>
      </c>
      <c r="E27" s="11" t="n"/>
      <c r="H27" s="14" t="n"/>
      <c r="I27" s="14" t="n"/>
      <c r="L27" s="22">
        <f>IFERROR((J27/I27)*100,"")</f>
        <v/>
      </c>
      <c r="M27" s="14" t="n"/>
      <c r="P27" s="22">
        <f>IFERROR((N27/M27)*100,"")</f>
        <v/>
      </c>
      <c r="S27" s="22">
        <f>IFERROR((Q27/M27)*100,"")</f>
        <v/>
      </c>
      <c r="U27" s="22">
        <f>IFERROR(((J27+N27)/H27)*100,"")</f>
        <v/>
      </c>
      <c r="X27">
        <f>IF(AND(V27&lt;&gt;"",W27&lt;&gt;""),CONCATENATE(V27,W27),"")</f>
        <v/>
      </c>
      <c r="Y27">
        <f>IF(AND(U27&gt;=85,S27&gt;=90),"Pass",IF(AND(U27&gt;=80,S27&gt;=85),"Conditional_Pass","Fail"))</f>
        <v/>
      </c>
      <c r="Z27">
        <f>IF(U27&gt;=85,"Overall ≥85% ✓","Overall &lt;85% ✗") &amp; ", " &amp; IF(S27&gt;=90,"CVSS ≥90% ✓","CVSS &lt;90% ✗")</f>
        <v/>
      </c>
      <c r="AA27">
        <f>IF(Y27="Pass","None",IF(Y27="Conditional_Pass","Review",IF(OR(V27="A",V27="B"),"Improve","Deprecate")))</f>
        <v/>
      </c>
      <c r="AG27" s="11" t="n"/>
      <c r="AH27" s="11">
        <f>IF(E27&lt;&gt;"",E27+90,"")</f>
        <v/>
      </c>
    </row>
    <row r="28">
      <c r="C28">
        <f>IFERROR(VLOOKUP(B28,Source_Inventory!$A$5:$P$104,2,FALSE),"[Not Found]")</f>
        <v/>
      </c>
      <c r="E28" s="11" t="n"/>
      <c r="H28" s="14" t="n"/>
      <c r="I28" s="14" t="n"/>
      <c r="L28" s="22">
        <f>IFERROR((J28/I28)*100,"")</f>
        <v/>
      </c>
      <c r="M28" s="14" t="n"/>
      <c r="P28" s="22">
        <f>IFERROR((N28/M28)*100,"")</f>
        <v/>
      </c>
      <c r="S28" s="22">
        <f>IFERROR((Q28/M28)*100,"")</f>
        <v/>
      </c>
      <c r="U28" s="22">
        <f>IFERROR(((J28+N28)/H28)*100,"")</f>
        <v/>
      </c>
      <c r="X28">
        <f>IF(AND(V28&lt;&gt;"",W28&lt;&gt;""),CONCATENATE(V28,W28),"")</f>
        <v/>
      </c>
      <c r="Y28">
        <f>IF(AND(U28&gt;=85,S28&gt;=90),"Pass",IF(AND(U28&gt;=80,S28&gt;=85),"Conditional_Pass","Fail"))</f>
        <v/>
      </c>
      <c r="Z28">
        <f>IF(U28&gt;=85,"Overall ≥85% ✓","Overall &lt;85% ✗") &amp; ", " &amp; IF(S28&gt;=90,"CVSS ≥90% ✓","CVSS &lt;90% ✗")</f>
        <v/>
      </c>
      <c r="AA28">
        <f>IF(Y28="Pass","None",IF(Y28="Conditional_Pass","Review",IF(OR(V28="A",V28="B"),"Improve","Deprecate")))</f>
        <v/>
      </c>
      <c r="AG28" s="11" t="n"/>
      <c r="AH28" s="11">
        <f>IF(E28&lt;&gt;"",E28+90,"")</f>
        <v/>
      </c>
    </row>
    <row r="29">
      <c r="C29">
        <f>IFERROR(VLOOKUP(B29,Source_Inventory!$A$5:$P$104,2,FALSE),"[Not Found]")</f>
        <v/>
      </c>
      <c r="E29" s="11" t="n"/>
      <c r="H29" s="14" t="n"/>
      <c r="I29" s="14" t="n"/>
      <c r="L29" s="22">
        <f>IFERROR((J29/I29)*100,"")</f>
        <v/>
      </c>
      <c r="M29" s="14" t="n"/>
      <c r="P29" s="22">
        <f>IFERROR((N29/M29)*100,"")</f>
        <v/>
      </c>
      <c r="S29" s="22">
        <f>IFERROR((Q29/M29)*100,"")</f>
        <v/>
      </c>
      <c r="U29" s="22">
        <f>IFERROR(((J29+N29)/H29)*100,"")</f>
        <v/>
      </c>
      <c r="X29">
        <f>IF(AND(V29&lt;&gt;"",W29&lt;&gt;""),CONCATENATE(V29,W29),"")</f>
        <v/>
      </c>
      <c r="Y29">
        <f>IF(AND(U29&gt;=85,S29&gt;=90),"Pass",IF(AND(U29&gt;=80,S29&gt;=85),"Conditional_Pass","Fail"))</f>
        <v/>
      </c>
      <c r="Z29">
        <f>IF(U29&gt;=85,"Overall ≥85% ✓","Overall &lt;85% ✗") &amp; ", " &amp; IF(S29&gt;=90,"CVSS ≥90% ✓","CVSS &lt;90% ✗")</f>
        <v/>
      </c>
      <c r="AA29">
        <f>IF(Y29="Pass","None",IF(Y29="Conditional_Pass","Review",IF(OR(V29="A",V29="B"),"Improve","Deprecate")))</f>
        <v/>
      </c>
      <c r="AG29" s="11" t="n"/>
      <c r="AH29" s="11">
        <f>IF(E29&lt;&gt;"",E29+90,"")</f>
        <v/>
      </c>
    </row>
    <row r="30">
      <c r="C30">
        <f>IFERROR(VLOOKUP(B30,Source_Inventory!$A$5:$P$104,2,FALSE),"[Not Found]")</f>
        <v/>
      </c>
      <c r="E30" s="11" t="n"/>
      <c r="H30" s="14" t="n"/>
      <c r="I30" s="14" t="n"/>
      <c r="L30" s="22">
        <f>IFERROR((J30/I30)*100,"")</f>
        <v/>
      </c>
      <c r="M30" s="14" t="n"/>
      <c r="P30" s="22">
        <f>IFERROR((N30/M30)*100,"")</f>
        <v/>
      </c>
      <c r="S30" s="22">
        <f>IFERROR((Q30/M30)*100,"")</f>
        <v/>
      </c>
      <c r="U30" s="22">
        <f>IFERROR(((J30+N30)/H30)*100,"")</f>
        <v/>
      </c>
      <c r="X30">
        <f>IF(AND(V30&lt;&gt;"",W30&lt;&gt;""),CONCATENATE(V30,W30),"")</f>
        <v/>
      </c>
      <c r="Y30">
        <f>IF(AND(U30&gt;=85,S30&gt;=90),"Pass",IF(AND(U30&gt;=80,S30&gt;=85),"Conditional_Pass","Fail"))</f>
        <v/>
      </c>
      <c r="Z30">
        <f>IF(U30&gt;=85,"Overall ≥85% ✓","Overall &lt;85% ✗") &amp; ", " &amp; IF(S30&gt;=90,"CVSS ≥90% ✓","CVSS &lt;90% ✗")</f>
        <v/>
      </c>
      <c r="AA30">
        <f>IF(Y30="Pass","None",IF(Y30="Conditional_Pass","Review",IF(OR(V30="A",V30="B"),"Improve","Deprecate")))</f>
        <v/>
      </c>
      <c r="AG30" s="11" t="n"/>
      <c r="AH30" s="11">
        <f>IF(E30&lt;&gt;"",E30+90,"")</f>
        <v/>
      </c>
    </row>
    <row r="31">
      <c r="C31">
        <f>IFERROR(VLOOKUP(B31,Source_Inventory!$A$5:$P$104,2,FALSE),"[Not Found]")</f>
        <v/>
      </c>
      <c r="E31" s="11" t="n"/>
      <c r="H31" s="14" t="n"/>
      <c r="I31" s="14" t="n"/>
      <c r="L31" s="22">
        <f>IFERROR((J31/I31)*100,"")</f>
        <v/>
      </c>
      <c r="M31" s="14" t="n"/>
      <c r="P31" s="22">
        <f>IFERROR((N31/M31)*100,"")</f>
        <v/>
      </c>
      <c r="S31" s="22">
        <f>IFERROR((Q31/M31)*100,"")</f>
        <v/>
      </c>
      <c r="U31" s="22">
        <f>IFERROR(((J31+N31)/H31)*100,"")</f>
        <v/>
      </c>
      <c r="X31">
        <f>IF(AND(V31&lt;&gt;"",W31&lt;&gt;""),CONCATENATE(V31,W31),"")</f>
        <v/>
      </c>
      <c r="Y31">
        <f>IF(AND(U31&gt;=85,S31&gt;=90),"Pass",IF(AND(U31&gt;=80,S31&gt;=85),"Conditional_Pass","Fail"))</f>
        <v/>
      </c>
      <c r="Z31">
        <f>IF(U31&gt;=85,"Overall ≥85% ✓","Overall &lt;85% ✗") &amp; ", " &amp; IF(S31&gt;=90,"CVSS ≥90% ✓","CVSS &lt;90% ✗")</f>
        <v/>
      </c>
      <c r="AA31">
        <f>IF(Y31="Pass","None",IF(Y31="Conditional_Pass","Review",IF(OR(V31="A",V31="B"),"Improve","Deprecate")))</f>
        <v/>
      </c>
      <c r="AG31" s="11" t="n"/>
      <c r="AH31" s="11">
        <f>IF(E31&lt;&gt;"",E31+90,"")</f>
        <v/>
      </c>
    </row>
    <row r="32">
      <c r="C32">
        <f>IFERROR(VLOOKUP(B32,Source_Inventory!$A$5:$P$104,2,FALSE),"[Not Found]")</f>
        <v/>
      </c>
      <c r="E32" s="11" t="n"/>
      <c r="H32" s="14" t="n"/>
      <c r="I32" s="14" t="n"/>
      <c r="L32" s="22">
        <f>IFERROR((J32/I32)*100,"")</f>
        <v/>
      </c>
      <c r="M32" s="14" t="n"/>
      <c r="P32" s="22">
        <f>IFERROR((N32/M32)*100,"")</f>
        <v/>
      </c>
      <c r="S32" s="22">
        <f>IFERROR((Q32/M32)*100,"")</f>
        <v/>
      </c>
      <c r="U32" s="22">
        <f>IFERROR(((J32+N32)/H32)*100,"")</f>
        <v/>
      </c>
      <c r="X32">
        <f>IF(AND(V32&lt;&gt;"",W32&lt;&gt;""),CONCATENATE(V32,W32),"")</f>
        <v/>
      </c>
      <c r="Y32">
        <f>IF(AND(U32&gt;=85,S32&gt;=90),"Pass",IF(AND(U32&gt;=80,S32&gt;=85),"Conditional_Pass","Fail"))</f>
        <v/>
      </c>
      <c r="Z32">
        <f>IF(U32&gt;=85,"Overall ≥85% ✓","Overall &lt;85% ✗") &amp; ", " &amp; IF(S32&gt;=90,"CVSS ≥90% ✓","CVSS &lt;90% ✗")</f>
        <v/>
      </c>
      <c r="AA32">
        <f>IF(Y32="Pass","None",IF(Y32="Conditional_Pass","Review",IF(OR(V32="A",V32="B"),"Improve","Deprecate")))</f>
        <v/>
      </c>
      <c r="AG32" s="11" t="n"/>
      <c r="AH32" s="11">
        <f>IF(E32&lt;&gt;"",E32+90,"")</f>
        <v/>
      </c>
    </row>
    <row r="33">
      <c r="C33">
        <f>IFERROR(VLOOKUP(B33,Source_Inventory!$A$5:$P$104,2,FALSE),"[Not Found]")</f>
        <v/>
      </c>
      <c r="E33" s="11" t="n"/>
      <c r="H33" s="14" t="n"/>
      <c r="I33" s="14" t="n"/>
      <c r="L33" s="22">
        <f>IFERROR((J33/I33)*100,"")</f>
        <v/>
      </c>
      <c r="M33" s="14" t="n"/>
      <c r="P33" s="22">
        <f>IFERROR((N33/M33)*100,"")</f>
        <v/>
      </c>
      <c r="S33" s="22">
        <f>IFERROR((Q33/M33)*100,"")</f>
        <v/>
      </c>
      <c r="U33" s="22">
        <f>IFERROR(((J33+N33)/H33)*100,"")</f>
        <v/>
      </c>
      <c r="X33">
        <f>IF(AND(V33&lt;&gt;"",W33&lt;&gt;""),CONCATENATE(V33,W33),"")</f>
        <v/>
      </c>
      <c r="Y33">
        <f>IF(AND(U33&gt;=85,S33&gt;=90),"Pass",IF(AND(U33&gt;=80,S33&gt;=85),"Conditional_Pass","Fail"))</f>
        <v/>
      </c>
      <c r="Z33">
        <f>IF(U33&gt;=85,"Overall ≥85% ✓","Overall &lt;85% ✗") &amp; ", " &amp; IF(S33&gt;=90,"CVSS ≥90% ✓","CVSS &lt;90% ✗")</f>
        <v/>
      </c>
      <c r="AA33">
        <f>IF(Y33="Pass","None",IF(Y33="Conditional_Pass","Review",IF(OR(V33="A",V33="B"),"Improve","Deprecate")))</f>
        <v/>
      </c>
      <c r="AG33" s="11" t="n"/>
      <c r="AH33" s="11">
        <f>IF(E33&lt;&gt;"",E33+90,"")</f>
        <v/>
      </c>
    </row>
    <row r="34">
      <c r="C34">
        <f>IFERROR(VLOOKUP(B34,Source_Inventory!$A$5:$P$104,2,FALSE),"[Not Found]")</f>
        <v/>
      </c>
      <c r="E34" s="11" t="n"/>
      <c r="H34" s="14" t="n"/>
      <c r="I34" s="14" t="n"/>
      <c r="L34" s="22">
        <f>IFERROR((J34/I34)*100,"")</f>
        <v/>
      </c>
      <c r="M34" s="14" t="n"/>
      <c r="P34" s="22">
        <f>IFERROR((N34/M34)*100,"")</f>
        <v/>
      </c>
      <c r="S34" s="22">
        <f>IFERROR((Q34/M34)*100,"")</f>
        <v/>
      </c>
      <c r="U34" s="22">
        <f>IFERROR(((J34+N34)/H34)*100,"")</f>
        <v/>
      </c>
      <c r="X34">
        <f>IF(AND(V34&lt;&gt;"",W34&lt;&gt;""),CONCATENATE(V34,W34),"")</f>
        <v/>
      </c>
      <c r="Y34">
        <f>IF(AND(U34&gt;=85,S34&gt;=90),"Pass",IF(AND(U34&gt;=80,S34&gt;=85),"Conditional_Pass","Fail"))</f>
        <v/>
      </c>
      <c r="Z34">
        <f>IF(U34&gt;=85,"Overall ≥85% ✓","Overall &lt;85% ✗") &amp; ", " &amp; IF(S34&gt;=90,"CVSS ≥90% ✓","CVSS &lt;90% ✗")</f>
        <v/>
      </c>
      <c r="AA34">
        <f>IF(Y34="Pass","None",IF(Y34="Conditional_Pass","Review",IF(OR(V34="A",V34="B"),"Improve","Deprecate")))</f>
        <v/>
      </c>
      <c r="AG34" s="11" t="n"/>
      <c r="AH34" s="11">
        <f>IF(E34&lt;&gt;"",E34+90,"")</f>
        <v/>
      </c>
    </row>
    <row r="35">
      <c r="C35">
        <f>IFERROR(VLOOKUP(B35,Source_Inventory!$A$5:$P$104,2,FALSE),"[Not Found]")</f>
        <v/>
      </c>
      <c r="E35" s="11" t="n"/>
      <c r="H35" s="14" t="n"/>
      <c r="I35" s="14" t="n"/>
      <c r="L35" s="22">
        <f>IFERROR((J35/I35)*100,"")</f>
        <v/>
      </c>
      <c r="M35" s="14" t="n"/>
      <c r="P35" s="22">
        <f>IFERROR((N35/M35)*100,"")</f>
        <v/>
      </c>
      <c r="S35" s="22">
        <f>IFERROR((Q35/M35)*100,"")</f>
        <v/>
      </c>
      <c r="U35" s="22">
        <f>IFERROR(((J35+N35)/H35)*100,"")</f>
        <v/>
      </c>
      <c r="X35">
        <f>IF(AND(V35&lt;&gt;"",W35&lt;&gt;""),CONCATENATE(V35,W35),"")</f>
        <v/>
      </c>
      <c r="Y35">
        <f>IF(AND(U35&gt;=85,S35&gt;=90),"Pass",IF(AND(U35&gt;=80,S35&gt;=85),"Conditional_Pass","Fail"))</f>
        <v/>
      </c>
      <c r="Z35">
        <f>IF(U35&gt;=85,"Overall ≥85% ✓","Overall &lt;85% ✗") &amp; ", " &amp; IF(S35&gt;=90,"CVSS ≥90% ✓","CVSS &lt;90% ✗")</f>
        <v/>
      </c>
      <c r="AA35">
        <f>IF(Y35="Pass","None",IF(Y35="Conditional_Pass","Review",IF(OR(V35="A",V35="B"),"Improve","Deprecate")))</f>
        <v/>
      </c>
      <c r="AG35" s="11" t="n"/>
      <c r="AH35" s="11">
        <f>IF(E35&lt;&gt;"",E35+90,"")</f>
        <v/>
      </c>
    </row>
    <row r="36">
      <c r="C36">
        <f>IFERROR(VLOOKUP(B36,Source_Inventory!$A$5:$P$104,2,FALSE),"[Not Found]")</f>
        <v/>
      </c>
      <c r="E36" s="11" t="n"/>
      <c r="H36" s="14" t="n"/>
      <c r="I36" s="14" t="n"/>
      <c r="L36" s="22">
        <f>IFERROR((J36/I36)*100,"")</f>
        <v/>
      </c>
      <c r="M36" s="14" t="n"/>
      <c r="P36" s="22">
        <f>IFERROR((N36/M36)*100,"")</f>
        <v/>
      </c>
      <c r="S36" s="22">
        <f>IFERROR((Q36/M36)*100,"")</f>
        <v/>
      </c>
      <c r="U36" s="22">
        <f>IFERROR(((J36+N36)/H36)*100,"")</f>
        <v/>
      </c>
      <c r="X36">
        <f>IF(AND(V36&lt;&gt;"",W36&lt;&gt;""),CONCATENATE(V36,W36),"")</f>
        <v/>
      </c>
      <c r="Y36">
        <f>IF(AND(U36&gt;=85,S36&gt;=90),"Pass",IF(AND(U36&gt;=80,S36&gt;=85),"Conditional_Pass","Fail"))</f>
        <v/>
      </c>
      <c r="Z36">
        <f>IF(U36&gt;=85,"Overall ≥85% ✓","Overall &lt;85% ✗") &amp; ", " &amp; IF(S36&gt;=90,"CVSS ≥90% ✓","CVSS &lt;90% ✗")</f>
        <v/>
      </c>
      <c r="AA36">
        <f>IF(Y36="Pass","None",IF(Y36="Conditional_Pass","Review",IF(OR(V36="A",V36="B"),"Improve","Deprecate")))</f>
        <v/>
      </c>
      <c r="AG36" s="11" t="n"/>
      <c r="AH36" s="11">
        <f>IF(E36&lt;&gt;"",E36+90,"")</f>
        <v/>
      </c>
    </row>
    <row r="37">
      <c r="C37">
        <f>IFERROR(VLOOKUP(B37,Source_Inventory!$A$5:$P$104,2,FALSE),"[Not Found]")</f>
        <v/>
      </c>
      <c r="E37" s="11" t="n"/>
      <c r="H37" s="14" t="n"/>
      <c r="I37" s="14" t="n"/>
      <c r="L37" s="22">
        <f>IFERROR((J37/I37)*100,"")</f>
        <v/>
      </c>
      <c r="M37" s="14" t="n"/>
      <c r="P37" s="22">
        <f>IFERROR((N37/M37)*100,"")</f>
        <v/>
      </c>
      <c r="S37" s="22">
        <f>IFERROR((Q37/M37)*100,"")</f>
        <v/>
      </c>
      <c r="U37" s="22">
        <f>IFERROR(((J37+N37)/H37)*100,"")</f>
        <v/>
      </c>
      <c r="X37">
        <f>IF(AND(V37&lt;&gt;"",W37&lt;&gt;""),CONCATENATE(V37,W37),"")</f>
        <v/>
      </c>
      <c r="Y37">
        <f>IF(AND(U37&gt;=85,S37&gt;=90),"Pass",IF(AND(U37&gt;=80,S37&gt;=85),"Conditional_Pass","Fail"))</f>
        <v/>
      </c>
      <c r="Z37">
        <f>IF(U37&gt;=85,"Overall ≥85% ✓","Overall &lt;85% ✗") &amp; ", " &amp; IF(S37&gt;=90,"CVSS ≥90% ✓","CVSS &lt;90% ✗")</f>
        <v/>
      </c>
      <c r="AA37">
        <f>IF(Y37="Pass","None",IF(Y37="Conditional_Pass","Review",IF(OR(V37="A",V37="B"),"Improve","Deprecate")))</f>
        <v/>
      </c>
      <c r="AG37" s="11" t="n"/>
      <c r="AH37" s="11">
        <f>IF(E37&lt;&gt;"",E37+90,"")</f>
        <v/>
      </c>
    </row>
    <row r="38">
      <c r="C38">
        <f>IFERROR(VLOOKUP(B38,Source_Inventory!$A$5:$P$104,2,FALSE),"[Not Found]")</f>
        <v/>
      </c>
      <c r="E38" s="11" t="n"/>
      <c r="H38" s="14" t="n"/>
      <c r="I38" s="14" t="n"/>
      <c r="L38" s="22">
        <f>IFERROR((J38/I38)*100,"")</f>
        <v/>
      </c>
      <c r="M38" s="14" t="n"/>
      <c r="P38" s="22">
        <f>IFERROR((N38/M38)*100,"")</f>
        <v/>
      </c>
      <c r="S38" s="22">
        <f>IFERROR((Q38/M38)*100,"")</f>
        <v/>
      </c>
      <c r="U38" s="22">
        <f>IFERROR(((J38+N38)/H38)*100,"")</f>
        <v/>
      </c>
      <c r="X38">
        <f>IF(AND(V38&lt;&gt;"",W38&lt;&gt;""),CONCATENATE(V38,W38),"")</f>
        <v/>
      </c>
      <c r="Y38">
        <f>IF(AND(U38&gt;=85,S38&gt;=90),"Pass",IF(AND(U38&gt;=80,S38&gt;=85),"Conditional_Pass","Fail"))</f>
        <v/>
      </c>
      <c r="Z38">
        <f>IF(U38&gt;=85,"Overall ≥85% ✓","Overall &lt;85% ✗") &amp; ", " &amp; IF(S38&gt;=90,"CVSS ≥90% ✓","CVSS &lt;90% ✗")</f>
        <v/>
      </c>
      <c r="AA38">
        <f>IF(Y38="Pass","None",IF(Y38="Conditional_Pass","Review",IF(OR(V38="A",V38="B"),"Improve","Deprecate")))</f>
        <v/>
      </c>
      <c r="AG38" s="11" t="n"/>
      <c r="AH38" s="11">
        <f>IF(E38&lt;&gt;"",E38+90,"")</f>
        <v/>
      </c>
    </row>
    <row r="39">
      <c r="C39">
        <f>IFERROR(VLOOKUP(B39,Source_Inventory!$A$5:$P$104,2,FALSE),"[Not Found]")</f>
        <v/>
      </c>
      <c r="E39" s="11" t="n"/>
      <c r="H39" s="14" t="n"/>
      <c r="I39" s="14" t="n"/>
      <c r="L39" s="22">
        <f>IFERROR((J39/I39)*100,"")</f>
        <v/>
      </c>
      <c r="M39" s="14" t="n"/>
      <c r="P39" s="22">
        <f>IFERROR((N39/M39)*100,"")</f>
        <v/>
      </c>
      <c r="S39" s="22">
        <f>IFERROR((Q39/M39)*100,"")</f>
        <v/>
      </c>
      <c r="U39" s="22">
        <f>IFERROR(((J39+N39)/H39)*100,"")</f>
        <v/>
      </c>
      <c r="X39">
        <f>IF(AND(V39&lt;&gt;"",W39&lt;&gt;""),CONCATENATE(V39,W39),"")</f>
        <v/>
      </c>
      <c r="Y39">
        <f>IF(AND(U39&gt;=85,S39&gt;=90),"Pass",IF(AND(U39&gt;=80,S39&gt;=85),"Conditional_Pass","Fail"))</f>
        <v/>
      </c>
      <c r="Z39">
        <f>IF(U39&gt;=85,"Overall ≥85% ✓","Overall &lt;85% ✗") &amp; ", " &amp; IF(S39&gt;=90,"CVSS ≥90% ✓","CVSS &lt;90% ✗")</f>
        <v/>
      </c>
      <c r="AA39">
        <f>IF(Y39="Pass","None",IF(Y39="Conditional_Pass","Review",IF(OR(V39="A",V39="B"),"Improve","Deprecate")))</f>
        <v/>
      </c>
      <c r="AG39" s="11" t="n"/>
      <c r="AH39" s="11">
        <f>IF(E39&lt;&gt;"",E39+90,"")</f>
        <v/>
      </c>
    </row>
    <row r="40">
      <c r="C40">
        <f>IFERROR(VLOOKUP(B40,Source_Inventory!$A$5:$P$104,2,FALSE),"[Not Found]")</f>
        <v/>
      </c>
      <c r="E40" s="11" t="n"/>
      <c r="H40" s="14" t="n"/>
      <c r="I40" s="14" t="n"/>
      <c r="L40" s="22">
        <f>IFERROR((J40/I40)*100,"")</f>
        <v/>
      </c>
      <c r="M40" s="14" t="n"/>
      <c r="P40" s="22">
        <f>IFERROR((N40/M40)*100,"")</f>
        <v/>
      </c>
      <c r="S40" s="22">
        <f>IFERROR((Q40/M40)*100,"")</f>
        <v/>
      </c>
      <c r="U40" s="22">
        <f>IFERROR(((J40+N40)/H40)*100,"")</f>
        <v/>
      </c>
      <c r="X40">
        <f>IF(AND(V40&lt;&gt;"",W40&lt;&gt;""),CONCATENATE(V40,W40),"")</f>
        <v/>
      </c>
      <c r="Y40">
        <f>IF(AND(U40&gt;=85,S40&gt;=90),"Pass",IF(AND(U40&gt;=80,S40&gt;=85),"Conditional_Pass","Fail"))</f>
        <v/>
      </c>
      <c r="Z40">
        <f>IF(U40&gt;=85,"Overall ≥85% ✓","Overall &lt;85% ✗") &amp; ", " &amp; IF(S40&gt;=90,"CVSS ≥90% ✓","CVSS &lt;90% ✗")</f>
        <v/>
      </c>
      <c r="AA40">
        <f>IF(Y40="Pass","None",IF(Y40="Conditional_Pass","Review",IF(OR(V40="A",V40="B"),"Improve","Deprecate")))</f>
        <v/>
      </c>
      <c r="AG40" s="11" t="n"/>
      <c r="AH40" s="11">
        <f>IF(E40&lt;&gt;"",E40+90,"")</f>
        <v/>
      </c>
    </row>
    <row r="41">
      <c r="C41">
        <f>IFERROR(VLOOKUP(B41,Source_Inventory!$A$5:$P$104,2,FALSE),"[Not Found]")</f>
        <v/>
      </c>
      <c r="E41" s="11" t="n"/>
      <c r="H41" s="14" t="n"/>
      <c r="I41" s="14" t="n"/>
      <c r="L41" s="22">
        <f>IFERROR((J41/I41)*100,"")</f>
        <v/>
      </c>
      <c r="M41" s="14" t="n"/>
      <c r="P41" s="22">
        <f>IFERROR((N41/M41)*100,"")</f>
        <v/>
      </c>
      <c r="S41" s="22">
        <f>IFERROR((Q41/M41)*100,"")</f>
        <v/>
      </c>
      <c r="U41" s="22">
        <f>IFERROR(((J41+N41)/H41)*100,"")</f>
        <v/>
      </c>
      <c r="X41">
        <f>IF(AND(V41&lt;&gt;"",W41&lt;&gt;""),CONCATENATE(V41,W41),"")</f>
        <v/>
      </c>
      <c r="Y41">
        <f>IF(AND(U41&gt;=85,S41&gt;=90),"Pass",IF(AND(U41&gt;=80,S41&gt;=85),"Conditional_Pass","Fail"))</f>
        <v/>
      </c>
      <c r="Z41">
        <f>IF(U41&gt;=85,"Overall ≥85% ✓","Overall &lt;85% ✗") &amp; ", " &amp; IF(S41&gt;=90,"CVSS ≥90% ✓","CVSS &lt;90% ✗")</f>
        <v/>
      </c>
      <c r="AA41">
        <f>IF(Y41="Pass","None",IF(Y41="Conditional_Pass","Review",IF(OR(V41="A",V41="B"),"Improve","Deprecate")))</f>
        <v/>
      </c>
      <c r="AG41" s="11" t="n"/>
      <c r="AH41" s="11">
        <f>IF(E41&lt;&gt;"",E41+90,"")</f>
        <v/>
      </c>
    </row>
    <row r="42">
      <c r="C42">
        <f>IFERROR(VLOOKUP(B42,Source_Inventory!$A$5:$P$104,2,FALSE),"[Not Found]")</f>
        <v/>
      </c>
      <c r="E42" s="11" t="n"/>
      <c r="H42" s="14" t="n"/>
      <c r="I42" s="14" t="n"/>
      <c r="L42" s="22">
        <f>IFERROR((J42/I42)*100,"")</f>
        <v/>
      </c>
      <c r="M42" s="14" t="n"/>
      <c r="P42" s="22">
        <f>IFERROR((N42/M42)*100,"")</f>
        <v/>
      </c>
      <c r="S42" s="22">
        <f>IFERROR((Q42/M42)*100,"")</f>
        <v/>
      </c>
      <c r="U42" s="22">
        <f>IFERROR(((J42+N42)/H42)*100,"")</f>
        <v/>
      </c>
      <c r="X42">
        <f>IF(AND(V42&lt;&gt;"",W42&lt;&gt;""),CONCATENATE(V42,W42),"")</f>
        <v/>
      </c>
      <c r="Y42">
        <f>IF(AND(U42&gt;=85,S42&gt;=90),"Pass",IF(AND(U42&gt;=80,S42&gt;=85),"Conditional_Pass","Fail"))</f>
        <v/>
      </c>
      <c r="Z42">
        <f>IF(U42&gt;=85,"Overall ≥85% ✓","Overall &lt;85% ✗") &amp; ", " &amp; IF(S42&gt;=90,"CVSS ≥90% ✓","CVSS &lt;90% ✗")</f>
        <v/>
      </c>
      <c r="AA42">
        <f>IF(Y42="Pass","None",IF(Y42="Conditional_Pass","Review",IF(OR(V42="A",V42="B"),"Improve","Deprecate")))</f>
        <v/>
      </c>
      <c r="AG42" s="11" t="n"/>
      <c r="AH42" s="11">
        <f>IF(E42&lt;&gt;"",E42+90,"")</f>
        <v/>
      </c>
    </row>
    <row r="43">
      <c r="C43">
        <f>IFERROR(VLOOKUP(B43,Source_Inventory!$A$5:$P$104,2,FALSE),"[Not Found]")</f>
        <v/>
      </c>
      <c r="E43" s="11" t="n"/>
      <c r="H43" s="14" t="n"/>
      <c r="I43" s="14" t="n"/>
      <c r="L43" s="22">
        <f>IFERROR((J43/I43)*100,"")</f>
        <v/>
      </c>
      <c r="M43" s="14" t="n"/>
      <c r="P43" s="22">
        <f>IFERROR((N43/M43)*100,"")</f>
        <v/>
      </c>
      <c r="S43" s="22">
        <f>IFERROR((Q43/M43)*100,"")</f>
        <v/>
      </c>
      <c r="U43" s="22">
        <f>IFERROR(((J43+N43)/H43)*100,"")</f>
        <v/>
      </c>
      <c r="X43">
        <f>IF(AND(V43&lt;&gt;"",W43&lt;&gt;""),CONCATENATE(V43,W43),"")</f>
        <v/>
      </c>
      <c r="Y43">
        <f>IF(AND(U43&gt;=85,S43&gt;=90),"Pass",IF(AND(U43&gt;=80,S43&gt;=85),"Conditional_Pass","Fail"))</f>
        <v/>
      </c>
      <c r="Z43">
        <f>IF(U43&gt;=85,"Overall ≥85% ✓","Overall &lt;85% ✗") &amp; ", " &amp; IF(S43&gt;=90,"CVSS ≥90% ✓","CVSS &lt;90% ✗")</f>
        <v/>
      </c>
      <c r="AA43">
        <f>IF(Y43="Pass","None",IF(Y43="Conditional_Pass","Review",IF(OR(V43="A",V43="B"),"Improve","Deprecate")))</f>
        <v/>
      </c>
      <c r="AG43" s="11" t="n"/>
      <c r="AH43" s="11">
        <f>IF(E43&lt;&gt;"",E43+90,"")</f>
        <v/>
      </c>
    </row>
    <row r="44">
      <c r="C44">
        <f>IFERROR(VLOOKUP(B44,Source_Inventory!$A$5:$P$104,2,FALSE),"[Not Found]")</f>
        <v/>
      </c>
      <c r="E44" s="11" t="n"/>
      <c r="H44" s="14" t="n"/>
      <c r="I44" s="14" t="n"/>
      <c r="L44" s="22">
        <f>IFERROR((J44/I44)*100,"")</f>
        <v/>
      </c>
      <c r="M44" s="14" t="n"/>
      <c r="P44" s="22">
        <f>IFERROR((N44/M44)*100,"")</f>
        <v/>
      </c>
      <c r="S44" s="22">
        <f>IFERROR((Q44/M44)*100,"")</f>
        <v/>
      </c>
      <c r="U44" s="22">
        <f>IFERROR(((J44+N44)/H44)*100,"")</f>
        <v/>
      </c>
      <c r="X44">
        <f>IF(AND(V44&lt;&gt;"",W44&lt;&gt;""),CONCATENATE(V44,W44),"")</f>
        <v/>
      </c>
      <c r="Y44">
        <f>IF(AND(U44&gt;=85,S44&gt;=90),"Pass",IF(AND(U44&gt;=80,S44&gt;=85),"Conditional_Pass","Fail"))</f>
        <v/>
      </c>
      <c r="Z44">
        <f>IF(U44&gt;=85,"Overall ≥85% ✓","Overall &lt;85% ✗") &amp; ", " &amp; IF(S44&gt;=90,"CVSS ≥90% ✓","CVSS &lt;90% ✗")</f>
        <v/>
      </c>
      <c r="AA44">
        <f>IF(Y44="Pass","None",IF(Y44="Conditional_Pass","Review",IF(OR(V44="A",V44="B"),"Improve","Deprecate")))</f>
        <v/>
      </c>
      <c r="AG44" s="11" t="n"/>
      <c r="AH44" s="11">
        <f>IF(E44&lt;&gt;"",E44+90,"")</f>
        <v/>
      </c>
    </row>
    <row r="45">
      <c r="C45">
        <f>IFERROR(VLOOKUP(B45,Source_Inventory!$A$5:$P$104,2,FALSE),"[Not Found]")</f>
        <v/>
      </c>
      <c r="E45" s="11" t="n"/>
      <c r="H45" s="14" t="n"/>
      <c r="I45" s="14" t="n"/>
      <c r="L45" s="22">
        <f>IFERROR((J45/I45)*100,"")</f>
        <v/>
      </c>
      <c r="M45" s="14" t="n"/>
      <c r="P45" s="22">
        <f>IFERROR((N45/M45)*100,"")</f>
        <v/>
      </c>
      <c r="S45" s="22">
        <f>IFERROR((Q45/M45)*100,"")</f>
        <v/>
      </c>
      <c r="U45" s="22">
        <f>IFERROR(((J45+N45)/H45)*100,"")</f>
        <v/>
      </c>
      <c r="X45">
        <f>IF(AND(V45&lt;&gt;"",W45&lt;&gt;""),CONCATENATE(V45,W45),"")</f>
        <v/>
      </c>
      <c r="Y45">
        <f>IF(AND(U45&gt;=85,S45&gt;=90),"Pass",IF(AND(U45&gt;=80,S45&gt;=85),"Conditional_Pass","Fail"))</f>
        <v/>
      </c>
      <c r="Z45">
        <f>IF(U45&gt;=85,"Overall ≥85% ✓","Overall &lt;85% ✗") &amp; ", " &amp; IF(S45&gt;=90,"CVSS ≥90% ✓","CVSS &lt;90% ✗")</f>
        <v/>
      </c>
      <c r="AA45">
        <f>IF(Y45="Pass","None",IF(Y45="Conditional_Pass","Review",IF(OR(V45="A",V45="B"),"Improve","Deprecate")))</f>
        <v/>
      </c>
      <c r="AG45" s="11" t="n"/>
      <c r="AH45" s="11">
        <f>IF(E45&lt;&gt;"",E45+90,"")</f>
        <v/>
      </c>
    </row>
    <row r="46">
      <c r="C46">
        <f>IFERROR(VLOOKUP(B46,Source_Inventory!$A$5:$P$104,2,FALSE),"[Not Found]")</f>
        <v/>
      </c>
      <c r="E46" s="11" t="n"/>
      <c r="H46" s="14" t="n"/>
      <c r="I46" s="14" t="n"/>
      <c r="L46" s="22">
        <f>IFERROR((J46/I46)*100,"")</f>
        <v/>
      </c>
      <c r="M46" s="14" t="n"/>
      <c r="P46" s="22">
        <f>IFERROR((N46/M46)*100,"")</f>
        <v/>
      </c>
      <c r="S46" s="22">
        <f>IFERROR((Q46/M46)*100,"")</f>
        <v/>
      </c>
      <c r="U46" s="22">
        <f>IFERROR(((J46+N46)/H46)*100,"")</f>
        <v/>
      </c>
      <c r="X46">
        <f>IF(AND(V46&lt;&gt;"",W46&lt;&gt;""),CONCATENATE(V46,W46),"")</f>
        <v/>
      </c>
      <c r="Y46">
        <f>IF(AND(U46&gt;=85,S46&gt;=90),"Pass",IF(AND(U46&gt;=80,S46&gt;=85),"Conditional_Pass","Fail"))</f>
        <v/>
      </c>
      <c r="Z46">
        <f>IF(U46&gt;=85,"Overall ≥85% ✓","Overall &lt;85% ✗") &amp; ", " &amp; IF(S46&gt;=90,"CVSS ≥90% ✓","CVSS &lt;90% ✗")</f>
        <v/>
      </c>
      <c r="AA46">
        <f>IF(Y46="Pass","None",IF(Y46="Conditional_Pass","Review",IF(OR(V46="A",V46="B"),"Improve","Deprecate")))</f>
        <v/>
      </c>
      <c r="AG46" s="11" t="n"/>
      <c r="AH46" s="11">
        <f>IF(E46&lt;&gt;"",E46+90,"")</f>
        <v/>
      </c>
    </row>
    <row r="47">
      <c r="C47">
        <f>IFERROR(VLOOKUP(B47,Source_Inventory!$A$5:$P$104,2,FALSE),"[Not Found]")</f>
        <v/>
      </c>
      <c r="E47" s="11" t="n"/>
      <c r="H47" s="14" t="n"/>
      <c r="I47" s="14" t="n"/>
      <c r="L47" s="22">
        <f>IFERROR((J47/I47)*100,"")</f>
        <v/>
      </c>
      <c r="M47" s="14" t="n"/>
      <c r="P47" s="22">
        <f>IFERROR((N47/M47)*100,"")</f>
        <v/>
      </c>
      <c r="S47" s="22">
        <f>IFERROR((Q47/M47)*100,"")</f>
        <v/>
      </c>
      <c r="U47" s="22">
        <f>IFERROR(((J47+N47)/H47)*100,"")</f>
        <v/>
      </c>
      <c r="X47">
        <f>IF(AND(V47&lt;&gt;"",W47&lt;&gt;""),CONCATENATE(V47,W47),"")</f>
        <v/>
      </c>
      <c r="Y47">
        <f>IF(AND(U47&gt;=85,S47&gt;=90),"Pass",IF(AND(U47&gt;=80,S47&gt;=85),"Conditional_Pass","Fail"))</f>
        <v/>
      </c>
      <c r="Z47">
        <f>IF(U47&gt;=85,"Overall ≥85% ✓","Overall &lt;85% ✗") &amp; ", " &amp; IF(S47&gt;=90,"CVSS ≥90% ✓","CVSS &lt;90% ✗")</f>
        <v/>
      </c>
      <c r="AA47">
        <f>IF(Y47="Pass","None",IF(Y47="Conditional_Pass","Review",IF(OR(V47="A",V47="B"),"Improve","Deprecate")))</f>
        <v/>
      </c>
      <c r="AG47" s="11" t="n"/>
      <c r="AH47" s="11">
        <f>IF(E47&lt;&gt;"",E47+90,"")</f>
        <v/>
      </c>
    </row>
    <row r="48">
      <c r="C48">
        <f>IFERROR(VLOOKUP(B48,Source_Inventory!$A$5:$P$104,2,FALSE),"[Not Found]")</f>
        <v/>
      </c>
      <c r="E48" s="11" t="n"/>
      <c r="H48" s="14" t="n"/>
      <c r="I48" s="14" t="n"/>
      <c r="L48" s="22">
        <f>IFERROR((J48/I48)*100,"")</f>
        <v/>
      </c>
      <c r="M48" s="14" t="n"/>
      <c r="P48" s="22">
        <f>IFERROR((N48/M48)*100,"")</f>
        <v/>
      </c>
      <c r="S48" s="22">
        <f>IFERROR((Q48/M48)*100,"")</f>
        <v/>
      </c>
      <c r="U48" s="22">
        <f>IFERROR(((J48+N48)/H48)*100,"")</f>
        <v/>
      </c>
      <c r="X48">
        <f>IF(AND(V48&lt;&gt;"",W48&lt;&gt;""),CONCATENATE(V48,W48),"")</f>
        <v/>
      </c>
      <c r="Y48">
        <f>IF(AND(U48&gt;=85,S48&gt;=90),"Pass",IF(AND(U48&gt;=80,S48&gt;=85),"Conditional_Pass","Fail"))</f>
        <v/>
      </c>
      <c r="Z48">
        <f>IF(U48&gt;=85,"Overall ≥85% ✓","Overall &lt;85% ✗") &amp; ", " &amp; IF(S48&gt;=90,"CVSS ≥90% ✓","CVSS &lt;90% ✗")</f>
        <v/>
      </c>
      <c r="AA48">
        <f>IF(Y48="Pass","None",IF(Y48="Conditional_Pass","Review",IF(OR(V48="A",V48="B"),"Improve","Deprecate")))</f>
        <v/>
      </c>
      <c r="AG48" s="11" t="n"/>
      <c r="AH48" s="11">
        <f>IF(E48&lt;&gt;"",E48+90,"")</f>
        <v/>
      </c>
    </row>
    <row r="49">
      <c r="C49">
        <f>IFERROR(VLOOKUP(B49,Source_Inventory!$A$5:$P$104,2,FALSE),"[Not Found]")</f>
        <v/>
      </c>
      <c r="E49" s="11" t="n"/>
      <c r="H49" s="14" t="n"/>
      <c r="I49" s="14" t="n"/>
      <c r="L49" s="22">
        <f>IFERROR((J49/I49)*100,"")</f>
        <v/>
      </c>
      <c r="M49" s="14" t="n"/>
      <c r="P49" s="22">
        <f>IFERROR((N49/M49)*100,"")</f>
        <v/>
      </c>
      <c r="S49" s="22">
        <f>IFERROR((Q49/M49)*100,"")</f>
        <v/>
      </c>
      <c r="U49" s="22">
        <f>IFERROR(((J49+N49)/H49)*100,"")</f>
        <v/>
      </c>
      <c r="X49">
        <f>IF(AND(V49&lt;&gt;"",W49&lt;&gt;""),CONCATENATE(V49,W49),"")</f>
        <v/>
      </c>
      <c r="Y49">
        <f>IF(AND(U49&gt;=85,S49&gt;=90),"Pass",IF(AND(U49&gt;=80,S49&gt;=85),"Conditional_Pass","Fail"))</f>
        <v/>
      </c>
      <c r="Z49">
        <f>IF(U49&gt;=85,"Overall ≥85% ✓","Overall &lt;85% ✗") &amp; ", " &amp; IF(S49&gt;=90,"CVSS ≥90% ✓","CVSS &lt;90% ✗")</f>
        <v/>
      </c>
      <c r="AA49">
        <f>IF(Y49="Pass","None",IF(Y49="Conditional_Pass","Review",IF(OR(V49="A",V49="B"),"Improve","Deprecate")))</f>
        <v/>
      </c>
      <c r="AG49" s="11" t="n"/>
      <c r="AH49" s="11">
        <f>IF(E49&lt;&gt;"",E49+90,"")</f>
        <v/>
      </c>
    </row>
    <row r="50">
      <c r="C50">
        <f>IFERROR(VLOOKUP(B50,Source_Inventory!$A$5:$P$104,2,FALSE),"[Not Found]")</f>
        <v/>
      </c>
      <c r="E50" s="11" t="n"/>
      <c r="H50" s="14" t="n"/>
      <c r="I50" s="14" t="n"/>
      <c r="L50" s="22">
        <f>IFERROR((J50/I50)*100,"")</f>
        <v/>
      </c>
      <c r="M50" s="14" t="n"/>
      <c r="P50" s="22">
        <f>IFERROR((N50/M50)*100,"")</f>
        <v/>
      </c>
      <c r="S50" s="22">
        <f>IFERROR((Q50/M50)*100,"")</f>
        <v/>
      </c>
      <c r="U50" s="22">
        <f>IFERROR(((J50+N50)/H50)*100,"")</f>
        <v/>
      </c>
      <c r="X50">
        <f>IF(AND(V50&lt;&gt;"",W50&lt;&gt;""),CONCATENATE(V50,W50),"")</f>
        <v/>
      </c>
      <c r="Y50">
        <f>IF(AND(U50&gt;=85,S50&gt;=90),"Pass",IF(AND(U50&gt;=80,S50&gt;=85),"Conditional_Pass","Fail"))</f>
        <v/>
      </c>
      <c r="Z50">
        <f>IF(U50&gt;=85,"Overall ≥85% ✓","Overall &lt;85% ✗") &amp; ", " &amp; IF(S50&gt;=90,"CVSS ≥90% ✓","CVSS &lt;90% ✗")</f>
        <v/>
      </c>
      <c r="AA50">
        <f>IF(Y50="Pass","None",IF(Y50="Conditional_Pass","Review",IF(OR(V50="A",V50="B"),"Improve","Deprecate")))</f>
        <v/>
      </c>
      <c r="AG50" s="11" t="n"/>
      <c r="AH50" s="11">
        <f>IF(E50&lt;&gt;"",E50+90,"")</f>
        <v/>
      </c>
    </row>
    <row r="51">
      <c r="C51">
        <f>IFERROR(VLOOKUP(B51,Source_Inventory!$A$5:$P$104,2,FALSE),"[Not Found]")</f>
        <v/>
      </c>
      <c r="E51" s="11" t="n"/>
      <c r="H51" s="14" t="n"/>
      <c r="I51" s="14" t="n"/>
      <c r="L51" s="22">
        <f>IFERROR((J51/I51)*100,"")</f>
        <v/>
      </c>
      <c r="M51" s="14" t="n"/>
      <c r="P51" s="22">
        <f>IFERROR((N51/M51)*100,"")</f>
        <v/>
      </c>
      <c r="S51" s="22">
        <f>IFERROR((Q51/M51)*100,"")</f>
        <v/>
      </c>
      <c r="U51" s="22">
        <f>IFERROR(((J51+N51)/H51)*100,"")</f>
        <v/>
      </c>
      <c r="X51">
        <f>IF(AND(V51&lt;&gt;"",W51&lt;&gt;""),CONCATENATE(V51,W51),"")</f>
        <v/>
      </c>
      <c r="Y51">
        <f>IF(AND(U51&gt;=85,S51&gt;=90),"Pass",IF(AND(U51&gt;=80,S51&gt;=85),"Conditional_Pass","Fail"))</f>
        <v/>
      </c>
      <c r="Z51">
        <f>IF(U51&gt;=85,"Overall ≥85% ✓","Overall &lt;85% ✗") &amp; ", " &amp; IF(S51&gt;=90,"CVSS ≥90% ✓","CVSS &lt;90% ✗")</f>
        <v/>
      </c>
      <c r="AA51">
        <f>IF(Y51="Pass","None",IF(Y51="Conditional_Pass","Review",IF(OR(V51="A",V51="B"),"Improve","Deprecate")))</f>
        <v/>
      </c>
      <c r="AG51" s="11" t="n"/>
      <c r="AH51" s="11">
        <f>IF(E51&lt;&gt;"",E51+90,"")</f>
        <v/>
      </c>
    </row>
    <row r="52">
      <c r="C52">
        <f>IFERROR(VLOOKUP(B52,Source_Inventory!$A$5:$P$104,2,FALSE),"[Not Found]")</f>
        <v/>
      </c>
      <c r="E52" s="11" t="n"/>
      <c r="H52" s="14" t="n"/>
      <c r="I52" s="14" t="n"/>
      <c r="L52" s="22">
        <f>IFERROR((J52/I52)*100,"")</f>
        <v/>
      </c>
      <c r="M52" s="14" t="n"/>
      <c r="P52" s="22">
        <f>IFERROR((N52/M52)*100,"")</f>
        <v/>
      </c>
      <c r="S52" s="22">
        <f>IFERROR((Q52/M52)*100,"")</f>
        <v/>
      </c>
      <c r="U52" s="22">
        <f>IFERROR(((J52+N52)/H52)*100,"")</f>
        <v/>
      </c>
      <c r="X52">
        <f>IF(AND(V52&lt;&gt;"",W52&lt;&gt;""),CONCATENATE(V52,W52),"")</f>
        <v/>
      </c>
      <c r="Y52">
        <f>IF(AND(U52&gt;=85,S52&gt;=90),"Pass",IF(AND(U52&gt;=80,S52&gt;=85),"Conditional_Pass","Fail"))</f>
        <v/>
      </c>
      <c r="Z52">
        <f>IF(U52&gt;=85,"Overall ≥85% ✓","Overall &lt;85% ✗") &amp; ", " &amp; IF(S52&gt;=90,"CVSS ≥90% ✓","CVSS &lt;90% ✗")</f>
        <v/>
      </c>
      <c r="AA52">
        <f>IF(Y52="Pass","None",IF(Y52="Conditional_Pass","Review",IF(OR(V52="A",V52="B"),"Improve","Deprecate")))</f>
        <v/>
      </c>
      <c r="AG52" s="11" t="n"/>
      <c r="AH52" s="11">
        <f>IF(E52&lt;&gt;"",E52+90,"")</f>
        <v/>
      </c>
    </row>
    <row r="53">
      <c r="C53">
        <f>IFERROR(VLOOKUP(B53,Source_Inventory!$A$5:$P$104,2,FALSE),"[Not Found]")</f>
        <v/>
      </c>
      <c r="E53" s="11" t="n"/>
      <c r="H53" s="14" t="n"/>
      <c r="I53" s="14" t="n"/>
      <c r="L53" s="22">
        <f>IFERROR((J53/I53)*100,"")</f>
        <v/>
      </c>
      <c r="M53" s="14" t="n"/>
      <c r="P53" s="22">
        <f>IFERROR((N53/M53)*100,"")</f>
        <v/>
      </c>
      <c r="S53" s="22">
        <f>IFERROR((Q53/M53)*100,"")</f>
        <v/>
      </c>
      <c r="U53" s="22">
        <f>IFERROR(((J53+N53)/H53)*100,"")</f>
        <v/>
      </c>
      <c r="X53">
        <f>IF(AND(V53&lt;&gt;"",W53&lt;&gt;""),CONCATENATE(V53,W53),"")</f>
        <v/>
      </c>
      <c r="Y53">
        <f>IF(AND(U53&gt;=85,S53&gt;=90),"Pass",IF(AND(U53&gt;=80,S53&gt;=85),"Conditional_Pass","Fail"))</f>
        <v/>
      </c>
      <c r="Z53">
        <f>IF(U53&gt;=85,"Overall ≥85% ✓","Overall &lt;85% ✗") &amp; ", " &amp; IF(S53&gt;=90,"CVSS ≥90% ✓","CVSS &lt;90% ✗")</f>
        <v/>
      </c>
      <c r="AA53">
        <f>IF(Y53="Pass","None",IF(Y53="Conditional_Pass","Review",IF(OR(V53="A",V53="B"),"Improve","Deprecate")))</f>
        <v/>
      </c>
      <c r="AG53" s="11" t="n"/>
      <c r="AH53" s="11">
        <f>IF(E53&lt;&gt;"",E53+90,"")</f>
        <v/>
      </c>
    </row>
    <row r="54">
      <c r="C54">
        <f>IFERROR(VLOOKUP(B54,Source_Inventory!$A$5:$P$104,2,FALSE),"[Not Found]")</f>
        <v/>
      </c>
      <c r="E54" s="11" t="n"/>
      <c r="H54" s="14" t="n"/>
      <c r="I54" s="14" t="n"/>
      <c r="L54" s="22">
        <f>IFERROR((J54/I54)*100,"")</f>
        <v/>
      </c>
      <c r="M54" s="14" t="n"/>
      <c r="P54" s="22">
        <f>IFERROR((N54/M54)*100,"")</f>
        <v/>
      </c>
      <c r="S54" s="22">
        <f>IFERROR((Q54/M54)*100,"")</f>
        <v/>
      </c>
      <c r="U54" s="22">
        <f>IFERROR(((J54+N54)/H54)*100,"")</f>
        <v/>
      </c>
      <c r="X54">
        <f>IF(AND(V54&lt;&gt;"",W54&lt;&gt;""),CONCATENATE(V54,W54),"")</f>
        <v/>
      </c>
      <c r="Y54">
        <f>IF(AND(U54&gt;=85,S54&gt;=90),"Pass",IF(AND(U54&gt;=80,S54&gt;=85),"Conditional_Pass","Fail"))</f>
        <v/>
      </c>
      <c r="Z54">
        <f>IF(U54&gt;=85,"Overall ≥85% ✓","Overall &lt;85% ✗") &amp; ", " &amp; IF(S54&gt;=90,"CVSS ≥90% ✓","CVSS &lt;90% ✗")</f>
        <v/>
      </c>
      <c r="AA54">
        <f>IF(Y54="Pass","None",IF(Y54="Conditional_Pass","Review",IF(OR(V54="A",V54="B"),"Improve","Deprecate")))</f>
        <v/>
      </c>
      <c r="AG54" s="11" t="n"/>
      <c r="AH54" s="11">
        <f>IF(E54&lt;&gt;"",E54+90,"")</f>
        <v/>
      </c>
    </row>
    <row r="55">
      <c r="C55">
        <f>IFERROR(VLOOKUP(B55,Source_Inventory!$A$5:$P$104,2,FALSE),"[Not Found]")</f>
        <v/>
      </c>
      <c r="E55" s="11" t="n"/>
      <c r="H55" s="14" t="n"/>
      <c r="I55" s="14" t="n"/>
      <c r="L55" s="22">
        <f>IFERROR((J55/I55)*100,"")</f>
        <v/>
      </c>
      <c r="M55" s="14" t="n"/>
      <c r="P55" s="22">
        <f>IFERROR((N55/M55)*100,"")</f>
        <v/>
      </c>
      <c r="S55" s="22">
        <f>IFERROR((Q55/M55)*100,"")</f>
        <v/>
      </c>
      <c r="U55" s="22">
        <f>IFERROR(((J55+N55)/H55)*100,"")</f>
        <v/>
      </c>
      <c r="X55">
        <f>IF(AND(V55&lt;&gt;"",W55&lt;&gt;""),CONCATENATE(V55,W55),"")</f>
        <v/>
      </c>
      <c r="Y55">
        <f>IF(AND(U55&gt;=85,S55&gt;=90),"Pass",IF(AND(U55&gt;=80,S55&gt;=85),"Conditional_Pass","Fail"))</f>
        <v/>
      </c>
      <c r="Z55">
        <f>IF(U55&gt;=85,"Overall ≥85% ✓","Overall &lt;85% ✗") &amp; ", " &amp; IF(S55&gt;=90,"CVSS ≥90% ✓","CVSS &lt;90% ✗")</f>
        <v/>
      </c>
      <c r="AA55">
        <f>IF(Y55="Pass","None",IF(Y55="Conditional_Pass","Review",IF(OR(V55="A",V55="B"),"Improve","Deprecate")))</f>
        <v/>
      </c>
      <c r="AG55" s="11" t="n"/>
      <c r="AH55" s="11">
        <f>IF(E55&lt;&gt;"",E55+90,"")</f>
        <v/>
      </c>
    </row>
    <row r="56">
      <c r="C56">
        <f>IFERROR(VLOOKUP(B56,Source_Inventory!$A$5:$P$104,2,FALSE),"[Not Found]")</f>
        <v/>
      </c>
      <c r="E56" s="11" t="n"/>
      <c r="H56" s="14" t="n"/>
      <c r="I56" s="14" t="n"/>
      <c r="L56" s="22">
        <f>IFERROR((J56/I56)*100,"")</f>
        <v/>
      </c>
      <c r="M56" s="14" t="n"/>
      <c r="P56" s="22">
        <f>IFERROR((N56/M56)*100,"")</f>
        <v/>
      </c>
      <c r="S56" s="22">
        <f>IFERROR((Q56/M56)*100,"")</f>
        <v/>
      </c>
      <c r="U56" s="22">
        <f>IFERROR(((J56+N56)/H56)*100,"")</f>
        <v/>
      </c>
      <c r="X56">
        <f>IF(AND(V56&lt;&gt;"",W56&lt;&gt;""),CONCATENATE(V56,W56),"")</f>
        <v/>
      </c>
      <c r="Y56">
        <f>IF(AND(U56&gt;=85,S56&gt;=90),"Pass",IF(AND(U56&gt;=80,S56&gt;=85),"Conditional_Pass","Fail"))</f>
        <v/>
      </c>
      <c r="Z56">
        <f>IF(U56&gt;=85,"Overall ≥85% ✓","Overall &lt;85% ✗") &amp; ", " &amp; IF(S56&gt;=90,"CVSS ≥90% ✓","CVSS &lt;90% ✗")</f>
        <v/>
      </c>
      <c r="AA56">
        <f>IF(Y56="Pass","None",IF(Y56="Conditional_Pass","Review",IF(OR(V56="A",V56="B"),"Improve","Deprecate")))</f>
        <v/>
      </c>
      <c r="AG56" s="11" t="n"/>
      <c r="AH56" s="11">
        <f>IF(E56&lt;&gt;"",E56+90,"")</f>
        <v/>
      </c>
    </row>
    <row r="57">
      <c r="C57">
        <f>IFERROR(VLOOKUP(B57,Source_Inventory!$A$5:$P$104,2,FALSE),"[Not Found]")</f>
        <v/>
      </c>
      <c r="E57" s="11" t="n"/>
      <c r="H57" s="14" t="n"/>
      <c r="I57" s="14" t="n"/>
      <c r="L57" s="22">
        <f>IFERROR((J57/I57)*100,"")</f>
        <v/>
      </c>
      <c r="M57" s="14" t="n"/>
      <c r="P57" s="22">
        <f>IFERROR((N57/M57)*100,"")</f>
        <v/>
      </c>
      <c r="S57" s="22">
        <f>IFERROR((Q57/M57)*100,"")</f>
        <v/>
      </c>
      <c r="U57" s="22">
        <f>IFERROR(((J57+N57)/H57)*100,"")</f>
        <v/>
      </c>
      <c r="X57">
        <f>IF(AND(V57&lt;&gt;"",W57&lt;&gt;""),CONCATENATE(V57,W57),"")</f>
        <v/>
      </c>
      <c r="Y57">
        <f>IF(AND(U57&gt;=85,S57&gt;=90),"Pass",IF(AND(U57&gt;=80,S57&gt;=85),"Conditional_Pass","Fail"))</f>
        <v/>
      </c>
      <c r="Z57">
        <f>IF(U57&gt;=85,"Overall ≥85% ✓","Overall &lt;85% ✗") &amp; ", " &amp; IF(S57&gt;=90,"CVSS ≥90% ✓","CVSS &lt;90% ✗")</f>
        <v/>
      </c>
      <c r="AA57">
        <f>IF(Y57="Pass","None",IF(Y57="Conditional_Pass","Review",IF(OR(V57="A",V57="B"),"Improve","Deprecate")))</f>
        <v/>
      </c>
      <c r="AG57" s="11" t="n"/>
      <c r="AH57" s="11">
        <f>IF(E57&lt;&gt;"",E57+90,"")</f>
        <v/>
      </c>
    </row>
    <row r="58">
      <c r="C58">
        <f>IFERROR(VLOOKUP(B58,Source_Inventory!$A$5:$P$104,2,FALSE),"[Not Found]")</f>
        <v/>
      </c>
      <c r="E58" s="11" t="n"/>
      <c r="H58" s="14" t="n"/>
      <c r="I58" s="14" t="n"/>
      <c r="L58" s="22">
        <f>IFERROR((J58/I58)*100,"")</f>
        <v/>
      </c>
      <c r="M58" s="14" t="n"/>
      <c r="P58" s="22">
        <f>IFERROR((N58/M58)*100,"")</f>
        <v/>
      </c>
      <c r="S58" s="22">
        <f>IFERROR((Q58/M58)*100,"")</f>
        <v/>
      </c>
      <c r="U58" s="22">
        <f>IFERROR(((J58+N58)/H58)*100,"")</f>
        <v/>
      </c>
      <c r="X58">
        <f>IF(AND(V58&lt;&gt;"",W58&lt;&gt;""),CONCATENATE(V58,W58),"")</f>
        <v/>
      </c>
      <c r="Y58">
        <f>IF(AND(U58&gt;=85,S58&gt;=90),"Pass",IF(AND(U58&gt;=80,S58&gt;=85),"Conditional_Pass","Fail"))</f>
        <v/>
      </c>
      <c r="Z58">
        <f>IF(U58&gt;=85,"Overall ≥85% ✓","Overall &lt;85% ✗") &amp; ", " &amp; IF(S58&gt;=90,"CVSS ≥90% ✓","CVSS &lt;90% ✗")</f>
        <v/>
      </c>
      <c r="AA58">
        <f>IF(Y58="Pass","None",IF(Y58="Conditional_Pass","Review",IF(OR(V58="A",V58="B"),"Improve","Deprecate")))</f>
        <v/>
      </c>
      <c r="AG58" s="11" t="n"/>
      <c r="AH58" s="11">
        <f>IF(E58&lt;&gt;"",E58+90,"")</f>
        <v/>
      </c>
    </row>
    <row r="59">
      <c r="C59">
        <f>IFERROR(VLOOKUP(B59,Source_Inventory!$A$5:$P$104,2,FALSE),"[Not Found]")</f>
        <v/>
      </c>
      <c r="E59" s="11" t="n"/>
      <c r="H59" s="14" t="n"/>
      <c r="I59" s="14" t="n"/>
      <c r="L59" s="22">
        <f>IFERROR((J59/I59)*100,"")</f>
        <v/>
      </c>
      <c r="M59" s="14" t="n"/>
      <c r="P59" s="22">
        <f>IFERROR((N59/M59)*100,"")</f>
        <v/>
      </c>
      <c r="S59" s="22">
        <f>IFERROR((Q59/M59)*100,"")</f>
        <v/>
      </c>
      <c r="U59" s="22">
        <f>IFERROR(((J59+N59)/H59)*100,"")</f>
        <v/>
      </c>
      <c r="X59">
        <f>IF(AND(V59&lt;&gt;"",W59&lt;&gt;""),CONCATENATE(V59,W59),"")</f>
        <v/>
      </c>
      <c r="Y59">
        <f>IF(AND(U59&gt;=85,S59&gt;=90),"Pass",IF(AND(U59&gt;=80,S59&gt;=85),"Conditional_Pass","Fail"))</f>
        <v/>
      </c>
      <c r="Z59">
        <f>IF(U59&gt;=85,"Overall ≥85% ✓","Overall &lt;85% ✗") &amp; ", " &amp; IF(S59&gt;=90,"CVSS ≥90% ✓","CVSS &lt;90% ✗")</f>
        <v/>
      </c>
      <c r="AA59">
        <f>IF(Y59="Pass","None",IF(Y59="Conditional_Pass","Review",IF(OR(V59="A",V59="B"),"Improve","Deprecate")))</f>
        <v/>
      </c>
      <c r="AG59" s="11" t="n"/>
      <c r="AH59" s="11">
        <f>IF(E59&lt;&gt;"",E59+90,"")</f>
        <v/>
      </c>
    </row>
    <row r="60">
      <c r="C60">
        <f>IFERROR(VLOOKUP(B60,Source_Inventory!$A$5:$P$104,2,FALSE),"[Not Found]")</f>
        <v/>
      </c>
      <c r="E60" s="11" t="n"/>
      <c r="H60" s="14" t="n"/>
      <c r="I60" s="14" t="n"/>
      <c r="L60" s="22">
        <f>IFERROR((J60/I60)*100,"")</f>
        <v/>
      </c>
      <c r="M60" s="14" t="n"/>
      <c r="P60" s="22">
        <f>IFERROR((N60/M60)*100,"")</f>
        <v/>
      </c>
      <c r="S60" s="22">
        <f>IFERROR((Q60/M60)*100,"")</f>
        <v/>
      </c>
      <c r="U60" s="22">
        <f>IFERROR(((J60+N60)/H60)*100,"")</f>
        <v/>
      </c>
      <c r="X60">
        <f>IF(AND(V60&lt;&gt;"",W60&lt;&gt;""),CONCATENATE(V60,W60),"")</f>
        <v/>
      </c>
      <c r="Y60">
        <f>IF(AND(U60&gt;=85,S60&gt;=90),"Pass",IF(AND(U60&gt;=80,S60&gt;=85),"Conditional_Pass","Fail"))</f>
        <v/>
      </c>
      <c r="Z60">
        <f>IF(U60&gt;=85,"Overall ≥85% ✓","Overall &lt;85% ✗") &amp; ", " &amp; IF(S60&gt;=90,"CVSS ≥90% ✓","CVSS &lt;90% ✗")</f>
        <v/>
      </c>
      <c r="AA60">
        <f>IF(Y60="Pass","None",IF(Y60="Conditional_Pass","Review",IF(OR(V60="A",V60="B"),"Improve","Deprecate")))</f>
        <v/>
      </c>
      <c r="AG60" s="11" t="n"/>
      <c r="AH60" s="11">
        <f>IF(E60&lt;&gt;"",E60+90,"")</f>
        <v/>
      </c>
    </row>
    <row r="61">
      <c r="C61">
        <f>IFERROR(VLOOKUP(B61,Source_Inventory!$A$5:$P$104,2,FALSE),"[Not Found]")</f>
        <v/>
      </c>
      <c r="E61" s="11" t="n"/>
      <c r="H61" s="14" t="n"/>
      <c r="I61" s="14" t="n"/>
      <c r="L61" s="22">
        <f>IFERROR((J61/I61)*100,"")</f>
        <v/>
      </c>
      <c r="M61" s="14" t="n"/>
      <c r="P61" s="22">
        <f>IFERROR((N61/M61)*100,"")</f>
        <v/>
      </c>
      <c r="S61" s="22">
        <f>IFERROR((Q61/M61)*100,"")</f>
        <v/>
      </c>
      <c r="U61" s="22">
        <f>IFERROR(((J61+N61)/H61)*100,"")</f>
        <v/>
      </c>
      <c r="X61">
        <f>IF(AND(V61&lt;&gt;"",W61&lt;&gt;""),CONCATENATE(V61,W61),"")</f>
        <v/>
      </c>
      <c r="Y61">
        <f>IF(AND(U61&gt;=85,S61&gt;=90),"Pass",IF(AND(U61&gt;=80,S61&gt;=85),"Conditional_Pass","Fail"))</f>
        <v/>
      </c>
      <c r="Z61">
        <f>IF(U61&gt;=85,"Overall ≥85% ✓","Overall &lt;85% ✗") &amp; ", " &amp; IF(S61&gt;=90,"CVSS ≥90% ✓","CVSS &lt;90% ✗")</f>
        <v/>
      </c>
      <c r="AA61">
        <f>IF(Y61="Pass","None",IF(Y61="Conditional_Pass","Review",IF(OR(V61="A",V61="B"),"Improve","Deprecate")))</f>
        <v/>
      </c>
      <c r="AG61" s="11" t="n"/>
      <c r="AH61" s="11">
        <f>IF(E61&lt;&gt;"",E61+90,"")</f>
        <v/>
      </c>
    </row>
    <row r="62">
      <c r="C62">
        <f>IFERROR(VLOOKUP(B62,Source_Inventory!$A$5:$P$104,2,FALSE),"[Not Found]")</f>
        <v/>
      </c>
      <c r="E62" s="11" t="n"/>
      <c r="H62" s="14" t="n"/>
      <c r="I62" s="14" t="n"/>
      <c r="L62" s="22">
        <f>IFERROR((J62/I62)*100,"")</f>
        <v/>
      </c>
      <c r="M62" s="14" t="n"/>
      <c r="P62" s="22">
        <f>IFERROR((N62/M62)*100,"")</f>
        <v/>
      </c>
      <c r="S62" s="22">
        <f>IFERROR((Q62/M62)*100,"")</f>
        <v/>
      </c>
      <c r="U62" s="22">
        <f>IFERROR(((J62+N62)/H62)*100,"")</f>
        <v/>
      </c>
      <c r="X62">
        <f>IF(AND(V62&lt;&gt;"",W62&lt;&gt;""),CONCATENATE(V62,W62),"")</f>
        <v/>
      </c>
      <c r="Y62">
        <f>IF(AND(U62&gt;=85,S62&gt;=90),"Pass",IF(AND(U62&gt;=80,S62&gt;=85),"Conditional_Pass","Fail"))</f>
        <v/>
      </c>
      <c r="Z62">
        <f>IF(U62&gt;=85,"Overall ≥85% ✓","Overall &lt;85% ✗") &amp; ", " &amp; IF(S62&gt;=90,"CVSS ≥90% ✓","CVSS &lt;90% ✗")</f>
        <v/>
      </c>
      <c r="AA62">
        <f>IF(Y62="Pass","None",IF(Y62="Conditional_Pass","Review",IF(OR(V62="A",V62="B"),"Improve","Deprecate")))</f>
        <v/>
      </c>
      <c r="AG62" s="11" t="n"/>
      <c r="AH62" s="11">
        <f>IF(E62&lt;&gt;"",E62+90,"")</f>
        <v/>
      </c>
    </row>
    <row r="63">
      <c r="C63">
        <f>IFERROR(VLOOKUP(B63,Source_Inventory!$A$5:$P$104,2,FALSE),"[Not Found]")</f>
        <v/>
      </c>
      <c r="E63" s="11" t="n"/>
      <c r="H63" s="14" t="n"/>
      <c r="I63" s="14" t="n"/>
      <c r="L63" s="22">
        <f>IFERROR((J63/I63)*100,"")</f>
        <v/>
      </c>
      <c r="M63" s="14" t="n"/>
      <c r="P63" s="22">
        <f>IFERROR((N63/M63)*100,"")</f>
        <v/>
      </c>
      <c r="S63" s="22">
        <f>IFERROR((Q63/M63)*100,"")</f>
        <v/>
      </c>
      <c r="U63" s="22">
        <f>IFERROR(((J63+N63)/H63)*100,"")</f>
        <v/>
      </c>
      <c r="X63">
        <f>IF(AND(V63&lt;&gt;"",W63&lt;&gt;""),CONCATENATE(V63,W63),"")</f>
        <v/>
      </c>
      <c r="Y63">
        <f>IF(AND(U63&gt;=85,S63&gt;=90),"Pass",IF(AND(U63&gt;=80,S63&gt;=85),"Conditional_Pass","Fail"))</f>
        <v/>
      </c>
      <c r="Z63">
        <f>IF(U63&gt;=85,"Overall ≥85% ✓","Overall &lt;85% ✗") &amp; ", " &amp; IF(S63&gt;=90,"CVSS ≥90% ✓","CVSS &lt;90% ✗")</f>
        <v/>
      </c>
      <c r="AA63">
        <f>IF(Y63="Pass","None",IF(Y63="Conditional_Pass","Review",IF(OR(V63="A",V63="B"),"Improve","Deprecate")))</f>
        <v/>
      </c>
      <c r="AG63" s="11" t="n"/>
      <c r="AH63" s="11">
        <f>IF(E63&lt;&gt;"",E63+90,"")</f>
        <v/>
      </c>
    </row>
    <row r="64">
      <c r="C64">
        <f>IFERROR(VLOOKUP(B64,Source_Inventory!$A$5:$P$104,2,FALSE),"[Not Found]")</f>
        <v/>
      </c>
      <c r="E64" s="11" t="n"/>
      <c r="H64" s="14" t="n"/>
      <c r="I64" s="14" t="n"/>
      <c r="L64" s="22">
        <f>IFERROR((J64/I64)*100,"")</f>
        <v/>
      </c>
      <c r="M64" s="14" t="n"/>
      <c r="P64" s="22">
        <f>IFERROR((N64/M64)*100,"")</f>
        <v/>
      </c>
      <c r="S64" s="22">
        <f>IFERROR((Q64/M64)*100,"")</f>
        <v/>
      </c>
      <c r="U64" s="22">
        <f>IFERROR(((J64+N64)/H64)*100,"")</f>
        <v/>
      </c>
      <c r="X64">
        <f>IF(AND(V64&lt;&gt;"",W64&lt;&gt;""),CONCATENATE(V64,W64),"")</f>
        <v/>
      </c>
      <c r="Y64">
        <f>IF(AND(U64&gt;=85,S64&gt;=90),"Pass",IF(AND(U64&gt;=80,S64&gt;=85),"Conditional_Pass","Fail"))</f>
        <v/>
      </c>
      <c r="Z64">
        <f>IF(U64&gt;=85,"Overall ≥85% ✓","Overall &lt;85% ✗") &amp; ", " &amp; IF(S64&gt;=90,"CVSS ≥90% ✓","CVSS &lt;90% ✗")</f>
        <v/>
      </c>
      <c r="AA64">
        <f>IF(Y64="Pass","None",IF(Y64="Conditional_Pass","Review",IF(OR(V64="A",V64="B"),"Improve","Deprecate")))</f>
        <v/>
      </c>
      <c r="AG64" s="11" t="n"/>
      <c r="AH64" s="11">
        <f>IF(E64&lt;&gt;"",E64+90,"")</f>
        <v/>
      </c>
    </row>
    <row r="65">
      <c r="C65">
        <f>IFERROR(VLOOKUP(B65,Source_Inventory!$A$5:$P$104,2,FALSE),"[Not Found]")</f>
        <v/>
      </c>
      <c r="E65" s="11" t="n"/>
      <c r="H65" s="14" t="n"/>
      <c r="I65" s="14" t="n"/>
      <c r="L65" s="22">
        <f>IFERROR((J65/I65)*100,"")</f>
        <v/>
      </c>
      <c r="M65" s="14" t="n"/>
      <c r="P65" s="22">
        <f>IFERROR((N65/M65)*100,"")</f>
        <v/>
      </c>
      <c r="S65" s="22">
        <f>IFERROR((Q65/M65)*100,"")</f>
        <v/>
      </c>
      <c r="U65" s="22">
        <f>IFERROR(((J65+N65)/H65)*100,"")</f>
        <v/>
      </c>
      <c r="X65">
        <f>IF(AND(V65&lt;&gt;"",W65&lt;&gt;""),CONCATENATE(V65,W65),"")</f>
        <v/>
      </c>
      <c r="Y65">
        <f>IF(AND(U65&gt;=85,S65&gt;=90),"Pass",IF(AND(U65&gt;=80,S65&gt;=85),"Conditional_Pass","Fail"))</f>
        <v/>
      </c>
      <c r="Z65">
        <f>IF(U65&gt;=85,"Overall ≥85% ✓","Overall &lt;85% ✗") &amp; ", " &amp; IF(S65&gt;=90,"CVSS ≥90% ✓","CVSS &lt;90% ✗")</f>
        <v/>
      </c>
      <c r="AA65">
        <f>IF(Y65="Pass","None",IF(Y65="Conditional_Pass","Review",IF(OR(V65="A",V65="B"),"Improve","Deprecate")))</f>
        <v/>
      </c>
      <c r="AG65" s="11" t="n"/>
      <c r="AH65" s="11">
        <f>IF(E65&lt;&gt;"",E65+90,"")</f>
        <v/>
      </c>
    </row>
    <row r="66">
      <c r="C66">
        <f>IFERROR(VLOOKUP(B66,Source_Inventory!$A$5:$P$104,2,FALSE),"[Not Found]")</f>
        <v/>
      </c>
      <c r="E66" s="11" t="n"/>
      <c r="H66" s="14" t="n"/>
      <c r="I66" s="14" t="n"/>
      <c r="L66" s="22">
        <f>IFERROR((J66/I66)*100,"")</f>
        <v/>
      </c>
      <c r="M66" s="14" t="n"/>
      <c r="P66" s="22">
        <f>IFERROR((N66/M66)*100,"")</f>
        <v/>
      </c>
      <c r="S66" s="22">
        <f>IFERROR((Q66/M66)*100,"")</f>
        <v/>
      </c>
      <c r="U66" s="22">
        <f>IFERROR(((J66+N66)/H66)*100,"")</f>
        <v/>
      </c>
      <c r="X66">
        <f>IF(AND(V66&lt;&gt;"",W66&lt;&gt;""),CONCATENATE(V66,W66),"")</f>
        <v/>
      </c>
      <c r="Y66">
        <f>IF(AND(U66&gt;=85,S66&gt;=90),"Pass",IF(AND(U66&gt;=80,S66&gt;=85),"Conditional_Pass","Fail"))</f>
        <v/>
      </c>
      <c r="Z66">
        <f>IF(U66&gt;=85,"Overall ≥85% ✓","Overall &lt;85% ✗") &amp; ", " &amp; IF(S66&gt;=90,"CVSS ≥90% ✓","CVSS &lt;90% ✗")</f>
        <v/>
      </c>
      <c r="AA66">
        <f>IF(Y66="Pass","None",IF(Y66="Conditional_Pass","Review",IF(OR(V66="A",V66="B"),"Improve","Deprecate")))</f>
        <v/>
      </c>
      <c r="AG66" s="11" t="n"/>
      <c r="AH66" s="11">
        <f>IF(E66&lt;&gt;"",E66+90,"")</f>
        <v/>
      </c>
    </row>
    <row r="67">
      <c r="C67">
        <f>IFERROR(VLOOKUP(B67,Source_Inventory!$A$5:$P$104,2,FALSE),"[Not Found]")</f>
        <v/>
      </c>
      <c r="E67" s="11" t="n"/>
      <c r="H67" s="14" t="n"/>
      <c r="I67" s="14" t="n"/>
      <c r="L67" s="22">
        <f>IFERROR((J67/I67)*100,"")</f>
        <v/>
      </c>
      <c r="M67" s="14" t="n"/>
      <c r="P67" s="22">
        <f>IFERROR((N67/M67)*100,"")</f>
        <v/>
      </c>
      <c r="S67" s="22">
        <f>IFERROR((Q67/M67)*100,"")</f>
        <v/>
      </c>
      <c r="U67" s="22">
        <f>IFERROR(((J67+N67)/H67)*100,"")</f>
        <v/>
      </c>
      <c r="X67">
        <f>IF(AND(V67&lt;&gt;"",W67&lt;&gt;""),CONCATENATE(V67,W67),"")</f>
        <v/>
      </c>
      <c r="Y67">
        <f>IF(AND(U67&gt;=85,S67&gt;=90),"Pass",IF(AND(U67&gt;=80,S67&gt;=85),"Conditional_Pass","Fail"))</f>
        <v/>
      </c>
      <c r="Z67">
        <f>IF(U67&gt;=85,"Overall ≥85% ✓","Overall &lt;85% ✗") &amp; ", " &amp; IF(S67&gt;=90,"CVSS ≥90% ✓","CVSS &lt;90% ✗")</f>
        <v/>
      </c>
      <c r="AA67">
        <f>IF(Y67="Pass","None",IF(Y67="Conditional_Pass","Review",IF(OR(V67="A",V67="B"),"Improve","Deprecate")))</f>
        <v/>
      </c>
      <c r="AG67" s="11" t="n"/>
      <c r="AH67" s="11">
        <f>IF(E67&lt;&gt;"",E67+90,"")</f>
        <v/>
      </c>
    </row>
    <row r="68">
      <c r="C68">
        <f>IFERROR(VLOOKUP(B68,Source_Inventory!$A$5:$P$104,2,FALSE),"[Not Found]")</f>
        <v/>
      </c>
      <c r="E68" s="11" t="n"/>
      <c r="H68" s="14" t="n"/>
      <c r="I68" s="14" t="n"/>
      <c r="L68" s="22">
        <f>IFERROR((J68/I68)*100,"")</f>
        <v/>
      </c>
      <c r="M68" s="14" t="n"/>
      <c r="P68" s="22">
        <f>IFERROR((N68/M68)*100,"")</f>
        <v/>
      </c>
      <c r="S68" s="22">
        <f>IFERROR((Q68/M68)*100,"")</f>
        <v/>
      </c>
      <c r="U68" s="22">
        <f>IFERROR(((J68+N68)/H68)*100,"")</f>
        <v/>
      </c>
      <c r="X68">
        <f>IF(AND(V68&lt;&gt;"",W68&lt;&gt;""),CONCATENATE(V68,W68),"")</f>
        <v/>
      </c>
      <c r="Y68">
        <f>IF(AND(U68&gt;=85,S68&gt;=90),"Pass",IF(AND(U68&gt;=80,S68&gt;=85),"Conditional_Pass","Fail"))</f>
        <v/>
      </c>
      <c r="Z68">
        <f>IF(U68&gt;=85,"Overall ≥85% ✓","Overall &lt;85% ✗") &amp; ", " &amp; IF(S68&gt;=90,"CVSS ≥90% ✓","CVSS &lt;90% ✗")</f>
        <v/>
      </c>
      <c r="AA68">
        <f>IF(Y68="Pass","None",IF(Y68="Conditional_Pass","Review",IF(OR(V68="A",V68="B"),"Improve","Deprecate")))</f>
        <v/>
      </c>
      <c r="AG68" s="11" t="n"/>
      <c r="AH68" s="11">
        <f>IF(E68&lt;&gt;"",E68+90,"")</f>
        <v/>
      </c>
    </row>
    <row r="69">
      <c r="C69">
        <f>IFERROR(VLOOKUP(B69,Source_Inventory!$A$5:$P$104,2,FALSE),"[Not Found]")</f>
        <v/>
      </c>
      <c r="E69" s="11" t="n"/>
      <c r="H69" s="14" t="n"/>
      <c r="I69" s="14" t="n"/>
      <c r="L69" s="22">
        <f>IFERROR((J69/I69)*100,"")</f>
        <v/>
      </c>
      <c r="M69" s="14" t="n"/>
      <c r="P69" s="22">
        <f>IFERROR((N69/M69)*100,"")</f>
        <v/>
      </c>
      <c r="S69" s="22">
        <f>IFERROR((Q69/M69)*100,"")</f>
        <v/>
      </c>
      <c r="U69" s="22">
        <f>IFERROR(((J69+N69)/H69)*100,"")</f>
        <v/>
      </c>
      <c r="X69">
        <f>IF(AND(V69&lt;&gt;"",W69&lt;&gt;""),CONCATENATE(V69,W69),"")</f>
        <v/>
      </c>
      <c r="Y69">
        <f>IF(AND(U69&gt;=85,S69&gt;=90),"Pass",IF(AND(U69&gt;=80,S69&gt;=85),"Conditional_Pass","Fail"))</f>
        <v/>
      </c>
      <c r="Z69">
        <f>IF(U69&gt;=85,"Overall ≥85% ✓","Overall &lt;85% ✗") &amp; ", " &amp; IF(S69&gt;=90,"CVSS ≥90% ✓","CVSS &lt;90% ✗")</f>
        <v/>
      </c>
      <c r="AA69">
        <f>IF(Y69="Pass","None",IF(Y69="Conditional_Pass","Review",IF(OR(V69="A",V69="B"),"Improve","Deprecate")))</f>
        <v/>
      </c>
      <c r="AG69" s="11" t="n"/>
      <c r="AH69" s="11">
        <f>IF(E69&lt;&gt;"",E69+90,"")</f>
        <v/>
      </c>
    </row>
    <row r="70">
      <c r="C70">
        <f>IFERROR(VLOOKUP(B70,Source_Inventory!$A$5:$P$104,2,FALSE),"[Not Found]")</f>
        <v/>
      </c>
      <c r="E70" s="11" t="n"/>
      <c r="H70" s="14" t="n"/>
      <c r="I70" s="14" t="n"/>
      <c r="L70" s="22">
        <f>IFERROR((J70/I70)*100,"")</f>
        <v/>
      </c>
      <c r="M70" s="14" t="n"/>
      <c r="P70" s="22">
        <f>IFERROR((N70/M70)*100,"")</f>
        <v/>
      </c>
      <c r="S70" s="22">
        <f>IFERROR((Q70/M70)*100,"")</f>
        <v/>
      </c>
      <c r="U70" s="22">
        <f>IFERROR(((J70+N70)/H70)*100,"")</f>
        <v/>
      </c>
      <c r="X70">
        <f>IF(AND(V70&lt;&gt;"",W70&lt;&gt;""),CONCATENATE(V70,W70),"")</f>
        <v/>
      </c>
      <c r="Y70">
        <f>IF(AND(U70&gt;=85,S70&gt;=90),"Pass",IF(AND(U70&gt;=80,S70&gt;=85),"Conditional_Pass","Fail"))</f>
        <v/>
      </c>
      <c r="Z70">
        <f>IF(U70&gt;=85,"Overall ≥85% ✓","Overall &lt;85% ✗") &amp; ", " &amp; IF(S70&gt;=90,"CVSS ≥90% ✓","CVSS &lt;90% ✗")</f>
        <v/>
      </c>
      <c r="AA70">
        <f>IF(Y70="Pass","None",IF(Y70="Conditional_Pass","Review",IF(OR(V70="A",V70="B"),"Improve","Deprecate")))</f>
        <v/>
      </c>
      <c r="AG70" s="11" t="n"/>
      <c r="AH70" s="11">
        <f>IF(E70&lt;&gt;"",E70+90,"")</f>
        <v/>
      </c>
    </row>
    <row r="71">
      <c r="C71">
        <f>IFERROR(VLOOKUP(B71,Source_Inventory!$A$5:$P$104,2,FALSE),"[Not Found]")</f>
        <v/>
      </c>
      <c r="E71" s="11" t="n"/>
      <c r="H71" s="14" t="n"/>
      <c r="I71" s="14" t="n"/>
      <c r="L71" s="22">
        <f>IFERROR((J71/I71)*100,"")</f>
        <v/>
      </c>
      <c r="M71" s="14" t="n"/>
      <c r="P71" s="22">
        <f>IFERROR((N71/M71)*100,"")</f>
        <v/>
      </c>
      <c r="S71" s="22">
        <f>IFERROR((Q71/M71)*100,"")</f>
        <v/>
      </c>
      <c r="U71" s="22">
        <f>IFERROR(((J71+N71)/H71)*100,"")</f>
        <v/>
      </c>
      <c r="X71">
        <f>IF(AND(V71&lt;&gt;"",W71&lt;&gt;""),CONCATENATE(V71,W71),"")</f>
        <v/>
      </c>
      <c r="Y71">
        <f>IF(AND(U71&gt;=85,S71&gt;=90),"Pass",IF(AND(U71&gt;=80,S71&gt;=85),"Conditional_Pass","Fail"))</f>
        <v/>
      </c>
      <c r="Z71">
        <f>IF(U71&gt;=85,"Overall ≥85% ✓","Overall &lt;85% ✗") &amp; ", " &amp; IF(S71&gt;=90,"CVSS ≥90% ✓","CVSS &lt;90% ✗")</f>
        <v/>
      </c>
      <c r="AA71">
        <f>IF(Y71="Pass","None",IF(Y71="Conditional_Pass","Review",IF(OR(V71="A",V71="B"),"Improve","Deprecate")))</f>
        <v/>
      </c>
      <c r="AG71" s="11" t="n"/>
      <c r="AH71" s="11">
        <f>IF(E71&lt;&gt;"",E71+90,"")</f>
        <v/>
      </c>
    </row>
    <row r="72">
      <c r="C72">
        <f>IFERROR(VLOOKUP(B72,Source_Inventory!$A$5:$P$104,2,FALSE),"[Not Found]")</f>
        <v/>
      </c>
      <c r="E72" s="11" t="n"/>
      <c r="H72" s="14" t="n"/>
      <c r="I72" s="14" t="n"/>
      <c r="L72" s="22">
        <f>IFERROR((J72/I72)*100,"")</f>
        <v/>
      </c>
      <c r="M72" s="14" t="n"/>
      <c r="P72" s="22">
        <f>IFERROR((N72/M72)*100,"")</f>
        <v/>
      </c>
      <c r="S72" s="22">
        <f>IFERROR((Q72/M72)*100,"")</f>
        <v/>
      </c>
      <c r="U72" s="22">
        <f>IFERROR(((J72+N72)/H72)*100,"")</f>
        <v/>
      </c>
      <c r="X72">
        <f>IF(AND(V72&lt;&gt;"",W72&lt;&gt;""),CONCATENATE(V72,W72),"")</f>
        <v/>
      </c>
      <c r="Y72">
        <f>IF(AND(U72&gt;=85,S72&gt;=90),"Pass",IF(AND(U72&gt;=80,S72&gt;=85),"Conditional_Pass","Fail"))</f>
        <v/>
      </c>
      <c r="Z72">
        <f>IF(U72&gt;=85,"Overall ≥85% ✓","Overall &lt;85% ✗") &amp; ", " &amp; IF(S72&gt;=90,"CVSS ≥90% ✓","CVSS &lt;90% ✗")</f>
        <v/>
      </c>
      <c r="AA72">
        <f>IF(Y72="Pass","None",IF(Y72="Conditional_Pass","Review",IF(OR(V72="A",V72="B"),"Improve","Deprecate")))</f>
        <v/>
      </c>
      <c r="AG72" s="11" t="n"/>
      <c r="AH72" s="11">
        <f>IF(E72&lt;&gt;"",E72+90,"")</f>
        <v/>
      </c>
    </row>
    <row r="73">
      <c r="C73">
        <f>IFERROR(VLOOKUP(B73,Source_Inventory!$A$5:$P$104,2,FALSE),"[Not Found]")</f>
        <v/>
      </c>
      <c r="E73" s="11" t="n"/>
      <c r="H73" s="14" t="n"/>
      <c r="I73" s="14" t="n"/>
      <c r="L73" s="22">
        <f>IFERROR((J73/I73)*100,"")</f>
        <v/>
      </c>
      <c r="M73" s="14" t="n"/>
      <c r="P73" s="22">
        <f>IFERROR((N73/M73)*100,"")</f>
        <v/>
      </c>
      <c r="S73" s="22">
        <f>IFERROR((Q73/M73)*100,"")</f>
        <v/>
      </c>
      <c r="U73" s="22">
        <f>IFERROR(((J73+N73)/H73)*100,"")</f>
        <v/>
      </c>
      <c r="X73">
        <f>IF(AND(V73&lt;&gt;"",W73&lt;&gt;""),CONCATENATE(V73,W73),"")</f>
        <v/>
      </c>
      <c r="Y73">
        <f>IF(AND(U73&gt;=85,S73&gt;=90),"Pass",IF(AND(U73&gt;=80,S73&gt;=85),"Conditional_Pass","Fail"))</f>
        <v/>
      </c>
      <c r="Z73">
        <f>IF(U73&gt;=85,"Overall ≥85% ✓","Overall &lt;85% ✗") &amp; ", " &amp; IF(S73&gt;=90,"CVSS ≥90% ✓","CVSS &lt;90% ✗")</f>
        <v/>
      </c>
      <c r="AA73">
        <f>IF(Y73="Pass","None",IF(Y73="Conditional_Pass","Review",IF(OR(V73="A",V73="B"),"Improve","Deprecate")))</f>
        <v/>
      </c>
      <c r="AG73" s="11" t="n"/>
      <c r="AH73" s="11">
        <f>IF(E73&lt;&gt;"",E73+90,"")</f>
        <v/>
      </c>
    </row>
    <row r="74">
      <c r="C74">
        <f>IFERROR(VLOOKUP(B74,Source_Inventory!$A$5:$P$104,2,FALSE),"[Not Found]")</f>
        <v/>
      </c>
      <c r="E74" s="11" t="n"/>
      <c r="H74" s="14" t="n"/>
      <c r="I74" s="14" t="n"/>
      <c r="L74" s="22">
        <f>IFERROR((J74/I74)*100,"")</f>
        <v/>
      </c>
      <c r="M74" s="14" t="n"/>
      <c r="P74" s="22">
        <f>IFERROR((N74/M74)*100,"")</f>
        <v/>
      </c>
      <c r="S74" s="22">
        <f>IFERROR((Q74/M74)*100,"")</f>
        <v/>
      </c>
      <c r="U74" s="22">
        <f>IFERROR(((J74+N74)/H74)*100,"")</f>
        <v/>
      </c>
      <c r="X74">
        <f>IF(AND(V74&lt;&gt;"",W74&lt;&gt;""),CONCATENATE(V74,W74),"")</f>
        <v/>
      </c>
      <c r="Y74">
        <f>IF(AND(U74&gt;=85,S74&gt;=90),"Pass",IF(AND(U74&gt;=80,S74&gt;=85),"Conditional_Pass","Fail"))</f>
        <v/>
      </c>
      <c r="Z74">
        <f>IF(U74&gt;=85,"Overall ≥85% ✓","Overall &lt;85% ✗") &amp; ", " &amp; IF(S74&gt;=90,"CVSS ≥90% ✓","CVSS &lt;90% ✗")</f>
        <v/>
      </c>
      <c r="AA74">
        <f>IF(Y74="Pass","None",IF(Y74="Conditional_Pass","Review",IF(OR(V74="A",V74="B"),"Improve","Deprecate")))</f>
        <v/>
      </c>
      <c r="AG74" s="11" t="n"/>
      <c r="AH74" s="11">
        <f>IF(E74&lt;&gt;"",E74+90,"")</f>
        <v/>
      </c>
    </row>
    <row r="75">
      <c r="C75">
        <f>IFERROR(VLOOKUP(B75,Source_Inventory!$A$5:$P$104,2,FALSE),"[Not Found]")</f>
        <v/>
      </c>
      <c r="E75" s="11" t="n"/>
      <c r="H75" s="14" t="n"/>
      <c r="I75" s="14" t="n"/>
      <c r="L75" s="22">
        <f>IFERROR((J75/I75)*100,"")</f>
        <v/>
      </c>
      <c r="M75" s="14" t="n"/>
      <c r="P75" s="22">
        <f>IFERROR((N75/M75)*100,"")</f>
        <v/>
      </c>
      <c r="S75" s="22">
        <f>IFERROR((Q75/M75)*100,"")</f>
        <v/>
      </c>
      <c r="U75" s="22">
        <f>IFERROR(((J75+N75)/H75)*100,"")</f>
        <v/>
      </c>
      <c r="X75">
        <f>IF(AND(V75&lt;&gt;"",W75&lt;&gt;""),CONCATENATE(V75,W75),"")</f>
        <v/>
      </c>
      <c r="Y75">
        <f>IF(AND(U75&gt;=85,S75&gt;=90),"Pass",IF(AND(U75&gt;=80,S75&gt;=85),"Conditional_Pass","Fail"))</f>
        <v/>
      </c>
      <c r="Z75">
        <f>IF(U75&gt;=85,"Overall ≥85% ✓","Overall &lt;85% ✗") &amp; ", " &amp; IF(S75&gt;=90,"CVSS ≥90% ✓","CVSS &lt;90% ✗")</f>
        <v/>
      </c>
      <c r="AA75">
        <f>IF(Y75="Pass","None",IF(Y75="Conditional_Pass","Review",IF(OR(V75="A",V75="B"),"Improve","Deprecate")))</f>
        <v/>
      </c>
      <c r="AG75" s="11" t="n"/>
      <c r="AH75" s="11">
        <f>IF(E75&lt;&gt;"",E75+90,"")</f>
        <v/>
      </c>
    </row>
    <row r="76">
      <c r="C76">
        <f>IFERROR(VLOOKUP(B76,Source_Inventory!$A$5:$P$104,2,FALSE),"[Not Found]")</f>
        <v/>
      </c>
      <c r="E76" s="11" t="n"/>
      <c r="H76" s="14" t="n"/>
      <c r="I76" s="14" t="n"/>
      <c r="L76" s="22">
        <f>IFERROR((J76/I76)*100,"")</f>
        <v/>
      </c>
      <c r="M76" s="14" t="n"/>
      <c r="P76" s="22">
        <f>IFERROR((N76/M76)*100,"")</f>
        <v/>
      </c>
      <c r="S76" s="22">
        <f>IFERROR((Q76/M76)*100,"")</f>
        <v/>
      </c>
      <c r="U76" s="22">
        <f>IFERROR(((J76+N76)/H76)*100,"")</f>
        <v/>
      </c>
      <c r="X76">
        <f>IF(AND(V76&lt;&gt;"",W76&lt;&gt;""),CONCATENATE(V76,W76),"")</f>
        <v/>
      </c>
      <c r="Y76">
        <f>IF(AND(U76&gt;=85,S76&gt;=90),"Pass",IF(AND(U76&gt;=80,S76&gt;=85),"Conditional_Pass","Fail"))</f>
        <v/>
      </c>
      <c r="Z76">
        <f>IF(U76&gt;=85,"Overall ≥85% ✓","Overall &lt;85% ✗") &amp; ", " &amp; IF(S76&gt;=90,"CVSS ≥90% ✓","CVSS &lt;90% ✗")</f>
        <v/>
      </c>
      <c r="AA76">
        <f>IF(Y76="Pass","None",IF(Y76="Conditional_Pass","Review",IF(OR(V76="A",V76="B"),"Improve","Deprecate")))</f>
        <v/>
      </c>
      <c r="AG76" s="11" t="n"/>
      <c r="AH76" s="11">
        <f>IF(E76&lt;&gt;"",E76+90,"")</f>
        <v/>
      </c>
    </row>
    <row r="77">
      <c r="C77">
        <f>IFERROR(VLOOKUP(B77,Source_Inventory!$A$5:$P$104,2,FALSE),"[Not Found]")</f>
        <v/>
      </c>
      <c r="E77" s="11" t="n"/>
      <c r="H77" s="14" t="n"/>
      <c r="I77" s="14" t="n"/>
      <c r="L77" s="22">
        <f>IFERROR((J77/I77)*100,"")</f>
        <v/>
      </c>
      <c r="M77" s="14" t="n"/>
      <c r="P77" s="22">
        <f>IFERROR((N77/M77)*100,"")</f>
        <v/>
      </c>
      <c r="S77" s="22">
        <f>IFERROR((Q77/M77)*100,"")</f>
        <v/>
      </c>
      <c r="U77" s="22">
        <f>IFERROR(((J77+N77)/H77)*100,"")</f>
        <v/>
      </c>
      <c r="X77">
        <f>IF(AND(V77&lt;&gt;"",W77&lt;&gt;""),CONCATENATE(V77,W77),"")</f>
        <v/>
      </c>
      <c r="Y77">
        <f>IF(AND(U77&gt;=85,S77&gt;=90),"Pass",IF(AND(U77&gt;=80,S77&gt;=85),"Conditional_Pass","Fail"))</f>
        <v/>
      </c>
      <c r="Z77">
        <f>IF(U77&gt;=85,"Overall ≥85% ✓","Overall &lt;85% ✗") &amp; ", " &amp; IF(S77&gt;=90,"CVSS ≥90% ✓","CVSS &lt;90% ✗")</f>
        <v/>
      </c>
      <c r="AA77">
        <f>IF(Y77="Pass","None",IF(Y77="Conditional_Pass","Review",IF(OR(V77="A",V77="B"),"Improve","Deprecate")))</f>
        <v/>
      </c>
      <c r="AG77" s="11" t="n"/>
      <c r="AH77" s="11">
        <f>IF(E77&lt;&gt;"",E77+90,"")</f>
        <v/>
      </c>
    </row>
    <row r="78">
      <c r="C78">
        <f>IFERROR(VLOOKUP(B78,Source_Inventory!$A$5:$P$104,2,FALSE),"[Not Found]")</f>
        <v/>
      </c>
      <c r="E78" s="11" t="n"/>
      <c r="H78" s="14" t="n"/>
      <c r="I78" s="14" t="n"/>
      <c r="L78" s="22">
        <f>IFERROR((J78/I78)*100,"")</f>
        <v/>
      </c>
      <c r="M78" s="14" t="n"/>
      <c r="P78" s="22">
        <f>IFERROR((N78/M78)*100,"")</f>
        <v/>
      </c>
      <c r="S78" s="22">
        <f>IFERROR((Q78/M78)*100,"")</f>
        <v/>
      </c>
      <c r="U78" s="22">
        <f>IFERROR(((J78+N78)/H78)*100,"")</f>
        <v/>
      </c>
      <c r="X78">
        <f>IF(AND(V78&lt;&gt;"",W78&lt;&gt;""),CONCATENATE(V78,W78),"")</f>
        <v/>
      </c>
      <c r="Y78">
        <f>IF(AND(U78&gt;=85,S78&gt;=90),"Pass",IF(AND(U78&gt;=80,S78&gt;=85),"Conditional_Pass","Fail"))</f>
        <v/>
      </c>
      <c r="Z78">
        <f>IF(U78&gt;=85,"Overall ≥85% ✓","Overall &lt;85% ✗") &amp; ", " &amp; IF(S78&gt;=90,"CVSS ≥90% ✓","CVSS &lt;90% ✗")</f>
        <v/>
      </c>
      <c r="AA78">
        <f>IF(Y78="Pass","None",IF(Y78="Conditional_Pass","Review",IF(OR(V78="A",V78="B"),"Improve","Deprecate")))</f>
        <v/>
      </c>
      <c r="AG78" s="11" t="n"/>
      <c r="AH78" s="11">
        <f>IF(E78&lt;&gt;"",E78+90,"")</f>
        <v/>
      </c>
    </row>
    <row r="79">
      <c r="C79">
        <f>IFERROR(VLOOKUP(B79,Source_Inventory!$A$5:$P$104,2,FALSE),"[Not Found]")</f>
        <v/>
      </c>
      <c r="E79" s="11" t="n"/>
      <c r="H79" s="14" t="n"/>
      <c r="I79" s="14" t="n"/>
      <c r="L79" s="22">
        <f>IFERROR((J79/I79)*100,"")</f>
        <v/>
      </c>
      <c r="M79" s="14" t="n"/>
      <c r="P79" s="22">
        <f>IFERROR((N79/M79)*100,"")</f>
        <v/>
      </c>
      <c r="S79" s="22">
        <f>IFERROR((Q79/M79)*100,"")</f>
        <v/>
      </c>
      <c r="U79" s="22">
        <f>IFERROR(((J79+N79)/H79)*100,"")</f>
        <v/>
      </c>
      <c r="X79">
        <f>IF(AND(V79&lt;&gt;"",W79&lt;&gt;""),CONCATENATE(V79,W79),"")</f>
        <v/>
      </c>
      <c r="Y79">
        <f>IF(AND(U79&gt;=85,S79&gt;=90),"Pass",IF(AND(U79&gt;=80,S79&gt;=85),"Conditional_Pass","Fail"))</f>
        <v/>
      </c>
      <c r="Z79">
        <f>IF(U79&gt;=85,"Overall ≥85% ✓","Overall &lt;85% ✗") &amp; ", " &amp; IF(S79&gt;=90,"CVSS ≥90% ✓","CVSS &lt;90% ✗")</f>
        <v/>
      </c>
      <c r="AA79">
        <f>IF(Y79="Pass","None",IF(Y79="Conditional_Pass","Review",IF(OR(V79="A",V79="B"),"Improve","Deprecate")))</f>
        <v/>
      </c>
      <c r="AG79" s="11" t="n"/>
      <c r="AH79" s="11">
        <f>IF(E79&lt;&gt;"",E79+90,"")</f>
        <v/>
      </c>
    </row>
    <row r="80">
      <c r="C80">
        <f>IFERROR(VLOOKUP(B80,Source_Inventory!$A$5:$P$104,2,FALSE),"[Not Found]")</f>
        <v/>
      </c>
      <c r="E80" s="11" t="n"/>
      <c r="H80" s="14" t="n"/>
      <c r="I80" s="14" t="n"/>
      <c r="L80" s="22">
        <f>IFERROR((J80/I80)*100,"")</f>
        <v/>
      </c>
      <c r="M80" s="14" t="n"/>
      <c r="P80" s="22">
        <f>IFERROR((N80/M80)*100,"")</f>
        <v/>
      </c>
      <c r="S80" s="22">
        <f>IFERROR((Q80/M80)*100,"")</f>
        <v/>
      </c>
      <c r="U80" s="22">
        <f>IFERROR(((J80+N80)/H80)*100,"")</f>
        <v/>
      </c>
      <c r="X80">
        <f>IF(AND(V80&lt;&gt;"",W80&lt;&gt;""),CONCATENATE(V80,W80),"")</f>
        <v/>
      </c>
      <c r="Y80">
        <f>IF(AND(U80&gt;=85,S80&gt;=90),"Pass",IF(AND(U80&gt;=80,S80&gt;=85),"Conditional_Pass","Fail"))</f>
        <v/>
      </c>
      <c r="Z80">
        <f>IF(U80&gt;=85,"Overall ≥85% ✓","Overall &lt;85% ✗") &amp; ", " &amp; IF(S80&gt;=90,"CVSS ≥90% ✓","CVSS &lt;90% ✗")</f>
        <v/>
      </c>
      <c r="AA80">
        <f>IF(Y80="Pass","None",IF(Y80="Conditional_Pass","Review",IF(OR(V80="A",V80="B"),"Improve","Deprecate")))</f>
        <v/>
      </c>
      <c r="AG80" s="11" t="n"/>
      <c r="AH80" s="11">
        <f>IF(E80&lt;&gt;"",E80+90,"")</f>
        <v/>
      </c>
    </row>
    <row r="81">
      <c r="C81">
        <f>IFERROR(VLOOKUP(B81,Source_Inventory!$A$5:$P$104,2,FALSE),"[Not Found]")</f>
        <v/>
      </c>
      <c r="E81" s="11" t="n"/>
      <c r="H81" s="14" t="n"/>
      <c r="I81" s="14" t="n"/>
      <c r="L81" s="22">
        <f>IFERROR((J81/I81)*100,"")</f>
        <v/>
      </c>
      <c r="M81" s="14" t="n"/>
      <c r="P81" s="22">
        <f>IFERROR((N81/M81)*100,"")</f>
        <v/>
      </c>
      <c r="S81" s="22">
        <f>IFERROR((Q81/M81)*100,"")</f>
        <v/>
      </c>
      <c r="U81" s="22">
        <f>IFERROR(((J81+N81)/H81)*100,"")</f>
        <v/>
      </c>
      <c r="X81">
        <f>IF(AND(V81&lt;&gt;"",W81&lt;&gt;""),CONCATENATE(V81,W81),"")</f>
        <v/>
      </c>
      <c r="Y81">
        <f>IF(AND(U81&gt;=85,S81&gt;=90),"Pass",IF(AND(U81&gt;=80,S81&gt;=85),"Conditional_Pass","Fail"))</f>
        <v/>
      </c>
      <c r="Z81">
        <f>IF(U81&gt;=85,"Overall ≥85% ✓","Overall &lt;85% ✗") &amp; ", " &amp; IF(S81&gt;=90,"CVSS ≥90% ✓","CVSS &lt;90% ✗")</f>
        <v/>
      </c>
      <c r="AA81">
        <f>IF(Y81="Pass","None",IF(Y81="Conditional_Pass","Review",IF(OR(V81="A",V81="B"),"Improve","Deprecate")))</f>
        <v/>
      </c>
      <c r="AG81" s="11" t="n"/>
      <c r="AH81" s="11">
        <f>IF(E81&lt;&gt;"",E81+90,"")</f>
        <v/>
      </c>
    </row>
    <row r="82">
      <c r="C82">
        <f>IFERROR(VLOOKUP(B82,Source_Inventory!$A$5:$P$104,2,FALSE),"[Not Found]")</f>
        <v/>
      </c>
      <c r="E82" s="11" t="n"/>
      <c r="H82" s="14" t="n"/>
      <c r="I82" s="14" t="n"/>
      <c r="L82" s="22">
        <f>IFERROR((J82/I82)*100,"")</f>
        <v/>
      </c>
      <c r="M82" s="14" t="n"/>
      <c r="P82" s="22">
        <f>IFERROR((N82/M82)*100,"")</f>
        <v/>
      </c>
      <c r="S82" s="22">
        <f>IFERROR((Q82/M82)*100,"")</f>
        <v/>
      </c>
      <c r="U82" s="22">
        <f>IFERROR(((J82+N82)/H82)*100,"")</f>
        <v/>
      </c>
      <c r="X82">
        <f>IF(AND(V82&lt;&gt;"",W82&lt;&gt;""),CONCATENATE(V82,W82),"")</f>
        <v/>
      </c>
      <c r="Y82">
        <f>IF(AND(U82&gt;=85,S82&gt;=90),"Pass",IF(AND(U82&gt;=80,S82&gt;=85),"Conditional_Pass","Fail"))</f>
        <v/>
      </c>
      <c r="Z82">
        <f>IF(U82&gt;=85,"Overall ≥85% ✓","Overall &lt;85% ✗") &amp; ", " &amp; IF(S82&gt;=90,"CVSS ≥90% ✓","CVSS &lt;90% ✗")</f>
        <v/>
      </c>
      <c r="AA82">
        <f>IF(Y82="Pass","None",IF(Y82="Conditional_Pass","Review",IF(OR(V82="A",V82="B"),"Improve","Deprecate")))</f>
        <v/>
      </c>
      <c r="AG82" s="11" t="n"/>
      <c r="AH82" s="11">
        <f>IF(E82&lt;&gt;"",E82+90,"")</f>
        <v/>
      </c>
    </row>
    <row r="83">
      <c r="C83">
        <f>IFERROR(VLOOKUP(B83,Source_Inventory!$A$5:$P$104,2,FALSE),"[Not Found]")</f>
        <v/>
      </c>
      <c r="E83" s="11" t="n"/>
      <c r="H83" s="14" t="n"/>
      <c r="I83" s="14" t="n"/>
      <c r="L83" s="22">
        <f>IFERROR((J83/I83)*100,"")</f>
        <v/>
      </c>
      <c r="M83" s="14" t="n"/>
      <c r="P83" s="22">
        <f>IFERROR((N83/M83)*100,"")</f>
        <v/>
      </c>
      <c r="S83" s="22">
        <f>IFERROR((Q83/M83)*100,"")</f>
        <v/>
      </c>
      <c r="U83" s="22">
        <f>IFERROR(((J83+N83)/H83)*100,"")</f>
        <v/>
      </c>
      <c r="X83">
        <f>IF(AND(V83&lt;&gt;"",W83&lt;&gt;""),CONCATENATE(V83,W83),"")</f>
        <v/>
      </c>
      <c r="Y83">
        <f>IF(AND(U83&gt;=85,S83&gt;=90),"Pass",IF(AND(U83&gt;=80,S83&gt;=85),"Conditional_Pass","Fail"))</f>
        <v/>
      </c>
      <c r="Z83">
        <f>IF(U83&gt;=85,"Overall ≥85% ✓","Overall &lt;85% ✗") &amp; ", " &amp; IF(S83&gt;=90,"CVSS ≥90% ✓","CVSS &lt;90% ✗")</f>
        <v/>
      </c>
      <c r="AA83">
        <f>IF(Y83="Pass","None",IF(Y83="Conditional_Pass","Review",IF(OR(V83="A",V83="B"),"Improve","Deprecate")))</f>
        <v/>
      </c>
      <c r="AG83" s="11" t="n"/>
      <c r="AH83" s="11">
        <f>IF(E83&lt;&gt;"",E83+90,"")</f>
        <v/>
      </c>
    </row>
    <row r="84">
      <c r="C84">
        <f>IFERROR(VLOOKUP(B84,Source_Inventory!$A$5:$P$104,2,FALSE),"[Not Found]")</f>
        <v/>
      </c>
      <c r="E84" s="11" t="n"/>
      <c r="H84" s="14" t="n"/>
      <c r="I84" s="14" t="n"/>
      <c r="L84" s="22">
        <f>IFERROR((J84/I84)*100,"")</f>
        <v/>
      </c>
      <c r="M84" s="14" t="n"/>
      <c r="P84" s="22">
        <f>IFERROR((N84/M84)*100,"")</f>
        <v/>
      </c>
      <c r="S84" s="22">
        <f>IFERROR((Q84/M84)*100,"")</f>
        <v/>
      </c>
      <c r="U84" s="22">
        <f>IFERROR(((J84+N84)/H84)*100,"")</f>
        <v/>
      </c>
      <c r="X84">
        <f>IF(AND(V84&lt;&gt;"",W84&lt;&gt;""),CONCATENATE(V84,W84),"")</f>
        <v/>
      </c>
      <c r="Y84">
        <f>IF(AND(U84&gt;=85,S84&gt;=90),"Pass",IF(AND(U84&gt;=80,S84&gt;=85),"Conditional_Pass","Fail"))</f>
        <v/>
      </c>
      <c r="Z84">
        <f>IF(U84&gt;=85,"Overall ≥85% ✓","Overall &lt;85% ✗") &amp; ", " &amp; IF(S84&gt;=90,"CVSS ≥90% ✓","CVSS &lt;90% ✗")</f>
        <v/>
      </c>
      <c r="AA84">
        <f>IF(Y84="Pass","None",IF(Y84="Conditional_Pass","Review",IF(OR(V84="A",V84="B"),"Improve","Deprecate")))</f>
        <v/>
      </c>
      <c r="AG84" s="11" t="n"/>
      <c r="AH84" s="11">
        <f>IF(E84&lt;&gt;"",E84+90,"")</f>
        <v/>
      </c>
    </row>
    <row r="85">
      <c r="C85">
        <f>IFERROR(VLOOKUP(B85,Source_Inventory!$A$5:$P$104,2,FALSE),"[Not Found]")</f>
        <v/>
      </c>
      <c r="E85" s="11" t="n"/>
      <c r="H85" s="14" t="n"/>
      <c r="I85" s="14" t="n"/>
      <c r="L85" s="22">
        <f>IFERROR((J85/I85)*100,"")</f>
        <v/>
      </c>
      <c r="M85" s="14" t="n"/>
      <c r="P85" s="22">
        <f>IFERROR((N85/M85)*100,"")</f>
        <v/>
      </c>
      <c r="S85" s="22">
        <f>IFERROR((Q85/M85)*100,"")</f>
        <v/>
      </c>
      <c r="U85" s="22">
        <f>IFERROR(((J85+N85)/H85)*100,"")</f>
        <v/>
      </c>
      <c r="X85">
        <f>IF(AND(V85&lt;&gt;"",W85&lt;&gt;""),CONCATENATE(V85,W85),"")</f>
        <v/>
      </c>
      <c r="Y85">
        <f>IF(AND(U85&gt;=85,S85&gt;=90),"Pass",IF(AND(U85&gt;=80,S85&gt;=85),"Conditional_Pass","Fail"))</f>
        <v/>
      </c>
      <c r="Z85">
        <f>IF(U85&gt;=85,"Overall ≥85% ✓","Overall &lt;85% ✗") &amp; ", " &amp; IF(S85&gt;=90,"CVSS ≥90% ✓","CVSS &lt;90% ✗")</f>
        <v/>
      </c>
      <c r="AA85">
        <f>IF(Y85="Pass","None",IF(Y85="Conditional_Pass","Review",IF(OR(V85="A",V85="B"),"Improve","Deprecate")))</f>
        <v/>
      </c>
      <c r="AG85" s="11" t="n"/>
      <c r="AH85" s="11">
        <f>IF(E85&lt;&gt;"",E85+90,"")</f>
        <v/>
      </c>
    </row>
    <row r="86">
      <c r="C86">
        <f>IFERROR(VLOOKUP(B86,Source_Inventory!$A$5:$P$104,2,FALSE),"[Not Found]")</f>
        <v/>
      </c>
      <c r="E86" s="11" t="n"/>
      <c r="H86" s="14" t="n"/>
      <c r="I86" s="14" t="n"/>
      <c r="L86" s="22">
        <f>IFERROR((J86/I86)*100,"")</f>
        <v/>
      </c>
      <c r="M86" s="14" t="n"/>
      <c r="P86" s="22">
        <f>IFERROR((N86/M86)*100,"")</f>
        <v/>
      </c>
      <c r="S86" s="22">
        <f>IFERROR((Q86/M86)*100,"")</f>
        <v/>
      </c>
      <c r="U86" s="22">
        <f>IFERROR(((J86+N86)/H86)*100,"")</f>
        <v/>
      </c>
      <c r="X86">
        <f>IF(AND(V86&lt;&gt;"",W86&lt;&gt;""),CONCATENATE(V86,W86),"")</f>
        <v/>
      </c>
      <c r="Y86">
        <f>IF(AND(U86&gt;=85,S86&gt;=90),"Pass",IF(AND(U86&gt;=80,S86&gt;=85),"Conditional_Pass","Fail"))</f>
        <v/>
      </c>
      <c r="Z86">
        <f>IF(U86&gt;=85,"Overall ≥85% ✓","Overall &lt;85% ✗") &amp; ", " &amp; IF(S86&gt;=90,"CVSS ≥90% ✓","CVSS &lt;90% ✗")</f>
        <v/>
      </c>
      <c r="AA86">
        <f>IF(Y86="Pass","None",IF(Y86="Conditional_Pass","Review",IF(OR(V86="A",V86="B"),"Improve","Deprecate")))</f>
        <v/>
      </c>
      <c r="AG86" s="11" t="n"/>
      <c r="AH86" s="11">
        <f>IF(E86&lt;&gt;"",E86+90,"")</f>
        <v/>
      </c>
    </row>
    <row r="87">
      <c r="C87">
        <f>IFERROR(VLOOKUP(B87,Source_Inventory!$A$5:$P$104,2,FALSE),"[Not Found]")</f>
        <v/>
      </c>
      <c r="E87" s="11" t="n"/>
      <c r="H87" s="14" t="n"/>
      <c r="I87" s="14" t="n"/>
      <c r="L87" s="22">
        <f>IFERROR((J87/I87)*100,"")</f>
        <v/>
      </c>
      <c r="M87" s="14" t="n"/>
      <c r="P87" s="22">
        <f>IFERROR((N87/M87)*100,"")</f>
        <v/>
      </c>
      <c r="S87" s="22">
        <f>IFERROR((Q87/M87)*100,"")</f>
        <v/>
      </c>
      <c r="U87" s="22">
        <f>IFERROR(((J87+N87)/H87)*100,"")</f>
        <v/>
      </c>
      <c r="X87">
        <f>IF(AND(V87&lt;&gt;"",W87&lt;&gt;""),CONCATENATE(V87,W87),"")</f>
        <v/>
      </c>
      <c r="Y87">
        <f>IF(AND(U87&gt;=85,S87&gt;=90),"Pass",IF(AND(U87&gt;=80,S87&gt;=85),"Conditional_Pass","Fail"))</f>
        <v/>
      </c>
      <c r="Z87">
        <f>IF(U87&gt;=85,"Overall ≥85% ✓","Overall &lt;85% ✗") &amp; ", " &amp; IF(S87&gt;=90,"CVSS ≥90% ✓","CVSS &lt;90% ✗")</f>
        <v/>
      </c>
      <c r="AA87">
        <f>IF(Y87="Pass","None",IF(Y87="Conditional_Pass","Review",IF(OR(V87="A",V87="B"),"Improve","Deprecate")))</f>
        <v/>
      </c>
      <c r="AG87" s="11" t="n"/>
      <c r="AH87" s="11">
        <f>IF(E87&lt;&gt;"",E87+90,"")</f>
        <v/>
      </c>
    </row>
    <row r="88">
      <c r="C88">
        <f>IFERROR(VLOOKUP(B88,Source_Inventory!$A$5:$P$104,2,FALSE),"[Not Found]")</f>
        <v/>
      </c>
      <c r="E88" s="11" t="n"/>
      <c r="H88" s="14" t="n"/>
      <c r="I88" s="14" t="n"/>
      <c r="L88" s="22">
        <f>IFERROR((J88/I88)*100,"")</f>
        <v/>
      </c>
      <c r="M88" s="14" t="n"/>
      <c r="P88" s="22">
        <f>IFERROR((N88/M88)*100,"")</f>
        <v/>
      </c>
      <c r="S88" s="22">
        <f>IFERROR((Q88/M88)*100,"")</f>
        <v/>
      </c>
      <c r="U88" s="22">
        <f>IFERROR(((J88+N88)/H88)*100,"")</f>
        <v/>
      </c>
      <c r="X88">
        <f>IF(AND(V88&lt;&gt;"",W88&lt;&gt;""),CONCATENATE(V88,W88),"")</f>
        <v/>
      </c>
      <c r="Y88">
        <f>IF(AND(U88&gt;=85,S88&gt;=90),"Pass",IF(AND(U88&gt;=80,S88&gt;=85),"Conditional_Pass","Fail"))</f>
        <v/>
      </c>
      <c r="Z88">
        <f>IF(U88&gt;=85,"Overall ≥85% ✓","Overall &lt;85% ✗") &amp; ", " &amp; IF(S88&gt;=90,"CVSS ≥90% ✓","CVSS &lt;90% ✗")</f>
        <v/>
      </c>
      <c r="AA88">
        <f>IF(Y88="Pass","None",IF(Y88="Conditional_Pass","Review",IF(OR(V88="A",V88="B"),"Improve","Deprecate")))</f>
        <v/>
      </c>
      <c r="AG88" s="11" t="n"/>
      <c r="AH88" s="11">
        <f>IF(E88&lt;&gt;"",E88+90,"")</f>
        <v/>
      </c>
    </row>
    <row r="89">
      <c r="C89">
        <f>IFERROR(VLOOKUP(B89,Source_Inventory!$A$5:$P$104,2,FALSE),"[Not Found]")</f>
        <v/>
      </c>
      <c r="E89" s="11" t="n"/>
      <c r="H89" s="14" t="n"/>
      <c r="I89" s="14" t="n"/>
      <c r="L89" s="22">
        <f>IFERROR((J89/I89)*100,"")</f>
        <v/>
      </c>
      <c r="M89" s="14" t="n"/>
      <c r="P89" s="22">
        <f>IFERROR((N89/M89)*100,"")</f>
        <v/>
      </c>
      <c r="S89" s="22">
        <f>IFERROR((Q89/M89)*100,"")</f>
        <v/>
      </c>
      <c r="U89" s="22">
        <f>IFERROR(((J89+N89)/H89)*100,"")</f>
        <v/>
      </c>
      <c r="X89">
        <f>IF(AND(V89&lt;&gt;"",W89&lt;&gt;""),CONCATENATE(V89,W89),"")</f>
        <v/>
      </c>
      <c r="Y89">
        <f>IF(AND(U89&gt;=85,S89&gt;=90),"Pass",IF(AND(U89&gt;=80,S89&gt;=85),"Conditional_Pass","Fail"))</f>
        <v/>
      </c>
      <c r="Z89">
        <f>IF(U89&gt;=85,"Overall ≥85% ✓","Overall &lt;85% ✗") &amp; ", " &amp; IF(S89&gt;=90,"CVSS ≥90% ✓","CVSS &lt;90% ✗")</f>
        <v/>
      </c>
      <c r="AA89">
        <f>IF(Y89="Pass","None",IF(Y89="Conditional_Pass","Review",IF(OR(V89="A",V89="B"),"Improve","Deprecate")))</f>
        <v/>
      </c>
      <c r="AG89" s="11" t="n"/>
      <c r="AH89" s="11">
        <f>IF(E89&lt;&gt;"",E89+90,"")</f>
        <v/>
      </c>
    </row>
    <row r="90">
      <c r="C90">
        <f>IFERROR(VLOOKUP(B90,Source_Inventory!$A$5:$P$104,2,FALSE),"[Not Found]")</f>
        <v/>
      </c>
      <c r="E90" s="11" t="n"/>
      <c r="H90" s="14" t="n"/>
      <c r="I90" s="14" t="n"/>
      <c r="L90" s="22">
        <f>IFERROR((J90/I90)*100,"")</f>
        <v/>
      </c>
      <c r="M90" s="14" t="n"/>
      <c r="P90" s="22">
        <f>IFERROR((N90/M90)*100,"")</f>
        <v/>
      </c>
      <c r="S90" s="22">
        <f>IFERROR((Q90/M90)*100,"")</f>
        <v/>
      </c>
      <c r="U90" s="22">
        <f>IFERROR(((J90+N90)/H90)*100,"")</f>
        <v/>
      </c>
      <c r="X90">
        <f>IF(AND(V90&lt;&gt;"",W90&lt;&gt;""),CONCATENATE(V90,W90),"")</f>
        <v/>
      </c>
      <c r="Y90">
        <f>IF(AND(U90&gt;=85,S90&gt;=90),"Pass",IF(AND(U90&gt;=80,S90&gt;=85),"Conditional_Pass","Fail"))</f>
        <v/>
      </c>
      <c r="Z90">
        <f>IF(U90&gt;=85,"Overall ≥85% ✓","Overall &lt;85% ✗") &amp; ", " &amp; IF(S90&gt;=90,"CVSS ≥90% ✓","CVSS &lt;90% ✗")</f>
        <v/>
      </c>
      <c r="AA90">
        <f>IF(Y90="Pass","None",IF(Y90="Conditional_Pass","Review",IF(OR(V90="A",V90="B"),"Improve","Deprecate")))</f>
        <v/>
      </c>
      <c r="AG90" s="11" t="n"/>
      <c r="AH90" s="11">
        <f>IF(E90&lt;&gt;"",E90+90,"")</f>
        <v/>
      </c>
    </row>
    <row r="91">
      <c r="C91">
        <f>IFERROR(VLOOKUP(B91,Source_Inventory!$A$5:$P$104,2,FALSE),"[Not Found]")</f>
        <v/>
      </c>
      <c r="E91" s="11" t="n"/>
      <c r="H91" s="14" t="n"/>
      <c r="I91" s="14" t="n"/>
      <c r="L91" s="22">
        <f>IFERROR((J91/I91)*100,"")</f>
        <v/>
      </c>
      <c r="M91" s="14" t="n"/>
      <c r="P91" s="22">
        <f>IFERROR((N91/M91)*100,"")</f>
        <v/>
      </c>
      <c r="S91" s="22">
        <f>IFERROR((Q91/M91)*100,"")</f>
        <v/>
      </c>
      <c r="U91" s="22">
        <f>IFERROR(((J91+N91)/H91)*100,"")</f>
        <v/>
      </c>
      <c r="X91">
        <f>IF(AND(V91&lt;&gt;"",W91&lt;&gt;""),CONCATENATE(V91,W91),"")</f>
        <v/>
      </c>
      <c r="Y91">
        <f>IF(AND(U91&gt;=85,S91&gt;=90),"Pass",IF(AND(U91&gt;=80,S91&gt;=85),"Conditional_Pass","Fail"))</f>
        <v/>
      </c>
      <c r="Z91">
        <f>IF(U91&gt;=85,"Overall ≥85% ✓","Overall &lt;85% ✗") &amp; ", " &amp; IF(S91&gt;=90,"CVSS ≥90% ✓","CVSS &lt;90% ✗")</f>
        <v/>
      </c>
      <c r="AA91">
        <f>IF(Y91="Pass","None",IF(Y91="Conditional_Pass","Review",IF(OR(V91="A",V91="B"),"Improve","Deprecate")))</f>
        <v/>
      </c>
      <c r="AG91" s="11" t="n"/>
      <c r="AH91" s="11">
        <f>IF(E91&lt;&gt;"",E91+90,"")</f>
        <v/>
      </c>
    </row>
    <row r="92">
      <c r="C92">
        <f>IFERROR(VLOOKUP(B92,Source_Inventory!$A$5:$P$104,2,FALSE),"[Not Found]")</f>
        <v/>
      </c>
      <c r="E92" s="11" t="n"/>
      <c r="H92" s="14" t="n"/>
      <c r="I92" s="14" t="n"/>
      <c r="L92" s="22">
        <f>IFERROR((J92/I92)*100,"")</f>
        <v/>
      </c>
      <c r="M92" s="14" t="n"/>
      <c r="P92" s="22">
        <f>IFERROR((N92/M92)*100,"")</f>
        <v/>
      </c>
      <c r="S92" s="22">
        <f>IFERROR((Q92/M92)*100,"")</f>
        <v/>
      </c>
      <c r="U92" s="22">
        <f>IFERROR(((J92+N92)/H92)*100,"")</f>
        <v/>
      </c>
      <c r="X92">
        <f>IF(AND(V92&lt;&gt;"",W92&lt;&gt;""),CONCATENATE(V92,W92),"")</f>
        <v/>
      </c>
      <c r="Y92">
        <f>IF(AND(U92&gt;=85,S92&gt;=90),"Pass",IF(AND(U92&gt;=80,S92&gt;=85),"Conditional_Pass","Fail"))</f>
        <v/>
      </c>
      <c r="Z92">
        <f>IF(U92&gt;=85,"Overall ≥85% ✓","Overall &lt;85% ✗") &amp; ", " &amp; IF(S92&gt;=90,"CVSS ≥90% ✓","CVSS &lt;90% ✗")</f>
        <v/>
      </c>
      <c r="AA92">
        <f>IF(Y92="Pass","None",IF(Y92="Conditional_Pass","Review",IF(OR(V92="A",V92="B"),"Improve","Deprecate")))</f>
        <v/>
      </c>
      <c r="AG92" s="11" t="n"/>
      <c r="AH92" s="11">
        <f>IF(E92&lt;&gt;"",E92+90,"")</f>
        <v/>
      </c>
    </row>
    <row r="93">
      <c r="C93">
        <f>IFERROR(VLOOKUP(B93,Source_Inventory!$A$5:$P$104,2,FALSE),"[Not Found]")</f>
        <v/>
      </c>
      <c r="E93" s="11" t="n"/>
      <c r="H93" s="14" t="n"/>
      <c r="I93" s="14" t="n"/>
      <c r="L93" s="22">
        <f>IFERROR((J93/I93)*100,"")</f>
        <v/>
      </c>
      <c r="M93" s="14" t="n"/>
      <c r="P93" s="22">
        <f>IFERROR((N93/M93)*100,"")</f>
        <v/>
      </c>
      <c r="S93" s="22">
        <f>IFERROR((Q93/M93)*100,"")</f>
        <v/>
      </c>
      <c r="U93" s="22">
        <f>IFERROR(((J93+N93)/H93)*100,"")</f>
        <v/>
      </c>
      <c r="X93">
        <f>IF(AND(V93&lt;&gt;"",W93&lt;&gt;""),CONCATENATE(V93,W93),"")</f>
        <v/>
      </c>
      <c r="Y93">
        <f>IF(AND(U93&gt;=85,S93&gt;=90),"Pass",IF(AND(U93&gt;=80,S93&gt;=85),"Conditional_Pass","Fail"))</f>
        <v/>
      </c>
      <c r="Z93">
        <f>IF(U93&gt;=85,"Overall ≥85% ✓","Overall &lt;85% ✗") &amp; ", " &amp; IF(S93&gt;=90,"CVSS ≥90% ✓","CVSS &lt;90% ✗")</f>
        <v/>
      </c>
      <c r="AA93">
        <f>IF(Y93="Pass","None",IF(Y93="Conditional_Pass","Review",IF(OR(V93="A",V93="B"),"Improve","Deprecate")))</f>
        <v/>
      </c>
      <c r="AG93" s="11" t="n"/>
      <c r="AH93" s="11">
        <f>IF(E93&lt;&gt;"",E93+90,"")</f>
        <v/>
      </c>
    </row>
    <row r="94">
      <c r="C94">
        <f>IFERROR(VLOOKUP(B94,Source_Inventory!$A$5:$P$104,2,FALSE),"[Not Found]")</f>
        <v/>
      </c>
      <c r="E94" s="11" t="n"/>
      <c r="H94" s="14" t="n"/>
      <c r="I94" s="14" t="n"/>
      <c r="L94" s="22">
        <f>IFERROR((J94/I94)*100,"")</f>
        <v/>
      </c>
      <c r="M94" s="14" t="n"/>
      <c r="P94" s="22">
        <f>IFERROR((N94/M94)*100,"")</f>
        <v/>
      </c>
      <c r="S94" s="22">
        <f>IFERROR((Q94/M94)*100,"")</f>
        <v/>
      </c>
      <c r="U94" s="22">
        <f>IFERROR(((J94+N94)/H94)*100,"")</f>
        <v/>
      </c>
      <c r="X94">
        <f>IF(AND(V94&lt;&gt;"",W94&lt;&gt;""),CONCATENATE(V94,W94),"")</f>
        <v/>
      </c>
      <c r="Y94">
        <f>IF(AND(U94&gt;=85,S94&gt;=90),"Pass",IF(AND(U94&gt;=80,S94&gt;=85),"Conditional_Pass","Fail"))</f>
        <v/>
      </c>
      <c r="Z94">
        <f>IF(U94&gt;=85,"Overall ≥85% ✓","Overall &lt;85% ✗") &amp; ", " &amp; IF(S94&gt;=90,"CVSS ≥90% ✓","CVSS &lt;90% ✗")</f>
        <v/>
      </c>
      <c r="AA94">
        <f>IF(Y94="Pass","None",IF(Y94="Conditional_Pass","Review",IF(OR(V94="A",V94="B"),"Improve","Deprecate")))</f>
        <v/>
      </c>
      <c r="AG94" s="11" t="n"/>
      <c r="AH94" s="11">
        <f>IF(E94&lt;&gt;"",E94+90,"")</f>
        <v/>
      </c>
    </row>
    <row r="95">
      <c r="C95">
        <f>IFERROR(VLOOKUP(B95,Source_Inventory!$A$5:$P$104,2,FALSE),"[Not Found]")</f>
        <v/>
      </c>
      <c r="E95" s="11" t="n"/>
      <c r="H95" s="14" t="n"/>
      <c r="I95" s="14" t="n"/>
      <c r="L95" s="22">
        <f>IFERROR((J95/I95)*100,"")</f>
        <v/>
      </c>
      <c r="M95" s="14" t="n"/>
      <c r="P95" s="22">
        <f>IFERROR((N95/M95)*100,"")</f>
        <v/>
      </c>
      <c r="S95" s="22">
        <f>IFERROR((Q95/M95)*100,"")</f>
        <v/>
      </c>
      <c r="U95" s="22">
        <f>IFERROR(((J95+N95)/H95)*100,"")</f>
        <v/>
      </c>
      <c r="X95">
        <f>IF(AND(V95&lt;&gt;"",W95&lt;&gt;""),CONCATENATE(V95,W95),"")</f>
        <v/>
      </c>
      <c r="Y95">
        <f>IF(AND(U95&gt;=85,S95&gt;=90),"Pass",IF(AND(U95&gt;=80,S95&gt;=85),"Conditional_Pass","Fail"))</f>
        <v/>
      </c>
      <c r="Z95">
        <f>IF(U95&gt;=85,"Overall ≥85% ✓","Overall &lt;85% ✗") &amp; ", " &amp; IF(S95&gt;=90,"CVSS ≥90% ✓","CVSS &lt;90% ✗")</f>
        <v/>
      </c>
      <c r="AA95">
        <f>IF(Y95="Pass","None",IF(Y95="Conditional_Pass","Review",IF(OR(V95="A",V95="B"),"Improve","Deprecate")))</f>
        <v/>
      </c>
      <c r="AG95" s="11" t="n"/>
      <c r="AH95" s="11">
        <f>IF(E95&lt;&gt;"",E95+90,"")</f>
        <v/>
      </c>
    </row>
    <row r="96">
      <c r="C96">
        <f>IFERROR(VLOOKUP(B96,Source_Inventory!$A$5:$P$104,2,FALSE),"[Not Found]")</f>
        <v/>
      </c>
      <c r="E96" s="11" t="n"/>
      <c r="H96" s="14" t="n"/>
      <c r="I96" s="14" t="n"/>
      <c r="L96" s="22">
        <f>IFERROR((J96/I96)*100,"")</f>
        <v/>
      </c>
      <c r="M96" s="14" t="n"/>
      <c r="P96" s="22">
        <f>IFERROR((N96/M96)*100,"")</f>
        <v/>
      </c>
      <c r="S96" s="22">
        <f>IFERROR((Q96/M96)*100,"")</f>
        <v/>
      </c>
      <c r="U96" s="22">
        <f>IFERROR(((J96+N96)/H96)*100,"")</f>
        <v/>
      </c>
      <c r="X96">
        <f>IF(AND(V96&lt;&gt;"",W96&lt;&gt;""),CONCATENATE(V96,W96),"")</f>
        <v/>
      </c>
      <c r="Y96">
        <f>IF(AND(U96&gt;=85,S96&gt;=90),"Pass",IF(AND(U96&gt;=80,S96&gt;=85),"Conditional_Pass","Fail"))</f>
        <v/>
      </c>
      <c r="Z96">
        <f>IF(U96&gt;=85,"Overall ≥85% ✓","Overall &lt;85% ✗") &amp; ", " &amp; IF(S96&gt;=90,"CVSS ≥90% ✓","CVSS &lt;90% ✗")</f>
        <v/>
      </c>
      <c r="AA96">
        <f>IF(Y96="Pass","None",IF(Y96="Conditional_Pass","Review",IF(OR(V96="A",V96="B"),"Improve","Deprecate")))</f>
        <v/>
      </c>
      <c r="AG96" s="11" t="n"/>
      <c r="AH96" s="11">
        <f>IF(E96&lt;&gt;"",E96+90,"")</f>
        <v/>
      </c>
    </row>
    <row r="97">
      <c r="C97">
        <f>IFERROR(VLOOKUP(B97,Source_Inventory!$A$5:$P$104,2,FALSE),"[Not Found]")</f>
        <v/>
      </c>
      <c r="E97" s="11" t="n"/>
      <c r="H97" s="14" t="n"/>
      <c r="I97" s="14" t="n"/>
      <c r="L97" s="22">
        <f>IFERROR((J97/I97)*100,"")</f>
        <v/>
      </c>
      <c r="M97" s="14" t="n"/>
      <c r="P97" s="22">
        <f>IFERROR((N97/M97)*100,"")</f>
        <v/>
      </c>
      <c r="S97" s="22">
        <f>IFERROR((Q97/M97)*100,"")</f>
        <v/>
      </c>
      <c r="U97" s="22">
        <f>IFERROR(((J97+N97)/H97)*100,"")</f>
        <v/>
      </c>
      <c r="X97">
        <f>IF(AND(V97&lt;&gt;"",W97&lt;&gt;""),CONCATENATE(V97,W97),"")</f>
        <v/>
      </c>
      <c r="Y97">
        <f>IF(AND(U97&gt;=85,S97&gt;=90),"Pass",IF(AND(U97&gt;=80,S97&gt;=85),"Conditional_Pass","Fail"))</f>
        <v/>
      </c>
      <c r="Z97">
        <f>IF(U97&gt;=85,"Overall ≥85% ✓","Overall &lt;85% ✗") &amp; ", " &amp; IF(S97&gt;=90,"CVSS ≥90% ✓","CVSS &lt;90% ✗")</f>
        <v/>
      </c>
      <c r="AA97">
        <f>IF(Y97="Pass","None",IF(Y97="Conditional_Pass","Review",IF(OR(V97="A",V97="B"),"Improve","Deprecate")))</f>
        <v/>
      </c>
      <c r="AG97" s="11" t="n"/>
      <c r="AH97" s="11">
        <f>IF(E97&lt;&gt;"",E97+90,"")</f>
        <v/>
      </c>
    </row>
    <row r="98">
      <c r="C98">
        <f>IFERROR(VLOOKUP(B98,Source_Inventory!$A$5:$P$104,2,FALSE),"[Not Found]")</f>
        <v/>
      </c>
      <c r="E98" s="11" t="n"/>
      <c r="H98" s="14" t="n"/>
      <c r="I98" s="14" t="n"/>
      <c r="L98" s="22">
        <f>IFERROR((J98/I98)*100,"")</f>
        <v/>
      </c>
      <c r="M98" s="14" t="n"/>
      <c r="P98" s="22">
        <f>IFERROR((N98/M98)*100,"")</f>
        <v/>
      </c>
      <c r="S98" s="22">
        <f>IFERROR((Q98/M98)*100,"")</f>
        <v/>
      </c>
      <c r="U98" s="22">
        <f>IFERROR(((J98+N98)/H98)*100,"")</f>
        <v/>
      </c>
      <c r="X98">
        <f>IF(AND(V98&lt;&gt;"",W98&lt;&gt;""),CONCATENATE(V98,W98),"")</f>
        <v/>
      </c>
      <c r="Y98">
        <f>IF(AND(U98&gt;=85,S98&gt;=90),"Pass",IF(AND(U98&gt;=80,S98&gt;=85),"Conditional_Pass","Fail"))</f>
        <v/>
      </c>
      <c r="Z98">
        <f>IF(U98&gt;=85,"Overall ≥85% ✓","Overall &lt;85% ✗") &amp; ", " &amp; IF(S98&gt;=90,"CVSS ≥90% ✓","CVSS &lt;90% ✗")</f>
        <v/>
      </c>
      <c r="AA98">
        <f>IF(Y98="Pass","None",IF(Y98="Conditional_Pass","Review",IF(OR(V98="A",V98="B"),"Improve","Deprecate")))</f>
        <v/>
      </c>
      <c r="AG98" s="11" t="n"/>
      <c r="AH98" s="11">
        <f>IF(E98&lt;&gt;"",E98+90,"")</f>
        <v/>
      </c>
    </row>
    <row r="99">
      <c r="C99">
        <f>IFERROR(VLOOKUP(B99,Source_Inventory!$A$5:$P$104,2,FALSE),"[Not Found]")</f>
        <v/>
      </c>
      <c r="E99" s="11" t="n"/>
      <c r="H99" s="14" t="n"/>
      <c r="I99" s="14" t="n"/>
      <c r="L99" s="22">
        <f>IFERROR((J99/I99)*100,"")</f>
        <v/>
      </c>
      <c r="M99" s="14" t="n"/>
      <c r="P99" s="22">
        <f>IFERROR((N99/M99)*100,"")</f>
        <v/>
      </c>
      <c r="S99" s="22">
        <f>IFERROR((Q99/M99)*100,"")</f>
        <v/>
      </c>
      <c r="U99" s="22">
        <f>IFERROR(((J99+N99)/H99)*100,"")</f>
        <v/>
      </c>
      <c r="X99">
        <f>IF(AND(V99&lt;&gt;"",W99&lt;&gt;""),CONCATENATE(V99,W99),"")</f>
        <v/>
      </c>
      <c r="Y99">
        <f>IF(AND(U99&gt;=85,S99&gt;=90),"Pass",IF(AND(U99&gt;=80,S99&gt;=85),"Conditional_Pass","Fail"))</f>
        <v/>
      </c>
      <c r="Z99">
        <f>IF(U99&gt;=85,"Overall ≥85% ✓","Overall &lt;85% ✗") &amp; ", " &amp; IF(S99&gt;=90,"CVSS ≥90% ✓","CVSS &lt;90% ✗")</f>
        <v/>
      </c>
      <c r="AA99">
        <f>IF(Y99="Pass","None",IF(Y99="Conditional_Pass","Review",IF(OR(V99="A",V99="B"),"Improve","Deprecate")))</f>
        <v/>
      </c>
      <c r="AG99" s="11" t="n"/>
      <c r="AH99" s="11">
        <f>IF(E99&lt;&gt;"",E99+90,"")</f>
        <v/>
      </c>
    </row>
    <row r="100">
      <c r="C100">
        <f>IFERROR(VLOOKUP(B100,Source_Inventory!$A$5:$P$104,2,FALSE),"[Not Found]")</f>
        <v/>
      </c>
      <c r="E100" s="11" t="n"/>
      <c r="H100" s="14" t="n"/>
      <c r="I100" s="14" t="n"/>
      <c r="L100" s="22">
        <f>IFERROR((J100/I100)*100,"")</f>
        <v/>
      </c>
      <c r="M100" s="14" t="n"/>
      <c r="P100" s="22">
        <f>IFERROR((N100/M100)*100,"")</f>
        <v/>
      </c>
      <c r="S100" s="22">
        <f>IFERROR((Q100/M100)*100,"")</f>
        <v/>
      </c>
      <c r="U100" s="22">
        <f>IFERROR(((J100+N100)/H100)*100,"")</f>
        <v/>
      </c>
      <c r="X100">
        <f>IF(AND(V100&lt;&gt;"",W100&lt;&gt;""),CONCATENATE(V100,W100),"")</f>
        <v/>
      </c>
      <c r="Y100">
        <f>IF(AND(U100&gt;=85,S100&gt;=90),"Pass",IF(AND(U100&gt;=80,S100&gt;=85),"Conditional_Pass","Fail"))</f>
        <v/>
      </c>
      <c r="Z100">
        <f>IF(U100&gt;=85,"Overall ≥85% ✓","Overall &lt;85% ✗") &amp; ", " &amp; IF(S100&gt;=90,"CVSS ≥90% ✓","CVSS &lt;90% ✗")</f>
        <v/>
      </c>
      <c r="AA100">
        <f>IF(Y100="Pass","None",IF(Y100="Conditional_Pass","Review",IF(OR(V100="A",V100="B"),"Improve","Deprecate")))</f>
        <v/>
      </c>
      <c r="AG100" s="11" t="n"/>
      <c r="AH100" s="11">
        <f>IF(E100&lt;&gt;"",E100+90,"")</f>
        <v/>
      </c>
    </row>
    <row r="101">
      <c r="C101">
        <f>IFERROR(VLOOKUP(B101,Source_Inventory!$A$5:$P$104,2,FALSE),"[Not Found]")</f>
        <v/>
      </c>
      <c r="E101" s="11" t="n"/>
      <c r="H101" s="14" t="n"/>
      <c r="I101" s="14" t="n"/>
      <c r="L101" s="22">
        <f>IFERROR((J101/I101)*100,"")</f>
        <v/>
      </c>
      <c r="M101" s="14" t="n"/>
      <c r="P101" s="22">
        <f>IFERROR((N101/M101)*100,"")</f>
        <v/>
      </c>
      <c r="S101" s="22">
        <f>IFERROR((Q101/M101)*100,"")</f>
        <v/>
      </c>
      <c r="U101" s="22">
        <f>IFERROR(((J101+N101)/H101)*100,"")</f>
        <v/>
      </c>
      <c r="X101">
        <f>IF(AND(V101&lt;&gt;"",W101&lt;&gt;""),CONCATENATE(V101,W101),"")</f>
        <v/>
      </c>
      <c r="Y101">
        <f>IF(AND(U101&gt;=85,S101&gt;=90),"Pass",IF(AND(U101&gt;=80,S101&gt;=85),"Conditional_Pass","Fail"))</f>
        <v/>
      </c>
      <c r="Z101">
        <f>IF(U101&gt;=85,"Overall ≥85% ✓","Overall &lt;85% ✗") &amp; ", " &amp; IF(S101&gt;=90,"CVSS ≥90% ✓","CVSS &lt;90% ✗")</f>
        <v/>
      </c>
      <c r="AA101">
        <f>IF(Y101="Pass","None",IF(Y101="Conditional_Pass","Review",IF(OR(V101="A",V101="B"),"Improve","Deprecate")))</f>
        <v/>
      </c>
      <c r="AG101" s="11" t="n"/>
      <c r="AH101" s="11">
        <f>IF(E101&lt;&gt;"",E101+90,"")</f>
        <v/>
      </c>
    </row>
    <row r="102">
      <c r="C102">
        <f>IFERROR(VLOOKUP(B102,Source_Inventory!$A$5:$P$104,2,FALSE),"[Not Found]")</f>
        <v/>
      </c>
      <c r="E102" s="11" t="n"/>
      <c r="H102" s="14" t="n"/>
      <c r="I102" s="14" t="n"/>
      <c r="L102" s="22">
        <f>IFERROR((J102/I102)*100,"")</f>
        <v/>
      </c>
      <c r="M102" s="14" t="n"/>
      <c r="P102" s="22">
        <f>IFERROR((N102/M102)*100,"")</f>
        <v/>
      </c>
      <c r="S102" s="22">
        <f>IFERROR((Q102/M102)*100,"")</f>
        <v/>
      </c>
      <c r="U102" s="22">
        <f>IFERROR(((J102+N102)/H102)*100,"")</f>
        <v/>
      </c>
      <c r="X102">
        <f>IF(AND(V102&lt;&gt;"",W102&lt;&gt;""),CONCATENATE(V102,W102),"")</f>
        <v/>
      </c>
      <c r="Y102">
        <f>IF(AND(U102&gt;=85,S102&gt;=90),"Pass",IF(AND(U102&gt;=80,S102&gt;=85),"Conditional_Pass","Fail"))</f>
        <v/>
      </c>
      <c r="Z102">
        <f>IF(U102&gt;=85,"Overall ≥85% ✓","Overall &lt;85% ✗") &amp; ", " &amp; IF(S102&gt;=90,"CVSS ≥90% ✓","CVSS &lt;90% ✗")</f>
        <v/>
      </c>
      <c r="AA102">
        <f>IF(Y102="Pass","None",IF(Y102="Conditional_Pass","Review",IF(OR(V102="A",V102="B"),"Improve","Deprecate")))</f>
        <v/>
      </c>
      <c r="AG102" s="11" t="n"/>
      <c r="AH102" s="11">
        <f>IF(E102&lt;&gt;"",E102+90,"")</f>
        <v/>
      </c>
    </row>
    <row r="103">
      <c r="C103">
        <f>IFERROR(VLOOKUP(B103,Source_Inventory!$A$5:$P$104,2,FALSE),"[Not Found]")</f>
        <v/>
      </c>
      <c r="E103" s="11" t="n"/>
      <c r="H103" s="14" t="n"/>
      <c r="I103" s="14" t="n"/>
      <c r="L103" s="22">
        <f>IFERROR((J103/I103)*100,"")</f>
        <v/>
      </c>
      <c r="M103" s="14" t="n"/>
      <c r="P103" s="22">
        <f>IFERROR((N103/M103)*100,"")</f>
        <v/>
      </c>
      <c r="S103" s="22">
        <f>IFERROR((Q103/M103)*100,"")</f>
        <v/>
      </c>
      <c r="U103" s="22">
        <f>IFERROR(((J103+N103)/H103)*100,"")</f>
        <v/>
      </c>
      <c r="X103">
        <f>IF(AND(V103&lt;&gt;"",W103&lt;&gt;""),CONCATENATE(V103,W103),"")</f>
        <v/>
      </c>
      <c r="Y103">
        <f>IF(AND(U103&gt;=85,S103&gt;=90),"Pass",IF(AND(U103&gt;=80,S103&gt;=85),"Conditional_Pass","Fail"))</f>
        <v/>
      </c>
      <c r="Z103">
        <f>IF(U103&gt;=85,"Overall ≥85% ✓","Overall &lt;85% ✗") &amp; ", " &amp; IF(S103&gt;=90,"CVSS ≥90% ✓","CVSS &lt;90% ✗")</f>
        <v/>
      </c>
      <c r="AA103">
        <f>IF(Y103="Pass","None",IF(Y103="Conditional_Pass","Review",IF(OR(V103="A",V103="B"),"Improve","Deprecate")))</f>
        <v/>
      </c>
      <c r="AG103" s="11" t="n"/>
      <c r="AH103" s="11">
        <f>IF(E103&lt;&gt;"",E103+90,"")</f>
        <v/>
      </c>
    </row>
    <row r="104">
      <c r="C104">
        <f>IFERROR(VLOOKUP(B104,Source_Inventory!$A$5:$P$104,2,FALSE),"[Not Found]")</f>
        <v/>
      </c>
      <c r="E104" s="11" t="n"/>
      <c r="H104" s="14" t="n"/>
      <c r="I104" s="14" t="n"/>
      <c r="L104" s="22">
        <f>IFERROR((J104/I104)*100,"")</f>
        <v/>
      </c>
      <c r="M104" s="14" t="n"/>
      <c r="P104" s="22">
        <f>IFERROR((N104/M104)*100,"")</f>
        <v/>
      </c>
      <c r="S104" s="22">
        <f>IFERROR((Q104/M104)*100,"")</f>
        <v/>
      </c>
      <c r="U104" s="22">
        <f>IFERROR(((J104+N104)/H104)*100,"")</f>
        <v/>
      </c>
      <c r="X104">
        <f>IF(AND(V104&lt;&gt;"",W104&lt;&gt;""),CONCATENATE(V104,W104),"")</f>
        <v/>
      </c>
      <c r="Y104">
        <f>IF(AND(U104&gt;=85,S104&gt;=90),"Pass",IF(AND(U104&gt;=80,S104&gt;=85),"Conditional_Pass","Fail"))</f>
        <v/>
      </c>
      <c r="Z104">
        <f>IF(U104&gt;=85,"Overall ≥85% ✓","Overall &lt;85% ✗") &amp; ", " &amp; IF(S104&gt;=90,"CVSS ≥90% ✓","CVSS &lt;90% ✗")</f>
        <v/>
      </c>
      <c r="AA104">
        <f>IF(Y104="Pass","None",IF(Y104="Conditional_Pass","Review",IF(OR(V104="A",V104="B"),"Improve","Deprecate")))</f>
        <v/>
      </c>
      <c r="AG104" s="11" t="n"/>
      <c r="AH104" s="11">
        <f>IF(E104&lt;&gt;"",E104+90,"")</f>
        <v/>
      </c>
    </row>
  </sheetData>
  <mergeCells count="2">
    <mergeCell ref="A2:AO2"/>
    <mergeCell ref="A1:AO1"/>
  </mergeCells>
  <conditionalFormatting sqref="U5:U104">
    <cfRule type="cellIs" priority="1" operator="greaterThanOrEqual" dxfId="8">
      <formula>0.95</formula>
    </cfRule>
    <cfRule type="cellIs" priority="2" operator="greaterThanOrEqual" dxfId="7">
      <formula>0.9</formula>
    </cfRule>
    <cfRule type="cellIs" priority="3" operator="greaterThanOrEqual" dxfId="0">
      <formula>0.85</formula>
    </cfRule>
    <cfRule type="cellIs" priority="4" operator="greaterThanOrEqual" dxfId="2">
      <formula>0.8</formula>
    </cfRule>
    <cfRule type="cellIs" priority="5" operator="lessThan" dxfId="9">
      <formula>0.8</formula>
    </cfRule>
  </conditionalFormatting>
  <conditionalFormatting sqref="S5:S104">
    <cfRule type="cellIs" priority="6" operator="greaterThanOrEqual" dxfId="8">
      <formula>0.95</formula>
    </cfRule>
    <cfRule type="cellIs" priority="7" operator="greaterThanOrEqual" dxfId="7">
      <formula>0.9</formula>
    </cfRule>
    <cfRule type="cellIs" priority="8" operator="greaterThanOrEqual" dxfId="2">
      <formula>0.85</formula>
    </cfRule>
    <cfRule type="cellIs" priority="9" operator="lessThan" dxfId="9">
      <formula>0.85</formula>
    </cfRule>
  </conditionalFormatting>
  <conditionalFormatting sqref="Y5:Y104">
    <cfRule type="cellIs" priority="10" operator="equal" dxfId="0">
      <formula>"Pass"</formula>
    </cfRule>
    <cfRule type="cellIs" priority="11" operator="equal" dxfId="4">
      <formula>"Conditional_Pass"</formula>
    </cfRule>
    <cfRule type="cellIs" priority="12" operator="equal" dxfId="10">
      <formula>"Fail"</formula>
    </cfRule>
  </conditionalFormatting>
  <conditionalFormatting sqref="AA5:AA104">
    <cfRule type="cellIs" priority="13" operator="equal" dxfId="10">
      <formula>"Deprecate"</formula>
    </cfRule>
    <cfRule type="cellIs" priority="14" operator="equal" dxfId="4">
      <formula>"Improve"</formula>
    </cfRule>
    <cfRule type="cellIs" priority="15" operator="equal" dxfId="2">
      <formula>"Review"</formula>
    </cfRule>
  </conditionalFormatting>
  <conditionalFormatting sqref="AH5:AH104">
    <cfRule type="cellIs" priority="16" operator="lessThan" dxfId="5">
      <formula>TODAY()</formula>
    </cfRule>
    <cfRule type="cellIs" priority="17" operator="between" dxfId="2">
      <formula>TODAY()</formula>
      <formula>TODAY()+14</formula>
    </cfRule>
  </conditionalFormatting>
  <dataValidations count="400">
    <dataValidation sqref="B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2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3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4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5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6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7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8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5"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6"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7"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8"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99"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00"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01"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02"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03"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 sqref="B104" showDropDown="0" showInputMessage="0" showErrorMessage="0" allowBlank="0" type="list">
      <formula1>=Source_Inventory!$A$5:$A$104</formula1>
    </dataValidation>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showDropDown="0" showInputMessage="0" showErrorMessage="0" allowBlank="0" type="list">
      <formula1>"A,B,C,D,E,F"</formula1>
    </dataValidation>
    <dataValidation sqref="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showDropDown="0" showInputMessage="0" showErrorMessage="0" allowBlank="0" type="list">
      <formula1>"1,2,3,4,5,6"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showDropDown="0" showInputMessage="0" showErrorMessage="0" allowBlank="1" type="list">
      <formula1>"Yes,No,N/A"</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M54"/>
  <sheetViews>
    <sheetView workbookViewId="0">
      <selection activeCell="A1" sqref="A1"/>
    </sheetView>
  </sheetViews>
  <sheetFormatPr baseColWidth="8" defaultRowHeight="15"/>
  <cols>
    <col width="12" customWidth="1" min="1" max="1"/>
    <col width="30" customWidth="1" min="2" max="2"/>
    <col width="40" customWidth="1" min="3" max="3"/>
    <col width="12" customWidth="1" min="4" max="4"/>
    <col width="25" customWidth="1" min="5" max="5"/>
    <col width="30" customWidth="1" min="6" max="6"/>
    <col width="15" customWidth="1" min="7" max="7"/>
    <col width="15" customWidth="1" min="8" max="8"/>
    <col width="15" customWidth="1" min="9" max="9"/>
    <col width="15" customWidth="1" min="10" max="10"/>
    <col width="25" customWidth="1" min="11" max="11"/>
    <col width="30" customWidth="1" min="12" max="12"/>
    <col width="15" customWidth="1" min="13" max="13"/>
    <col width="15" customWidth="1" min="14" max="14"/>
    <col width="15" customWidth="1" min="15" max="15"/>
    <col width="15" customWidth="1" min="16" max="16"/>
    <col width="12" customWidth="1" min="17" max="17"/>
    <col width="12" customWidth="1" min="18" max="18"/>
    <col width="40" customWidth="1" min="19" max="19"/>
    <col width="15" customWidth="1" min="20" max="20"/>
    <col width="40" customWidth="1" min="21" max="21"/>
    <col width="25" customWidth="1" min="22" max="22"/>
    <col width="15" customWidth="1" min="23" max="23"/>
    <col width="15" customWidth="1" min="24" max="24"/>
    <col width="15" customWidth="1" min="25" max="25"/>
    <col width="20" customWidth="1" min="26" max="26"/>
    <col width="40" customWidth="1" min="27" max="27"/>
    <col width="15" customWidth="1" min="28" max="28"/>
    <col width="40" customWidth="1" min="29" max="29"/>
    <col width="40" customWidth="1" min="30" max="30"/>
    <col width="15" customWidth="1" min="31" max="31"/>
    <col width="15" customWidth="1" min="32" max="32"/>
    <col width="40" customWidth="1" min="33" max="33"/>
    <col width="12" customWidth="1" min="34" max="34"/>
    <col width="15" customWidth="1" min="35" max="35"/>
    <col width="15" customWidth="1" min="36" max="36"/>
    <col width="15" customWidth="1" min="37" max="37"/>
    <col width="25" customWidth="1" min="38" max="38"/>
    <col width="50" customWidth="1" min="39" max="39"/>
  </cols>
  <sheetData>
    <row r="1" ht="25" customHeight="1">
      <c r="A1" s="19" t="inlineStr">
        <is>
          <t>Business Continuity Plan - Threat Intelligence Role Continuity (AUDIT CRITICAL)</t>
        </is>
      </c>
    </row>
    <row r="2" ht="40" customHeight="1">
      <c r="A2" s="20" t="inlineStr">
        <is>
          <t>ANNUAL REQUIREMENT per ISMS-POL-A.5.7-S4 Section 4.4.6: All Critical roles must have trained backup personnel. Annual continuity testing required. 100% compliance for critical roles.</t>
        </is>
      </c>
    </row>
    <row r="4" ht="50" customHeight="1">
      <c r="A4" s="21" t="inlineStr">
        <is>
          <t>Role_ID</t>
        </is>
      </c>
      <c r="B4" s="21" t="inlineStr">
        <is>
          <t>Role_Name</t>
        </is>
      </c>
      <c r="C4" s="21" t="inlineStr">
        <is>
          <t>Role_Description</t>
        </is>
      </c>
      <c r="D4" s="21" t="inlineStr">
        <is>
          <t>Role_Category</t>
        </is>
      </c>
      <c r="E4" s="21" t="inlineStr">
        <is>
          <t>Primary_Person_Name</t>
        </is>
      </c>
      <c r="F4" s="21" t="inlineStr">
        <is>
          <t>Primary_Person_Email</t>
        </is>
      </c>
      <c r="G4" s="21" t="inlineStr">
        <is>
          <t>Primary_Employment_Status</t>
        </is>
      </c>
      <c r="H4" s="21" t="inlineStr">
        <is>
          <t>Primary_Training_Complete</t>
        </is>
      </c>
      <c r="I4" s="21" t="inlineStr">
        <is>
          <t>Primary_Training_Date</t>
        </is>
      </c>
      <c r="J4" s="21" t="inlineStr">
        <is>
          <t>Primary_Cert_Valid_Until</t>
        </is>
      </c>
      <c r="K4" s="21" t="inlineStr">
        <is>
          <t>Backup_Person_Name</t>
        </is>
      </c>
      <c r="L4" s="21" t="inlineStr">
        <is>
          <t>Backup_Person_Email</t>
        </is>
      </c>
      <c r="M4" s="21" t="inlineStr">
        <is>
          <t>Backup_Employment_Status</t>
        </is>
      </c>
      <c r="N4" s="21" t="inlineStr">
        <is>
          <t>Backup_Training_Complete</t>
        </is>
      </c>
      <c r="O4" s="21" t="inlineStr">
        <is>
          <t>Backup_Training_Date</t>
        </is>
      </c>
      <c r="P4" s="21" t="inlineStr">
        <is>
          <t>Backup_Cert_Valid_Until</t>
        </is>
      </c>
      <c r="Q4" s="21" t="inlineStr">
        <is>
          <t>Backup_Ready_Percentage</t>
        </is>
      </c>
      <c r="R4" s="21" t="inlineStr">
        <is>
          <t>Critical_Sources_Count</t>
        </is>
      </c>
      <c r="S4" s="21" t="inlineStr">
        <is>
          <t>Critical_Sources_List</t>
        </is>
      </c>
      <c r="T4" s="21" t="inlineStr">
        <is>
          <t>Access_Documented</t>
        </is>
      </c>
      <c r="U4" s="21" t="inlineStr">
        <is>
          <t>Access_Documentation_Location</t>
        </is>
      </c>
      <c r="V4" s="21" t="inlineStr">
        <is>
          <t>Access_Documentation_Format</t>
        </is>
      </c>
      <c r="W4" s="21" t="inlineStr">
        <is>
          <t>Access_Last_Verified</t>
        </is>
      </c>
      <c r="X4" s="21" t="inlineStr">
        <is>
          <t>Access_Next_Verification</t>
        </is>
      </c>
      <c r="Y4" s="21" t="inlineStr">
        <is>
          <t>Last_Continuity_Test_Date</t>
        </is>
      </c>
      <c r="Z4" s="21" t="inlineStr">
        <is>
          <t>Last_Test_Duration</t>
        </is>
      </c>
      <c r="AA4" s="21" t="inlineStr">
        <is>
          <t>Last_Test_Scenario</t>
        </is>
      </c>
      <c r="AB4" s="21" t="inlineStr">
        <is>
          <t>Last_Test_Result</t>
        </is>
      </c>
      <c r="AC4" s="21" t="inlineStr">
        <is>
          <t>Last_Test_Issues</t>
        </is>
      </c>
      <c r="AD4" s="21" t="inlineStr">
        <is>
          <t>Last_Test_Evidence</t>
        </is>
      </c>
      <c r="AE4" s="21" t="inlineStr">
        <is>
          <t>Next_Test_Date</t>
        </is>
      </c>
      <c r="AF4" s="21" t="inlineStr">
        <is>
          <t>Compliance_Status</t>
        </is>
      </c>
      <c r="AG4" s="21" t="inlineStr">
        <is>
          <t>Non_Compliance_Reasons</t>
        </is>
      </c>
      <c r="AH4" s="21" t="inlineStr">
        <is>
          <t>Remediation_Required</t>
        </is>
      </c>
      <c r="AI4" s="21" t="inlineStr">
        <is>
          <t>Remediation_Action_ID</t>
        </is>
      </c>
      <c r="AJ4" s="21" t="inlineStr">
        <is>
          <t>Last_Review_Date</t>
        </is>
      </c>
      <c r="AK4" s="21" t="inlineStr">
        <is>
          <t>Next_Review_Date</t>
        </is>
      </c>
      <c r="AL4" s="21" t="inlineStr">
        <is>
          <t>Reviewer</t>
        </is>
      </c>
      <c r="AM4" s="21" t="inlineStr">
        <is>
          <t>Notes</t>
        </is>
      </c>
    </row>
    <row r="5">
      <c r="I5" s="11" t="n"/>
      <c r="J5" s="11" t="n"/>
      <c r="O5" s="11" t="n"/>
      <c r="P5" s="11" t="n"/>
      <c r="Q5" s="14" t="n"/>
      <c r="R5" s="14" t="n"/>
      <c r="W5" s="11" t="n"/>
      <c r="X5" s="11">
        <f>IF(W5&lt;&gt;"",W5+180,"")</f>
        <v/>
      </c>
      <c r="Y5" s="11" t="n"/>
      <c r="AE5" s="11">
        <f>IF(Y5&lt;&gt;"",Y5+365,"")</f>
        <v/>
      </c>
      <c r="AF5">
        <f>IF(D5="Critical",
            IF(AND(
                G5="Active",
                H5="Yes",
                M5="Active",
                N5="Yes",
                Q5&gt;=80,
                T5="Yes",
                OR(AB5="Pass",AB5="Partial_Pass"),
                Y5&lt;&gt;"",
                TODAY()-Y5&lt;=365
            ),"Compliant","Non_Compliant"),
            "N/A"
        )</f>
        <v/>
      </c>
      <c r="AG5">
        <f>IF(OR(AF5="Compliant",D5&lt;&gt;"Critical"),"N/A",
            CONCATENATE(
                IF(G5&lt;&gt;"Active","Primary not active; ",""),
                IF(H5&lt;&gt;"Yes","Primary training incomplete; ",""),
                IF(M5&lt;&gt;"Active","Backup not active; ",""),
                IF(N5&lt;&gt;"Yes","Backup training incomplete; ",""),
                IF(Q5&lt;80,"Backup readiness &lt;80%; ",""),
                IF(T5&lt;&gt;"Yes","Access not documented; ",""),
                IF(AB5="Fail","Last test failed; ",""),
                IF(Y5="","No test performed; ",IF(TODAY()-Y5&gt;365,"Annual test overdue; ",""))
            )
        )</f>
        <v/>
      </c>
      <c r="AJ5" s="11" t="n"/>
      <c r="AK5" s="11">
        <f>IF(AJ5&lt;&gt;"",AJ5+180,"")</f>
        <v/>
      </c>
    </row>
    <row r="6">
      <c r="I6" s="11" t="n"/>
      <c r="J6" s="11" t="n"/>
      <c r="O6" s="11" t="n"/>
      <c r="P6" s="11" t="n"/>
      <c r="Q6" s="14" t="n"/>
      <c r="R6" s="14" t="n"/>
      <c r="W6" s="11" t="n"/>
      <c r="X6" s="11">
        <f>IF(W6&lt;&gt;"",W6+180,"")</f>
        <v/>
      </c>
      <c r="Y6" s="11" t="n"/>
      <c r="AE6" s="11">
        <f>IF(Y6&lt;&gt;"",Y6+365,"")</f>
        <v/>
      </c>
      <c r="AF6">
        <f>IF(D6="Critical",
            IF(AND(
                G6="Active",
                H6="Yes",
                M6="Active",
                N6="Yes",
                Q6&gt;=80,
                T6="Yes",
                OR(AB6="Pass",AB6="Partial_Pass"),
                Y6&lt;&gt;"",
                TODAY()-Y6&lt;=365
            ),"Compliant","Non_Compliant"),
            "N/A"
        )</f>
        <v/>
      </c>
      <c r="AG6">
        <f>IF(OR(AF6="Compliant",D6&lt;&gt;"Critical"),"N/A",
            CONCATENATE(
                IF(G6&lt;&gt;"Active","Primary not active; ",""),
                IF(H6&lt;&gt;"Yes","Primary training incomplete; ",""),
                IF(M6&lt;&gt;"Active","Backup not active; ",""),
                IF(N6&lt;&gt;"Yes","Backup training incomplete; ",""),
                IF(Q6&lt;80,"Backup readiness &lt;80%; ",""),
                IF(T6&lt;&gt;"Yes","Access not documented; ",""),
                IF(AB6="Fail","Last test failed; ",""),
                IF(Y6="","No test performed; ",IF(TODAY()-Y6&gt;365,"Annual test overdue; ",""))
            )
        )</f>
        <v/>
      </c>
      <c r="AJ6" s="11" t="n"/>
      <c r="AK6" s="11">
        <f>IF(AJ6&lt;&gt;"",AJ6+180,"")</f>
        <v/>
      </c>
    </row>
    <row r="7">
      <c r="I7" s="11" t="n"/>
      <c r="J7" s="11" t="n"/>
      <c r="O7" s="11" t="n"/>
      <c r="P7" s="11" t="n"/>
      <c r="Q7" s="14" t="n"/>
      <c r="R7" s="14" t="n"/>
      <c r="W7" s="11" t="n"/>
      <c r="X7" s="11">
        <f>IF(W7&lt;&gt;"",W7+180,"")</f>
        <v/>
      </c>
      <c r="Y7" s="11" t="n"/>
      <c r="AE7" s="11">
        <f>IF(Y7&lt;&gt;"",Y7+365,"")</f>
        <v/>
      </c>
      <c r="AF7">
        <f>IF(D7="Critical",
            IF(AND(
                G7="Active",
                H7="Yes",
                M7="Active",
                N7="Yes",
                Q7&gt;=80,
                T7="Yes",
                OR(AB7="Pass",AB7="Partial_Pass"),
                Y7&lt;&gt;"",
                TODAY()-Y7&lt;=365
            ),"Compliant","Non_Compliant"),
            "N/A"
        )</f>
        <v/>
      </c>
      <c r="AG7">
        <f>IF(OR(AF7="Compliant",D7&lt;&gt;"Critical"),"N/A",
            CONCATENATE(
                IF(G7&lt;&gt;"Active","Primary not active; ",""),
                IF(H7&lt;&gt;"Yes","Primary training incomplete; ",""),
                IF(M7&lt;&gt;"Active","Backup not active; ",""),
                IF(N7&lt;&gt;"Yes","Backup training incomplete; ",""),
                IF(Q7&lt;80,"Backup readiness &lt;80%; ",""),
                IF(T7&lt;&gt;"Yes","Access not documented; ",""),
                IF(AB7="Fail","Last test failed; ",""),
                IF(Y7="","No test performed; ",IF(TODAY()-Y7&gt;365,"Annual test overdue; ",""))
            )
        )</f>
        <v/>
      </c>
      <c r="AJ7" s="11" t="n"/>
      <c r="AK7" s="11">
        <f>IF(AJ7&lt;&gt;"",AJ7+180,"")</f>
        <v/>
      </c>
    </row>
    <row r="8">
      <c r="I8" s="11" t="n"/>
      <c r="J8" s="11" t="n"/>
      <c r="O8" s="11" t="n"/>
      <c r="P8" s="11" t="n"/>
      <c r="Q8" s="14" t="n"/>
      <c r="R8" s="14" t="n"/>
      <c r="W8" s="11" t="n"/>
      <c r="X8" s="11">
        <f>IF(W8&lt;&gt;"",W8+180,"")</f>
        <v/>
      </c>
      <c r="Y8" s="11" t="n"/>
      <c r="AE8" s="11">
        <f>IF(Y8&lt;&gt;"",Y8+365,"")</f>
        <v/>
      </c>
      <c r="AF8">
        <f>IF(D8="Critical",
            IF(AND(
                G8="Active",
                H8="Yes",
                M8="Active",
                N8="Yes",
                Q8&gt;=80,
                T8="Yes",
                OR(AB8="Pass",AB8="Partial_Pass"),
                Y8&lt;&gt;"",
                TODAY()-Y8&lt;=365
            ),"Compliant","Non_Compliant"),
            "N/A"
        )</f>
        <v/>
      </c>
      <c r="AG8">
        <f>IF(OR(AF8="Compliant",D8&lt;&gt;"Critical"),"N/A",
            CONCATENATE(
                IF(G8&lt;&gt;"Active","Primary not active; ",""),
                IF(H8&lt;&gt;"Yes","Primary training incomplete; ",""),
                IF(M8&lt;&gt;"Active","Backup not active; ",""),
                IF(N8&lt;&gt;"Yes","Backup training incomplete; ",""),
                IF(Q8&lt;80,"Backup readiness &lt;80%; ",""),
                IF(T8&lt;&gt;"Yes","Access not documented; ",""),
                IF(AB8="Fail","Last test failed; ",""),
                IF(Y8="","No test performed; ",IF(TODAY()-Y8&gt;365,"Annual test overdue; ",""))
            )
        )</f>
        <v/>
      </c>
      <c r="AJ8" s="11" t="n"/>
      <c r="AK8" s="11">
        <f>IF(AJ8&lt;&gt;"",AJ8+180,"")</f>
        <v/>
      </c>
    </row>
    <row r="9">
      <c r="I9" s="11" t="n"/>
      <c r="J9" s="11" t="n"/>
      <c r="O9" s="11" t="n"/>
      <c r="P9" s="11" t="n"/>
      <c r="Q9" s="14" t="n"/>
      <c r="R9" s="14" t="n"/>
      <c r="W9" s="11" t="n"/>
      <c r="X9" s="11">
        <f>IF(W9&lt;&gt;"",W9+180,"")</f>
        <v/>
      </c>
      <c r="Y9" s="11" t="n"/>
      <c r="AE9" s="11">
        <f>IF(Y9&lt;&gt;"",Y9+365,"")</f>
        <v/>
      </c>
      <c r="AF9">
        <f>IF(D9="Critical",
            IF(AND(
                G9="Active",
                H9="Yes",
                M9="Active",
                N9="Yes",
                Q9&gt;=80,
                T9="Yes",
                OR(AB9="Pass",AB9="Partial_Pass"),
                Y9&lt;&gt;"",
                TODAY()-Y9&lt;=365
            ),"Compliant","Non_Compliant"),
            "N/A"
        )</f>
        <v/>
      </c>
      <c r="AG9">
        <f>IF(OR(AF9="Compliant",D9&lt;&gt;"Critical"),"N/A",
            CONCATENATE(
                IF(G9&lt;&gt;"Active","Primary not active; ",""),
                IF(H9&lt;&gt;"Yes","Primary training incomplete; ",""),
                IF(M9&lt;&gt;"Active","Backup not active; ",""),
                IF(N9&lt;&gt;"Yes","Backup training incomplete; ",""),
                IF(Q9&lt;80,"Backup readiness &lt;80%; ",""),
                IF(T9&lt;&gt;"Yes","Access not documented; ",""),
                IF(AB9="Fail","Last test failed; ",""),
                IF(Y9="","No test performed; ",IF(TODAY()-Y9&gt;365,"Annual test overdue; ",""))
            )
        )</f>
        <v/>
      </c>
      <c r="AJ9" s="11" t="n"/>
      <c r="AK9" s="11">
        <f>IF(AJ9&lt;&gt;"",AJ9+180,"")</f>
        <v/>
      </c>
    </row>
    <row r="10">
      <c r="I10" s="11" t="n"/>
      <c r="J10" s="11" t="n"/>
      <c r="O10" s="11" t="n"/>
      <c r="P10" s="11" t="n"/>
      <c r="Q10" s="14" t="n"/>
      <c r="R10" s="14" t="n"/>
      <c r="W10" s="11" t="n"/>
      <c r="X10" s="11">
        <f>IF(W10&lt;&gt;"",W10+180,"")</f>
        <v/>
      </c>
      <c r="Y10" s="11" t="n"/>
      <c r="AE10" s="11">
        <f>IF(Y10&lt;&gt;"",Y10+365,"")</f>
        <v/>
      </c>
      <c r="AF10">
        <f>IF(D10="Critical",
            IF(AND(
                G10="Active",
                H10="Yes",
                M10="Active",
                N10="Yes",
                Q10&gt;=80,
                T10="Yes",
                OR(AB10="Pass",AB10="Partial_Pass"),
                Y10&lt;&gt;"",
                TODAY()-Y10&lt;=365
            ),"Compliant","Non_Compliant"),
            "N/A"
        )</f>
        <v/>
      </c>
      <c r="AG10">
        <f>IF(OR(AF10="Compliant",D10&lt;&gt;"Critical"),"N/A",
            CONCATENATE(
                IF(G10&lt;&gt;"Active","Primary not active; ",""),
                IF(H10&lt;&gt;"Yes","Primary training incomplete; ",""),
                IF(M10&lt;&gt;"Active","Backup not active; ",""),
                IF(N10&lt;&gt;"Yes","Backup training incomplete; ",""),
                IF(Q10&lt;80,"Backup readiness &lt;80%; ",""),
                IF(T10&lt;&gt;"Yes","Access not documented; ",""),
                IF(AB10="Fail","Last test failed; ",""),
                IF(Y10="","No test performed; ",IF(TODAY()-Y10&gt;365,"Annual test overdue; ",""))
            )
        )</f>
        <v/>
      </c>
      <c r="AJ10" s="11" t="n"/>
      <c r="AK10" s="11">
        <f>IF(AJ10&lt;&gt;"",AJ10+180,"")</f>
        <v/>
      </c>
    </row>
    <row r="11">
      <c r="I11" s="11" t="n"/>
      <c r="J11" s="11" t="n"/>
      <c r="O11" s="11" t="n"/>
      <c r="P11" s="11" t="n"/>
      <c r="Q11" s="14" t="n"/>
      <c r="R11" s="14" t="n"/>
      <c r="W11" s="11" t="n"/>
      <c r="X11" s="11">
        <f>IF(W11&lt;&gt;"",W11+180,"")</f>
        <v/>
      </c>
      <c r="Y11" s="11" t="n"/>
      <c r="AE11" s="11">
        <f>IF(Y11&lt;&gt;"",Y11+365,"")</f>
        <v/>
      </c>
      <c r="AF11">
        <f>IF(D11="Critical",
            IF(AND(
                G11="Active",
                H11="Yes",
                M11="Active",
                N11="Yes",
                Q11&gt;=80,
                T11="Yes",
                OR(AB11="Pass",AB11="Partial_Pass"),
                Y11&lt;&gt;"",
                TODAY()-Y11&lt;=365
            ),"Compliant","Non_Compliant"),
            "N/A"
        )</f>
        <v/>
      </c>
      <c r="AG11">
        <f>IF(OR(AF11="Compliant",D11&lt;&gt;"Critical"),"N/A",
            CONCATENATE(
                IF(G11&lt;&gt;"Active","Primary not active; ",""),
                IF(H11&lt;&gt;"Yes","Primary training incomplete; ",""),
                IF(M11&lt;&gt;"Active","Backup not active; ",""),
                IF(N11&lt;&gt;"Yes","Backup training incomplete; ",""),
                IF(Q11&lt;80,"Backup readiness &lt;80%; ",""),
                IF(T11&lt;&gt;"Yes","Access not documented; ",""),
                IF(AB11="Fail","Last test failed; ",""),
                IF(Y11="","No test performed; ",IF(TODAY()-Y11&gt;365,"Annual test overdue; ",""))
            )
        )</f>
        <v/>
      </c>
      <c r="AJ11" s="11" t="n"/>
      <c r="AK11" s="11">
        <f>IF(AJ11&lt;&gt;"",AJ11+180,"")</f>
        <v/>
      </c>
    </row>
    <row r="12">
      <c r="I12" s="11" t="n"/>
      <c r="J12" s="11" t="n"/>
      <c r="O12" s="11" t="n"/>
      <c r="P12" s="11" t="n"/>
      <c r="Q12" s="14" t="n"/>
      <c r="R12" s="14" t="n"/>
      <c r="W12" s="11" t="n"/>
      <c r="X12" s="11">
        <f>IF(W12&lt;&gt;"",W12+180,"")</f>
        <v/>
      </c>
      <c r="Y12" s="11" t="n"/>
      <c r="AE12" s="11">
        <f>IF(Y12&lt;&gt;"",Y12+365,"")</f>
        <v/>
      </c>
      <c r="AF12">
        <f>IF(D12="Critical",
            IF(AND(
                G12="Active",
                H12="Yes",
                M12="Active",
                N12="Yes",
                Q12&gt;=80,
                T12="Yes",
                OR(AB12="Pass",AB12="Partial_Pass"),
                Y12&lt;&gt;"",
                TODAY()-Y12&lt;=365
            ),"Compliant","Non_Compliant"),
            "N/A"
        )</f>
        <v/>
      </c>
      <c r="AG12">
        <f>IF(OR(AF12="Compliant",D12&lt;&gt;"Critical"),"N/A",
            CONCATENATE(
                IF(G12&lt;&gt;"Active","Primary not active; ",""),
                IF(H12&lt;&gt;"Yes","Primary training incomplete; ",""),
                IF(M12&lt;&gt;"Active","Backup not active; ",""),
                IF(N12&lt;&gt;"Yes","Backup training incomplete; ",""),
                IF(Q12&lt;80,"Backup readiness &lt;80%; ",""),
                IF(T12&lt;&gt;"Yes","Access not documented; ",""),
                IF(AB12="Fail","Last test failed; ",""),
                IF(Y12="","No test performed; ",IF(TODAY()-Y12&gt;365,"Annual test overdue; ",""))
            )
        )</f>
        <v/>
      </c>
      <c r="AJ12" s="11" t="n"/>
      <c r="AK12" s="11">
        <f>IF(AJ12&lt;&gt;"",AJ12+180,"")</f>
        <v/>
      </c>
    </row>
    <row r="13">
      <c r="I13" s="11" t="n"/>
      <c r="J13" s="11" t="n"/>
      <c r="O13" s="11" t="n"/>
      <c r="P13" s="11" t="n"/>
      <c r="Q13" s="14" t="n"/>
      <c r="R13" s="14" t="n"/>
      <c r="W13" s="11" t="n"/>
      <c r="X13" s="11">
        <f>IF(W13&lt;&gt;"",W13+180,"")</f>
        <v/>
      </c>
      <c r="Y13" s="11" t="n"/>
      <c r="AE13" s="11">
        <f>IF(Y13&lt;&gt;"",Y13+365,"")</f>
        <v/>
      </c>
      <c r="AF13">
        <f>IF(D13="Critical",
            IF(AND(
                G13="Active",
                H13="Yes",
                M13="Active",
                N13="Yes",
                Q13&gt;=80,
                T13="Yes",
                OR(AB13="Pass",AB13="Partial_Pass"),
                Y13&lt;&gt;"",
                TODAY()-Y13&lt;=365
            ),"Compliant","Non_Compliant"),
            "N/A"
        )</f>
        <v/>
      </c>
      <c r="AG13">
        <f>IF(OR(AF13="Compliant",D13&lt;&gt;"Critical"),"N/A",
            CONCATENATE(
                IF(G13&lt;&gt;"Active","Primary not active; ",""),
                IF(H13&lt;&gt;"Yes","Primary training incomplete; ",""),
                IF(M13&lt;&gt;"Active","Backup not active; ",""),
                IF(N13&lt;&gt;"Yes","Backup training incomplete; ",""),
                IF(Q13&lt;80,"Backup readiness &lt;80%; ",""),
                IF(T13&lt;&gt;"Yes","Access not documented; ",""),
                IF(AB13="Fail","Last test failed; ",""),
                IF(Y13="","No test performed; ",IF(TODAY()-Y13&gt;365,"Annual test overdue; ",""))
            )
        )</f>
        <v/>
      </c>
      <c r="AJ13" s="11" t="n"/>
      <c r="AK13" s="11">
        <f>IF(AJ13&lt;&gt;"",AJ13+180,"")</f>
        <v/>
      </c>
    </row>
    <row r="14">
      <c r="I14" s="11" t="n"/>
      <c r="J14" s="11" t="n"/>
      <c r="O14" s="11" t="n"/>
      <c r="P14" s="11" t="n"/>
      <c r="Q14" s="14" t="n"/>
      <c r="R14" s="14" t="n"/>
      <c r="W14" s="11" t="n"/>
      <c r="X14" s="11">
        <f>IF(W14&lt;&gt;"",W14+180,"")</f>
        <v/>
      </c>
      <c r="Y14" s="11" t="n"/>
      <c r="AE14" s="11">
        <f>IF(Y14&lt;&gt;"",Y14+365,"")</f>
        <v/>
      </c>
      <c r="AF14">
        <f>IF(D14="Critical",
            IF(AND(
                G14="Active",
                H14="Yes",
                M14="Active",
                N14="Yes",
                Q14&gt;=80,
                T14="Yes",
                OR(AB14="Pass",AB14="Partial_Pass"),
                Y14&lt;&gt;"",
                TODAY()-Y14&lt;=365
            ),"Compliant","Non_Compliant"),
            "N/A"
        )</f>
        <v/>
      </c>
      <c r="AG14">
        <f>IF(OR(AF14="Compliant",D14&lt;&gt;"Critical"),"N/A",
            CONCATENATE(
                IF(G14&lt;&gt;"Active","Primary not active; ",""),
                IF(H14&lt;&gt;"Yes","Primary training incomplete; ",""),
                IF(M14&lt;&gt;"Active","Backup not active; ",""),
                IF(N14&lt;&gt;"Yes","Backup training incomplete; ",""),
                IF(Q14&lt;80,"Backup readiness &lt;80%; ",""),
                IF(T14&lt;&gt;"Yes","Access not documented; ",""),
                IF(AB14="Fail","Last test failed; ",""),
                IF(Y14="","No test performed; ",IF(TODAY()-Y14&gt;365,"Annual test overdue; ",""))
            )
        )</f>
        <v/>
      </c>
      <c r="AJ14" s="11" t="n"/>
      <c r="AK14" s="11">
        <f>IF(AJ14&lt;&gt;"",AJ14+180,"")</f>
        <v/>
      </c>
    </row>
    <row r="15">
      <c r="I15" s="11" t="n"/>
      <c r="J15" s="11" t="n"/>
      <c r="O15" s="11" t="n"/>
      <c r="P15" s="11" t="n"/>
      <c r="Q15" s="14" t="n"/>
      <c r="R15" s="14" t="n"/>
      <c r="W15" s="11" t="n"/>
      <c r="X15" s="11">
        <f>IF(W15&lt;&gt;"",W15+180,"")</f>
        <v/>
      </c>
      <c r="Y15" s="11" t="n"/>
      <c r="AE15" s="11">
        <f>IF(Y15&lt;&gt;"",Y15+365,"")</f>
        <v/>
      </c>
      <c r="AF15">
        <f>IF(D15="Critical",
            IF(AND(
                G15="Active",
                H15="Yes",
                M15="Active",
                N15="Yes",
                Q15&gt;=80,
                T15="Yes",
                OR(AB15="Pass",AB15="Partial_Pass"),
                Y15&lt;&gt;"",
                TODAY()-Y15&lt;=365
            ),"Compliant","Non_Compliant"),
            "N/A"
        )</f>
        <v/>
      </c>
      <c r="AG15">
        <f>IF(OR(AF15="Compliant",D15&lt;&gt;"Critical"),"N/A",
            CONCATENATE(
                IF(G15&lt;&gt;"Active","Primary not active; ",""),
                IF(H15&lt;&gt;"Yes","Primary training incomplete; ",""),
                IF(M15&lt;&gt;"Active","Backup not active; ",""),
                IF(N15&lt;&gt;"Yes","Backup training incomplete; ",""),
                IF(Q15&lt;80,"Backup readiness &lt;80%; ",""),
                IF(T15&lt;&gt;"Yes","Access not documented; ",""),
                IF(AB15="Fail","Last test failed; ",""),
                IF(Y15="","No test performed; ",IF(TODAY()-Y15&gt;365,"Annual test overdue; ",""))
            )
        )</f>
        <v/>
      </c>
      <c r="AJ15" s="11" t="n"/>
      <c r="AK15" s="11">
        <f>IF(AJ15&lt;&gt;"",AJ15+180,"")</f>
        <v/>
      </c>
    </row>
    <row r="16">
      <c r="I16" s="11" t="n"/>
      <c r="J16" s="11" t="n"/>
      <c r="O16" s="11" t="n"/>
      <c r="P16" s="11" t="n"/>
      <c r="Q16" s="14" t="n"/>
      <c r="R16" s="14" t="n"/>
      <c r="W16" s="11" t="n"/>
      <c r="X16" s="11">
        <f>IF(W16&lt;&gt;"",W16+180,"")</f>
        <v/>
      </c>
      <c r="Y16" s="11" t="n"/>
      <c r="AE16" s="11">
        <f>IF(Y16&lt;&gt;"",Y16+365,"")</f>
        <v/>
      </c>
      <c r="AF16">
        <f>IF(D16="Critical",
            IF(AND(
                G16="Active",
                H16="Yes",
                M16="Active",
                N16="Yes",
                Q16&gt;=80,
                T16="Yes",
                OR(AB16="Pass",AB16="Partial_Pass"),
                Y16&lt;&gt;"",
                TODAY()-Y16&lt;=365
            ),"Compliant","Non_Compliant"),
            "N/A"
        )</f>
        <v/>
      </c>
      <c r="AG16">
        <f>IF(OR(AF16="Compliant",D16&lt;&gt;"Critical"),"N/A",
            CONCATENATE(
                IF(G16&lt;&gt;"Active","Primary not active; ",""),
                IF(H16&lt;&gt;"Yes","Primary training incomplete; ",""),
                IF(M16&lt;&gt;"Active","Backup not active; ",""),
                IF(N16&lt;&gt;"Yes","Backup training incomplete; ",""),
                IF(Q16&lt;80,"Backup readiness &lt;80%; ",""),
                IF(T16&lt;&gt;"Yes","Access not documented; ",""),
                IF(AB16="Fail","Last test failed; ",""),
                IF(Y16="","No test performed; ",IF(TODAY()-Y16&gt;365,"Annual test overdue; ",""))
            )
        )</f>
        <v/>
      </c>
      <c r="AJ16" s="11" t="n"/>
      <c r="AK16" s="11">
        <f>IF(AJ16&lt;&gt;"",AJ16+180,"")</f>
        <v/>
      </c>
    </row>
    <row r="17">
      <c r="I17" s="11" t="n"/>
      <c r="J17" s="11" t="n"/>
      <c r="O17" s="11" t="n"/>
      <c r="P17" s="11" t="n"/>
      <c r="Q17" s="14" t="n"/>
      <c r="R17" s="14" t="n"/>
      <c r="W17" s="11" t="n"/>
      <c r="X17" s="11">
        <f>IF(W17&lt;&gt;"",W17+180,"")</f>
        <v/>
      </c>
      <c r="Y17" s="11" t="n"/>
      <c r="AE17" s="11">
        <f>IF(Y17&lt;&gt;"",Y17+365,"")</f>
        <v/>
      </c>
      <c r="AF17">
        <f>IF(D17="Critical",
            IF(AND(
                G17="Active",
                H17="Yes",
                M17="Active",
                N17="Yes",
                Q17&gt;=80,
                T17="Yes",
                OR(AB17="Pass",AB17="Partial_Pass"),
                Y17&lt;&gt;"",
                TODAY()-Y17&lt;=365
            ),"Compliant","Non_Compliant"),
            "N/A"
        )</f>
        <v/>
      </c>
      <c r="AG17">
        <f>IF(OR(AF17="Compliant",D17&lt;&gt;"Critical"),"N/A",
            CONCATENATE(
                IF(G17&lt;&gt;"Active","Primary not active; ",""),
                IF(H17&lt;&gt;"Yes","Primary training incomplete; ",""),
                IF(M17&lt;&gt;"Active","Backup not active; ",""),
                IF(N17&lt;&gt;"Yes","Backup training incomplete; ",""),
                IF(Q17&lt;80,"Backup readiness &lt;80%; ",""),
                IF(T17&lt;&gt;"Yes","Access not documented; ",""),
                IF(AB17="Fail","Last test failed; ",""),
                IF(Y17="","No test performed; ",IF(TODAY()-Y17&gt;365,"Annual test overdue; ",""))
            )
        )</f>
        <v/>
      </c>
      <c r="AJ17" s="11" t="n"/>
      <c r="AK17" s="11">
        <f>IF(AJ17&lt;&gt;"",AJ17+180,"")</f>
        <v/>
      </c>
    </row>
    <row r="18">
      <c r="I18" s="11" t="n"/>
      <c r="J18" s="11" t="n"/>
      <c r="O18" s="11" t="n"/>
      <c r="P18" s="11" t="n"/>
      <c r="Q18" s="14" t="n"/>
      <c r="R18" s="14" t="n"/>
      <c r="W18" s="11" t="n"/>
      <c r="X18" s="11">
        <f>IF(W18&lt;&gt;"",W18+180,"")</f>
        <v/>
      </c>
      <c r="Y18" s="11" t="n"/>
      <c r="AE18" s="11">
        <f>IF(Y18&lt;&gt;"",Y18+365,"")</f>
        <v/>
      </c>
      <c r="AF18">
        <f>IF(D18="Critical",
            IF(AND(
                G18="Active",
                H18="Yes",
                M18="Active",
                N18="Yes",
                Q18&gt;=80,
                T18="Yes",
                OR(AB18="Pass",AB18="Partial_Pass"),
                Y18&lt;&gt;"",
                TODAY()-Y18&lt;=365
            ),"Compliant","Non_Compliant"),
            "N/A"
        )</f>
        <v/>
      </c>
      <c r="AG18">
        <f>IF(OR(AF18="Compliant",D18&lt;&gt;"Critical"),"N/A",
            CONCATENATE(
                IF(G18&lt;&gt;"Active","Primary not active; ",""),
                IF(H18&lt;&gt;"Yes","Primary training incomplete; ",""),
                IF(M18&lt;&gt;"Active","Backup not active; ",""),
                IF(N18&lt;&gt;"Yes","Backup training incomplete; ",""),
                IF(Q18&lt;80,"Backup readiness &lt;80%; ",""),
                IF(T18&lt;&gt;"Yes","Access not documented; ",""),
                IF(AB18="Fail","Last test failed; ",""),
                IF(Y18="","No test performed; ",IF(TODAY()-Y18&gt;365,"Annual test overdue; ",""))
            )
        )</f>
        <v/>
      </c>
      <c r="AJ18" s="11" t="n"/>
      <c r="AK18" s="11">
        <f>IF(AJ18&lt;&gt;"",AJ18+180,"")</f>
        <v/>
      </c>
    </row>
    <row r="19">
      <c r="I19" s="11" t="n"/>
      <c r="J19" s="11" t="n"/>
      <c r="O19" s="11" t="n"/>
      <c r="P19" s="11" t="n"/>
      <c r="Q19" s="14" t="n"/>
      <c r="R19" s="14" t="n"/>
      <c r="W19" s="11" t="n"/>
      <c r="X19" s="11">
        <f>IF(W19&lt;&gt;"",W19+180,"")</f>
        <v/>
      </c>
      <c r="Y19" s="11" t="n"/>
      <c r="AE19" s="11">
        <f>IF(Y19&lt;&gt;"",Y19+365,"")</f>
        <v/>
      </c>
      <c r="AF19">
        <f>IF(D19="Critical",
            IF(AND(
                G19="Active",
                H19="Yes",
                M19="Active",
                N19="Yes",
                Q19&gt;=80,
                T19="Yes",
                OR(AB19="Pass",AB19="Partial_Pass"),
                Y19&lt;&gt;"",
                TODAY()-Y19&lt;=365
            ),"Compliant","Non_Compliant"),
            "N/A"
        )</f>
        <v/>
      </c>
      <c r="AG19">
        <f>IF(OR(AF19="Compliant",D19&lt;&gt;"Critical"),"N/A",
            CONCATENATE(
                IF(G19&lt;&gt;"Active","Primary not active; ",""),
                IF(H19&lt;&gt;"Yes","Primary training incomplete; ",""),
                IF(M19&lt;&gt;"Active","Backup not active; ",""),
                IF(N19&lt;&gt;"Yes","Backup training incomplete; ",""),
                IF(Q19&lt;80,"Backup readiness &lt;80%; ",""),
                IF(T19&lt;&gt;"Yes","Access not documented; ",""),
                IF(AB19="Fail","Last test failed; ",""),
                IF(Y19="","No test performed; ",IF(TODAY()-Y19&gt;365,"Annual test overdue; ",""))
            )
        )</f>
        <v/>
      </c>
      <c r="AJ19" s="11" t="n"/>
      <c r="AK19" s="11">
        <f>IF(AJ19&lt;&gt;"",AJ19+180,"")</f>
        <v/>
      </c>
    </row>
    <row r="20">
      <c r="I20" s="11" t="n"/>
      <c r="J20" s="11" t="n"/>
      <c r="O20" s="11" t="n"/>
      <c r="P20" s="11" t="n"/>
      <c r="Q20" s="14" t="n"/>
      <c r="R20" s="14" t="n"/>
      <c r="W20" s="11" t="n"/>
      <c r="X20" s="11">
        <f>IF(W20&lt;&gt;"",W20+180,"")</f>
        <v/>
      </c>
      <c r="Y20" s="11" t="n"/>
      <c r="AE20" s="11">
        <f>IF(Y20&lt;&gt;"",Y20+365,"")</f>
        <v/>
      </c>
      <c r="AF20">
        <f>IF(D20="Critical",
            IF(AND(
                G20="Active",
                H20="Yes",
                M20="Active",
                N20="Yes",
                Q20&gt;=80,
                T20="Yes",
                OR(AB20="Pass",AB20="Partial_Pass"),
                Y20&lt;&gt;"",
                TODAY()-Y20&lt;=365
            ),"Compliant","Non_Compliant"),
            "N/A"
        )</f>
        <v/>
      </c>
      <c r="AG20">
        <f>IF(OR(AF20="Compliant",D20&lt;&gt;"Critical"),"N/A",
            CONCATENATE(
                IF(G20&lt;&gt;"Active","Primary not active; ",""),
                IF(H20&lt;&gt;"Yes","Primary training incomplete; ",""),
                IF(M20&lt;&gt;"Active","Backup not active; ",""),
                IF(N20&lt;&gt;"Yes","Backup training incomplete; ",""),
                IF(Q20&lt;80,"Backup readiness &lt;80%; ",""),
                IF(T20&lt;&gt;"Yes","Access not documented; ",""),
                IF(AB20="Fail","Last test failed; ",""),
                IF(Y20="","No test performed; ",IF(TODAY()-Y20&gt;365,"Annual test overdue; ",""))
            )
        )</f>
        <v/>
      </c>
      <c r="AJ20" s="11" t="n"/>
      <c r="AK20" s="11">
        <f>IF(AJ20&lt;&gt;"",AJ20+180,"")</f>
        <v/>
      </c>
    </row>
    <row r="21">
      <c r="I21" s="11" t="n"/>
      <c r="J21" s="11" t="n"/>
      <c r="O21" s="11" t="n"/>
      <c r="P21" s="11" t="n"/>
      <c r="Q21" s="14" t="n"/>
      <c r="R21" s="14" t="n"/>
      <c r="W21" s="11" t="n"/>
      <c r="X21" s="11">
        <f>IF(W21&lt;&gt;"",W21+180,"")</f>
        <v/>
      </c>
      <c r="Y21" s="11" t="n"/>
      <c r="AE21" s="11">
        <f>IF(Y21&lt;&gt;"",Y21+365,"")</f>
        <v/>
      </c>
      <c r="AF21">
        <f>IF(D21="Critical",
            IF(AND(
                G21="Active",
                H21="Yes",
                M21="Active",
                N21="Yes",
                Q21&gt;=80,
                T21="Yes",
                OR(AB21="Pass",AB21="Partial_Pass"),
                Y21&lt;&gt;"",
                TODAY()-Y21&lt;=365
            ),"Compliant","Non_Compliant"),
            "N/A"
        )</f>
        <v/>
      </c>
      <c r="AG21">
        <f>IF(OR(AF21="Compliant",D21&lt;&gt;"Critical"),"N/A",
            CONCATENATE(
                IF(G21&lt;&gt;"Active","Primary not active; ",""),
                IF(H21&lt;&gt;"Yes","Primary training incomplete; ",""),
                IF(M21&lt;&gt;"Active","Backup not active; ",""),
                IF(N21&lt;&gt;"Yes","Backup training incomplete; ",""),
                IF(Q21&lt;80,"Backup readiness &lt;80%; ",""),
                IF(T21&lt;&gt;"Yes","Access not documented; ",""),
                IF(AB21="Fail","Last test failed; ",""),
                IF(Y21="","No test performed; ",IF(TODAY()-Y21&gt;365,"Annual test overdue; ",""))
            )
        )</f>
        <v/>
      </c>
      <c r="AJ21" s="11" t="n"/>
      <c r="AK21" s="11">
        <f>IF(AJ21&lt;&gt;"",AJ21+180,"")</f>
        <v/>
      </c>
    </row>
    <row r="22">
      <c r="I22" s="11" t="n"/>
      <c r="J22" s="11" t="n"/>
      <c r="O22" s="11" t="n"/>
      <c r="P22" s="11" t="n"/>
      <c r="Q22" s="14" t="n"/>
      <c r="R22" s="14" t="n"/>
      <c r="W22" s="11" t="n"/>
      <c r="X22" s="11">
        <f>IF(W22&lt;&gt;"",W22+180,"")</f>
        <v/>
      </c>
      <c r="Y22" s="11" t="n"/>
      <c r="AE22" s="11">
        <f>IF(Y22&lt;&gt;"",Y22+365,"")</f>
        <v/>
      </c>
      <c r="AF22">
        <f>IF(D22="Critical",
            IF(AND(
                G22="Active",
                H22="Yes",
                M22="Active",
                N22="Yes",
                Q22&gt;=80,
                T22="Yes",
                OR(AB22="Pass",AB22="Partial_Pass"),
                Y22&lt;&gt;"",
                TODAY()-Y22&lt;=365
            ),"Compliant","Non_Compliant"),
            "N/A"
        )</f>
        <v/>
      </c>
      <c r="AG22">
        <f>IF(OR(AF22="Compliant",D22&lt;&gt;"Critical"),"N/A",
            CONCATENATE(
                IF(G22&lt;&gt;"Active","Primary not active; ",""),
                IF(H22&lt;&gt;"Yes","Primary training incomplete; ",""),
                IF(M22&lt;&gt;"Active","Backup not active; ",""),
                IF(N22&lt;&gt;"Yes","Backup training incomplete; ",""),
                IF(Q22&lt;80,"Backup readiness &lt;80%; ",""),
                IF(T22&lt;&gt;"Yes","Access not documented; ",""),
                IF(AB22="Fail","Last test failed; ",""),
                IF(Y22="","No test performed; ",IF(TODAY()-Y22&gt;365,"Annual test overdue; ",""))
            )
        )</f>
        <v/>
      </c>
      <c r="AJ22" s="11" t="n"/>
      <c r="AK22" s="11">
        <f>IF(AJ22&lt;&gt;"",AJ22+180,"")</f>
        <v/>
      </c>
    </row>
    <row r="23">
      <c r="I23" s="11" t="n"/>
      <c r="J23" s="11" t="n"/>
      <c r="O23" s="11" t="n"/>
      <c r="P23" s="11" t="n"/>
      <c r="Q23" s="14" t="n"/>
      <c r="R23" s="14" t="n"/>
      <c r="W23" s="11" t="n"/>
      <c r="X23" s="11">
        <f>IF(W23&lt;&gt;"",W23+180,"")</f>
        <v/>
      </c>
      <c r="Y23" s="11" t="n"/>
      <c r="AE23" s="11">
        <f>IF(Y23&lt;&gt;"",Y23+365,"")</f>
        <v/>
      </c>
      <c r="AF23">
        <f>IF(D23="Critical",
            IF(AND(
                G23="Active",
                H23="Yes",
                M23="Active",
                N23="Yes",
                Q23&gt;=80,
                T23="Yes",
                OR(AB23="Pass",AB23="Partial_Pass"),
                Y23&lt;&gt;"",
                TODAY()-Y23&lt;=365
            ),"Compliant","Non_Compliant"),
            "N/A"
        )</f>
        <v/>
      </c>
      <c r="AG23">
        <f>IF(OR(AF23="Compliant",D23&lt;&gt;"Critical"),"N/A",
            CONCATENATE(
                IF(G23&lt;&gt;"Active","Primary not active; ",""),
                IF(H23&lt;&gt;"Yes","Primary training incomplete; ",""),
                IF(M23&lt;&gt;"Active","Backup not active; ",""),
                IF(N23&lt;&gt;"Yes","Backup training incomplete; ",""),
                IF(Q23&lt;80,"Backup readiness &lt;80%; ",""),
                IF(T23&lt;&gt;"Yes","Access not documented; ",""),
                IF(AB23="Fail","Last test failed; ",""),
                IF(Y23="","No test performed; ",IF(TODAY()-Y23&gt;365,"Annual test overdue; ",""))
            )
        )</f>
        <v/>
      </c>
      <c r="AJ23" s="11" t="n"/>
      <c r="AK23" s="11">
        <f>IF(AJ23&lt;&gt;"",AJ23+180,"")</f>
        <v/>
      </c>
    </row>
    <row r="24">
      <c r="I24" s="11" t="n"/>
      <c r="J24" s="11" t="n"/>
      <c r="O24" s="11" t="n"/>
      <c r="P24" s="11" t="n"/>
      <c r="Q24" s="14" t="n"/>
      <c r="R24" s="14" t="n"/>
      <c r="W24" s="11" t="n"/>
      <c r="X24" s="11">
        <f>IF(W24&lt;&gt;"",W24+180,"")</f>
        <v/>
      </c>
      <c r="Y24" s="11" t="n"/>
      <c r="AE24" s="11">
        <f>IF(Y24&lt;&gt;"",Y24+365,"")</f>
        <v/>
      </c>
      <c r="AF24">
        <f>IF(D24="Critical",
            IF(AND(
                G24="Active",
                H24="Yes",
                M24="Active",
                N24="Yes",
                Q24&gt;=80,
                T24="Yes",
                OR(AB24="Pass",AB24="Partial_Pass"),
                Y24&lt;&gt;"",
                TODAY()-Y24&lt;=365
            ),"Compliant","Non_Compliant"),
            "N/A"
        )</f>
        <v/>
      </c>
      <c r="AG24">
        <f>IF(OR(AF24="Compliant",D24&lt;&gt;"Critical"),"N/A",
            CONCATENATE(
                IF(G24&lt;&gt;"Active","Primary not active; ",""),
                IF(H24&lt;&gt;"Yes","Primary training incomplete; ",""),
                IF(M24&lt;&gt;"Active","Backup not active; ",""),
                IF(N24&lt;&gt;"Yes","Backup training incomplete; ",""),
                IF(Q24&lt;80,"Backup readiness &lt;80%; ",""),
                IF(T24&lt;&gt;"Yes","Access not documented; ",""),
                IF(AB24="Fail","Last test failed; ",""),
                IF(Y24="","No test performed; ",IF(TODAY()-Y24&gt;365,"Annual test overdue; ",""))
            )
        )</f>
        <v/>
      </c>
      <c r="AJ24" s="11" t="n"/>
      <c r="AK24" s="11">
        <f>IF(AJ24&lt;&gt;"",AJ24+180,"")</f>
        <v/>
      </c>
    </row>
    <row r="25">
      <c r="I25" s="11" t="n"/>
      <c r="J25" s="11" t="n"/>
      <c r="O25" s="11" t="n"/>
      <c r="P25" s="11" t="n"/>
      <c r="Q25" s="14" t="n"/>
      <c r="R25" s="14" t="n"/>
      <c r="W25" s="11" t="n"/>
      <c r="X25" s="11">
        <f>IF(W25&lt;&gt;"",W25+180,"")</f>
        <v/>
      </c>
      <c r="Y25" s="11" t="n"/>
      <c r="AE25" s="11">
        <f>IF(Y25&lt;&gt;"",Y25+365,"")</f>
        <v/>
      </c>
      <c r="AF25">
        <f>IF(D25="Critical",
            IF(AND(
                G25="Active",
                H25="Yes",
                M25="Active",
                N25="Yes",
                Q25&gt;=80,
                T25="Yes",
                OR(AB25="Pass",AB25="Partial_Pass"),
                Y25&lt;&gt;"",
                TODAY()-Y25&lt;=365
            ),"Compliant","Non_Compliant"),
            "N/A"
        )</f>
        <v/>
      </c>
      <c r="AG25">
        <f>IF(OR(AF25="Compliant",D25&lt;&gt;"Critical"),"N/A",
            CONCATENATE(
                IF(G25&lt;&gt;"Active","Primary not active; ",""),
                IF(H25&lt;&gt;"Yes","Primary training incomplete; ",""),
                IF(M25&lt;&gt;"Active","Backup not active; ",""),
                IF(N25&lt;&gt;"Yes","Backup training incomplete; ",""),
                IF(Q25&lt;80,"Backup readiness &lt;80%; ",""),
                IF(T25&lt;&gt;"Yes","Access not documented; ",""),
                IF(AB25="Fail","Last test failed; ",""),
                IF(Y25="","No test performed; ",IF(TODAY()-Y25&gt;365,"Annual test overdue; ",""))
            )
        )</f>
        <v/>
      </c>
      <c r="AJ25" s="11" t="n"/>
      <c r="AK25" s="11">
        <f>IF(AJ25&lt;&gt;"",AJ25+180,"")</f>
        <v/>
      </c>
    </row>
    <row r="26">
      <c r="I26" s="11" t="n"/>
      <c r="J26" s="11" t="n"/>
      <c r="O26" s="11" t="n"/>
      <c r="P26" s="11" t="n"/>
      <c r="Q26" s="14" t="n"/>
      <c r="R26" s="14" t="n"/>
      <c r="W26" s="11" t="n"/>
      <c r="X26" s="11">
        <f>IF(W26&lt;&gt;"",W26+180,"")</f>
        <v/>
      </c>
      <c r="Y26" s="11" t="n"/>
      <c r="AE26" s="11">
        <f>IF(Y26&lt;&gt;"",Y26+365,"")</f>
        <v/>
      </c>
      <c r="AF26">
        <f>IF(D26="Critical",
            IF(AND(
                G26="Active",
                H26="Yes",
                M26="Active",
                N26="Yes",
                Q26&gt;=80,
                T26="Yes",
                OR(AB26="Pass",AB26="Partial_Pass"),
                Y26&lt;&gt;"",
                TODAY()-Y26&lt;=365
            ),"Compliant","Non_Compliant"),
            "N/A"
        )</f>
        <v/>
      </c>
      <c r="AG26">
        <f>IF(OR(AF26="Compliant",D26&lt;&gt;"Critical"),"N/A",
            CONCATENATE(
                IF(G26&lt;&gt;"Active","Primary not active; ",""),
                IF(H26&lt;&gt;"Yes","Primary training incomplete; ",""),
                IF(M26&lt;&gt;"Active","Backup not active; ",""),
                IF(N26&lt;&gt;"Yes","Backup training incomplete; ",""),
                IF(Q26&lt;80,"Backup readiness &lt;80%; ",""),
                IF(T26&lt;&gt;"Yes","Access not documented; ",""),
                IF(AB26="Fail","Last test failed; ",""),
                IF(Y26="","No test performed; ",IF(TODAY()-Y26&gt;365,"Annual test overdue; ",""))
            )
        )</f>
        <v/>
      </c>
      <c r="AJ26" s="11" t="n"/>
      <c r="AK26" s="11">
        <f>IF(AJ26&lt;&gt;"",AJ26+180,"")</f>
        <v/>
      </c>
    </row>
    <row r="27">
      <c r="I27" s="11" t="n"/>
      <c r="J27" s="11" t="n"/>
      <c r="O27" s="11" t="n"/>
      <c r="P27" s="11" t="n"/>
      <c r="Q27" s="14" t="n"/>
      <c r="R27" s="14" t="n"/>
      <c r="W27" s="11" t="n"/>
      <c r="X27" s="11">
        <f>IF(W27&lt;&gt;"",W27+180,"")</f>
        <v/>
      </c>
      <c r="Y27" s="11" t="n"/>
      <c r="AE27" s="11">
        <f>IF(Y27&lt;&gt;"",Y27+365,"")</f>
        <v/>
      </c>
      <c r="AF27">
        <f>IF(D27="Critical",
            IF(AND(
                G27="Active",
                H27="Yes",
                M27="Active",
                N27="Yes",
                Q27&gt;=80,
                T27="Yes",
                OR(AB27="Pass",AB27="Partial_Pass"),
                Y27&lt;&gt;"",
                TODAY()-Y27&lt;=365
            ),"Compliant","Non_Compliant"),
            "N/A"
        )</f>
        <v/>
      </c>
      <c r="AG27">
        <f>IF(OR(AF27="Compliant",D27&lt;&gt;"Critical"),"N/A",
            CONCATENATE(
                IF(G27&lt;&gt;"Active","Primary not active; ",""),
                IF(H27&lt;&gt;"Yes","Primary training incomplete; ",""),
                IF(M27&lt;&gt;"Active","Backup not active; ",""),
                IF(N27&lt;&gt;"Yes","Backup training incomplete; ",""),
                IF(Q27&lt;80,"Backup readiness &lt;80%; ",""),
                IF(T27&lt;&gt;"Yes","Access not documented; ",""),
                IF(AB27="Fail","Last test failed; ",""),
                IF(Y27="","No test performed; ",IF(TODAY()-Y27&gt;365,"Annual test overdue; ",""))
            )
        )</f>
        <v/>
      </c>
      <c r="AJ27" s="11" t="n"/>
      <c r="AK27" s="11">
        <f>IF(AJ27&lt;&gt;"",AJ27+180,"")</f>
        <v/>
      </c>
    </row>
    <row r="28">
      <c r="I28" s="11" t="n"/>
      <c r="J28" s="11" t="n"/>
      <c r="O28" s="11" t="n"/>
      <c r="P28" s="11" t="n"/>
      <c r="Q28" s="14" t="n"/>
      <c r="R28" s="14" t="n"/>
      <c r="W28" s="11" t="n"/>
      <c r="X28" s="11">
        <f>IF(W28&lt;&gt;"",W28+180,"")</f>
        <v/>
      </c>
      <c r="Y28" s="11" t="n"/>
      <c r="AE28" s="11">
        <f>IF(Y28&lt;&gt;"",Y28+365,"")</f>
        <v/>
      </c>
      <c r="AF28">
        <f>IF(D28="Critical",
            IF(AND(
                G28="Active",
                H28="Yes",
                M28="Active",
                N28="Yes",
                Q28&gt;=80,
                T28="Yes",
                OR(AB28="Pass",AB28="Partial_Pass"),
                Y28&lt;&gt;"",
                TODAY()-Y28&lt;=365
            ),"Compliant","Non_Compliant"),
            "N/A"
        )</f>
        <v/>
      </c>
      <c r="AG28">
        <f>IF(OR(AF28="Compliant",D28&lt;&gt;"Critical"),"N/A",
            CONCATENATE(
                IF(G28&lt;&gt;"Active","Primary not active; ",""),
                IF(H28&lt;&gt;"Yes","Primary training incomplete; ",""),
                IF(M28&lt;&gt;"Active","Backup not active; ",""),
                IF(N28&lt;&gt;"Yes","Backup training incomplete; ",""),
                IF(Q28&lt;80,"Backup readiness &lt;80%; ",""),
                IF(T28&lt;&gt;"Yes","Access not documented; ",""),
                IF(AB28="Fail","Last test failed; ",""),
                IF(Y28="","No test performed; ",IF(TODAY()-Y28&gt;365,"Annual test overdue; ",""))
            )
        )</f>
        <v/>
      </c>
      <c r="AJ28" s="11" t="n"/>
      <c r="AK28" s="11">
        <f>IF(AJ28&lt;&gt;"",AJ28+180,"")</f>
        <v/>
      </c>
    </row>
    <row r="29">
      <c r="I29" s="11" t="n"/>
      <c r="J29" s="11" t="n"/>
      <c r="O29" s="11" t="n"/>
      <c r="P29" s="11" t="n"/>
      <c r="Q29" s="14" t="n"/>
      <c r="R29" s="14" t="n"/>
      <c r="W29" s="11" t="n"/>
      <c r="X29" s="11">
        <f>IF(W29&lt;&gt;"",W29+180,"")</f>
        <v/>
      </c>
      <c r="Y29" s="11" t="n"/>
      <c r="AE29" s="11">
        <f>IF(Y29&lt;&gt;"",Y29+365,"")</f>
        <v/>
      </c>
      <c r="AF29">
        <f>IF(D29="Critical",
            IF(AND(
                G29="Active",
                H29="Yes",
                M29="Active",
                N29="Yes",
                Q29&gt;=80,
                T29="Yes",
                OR(AB29="Pass",AB29="Partial_Pass"),
                Y29&lt;&gt;"",
                TODAY()-Y29&lt;=365
            ),"Compliant","Non_Compliant"),
            "N/A"
        )</f>
        <v/>
      </c>
      <c r="AG29">
        <f>IF(OR(AF29="Compliant",D29&lt;&gt;"Critical"),"N/A",
            CONCATENATE(
                IF(G29&lt;&gt;"Active","Primary not active; ",""),
                IF(H29&lt;&gt;"Yes","Primary training incomplete; ",""),
                IF(M29&lt;&gt;"Active","Backup not active; ",""),
                IF(N29&lt;&gt;"Yes","Backup training incomplete; ",""),
                IF(Q29&lt;80,"Backup readiness &lt;80%; ",""),
                IF(T29&lt;&gt;"Yes","Access not documented; ",""),
                IF(AB29="Fail","Last test failed; ",""),
                IF(Y29="","No test performed; ",IF(TODAY()-Y29&gt;365,"Annual test overdue; ",""))
            )
        )</f>
        <v/>
      </c>
      <c r="AJ29" s="11" t="n"/>
      <c r="AK29" s="11">
        <f>IF(AJ29&lt;&gt;"",AJ29+180,"")</f>
        <v/>
      </c>
    </row>
    <row r="30">
      <c r="I30" s="11" t="n"/>
      <c r="J30" s="11" t="n"/>
      <c r="O30" s="11" t="n"/>
      <c r="P30" s="11" t="n"/>
      <c r="Q30" s="14" t="n"/>
      <c r="R30" s="14" t="n"/>
      <c r="W30" s="11" t="n"/>
      <c r="X30" s="11">
        <f>IF(W30&lt;&gt;"",W30+180,"")</f>
        <v/>
      </c>
      <c r="Y30" s="11" t="n"/>
      <c r="AE30" s="11">
        <f>IF(Y30&lt;&gt;"",Y30+365,"")</f>
        <v/>
      </c>
      <c r="AF30">
        <f>IF(D30="Critical",
            IF(AND(
                G30="Active",
                H30="Yes",
                M30="Active",
                N30="Yes",
                Q30&gt;=80,
                T30="Yes",
                OR(AB30="Pass",AB30="Partial_Pass"),
                Y30&lt;&gt;"",
                TODAY()-Y30&lt;=365
            ),"Compliant","Non_Compliant"),
            "N/A"
        )</f>
        <v/>
      </c>
      <c r="AG30">
        <f>IF(OR(AF30="Compliant",D30&lt;&gt;"Critical"),"N/A",
            CONCATENATE(
                IF(G30&lt;&gt;"Active","Primary not active; ",""),
                IF(H30&lt;&gt;"Yes","Primary training incomplete; ",""),
                IF(M30&lt;&gt;"Active","Backup not active; ",""),
                IF(N30&lt;&gt;"Yes","Backup training incomplete; ",""),
                IF(Q30&lt;80,"Backup readiness &lt;80%; ",""),
                IF(T30&lt;&gt;"Yes","Access not documented; ",""),
                IF(AB30="Fail","Last test failed; ",""),
                IF(Y30="","No test performed; ",IF(TODAY()-Y30&gt;365,"Annual test overdue; ",""))
            )
        )</f>
        <v/>
      </c>
      <c r="AJ30" s="11" t="n"/>
      <c r="AK30" s="11">
        <f>IF(AJ30&lt;&gt;"",AJ30+180,"")</f>
        <v/>
      </c>
    </row>
    <row r="31">
      <c r="I31" s="11" t="n"/>
      <c r="J31" s="11" t="n"/>
      <c r="O31" s="11" t="n"/>
      <c r="P31" s="11" t="n"/>
      <c r="Q31" s="14" t="n"/>
      <c r="R31" s="14" t="n"/>
      <c r="W31" s="11" t="n"/>
      <c r="X31" s="11">
        <f>IF(W31&lt;&gt;"",W31+180,"")</f>
        <v/>
      </c>
      <c r="Y31" s="11" t="n"/>
      <c r="AE31" s="11">
        <f>IF(Y31&lt;&gt;"",Y31+365,"")</f>
        <v/>
      </c>
      <c r="AF31">
        <f>IF(D31="Critical",
            IF(AND(
                G31="Active",
                H31="Yes",
                M31="Active",
                N31="Yes",
                Q31&gt;=80,
                T31="Yes",
                OR(AB31="Pass",AB31="Partial_Pass"),
                Y31&lt;&gt;"",
                TODAY()-Y31&lt;=365
            ),"Compliant","Non_Compliant"),
            "N/A"
        )</f>
        <v/>
      </c>
      <c r="AG31">
        <f>IF(OR(AF31="Compliant",D31&lt;&gt;"Critical"),"N/A",
            CONCATENATE(
                IF(G31&lt;&gt;"Active","Primary not active; ",""),
                IF(H31&lt;&gt;"Yes","Primary training incomplete; ",""),
                IF(M31&lt;&gt;"Active","Backup not active; ",""),
                IF(N31&lt;&gt;"Yes","Backup training incomplete; ",""),
                IF(Q31&lt;80,"Backup readiness &lt;80%; ",""),
                IF(T31&lt;&gt;"Yes","Access not documented; ",""),
                IF(AB31="Fail","Last test failed; ",""),
                IF(Y31="","No test performed; ",IF(TODAY()-Y31&gt;365,"Annual test overdue; ",""))
            )
        )</f>
        <v/>
      </c>
      <c r="AJ31" s="11" t="n"/>
      <c r="AK31" s="11">
        <f>IF(AJ31&lt;&gt;"",AJ31+180,"")</f>
        <v/>
      </c>
    </row>
    <row r="32">
      <c r="I32" s="11" t="n"/>
      <c r="J32" s="11" t="n"/>
      <c r="O32" s="11" t="n"/>
      <c r="P32" s="11" t="n"/>
      <c r="Q32" s="14" t="n"/>
      <c r="R32" s="14" t="n"/>
      <c r="W32" s="11" t="n"/>
      <c r="X32" s="11">
        <f>IF(W32&lt;&gt;"",W32+180,"")</f>
        <v/>
      </c>
      <c r="Y32" s="11" t="n"/>
      <c r="AE32" s="11">
        <f>IF(Y32&lt;&gt;"",Y32+365,"")</f>
        <v/>
      </c>
      <c r="AF32">
        <f>IF(D32="Critical",
            IF(AND(
                G32="Active",
                H32="Yes",
                M32="Active",
                N32="Yes",
                Q32&gt;=80,
                T32="Yes",
                OR(AB32="Pass",AB32="Partial_Pass"),
                Y32&lt;&gt;"",
                TODAY()-Y32&lt;=365
            ),"Compliant","Non_Compliant"),
            "N/A"
        )</f>
        <v/>
      </c>
      <c r="AG32">
        <f>IF(OR(AF32="Compliant",D32&lt;&gt;"Critical"),"N/A",
            CONCATENATE(
                IF(G32&lt;&gt;"Active","Primary not active; ",""),
                IF(H32&lt;&gt;"Yes","Primary training incomplete; ",""),
                IF(M32&lt;&gt;"Active","Backup not active; ",""),
                IF(N32&lt;&gt;"Yes","Backup training incomplete; ",""),
                IF(Q32&lt;80,"Backup readiness &lt;80%; ",""),
                IF(T32&lt;&gt;"Yes","Access not documented; ",""),
                IF(AB32="Fail","Last test failed; ",""),
                IF(Y32="","No test performed; ",IF(TODAY()-Y32&gt;365,"Annual test overdue; ",""))
            )
        )</f>
        <v/>
      </c>
      <c r="AJ32" s="11" t="n"/>
      <c r="AK32" s="11">
        <f>IF(AJ32&lt;&gt;"",AJ32+180,"")</f>
        <v/>
      </c>
    </row>
    <row r="33">
      <c r="I33" s="11" t="n"/>
      <c r="J33" s="11" t="n"/>
      <c r="O33" s="11" t="n"/>
      <c r="P33" s="11" t="n"/>
      <c r="Q33" s="14" t="n"/>
      <c r="R33" s="14" t="n"/>
      <c r="W33" s="11" t="n"/>
      <c r="X33" s="11">
        <f>IF(W33&lt;&gt;"",W33+180,"")</f>
        <v/>
      </c>
      <c r="Y33" s="11" t="n"/>
      <c r="AE33" s="11">
        <f>IF(Y33&lt;&gt;"",Y33+365,"")</f>
        <v/>
      </c>
      <c r="AF33">
        <f>IF(D33="Critical",
            IF(AND(
                G33="Active",
                H33="Yes",
                M33="Active",
                N33="Yes",
                Q33&gt;=80,
                T33="Yes",
                OR(AB33="Pass",AB33="Partial_Pass"),
                Y33&lt;&gt;"",
                TODAY()-Y33&lt;=365
            ),"Compliant","Non_Compliant"),
            "N/A"
        )</f>
        <v/>
      </c>
      <c r="AG33">
        <f>IF(OR(AF33="Compliant",D33&lt;&gt;"Critical"),"N/A",
            CONCATENATE(
                IF(G33&lt;&gt;"Active","Primary not active; ",""),
                IF(H33&lt;&gt;"Yes","Primary training incomplete; ",""),
                IF(M33&lt;&gt;"Active","Backup not active; ",""),
                IF(N33&lt;&gt;"Yes","Backup training incomplete; ",""),
                IF(Q33&lt;80,"Backup readiness &lt;80%; ",""),
                IF(T33&lt;&gt;"Yes","Access not documented; ",""),
                IF(AB33="Fail","Last test failed; ",""),
                IF(Y33="","No test performed; ",IF(TODAY()-Y33&gt;365,"Annual test overdue; ",""))
            )
        )</f>
        <v/>
      </c>
      <c r="AJ33" s="11" t="n"/>
      <c r="AK33" s="11">
        <f>IF(AJ33&lt;&gt;"",AJ33+180,"")</f>
        <v/>
      </c>
    </row>
    <row r="34">
      <c r="I34" s="11" t="n"/>
      <c r="J34" s="11" t="n"/>
      <c r="O34" s="11" t="n"/>
      <c r="P34" s="11" t="n"/>
      <c r="Q34" s="14" t="n"/>
      <c r="R34" s="14" t="n"/>
      <c r="W34" s="11" t="n"/>
      <c r="X34" s="11">
        <f>IF(W34&lt;&gt;"",W34+180,"")</f>
        <v/>
      </c>
      <c r="Y34" s="11" t="n"/>
      <c r="AE34" s="11">
        <f>IF(Y34&lt;&gt;"",Y34+365,"")</f>
        <v/>
      </c>
      <c r="AF34">
        <f>IF(D34="Critical",
            IF(AND(
                G34="Active",
                H34="Yes",
                M34="Active",
                N34="Yes",
                Q34&gt;=80,
                T34="Yes",
                OR(AB34="Pass",AB34="Partial_Pass"),
                Y34&lt;&gt;"",
                TODAY()-Y34&lt;=365
            ),"Compliant","Non_Compliant"),
            "N/A"
        )</f>
        <v/>
      </c>
      <c r="AG34">
        <f>IF(OR(AF34="Compliant",D34&lt;&gt;"Critical"),"N/A",
            CONCATENATE(
                IF(G34&lt;&gt;"Active","Primary not active; ",""),
                IF(H34&lt;&gt;"Yes","Primary training incomplete; ",""),
                IF(M34&lt;&gt;"Active","Backup not active; ",""),
                IF(N34&lt;&gt;"Yes","Backup training incomplete; ",""),
                IF(Q34&lt;80,"Backup readiness &lt;80%; ",""),
                IF(T34&lt;&gt;"Yes","Access not documented; ",""),
                IF(AB34="Fail","Last test failed; ",""),
                IF(Y34="","No test performed; ",IF(TODAY()-Y34&gt;365,"Annual test overdue; ",""))
            )
        )</f>
        <v/>
      </c>
      <c r="AJ34" s="11" t="n"/>
      <c r="AK34" s="11">
        <f>IF(AJ34&lt;&gt;"",AJ34+180,"")</f>
        <v/>
      </c>
    </row>
    <row r="35">
      <c r="I35" s="11" t="n"/>
      <c r="J35" s="11" t="n"/>
      <c r="O35" s="11" t="n"/>
      <c r="P35" s="11" t="n"/>
      <c r="Q35" s="14" t="n"/>
      <c r="R35" s="14" t="n"/>
      <c r="W35" s="11" t="n"/>
      <c r="X35" s="11">
        <f>IF(W35&lt;&gt;"",W35+180,"")</f>
        <v/>
      </c>
      <c r="Y35" s="11" t="n"/>
      <c r="AE35" s="11">
        <f>IF(Y35&lt;&gt;"",Y35+365,"")</f>
        <v/>
      </c>
      <c r="AF35">
        <f>IF(D35="Critical",
            IF(AND(
                G35="Active",
                H35="Yes",
                M35="Active",
                N35="Yes",
                Q35&gt;=80,
                T35="Yes",
                OR(AB35="Pass",AB35="Partial_Pass"),
                Y35&lt;&gt;"",
                TODAY()-Y35&lt;=365
            ),"Compliant","Non_Compliant"),
            "N/A"
        )</f>
        <v/>
      </c>
      <c r="AG35">
        <f>IF(OR(AF35="Compliant",D35&lt;&gt;"Critical"),"N/A",
            CONCATENATE(
                IF(G35&lt;&gt;"Active","Primary not active; ",""),
                IF(H35&lt;&gt;"Yes","Primary training incomplete; ",""),
                IF(M35&lt;&gt;"Active","Backup not active; ",""),
                IF(N35&lt;&gt;"Yes","Backup training incomplete; ",""),
                IF(Q35&lt;80,"Backup readiness &lt;80%; ",""),
                IF(T35&lt;&gt;"Yes","Access not documented; ",""),
                IF(AB35="Fail","Last test failed; ",""),
                IF(Y35="","No test performed; ",IF(TODAY()-Y35&gt;365,"Annual test overdue; ",""))
            )
        )</f>
        <v/>
      </c>
      <c r="AJ35" s="11" t="n"/>
      <c r="AK35" s="11">
        <f>IF(AJ35&lt;&gt;"",AJ35+180,"")</f>
        <v/>
      </c>
    </row>
    <row r="36">
      <c r="I36" s="11" t="n"/>
      <c r="J36" s="11" t="n"/>
      <c r="O36" s="11" t="n"/>
      <c r="P36" s="11" t="n"/>
      <c r="Q36" s="14" t="n"/>
      <c r="R36" s="14" t="n"/>
      <c r="W36" s="11" t="n"/>
      <c r="X36" s="11">
        <f>IF(W36&lt;&gt;"",W36+180,"")</f>
        <v/>
      </c>
      <c r="Y36" s="11" t="n"/>
      <c r="AE36" s="11">
        <f>IF(Y36&lt;&gt;"",Y36+365,"")</f>
        <v/>
      </c>
      <c r="AF36">
        <f>IF(D36="Critical",
            IF(AND(
                G36="Active",
                H36="Yes",
                M36="Active",
                N36="Yes",
                Q36&gt;=80,
                T36="Yes",
                OR(AB36="Pass",AB36="Partial_Pass"),
                Y36&lt;&gt;"",
                TODAY()-Y36&lt;=365
            ),"Compliant","Non_Compliant"),
            "N/A"
        )</f>
        <v/>
      </c>
      <c r="AG36">
        <f>IF(OR(AF36="Compliant",D36&lt;&gt;"Critical"),"N/A",
            CONCATENATE(
                IF(G36&lt;&gt;"Active","Primary not active; ",""),
                IF(H36&lt;&gt;"Yes","Primary training incomplete; ",""),
                IF(M36&lt;&gt;"Active","Backup not active; ",""),
                IF(N36&lt;&gt;"Yes","Backup training incomplete; ",""),
                IF(Q36&lt;80,"Backup readiness &lt;80%; ",""),
                IF(T36&lt;&gt;"Yes","Access not documented; ",""),
                IF(AB36="Fail","Last test failed; ",""),
                IF(Y36="","No test performed; ",IF(TODAY()-Y36&gt;365,"Annual test overdue; ",""))
            )
        )</f>
        <v/>
      </c>
      <c r="AJ36" s="11" t="n"/>
      <c r="AK36" s="11">
        <f>IF(AJ36&lt;&gt;"",AJ36+180,"")</f>
        <v/>
      </c>
    </row>
    <row r="37">
      <c r="I37" s="11" t="n"/>
      <c r="J37" s="11" t="n"/>
      <c r="O37" s="11" t="n"/>
      <c r="P37" s="11" t="n"/>
      <c r="Q37" s="14" t="n"/>
      <c r="R37" s="14" t="n"/>
      <c r="W37" s="11" t="n"/>
      <c r="X37" s="11">
        <f>IF(W37&lt;&gt;"",W37+180,"")</f>
        <v/>
      </c>
      <c r="Y37" s="11" t="n"/>
      <c r="AE37" s="11">
        <f>IF(Y37&lt;&gt;"",Y37+365,"")</f>
        <v/>
      </c>
      <c r="AF37">
        <f>IF(D37="Critical",
            IF(AND(
                G37="Active",
                H37="Yes",
                M37="Active",
                N37="Yes",
                Q37&gt;=80,
                T37="Yes",
                OR(AB37="Pass",AB37="Partial_Pass"),
                Y37&lt;&gt;"",
                TODAY()-Y37&lt;=365
            ),"Compliant","Non_Compliant"),
            "N/A"
        )</f>
        <v/>
      </c>
      <c r="AG37">
        <f>IF(OR(AF37="Compliant",D37&lt;&gt;"Critical"),"N/A",
            CONCATENATE(
                IF(G37&lt;&gt;"Active","Primary not active; ",""),
                IF(H37&lt;&gt;"Yes","Primary training incomplete; ",""),
                IF(M37&lt;&gt;"Active","Backup not active; ",""),
                IF(N37&lt;&gt;"Yes","Backup training incomplete; ",""),
                IF(Q37&lt;80,"Backup readiness &lt;80%; ",""),
                IF(T37&lt;&gt;"Yes","Access not documented; ",""),
                IF(AB37="Fail","Last test failed; ",""),
                IF(Y37="","No test performed; ",IF(TODAY()-Y37&gt;365,"Annual test overdue; ",""))
            )
        )</f>
        <v/>
      </c>
      <c r="AJ37" s="11" t="n"/>
      <c r="AK37" s="11">
        <f>IF(AJ37&lt;&gt;"",AJ37+180,"")</f>
        <v/>
      </c>
    </row>
    <row r="38">
      <c r="I38" s="11" t="n"/>
      <c r="J38" s="11" t="n"/>
      <c r="O38" s="11" t="n"/>
      <c r="P38" s="11" t="n"/>
      <c r="Q38" s="14" t="n"/>
      <c r="R38" s="14" t="n"/>
      <c r="W38" s="11" t="n"/>
      <c r="X38" s="11">
        <f>IF(W38&lt;&gt;"",W38+180,"")</f>
        <v/>
      </c>
      <c r="Y38" s="11" t="n"/>
      <c r="AE38" s="11">
        <f>IF(Y38&lt;&gt;"",Y38+365,"")</f>
        <v/>
      </c>
      <c r="AF38">
        <f>IF(D38="Critical",
            IF(AND(
                G38="Active",
                H38="Yes",
                M38="Active",
                N38="Yes",
                Q38&gt;=80,
                T38="Yes",
                OR(AB38="Pass",AB38="Partial_Pass"),
                Y38&lt;&gt;"",
                TODAY()-Y38&lt;=365
            ),"Compliant","Non_Compliant"),
            "N/A"
        )</f>
        <v/>
      </c>
      <c r="AG38">
        <f>IF(OR(AF38="Compliant",D38&lt;&gt;"Critical"),"N/A",
            CONCATENATE(
                IF(G38&lt;&gt;"Active","Primary not active; ",""),
                IF(H38&lt;&gt;"Yes","Primary training incomplete; ",""),
                IF(M38&lt;&gt;"Active","Backup not active; ",""),
                IF(N38&lt;&gt;"Yes","Backup training incomplete; ",""),
                IF(Q38&lt;80,"Backup readiness &lt;80%; ",""),
                IF(T38&lt;&gt;"Yes","Access not documented; ",""),
                IF(AB38="Fail","Last test failed; ",""),
                IF(Y38="","No test performed; ",IF(TODAY()-Y38&gt;365,"Annual test overdue; ",""))
            )
        )</f>
        <v/>
      </c>
      <c r="AJ38" s="11" t="n"/>
      <c r="AK38" s="11">
        <f>IF(AJ38&lt;&gt;"",AJ38+180,"")</f>
        <v/>
      </c>
    </row>
    <row r="39">
      <c r="I39" s="11" t="n"/>
      <c r="J39" s="11" t="n"/>
      <c r="O39" s="11" t="n"/>
      <c r="P39" s="11" t="n"/>
      <c r="Q39" s="14" t="n"/>
      <c r="R39" s="14" t="n"/>
      <c r="W39" s="11" t="n"/>
      <c r="X39" s="11">
        <f>IF(W39&lt;&gt;"",W39+180,"")</f>
        <v/>
      </c>
      <c r="Y39" s="11" t="n"/>
      <c r="AE39" s="11">
        <f>IF(Y39&lt;&gt;"",Y39+365,"")</f>
        <v/>
      </c>
      <c r="AF39">
        <f>IF(D39="Critical",
            IF(AND(
                G39="Active",
                H39="Yes",
                M39="Active",
                N39="Yes",
                Q39&gt;=80,
                T39="Yes",
                OR(AB39="Pass",AB39="Partial_Pass"),
                Y39&lt;&gt;"",
                TODAY()-Y39&lt;=365
            ),"Compliant","Non_Compliant"),
            "N/A"
        )</f>
        <v/>
      </c>
      <c r="AG39">
        <f>IF(OR(AF39="Compliant",D39&lt;&gt;"Critical"),"N/A",
            CONCATENATE(
                IF(G39&lt;&gt;"Active","Primary not active; ",""),
                IF(H39&lt;&gt;"Yes","Primary training incomplete; ",""),
                IF(M39&lt;&gt;"Active","Backup not active; ",""),
                IF(N39&lt;&gt;"Yes","Backup training incomplete; ",""),
                IF(Q39&lt;80,"Backup readiness &lt;80%; ",""),
                IF(T39&lt;&gt;"Yes","Access not documented; ",""),
                IF(AB39="Fail","Last test failed; ",""),
                IF(Y39="","No test performed; ",IF(TODAY()-Y39&gt;365,"Annual test overdue; ",""))
            )
        )</f>
        <v/>
      </c>
      <c r="AJ39" s="11" t="n"/>
      <c r="AK39" s="11">
        <f>IF(AJ39&lt;&gt;"",AJ39+180,"")</f>
        <v/>
      </c>
    </row>
    <row r="40">
      <c r="I40" s="11" t="n"/>
      <c r="J40" s="11" t="n"/>
      <c r="O40" s="11" t="n"/>
      <c r="P40" s="11" t="n"/>
      <c r="Q40" s="14" t="n"/>
      <c r="R40" s="14" t="n"/>
      <c r="W40" s="11" t="n"/>
      <c r="X40" s="11">
        <f>IF(W40&lt;&gt;"",W40+180,"")</f>
        <v/>
      </c>
      <c r="Y40" s="11" t="n"/>
      <c r="AE40" s="11">
        <f>IF(Y40&lt;&gt;"",Y40+365,"")</f>
        <v/>
      </c>
      <c r="AF40">
        <f>IF(D40="Critical",
            IF(AND(
                G40="Active",
                H40="Yes",
                M40="Active",
                N40="Yes",
                Q40&gt;=80,
                T40="Yes",
                OR(AB40="Pass",AB40="Partial_Pass"),
                Y40&lt;&gt;"",
                TODAY()-Y40&lt;=365
            ),"Compliant","Non_Compliant"),
            "N/A"
        )</f>
        <v/>
      </c>
      <c r="AG40">
        <f>IF(OR(AF40="Compliant",D40&lt;&gt;"Critical"),"N/A",
            CONCATENATE(
                IF(G40&lt;&gt;"Active","Primary not active; ",""),
                IF(H40&lt;&gt;"Yes","Primary training incomplete; ",""),
                IF(M40&lt;&gt;"Active","Backup not active; ",""),
                IF(N40&lt;&gt;"Yes","Backup training incomplete; ",""),
                IF(Q40&lt;80,"Backup readiness &lt;80%; ",""),
                IF(T40&lt;&gt;"Yes","Access not documented; ",""),
                IF(AB40="Fail","Last test failed; ",""),
                IF(Y40="","No test performed; ",IF(TODAY()-Y40&gt;365,"Annual test overdue; ",""))
            )
        )</f>
        <v/>
      </c>
      <c r="AJ40" s="11" t="n"/>
      <c r="AK40" s="11">
        <f>IF(AJ40&lt;&gt;"",AJ40+180,"")</f>
        <v/>
      </c>
    </row>
    <row r="41">
      <c r="I41" s="11" t="n"/>
      <c r="J41" s="11" t="n"/>
      <c r="O41" s="11" t="n"/>
      <c r="P41" s="11" t="n"/>
      <c r="Q41" s="14" t="n"/>
      <c r="R41" s="14" t="n"/>
      <c r="W41" s="11" t="n"/>
      <c r="X41" s="11">
        <f>IF(W41&lt;&gt;"",W41+180,"")</f>
        <v/>
      </c>
      <c r="Y41" s="11" t="n"/>
      <c r="AE41" s="11">
        <f>IF(Y41&lt;&gt;"",Y41+365,"")</f>
        <v/>
      </c>
      <c r="AF41">
        <f>IF(D41="Critical",
            IF(AND(
                G41="Active",
                H41="Yes",
                M41="Active",
                N41="Yes",
                Q41&gt;=80,
                T41="Yes",
                OR(AB41="Pass",AB41="Partial_Pass"),
                Y41&lt;&gt;"",
                TODAY()-Y41&lt;=365
            ),"Compliant","Non_Compliant"),
            "N/A"
        )</f>
        <v/>
      </c>
      <c r="AG41">
        <f>IF(OR(AF41="Compliant",D41&lt;&gt;"Critical"),"N/A",
            CONCATENATE(
                IF(G41&lt;&gt;"Active","Primary not active; ",""),
                IF(H41&lt;&gt;"Yes","Primary training incomplete; ",""),
                IF(M41&lt;&gt;"Active","Backup not active; ",""),
                IF(N41&lt;&gt;"Yes","Backup training incomplete; ",""),
                IF(Q41&lt;80,"Backup readiness &lt;80%; ",""),
                IF(T41&lt;&gt;"Yes","Access not documented; ",""),
                IF(AB41="Fail","Last test failed; ",""),
                IF(Y41="","No test performed; ",IF(TODAY()-Y41&gt;365,"Annual test overdue; ",""))
            )
        )</f>
        <v/>
      </c>
      <c r="AJ41" s="11" t="n"/>
      <c r="AK41" s="11">
        <f>IF(AJ41&lt;&gt;"",AJ41+180,"")</f>
        <v/>
      </c>
    </row>
    <row r="42">
      <c r="I42" s="11" t="n"/>
      <c r="J42" s="11" t="n"/>
      <c r="O42" s="11" t="n"/>
      <c r="P42" s="11" t="n"/>
      <c r="Q42" s="14" t="n"/>
      <c r="R42" s="14" t="n"/>
      <c r="W42" s="11" t="n"/>
      <c r="X42" s="11">
        <f>IF(W42&lt;&gt;"",W42+180,"")</f>
        <v/>
      </c>
      <c r="Y42" s="11" t="n"/>
      <c r="AE42" s="11">
        <f>IF(Y42&lt;&gt;"",Y42+365,"")</f>
        <v/>
      </c>
      <c r="AF42">
        <f>IF(D42="Critical",
            IF(AND(
                G42="Active",
                H42="Yes",
                M42="Active",
                N42="Yes",
                Q42&gt;=80,
                T42="Yes",
                OR(AB42="Pass",AB42="Partial_Pass"),
                Y42&lt;&gt;"",
                TODAY()-Y42&lt;=365
            ),"Compliant","Non_Compliant"),
            "N/A"
        )</f>
        <v/>
      </c>
      <c r="AG42">
        <f>IF(OR(AF42="Compliant",D42&lt;&gt;"Critical"),"N/A",
            CONCATENATE(
                IF(G42&lt;&gt;"Active","Primary not active; ",""),
                IF(H42&lt;&gt;"Yes","Primary training incomplete; ",""),
                IF(M42&lt;&gt;"Active","Backup not active; ",""),
                IF(N42&lt;&gt;"Yes","Backup training incomplete; ",""),
                IF(Q42&lt;80,"Backup readiness &lt;80%; ",""),
                IF(T42&lt;&gt;"Yes","Access not documented; ",""),
                IF(AB42="Fail","Last test failed; ",""),
                IF(Y42="","No test performed; ",IF(TODAY()-Y42&gt;365,"Annual test overdue; ",""))
            )
        )</f>
        <v/>
      </c>
      <c r="AJ42" s="11" t="n"/>
      <c r="AK42" s="11">
        <f>IF(AJ42&lt;&gt;"",AJ42+180,"")</f>
        <v/>
      </c>
    </row>
    <row r="43">
      <c r="I43" s="11" t="n"/>
      <c r="J43" s="11" t="n"/>
      <c r="O43" s="11" t="n"/>
      <c r="P43" s="11" t="n"/>
      <c r="Q43" s="14" t="n"/>
      <c r="R43" s="14" t="n"/>
      <c r="W43" s="11" t="n"/>
      <c r="X43" s="11">
        <f>IF(W43&lt;&gt;"",W43+180,"")</f>
        <v/>
      </c>
      <c r="Y43" s="11" t="n"/>
      <c r="AE43" s="11">
        <f>IF(Y43&lt;&gt;"",Y43+365,"")</f>
        <v/>
      </c>
      <c r="AF43">
        <f>IF(D43="Critical",
            IF(AND(
                G43="Active",
                H43="Yes",
                M43="Active",
                N43="Yes",
                Q43&gt;=80,
                T43="Yes",
                OR(AB43="Pass",AB43="Partial_Pass"),
                Y43&lt;&gt;"",
                TODAY()-Y43&lt;=365
            ),"Compliant","Non_Compliant"),
            "N/A"
        )</f>
        <v/>
      </c>
      <c r="AG43">
        <f>IF(OR(AF43="Compliant",D43&lt;&gt;"Critical"),"N/A",
            CONCATENATE(
                IF(G43&lt;&gt;"Active","Primary not active; ",""),
                IF(H43&lt;&gt;"Yes","Primary training incomplete; ",""),
                IF(M43&lt;&gt;"Active","Backup not active; ",""),
                IF(N43&lt;&gt;"Yes","Backup training incomplete; ",""),
                IF(Q43&lt;80,"Backup readiness &lt;80%; ",""),
                IF(T43&lt;&gt;"Yes","Access not documented; ",""),
                IF(AB43="Fail","Last test failed; ",""),
                IF(Y43="","No test performed; ",IF(TODAY()-Y43&gt;365,"Annual test overdue; ",""))
            )
        )</f>
        <v/>
      </c>
      <c r="AJ43" s="11" t="n"/>
      <c r="AK43" s="11">
        <f>IF(AJ43&lt;&gt;"",AJ43+180,"")</f>
        <v/>
      </c>
    </row>
    <row r="44">
      <c r="I44" s="11" t="n"/>
      <c r="J44" s="11" t="n"/>
      <c r="O44" s="11" t="n"/>
      <c r="P44" s="11" t="n"/>
      <c r="Q44" s="14" t="n"/>
      <c r="R44" s="14" t="n"/>
      <c r="W44" s="11" t="n"/>
      <c r="X44" s="11">
        <f>IF(W44&lt;&gt;"",W44+180,"")</f>
        <v/>
      </c>
      <c r="Y44" s="11" t="n"/>
      <c r="AE44" s="11">
        <f>IF(Y44&lt;&gt;"",Y44+365,"")</f>
        <v/>
      </c>
      <c r="AF44">
        <f>IF(D44="Critical",
            IF(AND(
                G44="Active",
                H44="Yes",
                M44="Active",
                N44="Yes",
                Q44&gt;=80,
                T44="Yes",
                OR(AB44="Pass",AB44="Partial_Pass"),
                Y44&lt;&gt;"",
                TODAY()-Y44&lt;=365
            ),"Compliant","Non_Compliant"),
            "N/A"
        )</f>
        <v/>
      </c>
      <c r="AG44">
        <f>IF(OR(AF44="Compliant",D44&lt;&gt;"Critical"),"N/A",
            CONCATENATE(
                IF(G44&lt;&gt;"Active","Primary not active; ",""),
                IF(H44&lt;&gt;"Yes","Primary training incomplete; ",""),
                IF(M44&lt;&gt;"Active","Backup not active; ",""),
                IF(N44&lt;&gt;"Yes","Backup training incomplete; ",""),
                IF(Q44&lt;80,"Backup readiness &lt;80%; ",""),
                IF(T44&lt;&gt;"Yes","Access not documented; ",""),
                IF(AB44="Fail","Last test failed; ",""),
                IF(Y44="","No test performed; ",IF(TODAY()-Y44&gt;365,"Annual test overdue; ",""))
            )
        )</f>
        <v/>
      </c>
      <c r="AJ44" s="11" t="n"/>
      <c r="AK44" s="11">
        <f>IF(AJ44&lt;&gt;"",AJ44+180,"")</f>
        <v/>
      </c>
    </row>
    <row r="45">
      <c r="I45" s="11" t="n"/>
      <c r="J45" s="11" t="n"/>
      <c r="O45" s="11" t="n"/>
      <c r="P45" s="11" t="n"/>
      <c r="Q45" s="14" t="n"/>
      <c r="R45" s="14" t="n"/>
      <c r="W45" s="11" t="n"/>
      <c r="X45" s="11">
        <f>IF(W45&lt;&gt;"",W45+180,"")</f>
        <v/>
      </c>
      <c r="Y45" s="11" t="n"/>
      <c r="AE45" s="11">
        <f>IF(Y45&lt;&gt;"",Y45+365,"")</f>
        <v/>
      </c>
      <c r="AF45">
        <f>IF(D45="Critical",
            IF(AND(
                G45="Active",
                H45="Yes",
                M45="Active",
                N45="Yes",
                Q45&gt;=80,
                T45="Yes",
                OR(AB45="Pass",AB45="Partial_Pass"),
                Y45&lt;&gt;"",
                TODAY()-Y45&lt;=365
            ),"Compliant","Non_Compliant"),
            "N/A"
        )</f>
        <v/>
      </c>
      <c r="AG45">
        <f>IF(OR(AF45="Compliant",D45&lt;&gt;"Critical"),"N/A",
            CONCATENATE(
                IF(G45&lt;&gt;"Active","Primary not active; ",""),
                IF(H45&lt;&gt;"Yes","Primary training incomplete; ",""),
                IF(M45&lt;&gt;"Active","Backup not active; ",""),
                IF(N45&lt;&gt;"Yes","Backup training incomplete; ",""),
                IF(Q45&lt;80,"Backup readiness &lt;80%; ",""),
                IF(T45&lt;&gt;"Yes","Access not documented; ",""),
                IF(AB45="Fail","Last test failed; ",""),
                IF(Y45="","No test performed; ",IF(TODAY()-Y45&gt;365,"Annual test overdue; ",""))
            )
        )</f>
        <v/>
      </c>
      <c r="AJ45" s="11" t="n"/>
      <c r="AK45" s="11">
        <f>IF(AJ45&lt;&gt;"",AJ45+180,"")</f>
        <v/>
      </c>
    </row>
    <row r="46">
      <c r="I46" s="11" t="n"/>
      <c r="J46" s="11" t="n"/>
      <c r="O46" s="11" t="n"/>
      <c r="P46" s="11" t="n"/>
      <c r="Q46" s="14" t="n"/>
      <c r="R46" s="14" t="n"/>
      <c r="W46" s="11" t="n"/>
      <c r="X46" s="11">
        <f>IF(W46&lt;&gt;"",W46+180,"")</f>
        <v/>
      </c>
      <c r="Y46" s="11" t="n"/>
      <c r="AE46" s="11">
        <f>IF(Y46&lt;&gt;"",Y46+365,"")</f>
        <v/>
      </c>
      <c r="AF46">
        <f>IF(D46="Critical",
            IF(AND(
                G46="Active",
                H46="Yes",
                M46="Active",
                N46="Yes",
                Q46&gt;=80,
                T46="Yes",
                OR(AB46="Pass",AB46="Partial_Pass"),
                Y46&lt;&gt;"",
                TODAY()-Y46&lt;=365
            ),"Compliant","Non_Compliant"),
            "N/A"
        )</f>
        <v/>
      </c>
      <c r="AG46">
        <f>IF(OR(AF46="Compliant",D46&lt;&gt;"Critical"),"N/A",
            CONCATENATE(
                IF(G46&lt;&gt;"Active","Primary not active; ",""),
                IF(H46&lt;&gt;"Yes","Primary training incomplete; ",""),
                IF(M46&lt;&gt;"Active","Backup not active; ",""),
                IF(N46&lt;&gt;"Yes","Backup training incomplete; ",""),
                IF(Q46&lt;80,"Backup readiness &lt;80%; ",""),
                IF(T46&lt;&gt;"Yes","Access not documented; ",""),
                IF(AB46="Fail","Last test failed; ",""),
                IF(Y46="","No test performed; ",IF(TODAY()-Y46&gt;365,"Annual test overdue; ",""))
            )
        )</f>
        <v/>
      </c>
      <c r="AJ46" s="11" t="n"/>
      <c r="AK46" s="11">
        <f>IF(AJ46&lt;&gt;"",AJ46+180,"")</f>
        <v/>
      </c>
    </row>
    <row r="47">
      <c r="I47" s="11" t="n"/>
      <c r="J47" s="11" t="n"/>
      <c r="O47" s="11" t="n"/>
      <c r="P47" s="11" t="n"/>
      <c r="Q47" s="14" t="n"/>
      <c r="R47" s="14" t="n"/>
      <c r="W47" s="11" t="n"/>
      <c r="X47" s="11">
        <f>IF(W47&lt;&gt;"",W47+180,"")</f>
        <v/>
      </c>
      <c r="Y47" s="11" t="n"/>
      <c r="AE47" s="11">
        <f>IF(Y47&lt;&gt;"",Y47+365,"")</f>
        <v/>
      </c>
      <c r="AF47">
        <f>IF(D47="Critical",
            IF(AND(
                G47="Active",
                H47="Yes",
                M47="Active",
                N47="Yes",
                Q47&gt;=80,
                T47="Yes",
                OR(AB47="Pass",AB47="Partial_Pass"),
                Y47&lt;&gt;"",
                TODAY()-Y47&lt;=365
            ),"Compliant","Non_Compliant"),
            "N/A"
        )</f>
        <v/>
      </c>
      <c r="AG47">
        <f>IF(OR(AF47="Compliant",D47&lt;&gt;"Critical"),"N/A",
            CONCATENATE(
                IF(G47&lt;&gt;"Active","Primary not active; ",""),
                IF(H47&lt;&gt;"Yes","Primary training incomplete; ",""),
                IF(M47&lt;&gt;"Active","Backup not active; ",""),
                IF(N47&lt;&gt;"Yes","Backup training incomplete; ",""),
                IF(Q47&lt;80,"Backup readiness &lt;80%; ",""),
                IF(T47&lt;&gt;"Yes","Access not documented; ",""),
                IF(AB47="Fail","Last test failed; ",""),
                IF(Y47="","No test performed; ",IF(TODAY()-Y47&gt;365,"Annual test overdue; ",""))
            )
        )</f>
        <v/>
      </c>
      <c r="AJ47" s="11" t="n"/>
      <c r="AK47" s="11">
        <f>IF(AJ47&lt;&gt;"",AJ47+180,"")</f>
        <v/>
      </c>
    </row>
    <row r="48">
      <c r="I48" s="11" t="n"/>
      <c r="J48" s="11" t="n"/>
      <c r="O48" s="11" t="n"/>
      <c r="P48" s="11" t="n"/>
      <c r="Q48" s="14" t="n"/>
      <c r="R48" s="14" t="n"/>
      <c r="W48" s="11" t="n"/>
      <c r="X48" s="11">
        <f>IF(W48&lt;&gt;"",W48+180,"")</f>
        <v/>
      </c>
      <c r="Y48" s="11" t="n"/>
      <c r="AE48" s="11">
        <f>IF(Y48&lt;&gt;"",Y48+365,"")</f>
        <v/>
      </c>
      <c r="AF48">
        <f>IF(D48="Critical",
            IF(AND(
                G48="Active",
                H48="Yes",
                M48="Active",
                N48="Yes",
                Q48&gt;=80,
                T48="Yes",
                OR(AB48="Pass",AB48="Partial_Pass"),
                Y48&lt;&gt;"",
                TODAY()-Y48&lt;=365
            ),"Compliant","Non_Compliant"),
            "N/A"
        )</f>
        <v/>
      </c>
      <c r="AG48">
        <f>IF(OR(AF48="Compliant",D48&lt;&gt;"Critical"),"N/A",
            CONCATENATE(
                IF(G48&lt;&gt;"Active","Primary not active; ",""),
                IF(H48&lt;&gt;"Yes","Primary training incomplete; ",""),
                IF(M48&lt;&gt;"Active","Backup not active; ",""),
                IF(N48&lt;&gt;"Yes","Backup training incomplete; ",""),
                IF(Q48&lt;80,"Backup readiness &lt;80%; ",""),
                IF(T48&lt;&gt;"Yes","Access not documented; ",""),
                IF(AB48="Fail","Last test failed; ",""),
                IF(Y48="","No test performed; ",IF(TODAY()-Y48&gt;365,"Annual test overdue; ",""))
            )
        )</f>
        <v/>
      </c>
      <c r="AJ48" s="11" t="n"/>
      <c r="AK48" s="11">
        <f>IF(AJ48&lt;&gt;"",AJ48+180,"")</f>
        <v/>
      </c>
    </row>
    <row r="49">
      <c r="I49" s="11" t="n"/>
      <c r="J49" s="11" t="n"/>
      <c r="O49" s="11" t="n"/>
      <c r="P49" s="11" t="n"/>
      <c r="Q49" s="14" t="n"/>
      <c r="R49" s="14" t="n"/>
      <c r="W49" s="11" t="n"/>
      <c r="X49" s="11">
        <f>IF(W49&lt;&gt;"",W49+180,"")</f>
        <v/>
      </c>
      <c r="Y49" s="11" t="n"/>
      <c r="AE49" s="11">
        <f>IF(Y49&lt;&gt;"",Y49+365,"")</f>
        <v/>
      </c>
      <c r="AF49">
        <f>IF(D49="Critical",
            IF(AND(
                G49="Active",
                H49="Yes",
                M49="Active",
                N49="Yes",
                Q49&gt;=80,
                T49="Yes",
                OR(AB49="Pass",AB49="Partial_Pass"),
                Y49&lt;&gt;"",
                TODAY()-Y49&lt;=365
            ),"Compliant","Non_Compliant"),
            "N/A"
        )</f>
        <v/>
      </c>
      <c r="AG49">
        <f>IF(OR(AF49="Compliant",D49&lt;&gt;"Critical"),"N/A",
            CONCATENATE(
                IF(G49&lt;&gt;"Active","Primary not active; ",""),
                IF(H49&lt;&gt;"Yes","Primary training incomplete; ",""),
                IF(M49&lt;&gt;"Active","Backup not active; ",""),
                IF(N49&lt;&gt;"Yes","Backup training incomplete; ",""),
                IF(Q49&lt;80,"Backup readiness &lt;80%; ",""),
                IF(T49&lt;&gt;"Yes","Access not documented; ",""),
                IF(AB49="Fail","Last test failed; ",""),
                IF(Y49="","No test performed; ",IF(TODAY()-Y49&gt;365,"Annual test overdue; ",""))
            )
        )</f>
        <v/>
      </c>
      <c r="AJ49" s="11" t="n"/>
      <c r="AK49" s="11">
        <f>IF(AJ49&lt;&gt;"",AJ49+180,"")</f>
        <v/>
      </c>
    </row>
    <row r="50">
      <c r="I50" s="11" t="n"/>
      <c r="J50" s="11" t="n"/>
      <c r="O50" s="11" t="n"/>
      <c r="P50" s="11" t="n"/>
      <c r="Q50" s="14" t="n"/>
      <c r="R50" s="14" t="n"/>
      <c r="W50" s="11" t="n"/>
      <c r="X50" s="11">
        <f>IF(W50&lt;&gt;"",W50+180,"")</f>
        <v/>
      </c>
      <c r="Y50" s="11" t="n"/>
      <c r="AE50" s="11">
        <f>IF(Y50&lt;&gt;"",Y50+365,"")</f>
        <v/>
      </c>
      <c r="AF50">
        <f>IF(D50="Critical",
            IF(AND(
                G50="Active",
                H50="Yes",
                M50="Active",
                N50="Yes",
                Q50&gt;=80,
                T50="Yes",
                OR(AB50="Pass",AB50="Partial_Pass"),
                Y50&lt;&gt;"",
                TODAY()-Y50&lt;=365
            ),"Compliant","Non_Compliant"),
            "N/A"
        )</f>
        <v/>
      </c>
      <c r="AG50">
        <f>IF(OR(AF50="Compliant",D50&lt;&gt;"Critical"),"N/A",
            CONCATENATE(
                IF(G50&lt;&gt;"Active","Primary not active; ",""),
                IF(H50&lt;&gt;"Yes","Primary training incomplete; ",""),
                IF(M50&lt;&gt;"Active","Backup not active; ",""),
                IF(N50&lt;&gt;"Yes","Backup training incomplete; ",""),
                IF(Q50&lt;80,"Backup readiness &lt;80%; ",""),
                IF(T50&lt;&gt;"Yes","Access not documented; ",""),
                IF(AB50="Fail","Last test failed; ",""),
                IF(Y50="","No test performed; ",IF(TODAY()-Y50&gt;365,"Annual test overdue; ",""))
            )
        )</f>
        <v/>
      </c>
      <c r="AJ50" s="11" t="n"/>
      <c r="AK50" s="11">
        <f>IF(AJ50&lt;&gt;"",AJ50+180,"")</f>
        <v/>
      </c>
    </row>
    <row r="51">
      <c r="I51" s="11" t="n"/>
      <c r="J51" s="11" t="n"/>
      <c r="O51" s="11" t="n"/>
      <c r="P51" s="11" t="n"/>
      <c r="Q51" s="14" t="n"/>
      <c r="R51" s="14" t="n"/>
      <c r="W51" s="11" t="n"/>
      <c r="X51" s="11">
        <f>IF(W51&lt;&gt;"",W51+180,"")</f>
        <v/>
      </c>
      <c r="Y51" s="11" t="n"/>
      <c r="AE51" s="11">
        <f>IF(Y51&lt;&gt;"",Y51+365,"")</f>
        <v/>
      </c>
      <c r="AF51">
        <f>IF(D51="Critical",
            IF(AND(
                G51="Active",
                H51="Yes",
                M51="Active",
                N51="Yes",
                Q51&gt;=80,
                T51="Yes",
                OR(AB51="Pass",AB51="Partial_Pass"),
                Y51&lt;&gt;"",
                TODAY()-Y51&lt;=365
            ),"Compliant","Non_Compliant"),
            "N/A"
        )</f>
        <v/>
      </c>
      <c r="AG51">
        <f>IF(OR(AF51="Compliant",D51&lt;&gt;"Critical"),"N/A",
            CONCATENATE(
                IF(G51&lt;&gt;"Active","Primary not active; ",""),
                IF(H51&lt;&gt;"Yes","Primary training incomplete; ",""),
                IF(M51&lt;&gt;"Active","Backup not active; ",""),
                IF(N51&lt;&gt;"Yes","Backup training incomplete; ",""),
                IF(Q51&lt;80,"Backup readiness &lt;80%; ",""),
                IF(T51&lt;&gt;"Yes","Access not documented; ",""),
                IF(AB51="Fail","Last test failed; ",""),
                IF(Y51="","No test performed; ",IF(TODAY()-Y51&gt;365,"Annual test overdue; ",""))
            )
        )</f>
        <v/>
      </c>
      <c r="AJ51" s="11" t="n"/>
      <c r="AK51" s="11">
        <f>IF(AJ51&lt;&gt;"",AJ51+180,"")</f>
        <v/>
      </c>
    </row>
    <row r="52">
      <c r="I52" s="11" t="n"/>
      <c r="J52" s="11" t="n"/>
      <c r="O52" s="11" t="n"/>
      <c r="P52" s="11" t="n"/>
      <c r="Q52" s="14" t="n"/>
      <c r="R52" s="14" t="n"/>
      <c r="W52" s="11" t="n"/>
      <c r="X52" s="11">
        <f>IF(W52&lt;&gt;"",W52+180,"")</f>
        <v/>
      </c>
      <c r="Y52" s="11" t="n"/>
      <c r="AE52" s="11">
        <f>IF(Y52&lt;&gt;"",Y52+365,"")</f>
        <v/>
      </c>
      <c r="AF52">
        <f>IF(D52="Critical",
            IF(AND(
                G52="Active",
                H52="Yes",
                M52="Active",
                N52="Yes",
                Q52&gt;=80,
                T52="Yes",
                OR(AB52="Pass",AB52="Partial_Pass"),
                Y52&lt;&gt;"",
                TODAY()-Y52&lt;=365
            ),"Compliant","Non_Compliant"),
            "N/A"
        )</f>
        <v/>
      </c>
      <c r="AG52">
        <f>IF(OR(AF52="Compliant",D52&lt;&gt;"Critical"),"N/A",
            CONCATENATE(
                IF(G52&lt;&gt;"Active","Primary not active; ",""),
                IF(H52&lt;&gt;"Yes","Primary training incomplete; ",""),
                IF(M52&lt;&gt;"Active","Backup not active; ",""),
                IF(N52&lt;&gt;"Yes","Backup training incomplete; ",""),
                IF(Q52&lt;80,"Backup readiness &lt;80%; ",""),
                IF(T52&lt;&gt;"Yes","Access not documented; ",""),
                IF(AB52="Fail","Last test failed; ",""),
                IF(Y52="","No test performed; ",IF(TODAY()-Y52&gt;365,"Annual test overdue; ",""))
            )
        )</f>
        <v/>
      </c>
      <c r="AJ52" s="11" t="n"/>
      <c r="AK52" s="11">
        <f>IF(AJ52&lt;&gt;"",AJ52+180,"")</f>
        <v/>
      </c>
    </row>
    <row r="53">
      <c r="I53" s="11" t="n"/>
      <c r="J53" s="11" t="n"/>
      <c r="O53" s="11" t="n"/>
      <c r="P53" s="11" t="n"/>
      <c r="Q53" s="14" t="n"/>
      <c r="R53" s="14" t="n"/>
      <c r="W53" s="11" t="n"/>
      <c r="X53" s="11">
        <f>IF(W53&lt;&gt;"",W53+180,"")</f>
        <v/>
      </c>
      <c r="Y53" s="11" t="n"/>
      <c r="AE53" s="11">
        <f>IF(Y53&lt;&gt;"",Y53+365,"")</f>
        <v/>
      </c>
      <c r="AF53">
        <f>IF(D53="Critical",
            IF(AND(
                G53="Active",
                H53="Yes",
                M53="Active",
                N53="Yes",
                Q53&gt;=80,
                T53="Yes",
                OR(AB53="Pass",AB53="Partial_Pass"),
                Y53&lt;&gt;"",
                TODAY()-Y53&lt;=365
            ),"Compliant","Non_Compliant"),
            "N/A"
        )</f>
        <v/>
      </c>
      <c r="AG53">
        <f>IF(OR(AF53="Compliant",D53&lt;&gt;"Critical"),"N/A",
            CONCATENATE(
                IF(G53&lt;&gt;"Active","Primary not active; ",""),
                IF(H53&lt;&gt;"Yes","Primary training incomplete; ",""),
                IF(M53&lt;&gt;"Active","Backup not active; ",""),
                IF(N53&lt;&gt;"Yes","Backup training incomplete; ",""),
                IF(Q53&lt;80,"Backup readiness &lt;80%; ",""),
                IF(T53&lt;&gt;"Yes","Access not documented; ",""),
                IF(AB53="Fail","Last test failed; ",""),
                IF(Y53="","No test performed; ",IF(TODAY()-Y53&gt;365,"Annual test overdue; ",""))
            )
        )</f>
        <v/>
      </c>
      <c r="AJ53" s="11" t="n"/>
      <c r="AK53" s="11">
        <f>IF(AJ53&lt;&gt;"",AJ53+180,"")</f>
        <v/>
      </c>
    </row>
    <row r="54">
      <c r="I54" s="11" t="n"/>
      <c r="J54" s="11" t="n"/>
      <c r="O54" s="11" t="n"/>
      <c r="P54" s="11" t="n"/>
      <c r="Q54" s="14" t="n"/>
      <c r="R54" s="14" t="n"/>
      <c r="W54" s="11" t="n"/>
      <c r="X54" s="11">
        <f>IF(W54&lt;&gt;"",W54+180,"")</f>
        <v/>
      </c>
      <c r="Y54" s="11" t="n"/>
      <c r="AE54" s="11">
        <f>IF(Y54&lt;&gt;"",Y54+365,"")</f>
        <v/>
      </c>
      <c r="AF54">
        <f>IF(D54="Critical",
            IF(AND(
                G54="Active",
                H54="Yes",
                M54="Active",
                N54="Yes",
                Q54&gt;=80,
                T54="Yes",
                OR(AB54="Pass",AB54="Partial_Pass"),
                Y54&lt;&gt;"",
                TODAY()-Y54&lt;=365
            ),"Compliant","Non_Compliant"),
            "N/A"
        )</f>
        <v/>
      </c>
      <c r="AG54">
        <f>IF(OR(AF54="Compliant",D54&lt;&gt;"Critical"),"N/A",
            CONCATENATE(
                IF(G54&lt;&gt;"Active","Primary not active; ",""),
                IF(H54&lt;&gt;"Yes","Primary training incomplete; ",""),
                IF(M54&lt;&gt;"Active","Backup not active; ",""),
                IF(N54&lt;&gt;"Yes","Backup training incomplete; ",""),
                IF(Q54&lt;80,"Backup readiness &lt;80%; ",""),
                IF(T54&lt;&gt;"Yes","Access not documented; ",""),
                IF(AB54="Fail","Last test failed; ",""),
                IF(Y54="","No test performed; ",IF(TODAY()-Y54&gt;365,"Annual test overdue; ",""))
            )
        )</f>
        <v/>
      </c>
      <c r="AJ54" s="11" t="n"/>
      <c r="AK54" s="11">
        <f>IF(AJ54&lt;&gt;"",AJ54+180,"")</f>
        <v/>
      </c>
    </row>
  </sheetData>
  <mergeCells count="2">
    <mergeCell ref="A1:AK1"/>
    <mergeCell ref="A2:AK2"/>
  </mergeCells>
  <conditionalFormatting sqref="D5:D54">
    <cfRule type="cellIs" priority="1" operator="equal" dxfId="11">
      <formula>"Critical"</formula>
    </cfRule>
  </conditionalFormatting>
  <conditionalFormatting sqref="H5:H54">
    <cfRule type="cellIs" priority="2" operator="equal" dxfId="5">
      <formula>"No"</formula>
    </cfRule>
  </conditionalFormatting>
  <conditionalFormatting sqref="N5:N54">
    <cfRule type="cellIs" priority="3" operator="equal" dxfId="5">
      <formula>"No"</formula>
    </cfRule>
  </conditionalFormatting>
  <conditionalFormatting sqref="Q5:Q54">
    <cfRule type="cellIs" priority="4" operator="greaterThanOrEqual" dxfId="7">
      <formula>90</formula>
    </cfRule>
    <cfRule type="cellIs" priority="5" operator="greaterThanOrEqual" dxfId="0">
      <formula>80</formula>
    </cfRule>
    <cfRule type="cellIs" priority="6" operator="greaterThanOrEqual" dxfId="2">
      <formula>70</formula>
    </cfRule>
    <cfRule type="cellIs" priority="7" operator="lessThan" dxfId="5">
      <formula>70</formula>
    </cfRule>
  </conditionalFormatting>
  <conditionalFormatting sqref="T5:T54">
    <cfRule type="cellIs" priority="8" operator="equal" dxfId="5">
      <formula>"No"</formula>
    </cfRule>
    <cfRule type="cellIs" priority="9" operator="equal" dxfId="4">
      <formula>"Partial"</formula>
    </cfRule>
  </conditionalFormatting>
  <conditionalFormatting sqref="AB5:AB54">
    <cfRule type="cellIs" priority="10" operator="equal" dxfId="0">
      <formula>"Pass"</formula>
    </cfRule>
    <cfRule type="cellIs" priority="11" operator="equal" dxfId="4">
      <formula>"Partial_Pass"</formula>
    </cfRule>
    <cfRule type="cellIs" priority="12" operator="equal" dxfId="10">
      <formula>"Fail"</formula>
    </cfRule>
    <cfRule type="cellIs" priority="13" operator="equal" dxfId="5">
      <formula>"Not_Tested"</formula>
    </cfRule>
  </conditionalFormatting>
  <conditionalFormatting sqref="AE5:AE54">
    <cfRule type="cellIs" priority="14" operator="lessThan" dxfId="5">
      <formula>TODAY()</formula>
    </cfRule>
    <cfRule type="cellIs" priority="15" operator="between" dxfId="2">
      <formula>TODAY()</formula>
      <formula>TODAY()+30</formula>
    </cfRule>
  </conditionalFormatting>
  <conditionalFormatting sqref="AF5:AF54">
    <cfRule type="cellIs" priority="16" operator="equal" dxfId="12">
      <formula>"Compliant"</formula>
    </cfRule>
    <cfRule type="cellIs" priority="17" operator="equal" dxfId="9">
      <formula>"Non_Compliant"</formula>
    </cfRule>
  </conditionalFormatting>
  <dataValidations count="300">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5"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6"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7"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8"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9"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0"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1"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2"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3"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4"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5"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6"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7"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8"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19"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0"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1"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2"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3"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4"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5"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6"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7"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8"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29"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0"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1"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2"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3"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4"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5"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6"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7"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8"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39"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0"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1"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2"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3"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4"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5"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6"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7"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8"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49"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50"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51"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52"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53"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"Critical,Important,Standard"</formula1>
    </dataValidation>
    <dataValidation sqref="G5 G6 G7 G8 G9 G10 G11 G12 G13 G14 G15 G16 G17 G18 G19 G20 G21 G22 G23 G24 G25 G26 G27 G28 G29 G30 G31 G32 G33 G34 G35 G36 G37 G38 G39 G40 G41 G42 G43 G44 G45 G46 G47 G48 G49 G50 G51 G52 G53 G5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"Active,On_Leave,Departed,Other"</formula1>
    </dataValidation>
    <dataValidation sqref="H5 H6 H7 H8 H9 H10 H11 H12 H13 H14 H15 H16 H17 H18 H19 H20 H21 H22 H23 H24 H25 H26 H27 H28 H29 H30 H31 H32 H33 H34 H35 H36 H37 H38 H39 H40 H41 H42 H43 H44 H45 H46 H47 H48 H49 H50 H51 H52 H53 H54 N5 N6 N7 N8 N9 N10 N11 N12 N13 N14 N15 N16 N17 N18 N19 N20 N21 N22 N23 N24 N25 N26 N27 N28 N29 N30 N31 N32 N33 N34 N35 N36 N37 N38 N39 N40 N41 N42 N43 N44 N45 N46 N47 N48 N49 N50 N51 N52 N53 N54" showDropDown="0" showInputMessage="0" showErrorMessage="0" allowBlank="0" type="list">
      <formula1>"Yes,No,In_Progress"</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0" type="list">
      <formula1>"Yes,No,Partial"</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"Pass,Partial_Pass,Fail,Not_Tested"</formula1>
    </dataValidation>
    <dataValidation sqref="AH54"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2026-01-31T02:16:12Z</dcterms:created>
  <dcterms:modified xmlns:dcterms="http://purl.org/dc/terms/" xmlns:xsi="http://www.w3.org/2001/XMLSchema-instance" xsi:type="dcterms:W3CDTF">2026-01-31T02:16:12Z</dcterms:modified>
</cp:coreProperties>
</file>