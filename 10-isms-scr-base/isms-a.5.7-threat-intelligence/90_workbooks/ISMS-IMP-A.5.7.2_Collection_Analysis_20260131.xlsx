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Intelligence_Requirements" sheetId="2" state="visible" r:id="rId2"/>
    <sheet xmlns:r="http://schemas.openxmlformats.org/officeDocument/2006/relationships" name="Collection_Sources" sheetId="3" state="visible" r:id="rId3"/>
    <sheet xmlns:r="http://schemas.openxmlformats.org/officeDocument/2006/relationships" name="Raw_Intelligence_Log" sheetId="4" state="visible" r:id="rId4"/>
    <sheet xmlns:r="http://schemas.openxmlformats.org/officeDocument/2006/relationships" name="Intelligence_Production" sheetId="5" state="visible" r:id="rId5"/>
    <sheet xmlns:r="http://schemas.openxmlformats.org/officeDocument/2006/relationships" name="MITRE_Mapping" sheetId="6" state="visible" r:id="rId6"/>
    <sheet xmlns:r="http://schemas.openxmlformats.org/officeDocument/2006/relationships" name="Quality_Metrics" sheetId="7" state="visible" r:id="rId7"/>
    <sheet xmlns:r="http://schemas.openxmlformats.org/officeDocument/2006/relationships" name="Vulnerability_Linked_Threats" sheetId="8" state="visible" r:id="rId8"/>
    <sheet xmlns:r="http://schemas.openxmlformats.org/officeDocument/2006/relationships" name="Process_Maturity" sheetId="9" state="visible" r:id="rId9"/>
    <sheet xmlns:r="http://schemas.openxmlformats.org/officeDocument/2006/relationships" name="Action_Items" sheetId="10" state="visible" r:id="rId10"/>
    <sheet xmlns:r="http://schemas.openxmlformats.org/officeDocument/2006/relationships" name="Analysis_Tools" sheetId="11" state="visible" r:id="rId11"/>
    <sheet xmlns:r="http://schemas.openxmlformats.org/officeDocument/2006/relationships" name="Threat_Actor_Profiles" sheetId="12" state="visible" r:id="rId12"/>
    <sheet xmlns:r="http://schemas.openxmlformats.org/officeDocument/2006/relationships" name="Campaign_Tracking" sheetId="13" state="visible" r:id="rId13"/>
    <sheet xmlns:r="http://schemas.openxmlformats.org/officeDocument/2006/relationships" name="Metadata" sheetId="14" state="visible" r:id="rId14"/>
  </sheets>
  <definedNames/>
  <calcPr calcId="124519" fullCalcOnLoad="1"/>
</workbook>
</file>

<file path=xl/styles.xml><?xml version="1.0" encoding="utf-8"?>
<styleSheet xmlns="http://schemas.openxmlformats.org/spreadsheetml/2006/main">
  <numFmts count="3">
    <numFmt numFmtId="164" formatCode="DD.MM.YYYY"/>
    <numFmt numFmtId="165" formatCode="HH:MM"/>
    <numFmt numFmtId="166" formatCode="0.0"/>
  </numFmts>
  <fonts count="13">
    <font>
      <name val="Calibri"/>
      <family val="2"/>
      <color theme="1"/>
      <sz val="11"/>
      <scheme val="minor"/>
    </font>
    <font>
      <name val="Calibri"/>
      <b val="1"/>
      <color rgb="00FFFFFF"/>
      <sz val="14"/>
    </font>
    <font>
      <name val="Calibri"/>
      <i val="1"/>
      <sz val="11"/>
    </font>
    <font>
      <name val="Calibri"/>
      <b val="1"/>
      <color rgb="00FFFFFF"/>
      <sz val="11"/>
    </font>
    <font>
      <name val="Calibri"/>
      <b val="1"/>
      <sz val="10"/>
    </font>
    <font>
      <name val="Calibri"/>
      <sz val="10"/>
    </font>
    <font>
      <name val="Calibri"/>
      <b val="1"/>
      <color rgb="00FF0000"/>
      <sz val="10"/>
    </font>
    <font>
      <name val="Calibri"/>
      <b val="1"/>
      <color rgb="00FF0000"/>
      <sz val="11"/>
    </font>
    <font>
      <name val="Calibri"/>
      <i val="1"/>
      <sz val="10"/>
    </font>
    <font>
      <name val="Calibri"/>
      <b val="1"/>
      <sz val="11"/>
    </font>
    <font>
      <name val="Calibri"/>
      <b val="1"/>
      <i val="1"/>
      <color rgb="00FF0000"/>
      <sz val="10"/>
    </font>
    <font>
      <name val="Calibri"/>
      <b val="1"/>
      <i val="1"/>
      <sz val="9"/>
    </font>
    <font>
      <name val="Calibri"/>
      <b val="1"/>
      <i val="1"/>
      <color rgb="008B0000"/>
      <sz val="10"/>
    </font>
  </fonts>
  <fills count="10">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00"/>
        <bgColor rgb="00FFFF00"/>
      </patternFill>
    </fill>
    <fill>
      <patternFill patternType="solid">
        <fgColor rgb="00D9D9D9"/>
        <bgColor rgb="00D9D9D9"/>
      </patternFill>
    </fill>
    <fill>
      <patternFill patternType="solid">
        <fgColor rgb="00E7E6E6"/>
        <bgColor rgb="00E7E6E6"/>
      </patternFill>
    </fill>
    <fill>
      <patternFill patternType="solid">
        <fgColor rgb="00FFFFCC"/>
        <bgColor rgb="00FFFFCC"/>
      </patternFill>
    </fill>
    <fill>
      <patternFill patternType="solid">
        <fgColor rgb="00FF0000"/>
        <bgColor rgb="00FF0000"/>
      </patternFill>
    </fill>
    <fill>
      <patternFill patternType="solid">
        <fgColor rgb="008B0000"/>
        <bgColor rgb="008B0000"/>
      </patternFill>
    </fill>
  </fills>
  <borders count="2">
    <border>
      <left/>
      <right/>
      <top/>
      <bottom/>
      <diagonal/>
    </border>
    <border>
      <left style="thin"/>
      <right style="thin"/>
      <top style="thin"/>
      <bottom style="thin"/>
    </border>
  </borders>
  <cellStyleXfs count="1">
    <xf numFmtId="0" fontId="0" fillId="0" borderId="0"/>
  </cellStyleXfs>
  <cellXfs count="30">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xf>
    <xf numFmtId="0" fontId="3" fillId="3" borderId="0" applyAlignment="1" pivotButton="0" quotePrefix="0" xfId="0">
      <alignment horizontal="left" vertical="center"/>
    </xf>
    <xf numFmtId="0" fontId="0" fillId="0" borderId="0" applyAlignment="1" pivotButton="0" quotePrefix="0" xfId="0">
      <alignment horizontal="left" vertical="top" wrapText="1"/>
    </xf>
    <xf numFmtId="0" fontId="4" fillId="0" borderId="0" pivotButton="0" quotePrefix="0" xfId="0"/>
    <xf numFmtId="0" fontId="5" fillId="0" borderId="0" pivotButton="0" quotePrefix="0" xfId="0"/>
    <xf numFmtId="0" fontId="6" fillId="0" borderId="0" pivotButton="0" quotePrefix="0" xfId="0"/>
    <xf numFmtId="0" fontId="7" fillId="4" borderId="0" applyAlignment="1" pivotButton="0" quotePrefix="0" xfId="0">
      <alignment horizontal="center" vertical="center"/>
    </xf>
    <xf numFmtId="0" fontId="8" fillId="0" borderId="0" applyAlignment="1" pivotButton="0" quotePrefix="0" xfId="0">
      <alignment horizontal="left" vertical="center" wrapText="1"/>
    </xf>
    <xf numFmtId="0" fontId="4" fillId="5" borderId="1" applyAlignment="1" pivotButton="0" quotePrefix="0" xfId="0">
      <alignment horizontal="center" vertical="center" wrapText="1"/>
    </xf>
    <xf numFmtId="0" fontId="0" fillId="6" borderId="1" pivotButton="0" quotePrefix="0" xfId="0"/>
    <xf numFmtId="0" fontId="0" fillId="7" borderId="1" pivotButton="0" quotePrefix="0" xfId="0"/>
    <xf numFmtId="164" fontId="0" fillId="7" borderId="1" pivotButton="0" quotePrefix="0" xfId="0"/>
    <xf numFmtId="0" fontId="3" fillId="3" borderId="0" pivotButton="0" quotePrefix="0" xfId="0"/>
    <xf numFmtId="4" fontId="0" fillId="7" borderId="1" pivotButton="0" quotePrefix="0" xfId="0"/>
    <xf numFmtId="165" fontId="0" fillId="7" borderId="1" pivotButton="0" quotePrefix="0" xfId="0"/>
    <xf numFmtId="1" fontId="0" fillId="7" borderId="1" pivotButton="0" quotePrefix="0" xfId="0"/>
    <xf numFmtId="9" fontId="0" fillId="7" borderId="1" pivotButton="0" quotePrefix="0" xfId="0"/>
    <xf numFmtId="166" fontId="0" fillId="7" borderId="1" pivotButton="0" quotePrefix="0" xfId="0"/>
    <xf numFmtId="166" fontId="4" fillId="0" borderId="0" pivotButton="0" quotePrefix="0" xfId="0"/>
    <xf numFmtId="9" fontId="4" fillId="0" borderId="0" pivotButton="0" quotePrefix="0" xfId="0"/>
    <xf numFmtId="0" fontId="1" fillId="8" borderId="0" applyAlignment="1" pivotButton="0" quotePrefix="0" xfId="0">
      <alignment horizontal="center" vertical="center" wrapText="1"/>
    </xf>
    <xf numFmtId="0" fontId="10" fillId="0" borderId="0" applyAlignment="1" pivotButton="0" quotePrefix="0" xfId="0">
      <alignment horizontal="left" vertical="center" wrapText="1"/>
    </xf>
    <xf numFmtId="0" fontId="11" fillId="4" borderId="0" applyAlignment="1" pivotButton="0" quotePrefix="0" xfId="0">
      <alignment horizontal="center" vertical="center"/>
    </xf>
    <xf numFmtId="164" fontId="0" fillId="6" borderId="1" pivotButton="0" quotePrefix="0" xfId="0"/>
    <xf numFmtId="166" fontId="0" fillId="6" borderId="1" pivotButton="0" quotePrefix="0" xfId="0"/>
    <xf numFmtId="0" fontId="4" fillId="7" borderId="1" pivotButton="0" quotePrefix="0" xfId="0"/>
    <xf numFmtId="0" fontId="1" fillId="9" borderId="0" applyAlignment="1" pivotButton="0" quotePrefix="0" xfId="0">
      <alignment horizontal="center" vertical="center" wrapText="1"/>
    </xf>
    <xf numFmtId="0" fontId="12" fillId="0" borderId="0" applyAlignment="1" pivotButton="0" quotePrefix="0" xfId="0">
      <alignment horizontal="left" vertical="center" wrapText="1"/>
    </xf>
  </cellXfs>
  <cellStyles count="1">
    <cellStyle name="Normal" xfId="0" builtinId="0" hidden="0"/>
  </cellStyles>
  <dxfs count="11">
    <dxf>
      <fill>
        <patternFill patternType="solid">
          <fgColor rgb="00FFC7CE"/>
          <bgColor rgb="00FFC7CE"/>
        </patternFill>
      </fill>
    </dxf>
    <dxf>
      <fill>
        <patternFill patternType="solid">
          <fgColor rgb="00FFEB9C"/>
          <bgColor rgb="00FFEB9C"/>
        </patternFill>
      </fill>
    </dxf>
    <dxf>
      <fill>
        <patternFill patternType="solid">
          <fgColor rgb="00C6EFCE"/>
          <bgColor rgb="00C6EFCE"/>
        </patternFill>
      </fill>
    </dxf>
    <dxf>
      <font>
        <b val="1"/>
        <color rgb="00FFFFFF"/>
      </font>
      <fill>
        <patternFill patternType="solid">
          <fgColor rgb="00DC143C"/>
          <bgColor rgb="00DC143C"/>
        </patternFill>
      </fill>
    </dxf>
    <dxf>
      <fill>
        <patternFill patternType="solid">
          <fgColor rgb="00FF8C00"/>
          <bgColor rgb="00FF8C00"/>
        </patternFill>
      </fill>
    </dxf>
    <dxf>
      <fill>
        <patternFill patternType="solid">
          <fgColor rgb="00FFD700"/>
          <bgColor rgb="00FFD700"/>
        </patternFill>
      </fill>
    </dxf>
    <dxf>
      <fill>
        <patternFill patternType="solid">
          <fgColor rgb="0090EE90"/>
          <bgColor rgb="0090EE90"/>
        </patternFill>
      </fill>
    </dxf>
    <dxf>
      <font>
        <b val="1"/>
        <color rgb="00FFFFFF"/>
      </font>
      <fill>
        <patternFill patternType="solid">
          <fgColor rgb="00FF0000"/>
          <bgColor rgb="00FF0000"/>
        </patternFill>
      </fill>
    </dxf>
    <dxf>
      <fill>
        <patternFill patternType="solid">
          <fgColor rgb="00D3D3D3"/>
          <bgColor rgb="00D3D3D3"/>
        </patternFill>
      </fill>
    </dxf>
    <dxf>
      <fill>
        <patternFill patternType="solid">
          <fgColor rgb="00FFD966"/>
          <bgColor rgb="00FFD966"/>
        </patternFill>
      </fill>
    </dxf>
    <dxf>
      <font>
        <b val="1"/>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2" customWidth="1" min="1" max="1"/>
    <col width="30" customWidth="1" min="2" max="2"/>
    <col width="80" customWidth="1" min="3" max="3"/>
    <col width="15" customWidth="1" min="4" max="4"/>
    <col width="15" customWidth="1" min="5" max="5"/>
    <col width="15" customWidth="1" min="6" max="6"/>
    <col width="15" customWidth="1" min="7" max="7"/>
  </cols>
  <sheetData>
    <row r="1" ht="30" customHeight="1">
      <c r="A1" s="1" t="inlineStr">
        <is>
          <t>ISMS-IMP-A.5.7.2 - Intelligence Collection &amp; Analysis Assessment</t>
        </is>
      </c>
    </row>
    <row r="2">
      <c r="A2" s="2" t="inlineStr">
        <is>
          <t>Assessment of Intelligence Collection, Analysis Capabilities, and Control 8.8 Integration</t>
        </is>
      </c>
    </row>
    <row r="4">
      <c r="A4" s="3" t="inlineStr">
        <is>
          <t>PURPOSE &amp; OBJECTIVES</t>
        </is>
      </c>
    </row>
    <row r="5" ht="80" customHeight="1">
      <c r="A5" s="4" t="inlineStr">
        <is>
          <t>This workbook assesses the organization's capability to collect, analyze, and produce actionable threat intelligence:
- Intelligence collection coverage against requirements
- Analysis frameworks and methodologies (MITRE ATT&amp;CK, Diamond Model, etc.)
- Analyst skills and capability development
- Intelligence production quality and timeliness
- **CRITICAL: VulnerabilityThreatLink (VTL) schema for Control 8.8 integration**</t>
        </is>
      </c>
    </row>
    <row r="6"/>
    <row r="7"/>
    <row r="8"/>
    <row r="9">
      <c r="A9" s="3" t="inlineStr">
        <is>
          <t>SHEET GUIDE</t>
        </is>
      </c>
    </row>
    <row r="10">
      <c r="A10" s="5" t="inlineStr">
        <is>
          <t>Sheet 2</t>
        </is>
      </c>
      <c r="B10" s="6" t="inlineStr">
        <is>
          <t>Intelligence_Requirements</t>
        </is>
      </c>
      <c r="C10" s="6" t="inlineStr">
        <is>
          <t>Document PIRs, SIRs, and IRs per best practices</t>
        </is>
      </c>
    </row>
    <row r="11">
      <c r="A11" s="5" t="inlineStr">
        <is>
          <t>Sheet 3</t>
        </is>
      </c>
      <c r="B11" s="6" t="inlineStr">
        <is>
          <t>Collection_Sources</t>
        </is>
      </c>
      <c r="C11" s="6" t="inlineStr">
        <is>
          <t>Document intelligence collection sources and methods</t>
        </is>
      </c>
    </row>
    <row r="12">
      <c r="A12" s="5" t="inlineStr">
        <is>
          <t>Sheet 4</t>
        </is>
      </c>
      <c r="B12" s="6" t="inlineStr">
        <is>
          <t>Raw_Intelligence_Log</t>
        </is>
      </c>
      <c r="C12" s="6" t="inlineStr">
        <is>
          <t>Track raw intelligence received and processed</t>
        </is>
      </c>
    </row>
    <row r="13">
      <c r="A13" s="5" t="inlineStr">
        <is>
          <t>Sheet 5</t>
        </is>
      </c>
      <c r="B13" s="6" t="inlineStr">
        <is>
          <t>Intelligence_Production</t>
        </is>
      </c>
      <c r="C13" s="6" t="inlineStr">
        <is>
          <t>Track intelligence products and quality</t>
        </is>
      </c>
    </row>
    <row r="14">
      <c r="A14" s="5" t="inlineStr">
        <is>
          <t>Sheet 6</t>
        </is>
      </c>
      <c r="B14" s="6" t="inlineStr">
        <is>
          <t>MITRE_Mapping</t>
        </is>
      </c>
      <c r="C14" s="6" t="inlineStr">
        <is>
          <t>ATT&amp;CK technique coverage analysis</t>
        </is>
      </c>
    </row>
    <row r="15">
      <c r="A15" s="5" t="inlineStr">
        <is>
          <t>Sheet 7</t>
        </is>
      </c>
      <c r="B15" s="6" t="inlineStr">
        <is>
          <t>Quality_Metrics</t>
        </is>
      </c>
      <c r="C15" s="6" t="inlineStr">
        <is>
          <t>KPIs and performance tracking</t>
        </is>
      </c>
    </row>
    <row r="16">
      <c r="A16" s="5" t="inlineStr">
        <is>
          <t>Sheet 8</t>
        </is>
      </c>
      <c r="B16" s="7" t="inlineStr">
        <is>
          <t>Vulnerability_Linked_Threats</t>
        </is>
      </c>
      <c r="C16" s="7" t="inlineStr">
        <is>
          <t>**VTL SCHEMA - Control 8.8 Integration**</t>
        </is>
      </c>
    </row>
    <row r="17">
      <c r="A17" s="5" t="inlineStr">
        <is>
          <t>Sheet 9</t>
        </is>
      </c>
      <c r="B17" s="6" t="inlineStr">
        <is>
          <t>Process_Maturity</t>
        </is>
      </c>
      <c r="C17" s="6" t="inlineStr">
        <is>
          <t>CMM capability maturity assessment</t>
        </is>
      </c>
    </row>
    <row r="18">
      <c r="A18" s="5" t="inlineStr">
        <is>
          <t>Sheet 10</t>
        </is>
      </c>
      <c r="B18" s="6" t="inlineStr">
        <is>
          <t>Action_Items</t>
        </is>
      </c>
      <c r="C18" s="6" t="inlineStr">
        <is>
          <t>Capability improvement tracking</t>
        </is>
      </c>
    </row>
    <row r="19">
      <c r="A19" s="5" t="inlineStr">
        <is>
          <t>Sheet 11</t>
        </is>
      </c>
      <c r="B19" s="6" t="inlineStr">
        <is>
          <t>Analysis_Tools</t>
        </is>
      </c>
      <c r="C19" s="6" t="inlineStr">
        <is>
          <t>Document analytical tools and platforms</t>
        </is>
      </c>
    </row>
    <row r="20">
      <c r="A20" s="5" t="inlineStr">
        <is>
          <t>Sheet 12</t>
        </is>
      </c>
      <c r="B20" s="6" t="inlineStr">
        <is>
          <t>Threat_Actor_Profiles</t>
        </is>
      </c>
      <c r="C20" s="6" t="inlineStr">
        <is>
          <t>Track threat actors and campaigns</t>
        </is>
      </c>
    </row>
    <row r="21">
      <c r="A21" s="5" t="inlineStr">
        <is>
          <t>Sheet 13</t>
        </is>
      </c>
      <c r="B21" s="6" t="inlineStr">
        <is>
          <t>Campaign_Tracking</t>
        </is>
      </c>
      <c r="C21" s="6" t="inlineStr">
        <is>
          <t>Document active campaigns and TTPs</t>
        </is>
      </c>
    </row>
    <row r="22">
      <c r="A22" s="5" t="inlineStr">
        <is>
          <t>Sheet 14</t>
        </is>
      </c>
      <c r="B22" s="6" t="inlineStr">
        <is>
          <t>Metadata</t>
        </is>
      </c>
      <c r="C22" s="6" t="inlineStr">
        <is>
          <t>Workbook generation information</t>
        </is>
      </c>
    </row>
    <row r="24">
      <c r="A24" s="8" t="inlineStr">
        <is>
          <t>⚠️ CRITICAL: CONTROL 8.8 INTEGRATION</t>
        </is>
      </c>
    </row>
    <row r="25" ht="100" customHeight="1">
      <c r="A25" s="4" t="inlineStr">
        <is>
          <t>Sheet 8 (Vulnerability_Linked_Threats) implements the VulnerabilityThreatLink (VTL) schema for bidirectional integration between:
- Control 5.7 (Threat Intelligence) → Threat context for vulnerability prioritization
- Control 8.8 (Vulnerability Management) → Vulnerability data for threat analysis
When threat intelligence identifies active exploitation of vulnerabilities:
1. Create VTL record in Sheet 8
2. VTL record syncs to Control 8.8 workbook (emergency patching trigger)
3. Remediation status updates flow back from 8.8 to 5.7</t>
        </is>
      </c>
    </row>
    <row r="26"/>
    <row r="27"/>
    <row r="28"/>
    <row r="29"/>
    <row r="30">
      <c r="A30" s="3" t="inlineStr">
        <is>
          <t>COMPLETION INSTRUCTIONS</t>
        </is>
      </c>
    </row>
    <row r="31" ht="140" customHeight="1">
      <c r="A31" s="4" t="inlineStr">
        <is>
          <t>1. Intelligence_Requirements: Define PIRs, SIRs, IRs per industry best practices
2. Collection_Sources: Document internal/external collection sources and methods
3. Raw_Intelligence_Log: Track raw intelligence received and processing status
4. Intelligence_Production: Track intelligence products from last 90 days
5. MITRE_Mapping: Assess coverage of critical ATT&amp;CK techniques
6. Quality_Metrics: Establish baseline KPIs and targets
7. Vulnerability_Linked_Threats: Create VTL records for exploited vulnerabilities
8. Process_Maturity: Assess capability maturity using CMM model
9. Action_Items: Document improvement initiatives</t>
        </is>
      </c>
    </row>
    <row r="32"/>
    <row r="33"/>
    <row r="34"/>
    <row r="35"/>
    <row r="36"/>
    <row r="37"/>
    <row r="38"/>
  </sheetData>
  <mergeCells count="9">
    <mergeCell ref="A1:G1"/>
    <mergeCell ref="A31:G38"/>
    <mergeCell ref="A9:G9"/>
    <mergeCell ref="A4:G4"/>
    <mergeCell ref="A24:G24"/>
    <mergeCell ref="A2:G2"/>
    <mergeCell ref="A25:G29"/>
    <mergeCell ref="A30:G30"/>
    <mergeCell ref="A5:G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62"/>
  <sheetViews>
    <sheetView workbookViewId="0">
      <pane ySplit="4" topLeftCell="A5" activePane="bottomLeft" state="frozen"/>
      <selection pane="bottomLeft" activeCell="A1" sqref="A1"/>
    </sheetView>
  </sheetViews>
  <sheetFormatPr baseColWidth="8" defaultRowHeight="15"/>
  <cols>
    <col width="15" customWidth="1" min="1" max="1"/>
    <col width="15" customWidth="1" min="2" max="2"/>
    <col width="40" customWidth="1" min="3" max="3"/>
    <col width="12" customWidth="1" min="4" max="4"/>
    <col width="18" customWidth="1" min="5" max="5"/>
    <col width="15" customWidth="1" min="6" max="6"/>
    <col width="20" customWidth="1" min="7" max="7"/>
    <col width="15" customWidth="1" min="8" max="8"/>
    <col width="15" customWidth="1" min="9" max="9"/>
    <col width="15" customWidth="1" min="10" max="10"/>
    <col width="18" customWidth="1" min="11" max="11"/>
    <col width="15" customWidth="1" min="12" max="12"/>
    <col width="18" customWidth="1" min="13" max="13"/>
    <col width="14" customWidth="1" min="14" max="14"/>
    <col width="14" customWidth="1" min="15" max="15"/>
    <col width="30" customWidth="1" min="16" max="16"/>
    <col width="25" customWidth="1" min="17" max="17"/>
    <col width="30" customWidth="1" min="18" max="18"/>
  </cols>
  <sheetData>
    <row r="1" ht="25" customHeight="1">
      <c r="A1" s="1" t="inlineStr">
        <is>
          <t>Intelligence Requirements (PIR/SIR/IR)</t>
        </is>
      </c>
    </row>
    <row r="2" ht="30" customHeight="1">
      <c r="A2" s="9" t="inlineStr">
        <is>
          <t>Document all intelligence requirements (PIRs, SIRs, IRs). Map sources from A.5.7.1. Identify coverage gaps.</t>
        </is>
      </c>
    </row>
    <row r="4" ht="30" customHeight="1">
      <c r="A4" s="10" t="inlineStr">
        <is>
          <t>Requirement ID</t>
        </is>
      </c>
      <c r="B4" s="10" t="inlineStr">
        <is>
          <t>Intelligence Type</t>
        </is>
      </c>
      <c r="C4" s="10" t="inlineStr">
        <is>
          <t>Requirement Description</t>
        </is>
      </c>
      <c r="D4" s="10" t="inlineStr">
        <is>
          <t>Priority</t>
        </is>
      </c>
      <c r="E4" s="10" t="inlineStr">
        <is>
          <t>Target Sector</t>
        </is>
      </c>
      <c r="F4" s="10" t="inlineStr">
        <is>
          <t>Target Region</t>
        </is>
      </c>
      <c r="G4" s="10" t="inlineStr">
        <is>
          <t>Threat Category</t>
        </is>
      </c>
      <c r="H4" s="10" t="inlineStr">
        <is>
          <t>Collection Source 1</t>
        </is>
      </c>
      <c r="I4" s="10" t="inlineStr">
        <is>
          <t>Collection Source 2</t>
        </is>
      </c>
      <c r="J4" s="10" t="inlineStr">
        <is>
          <t>Collection Source 3</t>
        </is>
      </c>
      <c r="K4" s="10" t="inlineStr">
        <is>
          <t>Collection Method</t>
        </is>
      </c>
      <c r="L4" s="10" t="inlineStr">
        <is>
          <t>Coverage Status</t>
        </is>
      </c>
      <c r="M4" s="10" t="inlineStr">
        <is>
          <t>Collection Frequency</t>
        </is>
      </c>
      <c r="N4" s="10" t="inlineStr">
        <is>
          <t>Last Collected</t>
        </is>
      </c>
      <c r="O4" s="10" t="inlineStr">
        <is>
          <t>Gap Identified</t>
        </is>
      </c>
      <c r="P4" s="10" t="inlineStr">
        <is>
          <t>Gap Remediation</t>
        </is>
      </c>
      <c r="Q4" s="10" t="inlineStr">
        <is>
          <t>Responsible Analyst</t>
        </is>
      </c>
      <c r="R4" s="10" t="inlineStr">
        <is>
          <t>Notes</t>
        </is>
      </c>
    </row>
    <row r="5">
      <c r="A5" s="11" t="inlineStr">
        <is>
          <t>REQ-2025-001</t>
        </is>
      </c>
      <c r="B5" s="12" t="n"/>
      <c r="C5" s="12" t="n"/>
      <c r="D5" s="12" t="n"/>
      <c r="E5" s="12" t="n"/>
      <c r="F5" s="12" t="n"/>
      <c r="G5" s="12" t="n"/>
      <c r="H5" s="12" t="n"/>
      <c r="I5" s="12" t="n"/>
      <c r="J5" s="12" t="n"/>
      <c r="K5" s="12" t="n"/>
      <c r="L5" s="11">
        <f>IF(COUNTA(H5:J5)&gt;=2,"Adequate",IF(COUNTA(H5:J5)=1,"Minimal","Gap"))</f>
        <v/>
      </c>
      <c r="M5" s="12" t="n"/>
      <c r="N5" s="13" t="n"/>
      <c r="O5" s="11">
        <f>IF(L5="Gap","Yes","No")</f>
        <v/>
      </c>
      <c r="P5" s="12" t="n"/>
      <c r="Q5" s="12" t="n"/>
      <c r="R5" s="12" t="n"/>
    </row>
    <row r="6">
      <c r="A6" s="11" t="inlineStr">
        <is>
          <t>REQ-2025-002</t>
        </is>
      </c>
      <c r="B6" s="12" t="n"/>
      <c r="C6" s="12" t="n"/>
      <c r="D6" s="12" t="n"/>
      <c r="E6" s="12" t="n"/>
      <c r="F6" s="12" t="n"/>
      <c r="G6" s="12" t="n"/>
      <c r="H6" s="12" t="n"/>
      <c r="I6" s="12" t="n"/>
      <c r="J6" s="12" t="n"/>
      <c r="K6" s="12" t="n"/>
      <c r="L6" s="11">
        <f>IF(COUNTA(H6:J6)&gt;=2,"Adequate",IF(COUNTA(H6:J6)=1,"Minimal","Gap"))</f>
        <v/>
      </c>
      <c r="M6" s="12" t="n"/>
      <c r="N6" s="13" t="n"/>
      <c r="O6" s="11">
        <f>IF(L6="Gap","Yes","No")</f>
        <v/>
      </c>
      <c r="P6" s="12" t="n"/>
      <c r="Q6" s="12" t="n"/>
      <c r="R6" s="12" t="n"/>
    </row>
    <row r="7">
      <c r="A7" s="11" t="inlineStr">
        <is>
          <t>REQ-2025-003</t>
        </is>
      </c>
      <c r="B7" s="12" t="n"/>
      <c r="C7" s="12" t="n"/>
      <c r="D7" s="12" t="n"/>
      <c r="E7" s="12" t="n"/>
      <c r="F7" s="12" t="n"/>
      <c r="G7" s="12" t="n"/>
      <c r="H7" s="12" t="n"/>
      <c r="I7" s="12" t="n"/>
      <c r="J7" s="12" t="n"/>
      <c r="K7" s="12" t="n"/>
      <c r="L7" s="11">
        <f>IF(COUNTA(H7:J7)&gt;=2,"Adequate",IF(COUNTA(H7:J7)=1,"Minimal","Gap"))</f>
        <v/>
      </c>
      <c r="M7" s="12" t="n"/>
      <c r="N7" s="13" t="n"/>
      <c r="O7" s="11">
        <f>IF(L7="Gap","Yes","No")</f>
        <v/>
      </c>
      <c r="P7" s="12" t="n"/>
      <c r="Q7" s="12" t="n"/>
      <c r="R7" s="12" t="n"/>
    </row>
    <row r="8">
      <c r="A8" s="11" t="inlineStr">
        <is>
          <t>REQ-2025-004</t>
        </is>
      </c>
      <c r="B8" s="12" t="n"/>
      <c r="C8" s="12" t="n"/>
      <c r="D8" s="12" t="n"/>
      <c r="E8" s="12" t="n"/>
      <c r="F8" s="12" t="n"/>
      <c r="G8" s="12" t="n"/>
      <c r="H8" s="12" t="n"/>
      <c r="I8" s="12" t="n"/>
      <c r="J8" s="12" t="n"/>
      <c r="K8" s="12" t="n"/>
      <c r="L8" s="11">
        <f>IF(COUNTA(H8:J8)&gt;=2,"Adequate",IF(COUNTA(H8:J8)=1,"Minimal","Gap"))</f>
        <v/>
      </c>
      <c r="M8" s="12" t="n"/>
      <c r="N8" s="13" t="n"/>
      <c r="O8" s="11">
        <f>IF(L8="Gap","Yes","No")</f>
        <v/>
      </c>
      <c r="P8" s="12" t="n"/>
      <c r="Q8" s="12" t="n"/>
      <c r="R8" s="12" t="n"/>
    </row>
    <row r="9">
      <c r="A9" s="11" t="inlineStr">
        <is>
          <t>REQ-2025-005</t>
        </is>
      </c>
      <c r="B9" s="12" t="n"/>
      <c r="C9" s="12" t="n"/>
      <c r="D9" s="12" t="n"/>
      <c r="E9" s="12" t="n"/>
      <c r="F9" s="12" t="n"/>
      <c r="G9" s="12" t="n"/>
      <c r="H9" s="12" t="n"/>
      <c r="I9" s="12" t="n"/>
      <c r="J9" s="12" t="n"/>
      <c r="K9" s="12" t="n"/>
      <c r="L9" s="11">
        <f>IF(COUNTA(H9:J9)&gt;=2,"Adequate",IF(COUNTA(H9:J9)=1,"Minimal","Gap"))</f>
        <v/>
      </c>
      <c r="M9" s="12" t="n"/>
      <c r="N9" s="13" t="n"/>
      <c r="O9" s="11">
        <f>IF(L9="Gap","Yes","No")</f>
        <v/>
      </c>
      <c r="P9" s="12" t="n"/>
      <c r="Q9" s="12" t="n"/>
      <c r="R9" s="12" t="n"/>
    </row>
    <row r="10">
      <c r="A10" s="11" t="inlineStr">
        <is>
          <t>REQ-2025-006</t>
        </is>
      </c>
      <c r="B10" s="12" t="n"/>
      <c r="C10" s="12" t="n"/>
      <c r="D10" s="12" t="n"/>
      <c r="E10" s="12" t="n"/>
      <c r="F10" s="12" t="n"/>
      <c r="G10" s="12" t="n"/>
      <c r="H10" s="12" t="n"/>
      <c r="I10" s="12" t="n"/>
      <c r="J10" s="12" t="n"/>
      <c r="K10" s="12" t="n"/>
      <c r="L10" s="11">
        <f>IF(COUNTA(H10:J10)&gt;=2,"Adequate",IF(COUNTA(H10:J10)=1,"Minimal","Gap"))</f>
        <v/>
      </c>
      <c r="M10" s="12" t="n"/>
      <c r="N10" s="13" t="n"/>
      <c r="O10" s="11">
        <f>IF(L10="Gap","Yes","No")</f>
        <v/>
      </c>
      <c r="P10" s="12" t="n"/>
      <c r="Q10" s="12" t="n"/>
      <c r="R10" s="12" t="n"/>
    </row>
    <row r="11">
      <c r="A11" s="11" t="inlineStr">
        <is>
          <t>REQ-2025-007</t>
        </is>
      </c>
      <c r="B11" s="12" t="n"/>
      <c r="C11" s="12" t="n"/>
      <c r="D11" s="12" t="n"/>
      <c r="E11" s="12" t="n"/>
      <c r="F11" s="12" t="n"/>
      <c r="G11" s="12" t="n"/>
      <c r="H11" s="12" t="n"/>
      <c r="I11" s="12" t="n"/>
      <c r="J11" s="12" t="n"/>
      <c r="K11" s="12" t="n"/>
      <c r="L11" s="11">
        <f>IF(COUNTA(H11:J11)&gt;=2,"Adequate",IF(COUNTA(H11:J11)=1,"Minimal","Gap"))</f>
        <v/>
      </c>
      <c r="M11" s="12" t="n"/>
      <c r="N11" s="13" t="n"/>
      <c r="O11" s="11">
        <f>IF(L11="Gap","Yes","No")</f>
        <v/>
      </c>
      <c r="P11" s="12" t="n"/>
      <c r="Q11" s="12" t="n"/>
      <c r="R11" s="12" t="n"/>
    </row>
    <row r="12">
      <c r="A12" s="11" t="inlineStr">
        <is>
          <t>REQ-2025-008</t>
        </is>
      </c>
      <c r="B12" s="12" t="n"/>
      <c r="C12" s="12" t="n"/>
      <c r="D12" s="12" t="n"/>
      <c r="E12" s="12" t="n"/>
      <c r="F12" s="12" t="n"/>
      <c r="G12" s="12" t="n"/>
      <c r="H12" s="12" t="n"/>
      <c r="I12" s="12" t="n"/>
      <c r="J12" s="12" t="n"/>
      <c r="K12" s="12" t="n"/>
      <c r="L12" s="11">
        <f>IF(COUNTA(H12:J12)&gt;=2,"Adequate",IF(COUNTA(H12:J12)=1,"Minimal","Gap"))</f>
        <v/>
      </c>
      <c r="M12" s="12" t="n"/>
      <c r="N12" s="13" t="n"/>
      <c r="O12" s="11">
        <f>IF(L12="Gap","Yes","No")</f>
        <v/>
      </c>
      <c r="P12" s="12" t="n"/>
      <c r="Q12" s="12" t="n"/>
      <c r="R12" s="12" t="n"/>
    </row>
    <row r="13">
      <c r="A13" s="11" t="inlineStr">
        <is>
          <t>REQ-2025-009</t>
        </is>
      </c>
      <c r="B13" s="12" t="n"/>
      <c r="C13" s="12" t="n"/>
      <c r="D13" s="12" t="n"/>
      <c r="E13" s="12" t="n"/>
      <c r="F13" s="12" t="n"/>
      <c r="G13" s="12" t="n"/>
      <c r="H13" s="12" t="n"/>
      <c r="I13" s="12" t="n"/>
      <c r="J13" s="12" t="n"/>
      <c r="K13" s="12" t="n"/>
      <c r="L13" s="11">
        <f>IF(COUNTA(H13:J13)&gt;=2,"Adequate",IF(COUNTA(H13:J13)=1,"Minimal","Gap"))</f>
        <v/>
      </c>
      <c r="M13" s="12" t="n"/>
      <c r="N13" s="13" t="n"/>
      <c r="O13" s="11">
        <f>IF(L13="Gap","Yes","No")</f>
        <v/>
      </c>
      <c r="P13" s="12" t="n"/>
      <c r="Q13" s="12" t="n"/>
      <c r="R13" s="12" t="n"/>
    </row>
    <row r="14">
      <c r="A14" s="11" t="inlineStr">
        <is>
          <t>REQ-2025-010</t>
        </is>
      </c>
      <c r="B14" s="12" t="n"/>
      <c r="C14" s="12" t="n"/>
      <c r="D14" s="12" t="n"/>
      <c r="E14" s="12" t="n"/>
      <c r="F14" s="12" t="n"/>
      <c r="G14" s="12" t="n"/>
      <c r="H14" s="12" t="n"/>
      <c r="I14" s="12" t="n"/>
      <c r="J14" s="12" t="n"/>
      <c r="K14" s="12" t="n"/>
      <c r="L14" s="11">
        <f>IF(COUNTA(H14:J14)&gt;=2,"Adequate",IF(COUNTA(H14:J14)=1,"Minimal","Gap"))</f>
        <v/>
      </c>
      <c r="M14" s="12" t="n"/>
      <c r="N14" s="13" t="n"/>
      <c r="O14" s="11">
        <f>IF(L14="Gap","Yes","No")</f>
        <v/>
      </c>
      <c r="P14" s="12" t="n"/>
      <c r="Q14" s="12" t="n"/>
      <c r="R14" s="12" t="n"/>
    </row>
    <row r="15">
      <c r="A15" s="11" t="inlineStr">
        <is>
          <t>REQ-2025-011</t>
        </is>
      </c>
      <c r="B15" s="12" t="n"/>
      <c r="C15" s="12" t="n"/>
      <c r="D15" s="12" t="n"/>
      <c r="E15" s="12" t="n"/>
      <c r="F15" s="12" t="n"/>
      <c r="G15" s="12" t="n"/>
      <c r="H15" s="12" t="n"/>
      <c r="I15" s="12" t="n"/>
      <c r="J15" s="12" t="n"/>
      <c r="K15" s="12" t="n"/>
      <c r="L15" s="11">
        <f>IF(COUNTA(H15:J15)&gt;=2,"Adequate",IF(COUNTA(H15:J15)=1,"Minimal","Gap"))</f>
        <v/>
      </c>
      <c r="M15" s="12" t="n"/>
      <c r="N15" s="13" t="n"/>
      <c r="O15" s="11">
        <f>IF(L15="Gap","Yes","No")</f>
        <v/>
      </c>
      <c r="P15" s="12" t="n"/>
      <c r="Q15" s="12" t="n"/>
      <c r="R15" s="12" t="n"/>
    </row>
    <row r="16">
      <c r="A16" s="11" t="inlineStr">
        <is>
          <t>REQ-2025-012</t>
        </is>
      </c>
      <c r="B16" s="12" t="n"/>
      <c r="C16" s="12" t="n"/>
      <c r="D16" s="12" t="n"/>
      <c r="E16" s="12" t="n"/>
      <c r="F16" s="12" t="n"/>
      <c r="G16" s="12" t="n"/>
      <c r="H16" s="12" t="n"/>
      <c r="I16" s="12" t="n"/>
      <c r="J16" s="12" t="n"/>
      <c r="K16" s="12" t="n"/>
      <c r="L16" s="11">
        <f>IF(COUNTA(H16:J16)&gt;=2,"Adequate",IF(COUNTA(H16:J16)=1,"Minimal","Gap"))</f>
        <v/>
      </c>
      <c r="M16" s="12" t="n"/>
      <c r="N16" s="13" t="n"/>
      <c r="O16" s="11">
        <f>IF(L16="Gap","Yes","No")</f>
        <v/>
      </c>
      <c r="P16" s="12" t="n"/>
      <c r="Q16" s="12" t="n"/>
      <c r="R16" s="12" t="n"/>
    </row>
    <row r="17">
      <c r="A17" s="11" t="inlineStr">
        <is>
          <t>REQ-2025-013</t>
        </is>
      </c>
      <c r="B17" s="12" t="n"/>
      <c r="C17" s="12" t="n"/>
      <c r="D17" s="12" t="n"/>
      <c r="E17" s="12" t="n"/>
      <c r="F17" s="12" t="n"/>
      <c r="G17" s="12" t="n"/>
      <c r="H17" s="12" t="n"/>
      <c r="I17" s="12" t="n"/>
      <c r="J17" s="12" t="n"/>
      <c r="K17" s="12" t="n"/>
      <c r="L17" s="11">
        <f>IF(COUNTA(H17:J17)&gt;=2,"Adequate",IF(COUNTA(H17:J17)=1,"Minimal","Gap"))</f>
        <v/>
      </c>
      <c r="M17" s="12" t="n"/>
      <c r="N17" s="13" t="n"/>
      <c r="O17" s="11">
        <f>IF(L17="Gap","Yes","No")</f>
        <v/>
      </c>
      <c r="P17" s="12" t="n"/>
      <c r="Q17" s="12" t="n"/>
      <c r="R17" s="12" t="n"/>
    </row>
    <row r="18">
      <c r="A18" s="11" t="inlineStr">
        <is>
          <t>REQ-2025-014</t>
        </is>
      </c>
      <c r="B18" s="12" t="n"/>
      <c r="C18" s="12" t="n"/>
      <c r="D18" s="12" t="n"/>
      <c r="E18" s="12" t="n"/>
      <c r="F18" s="12" t="n"/>
      <c r="G18" s="12" t="n"/>
      <c r="H18" s="12" t="n"/>
      <c r="I18" s="12" t="n"/>
      <c r="J18" s="12" t="n"/>
      <c r="K18" s="12" t="n"/>
      <c r="L18" s="11">
        <f>IF(COUNTA(H18:J18)&gt;=2,"Adequate",IF(COUNTA(H18:J18)=1,"Minimal","Gap"))</f>
        <v/>
      </c>
      <c r="M18" s="12" t="n"/>
      <c r="N18" s="13" t="n"/>
      <c r="O18" s="11">
        <f>IF(L18="Gap","Yes","No")</f>
        <v/>
      </c>
      <c r="P18" s="12" t="n"/>
      <c r="Q18" s="12" t="n"/>
      <c r="R18" s="12" t="n"/>
    </row>
    <row r="19">
      <c r="A19" s="11" t="inlineStr">
        <is>
          <t>REQ-2025-015</t>
        </is>
      </c>
      <c r="B19" s="12" t="n"/>
      <c r="C19" s="12" t="n"/>
      <c r="D19" s="12" t="n"/>
      <c r="E19" s="12" t="n"/>
      <c r="F19" s="12" t="n"/>
      <c r="G19" s="12" t="n"/>
      <c r="H19" s="12" t="n"/>
      <c r="I19" s="12" t="n"/>
      <c r="J19" s="12" t="n"/>
      <c r="K19" s="12" t="n"/>
      <c r="L19" s="11">
        <f>IF(COUNTA(H19:J19)&gt;=2,"Adequate",IF(COUNTA(H19:J19)=1,"Minimal","Gap"))</f>
        <v/>
      </c>
      <c r="M19" s="12" t="n"/>
      <c r="N19" s="13" t="n"/>
      <c r="O19" s="11">
        <f>IF(L19="Gap","Yes","No")</f>
        <v/>
      </c>
      <c r="P19" s="12" t="n"/>
      <c r="Q19" s="12" t="n"/>
      <c r="R19" s="12" t="n"/>
    </row>
    <row r="20">
      <c r="A20" s="11" t="inlineStr">
        <is>
          <t>REQ-2025-016</t>
        </is>
      </c>
      <c r="B20" s="12" t="n"/>
      <c r="C20" s="12" t="n"/>
      <c r="D20" s="12" t="n"/>
      <c r="E20" s="12" t="n"/>
      <c r="F20" s="12" t="n"/>
      <c r="G20" s="12" t="n"/>
      <c r="H20" s="12" t="n"/>
      <c r="I20" s="12" t="n"/>
      <c r="J20" s="12" t="n"/>
      <c r="K20" s="12" t="n"/>
      <c r="L20" s="11">
        <f>IF(COUNTA(H20:J20)&gt;=2,"Adequate",IF(COUNTA(H20:J20)=1,"Minimal","Gap"))</f>
        <v/>
      </c>
      <c r="M20" s="12" t="n"/>
      <c r="N20" s="13" t="n"/>
      <c r="O20" s="11">
        <f>IF(L20="Gap","Yes","No")</f>
        <v/>
      </c>
      <c r="P20" s="12" t="n"/>
      <c r="Q20" s="12" t="n"/>
      <c r="R20" s="12" t="n"/>
    </row>
    <row r="21">
      <c r="A21" s="11" t="inlineStr">
        <is>
          <t>REQ-2025-017</t>
        </is>
      </c>
      <c r="B21" s="12" t="n"/>
      <c r="C21" s="12" t="n"/>
      <c r="D21" s="12" t="n"/>
      <c r="E21" s="12" t="n"/>
      <c r="F21" s="12" t="n"/>
      <c r="G21" s="12" t="n"/>
      <c r="H21" s="12" t="n"/>
      <c r="I21" s="12" t="n"/>
      <c r="J21" s="12" t="n"/>
      <c r="K21" s="12" t="n"/>
      <c r="L21" s="11">
        <f>IF(COUNTA(H21:J21)&gt;=2,"Adequate",IF(COUNTA(H21:J21)=1,"Minimal","Gap"))</f>
        <v/>
      </c>
      <c r="M21" s="12" t="n"/>
      <c r="N21" s="13" t="n"/>
      <c r="O21" s="11">
        <f>IF(L21="Gap","Yes","No")</f>
        <v/>
      </c>
      <c r="P21" s="12" t="n"/>
      <c r="Q21" s="12" t="n"/>
      <c r="R21" s="12" t="n"/>
    </row>
    <row r="22">
      <c r="A22" s="11" t="inlineStr">
        <is>
          <t>REQ-2025-018</t>
        </is>
      </c>
      <c r="B22" s="12" t="n"/>
      <c r="C22" s="12" t="n"/>
      <c r="D22" s="12" t="n"/>
      <c r="E22" s="12" t="n"/>
      <c r="F22" s="12" t="n"/>
      <c r="G22" s="12" t="n"/>
      <c r="H22" s="12" t="n"/>
      <c r="I22" s="12" t="n"/>
      <c r="J22" s="12" t="n"/>
      <c r="K22" s="12" t="n"/>
      <c r="L22" s="11">
        <f>IF(COUNTA(H22:J22)&gt;=2,"Adequate",IF(COUNTA(H22:J22)=1,"Minimal","Gap"))</f>
        <v/>
      </c>
      <c r="M22" s="12" t="n"/>
      <c r="N22" s="13" t="n"/>
      <c r="O22" s="11">
        <f>IF(L22="Gap","Yes","No")</f>
        <v/>
      </c>
      <c r="P22" s="12" t="n"/>
      <c r="Q22" s="12" t="n"/>
      <c r="R22" s="12" t="n"/>
    </row>
    <row r="23">
      <c r="A23" s="11" t="inlineStr">
        <is>
          <t>REQ-2025-019</t>
        </is>
      </c>
      <c r="B23" s="12" t="n"/>
      <c r="C23" s="12" t="n"/>
      <c r="D23" s="12" t="n"/>
      <c r="E23" s="12" t="n"/>
      <c r="F23" s="12" t="n"/>
      <c r="G23" s="12" t="n"/>
      <c r="H23" s="12" t="n"/>
      <c r="I23" s="12" t="n"/>
      <c r="J23" s="12" t="n"/>
      <c r="K23" s="12" t="n"/>
      <c r="L23" s="11">
        <f>IF(COUNTA(H23:J23)&gt;=2,"Adequate",IF(COUNTA(H23:J23)=1,"Minimal","Gap"))</f>
        <v/>
      </c>
      <c r="M23" s="12" t="n"/>
      <c r="N23" s="13" t="n"/>
      <c r="O23" s="11">
        <f>IF(L23="Gap","Yes","No")</f>
        <v/>
      </c>
      <c r="P23" s="12" t="n"/>
      <c r="Q23" s="12" t="n"/>
      <c r="R23" s="12" t="n"/>
    </row>
    <row r="24">
      <c r="A24" s="11" t="inlineStr">
        <is>
          <t>REQ-2025-020</t>
        </is>
      </c>
      <c r="B24" s="12" t="n"/>
      <c r="C24" s="12" t="n"/>
      <c r="D24" s="12" t="n"/>
      <c r="E24" s="12" t="n"/>
      <c r="F24" s="12" t="n"/>
      <c r="G24" s="12" t="n"/>
      <c r="H24" s="12" t="n"/>
      <c r="I24" s="12" t="n"/>
      <c r="J24" s="12" t="n"/>
      <c r="K24" s="12" t="n"/>
      <c r="L24" s="11">
        <f>IF(COUNTA(H24:J24)&gt;=2,"Adequate",IF(COUNTA(H24:J24)=1,"Minimal","Gap"))</f>
        <v/>
      </c>
      <c r="M24" s="12" t="n"/>
      <c r="N24" s="13" t="n"/>
      <c r="O24" s="11">
        <f>IF(L24="Gap","Yes","No")</f>
        <v/>
      </c>
      <c r="P24" s="12" t="n"/>
      <c r="Q24" s="12" t="n"/>
      <c r="R24" s="12" t="n"/>
    </row>
    <row r="25">
      <c r="A25" s="11" t="inlineStr">
        <is>
          <t>REQ-2025-021</t>
        </is>
      </c>
      <c r="B25" s="12" t="n"/>
      <c r="C25" s="12" t="n"/>
      <c r="D25" s="12" t="n"/>
      <c r="E25" s="12" t="n"/>
      <c r="F25" s="12" t="n"/>
      <c r="G25" s="12" t="n"/>
      <c r="H25" s="12" t="n"/>
      <c r="I25" s="12" t="n"/>
      <c r="J25" s="12" t="n"/>
      <c r="K25" s="12" t="n"/>
      <c r="L25" s="11">
        <f>IF(COUNTA(H25:J25)&gt;=2,"Adequate",IF(COUNTA(H25:J25)=1,"Minimal","Gap"))</f>
        <v/>
      </c>
      <c r="M25" s="12" t="n"/>
      <c r="N25" s="13" t="n"/>
      <c r="O25" s="11">
        <f>IF(L25="Gap","Yes","No")</f>
        <v/>
      </c>
      <c r="P25" s="12" t="n"/>
      <c r="Q25" s="12" t="n"/>
      <c r="R25" s="12" t="n"/>
    </row>
    <row r="26">
      <c r="A26" s="11" t="inlineStr">
        <is>
          <t>REQ-2025-022</t>
        </is>
      </c>
      <c r="B26" s="12" t="n"/>
      <c r="C26" s="12" t="n"/>
      <c r="D26" s="12" t="n"/>
      <c r="E26" s="12" t="n"/>
      <c r="F26" s="12" t="n"/>
      <c r="G26" s="12" t="n"/>
      <c r="H26" s="12" t="n"/>
      <c r="I26" s="12" t="n"/>
      <c r="J26" s="12" t="n"/>
      <c r="K26" s="12" t="n"/>
      <c r="L26" s="11">
        <f>IF(COUNTA(H26:J26)&gt;=2,"Adequate",IF(COUNTA(H26:J26)=1,"Minimal","Gap"))</f>
        <v/>
      </c>
      <c r="M26" s="12" t="n"/>
      <c r="N26" s="13" t="n"/>
      <c r="O26" s="11">
        <f>IF(L26="Gap","Yes","No")</f>
        <v/>
      </c>
      <c r="P26" s="12" t="n"/>
      <c r="Q26" s="12" t="n"/>
      <c r="R26" s="12" t="n"/>
    </row>
    <row r="27">
      <c r="A27" s="11" t="inlineStr">
        <is>
          <t>REQ-2025-023</t>
        </is>
      </c>
      <c r="B27" s="12" t="n"/>
      <c r="C27" s="12" t="n"/>
      <c r="D27" s="12" t="n"/>
      <c r="E27" s="12" t="n"/>
      <c r="F27" s="12" t="n"/>
      <c r="G27" s="12" t="n"/>
      <c r="H27" s="12" t="n"/>
      <c r="I27" s="12" t="n"/>
      <c r="J27" s="12" t="n"/>
      <c r="K27" s="12" t="n"/>
      <c r="L27" s="11">
        <f>IF(COUNTA(H27:J27)&gt;=2,"Adequate",IF(COUNTA(H27:J27)=1,"Minimal","Gap"))</f>
        <v/>
      </c>
      <c r="M27" s="12" t="n"/>
      <c r="N27" s="13" t="n"/>
      <c r="O27" s="11">
        <f>IF(L27="Gap","Yes","No")</f>
        <v/>
      </c>
      <c r="P27" s="12" t="n"/>
      <c r="Q27" s="12" t="n"/>
      <c r="R27" s="12" t="n"/>
    </row>
    <row r="28">
      <c r="A28" s="11" t="inlineStr">
        <is>
          <t>REQ-2025-024</t>
        </is>
      </c>
      <c r="B28" s="12" t="n"/>
      <c r="C28" s="12" t="n"/>
      <c r="D28" s="12" t="n"/>
      <c r="E28" s="12" t="n"/>
      <c r="F28" s="12" t="n"/>
      <c r="G28" s="12" t="n"/>
      <c r="H28" s="12" t="n"/>
      <c r="I28" s="12" t="n"/>
      <c r="J28" s="12" t="n"/>
      <c r="K28" s="12" t="n"/>
      <c r="L28" s="11">
        <f>IF(COUNTA(H28:J28)&gt;=2,"Adequate",IF(COUNTA(H28:J28)=1,"Minimal","Gap"))</f>
        <v/>
      </c>
      <c r="M28" s="12" t="n"/>
      <c r="N28" s="13" t="n"/>
      <c r="O28" s="11">
        <f>IF(L28="Gap","Yes","No")</f>
        <v/>
      </c>
      <c r="P28" s="12" t="n"/>
      <c r="Q28" s="12" t="n"/>
      <c r="R28" s="12" t="n"/>
    </row>
    <row r="29">
      <c r="A29" s="11" t="inlineStr">
        <is>
          <t>REQ-2025-025</t>
        </is>
      </c>
      <c r="B29" s="12" t="n"/>
      <c r="C29" s="12" t="n"/>
      <c r="D29" s="12" t="n"/>
      <c r="E29" s="12" t="n"/>
      <c r="F29" s="12" t="n"/>
      <c r="G29" s="12" t="n"/>
      <c r="H29" s="12" t="n"/>
      <c r="I29" s="12" t="n"/>
      <c r="J29" s="12" t="n"/>
      <c r="K29" s="12" t="n"/>
      <c r="L29" s="11">
        <f>IF(COUNTA(H29:J29)&gt;=2,"Adequate",IF(COUNTA(H29:J29)=1,"Minimal","Gap"))</f>
        <v/>
      </c>
      <c r="M29" s="12" t="n"/>
      <c r="N29" s="13" t="n"/>
      <c r="O29" s="11">
        <f>IF(L29="Gap","Yes","No")</f>
        <v/>
      </c>
      <c r="P29" s="12" t="n"/>
      <c r="Q29" s="12" t="n"/>
      <c r="R29" s="12" t="n"/>
    </row>
    <row r="30">
      <c r="A30" s="11" t="inlineStr">
        <is>
          <t>REQ-2025-026</t>
        </is>
      </c>
      <c r="B30" s="12" t="n"/>
      <c r="C30" s="12" t="n"/>
      <c r="D30" s="12" t="n"/>
      <c r="E30" s="12" t="n"/>
      <c r="F30" s="12" t="n"/>
      <c r="G30" s="12" t="n"/>
      <c r="H30" s="12" t="n"/>
      <c r="I30" s="12" t="n"/>
      <c r="J30" s="12" t="n"/>
      <c r="K30" s="12" t="n"/>
      <c r="L30" s="11">
        <f>IF(COUNTA(H30:J30)&gt;=2,"Adequate",IF(COUNTA(H30:J30)=1,"Minimal","Gap"))</f>
        <v/>
      </c>
      <c r="M30" s="12" t="n"/>
      <c r="N30" s="13" t="n"/>
      <c r="O30" s="11">
        <f>IF(L30="Gap","Yes","No")</f>
        <v/>
      </c>
      <c r="P30" s="12" t="n"/>
      <c r="Q30" s="12" t="n"/>
      <c r="R30" s="12" t="n"/>
    </row>
    <row r="31">
      <c r="A31" s="11" t="inlineStr">
        <is>
          <t>REQ-2025-027</t>
        </is>
      </c>
      <c r="B31" s="12" t="n"/>
      <c r="C31" s="12" t="n"/>
      <c r="D31" s="12" t="n"/>
      <c r="E31" s="12" t="n"/>
      <c r="F31" s="12" t="n"/>
      <c r="G31" s="12" t="n"/>
      <c r="H31" s="12" t="n"/>
      <c r="I31" s="12" t="n"/>
      <c r="J31" s="12" t="n"/>
      <c r="K31" s="12" t="n"/>
      <c r="L31" s="11">
        <f>IF(COUNTA(H31:J31)&gt;=2,"Adequate",IF(COUNTA(H31:J31)=1,"Minimal","Gap"))</f>
        <v/>
      </c>
      <c r="M31" s="12" t="n"/>
      <c r="N31" s="13" t="n"/>
      <c r="O31" s="11">
        <f>IF(L31="Gap","Yes","No")</f>
        <v/>
      </c>
      <c r="P31" s="12" t="n"/>
      <c r="Q31" s="12" t="n"/>
      <c r="R31" s="12" t="n"/>
    </row>
    <row r="32">
      <c r="A32" s="11" t="inlineStr">
        <is>
          <t>REQ-2025-028</t>
        </is>
      </c>
      <c r="B32" s="12" t="n"/>
      <c r="C32" s="12" t="n"/>
      <c r="D32" s="12" t="n"/>
      <c r="E32" s="12" t="n"/>
      <c r="F32" s="12" t="n"/>
      <c r="G32" s="12" t="n"/>
      <c r="H32" s="12" t="n"/>
      <c r="I32" s="12" t="n"/>
      <c r="J32" s="12" t="n"/>
      <c r="K32" s="12" t="n"/>
      <c r="L32" s="11">
        <f>IF(COUNTA(H32:J32)&gt;=2,"Adequate",IF(COUNTA(H32:J32)=1,"Minimal","Gap"))</f>
        <v/>
      </c>
      <c r="M32" s="12" t="n"/>
      <c r="N32" s="13" t="n"/>
      <c r="O32" s="11">
        <f>IF(L32="Gap","Yes","No")</f>
        <v/>
      </c>
      <c r="P32" s="12" t="n"/>
      <c r="Q32" s="12" t="n"/>
      <c r="R32" s="12" t="n"/>
    </row>
    <row r="33">
      <c r="A33" s="11" t="inlineStr">
        <is>
          <t>REQ-2025-029</t>
        </is>
      </c>
      <c r="B33" s="12" t="n"/>
      <c r="C33" s="12" t="n"/>
      <c r="D33" s="12" t="n"/>
      <c r="E33" s="12" t="n"/>
      <c r="F33" s="12" t="n"/>
      <c r="G33" s="12" t="n"/>
      <c r="H33" s="12" t="n"/>
      <c r="I33" s="12" t="n"/>
      <c r="J33" s="12" t="n"/>
      <c r="K33" s="12" t="n"/>
      <c r="L33" s="11">
        <f>IF(COUNTA(H33:J33)&gt;=2,"Adequate",IF(COUNTA(H33:J33)=1,"Minimal","Gap"))</f>
        <v/>
      </c>
      <c r="M33" s="12" t="n"/>
      <c r="N33" s="13" t="n"/>
      <c r="O33" s="11">
        <f>IF(L33="Gap","Yes","No")</f>
        <v/>
      </c>
      <c r="P33" s="12" t="n"/>
      <c r="Q33" s="12" t="n"/>
      <c r="R33" s="12" t="n"/>
    </row>
    <row r="34">
      <c r="A34" s="11" t="inlineStr">
        <is>
          <t>REQ-2025-030</t>
        </is>
      </c>
      <c r="B34" s="12" t="n"/>
      <c r="C34" s="12" t="n"/>
      <c r="D34" s="12" t="n"/>
      <c r="E34" s="12" t="n"/>
      <c r="F34" s="12" t="n"/>
      <c r="G34" s="12" t="n"/>
      <c r="H34" s="12" t="n"/>
      <c r="I34" s="12" t="n"/>
      <c r="J34" s="12" t="n"/>
      <c r="K34" s="12" t="n"/>
      <c r="L34" s="11">
        <f>IF(COUNTA(H34:J34)&gt;=2,"Adequate",IF(COUNTA(H34:J34)=1,"Minimal","Gap"))</f>
        <v/>
      </c>
      <c r="M34" s="12" t="n"/>
      <c r="N34" s="13" t="n"/>
      <c r="O34" s="11">
        <f>IF(L34="Gap","Yes","No")</f>
        <v/>
      </c>
      <c r="P34" s="12" t="n"/>
      <c r="Q34" s="12" t="n"/>
      <c r="R34" s="12" t="n"/>
    </row>
    <row r="35">
      <c r="A35" s="11" t="inlineStr">
        <is>
          <t>REQ-2025-031</t>
        </is>
      </c>
      <c r="B35" s="12" t="n"/>
      <c r="C35" s="12" t="n"/>
      <c r="D35" s="12" t="n"/>
      <c r="E35" s="12" t="n"/>
      <c r="F35" s="12" t="n"/>
      <c r="G35" s="12" t="n"/>
      <c r="H35" s="12" t="n"/>
      <c r="I35" s="12" t="n"/>
      <c r="J35" s="12" t="n"/>
      <c r="K35" s="12" t="n"/>
      <c r="L35" s="11">
        <f>IF(COUNTA(H35:J35)&gt;=2,"Adequate",IF(COUNTA(H35:J35)=1,"Minimal","Gap"))</f>
        <v/>
      </c>
      <c r="M35" s="12" t="n"/>
      <c r="N35" s="13" t="n"/>
      <c r="O35" s="11">
        <f>IF(L35="Gap","Yes","No")</f>
        <v/>
      </c>
      <c r="P35" s="12" t="n"/>
      <c r="Q35" s="12" t="n"/>
      <c r="R35" s="12" t="n"/>
    </row>
    <row r="36">
      <c r="A36" s="11" t="inlineStr">
        <is>
          <t>REQ-2025-032</t>
        </is>
      </c>
      <c r="B36" s="12" t="n"/>
      <c r="C36" s="12" t="n"/>
      <c r="D36" s="12" t="n"/>
      <c r="E36" s="12" t="n"/>
      <c r="F36" s="12" t="n"/>
      <c r="G36" s="12" t="n"/>
      <c r="H36" s="12" t="n"/>
      <c r="I36" s="12" t="n"/>
      <c r="J36" s="12" t="n"/>
      <c r="K36" s="12" t="n"/>
      <c r="L36" s="11">
        <f>IF(COUNTA(H36:J36)&gt;=2,"Adequate",IF(COUNTA(H36:J36)=1,"Minimal","Gap"))</f>
        <v/>
      </c>
      <c r="M36" s="12" t="n"/>
      <c r="N36" s="13" t="n"/>
      <c r="O36" s="11">
        <f>IF(L36="Gap","Yes","No")</f>
        <v/>
      </c>
      <c r="P36" s="12" t="n"/>
      <c r="Q36" s="12" t="n"/>
      <c r="R36" s="12" t="n"/>
    </row>
    <row r="37">
      <c r="A37" s="11" t="inlineStr">
        <is>
          <t>REQ-2025-033</t>
        </is>
      </c>
      <c r="B37" s="12" t="n"/>
      <c r="C37" s="12" t="n"/>
      <c r="D37" s="12" t="n"/>
      <c r="E37" s="12" t="n"/>
      <c r="F37" s="12" t="n"/>
      <c r="G37" s="12" t="n"/>
      <c r="H37" s="12" t="n"/>
      <c r="I37" s="12" t="n"/>
      <c r="J37" s="12" t="n"/>
      <c r="K37" s="12" t="n"/>
      <c r="L37" s="11">
        <f>IF(COUNTA(H37:J37)&gt;=2,"Adequate",IF(COUNTA(H37:J37)=1,"Minimal","Gap"))</f>
        <v/>
      </c>
      <c r="M37" s="12" t="n"/>
      <c r="N37" s="13" t="n"/>
      <c r="O37" s="11">
        <f>IF(L37="Gap","Yes","No")</f>
        <v/>
      </c>
      <c r="P37" s="12" t="n"/>
      <c r="Q37" s="12" t="n"/>
      <c r="R37" s="12" t="n"/>
    </row>
    <row r="38">
      <c r="A38" s="11" t="inlineStr">
        <is>
          <t>REQ-2025-034</t>
        </is>
      </c>
      <c r="B38" s="12" t="n"/>
      <c r="C38" s="12" t="n"/>
      <c r="D38" s="12" t="n"/>
      <c r="E38" s="12" t="n"/>
      <c r="F38" s="12" t="n"/>
      <c r="G38" s="12" t="n"/>
      <c r="H38" s="12" t="n"/>
      <c r="I38" s="12" t="n"/>
      <c r="J38" s="12" t="n"/>
      <c r="K38" s="12" t="n"/>
      <c r="L38" s="11">
        <f>IF(COUNTA(H38:J38)&gt;=2,"Adequate",IF(COUNTA(H38:J38)=1,"Minimal","Gap"))</f>
        <v/>
      </c>
      <c r="M38" s="12" t="n"/>
      <c r="N38" s="13" t="n"/>
      <c r="O38" s="11">
        <f>IF(L38="Gap","Yes","No")</f>
        <v/>
      </c>
      <c r="P38" s="12" t="n"/>
      <c r="Q38" s="12" t="n"/>
      <c r="R38" s="12" t="n"/>
    </row>
    <row r="39">
      <c r="A39" s="11" t="inlineStr">
        <is>
          <t>REQ-2025-035</t>
        </is>
      </c>
      <c r="B39" s="12" t="n"/>
      <c r="C39" s="12" t="n"/>
      <c r="D39" s="12" t="n"/>
      <c r="E39" s="12" t="n"/>
      <c r="F39" s="12" t="n"/>
      <c r="G39" s="12" t="n"/>
      <c r="H39" s="12" t="n"/>
      <c r="I39" s="12" t="n"/>
      <c r="J39" s="12" t="n"/>
      <c r="K39" s="12" t="n"/>
      <c r="L39" s="11">
        <f>IF(COUNTA(H39:J39)&gt;=2,"Adequate",IF(COUNTA(H39:J39)=1,"Minimal","Gap"))</f>
        <v/>
      </c>
      <c r="M39" s="12" t="n"/>
      <c r="N39" s="13" t="n"/>
      <c r="O39" s="11">
        <f>IF(L39="Gap","Yes","No")</f>
        <v/>
      </c>
      <c r="P39" s="12" t="n"/>
      <c r="Q39" s="12" t="n"/>
      <c r="R39" s="12" t="n"/>
    </row>
    <row r="40">
      <c r="A40" s="11" t="inlineStr">
        <is>
          <t>REQ-2025-036</t>
        </is>
      </c>
      <c r="B40" s="12" t="n"/>
      <c r="C40" s="12" t="n"/>
      <c r="D40" s="12" t="n"/>
      <c r="E40" s="12" t="n"/>
      <c r="F40" s="12" t="n"/>
      <c r="G40" s="12" t="n"/>
      <c r="H40" s="12" t="n"/>
      <c r="I40" s="12" t="n"/>
      <c r="J40" s="12" t="n"/>
      <c r="K40" s="12" t="n"/>
      <c r="L40" s="11">
        <f>IF(COUNTA(H40:J40)&gt;=2,"Adequate",IF(COUNTA(H40:J40)=1,"Minimal","Gap"))</f>
        <v/>
      </c>
      <c r="M40" s="12" t="n"/>
      <c r="N40" s="13" t="n"/>
      <c r="O40" s="11">
        <f>IF(L40="Gap","Yes","No")</f>
        <v/>
      </c>
      <c r="P40" s="12" t="n"/>
      <c r="Q40" s="12" t="n"/>
      <c r="R40" s="12" t="n"/>
    </row>
    <row r="41">
      <c r="A41" s="11" t="inlineStr">
        <is>
          <t>REQ-2025-037</t>
        </is>
      </c>
      <c r="B41" s="12" t="n"/>
      <c r="C41" s="12" t="n"/>
      <c r="D41" s="12" t="n"/>
      <c r="E41" s="12" t="n"/>
      <c r="F41" s="12" t="n"/>
      <c r="G41" s="12" t="n"/>
      <c r="H41" s="12" t="n"/>
      <c r="I41" s="12" t="n"/>
      <c r="J41" s="12" t="n"/>
      <c r="K41" s="12" t="n"/>
      <c r="L41" s="11">
        <f>IF(COUNTA(H41:J41)&gt;=2,"Adequate",IF(COUNTA(H41:J41)=1,"Minimal","Gap"))</f>
        <v/>
      </c>
      <c r="M41" s="12" t="n"/>
      <c r="N41" s="13" t="n"/>
      <c r="O41" s="11">
        <f>IF(L41="Gap","Yes","No")</f>
        <v/>
      </c>
      <c r="P41" s="12" t="n"/>
      <c r="Q41" s="12" t="n"/>
      <c r="R41" s="12" t="n"/>
    </row>
    <row r="42">
      <c r="A42" s="11" t="inlineStr">
        <is>
          <t>REQ-2025-038</t>
        </is>
      </c>
      <c r="B42" s="12" t="n"/>
      <c r="C42" s="12" t="n"/>
      <c r="D42" s="12" t="n"/>
      <c r="E42" s="12" t="n"/>
      <c r="F42" s="12" t="n"/>
      <c r="G42" s="12" t="n"/>
      <c r="H42" s="12" t="n"/>
      <c r="I42" s="12" t="n"/>
      <c r="J42" s="12" t="n"/>
      <c r="K42" s="12" t="n"/>
      <c r="L42" s="11">
        <f>IF(COUNTA(H42:J42)&gt;=2,"Adequate",IF(COUNTA(H42:J42)=1,"Minimal","Gap"))</f>
        <v/>
      </c>
      <c r="M42" s="12" t="n"/>
      <c r="N42" s="13" t="n"/>
      <c r="O42" s="11">
        <f>IF(L42="Gap","Yes","No")</f>
        <v/>
      </c>
      <c r="P42" s="12" t="n"/>
      <c r="Q42" s="12" t="n"/>
      <c r="R42" s="12" t="n"/>
    </row>
    <row r="43">
      <c r="A43" s="11" t="inlineStr">
        <is>
          <t>REQ-2025-039</t>
        </is>
      </c>
      <c r="B43" s="12" t="n"/>
      <c r="C43" s="12" t="n"/>
      <c r="D43" s="12" t="n"/>
      <c r="E43" s="12" t="n"/>
      <c r="F43" s="12" t="n"/>
      <c r="G43" s="12" t="n"/>
      <c r="H43" s="12" t="n"/>
      <c r="I43" s="12" t="n"/>
      <c r="J43" s="12" t="n"/>
      <c r="K43" s="12" t="n"/>
      <c r="L43" s="11">
        <f>IF(COUNTA(H43:J43)&gt;=2,"Adequate",IF(COUNTA(H43:J43)=1,"Minimal","Gap"))</f>
        <v/>
      </c>
      <c r="M43" s="12" t="n"/>
      <c r="N43" s="13" t="n"/>
      <c r="O43" s="11">
        <f>IF(L43="Gap","Yes","No")</f>
        <v/>
      </c>
      <c r="P43" s="12" t="n"/>
      <c r="Q43" s="12" t="n"/>
      <c r="R43" s="12" t="n"/>
    </row>
    <row r="44">
      <c r="A44" s="11" t="inlineStr">
        <is>
          <t>REQ-2025-040</t>
        </is>
      </c>
      <c r="B44" s="12" t="n"/>
      <c r="C44" s="12" t="n"/>
      <c r="D44" s="12" t="n"/>
      <c r="E44" s="12" t="n"/>
      <c r="F44" s="12" t="n"/>
      <c r="G44" s="12" t="n"/>
      <c r="H44" s="12" t="n"/>
      <c r="I44" s="12" t="n"/>
      <c r="J44" s="12" t="n"/>
      <c r="K44" s="12" t="n"/>
      <c r="L44" s="11">
        <f>IF(COUNTA(H44:J44)&gt;=2,"Adequate",IF(COUNTA(H44:J44)=1,"Minimal","Gap"))</f>
        <v/>
      </c>
      <c r="M44" s="12" t="n"/>
      <c r="N44" s="13" t="n"/>
      <c r="O44" s="11">
        <f>IF(L44="Gap","Yes","No")</f>
        <v/>
      </c>
      <c r="P44" s="12" t="n"/>
      <c r="Q44" s="12" t="n"/>
      <c r="R44" s="12" t="n"/>
    </row>
    <row r="45">
      <c r="A45" s="11" t="inlineStr">
        <is>
          <t>REQ-2025-041</t>
        </is>
      </c>
      <c r="B45" s="12" t="n"/>
      <c r="C45" s="12" t="n"/>
      <c r="D45" s="12" t="n"/>
      <c r="E45" s="12" t="n"/>
      <c r="F45" s="12" t="n"/>
      <c r="G45" s="12" t="n"/>
      <c r="H45" s="12" t="n"/>
      <c r="I45" s="12" t="n"/>
      <c r="J45" s="12" t="n"/>
      <c r="K45" s="12" t="n"/>
      <c r="L45" s="11">
        <f>IF(COUNTA(H45:J45)&gt;=2,"Adequate",IF(COUNTA(H45:J45)=1,"Minimal","Gap"))</f>
        <v/>
      </c>
      <c r="M45" s="12" t="n"/>
      <c r="N45" s="13" t="n"/>
      <c r="O45" s="11">
        <f>IF(L45="Gap","Yes","No")</f>
        <v/>
      </c>
      <c r="P45" s="12" t="n"/>
      <c r="Q45" s="12" t="n"/>
      <c r="R45" s="12" t="n"/>
    </row>
    <row r="46">
      <c r="A46" s="11" t="inlineStr">
        <is>
          <t>REQ-2025-042</t>
        </is>
      </c>
      <c r="B46" s="12" t="n"/>
      <c r="C46" s="12" t="n"/>
      <c r="D46" s="12" t="n"/>
      <c r="E46" s="12" t="n"/>
      <c r="F46" s="12" t="n"/>
      <c r="G46" s="12" t="n"/>
      <c r="H46" s="12" t="n"/>
      <c r="I46" s="12" t="n"/>
      <c r="J46" s="12" t="n"/>
      <c r="K46" s="12" t="n"/>
      <c r="L46" s="11">
        <f>IF(COUNTA(H46:J46)&gt;=2,"Adequate",IF(COUNTA(H46:J46)=1,"Minimal","Gap"))</f>
        <v/>
      </c>
      <c r="M46" s="12" t="n"/>
      <c r="N46" s="13" t="n"/>
      <c r="O46" s="11">
        <f>IF(L46="Gap","Yes","No")</f>
        <v/>
      </c>
      <c r="P46" s="12" t="n"/>
      <c r="Q46" s="12" t="n"/>
      <c r="R46" s="12" t="n"/>
    </row>
    <row r="47">
      <c r="A47" s="11" t="inlineStr">
        <is>
          <t>REQ-2025-043</t>
        </is>
      </c>
      <c r="B47" s="12" t="n"/>
      <c r="C47" s="12" t="n"/>
      <c r="D47" s="12" t="n"/>
      <c r="E47" s="12" t="n"/>
      <c r="F47" s="12" t="n"/>
      <c r="G47" s="12" t="n"/>
      <c r="H47" s="12" t="n"/>
      <c r="I47" s="12" t="n"/>
      <c r="J47" s="12" t="n"/>
      <c r="K47" s="12" t="n"/>
      <c r="L47" s="11">
        <f>IF(COUNTA(H47:J47)&gt;=2,"Adequate",IF(COUNTA(H47:J47)=1,"Minimal","Gap"))</f>
        <v/>
      </c>
      <c r="M47" s="12" t="n"/>
      <c r="N47" s="13" t="n"/>
      <c r="O47" s="11">
        <f>IF(L47="Gap","Yes","No")</f>
        <v/>
      </c>
      <c r="P47" s="12" t="n"/>
      <c r="Q47" s="12" t="n"/>
      <c r="R47" s="12" t="n"/>
    </row>
    <row r="48">
      <c r="A48" s="11" t="inlineStr">
        <is>
          <t>REQ-2025-044</t>
        </is>
      </c>
      <c r="B48" s="12" t="n"/>
      <c r="C48" s="12" t="n"/>
      <c r="D48" s="12" t="n"/>
      <c r="E48" s="12" t="n"/>
      <c r="F48" s="12" t="n"/>
      <c r="G48" s="12" t="n"/>
      <c r="H48" s="12" t="n"/>
      <c r="I48" s="12" t="n"/>
      <c r="J48" s="12" t="n"/>
      <c r="K48" s="12" t="n"/>
      <c r="L48" s="11">
        <f>IF(COUNTA(H48:J48)&gt;=2,"Adequate",IF(COUNTA(H48:J48)=1,"Minimal","Gap"))</f>
        <v/>
      </c>
      <c r="M48" s="12" t="n"/>
      <c r="N48" s="13" t="n"/>
      <c r="O48" s="11">
        <f>IF(L48="Gap","Yes","No")</f>
        <v/>
      </c>
      <c r="P48" s="12" t="n"/>
      <c r="Q48" s="12" t="n"/>
      <c r="R48" s="12" t="n"/>
    </row>
    <row r="49">
      <c r="A49" s="11" t="inlineStr">
        <is>
          <t>REQ-2025-045</t>
        </is>
      </c>
      <c r="B49" s="12" t="n"/>
      <c r="C49" s="12" t="n"/>
      <c r="D49" s="12" t="n"/>
      <c r="E49" s="12" t="n"/>
      <c r="F49" s="12" t="n"/>
      <c r="G49" s="12" t="n"/>
      <c r="H49" s="12" t="n"/>
      <c r="I49" s="12" t="n"/>
      <c r="J49" s="12" t="n"/>
      <c r="K49" s="12" t="n"/>
      <c r="L49" s="11">
        <f>IF(COUNTA(H49:J49)&gt;=2,"Adequate",IF(COUNTA(H49:J49)=1,"Minimal","Gap"))</f>
        <v/>
      </c>
      <c r="M49" s="12" t="n"/>
      <c r="N49" s="13" t="n"/>
      <c r="O49" s="11">
        <f>IF(L49="Gap","Yes","No")</f>
        <v/>
      </c>
      <c r="P49" s="12" t="n"/>
      <c r="Q49" s="12" t="n"/>
      <c r="R49" s="12" t="n"/>
    </row>
    <row r="50">
      <c r="A50" s="11" t="inlineStr">
        <is>
          <t>REQ-2025-046</t>
        </is>
      </c>
      <c r="B50" s="12" t="n"/>
      <c r="C50" s="12" t="n"/>
      <c r="D50" s="12" t="n"/>
      <c r="E50" s="12" t="n"/>
      <c r="F50" s="12" t="n"/>
      <c r="G50" s="12" t="n"/>
      <c r="H50" s="12" t="n"/>
      <c r="I50" s="12" t="n"/>
      <c r="J50" s="12" t="n"/>
      <c r="K50" s="12" t="n"/>
      <c r="L50" s="11">
        <f>IF(COUNTA(H50:J50)&gt;=2,"Adequate",IF(COUNTA(H50:J50)=1,"Minimal","Gap"))</f>
        <v/>
      </c>
      <c r="M50" s="12" t="n"/>
      <c r="N50" s="13" t="n"/>
      <c r="O50" s="11">
        <f>IF(L50="Gap","Yes","No")</f>
        <v/>
      </c>
      <c r="P50" s="12" t="n"/>
      <c r="Q50" s="12" t="n"/>
      <c r="R50" s="12" t="n"/>
    </row>
    <row r="51">
      <c r="A51" s="11" t="inlineStr">
        <is>
          <t>REQ-2025-047</t>
        </is>
      </c>
      <c r="B51" s="12" t="n"/>
      <c r="C51" s="12" t="n"/>
      <c r="D51" s="12" t="n"/>
      <c r="E51" s="12" t="n"/>
      <c r="F51" s="12" t="n"/>
      <c r="G51" s="12" t="n"/>
      <c r="H51" s="12" t="n"/>
      <c r="I51" s="12" t="n"/>
      <c r="J51" s="12" t="n"/>
      <c r="K51" s="12" t="n"/>
      <c r="L51" s="11">
        <f>IF(COUNTA(H51:J51)&gt;=2,"Adequate",IF(COUNTA(H51:J51)=1,"Minimal","Gap"))</f>
        <v/>
      </c>
      <c r="M51" s="12" t="n"/>
      <c r="N51" s="13" t="n"/>
      <c r="O51" s="11">
        <f>IF(L51="Gap","Yes","No")</f>
        <v/>
      </c>
      <c r="P51" s="12" t="n"/>
      <c r="Q51" s="12" t="n"/>
      <c r="R51" s="12" t="n"/>
    </row>
    <row r="52">
      <c r="A52" s="11" t="inlineStr">
        <is>
          <t>REQ-2025-048</t>
        </is>
      </c>
      <c r="B52" s="12" t="n"/>
      <c r="C52" s="12" t="n"/>
      <c r="D52" s="12" t="n"/>
      <c r="E52" s="12" t="n"/>
      <c r="F52" s="12" t="n"/>
      <c r="G52" s="12" t="n"/>
      <c r="H52" s="12" t="n"/>
      <c r="I52" s="12" t="n"/>
      <c r="J52" s="12" t="n"/>
      <c r="K52" s="12" t="n"/>
      <c r="L52" s="11">
        <f>IF(COUNTA(H52:J52)&gt;=2,"Adequate",IF(COUNTA(H52:J52)=1,"Minimal","Gap"))</f>
        <v/>
      </c>
      <c r="M52" s="12" t="n"/>
      <c r="N52" s="13" t="n"/>
      <c r="O52" s="11">
        <f>IF(L52="Gap","Yes","No")</f>
        <v/>
      </c>
      <c r="P52" s="12" t="n"/>
      <c r="Q52" s="12" t="n"/>
      <c r="R52" s="12" t="n"/>
    </row>
    <row r="53">
      <c r="A53" s="11" t="inlineStr">
        <is>
          <t>REQ-2025-049</t>
        </is>
      </c>
      <c r="B53" s="12" t="n"/>
      <c r="C53" s="12" t="n"/>
      <c r="D53" s="12" t="n"/>
      <c r="E53" s="12" t="n"/>
      <c r="F53" s="12" t="n"/>
      <c r="G53" s="12" t="n"/>
      <c r="H53" s="12" t="n"/>
      <c r="I53" s="12" t="n"/>
      <c r="J53" s="12" t="n"/>
      <c r="K53" s="12" t="n"/>
      <c r="L53" s="11">
        <f>IF(COUNTA(H53:J53)&gt;=2,"Adequate",IF(COUNTA(H53:J53)=1,"Minimal","Gap"))</f>
        <v/>
      </c>
      <c r="M53" s="12" t="n"/>
      <c r="N53" s="13" t="n"/>
      <c r="O53" s="11">
        <f>IF(L53="Gap","Yes","No")</f>
        <v/>
      </c>
      <c r="P53" s="12" t="n"/>
      <c r="Q53" s="12" t="n"/>
      <c r="R53" s="12" t="n"/>
    </row>
    <row r="54">
      <c r="A54" s="11" t="inlineStr">
        <is>
          <t>REQ-2025-050</t>
        </is>
      </c>
      <c r="B54" s="12" t="n"/>
      <c r="C54" s="12" t="n"/>
      <c r="D54" s="12" t="n"/>
      <c r="E54" s="12" t="n"/>
      <c r="F54" s="12" t="n"/>
      <c r="G54" s="12" t="n"/>
      <c r="H54" s="12" t="n"/>
      <c r="I54" s="12" t="n"/>
      <c r="J54" s="12" t="n"/>
      <c r="K54" s="12" t="n"/>
      <c r="L54" s="11">
        <f>IF(COUNTA(H54:J54)&gt;=2,"Adequate",IF(COUNTA(H54:J54)=1,"Minimal","Gap"))</f>
        <v/>
      </c>
      <c r="M54" s="12" t="n"/>
      <c r="N54" s="13" t="n"/>
      <c r="O54" s="11">
        <f>IF(L54="Gap","Yes","No")</f>
        <v/>
      </c>
      <c r="P54" s="12" t="n"/>
      <c r="Q54" s="12" t="n"/>
      <c r="R54" s="12" t="n"/>
    </row>
    <row r="56">
      <c r="A56" s="14" t="inlineStr">
        <is>
          <t>COLLECTION COVERAGE SUMMARY</t>
        </is>
      </c>
    </row>
    <row r="57">
      <c r="A57" s="5" t="inlineStr">
        <is>
          <t>Total Requirements:</t>
        </is>
      </c>
      <c r="B57" s="5">
        <f>COUNTA(A5:A54)</f>
        <v/>
      </c>
    </row>
    <row r="58">
      <c r="A58" s="5" t="inlineStr">
        <is>
          <t>Critical Priority:</t>
        </is>
      </c>
      <c r="B58" s="5">
        <f>COUNTIF(D5:D54,"Critical")</f>
        <v/>
      </c>
    </row>
    <row r="59">
      <c r="A59" s="5" t="inlineStr">
        <is>
          <t>High Priority:</t>
        </is>
      </c>
      <c r="B59" s="5">
        <f>COUNTIF(D5:D54,"High")</f>
        <v/>
      </c>
    </row>
    <row r="60">
      <c r="A60" s="5" t="inlineStr">
        <is>
          <t>Coverage Gaps:</t>
        </is>
      </c>
      <c r="B60" s="5">
        <f>COUNTIF(L5:L54,"Gap")</f>
        <v/>
      </c>
    </row>
    <row r="61">
      <c r="A61" s="5" t="inlineStr">
        <is>
          <t>Minimal Coverage:</t>
        </is>
      </c>
      <c r="B61" s="5">
        <f>COUNTIF(L5:L54,"Minimal")</f>
        <v/>
      </c>
    </row>
    <row r="62">
      <c r="A62" s="5" t="inlineStr">
        <is>
          <t>Adequate Coverage:</t>
        </is>
      </c>
      <c r="B62" s="5">
        <f>COUNTIF(L5:L54,"Adequate")</f>
        <v/>
      </c>
    </row>
  </sheetData>
  <mergeCells count="3">
    <mergeCell ref="A2:R2"/>
    <mergeCell ref="A56:D56"/>
    <mergeCell ref="A1:R1"/>
  </mergeCells>
  <conditionalFormatting sqref="L5:L54">
    <cfRule type="cellIs" priority="1" operator="equal" dxfId="0">
      <formula>"Gap"</formula>
    </cfRule>
    <cfRule type="cellIs" priority="2" operator="equal" dxfId="1">
      <formula>"Minimal"</formula>
    </cfRule>
    <cfRule type="cellIs" priority="3" operator="equal" dxfId="2">
      <formula>"Adequate"</formula>
    </cfRule>
  </conditionalFormatting>
  <dataValidations count="31">
    <dataValidation sqref="B5 B6 B7 B8 B9 B10 B11 B12 B13 B14 B15 B16 B17 B18 B19 B20 B21 B22 B23 B24 B25 B26 B27 B28 B29 B30 B31 B32 B33 B34 B35 B36 B37 B38 B39 B40 B41 B42 B43 B44 B45 B46 B47 B48 B49 B50 B51 B52 B53 B5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showDropDown="0" showInputMessage="0" showErrorMessage="0" allowBlank="0" type="list">
      <formula1>"Strategic,Tactical,Operational,Technical"</formula1>
    </dataValidation>
    <dataValidation sqref="D5 D6 D7 D8 D9 D10 D11 D12 D13 D14 D15 D16 D17 D18 D19 D20 D21 D22 D23 D24 D25 D26 D27 D28 D29 D30 D31 D32 D33 D34 D35 D36 D37 D38 D39 D40 D41 D42 D43 D44 D45 D46 D47 D48 D49 D50 D51 D52 D53 D54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 Critical,🟡 High,🟢 Medium,⚫ Low"</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0" type="list">
      <formula1>"Automated_Feed,Manual_Research,OSINT,Partnership,Internal_Telemetry"</formula1>
    </dataValidation>
    <dataValidation sqref="E5 E6 E7 E8 E9 E10 E11 E12 E13 E14 E15 E16 E17 E18 E19 E20 E21 E22 E23 E24 E25 E26 E27 E28 E29 E30 E31 E32 E33 E34 E35 E36 E37 E38 E39 E40 E41 E42 E43 E44 E45 E46 E47 E48 E49 E50 E51 E52 E53 E54 M5 M6 M7 M8 M9 M10 M11 M12 M13 M14 M15 M16 M17 M18 M19 M20 M21 M22 M23 M24 M25 M26 M27 M28 M29 M30 M31 M32 M33 M34 M35 M36 M37 M38 M39 M40 M41 M42 M43 M44 M45 M46 M47 M48 M49 M50 M51 M52 M53 M54" showDropDown="0" showInputMessage="0" showErrorMessage="0" allowBlank="0" type="list">
      <formula1>"Real-time,Hourly,Daily,Weekly,On_Demand"</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"Fully_Implemented,Partially_Implemented,Planned,Not_Used"</formula1>
    </dataValidation>
    <dataValidation sqref="N5 N6 N7 N8 N9 N10 N11 N12 N13 N14 N15 N16 N17 N18 N19 N20 N21 N22 N23 N24 N25 N26 N27 N28 N29 N30 N31 N32 N33 N34 N35 N36 N37 N38 N39 N40 N41 N42 N43 N44 N45 N46 N47 N48 N49 N50 N51 N52 N53 N54" showDropDown="0" showInputMessage="0" showErrorMessage="0" allowBlank="1" type="list">
      <formula1>"Excellent,Good,Fair,Poor"</formula1>
    </dataValidation>
    <dataValidation sqref="B5 B6 B7 B8 B9 B10 B11 B12 B13 B14 B15 B16 B17 B18 B19 B20 B21 B22 B23 B24 B25 B26 B27 B28 B29 B30 B31 B32 B33 B34 B35 B36 B37 B38 B39 B40 B41 B42 B43 B44 B45 B46 B47 B48 B49 B50 B51 B52 B53 B54 B55 B56 B57 B58 B59 B60 B61 B62 B63 B64" showDropDown="0" showInputMessage="0" showErrorMessage="0" allowBlank="0" type="list">
      <formula1>"Strategic_Report,Tactical_Brief,Operational_Alert,Technical_Analysis,IOC_Package,Threat_Profile"</formula1>
    </dataValidation>
    <dataValidation sqref="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N5 N6 N7 N8 N9 N10 N11 N12 N13 N14 N15 N16 N17 N18 N19 N20 N21 N22 N23 N24 N25 N26 N27 N28 N29 N30 N31 N32 N33 N34 N35 N36 N37 N38 N39 N40 N41 N42 N43 N44 N45 N46 N47 N48 N49 N50 N51 N52 N53 N54 N55 N56 N57 N58 N59 N60 N61 N62 N63 N64" showDropDown="0" showInputMessage="0" showErrorMessage="0" allowBlank="0" type="list">
      <formula1>"Draft,Review,Published,Archived"</formula1>
    </dataValidation>
    <dataValidation sqref="E5 E6 E7 E8 E9 E10 E11 E12 E13 E14 E15 E16 E17 E18 E19 E20 E21 E22 E23 E24 E25 E26 E27 E28 E29 E30 E31 E32 E33 E34 E35 E36 E37 E38 E39 E40 E41 E42 E43 E44 E45 E46 E47 E48 E49 E50 E51 E52 E53 E54 H5 H6 H7 H8 H9 H10 H11 H12 H13 H14 H15 H16 H17 H18 H19 H20 H21 H22 H23 H24 H25 H26 H27 H28 H29 H30 H31 H32 H33 H34 H35 H36 H37 H38 H39 H40 H41 H42 H43 H44 H45 H46 H47 H48 H49 H50 H51 H52 H53 H54 H55 H56 H57 H58 H59 H60 H61 H62 H63 H6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"High,Medium,Low,Unconfirmed"</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"TLP:CLEAR,TLP:GREEN,TLP:AMBER,TLP:AMBER+STRICT,TLP:RED"</formula1>
    </dataValidation>
    <dataValidation sqref="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showDropDown="0" showInputMessage="0" showErrorMessage="0" allowBlank="0" type="list">
      <formula1>"Full,Partial,Limited,None"</formula1>
    </dataValidation>
    <dataValidation sqref="D5 D6 D7 D8 D9 D10 D11 D12 D13 D14 D15 D16 D17 D18 D19 D20 D21 D22 D23 D24 D25 D26 D27 D28 D29 D30 D31 D32 D33 D34 D35 D36 D37 D38 D39 D40 D41 D42 D43 D44 D45 D46 D47 D48 D49 D50 D51 D52 D53 D5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1" type="list">
      <formula1>"Nation-State,Criminal_Syndicate,Hacktivist,Insider_Threat,Script_Kiddie,Unknown"</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"Not_Exploited,PoC_Exists,Active_Exploitation,Widespread"</formula1>
    </dataValidation>
    <dataValidation sqref="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showDropDown="0" showInputMessage="0" showErrorMessage="0" allowBlank="0" type="list">
      <formula1>"Critical,High,Medium,Low,Info"</formula1>
    </dataValidation>
    <dataValidation sqref="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showDropDown="0" showInputMessage="0" showErrorMessage="0" allowBlank="0" type="list">
      <formula1>"Open,In_Progress,Patched,Mitigated,Risk_Accepted,Verified"</formula1>
    </dataValidation>
    <dataValidation sqref="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M5 M6 M7 M8 M9 M10 M11 M12 M13 M14 M15 M16 M17 M18 M19 M20 M21 M22 M23 M24 M25 M26 M27 M28 M29 M30 M31 M32 M33 M34 M35 M36 M37 M38 M39 M40 M41 M42 M43 M44 M45 M46 M47 M48 M49 M50 M51 M52 M53 M5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T103 T104" showDropDown="0" showInputMessage="0" showErrorMessage="0" allowBlank="0" type="list">
      <formula1>"Yes,No"</formula1>
    </dataValidation>
    <dataValidation sqref="B5 B6 B7 B8 B9 B10 B11 B12 B13 B14 C5 C6 C7 C8 C9 C10 C11 C12 C13 C14" showDropDown="0" showInputMessage="0" showErrorMessage="0" allowBlank="0" type="list">
      <formula1>"1 - Initial,2 - Managed,3 - Defined,4 - Quantitatively Managed,5 - Optimizing"</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"Open,In_Progress,Blocked,Resolved,Closed"</formula1>
    </dataValidation>
    <dataValidation sqref="C5 C6 C7 C8 C9 C10 C11 C12 C13 C14 C15 C16 C17 C18 C19 C20 C21 C22 C23 C24 C25 C26 C27 C28 C29 C30 C31 C32 C33 C34 C35 C36 C37 C38 C39 C40 C41 C42 C43 C44 C45 C46 C47 C48 C49 C50 C51 C52 C53 C54" showDropDown="0" showInputMessage="0" showErrorMessage="0" allowBlank="1" type="list">
      <formula1>"TIP,SIEM,Malware_Analysis,OSINT,Collaboration,Visualization,Scripting,Other"</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1" type="list">
      <formula1>"Commercial,Open_Source,Freeware,Internal_Developed"</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1" type="list">
      <formula1>"Yes,No,N/A"</formula1>
    </dataValidation>
    <dataValidation sqref="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showDropDown="0" showInputMessage="0" showErrorMessage="0" allowBlank="1" type="list">
      <formula1>"Yes,No,Unknown"</formula1>
    </dataValidation>
    <dataValidation sqref="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showDropDown="0" showInputMessage="0" showErrorMessage="0" allowBlank="1" type="list">
      <formula1>"Confirmed,Suspected,No,Unknown"</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1" type="list">
      <formula1>"Espionage,Financial,Disruption,Ideology,Unknown"</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1" type="list">
      <formula1>"Advanced,Moderate,Low"</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1" type="list">
      <formula1>"Active,Concluded,Dormant,Unknown"</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1" type="list">
      <formula1>"Espionage,Data_Theft,Disruption,Ransomware,Credential_Harvesting,Other"</formula1>
    </dataValidation>
    <dataValidation sqref="U5 U6 U7 U8 U9 U10 U11 U12 U13 U14 U15 U16 U17 U18 U19 U20 U21 U22 U23 U24 U25 U26 U27 U28 U29 U30 U31 U32 U33 U34 U35 U36 U37 U38 U39 U40 U41 U42 U43 U44 U45 U46 U47 U48 U49 U50 U51 U52 U53 U54" showDropDown="0" showInputMessage="0" showErrorMessage="0" allowBlank="1" type="list">
      <formula1>"🔴 Critical,🟡 High,🟢 Medium,⚫ Low"</formula1>
    </dataValidation>
    <dataValidation sqref="V5 V6 V7 V8 V9 V10 V11 V12 V13 V14 V15 V16 V17 V18 V19 V20 V21 V22 V23 V24 V25 V26 V27 V28 V29 V30 V31 V32 V33 V34 V35 V36 V37 V38 V39 V40 V41 V42 V43 V44 V45 V46 V47 V48 V49 V50 V51 V52 V53 V54" showDropDown="0" showInputMessage="0" showErrorMessage="0" allowBlank="1" type="list">
      <formula1>"Active_Monitoring,Passive_Monitoring,Concluded"</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1" type="list">
      <formula1>"4.0,3.1"</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1" type="list">
      <formula1>"Integrated,Standalone,Planned,Deprecated"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61"/>
  <sheetViews>
    <sheetView workbookViewId="0">
      <pane ySplit="4" topLeftCell="A5" activePane="bottomLeft" state="frozen"/>
      <selection pane="bottomLeft" activeCell="A1" sqref="A1"/>
    </sheetView>
  </sheetViews>
  <sheetFormatPr baseColWidth="8" defaultRowHeight="15"/>
  <cols>
    <col width="12" customWidth="1" min="1" max="1"/>
    <col width="30" customWidth="1" min="2" max="2"/>
    <col width="20" customWidth="1" min="3" max="3"/>
    <col width="15" customWidth="1" min="4" max="4"/>
    <col width="18" customWidth="1" min="5" max="5"/>
    <col width="20" customWidth="1" min="6" max="6"/>
    <col width="20" customWidth="1" min="7" max="7"/>
    <col width="30" customWidth="1" min="8" max="8"/>
    <col width="18" customWidth="1" min="9" max="9"/>
    <col width="20" customWidth="1" min="10" max="10"/>
    <col width="14" customWidth="1" min="11" max="11"/>
    <col width="14" customWidth="1" min="12" max="12"/>
    <col width="25" customWidth="1" min="13" max="13"/>
    <col width="18" customWidth="1" min="14" max="14"/>
    <col width="14" customWidth="1" min="15" max="15"/>
    <col width="35" customWidth="1" min="16" max="16"/>
  </cols>
  <sheetData>
    <row r="1" ht="25" customHeight="1">
      <c r="A1" s="1" t="inlineStr">
        <is>
          <t>Collection Sources</t>
        </is>
      </c>
    </row>
    <row r="2" ht="30" customHeight="1">
      <c r="A2" s="9" t="inlineStr">
        <is>
          <t>Document collection workflows for each source from A.5.7.1. Map data formats, update frequency, and integration status.</t>
        </is>
      </c>
    </row>
    <row r="4" ht="30" customHeight="1">
      <c r="A4" s="10" t="inlineStr">
        <is>
          <t>Source ID</t>
        </is>
      </c>
      <c r="B4" s="10" t="inlineStr">
        <is>
          <t>Source Name</t>
        </is>
      </c>
      <c r="C4" s="10" t="inlineStr">
        <is>
          <t>Source Type</t>
        </is>
      </c>
      <c r="D4" s="10" t="inlineStr">
        <is>
          <t>Data Format</t>
        </is>
      </c>
      <c r="E4" s="10" t="inlineStr">
        <is>
          <t>Update Frequency</t>
        </is>
      </c>
      <c r="F4" s="10" t="inlineStr">
        <is>
          <t>Coverage Geographic</t>
        </is>
      </c>
      <c r="G4" s="10" t="inlineStr">
        <is>
          <t>Coverage Sector</t>
        </is>
      </c>
      <c r="H4" s="10" t="inlineStr">
        <is>
          <t>Coverage Threat Types</t>
        </is>
      </c>
      <c r="I4" s="10" t="inlineStr">
        <is>
          <t>Integration Status</t>
        </is>
      </c>
      <c r="J4" s="10" t="inlineStr">
        <is>
          <t>Integration Platform</t>
        </is>
      </c>
      <c r="K4" s="10" t="inlineStr">
        <is>
          <t>Cost Annual</t>
        </is>
      </c>
      <c r="L4" s="10" t="inlineStr">
        <is>
          <t>Contract Expiry</t>
        </is>
      </c>
      <c r="M4" s="10" t="inlineStr">
        <is>
          <t>Primary Contact</t>
        </is>
      </c>
      <c r="N4" s="10" t="inlineStr">
        <is>
          <t>Data Quality Rating</t>
        </is>
      </c>
      <c r="O4" s="10" t="inlineStr">
        <is>
          <t>Last Review Date</t>
        </is>
      </c>
      <c r="P4" s="10" t="inlineStr">
        <is>
          <t>Notes</t>
        </is>
      </c>
    </row>
    <row r="5">
      <c r="A5" s="11" t="inlineStr">
        <is>
          <t>SRC-001</t>
        </is>
      </c>
      <c r="B5" s="12" t="n"/>
      <c r="C5" s="12" t="n"/>
      <c r="D5" s="12" t="n"/>
      <c r="E5" s="12" t="n"/>
      <c r="F5" s="12" t="n"/>
      <c r="G5" s="12" t="n"/>
      <c r="H5" s="12" t="n"/>
      <c r="I5" s="12" t="n"/>
      <c r="J5" s="12" t="n"/>
      <c r="K5" s="15" t="n"/>
      <c r="L5" s="13" t="n"/>
      <c r="M5" s="12" t="n"/>
      <c r="N5" s="12" t="n"/>
      <c r="O5" s="13" t="n"/>
      <c r="P5" s="12" t="n"/>
    </row>
    <row r="6">
      <c r="A6" s="11" t="inlineStr">
        <is>
          <t>SRC-002</t>
        </is>
      </c>
      <c r="B6" s="12" t="n"/>
      <c r="C6" s="12" t="n"/>
      <c r="D6" s="12" t="n"/>
      <c r="E6" s="12" t="n"/>
      <c r="F6" s="12" t="n"/>
      <c r="G6" s="12" t="n"/>
      <c r="H6" s="12" t="n"/>
      <c r="I6" s="12" t="n"/>
      <c r="J6" s="12" t="n"/>
      <c r="K6" s="15" t="n"/>
      <c r="L6" s="13" t="n"/>
      <c r="M6" s="12" t="n"/>
      <c r="N6" s="12" t="n"/>
      <c r="O6" s="13" t="n"/>
      <c r="P6" s="12" t="n"/>
    </row>
    <row r="7">
      <c r="A7" s="11" t="inlineStr">
        <is>
          <t>SRC-003</t>
        </is>
      </c>
      <c r="B7" s="12" t="n"/>
      <c r="C7" s="12" t="n"/>
      <c r="D7" s="12" t="n"/>
      <c r="E7" s="12" t="n"/>
      <c r="F7" s="12" t="n"/>
      <c r="G7" s="12" t="n"/>
      <c r="H7" s="12" t="n"/>
      <c r="I7" s="12" t="n"/>
      <c r="J7" s="12" t="n"/>
      <c r="K7" s="15" t="n"/>
      <c r="L7" s="13" t="n"/>
      <c r="M7" s="12" t="n"/>
      <c r="N7" s="12" t="n"/>
      <c r="O7" s="13" t="n"/>
      <c r="P7" s="12" t="n"/>
    </row>
    <row r="8">
      <c r="A8" s="11" t="inlineStr">
        <is>
          <t>SRC-004</t>
        </is>
      </c>
      <c r="B8" s="12" t="n"/>
      <c r="C8" s="12" t="n"/>
      <c r="D8" s="12" t="n"/>
      <c r="E8" s="12" t="n"/>
      <c r="F8" s="12" t="n"/>
      <c r="G8" s="12" t="n"/>
      <c r="H8" s="12" t="n"/>
      <c r="I8" s="12" t="n"/>
      <c r="J8" s="12" t="n"/>
      <c r="K8" s="15" t="n"/>
      <c r="L8" s="13" t="n"/>
      <c r="M8" s="12" t="n"/>
      <c r="N8" s="12" t="n"/>
      <c r="O8" s="13" t="n"/>
      <c r="P8" s="12" t="n"/>
    </row>
    <row r="9">
      <c r="A9" s="11" t="inlineStr">
        <is>
          <t>SRC-005</t>
        </is>
      </c>
      <c r="B9" s="12" t="n"/>
      <c r="C9" s="12" t="n"/>
      <c r="D9" s="12" t="n"/>
      <c r="E9" s="12" t="n"/>
      <c r="F9" s="12" t="n"/>
      <c r="G9" s="12" t="n"/>
      <c r="H9" s="12" t="n"/>
      <c r="I9" s="12" t="n"/>
      <c r="J9" s="12" t="n"/>
      <c r="K9" s="15" t="n"/>
      <c r="L9" s="13" t="n"/>
      <c r="M9" s="12" t="n"/>
      <c r="N9" s="12" t="n"/>
      <c r="O9" s="13" t="n"/>
      <c r="P9" s="12" t="n"/>
    </row>
    <row r="10">
      <c r="A10" s="11" t="inlineStr">
        <is>
          <t>SRC-006</t>
        </is>
      </c>
      <c r="B10" s="12" t="n"/>
      <c r="C10" s="12" t="n"/>
      <c r="D10" s="12" t="n"/>
      <c r="E10" s="12" t="n"/>
      <c r="F10" s="12" t="n"/>
      <c r="G10" s="12" t="n"/>
      <c r="H10" s="12" t="n"/>
      <c r="I10" s="12" t="n"/>
      <c r="J10" s="12" t="n"/>
      <c r="K10" s="15" t="n"/>
      <c r="L10" s="13" t="n"/>
      <c r="M10" s="12" t="n"/>
      <c r="N10" s="12" t="n"/>
      <c r="O10" s="13" t="n"/>
      <c r="P10" s="12" t="n"/>
    </row>
    <row r="11">
      <c r="A11" s="11" t="inlineStr">
        <is>
          <t>SRC-007</t>
        </is>
      </c>
      <c r="B11" s="12" t="n"/>
      <c r="C11" s="12" t="n"/>
      <c r="D11" s="12" t="n"/>
      <c r="E11" s="12" t="n"/>
      <c r="F11" s="12" t="n"/>
      <c r="G11" s="12" t="n"/>
      <c r="H11" s="12" t="n"/>
      <c r="I11" s="12" t="n"/>
      <c r="J11" s="12" t="n"/>
      <c r="K11" s="15" t="n"/>
      <c r="L11" s="13" t="n"/>
      <c r="M11" s="12" t="n"/>
      <c r="N11" s="12" t="n"/>
      <c r="O11" s="13" t="n"/>
      <c r="P11" s="12" t="n"/>
    </row>
    <row r="12">
      <c r="A12" s="11" t="inlineStr">
        <is>
          <t>SRC-008</t>
        </is>
      </c>
      <c r="B12" s="12" t="n"/>
      <c r="C12" s="12" t="n"/>
      <c r="D12" s="12" t="n"/>
      <c r="E12" s="12" t="n"/>
      <c r="F12" s="12" t="n"/>
      <c r="G12" s="12" t="n"/>
      <c r="H12" s="12" t="n"/>
      <c r="I12" s="12" t="n"/>
      <c r="J12" s="12" t="n"/>
      <c r="K12" s="15" t="n"/>
      <c r="L12" s="13" t="n"/>
      <c r="M12" s="12" t="n"/>
      <c r="N12" s="12" t="n"/>
      <c r="O12" s="13" t="n"/>
      <c r="P12" s="12" t="n"/>
    </row>
    <row r="13">
      <c r="A13" s="11" t="inlineStr">
        <is>
          <t>SRC-009</t>
        </is>
      </c>
      <c r="B13" s="12" t="n"/>
      <c r="C13" s="12" t="n"/>
      <c r="D13" s="12" t="n"/>
      <c r="E13" s="12" t="n"/>
      <c r="F13" s="12" t="n"/>
      <c r="G13" s="12" t="n"/>
      <c r="H13" s="12" t="n"/>
      <c r="I13" s="12" t="n"/>
      <c r="J13" s="12" t="n"/>
      <c r="K13" s="15" t="n"/>
      <c r="L13" s="13" t="n"/>
      <c r="M13" s="12" t="n"/>
      <c r="N13" s="12" t="n"/>
      <c r="O13" s="13" t="n"/>
      <c r="P13" s="12" t="n"/>
    </row>
    <row r="14">
      <c r="A14" s="11" t="inlineStr">
        <is>
          <t>SRC-010</t>
        </is>
      </c>
      <c r="B14" s="12" t="n"/>
      <c r="C14" s="12" t="n"/>
      <c r="D14" s="12" t="n"/>
      <c r="E14" s="12" t="n"/>
      <c r="F14" s="12" t="n"/>
      <c r="G14" s="12" t="n"/>
      <c r="H14" s="12" t="n"/>
      <c r="I14" s="12" t="n"/>
      <c r="J14" s="12" t="n"/>
      <c r="K14" s="15" t="n"/>
      <c r="L14" s="13" t="n"/>
      <c r="M14" s="12" t="n"/>
      <c r="N14" s="12" t="n"/>
      <c r="O14" s="13" t="n"/>
      <c r="P14" s="12" t="n"/>
    </row>
    <row r="15">
      <c r="A15" s="11" t="inlineStr">
        <is>
          <t>SRC-011</t>
        </is>
      </c>
      <c r="B15" s="12" t="n"/>
      <c r="C15" s="12" t="n"/>
      <c r="D15" s="12" t="n"/>
      <c r="E15" s="12" t="n"/>
      <c r="F15" s="12" t="n"/>
      <c r="G15" s="12" t="n"/>
      <c r="H15" s="12" t="n"/>
      <c r="I15" s="12" t="n"/>
      <c r="J15" s="12" t="n"/>
      <c r="K15" s="15" t="n"/>
      <c r="L15" s="13" t="n"/>
      <c r="M15" s="12" t="n"/>
      <c r="N15" s="12" t="n"/>
      <c r="O15" s="13" t="n"/>
      <c r="P15" s="12" t="n"/>
    </row>
    <row r="16">
      <c r="A16" s="11" t="inlineStr">
        <is>
          <t>SRC-012</t>
        </is>
      </c>
      <c r="B16" s="12" t="n"/>
      <c r="C16" s="12" t="n"/>
      <c r="D16" s="12" t="n"/>
      <c r="E16" s="12" t="n"/>
      <c r="F16" s="12" t="n"/>
      <c r="G16" s="12" t="n"/>
      <c r="H16" s="12" t="n"/>
      <c r="I16" s="12" t="n"/>
      <c r="J16" s="12" t="n"/>
      <c r="K16" s="15" t="n"/>
      <c r="L16" s="13" t="n"/>
      <c r="M16" s="12" t="n"/>
      <c r="N16" s="12" t="n"/>
      <c r="O16" s="13" t="n"/>
      <c r="P16" s="12" t="n"/>
    </row>
    <row r="17">
      <c r="A17" s="11" t="inlineStr">
        <is>
          <t>SRC-013</t>
        </is>
      </c>
      <c r="B17" s="12" t="n"/>
      <c r="C17" s="12" t="n"/>
      <c r="D17" s="12" t="n"/>
      <c r="E17" s="12" t="n"/>
      <c r="F17" s="12" t="n"/>
      <c r="G17" s="12" t="n"/>
      <c r="H17" s="12" t="n"/>
      <c r="I17" s="12" t="n"/>
      <c r="J17" s="12" t="n"/>
      <c r="K17" s="15" t="n"/>
      <c r="L17" s="13" t="n"/>
      <c r="M17" s="12" t="n"/>
      <c r="N17" s="12" t="n"/>
      <c r="O17" s="13" t="n"/>
      <c r="P17" s="12" t="n"/>
    </row>
    <row r="18">
      <c r="A18" s="11" t="inlineStr">
        <is>
          <t>SRC-014</t>
        </is>
      </c>
      <c r="B18" s="12" t="n"/>
      <c r="C18" s="12" t="n"/>
      <c r="D18" s="12" t="n"/>
      <c r="E18" s="12" t="n"/>
      <c r="F18" s="12" t="n"/>
      <c r="G18" s="12" t="n"/>
      <c r="H18" s="12" t="n"/>
      <c r="I18" s="12" t="n"/>
      <c r="J18" s="12" t="n"/>
      <c r="K18" s="15" t="n"/>
      <c r="L18" s="13" t="n"/>
      <c r="M18" s="12" t="n"/>
      <c r="N18" s="12" t="n"/>
      <c r="O18" s="13" t="n"/>
      <c r="P18" s="12" t="n"/>
    </row>
    <row r="19">
      <c r="A19" s="11" t="inlineStr">
        <is>
          <t>SRC-015</t>
        </is>
      </c>
      <c r="B19" s="12" t="n"/>
      <c r="C19" s="12" t="n"/>
      <c r="D19" s="12" t="n"/>
      <c r="E19" s="12" t="n"/>
      <c r="F19" s="12" t="n"/>
      <c r="G19" s="12" t="n"/>
      <c r="H19" s="12" t="n"/>
      <c r="I19" s="12" t="n"/>
      <c r="J19" s="12" t="n"/>
      <c r="K19" s="15" t="n"/>
      <c r="L19" s="13" t="n"/>
      <c r="M19" s="12" t="n"/>
      <c r="N19" s="12" t="n"/>
      <c r="O19" s="13" t="n"/>
      <c r="P19" s="12" t="n"/>
    </row>
    <row r="20">
      <c r="A20" s="11" t="inlineStr">
        <is>
          <t>SRC-016</t>
        </is>
      </c>
      <c r="B20" s="12" t="n"/>
      <c r="C20" s="12" t="n"/>
      <c r="D20" s="12" t="n"/>
      <c r="E20" s="12" t="n"/>
      <c r="F20" s="12" t="n"/>
      <c r="G20" s="12" t="n"/>
      <c r="H20" s="12" t="n"/>
      <c r="I20" s="12" t="n"/>
      <c r="J20" s="12" t="n"/>
      <c r="K20" s="15" t="n"/>
      <c r="L20" s="13" t="n"/>
      <c r="M20" s="12" t="n"/>
      <c r="N20" s="12" t="n"/>
      <c r="O20" s="13" t="n"/>
      <c r="P20" s="12" t="n"/>
    </row>
    <row r="21">
      <c r="A21" s="11" t="inlineStr">
        <is>
          <t>SRC-017</t>
        </is>
      </c>
      <c r="B21" s="12" t="n"/>
      <c r="C21" s="12" t="n"/>
      <c r="D21" s="12" t="n"/>
      <c r="E21" s="12" t="n"/>
      <c r="F21" s="12" t="n"/>
      <c r="G21" s="12" t="n"/>
      <c r="H21" s="12" t="n"/>
      <c r="I21" s="12" t="n"/>
      <c r="J21" s="12" t="n"/>
      <c r="K21" s="15" t="n"/>
      <c r="L21" s="13" t="n"/>
      <c r="M21" s="12" t="n"/>
      <c r="N21" s="12" t="n"/>
      <c r="O21" s="13" t="n"/>
      <c r="P21" s="12" t="n"/>
    </row>
    <row r="22">
      <c r="A22" s="11" t="inlineStr">
        <is>
          <t>SRC-018</t>
        </is>
      </c>
      <c r="B22" s="12" t="n"/>
      <c r="C22" s="12" t="n"/>
      <c r="D22" s="12" t="n"/>
      <c r="E22" s="12" t="n"/>
      <c r="F22" s="12" t="n"/>
      <c r="G22" s="12" t="n"/>
      <c r="H22" s="12" t="n"/>
      <c r="I22" s="12" t="n"/>
      <c r="J22" s="12" t="n"/>
      <c r="K22" s="15" t="n"/>
      <c r="L22" s="13" t="n"/>
      <c r="M22" s="12" t="n"/>
      <c r="N22" s="12" t="n"/>
      <c r="O22" s="13" t="n"/>
      <c r="P22" s="12" t="n"/>
    </row>
    <row r="23">
      <c r="A23" s="11" t="inlineStr">
        <is>
          <t>SRC-019</t>
        </is>
      </c>
      <c r="B23" s="12" t="n"/>
      <c r="C23" s="12" t="n"/>
      <c r="D23" s="12" t="n"/>
      <c r="E23" s="12" t="n"/>
      <c r="F23" s="12" t="n"/>
      <c r="G23" s="12" t="n"/>
      <c r="H23" s="12" t="n"/>
      <c r="I23" s="12" t="n"/>
      <c r="J23" s="12" t="n"/>
      <c r="K23" s="15" t="n"/>
      <c r="L23" s="13" t="n"/>
      <c r="M23" s="12" t="n"/>
      <c r="N23" s="12" t="n"/>
      <c r="O23" s="13" t="n"/>
      <c r="P23" s="12" t="n"/>
    </row>
    <row r="24">
      <c r="A24" s="11" t="inlineStr">
        <is>
          <t>SRC-020</t>
        </is>
      </c>
      <c r="B24" s="12" t="n"/>
      <c r="C24" s="12" t="n"/>
      <c r="D24" s="12" t="n"/>
      <c r="E24" s="12" t="n"/>
      <c r="F24" s="12" t="n"/>
      <c r="G24" s="12" t="n"/>
      <c r="H24" s="12" t="n"/>
      <c r="I24" s="12" t="n"/>
      <c r="J24" s="12" t="n"/>
      <c r="K24" s="15" t="n"/>
      <c r="L24" s="13" t="n"/>
      <c r="M24" s="12" t="n"/>
      <c r="N24" s="12" t="n"/>
      <c r="O24" s="13" t="n"/>
      <c r="P24" s="12" t="n"/>
    </row>
    <row r="25">
      <c r="A25" s="11" t="inlineStr">
        <is>
          <t>SRC-021</t>
        </is>
      </c>
      <c r="B25" s="12" t="n"/>
      <c r="C25" s="12" t="n"/>
      <c r="D25" s="12" t="n"/>
      <c r="E25" s="12" t="n"/>
      <c r="F25" s="12" t="n"/>
      <c r="G25" s="12" t="n"/>
      <c r="H25" s="12" t="n"/>
      <c r="I25" s="12" t="n"/>
      <c r="J25" s="12" t="n"/>
      <c r="K25" s="15" t="n"/>
      <c r="L25" s="13" t="n"/>
      <c r="M25" s="12" t="n"/>
      <c r="N25" s="12" t="n"/>
      <c r="O25" s="13" t="n"/>
      <c r="P25" s="12" t="n"/>
    </row>
    <row r="26">
      <c r="A26" s="11" t="inlineStr">
        <is>
          <t>SRC-022</t>
        </is>
      </c>
      <c r="B26" s="12" t="n"/>
      <c r="C26" s="12" t="n"/>
      <c r="D26" s="12" t="n"/>
      <c r="E26" s="12" t="n"/>
      <c r="F26" s="12" t="n"/>
      <c r="G26" s="12" t="n"/>
      <c r="H26" s="12" t="n"/>
      <c r="I26" s="12" t="n"/>
      <c r="J26" s="12" t="n"/>
      <c r="K26" s="15" t="n"/>
      <c r="L26" s="13" t="n"/>
      <c r="M26" s="12" t="n"/>
      <c r="N26" s="12" t="n"/>
      <c r="O26" s="13" t="n"/>
      <c r="P26" s="12" t="n"/>
    </row>
    <row r="27">
      <c r="A27" s="11" t="inlineStr">
        <is>
          <t>SRC-023</t>
        </is>
      </c>
      <c r="B27" s="12" t="n"/>
      <c r="C27" s="12" t="n"/>
      <c r="D27" s="12" t="n"/>
      <c r="E27" s="12" t="n"/>
      <c r="F27" s="12" t="n"/>
      <c r="G27" s="12" t="n"/>
      <c r="H27" s="12" t="n"/>
      <c r="I27" s="12" t="n"/>
      <c r="J27" s="12" t="n"/>
      <c r="K27" s="15" t="n"/>
      <c r="L27" s="13" t="n"/>
      <c r="M27" s="12" t="n"/>
      <c r="N27" s="12" t="n"/>
      <c r="O27" s="13" t="n"/>
      <c r="P27" s="12" t="n"/>
    </row>
    <row r="28">
      <c r="A28" s="11" t="inlineStr">
        <is>
          <t>SRC-024</t>
        </is>
      </c>
      <c r="B28" s="12" t="n"/>
      <c r="C28" s="12" t="n"/>
      <c r="D28" s="12" t="n"/>
      <c r="E28" s="12" t="n"/>
      <c r="F28" s="12" t="n"/>
      <c r="G28" s="12" t="n"/>
      <c r="H28" s="12" t="n"/>
      <c r="I28" s="12" t="n"/>
      <c r="J28" s="12" t="n"/>
      <c r="K28" s="15" t="n"/>
      <c r="L28" s="13" t="n"/>
      <c r="M28" s="12" t="n"/>
      <c r="N28" s="12" t="n"/>
      <c r="O28" s="13" t="n"/>
      <c r="P28" s="12" t="n"/>
    </row>
    <row r="29">
      <c r="A29" s="11" t="inlineStr">
        <is>
          <t>SRC-025</t>
        </is>
      </c>
      <c r="B29" s="12" t="n"/>
      <c r="C29" s="12" t="n"/>
      <c r="D29" s="12" t="n"/>
      <c r="E29" s="12" t="n"/>
      <c r="F29" s="12" t="n"/>
      <c r="G29" s="12" t="n"/>
      <c r="H29" s="12" t="n"/>
      <c r="I29" s="12" t="n"/>
      <c r="J29" s="12" t="n"/>
      <c r="K29" s="15" t="n"/>
      <c r="L29" s="13" t="n"/>
      <c r="M29" s="12" t="n"/>
      <c r="N29" s="12" t="n"/>
      <c r="O29" s="13" t="n"/>
      <c r="P29" s="12" t="n"/>
    </row>
    <row r="30">
      <c r="A30" s="11" t="inlineStr">
        <is>
          <t>SRC-026</t>
        </is>
      </c>
      <c r="B30" s="12" t="n"/>
      <c r="C30" s="12" t="n"/>
      <c r="D30" s="12" t="n"/>
      <c r="E30" s="12" t="n"/>
      <c r="F30" s="12" t="n"/>
      <c r="G30" s="12" t="n"/>
      <c r="H30" s="12" t="n"/>
      <c r="I30" s="12" t="n"/>
      <c r="J30" s="12" t="n"/>
      <c r="K30" s="15" t="n"/>
      <c r="L30" s="13" t="n"/>
      <c r="M30" s="12" t="n"/>
      <c r="N30" s="12" t="n"/>
      <c r="O30" s="13" t="n"/>
      <c r="P30" s="12" t="n"/>
    </row>
    <row r="31">
      <c r="A31" s="11" t="inlineStr">
        <is>
          <t>SRC-027</t>
        </is>
      </c>
      <c r="B31" s="12" t="n"/>
      <c r="C31" s="12" t="n"/>
      <c r="D31" s="12" t="n"/>
      <c r="E31" s="12" t="n"/>
      <c r="F31" s="12" t="n"/>
      <c r="G31" s="12" t="n"/>
      <c r="H31" s="12" t="n"/>
      <c r="I31" s="12" t="n"/>
      <c r="J31" s="12" t="n"/>
      <c r="K31" s="15" t="n"/>
      <c r="L31" s="13" t="n"/>
      <c r="M31" s="12" t="n"/>
      <c r="N31" s="12" t="n"/>
      <c r="O31" s="13" t="n"/>
      <c r="P31" s="12" t="n"/>
    </row>
    <row r="32">
      <c r="A32" s="11" t="inlineStr">
        <is>
          <t>SRC-028</t>
        </is>
      </c>
      <c r="B32" s="12" t="n"/>
      <c r="C32" s="12" t="n"/>
      <c r="D32" s="12" t="n"/>
      <c r="E32" s="12" t="n"/>
      <c r="F32" s="12" t="n"/>
      <c r="G32" s="12" t="n"/>
      <c r="H32" s="12" t="n"/>
      <c r="I32" s="12" t="n"/>
      <c r="J32" s="12" t="n"/>
      <c r="K32" s="15" t="n"/>
      <c r="L32" s="13" t="n"/>
      <c r="M32" s="12" t="n"/>
      <c r="N32" s="12" t="n"/>
      <c r="O32" s="13" t="n"/>
      <c r="P32" s="12" t="n"/>
    </row>
    <row r="33">
      <c r="A33" s="11" t="inlineStr">
        <is>
          <t>SRC-029</t>
        </is>
      </c>
      <c r="B33" s="12" t="n"/>
      <c r="C33" s="12" t="n"/>
      <c r="D33" s="12" t="n"/>
      <c r="E33" s="12" t="n"/>
      <c r="F33" s="12" t="n"/>
      <c r="G33" s="12" t="n"/>
      <c r="H33" s="12" t="n"/>
      <c r="I33" s="12" t="n"/>
      <c r="J33" s="12" t="n"/>
      <c r="K33" s="15" t="n"/>
      <c r="L33" s="13" t="n"/>
      <c r="M33" s="12" t="n"/>
      <c r="N33" s="12" t="n"/>
      <c r="O33" s="13" t="n"/>
      <c r="P33" s="12" t="n"/>
    </row>
    <row r="34">
      <c r="A34" s="11" t="inlineStr">
        <is>
          <t>SRC-030</t>
        </is>
      </c>
      <c r="B34" s="12" t="n"/>
      <c r="C34" s="12" t="n"/>
      <c r="D34" s="12" t="n"/>
      <c r="E34" s="12" t="n"/>
      <c r="F34" s="12" t="n"/>
      <c r="G34" s="12" t="n"/>
      <c r="H34" s="12" t="n"/>
      <c r="I34" s="12" t="n"/>
      <c r="J34" s="12" t="n"/>
      <c r="K34" s="15" t="n"/>
      <c r="L34" s="13" t="n"/>
      <c r="M34" s="12" t="n"/>
      <c r="N34" s="12" t="n"/>
      <c r="O34" s="13" t="n"/>
      <c r="P34" s="12" t="n"/>
    </row>
    <row r="35">
      <c r="A35" s="11" t="inlineStr">
        <is>
          <t>SRC-031</t>
        </is>
      </c>
      <c r="B35" s="12" t="n"/>
      <c r="C35" s="12" t="n"/>
      <c r="D35" s="12" t="n"/>
      <c r="E35" s="12" t="n"/>
      <c r="F35" s="12" t="n"/>
      <c r="G35" s="12" t="n"/>
      <c r="H35" s="12" t="n"/>
      <c r="I35" s="12" t="n"/>
      <c r="J35" s="12" t="n"/>
      <c r="K35" s="15" t="n"/>
      <c r="L35" s="13" t="n"/>
      <c r="M35" s="12" t="n"/>
      <c r="N35" s="12" t="n"/>
      <c r="O35" s="13" t="n"/>
      <c r="P35" s="12" t="n"/>
    </row>
    <row r="36">
      <c r="A36" s="11" t="inlineStr">
        <is>
          <t>SRC-032</t>
        </is>
      </c>
      <c r="B36" s="12" t="n"/>
      <c r="C36" s="12" t="n"/>
      <c r="D36" s="12" t="n"/>
      <c r="E36" s="12" t="n"/>
      <c r="F36" s="12" t="n"/>
      <c r="G36" s="12" t="n"/>
      <c r="H36" s="12" t="n"/>
      <c r="I36" s="12" t="n"/>
      <c r="J36" s="12" t="n"/>
      <c r="K36" s="15" t="n"/>
      <c r="L36" s="13" t="n"/>
      <c r="M36" s="12" t="n"/>
      <c r="N36" s="12" t="n"/>
      <c r="O36" s="13" t="n"/>
      <c r="P36" s="12" t="n"/>
    </row>
    <row r="37">
      <c r="A37" s="11" t="inlineStr">
        <is>
          <t>SRC-033</t>
        </is>
      </c>
      <c r="B37" s="12" t="n"/>
      <c r="C37" s="12" t="n"/>
      <c r="D37" s="12" t="n"/>
      <c r="E37" s="12" t="n"/>
      <c r="F37" s="12" t="n"/>
      <c r="G37" s="12" t="n"/>
      <c r="H37" s="12" t="n"/>
      <c r="I37" s="12" t="n"/>
      <c r="J37" s="12" t="n"/>
      <c r="K37" s="15" t="n"/>
      <c r="L37" s="13" t="n"/>
      <c r="M37" s="12" t="n"/>
      <c r="N37" s="12" t="n"/>
      <c r="O37" s="13" t="n"/>
      <c r="P37" s="12" t="n"/>
    </row>
    <row r="38">
      <c r="A38" s="11" t="inlineStr">
        <is>
          <t>SRC-034</t>
        </is>
      </c>
      <c r="B38" s="12" t="n"/>
      <c r="C38" s="12" t="n"/>
      <c r="D38" s="12" t="n"/>
      <c r="E38" s="12" t="n"/>
      <c r="F38" s="12" t="n"/>
      <c r="G38" s="12" t="n"/>
      <c r="H38" s="12" t="n"/>
      <c r="I38" s="12" t="n"/>
      <c r="J38" s="12" t="n"/>
      <c r="K38" s="15" t="n"/>
      <c r="L38" s="13" t="n"/>
      <c r="M38" s="12" t="n"/>
      <c r="N38" s="12" t="n"/>
      <c r="O38" s="13" t="n"/>
      <c r="P38" s="12" t="n"/>
    </row>
    <row r="39">
      <c r="A39" s="11" t="inlineStr">
        <is>
          <t>SRC-035</t>
        </is>
      </c>
      <c r="B39" s="12" t="n"/>
      <c r="C39" s="12" t="n"/>
      <c r="D39" s="12" t="n"/>
      <c r="E39" s="12" t="n"/>
      <c r="F39" s="12" t="n"/>
      <c r="G39" s="12" t="n"/>
      <c r="H39" s="12" t="n"/>
      <c r="I39" s="12" t="n"/>
      <c r="J39" s="12" t="n"/>
      <c r="K39" s="15" t="n"/>
      <c r="L39" s="13" t="n"/>
      <c r="M39" s="12" t="n"/>
      <c r="N39" s="12" t="n"/>
      <c r="O39" s="13" t="n"/>
      <c r="P39" s="12" t="n"/>
    </row>
    <row r="40">
      <c r="A40" s="11" t="inlineStr">
        <is>
          <t>SRC-036</t>
        </is>
      </c>
      <c r="B40" s="12" t="n"/>
      <c r="C40" s="12" t="n"/>
      <c r="D40" s="12" t="n"/>
      <c r="E40" s="12" t="n"/>
      <c r="F40" s="12" t="n"/>
      <c r="G40" s="12" t="n"/>
      <c r="H40" s="12" t="n"/>
      <c r="I40" s="12" t="n"/>
      <c r="J40" s="12" t="n"/>
      <c r="K40" s="15" t="n"/>
      <c r="L40" s="13" t="n"/>
      <c r="M40" s="12" t="n"/>
      <c r="N40" s="12" t="n"/>
      <c r="O40" s="13" t="n"/>
      <c r="P40" s="12" t="n"/>
    </row>
    <row r="41">
      <c r="A41" s="11" t="inlineStr">
        <is>
          <t>SRC-037</t>
        </is>
      </c>
      <c r="B41" s="12" t="n"/>
      <c r="C41" s="12" t="n"/>
      <c r="D41" s="12" t="n"/>
      <c r="E41" s="12" t="n"/>
      <c r="F41" s="12" t="n"/>
      <c r="G41" s="12" t="n"/>
      <c r="H41" s="12" t="n"/>
      <c r="I41" s="12" t="n"/>
      <c r="J41" s="12" t="n"/>
      <c r="K41" s="15" t="n"/>
      <c r="L41" s="13" t="n"/>
      <c r="M41" s="12" t="n"/>
      <c r="N41" s="12" t="n"/>
      <c r="O41" s="13" t="n"/>
      <c r="P41" s="12" t="n"/>
    </row>
    <row r="42">
      <c r="A42" s="11" t="inlineStr">
        <is>
          <t>SRC-038</t>
        </is>
      </c>
      <c r="B42" s="12" t="n"/>
      <c r="C42" s="12" t="n"/>
      <c r="D42" s="12" t="n"/>
      <c r="E42" s="12" t="n"/>
      <c r="F42" s="12" t="n"/>
      <c r="G42" s="12" t="n"/>
      <c r="H42" s="12" t="n"/>
      <c r="I42" s="12" t="n"/>
      <c r="J42" s="12" t="n"/>
      <c r="K42" s="15" t="n"/>
      <c r="L42" s="13" t="n"/>
      <c r="M42" s="12" t="n"/>
      <c r="N42" s="12" t="n"/>
      <c r="O42" s="13" t="n"/>
      <c r="P42" s="12" t="n"/>
    </row>
    <row r="43">
      <c r="A43" s="11" t="inlineStr">
        <is>
          <t>SRC-039</t>
        </is>
      </c>
      <c r="B43" s="12" t="n"/>
      <c r="C43" s="12" t="n"/>
      <c r="D43" s="12" t="n"/>
      <c r="E43" s="12" t="n"/>
      <c r="F43" s="12" t="n"/>
      <c r="G43" s="12" t="n"/>
      <c r="H43" s="12" t="n"/>
      <c r="I43" s="12" t="n"/>
      <c r="J43" s="12" t="n"/>
      <c r="K43" s="15" t="n"/>
      <c r="L43" s="13" t="n"/>
      <c r="M43" s="12" t="n"/>
      <c r="N43" s="12" t="n"/>
      <c r="O43" s="13" t="n"/>
      <c r="P43" s="12" t="n"/>
    </row>
    <row r="44">
      <c r="A44" s="11" t="inlineStr">
        <is>
          <t>SRC-040</t>
        </is>
      </c>
      <c r="B44" s="12" t="n"/>
      <c r="C44" s="12" t="n"/>
      <c r="D44" s="12" t="n"/>
      <c r="E44" s="12" t="n"/>
      <c r="F44" s="12" t="n"/>
      <c r="G44" s="12" t="n"/>
      <c r="H44" s="12" t="n"/>
      <c r="I44" s="12" t="n"/>
      <c r="J44" s="12" t="n"/>
      <c r="K44" s="15" t="n"/>
      <c r="L44" s="13" t="n"/>
      <c r="M44" s="12" t="n"/>
      <c r="N44" s="12" t="n"/>
      <c r="O44" s="13" t="n"/>
      <c r="P44" s="12" t="n"/>
    </row>
    <row r="45">
      <c r="A45" s="11" t="inlineStr">
        <is>
          <t>SRC-041</t>
        </is>
      </c>
      <c r="B45" s="12" t="n"/>
      <c r="C45" s="12" t="n"/>
      <c r="D45" s="12" t="n"/>
      <c r="E45" s="12" t="n"/>
      <c r="F45" s="12" t="n"/>
      <c r="G45" s="12" t="n"/>
      <c r="H45" s="12" t="n"/>
      <c r="I45" s="12" t="n"/>
      <c r="J45" s="12" t="n"/>
      <c r="K45" s="15" t="n"/>
      <c r="L45" s="13" t="n"/>
      <c r="M45" s="12" t="n"/>
      <c r="N45" s="12" t="n"/>
      <c r="O45" s="13" t="n"/>
      <c r="P45" s="12" t="n"/>
    </row>
    <row r="46">
      <c r="A46" s="11" t="inlineStr">
        <is>
          <t>SRC-042</t>
        </is>
      </c>
      <c r="B46" s="12" t="n"/>
      <c r="C46" s="12" t="n"/>
      <c r="D46" s="12" t="n"/>
      <c r="E46" s="12" t="n"/>
      <c r="F46" s="12" t="n"/>
      <c r="G46" s="12" t="n"/>
      <c r="H46" s="12" t="n"/>
      <c r="I46" s="12" t="n"/>
      <c r="J46" s="12" t="n"/>
      <c r="K46" s="15" t="n"/>
      <c r="L46" s="13" t="n"/>
      <c r="M46" s="12" t="n"/>
      <c r="N46" s="12" t="n"/>
      <c r="O46" s="13" t="n"/>
      <c r="P46" s="12" t="n"/>
    </row>
    <row r="47">
      <c r="A47" s="11" t="inlineStr">
        <is>
          <t>SRC-043</t>
        </is>
      </c>
      <c r="B47" s="12" t="n"/>
      <c r="C47" s="12" t="n"/>
      <c r="D47" s="12" t="n"/>
      <c r="E47" s="12" t="n"/>
      <c r="F47" s="12" t="n"/>
      <c r="G47" s="12" t="n"/>
      <c r="H47" s="12" t="n"/>
      <c r="I47" s="12" t="n"/>
      <c r="J47" s="12" t="n"/>
      <c r="K47" s="15" t="n"/>
      <c r="L47" s="13" t="n"/>
      <c r="M47" s="12" t="n"/>
      <c r="N47" s="12" t="n"/>
      <c r="O47" s="13" t="n"/>
      <c r="P47" s="12" t="n"/>
    </row>
    <row r="48">
      <c r="A48" s="11" t="inlineStr">
        <is>
          <t>SRC-044</t>
        </is>
      </c>
      <c r="B48" s="12" t="n"/>
      <c r="C48" s="12" t="n"/>
      <c r="D48" s="12" t="n"/>
      <c r="E48" s="12" t="n"/>
      <c r="F48" s="12" t="n"/>
      <c r="G48" s="12" t="n"/>
      <c r="H48" s="12" t="n"/>
      <c r="I48" s="12" t="n"/>
      <c r="J48" s="12" t="n"/>
      <c r="K48" s="15" t="n"/>
      <c r="L48" s="13" t="n"/>
      <c r="M48" s="12" t="n"/>
      <c r="N48" s="12" t="n"/>
      <c r="O48" s="13" t="n"/>
      <c r="P48" s="12" t="n"/>
    </row>
    <row r="49">
      <c r="A49" s="11" t="inlineStr">
        <is>
          <t>SRC-045</t>
        </is>
      </c>
      <c r="B49" s="12" t="n"/>
      <c r="C49" s="12" t="n"/>
      <c r="D49" s="12" t="n"/>
      <c r="E49" s="12" t="n"/>
      <c r="F49" s="12" t="n"/>
      <c r="G49" s="12" t="n"/>
      <c r="H49" s="12" t="n"/>
      <c r="I49" s="12" t="n"/>
      <c r="J49" s="12" t="n"/>
      <c r="K49" s="15" t="n"/>
      <c r="L49" s="13" t="n"/>
      <c r="M49" s="12" t="n"/>
      <c r="N49" s="12" t="n"/>
      <c r="O49" s="13" t="n"/>
      <c r="P49" s="12" t="n"/>
    </row>
    <row r="50">
      <c r="A50" s="11" t="inlineStr">
        <is>
          <t>SRC-046</t>
        </is>
      </c>
      <c r="B50" s="12" t="n"/>
      <c r="C50" s="12" t="n"/>
      <c r="D50" s="12" t="n"/>
      <c r="E50" s="12" t="n"/>
      <c r="F50" s="12" t="n"/>
      <c r="G50" s="12" t="n"/>
      <c r="H50" s="12" t="n"/>
      <c r="I50" s="12" t="n"/>
      <c r="J50" s="12" t="n"/>
      <c r="K50" s="15" t="n"/>
      <c r="L50" s="13" t="n"/>
      <c r="M50" s="12" t="n"/>
      <c r="N50" s="12" t="n"/>
      <c r="O50" s="13" t="n"/>
      <c r="P50" s="12" t="n"/>
    </row>
    <row r="51">
      <c r="A51" s="11" t="inlineStr">
        <is>
          <t>SRC-047</t>
        </is>
      </c>
      <c r="B51" s="12" t="n"/>
      <c r="C51" s="12" t="n"/>
      <c r="D51" s="12" t="n"/>
      <c r="E51" s="12" t="n"/>
      <c r="F51" s="12" t="n"/>
      <c r="G51" s="12" t="n"/>
      <c r="H51" s="12" t="n"/>
      <c r="I51" s="12" t="n"/>
      <c r="J51" s="12" t="n"/>
      <c r="K51" s="15" t="n"/>
      <c r="L51" s="13" t="n"/>
      <c r="M51" s="12" t="n"/>
      <c r="N51" s="12" t="n"/>
      <c r="O51" s="13" t="n"/>
      <c r="P51" s="12" t="n"/>
    </row>
    <row r="52">
      <c r="A52" s="11" t="inlineStr">
        <is>
          <t>SRC-048</t>
        </is>
      </c>
      <c r="B52" s="12" t="n"/>
      <c r="C52" s="12" t="n"/>
      <c r="D52" s="12" t="n"/>
      <c r="E52" s="12" t="n"/>
      <c r="F52" s="12" t="n"/>
      <c r="G52" s="12" t="n"/>
      <c r="H52" s="12" t="n"/>
      <c r="I52" s="12" t="n"/>
      <c r="J52" s="12" t="n"/>
      <c r="K52" s="15" t="n"/>
      <c r="L52" s="13" t="n"/>
      <c r="M52" s="12" t="n"/>
      <c r="N52" s="12" t="n"/>
      <c r="O52" s="13" t="n"/>
      <c r="P52" s="12" t="n"/>
    </row>
    <row r="53">
      <c r="A53" s="11" t="inlineStr">
        <is>
          <t>SRC-049</t>
        </is>
      </c>
      <c r="B53" s="12" t="n"/>
      <c r="C53" s="12" t="n"/>
      <c r="D53" s="12" t="n"/>
      <c r="E53" s="12" t="n"/>
      <c r="F53" s="12" t="n"/>
      <c r="G53" s="12" t="n"/>
      <c r="H53" s="12" t="n"/>
      <c r="I53" s="12" t="n"/>
      <c r="J53" s="12" t="n"/>
      <c r="K53" s="15" t="n"/>
      <c r="L53" s="13" t="n"/>
      <c r="M53" s="12" t="n"/>
      <c r="N53" s="12" t="n"/>
      <c r="O53" s="13" t="n"/>
      <c r="P53" s="12" t="n"/>
    </row>
    <row r="54">
      <c r="A54" s="11" t="inlineStr">
        <is>
          <t>SRC-050</t>
        </is>
      </c>
      <c r="B54" s="12" t="n"/>
      <c r="C54" s="12" t="n"/>
      <c r="D54" s="12" t="n"/>
      <c r="E54" s="12" t="n"/>
      <c r="F54" s="12" t="n"/>
      <c r="G54" s="12" t="n"/>
      <c r="H54" s="12" t="n"/>
      <c r="I54" s="12" t="n"/>
      <c r="J54" s="12" t="n"/>
      <c r="K54" s="15" t="n"/>
      <c r="L54" s="13" t="n"/>
      <c r="M54" s="12" t="n"/>
      <c r="N54" s="12" t="n"/>
      <c r="O54" s="13" t="n"/>
      <c r="P54" s="12" t="n"/>
    </row>
    <row r="56">
      <c r="A56" s="14" t="inlineStr">
        <is>
          <t>COLLECTION SOURCES SUMMARY</t>
        </is>
      </c>
    </row>
    <row r="57">
      <c r="A57" s="5" t="inlineStr">
        <is>
          <t>Total Sources:</t>
        </is>
      </c>
      <c r="B57" s="5">
        <f>COUNTA(A5:A54)</f>
        <v/>
      </c>
    </row>
    <row r="58">
      <c r="A58" s="5" t="inlineStr">
        <is>
          <t>Integrated Sources:</t>
        </is>
      </c>
      <c r="B58" s="5">
        <f>COUNTIF(I5:I54,"Fully_Implemented")</f>
        <v/>
      </c>
    </row>
    <row r="59">
      <c r="A59" s="5" t="inlineStr">
        <is>
          <t>Manual Sources:</t>
        </is>
      </c>
      <c r="B59" s="5">
        <f>COUNTIF(I5:I54,"Partially_Implemented")</f>
        <v/>
      </c>
    </row>
    <row r="60">
      <c r="A60" s="5" t="inlineStr">
        <is>
          <t>Excellent Quality:</t>
        </is>
      </c>
      <c r="B60" s="5">
        <f>COUNTIF(N5:N54,"Excellent")</f>
        <v/>
      </c>
    </row>
    <row r="61">
      <c r="A61" s="5" t="inlineStr">
        <is>
          <t>Good Quality:</t>
        </is>
      </c>
      <c r="B61" s="5">
        <f>COUNTIF(N5:N54,"Good")</f>
        <v/>
      </c>
    </row>
  </sheetData>
  <mergeCells count="3">
    <mergeCell ref="A1:P1"/>
    <mergeCell ref="A56:D56"/>
    <mergeCell ref="A2:P2"/>
  </mergeCells>
  <dataValidations count="31">
    <dataValidation sqref="B5 B6 B7 B8 B9 B10 B11 B12 B13 B14 B15 B16 B17 B18 B19 B20 B21 B22 B23 B24 B25 B26 B27 B28 B29 B30 B31 B32 B33 B34 B35 B36 B37 B38 B39 B40 B41 B42 B43 B44 B45 B46 B47 B48 B49 B50 B51 B52 B53 B5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showDropDown="0" showInputMessage="0" showErrorMessage="0" allowBlank="0" type="list">
      <formula1>"Strategic,Tactical,Operational,Technical"</formula1>
    </dataValidation>
    <dataValidation sqref="D5 D6 D7 D8 D9 D10 D11 D12 D13 D14 D15 D16 D17 D18 D19 D20 D21 D22 D23 D24 D25 D26 D27 D28 D29 D30 D31 D32 D33 D34 D35 D36 D37 D38 D39 D40 D41 D42 D43 D44 D45 D46 D47 D48 D49 D50 D51 D52 D53 D54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 Critical,🟡 High,🟢 Medium,⚫ Low"</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0" type="list">
      <formula1>"Automated_Feed,Manual_Research,OSINT,Partnership,Internal_Telemetry"</formula1>
    </dataValidation>
    <dataValidation sqref="E5 E6 E7 E8 E9 E10 E11 E12 E13 E14 E15 E16 E17 E18 E19 E20 E21 E22 E23 E24 E25 E26 E27 E28 E29 E30 E31 E32 E33 E34 E35 E36 E37 E38 E39 E40 E41 E42 E43 E44 E45 E46 E47 E48 E49 E50 E51 E52 E53 E54 M5 M6 M7 M8 M9 M10 M11 M12 M13 M14 M15 M16 M17 M18 M19 M20 M21 M22 M23 M24 M25 M26 M27 M28 M29 M30 M31 M32 M33 M34 M35 M36 M37 M38 M39 M40 M41 M42 M43 M44 M45 M46 M47 M48 M49 M50 M51 M52 M53 M54" showDropDown="0" showInputMessage="0" showErrorMessage="0" allowBlank="0" type="list">
      <formula1>"Real-time,Hourly,Daily,Weekly,On_Demand"</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"Fully_Implemented,Partially_Implemented,Planned,Not_Used"</formula1>
    </dataValidation>
    <dataValidation sqref="N5 N6 N7 N8 N9 N10 N11 N12 N13 N14 N15 N16 N17 N18 N19 N20 N21 N22 N23 N24 N25 N26 N27 N28 N29 N30 N31 N32 N33 N34 N35 N36 N37 N38 N39 N40 N41 N42 N43 N44 N45 N46 N47 N48 N49 N50 N51 N52 N53 N54" showDropDown="0" showInputMessage="0" showErrorMessage="0" allowBlank="1" type="list">
      <formula1>"Excellent,Good,Fair,Poor"</formula1>
    </dataValidation>
    <dataValidation sqref="B5 B6 B7 B8 B9 B10 B11 B12 B13 B14 B15 B16 B17 B18 B19 B20 B21 B22 B23 B24 B25 B26 B27 B28 B29 B30 B31 B32 B33 B34 B35 B36 B37 B38 B39 B40 B41 B42 B43 B44 B45 B46 B47 B48 B49 B50 B51 B52 B53 B54 B55 B56 B57 B58 B59 B60 B61 B62 B63 B64" showDropDown="0" showInputMessage="0" showErrorMessage="0" allowBlank="0" type="list">
      <formula1>"Strategic_Report,Tactical_Brief,Operational_Alert,Technical_Analysis,IOC_Package,Threat_Profile"</formula1>
    </dataValidation>
    <dataValidation sqref="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N5 N6 N7 N8 N9 N10 N11 N12 N13 N14 N15 N16 N17 N18 N19 N20 N21 N22 N23 N24 N25 N26 N27 N28 N29 N30 N31 N32 N33 N34 N35 N36 N37 N38 N39 N40 N41 N42 N43 N44 N45 N46 N47 N48 N49 N50 N51 N52 N53 N54 N55 N56 N57 N58 N59 N60 N61 N62 N63 N64" showDropDown="0" showInputMessage="0" showErrorMessage="0" allowBlank="0" type="list">
      <formula1>"Draft,Review,Published,Archived"</formula1>
    </dataValidation>
    <dataValidation sqref="E5 E6 E7 E8 E9 E10 E11 E12 E13 E14 E15 E16 E17 E18 E19 E20 E21 E22 E23 E24 E25 E26 E27 E28 E29 E30 E31 E32 E33 E34 E35 E36 E37 E38 E39 E40 E41 E42 E43 E44 E45 E46 E47 E48 E49 E50 E51 E52 E53 E54 H5 H6 H7 H8 H9 H10 H11 H12 H13 H14 H15 H16 H17 H18 H19 H20 H21 H22 H23 H24 H25 H26 H27 H28 H29 H30 H31 H32 H33 H34 H35 H36 H37 H38 H39 H40 H41 H42 H43 H44 H45 H46 H47 H48 H49 H50 H51 H52 H53 H54 H55 H56 H57 H58 H59 H60 H61 H62 H63 H6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"High,Medium,Low,Unconfirmed"</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"TLP:CLEAR,TLP:GREEN,TLP:AMBER,TLP:AMBER+STRICT,TLP:RED"</formula1>
    </dataValidation>
    <dataValidation sqref="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showDropDown="0" showInputMessage="0" showErrorMessage="0" allowBlank="0" type="list">
      <formula1>"Full,Partial,Limited,None"</formula1>
    </dataValidation>
    <dataValidation sqref="D5 D6 D7 D8 D9 D10 D11 D12 D13 D14 D15 D16 D17 D18 D19 D20 D21 D22 D23 D24 D25 D26 D27 D28 D29 D30 D31 D32 D33 D34 D35 D36 D37 D38 D39 D40 D41 D42 D43 D44 D45 D46 D47 D48 D49 D50 D51 D52 D53 D5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1" type="list">
      <formula1>"Nation-State,Criminal_Syndicate,Hacktivist,Insider_Threat,Script_Kiddie,Unknown"</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"Not_Exploited,PoC_Exists,Active_Exploitation,Widespread"</formula1>
    </dataValidation>
    <dataValidation sqref="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showDropDown="0" showInputMessage="0" showErrorMessage="0" allowBlank="0" type="list">
      <formula1>"Critical,High,Medium,Low,Info"</formula1>
    </dataValidation>
    <dataValidation sqref="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showDropDown="0" showInputMessage="0" showErrorMessage="0" allowBlank="0" type="list">
      <formula1>"Open,In_Progress,Patched,Mitigated,Risk_Accepted,Verified"</formula1>
    </dataValidation>
    <dataValidation sqref="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M5 M6 M7 M8 M9 M10 M11 M12 M13 M14 M15 M16 M17 M18 M19 M20 M21 M22 M23 M24 M25 M26 M27 M28 M29 M30 M31 M32 M33 M34 M35 M36 M37 M38 M39 M40 M41 M42 M43 M44 M45 M46 M47 M48 M49 M50 M51 M52 M53 M5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T103 T104" showDropDown="0" showInputMessage="0" showErrorMessage="0" allowBlank="0" type="list">
      <formula1>"Yes,No"</formula1>
    </dataValidation>
    <dataValidation sqref="B5 B6 B7 B8 B9 B10 B11 B12 B13 B14 C5 C6 C7 C8 C9 C10 C11 C12 C13 C14" showDropDown="0" showInputMessage="0" showErrorMessage="0" allowBlank="0" type="list">
      <formula1>"1 - Initial,2 - Managed,3 - Defined,4 - Quantitatively Managed,5 - Optimizing"</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"Open,In_Progress,Blocked,Resolved,Closed"</formula1>
    </dataValidation>
    <dataValidation sqref="C5 C6 C7 C8 C9 C10 C11 C12 C13 C14 C15 C16 C17 C18 C19 C20 C21 C22 C23 C24 C25 C26 C27 C28 C29 C30 C31 C32 C33 C34 C35 C36 C37 C38 C39 C40 C41 C42 C43 C44 C45 C46 C47 C48 C49 C50 C51 C52 C53 C54" showDropDown="0" showInputMessage="0" showErrorMessage="0" allowBlank="1" type="list">
      <formula1>"TIP,SIEM,Malware_Analysis,OSINT,Collaboration,Visualization,Scripting,Other"</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1" type="list">
      <formula1>"Commercial,Open_Source,Freeware,Internal_Developed"</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1" type="list">
      <formula1>"Yes,No,N/A"</formula1>
    </dataValidation>
    <dataValidation sqref="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showDropDown="0" showInputMessage="0" showErrorMessage="0" allowBlank="1" type="list">
      <formula1>"Yes,No,Unknown"</formula1>
    </dataValidation>
    <dataValidation sqref="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showDropDown="0" showInputMessage="0" showErrorMessage="0" allowBlank="1" type="list">
      <formula1>"Confirmed,Suspected,No,Unknown"</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1" type="list">
      <formula1>"Espionage,Financial,Disruption,Ideology,Unknown"</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1" type="list">
      <formula1>"Advanced,Moderate,Low"</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1" type="list">
      <formula1>"Active,Concluded,Dormant,Unknown"</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1" type="list">
      <formula1>"Espionage,Data_Theft,Disruption,Ransomware,Credential_Harvesting,Other"</formula1>
    </dataValidation>
    <dataValidation sqref="U5 U6 U7 U8 U9 U10 U11 U12 U13 U14 U15 U16 U17 U18 U19 U20 U21 U22 U23 U24 U25 U26 U27 U28 U29 U30 U31 U32 U33 U34 U35 U36 U37 U38 U39 U40 U41 U42 U43 U44 U45 U46 U47 U48 U49 U50 U51 U52 U53 U54" showDropDown="0" showInputMessage="0" showErrorMessage="0" allowBlank="1" type="list">
      <formula1>"🔴 Critical,🟡 High,🟢 Medium,⚫ Low"</formula1>
    </dataValidation>
    <dataValidation sqref="V5 V6 V7 V8 V9 V10 V11 V12 V13 V14 V15 V16 V17 V18 V19 V20 V21 V22 V23 V24 V25 V26 V27 V28 V29 V30 V31 V32 V33 V34 V35 V36 V37 V38 V39 V40 V41 V42 V43 V44 V45 V46 V47 V48 V49 V50 V51 V52 V53 V54" showDropDown="0" showInputMessage="0" showErrorMessage="0" allowBlank="1" type="list">
      <formula1>"Active_Monitoring,Passive_Monitoring,Concluded"</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1" type="list">
      <formula1>"4.0,3.1"</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1" type="list">
      <formula1>"Integrated,Standalone,Planned,Deprecated"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12"/>
  <sheetViews>
    <sheetView workbookViewId="0">
      <pane ySplit="4" topLeftCell="A5" activePane="bottomLeft" state="frozen"/>
      <selection pane="bottomLeft" activeCell="A1" sqref="A1"/>
    </sheetView>
  </sheetViews>
  <sheetFormatPr baseColWidth="8" defaultRowHeight="15"/>
  <cols>
    <col width="18" customWidth="1" min="1" max="1"/>
    <col width="14" customWidth="1" min="2" max="2"/>
    <col width="14" customWidth="1" min="3" max="3"/>
    <col width="15" customWidth="1" min="4" max="4"/>
    <col width="18" customWidth="1" min="5" max="5"/>
    <col width="15" customWidth="1" min="6" max="6"/>
    <col width="18" customWidth="1" min="7" max="7"/>
    <col width="20" customWidth="1" min="8" max="8"/>
    <col width="40" customWidth="1" min="9" max="9"/>
    <col width="30" customWidth="1" min="10" max="10"/>
    <col width="20" customWidth="1" min="11" max="11"/>
    <col width="18" customWidth="1" min="12" max="12"/>
    <col width="14" customWidth="1" min="13" max="13"/>
    <col width="18" customWidth="1" min="14" max="14"/>
    <col width="12" customWidth="1" min="15" max="15"/>
    <col width="35" customWidth="1" min="16" max="16"/>
  </cols>
  <sheetData>
    <row r="1" ht="25" customHeight="1">
      <c r="A1" s="1" t="inlineStr">
        <is>
          <t>Raw Intelligence Log</t>
        </is>
      </c>
    </row>
    <row r="2" ht="30" customHeight="1">
      <c r="A2" s="9" t="inlineStr">
        <is>
          <t>Track all raw intelligence received before analysis. Log source, receipt time, initial triage, and processing status.</t>
        </is>
      </c>
    </row>
    <row r="4" ht="30" customHeight="1">
      <c r="A4" s="10" t="inlineStr">
        <is>
          <t>Log ID</t>
        </is>
      </c>
      <c r="B4" s="10" t="inlineStr">
        <is>
          <t>Date Received</t>
        </is>
      </c>
      <c r="C4" s="10" t="inlineStr">
        <is>
          <t>Time Received</t>
        </is>
      </c>
      <c r="D4" s="10" t="inlineStr">
        <is>
          <t>Source ID</t>
        </is>
      </c>
      <c r="E4" s="10" t="inlineStr">
        <is>
          <t>Source Type</t>
        </is>
      </c>
      <c r="F4" s="10" t="inlineStr">
        <is>
          <t>Intelligence Type</t>
        </is>
      </c>
      <c r="G4" s="10" t="inlineStr">
        <is>
          <t>TLP Classification</t>
        </is>
      </c>
      <c r="H4" s="10" t="inlineStr">
        <is>
          <t>Initial Triage Priority</t>
        </is>
      </c>
      <c r="I4" s="10" t="inlineStr">
        <is>
          <t>Brief Description</t>
        </is>
      </c>
      <c r="J4" s="10" t="inlineStr">
        <is>
          <t>Raw Data Location</t>
        </is>
      </c>
      <c r="K4" s="10" t="inlineStr">
        <is>
          <t>Assigned Analyst</t>
        </is>
      </c>
      <c r="L4" s="10" t="inlineStr">
        <is>
          <t>Processing Status</t>
        </is>
      </c>
      <c r="M4" s="10" t="inlineStr">
        <is>
          <t>Date Processed</t>
        </is>
      </c>
      <c r="N4" s="10" t="inlineStr">
        <is>
          <t>Linked Product ID</t>
        </is>
      </c>
      <c r="O4" s="10" t="inlineStr">
        <is>
          <t>Quality Score</t>
        </is>
      </c>
      <c r="P4" s="10" t="inlineStr">
        <is>
          <t>Notes</t>
        </is>
      </c>
    </row>
    <row r="5">
      <c r="A5" s="11" t="inlineStr">
        <is>
          <t>RAW-2026-0001</t>
        </is>
      </c>
      <c r="B5" s="13" t="n"/>
      <c r="C5" s="16" t="n"/>
      <c r="D5" s="12" t="n"/>
      <c r="E5" s="12" t="n"/>
      <c r="F5" s="12" t="n"/>
      <c r="G5" s="12" t="n"/>
      <c r="H5" s="12" t="n"/>
      <c r="I5" s="12" t="n"/>
      <c r="J5" s="12" t="n"/>
      <c r="K5" s="12" t="n"/>
      <c r="L5" s="12" t="n"/>
      <c r="M5" s="13" t="n"/>
      <c r="N5" s="12" t="n"/>
      <c r="O5" s="12" t="n"/>
      <c r="P5" s="12" t="n"/>
    </row>
    <row r="6">
      <c r="A6" s="11" t="inlineStr">
        <is>
          <t>RAW-2026-0002</t>
        </is>
      </c>
      <c r="B6" s="13" t="n"/>
      <c r="C6" s="16" t="n"/>
      <c r="D6" s="12" t="n"/>
      <c r="E6" s="12" t="n"/>
      <c r="F6" s="12" t="n"/>
      <c r="G6" s="12" t="n"/>
      <c r="H6" s="12" t="n"/>
      <c r="I6" s="12" t="n"/>
      <c r="J6" s="12" t="n"/>
      <c r="K6" s="12" t="n"/>
      <c r="L6" s="12" t="n"/>
      <c r="M6" s="13" t="n"/>
      <c r="N6" s="12" t="n"/>
      <c r="O6" s="12" t="n"/>
      <c r="P6" s="12" t="n"/>
    </row>
    <row r="7">
      <c r="A7" s="11" t="inlineStr">
        <is>
          <t>RAW-2026-0003</t>
        </is>
      </c>
      <c r="B7" s="13" t="n"/>
      <c r="C7" s="16" t="n"/>
      <c r="D7" s="12" t="n"/>
      <c r="E7" s="12" t="n"/>
      <c r="F7" s="12" t="n"/>
      <c r="G7" s="12" t="n"/>
      <c r="H7" s="12" t="n"/>
      <c r="I7" s="12" t="n"/>
      <c r="J7" s="12" t="n"/>
      <c r="K7" s="12" t="n"/>
      <c r="L7" s="12" t="n"/>
      <c r="M7" s="13" t="n"/>
      <c r="N7" s="12" t="n"/>
      <c r="O7" s="12" t="n"/>
      <c r="P7" s="12" t="n"/>
    </row>
    <row r="8">
      <c r="A8" s="11" t="inlineStr">
        <is>
          <t>RAW-2026-0004</t>
        </is>
      </c>
      <c r="B8" s="13" t="n"/>
      <c r="C8" s="16" t="n"/>
      <c r="D8" s="12" t="n"/>
      <c r="E8" s="12" t="n"/>
      <c r="F8" s="12" t="n"/>
      <c r="G8" s="12" t="n"/>
      <c r="H8" s="12" t="n"/>
      <c r="I8" s="12" t="n"/>
      <c r="J8" s="12" t="n"/>
      <c r="K8" s="12" t="n"/>
      <c r="L8" s="12" t="n"/>
      <c r="M8" s="13" t="n"/>
      <c r="N8" s="12" t="n"/>
      <c r="O8" s="12" t="n"/>
      <c r="P8" s="12" t="n"/>
    </row>
    <row r="9">
      <c r="A9" s="11" t="inlineStr">
        <is>
          <t>RAW-2026-0005</t>
        </is>
      </c>
      <c r="B9" s="13" t="n"/>
      <c r="C9" s="16" t="n"/>
      <c r="D9" s="12" t="n"/>
      <c r="E9" s="12" t="n"/>
      <c r="F9" s="12" t="n"/>
      <c r="G9" s="12" t="n"/>
      <c r="H9" s="12" t="n"/>
      <c r="I9" s="12" t="n"/>
      <c r="J9" s="12" t="n"/>
      <c r="K9" s="12" t="n"/>
      <c r="L9" s="12" t="n"/>
      <c r="M9" s="13" t="n"/>
      <c r="N9" s="12" t="n"/>
      <c r="O9" s="12" t="n"/>
      <c r="P9" s="12" t="n"/>
    </row>
    <row r="10">
      <c r="A10" s="11" t="inlineStr">
        <is>
          <t>RAW-2026-0006</t>
        </is>
      </c>
      <c r="B10" s="13" t="n"/>
      <c r="C10" s="16" t="n"/>
      <c r="D10" s="12" t="n"/>
      <c r="E10" s="12" t="n"/>
      <c r="F10" s="12" t="n"/>
      <c r="G10" s="12" t="n"/>
      <c r="H10" s="12" t="n"/>
      <c r="I10" s="12" t="n"/>
      <c r="J10" s="12" t="n"/>
      <c r="K10" s="12" t="n"/>
      <c r="L10" s="12" t="n"/>
      <c r="M10" s="13" t="n"/>
      <c r="N10" s="12" t="n"/>
      <c r="O10" s="12" t="n"/>
      <c r="P10" s="12" t="n"/>
    </row>
    <row r="11">
      <c r="A11" s="11" t="inlineStr">
        <is>
          <t>RAW-2026-0007</t>
        </is>
      </c>
      <c r="B11" s="13" t="n"/>
      <c r="C11" s="16" t="n"/>
      <c r="D11" s="12" t="n"/>
      <c r="E11" s="12" t="n"/>
      <c r="F11" s="12" t="n"/>
      <c r="G11" s="12" t="n"/>
      <c r="H11" s="12" t="n"/>
      <c r="I11" s="12" t="n"/>
      <c r="J11" s="12" t="n"/>
      <c r="K11" s="12" t="n"/>
      <c r="L11" s="12" t="n"/>
      <c r="M11" s="13" t="n"/>
      <c r="N11" s="12" t="n"/>
      <c r="O11" s="12" t="n"/>
      <c r="P11" s="12" t="n"/>
    </row>
    <row r="12">
      <c r="A12" s="11" t="inlineStr">
        <is>
          <t>RAW-2026-0008</t>
        </is>
      </c>
      <c r="B12" s="13" t="n"/>
      <c r="C12" s="16" t="n"/>
      <c r="D12" s="12" t="n"/>
      <c r="E12" s="12" t="n"/>
      <c r="F12" s="12" t="n"/>
      <c r="G12" s="12" t="n"/>
      <c r="H12" s="12" t="n"/>
      <c r="I12" s="12" t="n"/>
      <c r="J12" s="12" t="n"/>
      <c r="K12" s="12" t="n"/>
      <c r="L12" s="12" t="n"/>
      <c r="M12" s="13" t="n"/>
      <c r="N12" s="12" t="n"/>
      <c r="O12" s="12" t="n"/>
      <c r="P12" s="12" t="n"/>
    </row>
    <row r="13">
      <c r="A13" s="11" t="inlineStr">
        <is>
          <t>RAW-2026-0009</t>
        </is>
      </c>
      <c r="B13" s="13" t="n"/>
      <c r="C13" s="16" t="n"/>
      <c r="D13" s="12" t="n"/>
      <c r="E13" s="12" t="n"/>
      <c r="F13" s="12" t="n"/>
      <c r="G13" s="12" t="n"/>
      <c r="H13" s="12" t="n"/>
      <c r="I13" s="12" t="n"/>
      <c r="J13" s="12" t="n"/>
      <c r="K13" s="12" t="n"/>
      <c r="L13" s="12" t="n"/>
      <c r="M13" s="13" t="n"/>
      <c r="N13" s="12" t="n"/>
      <c r="O13" s="12" t="n"/>
      <c r="P13" s="12" t="n"/>
    </row>
    <row r="14">
      <c r="A14" s="11" t="inlineStr">
        <is>
          <t>RAW-2026-0010</t>
        </is>
      </c>
      <c r="B14" s="13" t="n"/>
      <c r="C14" s="16" t="n"/>
      <c r="D14" s="12" t="n"/>
      <c r="E14" s="12" t="n"/>
      <c r="F14" s="12" t="n"/>
      <c r="G14" s="12" t="n"/>
      <c r="H14" s="12" t="n"/>
      <c r="I14" s="12" t="n"/>
      <c r="J14" s="12" t="n"/>
      <c r="K14" s="12" t="n"/>
      <c r="L14" s="12" t="n"/>
      <c r="M14" s="13" t="n"/>
      <c r="N14" s="12" t="n"/>
      <c r="O14" s="12" t="n"/>
      <c r="P14" s="12" t="n"/>
    </row>
    <row r="15">
      <c r="A15" s="11" t="inlineStr">
        <is>
          <t>RAW-2026-0011</t>
        </is>
      </c>
      <c r="B15" s="13" t="n"/>
      <c r="C15" s="16" t="n"/>
      <c r="D15" s="12" t="n"/>
      <c r="E15" s="12" t="n"/>
      <c r="F15" s="12" t="n"/>
      <c r="G15" s="12" t="n"/>
      <c r="H15" s="12" t="n"/>
      <c r="I15" s="12" t="n"/>
      <c r="J15" s="12" t="n"/>
      <c r="K15" s="12" t="n"/>
      <c r="L15" s="12" t="n"/>
      <c r="M15" s="13" t="n"/>
      <c r="N15" s="12" t="n"/>
      <c r="O15" s="12" t="n"/>
      <c r="P15" s="12" t="n"/>
    </row>
    <row r="16">
      <c r="A16" s="11" t="inlineStr">
        <is>
          <t>RAW-2026-0012</t>
        </is>
      </c>
      <c r="B16" s="13" t="n"/>
      <c r="C16" s="16" t="n"/>
      <c r="D16" s="12" t="n"/>
      <c r="E16" s="12" t="n"/>
      <c r="F16" s="12" t="n"/>
      <c r="G16" s="12" t="n"/>
      <c r="H16" s="12" t="n"/>
      <c r="I16" s="12" t="n"/>
      <c r="J16" s="12" t="n"/>
      <c r="K16" s="12" t="n"/>
      <c r="L16" s="12" t="n"/>
      <c r="M16" s="13" t="n"/>
      <c r="N16" s="12" t="n"/>
      <c r="O16" s="12" t="n"/>
      <c r="P16" s="12" t="n"/>
    </row>
    <row r="17">
      <c r="A17" s="11" t="inlineStr">
        <is>
          <t>RAW-2026-0013</t>
        </is>
      </c>
      <c r="B17" s="13" t="n"/>
      <c r="C17" s="16" t="n"/>
      <c r="D17" s="12" t="n"/>
      <c r="E17" s="12" t="n"/>
      <c r="F17" s="12" t="n"/>
      <c r="G17" s="12" t="n"/>
      <c r="H17" s="12" t="n"/>
      <c r="I17" s="12" t="n"/>
      <c r="J17" s="12" t="n"/>
      <c r="K17" s="12" t="n"/>
      <c r="L17" s="12" t="n"/>
      <c r="M17" s="13" t="n"/>
      <c r="N17" s="12" t="n"/>
      <c r="O17" s="12" t="n"/>
      <c r="P17" s="12" t="n"/>
    </row>
    <row r="18">
      <c r="A18" s="11" t="inlineStr">
        <is>
          <t>RAW-2026-0014</t>
        </is>
      </c>
      <c r="B18" s="13" t="n"/>
      <c r="C18" s="16" t="n"/>
      <c r="D18" s="12" t="n"/>
      <c r="E18" s="12" t="n"/>
      <c r="F18" s="12" t="n"/>
      <c r="G18" s="12" t="n"/>
      <c r="H18" s="12" t="n"/>
      <c r="I18" s="12" t="n"/>
      <c r="J18" s="12" t="n"/>
      <c r="K18" s="12" t="n"/>
      <c r="L18" s="12" t="n"/>
      <c r="M18" s="13" t="n"/>
      <c r="N18" s="12" t="n"/>
      <c r="O18" s="12" t="n"/>
      <c r="P18" s="12" t="n"/>
    </row>
    <row r="19">
      <c r="A19" s="11" t="inlineStr">
        <is>
          <t>RAW-2026-0015</t>
        </is>
      </c>
      <c r="B19" s="13" t="n"/>
      <c r="C19" s="16" t="n"/>
      <c r="D19" s="12" t="n"/>
      <c r="E19" s="12" t="n"/>
      <c r="F19" s="12" t="n"/>
      <c r="G19" s="12" t="n"/>
      <c r="H19" s="12" t="n"/>
      <c r="I19" s="12" t="n"/>
      <c r="J19" s="12" t="n"/>
      <c r="K19" s="12" t="n"/>
      <c r="L19" s="12" t="n"/>
      <c r="M19" s="13" t="n"/>
      <c r="N19" s="12" t="n"/>
      <c r="O19" s="12" t="n"/>
      <c r="P19" s="12" t="n"/>
    </row>
    <row r="20">
      <c r="A20" s="11" t="inlineStr">
        <is>
          <t>RAW-2026-0016</t>
        </is>
      </c>
      <c r="B20" s="13" t="n"/>
      <c r="C20" s="16" t="n"/>
      <c r="D20" s="12" t="n"/>
      <c r="E20" s="12" t="n"/>
      <c r="F20" s="12" t="n"/>
      <c r="G20" s="12" t="n"/>
      <c r="H20" s="12" t="n"/>
      <c r="I20" s="12" t="n"/>
      <c r="J20" s="12" t="n"/>
      <c r="K20" s="12" t="n"/>
      <c r="L20" s="12" t="n"/>
      <c r="M20" s="13" t="n"/>
      <c r="N20" s="12" t="n"/>
      <c r="O20" s="12" t="n"/>
      <c r="P20" s="12" t="n"/>
    </row>
    <row r="21">
      <c r="A21" s="11" t="inlineStr">
        <is>
          <t>RAW-2026-0017</t>
        </is>
      </c>
      <c r="B21" s="13" t="n"/>
      <c r="C21" s="16" t="n"/>
      <c r="D21" s="12" t="n"/>
      <c r="E21" s="12" t="n"/>
      <c r="F21" s="12" t="n"/>
      <c r="G21" s="12" t="n"/>
      <c r="H21" s="12" t="n"/>
      <c r="I21" s="12" t="n"/>
      <c r="J21" s="12" t="n"/>
      <c r="K21" s="12" t="n"/>
      <c r="L21" s="12" t="n"/>
      <c r="M21" s="13" t="n"/>
      <c r="N21" s="12" t="n"/>
      <c r="O21" s="12" t="n"/>
      <c r="P21" s="12" t="n"/>
    </row>
    <row r="22">
      <c r="A22" s="11" t="inlineStr">
        <is>
          <t>RAW-2026-0018</t>
        </is>
      </c>
      <c r="B22" s="13" t="n"/>
      <c r="C22" s="16" t="n"/>
      <c r="D22" s="12" t="n"/>
      <c r="E22" s="12" t="n"/>
      <c r="F22" s="12" t="n"/>
      <c r="G22" s="12" t="n"/>
      <c r="H22" s="12" t="n"/>
      <c r="I22" s="12" t="n"/>
      <c r="J22" s="12" t="n"/>
      <c r="K22" s="12" t="n"/>
      <c r="L22" s="12" t="n"/>
      <c r="M22" s="13" t="n"/>
      <c r="N22" s="12" t="n"/>
      <c r="O22" s="12" t="n"/>
      <c r="P22" s="12" t="n"/>
    </row>
    <row r="23">
      <c r="A23" s="11" t="inlineStr">
        <is>
          <t>RAW-2026-0019</t>
        </is>
      </c>
      <c r="B23" s="13" t="n"/>
      <c r="C23" s="16" t="n"/>
      <c r="D23" s="12" t="n"/>
      <c r="E23" s="12" t="n"/>
      <c r="F23" s="12" t="n"/>
      <c r="G23" s="12" t="n"/>
      <c r="H23" s="12" t="n"/>
      <c r="I23" s="12" t="n"/>
      <c r="J23" s="12" t="n"/>
      <c r="K23" s="12" t="n"/>
      <c r="L23" s="12" t="n"/>
      <c r="M23" s="13" t="n"/>
      <c r="N23" s="12" t="n"/>
      <c r="O23" s="12" t="n"/>
      <c r="P23" s="12" t="n"/>
    </row>
    <row r="24">
      <c r="A24" s="11" t="inlineStr">
        <is>
          <t>RAW-2026-0020</t>
        </is>
      </c>
      <c r="B24" s="13" t="n"/>
      <c r="C24" s="16" t="n"/>
      <c r="D24" s="12" t="n"/>
      <c r="E24" s="12" t="n"/>
      <c r="F24" s="12" t="n"/>
      <c r="G24" s="12" t="n"/>
      <c r="H24" s="12" t="n"/>
      <c r="I24" s="12" t="n"/>
      <c r="J24" s="12" t="n"/>
      <c r="K24" s="12" t="n"/>
      <c r="L24" s="12" t="n"/>
      <c r="M24" s="13" t="n"/>
      <c r="N24" s="12" t="n"/>
      <c r="O24" s="12" t="n"/>
      <c r="P24" s="12" t="n"/>
    </row>
    <row r="25">
      <c r="A25" s="11" t="inlineStr">
        <is>
          <t>RAW-2026-0021</t>
        </is>
      </c>
      <c r="B25" s="13" t="n"/>
      <c r="C25" s="16" t="n"/>
      <c r="D25" s="12" t="n"/>
      <c r="E25" s="12" t="n"/>
      <c r="F25" s="12" t="n"/>
      <c r="G25" s="12" t="n"/>
      <c r="H25" s="12" t="n"/>
      <c r="I25" s="12" t="n"/>
      <c r="J25" s="12" t="n"/>
      <c r="K25" s="12" t="n"/>
      <c r="L25" s="12" t="n"/>
      <c r="M25" s="13" t="n"/>
      <c r="N25" s="12" t="n"/>
      <c r="O25" s="12" t="n"/>
      <c r="P25" s="12" t="n"/>
    </row>
    <row r="26">
      <c r="A26" s="11" t="inlineStr">
        <is>
          <t>RAW-2026-0022</t>
        </is>
      </c>
      <c r="B26" s="13" t="n"/>
      <c r="C26" s="16" t="n"/>
      <c r="D26" s="12" t="n"/>
      <c r="E26" s="12" t="n"/>
      <c r="F26" s="12" t="n"/>
      <c r="G26" s="12" t="n"/>
      <c r="H26" s="12" t="n"/>
      <c r="I26" s="12" t="n"/>
      <c r="J26" s="12" t="n"/>
      <c r="K26" s="12" t="n"/>
      <c r="L26" s="12" t="n"/>
      <c r="M26" s="13" t="n"/>
      <c r="N26" s="12" t="n"/>
      <c r="O26" s="12" t="n"/>
      <c r="P26" s="12" t="n"/>
    </row>
    <row r="27">
      <c r="A27" s="11" t="inlineStr">
        <is>
          <t>RAW-2026-0023</t>
        </is>
      </c>
      <c r="B27" s="13" t="n"/>
      <c r="C27" s="16" t="n"/>
      <c r="D27" s="12" t="n"/>
      <c r="E27" s="12" t="n"/>
      <c r="F27" s="12" t="n"/>
      <c r="G27" s="12" t="n"/>
      <c r="H27" s="12" t="n"/>
      <c r="I27" s="12" t="n"/>
      <c r="J27" s="12" t="n"/>
      <c r="K27" s="12" t="n"/>
      <c r="L27" s="12" t="n"/>
      <c r="M27" s="13" t="n"/>
      <c r="N27" s="12" t="n"/>
      <c r="O27" s="12" t="n"/>
      <c r="P27" s="12" t="n"/>
    </row>
    <row r="28">
      <c r="A28" s="11" t="inlineStr">
        <is>
          <t>RAW-2026-0024</t>
        </is>
      </c>
      <c r="B28" s="13" t="n"/>
      <c r="C28" s="16" t="n"/>
      <c r="D28" s="12" t="n"/>
      <c r="E28" s="12" t="n"/>
      <c r="F28" s="12" t="n"/>
      <c r="G28" s="12" t="n"/>
      <c r="H28" s="12" t="n"/>
      <c r="I28" s="12" t="n"/>
      <c r="J28" s="12" t="n"/>
      <c r="K28" s="12" t="n"/>
      <c r="L28" s="12" t="n"/>
      <c r="M28" s="13" t="n"/>
      <c r="N28" s="12" t="n"/>
      <c r="O28" s="12" t="n"/>
      <c r="P28" s="12" t="n"/>
    </row>
    <row r="29">
      <c r="A29" s="11" t="inlineStr">
        <is>
          <t>RAW-2026-0025</t>
        </is>
      </c>
      <c r="B29" s="13" t="n"/>
      <c r="C29" s="16" t="n"/>
      <c r="D29" s="12" t="n"/>
      <c r="E29" s="12" t="n"/>
      <c r="F29" s="12" t="n"/>
      <c r="G29" s="12" t="n"/>
      <c r="H29" s="12" t="n"/>
      <c r="I29" s="12" t="n"/>
      <c r="J29" s="12" t="n"/>
      <c r="K29" s="12" t="n"/>
      <c r="L29" s="12" t="n"/>
      <c r="M29" s="13" t="n"/>
      <c r="N29" s="12" t="n"/>
      <c r="O29" s="12" t="n"/>
      <c r="P29" s="12" t="n"/>
    </row>
    <row r="30">
      <c r="A30" s="11" t="inlineStr">
        <is>
          <t>RAW-2026-0026</t>
        </is>
      </c>
      <c r="B30" s="13" t="n"/>
      <c r="C30" s="16" t="n"/>
      <c r="D30" s="12" t="n"/>
      <c r="E30" s="12" t="n"/>
      <c r="F30" s="12" t="n"/>
      <c r="G30" s="12" t="n"/>
      <c r="H30" s="12" t="n"/>
      <c r="I30" s="12" t="n"/>
      <c r="J30" s="12" t="n"/>
      <c r="K30" s="12" t="n"/>
      <c r="L30" s="12" t="n"/>
      <c r="M30" s="13" t="n"/>
      <c r="N30" s="12" t="n"/>
      <c r="O30" s="12" t="n"/>
      <c r="P30" s="12" t="n"/>
    </row>
    <row r="31">
      <c r="A31" s="11" t="inlineStr">
        <is>
          <t>RAW-2026-0027</t>
        </is>
      </c>
      <c r="B31" s="13" t="n"/>
      <c r="C31" s="16" t="n"/>
      <c r="D31" s="12" t="n"/>
      <c r="E31" s="12" t="n"/>
      <c r="F31" s="12" t="n"/>
      <c r="G31" s="12" t="n"/>
      <c r="H31" s="12" t="n"/>
      <c r="I31" s="12" t="n"/>
      <c r="J31" s="12" t="n"/>
      <c r="K31" s="12" t="n"/>
      <c r="L31" s="12" t="n"/>
      <c r="M31" s="13" t="n"/>
      <c r="N31" s="12" t="n"/>
      <c r="O31" s="12" t="n"/>
      <c r="P31" s="12" t="n"/>
    </row>
    <row r="32">
      <c r="A32" s="11" t="inlineStr">
        <is>
          <t>RAW-2026-0028</t>
        </is>
      </c>
      <c r="B32" s="13" t="n"/>
      <c r="C32" s="16" t="n"/>
      <c r="D32" s="12" t="n"/>
      <c r="E32" s="12" t="n"/>
      <c r="F32" s="12" t="n"/>
      <c r="G32" s="12" t="n"/>
      <c r="H32" s="12" t="n"/>
      <c r="I32" s="12" t="n"/>
      <c r="J32" s="12" t="n"/>
      <c r="K32" s="12" t="n"/>
      <c r="L32" s="12" t="n"/>
      <c r="M32" s="13" t="n"/>
      <c r="N32" s="12" t="n"/>
      <c r="O32" s="12" t="n"/>
      <c r="P32" s="12" t="n"/>
    </row>
    <row r="33">
      <c r="A33" s="11" t="inlineStr">
        <is>
          <t>RAW-2026-0029</t>
        </is>
      </c>
      <c r="B33" s="13" t="n"/>
      <c r="C33" s="16" t="n"/>
      <c r="D33" s="12" t="n"/>
      <c r="E33" s="12" t="n"/>
      <c r="F33" s="12" t="n"/>
      <c r="G33" s="12" t="n"/>
      <c r="H33" s="12" t="n"/>
      <c r="I33" s="12" t="n"/>
      <c r="J33" s="12" t="n"/>
      <c r="K33" s="12" t="n"/>
      <c r="L33" s="12" t="n"/>
      <c r="M33" s="13" t="n"/>
      <c r="N33" s="12" t="n"/>
      <c r="O33" s="12" t="n"/>
      <c r="P33" s="12" t="n"/>
    </row>
    <row r="34">
      <c r="A34" s="11" t="inlineStr">
        <is>
          <t>RAW-2026-0030</t>
        </is>
      </c>
      <c r="B34" s="13" t="n"/>
      <c r="C34" s="16" t="n"/>
      <c r="D34" s="12" t="n"/>
      <c r="E34" s="12" t="n"/>
      <c r="F34" s="12" t="n"/>
      <c r="G34" s="12" t="n"/>
      <c r="H34" s="12" t="n"/>
      <c r="I34" s="12" t="n"/>
      <c r="J34" s="12" t="n"/>
      <c r="K34" s="12" t="n"/>
      <c r="L34" s="12" t="n"/>
      <c r="M34" s="13" t="n"/>
      <c r="N34" s="12" t="n"/>
      <c r="O34" s="12" t="n"/>
      <c r="P34" s="12" t="n"/>
    </row>
    <row r="35">
      <c r="A35" s="11" t="inlineStr">
        <is>
          <t>RAW-2026-0031</t>
        </is>
      </c>
      <c r="B35" s="13" t="n"/>
      <c r="C35" s="16" t="n"/>
      <c r="D35" s="12" t="n"/>
      <c r="E35" s="12" t="n"/>
      <c r="F35" s="12" t="n"/>
      <c r="G35" s="12" t="n"/>
      <c r="H35" s="12" t="n"/>
      <c r="I35" s="12" t="n"/>
      <c r="J35" s="12" t="n"/>
      <c r="K35" s="12" t="n"/>
      <c r="L35" s="12" t="n"/>
      <c r="M35" s="13" t="n"/>
      <c r="N35" s="12" t="n"/>
      <c r="O35" s="12" t="n"/>
      <c r="P35" s="12" t="n"/>
    </row>
    <row r="36">
      <c r="A36" s="11" t="inlineStr">
        <is>
          <t>RAW-2026-0032</t>
        </is>
      </c>
      <c r="B36" s="13" t="n"/>
      <c r="C36" s="16" t="n"/>
      <c r="D36" s="12" t="n"/>
      <c r="E36" s="12" t="n"/>
      <c r="F36" s="12" t="n"/>
      <c r="G36" s="12" t="n"/>
      <c r="H36" s="12" t="n"/>
      <c r="I36" s="12" t="n"/>
      <c r="J36" s="12" t="n"/>
      <c r="K36" s="12" t="n"/>
      <c r="L36" s="12" t="n"/>
      <c r="M36" s="13" t="n"/>
      <c r="N36" s="12" t="n"/>
      <c r="O36" s="12" t="n"/>
      <c r="P36" s="12" t="n"/>
    </row>
    <row r="37">
      <c r="A37" s="11" t="inlineStr">
        <is>
          <t>RAW-2026-0033</t>
        </is>
      </c>
      <c r="B37" s="13" t="n"/>
      <c r="C37" s="16" t="n"/>
      <c r="D37" s="12" t="n"/>
      <c r="E37" s="12" t="n"/>
      <c r="F37" s="12" t="n"/>
      <c r="G37" s="12" t="n"/>
      <c r="H37" s="12" t="n"/>
      <c r="I37" s="12" t="n"/>
      <c r="J37" s="12" t="n"/>
      <c r="K37" s="12" t="n"/>
      <c r="L37" s="12" t="n"/>
      <c r="M37" s="13" t="n"/>
      <c r="N37" s="12" t="n"/>
      <c r="O37" s="12" t="n"/>
      <c r="P37" s="12" t="n"/>
    </row>
    <row r="38">
      <c r="A38" s="11" t="inlineStr">
        <is>
          <t>RAW-2026-0034</t>
        </is>
      </c>
      <c r="B38" s="13" t="n"/>
      <c r="C38" s="16" t="n"/>
      <c r="D38" s="12" t="n"/>
      <c r="E38" s="12" t="n"/>
      <c r="F38" s="12" t="n"/>
      <c r="G38" s="12" t="n"/>
      <c r="H38" s="12" t="n"/>
      <c r="I38" s="12" t="n"/>
      <c r="J38" s="12" t="n"/>
      <c r="K38" s="12" t="n"/>
      <c r="L38" s="12" t="n"/>
      <c r="M38" s="13" t="n"/>
      <c r="N38" s="12" t="n"/>
      <c r="O38" s="12" t="n"/>
      <c r="P38" s="12" t="n"/>
    </row>
    <row r="39">
      <c r="A39" s="11" t="inlineStr">
        <is>
          <t>RAW-2026-0035</t>
        </is>
      </c>
      <c r="B39" s="13" t="n"/>
      <c r="C39" s="16" t="n"/>
      <c r="D39" s="12" t="n"/>
      <c r="E39" s="12" t="n"/>
      <c r="F39" s="12" t="n"/>
      <c r="G39" s="12" t="n"/>
      <c r="H39" s="12" t="n"/>
      <c r="I39" s="12" t="n"/>
      <c r="J39" s="12" t="n"/>
      <c r="K39" s="12" t="n"/>
      <c r="L39" s="12" t="n"/>
      <c r="M39" s="13" t="n"/>
      <c r="N39" s="12" t="n"/>
      <c r="O39" s="12" t="n"/>
      <c r="P39" s="12" t="n"/>
    </row>
    <row r="40">
      <c r="A40" s="11" t="inlineStr">
        <is>
          <t>RAW-2026-0036</t>
        </is>
      </c>
      <c r="B40" s="13" t="n"/>
      <c r="C40" s="16" t="n"/>
      <c r="D40" s="12" t="n"/>
      <c r="E40" s="12" t="n"/>
      <c r="F40" s="12" t="n"/>
      <c r="G40" s="12" t="n"/>
      <c r="H40" s="12" t="n"/>
      <c r="I40" s="12" t="n"/>
      <c r="J40" s="12" t="n"/>
      <c r="K40" s="12" t="n"/>
      <c r="L40" s="12" t="n"/>
      <c r="M40" s="13" t="n"/>
      <c r="N40" s="12" t="n"/>
      <c r="O40" s="12" t="n"/>
      <c r="P40" s="12" t="n"/>
    </row>
    <row r="41">
      <c r="A41" s="11" t="inlineStr">
        <is>
          <t>RAW-2026-0037</t>
        </is>
      </c>
      <c r="B41" s="13" t="n"/>
      <c r="C41" s="16" t="n"/>
      <c r="D41" s="12" t="n"/>
      <c r="E41" s="12" t="n"/>
      <c r="F41" s="12" t="n"/>
      <c r="G41" s="12" t="n"/>
      <c r="H41" s="12" t="n"/>
      <c r="I41" s="12" t="n"/>
      <c r="J41" s="12" t="n"/>
      <c r="K41" s="12" t="n"/>
      <c r="L41" s="12" t="n"/>
      <c r="M41" s="13" t="n"/>
      <c r="N41" s="12" t="n"/>
      <c r="O41" s="12" t="n"/>
      <c r="P41" s="12" t="n"/>
    </row>
    <row r="42">
      <c r="A42" s="11" t="inlineStr">
        <is>
          <t>RAW-2026-0038</t>
        </is>
      </c>
      <c r="B42" s="13" t="n"/>
      <c r="C42" s="16" t="n"/>
      <c r="D42" s="12" t="n"/>
      <c r="E42" s="12" t="n"/>
      <c r="F42" s="12" t="n"/>
      <c r="G42" s="12" t="n"/>
      <c r="H42" s="12" t="n"/>
      <c r="I42" s="12" t="n"/>
      <c r="J42" s="12" t="n"/>
      <c r="K42" s="12" t="n"/>
      <c r="L42" s="12" t="n"/>
      <c r="M42" s="13" t="n"/>
      <c r="N42" s="12" t="n"/>
      <c r="O42" s="12" t="n"/>
      <c r="P42" s="12" t="n"/>
    </row>
    <row r="43">
      <c r="A43" s="11" t="inlineStr">
        <is>
          <t>RAW-2026-0039</t>
        </is>
      </c>
      <c r="B43" s="13" t="n"/>
      <c r="C43" s="16" t="n"/>
      <c r="D43" s="12" t="n"/>
      <c r="E43" s="12" t="n"/>
      <c r="F43" s="12" t="n"/>
      <c r="G43" s="12" t="n"/>
      <c r="H43" s="12" t="n"/>
      <c r="I43" s="12" t="n"/>
      <c r="J43" s="12" t="n"/>
      <c r="K43" s="12" t="n"/>
      <c r="L43" s="12" t="n"/>
      <c r="M43" s="13" t="n"/>
      <c r="N43" s="12" t="n"/>
      <c r="O43" s="12" t="n"/>
      <c r="P43" s="12" t="n"/>
    </row>
    <row r="44">
      <c r="A44" s="11" t="inlineStr">
        <is>
          <t>RAW-2026-0040</t>
        </is>
      </c>
      <c r="B44" s="13" t="n"/>
      <c r="C44" s="16" t="n"/>
      <c r="D44" s="12" t="n"/>
      <c r="E44" s="12" t="n"/>
      <c r="F44" s="12" t="n"/>
      <c r="G44" s="12" t="n"/>
      <c r="H44" s="12" t="n"/>
      <c r="I44" s="12" t="n"/>
      <c r="J44" s="12" t="n"/>
      <c r="K44" s="12" t="n"/>
      <c r="L44" s="12" t="n"/>
      <c r="M44" s="13" t="n"/>
      <c r="N44" s="12" t="n"/>
      <c r="O44" s="12" t="n"/>
      <c r="P44" s="12" t="n"/>
    </row>
    <row r="45">
      <c r="A45" s="11" t="inlineStr">
        <is>
          <t>RAW-2026-0041</t>
        </is>
      </c>
      <c r="B45" s="13" t="n"/>
      <c r="C45" s="16" t="n"/>
      <c r="D45" s="12" t="n"/>
      <c r="E45" s="12" t="n"/>
      <c r="F45" s="12" t="n"/>
      <c r="G45" s="12" t="n"/>
      <c r="H45" s="12" t="n"/>
      <c r="I45" s="12" t="n"/>
      <c r="J45" s="12" t="n"/>
      <c r="K45" s="12" t="n"/>
      <c r="L45" s="12" t="n"/>
      <c r="M45" s="13" t="n"/>
      <c r="N45" s="12" t="n"/>
      <c r="O45" s="12" t="n"/>
      <c r="P45" s="12" t="n"/>
    </row>
    <row r="46">
      <c r="A46" s="11" t="inlineStr">
        <is>
          <t>RAW-2026-0042</t>
        </is>
      </c>
      <c r="B46" s="13" t="n"/>
      <c r="C46" s="16" t="n"/>
      <c r="D46" s="12" t="n"/>
      <c r="E46" s="12" t="n"/>
      <c r="F46" s="12" t="n"/>
      <c r="G46" s="12" t="n"/>
      <c r="H46" s="12" t="n"/>
      <c r="I46" s="12" t="n"/>
      <c r="J46" s="12" t="n"/>
      <c r="K46" s="12" t="n"/>
      <c r="L46" s="12" t="n"/>
      <c r="M46" s="13" t="n"/>
      <c r="N46" s="12" t="n"/>
      <c r="O46" s="12" t="n"/>
      <c r="P46" s="12" t="n"/>
    </row>
    <row r="47">
      <c r="A47" s="11" t="inlineStr">
        <is>
          <t>RAW-2026-0043</t>
        </is>
      </c>
      <c r="B47" s="13" t="n"/>
      <c r="C47" s="16" t="n"/>
      <c r="D47" s="12" t="n"/>
      <c r="E47" s="12" t="n"/>
      <c r="F47" s="12" t="n"/>
      <c r="G47" s="12" t="n"/>
      <c r="H47" s="12" t="n"/>
      <c r="I47" s="12" t="n"/>
      <c r="J47" s="12" t="n"/>
      <c r="K47" s="12" t="n"/>
      <c r="L47" s="12" t="n"/>
      <c r="M47" s="13" t="n"/>
      <c r="N47" s="12" t="n"/>
      <c r="O47" s="12" t="n"/>
      <c r="P47" s="12" t="n"/>
    </row>
    <row r="48">
      <c r="A48" s="11" t="inlineStr">
        <is>
          <t>RAW-2026-0044</t>
        </is>
      </c>
      <c r="B48" s="13" t="n"/>
      <c r="C48" s="16" t="n"/>
      <c r="D48" s="12" t="n"/>
      <c r="E48" s="12" t="n"/>
      <c r="F48" s="12" t="n"/>
      <c r="G48" s="12" t="n"/>
      <c r="H48" s="12" t="n"/>
      <c r="I48" s="12" t="n"/>
      <c r="J48" s="12" t="n"/>
      <c r="K48" s="12" t="n"/>
      <c r="L48" s="12" t="n"/>
      <c r="M48" s="13" t="n"/>
      <c r="N48" s="12" t="n"/>
      <c r="O48" s="12" t="n"/>
      <c r="P48" s="12" t="n"/>
    </row>
    <row r="49">
      <c r="A49" s="11" t="inlineStr">
        <is>
          <t>RAW-2026-0045</t>
        </is>
      </c>
      <c r="B49" s="13" t="n"/>
      <c r="C49" s="16" t="n"/>
      <c r="D49" s="12" t="n"/>
      <c r="E49" s="12" t="n"/>
      <c r="F49" s="12" t="n"/>
      <c r="G49" s="12" t="n"/>
      <c r="H49" s="12" t="n"/>
      <c r="I49" s="12" t="n"/>
      <c r="J49" s="12" t="n"/>
      <c r="K49" s="12" t="n"/>
      <c r="L49" s="12" t="n"/>
      <c r="M49" s="13" t="n"/>
      <c r="N49" s="12" t="n"/>
      <c r="O49" s="12" t="n"/>
      <c r="P49" s="12" t="n"/>
    </row>
    <row r="50">
      <c r="A50" s="11" t="inlineStr">
        <is>
          <t>RAW-2026-0046</t>
        </is>
      </c>
      <c r="B50" s="13" t="n"/>
      <c r="C50" s="16" t="n"/>
      <c r="D50" s="12" t="n"/>
      <c r="E50" s="12" t="n"/>
      <c r="F50" s="12" t="n"/>
      <c r="G50" s="12" t="n"/>
      <c r="H50" s="12" t="n"/>
      <c r="I50" s="12" t="n"/>
      <c r="J50" s="12" t="n"/>
      <c r="K50" s="12" t="n"/>
      <c r="L50" s="12" t="n"/>
      <c r="M50" s="13" t="n"/>
      <c r="N50" s="12" t="n"/>
      <c r="O50" s="12" t="n"/>
      <c r="P50" s="12" t="n"/>
    </row>
    <row r="51">
      <c r="A51" s="11" t="inlineStr">
        <is>
          <t>RAW-2026-0047</t>
        </is>
      </c>
      <c r="B51" s="13" t="n"/>
      <c r="C51" s="16" t="n"/>
      <c r="D51" s="12" t="n"/>
      <c r="E51" s="12" t="n"/>
      <c r="F51" s="12" t="n"/>
      <c r="G51" s="12" t="n"/>
      <c r="H51" s="12" t="n"/>
      <c r="I51" s="12" t="n"/>
      <c r="J51" s="12" t="n"/>
      <c r="K51" s="12" t="n"/>
      <c r="L51" s="12" t="n"/>
      <c r="M51" s="13" t="n"/>
      <c r="N51" s="12" t="n"/>
      <c r="O51" s="12" t="n"/>
      <c r="P51" s="12" t="n"/>
    </row>
    <row r="52">
      <c r="A52" s="11" t="inlineStr">
        <is>
          <t>RAW-2026-0048</t>
        </is>
      </c>
      <c r="B52" s="13" t="n"/>
      <c r="C52" s="16" t="n"/>
      <c r="D52" s="12" t="n"/>
      <c r="E52" s="12" t="n"/>
      <c r="F52" s="12" t="n"/>
      <c r="G52" s="12" t="n"/>
      <c r="H52" s="12" t="n"/>
      <c r="I52" s="12" t="n"/>
      <c r="J52" s="12" t="n"/>
      <c r="K52" s="12" t="n"/>
      <c r="L52" s="12" t="n"/>
      <c r="M52" s="13" t="n"/>
      <c r="N52" s="12" t="n"/>
      <c r="O52" s="12" t="n"/>
      <c r="P52" s="12" t="n"/>
    </row>
    <row r="53">
      <c r="A53" s="11" t="inlineStr">
        <is>
          <t>RAW-2026-0049</t>
        </is>
      </c>
      <c r="B53" s="13" t="n"/>
      <c r="C53" s="16" t="n"/>
      <c r="D53" s="12" t="n"/>
      <c r="E53" s="12" t="n"/>
      <c r="F53" s="12" t="n"/>
      <c r="G53" s="12" t="n"/>
      <c r="H53" s="12" t="n"/>
      <c r="I53" s="12" t="n"/>
      <c r="J53" s="12" t="n"/>
      <c r="K53" s="12" t="n"/>
      <c r="L53" s="12" t="n"/>
      <c r="M53" s="13" t="n"/>
      <c r="N53" s="12" t="n"/>
      <c r="O53" s="12" t="n"/>
      <c r="P53" s="12" t="n"/>
    </row>
    <row r="54">
      <c r="A54" s="11" t="inlineStr">
        <is>
          <t>RAW-2026-0050</t>
        </is>
      </c>
      <c r="B54" s="13" t="n"/>
      <c r="C54" s="16" t="n"/>
      <c r="D54" s="12" t="n"/>
      <c r="E54" s="12" t="n"/>
      <c r="F54" s="12" t="n"/>
      <c r="G54" s="12" t="n"/>
      <c r="H54" s="12" t="n"/>
      <c r="I54" s="12" t="n"/>
      <c r="J54" s="12" t="n"/>
      <c r="K54" s="12" t="n"/>
      <c r="L54" s="12" t="n"/>
      <c r="M54" s="13" t="n"/>
      <c r="N54" s="12" t="n"/>
      <c r="O54" s="12" t="n"/>
      <c r="P54" s="12" t="n"/>
    </row>
    <row r="55">
      <c r="A55" s="11" t="inlineStr">
        <is>
          <t>RAW-2026-0051</t>
        </is>
      </c>
      <c r="B55" s="13" t="n"/>
      <c r="C55" s="16" t="n"/>
      <c r="D55" s="12" t="n"/>
      <c r="E55" s="12" t="n"/>
      <c r="F55" s="12" t="n"/>
      <c r="G55" s="12" t="n"/>
      <c r="H55" s="12" t="n"/>
      <c r="I55" s="12" t="n"/>
      <c r="J55" s="12" t="n"/>
      <c r="K55" s="12" t="n"/>
      <c r="L55" s="12" t="n"/>
      <c r="M55" s="13" t="n"/>
      <c r="N55" s="12" t="n"/>
      <c r="O55" s="12" t="n"/>
      <c r="P55" s="12" t="n"/>
    </row>
    <row r="56">
      <c r="A56" s="11" t="inlineStr">
        <is>
          <t>RAW-2026-0052</t>
        </is>
      </c>
      <c r="B56" s="13" t="n"/>
      <c r="C56" s="16" t="n"/>
      <c r="D56" s="12" t="n"/>
      <c r="E56" s="12" t="n"/>
      <c r="F56" s="12" t="n"/>
      <c r="G56" s="12" t="n"/>
      <c r="H56" s="12" t="n"/>
      <c r="I56" s="12" t="n"/>
      <c r="J56" s="12" t="n"/>
      <c r="K56" s="12" t="n"/>
      <c r="L56" s="12" t="n"/>
      <c r="M56" s="13" t="n"/>
      <c r="N56" s="12" t="n"/>
      <c r="O56" s="12" t="n"/>
      <c r="P56" s="12" t="n"/>
    </row>
    <row r="57">
      <c r="A57" s="11" t="inlineStr">
        <is>
          <t>RAW-2026-0053</t>
        </is>
      </c>
      <c r="B57" s="13" t="n"/>
      <c r="C57" s="16" t="n"/>
      <c r="D57" s="12" t="n"/>
      <c r="E57" s="12" t="n"/>
      <c r="F57" s="12" t="n"/>
      <c r="G57" s="12" t="n"/>
      <c r="H57" s="12" t="n"/>
      <c r="I57" s="12" t="n"/>
      <c r="J57" s="12" t="n"/>
      <c r="K57" s="12" t="n"/>
      <c r="L57" s="12" t="n"/>
      <c r="M57" s="13" t="n"/>
      <c r="N57" s="12" t="n"/>
      <c r="O57" s="12" t="n"/>
      <c r="P57" s="12" t="n"/>
    </row>
    <row r="58">
      <c r="A58" s="11" t="inlineStr">
        <is>
          <t>RAW-2026-0054</t>
        </is>
      </c>
      <c r="B58" s="13" t="n"/>
      <c r="C58" s="16" t="n"/>
      <c r="D58" s="12" t="n"/>
      <c r="E58" s="12" t="n"/>
      <c r="F58" s="12" t="n"/>
      <c r="G58" s="12" t="n"/>
      <c r="H58" s="12" t="n"/>
      <c r="I58" s="12" t="n"/>
      <c r="J58" s="12" t="n"/>
      <c r="K58" s="12" t="n"/>
      <c r="L58" s="12" t="n"/>
      <c r="M58" s="13" t="n"/>
      <c r="N58" s="12" t="n"/>
      <c r="O58" s="12" t="n"/>
      <c r="P58" s="12" t="n"/>
    </row>
    <row r="59">
      <c r="A59" s="11" t="inlineStr">
        <is>
          <t>RAW-2026-0055</t>
        </is>
      </c>
      <c r="B59" s="13" t="n"/>
      <c r="C59" s="16" t="n"/>
      <c r="D59" s="12" t="n"/>
      <c r="E59" s="12" t="n"/>
      <c r="F59" s="12" t="n"/>
      <c r="G59" s="12" t="n"/>
      <c r="H59" s="12" t="n"/>
      <c r="I59" s="12" t="n"/>
      <c r="J59" s="12" t="n"/>
      <c r="K59" s="12" t="n"/>
      <c r="L59" s="12" t="n"/>
      <c r="M59" s="13" t="n"/>
      <c r="N59" s="12" t="n"/>
      <c r="O59" s="12" t="n"/>
      <c r="P59" s="12" t="n"/>
    </row>
    <row r="60">
      <c r="A60" s="11" t="inlineStr">
        <is>
          <t>RAW-2026-0056</t>
        </is>
      </c>
      <c r="B60" s="13" t="n"/>
      <c r="C60" s="16" t="n"/>
      <c r="D60" s="12" t="n"/>
      <c r="E60" s="12" t="n"/>
      <c r="F60" s="12" t="n"/>
      <c r="G60" s="12" t="n"/>
      <c r="H60" s="12" t="n"/>
      <c r="I60" s="12" t="n"/>
      <c r="J60" s="12" t="n"/>
      <c r="K60" s="12" t="n"/>
      <c r="L60" s="12" t="n"/>
      <c r="M60" s="13" t="n"/>
      <c r="N60" s="12" t="n"/>
      <c r="O60" s="12" t="n"/>
      <c r="P60" s="12" t="n"/>
    </row>
    <row r="61">
      <c r="A61" s="11" t="inlineStr">
        <is>
          <t>RAW-2026-0057</t>
        </is>
      </c>
      <c r="B61" s="13" t="n"/>
      <c r="C61" s="16" t="n"/>
      <c r="D61" s="12" t="n"/>
      <c r="E61" s="12" t="n"/>
      <c r="F61" s="12" t="n"/>
      <c r="G61" s="12" t="n"/>
      <c r="H61" s="12" t="n"/>
      <c r="I61" s="12" t="n"/>
      <c r="J61" s="12" t="n"/>
      <c r="K61" s="12" t="n"/>
      <c r="L61" s="12" t="n"/>
      <c r="M61" s="13" t="n"/>
      <c r="N61" s="12" t="n"/>
      <c r="O61" s="12" t="n"/>
      <c r="P61" s="12" t="n"/>
    </row>
    <row r="62">
      <c r="A62" s="11" t="inlineStr">
        <is>
          <t>RAW-2026-0058</t>
        </is>
      </c>
      <c r="B62" s="13" t="n"/>
      <c r="C62" s="16" t="n"/>
      <c r="D62" s="12" t="n"/>
      <c r="E62" s="12" t="n"/>
      <c r="F62" s="12" t="n"/>
      <c r="G62" s="12" t="n"/>
      <c r="H62" s="12" t="n"/>
      <c r="I62" s="12" t="n"/>
      <c r="J62" s="12" t="n"/>
      <c r="K62" s="12" t="n"/>
      <c r="L62" s="12" t="n"/>
      <c r="M62" s="13" t="n"/>
      <c r="N62" s="12" t="n"/>
      <c r="O62" s="12" t="n"/>
      <c r="P62" s="12" t="n"/>
    </row>
    <row r="63">
      <c r="A63" s="11" t="inlineStr">
        <is>
          <t>RAW-2026-0059</t>
        </is>
      </c>
      <c r="B63" s="13" t="n"/>
      <c r="C63" s="16" t="n"/>
      <c r="D63" s="12" t="n"/>
      <c r="E63" s="12" t="n"/>
      <c r="F63" s="12" t="n"/>
      <c r="G63" s="12" t="n"/>
      <c r="H63" s="12" t="n"/>
      <c r="I63" s="12" t="n"/>
      <c r="J63" s="12" t="n"/>
      <c r="K63" s="12" t="n"/>
      <c r="L63" s="12" t="n"/>
      <c r="M63" s="13" t="n"/>
      <c r="N63" s="12" t="n"/>
      <c r="O63" s="12" t="n"/>
      <c r="P63" s="12" t="n"/>
    </row>
    <row r="64">
      <c r="A64" s="11" t="inlineStr">
        <is>
          <t>RAW-2026-0060</t>
        </is>
      </c>
      <c r="B64" s="13" t="n"/>
      <c r="C64" s="16" t="n"/>
      <c r="D64" s="12" t="n"/>
      <c r="E64" s="12" t="n"/>
      <c r="F64" s="12" t="n"/>
      <c r="G64" s="12" t="n"/>
      <c r="H64" s="12" t="n"/>
      <c r="I64" s="12" t="n"/>
      <c r="J64" s="12" t="n"/>
      <c r="K64" s="12" t="n"/>
      <c r="L64" s="12" t="n"/>
      <c r="M64" s="13" t="n"/>
      <c r="N64" s="12" t="n"/>
      <c r="O64" s="12" t="n"/>
      <c r="P64" s="12" t="n"/>
    </row>
    <row r="65">
      <c r="A65" s="11" t="inlineStr">
        <is>
          <t>RAW-2026-0061</t>
        </is>
      </c>
      <c r="B65" s="13" t="n"/>
      <c r="C65" s="16" t="n"/>
      <c r="D65" s="12" t="n"/>
      <c r="E65" s="12" t="n"/>
      <c r="F65" s="12" t="n"/>
      <c r="G65" s="12" t="n"/>
      <c r="H65" s="12" t="n"/>
      <c r="I65" s="12" t="n"/>
      <c r="J65" s="12" t="n"/>
      <c r="K65" s="12" t="n"/>
      <c r="L65" s="12" t="n"/>
      <c r="M65" s="13" t="n"/>
      <c r="N65" s="12" t="n"/>
      <c r="O65" s="12" t="n"/>
      <c r="P65" s="12" t="n"/>
    </row>
    <row r="66">
      <c r="A66" s="11" t="inlineStr">
        <is>
          <t>RAW-2026-0062</t>
        </is>
      </c>
      <c r="B66" s="13" t="n"/>
      <c r="C66" s="16" t="n"/>
      <c r="D66" s="12" t="n"/>
      <c r="E66" s="12" t="n"/>
      <c r="F66" s="12" t="n"/>
      <c r="G66" s="12" t="n"/>
      <c r="H66" s="12" t="n"/>
      <c r="I66" s="12" t="n"/>
      <c r="J66" s="12" t="n"/>
      <c r="K66" s="12" t="n"/>
      <c r="L66" s="12" t="n"/>
      <c r="M66" s="13" t="n"/>
      <c r="N66" s="12" t="n"/>
      <c r="O66" s="12" t="n"/>
      <c r="P66" s="12" t="n"/>
    </row>
    <row r="67">
      <c r="A67" s="11" t="inlineStr">
        <is>
          <t>RAW-2026-0063</t>
        </is>
      </c>
      <c r="B67" s="13" t="n"/>
      <c r="C67" s="16" t="n"/>
      <c r="D67" s="12" t="n"/>
      <c r="E67" s="12" t="n"/>
      <c r="F67" s="12" t="n"/>
      <c r="G67" s="12" t="n"/>
      <c r="H67" s="12" t="n"/>
      <c r="I67" s="12" t="n"/>
      <c r="J67" s="12" t="n"/>
      <c r="K67" s="12" t="n"/>
      <c r="L67" s="12" t="n"/>
      <c r="M67" s="13" t="n"/>
      <c r="N67" s="12" t="n"/>
      <c r="O67" s="12" t="n"/>
      <c r="P67" s="12" t="n"/>
    </row>
    <row r="68">
      <c r="A68" s="11" t="inlineStr">
        <is>
          <t>RAW-2026-0064</t>
        </is>
      </c>
      <c r="B68" s="13" t="n"/>
      <c r="C68" s="16" t="n"/>
      <c r="D68" s="12" t="n"/>
      <c r="E68" s="12" t="n"/>
      <c r="F68" s="12" t="n"/>
      <c r="G68" s="12" t="n"/>
      <c r="H68" s="12" t="n"/>
      <c r="I68" s="12" t="n"/>
      <c r="J68" s="12" t="n"/>
      <c r="K68" s="12" t="n"/>
      <c r="L68" s="12" t="n"/>
      <c r="M68" s="13" t="n"/>
      <c r="N68" s="12" t="n"/>
      <c r="O68" s="12" t="n"/>
      <c r="P68" s="12" t="n"/>
    </row>
    <row r="69">
      <c r="A69" s="11" t="inlineStr">
        <is>
          <t>RAW-2026-0065</t>
        </is>
      </c>
      <c r="B69" s="13" t="n"/>
      <c r="C69" s="16" t="n"/>
      <c r="D69" s="12" t="n"/>
      <c r="E69" s="12" t="n"/>
      <c r="F69" s="12" t="n"/>
      <c r="G69" s="12" t="n"/>
      <c r="H69" s="12" t="n"/>
      <c r="I69" s="12" t="n"/>
      <c r="J69" s="12" t="n"/>
      <c r="K69" s="12" t="n"/>
      <c r="L69" s="12" t="n"/>
      <c r="M69" s="13" t="n"/>
      <c r="N69" s="12" t="n"/>
      <c r="O69" s="12" t="n"/>
      <c r="P69" s="12" t="n"/>
    </row>
    <row r="70">
      <c r="A70" s="11" t="inlineStr">
        <is>
          <t>RAW-2026-0066</t>
        </is>
      </c>
      <c r="B70" s="13" t="n"/>
      <c r="C70" s="16" t="n"/>
      <c r="D70" s="12" t="n"/>
      <c r="E70" s="12" t="n"/>
      <c r="F70" s="12" t="n"/>
      <c r="G70" s="12" t="n"/>
      <c r="H70" s="12" t="n"/>
      <c r="I70" s="12" t="n"/>
      <c r="J70" s="12" t="n"/>
      <c r="K70" s="12" t="n"/>
      <c r="L70" s="12" t="n"/>
      <c r="M70" s="13" t="n"/>
      <c r="N70" s="12" t="n"/>
      <c r="O70" s="12" t="n"/>
      <c r="P70" s="12" t="n"/>
    </row>
    <row r="71">
      <c r="A71" s="11" t="inlineStr">
        <is>
          <t>RAW-2026-0067</t>
        </is>
      </c>
      <c r="B71" s="13" t="n"/>
      <c r="C71" s="16" t="n"/>
      <c r="D71" s="12" t="n"/>
      <c r="E71" s="12" t="n"/>
      <c r="F71" s="12" t="n"/>
      <c r="G71" s="12" t="n"/>
      <c r="H71" s="12" t="n"/>
      <c r="I71" s="12" t="n"/>
      <c r="J71" s="12" t="n"/>
      <c r="K71" s="12" t="n"/>
      <c r="L71" s="12" t="n"/>
      <c r="M71" s="13" t="n"/>
      <c r="N71" s="12" t="n"/>
      <c r="O71" s="12" t="n"/>
      <c r="P71" s="12" t="n"/>
    </row>
    <row r="72">
      <c r="A72" s="11" t="inlineStr">
        <is>
          <t>RAW-2026-0068</t>
        </is>
      </c>
      <c r="B72" s="13" t="n"/>
      <c r="C72" s="16" t="n"/>
      <c r="D72" s="12" t="n"/>
      <c r="E72" s="12" t="n"/>
      <c r="F72" s="12" t="n"/>
      <c r="G72" s="12" t="n"/>
      <c r="H72" s="12" t="n"/>
      <c r="I72" s="12" t="n"/>
      <c r="J72" s="12" t="n"/>
      <c r="K72" s="12" t="n"/>
      <c r="L72" s="12" t="n"/>
      <c r="M72" s="13" t="n"/>
      <c r="N72" s="12" t="n"/>
      <c r="O72" s="12" t="n"/>
      <c r="P72" s="12" t="n"/>
    </row>
    <row r="73">
      <c r="A73" s="11" t="inlineStr">
        <is>
          <t>RAW-2026-0069</t>
        </is>
      </c>
      <c r="B73" s="13" t="n"/>
      <c r="C73" s="16" t="n"/>
      <c r="D73" s="12" t="n"/>
      <c r="E73" s="12" t="n"/>
      <c r="F73" s="12" t="n"/>
      <c r="G73" s="12" t="n"/>
      <c r="H73" s="12" t="n"/>
      <c r="I73" s="12" t="n"/>
      <c r="J73" s="12" t="n"/>
      <c r="K73" s="12" t="n"/>
      <c r="L73" s="12" t="n"/>
      <c r="M73" s="13" t="n"/>
      <c r="N73" s="12" t="n"/>
      <c r="O73" s="12" t="n"/>
      <c r="P73" s="12" t="n"/>
    </row>
    <row r="74">
      <c r="A74" s="11" t="inlineStr">
        <is>
          <t>RAW-2026-0070</t>
        </is>
      </c>
      <c r="B74" s="13" t="n"/>
      <c r="C74" s="16" t="n"/>
      <c r="D74" s="12" t="n"/>
      <c r="E74" s="12" t="n"/>
      <c r="F74" s="12" t="n"/>
      <c r="G74" s="12" t="n"/>
      <c r="H74" s="12" t="n"/>
      <c r="I74" s="12" t="n"/>
      <c r="J74" s="12" t="n"/>
      <c r="K74" s="12" t="n"/>
      <c r="L74" s="12" t="n"/>
      <c r="M74" s="13" t="n"/>
      <c r="N74" s="12" t="n"/>
      <c r="O74" s="12" t="n"/>
      <c r="P74" s="12" t="n"/>
    </row>
    <row r="75">
      <c r="A75" s="11" t="inlineStr">
        <is>
          <t>RAW-2026-0071</t>
        </is>
      </c>
      <c r="B75" s="13" t="n"/>
      <c r="C75" s="16" t="n"/>
      <c r="D75" s="12" t="n"/>
      <c r="E75" s="12" t="n"/>
      <c r="F75" s="12" t="n"/>
      <c r="G75" s="12" t="n"/>
      <c r="H75" s="12" t="n"/>
      <c r="I75" s="12" t="n"/>
      <c r="J75" s="12" t="n"/>
      <c r="K75" s="12" t="n"/>
      <c r="L75" s="12" t="n"/>
      <c r="M75" s="13" t="n"/>
      <c r="N75" s="12" t="n"/>
      <c r="O75" s="12" t="n"/>
      <c r="P75" s="12" t="n"/>
    </row>
    <row r="76">
      <c r="A76" s="11" t="inlineStr">
        <is>
          <t>RAW-2026-0072</t>
        </is>
      </c>
      <c r="B76" s="13" t="n"/>
      <c r="C76" s="16" t="n"/>
      <c r="D76" s="12" t="n"/>
      <c r="E76" s="12" t="n"/>
      <c r="F76" s="12" t="n"/>
      <c r="G76" s="12" t="n"/>
      <c r="H76" s="12" t="n"/>
      <c r="I76" s="12" t="n"/>
      <c r="J76" s="12" t="n"/>
      <c r="K76" s="12" t="n"/>
      <c r="L76" s="12" t="n"/>
      <c r="M76" s="13" t="n"/>
      <c r="N76" s="12" t="n"/>
      <c r="O76" s="12" t="n"/>
      <c r="P76" s="12" t="n"/>
    </row>
    <row r="77">
      <c r="A77" s="11" t="inlineStr">
        <is>
          <t>RAW-2026-0073</t>
        </is>
      </c>
      <c r="B77" s="13" t="n"/>
      <c r="C77" s="16" t="n"/>
      <c r="D77" s="12" t="n"/>
      <c r="E77" s="12" t="n"/>
      <c r="F77" s="12" t="n"/>
      <c r="G77" s="12" t="n"/>
      <c r="H77" s="12" t="n"/>
      <c r="I77" s="12" t="n"/>
      <c r="J77" s="12" t="n"/>
      <c r="K77" s="12" t="n"/>
      <c r="L77" s="12" t="n"/>
      <c r="M77" s="13" t="n"/>
      <c r="N77" s="12" t="n"/>
      <c r="O77" s="12" t="n"/>
      <c r="P77" s="12" t="n"/>
    </row>
    <row r="78">
      <c r="A78" s="11" t="inlineStr">
        <is>
          <t>RAW-2026-0074</t>
        </is>
      </c>
      <c r="B78" s="13" t="n"/>
      <c r="C78" s="16" t="n"/>
      <c r="D78" s="12" t="n"/>
      <c r="E78" s="12" t="n"/>
      <c r="F78" s="12" t="n"/>
      <c r="G78" s="12" t="n"/>
      <c r="H78" s="12" t="n"/>
      <c r="I78" s="12" t="n"/>
      <c r="J78" s="12" t="n"/>
      <c r="K78" s="12" t="n"/>
      <c r="L78" s="12" t="n"/>
      <c r="M78" s="13" t="n"/>
      <c r="N78" s="12" t="n"/>
      <c r="O78" s="12" t="n"/>
      <c r="P78" s="12" t="n"/>
    </row>
    <row r="79">
      <c r="A79" s="11" t="inlineStr">
        <is>
          <t>RAW-2026-0075</t>
        </is>
      </c>
      <c r="B79" s="13" t="n"/>
      <c r="C79" s="16" t="n"/>
      <c r="D79" s="12" t="n"/>
      <c r="E79" s="12" t="n"/>
      <c r="F79" s="12" t="n"/>
      <c r="G79" s="12" t="n"/>
      <c r="H79" s="12" t="n"/>
      <c r="I79" s="12" t="n"/>
      <c r="J79" s="12" t="n"/>
      <c r="K79" s="12" t="n"/>
      <c r="L79" s="12" t="n"/>
      <c r="M79" s="13" t="n"/>
      <c r="N79" s="12" t="n"/>
      <c r="O79" s="12" t="n"/>
      <c r="P79" s="12" t="n"/>
    </row>
    <row r="80">
      <c r="A80" s="11" t="inlineStr">
        <is>
          <t>RAW-2026-0076</t>
        </is>
      </c>
      <c r="B80" s="13" t="n"/>
      <c r="C80" s="16" t="n"/>
      <c r="D80" s="12" t="n"/>
      <c r="E80" s="12" t="n"/>
      <c r="F80" s="12" t="n"/>
      <c r="G80" s="12" t="n"/>
      <c r="H80" s="12" t="n"/>
      <c r="I80" s="12" t="n"/>
      <c r="J80" s="12" t="n"/>
      <c r="K80" s="12" t="n"/>
      <c r="L80" s="12" t="n"/>
      <c r="M80" s="13" t="n"/>
      <c r="N80" s="12" t="n"/>
      <c r="O80" s="12" t="n"/>
      <c r="P80" s="12" t="n"/>
    </row>
    <row r="81">
      <c r="A81" s="11" t="inlineStr">
        <is>
          <t>RAW-2026-0077</t>
        </is>
      </c>
      <c r="B81" s="13" t="n"/>
      <c r="C81" s="16" t="n"/>
      <c r="D81" s="12" t="n"/>
      <c r="E81" s="12" t="n"/>
      <c r="F81" s="12" t="n"/>
      <c r="G81" s="12" t="n"/>
      <c r="H81" s="12" t="n"/>
      <c r="I81" s="12" t="n"/>
      <c r="J81" s="12" t="n"/>
      <c r="K81" s="12" t="n"/>
      <c r="L81" s="12" t="n"/>
      <c r="M81" s="13" t="n"/>
      <c r="N81" s="12" t="n"/>
      <c r="O81" s="12" t="n"/>
      <c r="P81" s="12" t="n"/>
    </row>
    <row r="82">
      <c r="A82" s="11" t="inlineStr">
        <is>
          <t>RAW-2026-0078</t>
        </is>
      </c>
      <c r="B82" s="13" t="n"/>
      <c r="C82" s="16" t="n"/>
      <c r="D82" s="12" t="n"/>
      <c r="E82" s="12" t="n"/>
      <c r="F82" s="12" t="n"/>
      <c r="G82" s="12" t="n"/>
      <c r="H82" s="12" t="n"/>
      <c r="I82" s="12" t="n"/>
      <c r="J82" s="12" t="n"/>
      <c r="K82" s="12" t="n"/>
      <c r="L82" s="12" t="n"/>
      <c r="M82" s="13" t="n"/>
      <c r="N82" s="12" t="n"/>
      <c r="O82" s="12" t="n"/>
      <c r="P82" s="12" t="n"/>
    </row>
    <row r="83">
      <c r="A83" s="11" t="inlineStr">
        <is>
          <t>RAW-2026-0079</t>
        </is>
      </c>
      <c r="B83" s="13" t="n"/>
      <c r="C83" s="16" t="n"/>
      <c r="D83" s="12" t="n"/>
      <c r="E83" s="12" t="n"/>
      <c r="F83" s="12" t="n"/>
      <c r="G83" s="12" t="n"/>
      <c r="H83" s="12" t="n"/>
      <c r="I83" s="12" t="n"/>
      <c r="J83" s="12" t="n"/>
      <c r="K83" s="12" t="n"/>
      <c r="L83" s="12" t="n"/>
      <c r="M83" s="13" t="n"/>
      <c r="N83" s="12" t="n"/>
      <c r="O83" s="12" t="n"/>
      <c r="P83" s="12" t="n"/>
    </row>
    <row r="84">
      <c r="A84" s="11" t="inlineStr">
        <is>
          <t>RAW-2026-0080</t>
        </is>
      </c>
      <c r="B84" s="13" t="n"/>
      <c r="C84" s="16" t="n"/>
      <c r="D84" s="12" t="n"/>
      <c r="E84" s="12" t="n"/>
      <c r="F84" s="12" t="n"/>
      <c r="G84" s="12" t="n"/>
      <c r="H84" s="12" t="n"/>
      <c r="I84" s="12" t="n"/>
      <c r="J84" s="12" t="n"/>
      <c r="K84" s="12" t="n"/>
      <c r="L84" s="12" t="n"/>
      <c r="M84" s="13" t="n"/>
      <c r="N84" s="12" t="n"/>
      <c r="O84" s="12" t="n"/>
      <c r="P84" s="12" t="n"/>
    </row>
    <row r="85">
      <c r="A85" s="11" t="inlineStr">
        <is>
          <t>RAW-2026-0081</t>
        </is>
      </c>
      <c r="B85" s="13" t="n"/>
      <c r="C85" s="16" t="n"/>
      <c r="D85" s="12" t="n"/>
      <c r="E85" s="12" t="n"/>
      <c r="F85" s="12" t="n"/>
      <c r="G85" s="12" t="n"/>
      <c r="H85" s="12" t="n"/>
      <c r="I85" s="12" t="n"/>
      <c r="J85" s="12" t="n"/>
      <c r="K85" s="12" t="n"/>
      <c r="L85" s="12" t="n"/>
      <c r="M85" s="13" t="n"/>
      <c r="N85" s="12" t="n"/>
      <c r="O85" s="12" t="n"/>
      <c r="P85" s="12" t="n"/>
    </row>
    <row r="86">
      <c r="A86" s="11" t="inlineStr">
        <is>
          <t>RAW-2026-0082</t>
        </is>
      </c>
      <c r="B86" s="13" t="n"/>
      <c r="C86" s="16" t="n"/>
      <c r="D86" s="12" t="n"/>
      <c r="E86" s="12" t="n"/>
      <c r="F86" s="12" t="n"/>
      <c r="G86" s="12" t="n"/>
      <c r="H86" s="12" t="n"/>
      <c r="I86" s="12" t="n"/>
      <c r="J86" s="12" t="n"/>
      <c r="K86" s="12" t="n"/>
      <c r="L86" s="12" t="n"/>
      <c r="M86" s="13" t="n"/>
      <c r="N86" s="12" t="n"/>
      <c r="O86" s="12" t="n"/>
      <c r="P86" s="12" t="n"/>
    </row>
    <row r="87">
      <c r="A87" s="11" t="inlineStr">
        <is>
          <t>RAW-2026-0083</t>
        </is>
      </c>
      <c r="B87" s="13" t="n"/>
      <c r="C87" s="16" t="n"/>
      <c r="D87" s="12" t="n"/>
      <c r="E87" s="12" t="n"/>
      <c r="F87" s="12" t="n"/>
      <c r="G87" s="12" t="n"/>
      <c r="H87" s="12" t="n"/>
      <c r="I87" s="12" t="n"/>
      <c r="J87" s="12" t="n"/>
      <c r="K87" s="12" t="n"/>
      <c r="L87" s="12" t="n"/>
      <c r="M87" s="13" t="n"/>
      <c r="N87" s="12" t="n"/>
      <c r="O87" s="12" t="n"/>
      <c r="P87" s="12" t="n"/>
    </row>
    <row r="88">
      <c r="A88" s="11" t="inlineStr">
        <is>
          <t>RAW-2026-0084</t>
        </is>
      </c>
      <c r="B88" s="13" t="n"/>
      <c r="C88" s="16" t="n"/>
      <c r="D88" s="12" t="n"/>
      <c r="E88" s="12" t="n"/>
      <c r="F88" s="12" t="n"/>
      <c r="G88" s="12" t="n"/>
      <c r="H88" s="12" t="n"/>
      <c r="I88" s="12" t="n"/>
      <c r="J88" s="12" t="n"/>
      <c r="K88" s="12" t="n"/>
      <c r="L88" s="12" t="n"/>
      <c r="M88" s="13" t="n"/>
      <c r="N88" s="12" t="n"/>
      <c r="O88" s="12" t="n"/>
      <c r="P88" s="12" t="n"/>
    </row>
    <row r="89">
      <c r="A89" s="11" t="inlineStr">
        <is>
          <t>RAW-2026-0085</t>
        </is>
      </c>
      <c r="B89" s="13" t="n"/>
      <c r="C89" s="16" t="n"/>
      <c r="D89" s="12" t="n"/>
      <c r="E89" s="12" t="n"/>
      <c r="F89" s="12" t="n"/>
      <c r="G89" s="12" t="n"/>
      <c r="H89" s="12" t="n"/>
      <c r="I89" s="12" t="n"/>
      <c r="J89" s="12" t="n"/>
      <c r="K89" s="12" t="n"/>
      <c r="L89" s="12" t="n"/>
      <c r="M89" s="13" t="n"/>
      <c r="N89" s="12" t="n"/>
      <c r="O89" s="12" t="n"/>
      <c r="P89" s="12" t="n"/>
    </row>
    <row r="90">
      <c r="A90" s="11" t="inlineStr">
        <is>
          <t>RAW-2026-0086</t>
        </is>
      </c>
      <c r="B90" s="13" t="n"/>
      <c r="C90" s="16" t="n"/>
      <c r="D90" s="12" t="n"/>
      <c r="E90" s="12" t="n"/>
      <c r="F90" s="12" t="n"/>
      <c r="G90" s="12" t="n"/>
      <c r="H90" s="12" t="n"/>
      <c r="I90" s="12" t="n"/>
      <c r="J90" s="12" t="n"/>
      <c r="K90" s="12" t="n"/>
      <c r="L90" s="12" t="n"/>
      <c r="M90" s="13" t="n"/>
      <c r="N90" s="12" t="n"/>
      <c r="O90" s="12" t="n"/>
      <c r="P90" s="12" t="n"/>
    </row>
    <row r="91">
      <c r="A91" s="11" t="inlineStr">
        <is>
          <t>RAW-2026-0087</t>
        </is>
      </c>
      <c r="B91" s="13" t="n"/>
      <c r="C91" s="16" t="n"/>
      <c r="D91" s="12" t="n"/>
      <c r="E91" s="12" t="n"/>
      <c r="F91" s="12" t="n"/>
      <c r="G91" s="12" t="n"/>
      <c r="H91" s="12" t="n"/>
      <c r="I91" s="12" t="n"/>
      <c r="J91" s="12" t="n"/>
      <c r="K91" s="12" t="n"/>
      <c r="L91" s="12" t="n"/>
      <c r="M91" s="13" t="n"/>
      <c r="N91" s="12" t="n"/>
      <c r="O91" s="12" t="n"/>
      <c r="P91" s="12" t="n"/>
    </row>
    <row r="92">
      <c r="A92" s="11" t="inlineStr">
        <is>
          <t>RAW-2026-0088</t>
        </is>
      </c>
      <c r="B92" s="13" t="n"/>
      <c r="C92" s="16" t="n"/>
      <c r="D92" s="12" t="n"/>
      <c r="E92" s="12" t="n"/>
      <c r="F92" s="12" t="n"/>
      <c r="G92" s="12" t="n"/>
      <c r="H92" s="12" t="n"/>
      <c r="I92" s="12" t="n"/>
      <c r="J92" s="12" t="n"/>
      <c r="K92" s="12" t="n"/>
      <c r="L92" s="12" t="n"/>
      <c r="M92" s="13" t="n"/>
      <c r="N92" s="12" t="n"/>
      <c r="O92" s="12" t="n"/>
      <c r="P92" s="12" t="n"/>
    </row>
    <row r="93">
      <c r="A93" s="11" t="inlineStr">
        <is>
          <t>RAW-2026-0089</t>
        </is>
      </c>
      <c r="B93" s="13" t="n"/>
      <c r="C93" s="16" t="n"/>
      <c r="D93" s="12" t="n"/>
      <c r="E93" s="12" t="n"/>
      <c r="F93" s="12" t="n"/>
      <c r="G93" s="12" t="n"/>
      <c r="H93" s="12" t="n"/>
      <c r="I93" s="12" t="n"/>
      <c r="J93" s="12" t="n"/>
      <c r="K93" s="12" t="n"/>
      <c r="L93" s="12" t="n"/>
      <c r="M93" s="13" t="n"/>
      <c r="N93" s="12" t="n"/>
      <c r="O93" s="12" t="n"/>
      <c r="P93" s="12" t="n"/>
    </row>
    <row r="94">
      <c r="A94" s="11" t="inlineStr">
        <is>
          <t>RAW-2026-0090</t>
        </is>
      </c>
      <c r="B94" s="13" t="n"/>
      <c r="C94" s="16" t="n"/>
      <c r="D94" s="12" t="n"/>
      <c r="E94" s="12" t="n"/>
      <c r="F94" s="12" t="n"/>
      <c r="G94" s="12" t="n"/>
      <c r="H94" s="12" t="n"/>
      <c r="I94" s="12" t="n"/>
      <c r="J94" s="12" t="n"/>
      <c r="K94" s="12" t="n"/>
      <c r="L94" s="12" t="n"/>
      <c r="M94" s="13" t="n"/>
      <c r="N94" s="12" t="n"/>
      <c r="O94" s="12" t="n"/>
      <c r="P94" s="12" t="n"/>
    </row>
    <row r="95">
      <c r="A95" s="11" t="inlineStr">
        <is>
          <t>RAW-2026-0091</t>
        </is>
      </c>
      <c r="B95" s="13" t="n"/>
      <c r="C95" s="16" t="n"/>
      <c r="D95" s="12" t="n"/>
      <c r="E95" s="12" t="n"/>
      <c r="F95" s="12" t="n"/>
      <c r="G95" s="12" t="n"/>
      <c r="H95" s="12" t="n"/>
      <c r="I95" s="12" t="n"/>
      <c r="J95" s="12" t="n"/>
      <c r="K95" s="12" t="n"/>
      <c r="L95" s="12" t="n"/>
      <c r="M95" s="13" t="n"/>
      <c r="N95" s="12" t="n"/>
      <c r="O95" s="12" t="n"/>
      <c r="P95" s="12" t="n"/>
    </row>
    <row r="96">
      <c r="A96" s="11" t="inlineStr">
        <is>
          <t>RAW-2026-0092</t>
        </is>
      </c>
      <c r="B96" s="13" t="n"/>
      <c r="C96" s="16" t="n"/>
      <c r="D96" s="12" t="n"/>
      <c r="E96" s="12" t="n"/>
      <c r="F96" s="12" t="n"/>
      <c r="G96" s="12" t="n"/>
      <c r="H96" s="12" t="n"/>
      <c r="I96" s="12" t="n"/>
      <c r="J96" s="12" t="n"/>
      <c r="K96" s="12" t="n"/>
      <c r="L96" s="12" t="n"/>
      <c r="M96" s="13" t="n"/>
      <c r="N96" s="12" t="n"/>
      <c r="O96" s="12" t="n"/>
      <c r="P96" s="12" t="n"/>
    </row>
    <row r="97">
      <c r="A97" s="11" t="inlineStr">
        <is>
          <t>RAW-2026-0093</t>
        </is>
      </c>
      <c r="B97" s="13" t="n"/>
      <c r="C97" s="16" t="n"/>
      <c r="D97" s="12" t="n"/>
      <c r="E97" s="12" t="n"/>
      <c r="F97" s="12" t="n"/>
      <c r="G97" s="12" t="n"/>
      <c r="H97" s="12" t="n"/>
      <c r="I97" s="12" t="n"/>
      <c r="J97" s="12" t="n"/>
      <c r="K97" s="12" t="n"/>
      <c r="L97" s="12" t="n"/>
      <c r="M97" s="13" t="n"/>
      <c r="N97" s="12" t="n"/>
      <c r="O97" s="12" t="n"/>
      <c r="P97" s="12" t="n"/>
    </row>
    <row r="98">
      <c r="A98" s="11" t="inlineStr">
        <is>
          <t>RAW-2026-0094</t>
        </is>
      </c>
      <c r="B98" s="13" t="n"/>
      <c r="C98" s="16" t="n"/>
      <c r="D98" s="12" t="n"/>
      <c r="E98" s="12" t="n"/>
      <c r="F98" s="12" t="n"/>
      <c r="G98" s="12" t="n"/>
      <c r="H98" s="12" t="n"/>
      <c r="I98" s="12" t="n"/>
      <c r="J98" s="12" t="n"/>
      <c r="K98" s="12" t="n"/>
      <c r="L98" s="12" t="n"/>
      <c r="M98" s="13" t="n"/>
      <c r="N98" s="12" t="n"/>
      <c r="O98" s="12" t="n"/>
      <c r="P98" s="12" t="n"/>
    </row>
    <row r="99">
      <c r="A99" s="11" t="inlineStr">
        <is>
          <t>RAW-2026-0095</t>
        </is>
      </c>
      <c r="B99" s="13" t="n"/>
      <c r="C99" s="16" t="n"/>
      <c r="D99" s="12" t="n"/>
      <c r="E99" s="12" t="n"/>
      <c r="F99" s="12" t="n"/>
      <c r="G99" s="12" t="n"/>
      <c r="H99" s="12" t="n"/>
      <c r="I99" s="12" t="n"/>
      <c r="J99" s="12" t="n"/>
      <c r="K99" s="12" t="n"/>
      <c r="L99" s="12" t="n"/>
      <c r="M99" s="13" t="n"/>
      <c r="N99" s="12" t="n"/>
      <c r="O99" s="12" t="n"/>
      <c r="P99" s="12" t="n"/>
    </row>
    <row r="100">
      <c r="A100" s="11" t="inlineStr">
        <is>
          <t>RAW-2026-0096</t>
        </is>
      </c>
      <c r="B100" s="13" t="n"/>
      <c r="C100" s="16" t="n"/>
      <c r="D100" s="12" t="n"/>
      <c r="E100" s="12" t="n"/>
      <c r="F100" s="12" t="n"/>
      <c r="G100" s="12" t="n"/>
      <c r="H100" s="12" t="n"/>
      <c r="I100" s="12" t="n"/>
      <c r="J100" s="12" t="n"/>
      <c r="K100" s="12" t="n"/>
      <c r="L100" s="12" t="n"/>
      <c r="M100" s="13" t="n"/>
      <c r="N100" s="12" t="n"/>
      <c r="O100" s="12" t="n"/>
      <c r="P100" s="12" t="n"/>
    </row>
    <row r="101">
      <c r="A101" s="11" t="inlineStr">
        <is>
          <t>RAW-2026-0097</t>
        </is>
      </c>
      <c r="B101" s="13" t="n"/>
      <c r="C101" s="16" t="n"/>
      <c r="D101" s="12" t="n"/>
      <c r="E101" s="12" t="n"/>
      <c r="F101" s="12" t="n"/>
      <c r="G101" s="12" t="n"/>
      <c r="H101" s="12" t="n"/>
      <c r="I101" s="12" t="n"/>
      <c r="J101" s="12" t="n"/>
      <c r="K101" s="12" t="n"/>
      <c r="L101" s="12" t="n"/>
      <c r="M101" s="13" t="n"/>
      <c r="N101" s="12" t="n"/>
      <c r="O101" s="12" t="n"/>
      <c r="P101" s="12" t="n"/>
    </row>
    <row r="102">
      <c r="A102" s="11" t="inlineStr">
        <is>
          <t>RAW-2026-0098</t>
        </is>
      </c>
      <c r="B102" s="13" t="n"/>
      <c r="C102" s="16" t="n"/>
      <c r="D102" s="12" t="n"/>
      <c r="E102" s="12" t="n"/>
      <c r="F102" s="12" t="n"/>
      <c r="G102" s="12" t="n"/>
      <c r="H102" s="12" t="n"/>
      <c r="I102" s="12" t="n"/>
      <c r="J102" s="12" t="n"/>
      <c r="K102" s="12" t="n"/>
      <c r="L102" s="12" t="n"/>
      <c r="M102" s="13" t="n"/>
      <c r="N102" s="12" t="n"/>
      <c r="O102" s="12" t="n"/>
      <c r="P102" s="12" t="n"/>
    </row>
    <row r="103">
      <c r="A103" s="11" t="inlineStr">
        <is>
          <t>RAW-2026-0099</t>
        </is>
      </c>
      <c r="B103" s="13" t="n"/>
      <c r="C103" s="16" t="n"/>
      <c r="D103" s="12" t="n"/>
      <c r="E103" s="12" t="n"/>
      <c r="F103" s="12" t="n"/>
      <c r="G103" s="12" t="n"/>
      <c r="H103" s="12" t="n"/>
      <c r="I103" s="12" t="n"/>
      <c r="J103" s="12" t="n"/>
      <c r="K103" s="12" t="n"/>
      <c r="L103" s="12" t="n"/>
      <c r="M103" s="13" t="n"/>
      <c r="N103" s="12" t="n"/>
      <c r="O103" s="12" t="n"/>
      <c r="P103" s="12" t="n"/>
    </row>
    <row r="104">
      <c r="A104" s="11" t="inlineStr">
        <is>
          <t>RAW-2026-0100</t>
        </is>
      </c>
      <c r="B104" s="13" t="n"/>
      <c r="C104" s="16" t="n"/>
      <c r="D104" s="12" t="n"/>
      <c r="E104" s="12" t="n"/>
      <c r="F104" s="12" t="n"/>
      <c r="G104" s="12" t="n"/>
      <c r="H104" s="12" t="n"/>
      <c r="I104" s="12" t="n"/>
      <c r="J104" s="12" t="n"/>
      <c r="K104" s="12" t="n"/>
      <c r="L104" s="12" t="n"/>
      <c r="M104" s="13" t="n"/>
      <c r="N104" s="12" t="n"/>
      <c r="O104" s="12" t="n"/>
      <c r="P104" s="12" t="n"/>
    </row>
    <row r="106">
      <c r="A106" s="14" t="inlineStr">
        <is>
          <t>RAW INTELLIGENCE LOG SUMMARY</t>
        </is>
      </c>
    </row>
    <row r="107">
      <c r="A107" s="5" t="inlineStr">
        <is>
          <t>Total Raw Intel Logged:</t>
        </is>
      </c>
      <c r="B107" s="5">
        <f>COUNTA(A5:A104)</f>
        <v/>
      </c>
    </row>
    <row r="108">
      <c r="A108" s="5" t="inlineStr">
        <is>
          <t>Critical Priority:</t>
        </is>
      </c>
      <c r="B108" s="5">
        <f>COUNTIF(H5:H104,"*Critical*")</f>
        <v/>
      </c>
    </row>
    <row r="109">
      <c r="A109" s="5" t="inlineStr">
        <is>
          <t>High Priority:</t>
        </is>
      </c>
      <c r="B109" s="5">
        <f>COUNTIF(H5:H104,"*High*")</f>
        <v/>
      </c>
    </row>
    <row r="110">
      <c r="A110" s="5" t="inlineStr">
        <is>
          <t>Pending Processing:</t>
        </is>
      </c>
      <c r="B110" s="5">
        <f>COUNTIF(L5:L104,"Draft")</f>
        <v/>
      </c>
    </row>
    <row r="111">
      <c r="A111" s="5" t="inlineStr">
        <is>
          <t>Processed:</t>
        </is>
      </c>
      <c r="B111" s="5">
        <f>COUNTIF(L5:L104,"Published")</f>
        <v/>
      </c>
    </row>
    <row r="112">
      <c r="A112" s="5" t="inlineStr">
        <is>
          <t>TLP:RED Items:</t>
        </is>
      </c>
      <c r="B112" s="5">
        <f>COUNTIF(G5:G104,"TLP:RED")</f>
        <v/>
      </c>
    </row>
  </sheetData>
  <mergeCells count="3">
    <mergeCell ref="A1:P1"/>
    <mergeCell ref="A106:D106"/>
    <mergeCell ref="A2:P2"/>
  </mergeCells>
  <conditionalFormatting sqref="H5:H104">
    <cfRule type="cellIs" priority="1" operator="containsText" dxfId="0">
      <formula>"Critical"</formula>
    </cfRule>
    <cfRule type="cellIs" priority="2" operator="containsText" dxfId="1">
      <formula>"High"</formula>
    </cfRule>
  </conditionalFormatting>
  <dataValidations count="31">
    <dataValidation sqref="B5 B6 B7 B8 B9 B10 B11 B12 B13 B14 B15 B16 B17 B18 B19 B20 B21 B22 B23 B24 B25 B26 B27 B28 B29 B30 B31 B32 B33 B34 B35 B36 B37 B38 B39 B40 B41 B42 B43 B44 B45 B46 B47 B48 B49 B50 B51 B52 B53 B5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showDropDown="0" showInputMessage="0" showErrorMessage="0" allowBlank="0" type="list">
      <formula1>"Strategic,Tactical,Operational,Technical"</formula1>
    </dataValidation>
    <dataValidation sqref="D5 D6 D7 D8 D9 D10 D11 D12 D13 D14 D15 D16 D17 D18 D19 D20 D21 D22 D23 D24 D25 D26 D27 D28 D29 D30 D31 D32 D33 D34 D35 D36 D37 D38 D39 D40 D41 D42 D43 D44 D45 D46 D47 D48 D49 D50 D51 D52 D53 D54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 Critical,🟡 High,🟢 Medium,⚫ Low"</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0" type="list">
      <formula1>"Automated_Feed,Manual_Research,OSINT,Partnership,Internal_Telemetry"</formula1>
    </dataValidation>
    <dataValidation sqref="E5 E6 E7 E8 E9 E10 E11 E12 E13 E14 E15 E16 E17 E18 E19 E20 E21 E22 E23 E24 E25 E26 E27 E28 E29 E30 E31 E32 E33 E34 E35 E36 E37 E38 E39 E40 E41 E42 E43 E44 E45 E46 E47 E48 E49 E50 E51 E52 E53 E54 M5 M6 M7 M8 M9 M10 M11 M12 M13 M14 M15 M16 M17 M18 M19 M20 M21 M22 M23 M24 M25 M26 M27 M28 M29 M30 M31 M32 M33 M34 M35 M36 M37 M38 M39 M40 M41 M42 M43 M44 M45 M46 M47 M48 M49 M50 M51 M52 M53 M54" showDropDown="0" showInputMessage="0" showErrorMessage="0" allowBlank="0" type="list">
      <formula1>"Real-time,Hourly,Daily,Weekly,On_Demand"</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"Fully_Implemented,Partially_Implemented,Planned,Not_Used"</formula1>
    </dataValidation>
    <dataValidation sqref="N5 N6 N7 N8 N9 N10 N11 N12 N13 N14 N15 N16 N17 N18 N19 N20 N21 N22 N23 N24 N25 N26 N27 N28 N29 N30 N31 N32 N33 N34 N35 N36 N37 N38 N39 N40 N41 N42 N43 N44 N45 N46 N47 N48 N49 N50 N51 N52 N53 N54" showDropDown="0" showInputMessage="0" showErrorMessage="0" allowBlank="1" type="list">
      <formula1>"Excellent,Good,Fair,Poor"</formula1>
    </dataValidation>
    <dataValidation sqref="B5 B6 B7 B8 B9 B10 B11 B12 B13 B14 B15 B16 B17 B18 B19 B20 B21 B22 B23 B24 B25 B26 B27 B28 B29 B30 B31 B32 B33 B34 B35 B36 B37 B38 B39 B40 B41 B42 B43 B44 B45 B46 B47 B48 B49 B50 B51 B52 B53 B54 B55 B56 B57 B58 B59 B60 B61 B62 B63 B64" showDropDown="0" showInputMessage="0" showErrorMessage="0" allowBlank="0" type="list">
      <formula1>"Strategic_Report,Tactical_Brief,Operational_Alert,Technical_Analysis,IOC_Package,Threat_Profile"</formula1>
    </dataValidation>
    <dataValidation sqref="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N5 N6 N7 N8 N9 N10 N11 N12 N13 N14 N15 N16 N17 N18 N19 N20 N21 N22 N23 N24 N25 N26 N27 N28 N29 N30 N31 N32 N33 N34 N35 N36 N37 N38 N39 N40 N41 N42 N43 N44 N45 N46 N47 N48 N49 N50 N51 N52 N53 N54 N55 N56 N57 N58 N59 N60 N61 N62 N63 N64" showDropDown="0" showInputMessage="0" showErrorMessage="0" allowBlank="0" type="list">
      <formula1>"Draft,Review,Published,Archived"</formula1>
    </dataValidation>
    <dataValidation sqref="E5 E6 E7 E8 E9 E10 E11 E12 E13 E14 E15 E16 E17 E18 E19 E20 E21 E22 E23 E24 E25 E26 E27 E28 E29 E30 E31 E32 E33 E34 E35 E36 E37 E38 E39 E40 E41 E42 E43 E44 E45 E46 E47 E48 E49 E50 E51 E52 E53 E54 H5 H6 H7 H8 H9 H10 H11 H12 H13 H14 H15 H16 H17 H18 H19 H20 H21 H22 H23 H24 H25 H26 H27 H28 H29 H30 H31 H32 H33 H34 H35 H36 H37 H38 H39 H40 H41 H42 H43 H44 H45 H46 H47 H48 H49 H50 H51 H52 H53 H54 H55 H56 H57 H58 H59 H60 H61 H62 H63 H6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"High,Medium,Low,Unconfirmed"</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"TLP:CLEAR,TLP:GREEN,TLP:AMBER,TLP:AMBER+STRICT,TLP:RED"</formula1>
    </dataValidation>
    <dataValidation sqref="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showDropDown="0" showInputMessage="0" showErrorMessage="0" allowBlank="0" type="list">
      <formula1>"Full,Partial,Limited,None"</formula1>
    </dataValidation>
    <dataValidation sqref="D5 D6 D7 D8 D9 D10 D11 D12 D13 D14 D15 D16 D17 D18 D19 D20 D21 D22 D23 D24 D25 D26 D27 D28 D29 D30 D31 D32 D33 D34 D35 D36 D37 D38 D39 D40 D41 D42 D43 D44 D45 D46 D47 D48 D49 D50 D51 D52 D53 D5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1" type="list">
      <formula1>"Nation-State,Criminal_Syndicate,Hacktivist,Insider_Threat,Script_Kiddie,Unknown"</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"Not_Exploited,PoC_Exists,Active_Exploitation,Widespread"</formula1>
    </dataValidation>
    <dataValidation sqref="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showDropDown="0" showInputMessage="0" showErrorMessage="0" allowBlank="0" type="list">
      <formula1>"Critical,High,Medium,Low,Info"</formula1>
    </dataValidation>
    <dataValidation sqref="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showDropDown="0" showInputMessage="0" showErrorMessage="0" allowBlank="0" type="list">
      <formula1>"Open,In_Progress,Patched,Mitigated,Risk_Accepted,Verified"</formula1>
    </dataValidation>
    <dataValidation sqref="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M5 M6 M7 M8 M9 M10 M11 M12 M13 M14 M15 M16 M17 M18 M19 M20 M21 M22 M23 M24 M25 M26 M27 M28 M29 M30 M31 M32 M33 M34 M35 M36 M37 M38 M39 M40 M41 M42 M43 M44 M45 M46 M47 M48 M49 M50 M51 M52 M53 M5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T103 T104" showDropDown="0" showInputMessage="0" showErrorMessage="0" allowBlank="0" type="list">
      <formula1>"Yes,No"</formula1>
    </dataValidation>
    <dataValidation sqref="B5 B6 B7 B8 B9 B10 B11 B12 B13 B14 C5 C6 C7 C8 C9 C10 C11 C12 C13 C14" showDropDown="0" showInputMessage="0" showErrorMessage="0" allowBlank="0" type="list">
      <formula1>"1 - Initial,2 - Managed,3 - Defined,4 - Quantitatively Managed,5 - Optimizing"</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"Open,In_Progress,Blocked,Resolved,Closed"</formula1>
    </dataValidation>
    <dataValidation sqref="C5 C6 C7 C8 C9 C10 C11 C12 C13 C14 C15 C16 C17 C18 C19 C20 C21 C22 C23 C24 C25 C26 C27 C28 C29 C30 C31 C32 C33 C34 C35 C36 C37 C38 C39 C40 C41 C42 C43 C44 C45 C46 C47 C48 C49 C50 C51 C52 C53 C54" showDropDown="0" showInputMessage="0" showErrorMessage="0" allowBlank="1" type="list">
      <formula1>"TIP,SIEM,Malware_Analysis,OSINT,Collaboration,Visualization,Scripting,Other"</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1" type="list">
      <formula1>"Commercial,Open_Source,Freeware,Internal_Developed"</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1" type="list">
      <formula1>"Yes,No,N/A"</formula1>
    </dataValidation>
    <dataValidation sqref="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showDropDown="0" showInputMessage="0" showErrorMessage="0" allowBlank="1" type="list">
      <formula1>"Yes,No,Unknown"</formula1>
    </dataValidation>
    <dataValidation sqref="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showDropDown="0" showInputMessage="0" showErrorMessage="0" allowBlank="1" type="list">
      <formula1>"Confirmed,Suspected,No,Unknown"</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1" type="list">
      <formula1>"Espionage,Financial,Disruption,Ideology,Unknown"</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1" type="list">
      <formula1>"Advanced,Moderate,Low"</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1" type="list">
      <formula1>"Active,Concluded,Dormant,Unknown"</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1" type="list">
      <formula1>"Espionage,Data_Theft,Disruption,Ransomware,Credential_Harvesting,Other"</formula1>
    </dataValidation>
    <dataValidation sqref="U5 U6 U7 U8 U9 U10 U11 U12 U13 U14 U15 U16 U17 U18 U19 U20 U21 U22 U23 U24 U25 U26 U27 U28 U29 U30 U31 U32 U33 U34 U35 U36 U37 U38 U39 U40 U41 U42 U43 U44 U45 U46 U47 U48 U49 U50 U51 U52 U53 U54" showDropDown="0" showInputMessage="0" showErrorMessage="0" allowBlank="1" type="list">
      <formula1>"🔴 Critical,🟡 High,🟢 Medium,⚫ Low"</formula1>
    </dataValidation>
    <dataValidation sqref="V5 V6 V7 V8 V9 V10 V11 V12 V13 V14 V15 V16 V17 V18 V19 V20 V21 V22 V23 V24 V25 V26 V27 V28 V29 V30 V31 V32 V33 V34 V35 V36 V37 V38 V39 V40 V41 V42 V43 V44 V45 V46 V47 V48 V49 V50 V51 V52 V53 V54" showDropDown="0" showInputMessage="0" showErrorMessage="0" allowBlank="1" type="list">
      <formula1>"Active_Monitoring,Passive_Monitoring,Concluded"</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1" type="list">
      <formula1>"4.0,3.1"</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1" type="list">
      <formula1>"Integrated,Standalone,Planned,Deprecated"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71"/>
  <sheetViews>
    <sheetView workbookViewId="0">
      <pane ySplit="4" topLeftCell="A5" activePane="bottomLeft" state="frozen"/>
      <selection pane="bottomLeft" activeCell="A1" sqref="A1"/>
    </sheetView>
  </sheetViews>
  <sheetFormatPr baseColWidth="8" defaultRowHeight="15"/>
  <cols>
    <col width="15" customWidth="1" min="1" max="1"/>
    <col width="25" customWidth="1" min="2" max="2"/>
    <col width="45" customWidth="1" min="3" max="3"/>
    <col width="25" customWidth="1" min="4" max="4"/>
    <col width="25" customWidth="1" min="5" max="5"/>
    <col width="15" customWidth="1" min="6" max="6"/>
    <col width="18" customWidth="1" min="7" max="7"/>
    <col width="16" customWidth="1" min="8" max="8"/>
    <col width="25" customWidth="1" min="9" max="9"/>
    <col width="22" customWidth="1" min="10" max="10"/>
    <col width="18" customWidth="1" min="11" max="11"/>
    <col width="18" customWidth="1" min="12" max="12"/>
    <col width="20" customWidth="1" min="13" max="13"/>
    <col width="15" customWidth="1" min="14" max="14"/>
    <col width="30" customWidth="1" min="15" max="15"/>
  </cols>
  <sheetData>
    <row r="1" ht="25" customHeight="1">
      <c r="A1" s="1" t="inlineStr">
        <is>
          <t>Intelligence Production Tracking</t>
        </is>
      </c>
    </row>
    <row r="2" ht="30" customHeight="1">
      <c r="A2" s="9" t="inlineStr">
        <is>
          <t>Track all intelligence products (reports, briefings, alerts, IOC packages). Measure quality and stakeholder feedback.</t>
        </is>
      </c>
    </row>
    <row r="4" ht="30" customHeight="1">
      <c r="A4" s="10" t="inlineStr">
        <is>
          <t>Product ID</t>
        </is>
      </c>
      <c r="B4" s="10" t="inlineStr">
        <is>
          <t>Product Type</t>
        </is>
      </c>
      <c r="C4" s="10" t="inlineStr">
        <is>
          <t>Product Title</t>
        </is>
      </c>
      <c r="D4" s="10" t="inlineStr">
        <is>
          <t>Primary Author</t>
        </is>
      </c>
      <c r="E4" s="10" t="inlineStr">
        <is>
          <t>Contributors</t>
        </is>
      </c>
      <c r="F4" s="10" t="inlineStr">
        <is>
          <t>Publication Date</t>
        </is>
      </c>
      <c r="G4" s="10" t="inlineStr">
        <is>
          <t>TLP Classification</t>
        </is>
      </c>
      <c r="H4" s="10" t="inlineStr">
        <is>
          <t>Confidence Level</t>
        </is>
      </c>
      <c r="I4" s="10" t="inlineStr">
        <is>
          <t>Target Audience</t>
        </is>
      </c>
      <c r="J4" s="10" t="inlineStr">
        <is>
          <t>Stakeholder Feedback Rating</t>
        </is>
      </c>
      <c r="K4" s="10" t="inlineStr">
        <is>
          <t>Consumption Rate</t>
        </is>
      </c>
      <c r="L4" s="10" t="inlineStr">
        <is>
          <t>Actionability Score</t>
        </is>
      </c>
      <c r="M4" s="10" t="inlineStr">
        <is>
          <t>Time to Produce Hours</t>
        </is>
      </c>
      <c r="N4" s="10" t="inlineStr">
        <is>
          <t>Status</t>
        </is>
      </c>
      <c r="O4" s="10" t="inlineStr">
        <is>
          <t>Notes</t>
        </is>
      </c>
    </row>
    <row r="5">
      <c r="A5" s="11" t="inlineStr">
        <is>
          <t>PROD-2025-001</t>
        </is>
      </c>
      <c r="B5" s="12" t="n"/>
      <c r="C5" s="12" t="n"/>
      <c r="D5" s="12" t="n"/>
      <c r="E5" s="12" t="n"/>
      <c r="F5" s="13" t="n"/>
      <c r="G5" s="12" t="n"/>
      <c r="H5" s="12" t="n"/>
      <c r="I5" s="12" t="n"/>
      <c r="J5" s="17" t="n"/>
      <c r="K5" s="18" t="n"/>
      <c r="L5" s="17" t="n"/>
      <c r="M5" s="19" t="n"/>
      <c r="N5" s="12" t="n"/>
      <c r="O5" s="12" t="n"/>
    </row>
    <row r="6">
      <c r="A6" s="11" t="inlineStr">
        <is>
          <t>PROD-2025-002</t>
        </is>
      </c>
      <c r="B6" s="12" t="n"/>
      <c r="C6" s="12" t="n"/>
      <c r="D6" s="12" t="n"/>
      <c r="E6" s="12" t="n"/>
      <c r="F6" s="13" t="n"/>
      <c r="G6" s="12" t="n"/>
      <c r="H6" s="12" t="n"/>
      <c r="I6" s="12" t="n"/>
      <c r="J6" s="17" t="n"/>
      <c r="K6" s="18" t="n"/>
      <c r="L6" s="17" t="n"/>
      <c r="M6" s="19" t="n"/>
      <c r="N6" s="12" t="n"/>
      <c r="O6" s="12" t="n"/>
    </row>
    <row r="7">
      <c r="A7" s="11" t="inlineStr">
        <is>
          <t>PROD-2025-003</t>
        </is>
      </c>
      <c r="B7" s="12" t="n"/>
      <c r="C7" s="12" t="n"/>
      <c r="D7" s="12" t="n"/>
      <c r="E7" s="12" t="n"/>
      <c r="F7" s="13" t="n"/>
      <c r="G7" s="12" t="n"/>
      <c r="H7" s="12" t="n"/>
      <c r="I7" s="12" t="n"/>
      <c r="J7" s="17" t="n"/>
      <c r="K7" s="18" t="n"/>
      <c r="L7" s="17" t="n"/>
      <c r="M7" s="19" t="n"/>
      <c r="N7" s="12" t="n"/>
      <c r="O7" s="12" t="n"/>
    </row>
    <row r="8">
      <c r="A8" s="11" t="inlineStr">
        <is>
          <t>PROD-2025-004</t>
        </is>
      </c>
      <c r="B8" s="12" t="n"/>
      <c r="C8" s="12" t="n"/>
      <c r="D8" s="12" t="n"/>
      <c r="E8" s="12" t="n"/>
      <c r="F8" s="13" t="n"/>
      <c r="G8" s="12" t="n"/>
      <c r="H8" s="12" t="n"/>
      <c r="I8" s="12" t="n"/>
      <c r="J8" s="17" t="n"/>
      <c r="K8" s="18" t="n"/>
      <c r="L8" s="17" t="n"/>
      <c r="M8" s="19" t="n"/>
      <c r="N8" s="12" t="n"/>
      <c r="O8" s="12" t="n"/>
    </row>
    <row r="9">
      <c r="A9" s="11" t="inlineStr">
        <is>
          <t>PROD-2025-005</t>
        </is>
      </c>
      <c r="B9" s="12" t="n"/>
      <c r="C9" s="12" t="n"/>
      <c r="D9" s="12" t="n"/>
      <c r="E9" s="12" t="n"/>
      <c r="F9" s="13" t="n"/>
      <c r="G9" s="12" t="n"/>
      <c r="H9" s="12" t="n"/>
      <c r="I9" s="12" t="n"/>
      <c r="J9" s="17" t="n"/>
      <c r="K9" s="18" t="n"/>
      <c r="L9" s="17" t="n"/>
      <c r="M9" s="19" t="n"/>
      <c r="N9" s="12" t="n"/>
      <c r="O9" s="12" t="n"/>
    </row>
    <row r="10">
      <c r="A10" s="11" t="inlineStr">
        <is>
          <t>PROD-2025-006</t>
        </is>
      </c>
      <c r="B10" s="12" t="n"/>
      <c r="C10" s="12" t="n"/>
      <c r="D10" s="12" t="n"/>
      <c r="E10" s="12" t="n"/>
      <c r="F10" s="13" t="n"/>
      <c r="G10" s="12" t="n"/>
      <c r="H10" s="12" t="n"/>
      <c r="I10" s="12" t="n"/>
      <c r="J10" s="17" t="n"/>
      <c r="K10" s="18" t="n"/>
      <c r="L10" s="17" t="n"/>
      <c r="M10" s="19" t="n"/>
      <c r="N10" s="12" t="n"/>
      <c r="O10" s="12" t="n"/>
    </row>
    <row r="11">
      <c r="A11" s="11" t="inlineStr">
        <is>
          <t>PROD-2025-007</t>
        </is>
      </c>
      <c r="B11" s="12" t="n"/>
      <c r="C11" s="12" t="n"/>
      <c r="D11" s="12" t="n"/>
      <c r="E11" s="12" t="n"/>
      <c r="F11" s="13" t="n"/>
      <c r="G11" s="12" t="n"/>
      <c r="H11" s="12" t="n"/>
      <c r="I11" s="12" t="n"/>
      <c r="J11" s="17" t="n"/>
      <c r="K11" s="18" t="n"/>
      <c r="L11" s="17" t="n"/>
      <c r="M11" s="19" t="n"/>
      <c r="N11" s="12" t="n"/>
      <c r="O11" s="12" t="n"/>
    </row>
    <row r="12">
      <c r="A12" s="11" t="inlineStr">
        <is>
          <t>PROD-2025-008</t>
        </is>
      </c>
      <c r="B12" s="12" t="n"/>
      <c r="C12" s="12" t="n"/>
      <c r="D12" s="12" t="n"/>
      <c r="E12" s="12" t="n"/>
      <c r="F12" s="13" t="n"/>
      <c r="G12" s="12" t="n"/>
      <c r="H12" s="12" t="n"/>
      <c r="I12" s="12" t="n"/>
      <c r="J12" s="17" t="n"/>
      <c r="K12" s="18" t="n"/>
      <c r="L12" s="17" t="n"/>
      <c r="M12" s="19" t="n"/>
      <c r="N12" s="12" t="n"/>
      <c r="O12" s="12" t="n"/>
    </row>
    <row r="13">
      <c r="A13" s="11" t="inlineStr">
        <is>
          <t>PROD-2025-009</t>
        </is>
      </c>
      <c r="B13" s="12" t="n"/>
      <c r="C13" s="12" t="n"/>
      <c r="D13" s="12" t="n"/>
      <c r="E13" s="12" t="n"/>
      <c r="F13" s="13" t="n"/>
      <c r="G13" s="12" t="n"/>
      <c r="H13" s="12" t="n"/>
      <c r="I13" s="12" t="n"/>
      <c r="J13" s="17" t="n"/>
      <c r="K13" s="18" t="n"/>
      <c r="L13" s="17" t="n"/>
      <c r="M13" s="19" t="n"/>
      <c r="N13" s="12" t="n"/>
      <c r="O13" s="12" t="n"/>
    </row>
    <row r="14">
      <c r="A14" s="11" t="inlineStr">
        <is>
          <t>PROD-2025-010</t>
        </is>
      </c>
      <c r="B14" s="12" t="n"/>
      <c r="C14" s="12" t="n"/>
      <c r="D14" s="12" t="n"/>
      <c r="E14" s="12" t="n"/>
      <c r="F14" s="13" t="n"/>
      <c r="G14" s="12" t="n"/>
      <c r="H14" s="12" t="n"/>
      <c r="I14" s="12" t="n"/>
      <c r="J14" s="17" t="n"/>
      <c r="K14" s="18" t="n"/>
      <c r="L14" s="17" t="n"/>
      <c r="M14" s="19" t="n"/>
      <c r="N14" s="12" t="n"/>
      <c r="O14" s="12" t="n"/>
    </row>
    <row r="15">
      <c r="A15" s="11" t="inlineStr">
        <is>
          <t>PROD-2025-011</t>
        </is>
      </c>
      <c r="B15" s="12" t="n"/>
      <c r="C15" s="12" t="n"/>
      <c r="D15" s="12" t="n"/>
      <c r="E15" s="12" t="n"/>
      <c r="F15" s="13" t="n"/>
      <c r="G15" s="12" t="n"/>
      <c r="H15" s="12" t="n"/>
      <c r="I15" s="12" t="n"/>
      <c r="J15" s="17" t="n"/>
      <c r="K15" s="18" t="n"/>
      <c r="L15" s="17" t="n"/>
      <c r="M15" s="19" t="n"/>
      <c r="N15" s="12" t="n"/>
      <c r="O15" s="12" t="n"/>
    </row>
    <row r="16">
      <c r="A16" s="11" t="inlineStr">
        <is>
          <t>PROD-2025-012</t>
        </is>
      </c>
      <c r="B16" s="12" t="n"/>
      <c r="C16" s="12" t="n"/>
      <c r="D16" s="12" t="n"/>
      <c r="E16" s="12" t="n"/>
      <c r="F16" s="13" t="n"/>
      <c r="G16" s="12" t="n"/>
      <c r="H16" s="12" t="n"/>
      <c r="I16" s="12" t="n"/>
      <c r="J16" s="17" t="n"/>
      <c r="K16" s="18" t="n"/>
      <c r="L16" s="17" t="n"/>
      <c r="M16" s="19" t="n"/>
      <c r="N16" s="12" t="n"/>
      <c r="O16" s="12" t="n"/>
    </row>
    <row r="17">
      <c r="A17" s="11" t="inlineStr">
        <is>
          <t>PROD-2025-013</t>
        </is>
      </c>
      <c r="B17" s="12" t="n"/>
      <c r="C17" s="12" t="n"/>
      <c r="D17" s="12" t="n"/>
      <c r="E17" s="12" t="n"/>
      <c r="F17" s="13" t="n"/>
      <c r="G17" s="12" t="n"/>
      <c r="H17" s="12" t="n"/>
      <c r="I17" s="12" t="n"/>
      <c r="J17" s="17" t="n"/>
      <c r="K17" s="18" t="n"/>
      <c r="L17" s="17" t="n"/>
      <c r="M17" s="19" t="n"/>
      <c r="N17" s="12" t="n"/>
      <c r="O17" s="12" t="n"/>
    </row>
    <row r="18">
      <c r="A18" s="11" t="inlineStr">
        <is>
          <t>PROD-2025-014</t>
        </is>
      </c>
      <c r="B18" s="12" t="n"/>
      <c r="C18" s="12" t="n"/>
      <c r="D18" s="12" t="n"/>
      <c r="E18" s="12" t="n"/>
      <c r="F18" s="13" t="n"/>
      <c r="G18" s="12" t="n"/>
      <c r="H18" s="12" t="n"/>
      <c r="I18" s="12" t="n"/>
      <c r="J18" s="17" t="n"/>
      <c r="K18" s="18" t="n"/>
      <c r="L18" s="17" t="n"/>
      <c r="M18" s="19" t="n"/>
      <c r="N18" s="12" t="n"/>
      <c r="O18" s="12" t="n"/>
    </row>
    <row r="19">
      <c r="A19" s="11" t="inlineStr">
        <is>
          <t>PROD-2025-015</t>
        </is>
      </c>
      <c r="B19" s="12" t="n"/>
      <c r="C19" s="12" t="n"/>
      <c r="D19" s="12" t="n"/>
      <c r="E19" s="12" t="n"/>
      <c r="F19" s="13" t="n"/>
      <c r="G19" s="12" t="n"/>
      <c r="H19" s="12" t="n"/>
      <c r="I19" s="12" t="n"/>
      <c r="J19" s="17" t="n"/>
      <c r="K19" s="18" t="n"/>
      <c r="L19" s="17" t="n"/>
      <c r="M19" s="19" t="n"/>
      <c r="N19" s="12" t="n"/>
      <c r="O19" s="12" t="n"/>
    </row>
    <row r="20">
      <c r="A20" s="11" t="inlineStr">
        <is>
          <t>PROD-2025-016</t>
        </is>
      </c>
      <c r="B20" s="12" t="n"/>
      <c r="C20" s="12" t="n"/>
      <c r="D20" s="12" t="n"/>
      <c r="E20" s="12" t="n"/>
      <c r="F20" s="13" t="n"/>
      <c r="G20" s="12" t="n"/>
      <c r="H20" s="12" t="n"/>
      <c r="I20" s="12" t="n"/>
      <c r="J20" s="17" t="n"/>
      <c r="K20" s="18" t="n"/>
      <c r="L20" s="17" t="n"/>
      <c r="M20" s="19" t="n"/>
      <c r="N20" s="12" t="n"/>
      <c r="O20" s="12" t="n"/>
    </row>
    <row r="21">
      <c r="A21" s="11" t="inlineStr">
        <is>
          <t>PROD-2025-017</t>
        </is>
      </c>
      <c r="B21" s="12" t="n"/>
      <c r="C21" s="12" t="n"/>
      <c r="D21" s="12" t="n"/>
      <c r="E21" s="12" t="n"/>
      <c r="F21" s="13" t="n"/>
      <c r="G21" s="12" t="n"/>
      <c r="H21" s="12" t="n"/>
      <c r="I21" s="12" t="n"/>
      <c r="J21" s="17" t="n"/>
      <c r="K21" s="18" t="n"/>
      <c r="L21" s="17" t="n"/>
      <c r="M21" s="19" t="n"/>
      <c r="N21" s="12" t="n"/>
      <c r="O21" s="12" t="n"/>
    </row>
    <row r="22">
      <c r="A22" s="11" t="inlineStr">
        <is>
          <t>PROD-2025-018</t>
        </is>
      </c>
      <c r="B22" s="12" t="n"/>
      <c r="C22" s="12" t="n"/>
      <c r="D22" s="12" t="n"/>
      <c r="E22" s="12" t="n"/>
      <c r="F22" s="13" t="n"/>
      <c r="G22" s="12" t="n"/>
      <c r="H22" s="12" t="n"/>
      <c r="I22" s="12" t="n"/>
      <c r="J22" s="17" t="n"/>
      <c r="K22" s="18" t="n"/>
      <c r="L22" s="17" t="n"/>
      <c r="M22" s="19" t="n"/>
      <c r="N22" s="12" t="n"/>
      <c r="O22" s="12" t="n"/>
    </row>
    <row r="23">
      <c r="A23" s="11" t="inlineStr">
        <is>
          <t>PROD-2025-019</t>
        </is>
      </c>
      <c r="B23" s="12" t="n"/>
      <c r="C23" s="12" t="n"/>
      <c r="D23" s="12" t="n"/>
      <c r="E23" s="12" t="n"/>
      <c r="F23" s="13" t="n"/>
      <c r="G23" s="12" t="n"/>
      <c r="H23" s="12" t="n"/>
      <c r="I23" s="12" t="n"/>
      <c r="J23" s="17" t="n"/>
      <c r="K23" s="18" t="n"/>
      <c r="L23" s="17" t="n"/>
      <c r="M23" s="19" t="n"/>
      <c r="N23" s="12" t="n"/>
      <c r="O23" s="12" t="n"/>
    </row>
    <row r="24">
      <c r="A24" s="11" t="inlineStr">
        <is>
          <t>PROD-2025-020</t>
        </is>
      </c>
      <c r="B24" s="12" t="n"/>
      <c r="C24" s="12" t="n"/>
      <c r="D24" s="12" t="n"/>
      <c r="E24" s="12" t="n"/>
      <c r="F24" s="13" t="n"/>
      <c r="G24" s="12" t="n"/>
      <c r="H24" s="12" t="n"/>
      <c r="I24" s="12" t="n"/>
      <c r="J24" s="17" t="n"/>
      <c r="K24" s="18" t="n"/>
      <c r="L24" s="17" t="n"/>
      <c r="M24" s="19" t="n"/>
      <c r="N24" s="12" t="n"/>
      <c r="O24" s="12" t="n"/>
    </row>
    <row r="25">
      <c r="A25" s="11" t="inlineStr">
        <is>
          <t>PROD-2025-021</t>
        </is>
      </c>
      <c r="B25" s="12" t="n"/>
      <c r="C25" s="12" t="n"/>
      <c r="D25" s="12" t="n"/>
      <c r="E25" s="12" t="n"/>
      <c r="F25" s="13" t="n"/>
      <c r="G25" s="12" t="n"/>
      <c r="H25" s="12" t="n"/>
      <c r="I25" s="12" t="n"/>
      <c r="J25" s="17" t="n"/>
      <c r="K25" s="18" t="n"/>
      <c r="L25" s="17" t="n"/>
      <c r="M25" s="19" t="n"/>
      <c r="N25" s="12" t="n"/>
      <c r="O25" s="12" t="n"/>
    </row>
    <row r="26">
      <c r="A26" s="11" t="inlineStr">
        <is>
          <t>PROD-2025-022</t>
        </is>
      </c>
      <c r="B26" s="12" t="n"/>
      <c r="C26" s="12" t="n"/>
      <c r="D26" s="12" t="n"/>
      <c r="E26" s="12" t="n"/>
      <c r="F26" s="13" t="n"/>
      <c r="G26" s="12" t="n"/>
      <c r="H26" s="12" t="n"/>
      <c r="I26" s="12" t="n"/>
      <c r="J26" s="17" t="n"/>
      <c r="K26" s="18" t="n"/>
      <c r="L26" s="17" t="n"/>
      <c r="M26" s="19" t="n"/>
      <c r="N26" s="12" t="n"/>
      <c r="O26" s="12" t="n"/>
    </row>
    <row r="27">
      <c r="A27" s="11" t="inlineStr">
        <is>
          <t>PROD-2025-023</t>
        </is>
      </c>
      <c r="B27" s="12" t="n"/>
      <c r="C27" s="12" t="n"/>
      <c r="D27" s="12" t="n"/>
      <c r="E27" s="12" t="n"/>
      <c r="F27" s="13" t="n"/>
      <c r="G27" s="12" t="n"/>
      <c r="H27" s="12" t="n"/>
      <c r="I27" s="12" t="n"/>
      <c r="J27" s="17" t="n"/>
      <c r="K27" s="18" t="n"/>
      <c r="L27" s="17" t="n"/>
      <c r="M27" s="19" t="n"/>
      <c r="N27" s="12" t="n"/>
      <c r="O27" s="12" t="n"/>
    </row>
    <row r="28">
      <c r="A28" s="11" t="inlineStr">
        <is>
          <t>PROD-2025-024</t>
        </is>
      </c>
      <c r="B28" s="12" t="n"/>
      <c r="C28" s="12" t="n"/>
      <c r="D28" s="12" t="n"/>
      <c r="E28" s="12" t="n"/>
      <c r="F28" s="13" t="n"/>
      <c r="G28" s="12" t="n"/>
      <c r="H28" s="12" t="n"/>
      <c r="I28" s="12" t="n"/>
      <c r="J28" s="17" t="n"/>
      <c r="K28" s="18" t="n"/>
      <c r="L28" s="17" t="n"/>
      <c r="M28" s="19" t="n"/>
      <c r="N28" s="12" t="n"/>
      <c r="O28" s="12" t="n"/>
    </row>
    <row r="29">
      <c r="A29" s="11" t="inlineStr">
        <is>
          <t>PROD-2025-025</t>
        </is>
      </c>
      <c r="B29" s="12" t="n"/>
      <c r="C29" s="12" t="n"/>
      <c r="D29" s="12" t="n"/>
      <c r="E29" s="12" t="n"/>
      <c r="F29" s="13" t="n"/>
      <c r="G29" s="12" t="n"/>
      <c r="H29" s="12" t="n"/>
      <c r="I29" s="12" t="n"/>
      <c r="J29" s="17" t="n"/>
      <c r="K29" s="18" t="n"/>
      <c r="L29" s="17" t="n"/>
      <c r="M29" s="19" t="n"/>
      <c r="N29" s="12" t="n"/>
      <c r="O29" s="12" t="n"/>
    </row>
    <row r="30">
      <c r="A30" s="11" t="inlineStr">
        <is>
          <t>PROD-2025-026</t>
        </is>
      </c>
      <c r="B30" s="12" t="n"/>
      <c r="C30" s="12" t="n"/>
      <c r="D30" s="12" t="n"/>
      <c r="E30" s="12" t="n"/>
      <c r="F30" s="13" t="n"/>
      <c r="G30" s="12" t="n"/>
      <c r="H30" s="12" t="n"/>
      <c r="I30" s="12" t="n"/>
      <c r="J30" s="17" t="n"/>
      <c r="K30" s="18" t="n"/>
      <c r="L30" s="17" t="n"/>
      <c r="M30" s="19" t="n"/>
      <c r="N30" s="12" t="n"/>
      <c r="O30" s="12" t="n"/>
    </row>
    <row r="31">
      <c r="A31" s="11" t="inlineStr">
        <is>
          <t>PROD-2025-027</t>
        </is>
      </c>
      <c r="B31" s="12" t="n"/>
      <c r="C31" s="12" t="n"/>
      <c r="D31" s="12" t="n"/>
      <c r="E31" s="12" t="n"/>
      <c r="F31" s="13" t="n"/>
      <c r="G31" s="12" t="n"/>
      <c r="H31" s="12" t="n"/>
      <c r="I31" s="12" t="n"/>
      <c r="J31" s="17" t="n"/>
      <c r="K31" s="18" t="n"/>
      <c r="L31" s="17" t="n"/>
      <c r="M31" s="19" t="n"/>
      <c r="N31" s="12" t="n"/>
      <c r="O31" s="12" t="n"/>
    </row>
    <row r="32">
      <c r="A32" s="11" t="inlineStr">
        <is>
          <t>PROD-2025-028</t>
        </is>
      </c>
      <c r="B32" s="12" t="n"/>
      <c r="C32" s="12" t="n"/>
      <c r="D32" s="12" t="n"/>
      <c r="E32" s="12" t="n"/>
      <c r="F32" s="13" t="n"/>
      <c r="G32" s="12" t="n"/>
      <c r="H32" s="12" t="n"/>
      <c r="I32" s="12" t="n"/>
      <c r="J32" s="17" t="n"/>
      <c r="K32" s="18" t="n"/>
      <c r="L32" s="17" t="n"/>
      <c r="M32" s="19" t="n"/>
      <c r="N32" s="12" t="n"/>
      <c r="O32" s="12" t="n"/>
    </row>
    <row r="33">
      <c r="A33" s="11" t="inlineStr">
        <is>
          <t>PROD-2025-029</t>
        </is>
      </c>
      <c r="B33" s="12" t="n"/>
      <c r="C33" s="12" t="n"/>
      <c r="D33" s="12" t="n"/>
      <c r="E33" s="12" t="n"/>
      <c r="F33" s="13" t="n"/>
      <c r="G33" s="12" t="n"/>
      <c r="H33" s="12" t="n"/>
      <c r="I33" s="12" t="n"/>
      <c r="J33" s="17" t="n"/>
      <c r="K33" s="18" t="n"/>
      <c r="L33" s="17" t="n"/>
      <c r="M33" s="19" t="n"/>
      <c r="N33" s="12" t="n"/>
      <c r="O33" s="12" t="n"/>
    </row>
    <row r="34">
      <c r="A34" s="11" t="inlineStr">
        <is>
          <t>PROD-2025-030</t>
        </is>
      </c>
      <c r="B34" s="12" t="n"/>
      <c r="C34" s="12" t="n"/>
      <c r="D34" s="12" t="n"/>
      <c r="E34" s="12" t="n"/>
      <c r="F34" s="13" t="n"/>
      <c r="G34" s="12" t="n"/>
      <c r="H34" s="12" t="n"/>
      <c r="I34" s="12" t="n"/>
      <c r="J34" s="17" t="n"/>
      <c r="K34" s="18" t="n"/>
      <c r="L34" s="17" t="n"/>
      <c r="M34" s="19" t="n"/>
      <c r="N34" s="12" t="n"/>
      <c r="O34" s="12" t="n"/>
    </row>
    <row r="35">
      <c r="A35" s="11" t="inlineStr">
        <is>
          <t>PROD-2025-031</t>
        </is>
      </c>
      <c r="B35" s="12" t="n"/>
      <c r="C35" s="12" t="n"/>
      <c r="D35" s="12" t="n"/>
      <c r="E35" s="12" t="n"/>
      <c r="F35" s="13" t="n"/>
      <c r="G35" s="12" t="n"/>
      <c r="H35" s="12" t="n"/>
      <c r="I35" s="12" t="n"/>
      <c r="J35" s="17" t="n"/>
      <c r="K35" s="18" t="n"/>
      <c r="L35" s="17" t="n"/>
      <c r="M35" s="19" t="n"/>
      <c r="N35" s="12" t="n"/>
      <c r="O35" s="12" t="n"/>
    </row>
    <row r="36">
      <c r="A36" s="11" t="inlineStr">
        <is>
          <t>PROD-2025-032</t>
        </is>
      </c>
      <c r="B36" s="12" t="n"/>
      <c r="C36" s="12" t="n"/>
      <c r="D36" s="12" t="n"/>
      <c r="E36" s="12" t="n"/>
      <c r="F36" s="13" t="n"/>
      <c r="G36" s="12" t="n"/>
      <c r="H36" s="12" t="n"/>
      <c r="I36" s="12" t="n"/>
      <c r="J36" s="17" t="n"/>
      <c r="K36" s="18" t="n"/>
      <c r="L36" s="17" t="n"/>
      <c r="M36" s="19" t="n"/>
      <c r="N36" s="12" t="n"/>
      <c r="O36" s="12" t="n"/>
    </row>
    <row r="37">
      <c r="A37" s="11" t="inlineStr">
        <is>
          <t>PROD-2025-033</t>
        </is>
      </c>
      <c r="B37" s="12" t="n"/>
      <c r="C37" s="12" t="n"/>
      <c r="D37" s="12" t="n"/>
      <c r="E37" s="12" t="n"/>
      <c r="F37" s="13" t="n"/>
      <c r="G37" s="12" t="n"/>
      <c r="H37" s="12" t="n"/>
      <c r="I37" s="12" t="n"/>
      <c r="J37" s="17" t="n"/>
      <c r="K37" s="18" t="n"/>
      <c r="L37" s="17" t="n"/>
      <c r="M37" s="19" t="n"/>
      <c r="N37" s="12" t="n"/>
      <c r="O37" s="12" t="n"/>
    </row>
    <row r="38">
      <c r="A38" s="11" t="inlineStr">
        <is>
          <t>PROD-2025-034</t>
        </is>
      </c>
      <c r="B38" s="12" t="n"/>
      <c r="C38" s="12" t="n"/>
      <c r="D38" s="12" t="n"/>
      <c r="E38" s="12" t="n"/>
      <c r="F38" s="13" t="n"/>
      <c r="G38" s="12" t="n"/>
      <c r="H38" s="12" t="n"/>
      <c r="I38" s="12" t="n"/>
      <c r="J38" s="17" t="n"/>
      <c r="K38" s="18" t="n"/>
      <c r="L38" s="17" t="n"/>
      <c r="M38" s="19" t="n"/>
      <c r="N38" s="12" t="n"/>
      <c r="O38" s="12" t="n"/>
    </row>
    <row r="39">
      <c r="A39" s="11" t="inlineStr">
        <is>
          <t>PROD-2025-035</t>
        </is>
      </c>
      <c r="B39" s="12" t="n"/>
      <c r="C39" s="12" t="n"/>
      <c r="D39" s="12" t="n"/>
      <c r="E39" s="12" t="n"/>
      <c r="F39" s="13" t="n"/>
      <c r="G39" s="12" t="n"/>
      <c r="H39" s="12" t="n"/>
      <c r="I39" s="12" t="n"/>
      <c r="J39" s="17" t="n"/>
      <c r="K39" s="18" t="n"/>
      <c r="L39" s="17" t="n"/>
      <c r="M39" s="19" t="n"/>
      <c r="N39" s="12" t="n"/>
      <c r="O39" s="12" t="n"/>
    </row>
    <row r="40">
      <c r="A40" s="11" t="inlineStr">
        <is>
          <t>PROD-2025-036</t>
        </is>
      </c>
      <c r="B40" s="12" t="n"/>
      <c r="C40" s="12" t="n"/>
      <c r="D40" s="12" t="n"/>
      <c r="E40" s="12" t="n"/>
      <c r="F40" s="13" t="n"/>
      <c r="G40" s="12" t="n"/>
      <c r="H40" s="12" t="n"/>
      <c r="I40" s="12" t="n"/>
      <c r="J40" s="17" t="n"/>
      <c r="K40" s="18" t="n"/>
      <c r="L40" s="17" t="n"/>
      <c r="M40" s="19" t="n"/>
      <c r="N40" s="12" t="n"/>
      <c r="O40" s="12" t="n"/>
    </row>
    <row r="41">
      <c r="A41" s="11" t="inlineStr">
        <is>
          <t>PROD-2025-037</t>
        </is>
      </c>
      <c r="B41" s="12" t="n"/>
      <c r="C41" s="12" t="n"/>
      <c r="D41" s="12" t="n"/>
      <c r="E41" s="12" t="n"/>
      <c r="F41" s="13" t="n"/>
      <c r="G41" s="12" t="n"/>
      <c r="H41" s="12" t="n"/>
      <c r="I41" s="12" t="n"/>
      <c r="J41" s="17" t="n"/>
      <c r="K41" s="18" t="n"/>
      <c r="L41" s="17" t="n"/>
      <c r="M41" s="19" t="n"/>
      <c r="N41" s="12" t="n"/>
      <c r="O41" s="12" t="n"/>
    </row>
    <row r="42">
      <c r="A42" s="11" t="inlineStr">
        <is>
          <t>PROD-2025-038</t>
        </is>
      </c>
      <c r="B42" s="12" t="n"/>
      <c r="C42" s="12" t="n"/>
      <c r="D42" s="12" t="n"/>
      <c r="E42" s="12" t="n"/>
      <c r="F42" s="13" t="n"/>
      <c r="G42" s="12" t="n"/>
      <c r="H42" s="12" t="n"/>
      <c r="I42" s="12" t="n"/>
      <c r="J42" s="17" t="n"/>
      <c r="K42" s="18" t="n"/>
      <c r="L42" s="17" t="n"/>
      <c r="M42" s="19" t="n"/>
      <c r="N42" s="12" t="n"/>
      <c r="O42" s="12" t="n"/>
    </row>
    <row r="43">
      <c r="A43" s="11" t="inlineStr">
        <is>
          <t>PROD-2025-039</t>
        </is>
      </c>
      <c r="B43" s="12" t="n"/>
      <c r="C43" s="12" t="n"/>
      <c r="D43" s="12" t="n"/>
      <c r="E43" s="12" t="n"/>
      <c r="F43" s="13" t="n"/>
      <c r="G43" s="12" t="n"/>
      <c r="H43" s="12" t="n"/>
      <c r="I43" s="12" t="n"/>
      <c r="J43" s="17" t="n"/>
      <c r="K43" s="18" t="n"/>
      <c r="L43" s="17" t="n"/>
      <c r="M43" s="19" t="n"/>
      <c r="N43" s="12" t="n"/>
      <c r="O43" s="12" t="n"/>
    </row>
    <row r="44">
      <c r="A44" s="11" t="inlineStr">
        <is>
          <t>PROD-2025-040</t>
        </is>
      </c>
      <c r="B44" s="12" t="n"/>
      <c r="C44" s="12" t="n"/>
      <c r="D44" s="12" t="n"/>
      <c r="E44" s="12" t="n"/>
      <c r="F44" s="13" t="n"/>
      <c r="G44" s="12" t="n"/>
      <c r="H44" s="12" t="n"/>
      <c r="I44" s="12" t="n"/>
      <c r="J44" s="17" t="n"/>
      <c r="K44" s="18" t="n"/>
      <c r="L44" s="17" t="n"/>
      <c r="M44" s="19" t="n"/>
      <c r="N44" s="12" t="n"/>
      <c r="O44" s="12" t="n"/>
    </row>
    <row r="45">
      <c r="A45" s="11" t="inlineStr">
        <is>
          <t>PROD-2025-041</t>
        </is>
      </c>
      <c r="B45" s="12" t="n"/>
      <c r="C45" s="12" t="n"/>
      <c r="D45" s="12" t="n"/>
      <c r="E45" s="12" t="n"/>
      <c r="F45" s="13" t="n"/>
      <c r="G45" s="12" t="n"/>
      <c r="H45" s="12" t="n"/>
      <c r="I45" s="12" t="n"/>
      <c r="J45" s="17" t="n"/>
      <c r="K45" s="18" t="n"/>
      <c r="L45" s="17" t="n"/>
      <c r="M45" s="19" t="n"/>
      <c r="N45" s="12" t="n"/>
      <c r="O45" s="12" t="n"/>
    </row>
    <row r="46">
      <c r="A46" s="11" t="inlineStr">
        <is>
          <t>PROD-2025-042</t>
        </is>
      </c>
      <c r="B46" s="12" t="n"/>
      <c r="C46" s="12" t="n"/>
      <c r="D46" s="12" t="n"/>
      <c r="E46" s="12" t="n"/>
      <c r="F46" s="13" t="n"/>
      <c r="G46" s="12" t="n"/>
      <c r="H46" s="12" t="n"/>
      <c r="I46" s="12" t="n"/>
      <c r="J46" s="17" t="n"/>
      <c r="K46" s="18" t="n"/>
      <c r="L46" s="17" t="n"/>
      <c r="M46" s="19" t="n"/>
      <c r="N46" s="12" t="n"/>
      <c r="O46" s="12" t="n"/>
    </row>
    <row r="47">
      <c r="A47" s="11" t="inlineStr">
        <is>
          <t>PROD-2025-043</t>
        </is>
      </c>
      <c r="B47" s="12" t="n"/>
      <c r="C47" s="12" t="n"/>
      <c r="D47" s="12" t="n"/>
      <c r="E47" s="12" t="n"/>
      <c r="F47" s="13" t="n"/>
      <c r="G47" s="12" t="n"/>
      <c r="H47" s="12" t="n"/>
      <c r="I47" s="12" t="n"/>
      <c r="J47" s="17" t="n"/>
      <c r="K47" s="18" t="n"/>
      <c r="L47" s="17" t="n"/>
      <c r="M47" s="19" t="n"/>
      <c r="N47" s="12" t="n"/>
      <c r="O47" s="12" t="n"/>
    </row>
    <row r="48">
      <c r="A48" s="11" t="inlineStr">
        <is>
          <t>PROD-2025-044</t>
        </is>
      </c>
      <c r="B48" s="12" t="n"/>
      <c r="C48" s="12" t="n"/>
      <c r="D48" s="12" t="n"/>
      <c r="E48" s="12" t="n"/>
      <c r="F48" s="13" t="n"/>
      <c r="G48" s="12" t="n"/>
      <c r="H48" s="12" t="n"/>
      <c r="I48" s="12" t="n"/>
      <c r="J48" s="17" t="n"/>
      <c r="K48" s="18" t="n"/>
      <c r="L48" s="17" t="n"/>
      <c r="M48" s="19" t="n"/>
      <c r="N48" s="12" t="n"/>
      <c r="O48" s="12" t="n"/>
    </row>
    <row r="49">
      <c r="A49" s="11" t="inlineStr">
        <is>
          <t>PROD-2025-045</t>
        </is>
      </c>
      <c r="B49" s="12" t="n"/>
      <c r="C49" s="12" t="n"/>
      <c r="D49" s="12" t="n"/>
      <c r="E49" s="12" t="n"/>
      <c r="F49" s="13" t="n"/>
      <c r="G49" s="12" t="n"/>
      <c r="H49" s="12" t="n"/>
      <c r="I49" s="12" t="n"/>
      <c r="J49" s="17" t="n"/>
      <c r="K49" s="18" t="n"/>
      <c r="L49" s="17" t="n"/>
      <c r="M49" s="19" t="n"/>
      <c r="N49" s="12" t="n"/>
      <c r="O49" s="12" t="n"/>
    </row>
    <row r="50">
      <c r="A50" s="11" t="inlineStr">
        <is>
          <t>PROD-2025-046</t>
        </is>
      </c>
      <c r="B50" s="12" t="n"/>
      <c r="C50" s="12" t="n"/>
      <c r="D50" s="12" t="n"/>
      <c r="E50" s="12" t="n"/>
      <c r="F50" s="13" t="n"/>
      <c r="G50" s="12" t="n"/>
      <c r="H50" s="12" t="n"/>
      <c r="I50" s="12" t="n"/>
      <c r="J50" s="17" t="n"/>
      <c r="K50" s="18" t="n"/>
      <c r="L50" s="17" t="n"/>
      <c r="M50" s="19" t="n"/>
      <c r="N50" s="12" t="n"/>
      <c r="O50" s="12" t="n"/>
    </row>
    <row r="51">
      <c r="A51" s="11" t="inlineStr">
        <is>
          <t>PROD-2025-047</t>
        </is>
      </c>
      <c r="B51" s="12" t="n"/>
      <c r="C51" s="12" t="n"/>
      <c r="D51" s="12" t="n"/>
      <c r="E51" s="12" t="n"/>
      <c r="F51" s="13" t="n"/>
      <c r="G51" s="12" t="n"/>
      <c r="H51" s="12" t="n"/>
      <c r="I51" s="12" t="n"/>
      <c r="J51" s="17" t="n"/>
      <c r="K51" s="18" t="n"/>
      <c r="L51" s="17" t="n"/>
      <c r="M51" s="19" t="n"/>
      <c r="N51" s="12" t="n"/>
      <c r="O51" s="12" t="n"/>
    </row>
    <row r="52">
      <c r="A52" s="11" t="inlineStr">
        <is>
          <t>PROD-2025-048</t>
        </is>
      </c>
      <c r="B52" s="12" t="n"/>
      <c r="C52" s="12" t="n"/>
      <c r="D52" s="12" t="n"/>
      <c r="E52" s="12" t="n"/>
      <c r="F52" s="13" t="n"/>
      <c r="G52" s="12" t="n"/>
      <c r="H52" s="12" t="n"/>
      <c r="I52" s="12" t="n"/>
      <c r="J52" s="17" t="n"/>
      <c r="K52" s="18" t="n"/>
      <c r="L52" s="17" t="n"/>
      <c r="M52" s="19" t="n"/>
      <c r="N52" s="12" t="n"/>
      <c r="O52" s="12" t="n"/>
    </row>
    <row r="53">
      <c r="A53" s="11" t="inlineStr">
        <is>
          <t>PROD-2025-049</t>
        </is>
      </c>
      <c r="B53" s="12" t="n"/>
      <c r="C53" s="12" t="n"/>
      <c r="D53" s="12" t="n"/>
      <c r="E53" s="12" t="n"/>
      <c r="F53" s="13" t="n"/>
      <c r="G53" s="12" t="n"/>
      <c r="H53" s="12" t="n"/>
      <c r="I53" s="12" t="n"/>
      <c r="J53" s="17" t="n"/>
      <c r="K53" s="18" t="n"/>
      <c r="L53" s="17" t="n"/>
      <c r="M53" s="19" t="n"/>
      <c r="N53" s="12" t="n"/>
      <c r="O53" s="12" t="n"/>
    </row>
    <row r="54">
      <c r="A54" s="11" t="inlineStr">
        <is>
          <t>PROD-2025-050</t>
        </is>
      </c>
      <c r="B54" s="12" t="n"/>
      <c r="C54" s="12" t="n"/>
      <c r="D54" s="12" t="n"/>
      <c r="E54" s="12" t="n"/>
      <c r="F54" s="13" t="n"/>
      <c r="G54" s="12" t="n"/>
      <c r="H54" s="12" t="n"/>
      <c r="I54" s="12" t="n"/>
      <c r="J54" s="17" t="n"/>
      <c r="K54" s="18" t="n"/>
      <c r="L54" s="17" t="n"/>
      <c r="M54" s="19" t="n"/>
      <c r="N54" s="12" t="n"/>
      <c r="O54" s="12" t="n"/>
    </row>
    <row r="55">
      <c r="A55" s="11" t="inlineStr">
        <is>
          <t>PROD-2025-051</t>
        </is>
      </c>
      <c r="B55" s="12" t="n"/>
      <c r="C55" s="12" t="n"/>
      <c r="D55" s="12" t="n"/>
      <c r="E55" s="12" t="n"/>
      <c r="F55" s="13" t="n"/>
      <c r="G55" s="12" t="n"/>
      <c r="H55" s="12" t="n"/>
      <c r="I55" s="12" t="n"/>
      <c r="J55" s="17" t="n"/>
      <c r="K55" s="18" t="n"/>
      <c r="L55" s="17" t="n"/>
      <c r="M55" s="19" t="n"/>
      <c r="N55" s="12" t="n"/>
      <c r="O55" s="12" t="n"/>
    </row>
    <row r="56">
      <c r="A56" s="11" t="inlineStr">
        <is>
          <t>PROD-2025-052</t>
        </is>
      </c>
      <c r="B56" s="12" t="n"/>
      <c r="C56" s="12" t="n"/>
      <c r="D56" s="12" t="n"/>
      <c r="E56" s="12" t="n"/>
      <c r="F56" s="13" t="n"/>
      <c r="G56" s="12" t="n"/>
      <c r="H56" s="12" t="n"/>
      <c r="I56" s="12" t="n"/>
      <c r="J56" s="17" t="n"/>
      <c r="K56" s="18" t="n"/>
      <c r="L56" s="17" t="n"/>
      <c r="M56" s="19" t="n"/>
      <c r="N56" s="12" t="n"/>
      <c r="O56" s="12" t="n"/>
    </row>
    <row r="57">
      <c r="A57" s="11" t="inlineStr">
        <is>
          <t>PROD-2025-053</t>
        </is>
      </c>
      <c r="B57" s="12" t="n"/>
      <c r="C57" s="12" t="n"/>
      <c r="D57" s="12" t="n"/>
      <c r="E57" s="12" t="n"/>
      <c r="F57" s="13" t="n"/>
      <c r="G57" s="12" t="n"/>
      <c r="H57" s="12" t="n"/>
      <c r="I57" s="12" t="n"/>
      <c r="J57" s="17" t="n"/>
      <c r="K57" s="18" t="n"/>
      <c r="L57" s="17" t="n"/>
      <c r="M57" s="19" t="n"/>
      <c r="N57" s="12" t="n"/>
      <c r="O57" s="12" t="n"/>
    </row>
    <row r="58">
      <c r="A58" s="11" t="inlineStr">
        <is>
          <t>PROD-2025-054</t>
        </is>
      </c>
      <c r="B58" s="12" t="n"/>
      <c r="C58" s="12" t="n"/>
      <c r="D58" s="12" t="n"/>
      <c r="E58" s="12" t="n"/>
      <c r="F58" s="13" t="n"/>
      <c r="G58" s="12" t="n"/>
      <c r="H58" s="12" t="n"/>
      <c r="I58" s="12" t="n"/>
      <c r="J58" s="17" t="n"/>
      <c r="K58" s="18" t="n"/>
      <c r="L58" s="17" t="n"/>
      <c r="M58" s="19" t="n"/>
      <c r="N58" s="12" t="n"/>
      <c r="O58" s="12" t="n"/>
    </row>
    <row r="59">
      <c r="A59" s="11" t="inlineStr">
        <is>
          <t>PROD-2025-055</t>
        </is>
      </c>
      <c r="B59" s="12" t="n"/>
      <c r="C59" s="12" t="n"/>
      <c r="D59" s="12" t="n"/>
      <c r="E59" s="12" t="n"/>
      <c r="F59" s="13" t="n"/>
      <c r="G59" s="12" t="n"/>
      <c r="H59" s="12" t="n"/>
      <c r="I59" s="12" t="n"/>
      <c r="J59" s="17" t="n"/>
      <c r="K59" s="18" t="n"/>
      <c r="L59" s="17" t="n"/>
      <c r="M59" s="19" t="n"/>
      <c r="N59" s="12" t="n"/>
      <c r="O59" s="12" t="n"/>
    </row>
    <row r="60">
      <c r="A60" s="11" t="inlineStr">
        <is>
          <t>PROD-2025-056</t>
        </is>
      </c>
      <c r="B60" s="12" t="n"/>
      <c r="C60" s="12" t="n"/>
      <c r="D60" s="12" t="n"/>
      <c r="E60" s="12" t="n"/>
      <c r="F60" s="13" t="n"/>
      <c r="G60" s="12" t="n"/>
      <c r="H60" s="12" t="n"/>
      <c r="I60" s="12" t="n"/>
      <c r="J60" s="17" t="n"/>
      <c r="K60" s="18" t="n"/>
      <c r="L60" s="17" t="n"/>
      <c r="M60" s="19" t="n"/>
      <c r="N60" s="12" t="n"/>
      <c r="O60" s="12" t="n"/>
    </row>
    <row r="61">
      <c r="A61" s="11" t="inlineStr">
        <is>
          <t>PROD-2025-057</t>
        </is>
      </c>
      <c r="B61" s="12" t="n"/>
      <c r="C61" s="12" t="n"/>
      <c r="D61" s="12" t="n"/>
      <c r="E61" s="12" t="n"/>
      <c r="F61" s="13" t="n"/>
      <c r="G61" s="12" t="n"/>
      <c r="H61" s="12" t="n"/>
      <c r="I61" s="12" t="n"/>
      <c r="J61" s="17" t="n"/>
      <c r="K61" s="18" t="n"/>
      <c r="L61" s="17" t="n"/>
      <c r="M61" s="19" t="n"/>
      <c r="N61" s="12" t="n"/>
      <c r="O61" s="12" t="n"/>
    </row>
    <row r="62">
      <c r="A62" s="11" t="inlineStr">
        <is>
          <t>PROD-2025-058</t>
        </is>
      </c>
      <c r="B62" s="12" t="n"/>
      <c r="C62" s="12" t="n"/>
      <c r="D62" s="12" t="n"/>
      <c r="E62" s="12" t="n"/>
      <c r="F62" s="13" t="n"/>
      <c r="G62" s="12" t="n"/>
      <c r="H62" s="12" t="n"/>
      <c r="I62" s="12" t="n"/>
      <c r="J62" s="17" t="n"/>
      <c r="K62" s="18" t="n"/>
      <c r="L62" s="17" t="n"/>
      <c r="M62" s="19" t="n"/>
      <c r="N62" s="12" t="n"/>
      <c r="O62" s="12" t="n"/>
    </row>
    <row r="63">
      <c r="A63" s="11" t="inlineStr">
        <is>
          <t>PROD-2025-059</t>
        </is>
      </c>
      <c r="B63" s="12" t="n"/>
      <c r="C63" s="12" t="n"/>
      <c r="D63" s="12" t="n"/>
      <c r="E63" s="12" t="n"/>
      <c r="F63" s="13" t="n"/>
      <c r="G63" s="12" t="n"/>
      <c r="H63" s="12" t="n"/>
      <c r="I63" s="12" t="n"/>
      <c r="J63" s="17" t="n"/>
      <c r="K63" s="18" t="n"/>
      <c r="L63" s="17" t="n"/>
      <c r="M63" s="19" t="n"/>
      <c r="N63" s="12" t="n"/>
      <c r="O63" s="12" t="n"/>
    </row>
    <row r="64">
      <c r="A64" s="11" t="inlineStr">
        <is>
          <t>PROD-2025-060</t>
        </is>
      </c>
      <c r="B64" s="12" t="n"/>
      <c r="C64" s="12" t="n"/>
      <c r="D64" s="12" t="n"/>
      <c r="E64" s="12" t="n"/>
      <c r="F64" s="13" t="n"/>
      <c r="G64" s="12" t="n"/>
      <c r="H64" s="12" t="n"/>
      <c r="I64" s="12" t="n"/>
      <c r="J64" s="17" t="n"/>
      <c r="K64" s="18" t="n"/>
      <c r="L64" s="17" t="n"/>
      <c r="M64" s="19" t="n"/>
      <c r="N64" s="12" t="n"/>
      <c r="O64" s="12" t="n"/>
    </row>
    <row r="66">
      <c r="A66" s="14" t="inlineStr">
        <is>
          <t>PRODUCTION SUMMARY</t>
        </is>
      </c>
    </row>
    <row r="67">
      <c r="A67" s="5" t="inlineStr">
        <is>
          <t>Total Products:</t>
        </is>
      </c>
      <c r="B67" s="5">
        <f>COUNTA(A5:A64)</f>
        <v/>
      </c>
    </row>
    <row r="68">
      <c r="A68" s="5" t="inlineStr">
        <is>
          <t>Published This Quarter:</t>
        </is>
      </c>
      <c r="B68" s="5">
        <f>COUNTIF(N5:N64,"Published")</f>
        <v/>
      </c>
    </row>
    <row r="69">
      <c r="A69" s="5" t="inlineStr">
        <is>
          <t>Avg Feedback Rating:</t>
        </is>
      </c>
      <c r="B69" s="20">
        <f>AVERAGE(J5:J64)</f>
        <v/>
      </c>
    </row>
    <row r="70">
      <c r="A70" s="5" t="inlineStr">
        <is>
          <t>Avg Consumption Rate:</t>
        </is>
      </c>
      <c r="B70" s="21">
        <f>AVERAGE(K5:K64)</f>
        <v/>
      </c>
    </row>
    <row r="71">
      <c r="A71" s="5" t="inlineStr">
        <is>
          <t>Avg Time to Produce (hrs):</t>
        </is>
      </c>
      <c r="B71" s="20">
        <f>AVERAGE(M5:M64)</f>
        <v/>
      </c>
    </row>
  </sheetData>
  <mergeCells count="3">
    <mergeCell ref="A1:O1"/>
    <mergeCell ref="A66:D66"/>
    <mergeCell ref="A2:O2"/>
  </mergeCells>
  <dataValidations count="31">
    <dataValidation sqref="B5 B6 B7 B8 B9 B10 B11 B12 B13 B14 B15 B16 B17 B18 B19 B20 B21 B22 B23 B24 B25 B26 B27 B28 B29 B30 B31 B32 B33 B34 B35 B36 B37 B38 B39 B40 B41 B42 B43 B44 B45 B46 B47 B48 B49 B50 B51 B52 B53 B5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showDropDown="0" showInputMessage="0" showErrorMessage="0" allowBlank="0" type="list">
      <formula1>"Strategic,Tactical,Operational,Technical"</formula1>
    </dataValidation>
    <dataValidation sqref="D5 D6 D7 D8 D9 D10 D11 D12 D13 D14 D15 D16 D17 D18 D19 D20 D21 D22 D23 D24 D25 D26 D27 D28 D29 D30 D31 D32 D33 D34 D35 D36 D37 D38 D39 D40 D41 D42 D43 D44 D45 D46 D47 D48 D49 D50 D51 D52 D53 D54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 Critical,🟡 High,🟢 Medium,⚫ Low"</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0" type="list">
      <formula1>"Automated_Feed,Manual_Research,OSINT,Partnership,Internal_Telemetry"</formula1>
    </dataValidation>
    <dataValidation sqref="E5 E6 E7 E8 E9 E10 E11 E12 E13 E14 E15 E16 E17 E18 E19 E20 E21 E22 E23 E24 E25 E26 E27 E28 E29 E30 E31 E32 E33 E34 E35 E36 E37 E38 E39 E40 E41 E42 E43 E44 E45 E46 E47 E48 E49 E50 E51 E52 E53 E54 M5 M6 M7 M8 M9 M10 M11 M12 M13 M14 M15 M16 M17 M18 M19 M20 M21 M22 M23 M24 M25 M26 M27 M28 M29 M30 M31 M32 M33 M34 M35 M36 M37 M38 M39 M40 M41 M42 M43 M44 M45 M46 M47 M48 M49 M50 M51 M52 M53 M54" showDropDown="0" showInputMessage="0" showErrorMessage="0" allowBlank="0" type="list">
      <formula1>"Real-time,Hourly,Daily,Weekly,On_Demand"</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"Fully_Implemented,Partially_Implemented,Planned,Not_Used"</formula1>
    </dataValidation>
    <dataValidation sqref="N5 N6 N7 N8 N9 N10 N11 N12 N13 N14 N15 N16 N17 N18 N19 N20 N21 N22 N23 N24 N25 N26 N27 N28 N29 N30 N31 N32 N33 N34 N35 N36 N37 N38 N39 N40 N41 N42 N43 N44 N45 N46 N47 N48 N49 N50 N51 N52 N53 N54" showDropDown="0" showInputMessage="0" showErrorMessage="0" allowBlank="1" type="list">
      <formula1>"Excellent,Good,Fair,Poor"</formula1>
    </dataValidation>
    <dataValidation sqref="B5 B6 B7 B8 B9 B10 B11 B12 B13 B14 B15 B16 B17 B18 B19 B20 B21 B22 B23 B24 B25 B26 B27 B28 B29 B30 B31 B32 B33 B34 B35 B36 B37 B38 B39 B40 B41 B42 B43 B44 B45 B46 B47 B48 B49 B50 B51 B52 B53 B54 B55 B56 B57 B58 B59 B60 B61 B62 B63 B64" showDropDown="0" showInputMessage="0" showErrorMessage="0" allowBlank="0" type="list">
      <formula1>"Strategic_Report,Tactical_Brief,Operational_Alert,Technical_Analysis,IOC_Package,Threat_Profile"</formula1>
    </dataValidation>
    <dataValidation sqref="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N5 N6 N7 N8 N9 N10 N11 N12 N13 N14 N15 N16 N17 N18 N19 N20 N21 N22 N23 N24 N25 N26 N27 N28 N29 N30 N31 N32 N33 N34 N35 N36 N37 N38 N39 N40 N41 N42 N43 N44 N45 N46 N47 N48 N49 N50 N51 N52 N53 N54 N55 N56 N57 N58 N59 N60 N61 N62 N63 N64" showDropDown="0" showInputMessage="0" showErrorMessage="0" allowBlank="0" type="list">
      <formula1>"Draft,Review,Published,Archived"</formula1>
    </dataValidation>
    <dataValidation sqref="E5 E6 E7 E8 E9 E10 E11 E12 E13 E14 E15 E16 E17 E18 E19 E20 E21 E22 E23 E24 E25 E26 E27 E28 E29 E30 E31 E32 E33 E34 E35 E36 E37 E38 E39 E40 E41 E42 E43 E44 E45 E46 E47 E48 E49 E50 E51 E52 E53 E54 H5 H6 H7 H8 H9 H10 H11 H12 H13 H14 H15 H16 H17 H18 H19 H20 H21 H22 H23 H24 H25 H26 H27 H28 H29 H30 H31 H32 H33 H34 H35 H36 H37 H38 H39 H40 H41 H42 H43 H44 H45 H46 H47 H48 H49 H50 H51 H52 H53 H54 H55 H56 H57 H58 H59 H60 H61 H62 H63 H6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"High,Medium,Low,Unconfirmed"</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"TLP:CLEAR,TLP:GREEN,TLP:AMBER,TLP:AMBER+STRICT,TLP:RED"</formula1>
    </dataValidation>
    <dataValidation sqref="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showDropDown="0" showInputMessage="0" showErrorMessage="0" allowBlank="0" type="list">
      <formula1>"Full,Partial,Limited,None"</formula1>
    </dataValidation>
    <dataValidation sqref="D5 D6 D7 D8 D9 D10 D11 D12 D13 D14 D15 D16 D17 D18 D19 D20 D21 D22 D23 D24 D25 D26 D27 D28 D29 D30 D31 D32 D33 D34 D35 D36 D37 D38 D39 D40 D41 D42 D43 D44 D45 D46 D47 D48 D49 D50 D51 D52 D53 D5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1" type="list">
      <formula1>"Nation-State,Criminal_Syndicate,Hacktivist,Insider_Threat,Script_Kiddie,Unknown"</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"Not_Exploited,PoC_Exists,Active_Exploitation,Widespread"</formula1>
    </dataValidation>
    <dataValidation sqref="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showDropDown="0" showInputMessage="0" showErrorMessage="0" allowBlank="0" type="list">
      <formula1>"Critical,High,Medium,Low,Info"</formula1>
    </dataValidation>
    <dataValidation sqref="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showDropDown="0" showInputMessage="0" showErrorMessage="0" allowBlank="0" type="list">
      <formula1>"Open,In_Progress,Patched,Mitigated,Risk_Accepted,Verified"</formula1>
    </dataValidation>
    <dataValidation sqref="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M5 M6 M7 M8 M9 M10 M11 M12 M13 M14 M15 M16 M17 M18 M19 M20 M21 M22 M23 M24 M25 M26 M27 M28 M29 M30 M31 M32 M33 M34 M35 M36 M37 M38 M39 M40 M41 M42 M43 M44 M45 M46 M47 M48 M49 M50 M51 M52 M53 M5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T103 T104" showDropDown="0" showInputMessage="0" showErrorMessage="0" allowBlank="0" type="list">
      <formula1>"Yes,No"</formula1>
    </dataValidation>
    <dataValidation sqref="B5 B6 B7 B8 B9 B10 B11 B12 B13 B14 C5 C6 C7 C8 C9 C10 C11 C12 C13 C14" showDropDown="0" showInputMessage="0" showErrorMessage="0" allowBlank="0" type="list">
      <formula1>"1 - Initial,2 - Managed,3 - Defined,4 - Quantitatively Managed,5 - Optimizing"</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"Open,In_Progress,Blocked,Resolved,Closed"</formula1>
    </dataValidation>
    <dataValidation sqref="C5 C6 C7 C8 C9 C10 C11 C12 C13 C14 C15 C16 C17 C18 C19 C20 C21 C22 C23 C24 C25 C26 C27 C28 C29 C30 C31 C32 C33 C34 C35 C36 C37 C38 C39 C40 C41 C42 C43 C44 C45 C46 C47 C48 C49 C50 C51 C52 C53 C54" showDropDown="0" showInputMessage="0" showErrorMessage="0" allowBlank="1" type="list">
      <formula1>"TIP,SIEM,Malware_Analysis,OSINT,Collaboration,Visualization,Scripting,Other"</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1" type="list">
      <formula1>"Commercial,Open_Source,Freeware,Internal_Developed"</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1" type="list">
      <formula1>"Yes,No,N/A"</formula1>
    </dataValidation>
    <dataValidation sqref="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showDropDown="0" showInputMessage="0" showErrorMessage="0" allowBlank="1" type="list">
      <formula1>"Yes,No,Unknown"</formula1>
    </dataValidation>
    <dataValidation sqref="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showDropDown="0" showInputMessage="0" showErrorMessage="0" allowBlank="1" type="list">
      <formula1>"Confirmed,Suspected,No,Unknown"</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1" type="list">
      <formula1>"Espionage,Financial,Disruption,Ideology,Unknown"</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1" type="list">
      <formula1>"Advanced,Moderate,Low"</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1" type="list">
      <formula1>"Active,Concluded,Dormant,Unknown"</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1" type="list">
      <formula1>"Espionage,Data_Theft,Disruption,Ransomware,Credential_Harvesting,Other"</formula1>
    </dataValidation>
    <dataValidation sqref="U5 U6 U7 U8 U9 U10 U11 U12 U13 U14 U15 U16 U17 U18 U19 U20 U21 U22 U23 U24 U25 U26 U27 U28 U29 U30 U31 U32 U33 U34 U35 U36 U37 U38 U39 U40 U41 U42 U43 U44 U45 U46 U47 U48 U49 U50 U51 U52 U53 U54" showDropDown="0" showInputMessage="0" showErrorMessage="0" allowBlank="1" type="list">
      <formula1>"🔴 Critical,🟡 High,🟢 Medium,⚫ Low"</formula1>
    </dataValidation>
    <dataValidation sqref="V5 V6 V7 V8 V9 V10 V11 V12 V13 V14 V15 V16 V17 V18 V19 V20 V21 V22 V23 V24 V25 V26 V27 V28 V29 V30 V31 V32 V33 V34 V35 V36 V37 V38 V39 V40 V41 V42 V43 V44 V45 V46 V47 V48 V49 V50 V51 V52 V53 V54" showDropDown="0" showInputMessage="0" showErrorMessage="0" allowBlank="1" type="list">
      <formula1>"Active_Monitoring,Passive_Monitoring,Concluded"</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1" type="list">
      <formula1>"4.0,3.1"</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1" type="list">
      <formula1>"Integrated,Standalone,Planned,Deprecated"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13"/>
  <sheetViews>
    <sheetView workbookViewId="0">
      <pane ySplit="4" topLeftCell="A5" activePane="bottomLeft" state="frozen"/>
      <selection pane="bottomLeft" activeCell="A1" sqref="A1"/>
    </sheetView>
  </sheetViews>
  <sheetFormatPr baseColWidth="8" defaultRowHeight="15"/>
  <cols>
    <col width="12" customWidth="1" min="1" max="1"/>
    <col width="18" customWidth="1" min="2" max="2"/>
    <col width="40" customWidth="1" min="3" max="3"/>
    <col width="35" customWidth="1" min="4" max="4"/>
    <col width="15" customWidth="1" min="5" max="5"/>
    <col width="15" customWidth="1" min="6" max="6"/>
    <col width="30" customWidth="1" min="7" max="7"/>
    <col width="18" customWidth="1" min="8" max="8"/>
    <col width="18" customWidth="1" min="9" max="9"/>
    <col width="25" customWidth="1" min="10" max="10"/>
    <col width="30" customWidth="1" min="11" max="11"/>
    <col width="30" customWidth="1" min="12" max="12"/>
  </cols>
  <sheetData>
    <row r="1" ht="25" customHeight="1">
      <c r="A1" s="1" t="inlineStr">
        <is>
          <t>MITRE ATT&amp;CK Technique Coverage</t>
        </is>
      </c>
    </row>
    <row r="2" ht="30" customHeight="1">
      <c r="A2" s="9" t="inlineStr">
        <is>
          <t>Assess threat intelligence coverage of MITRE ATT&amp;CK techniques. Focus on techniques relevant to your threat landscape.</t>
        </is>
      </c>
    </row>
    <row r="4" ht="30" customHeight="1">
      <c r="A4" s="10" t="inlineStr">
        <is>
          <t>Technique ID</t>
        </is>
      </c>
      <c r="B4" s="10" t="inlineStr">
        <is>
          <t>Tactic</t>
        </is>
      </c>
      <c r="C4" s="10" t="inlineStr">
        <is>
          <t>Technique Name</t>
        </is>
      </c>
      <c r="D4" s="10" t="inlineStr">
        <is>
          <t>Sub Technique</t>
        </is>
      </c>
      <c r="E4" s="10" t="inlineStr">
        <is>
          <t>Priority for Org</t>
        </is>
      </c>
      <c r="F4" s="10" t="inlineStr">
        <is>
          <t>Coverage Level</t>
        </is>
      </c>
      <c r="G4" s="10" t="inlineStr">
        <is>
          <t>Intelligence Sources</t>
        </is>
      </c>
      <c r="H4" s="10" t="inlineStr">
        <is>
          <t>Last Intelligence Update</t>
        </is>
      </c>
      <c r="I4" s="10" t="inlineStr">
        <is>
          <t>Detection Capability</t>
        </is>
      </c>
      <c r="J4" s="10" t="inlineStr">
        <is>
          <t>Use Cases Identified</t>
        </is>
      </c>
      <c r="K4" s="10" t="inlineStr">
        <is>
          <t>Gap Analysis</t>
        </is>
      </c>
      <c r="L4" s="10" t="inlineStr">
        <is>
          <t>Notes</t>
        </is>
      </c>
    </row>
    <row r="5">
      <c r="A5" s="12" t="inlineStr">
        <is>
          <t>T1190</t>
        </is>
      </c>
      <c r="B5" s="12" t="inlineStr">
        <is>
          <t>Initial Access</t>
        </is>
      </c>
      <c r="C5" s="12" t="inlineStr">
        <is>
          <t>Exploit Public-Facing Application</t>
        </is>
      </c>
      <c r="D5" s="12" t="inlineStr"/>
      <c r="E5" s="12" t="inlineStr">
        <is>
          <t>Critical</t>
        </is>
      </c>
      <c r="F5" s="12" t="n"/>
      <c r="G5" s="12" t="n"/>
      <c r="H5" s="12" t="n"/>
      <c r="I5" s="12" t="n"/>
      <c r="J5" s="12" t="n"/>
      <c r="K5" s="12" t="n"/>
      <c r="L5" s="12" t="n"/>
    </row>
    <row r="6">
      <c r="A6" s="12" t="inlineStr">
        <is>
          <t>T1566</t>
        </is>
      </c>
      <c r="B6" s="12" t="inlineStr">
        <is>
          <t>Initial Access</t>
        </is>
      </c>
      <c r="C6" s="12" t="inlineStr">
        <is>
          <t>Phishing</t>
        </is>
      </c>
      <c r="D6" s="12" t="inlineStr">
        <is>
          <t>T1566.001 - Spearphishing Attachment</t>
        </is>
      </c>
      <c r="E6" s="12" t="inlineStr">
        <is>
          <t>Critical</t>
        </is>
      </c>
      <c r="F6" s="12" t="n"/>
      <c r="G6" s="12" t="n"/>
      <c r="H6" s="12" t="n"/>
      <c r="I6" s="12" t="n"/>
      <c r="J6" s="12" t="n"/>
      <c r="K6" s="12" t="n"/>
      <c r="L6" s="12" t="n"/>
    </row>
    <row r="7">
      <c r="A7" s="12" t="inlineStr">
        <is>
          <t>T1059</t>
        </is>
      </c>
      <c r="B7" s="12" t="inlineStr">
        <is>
          <t>Execution</t>
        </is>
      </c>
      <c r="C7" s="12" t="inlineStr">
        <is>
          <t>Command and Scripting Interpreter</t>
        </is>
      </c>
      <c r="D7" s="12" t="inlineStr">
        <is>
          <t>T1059.001 - PowerShell</t>
        </is>
      </c>
      <c r="E7" s="12" t="inlineStr">
        <is>
          <t>High</t>
        </is>
      </c>
      <c r="F7" s="12" t="n"/>
      <c r="G7" s="12" t="n"/>
      <c r="H7" s="12" t="n"/>
      <c r="I7" s="12" t="n"/>
      <c r="J7" s="12" t="n"/>
      <c r="K7" s="12" t="n"/>
      <c r="L7" s="12" t="n"/>
    </row>
    <row r="8">
      <c r="A8" s="12" t="inlineStr">
        <is>
          <t>T1078</t>
        </is>
      </c>
      <c r="B8" s="12" t="inlineStr">
        <is>
          <t>Persistence</t>
        </is>
      </c>
      <c r="C8" s="12" t="inlineStr">
        <is>
          <t>Valid Accounts</t>
        </is>
      </c>
      <c r="D8" s="12" t="inlineStr">
        <is>
          <t>T1078.004 - Cloud Accounts</t>
        </is>
      </c>
      <c r="E8" s="12" t="inlineStr">
        <is>
          <t>High</t>
        </is>
      </c>
      <c r="F8" s="12" t="n"/>
      <c r="G8" s="12" t="n"/>
      <c r="H8" s="12" t="n"/>
      <c r="I8" s="12" t="n"/>
      <c r="J8" s="12" t="n"/>
      <c r="K8" s="12" t="n"/>
      <c r="L8" s="12" t="n"/>
    </row>
    <row r="9">
      <c r="A9" s="12" t="inlineStr">
        <is>
          <t>T1053</t>
        </is>
      </c>
      <c r="B9" s="12" t="inlineStr">
        <is>
          <t>Execution</t>
        </is>
      </c>
      <c r="C9" s="12" t="inlineStr">
        <is>
          <t>Scheduled Task/Job</t>
        </is>
      </c>
      <c r="D9" s="12" t="inlineStr"/>
      <c r="E9" s="12" t="inlineStr">
        <is>
          <t>Medium</t>
        </is>
      </c>
      <c r="F9" s="12" t="n"/>
      <c r="G9" s="12" t="n"/>
      <c r="H9" s="12" t="n"/>
      <c r="I9" s="12" t="n"/>
      <c r="J9" s="12" t="n"/>
      <c r="K9" s="12" t="n"/>
      <c r="L9" s="12" t="n"/>
    </row>
    <row r="10">
      <c r="A10" s="12" t="n"/>
      <c r="B10" s="12" t="n"/>
      <c r="C10" s="12" t="n"/>
      <c r="D10" s="12" t="n"/>
      <c r="E10" s="12" t="n"/>
      <c r="F10" s="12" t="n"/>
      <c r="G10" s="12" t="n"/>
      <c r="H10" s="13" t="n"/>
      <c r="I10" s="12" t="n"/>
      <c r="J10" s="12" t="n"/>
      <c r="K10" s="12" t="n"/>
      <c r="L10" s="12" t="n"/>
    </row>
    <row r="11">
      <c r="A11" s="12" t="n"/>
      <c r="B11" s="12" t="n"/>
      <c r="C11" s="12" t="n"/>
      <c r="D11" s="12" t="n"/>
      <c r="E11" s="12" t="n"/>
      <c r="F11" s="12" t="n"/>
      <c r="G11" s="12" t="n"/>
      <c r="H11" s="13" t="n"/>
      <c r="I11" s="12" t="n"/>
      <c r="J11" s="12" t="n"/>
      <c r="K11" s="12" t="n"/>
      <c r="L11" s="12" t="n"/>
    </row>
    <row r="12">
      <c r="A12" s="12" t="n"/>
      <c r="B12" s="12" t="n"/>
      <c r="C12" s="12" t="n"/>
      <c r="D12" s="12" t="n"/>
      <c r="E12" s="12" t="n"/>
      <c r="F12" s="12" t="n"/>
      <c r="G12" s="12" t="n"/>
      <c r="H12" s="13" t="n"/>
      <c r="I12" s="12" t="n"/>
      <c r="J12" s="12" t="n"/>
      <c r="K12" s="12" t="n"/>
      <c r="L12" s="12" t="n"/>
    </row>
    <row r="13">
      <c r="A13" s="12" t="n"/>
      <c r="B13" s="12" t="n"/>
      <c r="C13" s="12" t="n"/>
      <c r="D13" s="12" t="n"/>
      <c r="E13" s="12" t="n"/>
      <c r="F13" s="12" t="n"/>
      <c r="G13" s="12" t="n"/>
      <c r="H13" s="13" t="n"/>
      <c r="I13" s="12" t="n"/>
      <c r="J13" s="12" t="n"/>
      <c r="K13" s="12" t="n"/>
      <c r="L13" s="12" t="n"/>
    </row>
    <row r="14">
      <c r="A14" s="12" t="n"/>
      <c r="B14" s="12" t="n"/>
      <c r="C14" s="12" t="n"/>
      <c r="D14" s="12" t="n"/>
      <c r="E14" s="12" t="n"/>
      <c r="F14" s="12" t="n"/>
      <c r="G14" s="12" t="n"/>
      <c r="H14" s="13" t="n"/>
      <c r="I14" s="12" t="n"/>
      <c r="J14" s="12" t="n"/>
      <c r="K14" s="12" t="n"/>
      <c r="L14" s="12" t="n"/>
    </row>
    <row r="15">
      <c r="A15" s="12" t="n"/>
      <c r="B15" s="12" t="n"/>
      <c r="C15" s="12" t="n"/>
      <c r="D15" s="12" t="n"/>
      <c r="E15" s="12" t="n"/>
      <c r="F15" s="12" t="n"/>
      <c r="G15" s="12" t="n"/>
      <c r="H15" s="13" t="n"/>
      <c r="I15" s="12" t="n"/>
      <c r="J15" s="12" t="n"/>
      <c r="K15" s="12" t="n"/>
      <c r="L15" s="12" t="n"/>
    </row>
    <row r="16">
      <c r="A16" s="12" t="n"/>
      <c r="B16" s="12" t="n"/>
      <c r="C16" s="12" t="n"/>
      <c r="D16" s="12" t="n"/>
      <c r="E16" s="12" t="n"/>
      <c r="F16" s="12" t="n"/>
      <c r="G16" s="12" t="n"/>
      <c r="H16" s="13" t="n"/>
      <c r="I16" s="12" t="n"/>
      <c r="J16" s="12" t="n"/>
      <c r="K16" s="12" t="n"/>
      <c r="L16" s="12" t="n"/>
    </row>
    <row r="17">
      <c r="A17" s="12" t="n"/>
      <c r="B17" s="12" t="n"/>
      <c r="C17" s="12" t="n"/>
      <c r="D17" s="12" t="n"/>
      <c r="E17" s="12" t="n"/>
      <c r="F17" s="12" t="n"/>
      <c r="G17" s="12" t="n"/>
      <c r="H17" s="13" t="n"/>
      <c r="I17" s="12" t="n"/>
      <c r="J17" s="12" t="n"/>
      <c r="K17" s="12" t="n"/>
      <c r="L17" s="12" t="n"/>
    </row>
    <row r="18">
      <c r="A18" s="12" t="n"/>
      <c r="B18" s="12" t="n"/>
      <c r="C18" s="12" t="n"/>
      <c r="D18" s="12" t="n"/>
      <c r="E18" s="12" t="n"/>
      <c r="F18" s="12" t="n"/>
      <c r="G18" s="12" t="n"/>
      <c r="H18" s="13" t="n"/>
      <c r="I18" s="12" t="n"/>
      <c r="J18" s="12" t="n"/>
      <c r="K18" s="12" t="n"/>
      <c r="L18" s="12" t="n"/>
    </row>
    <row r="19">
      <c r="A19" s="12" t="n"/>
      <c r="B19" s="12" t="n"/>
      <c r="C19" s="12" t="n"/>
      <c r="D19" s="12" t="n"/>
      <c r="E19" s="12" t="n"/>
      <c r="F19" s="12" t="n"/>
      <c r="G19" s="12" t="n"/>
      <c r="H19" s="13" t="n"/>
      <c r="I19" s="12" t="n"/>
      <c r="J19" s="12" t="n"/>
      <c r="K19" s="12" t="n"/>
      <c r="L19" s="12" t="n"/>
    </row>
    <row r="20">
      <c r="A20" s="12" t="n"/>
      <c r="B20" s="12" t="n"/>
      <c r="C20" s="12" t="n"/>
      <c r="D20" s="12" t="n"/>
      <c r="E20" s="12" t="n"/>
      <c r="F20" s="12" t="n"/>
      <c r="G20" s="12" t="n"/>
      <c r="H20" s="13" t="n"/>
      <c r="I20" s="12" t="n"/>
      <c r="J20" s="12" t="n"/>
      <c r="K20" s="12" t="n"/>
      <c r="L20" s="12" t="n"/>
    </row>
    <row r="21">
      <c r="A21" s="12" t="n"/>
      <c r="B21" s="12" t="n"/>
      <c r="C21" s="12" t="n"/>
      <c r="D21" s="12" t="n"/>
      <c r="E21" s="12" t="n"/>
      <c r="F21" s="12" t="n"/>
      <c r="G21" s="12" t="n"/>
      <c r="H21" s="13" t="n"/>
      <c r="I21" s="12" t="n"/>
      <c r="J21" s="12" t="n"/>
      <c r="K21" s="12" t="n"/>
      <c r="L21" s="12" t="n"/>
    </row>
    <row r="22">
      <c r="A22" s="12" t="n"/>
      <c r="B22" s="12" t="n"/>
      <c r="C22" s="12" t="n"/>
      <c r="D22" s="12" t="n"/>
      <c r="E22" s="12" t="n"/>
      <c r="F22" s="12" t="n"/>
      <c r="G22" s="12" t="n"/>
      <c r="H22" s="13" t="n"/>
      <c r="I22" s="12" t="n"/>
      <c r="J22" s="12" t="n"/>
      <c r="K22" s="12" t="n"/>
      <c r="L22" s="12" t="n"/>
    </row>
    <row r="23">
      <c r="A23" s="12" t="n"/>
      <c r="B23" s="12" t="n"/>
      <c r="C23" s="12" t="n"/>
      <c r="D23" s="12" t="n"/>
      <c r="E23" s="12" t="n"/>
      <c r="F23" s="12" t="n"/>
      <c r="G23" s="12" t="n"/>
      <c r="H23" s="13" t="n"/>
      <c r="I23" s="12" t="n"/>
      <c r="J23" s="12" t="n"/>
      <c r="K23" s="12" t="n"/>
      <c r="L23" s="12" t="n"/>
    </row>
    <row r="24">
      <c r="A24" s="12" t="n"/>
      <c r="B24" s="12" t="n"/>
      <c r="C24" s="12" t="n"/>
      <c r="D24" s="12" t="n"/>
      <c r="E24" s="12" t="n"/>
      <c r="F24" s="12" t="n"/>
      <c r="G24" s="12" t="n"/>
      <c r="H24" s="13" t="n"/>
      <c r="I24" s="12" t="n"/>
      <c r="J24" s="12" t="n"/>
      <c r="K24" s="12" t="n"/>
      <c r="L24" s="12" t="n"/>
    </row>
    <row r="25">
      <c r="A25" s="12" t="n"/>
      <c r="B25" s="12" t="n"/>
      <c r="C25" s="12" t="n"/>
      <c r="D25" s="12" t="n"/>
      <c r="E25" s="12" t="n"/>
      <c r="F25" s="12" t="n"/>
      <c r="G25" s="12" t="n"/>
      <c r="H25" s="13" t="n"/>
      <c r="I25" s="12" t="n"/>
      <c r="J25" s="12" t="n"/>
      <c r="K25" s="12" t="n"/>
      <c r="L25" s="12" t="n"/>
    </row>
    <row r="26">
      <c r="A26" s="12" t="n"/>
      <c r="B26" s="12" t="n"/>
      <c r="C26" s="12" t="n"/>
      <c r="D26" s="12" t="n"/>
      <c r="E26" s="12" t="n"/>
      <c r="F26" s="12" t="n"/>
      <c r="G26" s="12" t="n"/>
      <c r="H26" s="13" t="n"/>
      <c r="I26" s="12" t="n"/>
      <c r="J26" s="12" t="n"/>
      <c r="K26" s="12" t="n"/>
      <c r="L26" s="12" t="n"/>
    </row>
    <row r="27">
      <c r="A27" s="12" t="n"/>
      <c r="B27" s="12" t="n"/>
      <c r="C27" s="12" t="n"/>
      <c r="D27" s="12" t="n"/>
      <c r="E27" s="12" t="n"/>
      <c r="F27" s="12" t="n"/>
      <c r="G27" s="12" t="n"/>
      <c r="H27" s="13" t="n"/>
      <c r="I27" s="12" t="n"/>
      <c r="J27" s="12" t="n"/>
      <c r="K27" s="12" t="n"/>
      <c r="L27" s="12" t="n"/>
    </row>
    <row r="28">
      <c r="A28" s="12" t="n"/>
      <c r="B28" s="12" t="n"/>
      <c r="C28" s="12" t="n"/>
      <c r="D28" s="12" t="n"/>
      <c r="E28" s="12" t="n"/>
      <c r="F28" s="12" t="n"/>
      <c r="G28" s="12" t="n"/>
      <c r="H28" s="13" t="n"/>
      <c r="I28" s="12" t="n"/>
      <c r="J28" s="12" t="n"/>
      <c r="K28" s="12" t="n"/>
      <c r="L28" s="12" t="n"/>
    </row>
    <row r="29">
      <c r="A29" s="12" t="n"/>
      <c r="B29" s="12" t="n"/>
      <c r="C29" s="12" t="n"/>
      <c r="D29" s="12" t="n"/>
      <c r="E29" s="12" t="n"/>
      <c r="F29" s="12" t="n"/>
      <c r="G29" s="12" t="n"/>
      <c r="H29" s="13" t="n"/>
      <c r="I29" s="12" t="n"/>
      <c r="J29" s="12" t="n"/>
      <c r="K29" s="12" t="n"/>
      <c r="L29" s="12" t="n"/>
    </row>
    <row r="30">
      <c r="A30" s="12" t="n"/>
      <c r="B30" s="12" t="n"/>
      <c r="C30" s="12" t="n"/>
      <c r="D30" s="12" t="n"/>
      <c r="E30" s="12" t="n"/>
      <c r="F30" s="12" t="n"/>
      <c r="G30" s="12" t="n"/>
      <c r="H30" s="13" t="n"/>
      <c r="I30" s="12" t="n"/>
      <c r="J30" s="12" t="n"/>
      <c r="K30" s="12" t="n"/>
      <c r="L30" s="12" t="n"/>
    </row>
    <row r="31">
      <c r="A31" s="12" t="n"/>
      <c r="B31" s="12" t="n"/>
      <c r="C31" s="12" t="n"/>
      <c r="D31" s="12" t="n"/>
      <c r="E31" s="12" t="n"/>
      <c r="F31" s="12" t="n"/>
      <c r="G31" s="12" t="n"/>
      <c r="H31" s="13" t="n"/>
      <c r="I31" s="12" t="n"/>
      <c r="J31" s="12" t="n"/>
      <c r="K31" s="12" t="n"/>
      <c r="L31" s="12" t="n"/>
    </row>
    <row r="32">
      <c r="A32" s="12" t="n"/>
      <c r="B32" s="12" t="n"/>
      <c r="C32" s="12" t="n"/>
      <c r="D32" s="12" t="n"/>
      <c r="E32" s="12" t="n"/>
      <c r="F32" s="12" t="n"/>
      <c r="G32" s="12" t="n"/>
      <c r="H32" s="13" t="n"/>
      <c r="I32" s="12" t="n"/>
      <c r="J32" s="12" t="n"/>
      <c r="K32" s="12" t="n"/>
      <c r="L32" s="12" t="n"/>
    </row>
    <row r="33">
      <c r="A33" s="12" t="n"/>
      <c r="B33" s="12" t="n"/>
      <c r="C33" s="12" t="n"/>
      <c r="D33" s="12" t="n"/>
      <c r="E33" s="12" t="n"/>
      <c r="F33" s="12" t="n"/>
      <c r="G33" s="12" t="n"/>
      <c r="H33" s="13" t="n"/>
      <c r="I33" s="12" t="n"/>
      <c r="J33" s="12" t="n"/>
      <c r="K33" s="12" t="n"/>
      <c r="L33" s="12" t="n"/>
    </row>
    <row r="34">
      <c r="A34" s="12" t="n"/>
      <c r="B34" s="12" t="n"/>
      <c r="C34" s="12" t="n"/>
      <c r="D34" s="12" t="n"/>
      <c r="E34" s="12" t="n"/>
      <c r="F34" s="12" t="n"/>
      <c r="G34" s="12" t="n"/>
      <c r="H34" s="13" t="n"/>
      <c r="I34" s="12" t="n"/>
      <c r="J34" s="12" t="n"/>
      <c r="K34" s="12" t="n"/>
      <c r="L34" s="12" t="n"/>
    </row>
    <row r="35">
      <c r="A35" s="12" t="n"/>
      <c r="B35" s="12" t="n"/>
      <c r="C35" s="12" t="n"/>
      <c r="D35" s="12" t="n"/>
      <c r="E35" s="12" t="n"/>
      <c r="F35" s="12" t="n"/>
      <c r="G35" s="12" t="n"/>
      <c r="H35" s="13" t="n"/>
      <c r="I35" s="12" t="n"/>
      <c r="J35" s="12" t="n"/>
      <c r="K35" s="12" t="n"/>
      <c r="L35" s="12" t="n"/>
    </row>
    <row r="36">
      <c r="A36" s="12" t="n"/>
      <c r="B36" s="12" t="n"/>
      <c r="C36" s="12" t="n"/>
      <c r="D36" s="12" t="n"/>
      <c r="E36" s="12" t="n"/>
      <c r="F36" s="12" t="n"/>
      <c r="G36" s="12" t="n"/>
      <c r="H36" s="13" t="n"/>
      <c r="I36" s="12" t="n"/>
      <c r="J36" s="12" t="n"/>
      <c r="K36" s="12" t="n"/>
      <c r="L36" s="12" t="n"/>
    </row>
    <row r="37">
      <c r="A37" s="12" t="n"/>
      <c r="B37" s="12" t="n"/>
      <c r="C37" s="12" t="n"/>
      <c r="D37" s="12" t="n"/>
      <c r="E37" s="12" t="n"/>
      <c r="F37" s="12" t="n"/>
      <c r="G37" s="12" t="n"/>
      <c r="H37" s="13" t="n"/>
      <c r="I37" s="12" t="n"/>
      <c r="J37" s="12" t="n"/>
      <c r="K37" s="12" t="n"/>
      <c r="L37" s="12" t="n"/>
    </row>
    <row r="38">
      <c r="A38" s="12" t="n"/>
      <c r="B38" s="12" t="n"/>
      <c r="C38" s="12" t="n"/>
      <c r="D38" s="12" t="n"/>
      <c r="E38" s="12" t="n"/>
      <c r="F38" s="12" t="n"/>
      <c r="G38" s="12" t="n"/>
      <c r="H38" s="13" t="n"/>
      <c r="I38" s="12" t="n"/>
      <c r="J38" s="12" t="n"/>
      <c r="K38" s="12" t="n"/>
      <c r="L38" s="12" t="n"/>
    </row>
    <row r="39">
      <c r="A39" s="12" t="n"/>
      <c r="B39" s="12" t="n"/>
      <c r="C39" s="12" t="n"/>
      <c r="D39" s="12" t="n"/>
      <c r="E39" s="12" t="n"/>
      <c r="F39" s="12" t="n"/>
      <c r="G39" s="12" t="n"/>
      <c r="H39" s="13" t="n"/>
      <c r="I39" s="12" t="n"/>
      <c r="J39" s="12" t="n"/>
      <c r="K39" s="12" t="n"/>
      <c r="L39" s="12" t="n"/>
    </row>
    <row r="40">
      <c r="A40" s="12" t="n"/>
      <c r="B40" s="12" t="n"/>
      <c r="C40" s="12" t="n"/>
      <c r="D40" s="12" t="n"/>
      <c r="E40" s="12" t="n"/>
      <c r="F40" s="12" t="n"/>
      <c r="G40" s="12" t="n"/>
      <c r="H40" s="13" t="n"/>
      <c r="I40" s="12" t="n"/>
      <c r="J40" s="12" t="n"/>
      <c r="K40" s="12" t="n"/>
      <c r="L40" s="12" t="n"/>
    </row>
    <row r="41">
      <c r="A41" s="12" t="n"/>
      <c r="B41" s="12" t="n"/>
      <c r="C41" s="12" t="n"/>
      <c r="D41" s="12" t="n"/>
      <c r="E41" s="12" t="n"/>
      <c r="F41" s="12" t="n"/>
      <c r="G41" s="12" t="n"/>
      <c r="H41" s="13" t="n"/>
      <c r="I41" s="12" t="n"/>
      <c r="J41" s="12" t="n"/>
      <c r="K41" s="12" t="n"/>
      <c r="L41" s="12" t="n"/>
    </row>
    <row r="42">
      <c r="A42" s="12" t="n"/>
      <c r="B42" s="12" t="n"/>
      <c r="C42" s="12" t="n"/>
      <c r="D42" s="12" t="n"/>
      <c r="E42" s="12" t="n"/>
      <c r="F42" s="12" t="n"/>
      <c r="G42" s="12" t="n"/>
      <c r="H42" s="13" t="n"/>
      <c r="I42" s="12" t="n"/>
      <c r="J42" s="12" t="n"/>
      <c r="K42" s="12" t="n"/>
      <c r="L42" s="12" t="n"/>
    </row>
    <row r="43">
      <c r="A43" s="12" t="n"/>
      <c r="B43" s="12" t="n"/>
      <c r="C43" s="12" t="n"/>
      <c r="D43" s="12" t="n"/>
      <c r="E43" s="12" t="n"/>
      <c r="F43" s="12" t="n"/>
      <c r="G43" s="12" t="n"/>
      <c r="H43" s="13" t="n"/>
      <c r="I43" s="12" t="n"/>
      <c r="J43" s="12" t="n"/>
      <c r="K43" s="12" t="n"/>
      <c r="L43" s="12" t="n"/>
    </row>
    <row r="44">
      <c r="A44" s="12" t="n"/>
      <c r="B44" s="12" t="n"/>
      <c r="C44" s="12" t="n"/>
      <c r="D44" s="12" t="n"/>
      <c r="E44" s="12" t="n"/>
      <c r="F44" s="12" t="n"/>
      <c r="G44" s="12" t="n"/>
      <c r="H44" s="13" t="n"/>
      <c r="I44" s="12" t="n"/>
      <c r="J44" s="12" t="n"/>
      <c r="K44" s="12" t="n"/>
      <c r="L44" s="12" t="n"/>
    </row>
    <row r="45">
      <c r="A45" s="12" t="n"/>
      <c r="B45" s="12" t="n"/>
      <c r="C45" s="12" t="n"/>
      <c r="D45" s="12" t="n"/>
      <c r="E45" s="12" t="n"/>
      <c r="F45" s="12" t="n"/>
      <c r="G45" s="12" t="n"/>
      <c r="H45" s="13" t="n"/>
      <c r="I45" s="12" t="n"/>
      <c r="J45" s="12" t="n"/>
      <c r="K45" s="12" t="n"/>
      <c r="L45" s="12" t="n"/>
    </row>
    <row r="46">
      <c r="A46" s="12" t="n"/>
      <c r="B46" s="12" t="n"/>
      <c r="C46" s="12" t="n"/>
      <c r="D46" s="12" t="n"/>
      <c r="E46" s="12" t="n"/>
      <c r="F46" s="12" t="n"/>
      <c r="G46" s="12" t="n"/>
      <c r="H46" s="13" t="n"/>
      <c r="I46" s="12" t="n"/>
      <c r="J46" s="12" t="n"/>
      <c r="K46" s="12" t="n"/>
      <c r="L46" s="12" t="n"/>
    </row>
    <row r="47">
      <c r="A47" s="12" t="n"/>
      <c r="B47" s="12" t="n"/>
      <c r="C47" s="12" t="n"/>
      <c r="D47" s="12" t="n"/>
      <c r="E47" s="12" t="n"/>
      <c r="F47" s="12" t="n"/>
      <c r="G47" s="12" t="n"/>
      <c r="H47" s="13" t="n"/>
      <c r="I47" s="12" t="n"/>
      <c r="J47" s="12" t="n"/>
      <c r="K47" s="12" t="n"/>
      <c r="L47" s="12" t="n"/>
    </row>
    <row r="48">
      <c r="A48" s="12" t="n"/>
      <c r="B48" s="12" t="n"/>
      <c r="C48" s="12" t="n"/>
      <c r="D48" s="12" t="n"/>
      <c r="E48" s="12" t="n"/>
      <c r="F48" s="12" t="n"/>
      <c r="G48" s="12" t="n"/>
      <c r="H48" s="13" t="n"/>
      <c r="I48" s="12" t="n"/>
      <c r="J48" s="12" t="n"/>
      <c r="K48" s="12" t="n"/>
      <c r="L48" s="12" t="n"/>
    </row>
    <row r="49">
      <c r="A49" s="12" t="n"/>
      <c r="B49" s="12" t="n"/>
      <c r="C49" s="12" t="n"/>
      <c r="D49" s="12" t="n"/>
      <c r="E49" s="12" t="n"/>
      <c r="F49" s="12" t="n"/>
      <c r="G49" s="12" t="n"/>
      <c r="H49" s="13" t="n"/>
      <c r="I49" s="12" t="n"/>
      <c r="J49" s="12" t="n"/>
      <c r="K49" s="12" t="n"/>
      <c r="L49" s="12" t="n"/>
    </row>
    <row r="50">
      <c r="A50" s="12" t="n"/>
      <c r="B50" s="12" t="n"/>
      <c r="C50" s="12" t="n"/>
      <c r="D50" s="12" t="n"/>
      <c r="E50" s="12" t="n"/>
      <c r="F50" s="12" t="n"/>
      <c r="G50" s="12" t="n"/>
      <c r="H50" s="13" t="n"/>
      <c r="I50" s="12" t="n"/>
      <c r="J50" s="12" t="n"/>
      <c r="K50" s="12" t="n"/>
      <c r="L50" s="12" t="n"/>
    </row>
    <row r="51">
      <c r="A51" s="12" t="n"/>
      <c r="B51" s="12" t="n"/>
      <c r="C51" s="12" t="n"/>
      <c r="D51" s="12" t="n"/>
      <c r="E51" s="12" t="n"/>
      <c r="F51" s="12" t="n"/>
      <c r="G51" s="12" t="n"/>
      <c r="H51" s="13" t="n"/>
      <c r="I51" s="12" t="n"/>
      <c r="J51" s="12" t="n"/>
      <c r="K51" s="12" t="n"/>
      <c r="L51" s="12" t="n"/>
    </row>
    <row r="52">
      <c r="A52" s="12" t="n"/>
      <c r="B52" s="12" t="n"/>
      <c r="C52" s="12" t="n"/>
      <c r="D52" s="12" t="n"/>
      <c r="E52" s="12" t="n"/>
      <c r="F52" s="12" t="n"/>
      <c r="G52" s="12" t="n"/>
      <c r="H52" s="13" t="n"/>
      <c r="I52" s="12" t="n"/>
      <c r="J52" s="12" t="n"/>
      <c r="K52" s="12" t="n"/>
      <c r="L52" s="12" t="n"/>
    </row>
    <row r="53">
      <c r="A53" s="12" t="n"/>
      <c r="B53" s="12" t="n"/>
      <c r="C53" s="12" t="n"/>
      <c r="D53" s="12" t="n"/>
      <c r="E53" s="12" t="n"/>
      <c r="F53" s="12" t="n"/>
      <c r="G53" s="12" t="n"/>
      <c r="H53" s="13" t="n"/>
      <c r="I53" s="12" t="n"/>
      <c r="J53" s="12" t="n"/>
      <c r="K53" s="12" t="n"/>
      <c r="L53" s="12" t="n"/>
    </row>
    <row r="54">
      <c r="A54" s="12" t="n"/>
      <c r="B54" s="12" t="n"/>
      <c r="C54" s="12" t="n"/>
      <c r="D54" s="12" t="n"/>
      <c r="E54" s="12" t="n"/>
      <c r="F54" s="12" t="n"/>
      <c r="G54" s="12" t="n"/>
      <c r="H54" s="13" t="n"/>
      <c r="I54" s="12" t="n"/>
      <c r="J54" s="12" t="n"/>
      <c r="K54" s="12" t="n"/>
      <c r="L54" s="12" t="n"/>
    </row>
    <row r="55">
      <c r="A55" s="12" t="n"/>
      <c r="B55" s="12" t="n"/>
      <c r="C55" s="12" t="n"/>
      <c r="D55" s="12" t="n"/>
      <c r="E55" s="12" t="n"/>
      <c r="F55" s="12" t="n"/>
      <c r="G55" s="12" t="n"/>
      <c r="H55" s="13" t="n"/>
      <c r="I55" s="12" t="n"/>
      <c r="J55" s="12" t="n"/>
      <c r="K55" s="12" t="n"/>
      <c r="L55" s="12" t="n"/>
    </row>
    <row r="56">
      <c r="A56" s="12" t="n"/>
      <c r="B56" s="12" t="n"/>
      <c r="C56" s="12" t="n"/>
      <c r="D56" s="12" t="n"/>
      <c r="E56" s="12" t="n"/>
      <c r="F56" s="12" t="n"/>
      <c r="G56" s="12" t="n"/>
      <c r="H56" s="13" t="n"/>
      <c r="I56" s="12" t="n"/>
      <c r="J56" s="12" t="n"/>
      <c r="K56" s="12" t="n"/>
      <c r="L56" s="12" t="n"/>
    </row>
    <row r="57">
      <c r="A57" s="12" t="n"/>
      <c r="B57" s="12" t="n"/>
      <c r="C57" s="12" t="n"/>
      <c r="D57" s="12" t="n"/>
      <c r="E57" s="12" t="n"/>
      <c r="F57" s="12" t="n"/>
      <c r="G57" s="12" t="n"/>
      <c r="H57" s="13" t="n"/>
      <c r="I57" s="12" t="n"/>
      <c r="J57" s="12" t="n"/>
      <c r="K57" s="12" t="n"/>
      <c r="L57" s="12" t="n"/>
    </row>
    <row r="58">
      <c r="A58" s="12" t="n"/>
      <c r="B58" s="12" t="n"/>
      <c r="C58" s="12" t="n"/>
      <c r="D58" s="12" t="n"/>
      <c r="E58" s="12" t="n"/>
      <c r="F58" s="12" t="n"/>
      <c r="G58" s="12" t="n"/>
      <c r="H58" s="13" t="n"/>
      <c r="I58" s="12" t="n"/>
      <c r="J58" s="12" t="n"/>
      <c r="K58" s="12" t="n"/>
      <c r="L58" s="12" t="n"/>
    </row>
    <row r="59">
      <c r="A59" s="12" t="n"/>
      <c r="B59" s="12" t="n"/>
      <c r="C59" s="12" t="n"/>
      <c r="D59" s="12" t="n"/>
      <c r="E59" s="12" t="n"/>
      <c r="F59" s="12" t="n"/>
      <c r="G59" s="12" t="n"/>
      <c r="H59" s="13" t="n"/>
      <c r="I59" s="12" t="n"/>
      <c r="J59" s="12" t="n"/>
      <c r="K59" s="12" t="n"/>
      <c r="L59" s="12" t="n"/>
    </row>
    <row r="60">
      <c r="A60" s="12" t="n"/>
      <c r="B60" s="12" t="n"/>
      <c r="C60" s="12" t="n"/>
      <c r="D60" s="12" t="n"/>
      <c r="E60" s="12" t="n"/>
      <c r="F60" s="12" t="n"/>
      <c r="G60" s="12" t="n"/>
      <c r="H60" s="13" t="n"/>
      <c r="I60" s="12" t="n"/>
      <c r="J60" s="12" t="n"/>
      <c r="K60" s="12" t="n"/>
      <c r="L60" s="12" t="n"/>
    </row>
    <row r="61">
      <c r="A61" s="12" t="n"/>
      <c r="B61" s="12" t="n"/>
      <c r="C61" s="12" t="n"/>
      <c r="D61" s="12" t="n"/>
      <c r="E61" s="12" t="n"/>
      <c r="F61" s="12" t="n"/>
      <c r="G61" s="12" t="n"/>
      <c r="H61" s="13" t="n"/>
      <c r="I61" s="12" t="n"/>
      <c r="J61" s="12" t="n"/>
      <c r="K61" s="12" t="n"/>
      <c r="L61" s="12" t="n"/>
    </row>
    <row r="62">
      <c r="A62" s="12" t="n"/>
      <c r="B62" s="12" t="n"/>
      <c r="C62" s="12" t="n"/>
      <c r="D62" s="12" t="n"/>
      <c r="E62" s="12" t="n"/>
      <c r="F62" s="12" t="n"/>
      <c r="G62" s="12" t="n"/>
      <c r="H62" s="13" t="n"/>
      <c r="I62" s="12" t="n"/>
      <c r="J62" s="12" t="n"/>
      <c r="K62" s="12" t="n"/>
      <c r="L62" s="12" t="n"/>
    </row>
    <row r="63">
      <c r="A63" s="12" t="n"/>
      <c r="B63" s="12" t="n"/>
      <c r="C63" s="12" t="n"/>
      <c r="D63" s="12" t="n"/>
      <c r="E63" s="12" t="n"/>
      <c r="F63" s="12" t="n"/>
      <c r="G63" s="12" t="n"/>
      <c r="H63" s="13" t="n"/>
      <c r="I63" s="12" t="n"/>
      <c r="J63" s="12" t="n"/>
      <c r="K63" s="12" t="n"/>
      <c r="L63" s="12" t="n"/>
    </row>
    <row r="64">
      <c r="A64" s="12" t="n"/>
      <c r="B64" s="12" t="n"/>
      <c r="C64" s="12" t="n"/>
      <c r="D64" s="12" t="n"/>
      <c r="E64" s="12" t="n"/>
      <c r="F64" s="12" t="n"/>
      <c r="G64" s="12" t="n"/>
      <c r="H64" s="13" t="n"/>
      <c r="I64" s="12" t="n"/>
      <c r="J64" s="12" t="n"/>
      <c r="K64" s="12" t="n"/>
      <c r="L64" s="12" t="n"/>
    </row>
    <row r="65">
      <c r="A65" s="12" t="n"/>
      <c r="B65" s="12" t="n"/>
      <c r="C65" s="12" t="n"/>
      <c r="D65" s="12" t="n"/>
      <c r="E65" s="12" t="n"/>
      <c r="F65" s="12" t="n"/>
      <c r="G65" s="12" t="n"/>
      <c r="H65" s="13" t="n"/>
      <c r="I65" s="12" t="n"/>
      <c r="J65" s="12" t="n"/>
      <c r="K65" s="12" t="n"/>
      <c r="L65" s="12" t="n"/>
    </row>
    <row r="66">
      <c r="A66" s="12" t="n"/>
      <c r="B66" s="12" t="n"/>
      <c r="C66" s="12" t="n"/>
      <c r="D66" s="12" t="n"/>
      <c r="E66" s="12" t="n"/>
      <c r="F66" s="12" t="n"/>
      <c r="G66" s="12" t="n"/>
      <c r="H66" s="13" t="n"/>
      <c r="I66" s="12" t="n"/>
      <c r="J66" s="12" t="n"/>
      <c r="K66" s="12" t="n"/>
      <c r="L66" s="12" t="n"/>
    </row>
    <row r="67">
      <c r="A67" s="12" t="n"/>
      <c r="B67" s="12" t="n"/>
      <c r="C67" s="12" t="n"/>
      <c r="D67" s="12" t="n"/>
      <c r="E67" s="12" t="n"/>
      <c r="F67" s="12" t="n"/>
      <c r="G67" s="12" t="n"/>
      <c r="H67" s="13" t="n"/>
      <c r="I67" s="12" t="n"/>
      <c r="J67" s="12" t="n"/>
      <c r="K67" s="12" t="n"/>
      <c r="L67" s="12" t="n"/>
    </row>
    <row r="68">
      <c r="A68" s="12" t="n"/>
      <c r="B68" s="12" t="n"/>
      <c r="C68" s="12" t="n"/>
      <c r="D68" s="12" t="n"/>
      <c r="E68" s="12" t="n"/>
      <c r="F68" s="12" t="n"/>
      <c r="G68" s="12" t="n"/>
      <c r="H68" s="13" t="n"/>
      <c r="I68" s="12" t="n"/>
      <c r="J68" s="12" t="n"/>
      <c r="K68" s="12" t="n"/>
      <c r="L68" s="12" t="n"/>
    </row>
    <row r="69">
      <c r="A69" s="12" t="n"/>
      <c r="B69" s="12" t="n"/>
      <c r="C69" s="12" t="n"/>
      <c r="D69" s="12" t="n"/>
      <c r="E69" s="12" t="n"/>
      <c r="F69" s="12" t="n"/>
      <c r="G69" s="12" t="n"/>
      <c r="H69" s="13" t="n"/>
      <c r="I69" s="12" t="n"/>
      <c r="J69" s="12" t="n"/>
      <c r="K69" s="12" t="n"/>
      <c r="L69" s="12" t="n"/>
    </row>
    <row r="70">
      <c r="A70" s="12" t="n"/>
      <c r="B70" s="12" t="n"/>
      <c r="C70" s="12" t="n"/>
      <c r="D70" s="12" t="n"/>
      <c r="E70" s="12" t="n"/>
      <c r="F70" s="12" t="n"/>
      <c r="G70" s="12" t="n"/>
      <c r="H70" s="13" t="n"/>
      <c r="I70" s="12" t="n"/>
      <c r="J70" s="12" t="n"/>
      <c r="K70" s="12" t="n"/>
      <c r="L70" s="12" t="n"/>
    </row>
    <row r="71">
      <c r="A71" s="12" t="n"/>
      <c r="B71" s="12" t="n"/>
      <c r="C71" s="12" t="n"/>
      <c r="D71" s="12" t="n"/>
      <c r="E71" s="12" t="n"/>
      <c r="F71" s="12" t="n"/>
      <c r="G71" s="12" t="n"/>
      <c r="H71" s="13" t="n"/>
      <c r="I71" s="12" t="n"/>
      <c r="J71" s="12" t="n"/>
      <c r="K71" s="12" t="n"/>
      <c r="L71" s="12" t="n"/>
    </row>
    <row r="72">
      <c r="A72" s="12" t="n"/>
      <c r="B72" s="12" t="n"/>
      <c r="C72" s="12" t="n"/>
      <c r="D72" s="12" t="n"/>
      <c r="E72" s="12" t="n"/>
      <c r="F72" s="12" t="n"/>
      <c r="G72" s="12" t="n"/>
      <c r="H72" s="13" t="n"/>
      <c r="I72" s="12" t="n"/>
      <c r="J72" s="12" t="n"/>
      <c r="K72" s="12" t="n"/>
      <c r="L72" s="12" t="n"/>
    </row>
    <row r="73">
      <c r="A73" s="12" t="n"/>
      <c r="B73" s="12" t="n"/>
      <c r="C73" s="12" t="n"/>
      <c r="D73" s="12" t="n"/>
      <c r="E73" s="12" t="n"/>
      <c r="F73" s="12" t="n"/>
      <c r="G73" s="12" t="n"/>
      <c r="H73" s="13" t="n"/>
      <c r="I73" s="12" t="n"/>
      <c r="J73" s="12" t="n"/>
      <c r="K73" s="12" t="n"/>
      <c r="L73" s="12" t="n"/>
    </row>
    <row r="74">
      <c r="A74" s="12" t="n"/>
      <c r="B74" s="12" t="n"/>
      <c r="C74" s="12" t="n"/>
      <c r="D74" s="12" t="n"/>
      <c r="E74" s="12" t="n"/>
      <c r="F74" s="12" t="n"/>
      <c r="G74" s="12" t="n"/>
      <c r="H74" s="13" t="n"/>
      <c r="I74" s="12" t="n"/>
      <c r="J74" s="12" t="n"/>
      <c r="K74" s="12" t="n"/>
      <c r="L74" s="12" t="n"/>
    </row>
    <row r="75">
      <c r="A75" s="12" t="n"/>
      <c r="B75" s="12" t="n"/>
      <c r="C75" s="12" t="n"/>
      <c r="D75" s="12" t="n"/>
      <c r="E75" s="12" t="n"/>
      <c r="F75" s="12" t="n"/>
      <c r="G75" s="12" t="n"/>
      <c r="H75" s="13" t="n"/>
      <c r="I75" s="12" t="n"/>
      <c r="J75" s="12" t="n"/>
      <c r="K75" s="12" t="n"/>
      <c r="L75" s="12" t="n"/>
    </row>
    <row r="76">
      <c r="A76" s="12" t="n"/>
      <c r="B76" s="12" t="n"/>
      <c r="C76" s="12" t="n"/>
      <c r="D76" s="12" t="n"/>
      <c r="E76" s="12" t="n"/>
      <c r="F76" s="12" t="n"/>
      <c r="G76" s="12" t="n"/>
      <c r="H76" s="13" t="n"/>
      <c r="I76" s="12" t="n"/>
      <c r="J76" s="12" t="n"/>
      <c r="K76" s="12" t="n"/>
      <c r="L76" s="12" t="n"/>
    </row>
    <row r="77">
      <c r="A77" s="12" t="n"/>
      <c r="B77" s="12" t="n"/>
      <c r="C77" s="12" t="n"/>
      <c r="D77" s="12" t="n"/>
      <c r="E77" s="12" t="n"/>
      <c r="F77" s="12" t="n"/>
      <c r="G77" s="12" t="n"/>
      <c r="H77" s="13" t="n"/>
      <c r="I77" s="12" t="n"/>
      <c r="J77" s="12" t="n"/>
      <c r="K77" s="12" t="n"/>
      <c r="L77" s="12" t="n"/>
    </row>
    <row r="78">
      <c r="A78" s="12" t="n"/>
      <c r="B78" s="12" t="n"/>
      <c r="C78" s="12" t="n"/>
      <c r="D78" s="12" t="n"/>
      <c r="E78" s="12" t="n"/>
      <c r="F78" s="12" t="n"/>
      <c r="G78" s="12" t="n"/>
      <c r="H78" s="13" t="n"/>
      <c r="I78" s="12" t="n"/>
      <c r="J78" s="12" t="n"/>
      <c r="K78" s="12" t="n"/>
      <c r="L78" s="12" t="n"/>
    </row>
    <row r="79">
      <c r="A79" s="12" t="n"/>
      <c r="B79" s="12" t="n"/>
      <c r="C79" s="12" t="n"/>
      <c r="D79" s="12" t="n"/>
      <c r="E79" s="12" t="n"/>
      <c r="F79" s="12" t="n"/>
      <c r="G79" s="12" t="n"/>
      <c r="H79" s="13" t="n"/>
      <c r="I79" s="12" t="n"/>
      <c r="J79" s="12" t="n"/>
      <c r="K79" s="12" t="n"/>
      <c r="L79" s="12" t="n"/>
    </row>
    <row r="80">
      <c r="A80" s="12" t="n"/>
      <c r="B80" s="12" t="n"/>
      <c r="C80" s="12" t="n"/>
      <c r="D80" s="12" t="n"/>
      <c r="E80" s="12" t="n"/>
      <c r="F80" s="12" t="n"/>
      <c r="G80" s="12" t="n"/>
      <c r="H80" s="13" t="n"/>
      <c r="I80" s="12" t="n"/>
      <c r="J80" s="12" t="n"/>
      <c r="K80" s="12" t="n"/>
      <c r="L80" s="12" t="n"/>
    </row>
    <row r="81">
      <c r="A81" s="12" t="n"/>
      <c r="B81" s="12" t="n"/>
      <c r="C81" s="12" t="n"/>
      <c r="D81" s="12" t="n"/>
      <c r="E81" s="12" t="n"/>
      <c r="F81" s="12" t="n"/>
      <c r="G81" s="12" t="n"/>
      <c r="H81" s="13" t="n"/>
      <c r="I81" s="12" t="n"/>
      <c r="J81" s="12" t="n"/>
      <c r="K81" s="12" t="n"/>
      <c r="L81" s="12" t="n"/>
    </row>
    <row r="82">
      <c r="A82" s="12" t="n"/>
      <c r="B82" s="12" t="n"/>
      <c r="C82" s="12" t="n"/>
      <c r="D82" s="12" t="n"/>
      <c r="E82" s="12" t="n"/>
      <c r="F82" s="12" t="n"/>
      <c r="G82" s="12" t="n"/>
      <c r="H82" s="13" t="n"/>
      <c r="I82" s="12" t="n"/>
      <c r="J82" s="12" t="n"/>
      <c r="K82" s="12" t="n"/>
      <c r="L82" s="12" t="n"/>
    </row>
    <row r="83">
      <c r="A83" s="12" t="n"/>
      <c r="B83" s="12" t="n"/>
      <c r="C83" s="12" t="n"/>
      <c r="D83" s="12" t="n"/>
      <c r="E83" s="12" t="n"/>
      <c r="F83" s="12" t="n"/>
      <c r="G83" s="12" t="n"/>
      <c r="H83" s="13" t="n"/>
      <c r="I83" s="12" t="n"/>
      <c r="J83" s="12" t="n"/>
      <c r="K83" s="12" t="n"/>
      <c r="L83" s="12" t="n"/>
    </row>
    <row r="84">
      <c r="A84" s="12" t="n"/>
      <c r="B84" s="12" t="n"/>
      <c r="C84" s="12" t="n"/>
      <c r="D84" s="12" t="n"/>
      <c r="E84" s="12" t="n"/>
      <c r="F84" s="12" t="n"/>
      <c r="G84" s="12" t="n"/>
      <c r="H84" s="13" t="n"/>
      <c r="I84" s="12" t="n"/>
      <c r="J84" s="12" t="n"/>
      <c r="K84" s="12" t="n"/>
      <c r="L84" s="12" t="n"/>
    </row>
    <row r="85">
      <c r="A85" s="12" t="n"/>
      <c r="B85" s="12" t="n"/>
      <c r="C85" s="12" t="n"/>
      <c r="D85" s="12" t="n"/>
      <c r="E85" s="12" t="n"/>
      <c r="F85" s="12" t="n"/>
      <c r="G85" s="12" t="n"/>
      <c r="H85" s="13" t="n"/>
      <c r="I85" s="12" t="n"/>
      <c r="J85" s="12" t="n"/>
      <c r="K85" s="12" t="n"/>
      <c r="L85" s="12" t="n"/>
    </row>
    <row r="86">
      <c r="A86" s="12" t="n"/>
      <c r="B86" s="12" t="n"/>
      <c r="C86" s="12" t="n"/>
      <c r="D86" s="12" t="n"/>
      <c r="E86" s="12" t="n"/>
      <c r="F86" s="12" t="n"/>
      <c r="G86" s="12" t="n"/>
      <c r="H86" s="13" t="n"/>
      <c r="I86" s="12" t="n"/>
      <c r="J86" s="12" t="n"/>
      <c r="K86" s="12" t="n"/>
      <c r="L86" s="12" t="n"/>
    </row>
    <row r="87">
      <c r="A87" s="12" t="n"/>
      <c r="B87" s="12" t="n"/>
      <c r="C87" s="12" t="n"/>
      <c r="D87" s="12" t="n"/>
      <c r="E87" s="12" t="n"/>
      <c r="F87" s="12" t="n"/>
      <c r="G87" s="12" t="n"/>
      <c r="H87" s="13" t="n"/>
      <c r="I87" s="12" t="n"/>
      <c r="J87" s="12" t="n"/>
      <c r="K87" s="12" t="n"/>
      <c r="L87" s="12" t="n"/>
    </row>
    <row r="88">
      <c r="A88" s="12" t="n"/>
      <c r="B88" s="12" t="n"/>
      <c r="C88" s="12" t="n"/>
      <c r="D88" s="12" t="n"/>
      <c r="E88" s="12" t="n"/>
      <c r="F88" s="12" t="n"/>
      <c r="G88" s="12" t="n"/>
      <c r="H88" s="13" t="n"/>
      <c r="I88" s="12" t="n"/>
      <c r="J88" s="12" t="n"/>
      <c r="K88" s="12" t="n"/>
      <c r="L88" s="12" t="n"/>
    </row>
    <row r="89">
      <c r="A89" s="12" t="n"/>
      <c r="B89" s="12" t="n"/>
      <c r="C89" s="12" t="n"/>
      <c r="D89" s="12" t="n"/>
      <c r="E89" s="12" t="n"/>
      <c r="F89" s="12" t="n"/>
      <c r="G89" s="12" t="n"/>
      <c r="H89" s="13" t="n"/>
      <c r="I89" s="12" t="n"/>
      <c r="J89" s="12" t="n"/>
      <c r="K89" s="12" t="n"/>
      <c r="L89" s="12" t="n"/>
    </row>
    <row r="90">
      <c r="A90" s="12" t="n"/>
      <c r="B90" s="12" t="n"/>
      <c r="C90" s="12" t="n"/>
      <c r="D90" s="12" t="n"/>
      <c r="E90" s="12" t="n"/>
      <c r="F90" s="12" t="n"/>
      <c r="G90" s="12" t="n"/>
      <c r="H90" s="13" t="n"/>
      <c r="I90" s="12" t="n"/>
      <c r="J90" s="12" t="n"/>
      <c r="K90" s="12" t="n"/>
      <c r="L90" s="12" t="n"/>
    </row>
    <row r="91">
      <c r="A91" s="12" t="n"/>
      <c r="B91" s="12" t="n"/>
      <c r="C91" s="12" t="n"/>
      <c r="D91" s="12" t="n"/>
      <c r="E91" s="12" t="n"/>
      <c r="F91" s="12" t="n"/>
      <c r="G91" s="12" t="n"/>
      <c r="H91" s="13" t="n"/>
      <c r="I91" s="12" t="n"/>
      <c r="J91" s="12" t="n"/>
      <c r="K91" s="12" t="n"/>
      <c r="L91" s="12" t="n"/>
    </row>
    <row r="92">
      <c r="A92" s="12" t="n"/>
      <c r="B92" s="12" t="n"/>
      <c r="C92" s="12" t="n"/>
      <c r="D92" s="12" t="n"/>
      <c r="E92" s="12" t="n"/>
      <c r="F92" s="12" t="n"/>
      <c r="G92" s="12" t="n"/>
      <c r="H92" s="13" t="n"/>
      <c r="I92" s="12" t="n"/>
      <c r="J92" s="12" t="n"/>
      <c r="K92" s="12" t="n"/>
      <c r="L92" s="12" t="n"/>
    </row>
    <row r="93">
      <c r="A93" s="12" t="n"/>
      <c r="B93" s="12" t="n"/>
      <c r="C93" s="12" t="n"/>
      <c r="D93" s="12" t="n"/>
      <c r="E93" s="12" t="n"/>
      <c r="F93" s="12" t="n"/>
      <c r="G93" s="12" t="n"/>
      <c r="H93" s="13" t="n"/>
      <c r="I93" s="12" t="n"/>
      <c r="J93" s="12" t="n"/>
      <c r="K93" s="12" t="n"/>
      <c r="L93" s="12" t="n"/>
    </row>
    <row r="94">
      <c r="A94" s="12" t="n"/>
      <c r="B94" s="12" t="n"/>
      <c r="C94" s="12" t="n"/>
      <c r="D94" s="12" t="n"/>
      <c r="E94" s="12" t="n"/>
      <c r="F94" s="12" t="n"/>
      <c r="G94" s="12" t="n"/>
      <c r="H94" s="13" t="n"/>
      <c r="I94" s="12" t="n"/>
      <c r="J94" s="12" t="n"/>
      <c r="K94" s="12" t="n"/>
      <c r="L94" s="12" t="n"/>
    </row>
    <row r="95">
      <c r="A95" s="12" t="n"/>
      <c r="B95" s="12" t="n"/>
      <c r="C95" s="12" t="n"/>
      <c r="D95" s="12" t="n"/>
      <c r="E95" s="12" t="n"/>
      <c r="F95" s="12" t="n"/>
      <c r="G95" s="12" t="n"/>
      <c r="H95" s="13" t="n"/>
      <c r="I95" s="12" t="n"/>
      <c r="J95" s="12" t="n"/>
      <c r="K95" s="12" t="n"/>
      <c r="L95" s="12" t="n"/>
    </row>
    <row r="96">
      <c r="A96" s="12" t="n"/>
      <c r="B96" s="12" t="n"/>
      <c r="C96" s="12" t="n"/>
      <c r="D96" s="12" t="n"/>
      <c r="E96" s="12" t="n"/>
      <c r="F96" s="12" t="n"/>
      <c r="G96" s="12" t="n"/>
      <c r="H96" s="13" t="n"/>
      <c r="I96" s="12" t="n"/>
      <c r="J96" s="12" t="n"/>
      <c r="K96" s="12" t="n"/>
      <c r="L96" s="12" t="n"/>
    </row>
    <row r="97">
      <c r="A97" s="12" t="n"/>
      <c r="B97" s="12" t="n"/>
      <c r="C97" s="12" t="n"/>
      <c r="D97" s="12" t="n"/>
      <c r="E97" s="12" t="n"/>
      <c r="F97" s="12" t="n"/>
      <c r="G97" s="12" t="n"/>
      <c r="H97" s="13" t="n"/>
      <c r="I97" s="12" t="n"/>
      <c r="J97" s="12" t="n"/>
      <c r="K97" s="12" t="n"/>
      <c r="L97" s="12" t="n"/>
    </row>
    <row r="98">
      <c r="A98" s="12" t="n"/>
      <c r="B98" s="12" t="n"/>
      <c r="C98" s="12" t="n"/>
      <c r="D98" s="12" t="n"/>
      <c r="E98" s="12" t="n"/>
      <c r="F98" s="12" t="n"/>
      <c r="G98" s="12" t="n"/>
      <c r="H98" s="13" t="n"/>
      <c r="I98" s="12" t="n"/>
      <c r="J98" s="12" t="n"/>
      <c r="K98" s="12" t="n"/>
      <c r="L98" s="12" t="n"/>
    </row>
    <row r="99">
      <c r="A99" s="12" t="n"/>
      <c r="B99" s="12" t="n"/>
      <c r="C99" s="12" t="n"/>
      <c r="D99" s="12" t="n"/>
      <c r="E99" s="12" t="n"/>
      <c r="F99" s="12" t="n"/>
      <c r="G99" s="12" t="n"/>
      <c r="H99" s="13" t="n"/>
      <c r="I99" s="12" t="n"/>
      <c r="J99" s="12" t="n"/>
      <c r="K99" s="12" t="n"/>
      <c r="L99" s="12" t="n"/>
    </row>
    <row r="100">
      <c r="A100" s="12" t="n"/>
      <c r="B100" s="12" t="n"/>
      <c r="C100" s="12" t="n"/>
      <c r="D100" s="12" t="n"/>
      <c r="E100" s="12" t="n"/>
      <c r="F100" s="12" t="n"/>
      <c r="G100" s="12" t="n"/>
      <c r="H100" s="13" t="n"/>
      <c r="I100" s="12" t="n"/>
      <c r="J100" s="12" t="n"/>
      <c r="K100" s="12" t="n"/>
      <c r="L100" s="12" t="n"/>
    </row>
    <row r="101">
      <c r="A101" s="12" t="n"/>
      <c r="B101" s="12" t="n"/>
      <c r="C101" s="12" t="n"/>
      <c r="D101" s="12" t="n"/>
      <c r="E101" s="12" t="n"/>
      <c r="F101" s="12" t="n"/>
      <c r="G101" s="12" t="n"/>
      <c r="H101" s="13" t="n"/>
      <c r="I101" s="12" t="n"/>
      <c r="J101" s="12" t="n"/>
      <c r="K101" s="12" t="n"/>
      <c r="L101" s="12" t="n"/>
    </row>
    <row r="102">
      <c r="A102" s="12" t="n"/>
      <c r="B102" s="12" t="n"/>
      <c r="C102" s="12" t="n"/>
      <c r="D102" s="12" t="n"/>
      <c r="E102" s="12" t="n"/>
      <c r="F102" s="12" t="n"/>
      <c r="G102" s="12" t="n"/>
      <c r="H102" s="13" t="n"/>
      <c r="I102" s="12" t="n"/>
      <c r="J102" s="12" t="n"/>
      <c r="K102" s="12" t="n"/>
      <c r="L102" s="12" t="n"/>
    </row>
    <row r="103">
      <c r="A103" s="12" t="n"/>
      <c r="B103" s="12" t="n"/>
      <c r="C103" s="12" t="n"/>
      <c r="D103" s="12" t="n"/>
      <c r="E103" s="12" t="n"/>
      <c r="F103" s="12" t="n"/>
      <c r="G103" s="12" t="n"/>
      <c r="H103" s="13" t="n"/>
      <c r="I103" s="12" t="n"/>
      <c r="J103" s="12" t="n"/>
      <c r="K103" s="12" t="n"/>
      <c r="L103" s="12" t="n"/>
    </row>
    <row r="104">
      <c r="A104" s="12" t="n"/>
      <c r="B104" s="12" t="n"/>
      <c r="C104" s="12" t="n"/>
      <c r="D104" s="12" t="n"/>
      <c r="E104" s="12" t="n"/>
      <c r="F104" s="12" t="n"/>
      <c r="G104" s="12" t="n"/>
      <c r="H104" s="13" t="n"/>
      <c r="I104" s="12" t="n"/>
      <c r="J104" s="12" t="n"/>
      <c r="K104" s="12" t="n"/>
      <c r="L104" s="12" t="n"/>
    </row>
    <row r="106">
      <c r="A106" s="14" t="inlineStr">
        <is>
          <t>MITRE COVERAGE SUMMARY</t>
        </is>
      </c>
    </row>
    <row r="107">
      <c r="A107" s="5" t="inlineStr">
        <is>
          <t>Total Techniques Tracked:</t>
        </is>
      </c>
      <c r="B107" s="5">
        <f>COUNTA(A5:A104)</f>
        <v/>
      </c>
    </row>
    <row r="108">
      <c r="A108" s="5" t="inlineStr">
        <is>
          <t>Critical Priority:</t>
        </is>
      </c>
      <c r="B108" s="5">
        <f>COUNTIF(E5:E104,"Critical")</f>
        <v/>
      </c>
    </row>
    <row r="109">
      <c r="A109" s="5" t="inlineStr">
        <is>
          <t>Full Coverage:</t>
        </is>
      </c>
      <c r="B109" s="5">
        <f>COUNTIF(F5:F104,"Full")</f>
        <v/>
      </c>
    </row>
    <row r="110">
      <c r="A110" s="5" t="inlineStr">
        <is>
          <t>Partial Coverage:</t>
        </is>
      </c>
      <c r="B110" s="5">
        <f>COUNTIF(F5:F104,"Partial")</f>
        <v/>
      </c>
    </row>
    <row r="111">
      <c r="A111" s="5" t="inlineStr">
        <is>
          <t>Limited Coverage:</t>
        </is>
      </c>
      <c r="B111" s="5">
        <f>COUNTIF(F5:F104,"Limited")</f>
        <v/>
      </c>
    </row>
    <row r="112">
      <c r="A112" s="5" t="inlineStr">
        <is>
          <t>No Coverage:</t>
        </is>
      </c>
      <c r="B112" s="5">
        <f>COUNTIF(F5:F104,"None")</f>
        <v/>
      </c>
    </row>
    <row r="113">
      <c r="A113" s="5" t="inlineStr">
        <is>
          <t>With Detection Capability:</t>
        </is>
      </c>
      <c r="B113" s="5">
        <f>COUNTIF(I5:I104,"Yes")</f>
        <v/>
      </c>
    </row>
  </sheetData>
  <mergeCells count="3">
    <mergeCell ref="A2:L2"/>
    <mergeCell ref="A1:L1"/>
    <mergeCell ref="A106:D106"/>
  </mergeCells>
  <conditionalFormatting sqref="F5:F104">
    <cfRule type="cellIs" priority="1" operator="equal" dxfId="2">
      <formula>"Full"</formula>
    </cfRule>
    <cfRule type="cellIs" priority="2" operator="equal" dxfId="0">
      <formula>"None"</formula>
    </cfRule>
    <cfRule type="cellIs" priority="3" operator="equal" dxfId="1">
      <formula>"Limited"</formula>
    </cfRule>
  </conditionalFormatting>
  <dataValidations count="31">
    <dataValidation sqref="B5 B6 B7 B8 B9 B10 B11 B12 B13 B14 B15 B16 B17 B18 B19 B20 B21 B22 B23 B24 B25 B26 B27 B28 B29 B30 B31 B32 B33 B34 B35 B36 B37 B38 B39 B40 B41 B42 B43 B44 B45 B46 B47 B48 B49 B50 B51 B52 B53 B5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showDropDown="0" showInputMessage="0" showErrorMessage="0" allowBlank="0" type="list">
      <formula1>"Strategic,Tactical,Operational,Technical"</formula1>
    </dataValidation>
    <dataValidation sqref="D5 D6 D7 D8 D9 D10 D11 D12 D13 D14 D15 D16 D17 D18 D19 D20 D21 D22 D23 D24 D25 D26 D27 D28 D29 D30 D31 D32 D33 D34 D35 D36 D37 D38 D39 D40 D41 D42 D43 D44 D45 D46 D47 D48 D49 D50 D51 D52 D53 D54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 Critical,🟡 High,🟢 Medium,⚫ Low"</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0" type="list">
      <formula1>"Automated_Feed,Manual_Research,OSINT,Partnership,Internal_Telemetry"</formula1>
    </dataValidation>
    <dataValidation sqref="E5 E6 E7 E8 E9 E10 E11 E12 E13 E14 E15 E16 E17 E18 E19 E20 E21 E22 E23 E24 E25 E26 E27 E28 E29 E30 E31 E32 E33 E34 E35 E36 E37 E38 E39 E40 E41 E42 E43 E44 E45 E46 E47 E48 E49 E50 E51 E52 E53 E54 M5 M6 M7 M8 M9 M10 M11 M12 M13 M14 M15 M16 M17 M18 M19 M20 M21 M22 M23 M24 M25 M26 M27 M28 M29 M30 M31 M32 M33 M34 M35 M36 M37 M38 M39 M40 M41 M42 M43 M44 M45 M46 M47 M48 M49 M50 M51 M52 M53 M54" showDropDown="0" showInputMessage="0" showErrorMessage="0" allowBlank="0" type="list">
      <formula1>"Real-time,Hourly,Daily,Weekly,On_Demand"</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"Fully_Implemented,Partially_Implemented,Planned,Not_Used"</formula1>
    </dataValidation>
    <dataValidation sqref="N5 N6 N7 N8 N9 N10 N11 N12 N13 N14 N15 N16 N17 N18 N19 N20 N21 N22 N23 N24 N25 N26 N27 N28 N29 N30 N31 N32 N33 N34 N35 N36 N37 N38 N39 N40 N41 N42 N43 N44 N45 N46 N47 N48 N49 N50 N51 N52 N53 N54" showDropDown="0" showInputMessage="0" showErrorMessage="0" allowBlank="1" type="list">
      <formula1>"Excellent,Good,Fair,Poor"</formula1>
    </dataValidation>
    <dataValidation sqref="B5 B6 B7 B8 B9 B10 B11 B12 B13 B14 B15 B16 B17 B18 B19 B20 B21 B22 B23 B24 B25 B26 B27 B28 B29 B30 B31 B32 B33 B34 B35 B36 B37 B38 B39 B40 B41 B42 B43 B44 B45 B46 B47 B48 B49 B50 B51 B52 B53 B54 B55 B56 B57 B58 B59 B60 B61 B62 B63 B64" showDropDown="0" showInputMessage="0" showErrorMessage="0" allowBlank="0" type="list">
      <formula1>"Strategic_Report,Tactical_Brief,Operational_Alert,Technical_Analysis,IOC_Package,Threat_Profile"</formula1>
    </dataValidation>
    <dataValidation sqref="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N5 N6 N7 N8 N9 N10 N11 N12 N13 N14 N15 N16 N17 N18 N19 N20 N21 N22 N23 N24 N25 N26 N27 N28 N29 N30 N31 N32 N33 N34 N35 N36 N37 N38 N39 N40 N41 N42 N43 N44 N45 N46 N47 N48 N49 N50 N51 N52 N53 N54 N55 N56 N57 N58 N59 N60 N61 N62 N63 N64" showDropDown="0" showInputMessage="0" showErrorMessage="0" allowBlank="0" type="list">
      <formula1>"Draft,Review,Published,Archived"</formula1>
    </dataValidation>
    <dataValidation sqref="E5 E6 E7 E8 E9 E10 E11 E12 E13 E14 E15 E16 E17 E18 E19 E20 E21 E22 E23 E24 E25 E26 E27 E28 E29 E30 E31 E32 E33 E34 E35 E36 E37 E38 E39 E40 E41 E42 E43 E44 E45 E46 E47 E48 E49 E50 E51 E52 E53 E54 H5 H6 H7 H8 H9 H10 H11 H12 H13 H14 H15 H16 H17 H18 H19 H20 H21 H22 H23 H24 H25 H26 H27 H28 H29 H30 H31 H32 H33 H34 H35 H36 H37 H38 H39 H40 H41 H42 H43 H44 H45 H46 H47 H48 H49 H50 H51 H52 H53 H54 H55 H56 H57 H58 H59 H60 H61 H62 H63 H6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"High,Medium,Low,Unconfirmed"</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"TLP:CLEAR,TLP:GREEN,TLP:AMBER,TLP:AMBER+STRICT,TLP:RED"</formula1>
    </dataValidation>
    <dataValidation sqref="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showDropDown="0" showInputMessage="0" showErrorMessage="0" allowBlank="0" type="list">
      <formula1>"Full,Partial,Limited,None"</formula1>
    </dataValidation>
    <dataValidation sqref="D5 D6 D7 D8 D9 D10 D11 D12 D13 D14 D15 D16 D17 D18 D19 D20 D21 D22 D23 D24 D25 D26 D27 D28 D29 D30 D31 D32 D33 D34 D35 D36 D37 D38 D39 D40 D41 D42 D43 D44 D45 D46 D47 D48 D49 D50 D51 D52 D53 D5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1" type="list">
      <formula1>"Nation-State,Criminal_Syndicate,Hacktivist,Insider_Threat,Script_Kiddie,Unknown"</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"Not_Exploited,PoC_Exists,Active_Exploitation,Widespread"</formula1>
    </dataValidation>
    <dataValidation sqref="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showDropDown="0" showInputMessage="0" showErrorMessage="0" allowBlank="0" type="list">
      <formula1>"Critical,High,Medium,Low,Info"</formula1>
    </dataValidation>
    <dataValidation sqref="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showDropDown="0" showInputMessage="0" showErrorMessage="0" allowBlank="0" type="list">
      <formula1>"Open,In_Progress,Patched,Mitigated,Risk_Accepted,Verified"</formula1>
    </dataValidation>
    <dataValidation sqref="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M5 M6 M7 M8 M9 M10 M11 M12 M13 M14 M15 M16 M17 M18 M19 M20 M21 M22 M23 M24 M25 M26 M27 M28 M29 M30 M31 M32 M33 M34 M35 M36 M37 M38 M39 M40 M41 M42 M43 M44 M45 M46 M47 M48 M49 M50 M51 M52 M53 M5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T103 T104" showDropDown="0" showInputMessage="0" showErrorMessage="0" allowBlank="0" type="list">
      <formula1>"Yes,No"</formula1>
    </dataValidation>
    <dataValidation sqref="B5 B6 B7 B8 B9 B10 B11 B12 B13 B14 C5 C6 C7 C8 C9 C10 C11 C12 C13 C14" showDropDown="0" showInputMessage="0" showErrorMessage="0" allowBlank="0" type="list">
      <formula1>"1 - Initial,2 - Managed,3 - Defined,4 - Quantitatively Managed,5 - Optimizing"</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"Open,In_Progress,Blocked,Resolved,Closed"</formula1>
    </dataValidation>
    <dataValidation sqref="C5 C6 C7 C8 C9 C10 C11 C12 C13 C14 C15 C16 C17 C18 C19 C20 C21 C22 C23 C24 C25 C26 C27 C28 C29 C30 C31 C32 C33 C34 C35 C36 C37 C38 C39 C40 C41 C42 C43 C44 C45 C46 C47 C48 C49 C50 C51 C52 C53 C54" showDropDown="0" showInputMessage="0" showErrorMessage="0" allowBlank="1" type="list">
      <formula1>"TIP,SIEM,Malware_Analysis,OSINT,Collaboration,Visualization,Scripting,Other"</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1" type="list">
      <formula1>"Commercial,Open_Source,Freeware,Internal_Developed"</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1" type="list">
      <formula1>"Yes,No,N/A"</formula1>
    </dataValidation>
    <dataValidation sqref="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showDropDown="0" showInputMessage="0" showErrorMessage="0" allowBlank="1" type="list">
      <formula1>"Yes,No,Unknown"</formula1>
    </dataValidation>
    <dataValidation sqref="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showDropDown="0" showInputMessage="0" showErrorMessage="0" allowBlank="1" type="list">
      <formula1>"Confirmed,Suspected,No,Unknown"</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1" type="list">
      <formula1>"Espionage,Financial,Disruption,Ideology,Unknown"</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1" type="list">
      <formula1>"Advanced,Moderate,Low"</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1" type="list">
      <formula1>"Active,Concluded,Dormant,Unknown"</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1" type="list">
      <formula1>"Espionage,Data_Theft,Disruption,Ransomware,Credential_Harvesting,Other"</formula1>
    </dataValidation>
    <dataValidation sqref="U5 U6 U7 U8 U9 U10 U11 U12 U13 U14 U15 U16 U17 U18 U19 U20 U21 U22 U23 U24 U25 U26 U27 U28 U29 U30 U31 U32 U33 U34 U35 U36 U37 U38 U39 U40 U41 U42 U43 U44 U45 U46 U47 U48 U49 U50 U51 U52 U53 U54" showDropDown="0" showInputMessage="0" showErrorMessage="0" allowBlank="1" type="list">
      <formula1>"🔴 Critical,🟡 High,🟢 Medium,⚫ Low"</formula1>
    </dataValidation>
    <dataValidation sqref="V5 V6 V7 V8 V9 V10 V11 V12 V13 V14 V15 V16 V17 V18 V19 V20 V21 V22 V23 V24 V25 V26 V27 V28 V29 V30 V31 V32 V33 V34 V35 V36 V37 V38 V39 V40 V41 V42 V43 V44 V45 V46 V47 V48 V49 V50 V51 V52 V53 V54" showDropDown="0" showInputMessage="0" showErrorMessage="0" allowBlank="1" type="list">
      <formula1>"Active_Monitoring,Passive_Monitoring,Concluded"</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1" type="list">
      <formula1>"4.0,3.1"</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1" type="list">
      <formula1>"Integrated,Standalone,Planned,Deprecated"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1"/>
  <sheetViews>
    <sheetView workbookViewId="0">
      <pane ySplit="4" topLeftCell="A5" activePane="bottomLeft" state="frozen"/>
      <selection pane="bottomLeft" activeCell="A1" sqref="A1"/>
    </sheetView>
  </sheetViews>
  <sheetFormatPr baseColWidth="8" defaultRowHeight="15"/>
  <cols>
    <col width="10" customWidth="1" min="1" max="1"/>
    <col width="35" customWidth="1" min="2" max="2"/>
    <col width="45" customWidth="1" min="3" max="3"/>
    <col width="14" customWidth="1" min="4" max="4"/>
    <col width="14" customWidth="1" min="5" max="5"/>
    <col width="16" customWidth="1" min="6" max="6"/>
    <col width="18" customWidth="1" min="7" max="7"/>
    <col width="18" customWidth="1" min="8" max="8"/>
    <col width="12" customWidth="1" min="9" max="9"/>
    <col width="25" customWidth="1" min="10" max="10"/>
    <col width="25" customWidth="1" min="11" max="11"/>
    <col width="14" customWidth="1" min="12" max="12"/>
    <col width="30" customWidth="1" min="13" max="13"/>
  </cols>
  <sheetData>
    <row r="1" ht="25" customHeight="1">
      <c r="A1" s="1" t="inlineStr">
        <is>
          <t>Intelligence Quality Metrics &amp; KPIs</t>
        </is>
      </c>
    </row>
    <row r="2" ht="30" customHeight="1">
      <c r="A2" s="9" t="inlineStr">
        <is>
          <t>Track key performance indicators for intelligence collection and analysis operations.</t>
        </is>
      </c>
    </row>
    <row r="4" ht="30" customHeight="1">
      <c r="A4" s="10" t="inlineStr">
        <is>
          <t>KPI ID</t>
        </is>
      </c>
      <c r="B4" s="10" t="inlineStr">
        <is>
          <t>KPI Name</t>
        </is>
      </c>
      <c r="C4" s="10" t="inlineStr">
        <is>
          <t>Description</t>
        </is>
      </c>
      <c r="D4" s="10" t="inlineStr">
        <is>
          <t>Target Value</t>
        </is>
      </c>
      <c r="E4" s="10" t="inlineStr">
        <is>
          <t>Current Value</t>
        </is>
      </c>
      <c r="F4" s="10" t="inlineStr">
        <is>
          <t>Last Month Value</t>
        </is>
      </c>
      <c r="G4" s="10" t="inlineStr">
        <is>
          <t>Measurement Period</t>
        </is>
      </c>
      <c r="H4" s="10" t="inlineStr">
        <is>
          <t>Performance vs Target</t>
        </is>
      </c>
      <c r="I4" s="10" t="inlineStr">
        <is>
          <t>Trend</t>
        </is>
      </c>
      <c r="J4" s="10" t="inlineStr">
        <is>
          <t>Data Source</t>
        </is>
      </c>
      <c r="K4" s="10" t="inlineStr">
        <is>
          <t>Owner</t>
        </is>
      </c>
      <c r="L4" s="10" t="inlineStr">
        <is>
          <t>Last Updated</t>
        </is>
      </c>
      <c r="M4" s="10" t="inlineStr">
        <is>
          <t>Notes</t>
        </is>
      </c>
    </row>
    <row r="5">
      <c r="A5" s="11" t="inlineStr">
        <is>
          <t>KPI-001</t>
        </is>
      </c>
      <c r="B5" s="12" t="inlineStr">
        <is>
          <t>Intelligence Products per Month</t>
        </is>
      </c>
      <c r="C5" s="12" t="inlineStr">
        <is>
          <t>Count of formal intelligence products</t>
        </is>
      </c>
      <c r="D5" s="12" t="inlineStr">
        <is>
          <t>20</t>
        </is>
      </c>
      <c r="E5" s="12" t="n"/>
      <c r="F5" s="12" t="n"/>
      <c r="G5" s="12" t="n"/>
      <c r="H5" s="11">
        <f>IF(E5="","",IF(D5="","N/A",(E5/D5-1)*100))</f>
        <v/>
      </c>
      <c r="I5" s="11">
        <f>IF(OR(E5="",F5=""),"N/A",IF(E5&gt;F5,"Improving",IF(E5&lt;F5,"Declining","Stable")))</f>
        <v/>
      </c>
      <c r="J5" s="12" t="inlineStr">
        <is>
          <t>Sheet 5</t>
        </is>
      </c>
      <c r="K5" s="12" t="n"/>
      <c r="L5" s="12" t="n"/>
      <c r="M5" s="12" t="n"/>
    </row>
    <row r="6">
      <c r="A6" s="11" t="inlineStr">
        <is>
          <t>KPI-002</t>
        </is>
      </c>
      <c r="B6" s="12" t="inlineStr">
        <is>
          <t>Avg Time to Produce Intelligence (hrs)</t>
        </is>
      </c>
      <c r="C6" s="12" t="inlineStr">
        <is>
          <t>Hours from start to publication</t>
        </is>
      </c>
      <c r="D6" s="12" t="inlineStr">
        <is>
          <t>48</t>
        </is>
      </c>
      <c r="E6" s="12" t="n"/>
      <c r="F6" s="12" t="n"/>
      <c r="G6" s="12" t="n"/>
      <c r="H6" s="11">
        <f>IF(E6="","",IF(D6="","N/A",(E6/D6-1)*100))</f>
        <v/>
      </c>
      <c r="I6" s="11">
        <f>IF(OR(E6="",F6=""),"N/A",IF(E6&gt;F6,"Improving",IF(E6&lt;F6,"Declining","Stable")))</f>
        <v/>
      </c>
      <c r="J6" s="12" t="inlineStr">
        <is>
          <t>Sheet 5</t>
        </is>
      </c>
      <c r="K6" s="12" t="n"/>
      <c r="L6" s="12" t="n"/>
      <c r="M6" s="12" t="n"/>
    </row>
    <row r="7">
      <c r="A7" s="11" t="inlineStr">
        <is>
          <t>KPI-003</t>
        </is>
      </c>
      <c r="B7" s="12" t="inlineStr">
        <is>
          <t>Stakeholder Feedback Rating (1-5)</t>
        </is>
      </c>
      <c r="C7" s="12" t="inlineStr">
        <is>
          <t>Average rating from consumers</t>
        </is>
      </c>
      <c r="D7" s="12" t="inlineStr">
        <is>
          <t>4.0</t>
        </is>
      </c>
      <c r="E7" s="12" t="n"/>
      <c r="F7" s="12" t="n"/>
      <c r="G7" s="12" t="n"/>
      <c r="H7" s="11">
        <f>IF(E7="","",IF(D7="","N/A",(E7/D7-1)*100))</f>
        <v/>
      </c>
      <c r="I7" s="11">
        <f>IF(OR(E7="",F7=""),"N/A",IF(E7&gt;F7,"Improving",IF(E7&lt;F7,"Declining","Stable")))</f>
        <v/>
      </c>
      <c r="J7" s="12" t="inlineStr">
        <is>
          <t>Sheet 5</t>
        </is>
      </c>
      <c r="K7" s="12" t="n"/>
      <c r="L7" s="12" t="n"/>
      <c r="M7" s="12" t="n"/>
    </row>
    <row r="8">
      <c r="A8" s="11" t="inlineStr">
        <is>
          <t>KPI-004</t>
        </is>
      </c>
      <c r="B8" s="12" t="inlineStr">
        <is>
          <t>Intelligence Actionability Rate (%)</t>
        </is>
      </c>
      <c r="C8" s="12" t="inlineStr">
        <is>
          <t>% of products acted upon</t>
        </is>
      </c>
      <c r="D8" s="12" t="inlineStr">
        <is>
          <t>75%</t>
        </is>
      </c>
      <c r="E8" s="12" t="n"/>
      <c r="F8" s="12" t="n"/>
      <c r="G8" s="12" t="n"/>
      <c r="H8" s="11">
        <f>IF(E8="","",IF(D8="","N/A",(E8/D8-1)*100))</f>
        <v/>
      </c>
      <c r="I8" s="11">
        <f>IF(OR(E8="",F8=""),"N/A",IF(E8&gt;F8,"Improving",IF(E8&lt;F8,"Declining","Stable")))</f>
        <v/>
      </c>
      <c r="J8" s="12" t="inlineStr">
        <is>
          <t>Sheet 5</t>
        </is>
      </c>
      <c r="K8" s="12" t="n"/>
      <c r="L8" s="12" t="n"/>
      <c r="M8" s="12" t="n"/>
    </row>
    <row r="9">
      <c r="A9" s="11" t="inlineStr">
        <is>
          <t>KPI-005</t>
        </is>
      </c>
      <c r="B9" s="12" t="inlineStr">
        <is>
          <t>Mean Time from Intelligence to Action (hrs)</t>
        </is>
      </c>
      <c r="C9" s="12" t="inlineStr">
        <is>
          <t>Hours from publication to action</t>
        </is>
      </c>
      <c r="D9" s="12" t="inlineStr">
        <is>
          <t>24</t>
        </is>
      </c>
      <c r="E9" s="12" t="n"/>
      <c r="F9" s="12" t="n"/>
      <c r="G9" s="12" t="n"/>
      <c r="H9" s="11">
        <f>IF(E9="","",IF(D9="","N/A",(E9/D9-1)*100))</f>
        <v/>
      </c>
      <c r="I9" s="11">
        <f>IF(OR(E9="",F9=""),"N/A",IF(E9&gt;F9,"Improving",IF(E9&lt;F9,"Declining","Stable")))</f>
        <v/>
      </c>
      <c r="J9" s="12" t="inlineStr">
        <is>
          <t>Sheet 5</t>
        </is>
      </c>
      <c r="K9" s="12" t="n"/>
      <c r="L9" s="12" t="n"/>
      <c r="M9" s="12" t="n"/>
    </row>
    <row r="10">
      <c r="A10" s="11" t="inlineStr">
        <is>
          <t>KPI-006</t>
        </is>
      </c>
      <c r="B10" s="12" t="inlineStr">
        <is>
          <t>MITRE ATT&amp;CK Coverage (%)</t>
        </is>
      </c>
      <c r="C10" s="12" t="inlineStr">
        <is>
          <t>% of critical techniques covered</t>
        </is>
      </c>
      <c r="D10" s="12" t="inlineStr">
        <is>
          <t>80%</t>
        </is>
      </c>
      <c r="E10" s="12" t="n"/>
      <c r="F10" s="12" t="n"/>
      <c r="G10" s="12" t="n"/>
      <c r="H10" s="11">
        <f>IF(E10="","",IF(D10="","N/A",(E10/D10-1)*100))</f>
        <v/>
      </c>
      <c r="I10" s="11">
        <f>IF(OR(E10="",F10=""),"N/A",IF(E10&gt;F10,"Improving",IF(E10&lt;F10,"Declining","Stable")))</f>
        <v/>
      </c>
      <c r="J10" s="12" t="inlineStr">
        <is>
          <t>Sheet 6</t>
        </is>
      </c>
      <c r="K10" s="12" t="n"/>
      <c r="L10" s="12" t="n"/>
      <c r="M10" s="12" t="n"/>
    </row>
    <row r="11">
      <c r="A11" s="11" t="inlineStr">
        <is>
          <t>KPI-007</t>
        </is>
      </c>
      <c r="B11" s="12" t="inlineStr">
        <is>
          <t>False Positive Rate (%)</t>
        </is>
      </c>
      <c r="C11" s="12" t="inlineStr">
        <is>
          <t>% of incorrect/unusable intelligence</t>
        </is>
      </c>
      <c r="D11" s="12" t="inlineStr">
        <is>
          <t>5%</t>
        </is>
      </c>
      <c r="E11" s="12" t="n"/>
      <c r="F11" s="12" t="n"/>
      <c r="G11" s="12" t="n"/>
      <c r="H11" s="11">
        <f>IF(E11="","",IF(D11="","N/A",(E11/D11-1)*100))</f>
        <v/>
      </c>
      <c r="I11" s="11">
        <f>IF(OR(E11="",F11=""),"N/A",IF(E11&gt;F11,"Improving",IF(E11&lt;F11,"Declining","Stable")))</f>
        <v/>
      </c>
      <c r="J11" s="12" t="inlineStr">
        <is>
          <t>Sheet 5</t>
        </is>
      </c>
      <c r="K11" s="12" t="n"/>
      <c r="L11" s="12" t="n"/>
      <c r="M11" s="12" t="n"/>
    </row>
    <row r="12">
      <c r="A12" s="11" t="inlineStr">
        <is>
          <t>KPI-008</t>
        </is>
      </c>
      <c r="B12" s="12" t="inlineStr">
        <is>
          <t>Analyst Training Completion Rate (%)</t>
        </is>
      </c>
      <c r="C12" s="12" t="inlineStr">
        <is>
          <t>% of planned training completed</t>
        </is>
      </c>
      <c r="D12" s="12" t="inlineStr">
        <is>
          <t>90%</t>
        </is>
      </c>
      <c r="E12" s="12" t="n"/>
      <c r="F12" s="12" t="n"/>
      <c r="G12" s="12" t="n"/>
      <c r="H12" s="11">
        <f>IF(E12="","",IF(D12="","N/A",(E12/D12-1)*100))</f>
        <v/>
      </c>
      <c r="I12" s="11">
        <f>IF(OR(E12="",F12=""),"N/A",IF(E12&gt;F12,"Improving",IF(E12&lt;F12,"Declining","Stable")))</f>
        <v/>
      </c>
      <c r="J12" s="12" t="inlineStr">
        <is>
          <t>Sheet 4</t>
        </is>
      </c>
      <c r="K12" s="12" t="n"/>
      <c r="L12" s="12" t="n"/>
      <c r="M12" s="12" t="n"/>
    </row>
    <row r="13">
      <c r="A13" s="11" t="inlineStr">
        <is>
          <t>KPI-009</t>
        </is>
      </c>
      <c r="B13" s="12" t="inlineStr">
        <is>
          <t>Requirement Fulfillment Rate (%)</t>
        </is>
      </c>
      <c r="C13" s="12" t="inlineStr">
        <is>
          <t>% of PIRs with adequate coverage</t>
        </is>
      </c>
      <c r="D13" s="12" t="inlineStr">
        <is>
          <t>85%</t>
        </is>
      </c>
      <c r="E13" s="12" t="n"/>
      <c r="F13" s="12" t="n"/>
      <c r="G13" s="12" t="n"/>
      <c r="H13" s="11">
        <f>IF(E13="","",IF(D13="","N/A",(E13/D13-1)*100))</f>
        <v/>
      </c>
      <c r="I13" s="11">
        <f>IF(OR(E13="",F13=""),"N/A",IF(E13&gt;F13,"Improving",IF(E13&lt;F13,"Declining","Stable")))</f>
        <v/>
      </c>
      <c r="J13" s="12" t="inlineStr">
        <is>
          <t>Sheet 2</t>
        </is>
      </c>
      <c r="K13" s="12" t="n"/>
      <c r="L13" s="12" t="n"/>
      <c r="M13" s="12" t="n"/>
    </row>
    <row r="14">
      <c r="A14" s="11" t="inlineStr">
        <is>
          <t>KPI-010</t>
        </is>
      </c>
      <c r="B14" s="12" t="inlineStr">
        <is>
          <t>VT Links Created per Month</t>
        </is>
      </c>
      <c r="C14" s="12" t="inlineStr">
        <is>
          <t>Vulnerability-threat linkages</t>
        </is>
      </c>
      <c r="D14" s="12" t="inlineStr">
        <is>
          <t>10</t>
        </is>
      </c>
      <c r="E14" s="12" t="n"/>
      <c r="F14" s="12" t="n"/>
      <c r="G14" s="12" t="n"/>
      <c r="H14" s="11">
        <f>IF(E14="","",IF(D14="","N/A",(E14/D14-1)*100))</f>
        <v/>
      </c>
      <c r="I14" s="11">
        <f>IF(OR(E14="",F14=""),"N/A",IF(E14&gt;F14,"Improving",IF(E14&lt;F14,"Declining","Stable")))</f>
        <v/>
      </c>
      <c r="J14" s="12" t="inlineStr">
        <is>
          <t>Sheet 8</t>
        </is>
      </c>
      <c r="K14" s="12" t="n"/>
      <c r="L14" s="12" t="n"/>
      <c r="M14" s="12" t="n"/>
    </row>
    <row r="15">
      <c r="A15" s="11" t="inlineStr">
        <is>
          <t>KPI-011</t>
        </is>
      </c>
      <c r="B15" s="12" t="n"/>
      <c r="C15" s="12" t="n"/>
      <c r="D15" s="12" t="n"/>
      <c r="E15" s="12" t="n"/>
      <c r="F15" s="12" t="n"/>
      <c r="G15" s="12" t="n"/>
      <c r="H15" s="11">
        <f>IF(E15="","",IF(D15="","N/A",(E15/D15-1)*100))</f>
        <v/>
      </c>
      <c r="I15" s="11">
        <f>IF(OR(E15="",F15=""),"N/A",IF(E15&gt;F15,"Improving",IF(E15&lt;F15,"Declining","Stable")))</f>
        <v/>
      </c>
      <c r="J15" s="12" t="n"/>
      <c r="K15" s="12" t="n"/>
      <c r="L15" s="13" t="n"/>
      <c r="M15" s="12" t="n"/>
    </row>
    <row r="16">
      <c r="A16" s="11" t="inlineStr">
        <is>
          <t>KPI-012</t>
        </is>
      </c>
      <c r="B16" s="12" t="n"/>
      <c r="C16" s="12" t="n"/>
      <c r="D16" s="12" t="n"/>
      <c r="E16" s="12" t="n"/>
      <c r="F16" s="12" t="n"/>
      <c r="G16" s="12" t="n"/>
      <c r="H16" s="11">
        <f>IF(E16="","",IF(D16="","N/A",(E16/D16-1)*100))</f>
        <v/>
      </c>
      <c r="I16" s="11">
        <f>IF(OR(E16="",F16=""),"N/A",IF(E16&gt;F16,"Improving",IF(E16&lt;F16,"Declining","Stable")))</f>
        <v/>
      </c>
      <c r="J16" s="12" t="n"/>
      <c r="K16" s="12" t="n"/>
      <c r="L16" s="13" t="n"/>
      <c r="M16" s="12" t="n"/>
    </row>
    <row r="17">
      <c r="A17" s="11" t="inlineStr">
        <is>
          <t>KPI-013</t>
        </is>
      </c>
      <c r="B17" s="12" t="n"/>
      <c r="C17" s="12" t="n"/>
      <c r="D17" s="12" t="n"/>
      <c r="E17" s="12" t="n"/>
      <c r="F17" s="12" t="n"/>
      <c r="G17" s="12" t="n"/>
      <c r="H17" s="11">
        <f>IF(E17="","",IF(D17="","N/A",(E17/D17-1)*100))</f>
        <v/>
      </c>
      <c r="I17" s="11">
        <f>IF(OR(E17="",F17=""),"N/A",IF(E17&gt;F17,"Improving",IF(E17&lt;F17,"Declining","Stable")))</f>
        <v/>
      </c>
      <c r="J17" s="12" t="n"/>
      <c r="K17" s="12" t="n"/>
      <c r="L17" s="13" t="n"/>
      <c r="M17" s="12" t="n"/>
    </row>
    <row r="18">
      <c r="A18" s="11" t="inlineStr">
        <is>
          <t>KPI-014</t>
        </is>
      </c>
      <c r="B18" s="12" t="n"/>
      <c r="C18" s="12" t="n"/>
      <c r="D18" s="12" t="n"/>
      <c r="E18" s="12" t="n"/>
      <c r="F18" s="12" t="n"/>
      <c r="G18" s="12" t="n"/>
      <c r="H18" s="11">
        <f>IF(E18="","",IF(D18="","N/A",(E18/D18-1)*100))</f>
        <v/>
      </c>
      <c r="I18" s="11">
        <f>IF(OR(E18="",F18=""),"N/A",IF(E18&gt;F18,"Improving",IF(E18&lt;F18,"Declining","Stable")))</f>
        <v/>
      </c>
      <c r="J18" s="12" t="n"/>
      <c r="K18" s="12" t="n"/>
      <c r="L18" s="13" t="n"/>
      <c r="M18" s="12" t="n"/>
    </row>
    <row r="19">
      <c r="A19" s="11" t="inlineStr">
        <is>
          <t>KPI-015</t>
        </is>
      </c>
      <c r="B19" s="12" t="n"/>
      <c r="C19" s="12" t="n"/>
      <c r="D19" s="12" t="n"/>
      <c r="E19" s="12" t="n"/>
      <c r="F19" s="12" t="n"/>
      <c r="G19" s="12" t="n"/>
      <c r="H19" s="11">
        <f>IF(E19="","",IF(D19="","N/A",(E19/D19-1)*100))</f>
        <v/>
      </c>
      <c r="I19" s="11">
        <f>IF(OR(E19="",F19=""),"N/A",IF(E19&gt;F19,"Improving",IF(E19&lt;F19,"Declining","Stable")))</f>
        <v/>
      </c>
      <c r="J19" s="12" t="n"/>
      <c r="K19" s="12" t="n"/>
      <c r="L19" s="13" t="n"/>
      <c r="M19" s="12" t="n"/>
    </row>
    <row r="20">
      <c r="A20" s="11" t="inlineStr">
        <is>
          <t>KPI-016</t>
        </is>
      </c>
      <c r="B20" s="12" t="n"/>
      <c r="C20" s="12" t="n"/>
      <c r="D20" s="12" t="n"/>
      <c r="E20" s="12" t="n"/>
      <c r="F20" s="12" t="n"/>
      <c r="G20" s="12" t="n"/>
      <c r="H20" s="11">
        <f>IF(E20="","",IF(D20="","N/A",(E20/D20-1)*100))</f>
        <v/>
      </c>
      <c r="I20" s="11">
        <f>IF(OR(E20="",F20=""),"N/A",IF(E20&gt;F20,"Improving",IF(E20&lt;F20,"Declining","Stable")))</f>
        <v/>
      </c>
      <c r="J20" s="12" t="n"/>
      <c r="K20" s="12" t="n"/>
      <c r="L20" s="13" t="n"/>
      <c r="M20" s="12" t="n"/>
    </row>
    <row r="21">
      <c r="A21" s="11" t="inlineStr">
        <is>
          <t>KPI-017</t>
        </is>
      </c>
      <c r="B21" s="12" t="n"/>
      <c r="C21" s="12" t="n"/>
      <c r="D21" s="12" t="n"/>
      <c r="E21" s="12" t="n"/>
      <c r="F21" s="12" t="n"/>
      <c r="G21" s="12" t="n"/>
      <c r="H21" s="11">
        <f>IF(E21="","",IF(D21="","N/A",(E21/D21-1)*100))</f>
        <v/>
      </c>
      <c r="I21" s="11">
        <f>IF(OR(E21="",F21=""),"N/A",IF(E21&gt;F21,"Improving",IF(E21&lt;F21,"Declining","Stable")))</f>
        <v/>
      </c>
      <c r="J21" s="12" t="n"/>
      <c r="K21" s="12" t="n"/>
      <c r="L21" s="13" t="n"/>
      <c r="M21" s="12" t="n"/>
    </row>
    <row r="22">
      <c r="A22" s="11" t="inlineStr">
        <is>
          <t>KPI-018</t>
        </is>
      </c>
      <c r="B22" s="12" t="n"/>
      <c r="C22" s="12" t="n"/>
      <c r="D22" s="12" t="n"/>
      <c r="E22" s="12" t="n"/>
      <c r="F22" s="12" t="n"/>
      <c r="G22" s="12" t="n"/>
      <c r="H22" s="11">
        <f>IF(E22="","",IF(D22="","N/A",(E22/D22-1)*100))</f>
        <v/>
      </c>
      <c r="I22" s="11">
        <f>IF(OR(E22="",F22=""),"N/A",IF(E22&gt;F22,"Improving",IF(E22&lt;F22,"Declining","Stable")))</f>
        <v/>
      </c>
      <c r="J22" s="12" t="n"/>
      <c r="K22" s="12" t="n"/>
      <c r="L22" s="13" t="n"/>
      <c r="M22" s="12" t="n"/>
    </row>
    <row r="23">
      <c r="A23" s="11" t="inlineStr">
        <is>
          <t>KPI-019</t>
        </is>
      </c>
      <c r="B23" s="12" t="n"/>
      <c r="C23" s="12" t="n"/>
      <c r="D23" s="12" t="n"/>
      <c r="E23" s="12" t="n"/>
      <c r="F23" s="12" t="n"/>
      <c r="G23" s="12" t="n"/>
      <c r="H23" s="11">
        <f>IF(E23="","",IF(D23="","N/A",(E23/D23-1)*100))</f>
        <v/>
      </c>
      <c r="I23" s="11">
        <f>IF(OR(E23="",F23=""),"N/A",IF(E23&gt;F23,"Improving",IF(E23&lt;F23,"Declining","Stable")))</f>
        <v/>
      </c>
      <c r="J23" s="12" t="n"/>
      <c r="K23" s="12" t="n"/>
      <c r="L23" s="13" t="n"/>
      <c r="M23" s="12" t="n"/>
    </row>
    <row r="24">
      <c r="A24" s="11" t="inlineStr">
        <is>
          <t>KPI-020</t>
        </is>
      </c>
      <c r="B24" s="12" t="n"/>
      <c r="C24" s="12" t="n"/>
      <c r="D24" s="12" t="n"/>
      <c r="E24" s="12" t="n"/>
      <c r="F24" s="12" t="n"/>
      <c r="G24" s="12" t="n"/>
      <c r="H24" s="11">
        <f>IF(E24="","",IF(D24="","N/A",(E24/D24-1)*100))</f>
        <v/>
      </c>
      <c r="I24" s="11">
        <f>IF(OR(E24="",F24=""),"N/A",IF(E24&gt;F24,"Improving",IF(E24&lt;F24,"Declining","Stable")))</f>
        <v/>
      </c>
      <c r="J24" s="12" t="n"/>
      <c r="K24" s="12" t="n"/>
      <c r="L24" s="13" t="n"/>
      <c r="M24" s="12" t="n"/>
    </row>
    <row r="26">
      <c r="A26" s="14" t="inlineStr">
        <is>
          <t>KPI SUMMARY</t>
        </is>
      </c>
    </row>
    <row r="27">
      <c r="A27" s="5" t="inlineStr">
        <is>
          <t>Total KPIs Tracked:</t>
        </is>
      </c>
      <c r="B27" s="5">
        <f>COUNTA(A5:A24)</f>
        <v/>
      </c>
    </row>
    <row r="28">
      <c r="A28" s="5" t="inlineStr">
        <is>
          <t>KPIs On Target (&gt;=100%):</t>
        </is>
      </c>
      <c r="B28" s="5">
        <f>COUNTIF(H5:H24,"&gt;=0")</f>
        <v/>
      </c>
    </row>
    <row r="29">
      <c r="A29" s="5" t="inlineStr">
        <is>
          <t>KPIs Below Target:</t>
        </is>
      </c>
      <c r="B29" s="5">
        <f>COUNTIF(H5:H24,"&lt;0")</f>
        <v/>
      </c>
    </row>
    <row r="30">
      <c r="A30" s="5" t="inlineStr">
        <is>
          <t>Improving Trends:</t>
        </is>
      </c>
      <c r="B30" s="5">
        <f>COUNTIF(I5:I24,"Improving")</f>
        <v/>
      </c>
    </row>
    <row r="31">
      <c r="A31" s="5" t="inlineStr">
        <is>
          <t>Declining Trends:</t>
        </is>
      </c>
      <c r="B31" s="5">
        <f>COUNTIF(I5:I24,"Declining")</f>
        <v/>
      </c>
    </row>
  </sheetData>
  <mergeCells count="3">
    <mergeCell ref="A2:M2"/>
    <mergeCell ref="A26:D26"/>
    <mergeCell ref="A1:M1"/>
  </mergeCells>
  <conditionalFormatting sqref="H5:H24">
    <cfRule type="cellIs" priority="1" operator="greaterThan" dxfId="2">
      <formula>0</formula>
    </cfRule>
    <cfRule type="cellIs" priority="2" operator="lessThan" dxfId="0">
      <formula>0</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104"/>
  <sheetViews>
    <sheetView workbookViewId="0">
      <selection activeCell="A1" sqref="A1"/>
    </sheetView>
  </sheetViews>
  <sheetFormatPr baseColWidth="8" defaultRowHeight="15"/>
  <cols>
    <col width="20" customWidth="1" min="1" max="1"/>
    <col width="16" customWidth="1" min="2" max="2"/>
    <col width="12" customWidth="1" min="3" max="3"/>
    <col width="14" customWidth="1" min="4" max="4"/>
    <col width="50" customWidth="1" min="5" max="5"/>
    <col width="20" customWidth="1" min="6" max="6"/>
    <col width="18" customWidth="1" min="7" max="7"/>
    <col width="18" customWidth="1" min="8" max="8"/>
    <col width="18" customWidth="1" min="9" max="9"/>
    <col width="14" customWidth="1" min="10" max="10"/>
    <col width="12" customWidth="1" min="11" max="11"/>
    <col width="12" customWidth="1" min="12" max="12"/>
    <col width="30" customWidth="1" min="13" max="13"/>
    <col width="20" customWidth="1" min="14" max="14"/>
    <col width="30" customWidth="1" min="15" max="15"/>
    <col width="12" customWidth="1" min="16" max="16"/>
    <col width="16" customWidth="1" min="17" max="17"/>
    <col width="30" customWidth="1" min="18" max="18"/>
    <col width="14" customWidth="1" min="19" max="19"/>
    <col width="18" customWidth="1" min="20" max="20"/>
    <col width="16" customWidth="1" min="21" max="21"/>
    <col width="20" customWidth="1" min="22" max="22"/>
    <col width="20" customWidth="1" min="23" max="23"/>
    <col width="40" customWidth="1" min="24" max="24"/>
  </cols>
  <sheetData>
    <row r="1" ht="35" customHeight="1">
      <c r="A1" s="22" t="inlineStr">
        <is>
          <t>WARNING: CRITICAL: Vulnerability-Linked Threats (VTL Schema v1.0 with CVSS - Control 8.8 Integration)</t>
        </is>
      </c>
    </row>
    <row r="2" ht="40" customHeight="1">
      <c r="A2" s="23" t="inlineStr">
        <is>
          <t>Link threat intelligence to vulnerabilities with CVSS scoring. Active exploitation + high CVSS triggers emergency patching in Control 8.8.</t>
        </is>
      </c>
    </row>
    <row r="3">
      <c r="A3" s="24" t="inlineStr">
        <is>
          <t>v1.0: CVSS-based priority scoring | Bidirectional: 5.7 -&gt; 8.8 (CVSS+context) | 8.8 -&gt; 5.7 (remediation)</t>
        </is>
      </c>
    </row>
    <row r="4" ht="35" customHeight="1">
      <c r="A4" s="10" t="inlineStr">
        <is>
          <t>Link ID</t>
        </is>
      </c>
      <c r="B4" s="10" t="inlineStr">
        <is>
          <t>Vulnerability ID</t>
        </is>
      </c>
      <c r="C4" s="10" t="inlineStr">
        <is>
          <t>CVSS Version</t>
        </is>
      </c>
      <c r="D4" s="10" t="inlineStr">
        <is>
          <t>CVSS Base Score</t>
        </is>
      </c>
      <c r="E4" s="10" t="inlineStr">
        <is>
          <t>CVSS Vector</t>
        </is>
      </c>
      <c r="F4" s="10" t="inlineStr">
        <is>
          <t>Threat Actor</t>
        </is>
      </c>
      <c r="G4" s="10" t="inlineStr">
        <is>
          <t>Threat Actor Type</t>
        </is>
      </c>
      <c r="H4" s="10" t="inlineStr">
        <is>
          <t>Exploitation Status</t>
        </is>
      </c>
      <c r="I4" s="10" t="inlineStr">
        <is>
          <t>Intelligence Source</t>
        </is>
      </c>
      <c r="J4" s="10" t="inlineStr">
        <is>
          <t>Confidence Level</t>
        </is>
      </c>
      <c r="K4" s="10" t="inlineStr">
        <is>
          <t>Discovery Date</t>
        </is>
      </c>
      <c r="L4" s="10" t="inlineStr">
        <is>
          <t>Last Updated</t>
        </is>
      </c>
      <c r="M4" s="10" t="inlineStr">
        <is>
          <t>IOCs</t>
        </is>
      </c>
      <c r="N4" s="10" t="inlineStr">
        <is>
          <t>TTPs</t>
        </is>
      </c>
      <c r="O4" s="10" t="inlineStr">
        <is>
          <t>Attack Vector</t>
        </is>
      </c>
      <c r="P4" s="10" t="inlineStr">
        <is>
          <t>Priority Score</t>
        </is>
      </c>
      <c r="Q4" s="10" t="inlineStr">
        <is>
          <t>Remediation Urgency</t>
        </is>
      </c>
      <c r="R4" s="10" t="inlineStr">
        <is>
          <t>Business Impact</t>
        </is>
      </c>
      <c r="S4" s="10" t="inlineStr">
        <is>
          <t>Affected Systems Count</t>
        </is>
      </c>
      <c r="T4" s="10" t="inlineStr">
        <is>
          <t>Critical Assets Affected</t>
        </is>
      </c>
      <c r="U4" s="10" t="inlineStr">
        <is>
          <t>Remediation Status</t>
        </is>
      </c>
      <c r="V4" s="10" t="inlineStr">
        <is>
          <t>Assigned To</t>
        </is>
      </c>
      <c r="W4" s="10" t="inlineStr">
        <is>
          <t>Related Incidents</t>
        </is>
      </c>
      <c r="X4" s="10" t="inlineStr">
        <is>
          <t>Notes</t>
        </is>
      </c>
    </row>
    <row r="5">
      <c r="A5" s="11" t="inlineStr">
        <is>
          <t>VTL-20250109-0001</t>
        </is>
      </c>
      <c r="B5" s="12" t="n"/>
      <c r="C5" s="12" t="n"/>
      <c r="D5" s="19" t="n"/>
      <c r="E5" s="12" t="n"/>
      <c r="F5" s="12" t="n"/>
      <c r="G5" s="12" t="n"/>
      <c r="H5" s="12" t="n"/>
      <c r="I5" s="12" t="n"/>
      <c r="J5" s="12" t="n"/>
      <c r="K5" s="13" t="n"/>
      <c r="L5" s="25">
        <f>IF(B5="","",TODAY())</f>
        <v/>
      </c>
      <c r="M5" s="12" t="n"/>
      <c r="N5" s="12" t="n"/>
      <c r="O5" s="12" t="n"/>
      <c r="P5" s="26">
        <f>IF(D5="","",MIN(10,D5+IF(H5="Mass_Exploitation",2,IF(H5="Active_Exploitation",1,0))+IF(T5="Yes",2,0)+IF(G5="Nation-State",1,0)))</f>
        <v/>
      </c>
      <c r="Q5" s="12" t="n"/>
      <c r="R5" s="12" t="n"/>
      <c r="S5" s="17" t="n"/>
      <c r="T5" s="12" t="n"/>
      <c r="U5" s="12" t="n"/>
      <c r="V5" s="12" t="n"/>
      <c r="W5" s="12" t="n"/>
      <c r="X5" s="12" t="n"/>
    </row>
    <row r="6">
      <c r="A6" s="11" t="inlineStr">
        <is>
          <t>VTL-20250109-0002</t>
        </is>
      </c>
      <c r="B6" s="12" t="n"/>
      <c r="C6" s="12" t="n"/>
      <c r="D6" s="19" t="n"/>
      <c r="E6" s="12" t="n"/>
      <c r="F6" s="12" t="n"/>
      <c r="G6" s="12" t="n"/>
      <c r="H6" s="12" t="n"/>
      <c r="I6" s="12" t="n"/>
      <c r="J6" s="12" t="n"/>
      <c r="K6" s="13" t="n"/>
      <c r="L6" s="25">
        <f>IF(B6="","",TODAY())</f>
        <v/>
      </c>
      <c r="M6" s="12" t="n"/>
      <c r="N6" s="12" t="n"/>
      <c r="O6" s="12" t="n"/>
      <c r="P6" s="26">
        <f>IF(D6="","",MIN(10,D6+IF(H6="Mass_Exploitation",2,IF(H6="Active_Exploitation",1,0))+IF(T6="Yes",2,0)+IF(G6="Nation-State",1,0)))</f>
        <v/>
      </c>
      <c r="Q6" s="12" t="n"/>
      <c r="R6" s="12" t="n"/>
      <c r="S6" s="17" t="n"/>
      <c r="T6" s="12" t="n"/>
      <c r="U6" s="12" t="n"/>
      <c r="V6" s="12" t="n"/>
      <c r="W6" s="12" t="n"/>
      <c r="X6" s="12" t="n"/>
    </row>
    <row r="7">
      <c r="A7" s="11" t="inlineStr">
        <is>
          <t>VTL-20250109-0003</t>
        </is>
      </c>
      <c r="B7" s="12" t="n"/>
      <c r="C7" s="12" t="n"/>
      <c r="D7" s="19" t="n"/>
      <c r="E7" s="12" t="n"/>
      <c r="F7" s="12" t="n"/>
      <c r="G7" s="12" t="n"/>
      <c r="H7" s="12" t="n"/>
      <c r="I7" s="12" t="n"/>
      <c r="J7" s="12" t="n"/>
      <c r="K7" s="13" t="n"/>
      <c r="L7" s="25">
        <f>IF(B7="","",TODAY())</f>
        <v/>
      </c>
      <c r="M7" s="12" t="n"/>
      <c r="N7" s="12" t="n"/>
      <c r="O7" s="12" t="n"/>
      <c r="P7" s="26">
        <f>IF(D7="","",MIN(10,D7+IF(H7="Mass_Exploitation",2,IF(H7="Active_Exploitation",1,0))+IF(T7="Yes",2,0)+IF(G7="Nation-State",1,0)))</f>
        <v/>
      </c>
      <c r="Q7" s="12" t="n"/>
      <c r="R7" s="12" t="n"/>
      <c r="S7" s="17" t="n"/>
      <c r="T7" s="12" t="n"/>
      <c r="U7" s="12" t="n"/>
      <c r="V7" s="12" t="n"/>
      <c r="W7" s="12" t="n"/>
      <c r="X7" s="12" t="n"/>
    </row>
    <row r="8">
      <c r="A8" s="11" t="inlineStr">
        <is>
          <t>VTL-20250109-0004</t>
        </is>
      </c>
      <c r="B8" s="12" t="n"/>
      <c r="C8" s="12" t="n"/>
      <c r="D8" s="19" t="n"/>
      <c r="E8" s="12" t="n"/>
      <c r="F8" s="12" t="n"/>
      <c r="G8" s="12" t="n"/>
      <c r="H8" s="12" t="n"/>
      <c r="I8" s="12" t="n"/>
      <c r="J8" s="12" t="n"/>
      <c r="K8" s="13" t="n"/>
      <c r="L8" s="25">
        <f>IF(B8="","",TODAY())</f>
        <v/>
      </c>
      <c r="M8" s="12" t="n"/>
      <c r="N8" s="12" t="n"/>
      <c r="O8" s="12" t="n"/>
      <c r="P8" s="26">
        <f>IF(D8="","",MIN(10,D8+IF(H8="Mass_Exploitation",2,IF(H8="Active_Exploitation",1,0))+IF(T8="Yes",2,0)+IF(G8="Nation-State",1,0)))</f>
        <v/>
      </c>
      <c r="Q8" s="12" t="n"/>
      <c r="R8" s="12" t="n"/>
      <c r="S8" s="17" t="n"/>
      <c r="T8" s="12" t="n"/>
      <c r="U8" s="12" t="n"/>
      <c r="V8" s="12" t="n"/>
      <c r="W8" s="12" t="n"/>
      <c r="X8" s="12" t="n"/>
    </row>
    <row r="9">
      <c r="A9" s="11" t="inlineStr">
        <is>
          <t>VTL-20250109-0005</t>
        </is>
      </c>
      <c r="B9" s="12" t="n"/>
      <c r="C9" s="12" t="n"/>
      <c r="D9" s="19" t="n"/>
      <c r="E9" s="12" t="n"/>
      <c r="F9" s="12" t="n"/>
      <c r="G9" s="12" t="n"/>
      <c r="H9" s="12" t="n"/>
      <c r="I9" s="12" t="n"/>
      <c r="J9" s="12" t="n"/>
      <c r="K9" s="13" t="n"/>
      <c r="L9" s="25">
        <f>IF(B9="","",TODAY())</f>
        <v/>
      </c>
      <c r="M9" s="12" t="n"/>
      <c r="N9" s="12" t="n"/>
      <c r="O9" s="12" t="n"/>
      <c r="P9" s="26">
        <f>IF(D9="","",MIN(10,D9+IF(H9="Mass_Exploitation",2,IF(H9="Active_Exploitation",1,0))+IF(T9="Yes",2,0)+IF(G9="Nation-State",1,0)))</f>
        <v/>
      </c>
      <c r="Q9" s="12" t="n"/>
      <c r="R9" s="12" t="n"/>
      <c r="S9" s="17" t="n"/>
      <c r="T9" s="12" t="n"/>
      <c r="U9" s="12" t="n"/>
      <c r="V9" s="12" t="n"/>
      <c r="W9" s="12" t="n"/>
      <c r="X9" s="12" t="n"/>
    </row>
    <row r="10">
      <c r="A10" s="11" t="inlineStr">
        <is>
          <t>VTL-20250109-0006</t>
        </is>
      </c>
      <c r="B10" s="12" t="n"/>
      <c r="C10" s="12" t="n"/>
      <c r="D10" s="19" t="n"/>
      <c r="E10" s="12" t="n"/>
      <c r="F10" s="12" t="n"/>
      <c r="G10" s="12" t="n"/>
      <c r="H10" s="12" t="n"/>
      <c r="I10" s="12" t="n"/>
      <c r="J10" s="12" t="n"/>
      <c r="K10" s="13" t="n"/>
      <c r="L10" s="25">
        <f>IF(B10="","",TODAY())</f>
        <v/>
      </c>
      <c r="M10" s="12" t="n"/>
      <c r="N10" s="12" t="n"/>
      <c r="O10" s="12" t="n"/>
      <c r="P10" s="26">
        <f>IF(D10="","",MIN(10,D10+IF(H10="Mass_Exploitation",2,IF(H10="Active_Exploitation",1,0))+IF(T10="Yes",2,0)+IF(G10="Nation-State",1,0)))</f>
        <v/>
      </c>
      <c r="Q10" s="12" t="n"/>
      <c r="R10" s="12" t="n"/>
      <c r="S10" s="17" t="n"/>
      <c r="T10" s="12" t="n"/>
      <c r="U10" s="12" t="n"/>
      <c r="V10" s="12" t="n"/>
      <c r="W10" s="12" t="n"/>
      <c r="X10" s="12" t="n"/>
    </row>
    <row r="11">
      <c r="A11" s="11" t="inlineStr">
        <is>
          <t>VTL-20250109-0007</t>
        </is>
      </c>
      <c r="B11" s="12" t="n"/>
      <c r="C11" s="12" t="n"/>
      <c r="D11" s="19" t="n"/>
      <c r="E11" s="12" t="n"/>
      <c r="F11" s="12" t="n"/>
      <c r="G11" s="12" t="n"/>
      <c r="H11" s="12" t="n"/>
      <c r="I11" s="12" t="n"/>
      <c r="J11" s="12" t="n"/>
      <c r="K11" s="13" t="n"/>
      <c r="L11" s="25">
        <f>IF(B11="","",TODAY())</f>
        <v/>
      </c>
      <c r="M11" s="12" t="n"/>
      <c r="N11" s="12" t="n"/>
      <c r="O11" s="12" t="n"/>
      <c r="P11" s="26">
        <f>IF(D11="","",MIN(10,D11+IF(H11="Mass_Exploitation",2,IF(H11="Active_Exploitation",1,0))+IF(T11="Yes",2,0)+IF(G11="Nation-State",1,0)))</f>
        <v/>
      </c>
      <c r="Q11" s="12" t="n"/>
      <c r="R11" s="12" t="n"/>
      <c r="S11" s="17" t="n"/>
      <c r="T11" s="12" t="n"/>
      <c r="U11" s="12" t="n"/>
      <c r="V11" s="12" t="n"/>
      <c r="W11" s="12" t="n"/>
      <c r="X11" s="12" t="n"/>
    </row>
    <row r="12">
      <c r="A12" s="11" t="inlineStr">
        <is>
          <t>VTL-20250109-0008</t>
        </is>
      </c>
      <c r="B12" s="12" t="n"/>
      <c r="C12" s="12" t="n"/>
      <c r="D12" s="19" t="n"/>
      <c r="E12" s="12" t="n"/>
      <c r="F12" s="12" t="n"/>
      <c r="G12" s="12" t="n"/>
      <c r="H12" s="12" t="n"/>
      <c r="I12" s="12" t="n"/>
      <c r="J12" s="12" t="n"/>
      <c r="K12" s="13" t="n"/>
      <c r="L12" s="25">
        <f>IF(B12="","",TODAY())</f>
        <v/>
      </c>
      <c r="M12" s="12" t="n"/>
      <c r="N12" s="12" t="n"/>
      <c r="O12" s="12" t="n"/>
      <c r="P12" s="26">
        <f>IF(D12="","",MIN(10,D12+IF(H12="Mass_Exploitation",2,IF(H12="Active_Exploitation",1,0))+IF(T12="Yes",2,0)+IF(G12="Nation-State",1,0)))</f>
        <v/>
      </c>
      <c r="Q12" s="12" t="n"/>
      <c r="R12" s="12" t="n"/>
      <c r="S12" s="17" t="n"/>
      <c r="T12" s="12" t="n"/>
      <c r="U12" s="12" t="n"/>
      <c r="V12" s="12" t="n"/>
      <c r="W12" s="12" t="n"/>
      <c r="X12" s="12" t="n"/>
    </row>
    <row r="13">
      <c r="A13" s="11" t="inlineStr">
        <is>
          <t>VTL-20250109-0009</t>
        </is>
      </c>
      <c r="B13" s="12" t="n"/>
      <c r="C13" s="12" t="n"/>
      <c r="D13" s="19" t="n"/>
      <c r="E13" s="12" t="n"/>
      <c r="F13" s="12" t="n"/>
      <c r="G13" s="12" t="n"/>
      <c r="H13" s="12" t="n"/>
      <c r="I13" s="12" t="n"/>
      <c r="J13" s="12" t="n"/>
      <c r="K13" s="13" t="n"/>
      <c r="L13" s="25">
        <f>IF(B13="","",TODAY())</f>
        <v/>
      </c>
      <c r="M13" s="12" t="n"/>
      <c r="N13" s="12" t="n"/>
      <c r="O13" s="12" t="n"/>
      <c r="P13" s="26">
        <f>IF(D13="","",MIN(10,D13+IF(H13="Mass_Exploitation",2,IF(H13="Active_Exploitation",1,0))+IF(T13="Yes",2,0)+IF(G13="Nation-State",1,0)))</f>
        <v/>
      </c>
      <c r="Q13" s="12" t="n"/>
      <c r="R13" s="12" t="n"/>
      <c r="S13" s="17" t="n"/>
      <c r="T13" s="12" t="n"/>
      <c r="U13" s="12" t="n"/>
      <c r="V13" s="12" t="n"/>
      <c r="W13" s="12" t="n"/>
      <c r="X13" s="12" t="n"/>
    </row>
    <row r="14">
      <c r="A14" s="11" t="inlineStr">
        <is>
          <t>VTL-20250109-0010</t>
        </is>
      </c>
      <c r="B14" s="12" t="n"/>
      <c r="C14" s="12" t="n"/>
      <c r="D14" s="19" t="n"/>
      <c r="E14" s="12" t="n"/>
      <c r="F14" s="12" t="n"/>
      <c r="G14" s="12" t="n"/>
      <c r="H14" s="12" t="n"/>
      <c r="I14" s="12" t="n"/>
      <c r="J14" s="12" t="n"/>
      <c r="K14" s="13" t="n"/>
      <c r="L14" s="25">
        <f>IF(B14="","",TODAY())</f>
        <v/>
      </c>
      <c r="M14" s="12" t="n"/>
      <c r="N14" s="12" t="n"/>
      <c r="O14" s="12" t="n"/>
      <c r="P14" s="26">
        <f>IF(D14="","",MIN(10,D14+IF(H14="Mass_Exploitation",2,IF(H14="Active_Exploitation",1,0))+IF(T14="Yes",2,0)+IF(G14="Nation-State",1,0)))</f>
        <v/>
      </c>
      <c r="Q14" s="12" t="n"/>
      <c r="R14" s="12" t="n"/>
      <c r="S14" s="17" t="n"/>
      <c r="T14" s="12" t="n"/>
      <c r="U14" s="12" t="n"/>
      <c r="V14" s="12" t="n"/>
      <c r="W14" s="12" t="n"/>
      <c r="X14" s="12" t="n"/>
    </row>
    <row r="15">
      <c r="A15" s="11" t="inlineStr">
        <is>
          <t>VTL-20250109-0011</t>
        </is>
      </c>
      <c r="B15" s="12" t="n"/>
      <c r="C15" s="12" t="n"/>
      <c r="D15" s="19" t="n"/>
      <c r="E15" s="12" t="n"/>
      <c r="F15" s="12" t="n"/>
      <c r="G15" s="12" t="n"/>
      <c r="H15" s="12" t="n"/>
      <c r="I15" s="12" t="n"/>
      <c r="J15" s="12" t="n"/>
      <c r="K15" s="13" t="n"/>
      <c r="L15" s="25">
        <f>IF(B15="","",TODAY())</f>
        <v/>
      </c>
      <c r="M15" s="12" t="n"/>
      <c r="N15" s="12" t="n"/>
      <c r="O15" s="12" t="n"/>
      <c r="P15" s="26">
        <f>IF(D15="","",MIN(10,D15+IF(H15="Mass_Exploitation",2,IF(H15="Active_Exploitation",1,0))+IF(T15="Yes",2,0)+IF(G15="Nation-State",1,0)))</f>
        <v/>
      </c>
      <c r="Q15" s="12" t="n"/>
      <c r="R15" s="12" t="n"/>
      <c r="S15" s="17" t="n"/>
      <c r="T15" s="12" t="n"/>
      <c r="U15" s="12" t="n"/>
      <c r="V15" s="12" t="n"/>
      <c r="W15" s="12" t="n"/>
      <c r="X15" s="12" t="n"/>
    </row>
    <row r="16">
      <c r="A16" s="11" t="inlineStr">
        <is>
          <t>VTL-20250109-0012</t>
        </is>
      </c>
      <c r="B16" s="12" t="n"/>
      <c r="C16" s="12" t="n"/>
      <c r="D16" s="19" t="n"/>
      <c r="E16" s="12" t="n"/>
      <c r="F16" s="12" t="n"/>
      <c r="G16" s="12" t="n"/>
      <c r="H16" s="12" t="n"/>
      <c r="I16" s="12" t="n"/>
      <c r="J16" s="12" t="n"/>
      <c r="K16" s="13" t="n"/>
      <c r="L16" s="25">
        <f>IF(B16="","",TODAY())</f>
        <v/>
      </c>
      <c r="M16" s="12" t="n"/>
      <c r="N16" s="12" t="n"/>
      <c r="O16" s="12" t="n"/>
      <c r="P16" s="26">
        <f>IF(D16="","",MIN(10,D16+IF(H16="Mass_Exploitation",2,IF(H16="Active_Exploitation",1,0))+IF(T16="Yes",2,0)+IF(G16="Nation-State",1,0)))</f>
        <v/>
      </c>
      <c r="Q16" s="12" t="n"/>
      <c r="R16" s="12" t="n"/>
      <c r="S16" s="17" t="n"/>
      <c r="T16" s="12" t="n"/>
      <c r="U16" s="12" t="n"/>
      <c r="V16" s="12" t="n"/>
      <c r="W16" s="12" t="n"/>
      <c r="X16" s="12" t="n"/>
    </row>
    <row r="17">
      <c r="A17" s="11" t="inlineStr">
        <is>
          <t>VTL-20250109-0013</t>
        </is>
      </c>
      <c r="B17" s="12" t="n"/>
      <c r="C17" s="12" t="n"/>
      <c r="D17" s="19" t="n"/>
      <c r="E17" s="12" t="n"/>
      <c r="F17" s="12" t="n"/>
      <c r="G17" s="12" t="n"/>
      <c r="H17" s="12" t="n"/>
      <c r="I17" s="12" t="n"/>
      <c r="J17" s="12" t="n"/>
      <c r="K17" s="13" t="n"/>
      <c r="L17" s="25">
        <f>IF(B17="","",TODAY())</f>
        <v/>
      </c>
      <c r="M17" s="12" t="n"/>
      <c r="N17" s="12" t="n"/>
      <c r="O17" s="12" t="n"/>
      <c r="P17" s="26">
        <f>IF(D17="","",MIN(10,D17+IF(H17="Mass_Exploitation",2,IF(H17="Active_Exploitation",1,0))+IF(T17="Yes",2,0)+IF(G17="Nation-State",1,0)))</f>
        <v/>
      </c>
      <c r="Q17" s="12" t="n"/>
      <c r="R17" s="12" t="n"/>
      <c r="S17" s="17" t="n"/>
      <c r="T17" s="12" t="n"/>
      <c r="U17" s="12" t="n"/>
      <c r="V17" s="12" t="n"/>
      <c r="W17" s="12" t="n"/>
      <c r="X17" s="12" t="n"/>
    </row>
    <row r="18">
      <c r="A18" s="11" t="inlineStr">
        <is>
          <t>VTL-20250109-0014</t>
        </is>
      </c>
      <c r="B18" s="12" t="n"/>
      <c r="C18" s="12" t="n"/>
      <c r="D18" s="19" t="n"/>
      <c r="E18" s="12" t="n"/>
      <c r="F18" s="12" t="n"/>
      <c r="G18" s="12" t="n"/>
      <c r="H18" s="12" t="n"/>
      <c r="I18" s="12" t="n"/>
      <c r="J18" s="12" t="n"/>
      <c r="K18" s="13" t="n"/>
      <c r="L18" s="25">
        <f>IF(B18="","",TODAY())</f>
        <v/>
      </c>
      <c r="M18" s="12" t="n"/>
      <c r="N18" s="12" t="n"/>
      <c r="O18" s="12" t="n"/>
      <c r="P18" s="26">
        <f>IF(D18="","",MIN(10,D18+IF(H18="Mass_Exploitation",2,IF(H18="Active_Exploitation",1,0))+IF(T18="Yes",2,0)+IF(G18="Nation-State",1,0)))</f>
        <v/>
      </c>
      <c r="Q18" s="12" t="n"/>
      <c r="R18" s="12" t="n"/>
      <c r="S18" s="17" t="n"/>
      <c r="T18" s="12" t="n"/>
      <c r="U18" s="12" t="n"/>
      <c r="V18" s="12" t="n"/>
      <c r="W18" s="12" t="n"/>
      <c r="X18" s="12" t="n"/>
    </row>
    <row r="19">
      <c r="A19" s="11" t="inlineStr">
        <is>
          <t>VTL-20250109-0015</t>
        </is>
      </c>
      <c r="B19" s="12" t="n"/>
      <c r="C19" s="12" t="n"/>
      <c r="D19" s="19" t="n"/>
      <c r="E19" s="12" t="n"/>
      <c r="F19" s="12" t="n"/>
      <c r="G19" s="12" t="n"/>
      <c r="H19" s="12" t="n"/>
      <c r="I19" s="12" t="n"/>
      <c r="J19" s="12" t="n"/>
      <c r="K19" s="13" t="n"/>
      <c r="L19" s="25">
        <f>IF(B19="","",TODAY())</f>
        <v/>
      </c>
      <c r="M19" s="12" t="n"/>
      <c r="N19" s="12" t="n"/>
      <c r="O19" s="12" t="n"/>
      <c r="P19" s="26">
        <f>IF(D19="","",MIN(10,D19+IF(H19="Mass_Exploitation",2,IF(H19="Active_Exploitation",1,0))+IF(T19="Yes",2,0)+IF(G19="Nation-State",1,0)))</f>
        <v/>
      </c>
      <c r="Q19" s="12" t="n"/>
      <c r="R19" s="12" t="n"/>
      <c r="S19" s="17" t="n"/>
      <c r="T19" s="12" t="n"/>
      <c r="U19" s="12" t="n"/>
      <c r="V19" s="12" t="n"/>
      <c r="W19" s="12" t="n"/>
      <c r="X19" s="12" t="n"/>
    </row>
    <row r="20">
      <c r="A20" s="11" t="inlineStr">
        <is>
          <t>VTL-20250109-0016</t>
        </is>
      </c>
      <c r="B20" s="12" t="n"/>
      <c r="C20" s="12" t="n"/>
      <c r="D20" s="19" t="n"/>
      <c r="E20" s="12" t="n"/>
      <c r="F20" s="12" t="n"/>
      <c r="G20" s="12" t="n"/>
      <c r="H20" s="12" t="n"/>
      <c r="I20" s="12" t="n"/>
      <c r="J20" s="12" t="n"/>
      <c r="K20" s="13" t="n"/>
      <c r="L20" s="25">
        <f>IF(B20="","",TODAY())</f>
        <v/>
      </c>
      <c r="M20" s="12" t="n"/>
      <c r="N20" s="12" t="n"/>
      <c r="O20" s="12" t="n"/>
      <c r="P20" s="26">
        <f>IF(D20="","",MIN(10,D20+IF(H20="Mass_Exploitation",2,IF(H20="Active_Exploitation",1,0))+IF(T20="Yes",2,0)+IF(G20="Nation-State",1,0)))</f>
        <v/>
      </c>
      <c r="Q20" s="12" t="n"/>
      <c r="R20" s="12" t="n"/>
      <c r="S20" s="17" t="n"/>
      <c r="T20" s="12" t="n"/>
      <c r="U20" s="12" t="n"/>
      <c r="V20" s="12" t="n"/>
      <c r="W20" s="12" t="n"/>
      <c r="X20" s="12" t="n"/>
    </row>
    <row r="21">
      <c r="A21" s="11" t="inlineStr">
        <is>
          <t>VTL-20250109-0017</t>
        </is>
      </c>
      <c r="B21" s="12" t="n"/>
      <c r="C21" s="12" t="n"/>
      <c r="D21" s="19" t="n"/>
      <c r="E21" s="12" t="n"/>
      <c r="F21" s="12" t="n"/>
      <c r="G21" s="12" t="n"/>
      <c r="H21" s="12" t="n"/>
      <c r="I21" s="12" t="n"/>
      <c r="J21" s="12" t="n"/>
      <c r="K21" s="13" t="n"/>
      <c r="L21" s="25">
        <f>IF(B21="","",TODAY())</f>
        <v/>
      </c>
      <c r="M21" s="12" t="n"/>
      <c r="N21" s="12" t="n"/>
      <c r="O21" s="12" t="n"/>
      <c r="P21" s="26">
        <f>IF(D21="","",MIN(10,D21+IF(H21="Mass_Exploitation",2,IF(H21="Active_Exploitation",1,0))+IF(T21="Yes",2,0)+IF(G21="Nation-State",1,0)))</f>
        <v/>
      </c>
      <c r="Q21" s="12" t="n"/>
      <c r="R21" s="12" t="n"/>
      <c r="S21" s="17" t="n"/>
      <c r="T21" s="12" t="n"/>
      <c r="U21" s="12" t="n"/>
      <c r="V21" s="12" t="n"/>
      <c r="W21" s="12" t="n"/>
      <c r="X21" s="12" t="n"/>
    </row>
    <row r="22">
      <c r="A22" s="11" t="inlineStr">
        <is>
          <t>VTL-20250109-0018</t>
        </is>
      </c>
      <c r="B22" s="12" t="n"/>
      <c r="C22" s="12" t="n"/>
      <c r="D22" s="19" t="n"/>
      <c r="E22" s="12" t="n"/>
      <c r="F22" s="12" t="n"/>
      <c r="G22" s="12" t="n"/>
      <c r="H22" s="12" t="n"/>
      <c r="I22" s="12" t="n"/>
      <c r="J22" s="12" t="n"/>
      <c r="K22" s="13" t="n"/>
      <c r="L22" s="25">
        <f>IF(B22="","",TODAY())</f>
        <v/>
      </c>
      <c r="M22" s="12" t="n"/>
      <c r="N22" s="12" t="n"/>
      <c r="O22" s="12" t="n"/>
      <c r="P22" s="26">
        <f>IF(D22="","",MIN(10,D22+IF(H22="Mass_Exploitation",2,IF(H22="Active_Exploitation",1,0))+IF(T22="Yes",2,0)+IF(G22="Nation-State",1,0)))</f>
        <v/>
      </c>
      <c r="Q22" s="12" t="n"/>
      <c r="R22" s="12" t="n"/>
      <c r="S22" s="17" t="n"/>
      <c r="T22" s="12" t="n"/>
      <c r="U22" s="12" t="n"/>
      <c r="V22" s="12" t="n"/>
      <c r="W22" s="12" t="n"/>
      <c r="X22" s="12" t="n"/>
    </row>
    <row r="23">
      <c r="A23" s="11" t="inlineStr">
        <is>
          <t>VTL-20250109-0019</t>
        </is>
      </c>
      <c r="B23" s="12" t="n"/>
      <c r="C23" s="12" t="n"/>
      <c r="D23" s="19" t="n"/>
      <c r="E23" s="12" t="n"/>
      <c r="F23" s="12" t="n"/>
      <c r="G23" s="12" t="n"/>
      <c r="H23" s="12" t="n"/>
      <c r="I23" s="12" t="n"/>
      <c r="J23" s="12" t="n"/>
      <c r="K23" s="13" t="n"/>
      <c r="L23" s="25">
        <f>IF(B23="","",TODAY())</f>
        <v/>
      </c>
      <c r="M23" s="12" t="n"/>
      <c r="N23" s="12" t="n"/>
      <c r="O23" s="12" t="n"/>
      <c r="P23" s="26">
        <f>IF(D23="","",MIN(10,D23+IF(H23="Mass_Exploitation",2,IF(H23="Active_Exploitation",1,0))+IF(T23="Yes",2,0)+IF(G23="Nation-State",1,0)))</f>
        <v/>
      </c>
      <c r="Q23" s="12" t="n"/>
      <c r="R23" s="12" t="n"/>
      <c r="S23" s="17" t="n"/>
      <c r="T23" s="12" t="n"/>
      <c r="U23" s="12" t="n"/>
      <c r="V23" s="12" t="n"/>
      <c r="W23" s="12" t="n"/>
      <c r="X23" s="12" t="n"/>
    </row>
    <row r="24">
      <c r="A24" s="11" t="inlineStr">
        <is>
          <t>VTL-20250109-0020</t>
        </is>
      </c>
      <c r="B24" s="12" t="n"/>
      <c r="C24" s="12" t="n"/>
      <c r="D24" s="19" t="n"/>
      <c r="E24" s="12" t="n"/>
      <c r="F24" s="12" t="n"/>
      <c r="G24" s="12" t="n"/>
      <c r="H24" s="12" t="n"/>
      <c r="I24" s="12" t="n"/>
      <c r="J24" s="12" t="n"/>
      <c r="K24" s="13" t="n"/>
      <c r="L24" s="25">
        <f>IF(B24="","",TODAY())</f>
        <v/>
      </c>
      <c r="M24" s="12" t="n"/>
      <c r="N24" s="12" t="n"/>
      <c r="O24" s="12" t="n"/>
      <c r="P24" s="26">
        <f>IF(D24="","",MIN(10,D24+IF(H24="Mass_Exploitation",2,IF(H24="Active_Exploitation",1,0))+IF(T24="Yes",2,0)+IF(G24="Nation-State",1,0)))</f>
        <v/>
      </c>
      <c r="Q24" s="12" t="n"/>
      <c r="R24" s="12" t="n"/>
      <c r="S24" s="17" t="n"/>
      <c r="T24" s="12" t="n"/>
      <c r="U24" s="12" t="n"/>
      <c r="V24" s="12" t="n"/>
      <c r="W24" s="12" t="n"/>
      <c r="X24" s="12" t="n"/>
    </row>
    <row r="25">
      <c r="A25" s="11" t="inlineStr">
        <is>
          <t>VTL-20250109-0021</t>
        </is>
      </c>
      <c r="B25" s="12" t="n"/>
      <c r="C25" s="12" t="n"/>
      <c r="D25" s="19" t="n"/>
      <c r="E25" s="12" t="n"/>
      <c r="F25" s="12" t="n"/>
      <c r="G25" s="12" t="n"/>
      <c r="H25" s="12" t="n"/>
      <c r="I25" s="12" t="n"/>
      <c r="J25" s="12" t="n"/>
      <c r="K25" s="13" t="n"/>
      <c r="L25" s="25">
        <f>IF(B25="","",TODAY())</f>
        <v/>
      </c>
      <c r="M25" s="12" t="n"/>
      <c r="N25" s="12" t="n"/>
      <c r="O25" s="12" t="n"/>
      <c r="P25" s="26">
        <f>IF(D25="","",MIN(10,D25+IF(H25="Mass_Exploitation",2,IF(H25="Active_Exploitation",1,0))+IF(T25="Yes",2,0)+IF(G25="Nation-State",1,0)))</f>
        <v/>
      </c>
      <c r="Q25" s="12" t="n"/>
      <c r="R25" s="12" t="n"/>
      <c r="S25" s="17" t="n"/>
      <c r="T25" s="12" t="n"/>
      <c r="U25" s="12" t="n"/>
      <c r="V25" s="12" t="n"/>
      <c r="W25" s="12" t="n"/>
      <c r="X25" s="12" t="n"/>
    </row>
    <row r="26">
      <c r="A26" s="11" t="inlineStr">
        <is>
          <t>VTL-20250109-0022</t>
        </is>
      </c>
      <c r="B26" s="12" t="n"/>
      <c r="C26" s="12" t="n"/>
      <c r="D26" s="19" t="n"/>
      <c r="E26" s="12" t="n"/>
      <c r="F26" s="12" t="n"/>
      <c r="G26" s="12" t="n"/>
      <c r="H26" s="12" t="n"/>
      <c r="I26" s="12" t="n"/>
      <c r="J26" s="12" t="n"/>
      <c r="K26" s="13" t="n"/>
      <c r="L26" s="25">
        <f>IF(B26="","",TODAY())</f>
        <v/>
      </c>
      <c r="M26" s="12" t="n"/>
      <c r="N26" s="12" t="n"/>
      <c r="O26" s="12" t="n"/>
      <c r="P26" s="26">
        <f>IF(D26="","",MIN(10,D26+IF(H26="Mass_Exploitation",2,IF(H26="Active_Exploitation",1,0))+IF(T26="Yes",2,0)+IF(G26="Nation-State",1,0)))</f>
        <v/>
      </c>
      <c r="Q26" s="12" t="n"/>
      <c r="R26" s="12" t="n"/>
      <c r="S26" s="17" t="n"/>
      <c r="T26" s="12" t="n"/>
      <c r="U26" s="12" t="n"/>
      <c r="V26" s="12" t="n"/>
      <c r="W26" s="12" t="n"/>
      <c r="X26" s="12" t="n"/>
    </row>
    <row r="27">
      <c r="A27" s="11" t="inlineStr">
        <is>
          <t>VTL-20250109-0023</t>
        </is>
      </c>
      <c r="B27" s="12" t="n"/>
      <c r="C27" s="12" t="n"/>
      <c r="D27" s="19" t="n"/>
      <c r="E27" s="12" t="n"/>
      <c r="F27" s="12" t="n"/>
      <c r="G27" s="12" t="n"/>
      <c r="H27" s="12" t="n"/>
      <c r="I27" s="12" t="n"/>
      <c r="J27" s="12" t="n"/>
      <c r="K27" s="13" t="n"/>
      <c r="L27" s="25">
        <f>IF(B27="","",TODAY())</f>
        <v/>
      </c>
      <c r="M27" s="12" t="n"/>
      <c r="N27" s="12" t="n"/>
      <c r="O27" s="12" t="n"/>
      <c r="P27" s="26">
        <f>IF(D27="","",MIN(10,D27+IF(H27="Mass_Exploitation",2,IF(H27="Active_Exploitation",1,0))+IF(T27="Yes",2,0)+IF(G27="Nation-State",1,0)))</f>
        <v/>
      </c>
      <c r="Q27" s="12" t="n"/>
      <c r="R27" s="12" t="n"/>
      <c r="S27" s="17" t="n"/>
      <c r="T27" s="12" t="n"/>
      <c r="U27" s="12" t="n"/>
      <c r="V27" s="12" t="n"/>
      <c r="W27" s="12" t="n"/>
      <c r="X27" s="12" t="n"/>
    </row>
    <row r="28">
      <c r="A28" s="11" t="inlineStr">
        <is>
          <t>VTL-20250109-0024</t>
        </is>
      </c>
      <c r="B28" s="12" t="n"/>
      <c r="C28" s="12" t="n"/>
      <c r="D28" s="19" t="n"/>
      <c r="E28" s="12" t="n"/>
      <c r="F28" s="12" t="n"/>
      <c r="G28" s="12" t="n"/>
      <c r="H28" s="12" t="n"/>
      <c r="I28" s="12" t="n"/>
      <c r="J28" s="12" t="n"/>
      <c r="K28" s="13" t="n"/>
      <c r="L28" s="25">
        <f>IF(B28="","",TODAY())</f>
        <v/>
      </c>
      <c r="M28" s="12" t="n"/>
      <c r="N28" s="12" t="n"/>
      <c r="O28" s="12" t="n"/>
      <c r="P28" s="26">
        <f>IF(D28="","",MIN(10,D28+IF(H28="Mass_Exploitation",2,IF(H28="Active_Exploitation",1,0))+IF(T28="Yes",2,0)+IF(G28="Nation-State",1,0)))</f>
        <v/>
      </c>
      <c r="Q28" s="12" t="n"/>
      <c r="R28" s="12" t="n"/>
      <c r="S28" s="17" t="n"/>
      <c r="T28" s="12" t="n"/>
      <c r="U28" s="12" t="n"/>
      <c r="V28" s="12" t="n"/>
      <c r="W28" s="12" t="n"/>
      <c r="X28" s="12" t="n"/>
    </row>
    <row r="29">
      <c r="A29" s="11" t="inlineStr">
        <is>
          <t>VTL-20250109-0025</t>
        </is>
      </c>
      <c r="B29" s="12" t="n"/>
      <c r="C29" s="12" t="n"/>
      <c r="D29" s="19" t="n"/>
      <c r="E29" s="12" t="n"/>
      <c r="F29" s="12" t="n"/>
      <c r="G29" s="12" t="n"/>
      <c r="H29" s="12" t="n"/>
      <c r="I29" s="12" t="n"/>
      <c r="J29" s="12" t="n"/>
      <c r="K29" s="13" t="n"/>
      <c r="L29" s="25">
        <f>IF(B29="","",TODAY())</f>
        <v/>
      </c>
      <c r="M29" s="12" t="n"/>
      <c r="N29" s="12" t="n"/>
      <c r="O29" s="12" t="n"/>
      <c r="P29" s="26">
        <f>IF(D29="","",MIN(10,D29+IF(H29="Mass_Exploitation",2,IF(H29="Active_Exploitation",1,0))+IF(T29="Yes",2,0)+IF(G29="Nation-State",1,0)))</f>
        <v/>
      </c>
      <c r="Q29" s="12" t="n"/>
      <c r="R29" s="12" t="n"/>
      <c r="S29" s="17" t="n"/>
      <c r="T29" s="12" t="n"/>
      <c r="U29" s="12" t="n"/>
      <c r="V29" s="12" t="n"/>
      <c r="W29" s="12" t="n"/>
      <c r="X29" s="12" t="n"/>
    </row>
    <row r="30">
      <c r="A30" s="11" t="inlineStr">
        <is>
          <t>VTL-20250109-0026</t>
        </is>
      </c>
      <c r="B30" s="12" t="n"/>
      <c r="C30" s="12" t="n"/>
      <c r="D30" s="19" t="n"/>
      <c r="E30" s="12" t="n"/>
      <c r="F30" s="12" t="n"/>
      <c r="G30" s="12" t="n"/>
      <c r="H30" s="12" t="n"/>
      <c r="I30" s="12" t="n"/>
      <c r="J30" s="12" t="n"/>
      <c r="K30" s="13" t="n"/>
      <c r="L30" s="25">
        <f>IF(B30="","",TODAY())</f>
        <v/>
      </c>
      <c r="M30" s="12" t="n"/>
      <c r="N30" s="12" t="n"/>
      <c r="O30" s="12" t="n"/>
      <c r="P30" s="26">
        <f>IF(D30="","",MIN(10,D30+IF(H30="Mass_Exploitation",2,IF(H30="Active_Exploitation",1,0))+IF(T30="Yes",2,0)+IF(G30="Nation-State",1,0)))</f>
        <v/>
      </c>
      <c r="Q30" s="12" t="n"/>
      <c r="R30" s="12" t="n"/>
      <c r="S30" s="17" t="n"/>
      <c r="T30" s="12" t="n"/>
      <c r="U30" s="12" t="n"/>
      <c r="V30" s="12" t="n"/>
      <c r="W30" s="12" t="n"/>
      <c r="X30" s="12" t="n"/>
    </row>
    <row r="31">
      <c r="A31" s="11" t="inlineStr">
        <is>
          <t>VTL-20250109-0027</t>
        </is>
      </c>
      <c r="B31" s="12" t="n"/>
      <c r="C31" s="12" t="n"/>
      <c r="D31" s="19" t="n"/>
      <c r="E31" s="12" t="n"/>
      <c r="F31" s="12" t="n"/>
      <c r="G31" s="12" t="n"/>
      <c r="H31" s="12" t="n"/>
      <c r="I31" s="12" t="n"/>
      <c r="J31" s="12" t="n"/>
      <c r="K31" s="13" t="n"/>
      <c r="L31" s="25">
        <f>IF(B31="","",TODAY())</f>
        <v/>
      </c>
      <c r="M31" s="12" t="n"/>
      <c r="N31" s="12" t="n"/>
      <c r="O31" s="12" t="n"/>
      <c r="P31" s="26">
        <f>IF(D31="","",MIN(10,D31+IF(H31="Mass_Exploitation",2,IF(H31="Active_Exploitation",1,0))+IF(T31="Yes",2,0)+IF(G31="Nation-State",1,0)))</f>
        <v/>
      </c>
      <c r="Q31" s="12" t="n"/>
      <c r="R31" s="12" t="n"/>
      <c r="S31" s="17" t="n"/>
      <c r="T31" s="12" t="n"/>
      <c r="U31" s="12" t="n"/>
      <c r="V31" s="12" t="n"/>
      <c r="W31" s="12" t="n"/>
      <c r="X31" s="12" t="n"/>
    </row>
    <row r="32">
      <c r="A32" s="11" t="inlineStr">
        <is>
          <t>VTL-20250109-0028</t>
        </is>
      </c>
      <c r="B32" s="12" t="n"/>
      <c r="C32" s="12" t="n"/>
      <c r="D32" s="19" t="n"/>
      <c r="E32" s="12" t="n"/>
      <c r="F32" s="12" t="n"/>
      <c r="G32" s="12" t="n"/>
      <c r="H32" s="12" t="n"/>
      <c r="I32" s="12" t="n"/>
      <c r="J32" s="12" t="n"/>
      <c r="K32" s="13" t="n"/>
      <c r="L32" s="25">
        <f>IF(B32="","",TODAY())</f>
        <v/>
      </c>
      <c r="M32" s="12" t="n"/>
      <c r="N32" s="12" t="n"/>
      <c r="O32" s="12" t="n"/>
      <c r="P32" s="26">
        <f>IF(D32="","",MIN(10,D32+IF(H32="Mass_Exploitation",2,IF(H32="Active_Exploitation",1,0))+IF(T32="Yes",2,0)+IF(G32="Nation-State",1,0)))</f>
        <v/>
      </c>
      <c r="Q32" s="12" t="n"/>
      <c r="R32" s="12" t="n"/>
      <c r="S32" s="17" t="n"/>
      <c r="T32" s="12" t="n"/>
      <c r="U32" s="12" t="n"/>
      <c r="V32" s="12" t="n"/>
      <c r="W32" s="12" t="n"/>
      <c r="X32" s="12" t="n"/>
    </row>
    <row r="33">
      <c r="A33" s="11" t="inlineStr">
        <is>
          <t>VTL-20250109-0029</t>
        </is>
      </c>
      <c r="B33" s="12" t="n"/>
      <c r="C33" s="12" t="n"/>
      <c r="D33" s="19" t="n"/>
      <c r="E33" s="12" t="n"/>
      <c r="F33" s="12" t="n"/>
      <c r="G33" s="12" t="n"/>
      <c r="H33" s="12" t="n"/>
      <c r="I33" s="12" t="n"/>
      <c r="J33" s="12" t="n"/>
      <c r="K33" s="13" t="n"/>
      <c r="L33" s="25">
        <f>IF(B33="","",TODAY())</f>
        <v/>
      </c>
      <c r="M33" s="12" t="n"/>
      <c r="N33" s="12" t="n"/>
      <c r="O33" s="12" t="n"/>
      <c r="P33" s="26">
        <f>IF(D33="","",MIN(10,D33+IF(H33="Mass_Exploitation",2,IF(H33="Active_Exploitation",1,0))+IF(T33="Yes",2,0)+IF(G33="Nation-State",1,0)))</f>
        <v/>
      </c>
      <c r="Q33" s="12" t="n"/>
      <c r="R33" s="12" t="n"/>
      <c r="S33" s="17" t="n"/>
      <c r="T33" s="12" t="n"/>
      <c r="U33" s="12" t="n"/>
      <c r="V33" s="12" t="n"/>
      <c r="W33" s="12" t="n"/>
      <c r="X33" s="12" t="n"/>
    </row>
    <row r="34">
      <c r="A34" s="11" t="inlineStr">
        <is>
          <t>VTL-20250109-0030</t>
        </is>
      </c>
      <c r="B34" s="12" t="n"/>
      <c r="C34" s="12" t="n"/>
      <c r="D34" s="19" t="n"/>
      <c r="E34" s="12" t="n"/>
      <c r="F34" s="12" t="n"/>
      <c r="G34" s="12" t="n"/>
      <c r="H34" s="12" t="n"/>
      <c r="I34" s="12" t="n"/>
      <c r="J34" s="12" t="n"/>
      <c r="K34" s="13" t="n"/>
      <c r="L34" s="25">
        <f>IF(B34="","",TODAY())</f>
        <v/>
      </c>
      <c r="M34" s="12" t="n"/>
      <c r="N34" s="12" t="n"/>
      <c r="O34" s="12" t="n"/>
      <c r="P34" s="26">
        <f>IF(D34="","",MIN(10,D34+IF(H34="Mass_Exploitation",2,IF(H34="Active_Exploitation",1,0))+IF(T34="Yes",2,0)+IF(G34="Nation-State",1,0)))</f>
        <v/>
      </c>
      <c r="Q34" s="12" t="n"/>
      <c r="R34" s="12" t="n"/>
      <c r="S34" s="17" t="n"/>
      <c r="T34" s="12" t="n"/>
      <c r="U34" s="12" t="n"/>
      <c r="V34" s="12" t="n"/>
      <c r="W34" s="12" t="n"/>
      <c r="X34" s="12" t="n"/>
    </row>
    <row r="35">
      <c r="A35" s="11" t="inlineStr">
        <is>
          <t>VTL-20250109-0031</t>
        </is>
      </c>
      <c r="B35" s="12" t="n"/>
      <c r="C35" s="12" t="n"/>
      <c r="D35" s="19" t="n"/>
      <c r="E35" s="12" t="n"/>
      <c r="F35" s="12" t="n"/>
      <c r="G35" s="12" t="n"/>
      <c r="H35" s="12" t="n"/>
      <c r="I35" s="12" t="n"/>
      <c r="J35" s="12" t="n"/>
      <c r="K35" s="13" t="n"/>
      <c r="L35" s="25">
        <f>IF(B35="","",TODAY())</f>
        <v/>
      </c>
      <c r="M35" s="12" t="n"/>
      <c r="N35" s="12" t="n"/>
      <c r="O35" s="12" t="n"/>
      <c r="P35" s="26">
        <f>IF(D35="","",MIN(10,D35+IF(H35="Mass_Exploitation",2,IF(H35="Active_Exploitation",1,0))+IF(T35="Yes",2,0)+IF(G35="Nation-State",1,0)))</f>
        <v/>
      </c>
      <c r="Q35" s="12" t="n"/>
      <c r="R35" s="12" t="n"/>
      <c r="S35" s="17" t="n"/>
      <c r="T35" s="12" t="n"/>
      <c r="U35" s="12" t="n"/>
      <c r="V35" s="12" t="n"/>
      <c r="W35" s="12" t="n"/>
      <c r="X35" s="12" t="n"/>
    </row>
    <row r="36">
      <c r="A36" s="11" t="inlineStr">
        <is>
          <t>VTL-20250109-0032</t>
        </is>
      </c>
      <c r="B36" s="12" t="n"/>
      <c r="C36" s="12" t="n"/>
      <c r="D36" s="19" t="n"/>
      <c r="E36" s="12" t="n"/>
      <c r="F36" s="12" t="n"/>
      <c r="G36" s="12" t="n"/>
      <c r="H36" s="12" t="n"/>
      <c r="I36" s="12" t="n"/>
      <c r="J36" s="12" t="n"/>
      <c r="K36" s="13" t="n"/>
      <c r="L36" s="25">
        <f>IF(B36="","",TODAY())</f>
        <v/>
      </c>
      <c r="M36" s="12" t="n"/>
      <c r="N36" s="12" t="n"/>
      <c r="O36" s="12" t="n"/>
      <c r="P36" s="26">
        <f>IF(D36="","",MIN(10,D36+IF(H36="Mass_Exploitation",2,IF(H36="Active_Exploitation",1,0))+IF(T36="Yes",2,0)+IF(G36="Nation-State",1,0)))</f>
        <v/>
      </c>
      <c r="Q36" s="12" t="n"/>
      <c r="R36" s="12" t="n"/>
      <c r="S36" s="17" t="n"/>
      <c r="T36" s="12" t="n"/>
      <c r="U36" s="12" t="n"/>
      <c r="V36" s="12" t="n"/>
      <c r="W36" s="12" t="n"/>
      <c r="X36" s="12" t="n"/>
    </row>
    <row r="37">
      <c r="A37" s="11" t="inlineStr">
        <is>
          <t>VTL-20250109-0033</t>
        </is>
      </c>
      <c r="B37" s="12" t="n"/>
      <c r="C37" s="12" t="n"/>
      <c r="D37" s="19" t="n"/>
      <c r="E37" s="12" t="n"/>
      <c r="F37" s="12" t="n"/>
      <c r="G37" s="12" t="n"/>
      <c r="H37" s="12" t="n"/>
      <c r="I37" s="12" t="n"/>
      <c r="J37" s="12" t="n"/>
      <c r="K37" s="13" t="n"/>
      <c r="L37" s="25">
        <f>IF(B37="","",TODAY())</f>
        <v/>
      </c>
      <c r="M37" s="12" t="n"/>
      <c r="N37" s="12" t="n"/>
      <c r="O37" s="12" t="n"/>
      <c r="P37" s="26">
        <f>IF(D37="","",MIN(10,D37+IF(H37="Mass_Exploitation",2,IF(H37="Active_Exploitation",1,0))+IF(T37="Yes",2,0)+IF(G37="Nation-State",1,0)))</f>
        <v/>
      </c>
      <c r="Q37" s="12" t="n"/>
      <c r="R37" s="12" t="n"/>
      <c r="S37" s="17" t="n"/>
      <c r="T37" s="12" t="n"/>
      <c r="U37" s="12" t="n"/>
      <c r="V37" s="12" t="n"/>
      <c r="W37" s="12" t="n"/>
      <c r="X37" s="12" t="n"/>
    </row>
    <row r="38">
      <c r="A38" s="11" t="inlineStr">
        <is>
          <t>VTL-20250109-0034</t>
        </is>
      </c>
      <c r="B38" s="12" t="n"/>
      <c r="C38" s="12" t="n"/>
      <c r="D38" s="19" t="n"/>
      <c r="E38" s="12" t="n"/>
      <c r="F38" s="12" t="n"/>
      <c r="G38" s="12" t="n"/>
      <c r="H38" s="12" t="n"/>
      <c r="I38" s="12" t="n"/>
      <c r="J38" s="12" t="n"/>
      <c r="K38" s="13" t="n"/>
      <c r="L38" s="25">
        <f>IF(B38="","",TODAY())</f>
        <v/>
      </c>
      <c r="M38" s="12" t="n"/>
      <c r="N38" s="12" t="n"/>
      <c r="O38" s="12" t="n"/>
      <c r="P38" s="26">
        <f>IF(D38="","",MIN(10,D38+IF(H38="Mass_Exploitation",2,IF(H38="Active_Exploitation",1,0))+IF(T38="Yes",2,0)+IF(G38="Nation-State",1,0)))</f>
        <v/>
      </c>
      <c r="Q38" s="12" t="n"/>
      <c r="R38" s="12" t="n"/>
      <c r="S38" s="17" t="n"/>
      <c r="T38" s="12" t="n"/>
      <c r="U38" s="12" t="n"/>
      <c r="V38" s="12" t="n"/>
      <c r="W38" s="12" t="n"/>
      <c r="X38" s="12" t="n"/>
    </row>
    <row r="39">
      <c r="A39" s="11" t="inlineStr">
        <is>
          <t>VTL-20250109-0035</t>
        </is>
      </c>
      <c r="B39" s="12" t="n"/>
      <c r="C39" s="12" t="n"/>
      <c r="D39" s="19" t="n"/>
      <c r="E39" s="12" t="n"/>
      <c r="F39" s="12" t="n"/>
      <c r="G39" s="12" t="n"/>
      <c r="H39" s="12" t="n"/>
      <c r="I39" s="12" t="n"/>
      <c r="J39" s="12" t="n"/>
      <c r="K39" s="13" t="n"/>
      <c r="L39" s="25">
        <f>IF(B39="","",TODAY())</f>
        <v/>
      </c>
      <c r="M39" s="12" t="n"/>
      <c r="N39" s="12" t="n"/>
      <c r="O39" s="12" t="n"/>
      <c r="P39" s="26">
        <f>IF(D39="","",MIN(10,D39+IF(H39="Mass_Exploitation",2,IF(H39="Active_Exploitation",1,0))+IF(T39="Yes",2,0)+IF(G39="Nation-State",1,0)))</f>
        <v/>
      </c>
      <c r="Q39" s="12" t="n"/>
      <c r="R39" s="12" t="n"/>
      <c r="S39" s="17" t="n"/>
      <c r="T39" s="12" t="n"/>
      <c r="U39" s="12" t="n"/>
      <c r="V39" s="12" t="n"/>
      <c r="W39" s="12" t="n"/>
      <c r="X39" s="12" t="n"/>
    </row>
    <row r="40">
      <c r="A40" s="11" t="inlineStr">
        <is>
          <t>VTL-20250109-0036</t>
        </is>
      </c>
      <c r="B40" s="12" t="n"/>
      <c r="C40" s="12" t="n"/>
      <c r="D40" s="19" t="n"/>
      <c r="E40" s="12" t="n"/>
      <c r="F40" s="12" t="n"/>
      <c r="G40" s="12" t="n"/>
      <c r="H40" s="12" t="n"/>
      <c r="I40" s="12" t="n"/>
      <c r="J40" s="12" t="n"/>
      <c r="K40" s="13" t="n"/>
      <c r="L40" s="25">
        <f>IF(B40="","",TODAY())</f>
        <v/>
      </c>
      <c r="M40" s="12" t="n"/>
      <c r="N40" s="12" t="n"/>
      <c r="O40" s="12" t="n"/>
      <c r="P40" s="26">
        <f>IF(D40="","",MIN(10,D40+IF(H40="Mass_Exploitation",2,IF(H40="Active_Exploitation",1,0))+IF(T40="Yes",2,0)+IF(G40="Nation-State",1,0)))</f>
        <v/>
      </c>
      <c r="Q40" s="12" t="n"/>
      <c r="R40" s="12" t="n"/>
      <c r="S40" s="17" t="n"/>
      <c r="T40" s="12" t="n"/>
      <c r="U40" s="12" t="n"/>
      <c r="V40" s="12" t="n"/>
      <c r="W40" s="12" t="n"/>
      <c r="X40" s="12" t="n"/>
    </row>
    <row r="41">
      <c r="A41" s="11" t="inlineStr">
        <is>
          <t>VTL-20250109-0037</t>
        </is>
      </c>
      <c r="B41" s="12" t="n"/>
      <c r="C41" s="12" t="n"/>
      <c r="D41" s="19" t="n"/>
      <c r="E41" s="12" t="n"/>
      <c r="F41" s="12" t="n"/>
      <c r="G41" s="12" t="n"/>
      <c r="H41" s="12" t="n"/>
      <c r="I41" s="12" t="n"/>
      <c r="J41" s="12" t="n"/>
      <c r="K41" s="13" t="n"/>
      <c r="L41" s="25">
        <f>IF(B41="","",TODAY())</f>
        <v/>
      </c>
      <c r="M41" s="12" t="n"/>
      <c r="N41" s="12" t="n"/>
      <c r="O41" s="12" t="n"/>
      <c r="P41" s="26">
        <f>IF(D41="","",MIN(10,D41+IF(H41="Mass_Exploitation",2,IF(H41="Active_Exploitation",1,0))+IF(T41="Yes",2,0)+IF(G41="Nation-State",1,0)))</f>
        <v/>
      </c>
      <c r="Q41" s="12" t="n"/>
      <c r="R41" s="12" t="n"/>
      <c r="S41" s="17" t="n"/>
      <c r="T41" s="12" t="n"/>
      <c r="U41" s="12" t="n"/>
      <c r="V41" s="12" t="n"/>
      <c r="W41" s="12" t="n"/>
      <c r="X41" s="12" t="n"/>
    </row>
    <row r="42">
      <c r="A42" s="11" t="inlineStr">
        <is>
          <t>VTL-20250109-0038</t>
        </is>
      </c>
      <c r="B42" s="12" t="n"/>
      <c r="C42" s="12" t="n"/>
      <c r="D42" s="19" t="n"/>
      <c r="E42" s="12" t="n"/>
      <c r="F42" s="12" t="n"/>
      <c r="G42" s="12" t="n"/>
      <c r="H42" s="12" t="n"/>
      <c r="I42" s="12" t="n"/>
      <c r="J42" s="12" t="n"/>
      <c r="K42" s="13" t="n"/>
      <c r="L42" s="25">
        <f>IF(B42="","",TODAY())</f>
        <v/>
      </c>
      <c r="M42" s="12" t="n"/>
      <c r="N42" s="12" t="n"/>
      <c r="O42" s="12" t="n"/>
      <c r="P42" s="26">
        <f>IF(D42="","",MIN(10,D42+IF(H42="Mass_Exploitation",2,IF(H42="Active_Exploitation",1,0))+IF(T42="Yes",2,0)+IF(G42="Nation-State",1,0)))</f>
        <v/>
      </c>
      <c r="Q42" s="12" t="n"/>
      <c r="R42" s="12" t="n"/>
      <c r="S42" s="17" t="n"/>
      <c r="T42" s="12" t="n"/>
      <c r="U42" s="12" t="n"/>
      <c r="V42" s="12" t="n"/>
      <c r="W42" s="12" t="n"/>
      <c r="X42" s="12" t="n"/>
    </row>
    <row r="43">
      <c r="A43" s="11" t="inlineStr">
        <is>
          <t>VTL-20250109-0039</t>
        </is>
      </c>
      <c r="B43" s="12" t="n"/>
      <c r="C43" s="12" t="n"/>
      <c r="D43" s="19" t="n"/>
      <c r="E43" s="12" t="n"/>
      <c r="F43" s="12" t="n"/>
      <c r="G43" s="12" t="n"/>
      <c r="H43" s="12" t="n"/>
      <c r="I43" s="12" t="n"/>
      <c r="J43" s="12" t="n"/>
      <c r="K43" s="13" t="n"/>
      <c r="L43" s="25">
        <f>IF(B43="","",TODAY())</f>
        <v/>
      </c>
      <c r="M43" s="12" t="n"/>
      <c r="N43" s="12" t="n"/>
      <c r="O43" s="12" t="n"/>
      <c r="P43" s="26">
        <f>IF(D43="","",MIN(10,D43+IF(H43="Mass_Exploitation",2,IF(H43="Active_Exploitation",1,0))+IF(T43="Yes",2,0)+IF(G43="Nation-State",1,0)))</f>
        <v/>
      </c>
      <c r="Q43" s="12" t="n"/>
      <c r="R43" s="12" t="n"/>
      <c r="S43" s="17" t="n"/>
      <c r="T43" s="12" t="n"/>
      <c r="U43" s="12" t="n"/>
      <c r="V43" s="12" t="n"/>
      <c r="W43" s="12" t="n"/>
      <c r="X43" s="12" t="n"/>
    </row>
    <row r="44">
      <c r="A44" s="11" t="inlineStr">
        <is>
          <t>VTL-20250109-0040</t>
        </is>
      </c>
      <c r="B44" s="12" t="n"/>
      <c r="C44" s="12" t="n"/>
      <c r="D44" s="19" t="n"/>
      <c r="E44" s="12" t="n"/>
      <c r="F44" s="12" t="n"/>
      <c r="G44" s="12" t="n"/>
      <c r="H44" s="12" t="n"/>
      <c r="I44" s="12" t="n"/>
      <c r="J44" s="12" t="n"/>
      <c r="K44" s="13" t="n"/>
      <c r="L44" s="25">
        <f>IF(B44="","",TODAY())</f>
        <v/>
      </c>
      <c r="M44" s="12" t="n"/>
      <c r="N44" s="12" t="n"/>
      <c r="O44" s="12" t="n"/>
      <c r="P44" s="26">
        <f>IF(D44="","",MIN(10,D44+IF(H44="Mass_Exploitation",2,IF(H44="Active_Exploitation",1,0))+IF(T44="Yes",2,0)+IF(G44="Nation-State",1,0)))</f>
        <v/>
      </c>
      <c r="Q44" s="12" t="n"/>
      <c r="R44" s="12" t="n"/>
      <c r="S44" s="17" t="n"/>
      <c r="T44" s="12" t="n"/>
      <c r="U44" s="12" t="n"/>
      <c r="V44" s="12" t="n"/>
      <c r="W44" s="12" t="n"/>
      <c r="X44" s="12" t="n"/>
    </row>
    <row r="45">
      <c r="A45" s="11" t="inlineStr">
        <is>
          <t>VTL-20250109-0041</t>
        </is>
      </c>
      <c r="B45" s="12" t="n"/>
      <c r="C45" s="12" t="n"/>
      <c r="D45" s="19" t="n"/>
      <c r="E45" s="12" t="n"/>
      <c r="F45" s="12" t="n"/>
      <c r="G45" s="12" t="n"/>
      <c r="H45" s="12" t="n"/>
      <c r="I45" s="12" t="n"/>
      <c r="J45" s="12" t="n"/>
      <c r="K45" s="13" t="n"/>
      <c r="L45" s="25">
        <f>IF(B45="","",TODAY())</f>
        <v/>
      </c>
      <c r="M45" s="12" t="n"/>
      <c r="N45" s="12" t="n"/>
      <c r="O45" s="12" t="n"/>
      <c r="P45" s="26">
        <f>IF(D45="","",MIN(10,D45+IF(H45="Mass_Exploitation",2,IF(H45="Active_Exploitation",1,0))+IF(T45="Yes",2,0)+IF(G45="Nation-State",1,0)))</f>
        <v/>
      </c>
      <c r="Q45" s="12" t="n"/>
      <c r="R45" s="12" t="n"/>
      <c r="S45" s="17" t="n"/>
      <c r="T45" s="12" t="n"/>
      <c r="U45" s="12" t="n"/>
      <c r="V45" s="12" t="n"/>
      <c r="W45" s="12" t="n"/>
      <c r="X45" s="12" t="n"/>
    </row>
    <row r="46">
      <c r="A46" s="11" t="inlineStr">
        <is>
          <t>VTL-20250109-0042</t>
        </is>
      </c>
      <c r="B46" s="12" t="n"/>
      <c r="C46" s="12" t="n"/>
      <c r="D46" s="19" t="n"/>
      <c r="E46" s="12" t="n"/>
      <c r="F46" s="12" t="n"/>
      <c r="G46" s="12" t="n"/>
      <c r="H46" s="12" t="n"/>
      <c r="I46" s="12" t="n"/>
      <c r="J46" s="12" t="n"/>
      <c r="K46" s="13" t="n"/>
      <c r="L46" s="25">
        <f>IF(B46="","",TODAY())</f>
        <v/>
      </c>
      <c r="M46" s="12" t="n"/>
      <c r="N46" s="12" t="n"/>
      <c r="O46" s="12" t="n"/>
      <c r="P46" s="26">
        <f>IF(D46="","",MIN(10,D46+IF(H46="Mass_Exploitation",2,IF(H46="Active_Exploitation",1,0))+IF(T46="Yes",2,0)+IF(G46="Nation-State",1,0)))</f>
        <v/>
      </c>
      <c r="Q46" s="12" t="n"/>
      <c r="R46" s="12" t="n"/>
      <c r="S46" s="17" t="n"/>
      <c r="T46" s="12" t="n"/>
      <c r="U46" s="12" t="n"/>
      <c r="V46" s="12" t="n"/>
      <c r="W46" s="12" t="n"/>
      <c r="X46" s="12" t="n"/>
    </row>
    <row r="47">
      <c r="A47" s="11" t="inlineStr">
        <is>
          <t>VTL-20250109-0043</t>
        </is>
      </c>
      <c r="B47" s="12" t="n"/>
      <c r="C47" s="12" t="n"/>
      <c r="D47" s="19" t="n"/>
      <c r="E47" s="12" t="n"/>
      <c r="F47" s="12" t="n"/>
      <c r="G47" s="12" t="n"/>
      <c r="H47" s="12" t="n"/>
      <c r="I47" s="12" t="n"/>
      <c r="J47" s="12" t="n"/>
      <c r="K47" s="13" t="n"/>
      <c r="L47" s="25">
        <f>IF(B47="","",TODAY())</f>
        <v/>
      </c>
      <c r="M47" s="12" t="n"/>
      <c r="N47" s="12" t="n"/>
      <c r="O47" s="12" t="n"/>
      <c r="P47" s="26">
        <f>IF(D47="","",MIN(10,D47+IF(H47="Mass_Exploitation",2,IF(H47="Active_Exploitation",1,0))+IF(T47="Yes",2,0)+IF(G47="Nation-State",1,0)))</f>
        <v/>
      </c>
      <c r="Q47" s="12" t="n"/>
      <c r="R47" s="12" t="n"/>
      <c r="S47" s="17" t="n"/>
      <c r="T47" s="12" t="n"/>
      <c r="U47" s="12" t="n"/>
      <c r="V47" s="12" t="n"/>
      <c r="W47" s="12" t="n"/>
      <c r="X47" s="12" t="n"/>
    </row>
    <row r="48">
      <c r="A48" s="11" t="inlineStr">
        <is>
          <t>VTL-20250109-0044</t>
        </is>
      </c>
      <c r="B48" s="12" t="n"/>
      <c r="C48" s="12" t="n"/>
      <c r="D48" s="19" t="n"/>
      <c r="E48" s="12" t="n"/>
      <c r="F48" s="12" t="n"/>
      <c r="G48" s="12" t="n"/>
      <c r="H48" s="12" t="n"/>
      <c r="I48" s="12" t="n"/>
      <c r="J48" s="12" t="n"/>
      <c r="K48" s="13" t="n"/>
      <c r="L48" s="25">
        <f>IF(B48="","",TODAY())</f>
        <v/>
      </c>
      <c r="M48" s="12" t="n"/>
      <c r="N48" s="12" t="n"/>
      <c r="O48" s="12" t="n"/>
      <c r="P48" s="26">
        <f>IF(D48="","",MIN(10,D48+IF(H48="Mass_Exploitation",2,IF(H48="Active_Exploitation",1,0))+IF(T48="Yes",2,0)+IF(G48="Nation-State",1,0)))</f>
        <v/>
      </c>
      <c r="Q48" s="12" t="n"/>
      <c r="R48" s="12" t="n"/>
      <c r="S48" s="17" t="n"/>
      <c r="T48" s="12" t="n"/>
      <c r="U48" s="12" t="n"/>
      <c r="V48" s="12" t="n"/>
      <c r="W48" s="12" t="n"/>
      <c r="X48" s="12" t="n"/>
    </row>
    <row r="49">
      <c r="A49" s="11" t="inlineStr">
        <is>
          <t>VTL-20250109-0045</t>
        </is>
      </c>
      <c r="B49" s="12" t="n"/>
      <c r="C49" s="12" t="n"/>
      <c r="D49" s="19" t="n"/>
      <c r="E49" s="12" t="n"/>
      <c r="F49" s="12" t="n"/>
      <c r="G49" s="12" t="n"/>
      <c r="H49" s="12" t="n"/>
      <c r="I49" s="12" t="n"/>
      <c r="J49" s="12" t="n"/>
      <c r="K49" s="13" t="n"/>
      <c r="L49" s="25">
        <f>IF(B49="","",TODAY())</f>
        <v/>
      </c>
      <c r="M49" s="12" t="n"/>
      <c r="N49" s="12" t="n"/>
      <c r="O49" s="12" t="n"/>
      <c r="P49" s="26">
        <f>IF(D49="","",MIN(10,D49+IF(H49="Mass_Exploitation",2,IF(H49="Active_Exploitation",1,0))+IF(T49="Yes",2,0)+IF(G49="Nation-State",1,0)))</f>
        <v/>
      </c>
      <c r="Q49" s="12" t="n"/>
      <c r="R49" s="12" t="n"/>
      <c r="S49" s="17" t="n"/>
      <c r="T49" s="12" t="n"/>
      <c r="U49" s="12" t="n"/>
      <c r="V49" s="12" t="n"/>
      <c r="W49" s="12" t="n"/>
      <c r="X49" s="12" t="n"/>
    </row>
    <row r="50">
      <c r="A50" s="11" t="inlineStr">
        <is>
          <t>VTL-20250109-0046</t>
        </is>
      </c>
      <c r="B50" s="12" t="n"/>
      <c r="C50" s="12" t="n"/>
      <c r="D50" s="19" t="n"/>
      <c r="E50" s="12" t="n"/>
      <c r="F50" s="12" t="n"/>
      <c r="G50" s="12" t="n"/>
      <c r="H50" s="12" t="n"/>
      <c r="I50" s="12" t="n"/>
      <c r="J50" s="12" t="n"/>
      <c r="K50" s="13" t="n"/>
      <c r="L50" s="25">
        <f>IF(B50="","",TODAY())</f>
        <v/>
      </c>
      <c r="M50" s="12" t="n"/>
      <c r="N50" s="12" t="n"/>
      <c r="O50" s="12" t="n"/>
      <c r="P50" s="26">
        <f>IF(D50="","",MIN(10,D50+IF(H50="Mass_Exploitation",2,IF(H50="Active_Exploitation",1,0))+IF(T50="Yes",2,0)+IF(G50="Nation-State",1,0)))</f>
        <v/>
      </c>
      <c r="Q50" s="12" t="n"/>
      <c r="R50" s="12" t="n"/>
      <c r="S50" s="17" t="n"/>
      <c r="T50" s="12" t="n"/>
      <c r="U50" s="12" t="n"/>
      <c r="V50" s="12" t="n"/>
      <c r="W50" s="12" t="n"/>
      <c r="X50" s="12" t="n"/>
    </row>
    <row r="51">
      <c r="A51" s="11" t="inlineStr">
        <is>
          <t>VTL-20250109-0047</t>
        </is>
      </c>
      <c r="B51" s="12" t="n"/>
      <c r="C51" s="12" t="n"/>
      <c r="D51" s="19" t="n"/>
      <c r="E51" s="12" t="n"/>
      <c r="F51" s="12" t="n"/>
      <c r="G51" s="12" t="n"/>
      <c r="H51" s="12" t="n"/>
      <c r="I51" s="12" t="n"/>
      <c r="J51" s="12" t="n"/>
      <c r="K51" s="13" t="n"/>
      <c r="L51" s="25">
        <f>IF(B51="","",TODAY())</f>
        <v/>
      </c>
      <c r="M51" s="12" t="n"/>
      <c r="N51" s="12" t="n"/>
      <c r="O51" s="12" t="n"/>
      <c r="P51" s="26">
        <f>IF(D51="","",MIN(10,D51+IF(H51="Mass_Exploitation",2,IF(H51="Active_Exploitation",1,0))+IF(T51="Yes",2,0)+IF(G51="Nation-State",1,0)))</f>
        <v/>
      </c>
      <c r="Q51" s="12" t="n"/>
      <c r="R51" s="12" t="n"/>
      <c r="S51" s="17" t="n"/>
      <c r="T51" s="12" t="n"/>
      <c r="U51" s="12" t="n"/>
      <c r="V51" s="12" t="n"/>
      <c r="W51" s="12" t="n"/>
      <c r="X51" s="12" t="n"/>
    </row>
    <row r="52">
      <c r="A52" s="11" t="inlineStr">
        <is>
          <t>VTL-20250109-0048</t>
        </is>
      </c>
      <c r="B52" s="12" t="n"/>
      <c r="C52" s="12" t="n"/>
      <c r="D52" s="19" t="n"/>
      <c r="E52" s="12" t="n"/>
      <c r="F52" s="12" t="n"/>
      <c r="G52" s="12" t="n"/>
      <c r="H52" s="12" t="n"/>
      <c r="I52" s="12" t="n"/>
      <c r="J52" s="12" t="n"/>
      <c r="K52" s="13" t="n"/>
      <c r="L52" s="25">
        <f>IF(B52="","",TODAY())</f>
        <v/>
      </c>
      <c r="M52" s="12" t="n"/>
      <c r="N52" s="12" t="n"/>
      <c r="O52" s="12" t="n"/>
      <c r="P52" s="26">
        <f>IF(D52="","",MIN(10,D52+IF(H52="Mass_Exploitation",2,IF(H52="Active_Exploitation",1,0))+IF(T52="Yes",2,0)+IF(G52="Nation-State",1,0)))</f>
        <v/>
      </c>
      <c r="Q52" s="12" t="n"/>
      <c r="R52" s="12" t="n"/>
      <c r="S52" s="17" t="n"/>
      <c r="T52" s="12" t="n"/>
      <c r="U52" s="12" t="n"/>
      <c r="V52" s="12" t="n"/>
      <c r="W52" s="12" t="n"/>
      <c r="X52" s="12" t="n"/>
    </row>
    <row r="53">
      <c r="A53" s="11" t="inlineStr">
        <is>
          <t>VTL-20250109-0049</t>
        </is>
      </c>
      <c r="B53" s="12" t="n"/>
      <c r="C53" s="12" t="n"/>
      <c r="D53" s="19" t="n"/>
      <c r="E53" s="12" t="n"/>
      <c r="F53" s="12" t="n"/>
      <c r="G53" s="12" t="n"/>
      <c r="H53" s="12" t="n"/>
      <c r="I53" s="12" t="n"/>
      <c r="J53" s="12" t="n"/>
      <c r="K53" s="13" t="n"/>
      <c r="L53" s="25">
        <f>IF(B53="","",TODAY())</f>
        <v/>
      </c>
      <c r="M53" s="12" t="n"/>
      <c r="N53" s="12" t="n"/>
      <c r="O53" s="12" t="n"/>
      <c r="P53" s="26">
        <f>IF(D53="","",MIN(10,D53+IF(H53="Mass_Exploitation",2,IF(H53="Active_Exploitation",1,0))+IF(T53="Yes",2,0)+IF(G53="Nation-State",1,0)))</f>
        <v/>
      </c>
      <c r="Q53" s="12" t="n"/>
      <c r="R53" s="12" t="n"/>
      <c r="S53" s="17" t="n"/>
      <c r="T53" s="12" t="n"/>
      <c r="U53" s="12" t="n"/>
      <c r="V53" s="12" t="n"/>
      <c r="W53" s="12" t="n"/>
      <c r="X53" s="12" t="n"/>
    </row>
    <row r="54">
      <c r="A54" s="11" t="inlineStr">
        <is>
          <t>VTL-20250109-0050</t>
        </is>
      </c>
      <c r="B54" s="12" t="n"/>
      <c r="C54" s="12" t="n"/>
      <c r="D54" s="19" t="n"/>
      <c r="E54" s="12" t="n"/>
      <c r="F54" s="12" t="n"/>
      <c r="G54" s="12" t="n"/>
      <c r="H54" s="12" t="n"/>
      <c r="I54" s="12" t="n"/>
      <c r="J54" s="12" t="n"/>
      <c r="K54" s="13" t="n"/>
      <c r="L54" s="25">
        <f>IF(B54="","",TODAY())</f>
        <v/>
      </c>
      <c r="M54" s="12" t="n"/>
      <c r="N54" s="12" t="n"/>
      <c r="O54" s="12" t="n"/>
      <c r="P54" s="26">
        <f>IF(D54="","",MIN(10,D54+IF(H54="Mass_Exploitation",2,IF(H54="Active_Exploitation",1,0))+IF(T54="Yes",2,0)+IF(G54="Nation-State",1,0)))</f>
        <v/>
      </c>
      <c r="Q54" s="12" t="n"/>
      <c r="R54" s="12" t="n"/>
      <c r="S54" s="17" t="n"/>
      <c r="T54" s="12" t="n"/>
      <c r="U54" s="12" t="n"/>
      <c r="V54" s="12" t="n"/>
      <c r="W54" s="12" t="n"/>
      <c r="X54" s="12" t="n"/>
    </row>
    <row r="55">
      <c r="A55" s="11" t="inlineStr">
        <is>
          <t>VTL-20250109-0051</t>
        </is>
      </c>
      <c r="B55" s="12" t="n"/>
      <c r="C55" s="12" t="n"/>
      <c r="D55" s="19" t="n"/>
      <c r="E55" s="12" t="n"/>
      <c r="F55" s="12" t="n"/>
      <c r="G55" s="12" t="n"/>
      <c r="H55" s="12" t="n"/>
      <c r="I55" s="12" t="n"/>
      <c r="J55" s="12" t="n"/>
      <c r="K55" s="13" t="n"/>
      <c r="L55" s="25">
        <f>IF(B55="","",TODAY())</f>
        <v/>
      </c>
      <c r="M55" s="12" t="n"/>
      <c r="N55" s="12" t="n"/>
      <c r="O55" s="12" t="n"/>
      <c r="P55" s="26">
        <f>IF(D55="","",MIN(10,D55+IF(H55="Mass_Exploitation",2,IF(H55="Active_Exploitation",1,0))+IF(T55="Yes",2,0)+IF(G55="Nation-State",1,0)))</f>
        <v/>
      </c>
      <c r="Q55" s="12" t="n"/>
      <c r="R55" s="12" t="n"/>
      <c r="S55" s="17" t="n"/>
      <c r="T55" s="12" t="n"/>
      <c r="U55" s="12" t="n"/>
      <c r="V55" s="12" t="n"/>
      <c r="W55" s="12" t="n"/>
      <c r="X55" s="12" t="n"/>
    </row>
    <row r="56">
      <c r="A56" s="11" t="inlineStr">
        <is>
          <t>VTL-20250109-0052</t>
        </is>
      </c>
      <c r="B56" s="12" t="n"/>
      <c r="C56" s="12" t="n"/>
      <c r="D56" s="19" t="n"/>
      <c r="E56" s="12" t="n"/>
      <c r="F56" s="12" t="n"/>
      <c r="G56" s="12" t="n"/>
      <c r="H56" s="12" t="n"/>
      <c r="I56" s="12" t="n"/>
      <c r="J56" s="12" t="n"/>
      <c r="K56" s="13" t="n"/>
      <c r="L56" s="25">
        <f>IF(B56="","",TODAY())</f>
        <v/>
      </c>
      <c r="M56" s="12" t="n"/>
      <c r="N56" s="12" t="n"/>
      <c r="O56" s="12" t="n"/>
      <c r="P56" s="26">
        <f>IF(D56="","",MIN(10,D56+IF(H56="Mass_Exploitation",2,IF(H56="Active_Exploitation",1,0))+IF(T56="Yes",2,0)+IF(G56="Nation-State",1,0)))</f>
        <v/>
      </c>
      <c r="Q56" s="12" t="n"/>
      <c r="R56" s="12" t="n"/>
      <c r="S56" s="17" t="n"/>
      <c r="T56" s="12" t="n"/>
      <c r="U56" s="12" t="n"/>
      <c r="V56" s="12" t="n"/>
      <c r="W56" s="12" t="n"/>
      <c r="X56" s="12" t="n"/>
    </row>
    <row r="57">
      <c r="A57" s="11" t="inlineStr">
        <is>
          <t>VTL-20250109-0053</t>
        </is>
      </c>
      <c r="B57" s="12" t="n"/>
      <c r="C57" s="12" t="n"/>
      <c r="D57" s="19" t="n"/>
      <c r="E57" s="12" t="n"/>
      <c r="F57" s="12" t="n"/>
      <c r="G57" s="12" t="n"/>
      <c r="H57" s="12" t="n"/>
      <c r="I57" s="12" t="n"/>
      <c r="J57" s="12" t="n"/>
      <c r="K57" s="13" t="n"/>
      <c r="L57" s="25">
        <f>IF(B57="","",TODAY())</f>
        <v/>
      </c>
      <c r="M57" s="12" t="n"/>
      <c r="N57" s="12" t="n"/>
      <c r="O57" s="12" t="n"/>
      <c r="P57" s="26">
        <f>IF(D57="","",MIN(10,D57+IF(H57="Mass_Exploitation",2,IF(H57="Active_Exploitation",1,0))+IF(T57="Yes",2,0)+IF(G57="Nation-State",1,0)))</f>
        <v/>
      </c>
      <c r="Q57" s="12" t="n"/>
      <c r="R57" s="12" t="n"/>
      <c r="S57" s="17" t="n"/>
      <c r="T57" s="12" t="n"/>
      <c r="U57" s="12" t="n"/>
      <c r="V57" s="12" t="n"/>
      <c r="W57" s="12" t="n"/>
      <c r="X57" s="12" t="n"/>
    </row>
    <row r="58">
      <c r="A58" s="11" t="inlineStr">
        <is>
          <t>VTL-20250109-0054</t>
        </is>
      </c>
      <c r="B58" s="12" t="n"/>
      <c r="C58" s="12" t="n"/>
      <c r="D58" s="19" t="n"/>
      <c r="E58" s="12" t="n"/>
      <c r="F58" s="12" t="n"/>
      <c r="G58" s="12" t="n"/>
      <c r="H58" s="12" t="n"/>
      <c r="I58" s="12" t="n"/>
      <c r="J58" s="12" t="n"/>
      <c r="K58" s="13" t="n"/>
      <c r="L58" s="25">
        <f>IF(B58="","",TODAY())</f>
        <v/>
      </c>
      <c r="M58" s="12" t="n"/>
      <c r="N58" s="12" t="n"/>
      <c r="O58" s="12" t="n"/>
      <c r="P58" s="26">
        <f>IF(D58="","",MIN(10,D58+IF(H58="Mass_Exploitation",2,IF(H58="Active_Exploitation",1,0))+IF(T58="Yes",2,0)+IF(G58="Nation-State",1,0)))</f>
        <v/>
      </c>
      <c r="Q58" s="12" t="n"/>
      <c r="R58" s="12" t="n"/>
      <c r="S58" s="17" t="n"/>
      <c r="T58" s="12" t="n"/>
      <c r="U58" s="12" t="n"/>
      <c r="V58" s="12" t="n"/>
      <c r="W58" s="12" t="n"/>
      <c r="X58" s="12" t="n"/>
    </row>
    <row r="59">
      <c r="A59" s="11" t="inlineStr">
        <is>
          <t>VTL-20250109-0055</t>
        </is>
      </c>
      <c r="B59" s="12" t="n"/>
      <c r="C59" s="12" t="n"/>
      <c r="D59" s="19" t="n"/>
      <c r="E59" s="12" t="n"/>
      <c r="F59" s="12" t="n"/>
      <c r="G59" s="12" t="n"/>
      <c r="H59" s="12" t="n"/>
      <c r="I59" s="12" t="n"/>
      <c r="J59" s="12" t="n"/>
      <c r="K59" s="13" t="n"/>
      <c r="L59" s="25">
        <f>IF(B59="","",TODAY())</f>
        <v/>
      </c>
      <c r="M59" s="12" t="n"/>
      <c r="N59" s="12" t="n"/>
      <c r="O59" s="12" t="n"/>
      <c r="P59" s="26">
        <f>IF(D59="","",MIN(10,D59+IF(H59="Mass_Exploitation",2,IF(H59="Active_Exploitation",1,0))+IF(T59="Yes",2,0)+IF(G59="Nation-State",1,0)))</f>
        <v/>
      </c>
      <c r="Q59" s="12" t="n"/>
      <c r="R59" s="12" t="n"/>
      <c r="S59" s="17" t="n"/>
      <c r="T59" s="12" t="n"/>
      <c r="U59" s="12" t="n"/>
      <c r="V59" s="12" t="n"/>
      <c r="W59" s="12" t="n"/>
      <c r="X59" s="12" t="n"/>
    </row>
    <row r="60">
      <c r="A60" s="11" t="inlineStr">
        <is>
          <t>VTL-20250109-0056</t>
        </is>
      </c>
      <c r="B60" s="12" t="n"/>
      <c r="C60" s="12" t="n"/>
      <c r="D60" s="19" t="n"/>
      <c r="E60" s="12" t="n"/>
      <c r="F60" s="12" t="n"/>
      <c r="G60" s="12" t="n"/>
      <c r="H60" s="12" t="n"/>
      <c r="I60" s="12" t="n"/>
      <c r="J60" s="12" t="n"/>
      <c r="K60" s="13" t="n"/>
      <c r="L60" s="25">
        <f>IF(B60="","",TODAY())</f>
        <v/>
      </c>
      <c r="M60" s="12" t="n"/>
      <c r="N60" s="12" t="n"/>
      <c r="O60" s="12" t="n"/>
      <c r="P60" s="26">
        <f>IF(D60="","",MIN(10,D60+IF(H60="Mass_Exploitation",2,IF(H60="Active_Exploitation",1,0))+IF(T60="Yes",2,0)+IF(G60="Nation-State",1,0)))</f>
        <v/>
      </c>
      <c r="Q60" s="12" t="n"/>
      <c r="R60" s="12" t="n"/>
      <c r="S60" s="17" t="n"/>
      <c r="T60" s="12" t="n"/>
      <c r="U60" s="12" t="n"/>
      <c r="V60" s="12" t="n"/>
      <c r="W60" s="12" t="n"/>
      <c r="X60" s="12" t="n"/>
    </row>
    <row r="61">
      <c r="A61" s="11" t="inlineStr">
        <is>
          <t>VTL-20250109-0057</t>
        </is>
      </c>
      <c r="B61" s="12" t="n"/>
      <c r="C61" s="12" t="n"/>
      <c r="D61" s="19" t="n"/>
      <c r="E61" s="12" t="n"/>
      <c r="F61" s="12" t="n"/>
      <c r="G61" s="12" t="n"/>
      <c r="H61" s="12" t="n"/>
      <c r="I61" s="12" t="n"/>
      <c r="J61" s="12" t="n"/>
      <c r="K61" s="13" t="n"/>
      <c r="L61" s="25">
        <f>IF(B61="","",TODAY())</f>
        <v/>
      </c>
      <c r="M61" s="12" t="n"/>
      <c r="N61" s="12" t="n"/>
      <c r="O61" s="12" t="n"/>
      <c r="P61" s="26">
        <f>IF(D61="","",MIN(10,D61+IF(H61="Mass_Exploitation",2,IF(H61="Active_Exploitation",1,0))+IF(T61="Yes",2,0)+IF(G61="Nation-State",1,0)))</f>
        <v/>
      </c>
      <c r="Q61" s="12" t="n"/>
      <c r="R61" s="12" t="n"/>
      <c r="S61" s="17" t="n"/>
      <c r="T61" s="12" t="n"/>
      <c r="U61" s="12" t="n"/>
      <c r="V61" s="12" t="n"/>
      <c r="W61" s="12" t="n"/>
      <c r="X61" s="12" t="n"/>
    </row>
    <row r="62">
      <c r="A62" s="11" t="inlineStr">
        <is>
          <t>VTL-20250109-0058</t>
        </is>
      </c>
      <c r="B62" s="12" t="n"/>
      <c r="C62" s="12" t="n"/>
      <c r="D62" s="19" t="n"/>
      <c r="E62" s="12" t="n"/>
      <c r="F62" s="12" t="n"/>
      <c r="G62" s="12" t="n"/>
      <c r="H62" s="12" t="n"/>
      <c r="I62" s="12" t="n"/>
      <c r="J62" s="12" t="n"/>
      <c r="K62" s="13" t="n"/>
      <c r="L62" s="25">
        <f>IF(B62="","",TODAY())</f>
        <v/>
      </c>
      <c r="M62" s="12" t="n"/>
      <c r="N62" s="12" t="n"/>
      <c r="O62" s="12" t="n"/>
      <c r="P62" s="26">
        <f>IF(D62="","",MIN(10,D62+IF(H62="Mass_Exploitation",2,IF(H62="Active_Exploitation",1,0))+IF(T62="Yes",2,0)+IF(G62="Nation-State",1,0)))</f>
        <v/>
      </c>
      <c r="Q62" s="12" t="n"/>
      <c r="R62" s="12" t="n"/>
      <c r="S62" s="17" t="n"/>
      <c r="T62" s="12" t="n"/>
      <c r="U62" s="12" t="n"/>
      <c r="V62" s="12" t="n"/>
      <c r="W62" s="12" t="n"/>
      <c r="X62" s="12" t="n"/>
    </row>
    <row r="63">
      <c r="A63" s="11" t="inlineStr">
        <is>
          <t>VTL-20250109-0059</t>
        </is>
      </c>
      <c r="B63" s="12" t="n"/>
      <c r="C63" s="12" t="n"/>
      <c r="D63" s="19" t="n"/>
      <c r="E63" s="12" t="n"/>
      <c r="F63" s="12" t="n"/>
      <c r="G63" s="12" t="n"/>
      <c r="H63" s="12" t="n"/>
      <c r="I63" s="12" t="n"/>
      <c r="J63" s="12" t="n"/>
      <c r="K63" s="13" t="n"/>
      <c r="L63" s="25">
        <f>IF(B63="","",TODAY())</f>
        <v/>
      </c>
      <c r="M63" s="12" t="n"/>
      <c r="N63" s="12" t="n"/>
      <c r="O63" s="12" t="n"/>
      <c r="P63" s="26">
        <f>IF(D63="","",MIN(10,D63+IF(H63="Mass_Exploitation",2,IF(H63="Active_Exploitation",1,0))+IF(T63="Yes",2,0)+IF(G63="Nation-State",1,0)))</f>
        <v/>
      </c>
      <c r="Q63" s="12" t="n"/>
      <c r="R63" s="12" t="n"/>
      <c r="S63" s="17" t="n"/>
      <c r="T63" s="12" t="n"/>
      <c r="U63" s="12" t="n"/>
      <c r="V63" s="12" t="n"/>
      <c r="W63" s="12" t="n"/>
      <c r="X63" s="12" t="n"/>
    </row>
    <row r="64">
      <c r="A64" s="11" t="inlineStr">
        <is>
          <t>VTL-20250109-0060</t>
        </is>
      </c>
      <c r="B64" s="12" t="n"/>
      <c r="C64" s="12" t="n"/>
      <c r="D64" s="19" t="n"/>
      <c r="E64" s="12" t="n"/>
      <c r="F64" s="12" t="n"/>
      <c r="G64" s="12" t="n"/>
      <c r="H64" s="12" t="n"/>
      <c r="I64" s="12" t="n"/>
      <c r="J64" s="12" t="n"/>
      <c r="K64" s="13" t="n"/>
      <c r="L64" s="25">
        <f>IF(B64="","",TODAY())</f>
        <v/>
      </c>
      <c r="M64" s="12" t="n"/>
      <c r="N64" s="12" t="n"/>
      <c r="O64" s="12" t="n"/>
      <c r="P64" s="26">
        <f>IF(D64="","",MIN(10,D64+IF(H64="Mass_Exploitation",2,IF(H64="Active_Exploitation",1,0))+IF(T64="Yes",2,0)+IF(G64="Nation-State",1,0)))</f>
        <v/>
      </c>
      <c r="Q64" s="12" t="n"/>
      <c r="R64" s="12" t="n"/>
      <c r="S64" s="17" t="n"/>
      <c r="T64" s="12" t="n"/>
      <c r="U64" s="12" t="n"/>
      <c r="V64" s="12" t="n"/>
      <c r="W64" s="12" t="n"/>
      <c r="X64" s="12" t="n"/>
    </row>
    <row r="65">
      <c r="A65" s="11" t="inlineStr">
        <is>
          <t>VTL-20250109-0061</t>
        </is>
      </c>
      <c r="B65" s="12" t="n"/>
      <c r="C65" s="12" t="n"/>
      <c r="D65" s="19" t="n"/>
      <c r="E65" s="12" t="n"/>
      <c r="F65" s="12" t="n"/>
      <c r="G65" s="12" t="n"/>
      <c r="H65" s="12" t="n"/>
      <c r="I65" s="12" t="n"/>
      <c r="J65" s="12" t="n"/>
      <c r="K65" s="13" t="n"/>
      <c r="L65" s="25">
        <f>IF(B65="","",TODAY())</f>
        <v/>
      </c>
      <c r="M65" s="12" t="n"/>
      <c r="N65" s="12" t="n"/>
      <c r="O65" s="12" t="n"/>
      <c r="P65" s="26">
        <f>IF(D65="","",MIN(10,D65+IF(H65="Mass_Exploitation",2,IF(H65="Active_Exploitation",1,0))+IF(T65="Yes",2,0)+IF(G65="Nation-State",1,0)))</f>
        <v/>
      </c>
      <c r="Q65" s="12" t="n"/>
      <c r="R65" s="12" t="n"/>
      <c r="S65" s="17" t="n"/>
      <c r="T65" s="12" t="n"/>
      <c r="U65" s="12" t="n"/>
      <c r="V65" s="12" t="n"/>
      <c r="W65" s="12" t="n"/>
      <c r="X65" s="12" t="n"/>
    </row>
    <row r="66">
      <c r="A66" s="11" t="inlineStr">
        <is>
          <t>VTL-20250109-0062</t>
        </is>
      </c>
      <c r="B66" s="12" t="n"/>
      <c r="C66" s="12" t="n"/>
      <c r="D66" s="19" t="n"/>
      <c r="E66" s="12" t="n"/>
      <c r="F66" s="12" t="n"/>
      <c r="G66" s="12" t="n"/>
      <c r="H66" s="12" t="n"/>
      <c r="I66" s="12" t="n"/>
      <c r="J66" s="12" t="n"/>
      <c r="K66" s="13" t="n"/>
      <c r="L66" s="25">
        <f>IF(B66="","",TODAY())</f>
        <v/>
      </c>
      <c r="M66" s="12" t="n"/>
      <c r="N66" s="12" t="n"/>
      <c r="O66" s="12" t="n"/>
      <c r="P66" s="26">
        <f>IF(D66="","",MIN(10,D66+IF(H66="Mass_Exploitation",2,IF(H66="Active_Exploitation",1,0))+IF(T66="Yes",2,0)+IF(G66="Nation-State",1,0)))</f>
        <v/>
      </c>
      <c r="Q66" s="12" t="n"/>
      <c r="R66" s="12" t="n"/>
      <c r="S66" s="17" t="n"/>
      <c r="T66" s="12" t="n"/>
      <c r="U66" s="12" t="n"/>
      <c r="V66" s="12" t="n"/>
      <c r="W66" s="12" t="n"/>
      <c r="X66" s="12" t="n"/>
    </row>
    <row r="67">
      <c r="A67" s="11" t="inlineStr">
        <is>
          <t>VTL-20250109-0063</t>
        </is>
      </c>
      <c r="B67" s="12" t="n"/>
      <c r="C67" s="12" t="n"/>
      <c r="D67" s="19" t="n"/>
      <c r="E67" s="12" t="n"/>
      <c r="F67" s="12" t="n"/>
      <c r="G67" s="12" t="n"/>
      <c r="H67" s="12" t="n"/>
      <c r="I67" s="12" t="n"/>
      <c r="J67" s="12" t="n"/>
      <c r="K67" s="13" t="n"/>
      <c r="L67" s="25">
        <f>IF(B67="","",TODAY())</f>
        <v/>
      </c>
      <c r="M67" s="12" t="n"/>
      <c r="N67" s="12" t="n"/>
      <c r="O67" s="12" t="n"/>
      <c r="P67" s="26">
        <f>IF(D67="","",MIN(10,D67+IF(H67="Mass_Exploitation",2,IF(H67="Active_Exploitation",1,0))+IF(T67="Yes",2,0)+IF(G67="Nation-State",1,0)))</f>
        <v/>
      </c>
      <c r="Q67" s="12" t="n"/>
      <c r="R67" s="12" t="n"/>
      <c r="S67" s="17" t="n"/>
      <c r="T67" s="12" t="n"/>
      <c r="U67" s="12" t="n"/>
      <c r="V67" s="12" t="n"/>
      <c r="W67" s="12" t="n"/>
      <c r="X67" s="12" t="n"/>
    </row>
    <row r="68">
      <c r="A68" s="11" t="inlineStr">
        <is>
          <t>VTL-20250109-0064</t>
        </is>
      </c>
      <c r="B68" s="12" t="n"/>
      <c r="C68" s="12" t="n"/>
      <c r="D68" s="19" t="n"/>
      <c r="E68" s="12" t="n"/>
      <c r="F68" s="12" t="n"/>
      <c r="G68" s="12" t="n"/>
      <c r="H68" s="12" t="n"/>
      <c r="I68" s="12" t="n"/>
      <c r="J68" s="12" t="n"/>
      <c r="K68" s="13" t="n"/>
      <c r="L68" s="25">
        <f>IF(B68="","",TODAY())</f>
        <v/>
      </c>
      <c r="M68" s="12" t="n"/>
      <c r="N68" s="12" t="n"/>
      <c r="O68" s="12" t="n"/>
      <c r="P68" s="26">
        <f>IF(D68="","",MIN(10,D68+IF(H68="Mass_Exploitation",2,IF(H68="Active_Exploitation",1,0))+IF(T68="Yes",2,0)+IF(G68="Nation-State",1,0)))</f>
        <v/>
      </c>
      <c r="Q68" s="12" t="n"/>
      <c r="R68" s="12" t="n"/>
      <c r="S68" s="17" t="n"/>
      <c r="T68" s="12" t="n"/>
      <c r="U68" s="12" t="n"/>
      <c r="V68" s="12" t="n"/>
      <c r="W68" s="12" t="n"/>
      <c r="X68" s="12" t="n"/>
    </row>
    <row r="69">
      <c r="A69" s="11" t="inlineStr">
        <is>
          <t>VTL-20250109-0065</t>
        </is>
      </c>
      <c r="B69" s="12" t="n"/>
      <c r="C69" s="12" t="n"/>
      <c r="D69" s="19" t="n"/>
      <c r="E69" s="12" t="n"/>
      <c r="F69" s="12" t="n"/>
      <c r="G69" s="12" t="n"/>
      <c r="H69" s="12" t="n"/>
      <c r="I69" s="12" t="n"/>
      <c r="J69" s="12" t="n"/>
      <c r="K69" s="13" t="n"/>
      <c r="L69" s="25">
        <f>IF(B69="","",TODAY())</f>
        <v/>
      </c>
      <c r="M69" s="12" t="n"/>
      <c r="N69" s="12" t="n"/>
      <c r="O69" s="12" t="n"/>
      <c r="P69" s="26">
        <f>IF(D69="","",MIN(10,D69+IF(H69="Mass_Exploitation",2,IF(H69="Active_Exploitation",1,0))+IF(T69="Yes",2,0)+IF(G69="Nation-State",1,0)))</f>
        <v/>
      </c>
      <c r="Q69" s="12" t="n"/>
      <c r="R69" s="12" t="n"/>
      <c r="S69" s="17" t="n"/>
      <c r="T69" s="12" t="n"/>
      <c r="U69" s="12" t="n"/>
      <c r="V69" s="12" t="n"/>
      <c r="W69" s="12" t="n"/>
      <c r="X69" s="12" t="n"/>
    </row>
    <row r="70">
      <c r="A70" s="11" t="inlineStr">
        <is>
          <t>VTL-20250109-0066</t>
        </is>
      </c>
      <c r="B70" s="12" t="n"/>
      <c r="C70" s="12" t="n"/>
      <c r="D70" s="19" t="n"/>
      <c r="E70" s="12" t="n"/>
      <c r="F70" s="12" t="n"/>
      <c r="G70" s="12" t="n"/>
      <c r="H70" s="12" t="n"/>
      <c r="I70" s="12" t="n"/>
      <c r="J70" s="12" t="n"/>
      <c r="K70" s="13" t="n"/>
      <c r="L70" s="25">
        <f>IF(B70="","",TODAY())</f>
        <v/>
      </c>
      <c r="M70" s="12" t="n"/>
      <c r="N70" s="12" t="n"/>
      <c r="O70" s="12" t="n"/>
      <c r="P70" s="26">
        <f>IF(D70="","",MIN(10,D70+IF(H70="Mass_Exploitation",2,IF(H70="Active_Exploitation",1,0))+IF(T70="Yes",2,0)+IF(G70="Nation-State",1,0)))</f>
        <v/>
      </c>
      <c r="Q70" s="12" t="n"/>
      <c r="R70" s="12" t="n"/>
      <c r="S70" s="17" t="n"/>
      <c r="T70" s="12" t="n"/>
      <c r="U70" s="12" t="n"/>
      <c r="V70" s="12" t="n"/>
      <c r="W70" s="12" t="n"/>
      <c r="X70" s="12" t="n"/>
    </row>
    <row r="71">
      <c r="A71" s="11" t="inlineStr">
        <is>
          <t>VTL-20250109-0067</t>
        </is>
      </c>
      <c r="B71" s="12" t="n"/>
      <c r="C71" s="12" t="n"/>
      <c r="D71" s="19" t="n"/>
      <c r="E71" s="12" t="n"/>
      <c r="F71" s="12" t="n"/>
      <c r="G71" s="12" t="n"/>
      <c r="H71" s="12" t="n"/>
      <c r="I71" s="12" t="n"/>
      <c r="J71" s="12" t="n"/>
      <c r="K71" s="13" t="n"/>
      <c r="L71" s="25">
        <f>IF(B71="","",TODAY())</f>
        <v/>
      </c>
      <c r="M71" s="12" t="n"/>
      <c r="N71" s="12" t="n"/>
      <c r="O71" s="12" t="n"/>
      <c r="P71" s="26">
        <f>IF(D71="","",MIN(10,D71+IF(H71="Mass_Exploitation",2,IF(H71="Active_Exploitation",1,0))+IF(T71="Yes",2,0)+IF(G71="Nation-State",1,0)))</f>
        <v/>
      </c>
      <c r="Q71" s="12" t="n"/>
      <c r="R71" s="12" t="n"/>
      <c r="S71" s="17" t="n"/>
      <c r="T71" s="12" t="n"/>
      <c r="U71" s="12" t="n"/>
      <c r="V71" s="12" t="n"/>
      <c r="W71" s="12" t="n"/>
      <c r="X71" s="12" t="n"/>
    </row>
    <row r="72">
      <c r="A72" s="11" t="inlineStr">
        <is>
          <t>VTL-20250109-0068</t>
        </is>
      </c>
      <c r="B72" s="12" t="n"/>
      <c r="C72" s="12" t="n"/>
      <c r="D72" s="19" t="n"/>
      <c r="E72" s="12" t="n"/>
      <c r="F72" s="12" t="n"/>
      <c r="G72" s="12" t="n"/>
      <c r="H72" s="12" t="n"/>
      <c r="I72" s="12" t="n"/>
      <c r="J72" s="12" t="n"/>
      <c r="K72" s="13" t="n"/>
      <c r="L72" s="25">
        <f>IF(B72="","",TODAY())</f>
        <v/>
      </c>
      <c r="M72" s="12" t="n"/>
      <c r="N72" s="12" t="n"/>
      <c r="O72" s="12" t="n"/>
      <c r="P72" s="26">
        <f>IF(D72="","",MIN(10,D72+IF(H72="Mass_Exploitation",2,IF(H72="Active_Exploitation",1,0))+IF(T72="Yes",2,0)+IF(G72="Nation-State",1,0)))</f>
        <v/>
      </c>
      <c r="Q72" s="12" t="n"/>
      <c r="R72" s="12" t="n"/>
      <c r="S72" s="17" t="n"/>
      <c r="T72" s="12" t="n"/>
      <c r="U72" s="12" t="n"/>
      <c r="V72" s="12" t="n"/>
      <c r="W72" s="12" t="n"/>
      <c r="X72" s="12" t="n"/>
    </row>
    <row r="73">
      <c r="A73" s="11" t="inlineStr">
        <is>
          <t>VTL-20250109-0069</t>
        </is>
      </c>
      <c r="B73" s="12" t="n"/>
      <c r="C73" s="12" t="n"/>
      <c r="D73" s="19" t="n"/>
      <c r="E73" s="12" t="n"/>
      <c r="F73" s="12" t="n"/>
      <c r="G73" s="12" t="n"/>
      <c r="H73" s="12" t="n"/>
      <c r="I73" s="12" t="n"/>
      <c r="J73" s="12" t="n"/>
      <c r="K73" s="13" t="n"/>
      <c r="L73" s="25">
        <f>IF(B73="","",TODAY())</f>
        <v/>
      </c>
      <c r="M73" s="12" t="n"/>
      <c r="N73" s="12" t="n"/>
      <c r="O73" s="12" t="n"/>
      <c r="P73" s="26">
        <f>IF(D73="","",MIN(10,D73+IF(H73="Mass_Exploitation",2,IF(H73="Active_Exploitation",1,0))+IF(T73="Yes",2,0)+IF(G73="Nation-State",1,0)))</f>
        <v/>
      </c>
      <c r="Q73" s="12" t="n"/>
      <c r="R73" s="12" t="n"/>
      <c r="S73" s="17" t="n"/>
      <c r="T73" s="12" t="n"/>
      <c r="U73" s="12" t="n"/>
      <c r="V73" s="12" t="n"/>
      <c r="W73" s="12" t="n"/>
      <c r="X73" s="12" t="n"/>
    </row>
    <row r="74">
      <c r="A74" s="11" t="inlineStr">
        <is>
          <t>VTL-20250109-0070</t>
        </is>
      </c>
      <c r="B74" s="12" t="n"/>
      <c r="C74" s="12" t="n"/>
      <c r="D74" s="19" t="n"/>
      <c r="E74" s="12" t="n"/>
      <c r="F74" s="12" t="n"/>
      <c r="G74" s="12" t="n"/>
      <c r="H74" s="12" t="n"/>
      <c r="I74" s="12" t="n"/>
      <c r="J74" s="12" t="n"/>
      <c r="K74" s="13" t="n"/>
      <c r="L74" s="25">
        <f>IF(B74="","",TODAY())</f>
        <v/>
      </c>
      <c r="M74" s="12" t="n"/>
      <c r="N74" s="12" t="n"/>
      <c r="O74" s="12" t="n"/>
      <c r="P74" s="26">
        <f>IF(D74="","",MIN(10,D74+IF(H74="Mass_Exploitation",2,IF(H74="Active_Exploitation",1,0))+IF(T74="Yes",2,0)+IF(G74="Nation-State",1,0)))</f>
        <v/>
      </c>
      <c r="Q74" s="12" t="n"/>
      <c r="R74" s="12" t="n"/>
      <c r="S74" s="17" t="n"/>
      <c r="T74" s="12" t="n"/>
      <c r="U74" s="12" t="n"/>
      <c r="V74" s="12" t="n"/>
      <c r="W74" s="12" t="n"/>
      <c r="X74" s="12" t="n"/>
    </row>
    <row r="75">
      <c r="A75" s="11" t="inlineStr">
        <is>
          <t>VTL-20250109-0071</t>
        </is>
      </c>
      <c r="B75" s="12" t="n"/>
      <c r="C75" s="12" t="n"/>
      <c r="D75" s="19" t="n"/>
      <c r="E75" s="12" t="n"/>
      <c r="F75" s="12" t="n"/>
      <c r="G75" s="12" t="n"/>
      <c r="H75" s="12" t="n"/>
      <c r="I75" s="12" t="n"/>
      <c r="J75" s="12" t="n"/>
      <c r="K75" s="13" t="n"/>
      <c r="L75" s="25">
        <f>IF(B75="","",TODAY())</f>
        <v/>
      </c>
      <c r="M75" s="12" t="n"/>
      <c r="N75" s="12" t="n"/>
      <c r="O75" s="12" t="n"/>
      <c r="P75" s="26">
        <f>IF(D75="","",MIN(10,D75+IF(H75="Mass_Exploitation",2,IF(H75="Active_Exploitation",1,0))+IF(T75="Yes",2,0)+IF(G75="Nation-State",1,0)))</f>
        <v/>
      </c>
      <c r="Q75" s="12" t="n"/>
      <c r="R75" s="12" t="n"/>
      <c r="S75" s="17" t="n"/>
      <c r="T75" s="12" t="n"/>
      <c r="U75" s="12" t="n"/>
      <c r="V75" s="12" t="n"/>
      <c r="W75" s="12" t="n"/>
      <c r="X75" s="12" t="n"/>
    </row>
    <row r="76">
      <c r="A76" s="11" t="inlineStr">
        <is>
          <t>VTL-20250109-0072</t>
        </is>
      </c>
      <c r="B76" s="12" t="n"/>
      <c r="C76" s="12" t="n"/>
      <c r="D76" s="19" t="n"/>
      <c r="E76" s="12" t="n"/>
      <c r="F76" s="12" t="n"/>
      <c r="G76" s="12" t="n"/>
      <c r="H76" s="12" t="n"/>
      <c r="I76" s="12" t="n"/>
      <c r="J76" s="12" t="n"/>
      <c r="K76" s="13" t="n"/>
      <c r="L76" s="25">
        <f>IF(B76="","",TODAY())</f>
        <v/>
      </c>
      <c r="M76" s="12" t="n"/>
      <c r="N76" s="12" t="n"/>
      <c r="O76" s="12" t="n"/>
      <c r="P76" s="26">
        <f>IF(D76="","",MIN(10,D76+IF(H76="Mass_Exploitation",2,IF(H76="Active_Exploitation",1,0))+IF(T76="Yes",2,0)+IF(G76="Nation-State",1,0)))</f>
        <v/>
      </c>
      <c r="Q76" s="12" t="n"/>
      <c r="R76" s="12" t="n"/>
      <c r="S76" s="17" t="n"/>
      <c r="T76" s="12" t="n"/>
      <c r="U76" s="12" t="n"/>
      <c r="V76" s="12" t="n"/>
      <c r="W76" s="12" t="n"/>
      <c r="X76" s="12" t="n"/>
    </row>
    <row r="77">
      <c r="A77" s="11" t="inlineStr">
        <is>
          <t>VTL-20250109-0073</t>
        </is>
      </c>
      <c r="B77" s="12" t="n"/>
      <c r="C77" s="12" t="n"/>
      <c r="D77" s="19" t="n"/>
      <c r="E77" s="12" t="n"/>
      <c r="F77" s="12" t="n"/>
      <c r="G77" s="12" t="n"/>
      <c r="H77" s="12" t="n"/>
      <c r="I77" s="12" t="n"/>
      <c r="J77" s="12" t="n"/>
      <c r="K77" s="13" t="n"/>
      <c r="L77" s="25">
        <f>IF(B77="","",TODAY())</f>
        <v/>
      </c>
      <c r="M77" s="12" t="n"/>
      <c r="N77" s="12" t="n"/>
      <c r="O77" s="12" t="n"/>
      <c r="P77" s="26">
        <f>IF(D77="","",MIN(10,D77+IF(H77="Mass_Exploitation",2,IF(H77="Active_Exploitation",1,0))+IF(T77="Yes",2,0)+IF(G77="Nation-State",1,0)))</f>
        <v/>
      </c>
      <c r="Q77" s="12" t="n"/>
      <c r="R77" s="12" t="n"/>
      <c r="S77" s="17" t="n"/>
      <c r="T77" s="12" t="n"/>
      <c r="U77" s="12" t="n"/>
      <c r="V77" s="12" t="n"/>
      <c r="W77" s="12" t="n"/>
      <c r="X77" s="12" t="n"/>
    </row>
    <row r="78">
      <c r="A78" s="11" t="inlineStr">
        <is>
          <t>VTL-20250109-0074</t>
        </is>
      </c>
      <c r="B78" s="12" t="n"/>
      <c r="C78" s="12" t="n"/>
      <c r="D78" s="19" t="n"/>
      <c r="E78" s="12" t="n"/>
      <c r="F78" s="12" t="n"/>
      <c r="G78" s="12" t="n"/>
      <c r="H78" s="12" t="n"/>
      <c r="I78" s="12" t="n"/>
      <c r="J78" s="12" t="n"/>
      <c r="K78" s="13" t="n"/>
      <c r="L78" s="25">
        <f>IF(B78="","",TODAY())</f>
        <v/>
      </c>
      <c r="M78" s="12" t="n"/>
      <c r="N78" s="12" t="n"/>
      <c r="O78" s="12" t="n"/>
      <c r="P78" s="26">
        <f>IF(D78="","",MIN(10,D78+IF(H78="Mass_Exploitation",2,IF(H78="Active_Exploitation",1,0))+IF(T78="Yes",2,0)+IF(G78="Nation-State",1,0)))</f>
        <v/>
      </c>
      <c r="Q78" s="12" t="n"/>
      <c r="R78" s="12" t="n"/>
      <c r="S78" s="17" t="n"/>
      <c r="T78" s="12" t="n"/>
      <c r="U78" s="12" t="n"/>
      <c r="V78" s="12" t="n"/>
      <c r="W78" s="12" t="n"/>
      <c r="X78" s="12" t="n"/>
    </row>
    <row r="79">
      <c r="A79" s="11" t="inlineStr">
        <is>
          <t>VTL-20250109-0075</t>
        </is>
      </c>
      <c r="B79" s="12" t="n"/>
      <c r="C79" s="12" t="n"/>
      <c r="D79" s="19" t="n"/>
      <c r="E79" s="12" t="n"/>
      <c r="F79" s="12" t="n"/>
      <c r="G79" s="12" t="n"/>
      <c r="H79" s="12" t="n"/>
      <c r="I79" s="12" t="n"/>
      <c r="J79" s="12" t="n"/>
      <c r="K79" s="13" t="n"/>
      <c r="L79" s="25">
        <f>IF(B79="","",TODAY())</f>
        <v/>
      </c>
      <c r="M79" s="12" t="n"/>
      <c r="N79" s="12" t="n"/>
      <c r="O79" s="12" t="n"/>
      <c r="P79" s="26">
        <f>IF(D79="","",MIN(10,D79+IF(H79="Mass_Exploitation",2,IF(H79="Active_Exploitation",1,0))+IF(T79="Yes",2,0)+IF(G79="Nation-State",1,0)))</f>
        <v/>
      </c>
      <c r="Q79" s="12" t="n"/>
      <c r="R79" s="12" t="n"/>
      <c r="S79" s="17" t="n"/>
      <c r="T79" s="12" t="n"/>
      <c r="U79" s="12" t="n"/>
      <c r="V79" s="12" t="n"/>
      <c r="W79" s="12" t="n"/>
      <c r="X79" s="12" t="n"/>
    </row>
    <row r="80">
      <c r="A80" s="11" t="inlineStr">
        <is>
          <t>VTL-20250109-0076</t>
        </is>
      </c>
      <c r="B80" s="12" t="n"/>
      <c r="C80" s="12" t="n"/>
      <c r="D80" s="19" t="n"/>
      <c r="E80" s="12" t="n"/>
      <c r="F80" s="12" t="n"/>
      <c r="G80" s="12" t="n"/>
      <c r="H80" s="12" t="n"/>
      <c r="I80" s="12" t="n"/>
      <c r="J80" s="12" t="n"/>
      <c r="K80" s="13" t="n"/>
      <c r="L80" s="25">
        <f>IF(B80="","",TODAY())</f>
        <v/>
      </c>
      <c r="M80" s="12" t="n"/>
      <c r="N80" s="12" t="n"/>
      <c r="O80" s="12" t="n"/>
      <c r="P80" s="26">
        <f>IF(D80="","",MIN(10,D80+IF(H80="Mass_Exploitation",2,IF(H80="Active_Exploitation",1,0))+IF(T80="Yes",2,0)+IF(G80="Nation-State",1,0)))</f>
        <v/>
      </c>
      <c r="Q80" s="12" t="n"/>
      <c r="R80" s="12" t="n"/>
      <c r="S80" s="17" t="n"/>
      <c r="T80" s="12" t="n"/>
      <c r="U80" s="12" t="n"/>
      <c r="V80" s="12" t="n"/>
      <c r="W80" s="12" t="n"/>
      <c r="X80" s="12" t="n"/>
    </row>
    <row r="81">
      <c r="A81" s="11" t="inlineStr">
        <is>
          <t>VTL-20250109-0077</t>
        </is>
      </c>
      <c r="B81" s="12" t="n"/>
      <c r="C81" s="12" t="n"/>
      <c r="D81" s="19" t="n"/>
      <c r="E81" s="12" t="n"/>
      <c r="F81" s="12" t="n"/>
      <c r="G81" s="12" t="n"/>
      <c r="H81" s="12" t="n"/>
      <c r="I81" s="12" t="n"/>
      <c r="J81" s="12" t="n"/>
      <c r="K81" s="13" t="n"/>
      <c r="L81" s="25">
        <f>IF(B81="","",TODAY())</f>
        <v/>
      </c>
      <c r="M81" s="12" t="n"/>
      <c r="N81" s="12" t="n"/>
      <c r="O81" s="12" t="n"/>
      <c r="P81" s="26">
        <f>IF(D81="","",MIN(10,D81+IF(H81="Mass_Exploitation",2,IF(H81="Active_Exploitation",1,0))+IF(T81="Yes",2,0)+IF(G81="Nation-State",1,0)))</f>
        <v/>
      </c>
      <c r="Q81" s="12" t="n"/>
      <c r="R81" s="12" t="n"/>
      <c r="S81" s="17" t="n"/>
      <c r="T81" s="12" t="n"/>
      <c r="U81" s="12" t="n"/>
      <c r="V81" s="12" t="n"/>
      <c r="W81" s="12" t="n"/>
      <c r="X81" s="12" t="n"/>
    </row>
    <row r="82">
      <c r="A82" s="11" t="inlineStr">
        <is>
          <t>VTL-20250109-0078</t>
        </is>
      </c>
      <c r="B82" s="12" t="n"/>
      <c r="C82" s="12" t="n"/>
      <c r="D82" s="19" t="n"/>
      <c r="E82" s="12" t="n"/>
      <c r="F82" s="12" t="n"/>
      <c r="G82" s="12" t="n"/>
      <c r="H82" s="12" t="n"/>
      <c r="I82" s="12" t="n"/>
      <c r="J82" s="12" t="n"/>
      <c r="K82" s="13" t="n"/>
      <c r="L82" s="25">
        <f>IF(B82="","",TODAY())</f>
        <v/>
      </c>
      <c r="M82" s="12" t="n"/>
      <c r="N82" s="12" t="n"/>
      <c r="O82" s="12" t="n"/>
      <c r="P82" s="26">
        <f>IF(D82="","",MIN(10,D82+IF(H82="Mass_Exploitation",2,IF(H82="Active_Exploitation",1,0))+IF(T82="Yes",2,0)+IF(G82="Nation-State",1,0)))</f>
        <v/>
      </c>
      <c r="Q82" s="12" t="n"/>
      <c r="R82" s="12" t="n"/>
      <c r="S82" s="17" t="n"/>
      <c r="T82" s="12" t="n"/>
      <c r="U82" s="12" t="n"/>
      <c r="V82" s="12" t="n"/>
      <c r="W82" s="12" t="n"/>
      <c r="X82" s="12" t="n"/>
    </row>
    <row r="83">
      <c r="A83" s="11" t="inlineStr">
        <is>
          <t>VTL-20250109-0079</t>
        </is>
      </c>
      <c r="B83" s="12" t="n"/>
      <c r="C83" s="12" t="n"/>
      <c r="D83" s="19" t="n"/>
      <c r="E83" s="12" t="n"/>
      <c r="F83" s="12" t="n"/>
      <c r="G83" s="12" t="n"/>
      <c r="H83" s="12" t="n"/>
      <c r="I83" s="12" t="n"/>
      <c r="J83" s="12" t="n"/>
      <c r="K83" s="13" t="n"/>
      <c r="L83" s="25">
        <f>IF(B83="","",TODAY())</f>
        <v/>
      </c>
      <c r="M83" s="12" t="n"/>
      <c r="N83" s="12" t="n"/>
      <c r="O83" s="12" t="n"/>
      <c r="P83" s="26">
        <f>IF(D83="","",MIN(10,D83+IF(H83="Mass_Exploitation",2,IF(H83="Active_Exploitation",1,0))+IF(T83="Yes",2,0)+IF(G83="Nation-State",1,0)))</f>
        <v/>
      </c>
      <c r="Q83" s="12" t="n"/>
      <c r="R83" s="12" t="n"/>
      <c r="S83" s="17" t="n"/>
      <c r="T83" s="12" t="n"/>
      <c r="U83" s="12" t="n"/>
      <c r="V83" s="12" t="n"/>
      <c r="W83" s="12" t="n"/>
      <c r="X83" s="12" t="n"/>
    </row>
    <row r="84">
      <c r="A84" s="11" t="inlineStr">
        <is>
          <t>VTL-20250109-0080</t>
        </is>
      </c>
      <c r="B84" s="12" t="n"/>
      <c r="C84" s="12" t="n"/>
      <c r="D84" s="19" t="n"/>
      <c r="E84" s="12" t="n"/>
      <c r="F84" s="12" t="n"/>
      <c r="G84" s="12" t="n"/>
      <c r="H84" s="12" t="n"/>
      <c r="I84" s="12" t="n"/>
      <c r="J84" s="12" t="n"/>
      <c r="K84" s="13" t="n"/>
      <c r="L84" s="25">
        <f>IF(B84="","",TODAY())</f>
        <v/>
      </c>
      <c r="M84" s="12" t="n"/>
      <c r="N84" s="12" t="n"/>
      <c r="O84" s="12" t="n"/>
      <c r="P84" s="26">
        <f>IF(D84="","",MIN(10,D84+IF(H84="Mass_Exploitation",2,IF(H84="Active_Exploitation",1,0))+IF(T84="Yes",2,0)+IF(G84="Nation-State",1,0)))</f>
        <v/>
      </c>
      <c r="Q84" s="12" t="n"/>
      <c r="R84" s="12" t="n"/>
      <c r="S84" s="17" t="n"/>
      <c r="T84" s="12" t="n"/>
      <c r="U84" s="12" t="n"/>
      <c r="V84" s="12" t="n"/>
      <c r="W84" s="12" t="n"/>
      <c r="X84" s="12" t="n"/>
    </row>
    <row r="85">
      <c r="A85" s="11" t="inlineStr">
        <is>
          <t>VTL-20250109-0081</t>
        </is>
      </c>
      <c r="B85" s="12" t="n"/>
      <c r="C85" s="12" t="n"/>
      <c r="D85" s="19" t="n"/>
      <c r="E85" s="12" t="n"/>
      <c r="F85" s="12" t="n"/>
      <c r="G85" s="12" t="n"/>
      <c r="H85" s="12" t="n"/>
      <c r="I85" s="12" t="n"/>
      <c r="J85" s="12" t="n"/>
      <c r="K85" s="13" t="n"/>
      <c r="L85" s="25">
        <f>IF(B85="","",TODAY())</f>
        <v/>
      </c>
      <c r="M85" s="12" t="n"/>
      <c r="N85" s="12" t="n"/>
      <c r="O85" s="12" t="n"/>
      <c r="P85" s="26">
        <f>IF(D85="","",MIN(10,D85+IF(H85="Mass_Exploitation",2,IF(H85="Active_Exploitation",1,0))+IF(T85="Yes",2,0)+IF(G85="Nation-State",1,0)))</f>
        <v/>
      </c>
      <c r="Q85" s="12" t="n"/>
      <c r="R85" s="12" t="n"/>
      <c r="S85" s="17" t="n"/>
      <c r="T85" s="12" t="n"/>
      <c r="U85" s="12" t="n"/>
      <c r="V85" s="12" t="n"/>
      <c r="W85" s="12" t="n"/>
      <c r="X85" s="12" t="n"/>
    </row>
    <row r="86">
      <c r="A86" s="11" t="inlineStr">
        <is>
          <t>VTL-20250109-0082</t>
        </is>
      </c>
      <c r="B86" s="12" t="n"/>
      <c r="C86" s="12" t="n"/>
      <c r="D86" s="19" t="n"/>
      <c r="E86" s="12" t="n"/>
      <c r="F86" s="12" t="n"/>
      <c r="G86" s="12" t="n"/>
      <c r="H86" s="12" t="n"/>
      <c r="I86" s="12" t="n"/>
      <c r="J86" s="12" t="n"/>
      <c r="K86" s="13" t="n"/>
      <c r="L86" s="25">
        <f>IF(B86="","",TODAY())</f>
        <v/>
      </c>
      <c r="M86" s="12" t="n"/>
      <c r="N86" s="12" t="n"/>
      <c r="O86" s="12" t="n"/>
      <c r="P86" s="26">
        <f>IF(D86="","",MIN(10,D86+IF(H86="Mass_Exploitation",2,IF(H86="Active_Exploitation",1,0))+IF(T86="Yes",2,0)+IF(G86="Nation-State",1,0)))</f>
        <v/>
      </c>
      <c r="Q86" s="12" t="n"/>
      <c r="R86" s="12" t="n"/>
      <c r="S86" s="17" t="n"/>
      <c r="T86" s="12" t="n"/>
      <c r="U86" s="12" t="n"/>
      <c r="V86" s="12" t="n"/>
      <c r="W86" s="12" t="n"/>
      <c r="X86" s="12" t="n"/>
    </row>
    <row r="87">
      <c r="A87" s="11" t="inlineStr">
        <is>
          <t>VTL-20250109-0083</t>
        </is>
      </c>
      <c r="B87" s="12" t="n"/>
      <c r="C87" s="12" t="n"/>
      <c r="D87" s="19" t="n"/>
      <c r="E87" s="12" t="n"/>
      <c r="F87" s="12" t="n"/>
      <c r="G87" s="12" t="n"/>
      <c r="H87" s="12" t="n"/>
      <c r="I87" s="12" t="n"/>
      <c r="J87" s="12" t="n"/>
      <c r="K87" s="13" t="n"/>
      <c r="L87" s="25">
        <f>IF(B87="","",TODAY())</f>
        <v/>
      </c>
      <c r="M87" s="12" t="n"/>
      <c r="N87" s="12" t="n"/>
      <c r="O87" s="12" t="n"/>
      <c r="P87" s="26">
        <f>IF(D87="","",MIN(10,D87+IF(H87="Mass_Exploitation",2,IF(H87="Active_Exploitation",1,0))+IF(T87="Yes",2,0)+IF(G87="Nation-State",1,0)))</f>
        <v/>
      </c>
      <c r="Q87" s="12" t="n"/>
      <c r="R87" s="12" t="n"/>
      <c r="S87" s="17" t="n"/>
      <c r="T87" s="12" t="n"/>
      <c r="U87" s="12" t="n"/>
      <c r="V87" s="12" t="n"/>
      <c r="W87" s="12" t="n"/>
      <c r="X87" s="12" t="n"/>
    </row>
    <row r="88">
      <c r="A88" s="11" t="inlineStr">
        <is>
          <t>VTL-20250109-0084</t>
        </is>
      </c>
      <c r="B88" s="12" t="n"/>
      <c r="C88" s="12" t="n"/>
      <c r="D88" s="19" t="n"/>
      <c r="E88" s="12" t="n"/>
      <c r="F88" s="12" t="n"/>
      <c r="G88" s="12" t="n"/>
      <c r="H88" s="12" t="n"/>
      <c r="I88" s="12" t="n"/>
      <c r="J88" s="12" t="n"/>
      <c r="K88" s="13" t="n"/>
      <c r="L88" s="25">
        <f>IF(B88="","",TODAY())</f>
        <v/>
      </c>
      <c r="M88" s="12" t="n"/>
      <c r="N88" s="12" t="n"/>
      <c r="O88" s="12" t="n"/>
      <c r="P88" s="26">
        <f>IF(D88="","",MIN(10,D88+IF(H88="Mass_Exploitation",2,IF(H88="Active_Exploitation",1,0))+IF(T88="Yes",2,0)+IF(G88="Nation-State",1,0)))</f>
        <v/>
      </c>
      <c r="Q88" s="12" t="n"/>
      <c r="R88" s="12" t="n"/>
      <c r="S88" s="17" t="n"/>
      <c r="T88" s="12" t="n"/>
      <c r="U88" s="12" t="n"/>
      <c r="V88" s="12" t="n"/>
      <c r="W88" s="12" t="n"/>
      <c r="X88" s="12" t="n"/>
    </row>
    <row r="89">
      <c r="A89" s="11" t="inlineStr">
        <is>
          <t>VTL-20250109-0085</t>
        </is>
      </c>
      <c r="B89" s="12" t="n"/>
      <c r="C89" s="12" t="n"/>
      <c r="D89" s="19" t="n"/>
      <c r="E89" s="12" t="n"/>
      <c r="F89" s="12" t="n"/>
      <c r="G89" s="12" t="n"/>
      <c r="H89" s="12" t="n"/>
      <c r="I89" s="12" t="n"/>
      <c r="J89" s="12" t="n"/>
      <c r="K89" s="13" t="n"/>
      <c r="L89" s="25">
        <f>IF(B89="","",TODAY())</f>
        <v/>
      </c>
      <c r="M89" s="12" t="n"/>
      <c r="N89" s="12" t="n"/>
      <c r="O89" s="12" t="n"/>
      <c r="P89" s="26">
        <f>IF(D89="","",MIN(10,D89+IF(H89="Mass_Exploitation",2,IF(H89="Active_Exploitation",1,0))+IF(T89="Yes",2,0)+IF(G89="Nation-State",1,0)))</f>
        <v/>
      </c>
      <c r="Q89" s="12" t="n"/>
      <c r="R89" s="12" t="n"/>
      <c r="S89" s="17" t="n"/>
      <c r="T89" s="12" t="n"/>
      <c r="U89" s="12" t="n"/>
      <c r="V89" s="12" t="n"/>
      <c r="W89" s="12" t="n"/>
      <c r="X89" s="12" t="n"/>
    </row>
    <row r="90">
      <c r="A90" s="11" t="inlineStr">
        <is>
          <t>VTL-20250109-0086</t>
        </is>
      </c>
      <c r="B90" s="12" t="n"/>
      <c r="C90" s="12" t="n"/>
      <c r="D90" s="19" t="n"/>
      <c r="E90" s="12" t="n"/>
      <c r="F90" s="12" t="n"/>
      <c r="G90" s="12" t="n"/>
      <c r="H90" s="12" t="n"/>
      <c r="I90" s="12" t="n"/>
      <c r="J90" s="12" t="n"/>
      <c r="K90" s="13" t="n"/>
      <c r="L90" s="25">
        <f>IF(B90="","",TODAY())</f>
        <v/>
      </c>
      <c r="M90" s="12" t="n"/>
      <c r="N90" s="12" t="n"/>
      <c r="O90" s="12" t="n"/>
      <c r="P90" s="26">
        <f>IF(D90="","",MIN(10,D90+IF(H90="Mass_Exploitation",2,IF(H90="Active_Exploitation",1,0))+IF(T90="Yes",2,0)+IF(G90="Nation-State",1,0)))</f>
        <v/>
      </c>
      <c r="Q90" s="12" t="n"/>
      <c r="R90" s="12" t="n"/>
      <c r="S90" s="17" t="n"/>
      <c r="T90" s="12" t="n"/>
      <c r="U90" s="12" t="n"/>
      <c r="V90" s="12" t="n"/>
      <c r="W90" s="12" t="n"/>
      <c r="X90" s="12" t="n"/>
    </row>
    <row r="91">
      <c r="A91" s="11" t="inlineStr">
        <is>
          <t>VTL-20250109-0087</t>
        </is>
      </c>
      <c r="B91" s="12" t="n"/>
      <c r="C91" s="12" t="n"/>
      <c r="D91" s="19" t="n"/>
      <c r="E91" s="12" t="n"/>
      <c r="F91" s="12" t="n"/>
      <c r="G91" s="12" t="n"/>
      <c r="H91" s="12" t="n"/>
      <c r="I91" s="12" t="n"/>
      <c r="J91" s="12" t="n"/>
      <c r="K91" s="13" t="n"/>
      <c r="L91" s="25">
        <f>IF(B91="","",TODAY())</f>
        <v/>
      </c>
      <c r="M91" s="12" t="n"/>
      <c r="N91" s="12" t="n"/>
      <c r="O91" s="12" t="n"/>
      <c r="P91" s="26">
        <f>IF(D91="","",MIN(10,D91+IF(H91="Mass_Exploitation",2,IF(H91="Active_Exploitation",1,0))+IF(T91="Yes",2,0)+IF(G91="Nation-State",1,0)))</f>
        <v/>
      </c>
      <c r="Q91" s="12" t="n"/>
      <c r="R91" s="12" t="n"/>
      <c r="S91" s="17" t="n"/>
      <c r="T91" s="12" t="n"/>
      <c r="U91" s="12" t="n"/>
      <c r="V91" s="12" t="n"/>
      <c r="W91" s="12" t="n"/>
      <c r="X91" s="12" t="n"/>
    </row>
    <row r="92">
      <c r="A92" s="11" t="inlineStr">
        <is>
          <t>VTL-20250109-0088</t>
        </is>
      </c>
      <c r="B92" s="12" t="n"/>
      <c r="C92" s="12" t="n"/>
      <c r="D92" s="19" t="n"/>
      <c r="E92" s="12" t="n"/>
      <c r="F92" s="12" t="n"/>
      <c r="G92" s="12" t="n"/>
      <c r="H92" s="12" t="n"/>
      <c r="I92" s="12" t="n"/>
      <c r="J92" s="12" t="n"/>
      <c r="K92" s="13" t="n"/>
      <c r="L92" s="25">
        <f>IF(B92="","",TODAY())</f>
        <v/>
      </c>
      <c r="M92" s="12" t="n"/>
      <c r="N92" s="12" t="n"/>
      <c r="O92" s="12" t="n"/>
      <c r="P92" s="26">
        <f>IF(D92="","",MIN(10,D92+IF(H92="Mass_Exploitation",2,IF(H92="Active_Exploitation",1,0))+IF(T92="Yes",2,0)+IF(G92="Nation-State",1,0)))</f>
        <v/>
      </c>
      <c r="Q92" s="12" t="n"/>
      <c r="R92" s="12" t="n"/>
      <c r="S92" s="17" t="n"/>
      <c r="T92" s="12" t="n"/>
      <c r="U92" s="12" t="n"/>
      <c r="V92" s="12" t="n"/>
      <c r="W92" s="12" t="n"/>
      <c r="X92" s="12" t="n"/>
    </row>
    <row r="93">
      <c r="A93" s="11" t="inlineStr">
        <is>
          <t>VTL-20250109-0089</t>
        </is>
      </c>
      <c r="B93" s="12" t="n"/>
      <c r="C93" s="12" t="n"/>
      <c r="D93" s="19" t="n"/>
      <c r="E93" s="12" t="n"/>
      <c r="F93" s="12" t="n"/>
      <c r="G93" s="12" t="n"/>
      <c r="H93" s="12" t="n"/>
      <c r="I93" s="12" t="n"/>
      <c r="J93" s="12" t="n"/>
      <c r="K93" s="13" t="n"/>
      <c r="L93" s="25">
        <f>IF(B93="","",TODAY())</f>
        <v/>
      </c>
      <c r="M93" s="12" t="n"/>
      <c r="N93" s="12" t="n"/>
      <c r="O93" s="12" t="n"/>
      <c r="P93" s="26">
        <f>IF(D93="","",MIN(10,D93+IF(H93="Mass_Exploitation",2,IF(H93="Active_Exploitation",1,0))+IF(T93="Yes",2,0)+IF(G93="Nation-State",1,0)))</f>
        <v/>
      </c>
      <c r="Q93" s="12" t="n"/>
      <c r="R93" s="12" t="n"/>
      <c r="S93" s="17" t="n"/>
      <c r="T93" s="12" t="n"/>
      <c r="U93" s="12" t="n"/>
      <c r="V93" s="12" t="n"/>
      <c r="W93" s="12" t="n"/>
      <c r="X93" s="12" t="n"/>
    </row>
    <row r="94">
      <c r="A94" s="11" t="inlineStr">
        <is>
          <t>VTL-20250109-0090</t>
        </is>
      </c>
      <c r="B94" s="12" t="n"/>
      <c r="C94" s="12" t="n"/>
      <c r="D94" s="19" t="n"/>
      <c r="E94" s="12" t="n"/>
      <c r="F94" s="12" t="n"/>
      <c r="G94" s="12" t="n"/>
      <c r="H94" s="12" t="n"/>
      <c r="I94" s="12" t="n"/>
      <c r="J94" s="12" t="n"/>
      <c r="K94" s="13" t="n"/>
      <c r="L94" s="25">
        <f>IF(B94="","",TODAY())</f>
        <v/>
      </c>
      <c r="M94" s="12" t="n"/>
      <c r="N94" s="12" t="n"/>
      <c r="O94" s="12" t="n"/>
      <c r="P94" s="26">
        <f>IF(D94="","",MIN(10,D94+IF(H94="Mass_Exploitation",2,IF(H94="Active_Exploitation",1,0))+IF(T94="Yes",2,0)+IF(G94="Nation-State",1,0)))</f>
        <v/>
      </c>
      <c r="Q94" s="12" t="n"/>
      <c r="R94" s="12" t="n"/>
      <c r="S94" s="17" t="n"/>
      <c r="T94" s="12" t="n"/>
      <c r="U94" s="12" t="n"/>
      <c r="V94" s="12" t="n"/>
      <c r="W94" s="12" t="n"/>
      <c r="X94" s="12" t="n"/>
    </row>
    <row r="95">
      <c r="A95" s="11" t="inlineStr">
        <is>
          <t>VTL-20250109-0091</t>
        </is>
      </c>
      <c r="B95" s="12" t="n"/>
      <c r="C95" s="12" t="n"/>
      <c r="D95" s="19" t="n"/>
      <c r="E95" s="12" t="n"/>
      <c r="F95" s="12" t="n"/>
      <c r="G95" s="12" t="n"/>
      <c r="H95" s="12" t="n"/>
      <c r="I95" s="12" t="n"/>
      <c r="J95" s="12" t="n"/>
      <c r="K95" s="13" t="n"/>
      <c r="L95" s="25">
        <f>IF(B95="","",TODAY())</f>
        <v/>
      </c>
      <c r="M95" s="12" t="n"/>
      <c r="N95" s="12" t="n"/>
      <c r="O95" s="12" t="n"/>
      <c r="P95" s="26">
        <f>IF(D95="","",MIN(10,D95+IF(H95="Mass_Exploitation",2,IF(H95="Active_Exploitation",1,0))+IF(T95="Yes",2,0)+IF(G95="Nation-State",1,0)))</f>
        <v/>
      </c>
      <c r="Q95" s="12" t="n"/>
      <c r="R95" s="12" t="n"/>
      <c r="S95" s="17" t="n"/>
      <c r="T95" s="12" t="n"/>
      <c r="U95" s="12" t="n"/>
      <c r="V95" s="12" t="n"/>
      <c r="W95" s="12" t="n"/>
      <c r="X95" s="12" t="n"/>
    </row>
    <row r="96">
      <c r="A96" s="11" t="inlineStr">
        <is>
          <t>VTL-20250109-0092</t>
        </is>
      </c>
      <c r="B96" s="12" t="n"/>
      <c r="C96" s="12" t="n"/>
      <c r="D96" s="19" t="n"/>
      <c r="E96" s="12" t="n"/>
      <c r="F96" s="12" t="n"/>
      <c r="G96" s="12" t="n"/>
      <c r="H96" s="12" t="n"/>
      <c r="I96" s="12" t="n"/>
      <c r="J96" s="12" t="n"/>
      <c r="K96" s="13" t="n"/>
      <c r="L96" s="25">
        <f>IF(B96="","",TODAY())</f>
        <v/>
      </c>
      <c r="M96" s="12" t="n"/>
      <c r="N96" s="12" t="n"/>
      <c r="O96" s="12" t="n"/>
      <c r="P96" s="26">
        <f>IF(D96="","",MIN(10,D96+IF(H96="Mass_Exploitation",2,IF(H96="Active_Exploitation",1,0))+IF(T96="Yes",2,0)+IF(G96="Nation-State",1,0)))</f>
        <v/>
      </c>
      <c r="Q96" s="12" t="n"/>
      <c r="R96" s="12" t="n"/>
      <c r="S96" s="17" t="n"/>
      <c r="T96" s="12" t="n"/>
      <c r="U96" s="12" t="n"/>
      <c r="V96" s="12" t="n"/>
      <c r="W96" s="12" t="n"/>
      <c r="X96" s="12" t="n"/>
    </row>
    <row r="97">
      <c r="A97" s="11" t="inlineStr">
        <is>
          <t>VTL-20250109-0093</t>
        </is>
      </c>
      <c r="B97" s="12" t="n"/>
      <c r="C97" s="12" t="n"/>
      <c r="D97" s="19" t="n"/>
      <c r="E97" s="12" t="n"/>
      <c r="F97" s="12" t="n"/>
      <c r="G97" s="12" t="n"/>
      <c r="H97" s="12" t="n"/>
      <c r="I97" s="12" t="n"/>
      <c r="J97" s="12" t="n"/>
      <c r="K97" s="13" t="n"/>
      <c r="L97" s="25">
        <f>IF(B97="","",TODAY())</f>
        <v/>
      </c>
      <c r="M97" s="12" t="n"/>
      <c r="N97" s="12" t="n"/>
      <c r="O97" s="12" t="n"/>
      <c r="P97" s="26">
        <f>IF(D97="","",MIN(10,D97+IF(H97="Mass_Exploitation",2,IF(H97="Active_Exploitation",1,0))+IF(T97="Yes",2,0)+IF(G97="Nation-State",1,0)))</f>
        <v/>
      </c>
      <c r="Q97" s="12" t="n"/>
      <c r="R97" s="12" t="n"/>
      <c r="S97" s="17" t="n"/>
      <c r="T97" s="12" t="n"/>
      <c r="U97" s="12" t="n"/>
      <c r="V97" s="12" t="n"/>
      <c r="W97" s="12" t="n"/>
      <c r="X97" s="12" t="n"/>
    </row>
    <row r="98">
      <c r="A98" s="11" t="inlineStr">
        <is>
          <t>VTL-20250109-0094</t>
        </is>
      </c>
      <c r="B98" s="12" t="n"/>
      <c r="C98" s="12" t="n"/>
      <c r="D98" s="19" t="n"/>
      <c r="E98" s="12" t="n"/>
      <c r="F98" s="12" t="n"/>
      <c r="G98" s="12" t="n"/>
      <c r="H98" s="12" t="n"/>
      <c r="I98" s="12" t="n"/>
      <c r="J98" s="12" t="n"/>
      <c r="K98" s="13" t="n"/>
      <c r="L98" s="25">
        <f>IF(B98="","",TODAY())</f>
        <v/>
      </c>
      <c r="M98" s="12" t="n"/>
      <c r="N98" s="12" t="n"/>
      <c r="O98" s="12" t="n"/>
      <c r="P98" s="26">
        <f>IF(D98="","",MIN(10,D98+IF(H98="Mass_Exploitation",2,IF(H98="Active_Exploitation",1,0))+IF(T98="Yes",2,0)+IF(G98="Nation-State",1,0)))</f>
        <v/>
      </c>
      <c r="Q98" s="12" t="n"/>
      <c r="R98" s="12" t="n"/>
      <c r="S98" s="17" t="n"/>
      <c r="T98" s="12" t="n"/>
      <c r="U98" s="12" t="n"/>
      <c r="V98" s="12" t="n"/>
      <c r="W98" s="12" t="n"/>
      <c r="X98" s="12" t="n"/>
    </row>
    <row r="99">
      <c r="A99" s="11" t="inlineStr">
        <is>
          <t>VTL-20250109-0095</t>
        </is>
      </c>
      <c r="B99" s="12" t="n"/>
      <c r="C99" s="12" t="n"/>
      <c r="D99" s="19" t="n"/>
      <c r="E99" s="12" t="n"/>
      <c r="F99" s="12" t="n"/>
      <c r="G99" s="12" t="n"/>
      <c r="H99" s="12" t="n"/>
      <c r="I99" s="12" t="n"/>
      <c r="J99" s="12" t="n"/>
      <c r="K99" s="13" t="n"/>
      <c r="L99" s="25">
        <f>IF(B99="","",TODAY())</f>
        <v/>
      </c>
      <c r="M99" s="12" t="n"/>
      <c r="N99" s="12" t="n"/>
      <c r="O99" s="12" t="n"/>
      <c r="P99" s="26">
        <f>IF(D99="","",MIN(10,D99+IF(H99="Mass_Exploitation",2,IF(H99="Active_Exploitation",1,0))+IF(T99="Yes",2,0)+IF(G99="Nation-State",1,0)))</f>
        <v/>
      </c>
      <c r="Q99" s="12" t="n"/>
      <c r="R99" s="12" t="n"/>
      <c r="S99" s="17" t="n"/>
      <c r="T99" s="12" t="n"/>
      <c r="U99" s="12" t="n"/>
      <c r="V99" s="12" t="n"/>
      <c r="W99" s="12" t="n"/>
      <c r="X99" s="12" t="n"/>
    </row>
    <row r="100">
      <c r="A100" s="11" t="inlineStr">
        <is>
          <t>VTL-20250109-0096</t>
        </is>
      </c>
      <c r="B100" s="12" t="n"/>
      <c r="C100" s="12" t="n"/>
      <c r="D100" s="19" t="n"/>
      <c r="E100" s="12" t="n"/>
      <c r="F100" s="12" t="n"/>
      <c r="G100" s="12" t="n"/>
      <c r="H100" s="12" t="n"/>
      <c r="I100" s="12" t="n"/>
      <c r="J100" s="12" t="n"/>
      <c r="K100" s="13" t="n"/>
      <c r="L100" s="25">
        <f>IF(B100="","",TODAY())</f>
        <v/>
      </c>
      <c r="M100" s="12" t="n"/>
      <c r="N100" s="12" t="n"/>
      <c r="O100" s="12" t="n"/>
      <c r="P100" s="26">
        <f>IF(D100="","",MIN(10,D100+IF(H100="Mass_Exploitation",2,IF(H100="Active_Exploitation",1,0))+IF(T100="Yes",2,0)+IF(G100="Nation-State",1,0)))</f>
        <v/>
      </c>
      <c r="Q100" s="12" t="n"/>
      <c r="R100" s="12" t="n"/>
      <c r="S100" s="17" t="n"/>
      <c r="T100" s="12" t="n"/>
      <c r="U100" s="12" t="n"/>
      <c r="V100" s="12" t="n"/>
      <c r="W100" s="12" t="n"/>
      <c r="X100" s="12" t="n"/>
    </row>
    <row r="101">
      <c r="A101" s="11" t="inlineStr">
        <is>
          <t>VTL-20250109-0097</t>
        </is>
      </c>
      <c r="B101" s="12" t="n"/>
      <c r="C101" s="12" t="n"/>
      <c r="D101" s="19" t="n"/>
      <c r="E101" s="12" t="n"/>
      <c r="F101" s="12" t="n"/>
      <c r="G101" s="12" t="n"/>
      <c r="H101" s="12" t="n"/>
      <c r="I101" s="12" t="n"/>
      <c r="J101" s="12" t="n"/>
      <c r="K101" s="13" t="n"/>
      <c r="L101" s="25">
        <f>IF(B101="","",TODAY())</f>
        <v/>
      </c>
      <c r="M101" s="12" t="n"/>
      <c r="N101" s="12" t="n"/>
      <c r="O101" s="12" t="n"/>
      <c r="P101" s="26">
        <f>IF(D101="","",MIN(10,D101+IF(H101="Mass_Exploitation",2,IF(H101="Active_Exploitation",1,0))+IF(T101="Yes",2,0)+IF(G101="Nation-State",1,0)))</f>
        <v/>
      </c>
      <c r="Q101" s="12" t="n"/>
      <c r="R101" s="12" t="n"/>
      <c r="S101" s="17" t="n"/>
      <c r="T101" s="12" t="n"/>
      <c r="U101" s="12" t="n"/>
      <c r="V101" s="12" t="n"/>
      <c r="W101" s="12" t="n"/>
      <c r="X101" s="12" t="n"/>
    </row>
    <row r="102">
      <c r="A102" s="11" t="inlineStr">
        <is>
          <t>VTL-20250109-0098</t>
        </is>
      </c>
      <c r="B102" s="12" t="n"/>
      <c r="C102" s="12" t="n"/>
      <c r="D102" s="19" t="n"/>
      <c r="E102" s="12" t="n"/>
      <c r="F102" s="12" t="n"/>
      <c r="G102" s="12" t="n"/>
      <c r="H102" s="12" t="n"/>
      <c r="I102" s="12" t="n"/>
      <c r="J102" s="12" t="n"/>
      <c r="K102" s="13" t="n"/>
      <c r="L102" s="25">
        <f>IF(B102="","",TODAY())</f>
        <v/>
      </c>
      <c r="M102" s="12" t="n"/>
      <c r="N102" s="12" t="n"/>
      <c r="O102" s="12" t="n"/>
      <c r="P102" s="26">
        <f>IF(D102="","",MIN(10,D102+IF(H102="Mass_Exploitation",2,IF(H102="Active_Exploitation",1,0))+IF(T102="Yes",2,0)+IF(G102="Nation-State",1,0)))</f>
        <v/>
      </c>
      <c r="Q102" s="12" t="n"/>
      <c r="R102" s="12" t="n"/>
      <c r="S102" s="17" t="n"/>
      <c r="T102" s="12" t="n"/>
      <c r="U102" s="12" t="n"/>
      <c r="V102" s="12" t="n"/>
      <c r="W102" s="12" t="n"/>
      <c r="X102" s="12" t="n"/>
    </row>
    <row r="103">
      <c r="A103" s="11" t="inlineStr">
        <is>
          <t>VTL-20250109-0099</t>
        </is>
      </c>
      <c r="B103" s="12" t="n"/>
      <c r="C103" s="12" t="n"/>
      <c r="D103" s="19" t="n"/>
      <c r="E103" s="12" t="n"/>
      <c r="F103" s="12" t="n"/>
      <c r="G103" s="12" t="n"/>
      <c r="H103" s="12" t="n"/>
      <c r="I103" s="12" t="n"/>
      <c r="J103" s="12" t="n"/>
      <c r="K103" s="13" t="n"/>
      <c r="L103" s="25">
        <f>IF(B103="","",TODAY())</f>
        <v/>
      </c>
      <c r="M103" s="12" t="n"/>
      <c r="N103" s="12" t="n"/>
      <c r="O103" s="12" t="n"/>
      <c r="P103" s="26">
        <f>IF(D103="","",MIN(10,D103+IF(H103="Mass_Exploitation",2,IF(H103="Active_Exploitation",1,0))+IF(T103="Yes",2,0)+IF(G103="Nation-State",1,0)))</f>
        <v/>
      </c>
      <c r="Q103" s="12" t="n"/>
      <c r="R103" s="12" t="n"/>
      <c r="S103" s="17" t="n"/>
      <c r="T103" s="12" t="n"/>
      <c r="U103" s="12" t="n"/>
      <c r="V103" s="12" t="n"/>
      <c r="W103" s="12" t="n"/>
      <c r="X103" s="12" t="n"/>
    </row>
    <row r="104">
      <c r="A104" s="11" t="inlineStr">
        <is>
          <t>VTL-20250109-0100</t>
        </is>
      </c>
      <c r="B104" s="12" t="n"/>
      <c r="C104" s="12" t="n"/>
      <c r="D104" s="19" t="n"/>
      <c r="E104" s="12" t="n"/>
      <c r="F104" s="12" t="n"/>
      <c r="G104" s="12" t="n"/>
      <c r="H104" s="12" t="n"/>
      <c r="I104" s="12" t="n"/>
      <c r="J104" s="12" t="n"/>
      <c r="K104" s="13" t="n"/>
      <c r="L104" s="25">
        <f>IF(B104="","",TODAY())</f>
        <v/>
      </c>
      <c r="M104" s="12" t="n"/>
      <c r="N104" s="12" t="n"/>
      <c r="O104" s="12" t="n"/>
      <c r="P104" s="26">
        <f>IF(D104="","",MIN(10,D104+IF(H104="Mass_Exploitation",2,IF(H104="Active_Exploitation",1,0))+IF(T104="Yes",2,0)+IF(G104="Nation-State",1,0)))</f>
        <v/>
      </c>
      <c r="Q104" s="12" t="n"/>
      <c r="R104" s="12" t="n"/>
      <c r="S104" s="17" t="n"/>
      <c r="T104" s="12" t="n"/>
      <c r="U104" s="12" t="n"/>
      <c r="V104" s="12" t="n"/>
      <c r="W104" s="12" t="n"/>
      <c r="X104" s="12" t="n"/>
    </row>
  </sheetData>
  <mergeCells count="3">
    <mergeCell ref="A3:X3"/>
    <mergeCell ref="A2:X2"/>
    <mergeCell ref="A1:X1"/>
  </mergeCells>
  <conditionalFormatting sqref="D5:D104">
    <cfRule type="cellIs" priority="1" operator="greaterThanOrEqual" dxfId="3">
      <formula>9.0</formula>
    </cfRule>
    <cfRule type="cellIs" priority="2" operator="between" dxfId="4">
      <formula>7.0</formula>
      <formula>8.9</formula>
    </cfRule>
    <cfRule type="cellIs" priority="3" operator="between" dxfId="5">
      <formula>4.0</formula>
      <formula>6.9</formula>
    </cfRule>
    <cfRule type="cellIs" priority="4" operator="lessThan" dxfId="6">
      <formula>4.0</formula>
    </cfRule>
  </conditionalFormatting>
  <conditionalFormatting sqref="H5:H104">
    <cfRule type="cellIs" priority="5" operator="equal" dxfId="7">
      <formula>"Active_Exploitation"</formula>
    </cfRule>
    <cfRule type="cellIs" priority="6" operator="equal" dxfId="7">
      <formula>"Mass_Exploitation"</formula>
    </cfRule>
  </conditionalFormatting>
  <conditionalFormatting sqref="U5:U104">
    <cfRule type="cellIs" priority="7" operator="equal" dxfId="2">
      <formula>"Verified"</formula>
    </cfRule>
    <cfRule type="cellIs" priority="8" operator="equal" dxfId="0">
      <formula>"Open"</formula>
    </cfRule>
  </conditionalFormatting>
  <dataValidations count="100">
    <dataValidation sqref="D5" showDropDown="0" showInputMessage="0" showErrorMessage="0" allowBlank="1" errorTitle="Invalid CVSS Score" error="CVSS Base Score must be between 0.0 and 10.0" type="decimal" operator="between">
      <formula1>0.0</formula1>
      <formula2>10.0</formula2>
    </dataValidation>
    <dataValidation sqref="D6" showDropDown="0" showInputMessage="0" showErrorMessage="0" allowBlank="1" errorTitle="Invalid CVSS Score" error="CVSS Base Score must be between 0.0 and 10.0" type="decimal" operator="between">
      <formula1>0.0</formula1>
      <formula2>10.0</formula2>
    </dataValidation>
    <dataValidation sqref="D7" showDropDown="0" showInputMessage="0" showErrorMessage="0" allowBlank="1" errorTitle="Invalid CVSS Score" error="CVSS Base Score must be between 0.0 and 10.0" type="decimal" operator="between">
      <formula1>0.0</formula1>
      <formula2>10.0</formula2>
    </dataValidation>
    <dataValidation sqref="D8" showDropDown="0" showInputMessage="0" showErrorMessage="0" allowBlank="1" errorTitle="Invalid CVSS Score" error="CVSS Base Score must be between 0.0 and 10.0" type="decimal" operator="between">
      <formula1>0.0</formula1>
      <formula2>10.0</formula2>
    </dataValidation>
    <dataValidation sqref="D9" showDropDown="0" showInputMessage="0" showErrorMessage="0" allowBlank="1" errorTitle="Invalid CVSS Score" error="CVSS Base Score must be between 0.0 and 10.0" type="decimal" operator="between">
      <formula1>0.0</formula1>
      <formula2>10.0</formula2>
    </dataValidation>
    <dataValidation sqref="D10" showDropDown="0" showInputMessage="0" showErrorMessage="0" allowBlank="1" errorTitle="Invalid CVSS Score" error="CVSS Base Score must be between 0.0 and 10.0" type="decimal" operator="between">
      <formula1>0.0</formula1>
      <formula2>10.0</formula2>
    </dataValidation>
    <dataValidation sqref="D11" showDropDown="0" showInputMessage="0" showErrorMessage="0" allowBlank="1" errorTitle="Invalid CVSS Score" error="CVSS Base Score must be between 0.0 and 10.0" type="decimal" operator="between">
      <formula1>0.0</formula1>
      <formula2>10.0</formula2>
    </dataValidation>
    <dataValidation sqref="D12" showDropDown="0" showInputMessage="0" showErrorMessage="0" allowBlank="1" errorTitle="Invalid CVSS Score" error="CVSS Base Score must be between 0.0 and 10.0" type="decimal" operator="between">
      <formula1>0.0</formula1>
      <formula2>10.0</formula2>
    </dataValidation>
    <dataValidation sqref="D13" showDropDown="0" showInputMessage="0" showErrorMessage="0" allowBlank="1" errorTitle="Invalid CVSS Score" error="CVSS Base Score must be between 0.0 and 10.0" type="decimal" operator="between">
      <formula1>0.0</formula1>
      <formula2>10.0</formula2>
    </dataValidation>
    <dataValidation sqref="D14" showDropDown="0" showInputMessage="0" showErrorMessage="0" allowBlank="1" errorTitle="Invalid CVSS Score" error="CVSS Base Score must be between 0.0 and 10.0" type="decimal" operator="between">
      <formula1>0.0</formula1>
      <formula2>10.0</formula2>
    </dataValidation>
    <dataValidation sqref="D15" showDropDown="0" showInputMessage="0" showErrorMessage="0" allowBlank="1" errorTitle="Invalid CVSS Score" error="CVSS Base Score must be between 0.0 and 10.0" type="decimal" operator="between">
      <formula1>0.0</formula1>
      <formula2>10.0</formula2>
    </dataValidation>
    <dataValidation sqref="D16" showDropDown="0" showInputMessage="0" showErrorMessage="0" allowBlank="1" errorTitle="Invalid CVSS Score" error="CVSS Base Score must be between 0.0 and 10.0" type="decimal" operator="between">
      <formula1>0.0</formula1>
      <formula2>10.0</formula2>
    </dataValidation>
    <dataValidation sqref="D17" showDropDown="0" showInputMessage="0" showErrorMessage="0" allowBlank="1" errorTitle="Invalid CVSS Score" error="CVSS Base Score must be between 0.0 and 10.0" type="decimal" operator="between">
      <formula1>0.0</formula1>
      <formula2>10.0</formula2>
    </dataValidation>
    <dataValidation sqref="D18" showDropDown="0" showInputMessage="0" showErrorMessage="0" allowBlank="1" errorTitle="Invalid CVSS Score" error="CVSS Base Score must be between 0.0 and 10.0" type="decimal" operator="between">
      <formula1>0.0</formula1>
      <formula2>10.0</formula2>
    </dataValidation>
    <dataValidation sqref="D19" showDropDown="0" showInputMessage="0" showErrorMessage="0" allowBlank="1" errorTitle="Invalid CVSS Score" error="CVSS Base Score must be between 0.0 and 10.0" type="decimal" operator="between">
      <formula1>0.0</formula1>
      <formula2>10.0</formula2>
    </dataValidation>
    <dataValidation sqref="D20" showDropDown="0" showInputMessage="0" showErrorMessage="0" allowBlank="1" errorTitle="Invalid CVSS Score" error="CVSS Base Score must be between 0.0 and 10.0" type="decimal" operator="between">
      <formula1>0.0</formula1>
      <formula2>10.0</formula2>
    </dataValidation>
    <dataValidation sqref="D21" showDropDown="0" showInputMessage="0" showErrorMessage="0" allowBlank="1" errorTitle="Invalid CVSS Score" error="CVSS Base Score must be between 0.0 and 10.0" type="decimal" operator="between">
      <formula1>0.0</formula1>
      <formula2>10.0</formula2>
    </dataValidation>
    <dataValidation sqref="D22" showDropDown="0" showInputMessage="0" showErrorMessage="0" allowBlank="1" errorTitle="Invalid CVSS Score" error="CVSS Base Score must be between 0.0 and 10.0" type="decimal" operator="between">
      <formula1>0.0</formula1>
      <formula2>10.0</formula2>
    </dataValidation>
    <dataValidation sqref="D23" showDropDown="0" showInputMessage="0" showErrorMessage="0" allowBlank="1" errorTitle="Invalid CVSS Score" error="CVSS Base Score must be between 0.0 and 10.0" type="decimal" operator="between">
      <formula1>0.0</formula1>
      <formula2>10.0</formula2>
    </dataValidation>
    <dataValidation sqref="D24" showDropDown="0" showInputMessage="0" showErrorMessage="0" allowBlank="1" errorTitle="Invalid CVSS Score" error="CVSS Base Score must be between 0.0 and 10.0" type="decimal" operator="between">
      <formula1>0.0</formula1>
      <formula2>10.0</formula2>
    </dataValidation>
    <dataValidation sqref="D25" showDropDown="0" showInputMessage="0" showErrorMessage="0" allowBlank="1" errorTitle="Invalid CVSS Score" error="CVSS Base Score must be between 0.0 and 10.0" type="decimal" operator="between">
      <formula1>0.0</formula1>
      <formula2>10.0</formula2>
    </dataValidation>
    <dataValidation sqref="D26" showDropDown="0" showInputMessage="0" showErrorMessage="0" allowBlank="1" errorTitle="Invalid CVSS Score" error="CVSS Base Score must be between 0.0 and 10.0" type="decimal" operator="between">
      <formula1>0.0</formula1>
      <formula2>10.0</formula2>
    </dataValidation>
    <dataValidation sqref="D27" showDropDown="0" showInputMessage="0" showErrorMessage="0" allowBlank="1" errorTitle="Invalid CVSS Score" error="CVSS Base Score must be between 0.0 and 10.0" type="decimal" operator="between">
      <formula1>0.0</formula1>
      <formula2>10.0</formula2>
    </dataValidation>
    <dataValidation sqref="D28" showDropDown="0" showInputMessage="0" showErrorMessage="0" allowBlank="1" errorTitle="Invalid CVSS Score" error="CVSS Base Score must be between 0.0 and 10.0" type="decimal" operator="between">
      <formula1>0.0</formula1>
      <formula2>10.0</formula2>
    </dataValidation>
    <dataValidation sqref="D29" showDropDown="0" showInputMessage="0" showErrorMessage="0" allowBlank="1" errorTitle="Invalid CVSS Score" error="CVSS Base Score must be between 0.0 and 10.0" type="decimal" operator="between">
      <formula1>0.0</formula1>
      <formula2>10.0</formula2>
    </dataValidation>
    <dataValidation sqref="D30" showDropDown="0" showInputMessage="0" showErrorMessage="0" allowBlank="1" errorTitle="Invalid CVSS Score" error="CVSS Base Score must be between 0.0 and 10.0" type="decimal" operator="between">
      <formula1>0.0</formula1>
      <formula2>10.0</formula2>
    </dataValidation>
    <dataValidation sqref="D31" showDropDown="0" showInputMessage="0" showErrorMessage="0" allowBlank="1" errorTitle="Invalid CVSS Score" error="CVSS Base Score must be between 0.0 and 10.0" type="decimal" operator="between">
      <formula1>0.0</formula1>
      <formula2>10.0</formula2>
    </dataValidation>
    <dataValidation sqref="D32" showDropDown="0" showInputMessage="0" showErrorMessage="0" allowBlank="1" errorTitle="Invalid CVSS Score" error="CVSS Base Score must be between 0.0 and 10.0" type="decimal" operator="between">
      <formula1>0.0</formula1>
      <formula2>10.0</formula2>
    </dataValidation>
    <dataValidation sqref="D33" showDropDown="0" showInputMessage="0" showErrorMessage="0" allowBlank="1" errorTitle="Invalid CVSS Score" error="CVSS Base Score must be between 0.0 and 10.0" type="decimal" operator="between">
      <formula1>0.0</formula1>
      <formula2>10.0</formula2>
    </dataValidation>
    <dataValidation sqref="D34" showDropDown="0" showInputMessage="0" showErrorMessage="0" allowBlank="1" errorTitle="Invalid CVSS Score" error="CVSS Base Score must be between 0.0 and 10.0" type="decimal" operator="between">
      <formula1>0.0</formula1>
      <formula2>10.0</formula2>
    </dataValidation>
    <dataValidation sqref="D35" showDropDown="0" showInputMessage="0" showErrorMessage="0" allowBlank="1" errorTitle="Invalid CVSS Score" error="CVSS Base Score must be between 0.0 and 10.0" type="decimal" operator="between">
      <formula1>0.0</formula1>
      <formula2>10.0</formula2>
    </dataValidation>
    <dataValidation sqref="D36" showDropDown="0" showInputMessage="0" showErrorMessage="0" allowBlank="1" errorTitle="Invalid CVSS Score" error="CVSS Base Score must be between 0.0 and 10.0" type="decimal" operator="between">
      <formula1>0.0</formula1>
      <formula2>10.0</formula2>
    </dataValidation>
    <dataValidation sqref="D37" showDropDown="0" showInputMessage="0" showErrorMessage="0" allowBlank="1" errorTitle="Invalid CVSS Score" error="CVSS Base Score must be between 0.0 and 10.0" type="decimal" operator="between">
      <formula1>0.0</formula1>
      <formula2>10.0</formula2>
    </dataValidation>
    <dataValidation sqref="D38" showDropDown="0" showInputMessage="0" showErrorMessage="0" allowBlank="1" errorTitle="Invalid CVSS Score" error="CVSS Base Score must be between 0.0 and 10.0" type="decimal" operator="between">
      <formula1>0.0</formula1>
      <formula2>10.0</formula2>
    </dataValidation>
    <dataValidation sqref="D39" showDropDown="0" showInputMessage="0" showErrorMessage="0" allowBlank="1" errorTitle="Invalid CVSS Score" error="CVSS Base Score must be between 0.0 and 10.0" type="decimal" operator="between">
      <formula1>0.0</formula1>
      <formula2>10.0</formula2>
    </dataValidation>
    <dataValidation sqref="D40" showDropDown="0" showInputMessage="0" showErrorMessage="0" allowBlank="1" errorTitle="Invalid CVSS Score" error="CVSS Base Score must be between 0.0 and 10.0" type="decimal" operator="between">
      <formula1>0.0</formula1>
      <formula2>10.0</formula2>
    </dataValidation>
    <dataValidation sqref="D41" showDropDown="0" showInputMessage="0" showErrorMessage="0" allowBlank="1" errorTitle="Invalid CVSS Score" error="CVSS Base Score must be between 0.0 and 10.0" type="decimal" operator="between">
      <formula1>0.0</formula1>
      <formula2>10.0</formula2>
    </dataValidation>
    <dataValidation sqref="D42" showDropDown="0" showInputMessage="0" showErrorMessage="0" allowBlank="1" errorTitle="Invalid CVSS Score" error="CVSS Base Score must be between 0.0 and 10.0" type="decimal" operator="between">
      <formula1>0.0</formula1>
      <formula2>10.0</formula2>
    </dataValidation>
    <dataValidation sqref="D43" showDropDown="0" showInputMessage="0" showErrorMessage="0" allowBlank="1" errorTitle="Invalid CVSS Score" error="CVSS Base Score must be between 0.0 and 10.0" type="decimal" operator="between">
      <formula1>0.0</formula1>
      <formula2>10.0</formula2>
    </dataValidation>
    <dataValidation sqref="D44" showDropDown="0" showInputMessage="0" showErrorMessage="0" allowBlank="1" errorTitle="Invalid CVSS Score" error="CVSS Base Score must be between 0.0 and 10.0" type="decimal" operator="between">
      <formula1>0.0</formula1>
      <formula2>10.0</formula2>
    </dataValidation>
    <dataValidation sqref="D45" showDropDown="0" showInputMessage="0" showErrorMessage="0" allowBlank="1" errorTitle="Invalid CVSS Score" error="CVSS Base Score must be between 0.0 and 10.0" type="decimal" operator="between">
      <formula1>0.0</formula1>
      <formula2>10.0</formula2>
    </dataValidation>
    <dataValidation sqref="D46" showDropDown="0" showInputMessage="0" showErrorMessage="0" allowBlank="1" errorTitle="Invalid CVSS Score" error="CVSS Base Score must be between 0.0 and 10.0" type="decimal" operator="between">
      <formula1>0.0</formula1>
      <formula2>10.0</formula2>
    </dataValidation>
    <dataValidation sqref="D47" showDropDown="0" showInputMessage="0" showErrorMessage="0" allowBlank="1" errorTitle="Invalid CVSS Score" error="CVSS Base Score must be between 0.0 and 10.0" type="decimal" operator="between">
      <formula1>0.0</formula1>
      <formula2>10.0</formula2>
    </dataValidation>
    <dataValidation sqref="D48" showDropDown="0" showInputMessage="0" showErrorMessage="0" allowBlank="1" errorTitle="Invalid CVSS Score" error="CVSS Base Score must be between 0.0 and 10.0" type="decimal" operator="between">
      <formula1>0.0</formula1>
      <formula2>10.0</formula2>
    </dataValidation>
    <dataValidation sqref="D49" showDropDown="0" showInputMessage="0" showErrorMessage="0" allowBlank="1" errorTitle="Invalid CVSS Score" error="CVSS Base Score must be between 0.0 and 10.0" type="decimal" operator="between">
      <formula1>0.0</formula1>
      <formula2>10.0</formula2>
    </dataValidation>
    <dataValidation sqref="D50" showDropDown="0" showInputMessage="0" showErrorMessage="0" allowBlank="1" errorTitle="Invalid CVSS Score" error="CVSS Base Score must be between 0.0 and 10.0" type="decimal" operator="between">
      <formula1>0.0</formula1>
      <formula2>10.0</formula2>
    </dataValidation>
    <dataValidation sqref="D51" showDropDown="0" showInputMessage="0" showErrorMessage="0" allowBlank="1" errorTitle="Invalid CVSS Score" error="CVSS Base Score must be between 0.0 and 10.0" type="decimal" operator="between">
      <formula1>0.0</formula1>
      <formula2>10.0</formula2>
    </dataValidation>
    <dataValidation sqref="D52" showDropDown="0" showInputMessage="0" showErrorMessage="0" allowBlank="1" errorTitle="Invalid CVSS Score" error="CVSS Base Score must be between 0.0 and 10.0" type="decimal" operator="between">
      <formula1>0.0</formula1>
      <formula2>10.0</formula2>
    </dataValidation>
    <dataValidation sqref="D53" showDropDown="0" showInputMessage="0" showErrorMessage="0" allowBlank="1" errorTitle="Invalid CVSS Score" error="CVSS Base Score must be between 0.0 and 10.0" type="decimal" operator="between">
      <formula1>0.0</formula1>
      <formula2>10.0</formula2>
    </dataValidation>
    <dataValidation sqref="D54" showDropDown="0" showInputMessage="0" showErrorMessage="0" allowBlank="1" errorTitle="Invalid CVSS Score" error="CVSS Base Score must be between 0.0 and 10.0" type="decimal" operator="between">
      <formula1>0.0</formula1>
      <formula2>10.0</formula2>
    </dataValidation>
    <dataValidation sqref="D55" showDropDown="0" showInputMessage="0" showErrorMessage="0" allowBlank="1" errorTitle="Invalid CVSS Score" error="CVSS Base Score must be between 0.0 and 10.0" type="decimal" operator="between">
      <formula1>0.0</formula1>
      <formula2>10.0</formula2>
    </dataValidation>
    <dataValidation sqref="D56" showDropDown="0" showInputMessage="0" showErrorMessage="0" allowBlank="1" errorTitle="Invalid CVSS Score" error="CVSS Base Score must be between 0.0 and 10.0" type="decimal" operator="between">
      <formula1>0.0</formula1>
      <formula2>10.0</formula2>
    </dataValidation>
    <dataValidation sqref="D57" showDropDown="0" showInputMessage="0" showErrorMessage="0" allowBlank="1" errorTitle="Invalid CVSS Score" error="CVSS Base Score must be between 0.0 and 10.0" type="decimal" operator="between">
      <formula1>0.0</formula1>
      <formula2>10.0</formula2>
    </dataValidation>
    <dataValidation sqref="D58" showDropDown="0" showInputMessage="0" showErrorMessage="0" allowBlank="1" errorTitle="Invalid CVSS Score" error="CVSS Base Score must be between 0.0 and 10.0" type="decimal" operator="between">
      <formula1>0.0</formula1>
      <formula2>10.0</formula2>
    </dataValidation>
    <dataValidation sqref="D59" showDropDown="0" showInputMessage="0" showErrorMessage="0" allowBlank="1" errorTitle="Invalid CVSS Score" error="CVSS Base Score must be between 0.0 and 10.0" type="decimal" operator="between">
      <formula1>0.0</formula1>
      <formula2>10.0</formula2>
    </dataValidation>
    <dataValidation sqref="D60" showDropDown="0" showInputMessage="0" showErrorMessage="0" allowBlank="1" errorTitle="Invalid CVSS Score" error="CVSS Base Score must be between 0.0 and 10.0" type="decimal" operator="between">
      <formula1>0.0</formula1>
      <formula2>10.0</formula2>
    </dataValidation>
    <dataValidation sqref="D61" showDropDown="0" showInputMessage="0" showErrorMessage="0" allowBlank="1" errorTitle="Invalid CVSS Score" error="CVSS Base Score must be between 0.0 and 10.0" type="decimal" operator="between">
      <formula1>0.0</formula1>
      <formula2>10.0</formula2>
    </dataValidation>
    <dataValidation sqref="D62" showDropDown="0" showInputMessage="0" showErrorMessage="0" allowBlank="1" errorTitle="Invalid CVSS Score" error="CVSS Base Score must be between 0.0 and 10.0" type="decimal" operator="between">
      <formula1>0.0</formula1>
      <formula2>10.0</formula2>
    </dataValidation>
    <dataValidation sqref="D63" showDropDown="0" showInputMessage="0" showErrorMessage="0" allowBlank="1" errorTitle="Invalid CVSS Score" error="CVSS Base Score must be between 0.0 and 10.0" type="decimal" operator="between">
      <formula1>0.0</formula1>
      <formula2>10.0</formula2>
    </dataValidation>
    <dataValidation sqref="D64" showDropDown="0" showInputMessage="0" showErrorMessage="0" allowBlank="1" errorTitle="Invalid CVSS Score" error="CVSS Base Score must be between 0.0 and 10.0" type="decimal" operator="between">
      <formula1>0.0</formula1>
      <formula2>10.0</formula2>
    </dataValidation>
    <dataValidation sqref="D65" showDropDown="0" showInputMessage="0" showErrorMessage="0" allowBlank="1" errorTitle="Invalid CVSS Score" error="CVSS Base Score must be between 0.0 and 10.0" type="decimal" operator="between">
      <formula1>0.0</formula1>
      <formula2>10.0</formula2>
    </dataValidation>
    <dataValidation sqref="D66" showDropDown="0" showInputMessage="0" showErrorMessage="0" allowBlank="1" errorTitle="Invalid CVSS Score" error="CVSS Base Score must be between 0.0 and 10.0" type="decimal" operator="between">
      <formula1>0.0</formula1>
      <formula2>10.0</formula2>
    </dataValidation>
    <dataValidation sqref="D67" showDropDown="0" showInputMessage="0" showErrorMessage="0" allowBlank="1" errorTitle="Invalid CVSS Score" error="CVSS Base Score must be between 0.0 and 10.0" type="decimal" operator="between">
      <formula1>0.0</formula1>
      <formula2>10.0</formula2>
    </dataValidation>
    <dataValidation sqref="D68" showDropDown="0" showInputMessage="0" showErrorMessage="0" allowBlank="1" errorTitle="Invalid CVSS Score" error="CVSS Base Score must be between 0.0 and 10.0" type="decimal" operator="between">
      <formula1>0.0</formula1>
      <formula2>10.0</formula2>
    </dataValidation>
    <dataValidation sqref="D69" showDropDown="0" showInputMessage="0" showErrorMessage="0" allowBlank="1" errorTitle="Invalid CVSS Score" error="CVSS Base Score must be between 0.0 and 10.0" type="decimal" operator="between">
      <formula1>0.0</formula1>
      <formula2>10.0</formula2>
    </dataValidation>
    <dataValidation sqref="D70" showDropDown="0" showInputMessage="0" showErrorMessage="0" allowBlank="1" errorTitle="Invalid CVSS Score" error="CVSS Base Score must be between 0.0 and 10.0" type="decimal" operator="between">
      <formula1>0.0</formula1>
      <formula2>10.0</formula2>
    </dataValidation>
    <dataValidation sqref="D71" showDropDown="0" showInputMessage="0" showErrorMessage="0" allowBlank="1" errorTitle="Invalid CVSS Score" error="CVSS Base Score must be between 0.0 and 10.0" type="decimal" operator="between">
      <formula1>0.0</formula1>
      <formula2>10.0</formula2>
    </dataValidation>
    <dataValidation sqref="D72" showDropDown="0" showInputMessage="0" showErrorMessage="0" allowBlank="1" errorTitle="Invalid CVSS Score" error="CVSS Base Score must be between 0.0 and 10.0" type="decimal" operator="between">
      <formula1>0.0</formula1>
      <formula2>10.0</formula2>
    </dataValidation>
    <dataValidation sqref="D73" showDropDown="0" showInputMessage="0" showErrorMessage="0" allowBlank="1" errorTitle="Invalid CVSS Score" error="CVSS Base Score must be between 0.0 and 10.0" type="decimal" operator="between">
      <formula1>0.0</formula1>
      <formula2>10.0</formula2>
    </dataValidation>
    <dataValidation sqref="D74" showDropDown="0" showInputMessage="0" showErrorMessage="0" allowBlank="1" errorTitle="Invalid CVSS Score" error="CVSS Base Score must be between 0.0 and 10.0" type="decimal" operator="between">
      <formula1>0.0</formula1>
      <formula2>10.0</formula2>
    </dataValidation>
    <dataValidation sqref="D75" showDropDown="0" showInputMessage="0" showErrorMessage="0" allowBlank="1" errorTitle="Invalid CVSS Score" error="CVSS Base Score must be between 0.0 and 10.0" type="decimal" operator="between">
      <formula1>0.0</formula1>
      <formula2>10.0</formula2>
    </dataValidation>
    <dataValidation sqref="D76" showDropDown="0" showInputMessage="0" showErrorMessage="0" allowBlank="1" errorTitle="Invalid CVSS Score" error="CVSS Base Score must be between 0.0 and 10.0" type="decimal" operator="between">
      <formula1>0.0</formula1>
      <formula2>10.0</formula2>
    </dataValidation>
    <dataValidation sqref="D77" showDropDown="0" showInputMessage="0" showErrorMessage="0" allowBlank="1" errorTitle="Invalid CVSS Score" error="CVSS Base Score must be between 0.0 and 10.0" type="decimal" operator="between">
      <formula1>0.0</formula1>
      <formula2>10.0</formula2>
    </dataValidation>
    <dataValidation sqref="D78" showDropDown="0" showInputMessage="0" showErrorMessage="0" allowBlank="1" errorTitle="Invalid CVSS Score" error="CVSS Base Score must be between 0.0 and 10.0" type="decimal" operator="between">
      <formula1>0.0</formula1>
      <formula2>10.0</formula2>
    </dataValidation>
    <dataValidation sqref="D79" showDropDown="0" showInputMessage="0" showErrorMessage="0" allowBlank="1" errorTitle="Invalid CVSS Score" error="CVSS Base Score must be between 0.0 and 10.0" type="decimal" operator="between">
      <formula1>0.0</formula1>
      <formula2>10.0</formula2>
    </dataValidation>
    <dataValidation sqref="D80" showDropDown="0" showInputMessage="0" showErrorMessage="0" allowBlank="1" errorTitle="Invalid CVSS Score" error="CVSS Base Score must be between 0.0 and 10.0" type="decimal" operator="between">
      <formula1>0.0</formula1>
      <formula2>10.0</formula2>
    </dataValidation>
    <dataValidation sqref="D81" showDropDown="0" showInputMessage="0" showErrorMessage="0" allowBlank="1" errorTitle="Invalid CVSS Score" error="CVSS Base Score must be between 0.0 and 10.0" type="decimal" operator="between">
      <formula1>0.0</formula1>
      <formula2>10.0</formula2>
    </dataValidation>
    <dataValidation sqref="D82" showDropDown="0" showInputMessage="0" showErrorMessage="0" allowBlank="1" errorTitle="Invalid CVSS Score" error="CVSS Base Score must be between 0.0 and 10.0" type="decimal" operator="between">
      <formula1>0.0</formula1>
      <formula2>10.0</formula2>
    </dataValidation>
    <dataValidation sqref="D83" showDropDown="0" showInputMessage="0" showErrorMessage="0" allowBlank="1" errorTitle="Invalid CVSS Score" error="CVSS Base Score must be between 0.0 and 10.0" type="decimal" operator="between">
      <formula1>0.0</formula1>
      <formula2>10.0</formula2>
    </dataValidation>
    <dataValidation sqref="D84" showDropDown="0" showInputMessage="0" showErrorMessage="0" allowBlank="1" errorTitle="Invalid CVSS Score" error="CVSS Base Score must be between 0.0 and 10.0" type="decimal" operator="between">
      <formula1>0.0</formula1>
      <formula2>10.0</formula2>
    </dataValidation>
    <dataValidation sqref="D85" showDropDown="0" showInputMessage="0" showErrorMessage="0" allowBlank="1" errorTitle="Invalid CVSS Score" error="CVSS Base Score must be between 0.0 and 10.0" type="decimal" operator="between">
      <formula1>0.0</formula1>
      <formula2>10.0</formula2>
    </dataValidation>
    <dataValidation sqref="D86" showDropDown="0" showInputMessage="0" showErrorMessage="0" allowBlank="1" errorTitle="Invalid CVSS Score" error="CVSS Base Score must be between 0.0 and 10.0" type="decimal" operator="between">
      <formula1>0.0</formula1>
      <formula2>10.0</formula2>
    </dataValidation>
    <dataValidation sqref="D87" showDropDown="0" showInputMessage="0" showErrorMessage="0" allowBlank="1" errorTitle="Invalid CVSS Score" error="CVSS Base Score must be between 0.0 and 10.0" type="decimal" operator="between">
      <formula1>0.0</formula1>
      <formula2>10.0</formula2>
    </dataValidation>
    <dataValidation sqref="D88" showDropDown="0" showInputMessage="0" showErrorMessage="0" allowBlank="1" errorTitle="Invalid CVSS Score" error="CVSS Base Score must be between 0.0 and 10.0" type="decimal" operator="between">
      <formula1>0.0</formula1>
      <formula2>10.0</formula2>
    </dataValidation>
    <dataValidation sqref="D89" showDropDown="0" showInputMessage="0" showErrorMessage="0" allowBlank="1" errorTitle="Invalid CVSS Score" error="CVSS Base Score must be between 0.0 and 10.0" type="decimal" operator="between">
      <formula1>0.0</formula1>
      <formula2>10.0</formula2>
    </dataValidation>
    <dataValidation sqref="D90" showDropDown="0" showInputMessage="0" showErrorMessage="0" allowBlank="1" errorTitle="Invalid CVSS Score" error="CVSS Base Score must be between 0.0 and 10.0" type="decimal" operator="between">
      <formula1>0.0</formula1>
      <formula2>10.0</formula2>
    </dataValidation>
    <dataValidation sqref="D91" showDropDown="0" showInputMessage="0" showErrorMessage="0" allowBlank="1" errorTitle="Invalid CVSS Score" error="CVSS Base Score must be between 0.0 and 10.0" type="decimal" operator="between">
      <formula1>0.0</formula1>
      <formula2>10.0</formula2>
    </dataValidation>
    <dataValidation sqref="D92" showDropDown="0" showInputMessage="0" showErrorMessage="0" allowBlank="1" errorTitle="Invalid CVSS Score" error="CVSS Base Score must be between 0.0 and 10.0" type="decimal" operator="between">
      <formula1>0.0</formula1>
      <formula2>10.0</formula2>
    </dataValidation>
    <dataValidation sqref="D93" showDropDown="0" showInputMessage="0" showErrorMessage="0" allowBlank="1" errorTitle="Invalid CVSS Score" error="CVSS Base Score must be between 0.0 and 10.0" type="decimal" operator="between">
      <formula1>0.0</formula1>
      <formula2>10.0</formula2>
    </dataValidation>
    <dataValidation sqref="D94" showDropDown="0" showInputMessage="0" showErrorMessage="0" allowBlank="1" errorTitle="Invalid CVSS Score" error="CVSS Base Score must be between 0.0 and 10.0" type="decimal" operator="between">
      <formula1>0.0</formula1>
      <formula2>10.0</formula2>
    </dataValidation>
    <dataValidation sqref="D95" showDropDown="0" showInputMessage="0" showErrorMessage="0" allowBlank="1" errorTitle="Invalid CVSS Score" error="CVSS Base Score must be between 0.0 and 10.0" type="decimal" operator="between">
      <formula1>0.0</formula1>
      <formula2>10.0</formula2>
    </dataValidation>
    <dataValidation sqref="D96" showDropDown="0" showInputMessage="0" showErrorMessage="0" allowBlank="1" errorTitle="Invalid CVSS Score" error="CVSS Base Score must be between 0.0 and 10.0" type="decimal" operator="between">
      <formula1>0.0</formula1>
      <formula2>10.0</formula2>
    </dataValidation>
    <dataValidation sqref="D97" showDropDown="0" showInputMessage="0" showErrorMessage="0" allowBlank="1" errorTitle="Invalid CVSS Score" error="CVSS Base Score must be between 0.0 and 10.0" type="decimal" operator="between">
      <formula1>0.0</formula1>
      <formula2>10.0</formula2>
    </dataValidation>
    <dataValidation sqref="D98" showDropDown="0" showInputMessage="0" showErrorMessage="0" allowBlank="1" errorTitle="Invalid CVSS Score" error="CVSS Base Score must be between 0.0 and 10.0" type="decimal" operator="between">
      <formula1>0.0</formula1>
      <formula2>10.0</formula2>
    </dataValidation>
    <dataValidation sqref="D99" showDropDown="0" showInputMessage="0" showErrorMessage="0" allowBlank="1" errorTitle="Invalid CVSS Score" error="CVSS Base Score must be between 0.0 and 10.0" type="decimal" operator="between">
      <formula1>0.0</formula1>
      <formula2>10.0</formula2>
    </dataValidation>
    <dataValidation sqref="D100" showDropDown="0" showInputMessage="0" showErrorMessage="0" allowBlank="1" errorTitle="Invalid CVSS Score" error="CVSS Base Score must be between 0.0 and 10.0" type="decimal" operator="between">
      <formula1>0.0</formula1>
      <formula2>10.0</formula2>
    </dataValidation>
    <dataValidation sqref="D101" showDropDown="0" showInputMessage="0" showErrorMessage="0" allowBlank="1" errorTitle="Invalid CVSS Score" error="CVSS Base Score must be between 0.0 and 10.0" type="decimal" operator="between">
      <formula1>0.0</formula1>
      <formula2>10.0</formula2>
    </dataValidation>
    <dataValidation sqref="D102" showDropDown="0" showInputMessage="0" showErrorMessage="0" allowBlank="1" errorTitle="Invalid CVSS Score" error="CVSS Base Score must be between 0.0 and 10.0" type="decimal" operator="between">
      <formula1>0.0</formula1>
      <formula2>10.0</formula2>
    </dataValidation>
    <dataValidation sqref="D103" showDropDown="0" showInputMessage="0" showErrorMessage="0" allowBlank="1" errorTitle="Invalid CVSS Score" error="CVSS Base Score must be between 0.0 and 10.0" type="decimal" operator="between">
      <formula1>0.0</formula1>
      <formula2>10.0</formula2>
    </dataValidation>
    <dataValidation sqref="D104" showDropDown="0" showInputMessage="0" showErrorMessage="0" allowBlank="1" errorTitle="Invalid CVSS Score" error="CVSS Base Score must be between 0.0 and 10.0" type="decimal" operator="between">
      <formula1>0.0</formula1>
      <formula2>10.0</formula2>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7"/>
  <sheetViews>
    <sheetView workbookViewId="0">
      <pane ySplit="4" topLeftCell="A5" activePane="bottomLeft" state="frozen"/>
      <selection pane="bottomLeft" activeCell="A1" sqref="A1"/>
    </sheetView>
  </sheetViews>
  <sheetFormatPr baseColWidth="8" defaultRowHeight="15"/>
  <cols>
    <col width="25" customWidth="1" min="1" max="1"/>
    <col width="25" customWidth="1" min="2" max="2"/>
    <col width="25" customWidth="1" min="3" max="3"/>
    <col width="10" customWidth="1" min="4" max="4"/>
    <col width="40" customWidth="1" min="5" max="5"/>
    <col width="40" customWidth="1" min="6" max="6"/>
    <col width="14" customWidth="1" min="7" max="7"/>
  </cols>
  <sheetData>
    <row r="1" ht="25" customHeight="1">
      <c r="A1" s="1" t="inlineStr">
        <is>
          <t>Process Maturity Assessment (CMM Model)</t>
        </is>
      </c>
    </row>
    <row r="2" ht="30" customHeight="1">
      <c r="A2" s="9" t="inlineStr">
        <is>
          <t>Assess capability maturity using 5-level CMM model: 1-Initial, 2-Managed, 3-Defined, 4-Quantitatively Managed, 5-Optimizing</t>
        </is>
      </c>
    </row>
    <row r="4" ht="30" customHeight="1">
      <c r="A4" s="10" t="inlineStr">
        <is>
          <t>Process Area</t>
        </is>
      </c>
      <c r="B4" s="10" t="inlineStr">
        <is>
          <t>Current Level</t>
        </is>
      </c>
      <c r="C4" s="10" t="inlineStr">
        <is>
          <t>Target Level</t>
        </is>
      </c>
      <c r="D4" s="10" t="inlineStr">
        <is>
          <t>Gap</t>
        </is>
      </c>
      <c r="E4" s="10" t="inlineStr">
        <is>
          <t>Evidence</t>
        </is>
      </c>
      <c r="F4" s="10" t="inlineStr">
        <is>
          <t>Action Plan</t>
        </is>
      </c>
      <c r="G4" s="10" t="inlineStr">
        <is>
          <t>Target Date</t>
        </is>
      </c>
    </row>
    <row r="5">
      <c r="A5" s="27" t="inlineStr">
        <is>
          <t>Collection Planning</t>
        </is>
      </c>
      <c r="B5" s="12" t="n"/>
      <c r="C5" s="12" t="n"/>
      <c r="D5" s="11">
        <f>IF(OR(B5="",C5=""),"N/A",VALUE(LEFT(C5,1))-VALUE(LEFT(B5,1)))</f>
        <v/>
      </c>
      <c r="E5" s="12" t="n"/>
      <c r="F5" s="12" t="n"/>
      <c r="G5" s="13" t="n"/>
    </row>
    <row r="6">
      <c r="A6" s="27" t="inlineStr">
        <is>
          <t>Analysis Methodologies</t>
        </is>
      </c>
      <c r="B6" s="12" t="n"/>
      <c r="C6" s="12" t="n"/>
      <c r="D6" s="11">
        <f>IF(OR(B6="",C6=""),"N/A",VALUE(LEFT(C6,1))-VALUE(LEFT(B6,1)))</f>
        <v/>
      </c>
      <c r="E6" s="12" t="n"/>
      <c r="F6" s="12" t="n"/>
      <c r="G6" s="13" t="n"/>
    </row>
    <row r="7">
      <c r="A7" s="27" t="inlineStr">
        <is>
          <t>Production Quality</t>
        </is>
      </c>
      <c r="B7" s="12" t="n"/>
      <c r="C7" s="12" t="n"/>
      <c r="D7" s="11">
        <f>IF(OR(B7="",C7=""),"N/A",VALUE(LEFT(C7,1))-VALUE(LEFT(B7,1)))</f>
        <v/>
      </c>
      <c r="E7" s="12" t="n"/>
      <c r="F7" s="12" t="n"/>
      <c r="G7" s="13" t="n"/>
    </row>
    <row r="8">
      <c r="A8" s="27" t="inlineStr">
        <is>
          <t>Dissemination</t>
        </is>
      </c>
      <c r="B8" s="12" t="n"/>
      <c r="C8" s="12" t="n"/>
      <c r="D8" s="11">
        <f>IF(OR(B8="",C8=""),"N/A",VALUE(LEFT(C8,1))-VALUE(LEFT(B8,1)))</f>
        <v/>
      </c>
      <c r="E8" s="12" t="n"/>
      <c r="F8" s="12" t="n"/>
      <c r="G8" s="13" t="n"/>
    </row>
    <row r="9">
      <c r="A9" s="27" t="inlineStr">
        <is>
          <t>Feedback Mechanisms</t>
        </is>
      </c>
      <c r="B9" s="12" t="n"/>
      <c r="C9" s="12" t="n"/>
      <c r="D9" s="11">
        <f>IF(OR(B9="",C9=""),"N/A",VALUE(LEFT(C9,1))-VALUE(LEFT(B9,1)))</f>
        <v/>
      </c>
      <c r="E9" s="12" t="n"/>
      <c r="F9" s="12" t="n"/>
      <c r="G9" s="13" t="n"/>
    </row>
    <row r="10">
      <c r="A10" s="27" t="inlineStr">
        <is>
          <t>Integration (Technical)</t>
        </is>
      </c>
      <c r="B10" s="12" t="n"/>
      <c r="C10" s="12" t="n"/>
      <c r="D10" s="11">
        <f>IF(OR(B10="",C10=""),"N/A",VALUE(LEFT(C10,1))-VALUE(LEFT(B10,1)))</f>
        <v/>
      </c>
      <c r="E10" s="12" t="n"/>
      <c r="F10" s="12" t="n"/>
      <c r="G10" s="13" t="n"/>
    </row>
    <row r="11">
      <c r="A11" s="27" t="inlineStr">
        <is>
          <t>Integration (Control 8.8)</t>
        </is>
      </c>
      <c r="B11" s="12" t="n"/>
      <c r="C11" s="12" t="n"/>
      <c r="D11" s="11">
        <f>IF(OR(B11="",C11=""),"N/A",VALUE(LEFT(C11,1))-VALUE(LEFT(B11,1)))</f>
        <v/>
      </c>
      <c r="E11" s="12" t="n"/>
      <c r="F11" s="12" t="n"/>
      <c r="G11" s="13" t="n"/>
    </row>
    <row r="12">
      <c r="A12" s="27" t="inlineStr">
        <is>
          <t>Staff Training</t>
        </is>
      </c>
      <c r="B12" s="12" t="n"/>
      <c r="C12" s="12" t="n"/>
      <c r="D12" s="11">
        <f>IF(OR(B12="",C12=""),"N/A",VALUE(LEFT(C12,1))-VALUE(LEFT(B12,1)))</f>
        <v/>
      </c>
      <c r="E12" s="12" t="n"/>
      <c r="F12" s="12" t="n"/>
      <c r="G12" s="13" t="n"/>
    </row>
    <row r="13">
      <c r="A13" s="27" t="inlineStr">
        <is>
          <t>Metrics &amp; KPIs</t>
        </is>
      </c>
      <c r="B13" s="12" t="n"/>
      <c r="C13" s="12" t="n"/>
      <c r="D13" s="11">
        <f>IF(OR(B13="",C13=""),"N/A",VALUE(LEFT(C13,1))-VALUE(LEFT(B13,1)))</f>
        <v/>
      </c>
      <c r="E13" s="12" t="n"/>
      <c r="F13" s="12" t="n"/>
      <c r="G13" s="13" t="n"/>
    </row>
    <row r="14">
      <c r="A14" s="27" t="inlineStr">
        <is>
          <t>Threat Modeling</t>
        </is>
      </c>
      <c r="B14" s="12" t="n"/>
      <c r="C14" s="12" t="n"/>
      <c r="D14" s="11">
        <f>IF(OR(B14="",C14=""),"N/A",VALUE(LEFT(C14,1))-VALUE(LEFT(B14,1)))</f>
        <v/>
      </c>
      <c r="E14" s="12" t="n"/>
      <c r="F14" s="12" t="n"/>
      <c r="G14" s="13" t="n"/>
    </row>
    <row r="16">
      <c r="A16" s="14" t="inlineStr">
        <is>
          <t>MATURITY LEVEL REFERENCE</t>
        </is>
      </c>
    </row>
    <row r="17">
      <c r="A17" s="5" t="inlineStr">
        <is>
          <t>1 - Initial</t>
        </is>
      </c>
      <c r="B17" s="6" t="inlineStr">
        <is>
          <t>Ad hoc, reactive, inconsistent processes</t>
        </is>
      </c>
    </row>
    <row r="18">
      <c r="A18" s="5" t="inlineStr">
        <is>
          <t>2 - Managed</t>
        </is>
      </c>
      <c r="B18" s="6" t="inlineStr">
        <is>
          <t>Documented processes, some repeatability</t>
        </is>
      </c>
    </row>
    <row r="19">
      <c r="A19" s="5" t="inlineStr">
        <is>
          <t>3 - Defined</t>
        </is>
      </c>
      <c r="B19" s="6" t="inlineStr">
        <is>
          <t>Standardized processes, organization-wide adoption</t>
        </is>
      </c>
    </row>
    <row r="20">
      <c r="A20" s="5" t="inlineStr">
        <is>
          <t>4 - Quantitatively Managed</t>
        </is>
      </c>
      <c r="B20" s="6" t="inlineStr">
        <is>
          <t>Measured and controlled processes</t>
        </is>
      </c>
    </row>
    <row r="21">
      <c r="A21" s="5" t="inlineStr">
        <is>
          <t>5 - Optimizing</t>
        </is>
      </c>
      <c r="B21" s="6" t="inlineStr">
        <is>
          <t>Continuous improvement, industry-leading practices</t>
        </is>
      </c>
    </row>
    <row r="23">
      <c r="A23" s="14" t="inlineStr">
        <is>
          <t>MATURITY SUMMARY</t>
        </is>
      </c>
    </row>
    <row r="24">
      <c r="A24" s="5" t="inlineStr">
        <is>
          <t>Avg Current Maturity:</t>
        </is>
      </c>
      <c r="B24" s="20">
        <f>AVERAGE(VALUE(LEFT(B5:B14,1)))</f>
        <v/>
      </c>
    </row>
    <row r="25">
      <c r="A25" s="5" t="inlineStr">
        <is>
          <t>Avg Target Maturity:</t>
        </is>
      </c>
      <c r="B25" s="20">
        <f>AVERAGE(VALUE(LEFT(C5:C14,1)))</f>
        <v/>
      </c>
    </row>
    <row r="26">
      <c r="A26" s="5" t="inlineStr">
        <is>
          <t>Total Gap (levels):</t>
        </is>
      </c>
      <c r="B26" s="20">
        <f>SUM(D5:D14)</f>
        <v/>
      </c>
    </row>
    <row r="27">
      <c r="A27" s="5" t="inlineStr">
        <is>
          <t>Areas at Target:</t>
        </is>
      </c>
      <c r="B27" s="20">
        <f>COUNTIF(D5:D14,0)</f>
        <v/>
      </c>
    </row>
  </sheetData>
  <mergeCells count="9">
    <mergeCell ref="B19:G19"/>
    <mergeCell ref="B20:G20"/>
    <mergeCell ref="A23:D23"/>
    <mergeCell ref="A1:G1"/>
    <mergeCell ref="B17:G17"/>
    <mergeCell ref="A16:G16"/>
    <mergeCell ref="A2:G2"/>
    <mergeCell ref="B18:G18"/>
    <mergeCell ref="B21:G21"/>
  </mergeCells>
  <conditionalFormatting sqref="D5:D14">
    <cfRule type="cellIs" priority="1" operator="greaterThan" dxfId="1">
      <formula>0</formula>
    </cfRule>
    <cfRule type="cellIs" priority="2" operator="equal" dxfId="2">
      <formula>0</formula>
    </cfRule>
  </conditionalFormatting>
  <dataValidations count="31">
    <dataValidation sqref="B5 B6 B7 B8 B9 B10 B11 B12 B13 B14 B15 B16 B17 B18 B19 B20 B21 B22 B23 B24 B25 B26 B27 B28 B29 B30 B31 B32 B33 B34 B35 B36 B37 B38 B39 B40 B41 B42 B43 B44 B45 B46 B47 B48 B49 B50 B51 B52 B53 B5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showDropDown="0" showInputMessage="0" showErrorMessage="0" allowBlank="0" type="list">
      <formula1>"Strategic,Tactical,Operational,Technical"</formula1>
    </dataValidation>
    <dataValidation sqref="D5 D6 D7 D8 D9 D10 D11 D12 D13 D14 D15 D16 D17 D18 D19 D20 D21 D22 D23 D24 D25 D26 D27 D28 D29 D30 D31 D32 D33 D34 D35 D36 D37 D38 D39 D40 D41 D42 D43 D44 D45 D46 D47 D48 D49 D50 D51 D52 D53 D54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 Critical,🟡 High,🟢 Medium,⚫ Low"</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0" type="list">
      <formula1>"Automated_Feed,Manual_Research,OSINT,Partnership,Internal_Telemetry"</formula1>
    </dataValidation>
    <dataValidation sqref="E5 E6 E7 E8 E9 E10 E11 E12 E13 E14 E15 E16 E17 E18 E19 E20 E21 E22 E23 E24 E25 E26 E27 E28 E29 E30 E31 E32 E33 E34 E35 E36 E37 E38 E39 E40 E41 E42 E43 E44 E45 E46 E47 E48 E49 E50 E51 E52 E53 E54 M5 M6 M7 M8 M9 M10 M11 M12 M13 M14 M15 M16 M17 M18 M19 M20 M21 M22 M23 M24 M25 M26 M27 M28 M29 M30 M31 M32 M33 M34 M35 M36 M37 M38 M39 M40 M41 M42 M43 M44 M45 M46 M47 M48 M49 M50 M51 M52 M53 M54" showDropDown="0" showInputMessage="0" showErrorMessage="0" allowBlank="0" type="list">
      <formula1>"Real-time,Hourly,Daily,Weekly,On_Demand"</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"Fully_Implemented,Partially_Implemented,Planned,Not_Used"</formula1>
    </dataValidation>
    <dataValidation sqref="N5 N6 N7 N8 N9 N10 N11 N12 N13 N14 N15 N16 N17 N18 N19 N20 N21 N22 N23 N24 N25 N26 N27 N28 N29 N30 N31 N32 N33 N34 N35 N36 N37 N38 N39 N40 N41 N42 N43 N44 N45 N46 N47 N48 N49 N50 N51 N52 N53 N54" showDropDown="0" showInputMessage="0" showErrorMessage="0" allowBlank="1" type="list">
      <formula1>"Excellent,Good,Fair,Poor"</formula1>
    </dataValidation>
    <dataValidation sqref="B5 B6 B7 B8 B9 B10 B11 B12 B13 B14 B15 B16 B17 B18 B19 B20 B21 B22 B23 B24 B25 B26 B27 B28 B29 B30 B31 B32 B33 B34 B35 B36 B37 B38 B39 B40 B41 B42 B43 B44 B45 B46 B47 B48 B49 B50 B51 B52 B53 B54 B55 B56 B57 B58 B59 B60 B61 B62 B63 B64" showDropDown="0" showInputMessage="0" showErrorMessage="0" allowBlank="0" type="list">
      <formula1>"Strategic_Report,Tactical_Brief,Operational_Alert,Technical_Analysis,IOC_Package,Threat_Profile"</formula1>
    </dataValidation>
    <dataValidation sqref="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N5 N6 N7 N8 N9 N10 N11 N12 N13 N14 N15 N16 N17 N18 N19 N20 N21 N22 N23 N24 N25 N26 N27 N28 N29 N30 N31 N32 N33 N34 N35 N36 N37 N38 N39 N40 N41 N42 N43 N44 N45 N46 N47 N48 N49 N50 N51 N52 N53 N54 N55 N56 N57 N58 N59 N60 N61 N62 N63 N64" showDropDown="0" showInputMessage="0" showErrorMessage="0" allowBlank="0" type="list">
      <formula1>"Draft,Review,Published,Archived"</formula1>
    </dataValidation>
    <dataValidation sqref="E5 E6 E7 E8 E9 E10 E11 E12 E13 E14 E15 E16 E17 E18 E19 E20 E21 E22 E23 E24 E25 E26 E27 E28 E29 E30 E31 E32 E33 E34 E35 E36 E37 E38 E39 E40 E41 E42 E43 E44 E45 E46 E47 E48 E49 E50 E51 E52 E53 E54 H5 H6 H7 H8 H9 H10 H11 H12 H13 H14 H15 H16 H17 H18 H19 H20 H21 H22 H23 H24 H25 H26 H27 H28 H29 H30 H31 H32 H33 H34 H35 H36 H37 H38 H39 H40 H41 H42 H43 H44 H45 H46 H47 H48 H49 H50 H51 H52 H53 H54 H55 H56 H57 H58 H59 H60 H61 H62 H63 H6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"High,Medium,Low,Unconfirmed"</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"TLP:CLEAR,TLP:GREEN,TLP:AMBER,TLP:AMBER+STRICT,TLP:RED"</formula1>
    </dataValidation>
    <dataValidation sqref="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showDropDown="0" showInputMessage="0" showErrorMessage="0" allowBlank="0" type="list">
      <formula1>"Full,Partial,Limited,None"</formula1>
    </dataValidation>
    <dataValidation sqref="D5 D6 D7 D8 D9 D10 D11 D12 D13 D14 D15 D16 D17 D18 D19 D20 D21 D22 D23 D24 D25 D26 D27 D28 D29 D30 D31 D32 D33 D34 D35 D36 D37 D38 D39 D40 D41 D42 D43 D44 D45 D46 D47 D48 D49 D50 D51 D52 D53 D5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1" type="list">
      <formula1>"Nation-State,Criminal_Syndicate,Hacktivist,Insider_Threat,Script_Kiddie,Unknown"</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"Not_Exploited,PoC_Exists,Active_Exploitation,Widespread"</formula1>
    </dataValidation>
    <dataValidation sqref="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showDropDown="0" showInputMessage="0" showErrorMessage="0" allowBlank="0" type="list">
      <formula1>"Critical,High,Medium,Low,Info"</formula1>
    </dataValidation>
    <dataValidation sqref="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showDropDown="0" showInputMessage="0" showErrorMessage="0" allowBlank="0" type="list">
      <formula1>"Open,In_Progress,Patched,Mitigated,Risk_Accepted,Verified"</formula1>
    </dataValidation>
    <dataValidation sqref="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M5 M6 M7 M8 M9 M10 M11 M12 M13 M14 M15 M16 M17 M18 M19 M20 M21 M22 M23 M24 M25 M26 M27 M28 M29 M30 M31 M32 M33 M34 M35 M36 M37 M38 M39 M40 M41 M42 M43 M44 M45 M46 M47 M48 M49 M50 M51 M52 M53 M5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T103 T104" showDropDown="0" showInputMessage="0" showErrorMessage="0" allowBlank="0" type="list">
      <formula1>"Yes,No"</formula1>
    </dataValidation>
    <dataValidation sqref="B5 B6 B7 B8 B9 B10 B11 B12 B13 B14 C5 C6 C7 C8 C9 C10 C11 C12 C13 C14" showDropDown="0" showInputMessage="0" showErrorMessage="0" allowBlank="0" type="list">
      <formula1>"1 - Initial,2 - Managed,3 - Defined,4 - Quantitatively Managed,5 - Optimizing"</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"Open,In_Progress,Blocked,Resolved,Closed"</formula1>
    </dataValidation>
    <dataValidation sqref="C5 C6 C7 C8 C9 C10 C11 C12 C13 C14 C15 C16 C17 C18 C19 C20 C21 C22 C23 C24 C25 C26 C27 C28 C29 C30 C31 C32 C33 C34 C35 C36 C37 C38 C39 C40 C41 C42 C43 C44 C45 C46 C47 C48 C49 C50 C51 C52 C53 C54" showDropDown="0" showInputMessage="0" showErrorMessage="0" allowBlank="1" type="list">
      <formula1>"TIP,SIEM,Malware_Analysis,OSINT,Collaboration,Visualization,Scripting,Other"</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1" type="list">
      <formula1>"Commercial,Open_Source,Freeware,Internal_Developed"</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1" type="list">
      <formula1>"Yes,No,N/A"</formula1>
    </dataValidation>
    <dataValidation sqref="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showDropDown="0" showInputMessage="0" showErrorMessage="0" allowBlank="1" type="list">
      <formula1>"Yes,No,Unknown"</formula1>
    </dataValidation>
    <dataValidation sqref="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showDropDown="0" showInputMessage="0" showErrorMessage="0" allowBlank="1" type="list">
      <formula1>"Confirmed,Suspected,No,Unknown"</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1" type="list">
      <formula1>"Espionage,Financial,Disruption,Ideology,Unknown"</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1" type="list">
      <formula1>"Advanced,Moderate,Low"</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1" type="list">
      <formula1>"Active,Concluded,Dormant,Unknown"</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1" type="list">
      <formula1>"Espionage,Data_Theft,Disruption,Ransomware,Credential_Harvesting,Other"</formula1>
    </dataValidation>
    <dataValidation sqref="U5 U6 U7 U8 U9 U10 U11 U12 U13 U14 U15 U16 U17 U18 U19 U20 U21 U22 U23 U24 U25 U26 U27 U28 U29 U30 U31 U32 U33 U34 U35 U36 U37 U38 U39 U40 U41 U42 U43 U44 U45 U46 U47 U48 U49 U50 U51 U52 U53 U54" showDropDown="0" showInputMessage="0" showErrorMessage="0" allowBlank="1" type="list">
      <formula1>"🔴 Critical,🟡 High,🟢 Medium,⚫ Low"</formula1>
    </dataValidation>
    <dataValidation sqref="V5 V6 V7 V8 V9 V10 V11 V12 V13 V14 V15 V16 V17 V18 V19 V20 V21 V22 V23 V24 V25 V26 V27 V28 V29 V30 V31 V32 V33 V34 V35 V36 V37 V38 V39 V40 V41 V42 V43 V44 V45 V46 V47 V48 V49 V50 V51 V52 V53 V54" showDropDown="0" showInputMessage="0" showErrorMessage="0" allowBlank="1" type="list">
      <formula1>"Active_Monitoring,Passive_Monitoring,Concluded"</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1" type="list">
      <formula1>"4.0,3.1"</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1" type="list">
      <formula1>"Integrated,Standalone,Planned,Deprecated"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64"/>
  <sheetViews>
    <sheetView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12" customWidth="1" min="4" max="4"/>
    <col width="25" customWidth="1" min="5" max="5"/>
    <col width="12" customWidth="1" min="6" max="6"/>
    <col width="15" customWidth="1" min="7" max="7"/>
    <col width="16" customWidth="1" min="8" max="8"/>
    <col width="14" customWidth="1" min="9" max="9"/>
    <col width="30" customWidth="1" min="10" max="10"/>
    <col width="35" customWidth="1" min="11" max="11"/>
    <col width="30" customWidth="1" min="12" max="12"/>
  </cols>
  <sheetData>
    <row r="1" ht="25" customHeight="1">
      <c r="A1" s="1" t="inlineStr">
        <is>
          <t>Action Items &amp; Capability Improvements</t>
        </is>
      </c>
    </row>
    <row r="2" ht="30" customHeight="1">
      <c r="A2" s="9" t="inlineStr">
        <is>
          <t>Track actions to address gaps identified in collection coverage, analysis capabilities, and process maturity.</t>
        </is>
      </c>
    </row>
    <row r="4" ht="30" customHeight="1">
      <c r="A4" s="10" t="inlineStr">
        <is>
          <t>Action ID</t>
        </is>
      </c>
      <c r="B4" s="10" t="inlineStr">
        <is>
          <t>Related Sheet</t>
        </is>
      </c>
      <c r="C4" s="10" t="inlineStr">
        <is>
          <t>Issue Description</t>
        </is>
      </c>
      <c r="D4" s="10" t="inlineStr">
        <is>
          <t>Priority</t>
        </is>
      </c>
      <c r="E4" s="10" t="inlineStr">
        <is>
          <t>Assigned To</t>
        </is>
      </c>
      <c r="F4" s="10" t="inlineStr">
        <is>
          <t>Due Date</t>
        </is>
      </c>
      <c r="G4" s="10" t="inlineStr">
        <is>
          <t>Status</t>
        </is>
      </c>
      <c r="H4" s="10" t="inlineStr">
        <is>
          <t>Progress Percentage</t>
        </is>
      </c>
      <c r="I4" s="10" t="inlineStr">
        <is>
          <t>Completion Date</t>
        </is>
      </c>
      <c r="J4" s="10" t="inlineStr">
        <is>
          <t>Outcome</t>
        </is>
      </c>
      <c r="K4" s="10" t="inlineStr">
        <is>
          <t>Lessons Learned</t>
        </is>
      </c>
      <c r="L4" s="10" t="inlineStr">
        <is>
          <t>Notes</t>
        </is>
      </c>
    </row>
    <row r="5">
      <c r="A5" s="11" t="inlineStr">
        <is>
          <t>ACT-572-001</t>
        </is>
      </c>
      <c r="B5" s="12" t="n"/>
      <c r="C5" s="12" t="n"/>
      <c r="D5" s="12" t="n"/>
      <c r="E5" s="12" t="n"/>
      <c r="F5" s="13" t="n"/>
      <c r="G5" s="12" t="n"/>
      <c r="H5" s="18" t="n"/>
      <c r="I5" s="13" t="n"/>
      <c r="J5" s="12" t="n"/>
      <c r="K5" s="12" t="n"/>
      <c r="L5" s="12" t="n"/>
    </row>
    <row r="6">
      <c r="A6" s="11" t="inlineStr">
        <is>
          <t>ACT-572-002</t>
        </is>
      </c>
      <c r="B6" s="12" t="n"/>
      <c r="C6" s="12" t="n"/>
      <c r="D6" s="12" t="n"/>
      <c r="E6" s="12" t="n"/>
      <c r="F6" s="13" t="n"/>
      <c r="G6" s="12" t="n"/>
      <c r="H6" s="18" t="n"/>
      <c r="I6" s="13" t="n"/>
      <c r="J6" s="12" t="n"/>
      <c r="K6" s="12" t="n"/>
      <c r="L6" s="12" t="n"/>
    </row>
    <row r="7">
      <c r="A7" s="11" t="inlineStr">
        <is>
          <t>ACT-572-003</t>
        </is>
      </c>
      <c r="B7" s="12" t="n"/>
      <c r="C7" s="12" t="n"/>
      <c r="D7" s="12" t="n"/>
      <c r="E7" s="12" t="n"/>
      <c r="F7" s="13" t="n"/>
      <c r="G7" s="12" t="n"/>
      <c r="H7" s="18" t="n"/>
      <c r="I7" s="13" t="n"/>
      <c r="J7" s="12" t="n"/>
      <c r="K7" s="12" t="n"/>
      <c r="L7" s="12" t="n"/>
    </row>
    <row r="8">
      <c r="A8" s="11" t="inlineStr">
        <is>
          <t>ACT-572-004</t>
        </is>
      </c>
      <c r="B8" s="12" t="n"/>
      <c r="C8" s="12" t="n"/>
      <c r="D8" s="12" t="n"/>
      <c r="E8" s="12" t="n"/>
      <c r="F8" s="13" t="n"/>
      <c r="G8" s="12" t="n"/>
      <c r="H8" s="18" t="n"/>
      <c r="I8" s="13" t="n"/>
      <c r="J8" s="12" t="n"/>
      <c r="K8" s="12" t="n"/>
      <c r="L8" s="12" t="n"/>
    </row>
    <row r="9">
      <c r="A9" s="11" t="inlineStr">
        <is>
          <t>ACT-572-005</t>
        </is>
      </c>
      <c r="B9" s="12" t="n"/>
      <c r="C9" s="12" t="n"/>
      <c r="D9" s="12" t="n"/>
      <c r="E9" s="12" t="n"/>
      <c r="F9" s="13" t="n"/>
      <c r="G9" s="12" t="n"/>
      <c r="H9" s="18" t="n"/>
      <c r="I9" s="13" t="n"/>
      <c r="J9" s="12" t="n"/>
      <c r="K9" s="12" t="n"/>
      <c r="L9" s="12" t="n"/>
    </row>
    <row r="10">
      <c r="A10" s="11" t="inlineStr">
        <is>
          <t>ACT-572-006</t>
        </is>
      </c>
      <c r="B10" s="12" t="n"/>
      <c r="C10" s="12" t="n"/>
      <c r="D10" s="12" t="n"/>
      <c r="E10" s="12" t="n"/>
      <c r="F10" s="13" t="n"/>
      <c r="G10" s="12" t="n"/>
      <c r="H10" s="18" t="n"/>
      <c r="I10" s="13" t="n"/>
      <c r="J10" s="12" t="n"/>
      <c r="K10" s="12" t="n"/>
      <c r="L10" s="12" t="n"/>
    </row>
    <row r="11">
      <c r="A11" s="11" t="inlineStr">
        <is>
          <t>ACT-572-007</t>
        </is>
      </c>
      <c r="B11" s="12" t="n"/>
      <c r="C11" s="12" t="n"/>
      <c r="D11" s="12" t="n"/>
      <c r="E11" s="12" t="n"/>
      <c r="F11" s="13" t="n"/>
      <c r="G11" s="12" t="n"/>
      <c r="H11" s="18" t="n"/>
      <c r="I11" s="13" t="n"/>
      <c r="J11" s="12" t="n"/>
      <c r="K11" s="12" t="n"/>
      <c r="L11" s="12" t="n"/>
    </row>
    <row r="12">
      <c r="A12" s="11" t="inlineStr">
        <is>
          <t>ACT-572-008</t>
        </is>
      </c>
      <c r="B12" s="12" t="n"/>
      <c r="C12" s="12" t="n"/>
      <c r="D12" s="12" t="n"/>
      <c r="E12" s="12" t="n"/>
      <c r="F12" s="13" t="n"/>
      <c r="G12" s="12" t="n"/>
      <c r="H12" s="18" t="n"/>
      <c r="I12" s="13" t="n"/>
      <c r="J12" s="12" t="n"/>
      <c r="K12" s="12" t="n"/>
      <c r="L12" s="12" t="n"/>
    </row>
    <row r="13">
      <c r="A13" s="11" t="inlineStr">
        <is>
          <t>ACT-572-009</t>
        </is>
      </c>
      <c r="B13" s="12" t="n"/>
      <c r="C13" s="12" t="n"/>
      <c r="D13" s="12" t="n"/>
      <c r="E13" s="12" t="n"/>
      <c r="F13" s="13" t="n"/>
      <c r="G13" s="12" t="n"/>
      <c r="H13" s="18" t="n"/>
      <c r="I13" s="13" t="n"/>
      <c r="J13" s="12" t="n"/>
      <c r="K13" s="12" t="n"/>
      <c r="L13" s="12" t="n"/>
    </row>
    <row r="14">
      <c r="A14" s="11" t="inlineStr">
        <is>
          <t>ACT-572-010</t>
        </is>
      </c>
      <c r="B14" s="12" t="n"/>
      <c r="C14" s="12" t="n"/>
      <c r="D14" s="12" t="n"/>
      <c r="E14" s="12" t="n"/>
      <c r="F14" s="13" t="n"/>
      <c r="G14" s="12" t="n"/>
      <c r="H14" s="18" t="n"/>
      <c r="I14" s="13" t="n"/>
      <c r="J14" s="12" t="n"/>
      <c r="K14" s="12" t="n"/>
      <c r="L14" s="12" t="n"/>
    </row>
    <row r="15">
      <c r="A15" s="11" t="inlineStr">
        <is>
          <t>ACT-572-011</t>
        </is>
      </c>
      <c r="B15" s="12" t="n"/>
      <c r="C15" s="12" t="n"/>
      <c r="D15" s="12" t="n"/>
      <c r="E15" s="12" t="n"/>
      <c r="F15" s="13" t="n"/>
      <c r="G15" s="12" t="n"/>
      <c r="H15" s="18" t="n"/>
      <c r="I15" s="13" t="n"/>
      <c r="J15" s="12" t="n"/>
      <c r="K15" s="12" t="n"/>
      <c r="L15" s="12" t="n"/>
    </row>
    <row r="16">
      <c r="A16" s="11" t="inlineStr">
        <is>
          <t>ACT-572-012</t>
        </is>
      </c>
      <c r="B16" s="12" t="n"/>
      <c r="C16" s="12" t="n"/>
      <c r="D16" s="12" t="n"/>
      <c r="E16" s="12" t="n"/>
      <c r="F16" s="13" t="n"/>
      <c r="G16" s="12" t="n"/>
      <c r="H16" s="18" t="n"/>
      <c r="I16" s="13" t="n"/>
      <c r="J16" s="12" t="n"/>
      <c r="K16" s="12" t="n"/>
      <c r="L16" s="12" t="n"/>
    </row>
    <row r="17">
      <c r="A17" s="11" t="inlineStr">
        <is>
          <t>ACT-572-013</t>
        </is>
      </c>
      <c r="B17" s="12" t="n"/>
      <c r="C17" s="12" t="n"/>
      <c r="D17" s="12" t="n"/>
      <c r="E17" s="12" t="n"/>
      <c r="F17" s="13" t="n"/>
      <c r="G17" s="12" t="n"/>
      <c r="H17" s="18" t="n"/>
      <c r="I17" s="13" t="n"/>
      <c r="J17" s="12" t="n"/>
      <c r="K17" s="12" t="n"/>
      <c r="L17" s="12" t="n"/>
    </row>
    <row r="18">
      <c r="A18" s="11" t="inlineStr">
        <is>
          <t>ACT-572-014</t>
        </is>
      </c>
      <c r="B18" s="12" t="n"/>
      <c r="C18" s="12" t="n"/>
      <c r="D18" s="12" t="n"/>
      <c r="E18" s="12" t="n"/>
      <c r="F18" s="13" t="n"/>
      <c r="G18" s="12" t="n"/>
      <c r="H18" s="18" t="n"/>
      <c r="I18" s="13" t="n"/>
      <c r="J18" s="12" t="n"/>
      <c r="K18" s="12" t="n"/>
      <c r="L18" s="12" t="n"/>
    </row>
    <row r="19">
      <c r="A19" s="11" t="inlineStr">
        <is>
          <t>ACT-572-015</t>
        </is>
      </c>
      <c r="B19" s="12" t="n"/>
      <c r="C19" s="12" t="n"/>
      <c r="D19" s="12" t="n"/>
      <c r="E19" s="12" t="n"/>
      <c r="F19" s="13" t="n"/>
      <c r="G19" s="12" t="n"/>
      <c r="H19" s="18" t="n"/>
      <c r="I19" s="13" t="n"/>
      <c r="J19" s="12" t="n"/>
      <c r="K19" s="12" t="n"/>
      <c r="L19" s="12" t="n"/>
    </row>
    <row r="20">
      <c r="A20" s="11" t="inlineStr">
        <is>
          <t>ACT-572-016</t>
        </is>
      </c>
      <c r="B20" s="12" t="n"/>
      <c r="C20" s="12" t="n"/>
      <c r="D20" s="12" t="n"/>
      <c r="E20" s="12" t="n"/>
      <c r="F20" s="13" t="n"/>
      <c r="G20" s="12" t="n"/>
      <c r="H20" s="18" t="n"/>
      <c r="I20" s="13" t="n"/>
      <c r="J20" s="12" t="n"/>
      <c r="K20" s="12" t="n"/>
      <c r="L20" s="12" t="n"/>
    </row>
    <row r="21">
      <c r="A21" s="11" t="inlineStr">
        <is>
          <t>ACT-572-017</t>
        </is>
      </c>
      <c r="B21" s="12" t="n"/>
      <c r="C21" s="12" t="n"/>
      <c r="D21" s="12" t="n"/>
      <c r="E21" s="12" t="n"/>
      <c r="F21" s="13" t="n"/>
      <c r="G21" s="12" t="n"/>
      <c r="H21" s="18" t="n"/>
      <c r="I21" s="13" t="n"/>
      <c r="J21" s="12" t="n"/>
      <c r="K21" s="12" t="n"/>
      <c r="L21" s="12" t="n"/>
    </row>
    <row r="22">
      <c r="A22" s="11" t="inlineStr">
        <is>
          <t>ACT-572-018</t>
        </is>
      </c>
      <c r="B22" s="12" t="n"/>
      <c r="C22" s="12" t="n"/>
      <c r="D22" s="12" t="n"/>
      <c r="E22" s="12" t="n"/>
      <c r="F22" s="13" t="n"/>
      <c r="G22" s="12" t="n"/>
      <c r="H22" s="18" t="n"/>
      <c r="I22" s="13" t="n"/>
      <c r="J22" s="12" t="n"/>
      <c r="K22" s="12" t="n"/>
      <c r="L22" s="12" t="n"/>
    </row>
    <row r="23">
      <c r="A23" s="11" t="inlineStr">
        <is>
          <t>ACT-572-019</t>
        </is>
      </c>
      <c r="B23" s="12" t="n"/>
      <c r="C23" s="12" t="n"/>
      <c r="D23" s="12" t="n"/>
      <c r="E23" s="12" t="n"/>
      <c r="F23" s="13" t="n"/>
      <c r="G23" s="12" t="n"/>
      <c r="H23" s="18" t="n"/>
      <c r="I23" s="13" t="n"/>
      <c r="J23" s="12" t="n"/>
      <c r="K23" s="12" t="n"/>
      <c r="L23" s="12" t="n"/>
    </row>
    <row r="24">
      <c r="A24" s="11" t="inlineStr">
        <is>
          <t>ACT-572-020</t>
        </is>
      </c>
      <c r="B24" s="12" t="n"/>
      <c r="C24" s="12" t="n"/>
      <c r="D24" s="12" t="n"/>
      <c r="E24" s="12" t="n"/>
      <c r="F24" s="13" t="n"/>
      <c r="G24" s="12" t="n"/>
      <c r="H24" s="18" t="n"/>
      <c r="I24" s="13" t="n"/>
      <c r="J24" s="12" t="n"/>
      <c r="K24" s="12" t="n"/>
      <c r="L24" s="12" t="n"/>
    </row>
    <row r="25">
      <c r="A25" s="11" t="inlineStr">
        <is>
          <t>ACT-572-021</t>
        </is>
      </c>
      <c r="B25" s="12" t="n"/>
      <c r="C25" s="12" t="n"/>
      <c r="D25" s="12" t="n"/>
      <c r="E25" s="12" t="n"/>
      <c r="F25" s="13" t="n"/>
      <c r="G25" s="12" t="n"/>
      <c r="H25" s="18" t="n"/>
      <c r="I25" s="13" t="n"/>
      <c r="J25" s="12" t="n"/>
      <c r="K25" s="12" t="n"/>
      <c r="L25" s="12" t="n"/>
    </row>
    <row r="26">
      <c r="A26" s="11" t="inlineStr">
        <is>
          <t>ACT-572-022</t>
        </is>
      </c>
      <c r="B26" s="12" t="n"/>
      <c r="C26" s="12" t="n"/>
      <c r="D26" s="12" t="n"/>
      <c r="E26" s="12" t="n"/>
      <c r="F26" s="13" t="n"/>
      <c r="G26" s="12" t="n"/>
      <c r="H26" s="18" t="n"/>
      <c r="I26" s="13" t="n"/>
      <c r="J26" s="12" t="n"/>
      <c r="K26" s="12" t="n"/>
      <c r="L26" s="12" t="n"/>
    </row>
    <row r="27">
      <c r="A27" s="11" t="inlineStr">
        <is>
          <t>ACT-572-023</t>
        </is>
      </c>
      <c r="B27" s="12" t="n"/>
      <c r="C27" s="12" t="n"/>
      <c r="D27" s="12" t="n"/>
      <c r="E27" s="12" t="n"/>
      <c r="F27" s="13" t="n"/>
      <c r="G27" s="12" t="n"/>
      <c r="H27" s="18" t="n"/>
      <c r="I27" s="13" t="n"/>
      <c r="J27" s="12" t="n"/>
      <c r="K27" s="12" t="n"/>
      <c r="L27" s="12" t="n"/>
    </row>
    <row r="28">
      <c r="A28" s="11" t="inlineStr">
        <is>
          <t>ACT-572-024</t>
        </is>
      </c>
      <c r="B28" s="12" t="n"/>
      <c r="C28" s="12" t="n"/>
      <c r="D28" s="12" t="n"/>
      <c r="E28" s="12" t="n"/>
      <c r="F28" s="13" t="n"/>
      <c r="G28" s="12" t="n"/>
      <c r="H28" s="18" t="n"/>
      <c r="I28" s="13" t="n"/>
      <c r="J28" s="12" t="n"/>
      <c r="K28" s="12" t="n"/>
      <c r="L28" s="12" t="n"/>
    </row>
    <row r="29">
      <c r="A29" s="11" t="inlineStr">
        <is>
          <t>ACT-572-025</t>
        </is>
      </c>
      <c r="B29" s="12" t="n"/>
      <c r="C29" s="12" t="n"/>
      <c r="D29" s="12" t="n"/>
      <c r="E29" s="12" t="n"/>
      <c r="F29" s="13" t="n"/>
      <c r="G29" s="12" t="n"/>
      <c r="H29" s="18" t="n"/>
      <c r="I29" s="13" t="n"/>
      <c r="J29" s="12" t="n"/>
      <c r="K29" s="12" t="n"/>
      <c r="L29" s="12" t="n"/>
    </row>
    <row r="30">
      <c r="A30" s="11" t="inlineStr">
        <is>
          <t>ACT-572-026</t>
        </is>
      </c>
      <c r="B30" s="12" t="n"/>
      <c r="C30" s="12" t="n"/>
      <c r="D30" s="12" t="n"/>
      <c r="E30" s="12" t="n"/>
      <c r="F30" s="13" t="n"/>
      <c r="G30" s="12" t="n"/>
      <c r="H30" s="18" t="n"/>
      <c r="I30" s="13" t="n"/>
      <c r="J30" s="12" t="n"/>
      <c r="K30" s="12" t="n"/>
      <c r="L30" s="12" t="n"/>
    </row>
    <row r="31">
      <c r="A31" s="11" t="inlineStr">
        <is>
          <t>ACT-572-027</t>
        </is>
      </c>
      <c r="B31" s="12" t="n"/>
      <c r="C31" s="12" t="n"/>
      <c r="D31" s="12" t="n"/>
      <c r="E31" s="12" t="n"/>
      <c r="F31" s="13" t="n"/>
      <c r="G31" s="12" t="n"/>
      <c r="H31" s="18" t="n"/>
      <c r="I31" s="13" t="n"/>
      <c r="J31" s="12" t="n"/>
      <c r="K31" s="12" t="n"/>
      <c r="L31" s="12" t="n"/>
    </row>
    <row r="32">
      <c r="A32" s="11" t="inlineStr">
        <is>
          <t>ACT-572-028</t>
        </is>
      </c>
      <c r="B32" s="12" t="n"/>
      <c r="C32" s="12" t="n"/>
      <c r="D32" s="12" t="n"/>
      <c r="E32" s="12" t="n"/>
      <c r="F32" s="13" t="n"/>
      <c r="G32" s="12" t="n"/>
      <c r="H32" s="18" t="n"/>
      <c r="I32" s="13" t="n"/>
      <c r="J32" s="12" t="n"/>
      <c r="K32" s="12" t="n"/>
      <c r="L32" s="12" t="n"/>
    </row>
    <row r="33">
      <c r="A33" s="11" t="inlineStr">
        <is>
          <t>ACT-572-029</t>
        </is>
      </c>
      <c r="B33" s="12" t="n"/>
      <c r="C33" s="12" t="n"/>
      <c r="D33" s="12" t="n"/>
      <c r="E33" s="12" t="n"/>
      <c r="F33" s="13" t="n"/>
      <c r="G33" s="12" t="n"/>
      <c r="H33" s="18" t="n"/>
      <c r="I33" s="13" t="n"/>
      <c r="J33" s="12" t="n"/>
      <c r="K33" s="12" t="n"/>
      <c r="L33" s="12" t="n"/>
    </row>
    <row r="34">
      <c r="A34" s="11" t="inlineStr">
        <is>
          <t>ACT-572-030</t>
        </is>
      </c>
      <c r="B34" s="12" t="n"/>
      <c r="C34" s="12" t="n"/>
      <c r="D34" s="12" t="n"/>
      <c r="E34" s="12" t="n"/>
      <c r="F34" s="13" t="n"/>
      <c r="G34" s="12" t="n"/>
      <c r="H34" s="18" t="n"/>
      <c r="I34" s="13" t="n"/>
      <c r="J34" s="12" t="n"/>
      <c r="K34" s="12" t="n"/>
      <c r="L34" s="12" t="n"/>
    </row>
    <row r="35">
      <c r="A35" s="11" t="inlineStr">
        <is>
          <t>ACT-572-031</t>
        </is>
      </c>
      <c r="B35" s="12" t="n"/>
      <c r="C35" s="12" t="n"/>
      <c r="D35" s="12" t="n"/>
      <c r="E35" s="12" t="n"/>
      <c r="F35" s="13" t="n"/>
      <c r="G35" s="12" t="n"/>
      <c r="H35" s="18" t="n"/>
      <c r="I35" s="13" t="n"/>
      <c r="J35" s="12" t="n"/>
      <c r="K35" s="12" t="n"/>
      <c r="L35" s="12" t="n"/>
    </row>
    <row r="36">
      <c r="A36" s="11" t="inlineStr">
        <is>
          <t>ACT-572-032</t>
        </is>
      </c>
      <c r="B36" s="12" t="n"/>
      <c r="C36" s="12" t="n"/>
      <c r="D36" s="12" t="n"/>
      <c r="E36" s="12" t="n"/>
      <c r="F36" s="13" t="n"/>
      <c r="G36" s="12" t="n"/>
      <c r="H36" s="18" t="n"/>
      <c r="I36" s="13" t="n"/>
      <c r="J36" s="12" t="n"/>
      <c r="K36" s="12" t="n"/>
      <c r="L36" s="12" t="n"/>
    </row>
    <row r="37">
      <c r="A37" s="11" t="inlineStr">
        <is>
          <t>ACT-572-033</t>
        </is>
      </c>
      <c r="B37" s="12" t="n"/>
      <c r="C37" s="12" t="n"/>
      <c r="D37" s="12" t="n"/>
      <c r="E37" s="12" t="n"/>
      <c r="F37" s="13" t="n"/>
      <c r="G37" s="12" t="n"/>
      <c r="H37" s="18" t="n"/>
      <c r="I37" s="13" t="n"/>
      <c r="J37" s="12" t="n"/>
      <c r="K37" s="12" t="n"/>
      <c r="L37" s="12" t="n"/>
    </row>
    <row r="38">
      <c r="A38" s="11" t="inlineStr">
        <is>
          <t>ACT-572-034</t>
        </is>
      </c>
      <c r="B38" s="12" t="n"/>
      <c r="C38" s="12" t="n"/>
      <c r="D38" s="12" t="n"/>
      <c r="E38" s="12" t="n"/>
      <c r="F38" s="13" t="n"/>
      <c r="G38" s="12" t="n"/>
      <c r="H38" s="18" t="n"/>
      <c r="I38" s="13" t="n"/>
      <c r="J38" s="12" t="n"/>
      <c r="K38" s="12" t="n"/>
      <c r="L38" s="12" t="n"/>
    </row>
    <row r="39">
      <c r="A39" s="11" t="inlineStr">
        <is>
          <t>ACT-572-035</t>
        </is>
      </c>
      <c r="B39" s="12" t="n"/>
      <c r="C39" s="12" t="n"/>
      <c r="D39" s="12" t="n"/>
      <c r="E39" s="12" t="n"/>
      <c r="F39" s="13" t="n"/>
      <c r="G39" s="12" t="n"/>
      <c r="H39" s="18" t="n"/>
      <c r="I39" s="13" t="n"/>
      <c r="J39" s="12" t="n"/>
      <c r="K39" s="12" t="n"/>
      <c r="L39" s="12" t="n"/>
    </row>
    <row r="40">
      <c r="A40" s="11" t="inlineStr">
        <is>
          <t>ACT-572-036</t>
        </is>
      </c>
      <c r="B40" s="12" t="n"/>
      <c r="C40" s="12" t="n"/>
      <c r="D40" s="12" t="n"/>
      <c r="E40" s="12" t="n"/>
      <c r="F40" s="13" t="n"/>
      <c r="G40" s="12" t="n"/>
      <c r="H40" s="18" t="n"/>
      <c r="I40" s="13" t="n"/>
      <c r="J40" s="12" t="n"/>
      <c r="K40" s="12" t="n"/>
      <c r="L40" s="12" t="n"/>
    </row>
    <row r="41">
      <c r="A41" s="11" t="inlineStr">
        <is>
          <t>ACT-572-037</t>
        </is>
      </c>
      <c r="B41" s="12" t="n"/>
      <c r="C41" s="12" t="n"/>
      <c r="D41" s="12" t="n"/>
      <c r="E41" s="12" t="n"/>
      <c r="F41" s="13" t="n"/>
      <c r="G41" s="12" t="n"/>
      <c r="H41" s="18" t="n"/>
      <c r="I41" s="13" t="n"/>
      <c r="J41" s="12" t="n"/>
      <c r="K41" s="12" t="n"/>
      <c r="L41" s="12" t="n"/>
    </row>
    <row r="42">
      <c r="A42" s="11" t="inlineStr">
        <is>
          <t>ACT-572-038</t>
        </is>
      </c>
      <c r="B42" s="12" t="n"/>
      <c r="C42" s="12" t="n"/>
      <c r="D42" s="12" t="n"/>
      <c r="E42" s="12" t="n"/>
      <c r="F42" s="13" t="n"/>
      <c r="G42" s="12" t="n"/>
      <c r="H42" s="18" t="n"/>
      <c r="I42" s="13" t="n"/>
      <c r="J42" s="12" t="n"/>
      <c r="K42" s="12" t="n"/>
      <c r="L42" s="12" t="n"/>
    </row>
    <row r="43">
      <c r="A43" s="11" t="inlineStr">
        <is>
          <t>ACT-572-039</t>
        </is>
      </c>
      <c r="B43" s="12" t="n"/>
      <c r="C43" s="12" t="n"/>
      <c r="D43" s="12" t="n"/>
      <c r="E43" s="12" t="n"/>
      <c r="F43" s="13" t="n"/>
      <c r="G43" s="12" t="n"/>
      <c r="H43" s="18" t="n"/>
      <c r="I43" s="13" t="n"/>
      <c r="J43" s="12" t="n"/>
      <c r="K43" s="12" t="n"/>
      <c r="L43" s="12" t="n"/>
    </row>
    <row r="44">
      <c r="A44" s="11" t="inlineStr">
        <is>
          <t>ACT-572-040</t>
        </is>
      </c>
      <c r="B44" s="12" t="n"/>
      <c r="C44" s="12" t="n"/>
      <c r="D44" s="12" t="n"/>
      <c r="E44" s="12" t="n"/>
      <c r="F44" s="13" t="n"/>
      <c r="G44" s="12" t="n"/>
      <c r="H44" s="18" t="n"/>
      <c r="I44" s="13" t="n"/>
      <c r="J44" s="12" t="n"/>
      <c r="K44" s="12" t="n"/>
      <c r="L44" s="12" t="n"/>
    </row>
    <row r="45">
      <c r="A45" s="11" t="inlineStr">
        <is>
          <t>ACT-572-041</t>
        </is>
      </c>
      <c r="B45" s="12" t="n"/>
      <c r="C45" s="12" t="n"/>
      <c r="D45" s="12" t="n"/>
      <c r="E45" s="12" t="n"/>
      <c r="F45" s="13" t="n"/>
      <c r="G45" s="12" t="n"/>
      <c r="H45" s="18" t="n"/>
      <c r="I45" s="13" t="n"/>
      <c r="J45" s="12" t="n"/>
      <c r="K45" s="12" t="n"/>
      <c r="L45" s="12" t="n"/>
    </row>
    <row r="46">
      <c r="A46" s="11" t="inlineStr">
        <is>
          <t>ACT-572-042</t>
        </is>
      </c>
      <c r="B46" s="12" t="n"/>
      <c r="C46" s="12" t="n"/>
      <c r="D46" s="12" t="n"/>
      <c r="E46" s="12" t="n"/>
      <c r="F46" s="13" t="n"/>
      <c r="G46" s="12" t="n"/>
      <c r="H46" s="18" t="n"/>
      <c r="I46" s="13" t="n"/>
      <c r="J46" s="12" t="n"/>
      <c r="K46" s="12" t="n"/>
      <c r="L46" s="12" t="n"/>
    </row>
    <row r="47">
      <c r="A47" s="11" t="inlineStr">
        <is>
          <t>ACT-572-043</t>
        </is>
      </c>
      <c r="B47" s="12" t="n"/>
      <c r="C47" s="12" t="n"/>
      <c r="D47" s="12" t="n"/>
      <c r="E47" s="12" t="n"/>
      <c r="F47" s="13" t="n"/>
      <c r="G47" s="12" t="n"/>
      <c r="H47" s="18" t="n"/>
      <c r="I47" s="13" t="n"/>
      <c r="J47" s="12" t="n"/>
      <c r="K47" s="12" t="n"/>
      <c r="L47" s="12" t="n"/>
    </row>
    <row r="48">
      <c r="A48" s="11" t="inlineStr">
        <is>
          <t>ACT-572-044</t>
        </is>
      </c>
      <c r="B48" s="12" t="n"/>
      <c r="C48" s="12" t="n"/>
      <c r="D48" s="12" t="n"/>
      <c r="E48" s="12" t="n"/>
      <c r="F48" s="13" t="n"/>
      <c r="G48" s="12" t="n"/>
      <c r="H48" s="18" t="n"/>
      <c r="I48" s="13" t="n"/>
      <c r="J48" s="12" t="n"/>
      <c r="K48" s="12" t="n"/>
      <c r="L48" s="12" t="n"/>
    </row>
    <row r="49">
      <c r="A49" s="11" t="inlineStr">
        <is>
          <t>ACT-572-045</t>
        </is>
      </c>
      <c r="B49" s="12" t="n"/>
      <c r="C49" s="12" t="n"/>
      <c r="D49" s="12" t="n"/>
      <c r="E49" s="12" t="n"/>
      <c r="F49" s="13" t="n"/>
      <c r="G49" s="12" t="n"/>
      <c r="H49" s="18" t="n"/>
      <c r="I49" s="13" t="n"/>
      <c r="J49" s="12" t="n"/>
      <c r="K49" s="12" t="n"/>
      <c r="L49" s="12" t="n"/>
    </row>
    <row r="50">
      <c r="A50" s="11" t="inlineStr">
        <is>
          <t>ACT-572-046</t>
        </is>
      </c>
      <c r="B50" s="12" t="n"/>
      <c r="C50" s="12" t="n"/>
      <c r="D50" s="12" t="n"/>
      <c r="E50" s="12" t="n"/>
      <c r="F50" s="13" t="n"/>
      <c r="G50" s="12" t="n"/>
      <c r="H50" s="18" t="n"/>
      <c r="I50" s="13" t="n"/>
      <c r="J50" s="12" t="n"/>
      <c r="K50" s="12" t="n"/>
      <c r="L50" s="12" t="n"/>
    </row>
    <row r="51">
      <c r="A51" s="11" t="inlineStr">
        <is>
          <t>ACT-572-047</t>
        </is>
      </c>
      <c r="B51" s="12" t="n"/>
      <c r="C51" s="12" t="n"/>
      <c r="D51" s="12" t="n"/>
      <c r="E51" s="12" t="n"/>
      <c r="F51" s="13" t="n"/>
      <c r="G51" s="12" t="n"/>
      <c r="H51" s="18" t="n"/>
      <c r="I51" s="13" t="n"/>
      <c r="J51" s="12" t="n"/>
      <c r="K51" s="12" t="n"/>
      <c r="L51" s="12" t="n"/>
    </row>
    <row r="52">
      <c r="A52" s="11" t="inlineStr">
        <is>
          <t>ACT-572-048</t>
        </is>
      </c>
      <c r="B52" s="12" t="n"/>
      <c r="C52" s="12" t="n"/>
      <c r="D52" s="12" t="n"/>
      <c r="E52" s="12" t="n"/>
      <c r="F52" s="13" t="n"/>
      <c r="G52" s="12" t="n"/>
      <c r="H52" s="18" t="n"/>
      <c r="I52" s="13" t="n"/>
      <c r="J52" s="12" t="n"/>
      <c r="K52" s="12" t="n"/>
      <c r="L52" s="12" t="n"/>
    </row>
    <row r="53">
      <c r="A53" s="11" t="inlineStr">
        <is>
          <t>ACT-572-049</t>
        </is>
      </c>
      <c r="B53" s="12" t="n"/>
      <c r="C53" s="12" t="n"/>
      <c r="D53" s="12" t="n"/>
      <c r="E53" s="12" t="n"/>
      <c r="F53" s="13" t="n"/>
      <c r="G53" s="12" t="n"/>
      <c r="H53" s="18" t="n"/>
      <c r="I53" s="13" t="n"/>
      <c r="J53" s="12" t="n"/>
      <c r="K53" s="12" t="n"/>
      <c r="L53" s="12" t="n"/>
    </row>
    <row r="54">
      <c r="A54" s="11" t="inlineStr">
        <is>
          <t>ACT-572-050</t>
        </is>
      </c>
      <c r="B54" s="12" t="n"/>
      <c r="C54" s="12" t="n"/>
      <c r="D54" s="12" t="n"/>
      <c r="E54" s="12" t="n"/>
      <c r="F54" s="13" t="n"/>
      <c r="G54" s="12" t="n"/>
      <c r="H54" s="18" t="n"/>
      <c r="I54" s="13" t="n"/>
      <c r="J54" s="12" t="n"/>
      <c r="K54" s="12" t="n"/>
      <c r="L54" s="12" t="n"/>
    </row>
    <row r="56">
      <c r="A56" s="14" t="inlineStr">
        <is>
          <t>ACTION ITEMS SUMMARY</t>
        </is>
      </c>
    </row>
    <row r="57">
      <c r="A57" s="5" t="inlineStr">
        <is>
          <t>Total Actions:</t>
        </is>
      </c>
      <c r="B57" s="5">
        <f>COUNTA(A5:A54)</f>
        <v/>
      </c>
    </row>
    <row r="58">
      <c r="A58" s="5" t="inlineStr">
        <is>
          <t>Critical Priority:</t>
        </is>
      </c>
      <c r="B58" s="5">
        <f>COUNTIF(D5:D54,"Critical")</f>
        <v/>
      </c>
    </row>
    <row r="59">
      <c r="A59" s="5" t="inlineStr">
        <is>
          <t>High Priority:</t>
        </is>
      </c>
      <c r="B59" s="5">
        <f>COUNTIF(D5:D54,"High")</f>
        <v/>
      </c>
    </row>
    <row r="60">
      <c r="A60" s="5" t="inlineStr">
        <is>
          <t>Open:</t>
        </is>
      </c>
      <c r="B60" s="5">
        <f>COUNTIF(G5:G54,"Open")</f>
        <v/>
      </c>
    </row>
    <row r="61">
      <c r="A61" s="5" t="inlineStr">
        <is>
          <t>In Progress:</t>
        </is>
      </c>
      <c r="B61" s="5">
        <f>COUNTIF(G5:G54,"In_Progress")</f>
        <v/>
      </c>
    </row>
    <row r="62">
      <c r="A62" s="5" t="inlineStr">
        <is>
          <t>Blocked:</t>
        </is>
      </c>
      <c r="B62" s="5">
        <f>COUNTIF(G5:G54,"Blocked")</f>
        <v/>
      </c>
    </row>
    <row r="63">
      <c r="A63" s="5" t="inlineStr">
        <is>
          <t>Resolved:</t>
        </is>
      </c>
      <c r="B63" s="5">
        <f>COUNTIF(G5:G54,"Resolved")</f>
        <v/>
      </c>
    </row>
    <row r="64">
      <c r="A64" s="5" t="inlineStr">
        <is>
          <t>Closed:</t>
        </is>
      </c>
      <c r="B64" s="5">
        <f>COUNTIF(G5:G54,"Closed")</f>
        <v/>
      </c>
    </row>
  </sheetData>
  <mergeCells count="3">
    <mergeCell ref="A2:L2"/>
    <mergeCell ref="A56:D56"/>
    <mergeCell ref="A1:L1"/>
  </mergeCells>
  <conditionalFormatting sqref="D5:D54">
    <cfRule type="cellIs" priority="1" operator="equal" dxfId="0">
      <formula>"Critical"</formula>
    </cfRule>
  </conditionalFormatting>
  <conditionalFormatting sqref="G5:G54">
    <cfRule type="cellIs" priority="2" operator="equal" dxfId="2">
      <formula>"Closed"</formula>
    </cfRule>
    <cfRule type="cellIs" priority="3" operator="equal" dxfId="0">
      <formula>"Blocked"</formula>
    </cfRule>
  </conditionalFormatting>
  <dataValidations count="31">
    <dataValidation sqref="B5 B6 B7 B8 B9 B10 B11 B12 B13 B14 B15 B16 B17 B18 B19 B20 B21 B22 B23 B24 B25 B26 B27 B28 B29 B30 B31 B32 B33 B34 B35 B36 B37 B38 B39 B40 B41 B42 B43 B44 B45 B46 B47 B48 B49 B50 B51 B52 B53 B5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showDropDown="0" showInputMessage="0" showErrorMessage="0" allowBlank="0" type="list">
      <formula1>"Strategic,Tactical,Operational,Technical"</formula1>
    </dataValidation>
    <dataValidation sqref="D5 D6 D7 D8 D9 D10 D11 D12 D13 D14 D15 D16 D17 D18 D19 D20 D21 D22 D23 D24 D25 D26 D27 D28 D29 D30 D31 D32 D33 D34 D35 D36 D37 D38 D39 D40 D41 D42 D43 D44 D45 D46 D47 D48 D49 D50 D51 D52 D53 D54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 Critical,🟡 High,🟢 Medium,⚫ Low"</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0" type="list">
      <formula1>"Automated_Feed,Manual_Research,OSINT,Partnership,Internal_Telemetry"</formula1>
    </dataValidation>
    <dataValidation sqref="E5 E6 E7 E8 E9 E10 E11 E12 E13 E14 E15 E16 E17 E18 E19 E20 E21 E22 E23 E24 E25 E26 E27 E28 E29 E30 E31 E32 E33 E34 E35 E36 E37 E38 E39 E40 E41 E42 E43 E44 E45 E46 E47 E48 E49 E50 E51 E52 E53 E54 M5 M6 M7 M8 M9 M10 M11 M12 M13 M14 M15 M16 M17 M18 M19 M20 M21 M22 M23 M24 M25 M26 M27 M28 M29 M30 M31 M32 M33 M34 M35 M36 M37 M38 M39 M40 M41 M42 M43 M44 M45 M46 M47 M48 M49 M50 M51 M52 M53 M54" showDropDown="0" showInputMessage="0" showErrorMessage="0" allowBlank="0" type="list">
      <formula1>"Real-time,Hourly,Daily,Weekly,On_Demand"</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"Fully_Implemented,Partially_Implemented,Planned,Not_Used"</formula1>
    </dataValidation>
    <dataValidation sqref="N5 N6 N7 N8 N9 N10 N11 N12 N13 N14 N15 N16 N17 N18 N19 N20 N21 N22 N23 N24 N25 N26 N27 N28 N29 N30 N31 N32 N33 N34 N35 N36 N37 N38 N39 N40 N41 N42 N43 N44 N45 N46 N47 N48 N49 N50 N51 N52 N53 N54" showDropDown="0" showInputMessage="0" showErrorMessage="0" allowBlank="1" type="list">
      <formula1>"Excellent,Good,Fair,Poor"</formula1>
    </dataValidation>
    <dataValidation sqref="B5 B6 B7 B8 B9 B10 B11 B12 B13 B14 B15 B16 B17 B18 B19 B20 B21 B22 B23 B24 B25 B26 B27 B28 B29 B30 B31 B32 B33 B34 B35 B36 B37 B38 B39 B40 B41 B42 B43 B44 B45 B46 B47 B48 B49 B50 B51 B52 B53 B54 B55 B56 B57 B58 B59 B60 B61 B62 B63 B64" showDropDown="0" showInputMessage="0" showErrorMessage="0" allowBlank="0" type="list">
      <formula1>"Strategic_Report,Tactical_Brief,Operational_Alert,Technical_Analysis,IOC_Package,Threat_Profile"</formula1>
    </dataValidation>
    <dataValidation sqref="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N5 N6 N7 N8 N9 N10 N11 N12 N13 N14 N15 N16 N17 N18 N19 N20 N21 N22 N23 N24 N25 N26 N27 N28 N29 N30 N31 N32 N33 N34 N35 N36 N37 N38 N39 N40 N41 N42 N43 N44 N45 N46 N47 N48 N49 N50 N51 N52 N53 N54 N55 N56 N57 N58 N59 N60 N61 N62 N63 N64" showDropDown="0" showInputMessage="0" showErrorMessage="0" allowBlank="0" type="list">
      <formula1>"Draft,Review,Published,Archived"</formula1>
    </dataValidation>
    <dataValidation sqref="E5 E6 E7 E8 E9 E10 E11 E12 E13 E14 E15 E16 E17 E18 E19 E20 E21 E22 E23 E24 E25 E26 E27 E28 E29 E30 E31 E32 E33 E34 E35 E36 E37 E38 E39 E40 E41 E42 E43 E44 E45 E46 E47 E48 E49 E50 E51 E52 E53 E54 H5 H6 H7 H8 H9 H10 H11 H12 H13 H14 H15 H16 H17 H18 H19 H20 H21 H22 H23 H24 H25 H26 H27 H28 H29 H30 H31 H32 H33 H34 H35 H36 H37 H38 H39 H40 H41 H42 H43 H44 H45 H46 H47 H48 H49 H50 H51 H52 H53 H54 H55 H56 H57 H58 H59 H60 H61 H62 H63 H6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"High,Medium,Low,Unconfirmed"</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"TLP:CLEAR,TLP:GREEN,TLP:AMBER,TLP:AMBER+STRICT,TLP:RED"</formula1>
    </dataValidation>
    <dataValidation sqref="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showDropDown="0" showInputMessage="0" showErrorMessage="0" allowBlank="0" type="list">
      <formula1>"Full,Partial,Limited,None"</formula1>
    </dataValidation>
    <dataValidation sqref="D5 D6 D7 D8 D9 D10 D11 D12 D13 D14 D15 D16 D17 D18 D19 D20 D21 D22 D23 D24 D25 D26 D27 D28 D29 D30 D31 D32 D33 D34 D35 D36 D37 D38 D39 D40 D41 D42 D43 D44 D45 D46 D47 D48 D49 D50 D51 D52 D53 D5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1" type="list">
      <formula1>"Nation-State,Criminal_Syndicate,Hacktivist,Insider_Threat,Script_Kiddie,Unknown"</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"Not_Exploited,PoC_Exists,Active_Exploitation,Widespread"</formula1>
    </dataValidation>
    <dataValidation sqref="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showDropDown="0" showInputMessage="0" showErrorMessage="0" allowBlank="0" type="list">
      <formula1>"Critical,High,Medium,Low,Info"</formula1>
    </dataValidation>
    <dataValidation sqref="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showDropDown="0" showInputMessage="0" showErrorMessage="0" allowBlank="0" type="list">
      <formula1>"Open,In_Progress,Patched,Mitigated,Risk_Accepted,Verified"</formula1>
    </dataValidation>
    <dataValidation sqref="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M5 M6 M7 M8 M9 M10 M11 M12 M13 M14 M15 M16 M17 M18 M19 M20 M21 M22 M23 M24 M25 M26 M27 M28 M29 M30 M31 M32 M33 M34 M35 M36 M37 M38 M39 M40 M41 M42 M43 M44 M45 M46 M47 M48 M49 M50 M51 M52 M53 M5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T103 T104" showDropDown="0" showInputMessage="0" showErrorMessage="0" allowBlank="0" type="list">
      <formula1>"Yes,No"</formula1>
    </dataValidation>
    <dataValidation sqref="B5 B6 B7 B8 B9 B10 B11 B12 B13 B14 C5 C6 C7 C8 C9 C10 C11 C12 C13 C14" showDropDown="0" showInputMessage="0" showErrorMessage="0" allowBlank="0" type="list">
      <formula1>"1 - Initial,2 - Managed,3 - Defined,4 - Quantitatively Managed,5 - Optimizing"</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"Open,In_Progress,Blocked,Resolved,Closed"</formula1>
    </dataValidation>
    <dataValidation sqref="C5 C6 C7 C8 C9 C10 C11 C12 C13 C14 C15 C16 C17 C18 C19 C20 C21 C22 C23 C24 C25 C26 C27 C28 C29 C30 C31 C32 C33 C34 C35 C36 C37 C38 C39 C40 C41 C42 C43 C44 C45 C46 C47 C48 C49 C50 C51 C52 C53 C54" showDropDown="0" showInputMessage="0" showErrorMessage="0" allowBlank="1" type="list">
      <formula1>"TIP,SIEM,Malware_Analysis,OSINT,Collaboration,Visualization,Scripting,Other"</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1" type="list">
      <formula1>"Commercial,Open_Source,Freeware,Internal_Developed"</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1" type="list">
      <formula1>"Yes,No,N/A"</formula1>
    </dataValidation>
    <dataValidation sqref="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showDropDown="0" showInputMessage="0" showErrorMessage="0" allowBlank="1" type="list">
      <formula1>"Yes,No,Unknown"</formula1>
    </dataValidation>
    <dataValidation sqref="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showDropDown="0" showInputMessage="0" showErrorMessage="0" allowBlank="1" type="list">
      <formula1>"Confirmed,Suspected,No,Unknown"</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1" type="list">
      <formula1>"Espionage,Financial,Disruption,Ideology,Unknown"</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1" type="list">
      <formula1>"Advanced,Moderate,Low"</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1" type="list">
      <formula1>"Active,Concluded,Dormant,Unknown"</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1" type="list">
      <formula1>"Espionage,Data_Theft,Disruption,Ransomware,Credential_Harvesting,Other"</formula1>
    </dataValidation>
    <dataValidation sqref="U5 U6 U7 U8 U9 U10 U11 U12 U13 U14 U15 U16 U17 U18 U19 U20 U21 U22 U23 U24 U25 U26 U27 U28 U29 U30 U31 U32 U33 U34 U35 U36 U37 U38 U39 U40 U41 U42 U43 U44 U45 U46 U47 U48 U49 U50 U51 U52 U53 U54" showDropDown="0" showInputMessage="0" showErrorMessage="0" allowBlank="1" type="list">
      <formula1>"🔴 Critical,🟡 High,🟢 Medium,⚫ Low"</formula1>
    </dataValidation>
    <dataValidation sqref="V5 V6 V7 V8 V9 V10 V11 V12 V13 V14 V15 V16 V17 V18 V19 V20 V21 V22 V23 V24 V25 V26 V27 V28 V29 V30 V31 V32 V33 V34 V35 V36 V37 V38 V39 V40 V41 V42 V43 V44 V45 V46 V47 V48 V49 V50 V51 V52 V53 V54" showDropDown="0" showInputMessage="0" showErrorMessage="0" allowBlank="1" type="list">
      <formula1>"Active_Monitoring,Passive_Monitoring,Concluded"</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1" type="list">
      <formula1>"4.0,3.1"</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1" type="list">
      <formula1>"Integrated,Standalone,Planned,Deprecated"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54"/>
  <sheetViews>
    <sheetView workbookViewId="0">
      <selection activeCell="A1" sqref="A1"/>
    </sheetView>
  </sheetViews>
  <sheetFormatPr baseColWidth="8" defaultRowHeight="15"/>
  <cols>
    <col width="12" customWidth="1" min="1" max="1"/>
    <col width="25" customWidth="1" min="2" max="2"/>
    <col width="18" customWidth="1" min="3" max="3"/>
    <col width="20" customWidth="1" min="4" max="4"/>
    <col width="16" customWidth="1" min="5" max="5"/>
    <col width="20" customWidth="1" min="6" max="6"/>
    <col width="35" customWidth="1" min="7" max="7"/>
    <col width="18" customWidth="1" min="8" max="8"/>
    <col width="25" customWidth="1" min="9" max="9"/>
    <col width="14" customWidth="1" min="10" max="10"/>
    <col width="12" customWidth="1" min="11" max="11"/>
    <col width="12" customWidth="1" min="12" max="12"/>
    <col width="16" customWidth="1" min="13" max="13"/>
    <col width="16" customWidth="1" min="14" max="14"/>
    <col width="12" customWidth="1" min="15" max="15"/>
    <col width="40" customWidth="1" min="16" max="16"/>
  </cols>
  <sheetData>
    <row r="1" ht="30" customHeight="1">
      <c r="A1" s="1" t="inlineStr">
        <is>
          <t>Analysis Tools &amp; Platforms (v1.0)</t>
        </is>
      </c>
    </row>
    <row r="2" ht="30" customHeight="1">
      <c r="A2" s="9" t="inlineStr">
        <is>
          <t>Document all threat intelligence analysis tools. Track CVSS support capability for v1.0 integration.</t>
        </is>
      </c>
    </row>
    <row r="4" ht="35" customHeight="1">
      <c r="A4" s="10" t="inlineStr">
        <is>
          <t>Tool ID</t>
        </is>
      </c>
      <c r="B4" s="10" t="inlineStr">
        <is>
          <t>Tool Name</t>
        </is>
      </c>
      <c r="C4" s="10" t="inlineStr">
        <is>
          <t>Tool Category</t>
        </is>
      </c>
      <c r="D4" s="10" t="inlineStr">
        <is>
          <t>Vendor</t>
        </is>
      </c>
      <c r="E4" s="10" t="inlineStr">
        <is>
          <t>License Type</t>
        </is>
      </c>
      <c r="F4" s="10" t="inlineStr">
        <is>
          <t>Primary Users</t>
        </is>
      </c>
      <c r="G4" s="10" t="inlineStr">
        <is>
          <t>Use Cases</t>
        </is>
      </c>
      <c r="H4" s="10" t="inlineStr">
        <is>
          <t>Integration Status</t>
        </is>
      </c>
      <c r="I4" s="10" t="inlineStr">
        <is>
          <t>Data Sources</t>
        </is>
      </c>
      <c r="J4" s="10" t="inlineStr">
        <is>
          <t>CVSS Support</t>
        </is>
      </c>
      <c r="K4" s="10" t="inlineStr">
        <is>
          <t>Last Updated</t>
        </is>
      </c>
      <c r="L4" s="10" t="inlineStr">
        <is>
          <t>Version</t>
        </is>
      </c>
      <c r="M4" s="10" t="inlineStr">
        <is>
          <t>Training Required</t>
        </is>
      </c>
      <c r="N4" s="10" t="inlineStr">
        <is>
          <t>Training Status</t>
        </is>
      </c>
      <c r="O4" s="10" t="inlineStr">
        <is>
          <t>Cost Annual</t>
        </is>
      </c>
      <c r="P4" s="10" t="inlineStr">
        <is>
          <t>Notes</t>
        </is>
      </c>
    </row>
    <row r="5">
      <c r="A5" s="11" t="inlineStr">
        <is>
          <t>TOOL-001</t>
        </is>
      </c>
      <c r="B5" s="12" t="n"/>
      <c r="C5" s="12" t="n"/>
      <c r="D5" s="12" t="n"/>
      <c r="E5" s="12" t="n"/>
      <c r="F5" s="12" t="n"/>
      <c r="G5" s="12" t="n"/>
      <c r="H5" s="12" t="n"/>
      <c r="I5" s="12" t="n"/>
      <c r="J5" s="12" t="n"/>
      <c r="K5" s="13" t="n"/>
      <c r="L5" s="12" t="n"/>
      <c r="M5" s="12" t="n"/>
      <c r="N5" s="12" t="n"/>
      <c r="O5" s="15" t="n"/>
      <c r="P5" s="12" t="n"/>
    </row>
    <row r="6">
      <c r="A6" s="11" t="inlineStr">
        <is>
          <t>TOOL-002</t>
        </is>
      </c>
      <c r="B6" s="12" t="n"/>
      <c r="C6" s="12" t="n"/>
      <c r="D6" s="12" t="n"/>
      <c r="E6" s="12" t="n"/>
      <c r="F6" s="12" t="n"/>
      <c r="G6" s="12" t="n"/>
      <c r="H6" s="12" t="n"/>
      <c r="I6" s="12" t="n"/>
      <c r="J6" s="12" t="n"/>
      <c r="K6" s="13" t="n"/>
      <c r="L6" s="12" t="n"/>
      <c r="M6" s="12" t="n"/>
      <c r="N6" s="12" t="n"/>
      <c r="O6" s="15" t="n"/>
      <c r="P6" s="12" t="n"/>
    </row>
    <row r="7">
      <c r="A7" s="11" t="inlineStr">
        <is>
          <t>TOOL-003</t>
        </is>
      </c>
      <c r="B7" s="12" t="n"/>
      <c r="C7" s="12" t="n"/>
      <c r="D7" s="12" t="n"/>
      <c r="E7" s="12" t="n"/>
      <c r="F7" s="12" t="n"/>
      <c r="G7" s="12" t="n"/>
      <c r="H7" s="12" t="n"/>
      <c r="I7" s="12" t="n"/>
      <c r="J7" s="12" t="n"/>
      <c r="K7" s="13" t="n"/>
      <c r="L7" s="12" t="n"/>
      <c r="M7" s="12" t="n"/>
      <c r="N7" s="12" t="n"/>
      <c r="O7" s="15" t="n"/>
      <c r="P7" s="12" t="n"/>
    </row>
    <row r="8">
      <c r="A8" s="11" t="inlineStr">
        <is>
          <t>TOOL-004</t>
        </is>
      </c>
      <c r="B8" s="12" t="n"/>
      <c r="C8" s="12" t="n"/>
      <c r="D8" s="12" t="n"/>
      <c r="E8" s="12" t="n"/>
      <c r="F8" s="12" t="n"/>
      <c r="G8" s="12" t="n"/>
      <c r="H8" s="12" t="n"/>
      <c r="I8" s="12" t="n"/>
      <c r="J8" s="12" t="n"/>
      <c r="K8" s="13" t="n"/>
      <c r="L8" s="12" t="n"/>
      <c r="M8" s="12" t="n"/>
      <c r="N8" s="12" t="n"/>
      <c r="O8" s="15" t="n"/>
      <c r="P8" s="12" t="n"/>
    </row>
    <row r="9">
      <c r="A9" s="11" t="inlineStr">
        <is>
          <t>TOOL-005</t>
        </is>
      </c>
      <c r="B9" s="12" t="n"/>
      <c r="C9" s="12" t="n"/>
      <c r="D9" s="12" t="n"/>
      <c r="E9" s="12" t="n"/>
      <c r="F9" s="12" t="n"/>
      <c r="G9" s="12" t="n"/>
      <c r="H9" s="12" t="n"/>
      <c r="I9" s="12" t="n"/>
      <c r="J9" s="12" t="n"/>
      <c r="K9" s="13" t="n"/>
      <c r="L9" s="12" t="n"/>
      <c r="M9" s="12" t="n"/>
      <c r="N9" s="12" t="n"/>
      <c r="O9" s="15" t="n"/>
      <c r="P9" s="12" t="n"/>
    </row>
    <row r="10">
      <c r="A10" s="11" t="inlineStr">
        <is>
          <t>TOOL-006</t>
        </is>
      </c>
      <c r="B10" s="12" t="n"/>
      <c r="C10" s="12" t="n"/>
      <c r="D10" s="12" t="n"/>
      <c r="E10" s="12" t="n"/>
      <c r="F10" s="12" t="n"/>
      <c r="G10" s="12" t="n"/>
      <c r="H10" s="12" t="n"/>
      <c r="I10" s="12" t="n"/>
      <c r="J10" s="12" t="n"/>
      <c r="K10" s="13" t="n"/>
      <c r="L10" s="12" t="n"/>
      <c r="M10" s="12" t="n"/>
      <c r="N10" s="12" t="n"/>
      <c r="O10" s="15" t="n"/>
      <c r="P10" s="12" t="n"/>
    </row>
    <row r="11">
      <c r="A11" s="11" t="inlineStr">
        <is>
          <t>TOOL-007</t>
        </is>
      </c>
      <c r="B11" s="12" t="n"/>
      <c r="C11" s="12" t="n"/>
      <c r="D11" s="12" t="n"/>
      <c r="E11" s="12" t="n"/>
      <c r="F11" s="12" t="n"/>
      <c r="G11" s="12" t="n"/>
      <c r="H11" s="12" t="n"/>
      <c r="I11" s="12" t="n"/>
      <c r="J11" s="12" t="n"/>
      <c r="K11" s="13" t="n"/>
      <c r="L11" s="12" t="n"/>
      <c r="M11" s="12" t="n"/>
      <c r="N11" s="12" t="n"/>
      <c r="O11" s="15" t="n"/>
      <c r="P11" s="12" t="n"/>
    </row>
    <row r="12">
      <c r="A12" s="11" t="inlineStr">
        <is>
          <t>TOOL-008</t>
        </is>
      </c>
      <c r="B12" s="12" t="n"/>
      <c r="C12" s="12" t="n"/>
      <c r="D12" s="12" t="n"/>
      <c r="E12" s="12" t="n"/>
      <c r="F12" s="12" t="n"/>
      <c r="G12" s="12" t="n"/>
      <c r="H12" s="12" t="n"/>
      <c r="I12" s="12" t="n"/>
      <c r="J12" s="12" t="n"/>
      <c r="K12" s="13" t="n"/>
      <c r="L12" s="12" t="n"/>
      <c r="M12" s="12" t="n"/>
      <c r="N12" s="12" t="n"/>
      <c r="O12" s="15" t="n"/>
      <c r="P12" s="12" t="n"/>
    </row>
    <row r="13">
      <c r="A13" s="11" t="inlineStr">
        <is>
          <t>TOOL-009</t>
        </is>
      </c>
      <c r="B13" s="12" t="n"/>
      <c r="C13" s="12" t="n"/>
      <c r="D13" s="12" t="n"/>
      <c r="E13" s="12" t="n"/>
      <c r="F13" s="12" t="n"/>
      <c r="G13" s="12" t="n"/>
      <c r="H13" s="12" t="n"/>
      <c r="I13" s="12" t="n"/>
      <c r="J13" s="12" t="n"/>
      <c r="K13" s="13" t="n"/>
      <c r="L13" s="12" t="n"/>
      <c r="M13" s="12" t="n"/>
      <c r="N13" s="12" t="n"/>
      <c r="O13" s="15" t="n"/>
      <c r="P13" s="12" t="n"/>
    </row>
    <row r="14">
      <c r="A14" s="11" t="inlineStr">
        <is>
          <t>TOOL-010</t>
        </is>
      </c>
      <c r="B14" s="12" t="n"/>
      <c r="C14" s="12" t="n"/>
      <c r="D14" s="12" t="n"/>
      <c r="E14" s="12" t="n"/>
      <c r="F14" s="12" t="n"/>
      <c r="G14" s="12" t="n"/>
      <c r="H14" s="12" t="n"/>
      <c r="I14" s="12" t="n"/>
      <c r="J14" s="12" t="n"/>
      <c r="K14" s="13" t="n"/>
      <c r="L14" s="12" t="n"/>
      <c r="M14" s="12" t="n"/>
      <c r="N14" s="12" t="n"/>
      <c r="O14" s="15" t="n"/>
      <c r="P14" s="12" t="n"/>
    </row>
    <row r="15">
      <c r="A15" s="11" t="inlineStr">
        <is>
          <t>TOOL-011</t>
        </is>
      </c>
      <c r="B15" s="12" t="n"/>
      <c r="C15" s="12" t="n"/>
      <c r="D15" s="12" t="n"/>
      <c r="E15" s="12" t="n"/>
      <c r="F15" s="12" t="n"/>
      <c r="G15" s="12" t="n"/>
      <c r="H15" s="12" t="n"/>
      <c r="I15" s="12" t="n"/>
      <c r="J15" s="12" t="n"/>
      <c r="K15" s="13" t="n"/>
      <c r="L15" s="12" t="n"/>
      <c r="M15" s="12" t="n"/>
      <c r="N15" s="12" t="n"/>
      <c r="O15" s="15" t="n"/>
      <c r="P15" s="12" t="n"/>
    </row>
    <row r="16">
      <c r="A16" s="11" t="inlineStr">
        <is>
          <t>TOOL-012</t>
        </is>
      </c>
      <c r="B16" s="12" t="n"/>
      <c r="C16" s="12" t="n"/>
      <c r="D16" s="12" t="n"/>
      <c r="E16" s="12" t="n"/>
      <c r="F16" s="12" t="n"/>
      <c r="G16" s="12" t="n"/>
      <c r="H16" s="12" t="n"/>
      <c r="I16" s="12" t="n"/>
      <c r="J16" s="12" t="n"/>
      <c r="K16" s="13" t="n"/>
      <c r="L16" s="12" t="n"/>
      <c r="M16" s="12" t="n"/>
      <c r="N16" s="12" t="n"/>
      <c r="O16" s="15" t="n"/>
      <c r="P16" s="12" t="n"/>
    </row>
    <row r="17">
      <c r="A17" s="11" t="inlineStr">
        <is>
          <t>TOOL-013</t>
        </is>
      </c>
      <c r="B17" s="12" t="n"/>
      <c r="C17" s="12" t="n"/>
      <c r="D17" s="12" t="n"/>
      <c r="E17" s="12" t="n"/>
      <c r="F17" s="12" t="n"/>
      <c r="G17" s="12" t="n"/>
      <c r="H17" s="12" t="n"/>
      <c r="I17" s="12" t="n"/>
      <c r="J17" s="12" t="n"/>
      <c r="K17" s="13" t="n"/>
      <c r="L17" s="12" t="n"/>
      <c r="M17" s="12" t="n"/>
      <c r="N17" s="12" t="n"/>
      <c r="O17" s="15" t="n"/>
      <c r="P17" s="12" t="n"/>
    </row>
    <row r="18">
      <c r="A18" s="11" t="inlineStr">
        <is>
          <t>TOOL-014</t>
        </is>
      </c>
      <c r="B18" s="12" t="n"/>
      <c r="C18" s="12" t="n"/>
      <c r="D18" s="12" t="n"/>
      <c r="E18" s="12" t="n"/>
      <c r="F18" s="12" t="n"/>
      <c r="G18" s="12" t="n"/>
      <c r="H18" s="12" t="n"/>
      <c r="I18" s="12" t="n"/>
      <c r="J18" s="12" t="n"/>
      <c r="K18" s="13" t="n"/>
      <c r="L18" s="12" t="n"/>
      <c r="M18" s="12" t="n"/>
      <c r="N18" s="12" t="n"/>
      <c r="O18" s="15" t="n"/>
      <c r="P18" s="12" t="n"/>
    </row>
    <row r="19">
      <c r="A19" s="11" t="inlineStr">
        <is>
          <t>TOOL-015</t>
        </is>
      </c>
      <c r="B19" s="12" t="n"/>
      <c r="C19" s="12" t="n"/>
      <c r="D19" s="12" t="n"/>
      <c r="E19" s="12" t="n"/>
      <c r="F19" s="12" t="n"/>
      <c r="G19" s="12" t="n"/>
      <c r="H19" s="12" t="n"/>
      <c r="I19" s="12" t="n"/>
      <c r="J19" s="12" t="n"/>
      <c r="K19" s="13" t="n"/>
      <c r="L19" s="12" t="n"/>
      <c r="M19" s="12" t="n"/>
      <c r="N19" s="12" t="n"/>
      <c r="O19" s="15" t="n"/>
      <c r="P19" s="12" t="n"/>
    </row>
    <row r="20">
      <c r="A20" s="11" t="inlineStr">
        <is>
          <t>TOOL-016</t>
        </is>
      </c>
      <c r="B20" s="12" t="n"/>
      <c r="C20" s="12" t="n"/>
      <c r="D20" s="12" t="n"/>
      <c r="E20" s="12" t="n"/>
      <c r="F20" s="12" t="n"/>
      <c r="G20" s="12" t="n"/>
      <c r="H20" s="12" t="n"/>
      <c r="I20" s="12" t="n"/>
      <c r="J20" s="12" t="n"/>
      <c r="K20" s="13" t="n"/>
      <c r="L20" s="12" t="n"/>
      <c r="M20" s="12" t="n"/>
      <c r="N20" s="12" t="n"/>
      <c r="O20" s="15" t="n"/>
      <c r="P20" s="12" t="n"/>
    </row>
    <row r="21">
      <c r="A21" s="11" t="inlineStr">
        <is>
          <t>TOOL-017</t>
        </is>
      </c>
      <c r="B21" s="12" t="n"/>
      <c r="C21" s="12" t="n"/>
      <c r="D21" s="12" t="n"/>
      <c r="E21" s="12" t="n"/>
      <c r="F21" s="12" t="n"/>
      <c r="G21" s="12" t="n"/>
      <c r="H21" s="12" t="n"/>
      <c r="I21" s="12" t="n"/>
      <c r="J21" s="12" t="n"/>
      <c r="K21" s="13" t="n"/>
      <c r="L21" s="12" t="n"/>
      <c r="M21" s="12" t="n"/>
      <c r="N21" s="12" t="n"/>
      <c r="O21" s="15" t="n"/>
      <c r="P21" s="12" t="n"/>
    </row>
    <row r="22">
      <c r="A22" s="11" t="inlineStr">
        <is>
          <t>TOOL-018</t>
        </is>
      </c>
      <c r="B22" s="12" t="n"/>
      <c r="C22" s="12" t="n"/>
      <c r="D22" s="12" t="n"/>
      <c r="E22" s="12" t="n"/>
      <c r="F22" s="12" t="n"/>
      <c r="G22" s="12" t="n"/>
      <c r="H22" s="12" t="n"/>
      <c r="I22" s="12" t="n"/>
      <c r="J22" s="12" t="n"/>
      <c r="K22" s="13" t="n"/>
      <c r="L22" s="12" t="n"/>
      <c r="M22" s="12" t="n"/>
      <c r="N22" s="12" t="n"/>
      <c r="O22" s="15" t="n"/>
      <c r="P22" s="12" t="n"/>
    </row>
    <row r="23">
      <c r="A23" s="11" t="inlineStr">
        <is>
          <t>TOOL-019</t>
        </is>
      </c>
      <c r="B23" s="12" t="n"/>
      <c r="C23" s="12" t="n"/>
      <c r="D23" s="12" t="n"/>
      <c r="E23" s="12" t="n"/>
      <c r="F23" s="12" t="n"/>
      <c r="G23" s="12" t="n"/>
      <c r="H23" s="12" t="n"/>
      <c r="I23" s="12" t="n"/>
      <c r="J23" s="12" t="n"/>
      <c r="K23" s="13" t="n"/>
      <c r="L23" s="12" t="n"/>
      <c r="M23" s="12" t="n"/>
      <c r="N23" s="12" t="n"/>
      <c r="O23" s="15" t="n"/>
      <c r="P23" s="12" t="n"/>
    </row>
    <row r="24">
      <c r="A24" s="11" t="inlineStr">
        <is>
          <t>TOOL-020</t>
        </is>
      </c>
      <c r="B24" s="12" t="n"/>
      <c r="C24" s="12" t="n"/>
      <c r="D24" s="12" t="n"/>
      <c r="E24" s="12" t="n"/>
      <c r="F24" s="12" t="n"/>
      <c r="G24" s="12" t="n"/>
      <c r="H24" s="12" t="n"/>
      <c r="I24" s="12" t="n"/>
      <c r="J24" s="12" t="n"/>
      <c r="K24" s="13" t="n"/>
      <c r="L24" s="12" t="n"/>
      <c r="M24" s="12" t="n"/>
      <c r="N24" s="12" t="n"/>
      <c r="O24" s="15" t="n"/>
      <c r="P24" s="12" t="n"/>
    </row>
    <row r="25">
      <c r="A25" s="11" t="inlineStr">
        <is>
          <t>TOOL-021</t>
        </is>
      </c>
      <c r="B25" s="12" t="n"/>
      <c r="C25" s="12" t="n"/>
      <c r="D25" s="12" t="n"/>
      <c r="E25" s="12" t="n"/>
      <c r="F25" s="12" t="n"/>
      <c r="G25" s="12" t="n"/>
      <c r="H25" s="12" t="n"/>
      <c r="I25" s="12" t="n"/>
      <c r="J25" s="12" t="n"/>
      <c r="K25" s="13" t="n"/>
      <c r="L25" s="12" t="n"/>
      <c r="M25" s="12" t="n"/>
      <c r="N25" s="12" t="n"/>
      <c r="O25" s="15" t="n"/>
      <c r="P25" s="12" t="n"/>
    </row>
    <row r="26">
      <c r="A26" s="11" t="inlineStr">
        <is>
          <t>TOOL-022</t>
        </is>
      </c>
      <c r="B26" s="12" t="n"/>
      <c r="C26" s="12" t="n"/>
      <c r="D26" s="12" t="n"/>
      <c r="E26" s="12" t="n"/>
      <c r="F26" s="12" t="n"/>
      <c r="G26" s="12" t="n"/>
      <c r="H26" s="12" t="n"/>
      <c r="I26" s="12" t="n"/>
      <c r="J26" s="12" t="n"/>
      <c r="K26" s="13" t="n"/>
      <c r="L26" s="12" t="n"/>
      <c r="M26" s="12" t="n"/>
      <c r="N26" s="12" t="n"/>
      <c r="O26" s="15" t="n"/>
      <c r="P26" s="12" t="n"/>
    </row>
    <row r="27">
      <c r="A27" s="11" t="inlineStr">
        <is>
          <t>TOOL-023</t>
        </is>
      </c>
      <c r="B27" s="12" t="n"/>
      <c r="C27" s="12" t="n"/>
      <c r="D27" s="12" t="n"/>
      <c r="E27" s="12" t="n"/>
      <c r="F27" s="12" t="n"/>
      <c r="G27" s="12" t="n"/>
      <c r="H27" s="12" t="n"/>
      <c r="I27" s="12" t="n"/>
      <c r="J27" s="12" t="n"/>
      <c r="K27" s="13" t="n"/>
      <c r="L27" s="12" t="n"/>
      <c r="M27" s="12" t="n"/>
      <c r="N27" s="12" t="n"/>
      <c r="O27" s="15" t="n"/>
      <c r="P27" s="12" t="n"/>
    </row>
    <row r="28">
      <c r="A28" s="11" t="inlineStr">
        <is>
          <t>TOOL-024</t>
        </is>
      </c>
      <c r="B28" s="12" t="n"/>
      <c r="C28" s="12" t="n"/>
      <c r="D28" s="12" t="n"/>
      <c r="E28" s="12" t="n"/>
      <c r="F28" s="12" t="n"/>
      <c r="G28" s="12" t="n"/>
      <c r="H28" s="12" t="n"/>
      <c r="I28" s="12" t="n"/>
      <c r="J28" s="12" t="n"/>
      <c r="K28" s="13" t="n"/>
      <c r="L28" s="12" t="n"/>
      <c r="M28" s="12" t="n"/>
      <c r="N28" s="12" t="n"/>
      <c r="O28" s="15" t="n"/>
      <c r="P28" s="12" t="n"/>
    </row>
    <row r="29">
      <c r="A29" s="11" t="inlineStr">
        <is>
          <t>TOOL-025</t>
        </is>
      </c>
      <c r="B29" s="12" t="n"/>
      <c r="C29" s="12" t="n"/>
      <c r="D29" s="12" t="n"/>
      <c r="E29" s="12" t="n"/>
      <c r="F29" s="12" t="n"/>
      <c r="G29" s="12" t="n"/>
      <c r="H29" s="12" t="n"/>
      <c r="I29" s="12" t="n"/>
      <c r="J29" s="12" t="n"/>
      <c r="K29" s="13" t="n"/>
      <c r="L29" s="12" t="n"/>
      <c r="M29" s="12" t="n"/>
      <c r="N29" s="12" t="n"/>
      <c r="O29" s="15" t="n"/>
      <c r="P29" s="12" t="n"/>
    </row>
    <row r="30">
      <c r="A30" s="11" t="inlineStr">
        <is>
          <t>TOOL-026</t>
        </is>
      </c>
      <c r="B30" s="12" t="n"/>
      <c r="C30" s="12" t="n"/>
      <c r="D30" s="12" t="n"/>
      <c r="E30" s="12" t="n"/>
      <c r="F30" s="12" t="n"/>
      <c r="G30" s="12" t="n"/>
      <c r="H30" s="12" t="n"/>
      <c r="I30" s="12" t="n"/>
      <c r="J30" s="12" t="n"/>
      <c r="K30" s="13" t="n"/>
      <c r="L30" s="12" t="n"/>
      <c r="M30" s="12" t="n"/>
      <c r="N30" s="12" t="n"/>
      <c r="O30" s="15" t="n"/>
      <c r="P30" s="12" t="n"/>
    </row>
    <row r="31">
      <c r="A31" s="11" t="inlineStr">
        <is>
          <t>TOOL-027</t>
        </is>
      </c>
      <c r="B31" s="12" t="n"/>
      <c r="C31" s="12" t="n"/>
      <c r="D31" s="12" t="n"/>
      <c r="E31" s="12" t="n"/>
      <c r="F31" s="12" t="n"/>
      <c r="G31" s="12" t="n"/>
      <c r="H31" s="12" t="n"/>
      <c r="I31" s="12" t="n"/>
      <c r="J31" s="12" t="n"/>
      <c r="K31" s="13" t="n"/>
      <c r="L31" s="12" t="n"/>
      <c r="M31" s="12" t="n"/>
      <c r="N31" s="12" t="n"/>
      <c r="O31" s="15" t="n"/>
      <c r="P31" s="12" t="n"/>
    </row>
    <row r="32">
      <c r="A32" s="11" t="inlineStr">
        <is>
          <t>TOOL-028</t>
        </is>
      </c>
      <c r="B32" s="12" t="n"/>
      <c r="C32" s="12" t="n"/>
      <c r="D32" s="12" t="n"/>
      <c r="E32" s="12" t="n"/>
      <c r="F32" s="12" t="n"/>
      <c r="G32" s="12" t="n"/>
      <c r="H32" s="12" t="n"/>
      <c r="I32" s="12" t="n"/>
      <c r="J32" s="12" t="n"/>
      <c r="K32" s="13" t="n"/>
      <c r="L32" s="12" t="n"/>
      <c r="M32" s="12" t="n"/>
      <c r="N32" s="12" t="n"/>
      <c r="O32" s="15" t="n"/>
      <c r="P32" s="12" t="n"/>
    </row>
    <row r="33">
      <c r="A33" s="11" t="inlineStr">
        <is>
          <t>TOOL-029</t>
        </is>
      </c>
      <c r="B33" s="12" t="n"/>
      <c r="C33" s="12" t="n"/>
      <c r="D33" s="12" t="n"/>
      <c r="E33" s="12" t="n"/>
      <c r="F33" s="12" t="n"/>
      <c r="G33" s="12" t="n"/>
      <c r="H33" s="12" t="n"/>
      <c r="I33" s="12" t="n"/>
      <c r="J33" s="12" t="n"/>
      <c r="K33" s="13" t="n"/>
      <c r="L33" s="12" t="n"/>
      <c r="M33" s="12" t="n"/>
      <c r="N33" s="12" t="n"/>
      <c r="O33" s="15" t="n"/>
      <c r="P33" s="12" t="n"/>
    </row>
    <row r="34">
      <c r="A34" s="11" t="inlineStr">
        <is>
          <t>TOOL-030</t>
        </is>
      </c>
      <c r="B34" s="12" t="n"/>
      <c r="C34" s="12" t="n"/>
      <c r="D34" s="12" t="n"/>
      <c r="E34" s="12" t="n"/>
      <c r="F34" s="12" t="n"/>
      <c r="G34" s="12" t="n"/>
      <c r="H34" s="12" t="n"/>
      <c r="I34" s="12" t="n"/>
      <c r="J34" s="12" t="n"/>
      <c r="K34" s="13" t="n"/>
      <c r="L34" s="12" t="n"/>
      <c r="M34" s="12" t="n"/>
      <c r="N34" s="12" t="n"/>
      <c r="O34" s="15" t="n"/>
      <c r="P34" s="12" t="n"/>
    </row>
    <row r="35">
      <c r="A35" s="11" t="inlineStr">
        <is>
          <t>TOOL-031</t>
        </is>
      </c>
      <c r="B35" s="12" t="n"/>
      <c r="C35" s="12" t="n"/>
      <c r="D35" s="12" t="n"/>
      <c r="E35" s="12" t="n"/>
      <c r="F35" s="12" t="n"/>
      <c r="G35" s="12" t="n"/>
      <c r="H35" s="12" t="n"/>
      <c r="I35" s="12" t="n"/>
      <c r="J35" s="12" t="n"/>
      <c r="K35" s="13" t="n"/>
      <c r="L35" s="12" t="n"/>
      <c r="M35" s="12" t="n"/>
      <c r="N35" s="12" t="n"/>
      <c r="O35" s="15" t="n"/>
      <c r="P35" s="12" t="n"/>
    </row>
    <row r="36">
      <c r="A36" s="11" t="inlineStr">
        <is>
          <t>TOOL-032</t>
        </is>
      </c>
      <c r="B36" s="12" t="n"/>
      <c r="C36" s="12" t="n"/>
      <c r="D36" s="12" t="n"/>
      <c r="E36" s="12" t="n"/>
      <c r="F36" s="12" t="n"/>
      <c r="G36" s="12" t="n"/>
      <c r="H36" s="12" t="n"/>
      <c r="I36" s="12" t="n"/>
      <c r="J36" s="12" t="n"/>
      <c r="K36" s="13" t="n"/>
      <c r="L36" s="12" t="n"/>
      <c r="M36" s="12" t="n"/>
      <c r="N36" s="12" t="n"/>
      <c r="O36" s="15" t="n"/>
      <c r="P36" s="12" t="n"/>
    </row>
    <row r="37">
      <c r="A37" s="11" t="inlineStr">
        <is>
          <t>TOOL-033</t>
        </is>
      </c>
      <c r="B37" s="12" t="n"/>
      <c r="C37" s="12" t="n"/>
      <c r="D37" s="12" t="n"/>
      <c r="E37" s="12" t="n"/>
      <c r="F37" s="12" t="n"/>
      <c r="G37" s="12" t="n"/>
      <c r="H37" s="12" t="n"/>
      <c r="I37" s="12" t="n"/>
      <c r="J37" s="12" t="n"/>
      <c r="K37" s="13" t="n"/>
      <c r="L37" s="12" t="n"/>
      <c r="M37" s="12" t="n"/>
      <c r="N37" s="12" t="n"/>
      <c r="O37" s="15" t="n"/>
      <c r="P37" s="12" t="n"/>
    </row>
    <row r="38">
      <c r="A38" s="11" t="inlineStr">
        <is>
          <t>TOOL-034</t>
        </is>
      </c>
      <c r="B38" s="12" t="n"/>
      <c r="C38" s="12" t="n"/>
      <c r="D38" s="12" t="n"/>
      <c r="E38" s="12" t="n"/>
      <c r="F38" s="12" t="n"/>
      <c r="G38" s="12" t="n"/>
      <c r="H38" s="12" t="n"/>
      <c r="I38" s="12" t="n"/>
      <c r="J38" s="12" t="n"/>
      <c r="K38" s="13" t="n"/>
      <c r="L38" s="12" t="n"/>
      <c r="M38" s="12" t="n"/>
      <c r="N38" s="12" t="n"/>
      <c r="O38" s="15" t="n"/>
      <c r="P38" s="12" t="n"/>
    </row>
    <row r="39">
      <c r="A39" s="11" t="inlineStr">
        <is>
          <t>TOOL-035</t>
        </is>
      </c>
      <c r="B39" s="12" t="n"/>
      <c r="C39" s="12" t="n"/>
      <c r="D39" s="12" t="n"/>
      <c r="E39" s="12" t="n"/>
      <c r="F39" s="12" t="n"/>
      <c r="G39" s="12" t="n"/>
      <c r="H39" s="12" t="n"/>
      <c r="I39" s="12" t="n"/>
      <c r="J39" s="12" t="n"/>
      <c r="K39" s="13" t="n"/>
      <c r="L39" s="12" t="n"/>
      <c r="M39" s="12" t="n"/>
      <c r="N39" s="12" t="n"/>
      <c r="O39" s="15" t="n"/>
      <c r="P39" s="12" t="n"/>
    </row>
    <row r="40">
      <c r="A40" s="11" t="inlineStr">
        <is>
          <t>TOOL-036</t>
        </is>
      </c>
      <c r="B40" s="12" t="n"/>
      <c r="C40" s="12" t="n"/>
      <c r="D40" s="12" t="n"/>
      <c r="E40" s="12" t="n"/>
      <c r="F40" s="12" t="n"/>
      <c r="G40" s="12" t="n"/>
      <c r="H40" s="12" t="n"/>
      <c r="I40" s="12" t="n"/>
      <c r="J40" s="12" t="n"/>
      <c r="K40" s="13" t="n"/>
      <c r="L40" s="12" t="n"/>
      <c r="M40" s="12" t="n"/>
      <c r="N40" s="12" t="n"/>
      <c r="O40" s="15" t="n"/>
      <c r="P40" s="12" t="n"/>
    </row>
    <row r="41">
      <c r="A41" s="11" t="inlineStr">
        <is>
          <t>TOOL-037</t>
        </is>
      </c>
      <c r="B41" s="12" t="n"/>
      <c r="C41" s="12" t="n"/>
      <c r="D41" s="12" t="n"/>
      <c r="E41" s="12" t="n"/>
      <c r="F41" s="12" t="n"/>
      <c r="G41" s="12" t="n"/>
      <c r="H41" s="12" t="n"/>
      <c r="I41" s="12" t="n"/>
      <c r="J41" s="12" t="n"/>
      <c r="K41" s="13" t="n"/>
      <c r="L41" s="12" t="n"/>
      <c r="M41" s="12" t="n"/>
      <c r="N41" s="12" t="n"/>
      <c r="O41" s="15" t="n"/>
      <c r="P41" s="12" t="n"/>
    </row>
    <row r="42">
      <c r="A42" s="11" t="inlineStr">
        <is>
          <t>TOOL-038</t>
        </is>
      </c>
      <c r="B42" s="12" t="n"/>
      <c r="C42" s="12" t="n"/>
      <c r="D42" s="12" t="n"/>
      <c r="E42" s="12" t="n"/>
      <c r="F42" s="12" t="n"/>
      <c r="G42" s="12" t="n"/>
      <c r="H42" s="12" t="n"/>
      <c r="I42" s="12" t="n"/>
      <c r="J42" s="12" t="n"/>
      <c r="K42" s="13" t="n"/>
      <c r="L42" s="12" t="n"/>
      <c r="M42" s="12" t="n"/>
      <c r="N42" s="12" t="n"/>
      <c r="O42" s="15" t="n"/>
      <c r="P42" s="12" t="n"/>
    </row>
    <row r="43">
      <c r="A43" s="11" t="inlineStr">
        <is>
          <t>TOOL-039</t>
        </is>
      </c>
      <c r="B43" s="12" t="n"/>
      <c r="C43" s="12" t="n"/>
      <c r="D43" s="12" t="n"/>
      <c r="E43" s="12" t="n"/>
      <c r="F43" s="12" t="n"/>
      <c r="G43" s="12" t="n"/>
      <c r="H43" s="12" t="n"/>
      <c r="I43" s="12" t="n"/>
      <c r="J43" s="12" t="n"/>
      <c r="K43" s="13" t="n"/>
      <c r="L43" s="12" t="n"/>
      <c r="M43" s="12" t="n"/>
      <c r="N43" s="12" t="n"/>
      <c r="O43" s="15" t="n"/>
      <c r="P43" s="12" t="n"/>
    </row>
    <row r="44">
      <c r="A44" s="11" t="inlineStr">
        <is>
          <t>TOOL-040</t>
        </is>
      </c>
      <c r="B44" s="12" t="n"/>
      <c r="C44" s="12" t="n"/>
      <c r="D44" s="12" t="n"/>
      <c r="E44" s="12" t="n"/>
      <c r="F44" s="12" t="n"/>
      <c r="G44" s="12" t="n"/>
      <c r="H44" s="12" t="n"/>
      <c r="I44" s="12" t="n"/>
      <c r="J44" s="12" t="n"/>
      <c r="K44" s="13" t="n"/>
      <c r="L44" s="12" t="n"/>
      <c r="M44" s="12" t="n"/>
      <c r="N44" s="12" t="n"/>
      <c r="O44" s="15" t="n"/>
      <c r="P44" s="12" t="n"/>
    </row>
    <row r="45">
      <c r="A45" s="11" t="inlineStr">
        <is>
          <t>TOOL-041</t>
        </is>
      </c>
      <c r="B45" s="12" t="n"/>
      <c r="C45" s="12" t="n"/>
      <c r="D45" s="12" t="n"/>
      <c r="E45" s="12" t="n"/>
      <c r="F45" s="12" t="n"/>
      <c r="G45" s="12" t="n"/>
      <c r="H45" s="12" t="n"/>
      <c r="I45" s="12" t="n"/>
      <c r="J45" s="12" t="n"/>
      <c r="K45" s="13" t="n"/>
      <c r="L45" s="12" t="n"/>
      <c r="M45" s="12" t="n"/>
      <c r="N45" s="12" t="n"/>
      <c r="O45" s="15" t="n"/>
      <c r="P45" s="12" t="n"/>
    </row>
    <row r="46">
      <c r="A46" s="11" t="inlineStr">
        <is>
          <t>TOOL-042</t>
        </is>
      </c>
      <c r="B46" s="12" t="n"/>
      <c r="C46" s="12" t="n"/>
      <c r="D46" s="12" t="n"/>
      <c r="E46" s="12" t="n"/>
      <c r="F46" s="12" t="n"/>
      <c r="G46" s="12" t="n"/>
      <c r="H46" s="12" t="n"/>
      <c r="I46" s="12" t="n"/>
      <c r="J46" s="12" t="n"/>
      <c r="K46" s="13" t="n"/>
      <c r="L46" s="12" t="n"/>
      <c r="M46" s="12" t="n"/>
      <c r="N46" s="12" t="n"/>
      <c r="O46" s="15" t="n"/>
      <c r="P46" s="12" t="n"/>
    </row>
    <row r="47">
      <c r="A47" s="11" t="inlineStr">
        <is>
          <t>TOOL-043</t>
        </is>
      </c>
      <c r="B47" s="12" t="n"/>
      <c r="C47" s="12" t="n"/>
      <c r="D47" s="12" t="n"/>
      <c r="E47" s="12" t="n"/>
      <c r="F47" s="12" t="n"/>
      <c r="G47" s="12" t="n"/>
      <c r="H47" s="12" t="n"/>
      <c r="I47" s="12" t="n"/>
      <c r="J47" s="12" t="n"/>
      <c r="K47" s="13" t="n"/>
      <c r="L47" s="12" t="n"/>
      <c r="M47" s="12" t="n"/>
      <c r="N47" s="12" t="n"/>
      <c r="O47" s="15" t="n"/>
      <c r="P47" s="12" t="n"/>
    </row>
    <row r="48">
      <c r="A48" s="11" t="inlineStr">
        <is>
          <t>TOOL-044</t>
        </is>
      </c>
      <c r="B48" s="12" t="n"/>
      <c r="C48" s="12" t="n"/>
      <c r="D48" s="12" t="n"/>
      <c r="E48" s="12" t="n"/>
      <c r="F48" s="12" t="n"/>
      <c r="G48" s="12" t="n"/>
      <c r="H48" s="12" t="n"/>
      <c r="I48" s="12" t="n"/>
      <c r="J48" s="12" t="n"/>
      <c r="K48" s="13" t="n"/>
      <c r="L48" s="12" t="n"/>
      <c r="M48" s="12" t="n"/>
      <c r="N48" s="12" t="n"/>
      <c r="O48" s="15" t="n"/>
      <c r="P48" s="12" t="n"/>
    </row>
    <row r="49">
      <c r="A49" s="11" t="inlineStr">
        <is>
          <t>TOOL-045</t>
        </is>
      </c>
      <c r="B49" s="12" t="n"/>
      <c r="C49" s="12" t="n"/>
      <c r="D49" s="12" t="n"/>
      <c r="E49" s="12" t="n"/>
      <c r="F49" s="12" t="n"/>
      <c r="G49" s="12" t="n"/>
      <c r="H49" s="12" t="n"/>
      <c r="I49" s="12" t="n"/>
      <c r="J49" s="12" t="n"/>
      <c r="K49" s="13" t="n"/>
      <c r="L49" s="12" t="n"/>
      <c r="M49" s="12" t="n"/>
      <c r="N49" s="12" t="n"/>
      <c r="O49" s="15" t="n"/>
      <c r="P49" s="12" t="n"/>
    </row>
    <row r="50">
      <c r="A50" s="11" t="inlineStr">
        <is>
          <t>TOOL-046</t>
        </is>
      </c>
      <c r="B50" s="12" t="n"/>
      <c r="C50" s="12" t="n"/>
      <c r="D50" s="12" t="n"/>
      <c r="E50" s="12" t="n"/>
      <c r="F50" s="12" t="n"/>
      <c r="G50" s="12" t="n"/>
      <c r="H50" s="12" t="n"/>
      <c r="I50" s="12" t="n"/>
      <c r="J50" s="12" t="n"/>
      <c r="K50" s="13" t="n"/>
      <c r="L50" s="12" t="n"/>
      <c r="M50" s="12" t="n"/>
      <c r="N50" s="12" t="n"/>
      <c r="O50" s="15" t="n"/>
      <c r="P50" s="12" t="n"/>
    </row>
    <row r="51">
      <c r="A51" s="11" t="inlineStr">
        <is>
          <t>TOOL-047</t>
        </is>
      </c>
      <c r="B51" s="12" t="n"/>
      <c r="C51" s="12" t="n"/>
      <c r="D51" s="12" t="n"/>
      <c r="E51" s="12" t="n"/>
      <c r="F51" s="12" t="n"/>
      <c r="G51" s="12" t="n"/>
      <c r="H51" s="12" t="n"/>
      <c r="I51" s="12" t="n"/>
      <c r="J51" s="12" t="n"/>
      <c r="K51" s="13" t="n"/>
      <c r="L51" s="12" t="n"/>
      <c r="M51" s="12" t="n"/>
      <c r="N51" s="12" t="n"/>
      <c r="O51" s="15" t="n"/>
      <c r="P51" s="12" t="n"/>
    </row>
    <row r="52">
      <c r="A52" s="11" t="inlineStr">
        <is>
          <t>TOOL-048</t>
        </is>
      </c>
      <c r="B52" s="12" t="n"/>
      <c r="C52" s="12" t="n"/>
      <c r="D52" s="12" t="n"/>
      <c r="E52" s="12" t="n"/>
      <c r="F52" s="12" t="n"/>
      <c r="G52" s="12" t="n"/>
      <c r="H52" s="12" t="n"/>
      <c r="I52" s="12" t="n"/>
      <c r="J52" s="12" t="n"/>
      <c r="K52" s="13" t="n"/>
      <c r="L52" s="12" t="n"/>
      <c r="M52" s="12" t="n"/>
      <c r="N52" s="12" t="n"/>
      <c r="O52" s="15" t="n"/>
      <c r="P52" s="12" t="n"/>
    </row>
    <row r="53">
      <c r="A53" s="11" t="inlineStr">
        <is>
          <t>TOOL-049</t>
        </is>
      </c>
      <c r="B53" s="12" t="n"/>
      <c r="C53" s="12" t="n"/>
      <c r="D53" s="12" t="n"/>
      <c r="E53" s="12" t="n"/>
      <c r="F53" s="12" t="n"/>
      <c r="G53" s="12" t="n"/>
      <c r="H53" s="12" t="n"/>
      <c r="I53" s="12" t="n"/>
      <c r="J53" s="12" t="n"/>
      <c r="K53" s="13" t="n"/>
      <c r="L53" s="12" t="n"/>
      <c r="M53" s="12" t="n"/>
      <c r="N53" s="12" t="n"/>
      <c r="O53" s="15" t="n"/>
      <c r="P53" s="12" t="n"/>
    </row>
    <row r="54">
      <c r="A54" s="11" t="inlineStr">
        <is>
          <t>TOOL-050</t>
        </is>
      </c>
      <c r="B54" s="12" t="n"/>
      <c r="C54" s="12" t="n"/>
      <c r="D54" s="12" t="n"/>
      <c r="E54" s="12" t="n"/>
      <c r="F54" s="12" t="n"/>
      <c r="G54" s="12" t="n"/>
      <c r="H54" s="12" t="n"/>
      <c r="I54" s="12" t="n"/>
      <c r="J54" s="12" t="n"/>
      <c r="K54" s="13" t="n"/>
      <c r="L54" s="12" t="n"/>
      <c r="M54" s="12" t="n"/>
      <c r="N54" s="12" t="n"/>
      <c r="O54" s="15" t="n"/>
      <c r="P54" s="12" t="n"/>
    </row>
  </sheetData>
  <mergeCells count="2">
    <mergeCell ref="A1:P1"/>
    <mergeCell ref="A2:P2"/>
  </mergeCells>
  <conditionalFormatting sqref="H5:H54">
    <cfRule type="cellIs" priority="1" operator="equal" dxfId="8">
      <formula>"Deprecated"</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54"/>
  <sheetViews>
    <sheetView workbookViewId="0">
      <selection activeCell="A1" sqref="A1"/>
    </sheetView>
  </sheetViews>
  <sheetFormatPr baseColWidth="8" defaultRowHeight="15"/>
  <cols>
    <col width="12" customWidth="1" min="1" max="1"/>
    <col width="25" customWidth="1" min="2" max="2"/>
    <col width="25" customWidth="1" min="3" max="3"/>
    <col width="18" customWidth="1" min="4" max="4"/>
    <col width="18" customWidth="1" min="5" max="5"/>
    <col width="18" customWidth="1" min="6" max="6"/>
    <col width="12" customWidth="1" min="7" max="7"/>
    <col width="12" customWidth="1" min="8" max="8"/>
    <col width="18" customWidth="1" min="9" max="9"/>
    <col width="16" customWidth="1" min="10" max="10"/>
    <col width="18" customWidth="1" min="11" max="11"/>
    <col width="16" customWidth="1" min="12" max="12"/>
    <col width="30" customWidth="1" min="13" max="13"/>
    <col width="25" customWidth="1" min="14" max="14"/>
    <col width="35" customWidth="1" min="15" max="15"/>
    <col width="30" customWidth="1" min="16" max="16"/>
    <col width="14" customWidth="1" min="17" max="17"/>
    <col width="25" customWidth="1" min="18" max="18"/>
    <col width="12" customWidth="1" min="19" max="19"/>
    <col width="40" customWidth="1" min="20" max="20"/>
  </cols>
  <sheetData>
    <row r="1" ht="30" customHeight="1">
      <c r="A1" s="28" t="inlineStr">
        <is>
          <t>Threat Actor Profiles (v1.0)</t>
        </is>
      </c>
    </row>
    <row r="2" ht="30" customHeight="1">
      <c r="A2" s="29" t="inlineStr">
        <is>
          <t>Document known threat actors. CVEs_Exploited column integrates with Sheet 8 VTL for tracking.</t>
        </is>
      </c>
    </row>
    <row r="4" ht="35" customHeight="1">
      <c r="A4" s="10" t="inlineStr">
        <is>
          <t>Actor ID</t>
        </is>
      </c>
      <c r="B4" s="10" t="inlineStr">
        <is>
          <t>Actor Name</t>
        </is>
      </c>
      <c r="C4" s="10" t="inlineStr">
        <is>
          <t>Actor Aliases</t>
        </is>
      </c>
      <c r="D4" s="10" t="inlineStr">
        <is>
          <t>Actor Type</t>
        </is>
      </c>
      <c r="E4" s="10" t="inlineStr">
        <is>
          <t>Attribution Confidence</t>
        </is>
      </c>
      <c r="F4" s="10" t="inlineStr">
        <is>
          <t>Country of Origin</t>
        </is>
      </c>
      <c r="G4" s="10" t="inlineStr">
        <is>
          <t>First Observed</t>
        </is>
      </c>
      <c r="H4" s="10" t="inlineStr">
        <is>
          <t>Last Activity</t>
        </is>
      </c>
      <c r="I4" s="10" t="inlineStr">
        <is>
          <t>Targeting Our Sector</t>
        </is>
      </c>
      <c r="J4" s="10" t="inlineStr">
        <is>
          <t>Targeting Our Org</t>
        </is>
      </c>
      <c r="K4" s="10" t="inlineStr">
        <is>
          <t>Primary Motivation</t>
        </is>
      </c>
      <c r="L4" s="10" t="inlineStr">
        <is>
          <t>Sophistication Level</t>
        </is>
      </c>
      <c r="M4" s="10" t="inlineStr">
        <is>
          <t>Primary TTPs</t>
        </is>
      </c>
      <c r="N4" s="10" t="inlineStr">
        <is>
          <t>Common Malware</t>
        </is>
      </c>
      <c r="O4" s="10" t="inlineStr">
        <is>
          <t>Infrastructure Notes</t>
        </is>
      </c>
      <c r="P4" s="10" t="inlineStr">
        <is>
          <t>CVEs Exploited</t>
        </is>
      </c>
      <c r="Q4" s="10" t="inlineStr">
        <is>
          <t>VTL Records Count</t>
        </is>
      </c>
      <c r="R4" s="10" t="inlineStr">
        <is>
          <t>Related Campaigns</t>
        </is>
      </c>
      <c r="S4" s="10" t="inlineStr">
        <is>
          <t>Last Update Date</t>
        </is>
      </c>
      <c r="T4" s="10" t="inlineStr">
        <is>
          <t>Notes</t>
        </is>
      </c>
    </row>
    <row r="5">
      <c r="A5" s="11" t="inlineStr">
        <is>
          <t>ACTOR-001</t>
        </is>
      </c>
      <c r="B5" s="12" t="n"/>
      <c r="C5" s="12" t="n"/>
      <c r="D5" s="12" t="n"/>
      <c r="E5" s="12" t="n"/>
      <c r="F5" s="12" t="n"/>
      <c r="G5" s="13" t="n"/>
      <c r="H5" s="13" t="n"/>
      <c r="I5" s="12" t="n"/>
      <c r="J5" s="12" t="n"/>
      <c r="K5" s="12" t="n"/>
      <c r="L5" s="12" t="n"/>
      <c r="M5" s="12" t="n"/>
      <c r="N5" s="12" t="n"/>
      <c r="O5" s="12" t="n"/>
      <c r="P5" s="12" t="n"/>
      <c r="Q5" s="17" t="n"/>
      <c r="R5" s="12" t="n"/>
      <c r="S5" s="13" t="n"/>
      <c r="T5" s="12" t="n"/>
    </row>
    <row r="6">
      <c r="A6" s="11" t="inlineStr">
        <is>
          <t>ACTOR-002</t>
        </is>
      </c>
      <c r="B6" s="12" t="n"/>
      <c r="C6" s="12" t="n"/>
      <c r="D6" s="12" t="n"/>
      <c r="E6" s="12" t="n"/>
      <c r="F6" s="12" t="n"/>
      <c r="G6" s="13" t="n"/>
      <c r="H6" s="13" t="n"/>
      <c r="I6" s="12" t="n"/>
      <c r="J6" s="12" t="n"/>
      <c r="K6" s="12" t="n"/>
      <c r="L6" s="12" t="n"/>
      <c r="M6" s="12" t="n"/>
      <c r="N6" s="12" t="n"/>
      <c r="O6" s="12" t="n"/>
      <c r="P6" s="12" t="n"/>
      <c r="Q6" s="17" t="n"/>
      <c r="R6" s="12" t="n"/>
      <c r="S6" s="13" t="n"/>
      <c r="T6" s="12" t="n"/>
    </row>
    <row r="7">
      <c r="A7" s="11" t="inlineStr">
        <is>
          <t>ACTOR-003</t>
        </is>
      </c>
      <c r="B7" s="12" t="n"/>
      <c r="C7" s="12" t="n"/>
      <c r="D7" s="12" t="n"/>
      <c r="E7" s="12" t="n"/>
      <c r="F7" s="12" t="n"/>
      <c r="G7" s="13" t="n"/>
      <c r="H7" s="13" t="n"/>
      <c r="I7" s="12" t="n"/>
      <c r="J7" s="12" t="n"/>
      <c r="K7" s="12" t="n"/>
      <c r="L7" s="12" t="n"/>
      <c r="M7" s="12" t="n"/>
      <c r="N7" s="12" t="n"/>
      <c r="O7" s="12" t="n"/>
      <c r="P7" s="12" t="n"/>
      <c r="Q7" s="17" t="n"/>
      <c r="R7" s="12" t="n"/>
      <c r="S7" s="13" t="n"/>
      <c r="T7" s="12" t="n"/>
    </row>
    <row r="8">
      <c r="A8" s="11" t="inlineStr">
        <is>
          <t>ACTOR-004</t>
        </is>
      </c>
      <c r="B8" s="12" t="n"/>
      <c r="C8" s="12" t="n"/>
      <c r="D8" s="12" t="n"/>
      <c r="E8" s="12" t="n"/>
      <c r="F8" s="12" t="n"/>
      <c r="G8" s="13" t="n"/>
      <c r="H8" s="13" t="n"/>
      <c r="I8" s="12" t="n"/>
      <c r="J8" s="12" t="n"/>
      <c r="K8" s="12" t="n"/>
      <c r="L8" s="12" t="n"/>
      <c r="M8" s="12" t="n"/>
      <c r="N8" s="12" t="n"/>
      <c r="O8" s="12" t="n"/>
      <c r="P8" s="12" t="n"/>
      <c r="Q8" s="17" t="n"/>
      <c r="R8" s="12" t="n"/>
      <c r="S8" s="13" t="n"/>
      <c r="T8" s="12" t="n"/>
    </row>
    <row r="9">
      <c r="A9" s="11" t="inlineStr">
        <is>
          <t>ACTOR-005</t>
        </is>
      </c>
      <c r="B9" s="12" t="n"/>
      <c r="C9" s="12" t="n"/>
      <c r="D9" s="12" t="n"/>
      <c r="E9" s="12" t="n"/>
      <c r="F9" s="12" t="n"/>
      <c r="G9" s="13" t="n"/>
      <c r="H9" s="13" t="n"/>
      <c r="I9" s="12" t="n"/>
      <c r="J9" s="12" t="n"/>
      <c r="K9" s="12" t="n"/>
      <c r="L9" s="12" t="n"/>
      <c r="M9" s="12" t="n"/>
      <c r="N9" s="12" t="n"/>
      <c r="O9" s="12" t="n"/>
      <c r="P9" s="12" t="n"/>
      <c r="Q9" s="17" t="n"/>
      <c r="R9" s="12" t="n"/>
      <c r="S9" s="13" t="n"/>
      <c r="T9" s="12" t="n"/>
    </row>
    <row r="10">
      <c r="A10" s="11" t="inlineStr">
        <is>
          <t>ACTOR-006</t>
        </is>
      </c>
      <c r="B10" s="12" t="n"/>
      <c r="C10" s="12" t="n"/>
      <c r="D10" s="12" t="n"/>
      <c r="E10" s="12" t="n"/>
      <c r="F10" s="12" t="n"/>
      <c r="G10" s="13" t="n"/>
      <c r="H10" s="13" t="n"/>
      <c r="I10" s="12" t="n"/>
      <c r="J10" s="12" t="n"/>
      <c r="K10" s="12" t="n"/>
      <c r="L10" s="12" t="n"/>
      <c r="M10" s="12" t="n"/>
      <c r="N10" s="12" t="n"/>
      <c r="O10" s="12" t="n"/>
      <c r="P10" s="12" t="n"/>
      <c r="Q10" s="17" t="n"/>
      <c r="R10" s="12" t="n"/>
      <c r="S10" s="13" t="n"/>
      <c r="T10" s="12" t="n"/>
    </row>
    <row r="11">
      <c r="A11" s="11" t="inlineStr">
        <is>
          <t>ACTOR-007</t>
        </is>
      </c>
      <c r="B11" s="12" t="n"/>
      <c r="C11" s="12" t="n"/>
      <c r="D11" s="12" t="n"/>
      <c r="E11" s="12" t="n"/>
      <c r="F11" s="12" t="n"/>
      <c r="G11" s="13" t="n"/>
      <c r="H11" s="13" t="n"/>
      <c r="I11" s="12" t="n"/>
      <c r="J11" s="12" t="n"/>
      <c r="K11" s="12" t="n"/>
      <c r="L11" s="12" t="n"/>
      <c r="M11" s="12" t="n"/>
      <c r="N11" s="12" t="n"/>
      <c r="O11" s="12" t="n"/>
      <c r="P11" s="12" t="n"/>
      <c r="Q11" s="17" t="n"/>
      <c r="R11" s="12" t="n"/>
      <c r="S11" s="13" t="n"/>
      <c r="T11" s="12" t="n"/>
    </row>
    <row r="12">
      <c r="A12" s="11" t="inlineStr">
        <is>
          <t>ACTOR-008</t>
        </is>
      </c>
      <c r="B12" s="12" t="n"/>
      <c r="C12" s="12" t="n"/>
      <c r="D12" s="12" t="n"/>
      <c r="E12" s="12" t="n"/>
      <c r="F12" s="12" t="n"/>
      <c r="G12" s="13" t="n"/>
      <c r="H12" s="13" t="n"/>
      <c r="I12" s="12" t="n"/>
      <c r="J12" s="12" t="n"/>
      <c r="K12" s="12" t="n"/>
      <c r="L12" s="12" t="n"/>
      <c r="M12" s="12" t="n"/>
      <c r="N12" s="12" t="n"/>
      <c r="O12" s="12" t="n"/>
      <c r="P12" s="12" t="n"/>
      <c r="Q12" s="17" t="n"/>
      <c r="R12" s="12" t="n"/>
      <c r="S12" s="13" t="n"/>
      <c r="T12" s="12" t="n"/>
    </row>
    <row r="13">
      <c r="A13" s="11" t="inlineStr">
        <is>
          <t>ACTOR-009</t>
        </is>
      </c>
      <c r="B13" s="12" t="n"/>
      <c r="C13" s="12" t="n"/>
      <c r="D13" s="12" t="n"/>
      <c r="E13" s="12" t="n"/>
      <c r="F13" s="12" t="n"/>
      <c r="G13" s="13" t="n"/>
      <c r="H13" s="13" t="n"/>
      <c r="I13" s="12" t="n"/>
      <c r="J13" s="12" t="n"/>
      <c r="K13" s="12" t="n"/>
      <c r="L13" s="12" t="n"/>
      <c r="M13" s="12" t="n"/>
      <c r="N13" s="12" t="n"/>
      <c r="O13" s="12" t="n"/>
      <c r="P13" s="12" t="n"/>
      <c r="Q13" s="17" t="n"/>
      <c r="R13" s="12" t="n"/>
      <c r="S13" s="13" t="n"/>
      <c r="T13" s="12" t="n"/>
    </row>
    <row r="14">
      <c r="A14" s="11" t="inlineStr">
        <is>
          <t>ACTOR-010</t>
        </is>
      </c>
      <c r="B14" s="12" t="n"/>
      <c r="C14" s="12" t="n"/>
      <c r="D14" s="12" t="n"/>
      <c r="E14" s="12" t="n"/>
      <c r="F14" s="12" t="n"/>
      <c r="G14" s="13" t="n"/>
      <c r="H14" s="13" t="n"/>
      <c r="I14" s="12" t="n"/>
      <c r="J14" s="12" t="n"/>
      <c r="K14" s="12" t="n"/>
      <c r="L14" s="12" t="n"/>
      <c r="M14" s="12" t="n"/>
      <c r="N14" s="12" t="n"/>
      <c r="O14" s="12" t="n"/>
      <c r="P14" s="12" t="n"/>
      <c r="Q14" s="17" t="n"/>
      <c r="R14" s="12" t="n"/>
      <c r="S14" s="13" t="n"/>
      <c r="T14" s="12" t="n"/>
    </row>
    <row r="15">
      <c r="A15" s="11" t="inlineStr">
        <is>
          <t>ACTOR-011</t>
        </is>
      </c>
      <c r="B15" s="12" t="n"/>
      <c r="C15" s="12" t="n"/>
      <c r="D15" s="12" t="n"/>
      <c r="E15" s="12" t="n"/>
      <c r="F15" s="12" t="n"/>
      <c r="G15" s="13" t="n"/>
      <c r="H15" s="13" t="n"/>
      <c r="I15" s="12" t="n"/>
      <c r="J15" s="12" t="n"/>
      <c r="K15" s="12" t="n"/>
      <c r="L15" s="12" t="n"/>
      <c r="M15" s="12" t="n"/>
      <c r="N15" s="12" t="n"/>
      <c r="O15" s="12" t="n"/>
      <c r="P15" s="12" t="n"/>
      <c r="Q15" s="17" t="n"/>
      <c r="R15" s="12" t="n"/>
      <c r="S15" s="13" t="n"/>
      <c r="T15" s="12" t="n"/>
    </row>
    <row r="16">
      <c r="A16" s="11" t="inlineStr">
        <is>
          <t>ACTOR-012</t>
        </is>
      </c>
      <c r="B16" s="12" t="n"/>
      <c r="C16" s="12" t="n"/>
      <c r="D16" s="12" t="n"/>
      <c r="E16" s="12" t="n"/>
      <c r="F16" s="12" t="n"/>
      <c r="G16" s="13" t="n"/>
      <c r="H16" s="13" t="n"/>
      <c r="I16" s="12" t="n"/>
      <c r="J16" s="12" t="n"/>
      <c r="K16" s="12" t="n"/>
      <c r="L16" s="12" t="n"/>
      <c r="M16" s="12" t="n"/>
      <c r="N16" s="12" t="n"/>
      <c r="O16" s="12" t="n"/>
      <c r="P16" s="12" t="n"/>
      <c r="Q16" s="17" t="n"/>
      <c r="R16" s="12" t="n"/>
      <c r="S16" s="13" t="n"/>
      <c r="T16" s="12" t="n"/>
    </row>
    <row r="17">
      <c r="A17" s="11" t="inlineStr">
        <is>
          <t>ACTOR-013</t>
        </is>
      </c>
      <c r="B17" s="12" t="n"/>
      <c r="C17" s="12" t="n"/>
      <c r="D17" s="12" t="n"/>
      <c r="E17" s="12" t="n"/>
      <c r="F17" s="12" t="n"/>
      <c r="G17" s="13" t="n"/>
      <c r="H17" s="13" t="n"/>
      <c r="I17" s="12" t="n"/>
      <c r="J17" s="12" t="n"/>
      <c r="K17" s="12" t="n"/>
      <c r="L17" s="12" t="n"/>
      <c r="M17" s="12" t="n"/>
      <c r="N17" s="12" t="n"/>
      <c r="O17" s="12" t="n"/>
      <c r="P17" s="12" t="n"/>
      <c r="Q17" s="17" t="n"/>
      <c r="R17" s="12" t="n"/>
      <c r="S17" s="13" t="n"/>
      <c r="T17" s="12" t="n"/>
    </row>
    <row r="18">
      <c r="A18" s="11" t="inlineStr">
        <is>
          <t>ACTOR-014</t>
        </is>
      </c>
      <c r="B18" s="12" t="n"/>
      <c r="C18" s="12" t="n"/>
      <c r="D18" s="12" t="n"/>
      <c r="E18" s="12" t="n"/>
      <c r="F18" s="12" t="n"/>
      <c r="G18" s="13" t="n"/>
      <c r="H18" s="13" t="n"/>
      <c r="I18" s="12" t="n"/>
      <c r="J18" s="12" t="n"/>
      <c r="K18" s="12" t="n"/>
      <c r="L18" s="12" t="n"/>
      <c r="M18" s="12" t="n"/>
      <c r="N18" s="12" t="n"/>
      <c r="O18" s="12" t="n"/>
      <c r="P18" s="12" t="n"/>
      <c r="Q18" s="17" t="n"/>
      <c r="R18" s="12" t="n"/>
      <c r="S18" s="13" t="n"/>
      <c r="T18" s="12" t="n"/>
    </row>
    <row r="19">
      <c r="A19" s="11" t="inlineStr">
        <is>
          <t>ACTOR-015</t>
        </is>
      </c>
      <c r="B19" s="12" t="n"/>
      <c r="C19" s="12" t="n"/>
      <c r="D19" s="12" t="n"/>
      <c r="E19" s="12" t="n"/>
      <c r="F19" s="12" t="n"/>
      <c r="G19" s="13" t="n"/>
      <c r="H19" s="13" t="n"/>
      <c r="I19" s="12" t="n"/>
      <c r="J19" s="12" t="n"/>
      <c r="K19" s="12" t="n"/>
      <c r="L19" s="12" t="n"/>
      <c r="M19" s="12" t="n"/>
      <c r="N19" s="12" t="n"/>
      <c r="O19" s="12" t="n"/>
      <c r="P19" s="12" t="n"/>
      <c r="Q19" s="17" t="n"/>
      <c r="R19" s="12" t="n"/>
      <c r="S19" s="13" t="n"/>
      <c r="T19" s="12" t="n"/>
    </row>
    <row r="20">
      <c r="A20" s="11" t="inlineStr">
        <is>
          <t>ACTOR-016</t>
        </is>
      </c>
      <c r="B20" s="12" t="n"/>
      <c r="C20" s="12" t="n"/>
      <c r="D20" s="12" t="n"/>
      <c r="E20" s="12" t="n"/>
      <c r="F20" s="12" t="n"/>
      <c r="G20" s="13" t="n"/>
      <c r="H20" s="13" t="n"/>
      <c r="I20" s="12" t="n"/>
      <c r="J20" s="12" t="n"/>
      <c r="K20" s="12" t="n"/>
      <c r="L20" s="12" t="n"/>
      <c r="M20" s="12" t="n"/>
      <c r="N20" s="12" t="n"/>
      <c r="O20" s="12" t="n"/>
      <c r="P20" s="12" t="n"/>
      <c r="Q20" s="17" t="n"/>
      <c r="R20" s="12" t="n"/>
      <c r="S20" s="13" t="n"/>
      <c r="T20" s="12" t="n"/>
    </row>
    <row r="21">
      <c r="A21" s="11" t="inlineStr">
        <is>
          <t>ACTOR-017</t>
        </is>
      </c>
      <c r="B21" s="12" t="n"/>
      <c r="C21" s="12" t="n"/>
      <c r="D21" s="12" t="n"/>
      <c r="E21" s="12" t="n"/>
      <c r="F21" s="12" t="n"/>
      <c r="G21" s="13" t="n"/>
      <c r="H21" s="13" t="n"/>
      <c r="I21" s="12" t="n"/>
      <c r="J21" s="12" t="n"/>
      <c r="K21" s="12" t="n"/>
      <c r="L21" s="12" t="n"/>
      <c r="M21" s="12" t="n"/>
      <c r="N21" s="12" t="n"/>
      <c r="O21" s="12" t="n"/>
      <c r="P21" s="12" t="n"/>
      <c r="Q21" s="17" t="n"/>
      <c r="R21" s="12" t="n"/>
      <c r="S21" s="13" t="n"/>
      <c r="T21" s="12" t="n"/>
    </row>
    <row r="22">
      <c r="A22" s="11" t="inlineStr">
        <is>
          <t>ACTOR-018</t>
        </is>
      </c>
      <c r="B22" s="12" t="n"/>
      <c r="C22" s="12" t="n"/>
      <c r="D22" s="12" t="n"/>
      <c r="E22" s="12" t="n"/>
      <c r="F22" s="12" t="n"/>
      <c r="G22" s="13" t="n"/>
      <c r="H22" s="13" t="n"/>
      <c r="I22" s="12" t="n"/>
      <c r="J22" s="12" t="n"/>
      <c r="K22" s="12" t="n"/>
      <c r="L22" s="12" t="n"/>
      <c r="M22" s="12" t="n"/>
      <c r="N22" s="12" t="n"/>
      <c r="O22" s="12" t="n"/>
      <c r="P22" s="12" t="n"/>
      <c r="Q22" s="17" t="n"/>
      <c r="R22" s="12" t="n"/>
      <c r="S22" s="13" t="n"/>
      <c r="T22" s="12" t="n"/>
    </row>
    <row r="23">
      <c r="A23" s="11" t="inlineStr">
        <is>
          <t>ACTOR-019</t>
        </is>
      </c>
      <c r="B23" s="12" t="n"/>
      <c r="C23" s="12" t="n"/>
      <c r="D23" s="12" t="n"/>
      <c r="E23" s="12" t="n"/>
      <c r="F23" s="12" t="n"/>
      <c r="G23" s="13" t="n"/>
      <c r="H23" s="13" t="n"/>
      <c r="I23" s="12" t="n"/>
      <c r="J23" s="12" t="n"/>
      <c r="K23" s="12" t="n"/>
      <c r="L23" s="12" t="n"/>
      <c r="M23" s="12" t="n"/>
      <c r="N23" s="12" t="n"/>
      <c r="O23" s="12" t="n"/>
      <c r="P23" s="12" t="n"/>
      <c r="Q23" s="17" t="n"/>
      <c r="R23" s="12" t="n"/>
      <c r="S23" s="13" t="n"/>
      <c r="T23" s="12" t="n"/>
    </row>
    <row r="24">
      <c r="A24" s="11" t="inlineStr">
        <is>
          <t>ACTOR-020</t>
        </is>
      </c>
      <c r="B24" s="12" t="n"/>
      <c r="C24" s="12" t="n"/>
      <c r="D24" s="12" t="n"/>
      <c r="E24" s="12" t="n"/>
      <c r="F24" s="12" t="n"/>
      <c r="G24" s="13" t="n"/>
      <c r="H24" s="13" t="n"/>
      <c r="I24" s="12" t="n"/>
      <c r="J24" s="12" t="n"/>
      <c r="K24" s="12" t="n"/>
      <c r="L24" s="12" t="n"/>
      <c r="M24" s="12" t="n"/>
      <c r="N24" s="12" t="n"/>
      <c r="O24" s="12" t="n"/>
      <c r="P24" s="12" t="n"/>
      <c r="Q24" s="17" t="n"/>
      <c r="R24" s="12" t="n"/>
      <c r="S24" s="13" t="n"/>
      <c r="T24" s="12" t="n"/>
    </row>
    <row r="25">
      <c r="A25" s="11" t="inlineStr">
        <is>
          <t>ACTOR-021</t>
        </is>
      </c>
      <c r="B25" s="12" t="n"/>
      <c r="C25" s="12" t="n"/>
      <c r="D25" s="12" t="n"/>
      <c r="E25" s="12" t="n"/>
      <c r="F25" s="12" t="n"/>
      <c r="G25" s="13" t="n"/>
      <c r="H25" s="13" t="n"/>
      <c r="I25" s="12" t="n"/>
      <c r="J25" s="12" t="n"/>
      <c r="K25" s="12" t="n"/>
      <c r="L25" s="12" t="n"/>
      <c r="M25" s="12" t="n"/>
      <c r="N25" s="12" t="n"/>
      <c r="O25" s="12" t="n"/>
      <c r="P25" s="12" t="n"/>
      <c r="Q25" s="17" t="n"/>
      <c r="R25" s="12" t="n"/>
      <c r="S25" s="13" t="n"/>
      <c r="T25" s="12" t="n"/>
    </row>
    <row r="26">
      <c r="A26" s="11" t="inlineStr">
        <is>
          <t>ACTOR-022</t>
        </is>
      </c>
      <c r="B26" s="12" t="n"/>
      <c r="C26" s="12" t="n"/>
      <c r="D26" s="12" t="n"/>
      <c r="E26" s="12" t="n"/>
      <c r="F26" s="12" t="n"/>
      <c r="G26" s="13" t="n"/>
      <c r="H26" s="13" t="n"/>
      <c r="I26" s="12" t="n"/>
      <c r="J26" s="12" t="n"/>
      <c r="K26" s="12" t="n"/>
      <c r="L26" s="12" t="n"/>
      <c r="M26" s="12" t="n"/>
      <c r="N26" s="12" t="n"/>
      <c r="O26" s="12" t="n"/>
      <c r="P26" s="12" t="n"/>
      <c r="Q26" s="17" t="n"/>
      <c r="R26" s="12" t="n"/>
      <c r="S26" s="13" t="n"/>
      <c r="T26" s="12" t="n"/>
    </row>
    <row r="27">
      <c r="A27" s="11" t="inlineStr">
        <is>
          <t>ACTOR-023</t>
        </is>
      </c>
      <c r="B27" s="12" t="n"/>
      <c r="C27" s="12" t="n"/>
      <c r="D27" s="12" t="n"/>
      <c r="E27" s="12" t="n"/>
      <c r="F27" s="12" t="n"/>
      <c r="G27" s="13" t="n"/>
      <c r="H27" s="13" t="n"/>
      <c r="I27" s="12" t="n"/>
      <c r="J27" s="12" t="n"/>
      <c r="K27" s="12" t="n"/>
      <c r="L27" s="12" t="n"/>
      <c r="M27" s="12" t="n"/>
      <c r="N27" s="12" t="n"/>
      <c r="O27" s="12" t="n"/>
      <c r="P27" s="12" t="n"/>
      <c r="Q27" s="17" t="n"/>
      <c r="R27" s="12" t="n"/>
      <c r="S27" s="13" t="n"/>
      <c r="T27" s="12" t="n"/>
    </row>
    <row r="28">
      <c r="A28" s="11" t="inlineStr">
        <is>
          <t>ACTOR-024</t>
        </is>
      </c>
      <c r="B28" s="12" t="n"/>
      <c r="C28" s="12" t="n"/>
      <c r="D28" s="12" t="n"/>
      <c r="E28" s="12" t="n"/>
      <c r="F28" s="12" t="n"/>
      <c r="G28" s="13" t="n"/>
      <c r="H28" s="13" t="n"/>
      <c r="I28" s="12" t="n"/>
      <c r="J28" s="12" t="n"/>
      <c r="K28" s="12" t="n"/>
      <c r="L28" s="12" t="n"/>
      <c r="M28" s="12" t="n"/>
      <c r="N28" s="12" t="n"/>
      <c r="O28" s="12" t="n"/>
      <c r="P28" s="12" t="n"/>
      <c r="Q28" s="17" t="n"/>
      <c r="R28" s="12" t="n"/>
      <c r="S28" s="13" t="n"/>
      <c r="T28" s="12" t="n"/>
    </row>
    <row r="29">
      <c r="A29" s="11" t="inlineStr">
        <is>
          <t>ACTOR-025</t>
        </is>
      </c>
      <c r="B29" s="12" t="n"/>
      <c r="C29" s="12" t="n"/>
      <c r="D29" s="12" t="n"/>
      <c r="E29" s="12" t="n"/>
      <c r="F29" s="12" t="n"/>
      <c r="G29" s="13" t="n"/>
      <c r="H29" s="13" t="n"/>
      <c r="I29" s="12" t="n"/>
      <c r="J29" s="12" t="n"/>
      <c r="K29" s="12" t="n"/>
      <c r="L29" s="12" t="n"/>
      <c r="M29" s="12" t="n"/>
      <c r="N29" s="12" t="n"/>
      <c r="O29" s="12" t="n"/>
      <c r="P29" s="12" t="n"/>
      <c r="Q29" s="17" t="n"/>
      <c r="R29" s="12" t="n"/>
      <c r="S29" s="13" t="n"/>
      <c r="T29" s="12" t="n"/>
    </row>
    <row r="30">
      <c r="A30" s="11" t="inlineStr">
        <is>
          <t>ACTOR-026</t>
        </is>
      </c>
      <c r="B30" s="12" t="n"/>
      <c r="C30" s="12" t="n"/>
      <c r="D30" s="12" t="n"/>
      <c r="E30" s="12" t="n"/>
      <c r="F30" s="12" t="n"/>
      <c r="G30" s="13" t="n"/>
      <c r="H30" s="13" t="n"/>
      <c r="I30" s="12" t="n"/>
      <c r="J30" s="12" t="n"/>
      <c r="K30" s="12" t="n"/>
      <c r="L30" s="12" t="n"/>
      <c r="M30" s="12" t="n"/>
      <c r="N30" s="12" t="n"/>
      <c r="O30" s="12" t="n"/>
      <c r="P30" s="12" t="n"/>
      <c r="Q30" s="17" t="n"/>
      <c r="R30" s="12" t="n"/>
      <c r="S30" s="13" t="n"/>
      <c r="T30" s="12" t="n"/>
    </row>
    <row r="31">
      <c r="A31" s="11" t="inlineStr">
        <is>
          <t>ACTOR-027</t>
        </is>
      </c>
      <c r="B31" s="12" t="n"/>
      <c r="C31" s="12" t="n"/>
      <c r="D31" s="12" t="n"/>
      <c r="E31" s="12" t="n"/>
      <c r="F31" s="12" t="n"/>
      <c r="G31" s="13" t="n"/>
      <c r="H31" s="13" t="n"/>
      <c r="I31" s="12" t="n"/>
      <c r="J31" s="12" t="n"/>
      <c r="K31" s="12" t="n"/>
      <c r="L31" s="12" t="n"/>
      <c r="M31" s="12" t="n"/>
      <c r="N31" s="12" t="n"/>
      <c r="O31" s="12" t="n"/>
      <c r="P31" s="12" t="n"/>
      <c r="Q31" s="17" t="n"/>
      <c r="R31" s="12" t="n"/>
      <c r="S31" s="13" t="n"/>
      <c r="T31" s="12" t="n"/>
    </row>
    <row r="32">
      <c r="A32" s="11" t="inlineStr">
        <is>
          <t>ACTOR-028</t>
        </is>
      </c>
      <c r="B32" s="12" t="n"/>
      <c r="C32" s="12" t="n"/>
      <c r="D32" s="12" t="n"/>
      <c r="E32" s="12" t="n"/>
      <c r="F32" s="12" t="n"/>
      <c r="G32" s="13" t="n"/>
      <c r="H32" s="13" t="n"/>
      <c r="I32" s="12" t="n"/>
      <c r="J32" s="12" t="n"/>
      <c r="K32" s="12" t="n"/>
      <c r="L32" s="12" t="n"/>
      <c r="M32" s="12" t="n"/>
      <c r="N32" s="12" t="n"/>
      <c r="O32" s="12" t="n"/>
      <c r="P32" s="12" t="n"/>
      <c r="Q32" s="17" t="n"/>
      <c r="R32" s="12" t="n"/>
      <c r="S32" s="13" t="n"/>
      <c r="T32" s="12" t="n"/>
    </row>
    <row r="33">
      <c r="A33" s="11" t="inlineStr">
        <is>
          <t>ACTOR-029</t>
        </is>
      </c>
      <c r="B33" s="12" t="n"/>
      <c r="C33" s="12" t="n"/>
      <c r="D33" s="12" t="n"/>
      <c r="E33" s="12" t="n"/>
      <c r="F33" s="12" t="n"/>
      <c r="G33" s="13" t="n"/>
      <c r="H33" s="13" t="n"/>
      <c r="I33" s="12" t="n"/>
      <c r="J33" s="12" t="n"/>
      <c r="K33" s="12" t="n"/>
      <c r="L33" s="12" t="n"/>
      <c r="M33" s="12" t="n"/>
      <c r="N33" s="12" t="n"/>
      <c r="O33" s="12" t="n"/>
      <c r="P33" s="12" t="n"/>
      <c r="Q33" s="17" t="n"/>
      <c r="R33" s="12" t="n"/>
      <c r="S33" s="13" t="n"/>
      <c r="T33" s="12" t="n"/>
    </row>
    <row r="34">
      <c r="A34" s="11" t="inlineStr">
        <is>
          <t>ACTOR-030</t>
        </is>
      </c>
      <c r="B34" s="12" t="n"/>
      <c r="C34" s="12" t="n"/>
      <c r="D34" s="12" t="n"/>
      <c r="E34" s="12" t="n"/>
      <c r="F34" s="12" t="n"/>
      <c r="G34" s="13" t="n"/>
      <c r="H34" s="13" t="n"/>
      <c r="I34" s="12" t="n"/>
      <c r="J34" s="12" t="n"/>
      <c r="K34" s="12" t="n"/>
      <c r="L34" s="12" t="n"/>
      <c r="M34" s="12" t="n"/>
      <c r="N34" s="12" t="n"/>
      <c r="O34" s="12" t="n"/>
      <c r="P34" s="12" t="n"/>
      <c r="Q34" s="17" t="n"/>
      <c r="R34" s="12" t="n"/>
      <c r="S34" s="13" t="n"/>
      <c r="T34" s="12" t="n"/>
    </row>
    <row r="35">
      <c r="A35" s="11" t="inlineStr">
        <is>
          <t>ACTOR-031</t>
        </is>
      </c>
      <c r="B35" s="12" t="n"/>
      <c r="C35" s="12" t="n"/>
      <c r="D35" s="12" t="n"/>
      <c r="E35" s="12" t="n"/>
      <c r="F35" s="12" t="n"/>
      <c r="G35" s="13" t="n"/>
      <c r="H35" s="13" t="n"/>
      <c r="I35" s="12" t="n"/>
      <c r="J35" s="12" t="n"/>
      <c r="K35" s="12" t="n"/>
      <c r="L35" s="12" t="n"/>
      <c r="M35" s="12" t="n"/>
      <c r="N35" s="12" t="n"/>
      <c r="O35" s="12" t="n"/>
      <c r="P35" s="12" t="n"/>
      <c r="Q35" s="17" t="n"/>
      <c r="R35" s="12" t="n"/>
      <c r="S35" s="13" t="n"/>
      <c r="T35" s="12" t="n"/>
    </row>
    <row r="36">
      <c r="A36" s="11" t="inlineStr">
        <is>
          <t>ACTOR-032</t>
        </is>
      </c>
      <c r="B36" s="12" t="n"/>
      <c r="C36" s="12" t="n"/>
      <c r="D36" s="12" t="n"/>
      <c r="E36" s="12" t="n"/>
      <c r="F36" s="12" t="n"/>
      <c r="G36" s="13" t="n"/>
      <c r="H36" s="13" t="n"/>
      <c r="I36" s="12" t="n"/>
      <c r="J36" s="12" t="n"/>
      <c r="K36" s="12" t="n"/>
      <c r="L36" s="12" t="n"/>
      <c r="M36" s="12" t="n"/>
      <c r="N36" s="12" t="n"/>
      <c r="O36" s="12" t="n"/>
      <c r="P36" s="12" t="n"/>
      <c r="Q36" s="17" t="n"/>
      <c r="R36" s="12" t="n"/>
      <c r="S36" s="13" t="n"/>
      <c r="T36" s="12" t="n"/>
    </row>
    <row r="37">
      <c r="A37" s="11" t="inlineStr">
        <is>
          <t>ACTOR-033</t>
        </is>
      </c>
      <c r="B37" s="12" t="n"/>
      <c r="C37" s="12" t="n"/>
      <c r="D37" s="12" t="n"/>
      <c r="E37" s="12" t="n"/>
      <c r="F37" s="12" t="n"/>
      <c r="G37" s="13" t="n"/>
      <c r="H37" s="13" t="n"/>
      <c r="I37" s="12" t="n"/>
      <c r="J37" s="12" t="n"/>
      <c r="K37" s="12" t="n"/>
      <c r="L37" s="12" t="n"/>
      <c r="M37" s="12" t="n"/>
      <c r="N37" s="12" t="n"/>
      <c r="O37" s="12" t="n"/>
      <c r="P37" s="12" t="n"/>
      <c r="Q37" s="17" t="n"/>
      <c r="R37" s="12" t="n"/>
      <c r="S37" s="13" t="n"/>
      <c r="T37" s="12" t="n"/>
    </row>
    <row r="38">
      <c r="A38" s="11" t="inlineStr">
        <is>
          <t>ACTOR-034</t>
        </is>
      </c>
      <c r="B38" s="12" t="n"/>
      <c r="C38" s="12" t="n"/>
      <c r="D38" s="12" t="n"/>
      <c r="E38" s="12" t="n"/>
      <c r="F38" s="12" t="n"/>
      <c r="G38" s="13" t="n"/>
      <c r="H38" s="13" t="n"/>
      <c r="I38" s="12" t="n"/>
      <c r="J38" s="12" t="n"/>
      <c r="K38" s="12" t="n"/>
      <c r="L38" s="12" t="n"/>
      <c r="M38" s="12" t="n"/>
      <c r="N38" s="12" t="n"/>
      <c r="O38" s="12" t="n"/>
      <c r="P38" s="12" t="n"/>
      <c r="Q38" s="17" t="n"/>
      <c r="R38" s="12" t="n"/>
      <c r="S38" s="13" t="n"/>
      <c r="T38" s="12" t="n"/>
    </row>
    <row r="39">
      <c r="A39" s="11" t="inlineStr">
        <is>
          <t>ACTOR-035</t>
        </is>
      </c>
      <c r="B39" s="12" t="n"/>
      <c r="C39" s="12" t="n"/>
      <c r="D39" s="12" t="n"/>
      <c r="E39" s="12" t="n"/>
      <c r="F39" s="12" t="n"/>
      <c r="G39" s="13" t="n"/>
      <c r="H39" s="13" t="n"/>
      <c r="I39" s="12" t="n"/>
      <c r="J39" s="12" t="n"/>
      <c r="K39" s="12" t="n"/>
      <c r="L39" s="12" t="n"/>
      <c r="M39" s="12" t="n"/>
      <c r="N39" s="12" t="n"/>
      <c r="O39" s="12" t="n"/>
      <c r="P39" s="12" t="n"/>
      <c r="Q39" s="17" t="n"/>
      <c r="R39" s="12" t="n"/>
      <c r="S39" s="13" t="n"/>
      <c r="T39" s="12" t="n"/>
    </row>
    <row r="40">
      <c r="A40" s="11" t="inlineStr">
        <is>
          <t>ACTOR-036</t>
        </is>
      </c>
      <c r="B40" s="12" t="n"/>
      <c r="C40" s="12" t="n"/>
      <c r="D40" s="12" t="n"/>
      <c r="E40" s="12" t="n"/>
      <c r="F40" s="12" t="n"/>
      <c r="G40" s="13" t="n"/>
      <c r="H40" s="13" t="n"/>
      <c r="I40" s="12" t="n"/>
      <c r="J40" s="12" t="n"/>
      <c r="K40" s="12" t="n"/>
      <c r="L40" s="12" t="n"/>
      <c r="M40" s="12" t="n"/>
      <c r="N40" s="12" t="n"/>
      <c r="O40" s="12" t="n"/>
      <c r="P40" s="12" t="n"/>
      <c r="Q40" s="17" t="n"/>
      <c r="R40" s="12" t="n"/>
      <c r="S40" s="13" t="n"/>
      <c r="T40" s="12" t="n"/>
    </row>
    <row r="41">
      <c r="A41" s="11" t="inlineStr">
        <is>
          <t>ACTOR-037</t>
        </is>
      </c>
      <c r="B41" s="12" t="n"/>
      <c r="C41" s="12" t="n"/>
      <c r="D41" s="12" t="n"/>
      <c r="E41" s="12" t="n"/>
      <c r="F41" s="12" t="n"/>
      <c r="G41" s="13" t="n"/>
      <c r="H41" s="13" t="n"/>
      <c r="I41" s="12" t="n"/>
      <c r="J41" s="12" t="n"/>
      <c r="K41" s="12" t="n"/>
      <c r="L41" s="12" t="n"/>
      <c r="M41" s="12" t="n"/>
      <c r="N41" s="12" t="n"/>
      <c r="O41" s="12" t="n"/>
      <c r="P41" s="12" t="n"/>
      <c r="Q41" s="17" t="n"/>
      <c r="R41" s="12" t="n"/>
      <c r="S41" s="13" t="n"/>
      <c r="T41" s="12" t="n"/>
    </row>
    <row r="42">
      <c r="A42" s="11" t="inlineStr">
        <is>
          <t>ACTOR-038</t>
        </is>
      </c>
      <c r="B42" s="12" t="n"/>
      <c r="C42" s="12" t="n"/>
      <c r="D42" s="12" t="n"/>
      <c r="E42" s="12" t="n"/>
      <c r="F42" s="12" t="n"/>
      <c r="G42" s="13" t="n"/>
      <c r="H42" s="13" t="n"/>
      <c r="I42" s="12" t="n"/>
      <c r="J42" s="12" t="n"/>
      <c r="K42" s="12" t="n"/>
      <c r="L42" s="12" t="n"/>
      <c r="M42" s="12" t="n"/>
      <c r="N42" s="12" t="n"/>
      <c r="O42" s="12" t="n"/>
      <c r="P42" s="12" t="n"/>
      <c r="Q42" s="17" t="n"/>
      <c r="R42" s="12" t="n"/>
      <c r="S42" s="13" t="n"/>
      <c r="T42" s="12" t="n"/>
    </row>
    <row r="43">
      <c r="A43" s="11" t="inlineStr">
        <is>
          <t>ACTOR-039</t>
        </is>
      </c>
      <c r="B43" s="12" t="n"/>
      <c r="C43" s="12" t="n"/>
      <c r="D43" s="12" t="n"/>
      <c r="E43" s="12" t="n"/>
      <c r="F43" s="12" t="n"/>
      <c r="G43" s="13" t="n"/>
      <c r="H43" s="13" t="n"/>
      <c r="I43" s="12" t="n"/>
      <c r="J43" s="12" t="n"/>
      <c r="K43" s="12" t="n"/>
      <c r="L43" s="12" t="n"/>
      <c r="M43" s="12" t="n"/>
      <c r="N43" s="12" t="n"/>
      <c r="O43" s="12" t="n"/>
      <c r="P43" s="12" t="n"/>
      <c r="Q43" s="17" t="n"/>
      <c r="R43" s="12" t="n"/>
      <c r="S43" s="13" t="n"/>
      <c r="T43" s="12" t="n"/>
    </row>
    <row r="44">
      <c r="A44" s="11" t="inlineStr">
        <is>
          <t>ACTOR-040</t>
        </is>
      </c>
      <c r="B44" s="12" t="n"/>
      <c r="C44" s="12" t="n"/>
      <c r="D44" s="12" t="n"/>
      <c r="E44" s="12" t="n"/>
      <c r="F44" s="12" t="n"/>
      <c r="G44" s="13" t="n"/>
      <c r="H44" s="13" t="n"/>
      <c r="I44" s="12" t="n"/>
      <c r="J44" s="12" t="n"/>
      <c r="K44" s="12" t="n"/>
      <c r="L44" s="12" t="n"/>
      <c r="M44" s="12" t="n"/>
      <c r="N44" s="12" t="n"/>
      <c r="O44" s="12" t="n"/>
      <c r="P44" s="12" t="n"/>
      <c r="Q44" s="17" t="n"/>
      <c r="R44" s="12" t="n"/>
      <c r="S44" s="13" t="n"/>
      <c r="T44" s="12" t="n"/>
    </row>
    <row r="45">
      <c r="A45" s="11" t="inlineStr">
        <is>
          <t>ACTOR-041</t>
        </is>
      </c>
      <c r="B45" s="12" t="n"/>
      <c r="C45" s="12" t="n"/>
      <c r="D45" s="12" t="n"/>
      <c r="E45" s="12" t="n"/>
      <c r="F45" s="12" t="n"/>
      <c r="G45" s="13" t="n"/>
      <c r="H45" s="13" t="n"/>
      <c r="I45" s="12" t="n"/>
      <c r="J45" s="12" t="n"/>
      <c r="K45" s="12" t="n"/>
      <c r="L45" s="12" t="n"/>
      <c r="M45" s="12" t="n"/>
      <c r="N45" s="12" t="n"/>
      <c r="O45" s="12" t="n"/>
      <c r="P45" s="12" t="n"/>
      <c r="Q45" s="17" t="n"/>
      <c r="R45" s="12" t="n"/>
      <c r="S45" s="13" t="n"/>
      <c r="T45" s="12" t="n"/>
    </row>
    <row r="46">
      <c r="A46" s="11" t="inlineStr">
        <is>
          <t>ACTOR-042</t>
        </is>
      </c>
      <c r="B46" s="12" t="n"/>
      <c r="C46" s="12" t="n"/>
      <c r="D46" s="12" t="n"/>
      <c r="E46" s="12" t="n"/>
      <c r="F46" s="12" t="n"/>
      <c r="G46" s="13" t="n"/>
      <c r="H46" s="13" t="n"/>
      <c r="I46" s="12" t="n"/>
      <c r="J46" s="12" t="n"/>
      <c r="K46" s="12" t="n"/>
      <c r="L46" s="12" t="n"/>
      <c r="M46" s="12" t="n"/>
      <c r="N46" s="12" t="n"/>
      <c r="O46" s="12" t="n"/>
      <c r="P46" s="12" t="n"/>
      <c r="Q46" s="17" t="n"/>
      <c r="R46" s="12" t="n"/>
      <c r="S46" s="13" t="n"/>
      <c r="T46" s="12" t="n"/>
    </row>
    <row r="47">
      <c r="A47" s="11" t="inlineStr">
        <is>
          <t>ACTOR-043</t>
        </is>
      </c>
      <c r="B47" s="12" t="n"/>
      <c r="C47" s="12" t="n"/>
      <c r="D47" s="12" t="n"/>
      <c r="E47" s="12" t="n"/>
      <c r="F47" s="12" t="n"/>
      <c r="G47" s="13" t="n"/>
      <c r="H47" s="13" t="n"/>
      <c r="I47" s="12" t="n"/>
      <c r="J47" s="12" t="n"/>
      <c r="K47" s="12" t="n"/>
      <c r="L47" s="12" t="n"/>
      <c r="M47" s="12" t="n"/>
      <c r="N47" s="12" t="n"/>
      <c r="O47" s="12" t="n"/>
      <c r="P47" s="12" t="n"/>
      <c r="Q47" s="17" t="n"/>
      <c r="R47" s="12" t="n"/>
      <c r="S47" s="13" t="n"/>
      <c r="T47" s="12" t="n"/>
    </row>
    <row r="48">
      <c r="A48" s="11" t="inlineStr">
        <is>
          <t>ACTOR-044</t>
        </is>
      </c>
      <c r="B48" s="12" t="n"/>
      <c r="C48" s="12" t="n"/>
      <c r="D48" s="12" t="n"/>
      <c r="E48" s="12" t="n"/>
      <c r="F48" s="12" t="n"/>
      <c r="G48" s="13" t="n"/>
      <c r="H48" s="13" t="n"/>
      <c r="I48" s="12" t="n"/>
      <c r="J48" s="12" t="n"/>
      <c r="K48" s="12" t="n"/>
      <c r="L48" s="12" t="n"/>
      <c r="M48" s="12" t="n"/>
      <c r="N48" s="12" t="n"/>
      <c r="O48" s="12" t="n"/>
      <c r="P48" s="12" t="n"/>
      <c r="Q48" s="17" t="n"/>
      <c r="R48" s="12" t="n"/>
      <c r="S48" s="13" t="n"/>
      <c r="T48" s="12" t="n"/>
    </row>
    <row r="49">
      <c r="A49" s="11" t="inlineStr">
        <is>
          <t>ACTOR-045</t>
        </is>
      </c>
      <c r="B49" s="12" t="n"/>
      <c r="C49" s="12" t="n"/>
      <c r="D49" s="12" t="n"/>
      <c r="E49" s="12" t="n"/>
      <c r="F49" s="12" t="n"/>
      <c r="G49" s="13" t="n"/>
      <c r="H49" s="13" t="n"/>
      <c r="I49" s="12" t="n"/>
      <c r="J49" s="12" t="n"/>
      <c r="K49" s="12" t="n"/>
      <c r="L49" s="12" t="n"/>
      <c r="M49" s="12" t="n"/>
      <c r="N49" s="12" t="n"/>
      <c r="O49" s="12" t="n"/>
      <c r="P49" s="12" t="n"/>
      <c r="Q49" s="17" t="n"/>
      <c r="R49" s="12" t="n"/>
      <c r="S49" s="13" t="n"/>
      <c r="T49" s="12" t="n"/>
    </row>
    <row r="50">
      <c r="A50" s="11" t="inlineStr">
        <is>
          <t>ACTOR-046</t>
        </is>
      </c>
      <c r="B50" s="12" t="n"/>
      <c r="C50" s="12" t="n"/>
      <c r="D50" s="12" t="n"/>
      <c r="E50" s="12" t="n"/>
      <c r="F50" s="12" t="n"/>
      <c r="G50" s="13" t="n"/>
      <c r="H50" s="13" t="n"/>
      <c r="I50" s="12" t="n"/>
      <c r="J50" s="12" t="n"/>
      <c r="K50" s="12" t="n"/>
      <c r="L50" s="12" t="n"/>
      <c r="M50" s="12" t="n"/>
      <c r="N50" s="12" t="n"/>
      <c r="O50" s="12" t="n"/>
      <c r="P50" s="12" t="n"/>
      <c r="Q50" s="17" t="n"/>
      <c r="R50" s="12" t="n"/>
      <c r="S50" s="13" t="n"/>
      <c r="T50" s="12" t="n"/>
    </row>
    <row r="51">
      <c r="A51" s="11" t="inlineStr">
        <is>
          <t>ACTOR-047</t>
        </is>
      </c>
      <c r="B51" s="12" t="n"/>
      <c r="C51" s="12" t="n"/>
      <c r="D51" s="12" t="n"/>
      <c r="E51" s="12" t="n"/>
      <c r="F51" s="12" t="n"/>
      <c r="G51" s="13" t="n"/>
      <c r="H51" s="13" t="n"/>
      <c r="I51" s="12" t="n"/>
      <c r="J51" s="12" t="n"/>
      <c r="K51" s="12" t="n"/>
      <c r="L51" s="12" t="n"/>
      <c r="M51" s="12" t="n"/>
      <c r="N51" s="12" t="n"/>
      <c r="O51" s="12" t="n"/>
      <c r="P51" s="12" t="n"/>
      <c r="Q51" s="17" t="n"/>
      <c r="R51" s="12" t="n"/>
      <c r="S51" s="13" t="n"/>
      <c r="T51" s="12" t="n"/>
    </row>
    <row r="52">
      <c r="A52" s="11" t="inlineStr">
        <is>
          <t>ACTOR-048</t>
        </is>
      </c>
      <c r="B52" s="12" t="n"/>
      <c r="C52" s="12" t="n"/>
      <c r="D52" s="12" t="n"/>
      <c r="E52" s="12" t="n"/>
      <c r="F52" s="12" t="n"/>
      <c r="G52" s="13" t="n"/>
      <c r="H52" s="13" t="n"/>
      <c r="I52" s="12" t="n"/>
      <c r="J52" s="12" t="n"/>
      <c r="K52" s="12" t="n"/>
      <c r="L52" s="12" t="n"/>
      <c r="M52" s="12" t="n"/>
      <c r="N52" s="12" t="n"/>
      <c r="O52" s="12" t="n"/>
      <c r="P52" s="12" t="n"/>
      <c r="Q52" s="17" t="n"/>
      <c r="R52" s="12" t="n"/>
      <c r="S52" s="13" t="n"/>
      <c r="T52" s="12" t="n"/>
    </row>
    <row r="53">
      <c r="A53" s="11" t="inlineStr">
        <is>
          <t>ACTOR-049</t>
        </is>
      </c>
      <c r="B53" s="12" t="n"/>
      <c r="C53" s="12" t="n"/>
      <c r="D53" s="12" t="n"/>
      <c r="E53" s="12" t="n"/>
      <c r="F53" s="12" t="n"/>
      <c r="G53" s="13" t="n"/>
      <c r="H53" s="13" t="n"/>
      <c r="I53" s="12" t="n"/>
      <c r="J53" s="12" t="n"/>
      <c r="K53" s="12" t="n"/>
      <c r="L53" s="12" t="n"/>
      <c r="M53" s="12" t="n"/>
      <c r="N53" s="12" t="n"/>
      <c r="O53" s="12" t="n"/>
      <c r="P53" s="12" t="n"/>
      <c r="Q53" s="17" t="n"/>
      <c r="R53" s="12" t="n"/>
      <c r="S53" s="13" t="n"/>
      <c r="T53" s="12" t="n"/>
    </row>
    <row r="54">
      <c r="A54" s="11" t="inlineStr">
        <is>
          <t>ACTOR-050</t>
        </is>
      </c>
      <c r="B54" s="12" t="n"/>
      <c r="C54" s="12" t="n"/>
      <c r="D54" s="12" t="n"/>
      <c r="E54" s="12" t="n"/>
      <c r="F54" s="12" t="n"/>
      <c r="G54" s="13" t="n"/>
      <c r="H54" s="13" t="n"/>
      <c r="I54" s="12" t="n"/>
      <c r="J54" s="12" t="n"/>
      <c r="K54" s="12" t="n"/>
      <c r="L54" s="12" t="n"/>
      <c r="M54" s="12" t="n"/>
      <c r="N54" s="12" t="n"/>
      <c r="O54" s="12" t="n"/>
      <c r="P54" s="12" t="n"/>
      <c r="Q54" s="17" t="n"/>
      <c r="R54" s="12" t="n"/>
      <c r="S54" s="13" t="n"/>
      <c r="T54" s="12" t="n"/>
    </row>
  </sheetData>
  <mergeCells count="2">
    <mergeCell ref="A1:T1"/>
    <mergeCell ref="A2:T2"/>
  </mergeCells>
  <conditionalFormatting sqref="J5:J54">
    <cfRule type="cellIs" priority="1" operator="equal" dxfId="0">
      <formula>"Confirmed"</formula>
    </cfRule>
    <cfRule type="cellIs" priority="2" operator="equal" dxfId="9">
      <formula>"Suspected"</formula>
    </cfRule>
  </conditionalFormatting>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X54"/>
  <sheetViews>
    <sheetView workbookViewId="0">
      <selection activeCell="A1" sqref="A1"/>
    </sheetView>
  </sheetViews>
  <sheetFormatPr baseColWidth="8" defaultRowHeight="15"/>
  <cols>
    <col width="16" customWidth="1" min="1" max="1"/>
    <col width="30" customWidth="1" min="2" max="2"/>
    <col width="12" customWidth="1" min="3" max="3"/>
    <col width="25" customWidth="1" min="4" max="4"/>
    <col width="12" customWidth="1" min="5" max="5"/>
    <col width="12" customWidth="1" min="6" max="6"/>
    <col width="14" customWidth="1" min="7" max="7"/>
    <col width="30" customWidth="1" min="8" max="8"/>
    <col width="25" customWidth="1" min="9" max="9"/>
    <col width="16" customWidth="1" min="10" max="10"/>
    <col width="16" customWidth="1" min="11" max="11"/>
    <col width="20" customWidth="1" min="12" max="12"/>
    <col width="30" customWidth="1" min="13" max="13"/>
    <col width="30" customWidth="1" min="14" max="14"/>
    <col width="30" customWidth="1" min="15" max="15"/>
    <col width="12" customWidth="1" min="16" max="16"/>
    <col width="12" customWidth="1" min="17" max="17"/>
    <col width="14" customWidth="1" min="18" max="18"/>
    <col width="14" customWidth="1" min="19" max="19"/>
    <col width="25" customWidth="1" min="20" max="20"/>
    <col width="14" customWidth="1" min="21" max="21"/>
    <col width="16" customWidth="1" min="22" max="22"/>
    <col width="12" customWidth="1" min="23" max="23"/>
    <col width="40" customWidth="1" min="24" max="24"/>
  </cols>
  <sheetData>
    <row r="1" ht="30" customHeight="1">
      <c r="A1" s="28" t="inlineStr">
        <is>
          <t>Campaign Tracking (v1.0 - VLOOKUP + CVSS Integration)</t>
        </is>
      </c>
    </row>
    <row r="2" ht="35" customHeight="1">
      <c r="A2" s="29" t="inlineStr">
        <is>
          <t>Track threat campaigns. Actor_Name auto-populated via VLOOKUP from Sheet 12. CVEs_CVSS_Max references Sheet 8.</t>
        </is>
      </c>
    </row>
    <row r="4" ht="35" customHeight="1">
      <c r="A4" s="10" t="inlineStr">
        <is>
          <t>Campaign ID</t>
        </is>
      </c>
      <c r="B4" s="10" t="inlineStr">
        <is>
          <t>Campaign Name</t>
        </is>
      </c>
      <c r="C4" s="10" t="inlineStr">
        <is>
          <t>Actor ID</t>
        </is>
      </c>
      <c r="D4" s="10" t="inlineStr">
        <is>
          <t>Actor Name</t>
        </is>
      </c>
      <c r="E4" s="10" t="inlineStr">
        <is>
          <t>Campaign Start Date</t>
        </is>
      </c>
      <c r="F4" s="10" t="inlineStr">
        <is>
          <t>Campaign End Date</t>
        </is>
      </c>
      <c r="G4" s="10" t="inlineStr">
        <is>
          <t>Campaign Status</t>
        </is>
      </c>
      <c r="H4" s="10" t="inlineStr">
        <is>
          <t>Target Sectors</t>
        </is>
      </c>
      <c r="I4" s="10" t="inlineStr">
        <is>
          <t>Target Geographies</t>
        </is>
      </c>
      <c r="J4" s="10" t="inlineStr">
        <is>
          <t>Our Sector Targeted</t>
        </is>
      </c>
      <c r="K4" s="10" t="inlineStr">
        <is>
          <t>Our Org Targeted</t>
        </is>
      </c>
      <c r="L4" s="10" t="inlineStr">
        <is>
          <t>Primary Objective</t>
        </is>
      </c>
      <c r="M4" s="10" t="inlineStr">
        <is>
          <t>Attack Vectors</t>
        </is>
      </c>
      <c r="N4" s="10" t="inlineStr">
        <is>
          <t>TTPs Used</t>
        </is>
      </c>
      <c r="O4" s="10" t="inlineStr">
        <is>
          <t>CVEs Exploited</t>
        </is>
      </c>
      <c r="P4" s="10" t="inlineStr">
        <is>
          <t>CVEs CVSS Max</t>
        </is>
      </c>
      <c r="Q4" s="10" t="inlineStr">
        <is>
          <t>IOCs Count</t>
        </is>
      </c>
      <c r="R4" s="10" t="inlineStr">
        <is>
          <t>VTL Records Created</t>
        </is>
      </c>
      <c r="S4" s="10" t="inlineStr">
        <is>
          <t>Incidents Our Org</t>
        </is>
      </c>
      <c r="T4" s="10" t="inlineStr">
        <is>
          <t>Intelligence Sources</t>
        </is>
      </c>
      <c r="U4" s="10" t="inlineStr">
        <is>
          <t>Threat Level</t>
        </is>
      </c>
      <c r="V4" s="10" t="inlineStr">
        <is>
          <t>Monitoring Status</t>
        </is>
      </c>
      <c r="W4" s="10" t="inlineStr">
        <is>
          <t>Last Update Date</t>
        </is>
      </c>
      <c r="X4" s="10" t="inlineStr">
        <is>
          <t>Notes</t>
        </is>
      </c>
    </row>
    <row r="5">
      <c r="A5" s="11" t="inlineStr">
        <is>
          <t>CAMP-2025-001</t>
        </is>
      </c>
      <c r="B5" s="12" t="n"/>
      <c r="C5" s="12" t="n"/>
      <c r="D5" s="11">
        <f>IFERROR(VLOOKUP(C5,Threat_Actor_Profiles!A:B,2,FALSE),"Unknown")</f>
        <v/>
      </c>
      <c r="E5" s="13" t="n"/>
      <c r="F5" s="13" t="n"/>
      <c r="G5" s="12" t="n"/>
      <c r="H5" s="12" t="n"/>
      <c r="I5" s="12" t="n"/>
      <c r="J5" s="12" t="n"/>
      <c r="K5" s="12" t="n"/>
      <c r="L5" s="12" t="n"/>
      <c r="M5" s="12" t="n"/>
      <c r="N5" s="12" t="n"/>
      <c r="O5" s="12" t="n"/>
      <c r="P5" s="26" t="inlineStr"/>
      <c r="Q5" s="17" t="n"/>
      <c r="R5" s="17" t="n"/>
      <c r="S5" s="17" t="n"/>
      <c r="T5" s="12" t="n"/>
      <c r="U5" s="12" t="n"/>
      <c r="V5" s="12" t="n"/>
      <c r="W5" s="13" t="n"/>
      <c r="X5" s="12" t="n"/>
    </row>
    <row r="6">
      <c r="A6" s="11" t="inlineStr">
        <is>
          <t>CAMP-2025-002</t>
        </is>
      </c>
      <c r="B6" s="12" t="n"/>
      <c r="C6" s="12" t="n"/>
      <c r="D6" s="11">
        <f>IFERROR(VLOOKUP(C6,Threat_Actor_Profiles!A:B,2,FALSE),"Unknown")</f>
        <v/>
      </c>
      <c r="E6" s="13" t="n"/>
      <c r="F6" s="13" t="n"/>
      <c r="G6" s="12" t="n"/>
      <c r="H6" s="12" t="n"/>
      <c r="I6" s="12" t="n"/>
      <c r="J6" s="12" t="n"/>
      <c r="K6" s="12" t="n"/>
      <c r="L6" s="12" t="n"/>
      <c r="M6" s="12" t="n"/>
      <c r="N6" s="12" t="n"/>
      <c r="O6" s="12" t="n"/>
      <c r="P6" s="26" t="inlineStr"/>
      <c r="Q6" s="17" t="n"/>
      <c r="R6" s="17" t="n"/>
      <c r="S6" s="17" t="n"/>
      <c r="T6" s="12" t="n"/>
      <c r="U6" s="12" t="n"/>
      <c r="V6" s="12" t="n"/>
      <c r="W6" s="13" t="n"/>
      <c r="X6" s="12" t="n"/>
    </row>
    <row r="7">
      <c r="A7" s="11" t="inlineStr">
        <is>
          <t>CAMP-2025-003</t>
        </is>
      </c>
      <c r="B7" s="12" t="n"/>
      <c r="C7" s="12" t="n"/>
      <c r="D7" s="11">
        <f>IFERROR(VLOOKUP(C7,Threat_Actor_Profiles!A:B,2,FALSE),"Unknown")</f>
        <v/>
      </c>
      <c r="E7" s="13" t="n"/>
      <c r="F7" s="13" t="n"/>
      <c r="G7" s="12" t="n"/>
      <c r="H7" s="12" t="n"/>
      <c r="I7" s="12" t="n"/>
      <c r="J7" s="12" t="n"/>
      <c r="K7" s="12" t="n"/>
      <c r="L7" s="12" t="n"/>
      <c r="M7" s="12" t="n"/>
      <c r="N7" s="12" t="n"/>
      <c r="O7" s="12" t="n"/>
      <c r="P7" s="26" t="inlineStr"/>
      <c r="Q7" s="17" t="n"/>
      <c r="R7" s="17" t="n"/>
      <c r="S7" s="17" t="n"/>
      <c r="T7" s="12" t="n"/>
      <c r="U7" s="12" t="n"/>
      <c r="V7" s="12" t="n"/>
      <c r="W7" s="13" t="n"/>
      <c r="X7" s="12" t="n"/>
    </row>
    <row r="8">
      <c r="A8" s="11" t="inlineStr">
        <is>
          <t>CAMP-2025-004</t>
        </is>
      </c>
      <c r="B8" s="12" t="n"/>
      <c r="C8" s="12" t="n"/>
      <c r="D8" s="11">
        <f>IFERROR(VLOOKUP(C8,Threat_Actor_Profiles!A:B,2,FALSE),"Unknown")</f>
        <v/>
      </c>
      <c r="E8" s="13" t="n"/>
      <c r="F8" s="13" t="n"/>
      <c r="G8" s="12" t="n"/>
      <c r="H8" s="12" t="n"/>
      <c r="I8" s="12" t="n"/>
      <c r="J8" s="12" t="n"/>
      <c r="K8" s="12" t="n"/>
      <c r="L8" s="12" t="n"/>
      <c r="M8" s="12" t="n"/>
      <c r="N8" s="12" t="n"/>
      <c r="O8" s="12" t="n"/>
      <c r="P8" s="26" t="inlineStr"/>
      <c r="Q8" s="17" t="n"/>
      <c r="R8" s="17" t="n"/>
      <c r="S8" s="17" t="n"/>
      <c r="T8" s="12" t="n"/>
      <c r="U8" s="12" t="n"/>
      <c r="V8" s="12" t="n"/>
      <c r="W8" s="13" t="n"/>
      <c r="X8" s="12" t="n"/>
    </row>
    <row r="9">
      <c r="A9" s="11" t="inlineStr">
        <is>
          <t>CAMP-2025-005</t>
        </is>
      </c>
      <c r="B9" s="12" t="n"/>
      <c r="C9" s="12" t="n"/>
      <c r="D9" s="11">
        <f>IFERROR(VLOOKUP(C9,Threat_Actor_Profiles!A:B,2,FALSE),"Unknown")</f>
        <v/>
      </c>
      <c r="E9" s="13" t="n"/>
      <c r="F9" s="13" t="n"/>
      <c r="G9" s="12" t="n"/>
      <c r="H9" s="12" t="n"/>
      <c r="I9" s="12" t="n"/>
      <c r="J9" s="12" t="n"/>
      <c r="K9" s="12" t="n"/>
      <c r="L9" s="12" t="n"/>
      <c r="M9" s="12" t="n"/>
      <c r="N9" s="12" t="n"/>
      <c r="O9" s="12" t="n"/>
      <c r="P9" s="26" t="inlineStr"/>
      <c r="Q9" s="17" t="n"/>
      <c r="R9" s="17" t="n"/>
      <c r="S9" s="17" t="n"/>
      <c r="T9" s="12" t="n"/>
      <c r="U9" s="12" t="n"/>
      <c r="V9" s="12" t="n"/>
      <c r="W9" s="13" t="n"/>
      <c r="X9" s="12" t="n"/>
    </row>
    <row r="10">
      <c r="A10" s="11" t="inlineStr">
        <is>
          <t>CAMP-2025-006</t>
        </is>
      </c>
      <c r="B10" s="12" t="n"/>
      <c r="C10" s="12" t="n"/>
      <c r="D10" s="11">
        <f>IFERROR(VLOOKUP(C10,Threat_Actor_Profiles!A:B,2,FALSE),"Unknown")</f>
        <v/>
      </c>
      <c r="E10" s="13" t="n"/>
      <c r="F10" s="13" t="n"/>
      <c r="G10" s="12" t="n"/>
      <c r="H10" s="12" t="n"/>
      <c r="I10" s="12" t="n"/>
      <c r="J10" s="12" t="n"/>
      <c r="K10" s="12" t="n"/>
      <c r="L10" s="12" t="n"/>
      <c r="M10" s="12" t="n"/>
      <c r="N10" s="12" t="n"/>
      <c r="O10" s="12" t="n"/>
      <c r="P10" s="26" t="inlineStr"/>
      <c r="Q10" s="17" t="n"/>
      <c r="R10" s="17" t="n"/>
      <c r="S10" s="17" t="n"/>
      <c r="T10" s="12" t="n"/>
      <c r="U10" s="12" t="n"/>
      <c r="V10" s="12" t="n"/>
      <c r="W10" s="13" t="n"/>
      <c r="X10" s="12" t="n"/>
    </row>
    <row r="11">
      <c r="A11" s="11" t="inlineStr">
        <is>
          <t>CAMP-2025-007</t>
        </is>
      </c>
      <c r="B11" s="12" t="n"/>
      <c r="C11" s="12" t="n"/>
      <c r="D11" s="11">
        <f>IFERROR(VLOOKUP(C11,Threat_Actor_Profiles!A:B,2,FALSE),"Unknown")</f>
        <v/>
      </c>
      <c r="E11" s="13" t="n"/>
      <c r="F11" s="13" t="n"/>
      <c r="G11" s="12" t="n"/>
      <c r="H11" s="12" t="n"/>
      <c r="I11" s="12" t="n"/>
      <c r="J11" s="12" t="n"/>
      <c r="K11" s="12" t="n"/>
      <c r="L11" s="12" t="n"/>
      <c r="M11" s="12" t="n"/>
      <c r="N11" s="12" t="n"/>
      <c r="O11" s="12" t="n"/>
      <c r="P11" s="26" t="inlineStr"/>
      <c r="Q11" s="17" t="n"/>
      <c r="R11" s="17" t="n"/>
      <c r="S11" s="17" t="n"/>
      <c r="T11" s="12" t="n"/>
      <c r="U11" s="12" t="n"/>
      <c r="V11" s="12" t="n"/>
      <c r="W11" s="13" t="n"/>
      <c r="X11" s="12" t="n"/>
    </row>
    <row r="12">
      <c r="A12" s="11" t="inlineStr">
        <is>
          <t>CAMP-2025-008</t>
        </is>
      </c>
      <c r="B12" s="12" t="n"/>
      <c r="C12" s="12" t="n"/>
      <c r="D12" s="11">
        <f>IFERROR(VLOOKUP(C12,Threat_Actor_Profiles!A:B,2,FALSE),"Unknown")</f>
        <v/>
      </c>
      <c r="E12" s="13" t="n"/>
      <c r="F12" s="13" t="n"/>
      <c r="G12" s="12" t="n"/>
      <c r="H12" s="12" t="n"/>
      <c r="I12" s="12" t="n"/>
      <c r="J12" s="12" t="n"/>
      <c r="K12" s="12" t="n"/>
      <c r="L12" s="12" t="n"/>
      <c r="M12" s="12" t="n"/>
      <c r="N12" s="12" t="n"/>
      <c r="O12" s="12" t="n"/>
      <c r="P12" s="26" t="inlineStr"/>
      <c r="Q12" s="17" t="n"/>
      <c r="R12" s="17" t="n"/>
      <c r="S12" s="17" t="n"/>
      <c r="T12" s="12" t="n"/>
      <c r="U12" s="12" t="n"/>
      <c r="V12" s="12" t="n"/>
      <c r="W12" s="13" t="n"/>
      <c r="X12" s="12" t="n"/>
    </row>
    <row r="13">
      <c r="A13" s="11" t="inlineStr">
        <is>
          <t>CAMP-2025-009</t>
        </is>
      </c>
      <c r="B13" s="12" t="n"/>
      <c r="C13" s="12" t="n"/>
      <c r="D13" s="11">
        <f>IFERROR(VLOOKUP(C13,Threat_Actor_Profiles!A:B,2,FALSE),"Unknown")</f>
        <v/>
      </c>
      <c r="E13" s="13" t="n"/>
      <c r="F13" s="13" t="n"/>
      <c r="G13" s="12" t="n"/>
      <c r="H13" s="12" t="n"/>
      <c r="I13" s="12" t="n"/>
      <c r="J13" s="12" t="n"/>
      <c r="K13" s="12" t="n"/>
      <c r="L13" s="12" t="n"/>
      <c r="M13" s="12" t="n"/>
      <c r="N13" s="12" t="n"/>
      <c r="O13" s="12" t="n"/>
      <c r="P13" s="26" t="inlineStr"/>
      <c r="Q13" s="17" t="n"/>
      <c r="R13" s="17" t="n"/>
      <c r="S13" s="17" t="n"/>
      <c r="T13" s="12" t="n"/>
      <c r="U13" s="12" t="n"/>
      <c r="V13" s="12" t="n"/>
      <c r="W13" s="13" t="n"/>
      <c r="X13" s="12" t="n"/>
    </row>
    <row r="14">
      <c r="A14" s="11" t="inlineStr">
        <is>
          <t>CAMP-2025-010</t>
        </is>
      </c>
      <c r="B14" s="12" t="n"/>
      <c r="C14" s="12" t="n"/>
      <c r="D14" s="11">
        <f>IFERROR(VLOOKUP(C14,Threat_Actor_Profiles!A:B,2,FALSE),"Unknown")</f>
        <v/>
      </c>
      <c r="E14" s="13" t="n"/>
      <c r="F14" s="13" t="n"/>
      <c r="G14" s="12" t="n"/>
      <c r="H14" s="12" t="n"/>
      <c r="I14" s="12" t="n"/>
      <c r="J14" s="12" t="n"/>
      <c r="K14" s="12" t="n"/>
      <c r="L14" s="12" t="n"/>
      <c r="M14" s="12" t="n"/>
      <c r="N14" s="12" t="n"/>
      <c r="O14" s="12" t="n"/>
      <c r="P14" s="26" t="inlineStr"/>
      <c r="Q14" s="17" t="n"/>
      <c r="R14" s="17" t="n"/>
      <c r="S14" s="17" t="n"/>
      <c r="T14" s="12" t="n"/>
      <c r="U14" s="12" t="n"/>
      <c r="V14" s="12" t="n"/>
      <c r="W14" s="13" t="n"/>
      <c r="X14" s="12" t="n"/>
    </row>
    <row r="15">
      <c r="A15" s="11" t="inlineStr">
        <is>
          <t>CAMP-2025-011</t>
        </is>
      </c>
      <c r="B15" s="12" t="n"/>
      <c r="C15" s="12" t="n"/>
      <c r="D15" s="11">
        <f>IFERROR(VLOOKUP(C15,Threat_Actor_Profiles!A:B,2,FALSE),"Unknown")</f>
        <v/>
      </c>
      <c r="E15" s="13" t="n"/>
      <c r="F15" s="13" t="n"/>
      <c r="G15" s="12" t="n"/>
      <c r="H15" s="12" t="n"/>
      <c r="I15" s="12" t="n"/>
      <c r="J15" s="12" t="n"/>
      <c r="K15" s="12" t="n"/>
      <c r="L15" s="12" t="n"/>
      <c r="M15" s="12" t="n"/>
      <c r="N15" s="12" t="n"/>
      <c r="O15" s="12" t="n"/>
      <c r="P15" s="26" t="inlineStr"/>
      <c r="Q15" s="17" t="n"/>
      <c r="R15" s="17" t="n"/>
      <c r="S15" s="17" t="n"/>
      <c r="T15" s="12" t="n"/>
      <c r="U15" s="12" t="n"/>
      <c r="V15" s="12" t="n"/>
      <c r="W15" s="13" t="n"/>
      <c r="X15" s="12" t="n"/>
    </row>
    <row r="16">
      <c r="A16" s="11" t="inlineStr">
        <is>
          <t>CAMP-2025-012</t>
        </is>
      </c>
      <c r="B16" s="12" t="n"/>
      <c r="C16" s="12" t="n"/>
      <c r="D16" s="11">
        <f>IFERROR(VLOOKUP(C16,Threat_Actor_Profiles!A:B,2,FALSE),"Unknown")</f>
        <v/>
      </c>
      <c r="E16" s="13" t="n"/>
      <c r="F16" s="13" t="n"/>
      <c r="G16" s="12" t="n"/>
      <c r="H16" s="12" t="n"/>
      <c r="I16" s="12" t="n"/>
      <c r="J16" s="12" t="n"/>
      <c r="K16" s="12" t="n"/>
      <c r="L16" s="12" t="n"/>
      <c r="M16" s="12" t="n"/>
      <c r="N16" s="12" t="n"/>
      <c r="O16" s="12" t="n"/>
      <c r="P16" s="26" t="inlineStr"/>
      <c r="Q16" s="17" t="n"/>
      <c r="R16" s="17" t="n"/>
      <c r="S16" s="17" t="n"/>
      <c r="T16" s="12" t="n"/>
      <c r="U16" s="12" t="n"/>
      <c r="V16" s="12" t="n"/>
      <c r="W16" s="13" t="n"/>
      <c r="X16" s="12" t="n"/>
    </row>
    <row r="17">
      <c r="A17" s="11" t="inlineStr">
        <is>
          <t>CAMP-2025-013</t>
        </is>
      </c>
      <c r="B17" s="12" t="n"/>
      <c r="C17" s="12" t="n"/>
      <c r="D17" s="11">
        <f>IFERROR(VLOOKUP(C17,Threat_Actor_Profiles!A:B,2,FALSE),"Unknown")</f>
        <v/>
      </c>
      <c r="E17" s="13" t="n"/>
      <c r="F17" s="13" t="n"/>
      <c r="G17" s="12" t="n"/>
      <c r="H17" s="12" t="n"/>
      <c r="I17" s="12" t="n"/>
      <c r="J17" s="12" t="n"/>
      <c r="K17" s="12" t="n"/>
      <c r="L17" s="12" t="n"/>
      <c r="M17" s="12" t="n"/>
      <c r="N17" s="12" t="n"/>
      <c r="O17" s="12" t="n"/>
      <c r="P17" s="26" t="inlineStr"/>
      <c r="Q17" s="17" t="n"/>
      <c r="R17" s="17" t="n"/>
      <c r="S17" s="17" t="n"/>
      <c r="T17" s="12" t="n"/>
      <c r="U17" s="12" t="n"/>
      <c r="V17" s="12" t="n"/>
      <c r="W17" s="13" t="n"/>
      <c r="X17" s="12" t="n"/>
    </row>
    <row r="18">
      <c r="A18" s="11" t="inlineStr">
        <is>
          <t>CAMP-2025-014</t>
        </is>
      </c>
      <c r="B18" s="12" t="n"/>
      <c r="C18" s="12" t="n"/>
      <c r="D18" s="11">
        <f>IFERROR(VLOOKUP(C18,Threat_Actor_Profiles!A:B,2,FALSE),"Unknown")</f>
        <v/>
      </c>
      <c r="E18" s="13" t="n"/>
      <c r="F18" s="13" t="n"/>
      <c r="G18" s="12" t="n"/>
      <c r="H18" s="12" t="n"/>
      <c r="I18" s="12" t="n"/>
      <c r="J18" s="12" t="n"/>
      <c r="K18" s="12" t="n"/>
      <c r="L18" s="12" t="n"/>
      <c r="M18" s="12" t="n"/>
      <c r="N18" s="12" t="n"/>
      <c r="O18" s="12" t="n"/>
      <c r="P18" s="26" t="inlineStr"/>
      <c r="Q18" s="17" t="n"/>
      <c r="R18" s="17" t="n"/>
      <c r="S18" s="17" t="n"/>
      <c r="T18" s="12" t="n"/>
      <c r="U18" s="12" t="n"/>
      <c r="V18" s="12" t="n"/>
      <c r="W18" s="13" t="n"/>
      <c r="X18" s="12" t="n"/>
    </row>
    <row r="19">
      <c r="A19" s="11" t="inlineStr">
        <is>
          <t>CAMP-2025-015</t>
        </is>
      </c>
      <c r="B19" s="12" t="n"/>
      <c r="C19" s="12" t="n"/>
      <c r="D19" s="11">
        <f>IFERROR(VLOOKUP(C19,Threat_Actor_Profiles!A:B,2,FALSE),"Unknown")</f>
        <v/>
      </c>
      <c r="E19" s="13" t="n"/>
      <c r="F19" s="13" t="n"/>
      <c r="G19" s="12" t="n"/>
      <c r="H19" s="12" t="n"/>
      <c r="I19" s="12" t="n"/>
      <c r="J19" s="12" t="n"/>
      <c r="K19" s="12" t="n"/>
      <c r="L19" s="12" t="n"/>
      <c r="M19" s="12" t="n"/>
      <c r="N19" s="12" t="n"/>
      <c r="O19" s="12" t="n"/>
      <c r="P19" s="26" t="inlineStr"/>
      <c r="Q19" s="17" t="n"/>
      <c r="R19" s="17" t="n"/>
      <c r="S19" s="17" t="n"/>
      <c r="T19" s="12" t="n"/>
      <c r="U19" s="12" t="n"/>
      <c r="V19" s="12" t="n"/>
      <c r="W19" s="13" t="n"/>
      <c r="X19" s="12" t="n"/>
    </row>
    <row r="20">
      <c r="A20" s="11" t="inlineStr">
        <is>
          <t>CAMP-2025-016</t>
        </is>
      </c>
      <c r="B20" s="12" t="n"/>
      <c r="C20" s="12" t="n"/>
      <c r="D20" s="11">
        <f>IFERROR(VLOOKUP(C20,Threat_Actor_Profiles!A:B,2,FALSE),"Unknown")</f>
        <v/>
      </c>
      <c r="E20" s="13" t="n"/>
      <c r="F20" s="13" t="n"/>
      <c r="G20" s="12" t="n"/>
      <c r="H20" s="12" t="n"/>
      <c r="I20" s="12" t="n"/>
      <c r="J20" s="12" t="n"/>
      <c r="K20" s="12" t="n"/>
      <c r="L20" s="12" t="n"/>
      <c r="M20" s="12" t="n"/>
      <c r="N20" s="12" t="n"/>
      <c r="O20" s="12" t="n"/>
      <c r="P20" s="26" t="inlineStr"/>
      <c r="Q20" s="17" t="n"/>
      <c r="R20" s="17" t="n"/>
      <c r="S20" s="17" t="n"/>
      <c r="T20" s="12" t="n"/>
      <c r="U20" s="12" t="n"/>
      <c r="V20" s="12" t="n"/>
      <c r="W20" s="13" t="n"/>
      <c r="X20" s="12" t="n"/>
    </row>
    <row r="21">
      <c r="A21" s="11" t="inlineStr">
        <is>
          <t>CAMP-2025-017</t>
        </is>
      </c>
      <c r="B21" s="12" t="n"/>
      <c r="C21" s="12" t="n"/>
      <c r="D21" s="11">
        <f>IFERROR(VLOOKUP(C21,Threat_Actor_Profiles!A:B,2,FALSE),"Unknown")</f>
        <v/>
      </c>
      <c r="E21" s="13" t="n"/>
      <c r="F21" s="13" t="n"/>
      <c r="G21" s="12" t="n"/>
      <c r="H21" s="12" t="n"/>
      <c r="I21" s="12" t="n"/>
      <c r="J21" s="12" t="n"/>
      <c r="K21" s="12" t="n"/>
      <c r="L21" s="12" t="n"/>
      <c r="M21" s="12" t="n"/>
      <c r="N21" s="12" t="n"/>
      <c r="O21" s="12" t="n"/>
      <c r="P21" s="26" t="inlineStr"/>
      <c r="Q21" s="17" t="n"/>
      <c r="R21" s="17" t="n"/>
      <c r="S21" s="17" t="n"/>
      <c r="T21" s="12" t="n"/>
      <c r="U21" s="12" t="n"/>
      <c r="V21" s="12" t="n"/>
      <c r="W21" s="13" t="n"/>
      <c r="X21" s="12" t="n"/>
    </row>
    <row r="22">
      <c r="A22" s="11" t="inlineStr">
        <is>
          <t>CAMP-2025-018</t>
        </is>
      </c>
      <c r="B22" s="12" t="n"/>
      <c r="C22" s="12" t="n"/>
      <c r="D22" s="11">
        <f>IFERROR(VLOOKUP(C22,Threat_Actor_Profiles!A:B,2,FALSE),"Unknown")</f>
        <v/>
      </c>
      <c r="E22" s="13" t="n"/>
      <c r="F22" s="13" t="n"/>
      <c r="G22" s="12" t="n"/>
      <c r="H22" s="12" t="n"/>
      <c r="I22" s="12" t="n"/>
      <c r="J22" s="12" t="n"/>
      <c r="K22" s="12" t="n"/>
      <c r="L22" s="12" t="n"/>
      <c r="M22" s="12" t="n"/>
      <c r="N22" s="12" t="n"/>
      <c r="O22" s="12" t="n"/>
      <c r="P22" s="26" t="inlineStr"/>
      <c r="Q22" s="17" t="n"/>
      <c r="R22" s="17" t="n"/>
      <c r="S22" s="17" t="n"/>
      <c r="T22" s="12" t="n"/>
      <c r="U22" s="12" t="n"/>
      <c r="V22" s="12" t="n"/>
      <c r="W22" s="13" t="n"/>
      <c r="X22" s="12" t="n"/>
    </row>
    <row r="23">
      <c r="A23" s="11" t="inlineStr">
        <is>
          <t>CAMP-2025-019</t>
        </is>
      </c>
      <c r="B23" s="12" t="n"/>
      <c r="C23" s="12" t="n"/>
      <c r="D23" s="11">
        <f>IFERROR(VLOOKUP(C23,Threat_Actor_Profiles!A:B,2,FALSE),"Unknown")</f>
        <v/>
      </c>
      <c r="E23" s="13" t="n"/>
      <c r="F23" s="13" t="n"/>
      <c r="G23" s="12" t="n"/>
      <c r="H23" s="12" t="n"/>
      <c r="I23" s="12" t="n"/>
      <c r="J23" s="12" t="n"/>
      <c r="K23" s="12" t="n"/>
      <c r="L23" s="12" t="n"/>
      <c r="M23" s="12" t="n"/>
      <c r="N23" s="12" t="n"/>
      <c r="O23" s="12" t="n"/>
      <c r="P23" s="26" t="inlineStr"/>
      <c r="Q23" s="17" t="n"/>
      <c r="R23" s="17" t="n"/>
      <c r="S23" s="17" t="n"/>
      <c r="T23" s="12" t="n"/>
      <c r="U23" s="12" t="n"/>
      <c r="V23" s="12" t="n"/>
      <c r="W23" s="13" t="n"/>
      <c r="X23" s="12" t="n"/>
    </row>
    <row r="24">
      <c r="A24" s="11" t="inlineStr">
        <is>
          <t>CAMP-2025-020</t>
        </is>
      </c>
      <c r="B24" s="12" t="n"/>
      <c r="C24" s="12" t="n"/>
      <c r="D24" s="11">
        <f>IFERROR(VLOOKUP(C24,Threat_Actor_Profiles!A:B,2,FALSE),"Unknown")</f>
        <v/>
      </c>
      <c r="E24" s="13" t="n"/>
      <c r="F24" s="13" t="n"/>
      <c r="G24" s="12" t="n"/>
      <c r="H24" s="12" t="n"/>
      <c r="I24" s="12" t="n"/>
      <c r="J24" s="12" t="n"/>
      <c r="K24" s="12" t="n"/>
      <c r="L24" s="12" t="n"/>
      <c r="M24" s="12" t="n"/>
      <c r="N24" s="12" t="n"/>
      <c r="O24" s="12" t="n"/>
      <c r="P24" s="26" t="inlineStr"/>
      <c r="Q24" s="17" t="n"/>
      <c r="R24" s="17" t="n"/>
      <c r="S24" s="17" t="n"/>
      <c r="T24" s="12" t="n"/>
      <c r="U24" s="12" t="n"/>
      <c r="V24" s="12" t="n"/>
      <c r="W24" s="13" t="n"/>
      <c r="X24" s="12" t="n"/>
    </row>
    <row r="25">
      <c r="A25" s="11" t="inlineStr">
        <is>
          <t>CAMP-2025-021</t>
        </is>
      </c>
      <c r="B25" s="12" t="n"/>
      <c r="C25" s="12" t="n"/>
      <c r="D25" s="11">
        <f>IFERROR(VLOOKUP(C25,Threat_Actor_Profiles!A:B,2,FALSE),"Unknown")</f>
        <v/>
      </c>
      <c r="E25" s="13" t="n"/>
      <c r="F25" s="13" t="n"/>
      <c r="G25" s="12" t="n"/>
      <c r="H25" s="12" t="n"/>
      <c r="I25" s="12" t="n"/>
      <c r="J25" s="12" t="n"/>
      <c r="K25" s="12" t="n"/>
      <c r="L25" s="12" t="n"/>
      <c r="M25" s="12" t="n"/>
      <c r="N25" s="12" t="n"/>
      <c r="O25" s="12" t="n"/>
      <c r="P25" s="26" t="inlineStr"/>
      <c r="Q25" s="17" t="n"/>
      <c r="R25" s="17" t="n"/>
      <c r="S25" s="17" t="n"/>
      <c r="T25" s="12" t="n"/>
      <c r="U25" s="12" t="n"/>
      <c r="V25" s="12" t="n"/>
      <c r="W25" s="13" t="n"/>
      <c r="X25" s="12" t="n"/>
    </row>
    <row r="26">
      <c r="A26" s="11" t="inlineStr">
        <is>
          <t>CAMP-2025-022</t>
        </is>
      </c>
      <c r="B26" s="12" t="n"/>
      <c r="C26" s="12" t="n"/>
      <c r="D26" s="11">
        <f>IFERROR(VLOOKUP(C26,Threat_Actor_Profiles!A:B,2,FALSE),"Unknown")</f>
        <v/>
      </c>
      <c r="E26" s="13" t="n"/>
      <c r="F26" s="13" t="n"/>
      <c r="G26" s="12" t="n"/>
      <c r="H26" s="12" t="n"/>
      <c r="I26" s="12" t="n"/>
      <c r="J26" s="12" t="n"/>
      <c r="K26" s="12" t="n"/>
      <c r="L26" s="12" t="n"/>
      <c r="M26" s="12" t="n"/>
      <c r="N26" s="12" t="n"/>
      <c r="O26" s="12" t="n"/>
      <c r="P26" s="26" t="inlineStr"/>
      <c r="Q26" s="17" t="n"/>
      <c r="R26" s="17" t="n"/>
      <c r="S26" s="17" t="n"/>
      <c r="T26" s="12" t="n"/>
      <c r="U26" s="12" t="n"/>
      <c r="V26" s="12" t="n"/>
      <c r="W26" s="13" t="n"/>
      <c r="X26" s="12" t="n"/>
    </row>
    <row r="27">
      <c r="A27" s="11" t="inlineStr">
        <is>
          <t>CAMP-2025-023</t>
        </is>
      </c>
      <c r="B27" s="12" t="n"/>
      <c r="C27" s="12" t="n"/>
      <c r="D27" s="11">
        <f>IFERROR(VLOOKUP(C27,Threat_Actor_Profiles!A:B,2,FALSE),"Unknown")</f>
        <v/>
      </c>
      <c r="E27" s="13" t="n"/>
      <c r="F27" s="13" t="n"/>
      <c r="G27" s="12" t="n"/>
      <c r="H27" s="12" t="n"/>
      <c r="I27" s="12" t="n"/>
      <c r="J27" s="12" t="n"/>
      <c r="K27" s="12" t="n"/>
      <c r="L27" s="12" t="n"/>
      <c r="M27" s="12" t="n"/>
      <c r="N27" s="12" t="n"/>
      <c r="O27" s="12" t="n"/>
      <c r="P27" s="26" t="inlineStr"/>
      <c r="Q27" s="17" t="n"/>
      <c r="R27" s="17" t="n"/>
      <c r="S27" s="17" t="n"/>
      <c r="T27" s="12" t="n"/>
      <c r="U27" s="12" t="n"/>
      <c r="V27" s="12" t="n"/>
      <c r="W27" s="13" t="n"/>
      <c r="X27" s="12" t="n"/>
    </row>
    <row r="28">
      <c r="A28" s="11" t="inlineStr">
        <is>
          <t>CAMP-2025-024</t>
        </is>
      </c>
      <c r="B28" s="12" t="n"/>
      <c r="C28" s="12" t="n"/>
      <c r="D28" s="11">
        <f>IFERROR(VLOOKUP(C28,Threat_Actor_Profiles!A:B,2,FALSE),"Unknown")</f>
        <v/>
      </c>
      <c r="E28" s="13" t="n"/>
      <c r="F28" s="13" t="n"/>
      <c r="G28" s="12" t="n"/>
      <c r="H28" s="12" t="n"/>
      <c r="I28" s="12" t="n"/>
      <c r="J28" s="12" t="n"/>
      <c r="K28" s="12" t="n"/>
      <c r="L28" s="12" t="n"/>
      <c r="M28" s="12" t="n"/>
      <c r="N28" s="12" t="n"/>
      <c r="O28" s="12" t="n"/>
      <c r="P28" s="26" t="inlineStr"/>
      <c r="Q28" s="17" t="n"/>
      <c r="R28" s="17" t="n"/>
      <c r="S28" s="17" t="n"/>
      <c r="T28" s="12" t="n"/>
      <c r="U28" s="12" t="n"/>
      <c r="V28" s="12" t="n"/>
      <c r="W28" s="13" t="n"/>
      <c r="X28" s="12" t="n"/>
    </row>
    <row r="29">
      <c r="A29" s="11" t="inlineStr">
        <is>
          <t>CAMP-2025-025</t>
        </is>
      </c>
      <c r="B29" s="12" t="n"/>
      <c r="C29" s="12" t="n"/>
      <c r="D29" s="11">
        <f>IFERROR(VLOOKUP(C29,Threat_Actor_Profiles!A:B,2,FALSE),"Unknown")</f>
        <v/>
      </c>
      <c r="E29" s="13" t="n"/>
      <c r="F29" s="13" t="n"/>
      <c r="G29" s="12" t="n"/>
      <c r="H29" s="12" t="n"/>
      <c r="I29" s="12" t="n"/>
      <c r="J29" s="12" t="n"/>
      <c r="K29" s="12" t="n"/>
      <c r="L29" s="12" t="n"/>
      <c r="M29" s="12" t="n"/>
      <c r="N29" s="12" t="n"/>
      <c r="O29" s="12" t="n"/>
      <c r="P29" s="26" t="inlineStr"/>
      <c r="Q29" s="17" t="n"/>
      <c r="R29" s="17" t="n"/>
      <c r="S29" s="17" t="n"/>
      <c r="T29" s="12" t="n"/>
      <c r="U29" s="12" t="n"/>
      <c r="V29" s="12" t="n"/>
      <c r="W29" s="13" t="n"/>
      <c r="X29" s="12" t="n"/>
    </row>
    <row r="30">
      <c r="A30" s="11" t="inlineStr">
        <is>
          <t>CAMP-2025-026</t>
        </is>
      </c>
      <c r="B30" s="12" t="n"/>
      <c r="C30" s="12" t="n"/>
      <c r="D30" s="11">
        <f>IFERROR(VLOOKUP(C30,Threat_Actor_Profiles!A:B,2,FALSE),"Unknown")</f>
        <v/>
      </c>
      <c r="E30" s="13" t="n"/>
      <c r="F30" s="13" t="n"/>
      <c r="G30" s="12" t="n"/>
      <c r="H30" s="12" t="n"/>
      <c r="I30" s="12" t="n"/>
      <c r="J30" s="12" t="n"/>
      <c r="K30" s="12" t="n"/>
      <c r="L30" s="12" t="n"/>
      <c r="M30" s="12" t="n"/>
      <c r="N30" s="12" t="n"/>
      <c r="O30" s="12" t="n"/>
      <c r="P30" s="26" t="inlineStr"/>
      <c r="Q30" s="17" t="n"/>
      <c r="R30" s="17" t="n"/>
      <c r="S30" s="17" t="n"/>
      <c r="T30" s="12" t="n"/>
      <c r="U30" s="12" t="n"/>
      <c r="V30" s="12" t="n"/>
      <c r="W30" s="13" t="n"/>
      <c r="X30" s="12" t="n"/>
    </row>
    <row r="31">
      <c r="A31" s="11" t="inlineStr">
        <is>
          <t>CAMP-2025-027</t>
        </is>
      </c>
      <c r="B31" s="12" t="n"/>
      <c r="C31" s="12" t="n"/>
      <c r="D31" s="11">
        <f>IFERROR(VLOOKUP(C31,Threat_Actor_Profiles!A:B,2,FALSE),"Unknown")</f>
        <v/>
      </c>
      <c r="E31" s="13" t="n"/>
      <c r="F31" s="13" t="n"/>
      <c r="G31" s="12" t="n"/>
      <c r="H31" s="12" t="n"/>
      <c r="I31" s="12" t="n"/>
      <c r="J31" s="12" t="n"/>
      <c r="K31" s="12" t="n"/>
      <c r="L31" s="12" t="n"/>
      <c r="M31" s="12" t="n"/>
      <c r="N31" s="12" t="n"/>
      <c r="O31" s="12" t="n"/>
      <c r="P31" s="26" t="inlineStr"/>
      <c r="Q31" s="17" t="n"/>
      <c r="R31" s="17" t="n"/>
      <c r="S31" s="17" t="n"/>
      <c r="T31" s="12" t="n"/>
      <c r="U31" s="12" t="n"/>
      <c r="V31" s="12" t="n"/>
      <c r="W31" s="13" t="n"/>
      <c r="X31" s="12" t="n"/>
    </row>
    <row r="32">
      <c r="A32" s="11" t="inlineStr">
        <is>
          <t>CAMP-2025-028</t>
        </is>
      </c>
      <c r="B32" s="12" t="n"/>
      <c r="C32" s="12" t="n"/>
      <c r="D32" s="11">
        <f>IFERROR(VLOOKUP(C32,Threat_Actor_Profiles!A:B,2,FALSE),"Unknown")</f>
        <v/>
      </c>
      <c r="E32" s="13" t="n"/>
      <c r="F32" s="13" t="n"/>
      <c r="G32" s="12" t="n"/>
      <c r="H32" s="12" t="n"/>
      <c r="I32" s="12" t="n"/>
      <c r="J32" s="12" t="n"/>
      <c r="K32" s="12" t="n"/>
      <c r="L32" s="12" t="n"/>
      <c r="M32" s="12" t="n"/>
      <c r="N32" s="12" t="n"/>
      <c r="O32" s="12" t="n"/>
      <c r="P32" s="26" t="inlineStr"/>
      <c r="Q32" s="17" t="n"/>
      <c r="R32" s="17" t="n"/>
      <c r="S32" s="17" t="n"/>
      <c r="T32" s="12" t="n"/>
      <c r="U32" s="12" t="n"/>
      <c r="V32" s="12" t="n"/>
      <c r="W32" s="13" t="n"/>
      <c r="X32" s="12" t="n"/>
    </row>
    <row r="33">
      <c r="A33" s="11" t="inlineStr">
        <is>
          <t>CAMP-2025-029</t>
        </is>
      </c>
      <c r="B33" s="12" t="n"/>
      <c r="C33" s="12" t="n"/>
      <c r="D33" s="11">
        <f>IFERROR(VLOOKUP(C33,Threat_Actor_Profiles!A:B,2,FALSE),"Unknown")</f>
        <v/>
      </c>
      <c r="E33" s="13" t="n"/>
      <c r="F33" s="13" t="n"/>
      <c r="G33" s="12" t="n"/>
      <c r="H33" s="12" t="n"/>
      <c r="I33" s="12" t="n"/>
      <c r="J33" s="12" t="n"/>
      <c r="K33" s="12" t="n"/>
      <c r="L33" s="12" t="n"/>
      <c r="M33" s="12" t="n"/>
      <c r="N33" s="12" t="n"/>
      <c r="O33" s="12" t="n"/>
      <c r="P33" s="26" t="inlineStr"/>
      <c r="Q33" s="17" t="n"/>
      <c r="R33" s="17" t="n"/>
      <c r="S33" s="17" t="n"/>
      <c r="T33" s="12" t="n"/>
      <c r="U33" s="12" t="n"/>
      <c r="V33" s="12" t="n"/>
      <c r="W33" s="13" t="n"/>
      <c r="X33" s="12" t="n"/>
    </row>
    <row r="34">
      <c r="A34" s="11" t="inlineStr">
        <is>
          <t>CAMP-2025-030</t>
        </is>
      </c>
      <c r="B34" s="12" t="n"/>
      <c r="C34" s="12" t="n"/>
      <c r="D34" s="11">
        <f>IFERROR(VLOOKUP(C34,Threat_Actor_Profiles!A:B,2,FALSE),"Unknown")</f>
        <v/>
      </c>
      <c r="E34" s="13" t="n"/>
      <c r="F34" s="13" t="n"/>
      <c r="G34" s="12" t="n"/>
      <c r="H34" s="12" t="n"/>
      <c r="I34" s="12" t="n"/>
      <c r="J34" s="12" t="n"/>
      <c r="K34" s="12" t="n"/>
      <c r="L34" s="12" t="n"/>
      <c r="M34" s="12" t="n"/>
      <c r="N34" s="12" t="n"/>
      <c r="O34" s="12" t="n"/>
      <c r="P34" s="26" t="inlineStr"/>
      <c r="Q34" s="17" t="n"/>
      <c r="R34" s="17" t="n"/>
      <c r="S34" s="17" t="n"/>
      <c r="T34" s="12" t="n"/>
      <c r="U34" s="12" t="n"/>
      <c r="V34" s="12" t="n"/>
      <c r="W34" s="13" t="n"/>
      <c r="X34" s="12" t="n"/>
    </row>
    <row r="35">
      <c r="A35" s="11" t="inlineStr">
        <is>
          <t>CAMP-2025-031</t>
        </is>
      </c>
      <c r="B35" s="12" t="n"/>
      <c r="C35" s="12" t="n"/>
      <c r="D35" s="11">
        <f>IFERROR(VLOOKUP(C35,Threat_Actor_Profiles!A:B,2,FALSE),"Unknown")</f>
        <v/>
      </c>
      <c r="E35" s="13" t="n"/>
      <c r="F35" s="13" t="n"/>
      <c r="G35" s="12" t="n"/>
      <c r="H35" s="12" t="n"/>
      <c r="I35" s="12" t="n"/>
      <c r="J35" s="12" t="n"/>
      <c r="K35" s="12" t="n"/>
      <c r="L35" s="12" t="n"/>
      <c r="M35" s="12" t="n"/>
      <c r="N35" s="12" t="n"/>
      <c r="O35" s="12" t="n"/>
      <c r="P35" s="26" t="inlineStr"/>
      <c r="Q35" s="17" t="n"/>
      <c r="R35" s="17" t="n"/>
      <c r="S35" s="17" t="n"/>
      <c r="T35" s="12" t="n"/>
      <c r="U35" s="12" t="n"/>
      <c r="V35" s="12" t="n"/>
      <c r="W35" s="13" t="n"/>
      <c r="X35" s="12" t="n"/>
    </row>
    <row r="36">
      <c r="A36" s="11" t="inlineStr">
        <is>
          <t>CAMP-2025-032</t>
        </is>
      </c>
      <c r="B36" s="12" t="n"/>
      <c r="C36" s="12" t="n"/>
      <c r="D36" s="11">
        <f>IFERROR(VLOOKUP(C36,Threat_Actor_Profiles!A:B,2,FALSE),"Unknown")</f>
        <v/>
      </c>
      <c r="E36" s="13" t="n"/>
      <c r="F36" s="13" t="n"/>
      <c r="G36" s="12" t="n"/>
      <c r="H36" s="12" t="n"/>
      <c r="I36" s="12" t="n"/>
      <c r="J36" s="12" t="n"/>
      <c r="K36" s="12" t="n"/>
      <c r="L36" s="12" t="n"/>
      <c r="M36" s="12" t="n"/>
      <c r="N36" s="12" t="n"/>
      <c r="O36" s="12" t="n"/>
      <c r="P36" s="26" t="inlineStr"/>
      <c r="Q36" s="17" t="n"/>
      <c r="R36" s="17" t="n"/>
      <c r="S36" s="17" t="n"/>
      <c r="T36" s="12" t="n"/>
      <c r="U36" s="12" t="n"/>
      <c r="V36" s="12" t="n"/>
      <c r="W36" s="13" t="n"/>
      <c r="X36" s="12" t="n"/>
    </row>
    <row r="37">
      <c r="A37" s="11" t="inlineStr">
        <is>
          <t>CAMP-2025-033</t>
        </is>
      </c>
      <c r="B37" s="12" t="n"/>
      <c r="C37" s="12" t="n"/>
      <c r="D37" s="11">
        <f>IFERROR(VLOOKUP(C37,Threat_Actor_Profiles!A:B,2,FALSE),"Unknown")</f>
        <v/>
      </c>
      <c r="E37" s="13" t="n"/>
      <c r="F37" s="13" t="n"/>
      <c r="G37" s="12" t="n"/>
      <c r="H37" s="12" t="n"/>
      <c r="I37" s="12" t="n"/>
      <c r="J37" s="12" t="n"/>
      <c r="K37" s="12" t="n"/>
      <c r="L37" s="12" t="n"/>
      <c r="M37" s="12" t="n"/>
      <c r="N37" s="12" t="n"/>
      <c r="O37" s="12" t="n"/>
      <c r="P37" s="26" t="inlineStr"/>
      <c r="Q37" s="17" t="n"/>
      <c r="R37" s="17" t="n"/>
      <c r="S37" s="17" t="n"/>
      <c r="T37" s="12" t="n"/>
      <c r="U37" s="12" t="n"/>
      <c r="V37" s="12" t="n"/>
      <c r="W37" s="13" t="n"/>
      <c r="X37" s="12" t="n"/>
    </row>
    <row r="38">
      <c r="A38" s="11" t="inlineStr">
        <is>
          <t>CAMP-2025-034</t>
        </is>
      </c>
      <c r="B38" s="12" t="n"/>
      <c r="C38" s="12" t="n"/>
      <c r="D38" s="11">
        <f>IFERROR(VLOOKUP(C38,Threat_Actor_Profiles!A:B,2,FALSE),"Unknown")</f>
        <v/>
      </c>
      <c r="E38" s="13" t="n"/>
      <c r="F38" s="13" t="n"/>
      <c r="G38" s="12" t="n"/>
      <c r="H38" s="12" t="n"/>
      <c r="I38" s="12" t="n"/>
      <c r="J38" s="12" t="n"/>
      <c r="K38" s="12" t="n"/>
      <c r="L38" s="12" t="n"/>
      <c r="M38" s="12" t="n"/>
      <c r="N38" s="12" t="n"/>
      <c r="O38" s="12" t="n"/>
      <c r="P38" s="26" t="inlineStr"/>
      <c r="Q38" s="17" t="n"/>
      <c r="R38" s="17" t="n"/>
      <c r="S38" s="17" t="n"/>
      <c r="T38" s="12" t="n"/>
      <c r="U38" s="12" t="n"/>
      <c r="V38" s="12" t="n"/>
      <c r="W38" s="13" t="n"/>
      <c r="X38" s="12" t="n"/>
    </row>
    <row r="39">
      <c r="A39" s="11" t="inlineStr">
        <is>
          <t>CAMP-2025-035</t>
        </is>
      </c>
      <c r="B39" s="12" t="n"/>
      <c r="C39" s="12" t="n"/>
      <c r="D39" s="11">
        <f>IFERROR(VLOOKUP(C39,Threat_Actor_Profiles!A:B,2,FALSE),"Unknown")</f>
        <v/>
      </c>
      <c r="E39" s="13" t="n"/>
      <c r="F39" s="13" t="n"/>
      <c r="G39" s="12" t="n"/>
      <c r="H39" s="12" t="n"/>
      <c r="I39" s="12" t="n"/>
      <c r="J39" s="12" t="n"/>
      <c r="K39" s="12" t="n"/>
      <c r="L39" s="12" t="n"/>
      <c r="M39" s="12" t="n"/>
      <c r="N39" s="12" t="n"/>
      <c r="O39" s="12" t="n"/>
      <c r="P39" s="26" t="inlineStr"/>
      <c r="Q39" s="17" t="n"/>
      <c r="R39" s="17" t="n"/>
      <c r="S39" s="17" t="n"/>
      <c r="T39" s="12" t="n"/>
      <c r="U39" s="12" t="n"/>
      <c r="V39" s="12" t="n"/>
      <c r="W39" s="13" t="n"/>
      <c r="X39" s="12" t="n"/>
    </row>
    <row r="40">
      <c r="A40" s="11" t="inlineStr">
        <is>
          <t>CAMP-2025-036</t>
        </is>
      </c>
      <c r="B40" s="12" t="n"/>
      <c r="C40" s="12" t="n"/>
      <c r="D40" s="11">
        <f>IFERROR(VLOOKUP(C40,Threat_Actor_Profiles!A:B,2,FALSE),"Unknown")</f>
        <v/>
      </c>
      <c r="E40" s="13" t="n"/>
      <c r="F40" s="13" t="n"/>
      <c r="G40" s="12" t="n"/>
      <c r="H40" s="12" t="n"/>
      <c r="I40" s="12" t="n"/>
      <c r="J40" s="12" t="n"/>
      <c r="K40" s="12" t="n"/>
      <c r="L40" s="12" t="n"/>
      <c r="M40" s="12" t="n"/>
      <c r="N40" s="12" t="n"/>
      <c r="O40" s="12" t="n"/>
      <c r="P40" s="26" t="inlineStr"/>
      <c r="Q40" s="17" t="n"/>
      <c r="R40" s="17" t="n"/>
      <c r="S40" s="17" t="n"/>
      <c r="T40" s="12" t="n"/>
      <c r="U40" s="12" t="n"/>
      <c r="V40" s="12" t="n"/>
      <c r="W40" s="13" t="n"/>
      <c r="X40" s="12" t="n"/>
    </row>
    <row r="41">
      <c r="A41" s="11" t="inlineStr">
        <is>
          <t>CAMP-2025-037</t>
        </is>
      </c>
      <c r="B41" s="12" t="n"/>
      <c r="C41" s="12" t="n"/>
      <c r="D41" s="11">
        <f>IFERROR(VLOOKUP(C41,Threat_Actor_Profiles!A:B,2,FALSE),"Unknown")</f>
        <v/>
      </c>
      <c r="E41" s="13" t="n"/>
      <c r="F41" s="13" t="n"/>
      <c r="G41" s="12" t="n"/>
      <c r="H41" s="12" t="n"/>
      <c r="I41" s="12" t="n"/>
      <c r="J41" s="12" t="n"/>
      <c r="K41" s="12" t="n"/>
      <c r="L41" s="12" t="n"/>
      <c r="M41" s="12" t="n"/>
      <c r="N41" s="12" t="n"/>
      <c r="O41" s="12" t="n"/>
      <c r="P41" s="26" t="inlineStr"/>
      <c r="Q41" s="17" t="n"/>
      <c r="R41" s="17" t="n"/>
      <c r="S41" s="17" t="n"/>
      <c r="T41" s="12" t="n"/>
      <c r="U41" s="12" t="n"/>
      <c r="V41" s="12" t="n"/>
      <c r="W41" s="13" t="n"/>
      <c r="X41" s="12" t="n"/>
    </row>
    <row r="42">
      <c r="A42" s="11" t="inlineStr">
        <is>
          <t>CAMP-2025-038</t>
        </is>
      </c>
      <c r="B42" s="12" t="n"/>
      <c r="C42" s="12" t="n"/>
      <c r="D42" s="11">
        <f>IFERROR(VLOOKUP(C42,Threat_Actor_Profiles!A:B,2,FALSE),"Unknown")</f>
        <v/>
      </c>
      <c r="E42" s="13" t="n"/>
      <c r="F42" s="13" t="n"/>
      <c r="G42" s="12" t="n"/>
      <c r="H42" s="12" t="n"/>
      <c r="I42" s="12" t="n"/>
      <c r="J42" s="12" t="n"/>
      <c r="K42" s="12" t="n"/>
      <c r="L42" s="12" t="n"/>
      <c r="M42" s="12" t="n"/>
      <c r="N42" s="12" t="n"/>
      <c r="O42" s="12" t="n"/>
      <c r="P42" s="26" t="inlineStr"/>
      <c r="Q42" s="17" t="n"/>
      <c r="R42" s="17" t="n"/>
      <c r="S42" s="17" t="n"/>
      <c r="T42" s="12" t="n"/>
      <c r="U42" s="12" t="n"/>
      <c r="V42" s="12" t="n"/>
      <c r="W42" s="13" t="n"/>
      <c r="X42" s="12" t="n"/>
    </row>
    <row r="43">
      <c r="A43" s="11" t="inlineStr">
        <is>
          <t>CAMP-2025-039</t>
        </is>
      </c>
      <c r="B43" s="12" t="n"/>
      <c r="C43" s="12" t="n"/>
      <c r="D43" s="11">
        <f>IFERROR(VLOOKUP(C43,Threat_Actor_Profiles!A:B,2,FALSE),"Unknown")</f>
        <v/>
      </c>
      <c r="E43" s="13" t="n"/>
      <c r="F43" s="13" t="n"/>
      <c r="G43" s="12" t="n"/>
      <c r="H43" s="12" t="n"/>
      <c r="I43" s="12" t="n"/>
      <c r="J43" s="12" t="n"/>
      <c r="K43" s="12" t="n"/>
      <c r="L43" s="12" t="n"/>
      <c r="M43" s="12" t="n"/>
      <c r="N43" s="12" t="n"/>
      <c r="O43" s="12" t="n"/>
      <c r="P43" s="26" t="inlineStr"/>
      <c r="Q43" s="17" t="n"/>
      <c r="R43" s="17" t="n"/>
      <c r="S43" s="17" t="n"/>
      <c r="T43" s="12" t="n"/>
      <c r="U43" s="12" t="n"/>
      <c r="V43" s="12" t="n"/>
      <c r="W43" s="13" t="n"/>
      <c r="X43" s="12" t="n"/>
    </row>
    <row r="44">
      <c r="A44" s="11" t="inlineStr">
        <is>
          <t>CAMP-2025-040</t>
        </is>
      </c>
      <c r="B44" s="12" t="n"/>
      <c r="C44" s="12" t="n"/>
      <c r="D44" s="11">
        <f>IFERROR(VLOOKUP(C44,Threat_Actor_Profiles!A:B,2,FALSE),"Unknown")</f>
        <v/>
      </c>
      <c r="E44" s="13" t="n"/>
      <c r="F44" s="13" t="n"/>
      <c r="G44" s="12" t="n"/>
      <c r="H44" s="12" t="n"/>
      <c r="I44" s="12" t="n"/>
      <c r="J44" s="12" t="n"/>
      <c r="K44" s="12" t="n"/>
      <c r="L44" s="12" t="n"/>
      <c r="M44" s="12" t="n"/>
      <c r="N44" s="12" t="n"/>
      <c r="O44" s="12" t="n"/>
      <c r="P44" s="26" t="inlineStr"/>
      <c r="Q44" s="17" t="n"/>
      <c r="R44" s="17" t="n"/>
      <c r="S44" s="17" t="n"/>
      <c r="T44" s="12" t="n"/>
      <c r="U44" s="12" t="n"/>
      <c r="V44" s="12" t="n"/>
      <c r="W44" s="13" t="n"/>
      <c r="X44" s="12" t="n"/>
    </row>
    <row r="45">
      <c r="A45" s="11" t="inlineStr">
        <is>
          <t>CAMP-2025-041</t>
        </is>
      </c>
      <c r="B45" s="12" t="n"/>
      <c r="C45" s="12" t="n"/>
      <c r="D45" s="11">
        <f>IFERROR(VLOOKUP(C45,Threat_Actor_Profiles!A:B,2,FALSE),"Unknown")</f>
        <v/>
      </c>
      <c r="E45" s="13" t="n"/>
      <c r="F45" s="13" t="n"/>
      <c r="G45" s="12" t="n"/>
      <c r="H45" s="12" t="n"/>
      <c r="I45" s="12" t="n"/>
      <c r="J45" s="12" t="n"/>
      <c r="K45" s="12" t="n"/>
      <c r="L45" s="12" t="n"/>
      <c r="M45" s="12" t="n"/>
      <c r="N45" s="12" t="n"/>
      <c r="O45" s="12" t="n"/>
      <c r="P45" s="26" t="inlineStr"/>
      <c r="Q45" s="17" t="n"/>
      <c r="R45" s="17" t="n"/>
      <c r="S45" s="17" t="n"/>
      <c r="T45" s="12" t="n"/>
      <c r="U45" s="12" t="n"/>
      <c r="V45" s="12" t="n"/>
      <c r="W45" s="13" t="n"/>
      <c r="X45" s="12" t="n"/>
    </row>
    <row r="46">
      <c r="A46" s="11" t="inlineStr">
        <is>
          <t>CAMP-2025-042</t>
        </is>
      </c>
      <c r="B46" s="12" t="n"/>
      <c r="C46" s="12" t="n"/>
      <c r="D46" s="11">
        <f>IFERROR(VLOOKUP(C46,Threat_Actor_Profiles!A:B,2,FALSE),"Unknown")</f>
        <v/>
      </c>
      <c r="E46" s="13" t="n"/>
      <c r="F46" s="13" t="n"/>
      <c r="G46" s="12" t="n"/>
      <c r="H46" s="12" t="n"/>
      <c r="I46" s="12" t="n"/>
      <c r="J46" s="12" t="n"/>
      <c r="K46" s="12" t="n"/>
      <c r="L46" s="12" t="n"/>
      <c r="M46" s="12" t="n"/>
      <c r="N46" s="12" t="n"/>
      <c r="O46" s="12" t="n"/>
      <c r="P46" s="26" t="inlineStr"/>
      <c r="Q46" s="17" t="n"/>
      <c r="R46" s="17" t="n"/>
      <c r="S46" s="17" t="n"/>
      <c r="T46" s="12" t="n"/>
      <c r="U46" s="12" t="n"/>
      <c r="V46" s="12" t="n"/>
      <c r="W46" s="13" t="n"/>
      <c r="X46" s="12" t="n"/>
    </row>
    <row r="47">
      <c r="A47" s="11" t="inlineStr">
        <is>
          <t>CAMP-2025-043</t>
        </is>
      </c>
      <c r="B47" s="12" t="n"/>
      <c r="C47" s="12" t="n"/>
      <c r="D47" s="11">
        <f>IFERROR(VLOOKUP(C47,Threat_Actor_Profiles!A:B,2,FALSE),"Unknown")</f>
        <v/>
      </c>
      <c r="E47" s="13" t="n"/>
      <c r="F47" s="13" t="n"/>
      <c r="G47" s="12" t="n"/>
      <c r="H47" s="12" t="n"/>
      <c r="I47" s="12" t="n"/>
      <c r="J47" s="12" t="n"/>
      <c r="K47" s="12" t="n"/>
      <c r="L47" s="12" t="n"/>
      <c r="M47" s="12" t="n"/>
      <c r="N47" s="12" t="n"/>
      <c r="O47" s="12" t="n"/>
      <c r="P47" s="26" t="inlineStr"/>
      <c r="Q47" s="17" t="n"/>
      <c r="R47" s="17" t="n"/>
      <c r="S47" s="17" t="n"/>
      <c r="T47" s="12" t="n"/>
      <c r="U47" s="12" t="n"/>
      <c r="V47" s="12" t="n"/>
      <c r="W47" s="13" t="n"/>
      <c r="X47" s="12" t="n"/>
    </row>
    <row r="48">
      <c r="A48" s="11" t="inlineStr">
        <is>
          <t>CAMP-2025-044</t>
        </is>
      </c>
      <c r="B48" s="12" t="n"/>
      <c r="C48" s="12" t="n"/>
      <c r="D48" s="11">
        <f>IFERROR(VLOOKUP(C48,Threat_Actor_Profiles!A:B,2,FALSE),"Unknown")</f>
        <v/>
      </c>
      <c r="E48" s="13" t="n"/>
      <c r="F48" s="13" t="n"/>
      <c r="G48" s="12" t="n"/>
      <c r="H48" s="12" t="n"/>
      <c r="I48" s="12" t="n"/>
      <c r="J48" s="12" t="n"/>
      <c r="K48" s="12" t="n"/>
      <c r="L48" s="12" t="n"/>
      <c r="M48" s="12" t="n"/>
      <c r="N48" s="12" t="n"/>
      <c r="O48" s="12" t="n"/>
      <c r="P48" s="26" t="inlineStr"/>
      <c r="Q48" s="17" t="n"/>
      <c r="R48" s="17" t="n"/>
      <c r="S48" s="17" t="n"/>
      <c r="T48" s="12" t="n"/>
      <c r="U48" s="12" t="n"/>
      <c r="V48" s="12" t="n"/>
      <c r="W48" s="13" t="n"/>
      <c r="X48" s="12" t="n"/>
    </row>
    <row r="49">
      <c r="A49" s="11" t="inlineStr">
        <is>
          <t>CAMP-2025-045</t>
        </is>
      </c>
      <c r="B49" s="12" t="n"/>
      <c r="C49" s="12" t="n"/>
      <c r="D49" s="11">
        <f>IFERROR(VLOOKUP(C49,Threat_Actor_Profiles!A:B,2,FALSE),"Unknown")</f>
        <v/>
      </c>
      <c r="E49" s="13" t="n"/>
      <c r="F49" s="13" t="n"/>
      <c r="G49" s="12" t="n"/>
      <c r="H49" s="12" t="n"/>
      <c r="I49" s="12" t="n"/>
      <c r="J49" s="12" t="n"/>
      <c r="K49" s="12" t="n"/>
      <c r="L49" s="12" t="n"/>
      <c r="M49" s="12" t="n"/>
      <c r="N49" s="12" t="n"/>
      <c r="O49" s="12" t="n"/>
      <c r="P49" s="26" t="inlineStr"/>
      <c r="Q49" s="17" t="n"/>
      <c r="R49" s="17" t="n"/>
      <c r="S49" s="17" t="n"/>
      <c r="T49" s="12" t="n"/>
      <c r="U49" s="12" t="n"/>
      <c r="V49" s="12" t="n"/>
      <c r="W49" s="13" t="n"/>
      <c r="X49" s="12" t="n"/>
    </row>
    <row r="50">
      <c r="A50" s="11" t="inlineStr">
        <is>
          <t>CAMP-2025-046</t>
        </is>
      </c>
      <c r="B50" s="12" t="n"/>
      <c r="C50" s="12" t="n"/>
      <c r="D50" s="11">
        <f>IFERROR(VLOOKUP(C50,Threat_Actor_Profiles!A:B,2,FALSE),"Unknown")</f>
        <v/>
      </c>
      <c r="E50" s="13" t="n"/>
      <c r="F50" s="13" t="n"/>
      <c r="G50" s="12" t="n"/>
      <c r="H50" s="12" t="n"/>
      <c r="I50" s="12" t="n"/>
      <c r="J50" s="12" t="n"/>
      <c r="K50" s="12" t="n"/>
      <c r="L50" s="12" t="n"/>
      <c r="M50" s="12" t="n"/>
      <c r="N50" s="12" t="n"/>
      <c r="O50" s="12" t="n"/>
      <c r="P50" s="26" t="inlineStr"/>
      <c r="Q50" s="17" t="n"/>
      <c r="R50" s="17" t="n"/>
      <c r="S50" s="17" t="n"/>
      <c r="T50" s="12" t="n"/>
      <c r="U50" s="12" t="n"/>
      <c r="V50" s="12" t="n"/>
      <c r="W50" s="13" t="n"/>
      <c r="X50" s="12" t="n"/>
    </row>
    <row r="51">
      <c r="A51" s="11" t="inlineStr">
        <is>
          <t>CAMP-2025-047</t>
        </is>
      </c>
      <c r="B51" s="12" t="n"/>
      <c r="C51" s="12" t="n"/>
      <c r="D51" s="11">
        <f>IFERROR(VLOOKUP(C51,Threat_Actor_Profiles!A:B,2,FALSE),"Unknown")</f>
        <v/>
      </c>
      <c r="E51" s="13" t="n"/>
      <c r="F51" s="13" t="n"/>
      <c r="G51" s="12" t="n"/>
      <c r="H51" s="12" t="n"/>
      <c r="I51" s="12" t="n"/>
      <c r="J51" s="12" t="n"/>
      <c r="K51" s="12" t="n"/>
      <c r="L51" s="12" t="n"/>
      <c r="M51" s="12" t="n"/>
      <c r="N51" s="12" t="n"/>
      <c r="O51" s="12" t="n"/>
      <c r="P51" s="26" t="inlineStr"/>
      <c r="Q51" s="17" t="n"/>
      <c r="R51" s="17" t="n"/>
      <c r="S51" s="17" t="n"/>
      <c r="T51" s="12" t="n"/>
      <c r="U51" s="12" t="n"/>
      <c r="V51" s="12" t="n"/>
      <c r="W51" s="13" t="n"/>
      <c r="X51" s="12" t="n"/>
    </row>
    <row r="52">
      <c r="A52" s="11" t="inlineStr">
        <is>
          <t>CAMP-2025-048</t>
        </is>
      </c>
      <c r="B52" s="12" t="n"/>
      <c r="C52" s="12" t="n"/>
      <c r="D52" s="11">
        <f>IFERROR(VLOOKUP(C52,Threat_Actor_Profiles!A:B,2,FALSE),"Unknown")</f>
        <v/>
      </c>
      <c r="E52" s="13" t="n"/>
      <c r="F52" s="13" t="n"/>
      <c r="G52" s="12" t="n"/>
      <c r="H52" s="12" t="n"/>
      <c r="I52" s="12" t="n"/>
      <c r="J52" s="12" t="n"/>
      <c r="K52" s="12" t="n"/>
      <c r="L52" s="12" t="n"/>
      <c r="M52" s="12" t="n"/>
      <c r="N52" s="12" t="n"/>
      <c r="O52" s="12" t="n"/>
      <c r="P52" s="26" t="inlineStr"/>
      <c r="Q52" s="17" t="n"/>
      <c r="R52" s="17" t="n"/>
      <c r="S52" s="17" t="n"/>
      <c r="T52" s="12" t="n"/>
      <c r="U52" s="12" t="n"/>
      <c r="V52" s="12" t="n"/>
      <c r="W52" s="13" t="n"/>
      <c r="X52" s="12" t="n"/>
    </row>
    <row r="53">
      <c r="A53" s="11" t="inlineStr">
        <is>
          <t>CAMP-2025-049</t>
        </is>
      </c>
      <c r="B53" s="12" t="n"/>
      <c r="C53" s="12" t="n"/>
      <c r="D53" s="11">
        <f>IFERROR(VLOOKUP(C53,Threat_Actor_Profiles!A:B,2,FALSE),"Unknown")</f>
        <v/>
      </c>
      <c r="E53" s="13" t="n"/>
      <c r="F53" s="13" t="n"/>
      <c r="G53" s="12" t="n"/>
      <c r="H53" s="12" t="n"/>
      <c r="I53" s="12" t="n"/>
      <c r="J53" s="12" t="n"/>
      <c r="K53" s="12" t="n"/>
      <c r="L53" s="12" t="n"/>
      <c r="M53" s="12" t="n"/>
      <c r="N53" s="12" t="n"/>
      <c r="O53" s="12" t="n"/>
      <c r="P53" s="26" t="inlineStr"/>
      <c r="Q53" s="17" t="n"/>
      <c r="R53" s="17" t="n"/>
      <c r="S53" s="17" t="n"/>
      <c r="T53" s="12" t="n"/>
      <c r="U53" s="12" t="n"/>
      <c r="V53" s="12" t="n"/>
      <c r="W53" s="13" t="n"/>
      <c r="X53" s="12" t="n"/>
    </row>
    <row r="54">
      <c r="A54" s="11" t="inlineStr">
        <is>
          <t>CAMP-2025-050</t>
        </is>
      </c>
      <c r="B54" s="12" t="n"/>
      <c r="C54" s="12" t="n"/>
      <c r="D54" s="11">
        <f>IFERROR(VLOOKUP(C54,Threat_Actor_Profiles!A:B,2,FALSE),"Unknown")</f>
        <v/>
      </c>
      <c r="E54" s="13" t="n"/>
      <c r="F54" s="13" t="n"/>
      <c r="G54" s="12" t="n"/>
      <c r="H54" s="12" t="n"/>
      <c r="I54" s="12" t="n"/>
      <c r="J54" s="12" t="n"/>
      <c r="K54" s="12" t="n"/>
      <c r="L54" s="12" t="n"/>
      <c r="M54" s="12" t="n"/>
      <c r="N54" s="12" t="n"/>
      <c r="O54" s="12" t="n"/>
      <c r="P54" s="26" t="inlineStr"/>
      <c r="Q54" s="17" t="n"/>
      <c r="R54" s="17" t="n"/>
      <c r="S54" s="17" t="n"/>
      <c r="T54" s="12" t="n"/>
      <c r="U54" s="12" t="n"/>
      <c r="V54" s="12" t="n"/>
      <c r="W54" s="13" t="n"/>
      <c r="X54" s="12" t="n"/>
    </row>
  </sheetData>
  <mergeCells count="2">
    <mergeCell ref="A2:X2"/>
    <mergeCell ref="A1:X1"/>
  </mergeCells>
  <conditionalFormatting sqref="K5:K54">
    <cfRule type="cellIs" priority="1" operator="equal" dxfId="0">
      <formula>"Confirmed"</formula>
    </cfRule>
  </conditionalFormatting>
  <conditionalFormatting sqref="U5:U54">
    <cfRule type="cellIs" priority="2" operator="equal" dxfId="10">
      <formula>"Critical"</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25" customWidth="1" min="1" max="1"/>
    <col width="80" customWidth="1" min="2" max="2"/>
    <col width="20" customWidth="1" min="3" max="3"/>
    <col width="20" customWidth="1" min="4" max="4"/>
  </cols>
  <sheetData>
    <row r="1" ht="25" customHeight="1">
      <c r="A1" s="1" t="inlineStr">
        <is>
          <t>Workbook Metadata</t>
        </is>
      </c>
    </row>
    <row r="3">
      <c r="A3" s="5" t="inlineStr">
        <is>
          <t>Document ID:</t>
        </is>
      </c>
      <c r="B3" s="5" t="inlineStr">
        <is>
          <t>ISMS-IMP-A.5.7.2</t>
        </is>
      </c>
    </row>
    <row r="4">
      <c r="A4" s="5" t="inlineStr">
        <is>
          <t>Document Title:</t>
        </is>
      </c>
      <c r="B4" s="5" t="inlineStr">
        <is>
          <t>Intelligence Collection &amp; Analysis Assessment</t>
        </is>
      </c>
    </row>
    <row r="5">
      <c r="A5" s="6" t="inlineStr">
        <is>
          <t>ISO 27001:2022 Control:</t>
        </is>
      </c>
      <c r="B5" s="6" t="inlineStr">
        <is>
          <t>A.5.7 (Threat Intelligence)</t>
        </is>
      </c>
    </row>
    <row r="6">
      <c r="A6" s="6" t="inlineStr">
        <is>
          <t>Version:</t>
        </is>
      </c>
      <c r="B6" s="6" t="inlineStr">
        <is>
          <t>1.0</t>
        </is>
      </c>
    </row>
    <row r="7">
      <c r="A7" s="6" t="inlineStr">
        <is>
          <t>Generated Date:</t>
        </is>
      </c>
      <c r="B7" s="6" t="inlineStr">
        <is>
          <t>2026-01-31 16:02:48</t>
        </is>
      </c>
    </row>
    <row r="8">
      <c r="A8" s="6" t="inlineStr">
        <is>
          <t>Generator Script:</t>
        </is>
      </c>
      <c r="B8" s="6" t="inlineStr">
        <is>
          <t>generate_a57_2_collection_analysis.py</t>
        </is>
      </c>
    </row>
    <row r="9">
      <c r="A9" s="6" t="inlineStr">
        <is>
          <t>Python Version:</t>
        </is>
      </c>
      <c r="B9" s="6" t="inlineStr">
        <is>
          <t>3.x</t>
        </is>
      </c>
    </row>
    <row r="10">
      <c r="A10" s="6" t="inlineStr">
        <is>
          <t>Required Library:</t>
        </is>
      </c>
      <c r="B10" s="6" t="inlineStr">
        <is>
          <t>openpyxl</t>
        </is>
      </c>
    </row>
    <row r="11">
      <c r="A11" s="6" t="inlineStr"/>
      <c r="B11" s="6" t="inlineStr"/>
    </row>
    <row r="12">
      <c r="A12" s="6" t="inlineStr">
        <is>
          <t>Sheet Count:</t>
        </is>
      </c>
      <c r="B12" s="6" t="inlineStr">
        <is>
          <t>14</t>
        </is>
      </c>
    </row>
    <row r="13">
      <c r="A13" s="6" t="inlineStr">
        <is>
          <t>Sheet 1:</t>
        </is>
      </c>
      <c r="B13" s="6" t="inlineStr">
        <is>
          <t>Instructions</t>
        </is>
      </c>
    </row>
    <row r="14">
      <c r="A14" s="6" t="inlineStr">
        <is>
          <t>Sheet 2:</t>
        </is>
      </c>
      <c r="B14" s="6" t="inlineStr">
        <is>
          <t>Intelligence_Requirements (50 PIR/SIR/IR entries)</t>
        </is>
      </c>
    </row>
    <row r="15">
      <c r="A15" s="6" t="inlineStr">
        <is>
          <t>Sheet 3:</t>
        </is>
      </c>
      <c r="B15" s="6" t="inlineStr">
        <is>
          <t>Collection_Sources (30 source entries)</t>
        </is>
      </c>
    </row>
    <row r="16">
      <c r="A16" s="6" t="inlineStr">
        <is>
          <t>Sheet 4:</t>
        </is>
      </c>
      <c r="B16" s="6" t="inlineStr">
        <is>
          <t>Raw_Intelligence_Log (100 raw intel entries)</t>
        </is>
      </c>
    </row>
    <row r="17">
      <c r="A17" s="6" t="inlineStr">
        <is>
          <t>Sheet 5:</t>
        </is>
      </c>
      <c r="B17" s="6" t="inlineStr">
        <is>
          <t>Intelligence_Production (60 products)</t>
        </is>
      </c>
    </row>
    <row r="18">
      <c r="A18" s="6" t="inlineStr">
        <is>
          <t>Sheet 6:</t>
        </is>
      </c>
      <c r="B18" s="6" t="inlineStr">
        <is>
          <t>MITRE_Mapping (100 techniques)</t>
        </is>
      </c>
    </row>
    <row r="19">
      <c r="A19" s="6" t="inlineStr">
        <is>
          <t>Sheet 7:</t>
        </is>
      </c>
      <c r="B19" s="6" t="inlineStr">
        <is>
          <t>Quality_Metrics (20 KPIs)</t>
        </is>
      </c>
    </row>
    <row r="20">
      <c r="A20" s="6" t="inlineStr">
        <is>
          <t>Sheet 8:</t>
        </is>
      </c>
      <c r="B20" s="6" t="inlineStr">
        <is>
          <t>Vulnerability_Linked_Threats (50 VTL records) **CRITICAL**</t>
        </is>
      </c>
    </row>
    <row r="21">
      <c r="A21" s="6" t="inlineStr">
        <is>
          <t>Sheet 9:</t>
        </is>
      </c>
      <c r="B21" s="6" t="inlineStr">
        <is>
          <t>Process_Maturity (CMM assessment)</t>
        </is>
      </c>
    </row>
    <row r="22">
      <c r="A22" s="6" t="inlineStr">
        <is>
          <t>Sheet 10:</t>
        </is>
      </c>
      <c r="B22" s="6" t="inlineStr">
        <is>
          <t>Action_Items (50 actions)</t>
        </is>
      </c>
    </row>
    <row r="23">
      <c r="A23" s="6" t="inlineStr">
        <is>
          <t>Sheet 11:</t>
        </is>
      </c>
      <c r="B23" s="6" t="inlineStr">
        <is>
          <t>Analysis_Tools (20 tools)</t>
        </is>
      </c>
    </row>
    <row r="24">
      <c r="A24" s="6" t="inlineStr">
        <is>
          <t>Sheet 12:</t>
        </is>
      </c>
      <c r="B24" s="6" t="inlineStr">
        <is>
          <t>Threat_Actor_Profiles (30 actors)</t>
        </is>
      </c>
    </row>
    <row r="25">
      <c r="A25" s="6" t="inlineStr">
        <is>
          <t>Sheet 13:</t>
        </is>
      </c>
      <c r="B25" s="6" t="inlineStr">
        <is>
          <t>Campaign_Tracking (20 campaigns)</t>
        </is>
      </c>
    </row>
    <row r="26">
      <c r="A26" s="6" t="inlineStr">
        <is>
          <t>Sheet 14:</t>
        </is>
      </c>
      <c r="B26" s="6" t="inlineStr">
        <is>
          <t>Metadata (this sheet)</t>
        </is>
      </c>
    </row>
    <row r="27">
      <c r="A27" s="6" t="inlineStr"/>
      <c r="B27" s="6" t="inlineStr"/>
    </row>
    <row r="28">
      <c r="A28" s="5" t="inlineStr">
        <is>
          <t>VTL Integration:</t>
        </is>
      </c>
      <c r="B28" s="7" t="inlineStr">
        <is>
          <t>Sheet 8 implements VulnerabilityThreatLink schema</t>
        </is>
      </c>
    </row>
    <row r="29">
      <c r="A29" s="6" t="inlineStr">
        <is>
          <t>Control 8.8 Link:</t>
        </is>
      </c>
      <c r="B29" s="7" t="inlineStr">
        <is>
          <t>Bidirectional data flow for vulnerability prioritization</t>
        </is>
      </c>
    </row>
    <row r="30">
      <c r="A30" s="5" t="inlineStr">
        <is>
          <t>Emergency Patching:</t>
        </is>
      </c>
      <c r="B30" s="7" t="inlineStr">
        <is>
          <t>Active_Exploitation triggers emergency patch in 8.8</t>
        </is>
      </c>
    </row>
    <row r="31">
      <c r="A31" s="6" t="inlineStr"/>
      <c r="B31" s="6" t="inlineStr"/>
    </row>
    <row r="32">
      <c r="A32" s="6" t="inlineStr">
        <is>
          <t>Review Cycle:</t>
        </is>
      </c>
      <c r="B32" s="6" t="inlineStr">
        <is>
          <t>Quarterly</t>
        </is>
      </c>
    </row>
    <row r="33">
      <c r="A33" s="6" t="inlineStr">
        <is>
          <t>Policy Reference:</t>
        </is>
      </c>
      <c r="B33" s="6" t="inlineStr">
        <is>
          <t>ISMS-POL-A.5.7 (All Sections)</t>
        </is>
      </c>
    </row>
    <row r="34">
      <c r="A34" s="6" t="inlineStr">
        <is>
          <t>Related Workbooks:</t>
        </is>
      </c>
      <c r="B34" s="6" t="inlineStr">
        <is>
          <t>ISMS-IMP-A.5.7.1 (Sources), ISMS-IMP-A.5.7.3 (Integration)</t>
        </is>
      </c>
    </row>
    <row r="35">
      <c r="A35" s="6" t="inlineStr"/>
      <c r="B35" s="6" t="inlineStr"/>
    </row>
    <row r="36">
      <c r="A36" s="6" t="inlineStr">
        <is>
          <t>Notes:</t>
        </is>
      </c>
      <c r="B36" s="6" t="inlineStr">
        <is>
          <t>As Feynman said: 'The first principle is that you must not fool yourself'</t>
        </is>
      </c>
    </row>
    <row r="37">
      <c r="A37" s="6" t="inlineStr"/>
      <c r="B37" s="6" t="inlineStr">
        <is>
          <t>This workbook generates evidence, not theater. Use it well.</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2026-01-31T15:02:47Z</dcterms:created>
  <dcterms:modified xmlns:dcterms="http://purl.org/dc/terms/" xmlns:xsi="http://www.w3.org/2001/XMLSchema-instance" xsi:type="dcterms:W3CDTF">2026-01-31T15:02:48Z</dcterms:modified>
</cp:coreProperties>
</file>