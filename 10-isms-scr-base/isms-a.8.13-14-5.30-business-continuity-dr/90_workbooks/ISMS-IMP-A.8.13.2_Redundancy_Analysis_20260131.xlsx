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ummary" sheetId="2" state="visible" r:id="rId2"/>
    <sheet xmlns:r="http://schemas.openxmlformats.org/officeDocument/2006/relationships" name="Redundancy_Inventory" sheetId="3" state="visible" r:id="rId3"/>
    <sheet xmlns:r="http://schemas.openxmlformats.org/officeDocument/2006/relationships" name="SPOF_Register" sheetId="4" state="visible" r:id="rId4"/>
    <sheet xmlns:r="http://schemas.openxmlformats.org/officeDocument/2006/relationships" name="RTO_Compliance" sheetId="5" state="visible" r:id="rId5"/>
    <sheet xmlns:r="http://schemas.openxmlformats.org/officeDocument/2006/relationships" name="Evidence_Register" sheetId="6" state="visible" r:id="rId6"/>
    <sheet xmlns:r="http://schemas.openxmlformats.org/officeDocument/2006/relationships" name="Approval_Sign_Off"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8">
    <font>
      <name val="Calibri"/>
      <family val="2"/>
      <color theme="1"/>
      <sz val="11"/>
      <scheme val="minor"/>
    </font>
    <font>
      <name val="Calibri"/>
      <b val="1"/>
      <color rgb="00FFFFFF"/>
      <sz val="14"/>
    </font>
    <font>
      <name val="Calibri"/>
      <b val="1"/>
      <sz val="10"/>
    </font>
    <font>
      <name val="Calibri"/>
      <b val="1"/>
      <color rgb="00FFFFFF"/>
      <sz val="11"/>
    </font>
    <font>
      <name val="Calibri"/>
      <b val="1"/>
      <color rgb="00003366"/>
      <sz val="16"/>
    </font>
    <font>
      <i val="1"/>
      <sz val="11"/>
    </font>
    <font>
      <b val="1"/>
      <sz val="12"/>
    </font>
    <font>
      <b val="1"/>
      <sz val="9"/>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xf>
    <xf numFmtId="0" fontId="0" fillId="0" borderId="0" applyAlignment="1" pivotButton="0" quotePrefix="0" xfId="0">
      <alignment vertical="top" wrapText="1"/>
    </xf>
    <xf numFmtId="0" fontId="0" fillId="0" borderId="0" applyAlignment="1" pivotButton="0" quotePrefix="0" xfId="0">
      <alignment horizontal="center"/>
    </xf>
    <xf numFmtId="0" fontId="4" fillId="0" borderId="0" applyAlignment="1" pivotButton="0" quotePrefix="0" xfId="0">
      <alignment horizontal="center" vertical="center"/>
    </xf>
    <xf numFmtId="0" fontId="5" fillId="0" borderId="0" applyAlignment="1" pivotButton="0" quotePrefix="0" xfId="0">
      <alignment horizontal="center"/>
    </xf>
    <xf numFmtId="0" fontId="6" fillId="0" borderId="0" pivotButton="0" quotePrefix="0" xfId="0"/>
    <xf numFmtId="164" fontId="6" fillId="0" borderId="0" pivotButton="0" quotePrefix="0" xfId="0"/>
    <xf numFmtId="0" fontId="2" fillId="4"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0" fillId="5" borderId="1" pivotButton="0" quotePrefix="0" xfId="0"/>
    <xf numFmtId="164" fontId="2" fillId="0" borderId="0" pivotButton="0" quotePrefix="0" xfId="0"/>
    <xf numFmtId="0" fontId="7" fillId="0" borderId="0" pivotButton="0" quotePrefix="0" xfId="0"/>
    <xf numFmtId="0" fontId="7" fillId="0" borderId="1" pivotButton="0" quotePrefix="0" xfId="0"/>
    <xf numFmtId="165" fontId="0" fillId="5" borderId="1" pivotButton="0" quotePrefix="0" xfId="0"/>
    <xf numFmtId="0" fontId="0" fillId="5" borderId="1" applyAlignment="1" pivotButton="0" quotePrefix="0" xfId="0">
      <alignment horizontal="center" vertical="center"/>
    </xf>
    <xf numFmtId="0" fontId="0" fillId="5" borderId="0" pivotButton="0" quotePrefix="0" xfId="0"/>
    <xf numFmtId="164" fontId="0" fillId="0" borderId="0" pivotButton="0" quotePrefix="0" xfId="0"/>
    <xf numFmtId="165" fontId="0" fillId="5" borderId="0" pivotButton="0" quotePrefix="0" xfId="0"/>
    <xf numFmtId="0" fontId="1" fillId="2" borderId="0" applyAlignment="1" pivotButton="0" quotePrefix="0" xfId="0">
      <alignment horizont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60" customWidth="1" min="1" max="1"/>
    <col width="40" customWidth="1" min="2" max="2"/>
  </cols>
  <sheetData>
    <row r="1" ht="30" customHeight="1">
      <c r="A1" s="1" t="inlineStr">
        <is>
          <t>Redundancy Analysis &amp; SPOF Assessment - Instructions</t>
        </is>
      </c>
    </row>
    <row r="3">
      <c r="A3" s="2" t="inlineStr">
        <is>
          <t>Document ID:</t>
        </is>
      </c>
      <c r="B3" t="inlineStr">
        <is>
          <t>ISMS-IMP-A.8.13.2</t>
        </is>
      </c>
    </row>
    <row r="4">
      <c r="A4" s="2" t="inlineStr">
        <is>
          <t>Assessment:</t>
        </is>
      </c>
      <c r="B4" t="inlineStr">
        <is>
          <t>Redundancy Analysis &amp; SPOF</t>
        </is>
      </c>
    </row>
    <row r="5">
      <c r="A5" s="2" t="inlineStr">
        <is>
          <t>Version:</t>
        </is>
      </c>
      <c r="B5" t="inlineStr">
        <is>
          <t>1.0</t>
        </is>
      </c>
    </row>
    <row r="6">
      <c r="A6" s="2" t="inlineStr">
        <is>
          <t>Generated:</t>
        </is>
      </c>
      <c r="B6" t="inlineStr">
        <is>
          <t>31.01.2026 03:18</t>
        </is>
      </c>
    </row>
    <row r="8">
      <c r="A8" s="3" t="inlineStr">
        <is>
          <t>PURPOSE</t>
        </is>
      </c>
    </row>
    <row r="9" ht="90" customHeight="1">
      <c r="A9" s="4" t="inlineStr">
        <is>
          <t>Assess redundancy coverage, identify Single Points of Failure (SPOFs), and measure RTO compliance.
Use this assessment to:
• Identify critical systems lacking adequate redundancy
• Document and track SPOFs requiring mitigation
• Measure RTO compliance (failover capability vs business requirements)
• Track evidence for audit compliance
• Obtain formal approval from stakeholders</t>
        </is>
      </c>
    </row>
    <row r="10"/>
    <row r="11"/>
    <row r="12"/>
    <row r="13"/>
    <row r="14"/>
    <row r="15">
      <c r="A15" s="3" t="inlineStr">
        <is>
          <t>ASSESSMENT WORKFLOW</t>
        </is>
      </c>
    </row>
    <row r="16">
      <c r="A16" t="inlineStr">
        <is>
          <t>1. Populate Redundancy_Inventory (document redundancy status)</t>
        </is>
      </c>
    </row>
    <row r="17">
      <c r="A17" t="inlineStr">
        <is>
          <t>2. Complete SPOF_Register (identify and track SPOFs)</t>
        </is>
      </c>
    </row>
    <row r="18">
      <c r="A18" t="inlineStr">
        <is>
          <t>3. Assess RTO_Compliance (compare requirements vs capability)</t>
        </is>
      </c>
    </row>
    <row r="19">
      <c r="A19" t="inlineStr">
        <is>
          <t>4. Document evidence in Evidence_Register (minimum 5 items)</t>
        </is>
      </c>
    </row>
    <row r="20">
      <c r="A20" t="inlineStr">
        <is>
          <t>5. Review Summary dashboard</t>
        </is>
      </c>
    </row>
    <row r="21">
      <c r="A21" t="inlineStr">
        <is>
          <t>6. Complete Approval_Sign_Off (3-level workflow)</t>
        </is>
      </c>
    </row>
    <row r="23">
      <c r="A23" s="3" t="inlineStr">
        <is>
          <t>STATUS INDICATOR LEGEND</t>
        </is>
      </c>
    </row>
    <row r="24">
      <c r="A24" s="5" t="inlineStr">
        <is>
          <t>✅</t>
        </is>
      </c>
      <c r="B24" t="inlineStr">
        <is>
          <t>Implemented / Success / Yes</t>
        </is>
      </c>
    </row>
    <row r="25">
      <c r="A25" s="5" t="inlineStr">
        <is>
          <t>❌</t>
        </is>
      </c>
      <c r="B25" t="inlineStr">
        <is>
          <t>None / Failure / No</t>
        </is>
      </c>
    </row>
    <row r="26">
      <c r="A26" s="5" t="inlineStr">
        <is>
          <t>⚠</t>
        </is>
      </c>
      <c r="B26" t="inlineStr">
        <is>
          <t>Partial / Warning</t>
        </is>
      </c>
    </row>
    <row r="27">
      <c r="A27" s="5" t="inlineStr">
        <is>
          <t>⏳</t>
        </is>
      </c>
      <c r="B27" t="inlineStr">
        <is>
          <t>In Progress / Pending</t>
        </is>
      </c>
    </row>
    <row r="28">
      <c r="A28" s="5" t="inlineStr">
        <is>
          <t>🔴</t>
        </is>
      </c>
      <c r="B28" t="inlineStr">
        <is>
          <t>Critical Risk</t>
        </is>
      </c>
    </row>
    <row r="29">
      <c r="A29" s="5" t="inlineStr">
        <is>
          <t>🟡</t>
        </is>
      </c>
      <c r="B29" t="inlineStr">
        <is>
          <t>Medium Risk</t>
        </is>
      </c>
    </row>
    <row r="30">
      <c r="A30" s="5" t="inlineStr">
        <is>
          <t>🟢</t>
        </is>
      </c>
      <c r="B30" t="inlineStr">
        <is>
          <t>Low Risk</t>
        </is>
      </c>
    </row>
  </sheetData>
  <mergeCells count="5">
    <mergeCell ref="A1:F1"/>
    <mergeCell ref="A23:F23"/>
    <mergeCell ref="A9:F14"/>
    <mergeCell ref="A8:F8"/>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55" customWidth="1" min="1" max="1"/>
    <col width="20" customWidth="1" min="2" max="2"/>
  </cols>
  <sheetData>
    <row r="1" ht="35" customHeight="1">
      <c r="A1" s="6" t="inlineStr">
        <is>
          <t>REDUNDANCY &amp; SPOF ANALYSIS DASHBOARD</t>
        </is>
      </c>
    </row>
    <row r="2">
      <c r="A2" s="7" t="inlineStr">
        <is>
          <t>Assessment Date: 31.01.2026 | Assessment ID: ISMS-IMP-A.8.13.2</t>
        </is>
      </c>
    </row>
    <row r="4">
      <c r="A4" s="3" t="inlineStr">
        <is>
          <t>REDUNDANCY COVERAGE</t>
        </is>
      </c>
    </row>
    <row r="5">
      <c r="A5" s="2" t="inlineStr">
        <is>
          <t>Total Systems:</t>
        </is>
      </c>
      <c r="B5" s="8">
        <f>Redundancy_Inventory!B115</f>
        <v/>
      </c>
    </row>
    <row r="6">
      <c r="A6" s="2" t="inlineStr">
        <is>
          <t>Systems with Redundancy:</t>
        </is>
      </c>
      <c r="B6" s="8">
        <f>Redundancy_Inventory!B116</f>
        <v/>
      </c>
    </row>
    <row r="7">
      <c r="A7" s="2" t="inlineStr">
        <is>
          <t>Overall Coverage:</t>
        </is>
      </c>
      <c r="B7" s="9">
        <f>Redundancy_Inventory!B117</f>
        <v/>
      </c>
    </row>
    <row r="8">
      <c r="A8" s="2" t="inlineStr">
        <is>
          <t>Critical Systems (RTO &lt; 4h):</t>
        </is>
      </c>
      <c r="B8" s="8">
        <f>Redundancy_Inventory!B118</f>
        <v/>
      </c>
    </row>
    <row r="9">
      <c r="A9" s="2" t="inlineStr">
        <is>
          <t>Critical with Redundancy:</t>
        </is>
      </c>
      <c r="B9" s="8">
        <f>Redundancy_Inventory!B119</f>
        <v/>
      </c>
    </row>
    <row r="10">
      <c r="A10" s="2" t="inlineStr">
        <is>
          <t>Critical Coverage:</t>
        </is>
      </c>
      <c r="B10" s="9">
        <f>Redundancy_Inventory!B120</f>
        <v/>
      </c>
    </row>
    <row r="12">
      <c r="A12" s="3" t="inlineStr">
        <is>
          <t>SINGLE POINTS OF FAILURE (SPOF)</t>
        </is>
      </c>
    </row>
    <row r="13">
      <c r="A13" s="2" t="inlineStr">
        <is>
          <t>Total SPOFs Identified:</t>
        </is>
      </c>
      <c r="B13" s="8">
        <f>SPOF_Register!B108</f>
        <v/>
      </c>
    </row>
    <row r="14">
      <c r="A14" s="2" t="inlineStr">
        <is>
          <t>SPOFs Mitigated:</t>
        </is>
      </c>
      <c r="B14" s="8">
        <f>SPOF_Register!B109</f>
        <v/>
      </c>
    </row>
    <row r="15">
      <c r="A15" s="2" t="inlineStr">
        <is>
          <t>SPOFs In Progress:</t>
        </is>
      </c>
      <c r="B15" s="8">
        <f>SPOF_Register!B110</f>
        <v/>
      </c>
    </row>
    <row r="16">
      <c r="A16" s="2" t="inlineStr">
        <is>
          <t>Open SPOFs:</t>
        </is>
      </c>
      <c r="B16" s="8">
        <f>SPOF_Register!B111</f>
        <v/>
      </c>
    </row>
    <row r="17">
      <c r="A17" s="2" t="inlineStr">
        <is>
          <t>Critical Open SPOFs:</t>
        </is>
      </c>
      <c r="B17" s="8">
        <f>SPOF_Register!B112</f>
        <v/>
      </c>
    </row>
    <row r="18">
      <c r="A18" s="2" t="inlineStr">
        <is>
          <t>Mitigation Rate:</t>
        </is>
      </c>
      <c r="B18" s="9">
        <f>SPOF_Register!B113</f>
        <v/>
      </c>
    </row>
    <row r="20">
      <c r="A20" s="3" t="inlineStr">
        <is>
          <t>RTO COMPLIANCE</t>
        </is>
      </c>
    </row>
    <row r="21">
      <c r="A21" s="2" t="inlineStr">
        <is>
          <t>Total Systems:</t>
        </is>
      </c>
      <c r="B21" s="8">
        <f>RTO_Compliance!B122</f>
        <v/>
      </c>
    </row>
    <row r="22">
      <c r="A22" s="2" t="inlineStr">
        <is>
          <t>Systems Compliant:</t>
        </is>
      </c>
      <c r="B22" s="8">
        <f>RTO_Compliance!B123</f>
        <v/>
      </c>
    </row>
    <row r="23">
      <c r="A23" s="2" t="inlineStr">
        <is>
          <t>Systems Non-Compliant:</t>
        </is>
      </c>
      <c r="B23" s="8">
        <f>RTO_Compliance!B124</f>
        <v/>
      </c>
    </row>
    <row r="24">
      <c r="A24" s="2" t="inlineStr">
        <is>
          <t>Systems Not Tested:</t>
        </is>
      </c>
      <c r="B24" s="8">
        <f>RTO_Compliance!B125</f>
        <v/>
      </c>
    </row>
    <row r="25">
      <c r="A25" s="2" t="inlineStr">
        <is>
          <t>RTO Compliance Rate:</t>
        </is>
      </c>
      <c r="B25" s="9">
        <f>RTO_Compliance!B126</f>
        <v/>
      </c>
    </row>
    <row r="26">
      <c r="A26" s="2" t="inlineStr">
        <is>
          <t>Critical Compliance Rate:</t>
        </is>
      </c>
      <c r="B26" s="9">
        <f>RTO_Compliance!B127</f>
        <v/>
      </c>
    </row>
    <row r="28">
      <c r="A28" s="3" t="inlineStr">
        <is>
          <t>KEY ACTIONS</t>
        </is>
      </c>
    </row>
    <row r="29">
      <c r="A29" t="inlineStr">
        <is>
          <t>• Address 🔴 Critical Open SPOFs immediately (30-day target)</t>
        </is>
      </c>
    </row>
    <row r="30">
      <c r="A30" t="inlineStr">
        <is>
          <t>• Review systems with ❌ None redundancy (especially Tier 1)</t>
        </is>
      </c>
    </row>
    <row r="31">
      <c r="A31" t="inlineStr">
        <is>
          <t>• Test all systems marked ➖ Not Tested (failover testing required)</t>
        </is>
      </c>
    </row>
    <row r="32">
      <c r="A32" t="inlineStr">
        <is>
          <t>• Address RTO gaps (actual failover time &gt; requirement)</t>
        </is>
      </c>
    </row>
    <row r="33">
      <c r="A33" t="inlineStr">
        <is>
          <t>• Target: 100% redundancy for Critical systems (RTO &lt; 4h)</t>
        </is>
      </c>
    </row>
    <row r="34">
      <c r="A34" t="inlineStr">
        <is>
          <t>• Document minimum 5 evidence items in Evidence_Register</t>
        </is>
      </c>
    </row>
  </sheetData>
  <mergeCells count="6">
    <mergeCell ref="A12:E12"/>
    <mergeCell ref="A4:E4"/>
    <mergeCell ref="A20:E20"/>
    <mergeCell ref="A2:E2"/>
    <mergeCell ref="A28:E28"/>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1"/>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22" customWidth="1" min="3" max="3"/>
    <col width="18" customWidth="1" min="4" max="4"/>
    <col width="25" customWidth="1" min="5" max="5"/>
    <col width="18" customWidth="1" min="6" max="6"/>
    <col width="20" customWidth="1" min="7" max="7"/>
    <col width="18" customWidth="1" min="8" max="8"/>
    <col width="15" customWidth="1" min="9" max="9"/>
    <col width="40" customWidth="1" min="10" max="10"/>
  </cols>
  <sheetData>
    <row r="1" ht="30" customHeight="1">
      <c r="A1" s="1" t="inlineStr">
        <is>
          <t>REDUNDANCY INVENTORY &amp; STATUS</t>
        </is>
      </c>
    </row>
    <row r="2">
      <c r="A2" s="3" t="inlineStr">
        <is>
          <t>Document redundancy status for all systems requiring RTO &lt; 4 hours</t>
        </is>
      </c>
    </row>
    <row r="4">
      <c r="A4" s="10" t="inlineStr">
        <is>
          <t>System Name</t>
        </is>
      </c>
      <c r="B4" s="10" t="inlineStr">
        <is>
          <t>Criticality Tier</t>
        </is>
      </c>
      <c r="C4" s="10" t="inlineStr">
        <is>
          <t>RTO Requirement (hours)</t>
        </is>
      </c>
      <c r="D4" s="10" t="inlineStr">
        <is>
          <t>Redundancy Status</t>
        </is>
      </c>
      <c r="E4" s="10" t="inlineStr">
        <is>
          <t>Architecture Type</t>
        </is>
      </c>
      <c r="F4" s="10" t="inlineStr">
        <is>
          <t>Failover Type</t>
        </is>
      </c>
      <c r="G4" s="10" t="inlineStr">
        <is>
          <t>Geographic Redundancy</t>
        </is>
      </c>
      <c r="H4" s="10" t="inlineStr">
        <is>
          <t>Last Failover Test</t>
        </is>
      </c>
      <c r="I4" s="10" t="inlineStr">
        <is>
          <t>Test Result</t>
        </is>
      </c>
      <c r="J4" s="10" t="inlineStr">
        <is>
          <t>Notes</t>
        </is>
      </c>
    </row>
    <row r="5">
      <c r="A5" s="11" t="inlineStr">
        <is>
          <t>E-Commerce Website</t>
        </is>
      </c>
      <c r="B5" s="11" t="inlineStr">
        <is>
          <t>Tier 1 - Critical</t>
        </is>
      </c>
      <c r="C5" s="11" t="n">
        <v>2</v>
      </c>
      <c r="D5" s="12" t="inlineStr">
        <is>
          <t>✅ Implemented</t>
        </is>
      </c>
      <c r="E5" s="11" t="inlineStr">
        <is>
          <t>Active-Passive</t>
        </is>
      </c>
      <c r="F5" s="12" t="inlineStr">
        <is>
          <t>Automatic</t>
        </is>
      </c>
      <c r="G5" s="12" t="inlineStr">
        <is>
          <t>✅ Yes</t>
        </is>
      </c>
      <c r="H5" s="11" t="inlineStr">
        <is>
          <t>02.11.2025</t>
        </is>
      </c>
      <c r="I5" s="12" t="inlineStr">
        <is>
          <t>✅ Success</t>
        </is>
      </c>
      <c r="J5" s="11" t="inlineStr">
        <is>
          <t>Multi-site, 100km separation, automatic failover in 30 min</t>
        </is>
      </c>
    </row>
    <row r="6">
      <c r="A6" s="11" t="inlineStr">
        <is>
          <t>Email System</t>
        </is>
      </c>
      <c r="B6" s="11" t="inlineStr">
        <is>
          <t>Tier 1 - Critical</t>
        </is>
      </c>
      <c r="C6" s="11" t="n">
        <v>4</v>
      </c>
      <c r="D6" s="12" t="inlineStr">
        <is>
          <t>⚠ Partial</t>
        </is>
      </c>
      <c r="E6" s="11" t="inlineStr">
        <is>
          <t>None</t>
        </is>
      </c>
      <c r="F6" s="12" t="inlineStr">
        <is>
          <t>None</t>
        </is>
      </c>
      <c r="G6" s="12" t="inlineStr">
        <is>
          <t>❌ No</t>
        </is>
      </c>
      <c r="H6" s="11" t="inlineStr"/>
      <c r="I6" s="12" t="inlineStr">
        <is>
          <t>➖ Not Tested</t>
        </is>
      </c>
      <c r="J6" s="11" t="inlineStr">
        <is>
          <t>Single server - backup restore only (12h RTO vs 4h requirement)</t>
        </is>
      </c>
    </row>
    <row r="7">
      <c r="A7" s="11" t="inlineStr">
        <is>
          <t>Payment Gateway</t>
        </is>
      </c>
      <c r="B7" s="11" t="inlineStr">
        <is>
          <t>Tier 1 - Critical</t>
        </is>
      </c>
      <c r="C7" s="11" t="n">
        <v>1</v>
      </c>
      <c r="D7" s="12" t="inlineStr">
        <is>
          <t>✅ Implemented</t>
        </is>
      </c>
      <c r="E7" s="11" t="inlineStr">
        <is>
          <t>Active-Active</t>
        </is>
      </c>
      <c r="F7" s="12" t="inlineStr">
        <is>
          <t>Automatic</t>
        </is>
      </c>
      <c r="G7" s="12" t="inlineStr">
        <is>
          <t>✅ Yes</t>
        </is>
      </c>
      <c r="H7" s="11" t="inlineStr">
        <is>
          <t>01.01.2026</t>
        </is>
      </c>
      <c r="I7" s="12" t="inlineStr">
        <is>
          <t>✅ Success</t>
        </is>
      </c>
      <c r="J7" s="11" t="inlineStr">
        <is>
          <t>Cloud multi-region, load balanced, automatic failover</t>
        </is>
      </c>
    </row>
    <row r="8">
      <c r="A8" s="11" t="inlineStr">
        <is>
          <t>File Server</t>
        </is>
      </c>
      <c r="B8" s="11" t="inlineStr">
        <is>
          <t>Tier 2 - Important</t>
        </is>
      </c>
      <c r="C8" s="11" t="n">
        <v>12</v>
      </c>
      <c r="D8" s="12" t="inlineStr">
        <is>
          <t>❌ None</t>
        </is>
      </c>
      <c r="E8" s="11" t="inlineStr">
        <is>
          <t>None</t>
        </is>
      </c>
      <c r="F8" s="12" t="inlineStr">
        <is>
          <t>None</t>
        </is>
      </c>
      <c r="G8" s="12" t="inlineStr">
        <is>
          <t>❌ No</t>
        </is>
      </c>
      <c r="H8" s="11" t="inlineStr"/>
      <c r="I8" s="12" t="inlineStr">
        <is>
          <t>➖ Not Tested</t>
        </is>
      </c>
      <c r="J8" s="11" t="inlineStr">
        <is>
          <t>Single server - acceptable RTO with restore (8h restore &lt; 12h RTO)</t>
        </is>
      </c>
    </row>
    <row r="9">
      <c r="A9" s="11" t="inlineStr">
        <is>
          <t>Database Cluster</t>
        </is>
      </c>
      <c r="B9" s="11" t="inlineStr">
        <is>
          <t>Tier 1 - Critical</t>
        </is>
      </c>
      <c r="C9" s="11" t="n">
        <v>0.25</v>
      </c>
      <c r="D9" s="12" t="inlineStr">
        <is>
          <t>✅ Implemented</t>
        </is>
      </c>
      <c r="E9" s="11" t="inlineStr">
        <is>
          <t>N+1 Cluster</t>
        </is>
      </c>
      <c r="F9" s="12" t="inlineStr">
        <is>
          <t>Automatic</t>
        </is>
      </c>
      <c r="G9" s="12" t="inlineStr">
        <is>
          <t>❌ No</t>
        </is>
      </c>
      <c r="H9" s="11" t="inlineStr">
        <is>
          <t>02.12.2025</t>
        </is>
      </c>
      <c r="I9" s="12" t="inlineStr">
        <is>
          <t>✅ Success</t>
        </is>
      </c>
      <c r="J9" s="11" t="inlineStr">
        <is>
          <t>5-node cluster (4+1), local HA only, no geo-redundancy</t>
        </is>
      </c>
    </row>
    <row r="10">
      <c r="A10" s="11" t="inlineStr">
        <is>
          <t>ERP System</t>
        </is>
      </c>
      <c r="B10" s="11" t="inlineStr">
        <is>
          <t>Tier 2 - Important</t>
        </is>
      </c>
      <c r="C10" s="11" t="n">
        <v>8</v>
      </c>
      <c r="D10" s="12" t="inlineStr">
        <is>
          <t>⏳ In Progress</t>
        </is>
      </c>
      <c r="E10" s="11" t="inlineStr">
        <is>
          <t>Active-Passive</t>
        </is>
      </c>
      <c r="F10" s="12" t="inlineStr">
        <is>
          <t>Manual</t>
        </is>
      </c>
      <c r="G10" s="12" t="inlineStr">
        <is>
          <t>❌ No</t>
        </is>
      </c>
      <c r="H10" s="11" t="inlineStr"/>
      <c r="I10" s="12" t="inlineStr">
        <is>
          <t>➖ Not Tested</t>
        </is>
      </c>
      <c r="J10" s="11" t="inlineStr">
        <is>
          <t>DR site setup in progress, manual failover procedure documented</t>
        </is>
      </c>
    </row>
    <row r="11">
      <c r="A11" s="11" t="inlineStr">
        <is>
          <t>Document Repository</t>
        </is>
      </c>
      <c r="B11" s="11" t="inlineStr">
        <is>
          <t>Tier 2 - Important</t>
        </is>
      </c>
      <c r="C11" s="11" t="n">
        <v>24</v>
      </c>
      <c r="D11" s="12" t="inlineStr">
        <is>
          <t>❌ None</t>
        </is>
      </c>
      <c r="E11" s="11" t="inlineStr">
        <is>
          <t>None</t>
        </is>
      </c>
      <c r="F11" s="12" t="inlineStr">
        <is>
          <t>None</t>
        </is>
      </c>
      <c r="G11" s="12" t="inlineStr">
        <is>
          <t>❌ No</t>
        </is>
      </c>
      <c r="H11" s="11" t="inlineStr"/>
      <c r="I11" s="12" t="inlineStr">
        <is>
          <t>➖ Not Tested</t>
        </is>
      </c>
      <c r="J11" s="11" t="inlineStr">
        <is>
          <t>Cloud SaaS with provider redundancy (99.9% SLA)</t>
        </is>
      </c>
    </row>
    <row r="12">
      <c r="A12" s="11" t="inlineStr">
        <is>
          <t>Development Server</t>
        </is>
      </c>
      <c r="B12" s="11" t="inlineStr">
        <is>
          <t>Tier 4 - Low</t>
        </is>
      </c>
      <c r="C12" s="11" t="n">
        <v>72</v>
      </c>
      <c r="D12" s="12" t="inlineStr">
        <is>
          <t>❌ None</t>
        </is>
      </c>
      <c r="E12" s="11" t="inlineStr">
        <is>
          <t>None</t>
        </is>
      </c>
      <c r="F12" s="12" t="inlineStr">
        <is>
          <t>None</t>
        </is>
      </c>
      <c r="G12" s="12" t="inlineStr">
        <is>
          <t>➖ N/A</t>
        </is>
      </c>
      <c r="H12" s="11" t="inlineStr"/>
      <c r="I12" s="12" t="inlineStr">
        <is>
          <t>➖ Not Tested</t>
        </is>
      </c>
      <c r="J12" s="11" t="inlineStr">
        <is>
          <t>Non-critical dev environment, no redundancy required</t>
        </is>
      </c>
    </row>
    <row r="13">
      <c r="A13" s="13" t="n"/>
      <c r="B13" s="13" t="n"/>
      <c r="C13" s="13" t="n"/>
      <c r="D13" s="13" t="n"/>
      <c r="E13" s="13" t="n"/>
      <c r="F13" s="13" t="n"/>
      <c r="G13" s="13" t="n"/>
      <c r="H13" s="13" t="n"/>
      <c r="I13" s="13" t="n"/>
      <c r="J13" s="13" t="n"/>
    </row>
    <row r="14">
      <c r="A14" s="13" t="n"/>
      <c r="B14" s="13" t="n"/>
      <c r="C14" s="13" t="n"/>
      <c r="D14" s="13" t="n"/>
      <c r="E14" s="13" t="n"/>
      <c r="F14" s="13" t="n"/>
      <c r="G14" s="13" t="n"/>
      <c r="H14" s="13" t="n"/>
      <c r="I14" s="13" t="n"/>
      <c r="J14" s="13" t="n"/>
    </row>
    <row r="15">
      <c r="A15" s="13" t="n"/>
      <c r="B15" s="13" t="n"/>
      <c r="C15" s="13" t="n"/>
      <c r="D15" s="13" t="n"/>
      <c r="E15" s="13" t="n"/>
      <c r="F15" s="13" t="n"/>
      <c r="G15" s="13" t="n"/>
      <c r="H15" s="13" t="n"/>
      <c r="I15" s="13" t="n"/>
      <c r="J15" s="13" t="n"/>
    </row>
    <row r="16">
      <c r="A16" s="13" t="n"/>
      <c r="B16" s="13" t="n"/>
      <c r="C16" s="13" t="n"/>
      <c r="D16" s="13" t="n"/>
      <c r="E16" s="13" t="n"/>
      <c r="F16" s="13" t="n"/>
      <c r="G16" s="13" t="n"/>
      <c r="H16" s="13" t="n"/>
      <c r="I16" s="13" t="n"/>
      <c r="J16" s="13" t="n"/>
    </row>
    <row r="17">
      <c r="A17" s="13" t="n"/>
      <c r="B17" s="13" t="n"/>
      <c r="C17" s="13" t="n"/>
      <c r="D17" s="13" t="n"/>
      <c r="E17" s="13" t="n"/>
      <c r="F17" s="13" t="n"/>
      <c r="G17" s="13" t="n"/>
      <c r="H17" s="13" t="n"/>
      <c r="I17" s="13" t="n"/>
      <c r="J17" s="13" t="n"/>
    </row>
    <row r="18">
      <c r="A18" s="13" t="n"/>
      <c r="B18" s="13" t="n"/>
      <c r="C18" s="13" t="n"/>
      <c r="D18" s="13" t="n"/>
      <c r="E18" s="13" t="n"/>
      <c r="F18" s="13" t="n"/>
      <c r="G18" s="13" t="n"/>
      <c r="H18" s="13" t="n"/>
      <c r="I18" s="13" t="n"/>
      <c r="J18" s="13" t="n"/>
    </row>
    <row r="19">
      <c r="A19" s="13" t="n"/>
      <c r="B19" s="13" t="n"/>
      <c r="C19" s="13" t="n"/>
      <c r="D19" s="13" t="n"/>
      <c r="E19" s="13" t="n"/>
      <c r="F19" s="13" t="n"/>
      <c r="G19" s="13" t="n"/>
      <c r="H19" s="13" t="n"/>
      <c r="I19" s="13" t="n"/>
      <c r="J19" s="13" t="n"/>
    </row>
    <row r="20">
      <c r="A20" s="13" t="n"/>
      <c r="B20" s="13" t="n"/>
      <c r="C20" s="13" t="n"/>
      <c r="D20" s="13" t="n"/>
      <c r="E20" s="13" t="n"/>
      <c r="F20" s="13" t="n"/>
      <c r="G20" s="13" t="n"/>
      <c r="H20" s="13" t="n"/>
      <c r="I20" s="13" t="n"/>
      <c r="J20" s="13" t="n"/>
    </row>
    <row r="21">
      <c r="A21" s="13" t="n"/>
      <c r="B21" s="13" t="n"/>
      <c r="C21" s="13" t="n"/>
      <c r="D21" s="13" t="n"/>
      <c r="E21" s="13" t="n"/>
      <c r="F21" s="13" t="n"/>
      <c r="G21" s="13" t="n"/>
      <c r="H21" s="13" t="n"/>
      <c r="I21" s="13" t="n"/>
      <c r="J21" s="13" t="n"/>
    </row>
    <row r="22">
      <c r="A22" s="13" t="n"/>
      <c r="B22" s="13" t="n"/>
      <c r="C22" s="13" t="n"/>
      <c r="D22" s="13" t="n"/>
      <c r="E22" s="13" t="n"/>
      <c r="F22" s="13" t="n"/>
      <c r="G22" s="13" t="n"/>
      <c r="H22" s="13" t="n"/>
      <c r="I22" s="13" t="n"/>
      <c r="J22" s="13" t="n"/>
    </row>
    <row r="23">
      <c r="A23" s="13" t="n"/>
      <c r="B23" s="13" t="n"/>
      <c r="C23" s="13" t="n"/>
      <c r="D23" s="13" t="n"/>
      <c r="E23" s="13" t="n"/>
      <c r="F23" s="13" t="n"/>
      <c r="G23" s="13" t="n"/>
      <c r="H23" s="13" t="n"/>
      <c r="I23" s="13" t="n"/>
      <c r="J23" s="13" t="n"/>
    </row>
    <row r="24">
      <c r="A24" s="13" t="n"/>
      <c r="B24" s="13" t="n"/>
      <c r="C24" s="13" t="n"/>
      <c r="D24" s="13" t="n"/>
      <c r="E24" s="13" t="n"/>
      <c r="F24" s="13" t="n"/>
      <c r="G24" s="13" t="n"/>
      <c r="H24" s="13" t="n"/>
      <c r="I24" s="13" t="n"/>
      <c r="J24" s="13" t="n"/>
    </row>
    <row r="25">
      <c r="A25" s="13" t="n"/>
      <c r="B25" s="13" t="n"/>
      <c r="C25" s="13" t="n"/>
      <c r="D25" s="13" t="n"/>
      <c r="E25" s="13" t="n"/>
      <c r="F25" s="13" t="n"/>
      <c r="G25" s="13" t="n"/>
      <c r="H25" s="13" t="n"/>
      <c r="I25" s="13" t="n"/>
      <c r="J25" s="13" t="n"/>
    </row>
    <row r="26">
      <c r="A26" s="13" t="n"/>
      <c r="B26" s="13" t="n"/>
      <c r="C26" s="13" t="n"/>
      <c r="D26" s="13" t="n"/>
      <c r="E26" s="13" t="n"/>
      <c r="F26" s="13" t="n"/>
      <c r="G26" s="13" t="n"/>
      <c r="H26" s="13" t="n"/>
      <c r="I26" s="13" t="n"/>
      <c r="J26" s="13" t="n"/>
    </row>
    <row r="27">
      <c r="A27" s="13" t="n"/>
      <c r="B27" s="13" t="n"/>
      <c r="C27" s="13" t="n"/>
      <c r="D27" s="13" t="n"/>
      <c r="E27" s="13" t="n"/>
      <c r="F27" s="13" t="n"/>
      <c r="G27" s="13" t="n"/>
      <c r="H27" s="13" t="n"/>
      <c r="I27" s="13" t="n"/>
      <c r="J27" s="13" t="n"/>
    </row>
    <row r="28">
      <c r="A28" s="13" t="n"/>
      <c r="B28" s="13" t="n"/>
      <c r="C28" s="13" t="n"/>
      <c r="D28" s="13" t="n"/>
      <c r="E28" s="13" t="n"/>
      <c r="F28" s="13" t="n"/>
      <c r="G28" s="13" t="n"/>
      <c r="H28" s="13" t="n"/>
      <c r="I28" s="13" t="n"/>
      <c r="J28" s="13" t="n"/>
    </row>
    <row r="29">
      <c r="A29" s="13" t="n"/>
      <c r="B29" s="13" t="n"/>
      <c r="C29" s="13" t="n"/>
      <c r="D29" s="13" t="n"/>
      <c r="E29" s="13" t="n"/>
      <c r="F29" s="13" t="n"/>
      <c r="G29" s="13" t="n"/>
      <c r="H29" s="13" t="n"/>
      <c r="I29" s="13" t="n"/>
      <c r="J29" s="13" t="n"/>
    </row>
    <row r="30">
      <c r="A30" s="13" t="n"/>
      <c r="B30" s="13" t="n"/>
      <c r="C30" s="13" t="n"/>
      <c r="D30" s="13" t="n"/>
      <c r="E30" s="13" t="n"/>
      <c r="F30" s="13" t="n"/>
      <c r="G30" s="13" t="n"/>
      <c r="H30" s="13" t="n"/>
      <c r="I30" s="13" t="n"/>
      <c r="J30" s="13" t="n"/>
    </row>
    <row r="31">
      <c r="A31" s="13" t="n"/>
      <c r="B31" s="13" t="n"/>
      <c r="C31" s="13" t="n"/>
      <c r="D31" s="13" t="n"/>
      <c r="E31" s="13" t="n"/>
      <c r="F31" s="13" t="n"/>
      <c r="G31" s="13" t="n"/>
      <c r="H31" s="13" t="n"/>
      <c r="I31" s="13" t="n"/>
      <c r="J31" s="13" t="n"/>
    </row>
    <row r="32">
      <c r="A32" s="13" t="n"/>
      <c r="B32" s="13" t="n"/>
      <c r="C32" s="13" t="n"/>
      <c r="D32" s="13" t="n"/>
      <c r="E32" s="13" t="n"/>
      <c r="F32" s="13" t="n"/>
      <c r="G32" s="13" t="n"/>
      <c r="H32" s="13" t="n"/>
      <c r="I32" s="13" t="n"/>
      <c r="J32" s="13" t="n"/>
    </row>
    <row r="33">
      <c r="A33" s="13" t="n"/>
      <c r="B33" s="13" t="n"/>
      <c r="C33" s="13" t="n"/>
      <c r="D33" s="13" t="n"/>
      <c r="E33" s="13" t="n"/>
      <c r="F33" s="13" t="n"/>
      <c r="G33" s="13" t="n"/>
      <c r="H33" s="13" t="n"/>
      <c r="I33" s="13" t="n"/>
      <c r="J33" s="13" t="n"/>
    </row>
    <row r="34">
      <c r="A34" s="13" t="n"/>
      <c r="B34" s="13" t="n"/>
      <c r="C34" s="13" t="n"/>
      <c r="D34" s="13" t="n"/>
      <c r="E34" s="13" t="n"/>
      <c r="F34" s="13" t="n"/>
      <c r="G34" s="13" t="n"/>
      <c r="H34" s="13" t="n"/>
      <c r="I34" s="13" t="n"/>
      <c r="J34" s="13" t="n"/>
    </row>
    <row r="35">
      <c r="A35" s="13" t="n"/>
      <c r="B35" s="13" t="n"/>
      <c r="C35" s="13" t="n"/>
      <c r="D35" s="13" t="n"/>
      <c r="E35" s="13" t="n"/>
      <c r="F35" s="13" t="n"/>
      <c r="G35" s="13" t="n"/>
      <c r="H35" s="13" t="n"/>
      <c r="I35" s="13" t="n"/>
      <c r="J35" s="13" t="n"/>
    </row>
    <row r="36">
      <c r="A36" s="13" t="n"/>
      <c r="B36" s="13" t="n"/>
      <c r="C36" s="13" t="n"/>
      <c r="D36" s="13" t="n"/>
      <c r="E36" s="13" t="n"/>
      <c r="F36" s="13" t="n"/>
      <c r="G36" s="13" t="n"/>
      <c r="H36" s="13" t="n"/>
      <c r="I36" s="13" t="n"/>
      <c r="J36" s="13" t="n"/>
    </row>
    <row r="37">
      <c r="A37" s="13" t="n"/>
      <c r="B37" s="13" t="n"/>
      <c r="C37" s="13" t="n"/>
      <c r="D37" s="13" t="n"/>
      <c r="E37" s="13" t="n"/>
      <c r="F37" s="13" t="n"/>
      <c r="G37" s="13" t="n"/>
      <c r="H37" s="13" t="n"/>
      <c r="I37" s="13" t="n"/>
      <c r="J37" s="13" t="n"/>
    </row>
    <row r="38">
      <c r="A38" s="13" t="n"/>
      <c r="B38" s="13" t="n"/>
      <c r="C38" s="13" t="n"/>
      <c r="D38" s="13" t="n"/>
      <c r="E38" s="13" t="n"/>
      <c r="F38" s="13" t="n"/>
      <c r="G38" s="13" t="n"/>
      <c r="H38" s="13" t="n"/>
      <c r="I38" s="13" t="n"/>
      <c r="J38" s="13" t="n"/>
    </row>
    <row r="39">
      <c r="A39" s="13" t="n"/>
      <c r="B39" s="13" t="n"/>
      <c r="C39" s="13" t="n"/>
      <c r="D39" s="13" t="n"/>
      <c r="E39" s="13" t="n"/>
      <c r="F39" s="13" t="n"/>
      <c r="G39" s="13" t="n"/>
      <c r="H39" s="13" t="n"/>
      <c r="I39" s="13" t="n"/>
      <c r="J39" s="13" t="n"/>
    </row>
    <row r="40">
      <c r="A40" s="13" t="n"/>
      <c r="B40" s="13" t="n"/>
      <c r="C40" s="13" t="n"/>
      <c r="D40" s="13" t="n"/>
      <c r="E40" s="13" t="n"/>
      <c r="F40" s="13" t="n"/>
      <c r="G40" s="13" t="n"/>
      <c r="H40" s="13" t="n"/>
      <c r="I40" s="13" t="n"/>
      <c r="J40" s="13" t="n"/>
    </row>
    <row r="41">
      <c r="A41" s="13" t="n"/>
      <c r="B41" s="13" t="n"/>
      <c r="C41" s="13" t="n"/>
      <c r="D41" s="13" t="n"/>
      <c r="E41" s="13" t="n"/>
      <c r="F41" s="13" t="n"/>
      <c r="G41" s="13" t="n"/>
      <c r="H41" s="13" t="n"/>
      <c r="I41" s="13" t="n"/>
      <c r="J41" s="13" t="n"/>
    </row>
    <row r="42">
      <c r="A42" s="13" t="n"/>
      <c r="B42" s="13" t="n"/>
      <c r="C42" s="13" t="n"/>
      <c r="D42" s="13" t="n"/>
      <c r="E42" s="13" t="n"/>
      <c r="F42" s="13" t="n"/>
      <c r="G42" s="13" t="n"/>
      <c r="H42" s="13" t="n"/>
      <c r="I42" s="13" t="n"/>
      <c r="J42" s="13" t="n"/>
    </row>
    <row r="43">
      <c r="A43" s="13" t="n"/>
      <c r="B43" s="13" t="n"/>
      <c r="C43" s="13" t="n"/>
      <c r="D43" s="13" t="n"/>
      <c r="E43" s="13" t="n"/>
      <c r="F43" s="13" t="n"/>
      <c r="G43" s="13" t="n"/>
      <c r="H43" s="13" t="n"/>
      <c r="I43" s="13" t="n"/>
      <c r="J43" s="13" t="n"/>
    </row>
    <row r="44">
      <c r="A44" s="13" t="n"/>
      <c r="B44" s="13" t="n"/>
      <c r="C44" s="13" t="n"/>
      <c r="D44" s="13" t="n"/>
      <c r="E44" s="13" t="n"/>
      <c r="F44" s="13" t="n"/>
      <c r="G44" s="13" t="n"/>
      <c r="H44" s="13" t="n"/>
      <c r="I44" s="13" t="n"/>
      <c r="J44" s="13" t="n"/>
    </row>
    <row r="45">
      <c r="A45" s="13" t="n"/>
      <c r="B45" s="13" t="n"/>
      <c r="C45" s="13" t="n"/>
      <c r="D45" s="13" t="n"/>
      <c r="E45" s="13" t="n"/>
      <c r="F45" s="13" t="n"/>
      <c r="G45" s="13" t="n"/>
      <c r="H45" s="13" t="n"/>
      <c r="I45" s="13" t="n"/>
      <c r="J45" s="13" t="n"/>
    </row>
    <row r="46">
      <c r="A46" s="13" t="n"/>
      <c r="B46" s="13" t="n"/>
      <c r="C46" s="13" t="n"/>
      <c r="D46" s="13" t="n"/>
      <c r="E46" s="13" t="n"/>
      <c r="F46" s="13" t="n"/>
      <c r="G46" s="13" t="n"/>
      <c r="H46" s="13" t="n"/>
      <c r="I46" s="13" t="n"/>
      <c r="J46" s="13" t="n"/>
    </row>
    <row r="47">
      <c r="A47" s="13" t="n"/>
      <c r="B47" s="13" t="n"/>
      <c r="C47" s="13" t="n"/>
      <c r="D47" s="13" t="n"/>
      <c r="E47" s="13" t="n"/>
      <c r="F47" s="13" t="n"/>
      <c r="G47" s="13" t="n"/>
      <c r="H47" s="13" t="n"/>
      <c r="I47" s="13" t="n"/>
      <c r="J47" s="13" t="n"/>
    </row>
    <row r="48">
      <c r="A48" s="13" t="n"/>
      <c r="B48" s="13" t="n"/>
      <c r="C48" s="13" t="n"/>
      <c r="D48" s="13" t="n"/>
      <c r="E48" s="13" t="n"/>
      <c r="F48" s="13" t="n"/>
      <c r="G48" s="13" t="n"/>
      <c r="H48" s="13" t="n"/>
      <c r="I48" s="13" t="n"/>
      <c r="J48" s="13" t="n"/>
    </row>
    <row r="49">
      <c r="A49" s="13" t="n"/>
      <c r="B49" s="13" t="n"/>
      <c r="C49" s="13" t="n"/>
      <c r="D49" s="13" t="n"/>
      <c r="E49" s="13" t="n"/>
      <c r="F49" s="13" t="n"/>
      <c r="G49" s="13" t="n"/>
      <c r="H49" s="13" t="n"/>
      <c r="I49" s="13" t="n"/>
      <c r="J49" s="13" t="n"/>
    </row>
    <row r="50">
      <c r="A50" s="13" t="n"/>
      <c r="B50" s="13" t="n"/>
      <c r="C50" s="13" t="n"/>
      <c r="D50" s="13" t="n"/>
      <c r="E50" s="13" t="n"/>
      <c r="F50" s="13" t="n"/>
      <c r="G50" s="13" t="n"/>
      <c r="H50" s="13" t="n"/>
      <c r="I50" s="13" t="n"/>
      <c r="J50" s="13" t="n"/>
    </row>
    <row r="51">
      <c r="A51" s="13" t="n"/>
      <c r="B51" s="13" t="n"/>
      <c r="C51" s="13" t="n"/>
      <c r="D51" s="13" t="n"/>
      <c r="E51" s="13" t="n"/>
      <c r="F51" s="13" t="n"/>
      <c r="G51" s="13" t="n"/>
      <c r="H51" s="13" t="n"/>
      <c r="I51" s="13" t="n"/>
      <c r="J51" s="13" t="n"/>
    </row>
    <row r="52">
      <c r="A52" s="13" t="n"/>
      <c r="B52" s="13" t="n"/>
      <c r="C52" s="13" t="n"/>
      <c r="D52" s="13" t="n"/>
      <c r="E52" s="13" t="n"/>
      <c r="F52" s="13" t="n"/>
      <c r="G52" s="13" t="n"/>
      <c r="H52" s="13" t="n"/>
      <c r="I52" s="13" t="n"/>
      <c r="J52" s="13" t="n"/>
    </row>
    <row r="53">
      <c r="A53" s="13" t="n"/>
      <c r="B53" s="13" t="n"/>
      <c r="C53" s="13" t="n"/>
      <c r="D53" s="13" t="n"/>
      <c r="E53" s="13" t="n"/>
      <c r="F53" s="13" t="n"/>
      <c r="G53" s="13" t="n"/>
      <c r="H53" s="13" t="n"/>
      <c r="I53" s="13" t="n"/>
      <c r="J53" s="13" t="n"/>
    </row>
    <row r="54">
      <c r="A54" s="13" t="n"/>
      <c r="B54" s="13" t="n"/>
      <c r="C54" s="13" t="n"/>
      <c r="D54" s="13" t="n"/>
      <c r="E54" s="13" t="n"/>
      <c r="F54" s="13" t="n"/>
      <c r="G54" s="13" t="n"/>
      <c r="H54" s="13" t="n"/>
      <c r="I54" s="13" t="n"/>
      <c r="J54" s="13" t="n"/>
    </row>
    <row r="55">
      <c r="A55" s="13" t="n"/>
      <c r="B55" s="13" t="n"/>
      <c r="C55" s="13" t="n"/>
      <c r="D55" s="13" t="n"/>
      <c r="E55" s="13" t="n"/>
      <c r="F55" s="13" t="n"/>
      <c r="G55" s="13" t="n"/>
      <c r="H55" s="13" t="n"/>
      <c r="I55" s="13" t="n"/>
      <c r="J55" s="13" t="n"/>
    </row>
    <row r="56">
      <c r="A56" s="13" t="n"/>
      <c r="B56" s="13" t="n"/>
      <c r="C56" s="13" t="n"/>
      <c r="D56" s="13" t="n"/>
      <c r="E56" s="13" t="n"/>
      <c r="F56" s="13" t="n"/>
      <c r="G56" s="13" t="n"/>
      <c r="H56" s="13" t="n"/>
      <c r="I56" s="13" t="n"/>
      <c r="J56" s="13" t="n"/>
    </row>
    <row r="57">
      <c r="A57" s="13" t="n"/>
      <c r="B57" s="13" t="n"/>
      <c r="C57" s="13" t="n"/>
      <c r="D57" s="13" t="n"/>
      <c r="E57" s="13" t="n"/>
      <c r="F57" s="13" t="n"/>
      <c r="G57" s="13" t="n"/>
      <c r="H57" s="13" t="n"/>
      <c r="I57" s="13" t="n"/>
      <c r="J57" s="13" t="n"/>
    </row>
    <row r="58">
      <c r="A58" s="13" t="n"/>
      <c r="B58" s="13" t="n"/>
      <c r="C58" s="13" t="n"/>
      <c r="D58" s="13" t="n"/>
      <c r="E58" s="13" t="n"/>
      <c r="F58" s="13" t="n"/>
      <c r="G58" s="13" t="n"/>
      <c r="H58" s="13" t="n"/>
      <c r="I58" s="13" t="n"/>
      <c r="J58" s="13" t="n"/>
    </row>
    <row r="59">
      <c r="A59" s="13" t="n"/>
      <c r="B59" s="13" t="n"/>
      <c r="C59" s="13" t="n"/>
      <c r="D59" s="13" t="n"/>
      <c r="E59" s="13" t="n"/>
      <c r="F59" s="13" t="n"/>
      <c r="G59" s="13" t="n"/>
      <c r="H59" s="13" t="n"/>
      <c r="I59" s="13" t="n"/>
      <c r="J59" s="13" t="n"/>
    </row>
    <row r="60">
      <c r="A60" s="13" t="n"/>
      <c r="B60" s="13" t="n"/>
      <c r="C60" s="13" t="n"/>
      <c r="D60" s="13" t="n"/>
      <c r="E60" s="13" t="n"/>
      <c r="F60" s="13" t="n"/>
      <c r="G60" s="13" t="n"/>
      <c r="H60" s="13" t="n"/>
      <c r="I60" s="13" t="n"/>
      <c r="J60" s="13" t="n"/>
    </row>
    <row r="61">
      <c r="A61" s="13" t="n"/>
      <c r="B61" s="13" t="n"/>
      <c r="C61" s="13" t="n"/>
      <c r="D61" s="13" t="n"/>
      <c r="E61" s="13" t="n"/>
      <c r="F61" s="13" t="n"/>
      <c r="G61" s="13" t="n"/>
      <c r="H61" s="13" t="n"/>
      <c r="I61" s="13" t="n"/>
      <c r="J61" s="13" t="n"/>
    </row>
    <row r="62">
      <c r="A62" s="13" t="n"/>
      <c r="B62" s="13" t="n"/>
      <c r="C62" s="13" t="n"/>
      <c r="D62" s="13" t="n"/>
      <c r="E62" s="13" t="n"/>
      <c r="F62" s="13" t="n"/>
      <c r="G62" s="13" t="n"/>
      <c r="H62" s="13" t="n"/>
      <c r="I62" s="13" t="n"/>
      <c r="J62" s="13" t="n"/>
    </row>
    <row r="63">
      <c r="A63" s="13" t="n"/>
      <c r="B63" s="13" t="n"/>
      <c r="C63" s="13" t="n"/>
      <c r="D63" s="13" t="n"/>
      <c r="E63" s="13" t="n"/>
      <c r="F63" s="13" t="n"/>
      <c r="G63" s="13" t="n"/>
      <c r="H63" s="13" t="n"/>
      <c r="I63" s="13" t="n"/>
      <c r="J63" s="13" t="n"/>
    </row>
    <row r="64">
      <c r="A64" s="13" t="n"/>
      <c r="B64" s="13" t="n"/>
      <c r="C64" s="13" t="n"/>
      <c r="D64" s="13" t="n"/>
      <c r="E64" s="13" t="n"/>
      <c r="F64" s="13" t="n"/>
      <c r="G64" s="13" t="n"/>
      <c r="H64" s="13" t="n"/>
      <c r="I64" s="13" t="n"/>
      <c r="J64" s="13" t="n"/>
    </row>
    <row r="65">
      <c r="A65" s="13" t="n"/>
      <c r="B65" s="13" t="n"/>
      <c r="C65" s="13" t="n"/>
      <c r="D65" s="13" t="n"/>
      <c r="E65" s="13" t="n"/>
      <c r="F65" s="13" t="n"/>
      <c r="G65" s="13" t="n"/>
      <c r="H65" s="13" t="n"/>
      <c r="I65" s="13" t="n"/>
      <c r="J65" s="13" t="n"/>
    </row>
    <row r="66">
      <c r="A66" s="13" t="n"/>
      <c r="B66" s="13" t="n"/>
      <c r="C66" s="13" t="n"/>
      <c r="D66" s="13" t="n"/>
      <c r="E66" s="13" t="n"/>
      <c r="F66" s="13" t="n"/>
      <c r="G66" s="13" t="n"/>
      <c r="H66" s="13" t="n"/>
      <c r="I66" s="13" t="n"/>
      <c r="J66" s="13" t="n"/>
    </row>
    <row r="67">
      <c r="A67" s="13" t="n"/>
      <c r="B67" s="13" t="n"/>
      <c r="C67" s="13" t="n"/>
      <c r="D67" s="13" t="n"/>
      <c r="E67" s="13" t="n"/>
      <c r="F67" s="13" t="n"/>
      <c r="G67" s="13" t="n"/>
      <c r="H67" s="13" t="n"/>
      <c r="I67" s="13" t="n"/>
      <c r="J67" s="13" t="n"/>
    </row>
    <row r="68">
      <c r="A68" s="13" t="n"/>
      <c r="B68" s="13" t="n"/>
      <c r="C68" s="13" t="n"/>
      <c r="D68" s="13" t="n"/>
      <c r="E68" s="13" t="n"/>
      <c r="F68" s="13" t="n"/>
      <c r="G68" s="13" t="n"/>
      <c r="H68" s="13" t="n"/>
      <c r="I68" s="13" t="n"/>
      <c r="J68" s="13" t="n"/>
    </row>
    <row r="69">
      <c r="A69" s="13" t="n"/>
      <c r="B69" s="13" t="n"/>
      <c r="C69" s="13" t="n"/>
      <c r="D69" s="13" t="n"/>
      <c r="E69" s="13" t="n"/>
      <c r="F69" s="13" t="n"/>
      <c r="G69" s="13" t="n"/>
      <c r="H69" s="13" t="n"/>
      <c r="I69" s="13" t="n"/>
      <c r="J69" s="13" t="n"/>
    </row>
    <row r="70">
      <c r="A70" s="13" t="n"/>
      <c r="B70" s="13" t="n"/>
      <c r="C70" s="13" t="n"/>
      <c r="D70" s="13" t="n"/>
      <c r="E70" s="13" t="n"/>
      <c r="F70" s="13" t="n"/>
      <c r="G70" s="13" t="n"/>
      <c r="H70" s="13" t="n"/>
      <c r="I70" s="13" t="n"/>
      <c r="J70" s="13" t="n"/>
    </row>
    <row r="71">
      <c r="A71" s="13" t="n"/>
      <c r="B71" s="13" t="n"/>
      <c r="C71" s="13" t="n"/>
      <c r="D71" s="13" t="n"/>
      <c r="E71" s="13" t="n"/>
      <c r="F71" s="13" t="n"/>
      <c r="G71" s="13" t="n"/>
      <c r="H71" s="13" t="n"/>
      <c r="I71" s="13" t="n"/>
      <c r="J71" s="13" t="n"/>
    </row>
    <row r="72">
      <c r="A72" s="13" t="n"/>
      <c r="B72" s="13" t="n"/>
      <c r="C72" s="13" t="n"/>
      <c r="D72" s="13" t="n"/>
      <c r="E72" s="13" t="n"/>
      <c r="F72" s="13" t="n"/>
      <c r="G72" s="13" t="n"/>
      <c r="H72" s="13" t="n"/>
      <c r="I72" s="13" t="n"/>
      <c r="J72" s="13" t="n"/>
    </row>
    <row r="73">
      <c r="A73" s="13" t="n"/>
      <c r="B73" s="13" t="n"/>
      <c r="C73" s="13" t="n"/>
      <c r="D73" s="13" t="n"/>
      <c r="E73" s="13" t="n"/>
      <c r="F73" s="13" t="n"/>
      <c r="G73" s="13" t="n"/>
      <c r="H73" s="13" t="n"/>
      <c r="I73" s="13" t="n"/>
      <c r="J73" s="13" t="n"/>
    </row>
    <row r="74">
      <c r="A74" s="13" t="n"/>
      <c r="B74" s="13" t="n"/>
      <c r="C74" s="13" t="n"/>
      <c r="D74" s="13" t="n"/>
      <c r="E74" s="13" t="n"/>
      <c r="F74" s="13" t="n"/>
      <c r="G74" s="13" t="n"/>
      <c r="H74" s="13" t="n"/>
      <c r="I74" s="13" t="n"/>
      <c r="J74" s="13" t="n"/>
    </row>
    <row r="75">
      <c r="A75" s="13" t="n"/>
      <c r="B75" s="13" t="n"/>
      <c r="C75" s="13" t="n"/>
      <c r="D75" s="13" t="n"/>
      <c r="E75" s="13" t="n"/>
      <c r="F75" s="13" t="n"/>
      <c r="G75" s="13" t="n"/>
      <c r="H75" s="13" t="n"/>
      <c r="I75" s="13" t="n"/>
      <c r="J75" s="13" t="n"/>
    </row>
    <row r="76">
      <c r="A76" s="13" t="n"/>
      <c r="B76" s="13" t="n"/>
      <c r="C76" s="13" t="n"/>
      <c r="D76" s="13" t="n"/>
      <c r="E76" s="13" t="n"/>
      <c r="F76" s="13" t="n"/>
      <c r="G76" s="13" t="n"/>
      <c r="H76" s="13" t="n"/>
      <c r="I76" s="13" t="n"/>
      <c r="J76" s="13" t="n"/>
    </row>
    <row r="77">
      <c r="A77" s="13" t="n"/>
      <c r="B77" s="13" t="n"/>
      <c r="C77" s="13" t="n"/>
      <c r="D77" s="13" t="n"/>
      <c r="E77" s="13" t="n"/>
      <c r="F77" s="13" t="n"/>
      <c r="G77" s="13" t="n"/>
      <c r="H77" s="13" t="n"/>
      <c r="I77" s="13" t="n"/>
      <c r="J77" s="13" t="n"/>
    </row>
    <row r="78">
      <c r="A78" s="13" t="n"/>
      <c r="B78" s="13" t="n"/>
      <c r="C78" s="13" t="n"/>
      <c r="D78" s="13" t="n"/>
      <c r="E78" s="13" t="n"/>
      <c r="F78" s="13" t="n"/>
      <c r="G78" s="13" t="n"/>
      <c r="H78" s="13" t="n"/>
      <c r="I78" s="13" t="n"/>
      <c r="J78" s="13" t="n"/>
    </row>
    <row r="79">
      <c r="A79" s="13" t="n"/>
      <c r="B79" s="13" t="n"/>
      <c r="C79" s="13" t="n"/>
      <c r="D79" s="13" t="n"/>
      <c r="E79" s="13" t="n"/>
      <c r="F79" s="13" t="n"/>
      <c r="G79" s="13" t="n"/>
      <c r="H79" s="13" t="n"/>
      <c r="I79" s="13" t="n"/>
      <c r="J79" s="13" t="n"/>
    </row>
    <row r="80">
      <c r="A80" s="13" t="n"/>
      <c r="B80" s="13" t="n"/>
      <c r="C80" s="13" t="n"/>
      <c r="D80" s="13" t="n"/>
      <c r="E80" s="13" t="n"/>
      <c r="F80" s="13" t="n"/>
      <c r="G80" s="13" t="n"/>
      <c r="H80" s="13" t="n"/>
      <c r="I80" s="13" t="n"/>
      <c r="J80" s="13" t="n"/>
    </row>
    <row r="81">
      <c r="A81" s="13" t="n"/>
      <c r="B81" s="13" t="n"/>
      <c r="C81" s="13" t="n"/>
      <c r="D81" s="13" t="n"/>
      <c r="E81" s="13" t="n"/>
      <c r="F81" s="13" t="n"/>
      <c r="G81" s="13" t="n"/>
      <c r="H81" s="13" t="n"/>
      <c r="I81" s="13" t="n"/>
      <c r="J81" s="13" t="n"/>
    </row>
    <row r="82">
      <c r="A82" s="13" t="n"/>
      <c r="B82" s="13" t="n"/>
      <c r="C82" s="13" t="n"/>
      <c r="D82" s="13" t="n"/>
      <c r="E82" s="13" t="n"/>
      <c r="F82" s="13" t="n"/>
      <c r="G82" s="13" t="n"/>
      <c r="H82" s="13" t="n"/>
      <c r="I82" s="13" t="n"/>
      <c r="J82" s="13" t="n"/>
    </row>
    <row r="83">
      <c r="A83" s="13" t="n"/>
      <c r="B83" s="13" t="n"/>
      <c r="C83" s="13" t="n"/>
      <c r="D83" s="13" t="n"/>
      <c r="E83" s="13" t="n"/>
      <c r="F83" s="13" t="n"/>
      <c r="G83" s="13" t="n"/>
      <c r="H83" s="13" t="n"/>
      <c r="I83" s="13" t="n"/>
      <c r="J83" s="13" t="n"/>
    </row>
    <row r="84">
      <c r="A84" s="13" t="n"/>
      <c r="B84" s="13" t="n"/>
      <c r="C84" s="13" t="n"/>
      <c r="D84" s="13" t="n"/>
      <c r="E84" s="13" t="n"/>
      <c r="F84" s="13" t="n"/>
      <c r="G84" s="13" t="n"/>
      <c r="H84" s="13" t="n"/>
      <c r="I84" s="13" t="n"/>
      <c r="J84" s="13" t="n"/>
    </row>
    <row r="85">
      <c r="A85" s="13" t="n"/>
      <c r="B85" s="13" t="n"/>
      <c r="C85" s="13" t="n"/>
      <c r="D85" s="13" t="n"/>
      <c r="E85" s="13" t="n"/>
      <c r="F85" s="13" t="n"/>
      <c r="G85" s="13" t="n"/>
      <c r="H85" s="13" t="n"/>
      <c r="I85" s="13" t="n"/>
      <c r="J85" s="13" t="n"/>
    </row>
    <row r="86">
      <c r="A86" s="13" t="n"/>
      <c r="B86" s="13" t="n"/>
      <c r="C86" s="13" t="n"/>
      <c r="D86" s="13" t="n"/>
      <c r="E86" s="13" t="n"/>
      <c r="F86" s="13" t="n"/>
      <c r="G86" s="13" t="n"/>
      <c r="H86" s="13" t="n"/>
      <c r="I86" s="13" t="n"/>
      <c r="J86" s="13" t="n"/>
    </row>
    <row r="87">
      <c r="A87" s="13" t="n"/>
      <c r="B87" s="13" t="n"/>
      <c r="C87" s="13" t="n"/>
      <c r="D87" s="13" t="n"/>
      <c r="E87" s="13" t="n"/>
      <c r="F87" s="13" t="n"/>
      <c r="G87" s="13" t="n"/>
      <c r="H87" s="13" t="n"/>
      <c r="I87" s="13" t="n"/>
      <c r="J87" s="13" t="n"/>
    </row>
    <row r="88">
      <c r="A88" s="13" t="n"/>
      <c r="B88" s="13" t="n"/>
      <c r="C88" s="13" t="n"/>
      <c r="D88" s="13" t="n"/>
      <c r="E88" s="13" t="n"/>
      <c r="F88" s="13" t="n"/>
      <c r="G88" s="13" t="n"/>
      <c r="H88" s="13" t="n"/>
      <c r="I88" s="13" t="n"/>
      <c r="J88" s="13" t="n"/>
    </row>
    <row r="89">
      <c r="A89" s="13" t="n"/>
      <c r="B89" s="13" t="n"/>
      <c r="C89" s="13" t="n"/>
      <c r="D89" s="13" t="n"/>
      <c r="E89" s="13" t="n"/>
      <c r="F89" s="13" t="n"/>
      <c r="G89" s="13" t="n"/>
      <c r="H89" s="13" t="n"/>
      <c r="I89" s="13" t="n"/>
      <c r="J89" s="13" t="n"/>
    </row>
    <row r="90">
      <c r="A90" s="13" t="n"/>
      <c r="B90" s="13" t="n"/>
      <c r="C90" s="13" t="n"/>
      <c r="D90" s="13" t="n"/>
      <c r="E90" s="13" t="n"/>
      <c r="F90" s="13" t="n"/>
      <c r="G90" s="13" t="n"/>
      <c r="H90" s="13" t="n"/>
      <c r="I90" s="13" t="n"/>
      <c r="J90" s="13" t="n"/>
    </row>
    <row r="91">
      <c r="A91" s="13" t="n"/>
      <c r="B91" s="13" t="n"/>
      <c r="C91" s="13" t="n"/>
      <c r="D91" s="13" t="n"/>
      <c r="E91" s="13" t="n"/>
      <c r="F91" s="13" t="n"/>
      <c r="G91" s="13" t="n"/>
      <c r="H91" s="13" t="n"/>
      <c r="I91" s="13" t="n"/>
      <c r="J91" s="13" t="n"/>
    </row>
    <row r="92">
      <c r="A92" s="13" t="n"/>
      <c r="B92" s="13" t="n"/>
      <c r="C92" s="13" t="n"/>
      <c r="D92" s="13" t="n"/>
      <c r="E92" s="13" t="n"/>
      <c r="F92" s="13" t="n"/>
      <c r="G92" s="13" t="n"/>
      <c r="H92" s="13" t="n"/>
      <c r="I92" s="13" t="n"/>
      <c r="J92" s="13" t="n"/>
    </row>
    <row r="93">
      <c r="A93" s="13" t="n"/>
      <c r="B93" s="13" t="n"/>
      <c r="C93" s="13" t="n"/>
      <c r="D93" s="13" t="n"/>
      <c r="E93" s="13" t="n"/>
      <c r="F93" s="13" t="n"/>
      <c r="G93" s="13" t="n"/>
      <c r="H93" s="13" t="n"/>
      <c r="I93" s="13" t="n"/>
      <c r="J93" s="13" t="n"/>
    </row>
    <row r="94">
      <c r="A94" s="13" t="n"/>
      <c r="B94" s="13" t="n"/>
      <c r="C94" s="13" t="n"/>
      <c r="D94" s="13" t="n"/>
      <c r="E94" s="13" t="n"/>
      <c r="F94" s="13" t="n"/>
      <c r="G94" s="13" t="n"/>
      <c r="H94" s="13" t="n"/>
      <c r="I94" s="13" t="n"/>
      <c r="J94" s="13" t="n"/>
    </row>
    <row r="95">
      <c r="A95" s="13" t="n"/>
      <c r="B95" s="13" t="n"/>
      <c r="C95" s="13" t="n"/>
      <c r="D95" s="13" t="n"/>
      <c r="E95" s="13" t="n"/>
      <c r="F95" s="13" t="n"/>
      <c r="G95" s="13" t="n"/>
      <c r="H95" s="13" t="n"/>
      <c r="I95" s="13" t="n"/>
      <c r="J95" s="13" t="n"/>
    </row>
    <row r="96">
      <c r="A96" s="13" t="n"/>
      <c r="B96" s="13" t="n"/>
      <c r="C96" s="13" t="n"/>
      <c r="D96" s="13" t="n"/>
      <c r="E96" s="13" t="n"/>
      <c r="F96" s="13" t="n"/>
      <c r="G96" s="13" t="n"/>
      <c r="H96" s="13" t="n"/>
      <c r="I96" s="13" t="n"/>
      <c r="J96" s="13" t="n"/>
    </row>
    <row r="97">
      <c r="A97" s="13" t="n"/>
      <c r="B97" s="13" t="n"/>
      <c r="C97" s="13" t="n"/>
      <c r="D97" s="13" t="n"/>
      <c r="E97" s="13" t="n"/>
      <c r="F97" s="13" t="n"/>
      <c r="G97" s="13" t="n"/>
      <c r="H97" s="13" t="n"/>
      <c r="I97" s="13" t="n"/>
      <c r="J97" s="13" t="n"/>
    </row>
    <row r="98">
      <c r="A98" s="13" t="n"/>
      <c r="B98" s="13" t="n"/>
      <c r="C98" s="13" t="n"/>
      <c r="D98" s="13" t="n"/>
      <c r="E98" s="13" t="n"/>
      <c r="F98" s="13" t="n"/>
      <c r="G98" s="13" t="n"/>
      <c r="H98" s="13" t="n"/>
      <c r="I98" s="13" t="n"/>
      <c r="J98" s="13" t="n"/>
    </row>
    <row r="99">
      <c r="A99" s="13" t="n"/>
      <c r="B99" s="13" t="n"/>
      <c r="C99" s="13" t="n"/>
      <c r="D99" s="13" t="n"/>
      <c r="E99" s="13" t="n"/>
      <c r="F99" s="13" t="n"/>
      <c r="G99" s="13" t="n"/>
      <c r="H99" s="13" t="n"/>
      <c r="I99" s="13" t="n"/>
      <c r="J99" s="13" t="n"/>
    </row>
    <row r="100">
      <c r="A100" s="13" t="n"/>
      <c r="B100" s="13" t="n"/>
      <c r="C100" s="13" t="n"/>
      <c r="D100" s="13" t="n"/>
      <c r="E100" s="13" t="n"/>
      <c r="F100" s="13" t="n"/>
      <c r="G100" s="13" t="n"/>
      <c r="H100" s="13" t="n"/>
      <c r="I100" s="13" t="n"/>
      <c r="J100" s="13" t="n"/>
    </row>
    <row r="101">
      <c r="A101" s="13" t="n"/>
      <c r="B101" s="13" t="n"/>
      <c r="C101" s="13" t="n"/>
      <c r="D101" s="13" t="n"/>
      <c r="E101" s="13" t="n"/>
      <c r="F101" s="13" t="n"/>
      <c r="G101" s="13" t="n"/>
      <c r="H101" s="13" t="n"/>
      <c r="I101" s="13" t="n"/>
      <c r="J101" s="13" t="n"/>
    </row>
    <row r="102">
      <c r="A102" s="13" t="n"/>
      <c r="B102" s="13" t="n"/>
      <c r="C102" s="13" t="n"/>
      <c r="D102" s="13" t="n"/>
      <c r="E102" s="13" t="n"/>
      <c r="F102" s="13" t="n"/>
      <c r="G102" s="13" t="n"/>
      <c r="H102" s="13" t="n"/>
      <c r="I102" s="13" t="n"/>
      <c r="J102" s="13" t="n"/>
    </row>
    <row r="103">
      <c r="A103" s="13" t="n"/>
      <c r="B103" s="13" t="n"/>
      <c r="C103" s="13" t="n"/>
      <c r="D103" s="13" t="n"/>
      <c r="E103" s="13" t="n"/>
      <c r="F103" s="13" t="n"/>
      <c r="G103" s="13" t="n"/>
      <c r="H103" s="13" t="n"/>
      <c r="I103" s="13" t="n"/>
      <c r="J103" s="13" t="n"/>
    </row>
    <row r="104">
      <c r="A104" s="13" t="n"/>
      <c r="B104" s="13" t="n"/>
      <c r="C104" s="13" t="n"/>
      <c r="D104" s="13" t="n"/>
      <c r="E104" s="13" t="n"/>
      <c r="F104" s="13" t="n"/>
      <c r="G104" s="13" t="n"/>
      <c r="H104" s="13" t="n"/>
      <c r="I104" s="13" t="n"/>
      <c r="J104" s="13" t="n"/>
    </row>
    <row r="105">
      <c r="A105" s="13" t="n"/>
      <c r="B105" s="13" t="n"/>
      <c r="C105" s="13" t="n"/>
      <c r="D105" s="13" t="n"/>
      <c r="E105" s="13" t="n"/>
      <c r="F105" s="13" t="n"/>
      <c r="G105" s="13" t="n"/>
      <c r="H105" s="13" t="n"/>
      <c r="I105" s="13" t="n"/>
      <c r="J105" s="13" t="n"/>
    </row>
    <row r="106">
      <c r="A106" s="13" t="n"/>
      <c r="B106" s="13" t="n"/>
      <c r="C106" s="13" t="n"/>
      <c r="D106" s="13" t="n"/>
      <c r="E106" s="13" t="n"/>
      <c r="F106" s="13" t="n"/>
      <c r="G106" s="13" t="n"/>
      <c r="H106" s="13" t="n"/>
      <c r="I106" s="13" t="n"/>
      <c r="J106" s="13" t="n"/>
    </row>
    <row r="107">
      <c r="A107" s="13" t="n"/>
      <c r="B107" s="13" t="n"/>
      <c r="C107" s="13" t="n"/>
      <c r="D107" s="13" t="n"/>
      <c r="E107" s="13" t="n"/>
      <c r="F107" s="13" t="n"/>
      <c r="G107" s="13" t="n"/>
      <c r="H107" s="13" t="n"/>
      <c r="I107" s="13" t="n"/>
      <c r="J107" s="13" t="n"/>
    </row>
    <row r="108">
      <c r="A108" s="13" t="n"/>
      <c r="B108" s="13" t="n"/>
      <c r="C108" s="13" t="n"/>
      <c r="D108" s="13" t="n"/>
      <c r="E108" s="13" t="n"/>
      <c r="F108" s="13" t="n"/>
      <c r="G108" s="13" t="n"/>
      <c r="H108" s="13" t="n"/>
      <c r="I108" s="13" t="n"/>
      <c r="J108" s="13" t="n"/>
    </row>
    <row r="109">
      <c r="A109" s="13" t="n"/>
      <c r="B109" s="13" t="n"/>
      <c r="C109" s="13" t="n"/>
      <c r="D109" s="13" t="n"/>
      <c r="E109" s="13" t="n"/>
      <c r="F109" s="13" t="n"/>
      <c r="G109" s="13" t="n"/>
      <c r="H109" s="13" t="n"/>
      <c r="I109" s="13" t="n"/>
      <c r="J109" s="13" t="n"/>
    </row>
    <row r="110">
      <c r="A110" s="13" t="n"/>
      <c r="B110" s="13" t="n"/>
      <c r="C110" s="13" t="n"/>
      <c r="D110" s="13" t="n"/>
      <c r="E110" s="13" t="n"/>
      <c r="F110" s="13" t="n"/>
      <c r="G110" s="13" t="n"/>
      <c r="H110" s="13" t="n"/>
      <c r="I110" s="13" t="n"/>
      <c r="J110" s="13" t="n"/>
    </row>
    <row r="111">
      <c r="A111" s="13" t="n"/>
      <c r="B111" s="13" t="n"/>
      <c r="C111" s="13" t="n"/>
      <c r="D111" s="13" t="n"/>
      <c r="E111" s="13" t="n"/>
      <c r="F111" s="13" t="n"/>
      <c r="G111" s="13" t="n"/>
      <c r="H111" s="13" t="n"/>
      <c r="I111" s="13" t="n"/>
      <c r="J111" s="13" t="n"/>
    </row>
    <row r="112">
      <c r="A112" s="13" t="n"/>
      <c r="B112" s="13" t="n"/>
      <c r="C112" s="13" t="n"/>
      <c r="D112" s="13" t="n"/>
      <c r="E112" s="13" t="n"/>
      <c r="F112" s="13" t="n"/>
      <c r="G112" s="13" t="n"/>
      <c r="H112" s="13" t="n"/>
      <c r="I112" s="13" t="n"/>
      <c r="J112" s="13" t="n"/>
    </row>
    <row r="115">
      <c r="A115" s="3" t="inlineStr">
        <is>
          <t>REDUNDANCY COVERAGE METRICS</t>
        </is>
      </c>
    </row>
    <row r="116">
      <c r="A116" s="2" t="inlineStr">
        <is>
          <t>Total Systems:</t>
        </is>
      </c>
      <c r="B116" s="2">
        <f>COUNTA(A5:A112)</f>
        <v/>
      </c>
    </row>
    <row r="117">
      <c r="A117" s="2" t="inlineStr">
        <is>
          <t>Systems with Redundancy:</t>
        </is>
      </c>
      <c r="B117" s="2">
        <f>COUNTIF(D5:D112,"{CHECK}*")</f>
        <v/>
      </c>
    </row>
    <row r="118">
      <c r="A118" s="2" t="inlineStr">
        <is>
          <t>Redundancy Coverage %:</t>
        </is>
      </c>
      <c r="B118" s="14">
        <f>IF(B115&gt;0,B116/B115,0)</f>
        <v/>
      </c>
    </row>
    <row r="119">
      <c r="A119" s="2" t="inlineStr">
        <is>
          <t>Critical Systems (RTO &lt; 4h):</t>
        </is>
      </c>
      <c r="B119" s="2">
        <f>COUNTIFS(B5:B112,"Tier 1*",C5:C112,"&lt;4")</f>
        <v/>
      </c>
    </row>
    <row r="120">
      <c r="A120" s="2" t="inlineStr">
        <is>
          <t>Critical with Redundancy:</t>
        </is>
      </c>
      <c r="B120" s="2">
        <f>COUNTIFS(B5:B112,"Tier 1*",D5:D112,"{CHECK}*")</f>
        <v/>
      </c>
    </row>
    <row r="121">
      <c r="A121" s="2" t="inlineStr">
        <is>
          <t>Critical Coverage %:</t>
        </is>
      </c>
      <c r="B121" s="14">
        <f>IF(B118&gt;0,B119/B118,1)</f>
        <v/>
      </c>
    </row>
  </sheetData>
  <mergeCells count="3">
    <mergeCell ref="A1:J1"/>
    <mergeCell ref="A115:J115"/>
    <mergeCell ref="A2:J2"/>
  </mergeCells>
  <dataValidations count="6">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showDropDown="0" showInputMessage="0" showErrorMessage="0" allowBlank="0" type="list">
      <formula1>"✅ Implemented,⚠️ Partial,❌ None,⏳ In Progress"</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showDropDown="0" showInputMessage="0" showErrorMessage="0" allowBlank="0" type="list">
      <formula1>"Active-Active,Active-Passive,N+1 Cluster,N+2 Cluster,Warm Standby,Cold Standby,None"</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showDropDown="0" showInputMessage="0" showErrorMessage="0" allowBlank="0" type="list">
      <formula1>"Automatic,Manual,None,➖ N/A"</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showDropDown="0" showInputMessage="0" showErrorMessage="0" allowBlank="0" type="list">
      <formula1>"✅ Yes,❌ No,➖ N/A"</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showDropDown="0" showInputMessage="0" showErrorMessage="0" allowBlank="0" type="list">
      <formula1>"✅ Success,⚠️ Partial,❌ Failure,➖ Not Tested"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3"/>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30" customWidth="1" min="3" max="3"/>
    <col width="18" customWidth="1" min="4" max="4"/>
    <col width="15" customWidth="1" min="5" max="5"/>
    <col width="18" customWidth="1" min="6" max="6"/>
    <col width="35" customWidth="1" min="7" max="7"/>
    <col width="20" customWidth="1" min="8" max="8"/>
    <col width="15" customWidth="1" min="9" max="9"/>
  </cols>
  <sheetData>
    <row r="1" ht="30" customHeight="1">
      <c r="A1" s="1" t="inlineStr">
        <is>
          <t>SINGLE POINT OF FAILURE (SPOF) REGISTER</t>
        </is>
      </c>
    </row>
    <row r="2">
      <c r="A2" s="3" t="inlineStr">
        <is>
          <t>Track identified SPOFs and mitigation progress</t>
        </is>
      </c>
    </row>
    <row r="4">
      <c r="A4" s="10" t="inlineStr">
        <is>
          <t>SPOF ID</t>
        </is>
      </c>
      <c r="B4" s="10" t="inlineStr">
        <is>
          <t>System Affected</t>
        </is>
      </c>
      <c r="C4" s="10" t="inlineStr">
        <is>
          <t>SPOF Component</t>
        </is>
      </c>
      <c r="D4" s="10" t="inlineStr">
        <is>
          <t>SPOF Type</t>
        </is>
      </c>
      <c r="E4" s="10" t="inlineStr">
        <is>
          <t>Risk Level</t>
        </is>
      </c>
      <c r="F4" s="10" t="inlineStr">
        <is>
          <t>Mitigation Status</t>
        </is>
      </c>
      <c r="G4" s="10" t="inlineStr">
        <is>
          <t>Mitigation Plan</t>
        </is>
      </c>
      <c r="H4" s="10" t="inlineStr">
        <is>
          <t>Owner</t>
        </is>
      </c>
      <c r="I4" s="10" t="inlineStr">
        <is>
          <t>Target Date</t>
        </is>
      </c>
    </row>
    <row r="5">
      <c r="A5" s="11" t="inlineStr">
        <is>
          <t>SPOF-001</t>
        </is>
      </c>
      <c r="B5" s="11" t="inlineStr">
        <is>
          <t>E-Commerce Website</t>
        </is>
      </c>
      <c r="C5" s="11" t="inlineStr">
        <is>
          <t>Single ISP connection</t>
        </is>
      </c>
      <c r="D5" s="11" t="inlineStr">
        <is>
          <t>Network</t>
        </is>
      </c>
      <c r="E5" s="12" t="inlineStr">
        <is>
          <t>🔴 Critical</t>
        </is>
      </c>
      <c r="F5" s="12" t="inlineStr">
        <is>
          <t>⏳ In Progress</t>
        </is>
      </c>
      <c r="G5" s="11" t="inlineStr">
        <is>
          <t>Add second ISP (multi-homed BGP)</t>
        </is>
      </c>
      <c r="H5" s="11" t="inlineStr">
        <is>
          <t>Network Engineer</t>
        </is>
      </c>
      <c r="I5" s="11" t="inlineStr">
        <is>
          <t>01.05.2026</t>
        </is>
      </c>
    </row>
    <row r="6">
      <c r="A6" s="11" t="inlineStr">
        <is>
          <t>SPOF-002</t>
        </is>
      </c>
      <c r="B6" s="11" t="inlineStr">
        <is>
          <t>Email System</t>
        </is>
      </c>
      <c r="C6" s="11" t="inlineStr">
        <is>
          <t>Single Exchange server</t>
        </is>
      </c>
      <c r="D6" s="11" t="inlineStr">
        <is>
          <t>Hardware</t>
        </is>
      </c>
      <c r="E6" s="12" t="inlineStr">
        <is>
          <t>🔴 Critical</t>
        </is>
      </c>
      <c r="F6" s="12" t="inlineStr">
        <is>
          <t>❌ Open</t>
        </is>
      </c>
      <c r="G6" s="11" t="inlineStr">
        <is>
          <t>Implement DAG (Database Availability Group)</t>
        </is>
      </c>
      <c r="H6" s="11" t="inlineStr">
        <is>
          <t>Infrastructure Manager</t>
        </is>
      </c>
      <c r="I6" s="11" t="inlineStr">
        <is>
          <t>30.07.2026</t>
        </is>
      </c>
    </row>
    <row r="7">
      <c r="A7" s="11" t="inlineStr">
        <is>
          <t>SPOF-003</t>
        </is>
      </c>
      <c r="B7" s="11" t="inlineStr">
        <is>
          <t>Payment Gateway</t>
        </is>
      </c>
      <c r="C7" s="11" t="inlineStr">
        <is>
          <t>Single cloud region</t>
        </is>
      </c>
      <c r="D7" s="11" t="inlineStr">
        <is>
          <t>Cloud Provider</t>
        </is>
      </c>
      <c r="E7" s="12" t="inlineStr">
        <is>
          <t>🟡 Medium</t>
        </is>
      </c>
      <c r="F7" s="12" t="inlineStr">
        <is>
          <t>✅ Mitigated</t>
        </is>
      </c>
      <c r="G7" s="11" t="inlineStr">
        <is>
          <t>Deployed multi-region active-active</t>
        </is>
      </c>
      <c r="H7" s="11" t="inlineStr">
        <is>
          <t>Cloud Architect</t>
        </is>
      </c>
      <c r="I7" s="11" t="inlineStr">
        <is>
          <t>01.01.2026</t>
        </is>
      </c>
    </row>
    <row r="8">
      <c r="A8" s="11" t="inlineStr">
        <is>
          <t>SPOF-004</t>
        </is>
      </c>
      <c r="B8" s="11" t="inlineStr">
        <is>
          <t>Database Cluster</t>
        </is>
      </c>
      <c r="C8" s="11" t="inlineStr">
        <is>
          <t>Single power feed</t>
        </is>
      </c>
      <c r="D8" s="11" t="inlineStr">
        <is>
          <t>Power</t>
        </is>
      </c>
      <c r="E8" s="12" t="inlineStr">
        <is>
          <t>🟡 Medium</t>
        </is>
      </c>
      <c r="F8" s="12" t="inlineStr">
        <is>
          <t>⏳ In Progress</t>
        </is>
      </c>
      <c r="G8" s="11" t="inlineStr">
        <is>
          <t>Install generator + dual UPS</t>
        </is>
      </c>
      <c r="H8" s="11" t="inlineStr">
        <is>
          <t>Facilities Manager</t>
        </is>
      </c>
      <c r="I8" s="11" t="inlineStr">
        <is>
          <t>01.04.2026</t>
        </is>
      </c>
    </row>
    <row r="9">
      <c r="A9" s="11" t="inlineStr">
        <is>
          <t>SPOF-005</t>
        </is>
      </c>
      <c r="B9" s="11" t="inlineStr">
        <is>
          <t>File Server</t>
        </is>
      </c>
      <c r="C9" s="11" t="inlineStr">
        <is>
          <t>Single storage array</t>
        </is>
      </c>
      <c r="D9" s="11" t="inlineStr">
        <is>
          <t>Storage</t>
        </is>
      </c>
      <c r="E9" s="12" t="inlineStr">
        <is>
          <t>🟢 Low</t>
        </is>
      </c>
      <c r="F9" s="12" t="inlineStr">
        <is>
          <t>✅ Mitigated</t>
        </is>
      </c>
      <c r="G9" s="11" t="inlineStr">
        <is>
          <t>Configured RAID 10</t>
        </is>
      </c>
      <c r="H9" s="11" t="inlineStr">
        <is>
          <t>Storage Admin</t>
        </is>
      </c>
      <c r="I9" s="11" t="inlineStr">
        <is>
          <t>02.12.2025</t>
        </is>
      </c>
    </row>
    <row r="10">
      <c r="A10" s="11" t="inlineStr">
        <is>
          <t>SPOF-006</t>
        </is>
      </c>
      <c r="B10" s="11" t="inlineStr">
        <is>
          <t>DNS</t>
        </is>
      </c>
      <c r="C10" s="11" t="inlineStr">
        <is>
          <t>Single DNS server</t>
        </is>
      </c>
      <c r="D10" s="11" t="inlineStr">
        <is>
          <t>DNS</t>
        </is>
      </c>
      <c r="E10" s="12" t="inlineStr">
        <is>
          <t>🔴 Critical</t>
        </is>
      </c>
      <c r="F10" s="12" t="inlineStr">
        <is>
          <t>✅ Mitigated</t>
        </is>
      </c>
      <c r="G10" s="11" t="inlineStr">
        <is>
          <t>Deployed secondary DNS server</t>
        </is>
      </c>
      <c r="H10" s="11" t="inlineStr">
        <is>
          <t>Network Team</t>
        </is>
      </c>
      <c r="I10" s="11" t="inlineStr">
        <is>
          <t>17.12.2025</t>
        </is>
      </c>
    </row>
    <row r="11">
      <c r="A11" s="11" t="inlineStr">
        <is>
          <t>SPOF-007</t>
        </is>
      </c>
      <c r="B11" s="11" t="inlineStr">
        <is>
          <t>Load Balancer</t>
        </is>
      </c>
      <c r="C11" s="11" t="inlineStr">
        <is>
          <t>Single F5 load balancer</t>
        </is>
      </c>
      <c r="D11" s="11" t="inlineStr">
        <is>
          <t>Load Balancer</t>
        </is>
      </c>
      <c r="E11" s="12" t="inlineStr">
        <is>
          <t>🔴 Critical</t>
        </is>
      </c>
      <c r="F11" s="12" t="inlineStr">
        <is>
          <t>⏳ In Progress</t>
        </is>
      </c>
      <c r="G11" s="11" t="inlineStr">
        <is>
          <t>Deploy HA pair (active-passive)</t>
        </is>
      </c>
      <c r="H11" s="11" t="inlineStr">
        <is>
          <t>Network Engineer</t>
        </is>
      </c>
      <c r="I11" s="11" t="inlineStr">
        <is>
          <t>31.05.2026</t>
        </is>
      </c>
    </row>
    <row r="12">
      <c r="A12" s="15" t="inlineStr">
        <is>
          <t>SPOF-008</t>
        </is>
      </c>
      <c r="B12" s="13" t="n"/>
      <c r="C12" s="13" t="n"/>
      <c r="D12" s="13" t="n"/>
      <c r="E12" s="13" t="n"/>
      <c r="F12" s="13" t="n"/>
      <c r="G12" s="13" t="n"/>
      <c r="H12" s="13" t="n"/>
      <c r="I12" s="13" t="n"/>
    </row>
    <row r="13">
      <c r="A13" s="15" t="inlineStr">
        <is>
          <t>SPOF-009</t>
        </is>
      </c>
      <c r="B13" s="13" t="n"/>
      <c r="C13" s="13" t="n"/>
      <c r="D13" s="13" t="n"/>
      <c r="E13" s="13" t="n"/>
      <c r="F13" s="13" t="n"/>
      <c r="G13" s="13" t="n"/>
      <c r="H13" s="13" t="n"/>
      <c r="I13" s="13" t="n"/>
    </row>
    <row r="14">
      <c r="A14" s="15" t="inlineStr">
        <is>
          <t>SPOF-010</t>
        </is>
      </c>
      <c r="B14" s="13" t="n"/>
      <c r="C14" s="13" t="n"/>
      <c r="D14" s="13" t="n"/>
      <c r="E14" s="13" t="n"/>
      <c r="F14" s="13" t="n"/>
      <c r="G14" s="13" t="n"/>
      <c r="H14" s="13" t="n"/>
      <c r="I14" s="13" t="n"/>
    </row>
    <row r="15">
      <c r="A15" s="15" t="inlineStr">
        <is>
          <t>SPOF-011</t>
        </is>
      </c>
      <c r="B15" s="13" t="n"/>
      <c r="C15" s="13" t="n"/>
      <c r="D15" s="13" t="n"/>
      <c r="E15" s="13" t="n"/>
      <c r="F15" s="13" t="n"/>
      <c r="G15" s="13" t="n"/>
      <c r="H15" s="13" t="n"/>
      <c r="I15" s="13" t="n"/>
    </row>
    <row r="16">
      <c r="A16" s="15" t="inlineStr">
        <is>
          <t>SPOF-012</t>
        </is>
      </c>
      <c r="B16" s="13" t="n"/>
      <c r="C16" s="13" t="n"/>
      <c r="D16" s="13" t="n"/>
      <c r="E16" s="13" t="n"/>
      <c r="F16" s="13" t="n"/>
      <c r="G16" s="13" t="n"/>
      <c r="H16" s="13" t="n"/>
      <c r="I16" s="13" t="n"/>
    </row>
    <row r="17">
      <c r="A17" s="15" t="inlineStr">
        <is>
          <t>SPOF-013</t>
        </is>
      </c>
      <c r="B17" s="13" t="n"/>
      <c r="C17" s="13" t="n"/>
      <c r="D17" s="13" t="n"/>
      <c r="E17" s="13" t="n"/>
      <c r="F17" s="13" t="n"/>
      <c r="G17" s="13" t="n"/>
      <c r="H17" s="13" t="n"/>
      <c r="I17" s="13" t="n"/>
    </row>
    <row r="18">
      <c r="A18" s="15" t="inlineStr">
        <is>
          <t>SPOF-014</t>
        </is>
      </c>
      <c r="B18" s="13" t="n"/>
      <c r="C18" s="13" t="n"/>
      <c r="D18" s="13" t="n"/>
      <c r="E18" s="13" t="n"/>
      <c r="F18" s="13" t="n"/>
      <c r="G18" s="13" t="n"/>
      <c r="H18" s="13" t="n"/>
      <c r="I18" s="13" t="n"/>
    </row>
    <row r="19">
      <c r="A19" s="15" t="inlineStr">
        <is>
          <t>SPOF-015</t>
        </is>
      </c>
      <c r="B19" s="13" t="n"/>
      <c r="C19" s="13" t="n"/>
      <c r="D19" s="13" t="n"/>
      <c r="E19" s="13" t="n"/>
      <c r="F19" s="13" t="n"/>
      <c r="G19" s="13" t="n"/>
      <c r="H19" s="13" t="n"/>
      <c r="I19" s="13" t="n"/>
    </row>
    <row r="20">
      <c r="A20" s="15" t="inlineStr">
        <is>
          <t>SPOF-016</t>
        </is>
      </c>
      <c r="B20" s="13" t="n"/>
      <c r="C20" s="13" t="n"/>
      <c r="D20" s="13" t="n"/>
      <c r="E20" s="13" t="n"/>
      <c r="F20" s="13" t="n"/>
      <c r="G20" s="13" t="n"/>
      <c r="H20" s="13" t="n"/>
      <c r="I20" s="13" t="n"/>
    </row>
    <row r="21">
      <c r="A21" s="15" t="inlineStr">
        <is>
          <t>SPOF-017</t>
        </is>
      </c>
      <c r="B21" s="13" t="n"/>
      <c r="C21" s="13" t="n"/>
      <c r="D21" s="13" t="n"/>
      <c r="E21" s="13" t="n"/>
      <c r="F21" s="13" t="n"/>
      <c r="G21" s="13" t="n"/>
      <c r="H21" s="13" t="n"/>
      <c r="I21" s="13" t="n"/>
    </row>
    <row r="22">
      <c r="A22" s="15" t="inlineStr">
        <is>
          <t>SPOF-018</t>
        </is>
      </c>
      <c r="B22" s="13" t="n"/>
      <c r="C22" s="13" t="n"/>
      <c r="D22" s="13" t="n"/>
      <c r="E22" s="13" t="n"/>
      <c r="F22" s="13" t="n"/>
      <c r="G22" s="13" t="n"/>
      <c r="H22" s="13" t="n"/>
      <c r="I22" s="13" t="n"/>
    </row>
    <row r="23">
      <c r="A23" s="15" t="inlineStr">
        <is>
          <t>SPOF-019</t>
        </is>
      </c>
      <c r="B23" s="13" t="n"/>
      <c r="C23" s="13" t="n"/>
      <c r="D23" s="13" t="n"/>
      <c r="E23" s="13" t="n"/>
      <c r="F23" s="13" t="n"/>
      <c r="G23" s="13" t="n"/>
      <c r="H23" s="13" t="n"/>
      <c r="I23" s="13" t="n"/>
    </row>
    <row r="24">
      <c r="A24" s="15" t="inlineStr">
        <is>
          <t>SPOF-020</t>
        </is>
      </c>
      <c r="B24" s="13" t="n"/>
      <c r="C24" s="13" t="n"/>
      <c r="D24" s="13" t="n"/>
      <c r="E24" s="13" t="n"/>
      <c r="F24" s="13" t="n"/>
      <c r="G24" s="13" t="n"/>
      <c r="H24" s="13" t="n"/>
      <c r="I24" s="13" t="n"/>
    </row>
    <row r="25">
      <c r="A25" s="15" t="inlineStr">
        <is>
          <t>SPOF-021</t>
        </is>
      </c>
      <c r="B25" s="13" t="n"/>
      <c r="C25" s="13" t="n"/>
      <c r="D25" s="13" t="n"/>
      <c r="E25" s="13" t="n"/>
      <c r="F25" s="13" t="n"/>
      <c r="G25" s="13" t="n"/>
      <c r="H25" s="13" t="n"/>
      <c r="I25" s="13" t="n"/>
    </row>
    <row r="26">
      <c r="A26" s="15" t="inlineStr">
        <is>
          <t>SPOF-022</t>
        </is>
      </c>
      <c r="B26" s="13" t="n"/>
      <c r="C26" s="13" t="n"/>
      <c r="D26" s="13" t="n"/>
      <c r="E26" s="13" t="n"/>
      <c r="F26" s="13" t="n"/>
      <c r="G26" s="13" t="n"/>
      <c r="H26" s="13" t="n"/>
      <c r="I26" s="13" t="n"/>
    </row>
    <row r="27">
      <c r="A27" s="15" t="inlineStr">
        <is>
          <t>SPOF-023</t>
        </is>
      </c>
      <c r="B27" s="13" t="n"/>
      <c r="C27" s="13" t="n"/>
      <c r="D27" s="13" t="n"/>
      <c r="E27" s="13" t="n"/>
      <c r="F27" s="13" t="n"/>
      <c r="G27" s="13" t="n"/>
      <c r="H27" s="13" t="n"/>
      <c r="I27" s="13" t="n"/>
    </row>
    <row r="28">
      <c r="A28" s="15" t="inlineStr">
        <is>
          <t>SPOF-024</t>
        </is>
      </c>
      <c r="B28" s="13" t="n"/>
      <c r="C28" s="13" t="n"/>
      <c r="D28" s="13" t="n"/>
      <c r="E28" s="13" t="n"/>
      <c r="F28" s="13" t="n"/>
      <c r="G28" s="13" t="n"/>
      <c r="H28" s="13" t="n"/>
      <c r="I28" s="13" t="n"/>
    </row>
    <row r="29">
      <c r="A29" s="15" t="inlineStr">
        <is>
          <t>SPOF-025</t>
        </is>
      </c>
      <c r="B29" s="13" t="n"/>
      <c r="C29" s="13" t="n"/>
      <c r="D29" s="13" t="n"/>
      <c r="E29" s="13" t="n"/>
      <c r="F29" s="13" t="n"/>
      <c r="G29" s="13" t="n"/>
      <c r="H29" s="13" t="n"/>
      <c r="I29" s="13" t="n"/>
    </row>
    <row r="30">
      <c r="A30" s="15" t="inlineStr">
        <is>
          <t>SPOF-026</t>
        </is>
      </c>
      <c r="B30" s="13" t="n"/>
      <c r="C30" s="13" t="n"/>
      <c r="D30" s="13" t="n"/>
      <c r="E30" s="13" t="n"/>
      <c r="F30" s="13" t="n"/>
      <c r="G30" s="13" t="n"/>
      <c r="H30" s="13" t="n"/>
      <c r="I30" s="13" t="n"/>
    </row>
    <row r="31">
      <c r="A31" s="15" t="inlineStr">
        <is>
          <t>SPOF-027</t>
        </is>
      </c>
      <c r="B31" s="13" t="n"/>
      <c r="C31" s="13" t="n"/>
      <c r="D31" s="13" t="n"/>
      <c r="E31" s="13" t="n"/>
      <c r="F31" s="13" t="n"/>
      <c r="G31" s="13" t="n"/>
      <c r="H31" s="13" t="n"/>
      <c r="I31" s="13" t="n"/>
    </row>
    <row r="32">
      <c r="A32" s="15" t="inlineStr">
        <is>
          <t>SPOF-028</t>
        </is>
      </c>
      <c r="B32" s="13" t="n"/>
      <c r="C32" s="13" t="n"/>
      <c r="D32" s="13" t="n"/>
      <c r="E32" s="13" t="n"/>
      <c r="F32" s="13" t="n"/>
      <c r="G32" s="13" t="n"/>
      <c r="H32" s="13" t="n"/>
      <c r="I32" s="13" t="n"/>
    </row>
    <row r="33">
      <c r="A33" s="15" t="inlineStr">
        <is>
          <t>SPOF-029</t>
        </is>
      </c>
      <c r="B33" s="13" t="n"/>
      <c r="C33" s="13" t="n"/>
      <c r="D33" s="13" t="n"/>
      <c r="E33" s="13" t="n"/>
      <c r="F33" s="13" t="n"/>
      <c r="G33" s="13" t="n"/>
      <c r="H33" s="13" t="n"/>
      <c r="I33" s="13" t="n"/>
    </row>
    <row r="34">
      <c r="A34" s="15" t="inlineStr">
        <is>
          <t>SPOF-030</t>
        </is>
      </c>
      <c r="B34" s="13" t="n"/>
      <c r="C34" s="13" t="n"/>
      <c r="D34" s="13" t="n"/>
      <c r="E34" s="13" t="n"/>
      <c r="F34" s="13" t="n"/>
      <c r="G34" s="13" t="n"/>
      <c r="H34" s="13" t="n"/>
      <c r="I34" s="13" t="n"/>
    </row>
    <row r="35">
      <c r="A35" s="15" t="inlineStr">
        <is>
          <t>SPOF-031</t>
        </is>
      </c>
      <c r="B35" s="13" t="n"/>
      <c r="C35" s="13" t="n"/>
      <c r="D35" s="13" t="n"/>
      <c r="E35" s="13" t="n"/>
      <c r="F35" s="13" t="n"/>
      <c r="G35" s="13" t="n"/>
      <c r="H35" s="13" t="n"/>
      <c r="I35" s="13" t="n"/>
    </row>
    <row r="36">
      <c r="A36" s="15" t="inlineStr">
        <is>
          <t>SPOF-032</t>
        </is>
      </c>
      <c r="B36" s="13" t="n"/>
      <c r="C36" s="13" t="n"/>
      <c r="D36" s="13" t="n"/>
      <c r="E36" s="13" t="n"/>
      <c r="F36" s="13" t="n"/>
      <c r="G36" s="13" t="n"/>
      <c r="H36" s="13" t="n"/>
      <c r="I36" s="13" t="n"/>
    </row>
    <row r="37">
      <c r="A37" s="15" t="inlineStr">
        <is>
          <t>SPOF-033</t>
        </is>
      </c>
      <c r="B37" s="13" t="n"/>
      <c r="C37" s="13" t="n"/>
      <c r="D37" s="13" t="n"/>
      <c r="E37" s="13" t="n"/>
      <c r="F37" s="13" t="n"/>
      <c r="G37" s="13" t="n"/>
      <c r="H37" s="13" t="n"/>
      <c r="I37" s="13" t="n"/>
    </row>
    <row r="38">
      <c r="A38" s="15" t="inlineStr">
        <is>
          <t>SPOF-034</t>
        </is>
      </c>
      <c r="B38" s="13" t="n"/>
      <c r="C38" s="13" t="n"/>
      <c r="D38" s="13" t="n"/>
      <c r="E38" s="13" t="n"/>
      <c r="F38" s="13" t="n"/>
      <c r="G38" s="13" t="n"/>
      <c r="H38" s="13" t="n"/>
      <c r="I38" s="13" t="n"/>
    </row>
    <row r="39">
      <c r="A39" s="15" t="inlineStr">
        <is>
          <t>SPOF-035</t>
        </is>
      </c>
      <c r="B39" s="13" t="n"/>
      <c r="C39" s="13" t="n"/>
      <c r="D39" s="13" t="n"/>
      <c r="E39" s="13" t="n"/>
      <c r="F39" s="13" t="n"/>
      <c r="G39" s="13" t="n"/>
      <c r="H39" s="13" t="n"/>
      <c r="I39" s="13" t="n"/>
    </row>
    <row r="40">
      <c r="A40" s="15" t="inlineStr">
        <is>
          <t>SPOF-036</t>
        </is>
      </c>
      <c r="B40" s="13" t="n"/>
      <c r="C40" s="13" t="n"/>
      <c r="D40" s="13" t="n"/>
      <c r="E40" s="13" t="n"/>
      <c r="F40" s="13" t="n"/>
      <c r="G40" s="13" t="n"/>
      <c r="H40" s="13" t="n"/>
      <c r="I40" s="13" t="n"/>
    </row>
    <row r="41">
      <c r="A41" s="15" t="inlineStr">
        <is>
          <t>SPOF-037</t>
        </is>
      </c>
      <c r="B41" s="13" t="n"/>
      <c r="C41" s="13" t="n"/>
      <c r="D41" s="13" t="n"/>
      <c r="E41" s="13" t="n"/>
      <c r="F41" s="13" t="n"/>
      <c r="G41" s="13" t="n"/>
      <c r="H41" s="13" t="n"/>
      <c r="I41" s="13" t="n"/>
    </row>
    <row r="42">
      <c r="A42" s="15" t="inlineStr">
        <is>
          <t>SPOF-038</t>
        </is>
      </c>
      <c r="B42" s="13" t="n"/>
      <c r="C42" s="13" t="n"/>
      <c r="D42" s="13" t="n"/>
      <c r="E42" s="13" t="n"/>
      <c r="F42" s="13" t="n"/>
      <c r="G42" s="13" t="n"/>
      <c r="H42" s="13" t="n"/>
      <c r="I42" s="13" t="n"/>
    </row>
    <row r="43">
      <c r="A43" s="15" t="inlineStr">
        <is>
          <t>SPOF-039</t>
        </is>
      </c>
      <c r="B43" s="13" t="n"/>
      <c r="C43" s="13" t="n"/>
      <c r="D43" s="13" t="n"/>
      <c r="E43" s="13" t="n"/>
      <c r="F43" s="13" t="n"/>
      <c r="G43" s="13" t="n"/>
      <c r="H43" s="13" t="n"/>
      <c r="I43" s="13" t="n"/>
    </row>
    <row r="44">
      <c r="A44" s="15" t="inlineStr">
        <is>
          <t>SPOF-040</t>
        </is>
      </c>
      <c r="B44" s="13" t="n"/>
      <c r="C44" s="13" t="n"/>
      <c r="D44" s="13" t="n"/>
      <c r="E44" s="13" t="n"/>
      <c r="F44" s="13" t="n"/>
      <c r="G44" s="13" t="n"/>
      <c r="H44" s="13" t="n"/>
      <c r="I44" s="13" t="n"/>
    </row>
    <row r="45">
      <c r="A45" s="15" t="inlineStr">
        <is>
          <t>SPOF-041</t>
        </is>
      </c>
      <c r="B45" s="13" t="n"/>
      <c r="C45" s="13" t="n"/>
      <c r="D45" s="13" t="n"/>
      <c r="E45" s="13" t="n"/>
      <c r="F45" s="13" t="n"/>
      <c r="G45" s="13" t="n"/>
      <c r="H45" s="13" t="n"/>
      <c r="I45" s="13" t="n"/>
    </row>
    <row r="46">
      <c r="A46" s="15" t="inlineStr">
        <is>
          <t>SPOF-042</t>
        </is>
      </c>
      <c r="B46" s="13" t="n"/>
      <c r="C46" s="13" t="n"/>
      <c r="D46" s="13" t="n"/>
      <c r="E46" s="13" t="n"/>
      <c r="F46" s="13" t="n"/>
      <c r="G46" s="13" t="n"/>
      <c r="H46" s="13" t="n"/>
      <c r="I46" s="13" t="n"/>
    </row>
    <row r="47">
      <c r="A47" s="15" t="inlineStr">
        <is>
          <t>SPOF-043</t>
        </is>
      </c>
      <c r="B47" s="13" t="n"/>
      <c r="C47" s="13" t="n"/>
      <c r="D47" s="13" t="n"/>
      <c r="E47" s="13" t="n"/>
      <c r="F47" s="13" t="n"/>
      <c r="G47" s="13" t="n"/>
      <c r="H47" s="13" t="n"/>
      <c r="I47" s="13" t="n"/>
    </row>
    <row r="48">
      <c r="A48" s="15" t="inlineStr">
        <is>
          <t>SPOF-044</t>
        </is>
      </c>
      <c r="B48" s="13" t="n"/>
      <c r="C48" s="13" t="n"/>
      <c r="D48" s="13" t="n"/>
      <c r="E48" s="13" t="n"/>
      <c r="F48" s="13" t="n"/>
      <c r="G48" s="13" t="n"/>
      <c r="H48" s="13" t="n"/>
      <c r="I48" s="13" t="n"/>
    </row>
    <row r="49">
      <c r="A49" s="15" t="inlineStr">
        <is>
          <t>SPOF-045</t>
        </is>
      </c>
      <c r="B49" s="13" t="n"/>
      <c r="C49" s="13" t="n"/>
      <c r="D49" s="13" t="n"/>
      <c r="E49" s="13" t="n"/>
      <c r="F49" s="13" t="n"/>
      <c r="G49" s="13" t="n"/>
      <c r="H49" s="13" t="n"/>
      <c r="I49" s="13" t="n"/>
    </row>
    <row r="50">
      <c r="A50" s="15" t="inlineStr">
        <is>
          <t>SPOF-046</t>
        </is>
      </c>
      <c r="B50" s="13" t="n"/>
      <c r="C50" s="13" t="n"/>
      <c r="D50" s="13" t="n"/>
      <c r="E50" s="13" t="n"/>
      <c r="F50" s="13" t="n"/>
      <c r="G50" s="13" t="n"/>
      <c r="H50" s="13" t="n"/>
      <c r="I50" s="13" t="n"/>
    </row>
    <row r="51">
      <c r="A51" s="15" t="inlineStr">
        <is>
          <t>SPOF-047</t>
        </is>
      </c>
      <c r="B51" s="13" t="n"/>
      <c r="C51" s="13" t="n"/>
      <c r="D51" s="13" t="n"/>
      <c r="E51" s="13" t="n"/>
      <c r="F51" s="13" t="n"/>
      <c r="G51" s="13" t="n"/>
      <c r="H51" s="13" t="n"/>
      <c r="I51" s="13" t="n"/>
    </row>
    <row r="52">
      <c r="A52" s="15" t="inlineStr">
        <is>
          <t>SPOF-048</t>
        </is>
      </c>
      <c r="B52" s="13" t="n"/>
      <c r="C52" s="13" t="n"/>
      <c r="D52" s="13" t="n"/>
      <c r="E52" s="13" t="n"/>
      <c r="F52" s="13" t="n"/>
      <c r="G52" s="13" t="n"/>
      <c r="H52" s="13" t="n"/>
      <c r="I52" s="13" t="n"/>
    </row>
    <row r="53">
      <c r="A53" s="15" t="inlineStr">
        <is>
          <t>SPOF-049</t>
        </is>
      </c>
      <c r="B53" s="13" t="n"/>
      <c r="C53" s="13" t="n"/>
      <c r="D53" s="13" t="n"/>
      <c r="E53" s="13" t="n"/>
      <c r="F53" s="13" t="n"/>
      <c r="G53" s="13" t="n"/>
      <c r="H53" s="13" t="n"/>
      <c r="I53" s="13" t="n"/>
    </row>
    <row r="54">
      <c r="A54" s="15" t="inlineStr">
        <is>
          <t>SPOF-050</t>
        </is>
      </c>
      <c r="B54" s="13" t="n"/>
      <c r="C54" s="13" t="n"/>
      <c r="D54" s="13" t="n"/>
      <c r="E54" s="13" t="n"/>
      <c r="F54" s="13" t="n"/>
      <c r="G54" s="13" t="n"/>
      <c r="H54" s="13" t="n"/>
      <c r="I54" s="13" t="n"/>
    </row>
    <row r="55">
      <c r="A55" s="15" t="inlineStr">
        <is>
          <t>SPOF-051</t>
        </is>
      </c>
      <c r="B55" s="13" t="n"/>
      <c r="C55" s="13" t="n"/>
      <c r="D55" s="13" t="n"/>
      <c r="E55" s="13" t="n"/>
      <c r="F55" s="13" t="n"/>
      <c r="G55" s="13" t="n"/>
      <c r="H55" s="13" t="n"/>
      <c r="I55" s="13" t="n"/>
    </row>
    <row r="56">
      <c r="A56" s="15" t="inlineStr">
        <is>
          <t>SPOF-052</t>
        </is>
      </c>
      <c r="B56" s="13" t="n"/>
      <c r="C56" s="13" t="n"/>
      <c r="D56" s="13" t="n"/>
      <c r="E56" s="13" t="n"/>
      <c r="F56" s="13" t="n"/>
      <c r="G56" s="13" t="n"/>
      <c r="H56" s="13" t="n"/>
      <c r="I56" s="13" t="n"/>
    </row>
    <row r="57">
      <c r="A57" s="15" t="inlineStr">
        <is>
          <t>SPOF-053</t>
        </is>
      </c>
      <c r="B57" s="13" t="n"/>
      <c r="C57" s="13" t="n"/>
      <c r="D57" s="13" t="n"/>
      <c r="E57" s="13" t="n"/>
      <c r="F57" s="13" t="n"/>
      <c r="G57" s="13" t="n"/>
      <c r="H57" s="13" t="n"/>
      <c r="I57" s="13" t="n"/>
    </row>
    <row r="58">
      <c r="A58" s="15" t="inlineStr">
        <is>
          <t>SPOF-054</t>
        </is>
      </c>
      <c r="B58" s="13" t="n"/>
      <c r="C58" s="13" t="n"/>
      <c r="D58" s="13" t="n"/>
      <c r="E58" s="13" t="n"/>
      <c r="F58" s="13" t="n"/>
      <c r="G58" s="13" t="n"/>
      <c r="H58" s="13" t="n"/>
      <c r="I58" s="13" t="n"/>
    </row>
    <row r="59">
      <c r="A59" s="15" t="inlineStr">
        <is>
          <t>SPOF-055</t>
        </is>
      </c>
      <c r="B59" s="13" t="n"/>
      <c r="C59" s="13" t="n"/>
      <c r="D59" s="13" t="n"/>
      <c r="E59" s="13" t="n"/>
      <c r="F59" s="13" t="n"/>
      <c r="G59" s="13" t="n"/>
      <c r="H59" s="13" t="n"/>
      <c r="I59" s="13" t="n"/>
    </row>
    <row r="60">
      <c r="A60" s="15" t="inlineStr">
        <is>
          <t>SPOF-056</t>
        </is>
      </c>
      <c r="B60" s="13" t="n"/>
      <c r="C60" s="13" t="n"/>
      <c r="D60" s="13" t="n"/>
      <c r="E60" s="13" t="n"/>
      <c r="F60" s="13" t="n"/>
      <c r="G60" s="13" t="n"/>
      <c r="H60" s="13" t="n"/>
      <c r="I60" s="13" t="n"/>
    </row>
    <row r="61">
      <c r="A61" s="15" t="inlineStr">
        <is>
          <t>SPOF-057</t>
        </is>
      </c>
      <c r="B61" s="13" t="n"/>
      <c r="C61" s="13" t="n"/>
      <c r="D61" s="13" t="n"/>
      <c r="E61" s="13" t="n"/>
      <c r="F61" s="13" t="n"/>
      <c r="G61" s="13" t="n"/>
      <c r="H61" s="13" t="n"/>
      <c r="I61" s="13" t="n"/>
    </row>
    <row r="62">
      <c r="A62" s="15" t="inlineStr">
        <is>
          <t>SPOF-058</t>
        </is>
      </c>
      <c r="B62" s="13" t="n"/>
      <c r="C62" s="13" t="n"/>
      <c r="D62" s="13" t="n"/>
      <c r="E62" s="13" t="n"/>
      <c r="F62" s="13" t="n"/>
      <c r="G62" s="13" t="n"/>
      <c r="H62" s="13" t="n"/>
      <c r="I62" s="13" t="n"/>
    </row>
    <row r="63">
      <c r="A63" s="15" t="inlineStr">
        <is>
          <t>SPOF-059</t>
        </is>
      </c>
      <c r="B63" s="13" t="n"/>
      <c r="C63" s="13" t="n"/>
      <c r="D63" s="13" t="n"/>
      <c r="E63" s="13" t="n"/>
      <c r="F63" s="13" t="n"/>
      <c r="G63" s="13" t="n"/>
      <c r="H63" s="13" t="n"/>
      <c r="I63" s="13" t="n"/>
    </row>
    <row r="64">
      <c r="A64" s="15" t="inlineStr">
        <is>
          <t>SPOF-060</t>
        </is>
      </c>
      <c r="B64" s="13" t="n"/>
      <c r="C64" s="13" t="n"/>
      <c r="D64" s="13" t="n"/>
      <c r="E64" s="13" t="n"/>
      <c r="F64" s="13" t="n"/>
      <c r="G64" s="13" t="n"/>
      <c r="H64" s="13" t="n"/>
      <c r="I64" s="13" t="n"/>
    </row>
    <row r="65">
      <c r="A65" s="15" t="inlineStr">
        <is>
          <t>SPOF-061</t>
        </is>
      </c>
      <c r="B65" s="13" t="n"/>
      <c r="C65" s="13" t="n"/>
      <c r="D65" s="13" t="n"/>
      <c r="E65" s="13" t="n"/>
      <c r="F65" s="13" t="n"/>
      <c r="G65" s="13" t="n"/>
      <c r="H65" s="13" t="n"/>
      <c r="I65" s="13" t="n"/>
    </row>
    <row r="66">
      <c r="A66" s="15" t="inlineStr">
        <is>
          <t>SPOF-062</t>
        </is>
      </c>
      <c r="B66" s="13" t="n"/>
      <c r="C66" s="13" t="n"/>
      <c r="D66" s="13" t="n"/>
      <c r="E66" s="13" t="n"/>
      <c r="F66" s="13" t="n"/>
      <c r="G66" s="13" t="n"/>
      <c r="H66" s="13" t="n"/>
      <c r="I66" s="13" t="n"/>
    </row>
    <row r="67">
      <c r="A67" s="15" t="inlineStr">
        <is>
          <t>SPOF-063</t>
        </is>
      </c>
      <c r="B67" s="13" t="n"/>
      <c r="C67" s="13" t="n"/>
      <c r="D67" s="13" t="n"/>
      <c r="E67" s="13" t="n"/>
      <c r="F67" s="13" t="n"/>
      <c r="G67" s="13" t="n"/>
      <c r="H67" s="13" t="n"/>
      <c r="I67" s="13" t="n"/>
    </row>
    <row r="68">
      <c r="A68" s="15" t="inlineStr">
        <is>
          <t>SPOF-064</t>
        </is>
      </c>
      <c r="B68" s="13" t="n"/>
      <c r="C68" s="13" t="n"/>
      <c r="D68" s="13" t="n"/>
      <c r="E68" s="13" t="n"/>
      <c r="F68" s="13" t="n"/>
      <c r="G68" s="13" t="n"/>
      <c r="H68" s="13" t="n"/>
      <c r="I68" s="13" t="n"/>
    </row>
    <row r="69">
      <c r="A69" s="15" t="inlineStr">
        <is>
          <t>SPOF-065</t>
        </is>
      </c>
      <c r="B69" s="13" t="n"/>
      <c r="C69" s="13" t="n"/>
      <c r="D69" s="13" t="n"/>
      <c r="E69" s="13" t="n"/>
      <c r="F69" s="13" t="n"/>
      <c r="G69" s="13" t="n"/>
      <c r="H69" s="13" t="n"/>
      <c r="I69" s="13" t="n"/>
    </row>
    <row r="70">
      <c r="A70" s="15" t="inlineStr">
        <is>
          <t>SPOF-066</t>
        </is>
      </c>
      <c r="B70" s="13" t="n"/>
      <c r="C70" s="13" t="n"/>
      <c r="D70" s="13" t="n"/>
      <c r="E70" s="13" t="n"/>
      <c r="F70" s="13" t="n"/>
      <c r="G70" s="13" t="n"/>
      <c r="H70" s="13" t="n"/>
      <c r="I70" s="13" t="n"/>
    </row>
    <row r="71">
      <c r="A71" s="15" t="inlineStr">
        <is>
          <t>SPOF-067</t>
        </is>
      </c>
      <c r="B71" s="13" t="n"/>
      <c r="C71" s="13" t="n"/>
      <c r="D71" s="13" t="n"/>
      <c r="E71" s="13" t="n"/>
      <c r="F71" s="13" t="n"/>
      <c r="G71" s="13" t="n"/>
      <c r="H71" s="13" t="n"/>
      <c r="I71" s="13" t="n"/>
    </row>
    <row r="72">
      <c r="A72" s="15" t="inlineStr">
        <is>
          <t>SPOF-068</t>
        </is>
      </c>
      <c r="B72" s="13" t="n"/>
      <c r="C72" s="13" t="n"/>
      <c r="D72" s="13" t="n"/>
      <c r="E72" s="13" t="n"/>
      <c r="F72" s="13" t="n"/>
      <c r="G72" s="13" t="n"/>
      <c r="H72" s="13" t="n"/>
      <c r="I72" s="13" t="n"/>
    </row>
    <row r="73">
      <c r="A73" s="15" t="inlineStr">
        <is>
          <t>SPOF-069</t>
        </is>
      </c>
      <c r="B73" s="13" t="n"/>
      <c r="C73" s="13" t="n"/>
      <c r="D73" s="13" t="n"/>
      <c r="E73" s="13" t="n"/>
      <c r="F73" s="13" t="n"/>
      <c r="G73" s="13" t="n"/>
      <c r="H73" s="13" t="n"/>
      <c r="I73" s="13" t="n"/>
    </row>
    <row r="74">
      <c r="A74" s="15" t="inlineStr">
        <is>
          <t>SPOF-070</t>
        </is>
      </c>
      <c r="B74" s="13" t="n"/>
      <c r="C74" s="13" t="n"/>
      <c r="D74" s="13" t="n"/>
      <c r="E74" s="13" t="n"/>
      <c r="F74" s="13" t="n"/>
      <c r="G74" s="13" t="n"/>
      <c r="H74" s="13" t="n"/>
      <c r="I74" s="13" t="n"/>
    </row>
    <row r="75">
      <c r="A75" s="15" t="inlineStr">
        <is>
          <t>SPOF-071</t>
        </is>
      </c>
      <c r="B75" s="13" t="n"/>
      <c r="C75" s="13" t="n"/>
      <c r="D75" s="13" t="n"/>
      <c r="E75" s="13" t="n"/>
      <c r="F75" s="13" t="n"/>
      <c r="G75" s="13" t="n"/>
      <c r="H75" s="13" t="n"/>
      <c r="I75" s="13" t="n"/>
    </row>
    <row r="76">
      <c r="A76" s="15" t="inlineStr">
        <is>
          <t>SPOF-072</t>
        </is>
      </c>
      <c r="B76" s="13" t="n"/>
      <c r="C76" s="13" t="n"/>
      <c r="D76" s="13" t="n"/>
      <c r="E76" s="13" t="n"/>
      <c r="F76" s="13" t="n"/>
      <c r="G76" s="13" t="n"/>
      <c r="H76" s="13" t="n"/>
      <c r="I76" s="13" t="n"/>
    </row>
    <row r="77">
      <c r="A77" s="15" t="inlineStr">
        <is>
          <t>SPOF-073</t>
        </is>
      </c>
      <c r="B77" s="13" t="n"/>
      <c r="C77" s="13" t="n"/>
      <c r="D77" s="13" t="n"/>
      <c r="E77" s="13" t="n"/>
      <c r="F77" s="13" t="n"/>
      <c r="G77" s="13" t="n"/>
      <c r="H77" s="13" t="n"/>
      <c r="I77" s="13" t="n"/>
    </row>
    <row r="78">
      <c r="A78" s="15" t="inlineStr">
        <is>
          <t>SPOF-074</t>
        </is>
      </c>
      <c r="B78" s="13" t="n"/>
      <c r="C78" s="13" t="n"/>
      <c r="D78" s="13" t="n"/>
      <c r="E78" s="13" t="n"/>
      <c r="F78" s="13" t="n"/>
      <c r="G78" s="13" t="n"/>
      <c r="H78" s="13" t="n"/>
      <c r="I78" s="13" t="n"/>
    </row>
    <row r="79">
      <c r="A79" s="15" t="inlineStr">
        <is>
          <t>SPOF-075</t>
        </is>
      </c>
      <c r="B79" s="13" t="n"/>
      <c r="C79" s="13" t="n"/>
      <c r="D79" s="13" t="n"/>
      <c r="E79" s="13" t="n"/>
      <c r="F79" s="13" t="n"/>
      <c r="G79" s="13" t="n"/>
      <c r="H79" s="13" t="n"/>
      <c r="I79" s="13" t="n"/>
    </row>
    <row r="80">
      <c r="A80" s="15" t="inlineStr">
        <is>
          <t>SPOF-076</t>
        </is>
      </c>
      <c r="B80" s="13" t="n"/>
      <c r="C80" s="13" t="n"/>
      <c r="D80" s="13" t="n"/>
      <c r="E80" s="13" t="n"/>
      <c r="F80" s="13" t="n"/>
      <c r="G80" s="13" t="n"/>
      <c r="H80" s="13" t="n"/>
      <c r="I80" s="13" t="n"/>
    </row>
    <row r="81">
      <c r="A81" s="15" t="inlineStr">
        <is>
          <t>SPOF-077</t>
        </is>
      </c>
      <c r="B81" s="13" t="n"/>
      <c r="C81" s="13" t="n"/>
      <c r="D81" s="13" t="n"/>
      <c r="E81" s="13" t="n"/>
      <c r="F81" s="13" t="n"/>
      <c r="G81" s="13" t="n"/>
      <c r="H81" s="13" t="n"/>
      <c r="I81" s="13" t="n"/>
    </row>
    <row r="82">
      <c r="A82" s="15" t="inlineStr">
        <is>
          <t>SPOF-078</t>
        </is>
      </c>
      <c r="B82" s="13" t="n"/>
      <c r="C82" s="13" t="n"/>
      <c r="D82" s="13" t="n"/>
      <c r="E82" s="13" t="n"/>
      <c r="F82" s="13" t="n"/>
      <c r="G82" s="13" t="n"/>
      <c r="H82" s="13" t="n"/>
      <c r="I82" s="13" t="n"/>
    </row>
    <row r="83">
      <c r="A83" s="15" t="inlineStr">
        <is>
          <t>SPOF-079</t>
        </is>
      </c>
      <c r="B83" s="13" t="n"/>
      <c r="C83" s="13" t="n"/>
      <c r="D83" s="13" t="n"/>
      <c r="E83" s="13" t="n"/>
      <c r="F83" s="13" t="n"/>
      <c r="G83" s="13" t="n"/>
      <c r="H83" s="13" t="n"/>
      <c r="I83" s="13" t="n"/>
    </row>
    <row r="84">
      <c r="A84" s="15" t="inlineStr">
        <is>
          <t>SPOF-080</t>
        </is>
      </c>
      <c r="B84" s="13" t="n"/>
      <c r="C84" s="13" t="n"/>
      <c r="D84" s="13" t="n"/>
      <c r="E84" s="13" t="n"/>
      <c r="F84" s="13" t="n"/>
      <c r="G84" s="13" t="n"/>
      <c r="H84" s="13" t="n"/>
      <c r="I84" s="13" t="n"/>
    </row>
    <row r="85">
      <c r="A85" s="15" t="inlineStr">
        <is>
          <t>SPOF-081</t>
        </is>
      </c>
      <c r="B85" s="13" t="n"/>
      <c r="C85" s="13" t="n"/>
      <c r="D85" s="13" t="n"/>
      <c r="E85" s="13" t="n"/>
      <c r="F85" s="13" t="n"/>
      <c r="G85" s="13" t="n"/>
      <c r="H85" s="13" t="n"/>
      <c r="I85" s="13" t="n"/>
    </row>
    <row r="86">
      <c r="A86" s="15" t="inlineStr">
        <is>
          <t>SPOF-082</t>
        </is>
      </c>
      <c r="B86" s="13" t="n"/>
      <c r="C86" s="13" t="n"/>
      <c r="D86" s="13" t="n"/>
      <c r="E86" s="13" t="n"/>
      <c r="F86" s="13" t="n"/>
      <c r="G86" s="13" t="n"/>
      <c r="H86" s="13" t="n"/>
      <c r="I86" s="13" t="n"/>
    </row>
    <row r="87">
      <c r="A87" s="15" t="inlineStr">
        <is>
          <t>SPOF-083</t>
        </is>
      </c>
      <c r="B87" s="13" t="n"/>
      <c r="C87" s="13" t="n"/>
      <c r="D87" s="13" t="n"/>
      <c r="E87" s="13" t="n"/>
      <c r="F87" s="13" t="n"/>
      <c r="G87" s="13" t="n"/>
      <c r="H87" s="13" t="n"/>
      <c r="I87" s="13" t="n"/>
    </row>
    <row r="88">
      <c r="A88" s="15" t="inlineStr">
        <is>
          <t>SPOF-084</t>
        </is>
      </c>
      <c r="B88" s="13" t="n"/>
      <c r="C88" s="13" t="n"/>
      <c r="D88" s="13" t="n"/>
      <c r="E88" s="13" t="n"/>
      <c r="F88" s="13" t="n"/>
      <c r="G88" s="13" t="n"/>
      <c r="H88" s="13" t="n"/>
      <c r="I88" s="13" t="n"/>
    </row>
    <row r="89">
      <c r="A89" s="15" t="inlineStr">
        <is>
          <t>SPOF-085</t>
        </is>
      </c>
      <c r="B89" s="13" t="n"/>
      <c r="C89" s="13" t="n"/>
      <c r="D89" s="13" t="n"/>
      <c r="E89" s="13" t="n"/>
      <c r="F89" s="13" t="n"/>
      <c r="G89" s="13" t="n"/>
      <c r="H89" s="13" t="n"/>
      <c r="I89" s="13" t="n"/>
    </row>
    <row r="90">
      <c r="A90" s="15" t="inlineStr">
        <is>
          <t>SPOF-086</t>
        </is>
      </c>
      <c r="B90" s="13" t="n"/>
      <c r="C90" s="13" t="n"/>
      <c r="D90" s="13" t="n"/>
      <c r="E90" s="13" t="n"/>
      <c r="F90" s="13" t="n"/>
      <c r="G90" s="13" t="n"/>
      <c r="H90" s="13" t="n"/>
      <c r="I90" s="13" t="n"/>
    </row>
    <row r="91">
      <c r="A91" s="15" t="inlineStr">
        <is>
          <t>SPOF-087</t>
        </is>
      </c>
      <c r="B91" s="13" t="n"/>
      <c r="C91" s="13" t="n"/>
      <c r="D91" s="13" t="n"/>
      <c r="E91" s="13" t="n"/>
      <c r="F91" s="13" t="n"/>
      <c r="G91" s="13" t="n"/>
      <c r="H91" s="13" t="n"/>
      <c r="I91" s="13" t="n"/>
    </row>
    <row r="92">
      <c r="A92" s="15" t="inlineStr">
        <is>
          <t>SPOF-088</t>
        </is>
      </c>
      <c r="B92" s="13" t="n"/>
      <c r="C92" s="13" t="n"/>
      <c r="D92" s="13" t="n"/>
      <c r="E92" s="13" t="n"/>
      <c r="F92" s="13" t="n"/>
      <c r="G92" s="13" t="n"/>
      <c r="H92" s="13" t="n"/>
      <c r="I92" s="13" t="n"/>
    </row>
    <row r="93">
      <c r="A93" s="15" t="inlineStr">
        <is>
          <t>SPOF-089</t>
        </is>
      </c>
      <c r="B93" s="13" t="n"/>
      <c r="C93" s="13" t="n"/>
      <c r="D93" s="13" t="n"/>
      <c r="E93" s="13" t="n"/>
      <c r="F93" s="13" t="n"/>
      <c r="G93" s="13" t="n"/>
      <c r="H93" s="13" t="n"/>
      <c r="I93" s="13" t="n"/>
    </row>
    <row r="94">
      <c r="A94" s="15" t="inlineStr">
        <is>
          <t>SPOF-090</t>
        </is>
      </c>
      <c r="B94" s="13" t="n"/>
      <c r="C94" s="13" t="n"/>
      <c r="D94" s="13" t="n"/>
      <c r="E94" s="13" t="n"/>
      <c r="F94" s="13" t="n"/>
      <c r="G94" s="13" t="n"/>
      <c r="H94" s="13" t="n"/>
      <c r="I94" s="13" t="n"/>
    </row>
    <row r="95">
      <c r="A95" s="15" t="inlineStr">
        <is>
          <t>SPOF-091</t>
        </is>
      </c>
      <c r="B95" s="13" t="n"/>
      <c r="C95" s="13" t="n"/>
      <c r="D95" s="13" t="n"/>
      <c r="E95" s="13" t="n"/>
      <c r="F95" s="13" t="n"/>
      <c r="G95" s="13" t="n"/>
      <c r="H95" s="13" t="n"/>
      <c r="I95" s="13" t="n"/>
    </row>
    <row r="96">
      <c r="A96" s="15" t="inlineStr">
        <is>
          <t>SPOF-092</t>
        </is>
      </c>
      <c r="B96" s="13" t="n"/>
      <c r="C96" s="13" t="n"/>
      <c r="D96" s="13" t="n"/>
      <c r="E96" s="13" t="n"/>
      <c r="F96" s="13" t="n"/>
      <c r="G96" s="13" t="n"/>
      <c r="H96" s="13" t="n"/>
      <c r="I96" s="13" t="n"/>
    </row>
    <row r="97">
      <c r="A97" s="15" t="inlineStr">
        <is>
          <t>SPOF-093</t>
        </is>
      </c>
      <c r="B97" s="13" t="n"/>
      <c r="C97" s="13" t="n"/>
      <c r="D97" s="13" t="n"/>
      <c r="E97" s="13" t="n"/>
      <c r="F97" s="13" t="n"/>
      <c r="G97" s="13" t="n"/>
      <c r="H97" s="13" t="n"/>
      <c r="I97" s="13" t="n"/>
    </row>
    <row r="98">
      <c r="A98" s="15" t="inlineStr">
        <is>
          <t>SPOF-094</t>
        </is>
      </c>
      <c r="B98" s="13" t="n"/>
      <c r="C98" s="13" t="n"/>
      <c r="D98" s="13" t="n"/>
      <c r="E98" s="13" t="n"/>
      <c r="F98" s="13" t="n"/>
      <c r="G98" s="13" t="n"/>
      <c r="H98" s="13" t="n"/>
      <c r="I98" s="13" t="n"/>
    </row>
    <row r="99">
      <c r="A99" s="15" t="inlineStr">
        <is>
          <t>SPOF-095</t>
        </is>
      </c>
      <c r="B99" s="13" t="n"/>
      <c r="C99" s="13" t="n"/>
      <c r="D99" s="13" t="n"/>
      <c r="E99" s="13" t="n"/>
      <c r="F99" s="13" t="n"/>
      <c r="G99" s="13" t="n"/>
      <c r="H99" s="13" t="n"/>
      <c r="I99" s="13" t="n"/>
    </row>
    <row r="100">
      <c r="A100" s="15" t="inlineStr">
        <is>
          <t>SPOF-096</t>
        </is>
      </c>
      <c r="B100" s="13" t="n"/>
      <c r="C100" s="13" t="n"/>
      <c r="D100" s="13" t="n"/>
      <c r="E100" s="13" t="n"/>
      <c r="F100" s="13" t="n"/>
      <c r="G100" s="13" t="n"/>
      <c r="H100" s="13" t="n"/>
      <c r="I100" s="13" t="n"/>
    </row>
    <row r="101">
      <c r="A101" s="15" t="inlineStr">
        <is>
          <t>SPOF-097</t>
        </is>
      </c>
      <c r="B101" s="13" t="n"/>
      <c r="C101" s="13" t="n"/>
      <c r="D101" s="13" t="n"/>
      <c r="E101" s="13" t="n"/>
      <c r="F101" s="13" t="n"/>
      <c r="G101" s="13" t="n"/>
      <c r="H101" s="13" t="n"/>
      <c r="I101" s="13" t="n"/>
    </row>
    <row r="102">
      <c r="A102" s="15" t="inlineStr">
        <is>
          <t>SPOF-098</t>
        </is>
      </c>
      <c r="B102" s="13" t="n"/>
      <c r="C102" s="13" t="n"/>
      <c r="D102" s="13" t="n"/>
      <c r="E102" s="13" t="n"/>
      <c r="F102" s="13" t="n"/>
      <c r="G102" s="13" t="n"/>
      <c r="H102" s="13" t="n"/>
      <c r="I102" s="13" t="n"/>
    </row>
    <row r="103">
      <c r="A103" s="15" t="inlineStr">
        <is>
          <t>SPOF-099</t>
        </is>
      </c>
      <c r="B103" s="13" t="n"/>
      <c r="C103" s="13" t="n"/>
      <c r="D103" s="13" t="n"/>
      <c r="E103" s="13" t="n"/>
      <c r="F103" s="13" t="n"/>
      <c r="G103" s="13" t="n"/>
      <c r="H103" s="13" t="n"/>
      <c r="I103" s="13" t="n"/>
    </row>
    <row r="104">
      <c r="A104" s="15" t="inlineStr">
        <is>
          <t>SPOF-100</t>
        </is>
      </c>
      <c r="B104" s="13" t="n"/>
      <c r="C104" s="13" t="n"/>
      <c r="D104" s="13" t="n"/>
      <c r="E104" s="13" t="n"/>
      <c r="F104" s="13" t="n"/>
      <c r="G104" s="13" t="n"/>
      <c r="H104" s="13" t="n"/>
      <c r="I104" s="13" t="n"/>
    </row>
    <row r="107">
      <c r="A107" s="3" t="inlineStr">
        <is>
          <t>SPOF SUMMARY</t>
        </is>
      </c>
    </row>
    <row r="108">
      <c r="A108" s="2" t="inlineStr">
        <is>
          <t>Total SPOFs Identified:</t>
        </is>
      </c>
      <c r="B108" s="2">
        <f>COUNTA(B5:B104)</f>
        <v/>
      </c>
    </row>
    <row r="109">
      <c r="A109" s="2" t="inlineStr">
        <is>
          <t>SPOFs Mitigated:</t>
        </is>
      </c>
      <c r="B109" s="2">
        <f>COUNTIF(F5:F104,"{CHECK}*")</f>
        <v/>
      </c>
    </row>
    <row r="110">
      <c r="A110" s="2" t="inlineStr">
        <is>
          <t>SPOFs In Progress:</t>
        </is>
      </c>
      <c r="B110" s="2">
        <f>COUNTIF(F5:F104,"⏳*")</f>
        <v/>
      </c>
    </row>
    <row r="111">
      <c r="A111" s="2" t="inlineStr">
        <is>
          <t>Open SPOFs:</t>
        </is>
      </c>
      <c r="B111" s="2">
        <f>COUNTIF(F5:F104,"{XMARK}*")</f>
        <v/>
      </c>
    </row>
    <row r="112">
      <c r="A112" s="2" t="inlineStr">
        <is>
          <t>Critical Open SPOFs:</t>
        </is>
      </c>
      <c r="B112" s="2">
        <f>COUNTIFS(E5:E104,"🔴*",F5:F104,"{XMARK}*")</f>
        <v/>
      </c>
    </row>
    <row r="113">
      <c r="A113" s="2" t="inlineStr">
        <is>
          <t>Mitigation Rate:</t>
        </is>
      </c>
      <c r="B113" s="14">
        <f>IF(B108&gt;0,B109/B108,0)</f>
        <v/>
      </c>
    </row>
  </sheetData>
  <mergeCells count="3">
    <mergeCell ref="A1:I1"/>
    <mergeCell ref="A2:I2"/>
    <mergeCell ref="A107:I107"/>
  </mergeCells>
  <dataValidations count="3">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"Hardware,Network,Power,Software,Database,Storage,Cloud Provider,DNS,Load Balancer,Other"</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 Critical,🟡 Medium,🟢 Low"</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 Mitigated,⏳ In Progress,❌ Open"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4"/>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22" customWidth="1" min="3" max="3"/>
    <col width="26" customWidth="1" min="4" max="4"/>
    <col width="18" customWidth="1" min="5" max="5"/>
    <col width="15" customWidth="1" min="6" max="6"/>
    <col width="35" customWidth="1" min="7" max="7"/>
  </cols>
  <sheetData>
    <row r="1" ht="30" customHeight="1">
      <c r="A1" s="1" t="inlineStr">
        <is>
          <t>RTO COMPLIANCE ASSESSMENT</t>
        </is>
      </c>
    </row>
    <row r="2">
      <c r="A2" s="3" t="inlineStr">
        <is>
          <t>Compare RTO requirements vs actual tested failover time</t>
        </is>
      </c>
    </row>
    <row r="4">
      <c r="A4" s="10" t="inlineStr">
        <is>
          <t>System Name</t>
        </is>
      </c>
      <c r="B4" s="10" t="inlineStr">
        <is>
          <t>Criticality Tier</t>
        </is>
      </c>
      <c r="C4" s="10" t="inlineStr">
        <is>
          <t>RTO Requirement (hours)</t>
        </is>
      </c>
      <c r="D4" s="10" t="inlineStr">
        <is>
          <t>Actual Failover Time (hours)</t>
        </is>
      </c>
      <c r="E4" s="10" t="inlineStr">
        <is>
          <t>RTO Compliant</t>
        </is>
      </c>
      <c r="F4" s="10" t="inlineStr">
        <is>
          <t>Gap (hours)</t>
        </is>
      </c>
      <c r="G4" s="10" t="inlineStr">
        <is>
          <t>Notes</t>
        </is>
      </c>
    </row>
    <row r="5">
      <c r="A5" s="11" t="inlineStr">
        <is>
          <t>E-Commerce Website</t>
        </is>
      </c>
      <c r="B5" s="11" t="inlineStr">
        <is>
          <t>Tier 1 - Critical</t>
        </is>
      </c>
      <c r="C5" s="11" t="n">
        <v>2</v>
      </c>
      <c r="D5" s="11" t="n">
        <v>0.5</v>
      </c>
      <c r="E5">
        <f>IF(AND(ISNUMBER(C5),ISNUMBER(D5)),IF(D5&lt;=C5,"✅ Compliant","❌ Non-Compliant"),"❓ Unknown")</f>
        <v/>
      </c>
      <c r="F5">
        <f>IF(AND(ISNUMBER(C5),ISNUMBER(D5)),MAX(0,D5-C5),"")</f>
        <v/>
      </c>
      <c r="G5" s="11" t="inlineStr">
        <is>
          <t>Active-Passive tested at 30 min</t>
        </is>
      </c>
    </row>
    <row r="6">
      <c r="A6" s="11" t="inlineStr">
        <is>
          <t>Email System</t>
        </is>
      </c>
      <c r="B6" s="11" t="inlineStr">
        <is>
          <t>Tier 1 - Critical</t>
        </is>
      </c>
      <c r="C6" s="11" t="n">
        <v>4</v>
      </c>
      <c r="D6" s="11" t="n">
        <v>12</v>
      </c>
      <c r="E6">
        <f>IF(AND(ISNUMBER(C6),ISNUMBER(D6)),IF(D6&lt;=C6,"✅ Compliant","❌ Non-Compliant"),"❓ Unknown")</f>
        <v/>
      </c>
      <c r="F6">
        <f>IF(AND(ISNUMBER(C6),ISNUMBER(D6)),MAX(0,D6-C6),"")</f>
        <v/>
      </c>
      <c r="G6" s="11" t="inlineStr">
        <is>
          <t>Restore from backup exceeds RTO (no redundancy)</t>
        </is>
      </c>
    </row>
    <row r="7">
      <c r="A7" s="11" t="inlineStr">
        <is>
          <t>Payment Gateway</t>
        </is>
      </c>
      <c r="B7" s="11" t="inlineStr">
        <is>
          <t>Tier 1 - Critical</t>
        </is>
      </c>
      <c r="C7" s="11" t="n">
        <v>1</v>
      </c>
      <c r="D7" s="11" t="n">
        <v>0.08</v>
      </c>
      <c r="E7">
        <f>IF(AND(ISNUMBER(C7),ISNUMBER(D7)),IF(D7&lt;=C7,"✅ Compliant","❌ Non-Compliant"),"❓ Unknown")</f>
        <v/>
      </c>
      <c r="F7">
        <f>IF(AND(ISNUMBER(C7),ISNUMBER(D7)),MAX(0,D7-C7),"")</f>
        <v/>
      </c>
      <c r="G7" s="11" t="inlineStr">
        <is>
          <t>Active-Active failover in 5 minutes</t>
        </is>
      </c>
    </row>
    <row r="8">
      <c r="A8" s="11" t="inlineStr">
        <is>
          <t>File Server</t>
        </is>
      </c>
      <c r="B8" s="11" t="inlineStr">
        <is>
          <t>Tier 2 - Important</t>
        </is>
      </c>
      <c r="C8" s="11" t="n">
        <v>12</v>
      </c>
      <c r="D8" s="11" t="n">
        <v>8</v>
      </c>
      <c r="E8">
        <f>IF(AND(ISNUMBER(C8),ISNUMBER(D8)),IF(D8&lt;=C8,"✅ Compliant","❌ Non-Compliant"),"❓ Unknown")</f>
        <v/>
      </c>
      <c r="F8">
        <f>IF(AND(ISNUMBER(C8),ISNUMBER(D8)),MAX(0,D8-C8),"")</f>
        <v/>
      </c>
      <c r="G8" s="11" t="inlineStr">
        <is>
          <t>Restore tested at 8 hours</t>
        </is>
      </c>
    </row>
    <row r="9">
      <c r="A9" s="11" t="inlineStr">
        <is>
          <t>Database Cluster</t>
        </is>
      </c>
      <c r="B9" s="11" t="inlineStr">
        <is>
          <t>Tier 1 - Critical</t>
        </is>
      </c>
      <c r="C9" s="11" t="n">
        <v>0.25</v>
      </c>
      <c r="D9" s="11" t="inlineStr"/>
      <c r="E9">
        <f>IF(AND(ISNUMBER(C9),ISNUMBER(D9)),IF(D9&lt;=C9,"✅ Compliant","❌ Non-Compliant"),"❓ Unknown")</f>
        <v/>
      </c>
      <c r="F9">
        <f>IF(AND(ISNUMBER(C9),ISNUMBER(D9)),MAX(0,D9-C9),"")</f>
        <v/>
      </c>
      <c r="G9" s="11" t="inlineStr">
        <is>
          <t>Failover not yet tested (assumed &lt; 15 min)</t>
        </is>
      </c>
    </row>
    <row r="10">
      <c r="A10" s="11" t="inlineStr">
        <is>
          <t>ERP System</t>
        </is>
      </c>
      <c r="B10" s="11" t="inlineStr">
        <is>
          <t>Tier 2 - Important</t>
        </is>
      </c>
      <c r="C10" s="11" t="n">
        <v>8</v>
      </c>
      <c r="D10" s="11" t="inlineStr"/>
      <c r="E10">
        <f>IF(AND(ISNUMBER(C10),ISNUMBER(D10)),IF(D10&lt;=C10,"✅ Compliant","❌ Non-Compliant"),"❓ Unknown")</f>
        <v/>
      </c>
      <c r="F10">
        <f>IF(AND(ISNUMBER(C10),ISNUMBER(D10)),MAX(0,D10-C10),"")</f>
        <v/>
      </c>
      <c r="G10" s="11" t="inlineStr">
        <is>
          <t>DR site in progress, not tested</t>
        </is>
      </c>
    </row>
    <row r="11">
      <c r="A11" s="11" t="inlineStr">
        <is>
          <t>Document Repository</t>
        </is>
      </c>
      <c r="B11" s="11" t="inlineStr">
        <is>
          <t>Tier 2 - Important</t>
        </is>
      </c>
      <c r="C11" s="11" t="n">
        <v>24</v>
      </c>
      <c r="D11" s="11" t="inlineStr"/>
      <c r="E11">
        <f>IF(AND(ISNUMBER(C11),ISNUMBER(D11)),IF(D11&lt;=C11,"✅ Compliant","❌ Non-Compliant"),"❓ Unknown")</f>
        <v/>
      </c>
      <c r="F11">
        <f>IF(AND(ISNUMBER(C11),ISNUMBER(D11)),MAX(0,D11-C11),"")</f>
        <v/>
      </c>
      <c r="G11" s="11" t="inlineStr">
        <is>
          <t>Cloud SaaS provider SLA 99.9%</t>
        </is>
      </c>
    </row>
    <row r="12">
      <c r="E12">
        <f>IF(AND(ISNUMBER(C12),ISNUMBER(D12)),IF(D12&lt;=C12,"✅ Compliant","❌ Non-Compliant"),"❓ Unknown")</f>
        <v/>
      </c>
      <c r="F12">
        <f>IF(AND(ISNUMBER(C12),ISNUMBER(D12)),MAX(0,D12-C12),"")</f>
        <v/>
      </c>
    </row>
    <row r="13">
      <c r="E13">
        <f>IF(AND(ISNUMBER(C13),ISNUMBER(D13)),IF(D13&lt;=C13,"✅ Compliant","❌ Non-Compliant"),"❓ Unknown")</f>
        <v/>
      </c>
      <c r="F13">
        <f>IF(AND(ISNUMBER(C13),ISNUMBER(D13)),MAX(0,D13-C13),"")</f>
        <v/>
      </c>
    </row>
    <row r="14">
      <c r="E14">
        <f>IF(AND(ISNUMBER(C14),ISNUMBER(D14)),IF(D14&lt;=C14,"✅ Compliant","❌ Non-Compliant"),"❓ Unknown")</f>
        <v/>
      </c>
      <c r="F14">
        <f>IF(AND(ISNUMBER(C14),ISNUMBER(D14)),MAX(0,D14-C14),"")</f>
        <v/>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3" t="inlineStr">
        <is>
          <t>RTO COMPLIANCE METRICS</t>
        </is>
      </c>
    </row>
    <row r="119">
      <c r="A119" s="2" t="inlineStr">
        <is>
          <t>Total Systems:</t>
        </is>
      </c>
      <c r="B119" s="2">
        <f>COUNTA(A5:A114)</f>
        <v/>
      </c>
    </row>
    <row r="120">
      <c r="A120" s="2" t="inlineStr">
        <is>
          <t>Systems Compliant:</t>
        </is>
      </c>
      <c r="B120" s="2">
        <f>COUNTIF(E5:E114,"✅*")</f>
        <v/>
      </c>
    </row>
    <row r="121">
      <c r="A121" s="2" t="inlineStr">
        <is>
          <t>Systems Non-Compliant:</t>
        </is>
      </c>
      <c r="B121" s="2">
        <f>COUNTIF(E5:E114,"❌*")</f>
        <v/>
      </c>
    </row>
    <row r="122">
      <c r="A122" s="2" t="inlineStr">
        <is>
          <t>Systems Not Tested:</t>
        </is>
      </c>
      <c r="B122" s="2">
        <f>COUNTIF(E5:E114,"❓*")</f>
        <v/>
      </c>
    </row>
    <row r="123">
      <c r="A123" s="2" t="inlineStr">
        <is>
          <t>RTO Compliance Rate:</t>
        </is>
      </c>
      <c r="B123" s="14">
        <f>IF(B119&gt;0,B120/B119,0)</f>
        <v/>
      </c>
    </row>
    <row r="124">
      <c r="A124" s="2" t="inlineStr">
        <is>
          <t>Critical Compliance Rate:</t>
        </is>
      </c>
      <c r="B124" s="14">
        <f>IF(COUNTIF(B5:B114,"Tier 1*")&gt;0,COUNTIFS(B5:B114,"Tier 1*",E5:E114,"✅*")/COUNTIF(B5:B114,"Tier 1*"),1)</f>
        <v/>
      </c>
    </row>
  </sheetData>
  <mergeCells count="3">
    <mergeCell ref="A118:G118"/>
    <mergeCell ref="A2:G2"/>
    <mergeCell ref="A1:G1"/>
  </mergeCells>
  <dataValidations count="1">
    <dataValidation sqref="B5 B6 B7 B8 B9 B10 B11" showDropDown="0" showInputMessage="0" showErrorMessage="0" allowBlank="0" type="list">
      <formula1>"Tier 1 - Critical,Tier 2 - Important,Tier 3 - Standard,Tier 4 - 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5" customWidth="1" min="3" max="3"/>
    <col width="25" customWidth="1" min="4" max="4"/>
    <col width="45" customWidth="1" min="5" max="5"/>
    <col width="15" customWidth="1" min="6" max="6"/>
    <col width="20" customWidth="1" min="7" max="7"/>
    <col width="18" customWidth="1" min="8" max="8"/>
  </cols>
  <sheetData>
    <row r="1" ht="30" customHeight="1">
      <c r="A1" s="1" t="inlineStr">
        <is>
          <t>EVIDENCE REGISTER</t>
        </is>
      </c>
    </row>
    <row r="2">
      <c r="A2" s="3" t="inlineStr">
        <is>
          <t>Document all evidence supporting this assessment (MINIMUM 5 items required)</t>
        </is>
      </c>
    </row>
    <row r="4">
      <c r="A4" s="10" t="inlineStr">
        <is>
          <t>Evidence ID</t>
        </is>
      </c>
      <c r="B4" s="10" t="inlineStr">
        <is>
          <t>Evidence Type</t>
        </is>
      </c>
      <c r="C4" s="10" t="inlineStr">
        <is>
          <t>Description</t>
        </is>
      </c>
      <c r="D4" s="10" t="inlineStr">
        <is>
          <t>Related Sheet/Row</t>
        </is>
      </c>
      <c r="E4" s="10" t="inlineStr">
        <is>
          <t>Location/Path</t>
        </is>
      </c>
      <c r="F4" s="10" t="inlineStr">
        <is>
          <t>Date Collected</t>
        </is>
      </c>
      <c r="G4" s="10" t="inlineStr">
        <is>
          <t>Collected By</t>
        </is>
      </c>
      <c r="H4" s="10" t="inlineStr">
        <is>
          <t>Verification Status</t>
        </is>
      </c>
    </row>
    <row r="5">
      <c r="A5" s="16" t="inlineStr">
        <is>
          <t>EVD-001</t>
        </is>
      </c>
      <c r="B5" s="13" t="inlineStr">
        <is>
          <t>Architecture Diagram</t>
        </is>
      </c>
      <c r="C5" s="13" t="inlineStr">
        <is>
          <t>E-Commerce redundancy architecture (Active-Passive)</t>
        </is>
      </c>
      <c r="D5" s="13" t="inlineStr">
        <is>
          <t>Redundancy_Inventory/Row 5</t>
        </is>
      </c>
      <c r="E5" s="13" t="inlineStr">
        <is>
          <t>/evidence/redundancy/ecommerce_architecture.pdf</t>
        </is>
      </c>
      <c r="F5" s="17" t="inlineStr">
        <is>
          <t>31.01.2026</t>
        </is>
      </c>
      <c r="G5" s="13" t="inlineStr">
        <is>
          <t>Solutions Architect</t>
        </is>
      </c>
      <c r="H5" s="18" t="inlineStr">
        <is>
          <t>✅ Verified</t>
        </is>
      </c>
    </row>
    <row r="6">
      <c r="A6" s="16" t="inlineStr">
        <is>
          <t>EVD-002</t>
        </is>
      </c>
      <c r="B6" s="13" t="inlineStr">
        <is>
          <t>Test Result</t>
        </is>
      </c>
      <c r="C6" s="13" t="inlineStr">
        <is>
          <t>Failover test report for E-Commerce (30 min RTO achieved)</t>
        </is>
      </c>
      <c r="D6" s="13" t="inlineStr">
        <is>
          <t>Redundancy_Inventory/Row 5</t>
        </is>
      </c>
      <c r="E6" s="13" t="inlineStr">
        <is>
          <t>/evidence/redundancy/failover_test_2024-01-10.pdf</t>
        </is>
      </c>
      <c r="F6" s="17" t="inlineStr">
        <is>
          <t>31.01.2026</t>
        </is>
      </c>
      <c r="G6" s="13" t="inlineStr">
        <is>
          <t>QA Team</t>
        </is>
      </c>
      <c r="H6" s="18" t="inlineStr">
        <is>
          <t>✅ Verified</t>
        </is>
      </c>
    </row>
    <row r="7">
      <c r="A7" s="16" t="inlineStr">
        <is>
          <t>EVD-003</t>
        </is>
      </c>
      <c r="B7" s="13" t="inlineStr">
        <is>
          <t>Screenshot</t>
        </is>
      </c>
      <c r="C7" s="13" t="inlineStr">
        <is>
          <t>Payment Gateway multi-region deployment status</t>
        </is>
      </c>
      <c r="D7" s="13" t="inlineStr">
        <is>
          <t>Redundancy_Inventory/Row 8</t>
        </is>
      </c>
      <c r="E7" s="13" t="inlineStr">
        <is>
          <t>/evidence/redundancy/payment_multiregion.png</t>
        </is>
      </c>
      <c r="F7" s="17" t="inlineStr">
        <is>
          <t>31.01.2026</t>
        </is>
      </c>
      <c r="G7" s="13" t="inlineStr">
        <is>
          <t>Cloud Admin</t>
        </is>
      </c>
      <c r="H7" s="18" t="inlineStr">
        <is>
          <t>✅ Verified</t>
        </is>
      </c>
    </row>
    <row r="8">
      <c r="A8" s="16" t="inlineStr">
        <is>
          <t>EVD-004</t>
        </is>
      </c>
      <c r="B8" s="13" t="inlineStr">
        <is>
          <t>Config File</t>
        </is>
      </c>
      <c r="C8" s="13" t="inlineStr">
        <is>
          <t>Database cluster configuration (5-node N+1)</t>
        </is>
      </c>
      <c r="D8" s="13" t="inlineStr">
        <is>
          <t>Redundancy_Inventory/Row 10</t>
        </is>
      </c>
      <c r="E8" s="13" t="inlineStr">
        <is>
          <t>/evidence/redundancy/db_cluster_config.xml</t>
        </is>
      </c>
      <c r="F8" s="17" t="inlineStr">
        <is>
          <t>31.01.2026</t>
        </is>
      </c>
      <c r="G8" s="13" t="inlineStr">
        <is>
          <t>DBA</t>
        </is>
      </c>
      <c r="H8" s="18" t="inlineStr">
        <is>
          <t>✅ Verified</t>
        </is>
      </c>
    </row>
    <row r="9">
      <c r="A9" s="16" t="inlineStr">
        <is>
          <t>EVD-005</t>
        </is>
      </c>
      <c r="B9" s="13" t="inlineStr">
        <is>
          <t>Report</t>
        </is>
      </c>
      <c r="C9" s="13" t="inlineStr">
        <is>
          <t>SPOF analysis summary from infrastructure review</t>
        </is>
      </c>
      <c r="D9" s="13" t="inlineStr">
        <is>
          <t>SPOF_Register/Multiple</t>
        </is>
      </c>
      <c r="E9" s="13" t="inlineStr">
        <is>
          <t>/evidence/redundancy/spof_analysis_report.pdf</t>
        </is>
      </c>
      <c r="F9" s="17" t="inlineStr">
        <is>
          <t>31.01.2026</t>
        </is>
      </c>
      <c r="G9" s="13" t="inlineStr">
        <is>
          <t>Infrastructure Manager</t>
        </is>
      </c>
      <c r="H9" s="18" t="inlineStr">
        <is>
          <t>⏳ Pending</t>
        </is>
      </c>
    </row>
    <row r="10">
      <c r="A10" s="16" t="inlineStr">
        <is>
          <t>EVD-006</t>
        </is>
      </c>
      <c r="B10" s="13" t="n"/>
      <c r="C10" s="13" t="n"/>
      <c r="D10" s="13" t="n"/>
      <c r="E10" s="13" t="n"/>
      <c r="F10" s="17" t="n"/>
      <c r="G10" s="13" t="n"/>
      <c r="H10" s="18" t="n"/>
    </row>
    <row r="11">
      <c r="A11" s="16" t="inlineStr">
        <is>
          <t>EVD-007</t>
        </is>
      </c>
      <c r="B11" s="13" t="n"/>
      <c r="C11" s="13" t="n"/>
      <c r="D11" s="13" t="n"/>
      <c r="E11" s="13" t="n"/>
      <c r="F11" s="17" t="n"/>
      <c r="G11" s="13" t="n"/>
      <c r="H11" s="18" t="n"/>
    </row>
    <row r="12">
      <c r="A12" s="16" t="inlineStr">
        <is>
          <t>EVD-008</t>
        </is>
      </c>
      <c r="B12" s="13" t="n"/>
      <c r="C12" s="13" t="n"/>
      <c r="D12" s="13" t="n"/>
      <c r="E12" s="13" t="n"/>
      <c r="F12" s="17" t="n"/>
      <c r="G12" s="13" t="n"/>
      <c r="H12" s="18" t="n"/>
    </row>
    <row r="13">
      <c r="A13" s="16" t="inlineStr">
        <is>
          <t>EVD-009</t>
        </is>
      </c>
      <c r="B13" s="13" t="n"/>
      <c r="C13" s="13" t="n"/>
      <c r="D13" s="13" t="n"/>
      <c r="E13" s="13" t="n"/>
      <c r="F13" s="17" t="n"/>
      <c r="G13" s="13" t="n"/>
      <c r="H13" s="18" t="n"/>
    </row>
    <row r="14">
      <c r="A14" s="16" t="inlineStr">
        <is>
          <t>EVD-010</t>
        </is>
      </c>
      <c r="B14" s="13" t="n"/>
      <c r="C14" s="13" t="n"/>
      <c r="D14" s="13" t="n"/>
      <c r="E14" s="13" t="n"/>
      <c r="F14" s="17" t="n"/>
      <c r="G14" s="13" t="n"/>
      <c r="H14" s="18" t="n"/>
    </row>
    <row r="15">
      <c r="A15" s="16" t="inlineStr">
        <is>
          <t>EVD-011</t>
        </is>
      </c>
      <c r="B15" s="13" t="n"/>
      <c r="C15" s="13" t="n"/>
      <c r="D15" s="13" t="n"/>
      <c r="E15" s="13" t="n"/>
      <c r="F15" s="17" t="n"/>
      <c r="G15" s="13" t="n"/>
      <c r="H15" s="18" t="n"/>
    </row>
    <row r="16">
      <c r="A16" s="16" t="inlineStr">
        <is>
          <t>EVD-012</t>
        </is>
      </c>
      <c r="B16" s="13" t="n"/>
      <c r="C16" s="13" t="n"/>
      <c r="D16" s="13" t="n"/>
      <c r="E16" s="13" t="n"/>
      <c r="F16" s="17" t="n"/>
      <c r="G16" s="13" t="n"/>
      <c r="H16" s="18" t="n"/>
    </row>
    <row r="17">
      <c r="A17" s="16" t="inlineStr">
        <is>
          <t>EVD-013</t>
        </is>
      </c>
      <c r="B17" s="13" t="n"/>
      <c r="C17" s="13" t="n"/>
      <c r="D17" s="13" t="n"/>
      <c r="E17" s="13" t="n"/>
      <c r="F17" s="17" t="n"/>
      <c r="G17" s="13" t="n"/>
      <c r="H17" s="18" t="n"/>
    </row>
    <row r="18">
      <c r="A18" s="16" t="inlineStr">
        <is>
          <t>EVD-014</t>
        </is>
      </c>
      <c r="B18" s="13" t="n"/>
      <c r="C18" s="13" t="n"/>
      <c r="D18" s="13" t="n"/>
      <c r="E18" s="13" t="n"/>
      <c r="F18" s="17" t="n"/>
      <c r="G18" s="13" t="n"/>
      <c r="H18" s="18" t="n"/>
    </row>
    <row r="19">
      <c r="A19" s="16" t="inlineStr">
        <is>
          <t>EVD-015</t>
        </is>
      </c>
      <c r="B19" s="13" t="n"/>
      <c r="C19" s="13" t="n"/>
      <c r="D19" s="13" t="n"/>
      <c r="E19" s="13" t="n"/>
      <c r="F19" s="17" t="n"/>
      <c r="G19" s="13" t="n"/>
      <c r="H19" s="18" t="n"/>
    </row>
    <row r="20">
      <c r="A20" s="16" t="inlineStr">
        <is>
          <t>EVD-016</t>
        </is>
      </c>
      <c r="B20" s="13" t="n"/>
      <c r="C20" s="13" t="n"/>
      <c r="D20" s="13" t="n"/>
      <c r="E20" s="13" t="n"/>
      <c r="F20" s="17" t="n"/>
      <c r="G20" s="13" t="n"/>
      <c r="H20" s="18" t="n"/>
    </row>
    <row r="21">
      <c r="A21" s="16" t="inlineStr">
        <is>
          <t>EVD-017</t>
        </is>
      </c>
      <c r="B21" s="13" t="n"/>
      <c r="C21" s="13" t="n"/>
      <c r="D21" s="13" t="n"/>
      <c r="E21" s="13" t="n"/>
      <c r="F21" s="17" t="n"/>
      <c r="G21" s="13" t="n"/>
      <c r="H21" s="18" t="n"/>
    </row>
    <row r="22">
      <c r="A22" s="16" t="inlineStr">
        <is>
          <t>EVD-018</t>
        </is>
      </c>
      <c r="B22" s="13" t="n"/>
      <c r="C22" s="13" t="n"/>
      <c r="D22" s="13" t="n"/>
      <c r="E22" s="13" t="n"/>
      <c r="F22" s="17" t="n"/>
      <c r="G22" s="13" t="n"/>
      <c r="H22" s="18" t="n"/>
    </row>
    <row r="23">
      <c r="A23" s="16" t="inlineStr">
        <is>
          <t>EVD-019</t>
        </is>
      </c>
      <c r="B23" s="13" t="n"/>
      <c r="C23" s="13" t="n"/>
      <c r="D23" s="13" t="n"/>
      <c r="E23" s="13" t="n"/>
      <c r="F23" s="17" t="n"/>
      <c r="G23" s="13" t="n"/>
      <c r="H23" s="18" t="n"/>
    </row>
    <row r="24">
      <c r="A24" s="16" t="inlineStr">
        <is>
          <t>EVD-020</t>
        </is>
      </c>
      <c r="B24" s="13" t="n"/>
      <c r="C24" s="13" t="n"/>
      <c r="D24" s="13" t="n"/>
      <c r="E24" s="13" t="n"/>
      <c r="F24" s="17" t="n"/>
      <c r="G24" s="13" t="n"/>
      <c r="H24" s="18" t="n"/>
    </row>
    <row r="25">
      <c r="A25" s="16" t="inlineStr">
        <is>
          <t>EVD-021</t>
        </is>
      </c>
      <c r="B25" s="13" t="n"/>
      <c r="C25" s="13" t="n"/>
      <c r="D25" s="13" t="n"/>
      <c r="E25" s="13" t="n"/>
      <c r="F25" s="17" t="n"/>
      <c r="G25" s="13" t="n"/>
      <c r="H25" s="18" t="n"/>
    </row>
    <row r="26">
      <c r="A26" s="16" t="inlineStr">
        <is>
          <t>EVD-022</t>
        </is>
      </c>
      <c r="B26" s="13" t="n"/>
      <c r="C26" s="13" t="n"/>
      <c r="D26" s="13" t="n"/>
      <c r="E26" s="13" t="n"/>
      <c r="F26" s="17" t="n"/>
      <c r="G26" s="13" t="n"/>
      <c r="H26" s="18" t="n"/>
    </row>
    <row r="27">
      <c r="A27" s="16" t="inlineStr">
        <is>
          <t>EVD-023</t>
        </is>
      </c>
      <c r="B27" s="13" t="n"/>
      <c r="C27" s="13" t="n"/>
      <c r="D27" s="13" t="n"/>
      <c r="E27" s="13" t="n"/>
      <c r="F27" s="17" t="n"/>
      <c r="G27" s="13" t="n"/>
      <c r="H27" s="18" t="n"/>
    </row>
    <row r="28">
      <c r="A28" s="16" t="inlineStr">
        <is>
          <t>EVD-024</t>
        </is>
      </c>
      <c r="B28" s="13" t="n"/>
      <c r="C28" s="13" t="n"/>
      <c r="D28" s="13" t="n"/>
      <c r="E28" s="13" t="n"/>
      <c r="F28" s="17" t="n"/>
      <c r="G28" s="13" t="n"/>
      <c r="H28" s="18" t="n"/>
    </row>
    <row r="29">
      <c r="A29" s="16" t="inlineStr">
        <is>
          <t>EVD-025</t>
        </is>
      </c>
      <c r="B29" s="13" t="n"/>
      <c r="C29" s="13" t="n"/>
      <c r="D29" s="13" t="n"/>
      <c r="E29" s="13" t="n"/>
      <c r="F29" s="17" t="n"/>
      <c r="G29" s="13" t="n"/>
      <c r="H29" s="18" t="n"/>
    </row>
    <row r="30">
      <c r="A30" s="16" t="inlineStr">
        <is>
          <t>EVD-026</t>
        </is>
      </c>
      <c r="B30" s="13" t="n"/>
      <c r="C30" s="13" t="n"/>
      <c r="D30" s="13" t="n"/>
      <c r="E30" s="13" t="n"/>
      <c r="F30" s="17" t="n"/>
      <c r="G30" s="13" t="n"/>
      <c r="H30" s="18" t="n"/>
    </row>
    <row r="31">
      <c r="A31" s="16" t="inlineStr">
        <is>
          <t>EVD-027</t>
        </is>
      </c>
      <c r="B31" s="13" t="n"/>
      <c r="C31" s="13" t="n"/>
      <c r="D31" s="13" t="n"/>
      <c r="E31" s="13" t="n"/>
      <c r="F31" s="17" t="n"/>
      <c r="G31" s="13" t="n"/>
      <c r="H31" s="18" t="n"/>
    </row>
    <row r="32">
      <c r="A32" s="16" t="inlineStr">
        <is>
          <t>EVD-028</t>
        </is>
      </c>
      <c r="B32" s="13" t="n"/>
      <c r="C32" s="13" t="n"/>
      <c r="D32" s="13" t="n"/>
      <c r="E32" s="13" t="n"/>
      <c r="F32" s="17" t="n"/>
      <c r="G32" s="13" t="n"/>
      <c r="H32" s="18" t="n"/>
    </row>
    <row r="33">
      <c r="A33" s="16" t="inlineStr">
        <is>
          <t>EVD-029</t>
        </is>
      </c>
      <c r="B33" s="13" t="n"/>
      <c r="C33" s="13" t="n"/>
      <c r="D33" s="13" t="n"/>
      <c r="E33" s="13" t="n"/>
      <c r="F33" s="17" t="n"/>
      <c r="G33" s="13" t="n"/>
      <c r="H33" s="18" t="n"/>
    </row>
    <row r="34">
      <c r="A34" s="16" t="inlineStr">
        <is>
          <t>EVD-030</t>
        </is>
      </c>
      <c r="B34" s="13" t="n"/>
      <c r="C34" s="13" t="n"/>
      <c r="D34" s="13" t="n"/>
      <c r="E34" s="13" t="n"/>
      <c r="F34" s="17" t="n"/>
      <c r="G34" s="13" t="n"/>
      <c r="H34" s="18" t="n"/>
    </row>
    <row r="35">
      <c r="A35" s="16" t="inlineStr">
        <is>
          <t>EVD-031</t>
        </is>
      </c>
      <c r="B35" s="13" t="n"/>
      <c r="C35" s="13" t="n"/>
      <c r="D35" s="13" t="n"/>
      <c r="E35" s="13" t="n"/>
      <c r="F35" s="17" t="n"/>
      <c r="G35" s="13" t="n"/>
      <c r="H35" s="18" t="n"/>
    </row>
    <row r="36">
      <c r="A36" s="16" t="inlineStr">
        <is>
          <t>EVD-032</t>
        </is>
      </c>
      <c r="B36" s="13" t="n"/>
      <c r="C36" s="13" t="n"/>
      <c r="D36" s="13" t="n"/>
      <c r="E36" s="13" t="n"/>
      <c r="F36" s="17" t="n"/>
      <c r="G36" s="13" t="n"/>
      <c r="H36" s="18" t="n"/>
    </row>
    <row r="37">
      <c r="A37" s="16" t="inlineStr">
        <is>
          <t>EVD-033</t>
        </is>
      </c>
      <c r="B37" s="13" t="n"/>
      <c r="C37" s="13" t="n"/>
      <c r="D37" s="13" t="n"/>
      <c r="E37" s="13" t="n"/>
      <c r="F37" s="17" t="n"/>
      <c r="G37" s="13" t="n"/>
      <c r="H37" s="18" t="n"/>
    </row>
    <row r="38">
      <c r="A38" s="16" t="inlineStr">
        <is>
          <t>EVD-034</t>
        </is>
      </c>
      <c r="B38" s="13" t="n"/>
      <c r="C38" s="13" t="n"/>
      <c r="D38" s="13" t="n"/>
      <c r="E38" s="13" t="n"/>
      <c r="F38" s="17" t="n"/>
      <c r="G38" s="13" t="n"/>
      <c r="H38" s="18" t="n"/>
    </row>
    <row r="39">
      <c r="A39" s="16" t="inlineStr">
        <is>
          <t>EVD-035</t>
        </is>
      </c>
      <c r="B39" s="13" t="n"/>
      <c r="C39" s="13" t="n"/>
      <c r="D39" s="13" t="n"/>
      <c r="E39" s="13" t="n"/>
      <c r="F39" s="17" t="n"/>
      <c r="G39" s="13" t="n"/>
      <c r="H39" s="18" t="n"/>
    </row>
    <row r="40">
      <c r="A40" s="16" t="inlineStr">
        <is>
          <t>EVD-036</t>
        </is>
      </c>
      <c r="B40" s="13" t="n"/>
      <c r="C40" s="13" t="n"/>
      <c r="D40" s="13" t="n"/>
      <c r="E40" s="13" t="n"/>
      <c r="F40" s="17" t="n"/>
      <c r="G40" s="13" t="n"/>
      <c r="H40" s="18" t="n"/>
    </row>
    <row r="41">
      <c r="A41" s="16" t="inlineStr">
        <is>
          <t>EVD-037</t>
        </is>
      </c>
      <c r="B41" s="13" t="n"/>
      <c r="C41" s="13" t="n"/>
      <c r="D41" s="13" t="n"/>
      <c r="E41" s="13" t="n"/>
      <c r="F41" s="17" t="n"/>
      <c r="G41" s="13" t="n"/>
      <c r="H41" s="18" t="n"/>
    </row>
    <row r="42">
      <c r="A42" s="16" t="inlineStr">
        <is>
          <t>EVD-038</t>
        </is>
      </c>
      <c r="B42" s="13" t="n"/>
      <c r="C42" s="13" t="n"/>
      <c r="D42" s="13" t="n"/>
      <c r="E42" s="13" t="n"/>
      <c r="F42" s="17" t="n"/>
      <c r="G42" s="13" t="n"/>
      <c r="H42" s="18" t="n"/>
    </row>
    <row r="43">
      <c r="A43" s="16" t="inlineStr">
        <is>
          <t>EVD-039</t>
        </is>
      </c>
      <c r="B43" s="13" t="n"/>
      <c r="C43" s="13" t="n"/>
      <c r="D43" s="13" t="n"/>
      <c r="E43" s="13" t="n"/>
      <c r="F43" s="17" t="n"/>
      <c r="G43" s="13" t="n"/>
      <c r="H43" s="18" t="n"/>
    </row>
    <row r="44">
      <c r="A44" s="16" t="inlineStr">
        <is>
          <t>EVD-040</t>
        </is>
      </c>
      <c r="B44" s="13" t="n"/>
      <c r="C44" s="13" t="n"/>
      <c r="D44" s="13" t="n"/>
      <c r="E44" s="13" t="n"/>
      <c r="F44" s="17" t="n"/>
      <c r="G44" s="13" t="n"/>
      <c r="H44" s="18" t="n"/>
    </row>
    <row r="45">
      <c r="A45" s="16" t="inlineStr">
        <is>
          <t>EVD-041</t>
        </is>
      </c>
      <c r="B45" s="13" t="n"/>
      <c r="C45" s="13" t="n"/>
      <c r="D45" s="13" t="n"/>
      <c r="E45" s="13" t="n"/>
      <c r="F45" s="17" t="n"/>
      <c r="G45" s="13" t="n"/>
      <c r="H45" s="18" t="n"/>
    </row>
    <row r="46">
      <c r="A46" s="16" t="inlineStr">
        <is>
          <t>EVD-042</t>
        </is>
      </c>
      <c r="B46" s="13" t="n"/>
      <c r="C46" s="13" t="n"/>
      <c r="D46" s="13" t="n"/>
      <c r="E46" s="13" t="n"/>
      <c r="F46" s="17" t="n"/>
      <c r="G46" s="13" t="n"/>
      <c r="H46" s="18" t="n"/>
    </row>
    <row r="47">
      <c r="A47" s="16" t="inlineStr">
        <is>
          <t>EVD-043</t>
        </is>
      </c>
      <c r="B47" s="13" t="n"/>
      <c r="C47" s="13" t="n"/>
      <c r="D47" s="13" t="n"/>
      <c r="E47" s="13" t="n"/>
      <c r="F47" s="17" t="n"/>
      <c r="G47" s="13" t="n"/>
      <c r="H47" s="18" t="n"/>
    </row>
    <row r="48">
      <c r="A48" s="16" t="inlineStr">
        <is>
          <t>EVD-044</t>
        </is>
      </c>
      <c r="B48" s="13" t="n"/>
      <c r="C48" s="13" t="n"/>
      <c r="D48" s="13" t="n"/>
      <c r="E48" s="13" t="n"/>
      <c r="F48" s="17" t="n"/>
      <c r="G48" s="13" t="n"/>
      <c r="H48" s="18" t="n"/>
    </row>
    <row r="49">
      <c r="A49" s="16" t="inlineStr">
        <is>
          <t>EVD-045</t>
        </is>
      </c>
      <c r="B49" s="13" t="n"/>
      <c r="C49" s="13" t="n"/>
      <c r="D49" s="13" t="n"/>
      <c r="E49" s="13" t="n"/>
      <c r="F49" s="17" t="n"/>
      <c r="G49" s="13" t="n"/>
      <c r="H49" s="18" t="n"/>
    </row>
    <row r="50">
      <c r="A50" s="16" t="inlineStr">
        <is>
          <t>EVD-046</t>
        </is>
      </c>
      <c r="B50" s="13" t="n"/>
      <c r="C50" s="13" t="n"/>
      <c r="D50" s="13" t="n"/>
      <c r="E50" s="13" t="n"/>
      <c r="F50" s="17" t="n"/>
      <c r="G50" s="13" t="n"/>
      <c r="H50" s="18" t="n"/>
    </row>
    <row r="51">
      <c r="A51" s="16" t="inlineStr">
        <is>
          <t>EVD-047</t>
        </is>
      </c>
      <c r="B51" s="13" t="n"/>
      <c r="C51" s="13" t="n"/>
      <c r="D51" s="13" t="n"/>
      <c r="E51" s="13" t="n"/>
      <c r="F51" s="17" t="n"/>
      <c r="G51" s="13" t="n"/>
      <c r="H51" s="18" t="n"/>
    </row>
    <row r="52">
      <c r="A52" s="16" t="inlineStr">
        <is>
          <t>EVD-048</t>
        </is>
      </c>
      <c r="B52" s="13" t="n"/>
      <c r="C52" s="13" t="n"/>
      <c r="D52" s="13" t="n"/>
      <c r="E52" s="13" t="n"/>
      <c r="F52" s="17" t="n"/>
      <c r="G52" s="13" t="n"/>
      <c r="H52" s="18" t="n"/>
    </row>
    <row r="53">
      <c r="A53" s="16" t="inlineStr">
        <is>
          <t>EVD-049</t>
        </is>
      </c>
      <c r="B53" s="13" t="n"/>
      <c r="C53" s="13" t="n"/>
      <c r="D53" s="13" t="n"/>
      <c r="E53" s="13" t="n"/>
      <c r="F53" s="17" t="n"/>
      <c r="G53" s="13" t="n"/>
      <c r="H53" s="18" t="n"/>
    </row>
    <row r="54">
      <c r="A54" s="16" t="inlineStr">
        <is>
          <t>EVD-050</t>
        </is>
      </c>
      <c r="B54" s="13" t="n"/>
      <c r="C54" s="13" t="n"/>
      <c r="D54" s="13" t="n"/>
      <c r="E54" s="13" t="n"/>
      <c r="F54" s="17" t="n"/>
      <c r="G54" s="13" t="n"/>
      <c r="H54" s="18" t="n"/>
    </row>
    <row r="55">
      <c r="A55" s="16" t="inlineStr">
        <is>
          <t>EVD-051</t>
        </is>
      </c>
      <c r="B55" s="13" t="n"/>
      <c r="C55" s="13" t="n"/>
      <c r="D55" s="13" t="n"/>
      <c r="E55" s="13" t="n"/>
      <c r="F55" s="17" t="n"/>
      <c r="G55" s="13" t="n"/>
      <c r="H55" s="18" t="n"/>
    </row>
    <row r="56">
      <c r="A56" s="16" t="inlineStr">
        <is>
          <t>EVD-052</t>
        </is>
      </c>
      <c r="B56" s="13" t="n"/>
      <c r="C56" s="13" t="n"/>
      <c r="D56" s="13" t="n"/>
      <c r="E56" s="13" t="n"/>
      <c r="F56" s="17" t="n"/>
      <c r="G56" s="13" t="n"/>
      <c r="H56" s="18" t="n"/>
    </row>
    <row r="57">
      <c r="A57" s="16" t="inlineStr">
        <is>
          <t>EVD-053</t>
        </is>
      </c>
      <c r="B57" s="13" t="n"/>
      <c r="C57" s="13" t="n"/>
      <c r="D57" s="13" t="n"/>
      <c r="E57" s="13" t="n"/>
      <c r="F57" s="17" t="n"/>
      <c r="G57" s="13" t="n"/>
      <c r="H57" s="18" t="n"/>
    </row>
    <row r="58">
      <c r="A58" s="16" t="inlineStr">
        <is>
          <t>EVD-054</t>
        </is>
      </c>
      <c r="B58" s="13" t="n"/>
      <c r="C58" s="13" t="n"/>
      <c r="D58" s="13" t="n"/>
      <c r="E58" s="13" t="n"/>
      <c r="F58" s="17" t="n"/>
      <c r="G58" s="13" t="n"/>
      <c r="H58" s="18" t="n"/>
    </row>
    <row r="59">
      <c r="A59" s="16" t="inlineStr">
        <is>
          <t>EVD-055</t>
        </is>
      </c>
      <c r="B59" s="13" t="n"/>
      <c r="C59" s="13" t="n"/>
      <c r="D59" s="13" t="n"/>
      <c r="E59" s="13" t="n"/>
      <c r="F59" s="17" t="n"/>
      <c r="G59" s="13" t="n"/>
      <c r="H59" s="18" t="n"/>
    </row>
    <row r="60">
      <c r="A60" s="16" t="inlineStr">
        <is>
          <t>EVD-056</t>
        </is>
      </c>
      <c r="B60" s="13" t="n"/>
      <c r="C60" s="13" t="n"/>
      <c r="D60" s="13" t="n"/>
      <c r="E60" s="13" t="n"/>
      <c r="F60" s="17" t="n"/>
      <c r="G60" s="13" t="n"/>
      <c r="H60" s="18" t="n"/>
    </row>
    <row r="61">
      <c r="A61" s="16" t="inlineStr">
        <is>
          <t>EVD-057</t>
        </is>
      </c>
      <c r="B61" s="13" t="n"/>
      <c r="C61" s="13" t="n"/>
      <c r="D61" s="13" t="n"/>
      <c r="E61" s="13" t="n"/>
      <c r="F61" s="17" t="n"/>
      <c r="G61" s="13" t="n"/>
      <c r="H61" s="18" t="n"/>
    </row>
    <row r="62">
      <c r="A62" s="16" t="inlineStr">
        <is>
          <t>EVD-058</t>
        </is>
      </c>
      <c r="B62" s="13" t="n"/>
      <c r="C62" s="13" t="n"/>
      <c r="D62" s="13" t="n"/>
      <c r="E62" s="13" t="n"/>
      <c r="F62" s="17" t="n"/>
      <c r="G62" s="13" t="n"/>
      <c r="H62" s="18" t="n"/>
    </row>
    <row r="63">
      <c r="A63" s="16" t="inlineStr">
        <is>
          <t>EVD-059</t>
        </is>
      </c>
      <c r="B63" s="13" t="n"/>
      <c r="C63" s="13" t="n"/>
      <c r="D63" s="13" t="n"/>
      <c r="E63" s="13" t="n"/>
      <c r="F63" s="17" t="n"/>
      <c r="G63" s="13" t="n"/>
      <c r="H63" s="18" t="n"/>
    </row>
    <row r="64">
      <c r="A64" s="16" t="inlineStr">
        <is>
          <t>EVD-060</t>
        </is>
      </c>
      <c r="B64" s="13" t="n"/>
      <c r="C64" s="13" t="n"/>
      <c r="D64" s="13" t="n"/>
      <c r="E64" s="13" t="n"/>
      <c r="F64" s="17" t="n"/>
      <c r="G64" s="13" t="n"/>
      <c r="H64" s="18" t="n"/>
    </row>
    <row r="65">
      <c r="A65" s="16" t="inlineStr">
        <is>
          <t>EVD-061</t>
        </is>
      </c>
      <c r="B65" s="13" t="n"/>
      <c r="C65" s="13" t="n"/>
      <c r="D65" s="13" t="n"/>
      <c r="E65" s="13" t="n"/>
      <c r="F65" s="17" t="n"/>
      <c r="G65" s="13" t="n"/>
      <c r="H65" s="18" t="n"/>
    </row>
    <row r="66">
      <c r="A66" s="16" t="inlineStr">
        <is>
          <t>EVD-062</t>
        </is>
      </c>
      <c r="B66" s="13" t="n"/>
      <c r="C66" s="13" t="n"/>
      <c r="D66" s="13" t="n"/>
      <c r="E66" s="13" t="n"/>
      <c r="F66" s="17" t="n"/>
      <c r="G66" s="13" t="n"/>
      <c r="H66" s="18" t="n"/>
    </row>
    <row r="67">
      <c r="A67" s="16" t="inlineStr">
        <is>
          <t>EVD-063</t>
        </is>
      </c>
      <c r="B67" s="13" t="n"/>
      <c r="C67" s="13" t="n"/>
      <c r="D67" s="13" t="n"/>
      <c r="E67" s="13" t="n"/>
      <c r="F67" s="17" t="n"/>
      <c r="G67" s="13" t="n"/>
      <c r="H67" s="18" t="n"/>
    </row>
    <row r="68">
      <c r="A68" s="16" t="inlineStr">
        <is>
          <t>EVD-064</t>
        </is>
      </c>
      <c r="B68" s="13" t="n"/>
      <c r="C68" s="13" t="n"/>
      <c r="D68" s="13" t="n"/>
      <c r="E68" s="13" t="n"/>
      <c r="F68" s="17" t="n"/>
      <c r="G68" s="13" t="n"/>
      <c r="H68" s="18" t="n"/>
    </row>
    <row r="69">
      <c r="A69" s="16" t="inlineStr">
        <is>
          <t>EVD-065</t>
        </is>
      </c>
      <c r="B69" s="13" t="n"/>
      <c r="C69" s="13" t="n"/>
      <c r="D69" s="13" t="n"/>
      <c r="E69" s="13" t="n"/>
      <c r="F69" s="17" t="n"/>
      <c r="G69" s="13" t="n"/>
      <c r="H69" s="18" t="n"/>
    </row>
    <row r="70">
      <c r="A70" s="16" t="inlineStr">
        <is>
          <t>EVD-066</t>
        </is>
      </c>
      <c r="B70" s="13" t="n"/>
      <c r="C70" s="13" t="n"/>
      <c r="D70" s="13" t="n"/>
      <c r="E70" s="13" t="n"/>
      <c r="F70" s="17" t="n"/>
      <c r="G70" s="13" t="n"/>
      <c r="H70" s="18" t="n"/>
    </row>
    <row r="71">
      <c r="A71" s="16" t="inlineStr">
        <is>
          <t>EVD-067</t>
        </is>
      </c>
      <c r="B71" s="13" t="n"/>
      <c r="C71" s="13" t="n"/>
      <c r="D71" s="13" t="n"/>
      <c r="E71" s="13" t="n"/>
      <c r="F71" s="17" t="n"/>
      <c r="G71" s="13" t="n"/>
      <c r="H71" s="18" t="n"/>
    </row>
    <row r="72">
      <c r="A72" s="16" t="inlineStr">
        <is>
          <t>EVD-068</t>
        </is>
      </c>
      <c r="B72" s="13" t="n"/>
      <c r="C72" s="13" t="n"/>
      <c r="D72" s="13" t="n"/>
      <c r="E72" s="13" t="n"/>
      <c r="F72" s="17" t="n"/>
      <c r="G72" s="13" t="n"/>
      <c r="H72" s="18" t="n"/>
    </row>
    <row r="73">
      <c r="A73" s="16" t="inlineStr">
        <is>
          <t>EVD-069</t>
        </is>
      </c>
      <c r="B73" s="13" t="n"/>
      <c r="C73" s="13" t="n"/>
      <c r="D73" s="13" t="n"/>
      <c r="E73" s="13" t="n"/>
      <c r="F73" s="17" t="n"/>
      <c r="G73" s="13" t="n"/>
      <c r="H73" s="18" t="n"/>
    </row>
    <row r="74">
      <c r="A74" s="16" t="inlineStr">
        <is>
          <t>EVD-070</t>
        </is>
      </c>
      <c r="B74" s="13" t="n"/>
      <c r="C74" s="13" t="n"/>
      <c r="D74" s="13" t="n"/>
      <c r="E74" s="13" t="n"/>
      <c r="F74" s="17" t="n"/>
      <c r="G74" s="13" t="n"/>
      <c r="H74" s="18" t="n"/>
    </row>
    <row r="75">
      <c r="A75" s="16" t="inlineStr">
        <is>
          <t>EVD-071</t>
        </is>
      </c>
      <c r="B75" s="13" t="n"/>
      <c r="C75" s="13" t="n"/>
      <c r="D75" s="13" t="n"/>
      <c r="E75" s="13" t="n"/>
      <c r="F75" s="17" t="n"/>
      <c r="G75" s="13" t="n"/>
      <c r="H75" s="18" t="n"/>
    </row>
    <row r="76">
      <c r="A76" s="16" t="inlineStr">
        <is>
          <t>EVD-072</t>
        </is>
      </c>
      <c r="B76" s="13" t="n"/>
      <c r="C76" s="13" t="n"/>
      <c r="D76" s="13" t="n"/>
      <c r="E76" s="13" t="n"/>
      <c r="F76" s="17" t="n"/>
      <c r="G76" s="13" t="n"/>
      <c r="H76" s="18" t="n"/>
    </row>
    <row r="77">
      <c r="A77" s="16" t="inlineStr">
        <is>
          <t>EVD-073</t>
        </is>
      </c>
      <c r="B77" s="13" t="n"/>
      <c r="C77" s="13" t="n"/>
      <c r="D77" s="13" t="n"/>
      <c r="E77" s="13" t="n"/>
      <c r="F77" s="17" t="n"/>
      <c r="G77" s="13" t="n"/>
      <c r="H77" s="18" t="n"/>
    </row>
    <row r="78">
      <c r="A78" s="16" t="inlineStr">
        <is>
          <t>EVD-074</t>
        </is>
      </c>
      <c r="B78" s="13" t="n"/>
      <c r="C78" s="13" t="n"/>
      <c r="D78" s="13" t="n"/>
      <c r="E78" s="13" t="n"/>
      <c r="F78" s="17" t="n"/>
      <c r="G78" s="13" t="n"/>
      <c r="H78" s="18" t="n"/>
    </row>
    <row r="79">
      <c r="A79" s="16" t="inlineStr">
        <is>
          <t>EVD-075</t>
        </is>
      </c>
      <c r="B79" s="13" t="n"/>
      <c r="C79" s="13" t="n"/>
      <c r="D79" s="13" t="n"/>
      <c r="E79" s="13" t="n"/>
      <c r="F79" s="17" t="n"/>
      <c r="G79" s="13" t="n"/>
      <c r="H79" s="18" t="n"/>
    </row>
    <row r="80">
      <c r="A80" s="16" t="inlineStr">
        <is>
          <t>EVD-076</t>
        </is>
      </c>
      <c r="B80" s="13" t="n"/>
      <c r="C80" s="13" t="n"/>
      <c r="D80" s="13" t="n"/>
      <c r="E80" s="13" t="n"/>
      <c r="F80" s="17" t="n"/>
      <c r="G80" s="13" t="n"/>
      <c r="H80" s="18" t="n"/>
    </row>
    <row r="81">
      <c r="A81" s="16" t="inlineStr">
        <is>
          <t>EVD-077</t>
        </is>
      </c>
      <c r="B81" s="13" t="n"/>
      <c r="C81" s="13" t="n"/>
      <c r="D81" s="13" t="n"/>
      <c r="E81" s="13" t="n"/>
      <c r="F81" s="17" t="n"/>
      <c r="G81" s="13" t="n"/>
      <c r="H81" s="18" t="n"/>
    </row>
    <row r="82">
      <c r="A82" s="16" t="inlineStr">
        <is>
          <t>EVD-078</t>
        </is>
      </c>
      <c r="B82" s="13" t="n"/>
      <c r="C82" s="13" t="n"/>
      <c r="D82" s="13" t="n"/>
      <c r="E82" s="13" t="n"/>
      <c r="F82" s="17" t="n"/>
      <c r="G82" s="13" t="n"/>
      <c r="H82" s="18" t="n"/>
    </row>
    <row r="83">
      <c r="A83" s="16" t="inlineStr">
        <is>
          <t>EVD-079</t>
        </is>
      </c>
      <c r="B83" s="13" t="n"/>
      <c r="C83" s="13" t="n"/>
      <c r="D83" s="13" t="n"/>
      <c r="E83" s="13" t="n"/>
      <c r="F83" s="17" t="n"/>
      <c r="G83" s="13" t="n"/>
      <c r="H83" s="18" t="n"/>
    </row>
    <row r="84">
      <c r="A84" s="16" t="inlineStr">
        <is>
          <t>EVD-080</t>
        </is>
      </c>
      <c r="B84" s="13" t="n"/>
      <c r="C84" s="13" t="n"/>
      <c r="D84" s="13" t="n"/>
      <c r="E84" s="13" t="n"/>
      <c r="F84" s="17" t="n"/>
      <c r="G84" s="13" t="n"/>
      <c r="H84" s="18" t="n"/>
    </row>
    <row r="85">
      <c r="A85" s="16" t="inlineStr">
        <is>
          <t>EVD-081</t>
        </is>
      </c>
      <c r="B85" s="13" t="n"/>
      <c r="C85" s="13" t="n"/>
      <c r="D85" s="13" t="n"/>
      <c r="E85" s="13" t="n"/>
      <c r="F85" s="17" t="n"/>
      <c r="G85" s="13" t="n"/>
      <c r="H85" s="18" t="n"/>
    </row>
    <row r="86">
      <c r="A86" s="16" t="inlineStr">
        <is>
          <t>EVD-082</t>
        </is>
      </c>
      <c r="B86" s="13" t="n"/>
      <c r="C86" s="13" t="n"/>
      <c r="D86" s="13" t="n"/>
      <c r="E86" s="13" t="n"/>
      <c r="F86" s="17" t="n"/>
      <c r="G86" s="13" t="n"/>
      <c r="H86" s="18" t="n"/>
    </row>
    <row r="87">
      <c r="A87" s="16" t="inlineStr">
        <is>
          <t>EVD-083</t>
        </is>
      </c>
      <c r="B87" s="13" t="n"/>
      <c r="C87" s="13" t="n"/>
      <c r="D87" s="13" t="n"/>
      <c r="E87" s="13" t="n"/>
      <c r="F87" s="17" t="n"/>
      <c r="G87" s="13" t="n"/>
      <c r="H87" s="18" t="n"/>
    </row>
    <row r="88">
      <c r="A88" s="16" t="inlineStr">
        <is>
          <t>EVD-084</t>
        </is>
      </c>
      <c r="B88" s="13" t="n"/>
      <c r="C88" s="13" t="n"/>
      <c r="D88" s="13" t="n"/>
      <c r="E88" s="13" t="n"/>
      <c r="F88" s="17" t="n"/>
      <c r="G88" s="13" t="n"/>
      <c r="H88" s="18" t="n"/>
    </row>
    <row r="89">
      <c r="A89" s="16" t="inlineStr">
        <is>
          <t>EVD-085</t>
        </is>
      </c>
      <c r="B89" s="13" t="n"/>
      <c r="C89" s="13" t="n"/>
      <c r="D89" s="13" t="n"/>
      <c r="E89" s="13" t="n"/>
      <c r="F89" s="17" t="n"/>
      <c r="G89" s="13" t="n"/>
      <c r="H89" s="18" t="n"/>
    </row>
    <row r="90">
      <c r="A90" s="16" t="inlineStr">
        <is>
          <t>EVD-086</t>
        </is>
      </c>
      <c r="B90" s="13" t="n"/>
      <c r="C90" s="13" t="n"/>
      <c r="D90" s="13" t="n"/>
      <c r="E90" s="13" t="n"/>
      <c r="F90" s="17" t="n"/>
      <c r="G90" s="13" t="n"/>
      <c r="H90" s="18" t="n"/>
    </row>
    <row r="91">
      <c r="A91" s="16" t="inlineStr">
        <is>
          <t>EVD-087</t>
        </is>
      </c>
      <c r="B91" s="13" t="n"/>
      <c r="C91" s="13" t="n"/>
      <c r="D91" s="13" t="n"/>
      <c r="E91" s="13" t="n"/>
      <c r="F91" s="17" t="n"/>
      <c r="G91" s="13" t="n"/>
      <c r="H91" s="18" t="n"/>
    </row>
    <row r="92">
      <c r="A92" s="16" t="inlineStr">
        <is>
          <t>EVD-088</t>
        </is>
      </c>
      <c r="B92" s="13" t="n"/>
      <c r="C92" s="13" t="n"/>
      <c r="D92" s="13" t="n"/>
      <c r="E92" s="13" t="n"/>
      <c r="F92" s="17" t="n"/>
      <c r="G92" s="13" t="n"/>
      <c r="H92" s="18" t="n"/>
    </row>
    <row r="93">
      <c r="A93" s="16" t="inlineStr">
        <is>
          <t>EVD-089</t>
        </is>
      </c>
      <c r="B93" s="13" t="n"/>
      <c r="C93" s="13" t="n"/>
      <c r="D93" s="13" t="n"/>
      <c r="E93" s="13" t="n"/>
      <c r="F93" s="17" t="n"/>
      <c r="G93" s="13" t="n"/>
      <c r="H93" s="18" t="n"/>
    </row>
    <row r="94">
      <c r="A94" s="16" t="inlineStr">
        <is>
          <t>EVD-090</t>
        </is>
      </c>
      <c r="B94" s="13" t="n"/>
      <c r="C94" s="13" t="n"/>
      <c r="D94" s="13" t="n"/>
      <c r="E94" s="13" t="n"/>
      <c r="F94" s="17" t="n"/>
      <c r="G94" s="13" t="n"/>
      <c r="H94" s="18" t="n"/>
    </row>
    <row r="95">
      <c r="A95" s="16" t="inlineStr">
        <is>
          <t>EVD-091</t>
        </is>
      </c>
      <c r="B95" s="13" t="n"/>
      <c r="C95" s="13" t="n"/>
      <c r="D95" s="13" t="n"/>
      <c r="E95" s="13" t="n"/>
      <c r="F95" s="17" t="n"/>
      <c r="G95" s="13" t="n"/>
      <c r="H95" s="18" t="n"/>
    </row>
    <row r="96">
      <c r="A96" s="16" t="inlineStr">
        <is>
          <t>EVD-092</t>
        </is>
      </c>
      <c r="B96" s="13" t="n"/>
      <c r="C96" s="13" t="n"/>
      <c r="D96" s="13" t="n"/>
      <c r="E96" s="13" t="n"/>
      <c r="F96" s="17" t="n"/>
      <c r="G96" s="13" t="n"/>
      <c r="H96" s="18" t="n"/>
    </row>
    <row r="97">
      <c r="A97" s="16" t="inlineStr">
        <is>
          <t>EVD-093</t>
        </is>
      </c>
      <c r="B97" s="13" t="n"/>
      <c r="C97" s="13" t="n"/>
      <c r="D97" s="13" t="n"/>
      <c r="E97" s="13" t="n"/>
      <c r="F97" s="17" t="n"/>
      <c r="G97" s="13" t="n"/>
      <c r="H97" s="18" t="n"/>
    </row>
    <row r="98">
      <c r="A98" s="16" t="inlineStr">
        <is>
          <t>EVD-094</t>
        </is>
      </c>
      <c r="B98" s="13" t="n"/>
      <c r="C98" s="13" t="n"/>
      <c r="D98" s="13" t="n"/>
      <c r="E98" s="13" t="n"/>
      <c r="F98" s="17" t="n"/>
      <c r="G98" s="13" t="n"/>
      <c r="H98" s="18" t="n"/>
    </row>
    <row r="99">
      <c r="A99" s="16" t="inlineStr">
        <is>
          <t>EVD-095</t>
        </is>
      </c>
      <c r="B99" s="13" t="n"/>
      <c r="C99" s="13" t="n"/>
      <c r="D99" s="13" t="n"/>
      <c r="E99" s="13" t="n"/>
      <c r="F99" s="17" t="n"/>
      <c r="G99" s="13" t="n"/>
      <c r="H99" s="18" t="n"/>
    </row>
    <row r="100">
      <c r="A100" s="16" t="inlineStr">
        <is>
          <t>EVD-096</t>
        </is>
      </c>
      <c r="B100" s="13" t="n"/>
      <c r="C100" s="13" t="n"/>
      <c r="D100" s="13" t="n"/>
      <c r="E100" s="13" t="n"/>
      <c r="F100" s="17" t="n"/>
      <c r="G100" s="13" t="n"/>
      <c r="H100" s="18" t="n"/>
    </row>
    <row r="101">
      <c r="A101" s="16" t="inlineStr">
        <is>
          <t>EVD-097</t>
        </is>
      </c>
      <c r="B101" s="13" t="n"/>
      <c r="C101" s="13" t="n"/>
      <c r="D101" s="13" t="n"/>
      <c r="E101" s="13" t="n"/>
      <c r="F101" s="17" t="n"/>
      <c r="G101" s="13" t="n"/>
      <c r="H101" s="18" t="n"/>
    </row>
    <row r="102">
      <c r="A102" s="16" t="inlineStr">
        <is>
          <t>EVD-098</t>
        </is>
      </c>
      <c r="B102" s="13" t="n"/>
      <c r="C102" s="13" t="n"/>
      <c r="D102" s="13" t="n"/>
      <c r="E102" s="13" t="n"/>
      <c r="F102" s="17" t="n"/>
      <c r="G102" s="13" t="n"/>
      <c r="H102" s="18" t="n"/>
    </row>
    <row r="103">
      <c r="A103" s="16" t="inlineStr">
        <is>
          <t>EVD-099</t>
        </is>
      </c>
      <c r="B103" s="13" t="n"/>
      <c r="C103" s="13" t="n"/>
      <c r="D103" s="13" t="n"/>
      <c r="E103" s="13" t="n"/>
      <c r="F103" s="17" t="n"/>
      <c r="G103" s="13" t="n"/>
      <c r="H103" s="18" t="n"/>
    </row>
    <row r="104">
      <c r="A104" s="16" t="inlineStr">
        <is>
          <t>EVD-100</t>
        </is>
      </c>
      <c r="B104" s="13" t="n"/>
      <c r="C104" s="13" t="n"/>
      <c r="D104" s="13" t="n"/>
      <c r="E104" s="13" t="n"/>
      <c r="F104" s="17" t="n"/>
      <c r="G104" s="13" t="n"/>
      <c r="H104" s="18"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"Config File,Screenshot,Report,Log File,Test Result,Architecture Diagram,Policy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workbookViewId="0">
      <pane ySplit="2" topLeftCell="A3" activePane="bottomLeft" state="frozen"/>
      <selection pane="bottomLeft" activeCell="A1" sqref="A1"/>
    </sheetView>
  </sheetViews>
  <sheetFormatPr baseColWidth="8" defaultRowHeight="15"/>
  <cols>
    <col width="30" customWidth="1" min="1" max="1"/>
    <col width="22" customWidth="1" min="2" max="2"/>
    <col width="22" customWidth="1" min="3" max="3"/>
    <col width="22" customWidth="1" min="4" max="4"/>
    <col width="22" customWidth="1" min="5" max="5"/>
  </cols>
  <sheetData>
    <row r="1" ht="30" customHeight="1">
      <c r="A1" s="1" t="inlineStr">
        <is>
          <t>ASSESSMENT APPROVAL &amp; SIGN-OFF</t>
        </is>
      </c>
    </row>
    <row r="3">
      <c r="A3" s="3" t="inlineStr">
        <is>
          <t>ASSESSMENT SUMMARY</t>
        </is>
      </c>
    </row>
    <row r="4">
      <c r="A4" s="2" t="inlineStr">
        <is>
          <t>Assessment Document:</t>
        </is>
      </c>
      <c r="B4" t="inlineStr">
        <is>
          <t>Redundancy Analysis &amp; SPOF Assessment</t>
        </is>
      </c>
    </row>
    <row r="5">
      <c r="A5" s="2" t="inlineStr">
        <is>
          <t>Assessment ID:</t>
        </is>
      </c>
      <c r="B5" t="inlineStr">
        <is>
          <t>ISMS-IMP-A.8.13.2</t>
        </is>
      </c>
    </row>
    <row r="6">
      <c r="A6" s="2" t="inlineStr">
        <is>
          <t>ISO 27001:2022 Control:</t>
        </is>
      </c>
      <c r="B6" t="inlineStr">
        <is>
          <t>A.8.13 (Information Backup)</t>
        </is>
      </c>
    </row>
    <row r="7">
      <c r="A7" s="2" t="inlineStr">
        <is>
          <t>Assessment Period:</t>
        </is>
      </c>
      <c r="B7" s="19" t="inlineStr">
        <is>
          <t>[USER INPUT]</t>
        </is>
      </c>
    </row>
    <row r="8">
      <c r="A8" s="2" t="inlineStr">
        <is>
          <t>Redundancy Coverage:</t>
        </is>
      </c>
      <c r="B8" s="20">
        <f>Summary!B7</f>
        <v/>
      </c>
    </row>
    <row r="9">
      <c r="A9" s="2" t="inlineStr">
        <is>
          <t>SPOF Mitigation Rate:</t>
        </is>
      </c>
      <c r="B9" s="20">
        <f>Summary!B18</f>
        <v/>
      </c>
    </row>
    <row r="10">
      <c r="A10" s="2" t="inlineStr">
        <is>
          <t>RTO Compliance Rate:</t>
        </is>
      </c>
      <c r="B10" s="20">
        <f>Summary!B26</f>
        <v/>
      </c>
    </row>
    <row r="11">
      <c r="A11" s="2" t="inlineStr">
        <is>
          <t>Critical Open SPOFs:</t>
        </is>
      </c>
      <c r="B11">
        <f>Summary!B17</f>
        <v/>
      </c>
    </row>
    <row r="12">
      <c r="A12" s="2" t="inlineStr">
        <is>
          <t>Evidence Items:</t>
        </is>
      </c>
      <c r="B12">
        <f>COUNTA(Evidence_Register!A5:A104)</f>
        <v/>
      </c>
    </row>
    <row r="13">
      <c r="A13" s="2" t="inlineStr">
        <is>
          <t>Assessment Status:</t>
        </is>
      </c>
      <c r="B13" s="19" t="inlineStr">
        <is>
          <t>[SELECT]</t>
        </is>
      </c>
    </row>
    <row r="16">
      <c r="A16" s="3" t="inlineStr">
        <is>
          <t>LEVEL 1: ASSESSMENT COMPLETED BY</t>
        </is>
      </c>
    </row>
    <row r="17">
      <c r="A17" s="2" t="inlineStr">
        <is>
          <t>Name:</t>
        </is>
      </c>
      <c r="B17" s="19" t="n"/>
    </row>
    <row r="18">
      <c r="A18" s="2" t="inlineStr">
        <is>
          <t>Role:</t>
        </is>
      </c>
      <c r="B18" s="19" t="n"/>
    </row>
    <row r="19">
      <c r="A19" s="2" t="inlineStr">
        <is>
          <t>Date:</t>
        </is>
      </c>
      <c r="B19" s="21">
        <f>TODAY()</f>
        <v/>
      </c>
    </row>
    <row r="20">
      <c r="A20" s="2" t="inlineStr">
        <is>
          <t>Signature:</t>
        </is>
      </c>
      <c r="B20" s="19" t="n"/>
    </row>
    <row r="22">
      <c r="A22" s="3" t="inlineStr">
        <is>
          <t>LEVEL 2: REVIEWED BY (ISO)</t>
        </is>
      </c>
    </row>
    <row r="23">
      <c r="A23" s="2" t="inlineStr">
        <is>
          <t>Name:</t>
        </is>
      </c>
      <c r="B23" s="19" t="n"/>
    </row>
    <row r="24">
      <c r="A24" s="2" t="inlineStr">
        <is>
          <t>Date:</t>
        </is>
      </c>
      <c r="B24" s="21" t="n"/>
    </row>
    <row r="25">
      <c r="A25" s="2" t="inlineStr">
        <is>
          <t>Recommendation:</t>
        </is>
      </c>
      <c r="B25" s="19" t="n"/>
    </row>
    <row r="27">
      <c r="A27" s="22" t="inlineStr">
        <is>
          <t>LEVEL 3: APPROVED BY (CISO)</t>
        </is>
      </c>
    </row>
    <row r="28">
      <c r="A28" s="2" t="inlineStr">
        <is>
          <t>Name:</t>
        </is>
      </c>
      <c r="B28" s="19" t="n"/>
    </row>
    <row r="29">
      <c r="A29" s="2" t="inlineStr">
        <is>
          <t>Date:</t>
        </is>
      </c>
      <c r="B29" s="21" t="n"/>
    </row>
    <row r="30">
      <c r="A30" s="2" t="inlineStr">
        <is>
          <t>Decision:</t>
        </is>
      </c>
      <c r="B30" s="19" t="n"/>
    </row>
    <row r="32">
      <c r="A32" s="3" t="inlineStr">
        <is>
          <t>NEXT REVIEW</t>
        </is>
      </c>
    </row>
    <row r="33">
      <c r="A33" t="inlineStr">
        <is>
          <t>Next Review Date:</t>
        </is>
      </c>
      <c r="B33" s="23">
        <f>TODAY()+90</f>
        <v/>
      </c>
    </row>
  </sheetData>
  <mergeCells count="27">
    <mergeCell ref="B9:E9"/>
    <mergeCell ref="B6:E6"/>
    <mergeCell ref="B30:E30"/>
    <mergeCell ref="B33:E33"/>
    <mergeCell ref="A1:E1"/>
    <mergeCell ref="B24:E24"/>
    <mergeCell ref="B5:E5"/>
    <mergeCell ref="B20:E20"/>
    <mergeCell ref="B4:E4"/>
    <mergeCell ref="A16:E16"/>
    <mergeCell ref="B7:E7"/>
    <mergeCell ref="B25:E25"/>
    <mergeCell ref="A27:E27"/>
    <mergeCell ref="A3:E3"/>
    <mergeCell ref="B18:E18"/>
    <mergeCell ref="B12:E12"/>
    <mergeCell ref="B11:E11"/>
    <mergeCell ref="A32:E32"/>
    <mergeCell ref="A22:E22"/>
    <mergeCell ref="B17:E17"/>
    <mergeCell ref="B23:E23"/>
    <mergeCell ref="B8:E8"/>
    <mergeCell ref="B13:E13"/>
    <mergeCell ref="B29:E29"/>
    <mergeCell ref="B19:E19"/>
    <mergeCell ref="B10:E10"/>
    <mergeCell ref="B28:E28"/>
  </mergeCells>
  <dataValidations count="3">
    <dataValidation sqref="B13" showDropDown="0" showInputMessage="0" showErrorMessage="0" allowBlank="0" type="list">
      <formula1>"Draft,Under Review,Final,Requires Remediation"</formula1>
    </dataValidation>
    <dataValidation sqref="B30" showDropDown="0" showInputMessage="0" showErrorMessage="0" allowBlank="0" type="list">
      <formula1>"Approved,Approved with Conditions,Rejected,Requires Rework"</formula1>
    </dataValidation>
    <dataValidation sqref="B25"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2026-01-31T02:18:30Z</dcterms:created>
  <dcterms:modified xmlns:dcterms="http://purl.org/dc/terms/" xmlns:xsi="http://www.w3.org/2001/XMLSchema-instance" xsi:type="dcterms:W3CDTF">2026-01-31T02:18:30Z</dcterms:modified>
</cp:coreProperties>
</file>