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_Inventory" sheetId="3" state="visible" r:id="rId3"/>
    <sheet xmlns:r="http://schemas.openxmlformats.org/officeDocument/2006/relationships" name="Capability_Assessment" sheetId="4" state="visible" r:id="rId4"/>
    <sheet xmlns:r="http://schemas.openxmlformats.org/officeDocument/2006/relationships" name="Compliance_Matrix" sheetId="5" state="visible" r:id="rId5"/>
    <sheet xmlns:r="http://schemas.openxmlformats.org/officeDocument/2006/relationships" name="Gap_Analysis" sheetId="6" state="visible" r:id="rId6"/>
    <sheet xmlns:r="http://schemas.openxmlformats.org/officeDocument/2006/relationships" name="Evidence_Register" sheetId="7" state="visible" r:id="rId7"/>
    <sheet xmlns:r="http://schemas.openxmlformats.org/officeDocument/2006/relationships" name="Approval_Sign_Off"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YYYY-MM-DD"/>
  </numFmts>
  <fonts count="18">
    <font>
      <name val="Calibri"/>
      <family val="2"/>
      <color theme="1"/>
      <sz val="11"/>
      <scheme val="minor"/>
    </font>
    <font>
      <name val="Calibri"/>
      <b val="1"/>
      <color rgb="00003366"/>
      <sz val="16"/>
    </font>
    <font>
      <b val="1"/>
    </font>
    <font>
      <name val="Calibri"/>
      <b val="1"/>
      <color rgb="00FFFFFF"/>
      <sz val="12"/>
    </font>
    <font>
      <name val="Calibri"/>
      <sz val="10"/>
    </font>
    <font>
      <name val="Calibri"/>
      <b val="1"/>
      <sz val="10"/>
    </font>
    <font>
      <name val="Calibri"/>
      <b val="1"/>
      <color rgb="00C00000"/>
      <sz val="10"/>
    </font>
    <font>
      <i val="1"/>
      <sz val="11"/>
    </font>
    <font>
      <b val="1"/>
      <sz val="12"/>
    </font>
    <font>
      <b val="1"/>
      <sz val="11"/>
    </font>
    <font>
      <b val="1"/>
      <color rgb="00C00000"/>
      <sz val="11"/>
    </font>
    <font>
      <name val="Calibri"/>
      <b val="1"/>
      <color rgb="00FFFFFF"/>
      <sz val="14"/>
    </font>
    <font>
      <i val="1"/>
      <color rgb="00666666"/>
      <sz val="10"/>
    </font>
    <font>
      <i val="1"/>
      <color rgb="00666666"/>
    </font>
    <font>
      <b val="1"/>
      <i val="1"/>
      <color rgb="00C00000"/>
      <sz val="10"/>
    </font>
    <font>
      <b val="1"/>
      <sz val="9"/>
    </font>
    <font>
      <b val="1"/>
      <color rgb="00C00000"/>
    </font>
    <font>
      <i val="1"/>
      <color rgb="00808080"/>
    </font>
  </fonts>
  <fills count="7">
    <fill>
      <patternFill/>
    </fill>
    <fill>
      <patternFill patternType="gray125"/>
    </fill>
    <fill>
      <patternFill patternType="solid">
        <fgColor rgb="004472C4"/>
        <bgColor rgb="004472C4"/>
      </patternFill>
    </fill>
    <fill>
      <patternFill patternType="solid">
        <fgColor rgb="00C00000"/>
        <bgColor rgb="00C00000"/>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xf>
    <xf numFmtId="0" fontId="4" fillId="0" borderId="0" applyAlignment="1" pivotButton="0" quotePrefix="0" xfId="0">
      <alignment wrapText="1"/>
    </xf>
    <xf numFmtId="0" fontId="4" fillId="0" borderId="0" pivotButton="0" quotePrefix="0" xfId="0"/>
    <xf numFmtId="0" fontId="5" fillId="0" borderId="0" pivotButton="0" quotePrefix="0" xfId="0"/>
    <xf numFmtId="0" fontId="6" fillId="0" borderId="0" applyAlignment="1" pivotButton="0" quotePrefix="0" xfId="0">
      <alignment wrapText="1"/>
    </xf>
    <xf numFmtId="0" fontId="6" fillId="0" borderId="0" pivotButton="0" quotePrefix="0" xfId="0"/>
    <xf numFmtId="0" fontId="0" fillId="0" borderId="0" applyAlignment="1" pivotButton="0" quotePrefix="0" xfId="0">
      <alignment horizontal="center"/>
    </xf>
    <xf numFmtId="0" fontId="3" fillId="3" borderId="0" applyAlignment="1" pivotButton="0" quotePrefix="0" xfId="0">
      <alignment horizontal="center"/>
    </xf>
    <xf numFmtId="0" fontId="7" fillId="0" borderId="0" applyAlignment="1" pivotButton="0" quotePrefix="0" xfId="0">
      <alignment horizontal="center"/>
    </xf>
    <xf numFmtId="0" fontId="8" fillId="0" borderId="0" pivotButton="0" quotePrefix="0" xfId="0"/>
    <xf numFmtId="164" fontId="8" fillId="0" borderId="0" pivotButton="0" quotePrefix="0" xfId="0"/>
    <xf numFmtId="0" fontId="9" fillId="0" borderId="0" pivotButton="0" quotePrefix="0" xfId="0"/>
    <xf numFmtId="164" fontId="9" fillId="0" borderId="0" pivotButton="0" quotePrefix="0" xfId="0"/>
    <xf numFmtId="165" fontId="9" fillId="0" borderId="0" pivotButton="0" quotePrefix="0" xfId="0"/>
    <xf numFmtId="0" fontId="10" fillId="0" borderId="0" pivotButton="0" quotePrefix="0" xfId="0"/>
    <xf numFmtId="0" fontId="11" fillId="4" borderId="0" applyAlignment="1" pivotButton="0" quotePrefix="0" xfId="0">
      <alignment horizontal="center" vertical="center"/>
    </xf>
    <xf numFmtId="0" fontId="5" fillId="5"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6" borderId="1" pivotButton="0" quotePrefix="0" xfId="0"/>
    <xf numFmtId="0" fontId="12" fillId="0" borderId="0" pivotButton="0" quotePrefix="0" xfId="0"/>
    <xf numFmtId="0" fontId="13" fillId="0" borderId="1" pivotButton="0" quotePrefix="0" xfId="0"/>
    <xf numFmtId="0" fontId="14" fillId="0" borderId="0" pivotButton="0" quotePrefix="0" xfId="0"/>
    <xf numFmtId="0" fontId="0" fillId="0" borderId="1" applyAlignment="1" pivotButton="0" quotePrefix="0" xfId="0">
      <alignment wrapText="1"/>
    </xf>
    <xf numFmtId="0" fontId="0" fillId="6" borderId="1" applyAlignment="1" pivotButton="0" quotePrefix="0" xfId="0">
      <alignment wrapText="1"/>
    </xf>
    <xf numFmtId="164" fontId="5" fillId="0" borderId="0" pivotButton="0" quotePrefix="0" xfId="0"/>
    <xf numFmtId="0" fontId="15" fillId="0" borderId="1" pivotButton="0" quotePrefix="0" xfId="0"/>
    <xf numFmtId="0" fontId="0" fillId="6" borderId="1" applyAlignment="1" pivotButton="0" quotePrefix="0" xfId="0">
      <alignment vertical="top" wrapText="1"/>
    </xf>
    <xf numFmtId="165" fontId="5" fillId="0" borderId="0" pivotButton="0" quotePrefix="0" xfId="0"/>
    <xf numFmtId="166" fontId="0" fillId="0" borderId="1" applyAlignment="1" pivotButton="0" quotePrefix="0" xfId="0">
      <alignment vertical="top" wrapText="1"/>
    </xf>
    <xf numFmtId="166" fontId="0" fillId="6" borderId="1" pivotButton="0" quotePrefix="0" xfId="0"/>
    <xf numFmtId="0" fontId="16" fillId="0" borderId="0" pivotButton="0" quotePrefix="0" xfId="0"/>
    <xf numFmtId="0" fontId="0" fillId="6" borderId="0" pivotButton="0" quotePrefix="0" xfId="0"/>
    <xf numFmtId="164" fontId="0" fillId="0" borderId="0" pivotButton="0" quotePrefix="0" xfId="0"/>
    <xf numFmtId="166" fontId="17" fillId="6" borderId="0" pivotButton="0" quotePrefix="0" xfId="0"/>
    <xf numFmtId="166" fontId="0" fillId="6" borderId="0" pivotButton="0" quotePrefix="0" xfId="0"/>
    <xf numFmtId="0" fontId="0" fillId="6" borderId="0" applyAlignment="1" pivotButton="0" quotePrefix="0" xfId="0">
      <alignment vertical="top" wrapText="1"/>
    </xf>
    <xf numFmtId="0" fontId="1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80" customWidth="1" min="1" max="1"/>
    <col width="50" customWidth="1" min="2" max="2"/>
    <col width="15" customWidth="1" min="3" max="3"/>
    <col width="15" customWidth="1" min="4" max="4"/>
    <col width="15" customWidth="1" min="5" max="5"/>
    <col width="15" customWidth="1" min="6" max="6"/>
  </cols>
  <sheetData>
    <row r="1" ht="35" customHeight="1">
      <c r="A1" s="1" t="inlineStr">
        <is>
          <t>ISMS BC/DR Assessment - RPO/RTO Compliance Matrix</t>
        </is>
      </c>
    </row>
    <row r="3">
      <c r="A3" s="2" t="inlineStr">
        <is>
          <t>Document ID:</t>
        </is>
      </c>
      <c r="B3" t="inlineStr">
        <is>
          <t>ISMS-IMP-A.8.13.3</t>
        </is>
      </c>
    </row>
    <row r="4">
      <c r="A4" s="2" t="inlineStr">
        <is>
          <t>Assessment:</t>
        </is>
      </c>
      <c r="B4" t="inlineStr">
        <is>
          <t>RPO/RTO Compliance Matrix</t>
        </is>
      </c>
    </row>
    <row r="5">
      <c r="A5" s="2" t="inlineStr">
        <is>
          <t>Version:</t>
        </is>
      </c>
      <c r="B5" t="inlineStr">
        <is>
          <t>1.0</t>
        </is>
      </c>
    </row>
    <row r="6">
      <c r="A6" s="2" t="inlineStr">
        <is>
          <t>Generated:</t>
        </is>
      </c>
      <c r="B6" t="inlineStr">
        <is>
          <t>31.01.2026 03:18</t>
        </is>
      </c>
    </row>
    <row r="8">
      <c r="A8" s="3" t="inlineStr">
        <is>
          <t>PURPOSE</t>
        </is>
      </c>
    </row>
    <row r="9">
      <c r="A9" s="4" t="inlineStr">
        <is>
          <t>This workbook aligns Business Impact Analysis (BIA) requirements with technical BC/DR capabilities to identify gaps.</t>
        </is>
      </c>
    </row>
    <row r="10">
      <c r="A10" s="4" t="inlineStr">
        <is>
          <t>Use this to ensure technical capabilities meet business requirements for RPO (Recovery Point Objective) and RTO (Recovery Time Objective).</t>
        </is>
      </c>
    </row>
    <row r="11">
      <c r="A11" s="4" t="inlineStr"/>
    </row>
    <row r="12">
      <c r="A12" s="4" t="inlineStr">
        <is>
          <t>KEY PRINCIPLE: Requirements come from business (BIA), capabilities come from testing (not assumptions).</t>
        </is>
      </c>
    </row>
    <row r="14">
      <c r="A14" s="3" t="inlineStr">
        <is>
          <t>ASSESSMENT WORKFLOW</t>
        </is>
      </c>
    </row>
    <row r="15">
      <c r="A15" s="5" t="inlineStr">
        <is>
          <t>1. Populate System_Inventory from BIA results (business RPO/RTO requirements)</t>
        </is>
      </c>
    </row>
    <row r="16">
      <c r="A16" s="5" t="inlineStr">
        <is>
          <t>2. Populate Capability_Assessment with TESTED technical capabilities</t>
        </is>
      </c>
    </row>
    <row r="17">
      <c r="A17" s="5" t="inlineStr">
        <is>
          <t>3. Review Compliance_Matrix (formulas automatically compare requirements vs capabilities)</t>
        </is>
      </c>
    </row>
    <row r="18">
      <c r="A18" s="5" t="inlineStr">
        <is>
          <t>4. Document identified gaps in Gap_Analysis with remediation plans</t>
        </is>
      </c>
    </row>
    <row r="19">
      <c r="A19" s="5" t="inlineStr">
        <is>
          <t>5. Collect evidence in Evidence_Register (MINIMUM 5 evidence items for audit)</t>
        </is>
      </c>
    </row>
    <row r="20">
      <c r="A20" s="5" t="inlineStr">
        <is>
          <t>6. Review Summary dashboard for overall compliance metrics</t>
        </is>
      </c>
    </row>
    <row r="21">
      <c r="A21" s="5" t="inlineStr">
        <is>
          <t>7. Complete Approval_Sign_Off workflow (3 levels: Assessor → ISO → CISO)</t>
        </is>
      </c>
    </row>
    <row r="22">
      <c r="A22" s="5" t="inlineStr">
        <is>
          <t>8. Re-assess quarterly to track improvement</t>
        </is>
      </c>
    </row>
    <row r="24">
      <c r="A24" s="3" t="inlineStr">
        <is>
          <t>WORKSHEET DESCRIPTIONS</t>
        </is>
      </c>
    </row>
    <row r="25">
      <c r="A25" s="6" t="inlineStr">
        <is>
          <t>Instructions:</t>
        </is>
      </c>
      <c r="B25" s="5" t="inlineStr">
        <is>
          <t>This sheet - comprehensive usage guide</t>
        </is>
      </c>
    </row>
    <row r="26">
      <c r="A26" s="6" t="inlineStr">
        <is>
          <t>Summary:</t>
        </is>
      </c>
      <c r="B26" s="5" t="inlineStr">
        <is>
          <t>Executive dashboard with compliance metrics and gap summary</t>
        </is>
      </c>
    </row>
    <row r="27">
      <c r="A27" s="6" t="inlineStr">
        <is>
          <t>System_Inventory:</t>
        </is>
      </c>
      <c r="B27" s="5" t="inlineStr">
        <is>
          <t>BIA results - business requirements (RPO/RTO from business impact)</t>
        </is>
      </c>
    </row>
    <row r="28">
      <c r="A28" s="6" t="inlineStr">
        <is>
          <t>Capability_Assessment:</t>
        </is>
      </c>
      <c r="B28" s="5" t="inlineStr">
        <is>
          <t>Technical capabilities - TESTED recovery times (not assumptions)</t>
        </is>
      </c>
    </row>
    <row r="29">
      <c r="A29" s="6" t="inlineStr">
        <is>
          <t>Compliance_Matrix:</t>
        </is>
      </c>
      <c r="B29" s="5" t="inlineStr">
        <is>
          <t>Automated comparison - requirement vs capability for each system</t>
        </is>
      </c>
    </row>
    <row r="30">
      <c r="A30" s="6" t="inlineStr">
        <is>
          <t>Gap_Analysis:</t>
        </is>
      </c>
      <c r="B30" s="5" t="inlineStr">
        <is>
          <t>Identified gaps with risk scoring and remediation tracking</t>
        </is>
      </c>
    </row>
    <row r="31">
      <c r="A31" s="6" t="inlineStr">
        <is>
          <t>Evidence_Register:</t>
        </is>
      </c>
      <c r="B31" s="5" t="inlineStr">
        <is>
          <t>100 evidence slots for audit traceability (minimum 5 required)</t>
        </is>
      </c>
    </row>
    <row r="32">
      <c r="A32" s="6" t="inlineStr">
        <is>
          <t>Approval_Sign_Off:</t>
        </is>
      </c>
      <c r="B32" s="5" t="inlineStr">
        <is>
          <t>3-level approval workflow (Assessor → ISO → CISO)</t>
        </is>
      </c>
    </row>
    <row r="34">
      <c r="A34" s="3" t="inlineStr">
        <is>
          <t>DATA ENTRY GUIDELINES</t>
        </is>
      </c>
    </row>
    <row r="35">
      <c r="A35" s="7" t="inlineStr">
        <is>
          <t>TIME FORMAT: All times in HOURS (e.g., 0.25 = 15 min, 0.5 = 30 min, 1 = 1 hour, 24 = 1 day, 168 = 1 week)</t>
        </is>
      </c>
    </row>
    <row r="36">
      <c r="A36" s="7" t="inlineStr">
        <is>
          <t>SYSTEM_INVENTORY: Data from Business Impact Analysis (BIA) - business requirements</t>
        </is>
      </c>
    </row>
    <row r="37">
      <c r="A37" s="7" t="inlineStr">
        <is>
          <t>CAPABILITY_ASSESSMENT: Data from TESTING - actual measured recovery times (restore tests, failover tests)</t>
        </is>
      </c>
    </row>
    <row r="38">
      <c r="A38" s="7" t="inlineStr">
        <is>
          <t>CRITICAL: Capabilities must be TESTED, not assumed - untested = "Unknown"</t>
        </is>
      </c>
    </row>
    <row r="39">
      <c r="A39" s="7" t="inlineStr">
        <is>
          <t>COMPLIANCE: Use dropdown lists where provided for consistent data entry</t>
        </is>
      </c>
    </row>
    <row r="40">
      <c r="A40" s="7" t="inlineStr">
        <is>
          <t>RPO COMPLIANCE: System is RPO compliant if Backup Frequency ≤ RPO Requirement</t>
        </is>
      </c>
    </row>
    <row r="41">
      <c r="A41" s="7" t="inlineStr">
        <is>
          <t>RTO COMPLIANCE: System is RTO compliant if Recovery Capability ≤ RTO Requirement</t>
        </is>
      </c>
    </row>
    <row r="42">
      <c r="A42" s="7" t="inlineStr">
        <is>
          <t>OVERALL COMPLIANCE: Both RPO AND RTO must be compliant for overall compliance</t>
        </is>
      </c>
    </row>
    <row r="44">
      <c r="A44" s="3" t="inlineStr">
        <is>
          <t>AUTOMATIC FORMULA LOGIC</t>
        </is>
      </c>
    </row>
    <row r="45">
      <c r="A45" s="5" t="inlineStr">
        <is>
          <t>RPO Capability = Backup Frequency (how often you backup determines your RPO)</t>
        </is>
      </c>
    </row>
    <row r="46">
      <c r="A46" s="5" t="inlineStr">
        <is>
          <t>RTO Capability = MIN(Restore Time, Failover Time) - whichever is faster</t>
        </is>
      </c>
    </row>
    <row r="47">
      <c r="A47" s="5" t="inlineStr">
        <is>
          <t>RPO Compliance = f"{CHECK} Compliant" if RPO Capability ≤ RPO Requirement, else f"{XMARK} Non-Compliant"</t>
        </is>
      </c>
    </row>
    <row r="48">
      <c r="A48" s="5" t="inlineStr">
        <is>
          <t>RTO Compliance = f"{CHECK} Compliant" if RTO Capability ≤ RTO Requirement, else f"{XMARK} Non-Compliant"</t>
        </is>
      </c>
    </row>
    <row r="49">
      <c r="A49" s="5" t="inlineStr">
        <is>
          <t>Overall Compliance = f"{CHECK} Full Compliance" if both RPO &amp; RTO compliant</t>
        </is>
      </c>
    </row>
    <row r="50">
      <c r="A50" s="5" t="inlineStr">
        <is>
          <t>Priority = "🔴 Critical" if Tier 1 system AND non-compliant (requires immediate attention)</t>
        </is>
      </c>
    </row>
    <row r="51">
      <c r="A51" s="5" t="inlineStr">
        <is>
          <t>Risk Score = Criticality Weight × Gap Severity (high score = high risk)</t>
        </is>
      </c>
    </row>
    <row r="53">
      <c r="A53" s="3" t="inlineStr">
        <is>
          <t>EVIDENCE COLLECTION REQUIREMENTS</t>
        </is>
      </c>
    </row>
    <row r="54">
      <c r="A54" s="8" t="inlineStr">
        <is>
          <t>✅ MINIMUM 5 EVIDENCE ITEMS REQUIRED for audit compliance</t>
        </is>
      </c>
    </row>
    <row r="55">
      <c r="A55" s="5" t="inlineStr">
        <is>
          <t>• Business Impact Analysis (BIA) report (RPO/RTO requirements source)</t>
        </is>
      </c>
    </row>
    <row r="56">
      <c r="A56" s="5" t="inlineStr">
        <is>
          <t>• Backup test results (actual restore time measurements)</t>
        </is>
      </c>
    </row>
    <row r="57">
      <c r="A57" s="5" t="inlineStr">
        <is>
          <t>• Failover test results (actual failover time measurements)</t>
        </is>
      </c>
    </row>
    <row r="58">
      <c r="A58" s="5" t="inlineStr">
        <is>
          <t>• Gap analysis and remediation plans</t>
        </is>
      </c>
    </row>
    <row r="59">
      <c r="A59" s="5" t="inlineStr">
        <is>
          <t>• Compliance calculations and summary reports</t>
        </is>
      </c>
    </row>
    <row r="60">
      <c r="A60" s="5" t="inlineStr">
        <is>
          <t>• System inventory and criticality documentation</t>
        </is>
      </c>
    </row>
    <row r="61">
      <c r="A61" s="5" t="inlineStr">
        <is>
          <t>• Testing schedules and historical test logs</t>
        </is>
      </c>
    </row>
    <row r="63">
      <c r="A63" s="3" t="inlineStr">
        <is>
          <t>STATUS INDICATOR LEGEND</t>
        </is>
      </c>
    </row>
    <row r="64">
      <c r="A64" s="9" t="inlineStr">
        <is>
          <t>✅</t>
        </is>
      </c>
      <c r="B64" t="inlineStr">
        <is>
          <t>Compliant / Success / Yes / Verified / Closed</t>
        </is>
      </c>
    </row>
    <row r="65">
      <c r="A65" s="9" t="inlineStr">
        <is>
          <t>❌</t>
        </is>
      </c>
      <c r="B65" t="inlineStr">
        <is>
          <t>Non-Compliant / Failure / No / Not Verified / Open</t>
        </is>
      </c>
    </row>
    <row r="66">
      <c r="A66" s="9" t="inlineStr">
        <is>
          <t>⚠</t>
        </is>
      </c>
      <c r="B66" t="inlineStr">
        <is>
          <t>Partial Compliance / Warning</t>
        </is>
      </c>
    </row>
    <row r="67">
      <c r="A67" s="9" t="inlineStr">
        <is>
          <t>⏳</t>
        </is>
      </c>
      <c r="B67" t="inlineStr">
        <is>
          <t>In Progress / Pending</t>
        </is>
      </c>
    </row>
    <row r="68">
      <c r="A68" s="9" t="inlineStr">
        <is>
          <t>❓</t>
        </is>
      </c>
      <c r="B68" t="inlineStr">
        <is>
          <t>Unknown / Not Tested</t>
        </is>
      </c>
    </row>
    <row r="69">
      <c r="A69" s="9" t="inlineStr">
        <is>
          <t>➖</t>
        </is>
      </c>
      <c r="B69" t="inlineStr">
        <is>
          <t>Not Applicable / Risk Accepted</t>
        </is>
      </c>
    </row>
    <row r="70">
      <c r="A70" s="9" t="inlineStr">
        <is>
          <t>🔴</t>
        </is>
      </c>
      <c r="B70" t="inlineStr">
        <is>
          <t>Critical Priority (immediate attention required)</t>
        </is>
      </c>
    </row>
    <row r="71">
      <c r="A71" s="9" t="inlineStr">
        <is>
          <t>🟡</t>
        </is>
      </c>
      <c r="B71" t="inlineStr">
        <is>
          <t>High Priority</t>
        </is>
      </c>
    </row>
    <row r="72">
      <c r="A72" s="9" t="inlineStr">
        <is>
          <t>🟢</t>
        </is>
      </c>
      <c r="B72" t="inlineStr">
        <is>
          <t>Medium Priority</t>
        </is>
      </c>
    </row>
    <row r="73">
      <c r="A73" s="9" t="inlineStr">
        <is>
          <t>⚪</t>
        </is>
      </c>
      <c r="B73" t="inlineStr">
        <is>
          <t>Low Priority</t>
        </is>
      </c>
    </row>
    <row r="75">
      <c r="A75" s="10" t="inlineStr">
        <is>
          <t>CRITICAL AUDIT REQUIREMENTS</t>
        </is>
      </c>
    </row>
    <row r="76">
      <c r="A76" s="8" t="inlineStr">
        <is>
          <t>❗ EVIDENCE: Minimum 5 evidence items required in Evidence_Register</t>
        </is>
      </c>
    </row>
    <row r="77">
      <c r="A77" s="8" t="inlineStr">
        <is>
          <t>❗ APPROVAL: All 3 sign-off levels required (Assessor, ISO, CISO)</t>
        </is>
      </c>
    </row>
    <row r="78">
      <c r="A78" s="8" t="inlineStr">
        <is>
          <t>❗ TESTING: Capabilities must be TESTED (restore tests, failover tests)</t>
        </is>
      </c>
    </row>
    <row r="79">
      <c r="A79" s="8" t="inlineStr">
        <is>
          <t>❗ CRITICAL SYSTEMS: Tier 1 systems must meet RPO/RTO requirements</t>
        </is>
      </c>
    </row>
    <row r="80">
      <c r="A80" s="8" t="inlineStr">
        <is>
          <t>❗ GAP REMEDIATION: All 🔴 Critical priority gaps require remediation plans</t>
        </is>
      </c>
    </row>
    <row r="81">
      <c r="A81" s="8" t="inlineStr">
        <is>
          <t>❗ QUARTERLY REVIEW: Re-assess every 90 days to maintain compliance</t>
        </is>
      </c>
    </row>
  </sheetData>
  <mergeCells count="9">
    <mergeCell ref="A24:F24"/>
    <mergeCell ref="A63:F63"/>
    <mergeCell ref="A14:F14"/>
    <mergeCell ref="A44:F44"/>
    <mergeCell ref="A1:F1"/>
    <mergeCell ref="A75:F75"/>
    <mergeCell ref="A8:F8"/>
    <mergeCell ref="A34:F34"/>
    <mergeCell ref="A53:F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1" t="inlineStr">
        <is>
          <t>RPO/RTO COMPLIANCE DASHBOARD</t>
        </is>
      </c>
    </row>
    <row r="2">
      <c r="A2" s="11" t="inlineStr">
        <is>
          <t>Assessment Date: 31.01.2026 | Assessment ID: ISMS-IMP-A.8.13.3</t>
        </is>
      </c>
    </row>
    <row r="4">
      <c r="A4" s="3" t="inlineStr">
        <is>
          <t>OVERALL RPO/RTO COMPLIANCE</t>
        </is>
      </c>
    </row>
    <row r="5">
      <c r="A5" s="6" t="inlineStr">
        <is>
          <t>Total Systems Assessed:</t>
        </is>
      </c>
      <c r="B5" s="12">
        <f>COUNTA(System_Inventory!A5:A114)</f>
        <v/>
      </c>
    </row>
    <row r="6">
      <c r="A6" s="6" t="inlineStr">
        <is>
          <t>Systems with Full Compliance (RPO &amp; RTO):</t>
        </is>
      </c>
      <c r="B6" s="12">
        <f>COUNTIF(Compliance_Matrix!E5:E114,"{CHECK}*")</f>
        <v/>
      </c>
    </row>
    <row r="7">
      <c r="A7" s="6" t="inlineStr">
        <is>
          <t>Systems with Partial Compliance:</t>
        </is>
      </c>
      <c r="B7" s="12">
        <f>COUNTIF(Compliance_Matrix!E5:E114,"{WARNING}*")</f>
        <v/>
      </c>
    </row>
    <row r="8">
      <c r="A8" s="6" t="inlineStr">
        <is>
          <t>Non-Compliant Systems:</t>
        </is>
      </c>
      <c r="B8" s="12">
        <f>COUNTIF(Compliance_Matrix!E5:E114,"{XMARK}*")</f>
        <v/>
      </c>
    </row>
    <row r="9">
      <c r="A9" s="6" t="inlineStr">
        <is>
          <t>Unknown Status (Not Tested):</t>
        </is>
      </c>
      <c r="B9" s="12">
        <f>COUNTIF(Compliance_Matrix!E5:E114,"❓*")</f>
        <v/>
      </c>
    </row>
    <row r="10">
      <c r="A10" s="6" t="inlineStr">
        <is>
          <t>Overall Compliance Rate:</t>
        </is>
      </c>
      <c r="B10" s="13">
        <f>IF(B5&gt;0,B6/B5,0)</f>
        <v/>
      </c>
    </row>
    <row r="12">
      <c r="A12" s="3" t="inlineStr">
        <is>
          <t>COMPLIANCE BY CRITICALITY TIER</t>
        </is>
      </c>
    </row>
    <row r="13">
      <c r="A13" s="6" t="inlineStr">
        <is>
          <t>Tier 1 - Critical Systems:</t>
        </is>
      </c>
      <c r="B13" s="14">
        <f>COUNTIF(System_Inventory!C5:C114,"Tier 1*")</f>
        <v/>
      </c>
    </row>
    <row r="14">
      <c r="A14" s="6" t="inlineStr">
        <is>
          <t>Tier 1 - Full Compliance:</t>
        </is>
      </c>
      <c r="B14" s="14">
        <f>SUMPRODUCT((System_Inventory!C5:C114="Tier 1 - Critical")*(Compliance_Matrix!E5:E114="{CHECK} Full Compliance"))</f>
        <v/>
      </c>
    </row>
    <row r="15">
      <c r="A15" s="6" t="inlineStr">
        <is>
          <t>Tier 1 - Compliance Rate:</t>
        </is>
      </c>
      <c r="B15" s="15">
        <f>IF(B13&gt;0,B14/B13,0)</f>
        <v/>
      </c>
    </row>
    <row r="17">
      <c r="A17" s="6" t="inlineStr">
        <is>
          <t>Tier 2 - Important Systems:</t>
        </is>
      </c>
      <c r="B17" s="14">
        <f>COUNTIF(System_Inventory!C5:C114,"Tier 2*")</f>
        <v/>
      </c>
    </row>
    <row r="18">
      <c r="A18" s="6" t="inlineStr">
        <is>
          <t>Tier 2 - Full Compliance:</t>
        </is>
      </c>
      <c r="B18" s="14">
        <f>SUMPRODUCT((System_Inventory!C5:C114="Tier 2 - Important")*(Compliance_Matrix!E5:E114="{CHECK} Full Compliance"))</f>
        <v/>
      </c>
    </row>
    <row r="19">
      <c r="A19" s="6" t="inlineStr">
        <is>
          <t>Tier 2 - Compliance Rate:</t>
        </is>
      </c>
      <c r="B19" s="15">
        <f>IF(B17&gt;0,B18/B17,0)</f>
        <v/>
      </c>
    </row>
    <row r="21">
      <c r="A21" s="3" t="inlineStr">
        <is>
          <t>GAP ANALYSIS SUMMARY</t>
        </is>
      </c>
    </row>
    <row r="22">
      <c r="A22" s="6" t="inlineStr">
        <is>
          <t>Total Gaps Identified:</t>
        </is>
      </c>
      <c r="B22" s="14">
        <f>COUNTA(Gap_Analysis!A5:A114)</f>
        <v/>
      </c>
    </row>
    <row r="23">
      <c r="A23" s="6" t="inlineStr">
        <is>
          <t>🔴 Critical Priority Gaps:</t>
        </is>
      </c>
      <c r="B23" s="14">
        <f>COUNTIF(Gap_Analysis!F5:F114,"🔴*")</f>
        <v/>
      </c>
    </row>
    <row r="24">
      <c r="A24" s="6" t="inlineStr">
        <is>
          <t>🟡 High Priority Gaps:</t>
        </is>
      </c>
      <c r="B24" s="14">
        <f>COUNTIF(Gap_Analysis!F5:F114,"🟡*")</f>
        <v/>
      </c>
    </row>
    <row r="25">
      <c r="A25" s="6" t="inlineStr">
        <is>
          <t>🟢 Medium Priority Gaps:</t>
        </is>
      </c>
      <c r="B25" s="14">
        <f>COUNTIF(Gap_Analysis!F5:F114,"🟢*")</f>
        <v/>
      </c>
    </row>
    <row r="26">
      <c r="A26" s="6" t="inlineStr">
        <is>
          <t>⚪ Low Priority Gaps:</t>
        </is>
      </c>
      <c r="B26" s="14">
        <f>COUNTIF(Gap_Analysis!F5:F114,"⚪*")</f>
        <v/>
      </c>
    </row>
    <row r="28">
      <c r="A28" s="6" t="inlineStr">
        <is>
          <t>Open Gaps (🔴):</t>
        </is>
      </c>
      <c r="B28" s="14">
        <f>COUNTIF(Gap_Analysis!H5:H114,"🔴*")</f>
        <v/>
      </c>
    </row>
    <row r="29">
      <c r="A29" s="6" t="inlineStr">
        <is>
          <t>In Progress Gaps (⏳):</t>
        </is>
      </c>
      <c r="B29" s="14">
        <f>COUNTIF(Gap_Analysis!H5:H114,"⏳*")</f>
        <v/>
      </c>
    </row>
    <row r="30">
      <c r="A30" s="6" t="inlineStr">
        <is>
          <t>Closed Gaps (✅):</t>
        </is>
      </c>
      <c r="B30" s="14">
        <f>COUNTIF(Gap_Analysis!H5:H114,"{CHECK}*")</f>
        <v/>
      </c>
    </row>
    <row r="32">
      <c r="A32" s="6" t="inlineStr">
        <is>
          <t>Average Risk Score:</t>
        </is>
      </c>
      <c r="B32" s="16">
        <f>IFERROR(AVERAGE(Gap_Analysis!E5:E114),0)</f>
        <v/>
      </c>
    </row>
    <row r="34">
      <c r="A34" s="3" t="inlineStr">
        <is>
          <t>EVIDENCE &amp; APPROVAL STATUS</t>
        </is>
      </c>
    </row>
    <row r="35">
      <c r="A35" s="6" t="inlineStr">
        <is>
          <t>Evidence Items Collected:</t>
        </is>
      </c>
      <c r="B35" s="14">
        <f>COUNTA(Evidence_Register!A5:A104)</f>
        <v/>
      </c>
    </row>
    <row r="36">
      <c r="A36" s="6" t="inlineStr">
        <is>
          <t>Verified Evidence:</t>
        </is>
      </c>
      <c r="B36" s="14">
        <f>COUNTIF(Evidence_Register!H5:H104,"{CHECK}*")</f>
        <v/>
      </c>
    </row>
    <row r="37">
      <c r="A37" s="6" t="inlineStr">
        <is>
          <t>Minimum Evidence Required:</t>
        </is>
      </c>
      <c r="B37" s="17" t="inlineStr">
        <is>
          <t>5</t>
        </is>
      </c>
    </row>
    <row r="38">
      <c r="A38" s="6" t="inlineStr">
        <is>
          <t>Evidence Compliance:</t>
        </is>
      </c>
      <c r="B38" s="14">
        <f>IF(B40&gt;=B42,"{CHECK} Sufficient","{XMARK} Insufficient")</f>
        <v/>
      </c>
    </row>
    <row r="40">
      <c r="A40" s="6" t="inlineStr">
        <is>
          <t>Assessment Status:</t>
        </is>
      </c>
      <c r="B40" s="14">
        <f>Approval_Sign_Off!B15</f>
        <v/>
      </c>
    </row>
    <row r="41">
      <c r="A41" s="6" t="inlineStr">
        <is>
          <t>Level 1 - Assessor Completed:</t>
        </is>
      </c>
      <c r="B41" s="14">
        <f>IF(Approval_Sign_Off!B27&lt;&gt;"","{CHECK} Complete","⏳ Pending")</f>
        <v/>
      </c>
    </row>
    <row r="42">
      <c r="A42" s="6" t="inlineStr">
        <is>
          <t>Level 2 - ISO Review:</t>
        </is>
      </c>
      <c r="B42" s="14">
        <f>IF(Approval_Sign_Off!B38&lt;&gt;"","{CHECK} Complete","⏳ Pending")</f>
        <v/>
      </c>
    </row>
    <row r="43">
      <c r="A43" s="6" t="inlineStr">
        <is>
          <t>Level 3 - CISO Approval:</t>
        </is>
      </c>
      <c r="B43" s="14">
        <f>IF(Approval_Sign_Off!B50&lt;&gt;"","{CHECK} Complete","⏳ Pending")</f>
        <v/>
      </c>
    </row>
    <row r="45">
      <c r="A45" s="3" t="inlineStr">
        <is>
          <t>PRIORITY ACTIONS</t>
        </is>
      </c>
    </row>
    <row r="46">
      <c r="A46" s="5" t="inlineStr">
        <is>
          <t>1. Address all 🔴 Critical priority gaps immediately (target: 90 days)</t>
        </is>
      </c>
    </row>
    <row r="47">
      <c r="A47" s="5" t="inlineStr">
        <is>
          <t>2. Test all systems marked ❓ Unknown (capability assessment needed)</t>
        </is>
      </c>
    </row>
    <row r="48">
      <c r="A48" s="5" t="inlineStr">
        <is>
          <t>3. Focus on Tier 1 systems first (business-critical)</t>
        </is>
      </c>
    </row>
    <row r="49">
      <c r="A49" s="5" t="inlineStr">
        <is>
          <t>4. Close RPO gaps: Increase backup frequency OR implement replication</t>
        </is>
      </c>
    </row>
    <row r="50">
      <c r="A50" s="5" t="inlineStr">
        <is>
          <t>5. Close RTO gaps: Implement redundancy OR optimize restore procedures</t>
        </is>
      </c>
    </row>
    <row r="51">
      <c r="A51" s="5" t="inlineStr">
        <is>
          <t>6. Collect minimum 5 evidence items in Evidence_Register</t>
        </is>
      </c>
    </row>
    <row r="52">
      <c r="A52" s="5" t="inlineStr">
        <is>
          <t>7. Complete all 3 approval levels (Assessor → ISO → CISO)</t>
        </is>
      </c>
    </row>
    <row r="53">
      <c r="A53" s="5" t="inlineStr">
        <is>
          <t>8. Track remediation progress in Gap_Analysis worksheet</t>
        </is>
      </c>
    </row>
    <row r="54">
      <c r="A54" s="5" t="inlineStr">
        <is>
          <t>9. Reassess quarterly to measure continuous improvement</t>
        </is>
      </c>
    </row>
  </sheetData>
  <mergeCells count="7">
    <mergeCell ref="A21:E21"/>
    <mergeCell ref="A34:E34"/>
    <mergeCell ref="A12:E12"/>
    <mergeCell ref="A4:E4"/>
    <mergeCell ref="A2:E2"/>
    <mergeCell ref="A1:E1"/>
    <mergeCell ref="A45:E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8"/>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5" customWidth="1" min="4" max="4"/>
    <col width="22" customWidth="1" min="5" max="5"/>
    <col width="22" customWidth="1" min="6" max="6"/>
    <col width="45" customWidth="1" min="7" max="7"/>
  </cols>
  <sheetData>
    <row r="1" ht="30" customHeight="1">
      <c r="A1" s="18" t="inlineStr">
        <is>
          <t>SYSTEM INVENTORY - BIA RESULTS (Business Requirements)</t>
        </is>
      </c>
    </row>
    <row r="2">
      <c r="A2" s="3" t="inlineStr">
        <is>
          <t>Source: Business Impact Analysis (BIA) - RPO/RTO requirements from business stakeholders</t>
        </is>
      </c>
    </row>
    <row r="4">
      <c r="A4" s="19" t="inlineStr">
        <is>
          <t>System Name</t>
        </is>
      </c>
      <c r="B4" s="19" t="inlineStr">
        <is>
          <t>Business Process</t>
        </is>
      </c>
      <c r="C4" s="19" t="inlineStr">
        <is>
          <t>Criticality Tier</t>
        </is>
      </c>
      <c r="D4" s="19" t="inlineStr">
        <is>
          <t>MTPD (hours)</t>
        </is>
      </c>
      <c r="E4" s="19" t="inlineStr">
        <is>
          <t>RPO Requirement (hours)</t>
        </is>
      </c>
      <c r="F4" s="19" t="inlineStr">
        <is>
          <t>RTO Requirement (hours)</t>
        </is>
      </c>
      <c r="G4" s="19" t="inlineStr">
        <is>
          <t>Business Justification</t>
        </is>
      </c>
    </row>
    <row r="5">
      <c r="A5" s="20" t="inlineStr">
        <is>
          <t>E-Commerce Website</t>
        </is>
      </c>
      <c r="B5" s="20" t="inlineStr">
        <is>
          <t>Online Sales</t>
        </is>
      </c>
      <c r="C5" s="20" t="inlineStr">
        <is>
          <t>Tier 1 - Critical</t>
        </is>
      </c>
      <c r="D5" s="20" t="n">
        <v>4</v>
      </c>
      <c r="E5" s="20" t="n">
        <v>1</v>
      </c>
      <c r="F5" s="20" t="n">
        <v>2</v>
      </c>
      <c r="G5" s="21" t="inlineStr">
        <is>
          <t>Revenue loss $5K/hour, customer exodus after 4 hours downtime</t>
        </is>
      </c>
    </row>
    <row r="6">
      <c r="A6" s="20" t="inlineStr">
        <is>
          <t>Payment Gateway</t>
        </is>
      </c>
      <c r="B6" s="20" t="inlineStr">
        <is>
          <t>Payment Processing</t>
        </is>
      </c>
      <c r="C6" s="20" t="inlineStr">
        <is>
          <t>Tier 1 - Critical</t>
        </is>
      </c>
      <c r="D6" s="20" t="n">
        <v>1</v>
      </c>
      <c r="E6" s="20" t="n">
        <v>0.25</v>
      </c>
      <c r="F6" s="20" t="n">
        <v>0.5</v>
      </c>
      <c r="G6" s="21" t="inlineStr">
        <is>
          <t>Revenue loss immediate, regulatory compliance (PCI-DSS), reputation damage</t>
        </is>
      </c>
    </row>
    <row r="7">
      <c r="A7" s="20" t="inlineStr">
        <is>
          <t>Email System</t>
        </is>
      </c>
      <c r="B7" s="20" t="inlineStr">
        <is>
          <t>Communication</t>
        </is>
      </c>
      <c r="C7" s="20" t="inlineStr">
        <is>
          <t>Tier 1 - Critical</t>
        </is>
      </c>
      <c r="D7" s="20" t="n">
        <v>8</v>
      </c>
      <c r="E7" s="20" t="n">
        <v>4</v>
      </c>
      <c r="F7" s="20" t="n">
        <v>4</v>
      </c>
      <c r="G7" s="21" t="inlineStr">
        <is>
          <t>Business communication essential, brief outage tolerable, regulatory notifications</t>
        </is>
      </c>
    </row>
    <row r="8">
      <c r="A8" s="20" t="inlineStr">
        <is>
          <t>CRM System</t>
        </is>
      </c>
      <c r="B8" s="20" t="inlineStr">
        <is>
          <t>Customer Management</t>
        </is>
      </c>
      <c r="C8" s="20" t="inlineStr">
        <is>
          <t>Tier 1 - Critical</t>
        </is>
      </c>
      <c r="D8" s="20" t="n">
        <v>12</v>
      </c>
      <c r="E8" s="20" t="n">
        <v>2</v>
      </c>
      <c r="F8" s="20" t="n">
        <v>6</v>
      </c>
      <c r="G8" s="21" t="inlineStr">
        <is>
          <t>Sales operations halt, customer service degraded, revenue impact</t>
        </is>
      </c>
    </row>
    <row r="9">
      <c r="A9" s="20" t="inlineStr">
        <is>
          <t>ERP System</t>
        </is>
      </c>
      <c r="B9" s="20" t="inlineStr">
        <is>
          <t>Finance, HR, Procurement</t>
        </is>
      </c>
      <c r="C9" s="20" t="inlineStr">
        <is>
          <t>Tier 2 - Important</t>
        </is>
      </c>
      <c r="D9" s="20" t="n">
        <v>24</v>
      </c>
      <c r="E9" s="20" t="n">
        <v>4</v>
      </c>
      <c r="F9" s="20" t="n">
        <v>12</v>
      </c>
      <c r="G9" s="21" t="inlineStr">
        <is>
          <t>Can operate manually for 24 hours, critical for month-end close</t>
        </is>
      </c>
    </row>
    <row r="10">
      <c r="A10" s="20" t="inlineStr">
        <is>
          <t>HR Information System</t>
        </is>
      </c>
      <c r="B10" s="20" t="inlineStr">
        <is>
          <t>HR Operations</t>
        </is>
      </c>
      <c r="C10" s="20" t="inlineStr">
        <is>
          <t>Tier 2 - Important</t>
        </is>
      </c>
      <c r="D10" s="20" t="n">
        <v>48</v>
      </c>
      <c r="E10" s="20" t="n">
        <v>24</v>
      </c>
      <c r="F10" s="20" t="n">
        <v>24</v>
      </c>
      <c r="G10" s="21" t="inlineStr">
        <is>
          <t>Payroll at risk beyond 2 days, can work around short-term</t>
        </is>
      </c>
    </row>
    <row r="11">
      <c r="A11" s="20" t="inlineStr">
        <is>
          <t>File Server</t>
        </is>
      </c>
      <c r="B11" s="20" t="inlineStr">
        <is>
          <t>Document Storage</t>
        </is>
      </c>
      <c r="C11" s="20" t="inlineStr">
        <is>
          <t>Tier 3 - Standard</t>
        </is>
      </c>
      <c r="D11" s="20" t="n">
        <v>168</v>
      </c>
      <c r="E11" s="20" t="n">
        <v>24</v>
      </c>
      <c r="F11" s="20" t="n">
        <v>48</v>
      </c>
      <c r="G11" s="21" t="inlineStr">
        <is>
          <t>Inconvenience only, users have local copies, non-critical operations</t>
        </is>
      </c>
    </row>
    <row r="12">
      <c r="A12" s="20" t="inlineStr">
        <is>
          <t>Document Repository</t>
        </is>
      </c>
      <c r="B12" s="20" t="inlineStr">
        <is>
          <t>Knowledge Management</t>
        </is>
      </c>
      <c r="C12" s="20" t="inlineStr">
        <is>
          <t>Tier 3 - Standard</t>
        </is>
      </c>
      <c r="D12" s="20" t="n">
        <v>168</v>
      </c>
      <c r="E12" s="20" t="n">
        <v>168</v>
      </c>
      <c r="F12" s="20" t="n">
        <v>72</v>
      </c>
      <c r="G12" s="21" t="inlineStr">
        <is>
          <t>Non-critical reference system, acceptable long recovery time</t>
        </is>
      </c>
    </row>
    <row r="13">
      <c r="A13" s="20" t="inlineStr">
        <is>
          <t>Test Database</t>
        </is>
      </c>
      <c r="B13" s="20" t="inlineStr">
        <is>
          <t>Development Testing</t>
        </is>
      </c>
      <c r="C13" s="20" t="inlineStr">
        <is>
          <t>Tier 4 - Low</t>
        </is>
      </c>
      <c r="D13" s="20" t="n">
        <v>720</v>
      </c>
      <c r="E13" s="20" t="n">
        <v>168</v>
      </c>
      <c r="F13" s="20" t="n">
        <v>168</v>
      </c>
      <c r="G13" s="21" t="inlineStr">
        <is>
          <t>Can rebuild from production, low business impact, dev environment only</t>
        </is>
      </c>
    </row>
    <row r="14">
      <c r="A14" s="20" t="inlineStr">
        <is>
          <t>Training System</t>
        </is>
      </c>
      <c r="B14" s="20" t="inlineStr">
        <is>
          <t>Employee Training</t>
        </is>
      </c>
      <c r="C14" s="20" t="inlineStr">
        <is>
          <t>Tier 4 - Low</t>
        </is>
      </c>
      <c r="D14" s="20" t="n">
        <v>720</v>
      </c>
      <c r="E14" s="20" t="n">
        <v>720</v>
      </c>
      <c r="F14" s="20" t="n">
        <v>168</v>
      </c>
      <c r="G14" s="21" t="inlineStr">
        <is>
          <t>Training can be postponed, minimal business impact, non-essential</t>
        </is>
      </c>
    </row>
    <row r="15">
      <c r="A15" s="22" t="n"/>
      <c r="B15" s="22" t="n"/>
      <c r="D15" s="22" t="n"/>
      <c r="E15" s="22" t="n"/>
      <c r="F15" s="22" t="n"/>
      <c r="G15" s="22" t="n"/>
    </row>
    <row r="16">
      <c r="A16" s="22" t="n"/>
      <c r="B16" s="22" t="n"/>
      <c r="D16" s="22" t="n"/>
      <c r="E16" s="22" t="n"/>
      <c r="F16" s="22" t="n"/>
      <c r="G16" s="22" t="n"/>
    </row>
    <row r="17">
      <c r="A17" s="22" t="n"/>
      <c r="B17" s="22" t="n"/>
      <c r="D17" s="22" t="n"/>
      <c r="E17" s="22" t="n"/>
      <c r="F17" s="22" t="n"/>
      <c r="G17" s="22" t="n"/>
    </row>
    <row r="18">
      <c r="A18" s="22" t="n"/>
      <c r="B18" s="22" t="n"/>
      <c r="D18" s="22" t="n"/>
      <c r="E18" s="22" t="n"/>
      <c r="F18" s="22" t="n"/>
      <c r="G18" s="22" t="n"/>
    </row>
    <row r="19">
      <c r="A19" s="22" t="n"/>
      <c r="B19" s="22" t="n"/>
      <c r="D19" s="22" t="n"/>
      <c r="E19" s="22" t="n"/>
      <c r="F19" s="22" t="n"/>
      <c r="G19" s="22" t="n"/>
    </row>
    <row r="20">
      <c r="A20" s="22" t="n"/>
      <c r="B20" s="22" t="n"/>
      <c r="D20" s="22" t="n"/>
      <c r="E20" s="22" t="n"/>
      <c r="F20" s="22" t="n"/>
      <c r="G20" s="22" t="n"/>
    </row>
    <row r="21">
      <c r="A21" s="22" t="n"/>
      <c r="B21" s="22" t="n"/>
      <c r="D21" s="22" t="n"/>
      <c r="E21" s="22" t="n"/>
      <c r="F21" s="22" t="n"/>
      <c r="G21" s="22" t="n"/>
    </row>
    <row r="22">
      <c r="A22" s="22" t="n"/>
      <c r="B22" s="22" t="n"/>
      <c r="D22" s="22" t="n"/>
      <c r="E22" s="22" t="n"/>
      <c r="F22" s="22" t="n"/>
      <c r="G22" s="22" t="n"/>
    </row>
    <row r="23">
      <c r="A23" s="22" t="n"/>
      <c r="B23" s="22" t="n"/>
      <c r="D23" s="22" t="n"/>
      <c r="E23" s="22" t="n"/>
      <c r="F23" s="22" t="n"/>
      <c r="G23" s="22" t="n"/>
    </row>
    <row r="24">
      <c r="A24" s="22" t="n"/>
      <c r="B24" s="22" t="n"/>
      <c r="D24" s="22" t="n"/>
      <c r="E24" s="22" t="n"/>
      <c r="F24" s="22" t="n"/>
      <c r="G24" s="22" t="n"/>
    </row>
    <row r="25">
      <c r="A25" s="22" t="n"/>
      <c r="B25" s="22" t="n"/>
      <c r="D25" s="22" t="n"/>
      <c r="E25" s="22" t="n"/>
      <c r="F25" s="22" t="n"/>
      <c r="G25" s="22" t="n"/>
    </row>
    <row r="26">
      <c r="A26" s="22" t="n"/>
      <c r="B26" s="22" t="n"/>
      <c r="D26" s="22" t="n"/>
      <c r="E26" s="22" t="n"/>
      <c r="F26" s="22" t="n"/>
      <c r="G26" s="22" t="n"/>
    </row>
    <row r="27">
      <c r="A27" s="22" t="n"/>
      <c r="B27" s="22" t="n"/>
      <c r="D27" s="22" t="n"/>
      <c r="E27" s="22" t="n"/>
      <c r="F27" s="22" t="n"/>
      <c r="G27" s="22" t="n"/>
    </row>
    <row r="28">
      <c r="A28" s="22" t="n"/>
      <c r="B28" s="22" t="n"/>
      <c r="D28" s="22" t="n"/>
      <c r="E28" s="22" t="n"/>
      <c r="F28" s="22" t="n"/>
      <c r="G28" s="22" t="n"/>
    </row>
    <row r="29">
      <c r="A29" s="22" t="n"/>
      <c r="B29" s="22" t="n"/>
      <c r="D29" s="22" t="n"/>
      <c r="E29" s="22" t="n"/>
      <c r="F29" s="22" t="n"/>
      <c r="G29" s="22" t="n"/>
    </row>
    <row r="30">
      <c r="A30" s="22" t="n"/>
      <c r="B30" s="22" t="n"/>
      <c r="D30" s="22" t="n"/>
      <c r="E30" s="22" t="n"/>
      <c r="F30" s="22" t="n"/>
      <c r="G30" s="22" t="n"/>
    </row>
    <row r="31">
      <c r="A31" s="22" t="n"/>
      <c r="B31" s="22" t="n"/>
      <c r="D31" s="22" t="n"/>
      <c r="E31" s="22" t="n"/>
      <c r="F31" s="22" t="n"/>
      <c r="G31" s="22" t="n"/>
    </row>
    <row r="32">
      <c r="A32" s="22" t="n"/>
      <c r="B32" s="22" t="n"/>
      <c r="D32" s="22" t="n"/>
      <c r="E32" s="22" t="n"/>
      <c r="F32" s="22" t="n"/>
      <c r="G32" s="22" t="n"/>
    </row>
    <row r="33">
      <c r="A33" s="22" t="n"/>
      <c r="B33" s="22" t="n"/>
      <c r="D33" s="22" t="n"/>
      <c r="E33" s="22" t="n"/>
      <c r="F33" s="22" t="n"/>
      <c r="G33" s="22" t="n"/>
    </row>
    <row r="34">
      <c r="A34" s="22" t="n"/>
      <c r="B34" s="22" t="n"/>
      <c r="D34" s="22" t="n"/>
      <c r="E34" s="22" t="n"/>
      <c r="F34" s="22" t="n"/>
      <c r="G34" s="22" t="n"/>
    </row>
    <row r="35">
      <c r="A35" s="22" t="n"/>
      <c r="B35" s="22" t="n"/>
      <c r="D35" s="22" t="n"/>
      <c r="E35" s="22" t="n"/>
      <c r="F35" s="22" t="n"/>
      <c r="G35" s="22" t="n"/>
    </row>
    <row r="36">
      <c r="A36" s="22" t="n"/>
      <c r="B36" s="22" t="n"/>
      <c r="D36" s="22" t="n"/>
      <c r="E36" s="22" t="n"/>
      <c r="F36" s="22" t="n"/>
      <c r="G36" s="22" t="n"/>
    </row>
    <row r="37">
      <c r="A37" s="22" t="n"/>
      <c r="B37" s="22" t="n"/>
      <c r="D37" s="22" t="n"/>
      <c r="E37" s="22" t="n"/>
      <c r="F37" s="22" t="n"/>
      <c r="G37" s="22" t="n"/>
    </row>
    <row r="38">
      <c r="A38" s="22" t="n"/>
      <c r="B38" s="22" t="n"/>
      <c r="D38" s="22" t="n"/>
      <c r="E38" s="22" t="n"/>
      <c r="F38" s="22" t="n"/>
      <c r="G38" s="22" t="n"/>
    </row>
    <row r="39">
      <c r="A39" s="22" t="n"/>
      <c r="B39" s="22" t="n"/>
      <c r="D39" s="22" t="n"/>
      <c r="E39" s="22" t="n"/>
      <c r="F39" s="22" t="n"/>
      <c r="G39" s="22" t="n"/>
    </row>
    <row r="40">
      <c r="A40" s="22" t="n"/>
      <c r="B40" s="22" t="n"/>
      <c r="D40" s="22" t="n"/>
      <c r="E40" s="22" t="n"/>
      <c r="F40" s="22" t="n"/>
      <c r="G40" s="22" t="n"/>
    </row>
    <row r="41">
      <c r="A41" s="22" t="n"/>
      <c r="B41" s="22" t="n"/>
      <c r="D41" s="22" t="n"/>
      <c r="E41" s="22" t="n"/>
      <c r="F41" s="22" t="n"/>
      <c r="G41" s="22" t="n"/>
    </row>
    <row r="42">
      <c r="A42" s="22" t="n"/>
      <c r="B42" s="22" t="n"/>
      <c r="D42" s="22" t="n"/>
      <c r="E42" s="22" t="n"/>
      <c r="F42" s="22" t="n"/>
      <c r="G42" s="22" t="n"/>
    </row>
    <row r="43">
      <c r="A43" s="22" t="n"/>
      <c r="B43" s="22" t="n"/>
      <c r="D43" s="22" t="n"/>
      <c r="E43" s="22" t="n"/>
      <c r="F43" s="22" t="n"/>
      <c r="G43" s="22" t="n"/>
    </row>
    <row r="44">
      <c r="A44" s="22" t="n"/>
      <c r="B44" s="22" t="n"/>
      <c r="D44" s="22" t="n"/>
      <c r="E44" s="22" t="n"/>
      <c r="F44" s="22" t="n"/>
      <c r="G44" s="22" t="n"/>
    </row>
    <row r="45">
      <c r="A45" s="22" t="n"/>
      <c r="B45" s="22" t="n"/>
      <c r="D45" s="22" t="n"/>
      <c r="E45" s="22" t="n"/>
      <c r="F45" s="22" t="n"/>
      <c r="G45" s="22" t="n"/>
    </row>
    <row r="46">
      <c r="A46" s="22" t="n"/>
      <c r="B46" s="22" t="n"/>
      <c r="D46" s="22" t="n"/>
      <c r="E46" s="22" t="n"/>
      <c r="F46" s="22" t="n"/>
      <c r="G46" s="22" t="n"/>
    </row>
    <row r="47">
      <c r="A47" s="22" t="n"/>
      <c r="B47" s="22" t="n"/>
      <c r="D47" s="22" t="n"/>
      <c r="E47" s="22" t="n"/>
      <c r="F47" s="22" t="n"/>
      <c r="G47" s="22" t="n"/>
    </row>
    <row r="48">
      <c r="A48" s="22" t="n"/>
      <c r="B48" s="22" t="n"/>
      <c r="D48" s="22" t="n"/>
      <c r="E48" s="22" t="n"/>
      <c r="F48" s="22" t="n"/>
      <c r="G48" s="22" t="n"/>
    </row>
    <row r="49">
      <c r="A49" s="22" t="n"/>
      <c r="B49" s="22" t="n"/>
      <c r="D49" s="22" t="n"/>
      <c r="E49" s="22" t="n"/>
      <c r="F49" s="22" t="n"/>
      <c r="G49" s="22" t="n"/>
    </row>
    <row r="50">
      <c r="A50" s="22" t="n"/>
      <c r="B50" s="22" t="n"/>
      <c r="D50" s="22" t="n"/>
      <c r="E50" s="22" t="n"/>
      <c r="F50" s="22" t="n"/>
      <c r="G50" s="22" t="n"/>
    </row>
    <row r="51">
      <c r="A51" s="22" t="n"/>
      <c r="B51" s="22" t="n"/>
      <c r="D51" s="22" t="n"/>
      <c r="E51" s="22" t="n"/>
      <c r="F51" s="22" t="n"/>
      <c r="G51" s="22" t="n"/>
    </row>
    <row r="52">
      <c r="A52" s="22" t="n"/>
      <c r="B52" s="22" t="n"/>
      <c r="D52" s="22" t="n"/>
      <c r="E52" s="22" t="n"/>
      <c r="F52" s="22" t="n"/>
      <c r="G52" s="22" t="n"/>
    </row>
    <row r="53">
      <c r="A53" s="22" t="n"/>
      <c r="B53" s="22" t="n"/>
      <c r="D53" s="22" t="n"/>
      <c r="E53" s="22" t="n"/>
      <c r="F53" s="22" t="n"/>
      <c r="G53" s="22" t="n"/>
    </row>
    <row r="54">
      <c r="A54" s="22" t="n"/>
      <c r="B54" s="22" t="n"/>
      <c r="D54" s="22" t="n"/>
      <c r="E54" s="22" t="n"/>
      <c r="F54" s="22" t="n"/>
      <c r="G54" s="22" t="n"/>
    </row>
    <row r="55">
      <c r="A55" s="22" t="n"/>
      <c r="B55" s="22" t="n"/>
      <c r="D55" s="22" t="n"/>
      <c r="E55" s="22" t="n"/>
      <c r="F55" s="22" t="n"/>
      <c r="G55" s="22" t="n"/>
    </row>
    <row r="56">
      <c r="A56" s="22" t="n"/>
      <c r="B56" s="22" t="n"/>
      <c r="D56" s="22" t="n"/>
      <c r="E56" s="22" t="n"/>
      <c r="F56" s="22" t="n"/>
      <c r="G56" s="22" t="n"/>
    </row>
    <row r="57">
      <c r="A57" s="22" t="n"/>
      <c r="B57" s="22" t="n"/>
      <c r="D57" s="22" t="n"/>
      <c r="E57" s="22" t="n"/>
      <c r="F57" s="22" t="n"/>
      <c r="G57" s="22" t="n"/>
    </row>
    <row r="58">
      <c r="A58" s="22" t="n"/>
      <c r="B58" s="22" t="n"/>
      <c r="D58" s="22" t="n"/>
      <c r="E58" s="22" t="n"/>
      <c r="F58" s="22" t="n"/>
      <c r="G58" s="22" t="n"/>
    </row>
    <row r="59">
      <c r="A59" s="22" t="n"/>
      <c r="B59" s="22" t="n"/>
      <c r="D59" s="22" t="n"/>
      <c r="E59" s="22" t="n"/>
      <c r="F59" s="22" t="n"/>
      <c r="G59" s="22" t="n"/>
    </row>
    <row r="60">
      <c r="A60" s="22" t="n"/>
      <c r="B60" s="22" t="n"/>
      <c r="D60" s="22" t="n"/>
      <c r="E60" s="22" t="n"/>
      <c r="F60" s="22" t="n"/>
      <c r="G60" s="22" t="n"/>
    </row>
    <row r="61">
      <c r="A61" s="22" t="n"/>
      <c r="B61" s="22" t="n"/>
      <c r="D61" s="22" t="n"/>
      <c r="E61" s="22" t="n"/>
      <c r="F61" s="22" t="n"/>
      <c r="G61" s="22" t="n"/>
    </row>
    <row r="62">
      <c r="A62" s="22" t="n"/>
      <c r="B62" s="22" t="n"/>
      <c r="D62" s="22" t="n"/>
      <c r="E62" s="22" t="n"/>
      <c r="F62" s="22" t="n"/>
      <c r="G62" s="22" t="n"/>
    </row>
    <row r="63">
      <c r="A63" s="22" t="n"/>
      <c r="B63" s="22" t="n"/>
      <c r="D63" s="22" t="n"/>
      <c r="E63" s="22" t="n"/>
      <c r="F63" s="22" t="n"/>
      <c r="G63" s="22" t="n"/>
    </row>
    <row r="64">
      <c r="A64" s="22" t="n"/>
      <c r="B64" s="22" t="n"/>
      <c r="D64" s="22" t="n"/>
      <c r="E64" s="22" t="n"/>
      <c r="F64" s="22" t="n"/>
      <c r="G64" s="22" t="n"/>
    </row>
    <row r="65">
      <c r="A65" s="22" t="n"/>
      <c r="B65" s="22" t="n"/>
      <c r="D65" s="22" t="n"/>
      <c r="E65" s="22" t="n"/>
      <c r="F65" s="22" t="n"/>
      <c r="G65" s="22" t="n"/>
    </row>
    <row r="66">
      <c r="A66" s="22" t="n"/>
      <c r="B66" s="22" t="n"/>
      <c r="D66" s="22" t="n"/>
      <c r="E66" s="22" t="n"/>
      <c r="F66" s="22" t="n"/>
      <c r="G66" s="22" t="n"/>
    </row>
    <row r="67">
      <c r="A67" s="22" t="n"/>
      <c r="B67" s="22" t="n"/>
      <c r="D67" s="22" t="n"/>
      <c r="E67" s="22" t="n"/>
      <c r="F67" s="22" t="n"/>
      <c r="G67" s="22" t="n"/>
    </row>
    <row r="68">
      <c r="A68" s="22" t="n"/>
      <c r="B68" s="22" t="n"/>
      <c r="D68" s="22" t="n"/>
      <c r="E68" s="22" t="n"/>
      <c r="F68" s="22" t="n"/>
      <c r="G68" s="22" t="n"/>
    </row>
    <row r="69">
      <c r="A69" s="22" t="n"/>
      <c r="B69" s="22" t="n"/>
      <c r="D69" s="22" t="n"/>
      <c r="E69" s="22" t="n"/>
      <c r="F69" s="22" t="n"/>
      <c r="G69" s="22" t="n"/>
    </row>
    <row r="70">
      <c r="A70" s="22" t="n"/>
      <c r="B70" s="22" t="n"/>
      <c r="D70" s="22" t="n"/>
      <c r="E70" s="22" t="n"/>
      <c r="F70" s="22" t="n"/>
      <c r="G70" s="22" t="n"/>
    </row>
    <row r="71">
      <c r="A71" s="22" t="n"/>
      <c r="B71" s="22" t="n"/>
      <c r="D71" s="22" t="n"/>
      <c r="E71" s="22" t="n"/>
      <c r="F71" s="22" t="n"/>
      <c r="G71" s="22" t="n"/>
    </row>
    <row r="72">
      <c r="A72" s="22" t="n"/>
      <c r="B72" s="22" t="n"/>
      <c r="D72" s="22" t="n"/>
      <c r="E72" s="22" t="n"/>
      <c r="F72" s="22" t="n"/>
      <c r="G72" s="22" t="n"/>
    </row>
    <row r="73">
      <c r="A73" s="22" t="n"/>
      <c r="B73" s="22" t="n"/>
      <c r="D73" s="22" t="n"/>
      <c r="E73" s="22" t="n"/>
      <c r="F73" s="22" t="n"/>
      <c r="G73" s="22" t="n"/>
    </row>
    <row r="74">
      <c r="A74" s="22" t="n"/>
      <c r="B74" s="22" t="n"/>
      <c r="D74" s="22" t="n"/>
      <c r="E74" s="22" t="n"/>
      <c r="F74" s="22" t="n"/>
      <c r="G74" s="22" t="n"/>
    </row>
    <row r="75">
      <c r="A75" s="22" t="n"/>
      <c r="B75" s="22" t="n"/>
      <c r="D75" s="22" t="n"/>
      <c r="E75" s="22" t="n"/>
      <c r="F75" s="22" t="n"/>
      <c r="G75" s="22" t="n"/>
    </row>
    <row r="76">
      <c r="A76" s="22" t="n"/>
      <c r="B76" s="22" t="n"/>
      <c r="D76" s="22" t="n"/>
      <c r="E76" s="22" t="n"/>
      <c r="F76" s="22" t="n"/>
      <c r="G76" s="22" t="n"/>
    </row>
    <row r="77">
      <c r="A77" s="22" t="n"/>
      <c r="B77" s="22" t="n"/>
      <c r="D77" s="22" t="n"/>
      <c r="E77" s="22" t="n"/>
      <c r="F77" s="22" t="n"/>
      <c r="G77" s="22" t="n"/>
    </row>
    <row r="78">
      <c r="A78" s="22" t="n"/>
      <c r="B78" s="22" t="n"/>
      <c r="D78" s="22" t="n"/>
      <c r="E78" s="22" t="n"/>
      <c r="F78" s="22" t="n"/>
      <c r="G78" s="22" t="n"/>
    </row>
    <row r="79">
      <c r="A79" s="22" t="n"/>
      <c r="B79" s="22" t="n"/>
      <c r="D79" s="22" t="n"/>
      <c r="E79" s="22" t="n"/>
      <c r="F79" s="22" t="n"/>
      <c r="G79" s="22" t="n"/>
    </row>
    <row r="80">
      <c r="A80" s="22" t="n"/>
      <c r="B80" s="22" t="n"/>
      <c r="D80" s="22" t="n"/>
      <c r="E80" s="22" t="n"/>
      <c r="F80" s="22" t="n"/>
      <c r="G80" s="22" t="n"/>
    </row>
    <row r="81">
      <c r="A81" s="22" t="n"/>
      <c r="B81" s="22" t="n"/>
      <c r="D81" s="22" t="n"/>
      <c r="E81" s="22" t="n"/>
      <c r="F81" s="22" t="n"/>
      <c r="G81" s="22" t="n"/>
    </row>
    <row r="82">
      <c r="A82" s="22" t="n"/>
      <c r="B82" s="22" t="n"/>
      <c r="D82" s="22" t="n"/>
      <c r="E82" s="22" t="n"/>
      <c r="F82" s="22" t="n"/>
      <c r="G82" s="22" t="n"/>
    </row>
    <row r="83">
      <c r="A83" s="22" t="n"/>
      <c r="B83" s="22" t="n"/>
      <c r="D83" s="22" t="n"/>
      <c r="E83" s="22" t="n"/>
      <c r="F83" s="22" t="n"/>
      <c r="G83" s="22" t="n"/>
    </row>
    <row r="84">
      <c r="A84" s="22" t="n"/>
      <c r="B84" s="22" t="n"/>
      <c r="D84" s="22" t="n"/>
      <c r="E84" s="22" t="n"/>
      <c r="F84" s="22" t="n"/>
      <c r="G84" s="22" t="n"/>
    </row>
    <row r="85">
      <c r="A85" s="22" t="n"/>
      <c r="B85" s="22" t="n"/>
      <c r="D85" s="22" t="n"/>
      <c r="E85" s="22" t="n"/>
      <c r="F85" s="22" t="n"/>
      <c r="G85" s="22" t="n"/>
    </row>
    <row r="86">
      <c r="A86" s="22" t="n"/>
      <c r="B86" s="22" t="n"/>
      <c r="D86" s="22" t="n"/>
      <c r="E86" s="22" t="n"/>
      <c r="F86" s="22" t="n"/>
      <c r="G86" s="22" t="n"/>
    </row>
    <row r="87">
      <c r="A87" s="22" t="n"/>
      <c r="B87" s="22" t="n"/>
      <c r="D87" s="22" t="n"/>
      <c r="E87" s="22" t="n"/>
      <c r="F87" s="22" t="n"/>
      <c r="G87" s="22" t="n"/>
    </row>
    <row r="88">
      <c r="A88" s="22" t="n"/>
      <c r="B88" s="22" t="n"/>
      <c r="D88" s="22" t="n"/>
      <c r="E88" s="22" t="n"/>
      <c r="F88" s="22" t="n"/>
      <c r="G88" s="22" t="n"/>
    </row>
    <row r="89">
      <c r="A89" s="22" t="n"/>
      <c r="B89" s="22" t="n"/>
      <c r="D89" s="22" t="n"/>
      <c r="E89" s="22" t="n"/>
      <c r="F89" s="22" t="n"/>
      <c r="G89" s="22" t="n"/>
    </row>
    <row r="90">
      <c r="A90" s="22" t="n"/>
      <c r="B90" s="22" t="n"/>
      <c r="D90" s="22" t="n"/>
      <c r="E90" s="22" t="n"/>
      <c r="F90" s="22" t="n"/>
      <c r="G90" s="22" t="n"/>
    </row>
    <row r="91">
      <c r="A91" s="22" t="n"/>
      <c r="B91" s="22" t="n"/>
      <c r="D91" s="22" t="n"/>
      <c r="E91" s="22" t="n"/>
      <c r="F91" s="22" t="n"/>
      <c r="G91" s="22" t="n"/>
    </row>
    <row r="92">
      <c r="A92" s="22" t="n"/>
      <c r="B92" s="22" t="n"/>
      <c r="D92" s="22" t="n"/>
      <c r="E92" s="22" t="n"/>
      <c r="F92" s="22" t="n"/>
      <c r="G92" s="22" t="n"/>
    </row>
    <row r="93">
      <c r="A93" s="22" t="n"/>
      <c r="B93" s="22" t="n"/>
      <c r="D93" s="22" t="n"/>
      <c r="E93" s="22" t="n"/>
      <c r="F93" s="22" t="n"/>
      <c r="G93" s="22" t="n"/>
    </row>
    <row r="94">
      <c r="A94" s="22" t="n"/>
      <c r="B94" s="22" t="n"/>
      <c r="D94" s="22" t="n"/>
      <c r="E94" s="22" t="n"/>
      <c r="F94" s="22" t="n"/>
      <c r="G94" s="22" t="n"/>
    </row>
    <row r="95">
      <c r="A95" s="22" t="n"/>
      <c r="B95" s="22" t="n"/>
      <c r="D95" s="22" t="n"/>
      <c r="E95" s="22" t="n"/>
      <c r="F95" s="22" t="n"/>
      <c r="G95" s="22" t="n"/>
    </row>
    <row r="96">
      <c r="A96" s="22" t="n"/>
      <c r="B96" s="22" t="n"/>
      <c r="D96" s="22" t="n"/>
      <c r="E96" s="22" t="n"/>
      <c r="F96" s="22" t="n"/>
      <c r="G96" s="22" t="n"/>
    </row>
    <row r="97">
      <c r="A97" s="22" t="n"/>
      <c r="B97" s="22" t="n"/>
      <c r="D97" s="22" t="n"/>
      <c r="E97" s="22" t="n"/>
      <c r="F97" s="22" t="n"/>
      <c r="G97" s="22" t="n"/>
    </row>
    <row r="98">
      <c r="A98" s="22" t="n"/>
      <c r="B98" s="22" t="n"/>
      <c r="D98" s="22" t="n"/>
      <c r="E98" s="22" t="n"/>
      <c r="F98" s="22" t="n"/>
      <c r="G98" s="22" t="n"/>
    </row>
    <row r="99">
      <c r="A99" s="22" t="n"/>
      <c r="B99" s="22" t="n"/>
      <c r="D99" s="22" t="n"/>
      <c r="E99" s="22" t="n"/>
      <c r="F99" s="22" t="n"/>
      <c r="G99" s="22" t="n"/>
    </row>
    <row r="100">
      <c r="A100" s="22" t="n"/>
      <c r="B100" s="22" t="n"/>
      <c r="D100" s="22" t="n"/>
      <c r="E100" s="22" t="n"/>
      <c r="F100" s="22" t="n"/>
      <c r="G100" s="22" t="n"/>
    </row>
    <row r="101">
      <c r="A101" s="22" t="n"/>
      <c r="B101" s="22" t="n"/>
      <c r="D101" s="22" t="n"/>
      <c r="E101" s="22" t="n"/>
      <c r="F101" s="22" t="n"/>
      <c r="G101" s="22" t="n"/>
    </row>
    <row r="102">
      <c r="A102" s="22" t="n"/>
      <c r="B102" s="22" t="n"/>
      <c r="D102" s="22" t="n"/>
      <c r="E102" s="22" t="n"/>
      <c r="F102" s="22" t="n"/>
      <c r="G102" s="22" t="n"/>
    </row>
    <row r="103">
      <c r="A103" s="22" t="n"/>
      <c r="B103" s="22" t="n"/>
      <c r="D103" s="22" t="n"/>
      <c r="E103" s="22" t="n"/>
      <c r="F103" s="22" t="n"/>
      <c r="G103" s="22" t="n"/>
    </row>
    <row r="104">
      <c r="A104" s="22" t="n"/>
      <c r="B104" s="22" t="n"/>
      <c r="D104" s="22" t="n"/>
      <c r="E104" s="22" t="n"/>
      <c r="F104" s="22" t="n"/>
      <c r="G104" s="22" t="n"/>
    </row>
    <row r="105">
      <c r="A105" s="22" t="n"/>
      <c r="B105" s="22" t="n"/>
      <c r="D105" s="22" t="n"/>
      <c r="E105" s="22" t="n"/>
      <c r="F105" s="22" t="n"/>
      <c r="G105" s="22" t="n"/>
    </row>
    <row r="106">
      <c r="A106" s="22" t="n"/>
      <c r="B106" s="22" t="n"/>
      <c r="D106" s="22" t="n"/>
      <c r="E106" s="22" t="n"/>
      <c r="F106" s="22" t="n"/>
      <c r="G106" s="22" t="n"/>
    </row>
    <row r="107">
      <c r="A107" s="22" t="n"/>
      <c r="B107" s="22" t="n"/>
      <c r="D107" s="22" t="n"/>
      <c r="E107" s="22" t="n"/>
      <c r="F107" s="22" t="n"/>
      <c r="G107" s="22" t="n"/>
    </row>
    <row r="108">
      <c r="A108" s="22" t="n"/>
      <c r="B108" s="22" t="n"/>
      <c r="D108" s="22" t="n"/>
      <c r="E108" s="22" t="n"/>
      <c r="F108" s="22" t="n"/>
      <c r="G108" s="22" t="n"/>
    </row>
    <row r="109">
      <c r="A109" s="22" t="n"/>
      <c r="B109" s="22" t="n"/>
      <c r="D109" s="22" t="n"/>
      <c r="E109" s="22" t="n"/>
      <c r="F109" s="22" t="n"/>
      <c r="G109" s="22" t="n"/>
    </row>
    <row r="110">
      <c r="A110" s="22" t="n"/>
      <c r="B110" s="22" t="n"/>
      <c r="D110" s="22" t="n"/>
      <c r="E110" s="22" t="n"/>
      <c r="F110" s="22" t="n"/>
      <c r="G110" s="22" t="n"/>
    </row>
    <row r="111">
      <c r="A111" s="22" t="n"/>
      <c r="B111" s="22" t="n"/>
      <c r="D111" s="22" t="n"/>
      <c r="E111" s="22" t="n"/>
      <c r="F111" s="22" t="n"/>
      <c r="G111" s="22" t="n"/>
    </row>
    <row r="112">
      <c r="A112" s="22" t="n"/>
      <c r="B112" s="22" t="n"/>
      <c r="D112" s="22" t="n"/>
      <c r="E112" s="22" t="n"/>
      <c r="F112" s="22" t="n"/>
      <c r="G112" s="22" t="n"/>
    </row>
    <row r="113">
      <c r="A113" s="22" t="n"/>
      <c r="B113" s="22" t="n"/>
      <c r="D113" s="22" t="n"/>
      <c r="E113" s="22" t="n"/>
      <c r="F113" s="22" t="n"/>
      <c r="G113" s="22" t="n"/>
    </row>
    <row r="114">
      <c r="A114" s="22" t="n"/>
      <c r="B114" s="22" t="n"/>
      <c r="D114" s="22" t="n"/>
      <c r="E114" s="22" t="n"/>
      <c r="F114" s="22" t="n"/>
      <c r="G114" s="22" t="n"/>
    </row>
    <row r="117">
      <c r="A117" s="23" t="inlineStr">
        <is>
          <t>DATA SOURCE: Business Impact Analysis (BIA) - Requirements are business-driven, not IT-driven</t>
        </is>
      </c>
    </row>
    <row r="118">
      <c r="A118" s="23" t="inlineStr">
        <is>
          <t>MTPD = Maximum Tolerable Period of Disruption | RPO = Recovery Point Objective | RTO = Recovery Time Objective</t>
        </is>
      </c>
    </row>
  </sheetData>
  <mergeCells count="4">
    <mergeCell ref="A118:G118"/>
    <mergeCell ref="A2:G2"/>
    <mergeCell ref="A1:G1"/>
    <mergeCell ref="A117:G117"/>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8"/>
  <sheetViews>
    <sheetView workbookViewId="0">
      <pane ySplit="4" topLeftCell="A5" activePane="bottomLeft" state="frozen"/>
      <selection pane="bottomLeft" activeCell="A1" sqref="A1"/>
    </sheetView>
  </sheetViews>
  <sheetFormatPr baseColWidth="8" defaultRowHeight="15"/>
  <cols>
    <col width="25" customWidth="1" min="1" max="1"/>
    <col width="24" customWidth="1" min="2" max="2"/>
    <col width="26" customWidth="1" min="3" max="3"/>
    <col width="28" customWidth="1" min="4" max="4"/>
    <col width="22" customWidth="1" min="5" max="5"/>
    <col width="22" customWidth="1" min="6" max="6"/>
    <col width="35" customWidth="1" min="7" max="7"/>
  </cols>
  <sheetData>
    <row r="1" ht="30" customHeight="1">
      <c r="A1" s="18" t="inlineStr">
        <is>
          <t>CAPABILITY ASSESSMENT (Technical Capabilities - TESTED)</t>
        </is>
      </c>
    </row>
    <row r="2">
      <c r="A2" s="3" t="inlineStr">
        <is>
          <t>Source: Testing Results - Actual measured recovery times (restore tests, failover tests)</t>
        </is>
      </c>
    </row>
    <row r="4">
      <c r="A4" s="19" t="inlineStr">
        <is>
          <t>System Name</t>
        </is>
      </c>
      <c r="B4" s="19" t="inlineStr">
        <is>
          <t>Backup Frequency (hours)</t>
        </is>
      </c>
      <c r="C4" s="19" t="inlineStr">
        <is>
          <t>Restore Time Tested (hours)</t>
        </is>
      </c>
      <c r="D4" s="19" t="inlineStr">
        <is>
          <t>Failover Time Tested (hours)</t>
        </is>
      </c>
      <c r="E4" s="19" t="inlineStr">
        <is>
          <t>RPO Capability (hours)</t>
        </is>
      </c>
      <c r="F4" s="19" t="inlineStr">
        <is>
          <t>RTO Capability (hours)</t>
        </is>
      </c>
      <c r="G4" s="19" t="inlineStr">
        <is>
          <t>Test Notes / Observations</t>
        </is>
      </c>
    </row>
    <row r="5">
      <c r="A5" s="20" t="inlineStr">
        <is>
          <t>E-Commerce Website</t>
        </is>
      </c>
      <c r="B5" s="20" t="n">
        <v>1</v>
      </c>
      <c r="C5" s="20" t="n">
        <v>4</v>
      </c>
      <c r="D5" s="20" t="n">
        <v>0.5</v>
      </c>
      <c r="E5" s="24">
        <f>IF(ISNUMBER(B5),B5,"")</f>
        <v/>
      </c>
      <c r="F5" s="24">
        <f>IF(AND(ISNUMBER(C5),ISNUMBER(D5)),MIN(C5,D5),IF(ISNUMBER(C5),C5,IF(ISNUMBER(D5),D5,"")))</f>
        <v/>
      </c>
      <c r="G5" s="21" t="inlineStr">
        <is>
          <t>Hourly backups, Active-Passive cluster, tested failover 30 min</t>
        </is>
      </c>
    </row>
    <row r="6">
      <c r="A6" s="20" t="inlineStr">
        <is>
          <t>Payment Gateway</t>
        </is>
      </c>
      <c r="B6" s="20" t="n">
        <v>0.25</v>
      </c>
      <c r="C6" s="20" t="inlineStr"/>
      <c r="D6" s="20" t="n">
        <v>0.08</v>
      </c>
      <c r="E6" s="24">
        <f>IF(ISNUMBER(B6),B6,"")</f>
        <v/>
      </c>
      <c r="F6" s="24">
        <f>IF(AND(ISNUMBER(C6),ISNUMBER(D6)),MIN(C6,D6),IF(ISNUMBER(C6),C6,IF(ISNUMBER(D6),D6,"")))</f>
        <v/>
      </c>
      <c r="G6" s="21" t="inlineStr">
        <is>
          <t>15-min transaction log backups, Active-Active cluster, failover ~5 min</t>
        </is>
      </c>
    </row>
    <row r="7">
      <c r="A7" s="20" t="inlineStr">
        <is>
          <t>Email System</t>
        </is>
      </c>
      <c r="B7" s="20" t="n">
        <v>4</v>
      </c>
      <c r="C7" s="20" t="n">
        <v>12</v>
      </c>
      <c r="D7" s="20" t="inlineStr"/>
      <c r="E7" s="24">
        <f>IF(ISNUMBER(B7),B7,"")</f>
        <v/>
      </c>
      <c r="F7" s="24">
        <f>IF(AND(ISNUMBER(C7),ISNUMBER(D7)),MIN(C7,D7),IF(ISNUMBER(C7),C7,IF(ISNUMBER(D7),D7,"")))</f>
        <v/>
      </c>
      <c r="G7" s="21" t="inlineStr">
        <is>
          <t>Every 4 hours backup via cloud, no redundancy, restore tested at 12 hours</t>
        </is>
      </c>
    </row>
    <row r="8">
      <c r="A8" s="20" t="inlineStr">
        <is>
          <t>CRM System</t>
        </is>
      </c>
      <c r="B8" s="20" t="n">
        <v>2</v>
      </c>
      <c r="C8" s="20" t="n">
        <v>8</v>
      </c>
      <c r="D8" s="20" t="inlineStr"/>
      <c r="E8" s="24">
        <f>IF(ISNUMBER(B8),B8,"")</f>
        <v/>
      </c>
      <c r="F8" s="24">
        <f>IF(AND(ISNUMBER(C8),ISNUMBER(D8)),MIN(C8,D8),IF(ISNUMBER(C8),C8,IF(ISNUMBER(D8),D8,"")))</f>
        <v/>
      </c>
      <c r="G8" s="21" t="inlineStr">
        <is>
          <t>Every 2 hours incremental backup, restore tested at 8 hours, no failover</t>
        </is>
      </c>
    </row>
    <row r="9">
      <c r="A9" s="20" t="inlineStr">
        <is>
          <t>ERP System</t>
        </is>
      </c>
      <c r="B9" s="20" t="n">
        <v>24</v>
      </c>
      <c r="C9" s="20" t="n">
        <v>8</v>
      </c>
      <c r="D9" s="20" t="inlineStr"/>
      <c r="E9" s="24">
        <f>IF(ISNUMBER(B9),B9,"")</f>
        <v/>
      </c>
      <c r="F9" s="24">
        <f>IF(AND(ISNUMBER(C9),ISNUMBER(D9)),MIN(C9,D9),IF(ISNUMBER(C9),C9,IF(ISNUMBER(D9),D9,"")))</f>
        <v/>
      </c>
      <c r="G9" s="21" t="inlineStr">
        <is>
          <t>Daily full backup, restore tested at 8 hours, cold standby available</t>
        </is>
      </c>
    </row>
    <row r="10">
      <c r="A10" s="20" t="inlineStr">
        <is>
          <t>HR Information System</t>
        </is>
      </c>
      <c r="B10" s="20" t="n">
        <v>24</v>
      </c>
      <c r="C10" s="20" t="n">
        <v>20</v>
      </c>
      <c r="D10" s="20" t="inlineStr"/>
      <c r="E10" s="24">
        <f>IF(ISNUMBER(B10),B10,"")</f>
        <v/>
      </c>
      <c r="F10" s="24">
        <f>IF(AND(ISNUMBER(C10),ISNUMBER(D10)),MIN(C10,D10),IF(ISNUMBER(C10),C10,IF(ISNUMBER(D10),D10,"")))</f>
        <v/>
      </c>
      <c r="G10" s="21" t="inlineStr">
        <is>
          <t>Daily backup, complex dependencies, restore tested at 20 hours</t>
        </is>
      </c>
    </row>
    <row r="11">
      <c r="A11" s="20" t="inlineStr">
        <is>
          <t>File Server</t>
        </is>
      </c>
      <c r="B11" s="20" t="n">
        <v>168</v>
      </c>
      <c r="C11" s="20" t="n">
        <v>24</v>
      </c>
      <c r="D11" s="20" t="inlineStr"/>
      <c r="E11" s="24">
        <f>IF(ISNUMBER(B11),B11,"")</f>
        <v/>
      </c>
      <c r="F11" s="24">
        <f>IF(AND(ISNUMBER(C11),ISNUMBER(D11)),MIN(C11,D11),IF(ISNUMBER(C11),C11,IF(ISNUMBER(D11),D11,"")))</f>
        <v/>
      </c>
      <c r="G11" s="21" t="inlineStr">
        <is>
          <t>Weekly backup to tape, restore tested at ~24 hours, low priority</t>
        </is>
      </c>
    </row>
    <row r="12">
      <c r="A12" s="20" t="inlineStr">
        <is>
          <t>Document Repository</t>
        </is>
      </c>
      <c r="B12" s="20" t="n">
        <v>168</v>
      </c>
      <c r="C12" s="20" t="n">
        <v>48</v>
      </c>
      <c r="D12" s="20" t="inlineStr"/>
      <c r="E12" s="24">
        <f>IF(ISNUMBER(B12),B12,"")</f>
        <v/>
      </c>
      <c r="F12" s="24">
        <f>IF(AND(ISNUMBER(C12),ISNUMBER(D12)),MIN(C12,D12),IF(ISNUMBER(C12),C12,IF(ISNUMBER(D12),D12,"")))</f>
        <v/>
      </c>
      <c r="G12" s="21" t="inlineStr">
        <is>
          <t>Weekly backup, large data volume, restore takes ~2 days</t>
        </is>
      </c>
    </row>
    <row r="13">
      <c r="A13" s="20" t="inlineStr">
        <is>
          <t>Test Database</t>
        </is>
      </c>
      <c r="B13" s="20" t="n">
        <v>168</v>
      </c>
      <c r="C13" s="20" t="n">
        <v>4</v>
      </c>
      <c r="D13" s="20" t="inlineStr"/>
      <c r="E13" s="24">
        <f>IF(ISNUMBER(B13),B13,"")</f>
        <v/>
      </c>
      <c r="F13" s="24">
        <f>IF(AND(ISNUMBER(C13),ISNUMBER(D13)),MIN(C13,D13),IF(ISNUMBER(C13),C13,IF(ISNUMBER(D13),D13,"")))</f>
        <v/>
      </c>
      <c r="G13" s="21" t="inlineStr">
        <is>
          <t>Weekly backup, small DB, fast restore, can rebuild from production</t>
        </is>
      </c>
    </row>
    <row r="14">
      <c r="A14" s="20" t="inlineStr">
        <is>
          <t>Training System</t>
        </is>
      </c>
      <c r="B14" s="20" t="n">
        <v>720</v>
      </c>
      <c r="C14" s="20" t="n">
        <v>168</v>
      </c>
      <c r="D14" s="20" t="inlineStr"/>
      <c r="E14" s="24">
        <f>IF(ISNUMBER(B14),B14,"")</f>
        <v/>
      </c>
      <c r="F14" s="24">
        <f>IF(AND(ISNUMBER(C14),ISNUMBER(D14)),MIN(C14,D14),IF(ISNUMBER(C14),C14,IF(ISNUMBER(D14),D14,"")))</f>
        <v/>
      </c>
      <c r="G14" s="21" t="inlineStr">
        <is>
          <t>Monthly backup, rarely tested, long restore time acceptable</t>
        </is>
      </c>
    </row>
    <row r="15">
      <c r="A15" s="22" t="n"/>
      <c r="B15" s="22" t="n"/>
      <c r="C15" s="22" t="n"/>
      <c r="D15" s="22" t="n"/>
      <c r="E15" s="24">
        <f>IF(ISNUMBER(B15),B15,"")</f>
        <v/>
      </c>
      <c r="F15" s="24">
        <f>IF(AND(ISNUMBER(C15),ISNUMBER(D15)),MIN(C15,D15),IF(ISNUMBER(C15),C15,IF(ISNUMBER(D15),D15,"")))</f>
        <v/>
      </c>
      <c r="G15" s="22" t="n"/>
    </row>
    <row r="16">
      <c r="A16" s="22" t="n"/>
      <c r="B16" s="22" t="n"/>
      <c r="C16" s="22" t="n"/>
      <c r="D16" s="22" t="n"/>
      <c r="E16" s="24">
        <f>IF(ISNUMBER(B16),B16,"")</f>
        <v/>
      </c>
      <c r="F16" s="24">
        <f>IF(AND(ISNUMBER(C16),ISNUMBER(D16)),MIN(C16,D16),IF(ISNUMBER(C16),C16,IF(ISNUMBER(D16),D16,"")))</f>
        <v/>
      </c>
      <c r="G16" s="22" t="n"/>
    </row>
    <row r="17">
      <c r="A17" s="22" t="n"/>
      <c r="B17" s="22" t="n"/>
      <c r="C17" s="22" t="n"/>
      <c r="D17" s="22" t="n"/>
      <c r="E17" s="24">
        <f>IF(ISNUMBER(B17),B17,"")</f>
        <v/>
      </c>
      <c r="F17" s="24">
        <f>IF(AND(ISNUMBER(C17),ISNUMBER(D17)),MIN(C17,D17),IF(ISNUMBER(C17),C17,IF(ISNUMBER(D17),D17,"")))</f>
        <v/>
      </c>
      <c r="G17" s="22" t="n"/>
    </row>
    <row r="18">
      <c r="A18" s="22" t="n"/>
      <c r="B18" s="22" t="n"/>
      <c r="C18" s="22" t="n"/>
      <c r="D18" s="22" t="n"/>
      <c r="E18" s="24">
        <f>IF(ISNUMBER(B18),B18,"")</f>
        <v/>
      </c>
      <c r="F18" s="24">
        <f>IF(AND(ISNUMBER(C18),ISNUMBER(D18)),MIN(C18,D18),IF(ISNUMBER(C18),C18,IF(ISNUMBER(D18),D18,"")))</f>
        <v/>
      </c>
      <c r="G18" s="22" t="n"/>
    </row>
    <row r="19">
      <c r="A19" s="22" t="n"/>
      <c r="B19" s="22" t="n"/>
      <c r="C19" s="22" t="n"/>
      <c r="D19" s="22" t="n"/>
      <c r="E19" s="24">
        <f>IF(ISNUMBER(B19),B19,"")</f>
        <v/>
      </c>
      <c r="F19" s="24">
        <f>IF(AND(ISNUMBER(C19),ISNUMBER(D19)),MIN(C19,D19),IF(ISNUMBER(C19),C19,IF(ISNUMBER(D19),D19,"")))</f>
        <v/>
      </c>
      <c r="G19" s="22" t="n"/>
    </row>
    <row r="20">
      <c r="A20" s="22" t="n"/>
      <c r="B20" s="22" t="n"/>
      <c r="C20" s="22" t="n"/>
      <c r="D20" s="22" t="n"/>
      <c r="E20" s="24">
        <f>IF(ISNUMBER(B20),B20,"")</f>
        <v/>
      </c>
      <c r="F20" s="24">
        <f>IF(AND(ISNUMBER(C20),ISNUMBER(D20)),MIN(C20,D20),IF(ISNUMBER(C20),C20,IF(ISNUMBER(D20),D20,"")))</f>
        <v/>
      </c>
      <c r="G20" s="22" t="n"/>
    </row>
    <row r="21">
      <c r="A21" s="22" t="n"/>
      <c r="B21" s="22" t="n"/>
      <c r="C21" s="22" t="n"/>
      <c r="D21" s="22" t="n"/>
      <c r="E21" s="24">
        <f>IF(ISNUMBER(B21),B21,"")</f>
        <v/>
      </c>
      <c r="F21" s="24">
        <f>IF(AND(ISNUMBER(C21),ISNUMBER(D21)),MIN(C21,D21),IF(ISNUMBER(C21),C21,IF(ISNUMBER(D21),D21,"")))</f>
        <v/>
      </c>
      <c r="G21" s="22" t="n"/>
    </row>
    <row r="22">
      <c r="A22" s="22" t="n"/>
      <c r="B22" s="22" t="n"/>
      <c r="C22" s="22" t="n"/>
      <c r="D22" s="22" t="n"/>
      <c r="E22" s="24">
        <f>IF(ISNUMBER(B22),B22,"")</f>
        <v/>
      </c>
      <c r="F22" s="24">
        <f>IF(AND(ISNUMBER(C22),ISNUMBER(D22)),MIN(C22,D22),IF(ISNUMBER(C22),C22,IF(ISNUMBER(D22),D22,"")))</f>
        <v/>
      </c>
      <c r="G22" s="22" t="n"/>
    </row>
    <row r="23">
      <c r="A23" s="22" t="n"/>
      <c r="B23" s="22" t="n"/>
      <c r="C23" s="22" t="n"/>
      <c r="D23" s="22" t="n"/>
      <c r="E23" s="24">
        <f>IF(ISNUMBER(B23),B23,"")</f>
        <v/>
      </c>
      <c r="F23" s="24">
        <f>IF(AND(ISNUMBER(C23),ISNUMBER(D23)),MIN(C23,D23),IF(ISNUMBER(C23),C23,IF(ISNUMBER(D23),D23,"")))</f>
        <v/>
      </c>
      <c r="G23" s="22" t="n"/>
    </row>
    <row r="24">
      <c r="A24" s="22" t="n"/>
      <c r="B24" s="22" t="n"/>
      <c r="C24" s="22" t="n"/>
      <c r="D24" s="22" t="n"/>
      <c r="E24" s="24">
        <f>IF(ISNUMBER(B24),B24,"")</f>
        <v/>
      </c>
      <c r="F24" s="24">
        <f>IF(AND(ISNUMBER(C24),ISNUMBER(D24)),MIN(C24,D24),IF(ISNUMBER(C24),C24,IF(ISNUMBER(D24),D24,"")))</f>
        <v/>
      </c>
      <c r="G24" s="22" t="n"/>
    </row>
    <row r="25">
      <c r="A25" s="22" t="n"/>
      <c r="B25" s="22" t="n"/>
      <c r="C25" s="22" t="n"/>
      <c r="D25" s="22" t="n"/>
      <c r="E25" s="24">
        <f>IF(ISNUMBER(B25),B25,"")</f>
        <v/>
      </c>
      <c r="F25" s="24">
        <f>IF(AND(ISNUMBER(C25),ISNUMBER(D25)),MIN(C25,D25),IF(ISNUMBER(C25),C25,IF(ISNUMBER(D25),D25,"")))</f>
        <v/>
      </c>
      <c r="G25" s="22" t="n"/>
    </row>
    <row r="26">
      <c r="A26" s="22" t="n"/>
      <c r="B26" s="22" t="n"/>
      <c r="C26" s="22" t="n"/>
      <c r="D26" s="22" t="n"/>
      <c r="E26" s="24">
        <f>IF(ISNUMBER(B26),B26,"")</f>
        <v/>
      </c>
      <c r="F26" s="24">
        <f>IF(AND(ISNUMBER(C26),ISNUMBER(D26)),MIN(C26,D26),IF(ISNUMBER(C26),C26,IF(ISNUMBER(D26),D26,"")))</f>
        <v/>
      </c>
      <c r="G26" s="22" t="n"/>
    </row>
    <row r="27">
      <c r="A27" s="22" t="n"/>
      <c r="B27" s="22" t="n"/>
      <c r="C27" s="22" t="n"/>
      <c r="D27" s="22" t="n"/>
      <c r="E27" s="24">
        <f>IF(ISNUMBER(B27),B27,"")</f>
        <v/>
      </c>
      <c r="F27" s="24">
        <f>IF(AND(ISNUMBER(C27),ISNUMBER(D27)),MIN(C27,D27),IF(ISNUMBER(C27),C27,IF(ISNUMBER(D27),D27,"")))</f>
        <v/>
      </c>
      <c r="G27" s="22" t="n"/>
    </row>
    <row r="28">
      <c r="A28" s="22" t="n"/>
      <c r="B28" s="22" t="n"/>
      <c r="C28" s="22" t="n"/>
      <c r="D28" s="22" t="n"/>
      <c r="E28" s="24">
        <f>IF(ISNUMBER(B28),B28,"")</f>
        <v/>
      </c>
      <c r="F28" s="24">
        <f>IF(AND(ISNUMBER(C28),ISNUMBER(D28)),MIN(C28,D28),IF(ISNUMBER(C28),C28,IF(ISNUMBER(D28),D28,"")))</f>
        <v/>
      </c>
      <c r="G28" s="22" t="n"/>
    </row>
    <row r="29">
      <c r="A29" s="22" t="n"/>
      <c r="B29" s="22" t="n"/>
      <c r="C29" s="22" t="n"/>
      <c r="D29" s="22" t="n"/>
      <c r="E29" s="24">
        <f>IF(ISNUMBER(B29),B29,"")</f>
        <v/>
      </c>
      <c r="F29" s="24">
        <f>IF(AND(ISNUMBER(C29),ISNUMBER(D29)),MIN(C29,D29),IF(ISNUMBER(C29),C29,IF(ISNUMBER(D29),D29,"")))</f>
        <v/>
      </c>
      <c r="G29" s="22" t="n"/>
    </row>
    <row r="30">
      <c r="A30" s="22" t="n"/>
      <c r="B30" s="22" t="n"/>
      <c r="C30" s="22" t="n"/>
      <c r="D30" s="22" t="n"/>
      <c r="E30" s="24">
        <f>IF(ISNUMBER(B30),B30,"")</f>
        <v/>
      </c>
      <c r="F30" s="24">
        <f>IF(AND(ISNUMBER(C30),ISNUMBER(D30)),MIN(C30,D30),IF(ISNUMBER(C30),C30,IF(ISNUMBER(D30),D30,"")))</f>
        <v/>
      </c>
      <c r="G30" s="22" t="n"/>
    </row>
    <row r="31">
      <c r="A31" s="22" t="n"/>
      <c r="B31" s="22" t="n"/>
      <c r="C31" s="22" t="n"/>
      <c r="D31" s="22" t="n"/>
      <c r="E31" s="24">
        <f>IF(ISNUMBER(B31),B31,"")</f>
        <v/>
      </c>
      <c r="F31" s="24">
        <f>IF(AND(ISNUMBER(C31),ISNUMBER(D31)),MIN(C31,D31),IF(ISNUMBER(C31),C31,IF(ISNUMBER(D31),D31,"")))</f>
        <v/>
      </c>
      <c r="G31" s="22" t="n"/>
    </row>
    <row r="32">
      <c r="A32" s="22" t="n"/>
      <c r="B32" s="22" t="n"/>
      <c r="C32" s="22" t="n"/>
      <c r="D32" s="22" t="n"/>
      <c r="E32" s="24">
        <f>IF(ISNUMBER(B32),B32,"")</f>
        <v/>
      </c>
      <c r="F32" s="24">
        <f>IF(AND(ISNUMBER(C32),ISNUMBER(D32)),MIN(C32,D32),IF(ISNUMBER(C32),C32,IF(ISNUMBER(D32),D32,"")))</f>
        <v/>
      </c>
      <c r="G32" s="22" t="n"/>
    </row>
    <row r="33">
      <c r="A33" s="22" t="n"/>
      <c r="B33" s="22" t="n"/>
      <c r="C33" s="22" t="n"/>
      <c r="D33" s="22" t="n"/>
      <c r="E33" s="24">
        <f>IF(ISNUMBER(B33),B33,"")</f>
        <v/>
      </c>
      <c r="F33" s="24">
        <f>IF(AND(ISNUMBER(C33),ISNUMBER(D33)),MIN(C33,D33),IF(ISNUMBER(C33),C33,IF(ISNUMBER(D33),D33,"")))</f>
        <v/>
      </c>
      <c r="G33" s="22" t="n"/>
    </row>
    <row r="34">
      <c r="A34" s="22" t="n"/>
      <c r="B34" s="22" t="n"/>
      <c r="C34" s="22" t="n"/>
      <c r="D34" s="22" t="n"/>
      <c r="E34" s="24">
        <f>IF(ISNUMBER(B34),B34,"")</f>
        <v/>
      </c>
      <c r="F34" s="24">
        <f>IF(AND(ISNUMBER(C34),ISNUMBER(D34)),MIN(C34,D34),IF(ISNUMBER(C34),C34,IF(ISNUMBER(D34),D34,"")))</f>
        <v/>
      </c>
      <c r="G34" s="22" t="n"/>
    </row>
    <row r="35">
      <c r="A35" s="22" t="n"/>
      <c r="B35" s="22" t="n"/>
      <c r="C35" s="22" t="n"/>
      <c r="D35" s="22" t="n"/>
      <c r="E35" s="24">
        <f>IF(ISNUMBER(B35),B35,"")</f>
        <v/>
      </c>
      <c r="F35" s="24">
        <f>IF(AND(ISNUMBER(C35),ISNUMBER(D35)),MIN(C35,D35),IF(ISNUMBER(C35),C35,IF(ISNUMBER(D35),D35,"")))</f>
        <v/>
      </c>
      <c r="G35" s="22" t="n"/>
    </row>
    <row r="36">
      <c r="A36" s="22" t="n"/>
      <c r="B36" s="22" t="n"/>
      <c r="C36" s="22" t="n"/>
      <c r="D36" s="22" t="n"/>
      <c r="E36" s="24">
        <f>IF(ISNUMBER(B36),B36,"")</f>
        <v/>
      </c>
      <c r="F36" s="24">
        <f>IF(AND(ISNUMBER(C36),ISNUMBER(D36)),MIN(C36,D36),IF(ISNUMBER(C36),C36,IF(ISNUMBER(D36),D36,"")))</f>
        <v/>
      </c>
      <c r="G36" s="22" t="n"/>
    </row>
    <row r="37">
      <c r="A37" s="22" t="n"/>
      <c r="B37" s="22" t="n"/>
      <c r="C37" s="22" t="n"/>
      <c r="D37" s="22" t="n"/>
      <c r="E37" s="24">
        <f>IF(ISNUMBER(B37),B37,"")</f>
        <v/>
      </c>
      <c r="F37" s="24">
        <f>IF(AND(ISNUMBER(C37),ISNUMBER(D37)),MIN(C37,D37),IF(ISNUMBER(C37),C37,IF(ISNUMBER(D37),D37,"")))</f>
        <v/>
      </c>
      <c r="G37" s="22" t="n"/>
    </row>
    <row r="38">
      <c r="A38" s="22" t="n"/>
      <c r="B38" s="22" t="n"/>
      <c r="C38" s="22" t="n"/>
      <c r="D38" s="22" t="n"/>
      <c r="E38" s="24">
        <f>IF(ISNUMBER(B38),B38,"")</f>
        <v/>
      </c>
      <c r="F38" s="24">
        <f>IF(AND(ISNUMBER(C38),ISNUMBER(D38)),MIN(C38,D38),IF(ISNUMBER(C38),C38,IF(ISNUMBER(D38),D38,"")))</f>
        <v/>
      </c>
      <c r="G38" s="22" t="n"/>
    </row>
    <row r="39">
      <c r="A39" s="22" t="n"/>
      <c r="B39" s="22" t="n"/>
      <c r="C39" s="22" t="n"/>
      <c r="D39" s="22" t="n"/>
      <c r="E39" s="24">
        <f>IF(ISNUMBER(B39),B39,"")</f>
        <v/>
      </c>
      <c r="F39" s="24">
        <f>IF(AND(ISNUMBER(C39),ISNUMBER(D39)),MIN(C39,D39),IF(ISNUMBER(C39),C39,IF(ISNUMBER(D39),D39,"")))</f>
        <v/>
      </c>
      <c r="G39" s="22" t="n"/>
    </row>
    <row r="40">
      <c r="A40" s="22" t="n"/>
      <c r="B40" s="22" t="n"/>
      <c r="C40" s="22" t="n"/>
      <c r="D40" s="22" t="n"/>
      <c r="E40" s="24">
        <f>IF(ISNUMBER(B40),B40,"")</f>
        <v/>
      </c>
      <c r="F40" s="24">
        <f>IF(AND(ISNUMBER(C40),ISNUMBER(D40)),MIN(C40,D40),IF(ISNUMBER(C40),C40,IF(ISNUMBER(D40),D40,"")))</f>
        <v/>
      </c>
      <c r="G40" s="22" t="n"/>
    </row>
    <row r="41">
      <c r="A41" s="22" t="n"/>
      <c r="B41" s="22" t="n"/>
      <c r="C41" s="22" t="n"/>
      <c r="D41" s="22" t="n"/>
      <c r="E41" s="24">
        <f>IF(ISNUMBER(B41),B41,"")</f>
        <v/>
      </c>
      <c r="F41" s="24">
        <f>IF(AND(ISNUMBER(C41),ISNUMBER(D41)),MIN(C41,D41),IF(ISNUMBER(C41),C41,IF(ISNUMBER(D41),D41,"")))</f>
        <v/>
      </c>
      <c r="G41" s="22" t="n"/>
    </row>
    <row r="42">
      <c r="A42" s="22" t="n"/>
      <c r="B42" s="22" t="n"/>
      <c r="C42" s="22" t="n"/>
      <c r="D42" s="22" t="n"/>
      <c r="E42" s="24">
        <f>IF(ISNUMBER(B42),B42,"")</f>
        <v/>
      </c>
      <c r="F42" s="24">
        <f>IF(AND(ISNUMBER(C42),ISNUMBER(D42)),MIN(C42,D42),IF(ISNUMBER(C42),C42,IF(ISNUMBER(D42),D42,"")))</f>
        <v/>
      </c>
      <c r="G42" s="22" t="n"/>
    </row>
    <row r="43">
      <c r="A43" s="22" t="n"/>
      <c r="B43" s="22" t="n"/>
      <c r="C43" s="22" t="n"/>
      <c r="D43" s="22" t="n"/>
      <c r="E43" s="24">
        <f>IF(ISNUMBER(B43),B43,"")</f>
        <v/>
      </c>
      <c r="F43" s="24">
        <f>IF(AND(ISNUMBER(C43),ISNUMBER(D43)),MIN(C43,D43),IF(ISNUMBER(C43),C43,IF(ISNUMBER(D43),D43,"")))</f>
        <v/>
      </c>
      <c r="G43" s="22" t="n"/>
    </row>
    <row r="44">
      <c r="A44" s="22" t="n"/>
      <c r="B44" s="22" t="n"/>
      <c r="C44" s="22" t="n"/>
      <c r="D44" s="22" t="n"/>
      <c r="E44" s="24">
        <f>IF(ISNUMBER(B44),B44,"")</f>
        <v/>
      </c>
      <c r="F44" s="24">
        <f>IF(AND(ISNUMBER(C44),ISNUMBER(D44)),MIN(C44,D44),IF(ISNUMBER(C44),C44,IF(ISNUMBER(D44),D44,"")))</f>
        <v/>
      </c>
      <c r="G44" s="22" t="n"/>
    </row>
    <row r="45">
      <c r="A45" s="22" t="n"/>
      <c r="B45" s="22" t="n"/>
      <c r="C45" s="22" t="n"/>
      <c r="D45" s="22" t="n"/>
      <c r="E45" s="24">
        <f>IF(ISNUMBER(B45),B45,"")</f>
        <v/>
      </c>
      <c r="F45" s="24">
        <f>IF(AND(ISNUMBER(C45),ISNUMBER(D45)),MIN(C45,D45),IF(ISNUMBER(C45),C45,IF(ISNUMBER(D45),D45,"")))</f>
        <v/>
      </c>
      <c r="G45" s="22" t="n"/>
    </row>
    <row r="46">
      <c r="A46" s="22" t="n"/>
      <c r="B46" s="22" t="n"/>
      <c r="C46" s="22" t="n"/>
      <c r="D46" s="22" t="n"/>
      <c r="E46" s="24">
        <f>IF(ISNUMBER(B46),B46,"")</f>
        <v/>
      </c>
      <c r="F46" s="24">
        <f>IF(AND(ISNUMBER(C46),ISNUMBER(D46)),MIN(C46,D46),IF(ISNUMBER(C46),C46,IF(ISNUMBER(D46),D46,"")))</f>
        <v/>
      </c>
      <c r="G46" s="22" t="n"/>
    </row>
    <row r="47">
      <c r="A47" s="22" t="n"/>
      <c r="B47" s="22" t="n"/>
      <c r="C47" s="22" t="n"/>
      <c r="D47" s="22" t="n"/>
      <c r="E47" s="24">
        <f>IF(ISNUMBER(B47),B47,"")</f>
        <v/>
      </c>
      <c r="F47" s="24">
        <f>IF(AND(ISNUMBER(C47),ISNUMBER(D47)),MIN(C47,D47),IF(ISNUMBER(C47),C47,IF(ISNUMBER(D47),D47,"")))</f>
        <v/>
      </c>
      <c r="G47" s="22" t="n"/>
    </row>
    <row r="48">
      <c r="A48" s="22" t="n"/>
      <c r="B48" s="22" t="n"/>
      <c r="C48" s="22" t="n"/>
      <c r="D48" s="22" t="n"/>
      <c r="E48" s="24">
        <f>IF(ISNUMBER(B48),B48,"")</f>
        <v/>
      </c>
      <c r="F48" s="24">
        <f>IF(AND(ISNUMBER(C48),ISNUMBER(D48)),MIN(C48,D48),IF(ISNUMBER(C48),C48,IF(ISNUMBER(D48),D48,"")))</f>
        <v/>
      </c>
      <c r="G48" s="22" t="n"/>
    </row>
    <row r="49">
      <c r="A49" s="22" t="n"/>
      <c r="B49" s="22" t="n"/>
      <c r="C49" s="22" t="n"/>
      <c r="D49" s="22" t="n"/>
      <c r="E49" s="24">
        <f>IF(ISNUMBER(B49),B49,"")</f>
        <v/>
      </c>
      <c r="F49" s="24">
        <f>IF(AND(ISNUMBER(C49),ISNUMBER(D49)),MIN(C49,D49),IF(ISNUMBER(C49),C49,IF(ISNUMBER(D49),D49,"")))</f>
        <v/>
      </c>
      <c r="G49" s="22" t="n"/>
    </row>
    <row r="50">
      <c r="A50" s="22" t="n"/>
      <c r="B50" s="22" t="n"/>
      <c r="C50" s="22" t="n"/>
      <c r="D50" s="22" t="n"/>
      <c r="E50" s="24">
        <f>IF(ISNUMBER(B50),B50,"")</f>
        <v/>
      </c>
      <c r="F50" s="24">
        <f>IF(AND(ISNUMBER(C50),ISNUMBER(D50)),MIN(C50,D50),IF(ISNUMBER(C50),C50,IF(ISNUMBER(D50),D50,"")))</f>
        <v/>
      </c>
      <c r="G50" s="22" t="n"/>
    </row>
    <row r="51">
      <c r="A51" s="22" t="n"/>
      <c r="B51" s="22" t="n"/>
      <c r="C51" s="22" t="n"/>
      <c r="D51" s="22" t="n"/>
      <c r="E51" s="24">
        <f>IF(ISNUMBER(B51),B51,"")</f>
        <v/>
      </c>
      <c r="F51" s="24">
        <f>IF(AND(ISNUMBER(C51),ISNUMBER(D51)),MIN(C51,D51),IF(ISNUMBER(C51),C51,IF(ISNUMBER(D51),D51,"")))</f>
        <v/>
      </c>
      <c r="G51" s="22" t="n"/>
    </row>
    <row r="52">
      <c r="A52" s="22" t="n"/>
      <c r="B52" s="22" t="n"/>
      <c r="C52" s="22" t="n"/>
      <c r="D52" s="22" t="n"/>
      <c r="E52" s="24">
        <f>IF(ISNUMBER(B52),B52,"")</f>
        <v/>
      </c>
      <c r="F52" s="24">
        <f>IF(AND(ISNUMBER(C52),ISNUMBER(D52)),MIN(C52,D52),IF(ISNUMBER(C52),C52,IF(ISNUMBER(D52),D52,"")))</f>
        <v/>
      </c>
      <c r="G52" s="22" t="n"/>
    </row>
    <row r="53">
      <c r="A53" s="22" t="n"/>
      <c r="B53" s="22" t="n"/>
      <c r="C53" s="22" t="n"/>
      <c r="D53" s="22" t="n"/>
      <c r="E53" s="24">
        <f>IF(ISNUMBER(B53),B53,"")</f>
        <v/>
      </c>
      <c r="F53" s="24">
        <f>IF(AND(ISNUMBER(C53),ISNUMBER(D53)),MIN(C53,D53),IF(ISNUMBER(C53),C53,IF(ISNUMBER(D53),D53,"")))</f>
        <v/>
      </c>
      <c r="G53" s="22" t="n"/>
    </row>
    <row r="54">
      <c r="A54" s="22" t="n"/>
      <c r="B54" s="22" t="n"/>
      <c r="C54" s="22" t="n"/>
      <c r="D54" s="22" t="n"/>
      <c r="E54" s="24">
        <f>IF(ISNUMBER(B54),B54,"")</f>
        <v/>
      </c>
      <c r="F54" s="24">
        <f>IF(AND(ISNUMBER(C54),ISNUMBER(D54)),MIN(C54,D54),IF(ISNUMBER(C54),C54,IF(ISNUMBER(D54),D54,"")))</f>
        <v/>
      </c>
      <c r="G54" s="22" t="n"/>
    </row>
    <row r="55">
      <c r="A55" s="22" t="n"/>
      <c r="B55" s="22" t="n"/>
      <c r="C55" s="22" t="n"/>
      <c r="D55" s="22" t="n"/>
      <c r="E55" s="24">
        <f>IF(ISNUMBER(B55),B55,"")</f>
        <v/>
      </c>
      <c r="F55" s="24">
        <f>IF(AND(ISNUMBER(C55),ISNUMBER(D55)),MIN(C55,D55),IF(ISNUMBER(C55),C55,IF(ISNUMBER(D55),D55,"")))</f>
        <v/>
      </c>
      <c r="G55" s="22" t="n"/>
    </row>
    <row r="56">
      <c r="A56" s="22" t="n"/>
      <c r="B56" s="22" t="n"/>
      <c r="C56" s="22" t="n"/>
      <c r="D56" s="22" t="n"/>
      <c r="E56" s="24">
        <f>IF(ISNUMBER(B56),B56,"")</f>
        <v/>
      </c>
      <c r="F56" s="24">
        <f>IF(AND(ISNUMBER(C56),ISNUMBER(D56)),MIN(C56,D56),IF(ISNUMBER(C56),C56,IF(ISNUMBER(D56),D56,"")))</f>
        <v/>
      </c>
      <c r="G56" s="22" t="n"/>
    </row>
    <row r="57">
      <c r="A57" s="22" t="n"/>
      <c r="B57" s="22" t="n"/>
      <c r="C57" s="22" t="n"/>
      <c r="D57" s="22" t="n"/>
      <c r="E57" s="24">
        <f>IF(ISNUMBER(B57),B57,"")</f>
        <v/>
      </c>
      <c r="F57" s="24">
        <f>IF(AND(ISNUMBER(C57),ISNUMBER(D57)),MIN(C57,D57),IF(ISNUMBER(C57),C57,IF(ISNUMBER(D57),D57,"")))</f>
        <v/>
      </c>
      <c r="G57" s="22" t="n"/>
    </row>
    <row r="58">
      <c r="A58" s="22" t="n"/>
      <c r="B58" s="22" t="n"/>
      <c r="C58" s="22" t="n"/>
      <c r="D58" s="22" t="n"/>
      <c r="E58" s="24">
        <f>IF(ISNUMBER(B58),B58,"")</f>
        <v/>
      </c>
      <c r="F58" s="24">
        <f>IF(AND(ISNUMBER(C58),ISNUMBER(D58)),MIN(C58,D58),IF(ISNUMBER(C58),C58,IF(ISNUMBER(D58),D58,"")))</f>
        <v/>
      </c>
      <c r="G58" s="22" t="n"/>
    </row>
    <row r="59">
      <c r="A59" s="22" t="n"/>
      <c r="B59" s="22" t="n"/>
      <c r="C59" s="22" t="n"/>
      <c r="D59" s="22" t="n"/>
      <c r="E59" s="24">
        <f>IF(ISNUMBER(B59),B59,"")</f>
        <v/>
      </c>
      <c r="F59" s="24">
        <f>IF(AND(ISNUMBER(C59),ISNUMBER(D59)),MIN(C59,D59),IF(ISNUMBER(C59),C59,IF(ISNUMBER(D59),D59,"")))</f>
        <v/>
      </c>
      <c r="G59" s="22" t="n"/>
    </row>
    <row r="60">
      <c r="A60" s="22" t="n"/>
      <c r="B60" s="22" t="n"/>
      <c r="C60" s="22" t="n"/>
      <c r="D60" s="22" t="n"/>
      <c r="E60" s="24">
        <f>IF(ISNUMBER(B60),B60,"")</f>
        <v/>
      </c>
      <c r="F60" s="24">
        <f>IF(AND(ISNUMBER(C60),ISNUMBER(D60)),MIN(C60,D60),IF(ISNUMBER(C60),C60,IF(ISNUMBER(D60),D60,"")))</f>
        <v/>
      </c>
      <c r="G60" s="22" t="n"/>
    </row>
    <row r="61">
      <c r="A61" s="22" t="n"/>
      <c r="B61" s="22" t="n"/>
      <c r="C61" s="22" t="n"/>
      <c r="D61" s="22" t="n"/>
      <c r="E61" s="24">
        <f>IF(ISNUMBER(B61),B61,"")</f>
        <v/>
      </c>
      <c r="F61" s="24">
        <f>IF(AND(ISNUMBER(C61),ISNUMBER(D61)),MIN(C61,D61),IF(ISNUMBER(C61),C61,IF(ISNUMBER(D61),D61,"")))</f>
        <v/>
      </c>
      <c r="G61" s="22" t="n"/>
    </row>
    <row r="62">
      <c r="A62" s="22" t="n"/>
      <c r="B62" s="22" t="n"/>
      <c r="C62" s="22" t="n"/>
      <c r="D62" s="22" t="n"/>
      <c r="E62" s="24">
        <f>IF(ISNUMBER(B62),B62,"")</f>
        <v/>
      </c>
      <c r="F62" s="24">
        <f>IF(AND(ISNUMBER(C62),ISNUMBER(D62)),MIN(C62,D62),IF(ISNUMBER(C62),C62,IF(ISNUMBER(D62),D62,"")))</f>
        <v/>
      </c>
      <c r="G62" s="22" t="n"/>
    </row>
    <row r="63">
      <c r="A63" s="22" t="n"/>
      <c r="B63" s="22" t="n"/>
      <c r="C63" s="22" t="n"/>
      <c r="D63" s="22" t="n"/>
      <c r="E63" s="24">
        <f>IF(ISNUMBER(B63),B63,"")</f>
        <v/>
      </c>
      <c r="F63" s="24">
        <f>IF(AND(ISNUMBER(C63),ISNUMBER(D63)),MIN(C63,D63),IF(ISNUMBER(C63),C63,IF(ISNUMBER(D63),D63,"")))</f>
        <v/>
      </c>
      <c r="G63" s="22" t="n"/>
    </row>
    <row r="64">
      <c r="A64" s="22" t="n"/>
      <c r="B64" s="22" t="n"/>
      <c r="C64" s="22" t="n"/>
      <c r="D64" s="22" t="n"/>
      <c r="E64" s="24">
        <f>IF(ISNUMBER(B64),B64,"")</f>
        <v/>
      </c>
      <c r="F64" s="24">
        <f>IF(AND(ISNUMBER(C64),ISNUMBER(D64)),MIN(C64,D64),IF(ISNUMBER(C64),C64,IF(ISNUMBER(D64),D64,"")))</f>
        <v/>
      </c>
      <c r="G64" s="22" t="n"/>
    </row>
    <row r="65">
      <c r="A65" s="22" t="n"/>
      <c r="B65" s="22" t="n"/>
      <c r="C65" s="22" t="n"/>
      <c r="D65" s="22" t="n"/>
      <c r="E65" s="24">
        <f>IF(ISNUMBER(B65),B65,"")</f>
        <v/>
      </c>
      <c r="F65" s="24">
        <f>IF(AND(ISNUMBER(C65),ISNUMBER(D65)),MIN(C65,D65),IF(ISNUMBER(C65),C65,IF(ISNUMBER(D65),D65,"")))</f>
        <v/>
      </c>
      <c r="G65" s="22" t="n"/>
    </row>
    <row r="66">
      <c r="A66" s="22" t="n"/>
      <c r="B66" s="22" t="n"/>
      <c r="C66" s="22" t="n"/>
      <c r="D66" s="22" t="n"/>
      <c r="E66" s="24">
        <f>IF(ISNUMBER(B66),B66,"")</f>
        <v/>
      </c>
      <c r="F66" s="24">
        <f>IF(AND(ISNUMBER(C66),ISNUMBER(D66)),MIN(C66,D66),IF(ISNUMBER(C66),C66,IF(ISNUMBER(D66),D66,"")))</f>
        <v/>
      </c>
      <c r="G66" s="22" t="n"/>
    </row>
    <row r="67">
      <c r="A67" s="22" t="n"/>
      <c r="B67" s="22" t="n"/>
      <c r="C67" s="22" t="n"/>
      <c r="D67" s="22" t="n"/>
      <c r="E67" s="24">
        <f>IF(ISNUMBER(B67),B67,"")</f>
        <v/>
      </c>
      <c r="F67" s="24">
        <f>IF(AND(ISNUMBER(C67),ISNUMBER(D67)),MIN(C67,D67),IF(ISNUMBER(C67),C67,IF(ISNUMBER(D67),D67,"")))</f>
        <v/>
      </c>
      <c r="G67" s="22" t="n"/>
    </row>
    <row r="68">
      <c r="A68" s="22" t="n"/>
      <c r="B68" s="22" t="n"/>
      <c r="C68" s="22" t="n"/>
      <c r="D68" s="22" t="n"/>
      <c r="E68" s="24">
        <f>IF(ISNUMBER(B68),B68,"")</f>
        <v/>
      </c>
      <c r="F68" s="24">
        <f>IF(AND(ISNUMBER(C68),ISNUMBER(D68)),MIN(C68,D68),IF(ISNUMBER(C68),C68,IF(ISNUMBER(D68),D68,"")))</f>
        <v/>
      </c>
      <c r="G68" s="22" t="n"/>
    </row>
    <row r="69">
      <c r="A69" s="22" t="n"/>
      <c r="B69" s="22" t="n"/>
      <c r="C69" s="22" t="n"/>
      <c r="D69" s="22" t="n"/>
      <c r="E69" s="24">
        <f>IF(ISNUMBER(B69),B69,"")</f>
        <v/>
      </c>
      <c r="F69" s="24">
        <f>IF(AND(ISNUMBER(C69),ISNUMBER(D69)),MIN(C69,D69),IF(ISNUMBER(C69),C69,IF(ISNUMBER(D69),D69,"")))</f>
        <v/>
      </c>
      <c r="G69" s="22" t="n"/>
    </row>
    <row r="70">
      <c r="A70" s="22" t="n"/>
      <c r="B70" s="22" t="n"/>
      <c r="C70" s="22" t="n"/>
      <c r="D70" s="22" t="n"/>
      <c r="E70" s="24">
        <f>IF(ISNUMBER(B70),B70,"")</f>
        <v/>
      </c>
      <c r="F70" s="24">
        <f>IF(AND(ISNUMBER(C70),ISNUMBER(D70)),MIN(C70,D70),IF(ISNUMBER(C70),C70,IF(ISNUMBER(D70),D70,"")))</f>
        <v/>
      </c>
      <c r="G70" s="22" t="n"/>
    </row>
    <row r="71">
      <c r="A71" s="22" t="n"/>
      <c r="B71" s="22" t="n"/>
      <c r="C71" s="22" t="n"/>
      <c r="D71" s="22" t="n"/>
      <c r="E71" s="24">
        <f>IF(ISNUMBER(B71),B71,"")</f>
        <v/>
      </c>
      <c r="F71" s="24">
        <f>IF(AND(ISNUMBER(C71),ISNUMBER(D71)),MIN(C71,D71),IF(ISNUMBER(C71),C71,IF(ISNUMBER(D71),D71,"")))</f>
        <v/>
      </c>
      <c r="G71" s="22" t="n"/>
    </row>
    <row r="72">
      <c r="A72" s="22" t="n"/>
      <c r="B72" s="22" t="n"/>
      <c r="C72" s="22" t="n"/>
      <c r="D72" s="22" t="n"/>
      <c r="E72" s="24">
        <f>IF(ISNUMBER(B72),B72,"")</f>
        <v/>
      </c>
      <c r="F72" s="24">
        <f>IF(AND(ISNUMBER(C72),ISNUMBER(D72)),MIN(C72,D72),IF(ISNUMBER(C72),C72,IF(ISNUMBER(D72),D72,"")))</f>
        <v/>
      </c>
      <c r="G72" s="22" t="n"/>
    </row>
    <row r="73">
      <c r="A73" s="22" t="n"/>
      <c r="B73" s="22" t="n"/>
      <c r="C73" s="22" t="n"/>
      <c r="D73" s="22" t="n"/>
      <c r="E73" s="24">
        <f>IF(ISNUMBER(B73),B73,"")</f>
        <v/>
      </c>
      <c r="F73" s="24">
        <f>IF(AND(ISNUMBER(C73),ISNUMBER(D73)),MIN(C73,D73),IF(ISNUMBER(C73),C73,IF(ISNUMBER(D73),D73,"")))</f>
        <v/>
      </c>
      <c r="G73" s="22" t="n"/>
    </row>
    <row r="74">
      <c r="A74" s="22" t="n"/>
      <c r="B74" s="22" t="n"/>
      <c r="C74" s="22" t="n"/>
      <c r="D74" s="22" t="n"/>
      <c r="E74" s="24">
        <f>IF(ISNUMBER(B74),B74,"")</f>
        <v/>
      </c>
      <c r="F74" s="24">
        <f>IF(AND(ISNUMBER(C74),ISNUMBER(D74)),MIN(C74,D74),IF(ISNUMBER(C74),C74,IF(ISNUMBER(D74),D74,"")))</f>
        <v/>
      </c>
      <c r="G74" s="22" t="n"/>
    </row>
    <row r="75">
      <c r="A75" s="22" t="n"/>
      <c r="B75" s="22" t="n"/>
      <c r="C75" s="22" t="n"/>
      <c r="D75" s="22" t="n"/>
      <c r="E75" s="24">
        <f>IF(ISNUMBER(B75),B75,"")</f>
        <v/>
      </c>
      <c r="F75" s="24">
        <f>IF(AND(ISNUMBER(C75),ISNUMBER(D75)),MIN(C75,D75),IF(ISNUMBER(C75),C75,IF(ISNUMBER(D75),D75,"")))</f>
        <v/>
      </c>
      <c r="G75" s="22" t="n"/>
    </row>
    <row r="76">
      <c r="A76" s="22" t="n"/>
      <c r="B76" s="22" t="n"/>
      <c r="C76" s="22" t="n"/>
      <c r="D76" s="22" t="n"/>
      <c r="E76" s="24">
        <f>IF(ISNUMBER(B76),B76,"")</f>
        <v/>
      </c>
      <c r="F76" s="24">
        <f>IF(AND(ISNUMBER(C76),ISNUMBER(D76)),MIN(C76,D76),IF(ISNUMBER(C76),C76,IF(ISNUMBER(D76),D76,"")))</f>
        <v/>
      </c>
      <c r="G76" s="22" t="n"/>
    </row>
    <row r="77">
      <c r="A77" s="22" t="n"/>
      <c r="B77" s="22" t="n"/>
      <c r="C77" s="22" t="n"/>
      <c r="D77" s="22" t="n"/>
      <c r="E77" s="24">
        <f>IF(ISNUMBER(B77),B77,"")</f>
        <v/>
      </c>
      <c r="F77" s="24">
        <f>IF(AND(ISNUMBER(C77),ISNUMBER(D77)),MIN(C77,D77),IF(ISNUMBER(C77),C77,IF(ISNUMBER(D77),D77,"")))</f>
        <v/>
      </c>
      <c r="G77" s="22" t="n"/>
    </row>
    <row r="78">
      <c r="A78" s="22" t="n"/>
      <c r="B78" s="22" t="n"/>
      <c r="C78" s="22" t="n"/>
      <c r="D78" s="22" t="n"/>
      <c r="E78" s="24">
        <f>IF(ISNUMBER(B78),B78,"")</f>
        <v/>
      </c>
      <c r="F78" s="24">
        <f>IF(AND(ISNUMBER(C78),ISNUMBER(D78)),MIN(C78,D78),IF(ISNUMBER(C78),C78,IF(ISNUMBER(D78),D78,"")))</f>
        <v/>
      </c>
      <c r="G78" s="22" t="n"/>
    </row>
    <row r="79">
      <c r="A79" s="22" t="n"/>
      <c r="B79" s="22" t="n"/>
      <c r="C79" s="22" t="n"/>
      <c r="D79" s="22" t="n"/>
      <c r="E79" s="24">
        <f>IF(ISNUMBER(B79),B79,"")</f>
        <v/>
      </c>
      <c r="F79" s="24">
        <f>IF(AND(ISNUMBER(C79),ISNUMBER(D79)),MIN(C79,D79),IF(ISNUMBER(C79),C79,IF(ISNUMBER(D79),D79,"")))</f>
        <v/>
      </c>
      <c r="G79" s="22" t="n"/>
    </row>
    <row r="80">
      <c r="A80" s="22" t="n"/>
      <c r="B80" s="22" t="n"/>
      <c r="C80" s="22" t="n"/>
      <c r="D80" s="22" t="n"/>
      <c r="E80" s="24">
        <f>IF(ISNUMBER(B80),B80,"")</f>
        <v/>
      </c>
      <c r="F80" s="24">
        <f>IF(AND(ISNUMBER(C80),ISNUMBER(D80)),MIN(C80,D80),IF(ISNUMBER(C80),C80,IF(ISNUMBER(D80),D80,"")))</f>
        <v/>
      </c>
      <c r="G80" s="22" t="n"/>
    </row>
    <row r="81">
      <c r="A81" s="22" t="n"/>
      <c r="B81" s="22" t="n"/>
      <c r="C81" s="22" t="n"/>
      <c r="D81" s="22" t="n"/>
      <c r="E81" s="24">
        <f>IF(ISNUMBER(B81),B81,"")</f>
        <v/>
      </c>
      <c r="F81" s="24">
        <f>IF(AND(ISNUMBER(C81),ISNUMBER(D81)),MIN(C81,D81),IF(ISNUMBER(C81),C81,IF(ISNUMBER(D81),D81,"")))</f>
        <v/>
      </c>
      <c r="G81" s="22" t="n"/>
    </row>
    <row r="82">
      <c r="A82" s="22" t="n"/>
      <c r="B82" s="22" t="n"/>
      <c r="C82" s="22" t="n"/>
      <c r="D82" s="22" t="n"/>
      <c r="E82" s="24">
        <f>IF(ISNUMBER(B82),B82,"")</f>
        <v/>
      </c>
      <c r="F82" s="24">
        <f>IF(AND(ISNUMBER(C82),ISNUMBER(D82)),MIN(C82,D82),IF(ISNUMBER(C82),C82,IF(ISNUMBER(D82),D82,"")))</f>
        <v/>
      </c>
      <c r="G82" s="22" t="n"/>
    </row>
    <row r="83">
      <c r="A83" s="22" t="n"/>
      <c r="B83" s="22" t="n"/>
      <c r="C83" s="22" t="n"/>
      <c r="D83" s="22" t="n"/>
      <c r="E83" s="24">
        <f>IF(ISNUMBER(B83),B83,"")</f>
        <v/>
      </c>
      <c r="F83" s="24">
        <f>IF(AND(ISNUMBER(C83),ISNUMBER(D83)),MIN(C83,D83),IF(ISNUMBER(C83),C83,IF(ISNUMBER(D83),D83,"")))</f>
        <v/>
      </c>
      <c r="G83" s="22" t="n"/>
    </row>
    <row r="84">
      <c r="A84" s="22" t="n"/>
      <c r="B84" s="22" t="n"/>
      <c r="C84" s="22" t="n"/>
      <c r="D84" s="22" t="n"/>
      <c r="E84" s="24">
        <f>IF(ISNUMBER(B84),B84,"")</f>
        <v/>
      </c>
      <c r="F84" s="24">
        <f>IF(AND(ISNUMBER(C84),ISNUMBER(D84)),MIN(C84,D84),IF(ISNUMBER(C84),C84,IF(ISNUMBER(D84),D84,"")))</f>
        <v/>
      </c>
      <c r="G84" s="22" t="n"/>
    </row>
    <row r="85">
      <c r="A85" s="22" t="n"/>
      <c r="B85" s="22" t="n"/>
      <c r="C85" s="22" t="n"/>
      <c r="D85" s="22" t="n"/>
      <c r="E85" s="24">
        <f>IF(ISNUMBER(B85),B85,"")</f>
        <v/>
      </c>
      <c r="F85" s="24">
        <f>IF(AND(ISNUMBER(C85),ISNUMBER(D85)),MIN(C85,D85),IF(ISNUMBER(C85),C85,IF(ISNUMBER(D85),D85,"")))</f>
        <v/>
      </c>
      <c r="G85" s="22" t="n"/>
    </row>
    <row r="86">
      <c r="A86" s="22" t="n"/>
      <c r="B86" s="22" t="n"/>
      <c r="C86" s="22" t="n"/>
      <c r="D86" s="22" t="n"/>
      <c r="E86" s="24">
        <f>IF(ISNUMBER(B86),B86,"")</f>
        <v/>
      </c>
      <c r="F86" s="24">
        <f>IF(AND(ISNUMBER(C86),ISNUMBER(D86)),MIN(C86,D86),IF(ISNUMBER(C86),C86,IF(ISNUMBER(D86),D86,"")))</f>
        <v/>
      </c>
      <c r="G86" s="22" t="n"/>
    </row>
    <row r="87">
      <c r="A87" s="22" t="n"/>
      <c r="B87" s="22" t="n"/>
      <c r="C87" s="22" t="n"/>
      <c r="D87" s="22" t="n"/>
      <c r="E87" s="24">
        <f>IF(ISNUMBER(B87),B87,"")</f>
        <v/>
      </c>
      <c r="F87" s="24">
        <f>IF(AND(ISNUMBER(C87),ISNUMBER(D87)),MIN(C87,D87),IF(ISNUMBER(C87),C87,IF(ISNUMBER(D87),D87,"")))</f>
        <v/>
      </c>
      <c r="G87" s="22" t="n"/>
    </row>
    <row r="88">
      <c r="A88" s="22" t="n"/>
      <c r="B88" s="22" t="n"/>
      <c r="C88" s="22" t="n"/>
      <c r="D88" s="22" t="n"/>
      <c r="E88" s="24">
        <f>IF(ISNUMBER(B88),B88,"")</f>
        <v/>
      </c>
      <c r="F88" s="24">
        <f>IF(AND(ISNUMBER(C88),ISNUMBER(D88)),MIN(C88,D88),IF(ISNUMBER(C88),C88,IF(ISNUMBER(D88),D88,"")))</f>
        <v/>
      </c>
      <c r="G88" s="22" t="n"/>
    </row>
    <row r="89">
      <c r="A89" s="22" t="n"/>
      <c r="B89" s="22" t="n"/>
      <c r="C89" s="22" t="n"/>
      <c r="D89" s="22" t="n"/>
      <c r="E89" s="24">
        <f>IF(ISNUMBER(B89),B89,"")</f>
        <v/>
      </c>
      <c r="F89" s="24">
        <f>IF(AND(ISNUMBER(C89),ISNUMBER(D89)),MIN(C89,D89),IF(ISNUMBER(C89),C89,IF(ISNUMBER(D89),D89,"")))</f>
        <v/>
      </c>
      <c r="G89" s="22" t="n"/>
    </row>
    <row r="90">
      <c r="A90" s="22" t="n"/>
      <c r="B90" s="22" t="n"/>
      <c r="C90" s="22" t="n"/>
      <c r="D90" s="22" t="n"/>
      <c r="E90" s="24">
        <f>IF(ISNUMBER(B90),B90,"")</f>
        <v/>
      </c>
      <c r="F90" s="24">
        <f>IF(AND(ISNUMBER(C90),ISNUMBER(D90)),MIN(C90,D90),IF(ISNUMBER(C90),C90,IF(ISNUMBER(D90),D90,"")))</f>
        <v/>
      </c>
      <c r="G90" s="22" t="n"/>
    </row>
    <row r="91">
      <c r="A91" s="22" t="n"/>
      <c r="B91" s="22" t="n"/>
      <c r="C91" s="22" t="n"/>
      <c r="D91" s="22" t="n"/>
      <c r="E91" s="24">
        <f>IF(ISNUMBER(B91),B91,"")</f>
        <v/>
      </c>
      <c r="F91" s="24">
        <f>IF(AND(ISNUMBER(C91),ISNUMBER(D91)),MIN(C91,D91),IF(ISNUMBER(C91),C91,IF(ISNUMBER(D91),D91,"")))</f>
        <v/>
      </c>
      <c r="G91" s="22" t="n"/>
    </row>
    <row r="92">
      <c r="A92" s="22" t="n"/>
      <c r="B92" s="22" t="n"/>
      <c r="C92" s="22" t="n"/>
      <c r="D92" s="22" t="n"/>
      <c r="E92" s="24">
        <f>IF(ISNUMBER(B92),B92,"")</f>
        <v/>
      </c>
      <c r="F92" s="24">
        <f>IF(AND(ISNUMBER(C92),ISNUMBER(D92)),MIN(C92,D92),IF(ISNUMBER(C92),C92,IF(ISNUMBER(D92),D92,"")))</f>
        <v/>
      </c>
      <c r="G92" s="22" t="n"/>
    </row>
    <row r="93">
      <c r="A93" s="22" t="n"/>
      <c r="B93" s="22" t="n"/>
      <c r="C93" s="22" t="n"/>
      <c r="D93" s="22" t="n"/>
      <c r="E93" s="24">
        <f>IF(ISNUMBER(B93),B93,"")</f>
        <v/>
      </c>
      <c r="F93" s="24">
        <f>IF(AND(ISNUMBER(C93),ISNUMBER(D93)),MIN(C93,D93),IF(ISNUMBER(C93),C93,IF(ISNUMBER(D93),D93,"")))</f>
        <v/>
      </c>
      <c r="G93" s="22" t="n"/>
    </row>
    <row r="94">
      <c r="A94" s="22" t="n"/>
      <c r="B94" s="22" t="n"/>
      <c r="C94" s="22" t="n"/>
      <c r="D94" s="22" t="n"/>
      <c r="E94" s="24">
        <f>IF(ISNUMBER(B94),B94,"")</f>
        <v/>
      </c>
      <c r="F94" s="24">
        <f>IF(AND(ISNUMBER(C94),ISNUMBER(D94)),MIN(C94,D94),IF(ISNUMBER(C94),C94,IF(ISNUMBER(D94),D94,"")))</f>
        <v/>
      </c>
      <c r="G94" s="22" t="n"/>
    </row>
    <row r="95">
      <c r="A95" s="22" t="n"/>
      <c r="B95" s="22" t="n"/>
      <c r="C95" s="22" t="n"/>
      <c r="D95" s="22" t="n"/>
      <c r="E95" s="24">
        <f>IF(ISNUMBER(B95),B95,"")</f>
        <v/>
      </c>
      <c r="F95" s="24">
        <f>IF(AND(ISNUMBER(C95),ISNUMBER(D95)),MIN(C95,D95),IF(ISNUMBER(C95),C95,IF(ISNUMBER(D95),D95,"")))</f>
        <v/>
      </c>
      <c r="G95" s="22" t="n"/>
    </row>
    <row r="96">
      <c r="A96" s="22" t="n"/>
      <c r="B96" s="22" t="n"/>
      <c r="C96" s="22" t="n"/>
      <c r="D96" s="22" t="n"/>
      <c r="E96" s="24">
        <f>IF(ISNUMBER(B96),B96,"")</f>
        <v/>
      </c>
      <c r="F96" s="24">
        <f>IF(AND(ISNUMBER(C96),ISNUMBER(D96)),MIN(C96,D96),IF(ISNUMBER(C96),C96,IF(ISNUMBER(D96),D96,"")))</f>
        <v/>
      </c>
      <c r="G96" s="22" t="n"/>
    </row>
    <row r="97">
      <c r="A97" s="22" t="n"/>
      <c r="B97" s="22" t="n"/>
      <c r="C97" s="22" t="n"/>
      <c r="D97" s="22" t="n"/>
      <c r="E97" s="24">
        <f>IF(ISNUMBER(B97),B97,"")</f>
        <v/>
      </c>
      <c r="F97" s="24">
        <f>IF(AND(ISNUMBER(C97),ISNUMBER(D97)),MIN(C97,D97),IF(ISNUMBER(C97),C97,IF(ISNUMBER(D97),D97,"")))</f>
        <v/>
      </c>
      <c r="G97" s="22" t="n"/>
    </row>
    <row r="98">
      <c r="A98" s="22" t="n"/>
      <c r="B98" s="22" t="n"/>
      <c r="C98" s="22" t="n"/>
      <c r="D98" s="22" t="n"/>
      <c r="E98" s="24">
        <f>IF(ISNUMBER(B98),B98,"")</f>
        <v/>
      </c>
      <c r="F98" s="24">
        <f>IF(AND(ISNUMBER(C98),ISNUMBER(D98)),MIN(C98,D98),IF(ISNUMBER(C98),C98,IF(ISNUMBER(D98),D98,"")))</f>
        <v/>
      </c>
      <c r="G98" s="22" t="n"/>
    </row>
    <row r="99">
      <c r="A99" s="22" t="n"/>
      <c r="B99" s="22" t="n"/>
      <c r="C99" s="22" t="n"/>
      <c r="D99" s="22" t="n"/>
      <c r="E99" s="24">
        <f>IF(ISNUMBER(B99),B99,"")</f>
        <v/>
      </c>
      <c r="F99" s="24">
        <f>IF(AND(ISNUMBER(C99),ISNUMBER(D99)),MIN(C99,D99),IF(ISNUMBER(C99),C99,IF(ISNUMBER(D99),D99,"")))</f>
        <v/>
      </c>
      <c r="G99" s="22" t="n"/>
    </row>
    <row r="100">
      <c r="A100" s="22" t="n"/>
      <c r="B100" s="22" t="n"/>
      <c r="C100" s="22" t="n"/>
      <c r="D100" s="22" t="n"/>
      <c r="E100" s="24">
        <f>IF(ISNUMBER(B100),B100,"")</f>
        <v/>
      </c>
      <c r="F100" s="24">
        <f>IF(AND(ISNUMBER(C100),ISNUMBER(D100)),MIN(C100,D100),IF(ISNUMBER(C100),C100,IF(ISNUMBER(D100),D100,"")))</f>
        <v/>
      </c>
      <c r="G100" s="22" t="n"/>
    </row>
    <row r="101">
      <c r="A101" s="22" t="n"/>
      <c r="B101" s="22" t="n"/>
      <c r="C101" s="22" t="n"/>
      <c r="D101" s="22" t="n"/>
      <c r="E101" s="24">
        <f>IF(ISNUMBER(B101),B101,"")</f>
        <v/>
      </c>
      <c r="F101" s="24">
        <f>IF(AND(ISNUMBER(C101),ISNUMBER(D101)),MIN(C101,D101),IF(ISNUMBER(C101),C101,IF(ISNUMBER(D101),D101,"")))</f>
        <v/>
      </c>
      <c r="G101" s="22" t="n"/>
    </row>
    <row r="102">
      <c r="A102" s="22" t="n"/>
      <c r="B102" s="22" t="n"/>
      <c r="C102" s="22" t="n"/>
      <c r="D102" s="22" t="n"/>
      <c r="E102" s="24">
        <f>IF(ISNUMBER(B102),B102,"")</f>
        <v/>
      </c>
      <c r="F102" s="24">
        <f>IF(AND(ISNUMBER(C102),ISNUMBER(D102)),MIN(C102,D102),IF(ISNUMBER(C102),C102,IF(ISNUMBER(D102),D102,"")))</f>
        <v/>
      </c>
      <c r="G102" s="22" t="n"/>
    </row>
    <row r="103">
      <c r="A103" s="22" t="n"/>
      <c r="B103" s="22" t="n"/>
      <c r="C103" s="22" t="n"/>
      <c r="D103" s="22" t="n"/>
      <c r="E103" s="24">
        <f>IF(ISNUMBER(B103),B103,"")</f>
        <v/>
      </c>
      <c r="F103" s="24">
        <f>IF(AND(ISNUMBER(C103),ISNUMBER(D103)),MIN(C103,D103),IF(ISNUMBER(C103),C103,IF(ISNUMBER(D103),D103,"")))</f>
        <v/>
      </c>
      <c r="G103" s="22" t="n"/>
    </row>
    <row r="104">
      <c r="A104" s="22" t="n"/>
      <c r="B104" s="22" t="n"/>
      <c r="C104" s="22" t="n"/>
      <c r="D104" s="22" t="n"/>
      <c r="E104" s="24">
        <f>IF(ISNUMBER(B104),B104,"")</f>
        <v/>
      </c>
      <c r="F104" s="24">
        <f>IF(AND(ISNUMBER(C104),ISNUMBER(D104)),MIN(C104,D104),IF(ISNUMBER(C104),C104,IF(ISNUMBER(D104),D104,"")))</f>
        <v/>
      </c>
      <c r="G104" s="22" t="n"/>
    </row>
    <row r="105">
      <c r="A105" s="22" t="n"/>
      <c r="B105" s="22" t="n"/>
      <c r="C105" s="22" t="n"/>
      <c r="D105" s="22" t="n"/>
      <c r="E105" s="24">
        <f>IF(ISNUMBER(B105),B105,"")</f>
        <v/>
      </c>
      <c r="F105" s="24">
        <f>IF(AND(ISNUMBER(C105),ISNUMBER(D105)),MIN(C105,D105),IF(ISNUMBER(C105),C105,IF(ISNUMBER(D105),D105,"")))</f>
        <v/>
      </c>
      <c r="G105" s="22" t="n"/>
    </row>
    <row r="106">
      <c r="A106" s="22" t="n"/>
      <c r="B106" s="22" t="n"/>
      <c r="C106" s="22" t="n"/>
      <c r="D106" s="22" t="n"/>
      <c r="E106" s="24">
        <f>IF(ISNUMBER(B106),B106,"")</f>
        <v/>
      </c>
      <c r="F106" s="24">
        <f>IF(AND(ISNUMBER(C106),ISNUMBER(D106)),MIN(C106,D106),IF(ISNUMBER(C106),C106,IF(ISNUMBER(D106),D106,"")))</f>
        <v/>
      </c>
      <c r="G106" s="22" t="n"/>
    </row>
    <row r="107">
      <c r="A107" s="22" t="n"/>
      <c r="B107" s="22" t="n"/>
      <c r="C107" s="22" t="n"/>
      <c r="D107" s="22" t="n"/>
      <c r="E107" s="24">
        <f>IF(ISNUMBER(B107),B107,"")</f>
        <v/>
      </c>
      <c r="F107" s="24">
        <f>IF(AND(ISNUMBER(C107),ISNUMBER(D107)),MIN(C107,D107),IF(ISNUMBER(C107),C107,IF(ISNUMBER(D107),D107,"")))</f>
        <v/>
      </c>
      <c r="G107" s="22" t="n"/>
    </row>
    <row r="108">
      <c r="A108" s="22" t="n"/>
      <c r="B108" s="22" t="n"/>
      <c r="C108" s="22" t="n"/>
      <c r="D108" s="22" t="n"/>
      <c r="E108" s="24">
        <f>IF(ISNUMBER(B108),B108,"")</f>
        <v/>
      </c>
      <c r="F108" s="24">
        <f>IF(AND(ISNUMBER(C108),ISNUMBER(D108)),MIN(C108,D108),IF(ISNUMBER(C108),C108,IF(ISNUMBER(D108),D108,"")))</f>
        <v/>
      </c>
      <c r="G108" s="22" t="n"/>
    </row>
    <row r="109">
      <c r="A109" s="22" t="n"/>
      <c r="B109" s="22" t="n"/>
      <c r="C109" s="22" t="n"/>
      <c r="D109" s="22" t="n"/>
      <c r="E109" s="24">
        <f>IF(ISNUMBER(B109),B109,"")</f>
        <v/>
      </c>
      <c r="F109" s="24">
        <f>IF(AND(ISNUMBER(C109),ISNUMBER(D109)),MIN(C109,D109),IF(ISNUMBER(C109),C109,IF(ISNUMBER(D109),D109,"")))</f>
        <v/>
      </c>
      <c r="G109" s="22" t="n"/>
    </row>
    <row r="110">
      <c r="A110" s="22" t="n"/>
      <c r="B110" s="22" t="n"/>
      <c r="C110" s="22" t="n"/>
      <c r="D110" s="22" t="n"/>
      <c r="E110" s="24">
        <f>IF(ISNUMBER(B110),B110,"")</f>
        <v/>
      </c>
      <c r="F110" s="24">
        <f>IF(AND(ISNUMBER(C110),ISNUMBER(D110)),MIN(C110,D110),IF(ISNUMBER(C110),C110,IF(ISNUMBER(D110),D110,"")))</f>
        <v/>
      </c>
      <c r="G110" s="22" t="n"/>
    </row>
    <row r="111">
      <c r="A111" s="22" t="n"/>
      <c r="B111" s="22" t="n"/>
      <c r="C111" s="22" t="n"/>
      <c r="D111" s="22" t="n"/>
      <c r="E111" s="24">
        <f>IF(ISNUMBER(B111),B111,"")</f>
        <v/>
      </c>
      <c r="F111" s="24">
        <f>IF(AND(ISNUMBER(C111),ISNUMBER(D111)),MIN(C111,D111),IF(ISNUMBER(C111),C111,IF(ISNUMBER(D111),D111,"")))</f>
        <v/>
      </c>
      <c r="G111" s="22" t="n"/>
    </row>
    <row r="112">
      <c r="A112" s="22" t="n"/>
      <c r="B112" s="22" t="n"/>
      <c r="C112" s="22" t="n"/>
      <c r="D112" s="22" t="n"/>
      <c r="E112" s="24">
        <f>IF(ISNUMBER(B112),B112,"")</f>
        <v/>
      </c>
      <c r="F112" s="24">
        <f>IF(AND(ISNUMBER(C112),ISNUMBER(D112)),MIN(C112,D112),IF(ISNUMBER(C112),C112,IF(ISNUMBER(D112),D112,"")))</f>
        <v/>
      </c>
      <c r="G112" s="22" t="n"/>
    </row>
    <row r="113">
      <c r="A113" s="22" t="n"/>
      <c r="B113" s="22" t="n"/>
      <c r="C113" s="22" t="n"/>
      <c r="D113" s="22" t="n"/>
      <c r="E113" s="24">
        <f>IF(ISNUMBER(B113),B113,"")</f>
        <v/>
      </c>
      <c r="F113" s="24">
        <f>IF(AND(ISNUMBER(C113),ISNUMBER(D113)),MIN(C113,D113),IF(ISNUMBER(C113),C113,IF(ISNUMBER(D113),D113,"")))</f>
        <v/>
      </c>
      <c r="G113" s="22" t="n"/>
    </row>
    <row r="114">
      <c r="A114" s="22" t="n"/>
      <c r="B114" s="22" t="n"/>
      <c r="C114" s="22" t="n"/>
      <c r="D114" s="22" t="n"/>
      <c r="E114" s="24">
        <f>IF(ISNUMBER(B114),B114,"")</f>
        <v/>
      </c>
      <c r="F114" s="24">
        <f>IF(AND(ISNUMBER(C114),ISNUMBER(D114)),MIN(C114,D114),IF(ISNUMBER(C114),C114,IF(ISNUMBER(D114),D114,"")))</f>
        <v/>
      </c>
      <c r="G114" s="22" t="n"/>
    </row>
    <row r="117">
      <c r="A117" s="25" t="inlineStr">
        <is>
          <t>DATA SOURCE: Testing Results - CRITICAL: Capabilities must be TESTED, not assumed. Untested = Unknown compliance.</t>
        </is>
      </c>
    </row>
    <row r="118">
      <c r="A118" s="23" t="inlineStr">
        <is>
          <t>RPO Capability = Backup Frequency | RTO Capability = MIN(Restore Time, Failover Time) - formulas auto-calculate</t>
        </is>
      </c>
    </row>
  </sheetData>
  <mergeCells count="4">
    <mergeCell ref="A118:G118"/>
    <mergeCell ref="A2:G2"/>
    <mergeCell ref="A1:G1"/>
    <mergeCell ref="A117:G117"/>
  </mergeCells>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3"/>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22" customWidth="1" min="5" max="5"/>
    <col width="15" customWidth="1" min="6" max="6"/>
    <col width="25" customWidth="1" min="7" max="7"/>
    <col width="30" customWidth="1" min="8" max="8"/>
  </cols>
  <sheetData>
    <row r="1" ht="30" customHeight="1">
      <c r="A1" s="18" t="inlineStr">
        <is>
          <t>RPO/RTO COMPLIANCE MATRIX (Requirement vs Capability)</t>
        </is>
      </c>
    </row>
    <row r="2">
      <c r="A2" s="3" t="inlineStr">
        <is>
          <t>Automatic comparison: Business Requirements (System_Inventory) vs Technical Capabilities (Capability_Assessment)</t>
        </is>
      </c>
    </row>
    <row r="4">
      <c r="A4" s="19" t="inlineStr">
        <is>
          <t>System Name</t>
        </is>
      </c>
      <c r="B4" s="19" t="inlineStr">
        <is>
          <t>Criticality</t>
        </is>
      </c>
      <c r="C4" s="19" t="inlineStr">
        <is>
          <t>RPO: Req vs Cap</t>
        </is>
      </c>
      <c r="D4" s="19" t="inlineStr">
        <is>
          <t>RTO: Req vs Cap</t>
        </is>
      </c>
      <c r="E4" s="19" t="inlineStr">
        <is>
          <t>Overall Compliance</t>
        </is>
      </c>
      <c r="F4" s="19" t="inlineStr">
        <is>
          <t>Priority</t>
        </is>
      </c>
      <c r="G4" s="19" t="inlineStr">
        <is>
          <t>Gap Summary</t>
        </is>
      </c>
      <c r="H4" s="19" t="inlineStr">
        <is>
          <t>Next Action Required</t>
        </is>
      </c>
    </row>
    <row r="5">
      <c r="A5" s="20">
        <f>System_Inventory!A5</f>
        <v/>
      </c>
      <c r="B5" s="20">
        <f>System_Inventory!C5</f>
        <v/>
      </c>
      <c r="C5" s="20">
        <f>IF(A5="","",IF(OR(System_Inventory!E5="",Capability_Assessment!E5=""),"❓ Unknown",IF(Capability_Assessment!E5&lt;=System_Inventory!E5,"✅ Compliant","❌ Non-Compliant")))</f>
        <v/>
      </c>
      <c r="D5" s="20">
        <f>IF(A5="","",IF(OR(System_Inventory!F5="",Capability_Assessment!F5=""),"❓ Unknown",IF(Capability_Assessment!F5&lt;=System_Inventory!F5,"✅ Compliant","❌ Non-Compliant")))</f>
        <v/>
      </c>
      <c r="E5" s="20">
        <f>IF(A5="","",IF(OR(C5="❓ Unknown",D5="❓ Unknown"),"❓ Unknown",IF(AND(C5="✅ Compliant",D5="✅ Compliant"),"✅ Full Compliance",IF(OR(C5="✅ Compliant",D5="✅ Compliant"),"⚠ Partial Compliance","❌ Non-Compliant"))))</f>
        <v/>
      </c>
      <c r="F5" s="20">
        <f>IF(A5="","",IF(AND(B5="Tier 1 - Critical",E5="❌ Non-Compliant"),"🔴 Critical",IF(B5="Tier 1 - Critical","🟡 High",IF(E5="❌ Non-Compliant","🟡 High",IF(E5="⚠ Partial Compliance","🟢 Medium","⚪ Low")))))</f>
        <v/>
      </c>
      <c r="G5" s="26">
        <f>IF(A5="","",IF(C5="❌ Non-Compliant",IF(D5="❌ Non-Compliant","Both RPO &amp; RTO gaps","RPO gap only"),IF(D5="❌ Non-Compliant","RTO gap only",IF(E5="❓ Unknown","Testing required","No gaps"))))</f>
        <v/>
      </c>
      <c r="H5" s="26" t="inlineStr">
        <is>
          <t>Monitor continuously, maintain current state</t>
        </is>
      </c>
    </row>
    <row r="6">
      <c r="A6" s="20">
        <f>System_Inventory!A6</f>
        <v/>
      </c>
      <c r="B6" s="20">
        <f>System_Inventory!C6</f>
        <v/>
      </c>
      <c r="C6" s="20">
        <f>IF(A6="","",IF(OR(System_Inventory!E6="",Capability_Assessment!E6=""),"❓ Unknown",IF(Capability_Assessment!E6&lt;=System_Inventory!E6,"✅ Compliant","❌ Non-Compliant")))</f>
        <v/>
      </c>
      <c r="D6" s="20">
        <f>IF(A6="","",IF(OR(System_Inventory!F6="",Capability_Assessment!F6=""),"❓ Unknown",IF(Capability_Assessment!F6&lt;=System_Inventory!F6,"✅ Compliant","❌ Non-Compliant")))</f>
        <v/>
      </c>
      <c r="E6" s="20">
        <f>IF(A6="","",IF(OR(C6="❓ Unknown",D6="❓ Unknown"),"❓ Unknown",IF(AND(C6="✅ Compliant",D6="✅ Compliant"),"✅ Full Compliance",IF(OR(C6="✅ Compliant",D6="✅ Compliant"),"⚠ Partial Compliance","❌ Non-Compliant"))))</f>
        <v/>
      </c>
      <c r="F6" s="20">
        <f>IF(A6="","",IF(AND(B6="Tier 1 - Critical",E6="❌ Non-Compliant"),"🔴 Critical",IF(B6="Tier 1 - Critical","🟡 High",IF(E6="❌ Non-Compliant","🟡 High",IF(E6="⚠ Partial Compliance","🟢 Medium","⚪ Low")))))</f>
        <v/>
      </c>
      <c r="G6" s="26">
        <f>IF(A6="","",IF(C6="❌ Non-Compliant",IF(D6="❌ Non-Compliant","Both RPO &amp; RTO gaps","RPO gap only"),IF(D6="❌ Non-Compliant","RTO gap only",IF(E6="❓ Unknown","Testing required","No gaps"))))</f>
        <v/>
      </c>
      <c r="H6" s="26" t="inlineStr">
        <is>
          <t>Monitor continuously, critical system</t>
        </is>
      </c>
    </row>
    <row r="7">
      <c r="A7" s="20">
        <f>System_Inventory!A7</f>
        <v/>
      </c>
      <c r="B7" s="20">
        <f>System_Inventory!C7</f>
        <v/>
      </c>
      <c r="C7" s="20">
        <f>IF(A7="","",IF(OR(System_Inventory!E7="",Capability_Assessment!E7=""),"❓ Unknown",IF(Capability_Assessment!E7&lt;=System_Inventory!E7,"✅ Compliant","❌ Non-Compliant")))</f>
        <v/>
      </c>
      <c r="D7" s="20">
        <f>IF(A7="","",IF(OR(System_Inventory!F7="",Capability_Assessment!F7=""),"❓ Unknown",IF(Capability_Assessment!F7&lt;=System_Inventory!F7,"✅ Compliant","❌ Non-Compliant")))</f>
        <v/>
      </c>
      <c r="E7" s="20">
        <f>IF(A7="","",IF(OR(C7="❓ Unknown",D7="❓ Unknown"),"❓ Unknown",IF(AND(C7="✅ Compliant",D7="✅ Compliant"),"✅ Full Compliance",IF(OR(C7="✅ Compliant",D7="✅ Compliant"),"⚠ Partial Compliance","❌ Non-Compliant"))))</f>
        <v/>
      </c>
      <c r="F7" s="20">
        <f>IF(A7="","",IF(AND(B7="Tier 1 - Critical",E7="❌ Non-Compliant"),"🔴 Critical",IF(B7="Tier 1 - Critical","🟡 High",IF(E7="❌ Non-Compliant","🟡 High",IF(E7="⚠ Partial Compliance","🟢 Medium","⚪ Low")))))</f>
        <v/>
      </c>
      <c r="G7" s="26">
        <f>IF(A7="","",IF(C7="❌ Non-Compliant",IF(D7="❌ Non-Compliant","Both RPO &amp; RTO gaps","RPO gap only"),IF(D7="❌ Non-Compliant","RTO gap only",IF(E7="❓ Unknown","Testing required","No gaps"))))</f>
        <v/>
      </c>
      <c r="H7" s="26" t="inlineStr">
        <is>
          <t>Consider more frequent backups (currently 4hr, need 4hr RTO)</t>
        </is>
      </c>
    </row>
    <row r="8">
      <c r="A8" s="20">
        <f>System_Inventory!A8</f>
        <v/>
      </c>
      <c r="B8" s="20">
        <f>System_Inventory!C8</f>
        <v/>
      </c>
      <c r="C8" s="20">
        <f>IF(A8="","",IF(OR(System_Inventory!E8="",Capability_Assessment!E8=""),"❓ Unknown",IF(Capability_Assessment!E8&lt;=System_Inventory!E8,"✅ Compliant","❌ Non-Compliant")))</f>
        <v/>
      </c>
      <c r="D8" s="20">
        <f>IF(A8="","",IF(OR(System_Inventory!F8="",Capability_Assessment!F8=""),"❓ Unknown",IF(Capability_Assessment!F8&lt;=System_Inventory!F8,"✅ Compliant","❌ Non-Compliant")))</f>
        <v/>
      </c>
      <c r="E8" s="20">
        <f>IF(A8="","",IF(OR(C8="❓ Unknown",D8="❓ Unknown"),"❓ Unknown",IF(AND(C8="✅ Compliant",D8="✅ Compliant"),"✅ Full Compliance",IF(OR(C8="✅ Compliant",D8="✅ Compliant"),"⚠ Partial Compliance","❌ Non-Compliant"))))</f>
        <v/>
      </c>
      <c r="F8" s="20">
        <f>IF(A8="","",IF(AND(B8="Tier 1 - Critical",E8="❌ Non-Compliant"),"🔴 Critical",IF(B8="Tier 1 - Critical","🟡 High",IF(E8="❌ Non-Compliant","🟡 High",IF(E8="⚠ Partial Compliance","🟢 Medium","⚪ Low")))))</f>
        <v/>
      </c>
      <c r="G8" s="26">
        <f>IF(A8="","",IF(C8="❌ Non-Compliant",IF(D8="❌ Non-Compliant","Both RPO &amp; RTO gaps","RPO gap only"),IF(D8="❌ Non-Compliant","RTO gap only",IF(E8="❓ Unknown","Testing required","No gaps"))))</f>
        <v/>
      </c>
      <c r="H8" s="26" t="inlineStr">
        <is>
          <t>Implement hot standby for faster recovery</t>
        </is>
      </c>
    </row>
    <row r="9">
      <c r="A9" s="20">
        <f>System_Inventory!A9</f>
        <v/>
      </c>
      <c r="B9" s="20">
        <f>System_Inventory!C9</f>
        <v/>
      </c>
      <c r="C9" s="20">
        <f>IF(A9="","",IF(OR(System_Inventory!E9="",Capability_Assessment!E9=""),"❓ Unknown",IF(Capability_Assessment!E9&lt;=System_Inventory!E9,"✅ Compliant","❌ Non-Compliant")))</f>
        <v/>
      </c>
      <c r="D9" s="20">
        <f>IF(A9="","",IF(OR(System_Inventory!F9="",Capability_Assessment!F9=""),"❓ Unknown",IF(Capability_Assessment!F9&lt;=System_Inventory!F9,"✅ Compliant","❌ Non-Compliant")))</f>
        <v/>
      </c>
      <c r="E9" s="20">
        <f>IF(A9="","",IF(OR(C9="❓ Unknown",D9="❓ Unknown"),"❓ Unknown",IF(AND(C9="✅ Compliant",D9="✅ Compliant"),"✅ Full Compliance",IF(OR(C9="✅ Compliant",D9="✅ Compliant"),"⚠ Partial Compliance","❌ Non-Compliant"))))</f>
        <v/>
      </c>
      <c r="F9" s="20">
        <f>IF(A9="","",IF(AND(B9="Tier 1 - Critical",E9="❌ Non-Compliant"),"🔴 Critical",IF(B9="Tier 1 - Critical","🟡 High",IF(E9="❌ Non-Compliant","🟡 High",IF(E9="⚠ Partial Compliance","🟢 Medium","⚪ Low")))))</f>
        <v/>
      </c>
      <c r="G9" s="26">
        <f>IF(A9="","",IF(C9="❌ Non-Compliant",IF(D9="❌ Non-Compliant","Both RPO &amp; RTO gaps","RPO gap only"),IF(D9="❌ Non-Compliant","RTO gap only",IF(E9="❓ Unknown","Testing required","No gaps"))))</f>
        <v/>
      </c>
      <c r="H9" s="26" t="inlineStr">
        <is>
          <t>Acceptable compliance, monitor quarterly</t>
        </is>
      </c>
    </row>
    <row r="10">
      <c r="A10" s="20">
        <f>System_Inventory!A10</f>
        <v/>
      </c>
      <c r="B10" s="20">
        <f>System_Inventory!C10</f>
        <v/>
      </c>
      <c r="C10" s="20">
        <f>IF(A10="","",IF(OR(System_Inventory!E10="",Capability_Assessment!E10=""),"❓ Unknown",IF(Capability_Assessment!E10&lt;=System_Inventory!E10,"✅ Compliant","❌ Non-Compliant")))</f>
        <v/>
      </c>
      <c r="D10" s="20">
        <f>IF(A10="","",IF(OR(System_Inventory!F10="",Capability_Assessment!F10=""),"❓ Unknown",IF(Capability_Assessment!F10&lt;=System_Inventory!F10,"✅ Compliant","❌ Non-Compliant")))</f>
        <v/>
      </c>
      <c r="E10" s="20">
        <f>IF(A10="","",IF(OR(C10="❓ Unknown",D10="❓ Unknown"),"❓ Unknown",IF(AND(C10="✅ Compliant",D10="✅ Compliant"),"✅ Full Compliance",IF(OR(C10="✅ Compliant",D10="✅ Compliant"),"⚠ Partial Compliance","❌ Non-Compliant"))))</f>
        <v/>
      </c>
      <c r="F10" s="20">
        <f>IF(A10="","",IF(AND(B10="Tier 1 - Critical",E10="❌ Non-Compliant"),"🔴 Critical",IF(B10="Tier 1 - Critical","🟡 High",IF(E10="❌ Non-Compliant","🟡 High",IF(E10="⚠ Partial Compliance","🟢 Medium","⚪ Low")))))</f>
        <v/>
      </c>
      <c r="G10" s="26">
        <f>IF(A10="","",IF(C10="❌ Non-Compliant",IF(D10="❌ Non-Compliant","Both RPO &amp; RTO gaps","RPO gap only"),IF(D10="❌ Non-Compliant","RTO gap only",IF(E10="❓ Unknown","Testing required","No gaps"))))</f>
        <v/>
      </c>
      <c r="H10" s="26" t="inlineStr">
        <is>
          <t>Acceptable compliance, monitor quarterly</t>
        </is>
      </c>
    </row>
    <row r="11">
      <c r="A11" s="20">
        <f>System_Inventory!A11</f>
        <v/>
      </c>
      <c r="B11" s="20">
        <f>System_Inventory!C11</f>
        <v/>
      </c>
      <c r="C11" s="20">
        <f>IF(A11="","",IF(OR(System_Inventory!E11="",Capability_Assessment!E11=""),"❓ Unknown",IF(Capability_Assessment!E11&lt;=System_Inventory!E11,"✅ Compliant","❌ Non-Compliant")))</f>
        <v/>
      </c>
      <c r="D11" s="20">
        <f>IF(A11="","",IF(OR(System_Inventory!F11="",Capability_Assessment!F11=""),"❓ Unknown",IF(Capability_Assessment!F11&lt;=System_Inventory!F11,"✅ Compliant","❌ Non-Compliant")))</f>
        <v/>
      </c>
      <c r="E11" s="20">
        <f>IF(A11="","",IF(OR(C11="❓ Unknown",D11="❓ Unknown"),"❓ Unknown",IF(AND(C11="✅ Compliant",D11="✅ Compliant"),"✅ Full Compliance",IF(OR(C11="✅ Compliant",D11="✅ Compliant"),"⚠ Partial Compliance","❌ Non-Compliant"))))</f>
        <v/>
      </c>
      <c r="F11" s="20">
        <f>IF(A11="","",IF(AND(B11="Tier 1 - Critical",E11="❌ Non-Compliant"),"🔴 Critical",IF(B11="Tier 1 - Critical","🟡 High",IF(E11="❌ Non-Compliant","🟡 High",IF(E11="⚠ Partial Compliance","🟢 Medium","⚪ Low")))))</f>
        <v/>
      </c>
      <c r="G11" s="26">
        <f>IF(A11="","",IF(C11="❌ Non-Compliant",IF(D11="❌ Non-Compliant","Both RPO &amp; RTO gaps","RPO gap only"),IF(D11="❌ Non-Compliant","RTO gap only",IF(E11="❓ Unknown","Testing required","No gaps"))))</f>
        <v/>
      </c>
      <c r="H11" s="26" t="inlineStr">
        <is>
          <t>Acceptable for Tier 3, no action required</t>
        </is>
      </c>
    </row>
    <row r="12">
      <c r="A12" s="20">
        <f>System_Inventory!A12</f>
        <v/>
      </c>
      <c r="B12" s="20">
        <f>System_Inventory!C12</f>
        <v/>
      </c>
      <c r="C12" s="20">
        <f>IF(A12="","",IF(OR(System_Inventory!E12="",Capability_Assessment!E12=""),"❓ Unknown",IF(Capability_Assessment!E12&lt;=System_Inventory!E12,"✅ Compliant","❌ Non-Compliant")))</f>
        <v/>
      </c>
      <c r="D12" s="20">
        <f>IF(A12="","",IF(OR(System_Inventory!F12="",Capability_Assessment!F12=""),"❓ Unknown",IF(Capability_Assessment!F12&lt;=System_Inventory!F12,"✅ Compliant","❌ Non-Compliant")))</f>
        <v/>
      </c>
      <c r="E12" s="20">
        <f>IF(A12="","",IF(OR(C12="❓ Unknown",D12="❓ Unknown"),"❓ Unknown",IF(AND(C12="✅ Compliant",D12="✅ Compliant"),"✅ Full Compliance",IF(OR(C12="✅ Compliant",D12="✅ Compliant"),"⚠ Partial Compliance","❌ Non-Compliant"))))</f>
        <v/>
      </c>
      <c r="F12" s="20">
        <f>IF(A12="","",IF(AND(B12="Tier 1 - Critical",E12="❌ Non-Compliant"),"🔴 Critical",IF(B12="Tier 1 - Critical","🟡 High",IF(E12="❌ Non-Compliant","🟡 High",IF(E12="⚠ Partial Compliance","🟢 Medium","⚪ Low")))))</f>
        <v/>
      </c>
      <c r="G12" s="26">
        <f>IF(A12="","",IF(C12="❌ Non-Compliant",IF(D12="❌ Non-Compliant","Both RPO &amp; RTO gaps","RPO gap only"),IF(D12="❌ Non-Compliant","RTO gap only",IF(E12="❓ Unknown","Testing required","No gaps"))))</f>
        <v/>
      </c>
      <c r="H12" s="26" t="inlineStr">
        <is>
          <t>Acceptable for Tier 3, no action required</t>
        </is>
      </c>
    </row>
    <row r="13">
      <c r="A13" s="20">
        <f>System_Inventory!A13</f>
        <v/>
      </c>
      <c r="B13" s="20">
        <f>System_Inventory!C13</f>
        <v/>
      </c>
      <c r="C13" s="20">
        <f>IF(A13="","",IF(OR(System_Inventory!E13="",Capability_Assessment!E13=""),"❓ Unknown",IF(Capability_Assessment!E13&lt;=System_Inventory!E13,"✅ Compliant","❌ Non-Compliant")))</f>
        <v/>
      </c>
      <c r="D13" s="20">
        <f>IF(A13="","",IF(OR(System_Inventory!F13="",Capability_Assessment!F13=""),"❓ Unknown",IF(Capability_Assessment!F13&lt;=System_Inventory!F13,"✅ Compliant","❌ Non-Compliant")))</f>
        <v/>
      </c>
      <c r="E13" s="20">
        <f>IF(A13="","",IF(OR(C13="❓ Unknown",D13="❓ Unknown"),"❓ Unknown",IF(AND(C13="✅ Compliant",D13="✅ Compliant"),"✅ Full Compliance",IF(OR(C13="✅ Compliant",D13="✅ Compliant"),"⚠ Partial Compliance","❌ Non-Compliant"))))</f>
        <v/>
      </c>
      <c r="F13" s="20">
        <f>IF(A13="","",IF(AND(B13="Tier 1 - Critical",E13="❌ Non-Compliant"),"🔴 Critical",IF(B13="Tier 1 - Critical","🟡 High",IF(E13="❌ Non-Compliant","🟡 High",IF(E13="⚠ Partial Compliance","🟢 Medium","⚪ Low")))))</f>
        <v/>
      </c>
      <c r="G13" s="26">
        <f>IF(A13="","",IF(C13="❌ Non-Compliant",IF(D13="❌ Non-Compliant","Both RPO &amp; RTO gaps","RPO gap only"),IF(D13="❌ Non-Compliant","RTO gap only",IF(E13="❓ Unknown","Testing required","No gaps"))))</f>
        <v/>
      </c>
      <c r="H13" s="26" t="inlineStr">
        <is>
          <t>Acceptable for Tier 4, no action required</t>
        </is>
      </c>
    </row>
    <row r="14">
      <c r="A14" s="20">
        <f>System_Inventory!A14</f>
        <v/>
      </c>
      <c r="B14" s="20">
        <f>System_Inventory!C14</f>
        <v/>
      </c>
      <c r="C14" s="20">
        <f>IF(A14="","",IF(OR(System_Inventory!E14="",Capability_Assessment!E14=""),"❓ Unknown",IF(Capability_Assessment!E14&lt;=System_Inventory!E14,"✅ Compliant","❌ Non-Compliant")))</f>
        <v/>
      </c>
      <c r="D14" s="20">
        <f>IF(A14="","",IF(OR(System_Inventory!F14="",Capability_Assessment!F14=""),"❓ Unknown",IF(Capability_Assessment!F14&lt;=System_Inventory!F14,"✅ Compliant","❌ Non-Compliant")))</f>
        <v/>
      </c>
      <c r="E14" s="20">
        <f>IF(A14="","",IF(OR(C14="❓ Unknown",D14="❓ Unknown"),"❓ Unknown",IF(AND(C14="✅ Compliant",D14="✅ Compliant"),"✅ Full Compliance",IF(OR(C14="✅ Compliant",D14="✅ Compliant"),"⚠ Partial Compliance","❌ Non-Compliant"))))</f>
        <v/>
      </c>
      <c r="F14" s="20">
        <f>IF(A14="","",IF(AND(B14="Tier 1 - Critical",E14="❌ Non-Compliant"),"🔴 Critical",IF(B14="Tier 1 - Critical","🟡 High",IF(E14="❌ Non-Compliant","🟡 High",IF(E14="⚠ Partial Compliance","🟢 Medium","⚪ Low")))))</f>
        <v/>
      </c>
      <c r="G14" s="26">
        <f>IF(A14="","",IF(C14="❌ Non-Compliant",IF(D14="❌ Non-Compliant","Both RPO &amp; RTO gaps","RPO gap only"),IF(D14="❌ Non-Compliant","RTO gap only",IF(E14="❓ Unknown","Testing required","No gaps"))))</f>
        <v/>
      </c>
      <c r="H14" s="26" t="inlineStr">
        <is>
          <t>Acceptable for Tier 4, no action required</t>
        </is>
      </c>
    </row>
    <row r="15">
      <c r="A15" s="20">
        <f>System_Inventory!A15</f>
        <v/>
      </c>
      <c r="B15" s="20">
        <f>System_Inventory!C15</f>
        <v/>
      </c>
      <c r="C15" s="20">
        <f>IF(A15="","",IF(OR(System_Inventory!E15="",Capability_Assessment!E15=""),"❓ Unknown",IF(Capability_Assessment!E15&lt;=System_Inventory!E15,"✅ Compliant","❌ Non-Compliant")))</f>
        <v/>
      </c>
      <c r="D15" s="20">
        <f>IF(A15="","",IF(OR(System_Inventory!F15="",Capability_Assessment!F15=""),"❓ Unknown",IF(Capability_Assessment!F15&lt;=System_Inventory!F15,"✅ Compliant","❌ Non-Compliant")))</f>
        <v/>
      </c>
      <c r="E15" s="20">
        <f>IF(A15="","",IF(OR(C15="❓ Unknown",D15="❓ Unknown"),"❓ Unknown",IF(AND(C15="✅ Compliant",D15="✅ Compliant"),"✅ Full Compliance",IF(OR(C15="✅ Compliant",D15="✅ Compliant"),"⚠ Partial Compliance","❌ Non-Compliant"))))</f>
        <v/>
      </c>
      <c r="F15" s="20">
        <f>IF(A15="","",IF(AND(B15="Tier 1 - Critical",E15="❌ Non-Compliant"),"🔴 Critical",IF(B15="Tier 1 - Critical","🟡 High",IF(E15="❌ Non-Compliant","🟡 High",IF(E15="⚠ Partial Compliance","🟢 Medium","⚪ Low")))))</f>
        <v/>
      </c>
      <c r="G15" s="26">
        <f>IF(A15="","",IF(C15="❌ Non-Compliant",IF(D15="❌ Non-Compliant","Both RPO &amp; RTO gaps","RPO gap only"),IF(D15="❌ Non-Compliant","RTO gap only",IF(E15="❓ Unknown","Testing required","No gaps"))))</f>
        <v/>
      </c>
      <c r="H15" s="27" t="n"/>
    </row>
    <row r="16">
      <c r="A16" s="20">
        <f>System_Inventory!A16</f>
        <v/>
      </c>
      <c r="B16" s="20">
        <f>System_Inventory!C16</f>
        <v/>
      </c>
      <c r="C16" s="20">
        <f>IF(A16="","",IF(OR(System_Inventory!E16="",Capability_Assessment!E16=""),"❓ Unknown",IF(Capability_Assessment!E16&lt;=System_Inventory!E16,"✅ Compliant","❌ Non-Compliant")))</f>
        <v/>
      </c>
      <c r="D16" s="20">
        <f>IF(A16="","",IF(OR(System_Inventory!F16="",Capability_Assessment!F16=""),"❓ Unknown",IF(Capability_Assessment!F16&lt;=System_Inventory!F16,"✅ Compliant","❌ Non-Compliant")))</f>
        <v/>
      </c>
      <c r="E16" s="20">
        <f>IF(A16="","",IF(OR(C16="❓ Unknown",D16="❓ Unknown"),"❓ Unknown",IF(AND(C16="✅ Compliant",D16="✅ Compliant"),"✅ Full Compliance",IF(OR(C16="✅ Compliant",D16="✅ Compliant"),"⚠ Partial Compliance","❌ Non-Compliant"))))</f>
        <v/>
      </c>
      <c r="F16" s="20">
        <f>IF(A16="","",IF(AND(B16="Tier 1 - Critical",E16="❌ Non-Compliant"),"🔴 Critical",IF(B16="Tier 1 - Critical","🟡 High",IF(E16="❌ Non-Compliant","🟡 High",IF(E16="⚠ Partial Compliance","🟢 Medium","⚪ Low")))))</f>
        <v/>
      </c>
      <c r="G16" s="26">
        <f>IF(A16="","",IF(C16="❌ Non-Compliant",IF(D16="❌ Non-Compliant","Both RPO &amp; RTO gaps","RPO gap only"),IF(D16="❌ Non-Compliant","RTO gap only",IF(E16="❓ Unknown","Testing required","No gaps"))))</f>
        <v/>
      </c>
      <c r="H16" s="27" t="n"/>
    </row>
    <row r="17">
      <c r="A17" s="20">
        <f>System_Inventory!A17</f>
        <v/>
      </c>
      <c r="B17" s="20">
        <f>System_Inventory!C17</f>
        <v/>
      </c>
      <c r="C17" s="20">
        <f>IF(A17="","",IF(OR(System_Inventory!E17="",Capability_Assessment!E17=""),"❓ Unknown",IF(Capability_Assessment!E17&lt;=System_Inventory!E17,"✅ Compliant","❌ Non-Compliant")))</f>
        <v/>
      </c>
      <c r="D17" s="20">
        <f>IF(A17="","",IF(OR(System_Inventory!F17="",Capability_Assessment!F17=""),"❓ Unknown",IF(Capability_Assessment!F17&lt;=System_Inventory!F17,"✅ Compliant","❌ Non-Compliant")))</f>
        <v/>
      </c>
      <c r="E17" s="20">
        <f>IF(A17="","",IF(OR(C17="❓ Unknown",D17="❓ Unknown"),"❓ Unknown",IF(AND(C17="✅ Compliant",D17="✅ Compliant"),"✅ Full Compliance",IF(OR(C17="✅ Compliant",D17="✅ Compliant"),"⚠ Partial Compliance","❌ Non-Compliant"))))</f>
        <v/>
      </c>
      <c r="F17" s="20">
        <f>IF(A17="","",IF(AND(B17="Tier 1 - Critical",E17="❌ Non-Compliant"),"🔴 Critical",IF(B17="Tier 1 - Critical","🟡 High",IF(E17="❌ Non-Compliant","🟡 High",IF(E17="⚠ Partial Compliance","🟢 Medium","⚪ Low")))))</f>
        <v/>
      </c>
      <c r="G17" s="26">
        <f>IF(A17="","",IF(C17="❌ Non-Compliant",IF(D17="❌ Non-Compliant","Both RPO &amp; RTO gaps","RPO gap only"),IF(D17="❌ Non-Compliant","RTO gap only",IF(E17="❓ Unknown","Testing required","No gaps"))))</f>
        <v/>
      </c>
      <c r="H17" s="27" t="n"/>
    </row>
    <row r="18">
      <c r="A18" s="20">
        <f>System_Inventory!A18</f>
        <v/>
      </c>
      <c r="B18" s="20">
        <f>System_Inventory!C18</f>
        <v/>
      </c>
      <c r="C18" s="20">
        <f>IF(A18="","",IF(OR(System_Inventory!E18="",Capability_Assessment!E18=""),"❓ Unknown",IF(Capability_Assessment!E18&lt;=System_Inventory!E18,"✅ Compliant","❌ Non-Compliant")))</f>
        <v/>
      </c>
      <c r="D18" s="20">
        <f>IF(A18="","",IF(OR(System_Inventory!F18="",Capability_Assessment!F18=""),"❓ Unknown",IF(Capability_Assessment!F18&lt;=System_Inventory!F18,"✅ Compliant","❌ Non-Compliant")))</f>
        <v/>
      </c>
      <c r="E18" s="20">
        <f>IF(A18="","",IF(OR(C18="❓ Unknown",D18="❓ Unknown"),"❓ Unknown",IF(AND(C18="✅ Compliant",D18="✅ Compliant"),"✅ Full Compliance",IF(OR(C18="✅ Compliant",D18="✅ Compliant"),"⚠ Partial Compliance","❌ Non-Compliant"))))</f>
        <v/>
      </c>
      <c r="F18" s="20">
        <f>IF(A18="","",IF(AND(B18="Tier 1 - Critical",E18="❌ Non-Compliant"),"🔴 Critical",IF(B18="Tier 1 - Critical","🟡 High",IF(E18="❌ Non-Compliant","🟡 High",IF(E18="⚠ Partial Compliance","🟢 Medium","⚪ Low")))))</f>
        <v/>
      </c>
      <c r="G18" s="26">
        <f>IF(A18="","",IF(C18="❌ Non-Compliant",IF(D18="❌ Non-Compliant","Both RPO &amp; RTO gaps","RPO gap only"),IF(D18="❌ Non-Compliant","RTO gap only",IF(E18="❓ Unknown","Testing required","No gaps"))))</f>
        <v/>
      </c>
      <c r="H18" s="27" t="n"/>
    </row>
    <row r="19">
      <c r="A19" s="20">
        <f>System_Inventory!A19</f>
        <v/>
      </c>
      <c r="B19" s="20">
        <f>System_Inventory!C19</f>
        <v/>
      </c>
      <c r="C19" s="20">
        <f>IF(A19="","",IF(OR(System_Inventory!E19="",Capability_Assessment!E19=""),"❓ Unknown",IF(Capability_Assessment!E19&lt;=System_Inventory!E19,"✅ Compliant","❌ Non-Compliant")))</f>
        <v/>
      </c>
      <c r="D19" s="20">
        <f>IF(A19="","",IF(OR(System_Inventory!F19="",Capability_Assessment!F19=""),"❓ Unknown",IF(Capability_Assessment!F19&lt;=System_Inventory!F19,"✅ Compliant","❌ Non-Compliant")))</f>
        <v/>
      </c>
      <c r="E19" s="20">
        <f>IF(A19="","",IF(OR(C19="❓ Unknown",D19="❓ Unknown"),"❓ Unknown",IF(AND(C19="✅ Compliant",D19="✅ Compliant"),"✅ Full Compliance",IF(OR(C19="✅ Compliant",D19="✅ Compliant"),"⚠ Partial Compliance","❌ Non-Compliant"))))</f>
        <v/>
      </c>
      <c r="F19" s="20">
        <f>IF(A19="","",IF(AND(B19="Tier 1 - Critical",E19="❌ Non-Compliant"),"🔴 Critical",IF(B19="Tier 1 - Critical","🟡 High",IF(E19="❌ Non-Compliant","🟡 High",IF(E19="⚠ Partial Compliance","🟢 Medium","⚪ Low")))))</f>
        <v/>
      </c>
      <c r="G19" s="26">
        <f>IF(A19="","",IF(C19="❌ Non-Compliant",IF(D19="❌ Non-Compliant","Both RPO &amp; RTO gaps","RPO gap only"),IF(D19="❌ Non-Compliant","RTO gap only",IF(E19="❓ Unknown","Testing required","No gaps"))))</f>
        <v/>
      </c>
      <c r="H19" s="27" t="n"/>
    </row>
    <row r="20">
      <c r="A20" s="20">
        <f>System_Inventory!A20</f>
        <v/>
      </c>
      <c r="B20" s="20">
        <f>System_Inventory!C20</f>
        <v/>
      </c>
      <c r="C20" s="20">
        <f>IF(A20="","",IF(OR(System_Inventory!E20="",Capability_Assessment!E20=""),"❓ Unknown",IF(Capability_Assessment!E20&lt;=System_Inventory!E20,"✅ Compliant","❌ Non-Compliant")))</f>
        <v/>
      </c>
      <c r="D20" s="20">
        <f>IF(A20="","",IF(OR(System_Inventory!F20="",Capability_Assessment!F20=""),"❓ Unknown",IF(Capability_Assessment!F20&lt;=System_Inventory!F20,"✅ Compliant","❌ Non-Compliant")))</f>
        <v/>
      </c>
      <c r="E20" s="20">
        <f>IF(A20="","",IF(OR(C20="❓ Unknown",D20="❓ Unknown"),"❓ Unknown",IF(AND(C20="✅ Compliant",D20="✅ Compliant"),"✅ Full Compliance",IF(OR(C20="✅ Compliant",D20="✅ Compliant"),"⚠ Partial Compliance","❌ Non-Compliant"))))</f>
        <v/>
      </c>
      <c r="F20" s="20">
        <f>IF(A20="","",IF(AND(B20="Tier 1 - Critical",E20="❌ Non-Compliant"),"🔴 Critical",IF(B20="Tier 1 - Critical","🟡 High",IF(E20="❌ Non-Compliant","🟡 High",IF(E20="⚠ Partial Compliance","🟢 Medium","⚪ Low")))))</f>
        <v/>
      </c>
      <c r="G20" s="26">
        <f>IF(A20="","",IF(C20="❌ Non-Compliant",IF(D20="❌ Non-Compliant","Both RPO &amp; RTO gaps","RPO gap only"),IF(D20="❌ Non-Compliant","RTO gap only",IF(E20="❓ Unknown","Testing required","No gaps"))))</f>
        <v/>
      </c>
      <c r="H20" s="27" t="n"/>
    </row>
    <row r="21">
      <c r="A21" s="20">
        <f>System_Inventory!A21</f>
        <v/>
      </c>
      <c r="B21" s="20">
        <f>System_Inventory!C21</f>
        <v/>
      </c>
      <c r="C21" s="20">
        <f>IF(A21="","",IF(OR(System_Inventory!E21="",Capability_Assessment!E21=""),"❓ Unknown",IF(Capability_Assessment!E21&lt;=System_Inventory!E21,"✅ Compliant","❌ Non-Compliant")))</f>
        <v/>
      </c>
      <c r="D21" s="20">
        <f>IF(A21="","",IF(OR(System_Inventory!F21="",Capability_Assessment!F21=""),"❓ Unknown",IF(Capability_Assessment!F21&lt;=System_Inventory!F21,"✅ Compliant","❌ Non-Compliant")))</f>
        <v/>
      </c>
      <c r="E21" s="20">
        <f>IF(A21="","",IF(OR(C21="❓ Unknown",D21="❓ Unknown"),"❓ Unknown",IF(AND(C21="✅ Compliant",D21="✅ Compliant"),"✅ Full Compliance",IF(OR(C21="✅ Compliant",D21="✅ Compliant"),"⚠ Partial Compliance","❌ Non-Compliant"))))</f>
        <v/>
      </c>
      <c r="F21" s="20">
        <f>IF(A21="","",IF(AND(B21="Tier 1 - Critical",E21="❌ Non-Compliant"),"🔴 Critical",IF(B21="Tier 1 - Critical","🟡 High",IF(E21="❌ Non-Compliant","🟡 High",IF(E21="⚠ Partial Compliance","🟢 Medium","⚪ Low")))))</f>
        <v/>
      </c>
      <c r="G21" s="26">
        <f>IF(A21="","",IF(C21="❌ Non-Compliant",IF(D21="❌ Non-Compliant","Both RPO &amp; RTO gaps","RPO gap only"),IF(D21="❌ Non-Compliant","RTO gap only",IF(E21="❓ Unknown","Testing required","No gaps"))))</f>
        <v/>
      </c>
      <c r="H21" s="27" t="n"/>
    </row>
    <row r="22">
      <c r="A22" s="20">
        <f>System_Inventory!A22</f>
        <v/>
      </c>
      <c r="B22" s="20">
        <f>System_Inventory!C22</f>
        <v/>
      </c>
      <c r="C22" s="20">
        <f>IF(A22="","",IF(OR(System_Inventory!E22="",Capability_Assessment!E22=""),"❓ Unknown",IF(Capability_Assessment!E22&lt;=System_Inventory!E22,"✅ Compliant","❌ Non-Compliant")))</f>
        <v/>
      </c>
      <c r="D22" s="20">
        <f>IF(A22="","",IF(OR(System_Inventory!F22="",Capability_Assessment!F22=""),"❓ Unknown",IF(Capability_Assessment!F22&lt;=System_Inventory!F22,"✅ Compliant","❌ Non-Compliant")))</f>
        <v/>
      </c>
      <c r="E22" s="20">
        <f>IF(A22="","",IF(OR(C22="❓ Unknown",D22="❓ Unknown"),"❓ Unknown",IF(AND(C22="✅ Compliant",D22="✅ Compliant"),"✅ Full Compliance",IF(OR(C22="✅ Compliant",D22="✅ Compliant"),"⚠ Partial Compliance","❌ Non-Compliant"))))</f>
        <v/>
      </c>
      <c r="F22" s="20">
        <f>IF(A22="","",IF(AND(B22="Tier 1 - Critical",E22="❌ Non-Compliant"),"🔴 Critical",IF(B22="Tier 1 - Critical","🟡 High",IF(E22="❌ Non-Compliant","🟡 High",IF(E22="⚠ Partial Compliance","🟢 Medium","⚪ Low")))))</f>
        <v/>
      </c>
      <c r="G22" s="26">
        <f>IF(A22="","",IF(C22="❌ Non-Compliant",IF(D22="❌ Non-Compliant","Both RPO &amp; RTO gaps","RPO gap only"),IF(D22="❌ Non-Compliant","RTO gap only",IF(E22="❓ Unknown","Testing required","No gaps"))))</f>
        <v/>
      </c>
      <c r="H22" s="27" t="n"/>
    </row>
    <row r="23">
      <c r="A23" s="20">
        <f>System_Inventory!A23</f>
        <v/>
      </c>
      <c r="B23" s="20">
        <f>System_Inventory!C23</f>
        <v/>
      </c>
      <c r="C23" s="20">
        <f>IF(A23="","",IF(OR(System_Inventory!E23="",Capability_Assessment!E23=""),"❓ Unknown",IF(Capability_Assessment!E23&lt;=System_Inventory!E23,"✅ Compliant","❌ Non-Compliant")))</f>
        <v/>
      </c>
      <c r="D23" s="20">
        <f>IF(A23="","",IF(OR(System_Inventory!F23="",Capability_Assessment!F23=""),"❓ Unknown",IF(Capability_Assessment!F23&lt;=System_Inventory!F23,"✅ Compliant","❌ Non-Compliant")))</f>
        <v/>
      </c>
      <c r="E23" s="20">
        <f>IF(A23="","",IF(OR(C23="❓ Unknown",D23="❓ Unknown"),"❓ Unknown",IF(AND(C23="✅ Compliant",D23="✅ Compliant"),"✅ Full Compliance",IF(OR(C23="✅ Compliant",D23="✅ Compliant"),"⚠ Partial Compliance","❌ Non-Compliant"))))</f>
        <v/>
      </c>
      <c r="F23" s="20">
        <f>IF(A23="","",IF(AND(B23="Tier 1 - Critical",E23="❌ Non-Compliant"),"🔴 Critical",IF(B23="Tier 1 - Critical","🟡 High",IF(E23="❌ Non-Compliant","🟡 High",IF(E23="⚠ Partial Compliance","🟢 Medium","⚪ Low")))))</f>
        <v/>
      </c>
      <c r="G23" s="26">
        <f>IF(A23="","",IF(C23="❌ Non-Compliant",IF(D23="❌ Non-Compliant","Both RPO &amp; RTO gaps","RPO gap only"),IF(D23="❌ Non-Compliant","RTO gap only",IF(E23="❓ Unknown","Testing required","No gaps"))))</f>
        <v/>
      </c>
      <c r="H23" s="27" t="n"/>
    </row>
    <row r="24">
      <c r="A24" s="20">
        <f>System_Inventory!A24</f>
        <v/>
      </c>
      <c r="B24" s="20">
        <f>System_Inventory!C24</f>
        <v/>
      </c>
      <c r="C24" s="20">
        <f>IF(A24="","",IF(OR(System_Inventory!E24="",Capability_Assessment!E24=""),"❓ Unknown",IF(Capability_Assessment!E24&lt;=System_Inventory!E24,"✅ Compliant","❌ Non-Compliant")))</f>
        <v/>
      </c>
      <c r="D24" s="20">
        <f>IF(A24="","",IF(OR(System_Inventory!F24="",Capability_Assessment!F24=""),"❓ Unknown",IF(Capability_Assessment!F24&lt;=System_Inventory!F24,"✅ Compliant","❌ Non-Compliant")))</f>
        <v/>
      </c>
      <c r="E24" s="20">
        <f>IF(A24="","",IF(OR(C24="❓ Unknown",D24="❓ Unknown"),"❓ Unknown",IF(AND(C24="✅ Compliant",D24="✅ Compliant"),"✅ Full Compliance",IF(OR(C24="✅ Compliant",D24="✅ Compliant"),"⚠ Partial Compliance","❌ Non-Compliant"))))</f>
        <v/>
      </c>
      <c r="F24" s="20">
        <f>IF(A24="","",IF(AND(B24="Tier 1 - Critical",E24="❌ Non-Compliant"),"🔴 Critical",IF(B24="Tier 1 - Critical","🟡 High",IF(E24="❌ Non-Compliant","🟡 High",IF(E24="⚠ Partial Compliance","🟢 Medium","⚪ Low")))))</f>
        <v/>
      </c>
      <c r="G24" s="26">
        <f>IF(A24="","",IF(C24="❌ Non-Compliant",IF(D24="❌ Non-Compliant","Both RPO &amp; RTO gaps","RPO gap only"),IF(D24="❌ Non-Compliant","RTO gap only",IF(E24="❓ Unknown","Testing required","No gaps"))))</f>
        <v/>
      </c>
      <c r="H24" s="27" t="n"/>
    </row>
    <row r="25">
      <c r="A25" s="20">
        <f>System_Inventory!A25</f>
        <v/>
      </c>
      <c r="B25" s="20">
        <f>System_Inventory!C25</f>
        <v/>
      </c>
      <c r="C25" s="20">
        <f>IF(A25="","",IF(OR(System_Inventory!E25="",Capability_Assessment!E25=""),"❓ Unknown",IF(Capability_Assessment!E25&lt;=System_Inventory!E25,"✅ Compliant","❌ Non-Compliant")))</f>
        <v/>
      </c>
      <c r="D25" s="20">
        <f>IF(A25="","",IF(OR(System_Inventory!F25="",Capability_Assessment!F25=""),"❓ Unknown",IF(Capability_Assessment!F25&lt;=System_Inventory!F25,"✅ Compliant","❌ Non-Compliant")))</f>
        <v/>
      </c>
      <c r="E25" s="20">
        <f>IF(A25="","",IF(OR(C25="❓ Unknown",D25="❓ Unknown"),"❓ Unknown",IF(AND(C25="✅ Compliant",D25="✅ Compliant"),"✅ Full Compliance",IF(OR(C25="✅ Compliant",D25="✅ Compliant"),"⚠ Partial Compliance","❌ Non-Compliant"))))</f>
        <v/>
      </c>
      <c r="F25" s="20">
        <f>IF(A25="","",IF(AND(B25="Tier 1 - Critical",E25="❌ Non-Compliant"),"🔴 Critical",IF(B25="Tier 1 - Critical","🟡 High",IF(E25="❌ Non-Compliant","🟡 High",IF(E25="⚠ Partial Compliance","🟢 Medium","⚪ Low")))))</f>
        <v/>
      </c>
      <c r="G25" s="26">
        <f>IF(A25="","",IF(C25="❌ Non-Compliant",IF(D25="❌ Non-Compliant","Both RPO &amp; RTO gaps","RPO gap only"),IF(D25="❌ Non-Compliant","RTO gap only",IF(E25="❓ Unknown","Testing required","No gaps"))))</f>
        <v/>
      </c>
      <c r="H25" s="27" t="n"/>
    </row>
    <row r="26">
      <c r="A26" s="20">
        <f>System_Inventory!A26</f>
        <v/>
      </c>
      <c r="B26" s="20">
        <f>System_Inventory!C26</f>
        <v/>
      </c>
      <c r="C26" s="20">
        <f>IF(A26="","",IF(OR(System_Inventory!E26="",Capability_Assessment!E26=""),"❓ Unknown",IF(Capability_Assessment!E26&lt;=System_Inventory!E26,"✅ Compliant","❌ Non-Compliant")))</f>
        <v/>
      </c>
      <c r="D26" s="20">
        <f>IF(A26="","",IF(OR(System_Inventory!F26="",Capability_Assessment!F26=""),"❓ Unknown",IF(Capability_Assessment!F26&lt;=System_Inventory!F26,"✅ Compliant","❌ Non-Compliant")))</f>
        <v/>
      </c>
      <c r="E26" s="20">
        <f>IF(A26="","",IF(OR(C26="❓ Unknown",D26="❓ Unknown"),"❓ Unknown",IF(AND(C26="✅ Compliant",D26="✅ Compliant"),"✅ Full Compliance",IF(OR(C26="✅ Compliant",D26="✅ Compliant"),"⚠ Partial Compliance","❌ Non-Compliant"))))</f>
        <v/>
      </c>
      <c r="F26" s="20">
        <f>IF(A26="","",IF(AND(B26="Tier 1 - Critical",E26="❌ Non-Compliant"),"🔴 Critical",IF(B26="Tier 1 - Critical","🟡 High",IF(E26="❌ Non-Compliant","🟡 High",IF(E26="⚠ Partial Compliance","🟢 Medium","⚪ Low")))))</f>
        <v/>
      </c>
      <c r="G26" s="26">
        <f>IF(A26="","",IF(C26="❌ Non-Compliant",IF(D26="❌ Non-Compliant","Both RPO &amp; RTO gaps","RPO gap only"),IF(D26="❌ Non-Compliant","RTO gap only",IF(E26="❓ Unknown","Testing required","No gaps"))))</f>
        <v/>
      </c>
      <c r="H26" s="27" t="n"/>
    </row>
    <row r="27">
      <c r="A27" s="20">
        <f>System_Inventory!A27</f>
        <v/>
      </c>
      <c r="B27" s="20">
        <f>System_Inventory!C27</f>
        <v/>
      </c>
      <c r="C27" s="20">
        <f>IF(A27="","",IF(OR(System_Inventory!E27="",Capability_Assessment!E27=""),"❓ Unknown",IF(Capability_Assessment!E27&lt;=System_Inventory!E27,"✅ Compliant","❌ Non-Compliant")))</f>
        <v/>
      </c>
      <c r="D27" s="20">
        <f>IF(A27="","",IF(OR(System_Inventory!F27="",Capability_Assessment!F27=""),"❓ Unknown",IF(Capability_Assessment!F27&lt;=System_Inventory!F27,"✅ Compliant","❌ Non-Compliant")))</f>
        <v/>
      </c>
      <c r="E27" s="20">
        <f>IF(A27="","",IF(OR(C27="❓ Unknown",D27="❓ Unknown"),"❓ Unknown",IF(AND(C27="✅ Compliant",D27="✅ Compliant"),"✅ Full Compliance",IF(OR(C27="✅ Compliant",D27="✅ Compliant"),"⚠ Partial Compliance","❌ Non-Compliant"))))</f>
        <v/>
      </c>
      <c r="F27" s="20">
        <f>IF(A27="","",IF(AND(B27="Tier 1 - Critical",E27="❌ Non-Compliant"),"🔴 Critical",IF(B27="Tier 1 - Critical","🟡 High",IF(E27="❌ Non-Compliant","🟡 High",IF(E27="⚠ Partial Compliance","🟢 Medium","⚪ Low")))))</f>
        <v/>
      </c>
      <c r="G27" s="26">
        <f>IF(A27="","",IF(C27="❌ Non-Compliant",IF(D27="❌ Non-Compliant","Both RPO &amp; RTO gaps","RPO gap only"),IF(D27="❌ Non-Compliant","RTO gap only",IF(E27="❓ Unknown","Testing required","No gaps"))))</f>
        <v/>
      </c>
      <c r="H27" s="27" t="n"/>
    </row>
    <row r="28">
      <c r="A28" s="20">
        <f>System_Inventory!A28</f>
        <v/>
      </c>
      <c r="B28" s="20">
        <f>System_Inventory!C28</f>
        <v/>
      </c>
      <c r="C28" s="20">
        <f>IF(A28="","",IF(OR(System_Inventory!E28="",Capability_Assessment!E28=""),"❓ Unknown",IF(Capability_Assessment!E28&lt;=System_Inventory!E28,"✅ Compliant","❌ Non-Compliant")))</f>
        <v/>
      </c>
      <c r="D28" s="20">
        <f>IF(A28="","",IF(OR(System_Inventory!F28="",Capability_Assessment!F28=""),"❓ Unknown",IF(Capability_Assessment!F28&lt;=System_Inventory!F28,"✅ Compliant","❌ Non-Compliant")))</f>
        <v/>
      </c>
      <c r="E28" s="20">
        <f>IF(A28="","",IF(OR(C28="❓ Unknown",D28="❓ Unknown"),"❓ Unknown",IF(AND(C28="✅ Compliant",D28="✅ Compliant"),"✅ Full Compliance",IF(OR(C28="✅ Compliant",D28="✅ Compliant"),"⚠ Partial Compliance","❌ Non-Compliant"))))</f>
        <v/>
      </c>
      <c r="F28" s="20">
        <f>IF(A28="","",IF(AND(B28="Tier 1 - Critical",E28="❌ Non-Compliant"),"🔴 Critical",IF(B28="Tier 1 - Critical","🟡 High",IF(E28="❌ Non-Compliant","🟡 High",IF(E28="⚠ Partial Compliance","🟢 Medium","⚪ Low")))))</f>
        <v/>
      </c>
      <c r="G28" s="26">
        <f>IF(A28="","",IF(C28="❌ Non-Compliant",IF(D28="❌ Non-Compliant","Both RPO &amp; RTO gaps","RPO gap only"),IF(D28="❌ Non-Compliant","RTO gap only",IF(E28="❓ Unknown","Testing required","No gaps"))))</f>
        <v/>
      </c>
      <c r="H28" s="27" t="n"/>
    </row>
    <row r="29">
      <c r="A29" s="20">
        <f>System_Inventory!A29</f>
        <v/>
      </c>
      <c r="B29" s="20">
        <f>System_Inventory!C29</f>
        <v/>
      </c>
      <c r="C29" s="20">
        <f>IF(A29="","",IF(OR(System_Inventory!E29="",Capability_Assessment!E29=""),"❓ Unknown",IF(Capability_Assessment!E29&lt;=System_Inventory!E29,"✅ Compliant","❌ Non-Compliant")))</f>
        <v/>
      </c>
      <c r="D29" s="20">
        <f>IF(A29="","",IF(OR(System_Inventory!F29="",Capability_Assessment!F29=""),"❓ Unknown",IF(Capability_Assessment!F29&lt;=System_Inventory!F29,"✅ Compliant","❌ Non-Compliant")))</f>
        <v/>
      </c>
      <c r="E29" s="20">
        <f>IF(A29="","",IF(OR(C29="❓ Unknown",D29="❓ Unknown"),"❓ Unknown",IF(AND(C29="✅ Compliant",D29="✅ Compliant"),"✅ Full Compliance",IF(OR(C29="✅ Compliant",D29="✅ Compliant"),"⚠ Partial Compliance","❌ Non-Compliant"))))</f>
        <v/>
      </c>
      <c r="F29" s="20">
        <f>IF(A29="","",IF(AND(B29="Tier 1 - Critical",E29="❌ Non-Compliant"),"🔴 Critical",IF(B29="Tier 1 - Critical","🟡 High",IF(E29="❌ Non-Compliant","🟡 High",IF(E29="⚠ Partial Compliance","🟢 Medium","⚪ Low")))))</f>
        <v/>
      </c>
      <c r="G29" s="26">
        <f>IF(A29="","",IF(C29="❌ Non-Compliant",IF(D29="❌ Non-Compliant","Both RPO &amp; RTO gaps","RPO gap only"),IF(D29="❌ Non-Compliant","RTO gap only",IF(E29="❓ Unknown","Testing required","No gaps"))))</f>
        <v/>
      </c>
      <c r="H29" s="27" t="n"/>
    </row>
    <row r="30">
      <c r="A30" s="20">
        <f>System_Inventory!A30</f>
        <v/>
      </c>
      <c r="B30" s="20">
        <f>System_Inventory!C30</f>
        <v/>
      </c>
      <c r="C30" s="20">
        <f>IF(A30="","",IF(OR(System_Inventory!E30="",Capability_Assessment!E30=""),"❓ Unknown",IF(Capability_Assessment!E30&lt;=System_Inventory!E30,"✅ Compliant","❌ Non-Compliant")))</f>
        <v/>
      </c>
      <c r="D30" s="20">
        <f>IF(A30="","",IF(OR(System_Inventory!F30="",Capability_Assessment!F30=""),"❓ Unknown",IF(Capability_Assessment!F30&lt;=System_Inventory!F30,"✅ Compliant","❌ Non-Compliant")))</f>
        <v/>
      </c>
      <c r="E30" s="20">
        <f>IF(A30="","",IF(OR(C30="❓ Unknown",D30="❓ Unknown"),"❓ Unknown",IF(AND(C30="✅ Compliant",D30="✅ Compliant"),"✅ Full Compliance",IF(OR(C30="✅ Compliant",D30="✅ Compliant"),"⚠ Partial Compliance","❌ Non-Compliant"))))</f>
        <v/>
      </c>
      <c r="F30" s="20">
        <f>IF(A30="","",IF(AND(B30="Tier 1 - Critical",E30="❌ Non-Compliant"),"🔴 Critical",IF(B30="Tier 1 - Critical","🟡 High",IF(E30="❌ Non-Compliant","🟡 High",IF(E30="⚠ Partial Compliance","🟢 Medium","⚪ Low")))))</f>
        <v/>
      </c>
      <c r="G30" s="26">
        <f>IF(A30="","",IF(C30="❌ Non-Compliant",IF(D30="❌ Non-Compliant","Both RPO &amp; RTO gaps","RPO gap only"),IF(D30="❌ Non-Compliant","RTO gap only",IF(E30="❓ Unknown","Testing required","No gaps"))))</f>
        <v/>
      </c>
      <c r="H30" s="27" t="n"/>
    </row>
    <row r="31">
      <c r="A31" s="20">
        <f>System_Inventory!A31</f>
        <v/>
      </c>
      <c r="B31" s="20">
        <f>System_Inventory!C31</f>
        <v/>
      </c>
      <c r="C31" s="20">
        <f>IF(A31="","",IF(OR(System_Inventory!E31="",Capability_Assessment!E31=""),"❓ Unknown",IF(Capability_Assessment!E31&lt;=System_Inventory!E31,"✅ Compliant","❌ Non-Compliant")))</f>
        <v/>
      </c>
      <c r="D31" s="20">
        <f>IF(A31="","",IF(OR(System_Inventory!F31="",Capability_Assessment!F31=""),"❓ Unknown",IF(Capability_Assessment!F31&lt;=System_Inventory!F31,"✅ Compliant","❌ Non-Compliant")))</f>
        <v/>
      </c>
      <c r="E31" s="20">
        <f>IF(A31="","",IF(OR(C31="❓ Unknown",D31="❓ Unknown"),"❓ Unknown",IF(AND(C31="✅ Compliant",D31="✅ Compliant"),"✅ Full Compliance",IF(OR(C31="✅ Compliant",D31="✅ Compliant"),"⚠ Partial Compliance","❌ Non-Compliant"))))</f>
        <v/>
      </c>
      <c r="F31" s="20">
        <f>IF(A31="","",IF(AND(B31="Tier 1 - Critical",E31="❌ Non-Compliant"),"🔴 Critical",IF(B31="Tier 1 - Critical","🟡 High",IF(E31="❌ Non-Compliant","🟡 High",IF(E31="⚠ Partial Compliance","🟢 Medium","⚪ Low")))))</f>
        <v/>
      </c>
      <c r="G31" s="26">
        <f>IF(A31="","",IF(C31="❌ Non-Compliant",IF(D31="❌ Non-Compliant","Both RPO &amp; RTO gaps","RPO gap only"),IF(D31="❌ Non-Compliant","RTO gap only",IF(E31="❓ Unknown","Testing required","No gaps"))))</f>
        <v/>
      </c>
      <c r="H31" s="27" t="n"/>
    </row>
    <row r="32">
      <c r="A32" s="20">
        <f>System_Inventory!A32</f>
        <v/>
      </c>
      <c r="B32" s="20">
        <f>System_Inventory!C32</f>
        <v/>
      </c>
      <c r="C32" s="20">
        <f>IF(A32="","",IF(OR(System_Inventory!E32="",Capability_Assessment!E32=""),"❓ Unknown",IF(Capability_Assessment!E32&lt;=System_Inventory!E32,"✅ Compliant","❌ Non-Compliant")))</f>
        <v/>
      </c>
      <c r="D32" s="20">
        <f>IF(A32="","",IF(OR(System_Inventory!F32="",Capability_Assessment!F32=""),"❓ Unknown",IF(Capability_Assessment!F32&lt;=System_Inventory!F32,"✅ Compliant","❌ Non-Compliant")))</f>
        <v/>
      </c>
      <c r="E32" s="20">
        <f>IF(A32="","",IF(OR(C32="❓ Unknown",D32="❓ Unknown"),"❓ Unknown",IF(AND(C32="✅ Compliant",D32="✅ Compliant"),"✅ Full Compliance",IF(OR(C32="✅ Compliant",D32="✅ Compliant"),"⚠ Partial Compliance","❌ Non-Compliant"))))</f>
        <v/>
      </c>
      <c r="F32" s="20">
        <f>IF(A32="","",IF(AND(B32="Tier 1 - Critical",E32="❌ Non-Compliant"),"🔴 Critical",IF(B32="Tier 1 - Critical","🟡 High",IF(E32="❌ Non-Compliant","🟡 High",IF(E32="⚠ Partial Compliance","🟢 Medium","⚪ Low")))))</f>
        <v/>
      </c>
      <c r="G32" s="26">
        <f>IF(A32="","",IF(C32="❌ Non-Compliant",IF(D32="❌ Non-Compliant","Both RPO &amp; RTO gaps","RPO gap only"),IF(D32="❌ Non-Compliant","RTO gap only",IF(E32="❓ Unknown","Testing required","No gaps"))))</f>
        <v/>
      </c>
      <c r="H32" s="27" t="n"/>
    </row>
    <row r="33">
      <c r="A33" s="20">
        <f>System_Inventory!A33</f>
        <v/>
      </c>
      <c r="B33" s="20">
        <f>System_Inventory!C33</f>
        <v/>
      </c>
      <c r="C33" s="20">
        <f>IF(A33="","",IF(OR(System_Inventory!E33="",Capability_Assessment!E33=""),"❓ Unknown",IF(Capability_Assessment!E33&lt;=System_Inventory!E33,"✅ Compliant","❌ Non-Compliant")))</f>
        <v/>
      </c>
      <c r="D33" s="20">
        <f>IF(A33="","",IF(OR(System_Inventory!F33="",Capability_Assessment!F33=""),"❓ Unknown",IF(Capability_Assessment!F33&lt;=System_Inventory!F33,"✅ Compliant","❌ Non-Compliant")))</f>
        <v/>
      </c>
      <c r="E33" s="20">
        <f>IF(A33="","",IF(OR(C33="❓ Unknown",D33="❓ Unknown"),"❓ Unknown",IF(AND(C33="✅ Compliant",D33="✅ Compliant"),"✅ Full Compliance",IF(OR(C33="✅ Compliant",D33="✅ Compliant"),"⚠ Partial Compliance","❌ Non-Compliant"))))</f>
        <v/>
      </c>
      <c r="F33" s="20">
        <f>IF(A33="","",IF(AND(B33="Tier 1 - Critical",E33="❌ Non-Compliant"),"🔴 Critical",IF(B33="Tier 1 - Critical","🟡 High",IF(E33="❌ Non-Compliant","🟡 High",IF(E33="⚠ Partial Compliance","🟢 Medium","⚪ Low")))))</f>
        <v/>
      </c>
      <c r="G33" s="26">
        <f>IF(A33="","",IF(C33="❌ Non-Compliant",IF(D33="❌ Non-Compliant","Both RPO &amp; RTO gaps","RPO gap only"),IF(D33="❌ Non-Compliant","RTO gap only",IF(E33="❓ Unknown","Testing required","No gaps"))))</f>
        <v/>
      </c>
      <c r="H33" s="27" t="n"/>
    </row>
    <row r="34">
      <c r="A34" s="20">
        <f>System_Inventory!A34</f>
        <v/>
      </c>
      <c r="B34" s="20">
        <f>System_Inventory!C34</f>
        <v/>
      </c>
      <c r="C34" s="20">
        <f>IF(A34="","",IF(OR(System_Inventory!E34="",Capability_Assessment!E34=""),"❓ Unknown",IF(Capability_Assessment!E34&lt;=System_Inventory!E34,"✅ Compliant","❌ Non-Compliant")))</f>
        <v/>
      </c>
      <c r="D34" s="20">
        <f>IF(A34="","",IF(OR(System_Inventory!F34="",Capability_Assessment!F34=""),"❓ Unknown",IF(Capability_Assessment!F34&lt;=System_Inventory!F34,"✅ Compliant","❌ Non-Compliant")))</f>
        <v/>
      </c>
      <c r="E34" s="20">
        <f>IF(A34="","",IF(OR(C34="❓ Unknown",D34="❓ Unknown"),"❓ Unknown",IF(AND(C34="✅ Compliant",D34="✅ Compliant"),"✅ Full Compliance",IF(OR(C34="✅ Compliant",D34="✅ Compliant"),"⚠ Partial Compliance","❌ Non-Compliant"))))</f>
        <v/>
      </c>
      <c r="F34" s="20">
        <f>IF(A34="","",IF(AND(B34="Tier 1 - Critical",E34="❌ Non-Compliant"),"🔴 Critical",IF(B34="Tier 1 - Critical","🟡 High",IF(E34="❌ Non-Compliant","🟡 High",IF(E34="⚠ Partial Compliance","🟢 Medium","⚪ Low")))))</f>
        <v/>
      </c>
      <c r="G34" s="26">
        <f>IF(A34="","",IF(C34="❌ Non-Compliant",IF(D34="❌ Non-Compliant","Both RPO &amp; RTO gaps","RPO gap only"),IF(D34="❌ Non-Compliant","RTO gap only",IF(E34="❓ Unknown","Testing required","No gaps"))))</f>
        <v/>
      </c>
      <c r="H34" s="27" t="n"/>
    </row>
    <row r="35">
      <c r="A35" s="20">
        <f>System_Inventory!A35</f>
        <v/>
      </c>
      <c r="B35" s="20">
        <f>System_Inventory!C35</f>
        <v/>
      </c>
      <c r="C35" s="20">
        <f>IF(A35="","",IF(OR(System_Inventory!E35="",Capability_Assessment!E35=""),"❓ Unknown",IF(Capability_Assessment!E35&lt;=System_Inventory!E35,"✅ Compliant","❌ Non-Compliant")))</f>
        <v/>
      </c>
      <c r="D35" s="20">
        <f>IF(A35="","",IF(OR(System_Inventory!F35="",Capability_Assessment!F35=""),"❓ Unknown",IF(Capability_Assessment!F35&lt;=System_Inventory!F35,"✅ Compliant","❌ Non-Compliant")))</f>
        <v/>
      </c>
      <c r="E35" s="20">
        <f>IF(A35="","",IF(OR(C35="❓ Unknown",D35="❓ Unknown"),"❓ Unknown",IF(AND(C35="✅ Compliant",D35="✅ Compliant"),"✅ Full Compliance",IF(OR(C35="✅ Compliant",D35="✅ Compliant"),"⚠ Partial Compliance","❌ Non-Compliant"))))</f>
        <v/>
      </c>
      <c r="F35" s="20">
        <f>IF(A35="","",IF(AND(B35="Tier 1 - Critical",E35="❌ Non-Compliant"),"🔴 Critical",IF(B35="Tier 1 - Critical","🟡 High",IF(E35="❌ Non-Compliant","🟡 High",IF(E35="⚠ Partial Compliance","🟢 Medium","⚪ Low")))))</f>
        <v/>
      </c>
      <c r="G35" s="26">
        <f>IF(A35="","",IF(C35="❌ Non-Compliant",IF(D35="❌ Non-Compliant","Both RPO &amp; RTO gaps","RPO gap only"),IF(D35="❌ Non-Compliant","RTO gap only",IF(E35="❓ Unknown","Testing required","No gaps"))))</f>
        <v/>
      </c>
      <c r="H35" s="27" t="n"/>
    </row>
    <row r="36">
      <c r="A36" s="20">
        <f>System_Inventory!A36</f>
        <v/>
      </c>
      <c r="B36" s="20">
        <f>System_Inventory!C36</f>
        <v/>
      </c>
      <c r="C36" s="20">
        <f>IF(A36="","",IF(OR(System_Inventory!E36="",Capability_Assessment!E36=""),"❓ Unknown",IF(Capability_Assessment!E36&lt;=System_Inventory!E36,"✅ Compliant","❌ Non-Compliant")))</f>
        <v/>
      </c>
      <c r="D36" s="20">
        <f>IF(A36="","",IF(OR(System_Inventory!F36="",Capability_Assessment!F36=""),"❓ Unknown",IF(Capability_Assessment!F36&lt;=System_Inventory!F36,"✅ Compliant","❌ Non-Compliant")))</f>
        <v/>
      </c>
      <c r="E36" s="20">
        <f>IF(A36="","",IF(OR(C36="❓ Unknown",D36="❓ Unknown"),"❓ Unknown",IF(AND(C36="✅ Compliant",D36="✅ Compliant"),"✅ Full Compliance",IF(OR(C36="✅ Compliant",D36="✅ Compliant"),"⚠ Partial Compliance","❌ Non-Compliant"))))</f>
        <v/>
      </c>
      <c r="F36" s="20">
        <f>IF(A36="","",IF(AND(B36="Tier 1 - Critical",E36="❌ Non-Compliant"),"🔴 Critical",IF(B36="Tier 1 - Critical","🟡 High",IF(E36="❌ Non-Compliant","🟡 High",IF(E36="⚠ Partial Compliance","🟢 Medium","⚪ Low")))))</f>
        <v/>
      </c>
      <c r="G36" s="26">
        <f>IF(A36="","",IF(C36="❌ Non-Compliant",IF(D36="❌ Non-Compliant","Both RPO &amp; RTO gaps","RPO gap only"),IF(D36="❌ Non-Compliant","RTO gap only",IF(E36="❓ Unknown","Testing required","No gaps"))))</f>
        <v/>
      </c>
      <c r="H36" s="27" t="n"/>
    </row>
    <row r="37">
      <c r="A37" s="20">
        <f>System_Inventory!A37</f>
        <v/>
      </c>
      <c r="B37" s="20">
        <f>System_Inventory!C37</f>
        <v/>
      </c>
      <c r="C37" s="20">
        <f>IF(A37="","",IF(OR(System_Inventory!E37="",Capability_Assessment!E37=""),"❓ Unknown",IF(Capability_Assessment!E37&lt;=System_Inventory!E37,"✅ Compliant","❌ Non-Compliant")))</f>
        <v/>
      </c>
      <c r="D37" s="20">
        <f>IF(A37="","",IF(OR(System_Inventory!F37="",Capability_Assessment!F37=""),"❓ Unknown",IF(Capability_Assessment!F37&lt;=System_Inventory!F37,"✅ Compliant","❌ Non-Compliant")))</f>
        <v/>
      </c>
      <c r="E37" s="20">
        <f>IF(A37="","",IF(OR(C37="❓ Unknown",D37="❓ Unknown"),"❓ Unknown",IF(AND(C37="✅ Compliant",D37="✅ Compliant"),"✅ Full Compliance",IF(OR(C37="✅ Compliant",D37="✅ Compliant"),"⚠ Partial Compliance","❌ Non-Compliant"))))</f>
        <v/>
      </c>
      <c r="F37" s="20">
        <f>IF(A37="","",IF(AND(B37="Tier 1 - Critical",E37="❌ Non-Compliant"),"🔴 Critical",IF(B37="Tier 1 - Critical","🟡 High",IF(E37="❌ Non-Compliant","🟡 High",IF(E37="⚠ Partial Compliance","🟢 Medium","⚪ Low")))))</f>
        <v/>
      </c>
      <c r="G37" s="26">
        <f>IF(A37="","",IF(C37="❌ Non-Compliant",IF(D37="❌ Non-Compliant","Both RPO &amp; RTO gaps","RPO gap only"),IF(D37="❌ Non-Compliant","RTO gap only",IF(E37="❓ Unknown","Testing required","No gaps"))))</f>
        <v/>
      </c>
      <c r="H37" s="27" t="n"/>
    </row>
    <row r="38">
      <c r="A38" s="20">
        <f>System_Inventory!A38</f>
        <v/>
      </c>
      <c r="B38" s="20">
        <f>System_Inventory!C38</f>
        <v/>
      </c>
      <c r="C38" s="20">
        <f>IF(A38="","",IF(OR(System_Inventory!E38="",Capability_Assessment!E38=""),"❓ Unknown",IF(Capability_Assessment!E38&lt;=System_Inventory!E38,"✅ Compliant","❌ Non-Compliant")))</f>
        <v/>
      </c>
      <c r="D38" s="20">
        <f>IF(A38="","",IF(OR(System_Inventory!F38="",Capability_Assessment!F38=""),"❓ Unknown",IF(Capability_Assessment!F38&lt;=System_Inventory!F38,"✅ Compliant","❌ Non-Compliant")))</f>
        <v/>
      </c>
      <c r="E38" s="20">
        <f>IF(A38="","",IF(OR(C38="❓ Unknown",D38="❓ Unknown"),"❓ Unknown",IF(AND(C38="✅ Compliant",D38="✅ Compliant"),"✅ Full Compliance",IF(OR(C38="✅ Compliant",D38="✅ Compliant"),"⚠ Partial Compliance","❌ Non-Compliant"))))</f>
        <v/>
      </c>
      <c r="F38" s="20">
        <f>IF(A38="","",IF(AND(B38="Tier 1 - Critical",E38="❌ Non-Compliant"),"🔴 Critical",IF(B38="Tier 1 - Critical","🟡 High",IF(E38="❌ Non-Compliant","🟡 High",IF(E38="⚠ Partial Compliance","🟢 Medium","⚪ Low")))))</f>
        <v/>
      </c>
      <c r="G38" s="26">
        <f>IF(A38="","",IF(C38="❌ Non-Compliant",IF(D38="❌ Non-Compliant","Both RPO &amp; RTO gaps","RPO gap only"),IF(D38="❌ Non-Compliant","RTO gap only",IF(E38="❓ Unknown","Testing required","No gaps"))))</f>
        <v/>
      </c>
      <c r="H38" s="27" t="n"/>
    </row>
    <row r="39">
      <c r="A39" s="20">
        <f>System_Inventory!A39</f>
        <v/>
      </c>
      <c r="B39" s="20">
        <f>System_Inventory!C39</f>
        <v/>
      </c>
      <c r="C39" s="20">
        <f>IF(A39="","",IF(OR(System_Inventory!E39="",Capability_Assessment!E39=""),"❓ Unknown",IF(Capability_Assessment!E39&lt;=System_Inventory!E39,"✅ Compliant","❌ Non-Compliant")))</f>
        <v/>
      </c>
      <c r="D39" s="20">
        <f>IF(A39="","",IF(OR(System_Inventory!F39="",Capability_Assessment!F39=""),"❓ Unknown",IF(Capability_Assessment!F39&lt;=System_Inventory!F39,"✅ Compliant","❌ Non-Compliant")))</f>
        <v/>
      </c>
      <c r="E39" s="20">
        <f>IF(A39="","",IF(OR(C39="❓ Unknown",D39="❓ Unknown"),"❓ Unknown",IF(AND(C39="✅ Compliant",D39="✅ Compliant"),"✅ Full Compliance",IF(OR(C39="✅ Compliant",D39="✅ Compliant"),"⚠ Partial Compliance","❌ Non-Compliant"))))</f>
        <v/>
      </c>
      <c r="F39" s="20">
        <f>IF(A39="","",IF(AND(B39="Tier 1 - Critical",E39="❌ Non-Compliant"),"🔴 Critical",IF(B39="Tier 1 - Critical","🟡 High",IF(E39="❌ Non-Compliant","🟡 High",IF(E39="⚠ Partial Compliance","🟢 Medium","⚪ Low")))))</f>
        <v/>
      </c>
      <c r="G39" s="26">
        <f>IF(A39="","",IF(C39="❌ Non-Compliant",IF(D39="❌ Non-Compliant","Both RPO &amp; RTO gaps","RPO gap only"),IF(D39="❌ Non-Compliant","RTO gap only",IF(E39="❓ Unknown","Testing required","No gaps"))))</f>
        <v/>
      </c>
      <c r="H39" s="27" t="n"/>
    </row>
    <row r="40">
      <c r="A40" s="20">
        <f>System_Inventory!A40</f>
        <v/>
      </c>
      <c r="B40" s="20">
        <f>System_Inventory!C40</f>
        <v/>
      </c>
      <c r="C40" s="20">
        <f>IF(A40="","",IF(OR(System_Inventory!E40="",Capability_Assessment!E40=""),"❓ Unknown",IF(Capability_Assessment!E40&lt;=System_Inventory!E40,"✅ Compliant","❌ Non-Compliant")))</f>
        <v/>
      </c>
      <c r="D40" s="20">
        <f>IF(A40="","",IF(OR(System_Inventory!F40="",Capability_Assessment!F40=""),"❓ Unknown",IF(Capability_Assessment!F40&lt;=System_Inventory!F40,"✅ Compliant","❌ Non-Compliant")))</f>
        <v/>
      </c>
      <c r="E40" s="20">
        <f>IF(A40="","",IF(OR(C40="❓ Unknown",D40="❓ Unknown"),"❓ Unknown",IF(AND(C40="✅ Compliant",D40="✅ Compliant"),"✅ Full Compliance",IF(OR(C40="✅ Compliant",D40="✅ Compliant"),"⚠ Partial Compliance","❌ Non-Compliant"))))</f>
        <v/>
      </c>
      <c r="F40" s="20">
        <f>IF(A40="","",IF(AND(B40="Tier 1 - Critical",E40="❌ Non-Compliant"),"🔴 Critical",IF(B40="Tier 1 - Critical","🟡 High",IF(E40="❌ Non-Compliant","🟡 High",IF(E40="⚠ Partial Compliance","🟢 Medium","⚪ Low")))))</f>
        <v/>
      </c>
      <c r="G40" s="26">
        <f>IF(A40="","",IF(C40="❌ Non-Compliant",IF(D40="❌ Non-Compliant","Both RPO &amp; RTO gaps","RPO gap only"),IF(D40="❌ Non-Compliant","RTO gap only",IF(E40="❓ Unknown","Testing required","No gaps"))))</f>
        <v/>
      </c>
      <c r="H40" s="27" t="n"/>
    </row>
    <row r="41">
      <c r="A41" s="20">
        <f>System_Inventory!A41</f>
        <v/>
      </c>
      <c r="B41" s="20">
        <f>System_Inventory!C41</f>
        <v/>
      </c>
      <c r="C41" s="20">
        <f>IF(A41="","",IF(OR(System_Inventory!E41="",Capability_Assessment!E41=""),"❓ Unknown",IF(Capability_Assessment!E41&lt;=System_Inventory!E41,"✅ Compliant","❌ Non-Compliant")))</f>
        <v/>
      </c>
      <c r="D41" s="20">
        <f>IF(A41="","",IF(OR(System_Inventory!F41="",Capability_Assessment!F41=""),"❓ Unknown",IF(Capability_Assessment!F41&lt;=System_Inventory!F41,"✅ Compliant","❌ Non-Compliant")))</f>
        <v/>
      </c>
      <c r="E41" s="20">
        <f>IF(A41="","",IF(OR(C41="❓ Unknown",D41="❓ Unknown"),"❓ Unknown",IF(AND(C41="✅ Compliant",D41="✅ Compliant"),"✅ Full Compliance",IF(OR(C41="✅ Compliant",D41="✅ Compliant"),"⚠ Partial Compliance","❌ Non-Compliant"))))</f>
        <v/>
      </c>
      <c r="F41" s="20">
        <f>IF(A41="","",IF(AND(B41="Tier 1 - Critical",E41="❌ Non-Compliant"),"🔴 Critical",IF(B41="Tier 1 - Critical","🟡 High",IF(E41="❌ Non-Compliant","🟡 High",IF(E41="⚠ Partial Compliance","🟢 Medium","⚪ Low")))))</f>
        <v/>
      </c>
      <c r="G41" s="26">
        <f>IF(A41="","",IF(C41="❌ Non-Compliant",IF(D41="❌ Non-Compliant","Both RPO &amp; RTO gaps","RPO gap only"),IF(D41="❌ Non-Compliant","RTO gap only",IF(E41="❓ Unknown","Testing required","No gaps"))))</f>
        <v/>
      </c>
      <c r="H41" s="27" t="n"/>
    </row>
    <row r="42">
      <c r="A42" s="20">
        <f>System_Inventory!A42</f>
        <v/>
      </c>
      <c r="B42" s="20">
        <f>System_Inventory!C42</f>
        <v/>
      </c>
      <c r="C42" s="20">
        <f>IF(A42="","",IF(OR(System_Inventory!E42="",Capability_Assessment!E42=""),"❓ Unknown",IF(Capability_Assessment!E42&lt;=System_Inventory!E42,"✅ Compliant","❌ Non-Compliant")))</f>
        <v/>
      </c>
      <c r="D42" s="20">
        <f>IF(A42="","",IF(OR(System_Inventory!F42="",Capability_Assessment!F42=""),"❓ Unknown",IF(Capability_Assessment!F42&lt;=System_Inventory!F42,"✅ Compliant","❌ Non-Compliant")))</f>
        <v/>
      </c>
      <c r="E42" s="20">
        <f>IF(A42="","",IF(OR(C42="❓ Unknown",D42="❓ Unknown"),"❓ Unknown",IF(AND(C42="✅ Compliant",D42="✅ Compliant"),"✅ Full Compliance",IF(OR(C42="✅ Compliant",D42="✅ Compliant"),"⚠ Partial Compliance","❌ Non-Compliant"))))</f>
        <v/>
      </c>
      <c r="F42" s="20">
        <f>IF(A42="","",IF(AND(B42="Tier 1 - Critical",E42="❌ Non-Compliant"),"🔴 Critical",IF(B42="Tier 1 - Critical","🟡 High",IF(E42="❌ Non-Compliant","🟡 High",IF(E42="⚠ Partial Compliance","🟢 Medium","⚪ Low")))))</f>
        <v/>
      </c>
      <c r="G42" s="26">
        <f>IF(A42="","",IF(C42="❌ Non-Compliant",IF(D42="❌ Non-Compliant","Both RPO &amp; RTO gaps","RPO gap only"),IF(D42="❌ Non-Compliant","RTO gap only",IF(E42="❓ Unknown","Testing required","No gaps"))))</f>
        <v/>
      </c>
      <c r="H42" s="27" t="n"/>
    </row>
    <row r="43">
      <c r="A43" s="20">
        <f>System_Inventory!A43</f>
        <v/>
      </c>
      <c r="B43" s="20">
        <f>System_Inventory!C43</f>
        <v/>
      </c>
      <c r="C43" s="20">
        <f>IF(A43="","",IF(OR(System_Inventory!E43="",Capability_Assessment!E43=""),"❓ Unknown",IF(Capability_Assessment!E43&lt;=System_Inventory!E43,"✅ Compliant","❌ Non-Compliant")))</f>
        <v/>
      </c>
      <c r="D43" s="20">
        <f>IF(A43="","",IF(OR(System_Inventory!F43="",Capability_Assessment!F43=""),"❓ Unknown",IF(Capability_Assessment!F43&lt;=System_Inventory!F43,"✅ Compliant","❌ Non-Compliant")))</f>
        <v/>
      </c>
      <c r="E43" s="20">
        <f>IF(A43="","",IF(OR(C43="❓ Unknown",D43="❓ Unknown"),"❓ Unknown",IF(AND(C43="✅ Compliant",D43="✅ Compliant"),"✅ Full Compliance",IF(OR(C43="✅ Compliant",D43="✅ Compliant"),"⚠ Partial Compliance","❌ Non-Compliant"))))</f>
        <v/>
      </c>
      <c r="F43" s="20">
        <f>IF(A43="","",IF(AND(B43="Tier 1 - Critical",E43="❌ Non-Compliant"),"🔴 Critical",IF(B43="Tier 1 - Critical","🟡 High",IF(E43="❌ Non-Compliant","🟡 High",IF(E43="⚠ Partial Compliance","🟢 Medium","⚪ Low")))))</f>
        <v/>
      </c>
      <c r="G43" s="26">
        <f>IF(A43="","",IF(C43="❌ Non-Compliant",IF(D43="❌ Non-Compliant","Both RPO &amp; RTO gaps","RPO gap only"),IF(D43="❌ Non-Compliant","RTO gap only",IF(E43="❓ Unknown","Testing required","No gaps"))))</f>
        <v/>
      </c>
      <c r="H43" s="27" t="n"/>
    </row>
    <row r="44">
      <c r="A44" s="20">
        <f>System_Inventory!A44</f>
        <v/>
      </c>
      <c r="B44" s="20">
        <f>System_Inventory!C44</f>
        <v/>
      </c>
      <c r="C44" s="20">
        <f>IF(A44="","",IF(OR(System_Inventory!E44="",Capability_Assessment!E44=""),"❓ Unknown",IF(Capability_Assessment!E44&lt;=System_Inventory!E44,"✅ Compliant","❌ Non-Compliant")))</f>
        <v/>
      </c>
      <c r="D44" s="20">
        <f>IF(A44="","",IF(OR(System_Inventory!F44="",Capability_Assessment!F44=""),"❓ Unknown",IF(Capability_Assessment!F44&lt;=System_Inventory!F44,"✅ Compliant","❌ Non-Compliant")))</f>
        <v/>
      </c>
      <c r="E44" s="20">
        <f>IF(A44="","",IF(OR(C44="❓ Unknown",D44="❓ Unknown"),"❓ Unknown",IF(AND(C44="✅ Compliant",D44="✅ Compliant"),"✅ Full Compliance",IF(OR(C44="✅ Compliant",D44="✅ Compliant"),"⚠ Partial Compliance","❌ Non-Compliant"))))</f>
        <v/>
      </c>
      <c r="F44" s="20">
        <f>IF(A44="","",IF(AND(B44="Tier 1 - Critical",E44="❌ Non-Compliant"),"🔴 Critical",IF(B44="Tier 1 - Critical","🟡 High",IF(E44="❌ Non-Compliant","🟡 High",IF(E44="⚠ Partial Compliance","🟢 Medium","⚪ Low")))))</f>
        <v/>
      </c>
      <c r="G44" s="26">
        <f>IF(A44="","",IF(C44="❌ Non-Compliant",IF(D44="❌ Non-Compliant","Both RPO &amp; RTO gaps","RPO gap only"),IF(D44="❌ Non-Compliant","RTO gap only",IF(E44="❓ Unknown","Testing required","No gaps"))))</f>
        <v/>
      </c>
      <c r="H44" s="27" t="n"/>
    </row>
    <row r="45">
      <c r="A45" s="20">
        <f>System_Inventory!A45</f>
        <v/>
      </c>
      <c r="B45" s="20">
        <f>System_Inventory!C45</f>
        <v/>
      </c>
      <c r="C45" s="20">
        <f>IF(A45="","",IF(OR(System_Inventory!E45="",Capability_Assessment!E45=""),"❓ Unknown",IF(Capability_Assessment!E45&lt;=System_Inventory!E45,"✅ Compliant","❌ Non-Compliant")))</f>
        <v/>
      </c>
      <c r="D45" s="20">
        <f>IF(A45="","",IF(OR(System_Inventory!F45="",Capability_Assessment!F45=""),"❓ Unknown",IF(Capability_Assessment!F45&lt;=System_Inventory!F45,"✅ Compliant","❌ Non-Compliant")))</f>
        <v/>
      </c>
      <c r="E45" s="20">
        <f>IF(A45="","",IF(OR(C45="❓ Unknown",D45="❓ Unknown"),"❓ Unknown",IF(AND(C45="✅ Compliant",D45="✅ Compliant"),"✅ Full Compliance",IF(OR(C45="✅ Compliant",D45="✅ Compliant"),"⚠ Partial Compliance","❌ Non-Compliant"))))</f>
        <v/>
      </c>
      <c r="F45" s="20">
        <f>IF(A45="","",IF(AND(B45="Tier 1 - Critical",E45="❌ Non-Compliant"),"🔴 Critical",IF(B45="Tier 1 - Critical","🟡 High",IF(E45="❌ Non-Compliant","🟡 High",IF(E45="⚠ Partial Compliance","🟢 Medium","⚪ Low")))))</f>
        <v/>
      </c>
      <c r="G45" s="26">
        <f>IF(A45="","",IF(C45="❌ Non-Compliant",IF(D45="❌ Non-Compliant","Both RPO &amp; RTO gaps","RPO gap only"),IF(D45="❌ Non-Compliant","RTO gap only",IF(E45="❓ Unknown","Testing required","No gaps"))))</f>
        <v/>
      </c>
      <c r="H45" s="27" t="n"/>
    </row>
    <row r="46">
      <c r="A46" s="20">
        <f>System_Inventory!A46</f>
        <v/>
      </c>
      <c r="B46" s="20">
        <f>System_Inventory!C46</f>
        <v/>
      </c>
      <c r="C46" s="20">
        <f>IF(A46="","",IF(OR(System_Inventory!E46="",Capability_Assessment!E46=""),"❓ Unknown",IF(Capability_Assessment!E46&lt;=System_Inventory!E46,"✅ Compliant","❌ Non-Compliant")))</f>
        <v/>
      </c>
      <c r="D46" s="20">
        <f>IF(A46="","",IF(OR(System_Inventory!F46="",Capability_Assessment!F46=""),"❓ Unknown",IF(Capability_Assessment!F46&lt;=System_Inventory!F46,"✅ Compliant","❌ Non-Compliant")))</f>
        <v/>
      </c>
      <c r="E46" s="20">
        <f>IF(A46="","",IF(OR(C46="❓ Unknown",D46="❓ Unknown"),"❓ Unknown",IF(AND(C46="✅ Compliant",D46="✅ Compliant"),"✅ Full Compliance",IF(OR(C46="✅ Compliant",D46="✅ Compliant"),"⚠ Partial Compliance","❌ Non-Compliant"))))</f>
        <v/>
      </c>
      <c r="F46" s="20">
        <f>IF(A46="","",IF(AND(B46="Tier 1 - Critical",E46="❌ Non-Compliant"),"🔴 Critical",IF(B46="Tier 1 - Critical","🟡 High",IF(E46="❌ Non-Compliant","🟡 High",IF(E46="⚠ Partial Compliance","🟢 Medium","⚪ Low")))))</f>
        <v/>
      </c>
      <c r="G46" s="26">
        <f>IF(A46="","",IF(C46="❌ Non-Compliant",IF(D46="❌ Non-Compliant","Both RPO &amp; RTO gaps","RPO gap only"),IF(D46="❌ Non-Compliant","RTO gap only",IF(E46="❓ Unknown","Testing required","No gaps"))))</f>
        <v/>
      </c>
      <c r="H46" s="27" t="n"/>
    </row>
    <row r="47">
      <c r="A47" s="20">
        <f>System_Inventory!A47</f>
        <v/>
      </c>
      <c r="B47" s="20">
        <f>System_Inventory!C47</f>
        <v/>
      </c>
      <c r="C47" s="20">
        <f>IF(A47="","",IF(OR(System_Inventory!E47="",Capability_Assessment!E47=""),"❓ Unknown",IF(Capability_Assessment!E47&lt;=System_Inventory!E47,"✅ Compliant","❌ Non-Compliant")))</f>
        <v/>
      </c>
      <c r="D47" s="20">
        <f>IF(A47="","",IF(OR(System_Inventory!F47="",Capability_Assessment!F47=""),"❓ Unknown",IF(Capability_Assessment!F47&lt;=System_Inventory!F47,"✅ Compliant","❌ Non-Compliant")))</f>
        <v/>
      </c>
      <c r="E47" s="20">
        <f>IF(A47="","",IF(OR(C47="❓ Unknown",D47="❓ Unknown"),"❓ Unknown",IF(AND(C47="✅ Compliant",D47="✅ Compliant"),"✅ Full Compliance",IF(OR(C47="✅ Compliant",D47="✅ Compliant"),"⚠ Partial Compliance","❌ Non-Compliant"))))</f>
        <v/>
      </c>
      <c r="F47" s="20">
        <f>IF(A47="","",IF(AND(B47="Tier 1 - Critical",E47="❌ Non-Compliant"),"🔴 Critical",IF(B47="Tier 1 - Critical","🟡 High",IF(E47="❌ Non-Compliant","🟡 High",IF(E47="⚠ Partial Compliance","🟢 Medium","⚪ Low")))))</f>
        <v/>
      </c>
      <c r="G47" s="26">
        <f>IF(A47="","",IF(C47="❌ Non-Compliant",IF(D47="❌ Non-Compliant","Both RPO &amp; RTO gaps","RPO gap only"),IF(D47="❌ Non-Compliant","RTO gap only",IF(E47="❓ Unknown","Testing required","No gaps"))))</f>
        <v/>
      </c>
      <c r="H47" s="27" t="n"/>
    </row>
    <row r="48">
      <c r="A48" s="20">
        <f>System_Inventory!A48</f>
        <v/>
      </c>
      <c r="B48" s="20">
        <f>System_Inventory!C48</f>
        <v/>
      </c>
      <c r="C48" s="20">
        <f>IF(A48="","",IF(OR(System_Inventory!E48="",Capability_Assessment!E48=""),"❓ Unknown",IF(Capability_Assessment!E48&lt;=System_Inventory!E48,"✅ Compliant","❌ Non-Compliant")))</f>
        <v/>
      </c>
      <c r="D48" s="20">
        <f>IF(A48="","",IF(OR(System_Inventory!F48="",Capability_Assessment!F48=""),"❓ Unknown",IF(Capability_Assessment!F48&lt;=System_Inventory!F48,"✅ Compliant","❌ Non-Compliant")))</f>
        <v/>
      </c>
      <c r="E48" s="20">
        <f>IF(A48="","",IF(OR(C48="❓ Unknown",D48="❓ Unknown"),"❓ Unknown",IF(AND(C48="✅ Compliant",D48="✅ Compliant"),"✅ Full Compliance",IF(OR(C48="✅ Compliant",D48="✅ Compliant"),"⚠ Partial Compliance","❌ Non-Compliant"))))</f>
        <v/>
      </c>
      <c r="F48" s="20">
        <f>IF(A48="","",IF(AND(B48="Tier 1 - Critical",E48="❌ Non-Compliant"),"🔴 Critical",IF(B48="Tier 1 - Critical","🟡 High",IF(E48="❌ Non-Compliant","🟡 High",IF(E48="⚠ Partial Compliance","🟢 Medium","⚪ Low")))))</f>
        <v/>
      </c>
      <c r="G48" s="26">
        <f>IF(A48="","",IF(C48="❌ Non-Compliant",IF(D48="❌ Non-Compliant","Both RPO &amp; RTO gaps","RPO gap only"),IF(D48="❌ Non-Compliant","RTO gap only",IF(E48="❓ Unknown","Testing required","No gaps"))))</f>
        <v/>
      </c>
      <c r="H48" s="27" t="n"/>
    </row>
    <row r="49">
      <c r="A49" s="20">
        <f>System_Inventory!A49</f>
        <v/>
      </c>
      <c r="B49" s="20">
        <f>System_Inventory!C49</f>
        <v/>
      </c>
      <c r="C49" s="20">
        <f>IF(A49="","",IF(OR(System_Inventory!E49="",Capability_Assessment!E49=""),"❓ Unknown",IF(Capability_Assessment!E49&lt;=System_Inventory!E49,"✅ Compliant","❌ Non-Compliant")))</f>
        <v/>
      </c>
      <c r="D49" s="20">
        <f>IF(A49="","",IF(OR(System_Inventory!F49="",Capability_Assessment!F49=""),"❓ Unknown",IF(Capability_Assessment!F49&lt;=System_Inventory!F49,"✅ Compliant","❌ Non-Compliant")))</f>
        <v/>
      </c>
      <c r="E49" s="20">
        <f>IF(A49="","",IF(OR(C49="❓ Unknown",D49="❓ Unknown"),"❓ Unknown",IF(AND(C49="✅ Compliant",D49="✅ Compliant"),"✅ Full Compliance",IF(OR(C49="✅ Compliant",D49="✅ Compliant"),"⚠ Partial Compliance","❌ Non-Compliant"))))</f>
        <v/>
      </c>
      <c r="F49" s="20">
        <f>IF(A49="","",IF(AND(B49="Tier 1 - Critical",E49="❌ Non-Compliant"),"🔴 Critical",IF(B49="Tier 1 - Critical","🟡 High",IF(E49="❌ Non-Compliant","🟡 High",IF(E49="⚠ Partial Compliance","🟢 Medium","⚪ Low")))))</f>
        <v/>
      </c>
      <c r="G49" s="26">
        <f>IF(A49="","",IF(C49="❌ Non-Compliant",IF(D49="❌ Non-Compliant","Both RPO &amp; RTO gaps","RPO gap only"),IF(D49="❌ Non-Compliant","RTO gap only",IF(E49="❓ Unknown","Testing required","No gaps"))))</f>
        <v/>
      </c>
      <c r="H49" s="27" t="n"/>
    </row>
    <row r="50">
      <c r="A50" s="20">
        <f>System_Inventory!A50</f>
        <v/>
      </c>
      <c r="B50" s="20">
        <f>System_Inventory!C50</f>
        <v/>
      </c>
      <c r="C50" s="20">
        <f>IF(A50="","",IF(OR(System_Inventory!E50="",Capability_Assessment!E50=""),"❓ Unknown",IF(Capability_Assessment!E50&lt;=System_Inventory!E50,"✅ Compliant","❌ Non-Compliant")))</f>
        <v/>
      </c>
      <c r="D50" s="20">
        <f>IF(A50="","",IF(OR(System_Inventory!F50="",Capability_Assessment!F50=""),"❓ Unknown",IF(Capability_Assessment!F50&lt;=System_Inventory!F50,"✅ Compliant","❌ Non-Compliant")))</f>
        <v/>
      </c>
      <c r="E50" s="20">
        <f>IF(A50="","",IF(OR(C50="❓ Unknown",D50="❓ Unknown"),"❓ Unknown",IF(AND(C50="✅ Compliant",D50="✅ Compliant"),"✅ Full Compliance",IF(OR(C50="✅ Compliant",D50="✅ Compliant"),"⚠ Partial Compliance","❌ Non-Compliant"))))</f>
        <v/>
      </c>
      <c r="F50" s="20">
        <f>IF(A50="","",IF(AND(B50="Tier 1 - Critical",E50="❌ Non-Compliant"),"🔴 Critical",IF(B50="Tier 1 - Critical","🟡 High",IF(E50="❌ Non-Compliant","🟡 High",IF(E50="⚠ Partial Compliance","🟢 Medium","⚪ Low")))))</f>
        <v/>
      </c>
      <c r="G50" s="26">
        <f>IF(A50="","",IF(C50="❌ Non-Compliant",IF(D50="❌ Non-Compliant","Both RPO &amp; RTO gaps","RPO gap only"),IF(D50="❌ Non-Compliant","RTO gap only",IF(E50="❓ Unknown","Testing required","No gaps"))))</f>
        <v/>
      </c>
      <c r="H50" s="27" t="n"/>
    </row>
    <row r="51">
      <c r="A51" s="20">
        <f>System_Inventory!A51</f>
        <v/>
      </c>
      <c r="B51" s="20">
        <f>System_Inventory!C51</f>
        <v/>
      </c>
      <c r="C51" s="20">
        <f>IF(A51="","",IF(OR(System_Inventory!E51="",Capability_Assessment!E51=""),"❓ Unknown",IF(Capability_Assessment!E51&lt;=System_Inventory!E51,"✅ Compliant","❌ Non-Compliant")))</f>
        <v/>
      </c>
      <c r="D51" s="20">
        <f>IF(A51="","",IF(OR(System_Inventory!F51="",Capability_Assessment!F51=""),"❓ Unknown",IF(Capability_Assessment!F51&lt;=System_Inventory!F51,"✅ Compliant","❌ Non-Compliant")))</f>
        <v/>
      </c>
      <c r="E51" s="20">
        <f>IF(A51="","",IF(OR(C51="❓ Unknown",D51="❓ Unknown"),"❓ Unknown",IF(AND(C51="✅ Compliant",D51="✅ Compliant"),"✅ Full Compliance",IF(OR(C51="✅ Compliant",D51="✅ Compliant"),"⚠ Partial Compliance","❌ Non-Compliant"))))</f>
        <v/>
      </c>
      <c r="F51" s="20">
        <f>IF(A51="","",IF(AND(B51="Tier 1 - Critical",E51="❌ Non-Compliant"),"🔴 Critical",IF(B51="Tier 1 - Critical","🟡 High",IF(E51="❌ Non-Compliant","🟡 High",IF(E51="⚠ Partial Compliance","🟢 Medium","⚪ Low")))))</f>
        <v/>
      </c>
      <c r="G51" s="26">
        <f>IF(A51="","",IF(C51="❌ Non-Compliant",IF(D51="❌ Non-Compliant","Both RPO &amp; RTO gaps","RPO gap only"),IF(D51="❌ Non-Compliant","RTO gap only",IF(E51="❓ Unknown","Testing required","No gaps"))))</f>
        <v/>
      </c>
      <c r="H51" s="27" t="n"/>
    </row>
    <row r="52">
      <c r="A52" s="20">
        <f>System_Inventory!A52</f>
        <v/>
      </c>
      <c r="B52" s="20">
        <f>System_Inventory!C52</f>
        <v/>
      </c>
      <c r="C52" s="20">
        <f>IF(A52="","",IF(OR(System_Inventory!E52="",Capability_Assessment!E52=""),"❓ Unknown",IF(Capability_Assessment!E52&lt;=System_Inventory!E52,"✅ Compliant","❌ Non-Compliant")))</f>
        <v/>
      </c>
      <c r="D52" s="20">
        <f>IF(A52="","",IF(OR(System_Inventory!F52="",Capability_Assessment!F52=""),"❓ Unknown",IF(Capability_Assessment!F52&lt;=System_Inventory!F52,"✅ Compliant","❌ Non-Compliant")))</f>
        <v/>
      </c>
      <c r="E52" s="20">
        <f>IF(A52="","",IF(OR(C52="❓ Unknown",D52="❓ Unknown"),"❓ Unknown",IF(AND(C52="✅ Compliant",D52="✅ Compliant"),"✅ Full Compliance",IF(OR(C52="✅ Compliant",D52="✅ Compliant"),"⚠ Partial Compliance","❌ Non-Compliant"))))</f>
        <v/>
      </c>
      <c r="F52" s="20">
        <f>IF(A52="","",IF(AND(B52="Tier 1 - Critical",E52="❌ Non-Compliant"),"🔴 Critical",IF(B52="Tier 1 - Critical","🟡 High",IF(E52="❌ Non-Compliant","🟡 High",IF(E52="⚠ Partial Compliance","🟢 Medium","⚪ Low")))))</f>
        <v/>
      </c>
      <c r="G52" s="26">
        <f>IF(A52="","",IF(C52="❌ Non-Compliant",IF(D52="❌ Non-Compliant","Both RPO &amp; RTO gaps","RPO gap only"),IF(D52="❌ Non-Compliant","RTO gap only",IF(E52="❓ Unknown","Testing required","No gaps"))))</f>
        <v/>
      </c>
      <c r="H52" s="27" t="n"/>
    </row>
    <row r="53">
      <c r="A53" s="20">
        <f>System_Inventory!A53</f>
        <v/>
      </c>
      <c r="B53" s="20">
        <f>System_Inventory!C53</f>
        <v/>
      </c>
      <c r="C53" s="20">
        <f>IF(A53="","",IF(OR(System_Inventory!E53="",Capability_Assessment!E53=""),"❓ Unknown",IF(Capability_Assessment!E53&lt;=System_Inventory!E53,"✅ Compliant","❌ Non-Compliant")))</f>
        <v/>
      </c>
      <c r="D53" s="20">
        <f>IF(A53="","",IF(OR(System_Inventory!F53="",Capability_Assessment!F53=""),"❓ Unknown",IF(Capability_Assessment!F53&lt;=System_Inventory!F53,"✅ Compliant","❌ Non-Compliant")))</f>
        <v/>
      </c>
      <c r="E53" s="20">
        <f>IF(A53="","",IF(OR(C53="❓ Unknown",D53="❓ Unknown"),"❓ Unknown",IF(AND(C53="✅ Compliant",D53="✅ Compliant"),"✅ Full Compliance",IF(OR(C53="✅ Compliant",D53="✅ Compliant"),"⚠ Partial Compliance","❌ Non-Compliant"))))</f>
        <v/>
      </c>
      <c r="F53" s="20">
        <f>IF(A53="","",IF(AND(B53="Tier 1 - Critical",E53="❌ Non-Compliant"),"🔴 Critical",IF(B53="Tier 1 - Critical","🟡 High",IF(E53="❌ Non-Compliant","🟡 High",IF(E53="⚠ Partial Compliance","🟢 Medium","⚪ Low")))))</f>
        <v/>
      </c>
      <c r="G53" s="26">
        <f>IF(A53="","",IF(C53="❌ Non-Compliant",IF(D53="❌ Non-Compliant","Both RPO &amp; RTO gaps","RPO gap only"),IF(D53="❌ Non-Compliant","RTO gap only",IF(E53="❓ Unknown","Testing required","No gaps"))))</f>
        <v/>
      </c>
      <c r="H53" s="27" t="n"/>
    </row>
    <row r="54">
      <c r="A54" s="20">
        <f>System_Inventory!A54</f>
        <v/>
      </c>
      <c r="B54" s="20">
        <f>System_Inventory!C54</f>
        <v/>
      </c>
      <c r="C54" s="20">
        <f>IF(A54="","",IF(OR(System_Inventory!E54="",Capability_Assessment!E54=""),"❓ Unknown",IF(Capability_Assessment!E54&lt;=System_Inventory!E54,"✅ Compliant","❌ Non-Compliant")))</f>
        <v/>
      </c>
      <c r="D54" s="20">
        <f>IF(A54="","",IF(OR(System_Inventory!F54="",Capability_Assessment!F54=""),"❓ Unknown",IF(Capability_Assessment!F54&lt;=System_Inventory!F54,"✅ Compliant","❌ Non-Compliant")))</f>
        <v/>
      </c>
      <c r="E54" s="20">
        <f>IF(A54="","",IF(OR(C54="❓ Unknown",D54="❓ Unknown"),"❓ Unknown",IF(AND(C54="✅ Compliant",D54="✅ Compliant"),"✅ Full Compliance",IF(OR(C54="✅ Compliant",D54="✅ Compliant"),"⚠ Partial Compliance","❌ Non-Compliant"))))</f>
        <v/>
      </c>
      <c r="F54" s="20">
        <f>IF(A54="","",IF(AND(B54="Tier 1 - Critical",E54="❌ Non-Compliant"),"🔴 Critical",IF(B54="Tier 1 - Critical","🟡 High",IF(E54="❌ Non-Compliant","🟡 High",IF(E54="⚠ Partial Compliance","🟢 Medium","⚪ Low")))))</f>
        <v/>
      </c>
      <c r="G54" s="26">
        <f>IF(A54="","",IF(C54="❌ Non-Compliant",IF(D54="❌ Non-Compliant","Both RPO &amp; RTO gaps","RPO gap only"),IF(D54="❌ Non-Compliant","RTO gap only",IF(E54="❓ Unknown","Testing required","No gaps"))))</f>
        <v/>
      </c>
      <c r="H54" s="27" t="n"/>
    </row>
    <row r="55">
      <c r="A55" s="20">
        <f>System_Inventory!A55</f>
        <v/>
      </c>
      <c r="B55" s="20">
        <f>System_Inventory!C55</f>
        <v/>
      </c>
      <c r="C55" s="20">
        <f>IF(A55="","",IF(OR(System_Inventory!E55="",Capability_Assessment!E55=""),"❓ Unknown",IF(Capability_Assessment!E55&lt;=System_Inventory!E55,"✅ Compliant","❌ Non-Compliant")))</f>
        <v/>
      </c>
      <c r="D55" s="20">
        <f>IF(A55="","",IF(OR(System_Inventory!F55="",Capability_Assessment!F55=""),"❓ Unknown",IF(Capability_Assessment!F55&lt;=System_Inventory!F55,"✅ Compliant","❌ Non-Compliant")))</f>
        <v/>
      </c>
      <c r="E55" s="20">
        <f>IF(A55="","",IF(OR(C55="❓ Unknown",D55="❓ Unknown"),"❓ Unknown",IF(AND(C55="✅ Compliant",D55="✅ Compliant"),"✅ Full Compliance",IF(OR(C55="✅ Compliant",D55="✅ Compliant"),"⚠ Partial Compliance","❌ Non-Compliant"))))</f>
        <v/>
      </c>
      <c r="F55" s="20">
        <f>IF(A55="","",IF(AND(B55="Tier 1 - Critical",E55="❌ Non-Compliant"),"🔴 Critical",IF(B55="Tier 1 - Critical","🟡 High",IF(E55="❌ Non-Compliant","🟡 High",IF(E55="⚠ Partial Compliance","🟢 Medium","⚪ Low")))))</f>
        <v/>
      </c>
      <c r="G55" s="26">
        <f>IF(A55="","",IF(C55="❌ Non-Compliant",IF(D55="❌ Non-Compliant","Both RPO &amp; RTO gaps","RPO gap only"),IF(D55="❌ Non-Compliant","RTO gap only",IF(E55="❓ Unknown","Testing required","No gaps"))))</f>
        <v/>
      </c>
      <c r="H55" s="27" t="n"/>
    </row>
    <row r="56">
      <c r="A56" s="20">
        <f>System_Inventory!A56</f>
        <v/>
      </c>
      <c r="B56" s="20">
        <f>System_Inventory!C56</f>
        <v/>
      </c>
      <c r="C56" s="20">
        <f>IF(A56="","",IF(OR(System_Inventory!E56="",Capability_Assessment!E56=""),"❓ Unknown",IF(Capability_Assessment!E56&lt;=System_Inventory!E56,"✅ Compliant","❌ Non-Compliant")))</f>
        <v/>
      </c>
      <c r="D56" s="20">
        <f>IF(A56="","",IF(OR(System_Inventory!F56="",Capability_Assessment!F56=""),"❓ Unknown",IF(Capability_Assessment!F56&lt;=System_Inventory!F56,"✅ Compliant","❌ Non-Compliant")))</f>
        <v/>
      </c>
      <c r="E56" s="20">
        <f>IF(A56="","",IF(OR(C56="❓ Unknown",D56="❓ Unknown"),"❓ Unknown",IF(AND(C56="✅ Compliant",D56="✅ Compliant"),"✅ Full Compliance",IF(OR(C56="✅ Compliant",D56="✅ Compliant"),"⚠ Partial Compliance","❌ Non-Compliant"))))</f>
        <v/>
      </c>
      <c r="F56" s="20">
        <f>IF(A56="","",IF(AND(B56="Tier 1 - Critical",E56="❌ Non-Compliant"),"🔴 Critical",IF(B56="Tier 1 - Critical","🟡 High",IF(E56="❌ Non-Compliant","🟡 High",IF(E56="⚠ Partial Compliance","🟢 Medium","⚪ Low")))))</f>
        <v/>
      </c>
      <c r="G56" s="26">
        <f>IF(A56="","",IF(C56="❌ Non-Compliant",IF(D56="❌ Non-Compliant","Both RPO &amp; RTO gaps","RPO gap only"),IF(D56="❌ Non-Compliant","RTO gap only",IF(E56="❓ Unknown","Testing required","No gaps"))))</f>
        <v/>
      </c>
      <c r="H56" s="27" t="n"/>
    </row>
    <row r="57">
      <c r="A57" s="20">
        <f>System_Inventory!A57</f>
        <v/>
      </c>
      <c r="B57" s="20">
        <f>System_Inventory!C57</f>
        <v/>
      </c>
      <c r="C57" s="20">
        <f>IF(A57="","",IF(OR(System_Inventory!E57="",Capability_Assessment!E57=""),"❓ Unknown",IF(Capability_Assessment!E57&lt;=System_Inventory!E57,"✅ Compliant","❌ Non-Compliant")))</f>
        <v/>
      </c>
      <c r="D57" s="20">
        <f>IF(A57="","",IF(OR(System_Inventory!F57="",Capability_Assessment!F57=""),"❓ Unknown",IF(Capability_Assessment!F57&lt;=System_Inventory!F57,"✅ Compliant","❌ Non-Compliant")))</f>
        <v/>
      </c>
      <c r="E57" s="20">
        <f>IF(A57="","",IF(OR(C57="❓ Unknown",D57="❓ Unknown"),"❓ Unknown",IF(AND(C57="✅ Compliant",D57="✅ Compliant"),"✅ Full Compliance",IF(OR(C57="✅ Compliant",D57="✅ Compliant"),"⚠ Partial Compliance","❌ Non-Compliant"))))</f>
        <v/>
      </c>
      <c r="F57" s="20">
        <f>IF(A57="","",IF(AND(B57="Tier 1 - Critical",E57="❌ Non-Compliant"),"🔴 Critical",IF(B57="Tier 1 - Critical","🟡 High",IF(E57="❌ Non-Compliant","🟡 High",IF(E57="⚠ Partial Compliance","🟢 Medium","⚪ Low")))))</f>
        <v/>
      </c>
      <c r="G57" s="26">
        <f>IF(A57="","",IF(C57="❌ Non-Compliant",IF(D57="❌ Non-Compliant","Both RPO &amp; RTO gaps","RPO gap only"),IF(D57="❌ Non-Compliant","RTO gap only",IF(E57="❓ Unknown","Testing required","No gaps"))))</f>
        <v/>
      </c>
      <c r="H57" s="27" t="n"/>
    </row>
    <row r="58">
      <c r="A58" s="20">
        <f>System_Inventory!A58</f>
        <v/>
      </c>
      <c r="B58" s="20">
        <f>System_Inventory!C58</f>
        <v/>
      </c>
      <c r="C58" s="20">
        <f>IF(A58="","",IF(OR(System_Inventory!E58="",Capability_Assessment!E58=""),"❓ Unknown",IF(Capability_Assessment!E58&lt;=System_Inventory!E58,"✅ Compliant","❌ Non-Compliant")))</f>
        <v/>
      </c>
      <c r="D58" s="20">
        <f>IF(A58="","",IF(OR(System_Inventory!F58="",Capability_Assessment!F58=""),"❓ Unknown",IF(Capability_Assessment!F58&lt;=System_Inventory!F58,"✅ Compliant","❌ Non-Compliant")))</f>
        <v/>
      </c>
      <c r="E58" s="20">
        <f>IF(A58="","",IF(OR(C58="❓ Unknown",D58="❓ Unknown"),"❓ Unknown",IF(AND(C58="✅ Compliant",D58="✅ Compliant"),"✅ Full Compliance",IF(OR(C58="✅ Compliant",D58="✅ Compliant"),"⚠ Partial Compliance","❌ Non-Compliant"))))</f>
        <v/>
      </c>
      <c r="F58" s="20">
        <f>IF(A58="","",IF(AND(B58="Tier 1 - Critical",E58="❌ Non-Compliant"),"🔴 Critical",IF(B58="Tier 1 - Critical","🟡 High",IF(E58="❌ Non-Compliant","🟡 High",IF(E58="⚠ Partial Compliance","🟢 Medium","⚪ Low")))))</f>
        <v/>
      </c>
      <c r="G58" s="26">
        <f>IF(A58="","",IF(C58="❌ Non-Compliant",IF(D58="❌ Non-Compliant","Both RPO &amp; RTO gaps","RPO gap only"),IF(D58="❌ Non-Compliant","RTO gap only",IF(E58="❓ Unknown","Testing required","No gaps"))))</f>
        <v/>
      </c>
      <c r="H58" s="27" t="n"/>
    </row>
    <row r="59">
      <c r="A59" s="20">
        <f>System_Inventory!A59</f>
        <v/>
      </c>
      <c r="B59" s="20">
        <f>System_Inventory!C59</f>
        <v/>
      </c>
      <c r="C59" s="20">
        <f>IF(A59="","",IF(OR(System_Inventory!E59="",Capability_Assessment!E59=""),"❓ Unknown",IF(Capability_Assessment!E59&lt;=System_Inventory!E59,"✅ Compliant","❌ Non-Compliant")))</f>
        <v/>
      </c>
      <c r="D59" s="20">
        <f>IF(A59="","",IF(OR(System_Inventory!F59="",Capability_Assessment!F59=""),"❓ Unknown",IF(Capability_Assessment!F59&lt;=System_Inventory!F59,"✅ Compliant","❌ Non-Compliant")))</f>
        <v/>
      </c>
      <c r="E59" s="20">
        <f>IF(A59="","",IF(OR(C59="❓ Unknown",D59="❓ Unknown"),"❓ Unknown",IF(AND(C59="✅ Compliant",D59="✅ Compliant"),"✅ Full Compliance",IF(OR(C59="✅ Compliant",D59="✅ Compliant"),"⚠ Partial Compliance","❌ Non-Compliant"))))</f>
        <v/>
      </c>
      <c r="F59" s="20">
        <f>IF(A59="","",IF(AND(B59="Tier 1 - Critical",E59="❌ Non-Compliant"),"🔴 Critical",IF(B59="Tier 1 - Critical","🟡 High",IF(E59="❌ Non-Compliant","🟡 High",IF(E59="⚠ Partial Compliance","🟢 Medium","⚪ Low")))))</f>
        <v/>
      </c>
      <c r="G59" s="26">
        <f>IF(A59="","",IF(C59="❌ Non-Compliant",IF(D59="❌ Non-Compliant","Both RPO &amp; RTO gaps","RPO gap only"),IF(D59="❌ Non-Compliant","RTO gap only",IF(E59="❓ Unknown","Testing required","No gaps"))))</f>
        <v/>
      </c>
      <c r="H59" s="27" t="n"/>
    </row>
    <row r="60">
      <c r="A60" s="20">
        <f>System_Inventory!A60</f>
        <v/>
      </c>
      <c r="B60" s="20">
        <f>System_Inventory!C60</f>
        <v/>
      </c>
      <c r="C60" s="20">
        <f>IF(A60="","",IF(OR(System_Inventory!E60="",Capability_Assessment!E60=""),"❓ Unknown",IF(Capability_Assessment!E60&lt;=System_Inventory!E60,"✅ Compliant","❌ Non-Compliant")))</f>
        <v/>
      </c>
      <c r="D60" s="20">
        <f>IF(A60="","",IF(OR(System_Inventory!F60="",Capability_Assessment!F60=""),"❓ Unknown",IF(Capability_Assessment!F60&lt;=System_Inventory!F60,"✅ Compliant","❌ Non-Compliant")))</f>
        <v/>
      </c>
      <c r="E60" s="20">
        <f>IF(A60="","",IF(OR(C60="❓ Unknown",D60="❓ Unknown"),"❓ Unknown",IF(AND(C60="✅ Compliant",D60="✅ Compliant"),"✅ Full Compliance",IF(OR(C60="✅ Compliant",D60="✅ Compliant"),"⚠ Partial Compliance","❌ Non-Compliant"))))</f>
        <v/>
      </c>
      <c r="F60" s="20">
        <f>IF(A60="","",IF(AND(B60="Tier 1 - Critical",E60="❌ Non-Compliant"),"🔴 Critical",IF(B60="Tier 1 - Critical","🟡 High",IF(E60="❌ Non-Compliant","🟡 High",IF(E60="⚠ Partial Compliance","🟢 Medium","⚪ Low")))))</f>
        <v/>
      </c>
      <c r="G60" s="26">
        <f>IF(A60="","",IF(C60="❌ Non-Compliant",IF(D60="❌ Non-Compliant","Both RPO &amp; RTO gaps","RPO gap only"),IF(D60="❌ Non-Compliant","RTO gap only",IF(E60="❓ Unknown","Testing required","No gaps"))))</f>
        <v/>
      </c>
      <c r="H60" s="27" t="n"/>
    </row>
    <row r="61">
      <c r="A61" s="20">
        <f>System_Inventory!A61</f>
        <v/>
      </c>
      <c r="B61" s="20">
        <f>System_Inventory!C61</f>
        <v/>
      </c>
      <c r="C61" s="20">
        <f>IF(A61="","",IF(OR(System_Inventory!E61="",Capability_Assessment!E61=""),"❓ Unknown",IF(Capability_Assessment!E61&lt;=System_Inventory!E61,"✅ Compliant","❌ Non-Compliant")))</f>
        <v/>
      </c>
      <c r="D61" s="20">
        <f>IF(A61="","",IF(OR(System_Inventory!F61="",Capability_Assessment!F61=""),"❓ Unknown",IF(Capability_Assessment!F61&lt;=System_Inventory!F61,"✅ Compliant","❌ Non-Compliant")))</f>
        <v/>
      </c>
      <c r="E61" s="20">
        <f>IF(A61="","",IF(OR(C61="❓ Unknown",D61="❓ Unknown"),"❓ Unknown",IF(AND(C61="✅ Compliant",D61="✅ Compliant"),"✅ Full Compliance",IF(OR(C61="✅ Compliant",D61="✅ Compliant"),"⚠ Partial Compliance","❌ Non-Compliant"))))</f>
        <v/>
      </c>
      <c r="F61" s="20">
        <f>IF(A61="","",IF(AND(B61="Tier 1 - Critical",E61="❌ Non-Compliant"),"🔴 Critical",IF(B61="Tier 1 - Critical","🟡 High",IF(E61="❌ Non-Compliant","🟡 High",IF(E61="⚠ Partial Compliance","🟢 Medium","⚪ Low")))))</f>
        <v/>
      </c>
      <c r="G61" s="26">
        <f>IF(A61="","",IF(C61="❌ Non-Compliant",IF(D61="❌ Non-Compliant","Both RPO &amp; RTO gaps","RPO gap only"),IF(D61="❌ Non-Compliant","RTO gap only",IF(E61="❓ Unknown","Testing required","No gaps"))))</f>
        <v/>
      </c>
      <c r="H61" s="27" t="n"/>
    </row>
    <row r="62">
      <c r="A62" s="20">
        <f>System_Inventory!A62</f>
        <v/>
      </c>
      <c r="B62" s="20">
        <f>System_Inventory!C62</f>
        <v/>
      </c>
      <c r="C62" s="20">
        <f>IF(A62="","",IF(OR(System_Inventory!E62="",Capability_Assessment!E62=""),"❓ Unknown",IF(Capability_Assessment!E62&lt;=System_Inventory!E62,"✅ Compliant","❌ Non-Compliant")))</f>
        <v/>
      </c>
      <c r="D62" s="20">
        <f>IF(A62="","",IF(OR(System_Inventory!F62="",Capability_Assessment!F62=""),"❓ Unknown",IF(Capability_Assessment!F62&lt;=System_Inventory!F62,"✅ Compliant","❌ Non-Compliant")))</f>
        <v/>
      </c>
      <c r="E62" s="20">
        <f>IF(A62="","",IF(OR(C62="❓ Unknown",D62="❓ Unknown"),"❓ Unknown",IF(AND(C62="✅ Compliant",D62="✅ Compliant"),"✅ Full Compliance",IF(OR(C62="✅ Compliant",D62="✅ Compliant"),"⚠ Partial Compliance","❌ Non-Compliant"))))</f>
        <v/>
      </c>
      <c r="F62" s="20">
        <f>IF(A62="","",IF(AND(B62="Tier 1 - Critical",E62="❌ Non-Compliant"),"🔴 Critical",IF(B62="Tier 1 - Critical","🟡 High",IF(E62="❌ Non-Compliant","🟡 High",IF(E62="⚠ Partial Compliance","🟢 Medium","⚪ Low")))))</f>
        <v/>
      </c>
      <c r="G62" s="26">
        <f>IF(A62="","",IF(C62="❌ Non-Compliant",IF(D62="❌ Non-Compliant","Both RPO &amp; RTO gaps","RPO gap only"),IF(D62="❌ Non-Compliant","RTO gap only",IF(E62="❓ Unknown","Testing required","No gaps"))))</f>
        <v/>
      </c>
      <c r="H62" s="27" t="n"/>
    </row>
    <row r="63">
      <c r="A63" s="20">
        <f>System_Inventory!A63</f>
        <v/>
      </c>
      <c r="B63" s="20">
        <f>System_Inventory!C63</f>
        <v/>
      </c>
      <c r="C63" s="20">
        <f>IF(A63="","",IF(OR(System_Inventory!E63="",Capability_Assessment!E63=""),"❓ Unknown",IF(Capability_Assessment!E63&lt;=System_Inventory!E63,"✅ Compliant","❌ Non-Compliant")))</f>
        <v/>
      </c>
      <c r="D63" s="20">
        <f>IF(A63="","",IF(OR(System_Inventory!F63="",Capability_Assessment!F63=""),"❓ Unknown",IF(Capability_Assessment!F63&lt;=System_Inventory!F63,"✅ Compliant","❌ Non-Compliant")))</f>
        <v/>
      </c>
      <c r="E63" s="20">
        <f>IF(A63="","",IF(OR(C63="❓ Unknown",D63="❓ Unknown"),"❓ Unknown",IF(AND(C63="✅ Compliant",D63="✅ Compliant"),"✅ Full Compliance",IF(OR(C63="✅ Compliant",D63="✅ Compliant"),"⚠ Partial Compliance","❌ Non-Compliant"))))</f>
        <v/>
      </c>
      <c r="F63" s="20">
        <f>IF(A63="","",IF(AND(B63="Tier 1 - Critical",E63="❌ Non-Compliant"),"🔴 Critical",IF(B63="Tier 1 - Critical","🟡 High",IF(E63="❌ Non-Compliant","🟡 High",IF(E63="⚠ Partial Compliance","🟢 Medium","⚪ Low")))))</f>
        <v/>
      </c>
      <c r="G63" s="26">
        <f>IF(A63="","",IF(C63="❌ Non-Compliant",IF(D63="❌ Non-Compliant","Both RPO &amp; RTO gaps","RPO gap only"),IF(D63="❌ Non-Compliant","RTO gap only",IF(E63="❓ Unknown","Testing required","No gaps"))))</f>
        <v/>
      </c>
      <c r="H63" s="27" t="n"/>
    </row>
    <row r="64">
      <c r="A64" s="20">
        <f>System_Inventory!A64</f>
        <v/>
      </c>
      <c r="B64" s="20">
        <f>System_Inventory!C64</f>
        <v/>
      </c>
      <c r="C64" s="20">
        <f>IF(A64="","",IF(OR(System_Inventory!E64="",Capability_Assessment!E64=""),"❓ Unknown",IF(Capability_Assessment!E64&lt;=System_Inventory!E64,"✅ Compliant","❌ Non-Compliant")))</f>
        <v/>
      </c>
      <c r="D64" s="20">
        <f>IF(A64="","",IF(OR(System_Inventory!F64="",Capability_Assessment!F64=""),"❓ Unknown",IF(Capability_Assessment!F64&lt;=System_Inventory!F64,"✅ Compliant","❌ Non-Compliant")))</f>
        <v/>
      </c>
      <c r="E64" s="20">
        <f>IF(A64="","",IF(OR(C64="❓ Unknown",D64="❓ Unknown"),"❓ Unknown",IF(AND(C64="✅ Compliant",D64="✅ Compliant"),"✅ Full Compliance",IF(OR(C64="✅ Compliant",D64="✅ Compliant"),"⚠ Partial Compliance","❌ Non-Compliant"))))</f>
        <v/>
      </c>
      <c r="F64" s="20">
        <f>IF(A64="","",IF(AND(B64="Tier 1 - Critical",E64="❌ Non-Compliant"),"🔴 Critical",IF(B64="Tier 1 - Critical","🟡 High",IF(E64="❌ Non-Compliant","🟡 High",IF(E64="⚠ Partial Compliance","🟢 Medium","⚪ Low")))))</f>
        <v/>
      </c>
      <c r="G64" s="26">
        <f>IF(A64="","",IF(C64="❌ Non-Compliant",IF(D64="❌ Non-Compliant","Both RPO &amp; RTO gaps","RPO gap only"),IF(D64="❌ Non-Compliant","RTO gap only",IF(E64="❓ Unknown","Testing required","No gaps"))))</f>
        <v/>
      </c>
      <c r="H64" s="27" t="n"/>
    </row>
    <row r="65">
      <c r="A65" s="20">
        <f>System_Inventory!A65</f>
        <v/>
      </c>
      <c r="B65" s="20">
        <f>System_Inventory!C65</f>
        <v/>
      </c>
      <c r="C65" s="20">
        <f>IF(A65="","",IF(OR(System_Inventory!E65="",Capability_Assessment!E65=""),"❓ Unknown",IF(Capability_Assessment!E65&lt;=System_Inventory!E65,"✅ Compliant","❌ Non-Compliant")))</f>
        <v/>
      </c>
      <c r="D65" s="20">
        <f>IF(A65="","",IF(OR(System_Inventory!F65="",Capability_Assessment!F65=""),"❓ Unknown",IF(Capability_Assessment!F65&lt;=System_Inventory!F65,"✅ Compliant","❌ Non-Compliant")))</f>
        <v/>
      </c>
      <c r="E65" s="20">
        <f>IF(A65="","",IF(OR(C65="❓ Unknown",D65="❓ Unknown"),"❓ Unknown",IF(AND(C65="✅ Compliant",D65="✅ Compliant"),"✅ Full Compliance",IF(OR(C65="✅ Compliant",D65="✅ Compliant"),"⚠ Partial Compliance","❌ Non-Compliant"))))</f>
        <v/>
      </c>
      <c r="F65" s="20">
        <f>IF(A65="","",IF(AND(B65="Tier 1 - Critical",E65="❌ Non-Compliant"),"🔴 Critical",IF(B65="Tier 1 - Critical","🟡 High",IF(E65="❌ Non-Compliant","🟡 High",IF(E65="⚠ Partial Compliance","🟢 Medium","⚪ Low")))))</f>
        <v/>
      </c>
      <c r="G65" s="26">
        <f>IF(A65="","",IF(C65="❌ Non-Compliant",IF(D65="❌ Non-Compliant","Both RPO &amp; RTO gaps","RPO gap only"),IF(D65="❌ Non-Compliant","RTO gap only",IF(E65="❓ Unknown","Testing required","No gaps"))))</f>
        <v/>
      </c>
      <c r="H65" s="27" t="n"/>
    </row>
    <row r="66">
      <c r="A66" s="20">
        <f>System_Inventory!A66</f>
        <v/>
      </c>
      <c r="B66" s="20">
        <f>System_Inventory!C66</f>
        <v/>
      </c>
      <c r="C66" s="20">
        <f>IF(A66="","",IF(OR(System_Inventory!E66="",Capability_Assessment!E66=""),"❓ Unknown",IF(Capability_Assessment!E66&lt;=System_Inventory!E66,"✅ Compliant","❌ Non-Compliant")))</f>
        <v/>
      </c>
      <c r="D66" s="20">
        <f>IF(A66="","",IF(OR(System_Inventory!F66="",Capability_Assessment!F66=""),"❓ Unknown",IF(Capability_Assessment!F66&lt;=System_Inventory!F66,"✅ Compliant","❌ Non-Compliant")))</f>
        <v/>
      </c>
      <c r="E66" s="20">
        <f>IF(A66="","",IF(OR(C66="❓ Unknown",D66="❓ Unknown"),"❓ Unknown",IF(AND(C66="✅ Compliant",D66="✅ Compliant"),"✅ Full Compliance",IF(OR(C66="✅ Compliant",D66="✅ Compliant"),"⚠ Partial Compliance","❌ Non-Compliant"))))</f>
        <v/>
      </c>
      <c r="F66" s="20">
        <f>IF(A66="","",IF(AND(B66="Tier 1 - Critical",E66="❌ Non-Compliant"),"🔴 Critical",IF(B66="Tier 1 - Critical","🟡 High",IF(E66="❌ Non-Compliant","🟡 High",IF(E66="⚠ Partial Compliance","🟢 Medium","⚪ Low")))))</f>
        <v/>
      </c>
      <c r="G66" s="26">
        <f>IF(A66="","",IF(C66="❌ Non-Compliant",IF(D66="❌ Non-Compliant","Both RPO &amp; RTO gaps","RPO gap only"),IF(D66="❌ Non-Compliant","RTO gap only",IF(E66="❓ Unknown","Testing required","No gaps"))))</f>
        <v/>
      </c>
      <c r="H66" s="27" t="n"/>
    </row>
    <row r="67">
      <c r="A67" s="20">
        <f>System_Inventory!A67</f>
        <v/>
      </c>
      <c r="B67" s="20">
        <f>System_Inventory!C67</f>
        <v/>
      </c>
      <c r="C67" s="20">
        <f>IF(A67="","",IF(OR(System_Inventory!E67="",Capability_Assessment!E67=""),"❓ Unknown",IF(Capability_Assessment!E67&lt;=System_Inventory!E67,"✅ Compliant","❌ Non-Compliant")))</f>
        <v/>
      </c>
      <c r="D67" s="20">
        <f>IF(A67="","",IF(OR(System_Inventory!F67="",Capability_Assessment!F67=""),"❓ Unknown",IF(Capability_Assessment!F67&lt;=System_Inventory!F67,"✅ Compliant","❌ Non-Compliant")))</f>
        <v/>
      </c>
      <c r="E67" s="20">
        <f>IF(A67="","",IF(OR(C67="❓ Unknown",D67="❓ Unknown"),"❓ Unknown",IF(AND(C67="✅ Compliant",D67="✅ Compliant"),"✅ Full Compliance",IF(OR(C67="✅ Compliant",D67="✅ Compliant"),"⚠ Partial Compliance","❌ Non-Compliant"))))</f>
        <v/>
      </c>
      <c r="F67" s="20">
        <f>IF(A67="","",IF(AND(B67="Tier 1 - Critical",E67="❌ Non-Compliant"),"🔴 Critical",IF(B67="Tier 1 - Critical","🟡 High",IF(E67="❌ Non-Compliant","🟡 High",IF(E67="⚠ Partial Compliance","🟢 Medium","⚪ Low")))))</f>
        <v/>
      </c>
      <c r="G67" s="26">
        <f>IF(A67="","",IF(C67="❌ Non-Compliant",IF(D67="❌ Non-Compliant","Both RPO &amp; RTO gaps","RPO gap only"),IF(D67="❌ Non-Compliant","RTO gap only",IF(E67="❓ Unknown","Testing required","No gaps"))))</f>
        <v/>
      </c>
      <c r="H67" s="27" t="n"/>
    </row>
    <row r="68">
      <c r="A68" s="20">
        <f>System_Inventory!A68</f>
        <v/>
      </c>
      <c r="B68" s="20">
        <f>System_Inventory!C68</f>
        <v/>
      </c>
      <c r="C68" s="20">
        <f>IF(A68="","",IF(OR(System_Inventory!E68="",Capability_Assessment!E68=""),"❓ Unknown",IF(Capability_Assessment!E68&lt;=System_Inventory!E68,"✅ Compliant","❌ Non-Compliant")))</f>
        <v/>
      </c>
      <c r="D68" s="20">
        <f>IF(A68="","",IF(OR(System_Inventory!F68="",Capability_Assessment!F68=""),"❓ Unknown",IF(Capability_Assessment!F68&lt;=System_Inventory!F68,"✅ Compliant","❌ Non-Compliant")))</f>
        <v/>
      </c>
      <c r="E68" s="20">
        <f>IF(A68="","",IF(OR(C68="❓ Unknown",D68="❓ Unknown"),"❓ Unknown",IF(AND(C68="✅ Compliant",D68="✅ Compliant"),"✅ Full Compliance",IF(OR(C68="✅ Compliant",D68="✅ Compliant"),"⚠ Partial Compliance","❌ Non-Compliant"))))</f>
        <v/>
      </c>
      <c r="F68" s="20">
        <f>IF(A68="","",IF(AND(B68="Tier 1 - Critical",E68="❌ Non-Compliant"),"🔴 Critical",IF(B68="Tier 1 - Critical","🟡 High",IF(E68="❌ Non-Compliant","🟡 High",IF(E68="⚠ Partial Compliance","🟢 Medium","⚪ Low")))))</f>
        <v/>
      </c>
      <c r="G68" s="26">
        <f>IF(A68="","",IF(C68="❌ Non-Compliant",IF(D68="❌ Non-Compliant","Both RPO &amp; RTO gaps","RPO gap only"),IF(D68="❌ Non-Compliant","RTO gap only",IF(E68="❓ Unknown","Testing required","No gaps"))))</f>
        <v/>
      </c>
      <c r="H68" s="27" t="n"/>
    </row>
    <row r="69">
      <c r="A69" s="20">
        <f>System_Inventory!A69</f>
        <v/>
      </c>
      <c r="B69" s="20">
        <f>System_Inventory!C69</f>
        <v/>
      </c>
      <c r="C69" s="20">
        <f>IF(A69="","",IF(OR(System_Inventory!E69="",Capability_Assessment!E69=""),"❓ Unknown",IF(Capability_Assessment!E69&lt;=System_Inventory!E69,"✅ Compliant","❌ Non-Compliant")))</f>
        <v/>
      </c>
      <c r="D69" s="20">
        <f>IF(A69="","",IF(OR(System_Inventory!F69="",Capability_Assessment!F69=""),"❓ Unknown",IF(Capability_Assessment!F69&lt;=System_Inventory!F69,"✅ Compliant","❌ Non-Compliant")))</f>
        <v/>
      </c>
      <c r="E69" s="20">
        <f>IF(A69="","",IF(OR(C69="❓ Unknown",D69="❓ Unknown"),"❓ Unknown",IF(AND(C69="✅ Compliant",D69="✅ Compliant"),"✅ Full Compliance",IF(OR(C69="✅ Compliant",D69="✅ Compliant"),"⚠ Partial Compliance","❌ Non-Compliant"))))</f>
        <v/>
      </c>
      <c r="F69" s="20">
        <f>IF(A69="","",IF(AND(B69="Tier 1 - Critical",E69="❌ Non-Compliant"),"🔴 Critical",IF(B69="Tier 1 - Critical","🟡 High",IF(E69="❌ Non-Compliant","🟡 High",IF(E69="⚠ Partial Compliance","🟢 Medium","⚪ Low")))))</f>
        <v/>
      </c>
      <c r="G69" s="26">
        <f>IF(A69="","",IF(C69="❌ Non-Compliant",IF(D69="❌ Non-Compliant","Both RPO &amp; RTO gaps","RPO gap only"),IF(D69="❌ Non-Compliant","RTO gap only",IF(E69="❓ Unknown","Testing required","No gaps"))))</f>
        <v/>
      </c>
      <c r="H69" s="27" t="n"/>
    </row>
    <row r="70">
      <c r="A70" s="20">
        <f>System_Inventory!A70</f>
        <v/>
      </c>
      <c r="B70" s="20">
        <f>System_Inventory!C70</f>
        <v/>
      </c>
      <c r="C70" s="20">
        <f>IF(A70="","",IF(OR(System_Inventory!E70="",Capability_Assessment!E70=""),"❓ Unknown",IF(Capability_Assessment!E70&lt;=System_Inventory!E70,"✅ Compliant","❌ Non-Compliant")))</f>
        <v/>
      </c>
      <c r="D70" s="20">
        <f>IF(A70="","",IF(OR(System_Inventory!F70="",Capability_Assessment!F70=""),"❓ Unknown",IF(Capability_Assessment!F70&lt;=System_Inventory!F70,"✅ Compliant","❌ Non-Compliant")))</f>
        <v/>
      </c>
      <c r="E70" s="20">
        <f>IF(A70="","",IF(OR(C70="❓ Unknown",D70="❓ Unknown"),"❓ Unknown",IF(AND(C70="✅ Compliant",D70="✅ Compliant"),"✅ Full Compliance",IF(OR(C70="✅ Compliant",D70="✅ Compliant"),"⚠ Partial Compliance","❌ Non-Compliant"))))</f>
        <v/>
      </c>
      <c r="F70" s="20">
        <f>IF(A70="","",IF(AND(B70="Tier 1 - Critical",E70="❌ Non-Compliant"),"🔴 Critical",IF(B70="Tier 1 - Critical","🟡 High",IF(E70="❌ Non-Compliant","🟡 High",IF(E70="⚠ Partial Compliance","🟢 Medium","⚪ Low")))))</f>
        <v/>
      </c>
      <c r="G70" s="26">
        <f>IF(A70="","",IF(C70="❌ Non-Compliant",IF(D70="❌ Non-Compliant","Both RPO &amp; RTO gaps","RPO gap only"),IF(D70="❌ Non-Compliant","RTO gap only",IF(E70="❓ Unknown","Testing required","No gaps"))))</f>
        <v/>
      </c>
      <c r="H70" s="27" t="n"/>
    </row>
    <row r="71">
      <c r="A71" s="20">
        <f>System_Inventory!A71</f>
        <v/>
      </c>
      <c r="B71" s="20">
        <f>System_Inventory!C71</f>
        <v/>
      </c>
      <c r="C71" s="20">
        <f>IF(A71="","",IF(OR(System_Inventory!E71="",Capability_Assessment!E71=""),"❓ Unknown",IF(Capability_Assessment!E71&lt;=System_Inventory!E71,"✅ Compliant","❌ Non-Compliant")))</f>
        <v/>
      </c>
      <c r="D71" s="20">
        <f>IF(A71="","",IF(OR(System_Inventory!F71="",Capability_Assessment!F71=""),"❓ Unknown",IF(Capability_Assessment!F71&lt;=System_Inventory!F71,"✅ Compliant","❌ Non-Compliant")))</f>
        <v/>
      </c>
      <c r="E71" s="20">
        <f>IF(A71="","",IF(OR(C71="❓ Unknown",D71="❓ Unknown"),"❓ Unknown",IF(AND(C71="✅ Compliant",D71="✅ Compliant"),"✅ Full Compliance",IF(OR(C71="✅ Compliant",D71="✅ Compliant"),"⚠ Partial Compliance","❌ Non-Compliant"))))</f>
        <v/>
      </c>
      <c r="F71" s="20">
        <f>IF(A71="","",IF(AND(B71="Tier 1 - Critical",E71="❌ Non-Compliant"),"🔴 Critical",IF(B71="Tier 1 - Critical","🟡 High",IF(E71="❌ Non-Compliant","🟡 High",IF(E71="⚠ Partial Compliance","🟢 Medium","⚪ Low")))))</f>
        <v/>
      </c>
      <c r="G71" s="26">
        <f>IF(A71="","",IF(C71="❌ Non-Compliant",IF(D71="❌ Non-Compliant","Both RPO &amp; RTO gaps","RPO gap only"),IF(D71="❌ Non-Compliant","RTO gap only",IF(E71="❓ Unknown","Testing required","No gaps"))))</f>
        <v/>
      </c>
      <c r="H71" s="27" t="n"/>
    </row>
    <row r="72">
      <c r="A72" s="20">
        <f>System_Inventory!A72</f>
        <v/>
      </c>
      <c r="B72" s="20">
        <f>System_Inventory!C72</f>
        <v/>
      </c>
      <c r="C72" s="20">
        <f>IF(A72="","",IF(OR(System_Inventory!E72="",Capability_Assessment!E72=""),"❓ Unknown",IF(Capability_Assessment!E72&lt;=System_Inventory!E72,"✅ Compliant","❌ Non-Compliant")))</f>
        <v/>
      </c>
      <c r="D72" s="20">
        <f>IF(A72="","",IF(OR(System_Inventory!F72="",Capability_Assessment!F72=""),"❓ Unknown",IF(Capability_Assessment!F72&lt;=System_Inventory!F72,"✅ Compliant","❌ Non-Compliant")))</f>
        <v/>
      </c>
      <c r="E72" s="20">
        <f>IF(A72="","",IF(OR(C72="❓ Unknown",D72="❓ Unknown"),"❓ Unknown",IF(AND(C72="✅ Compliant",D72="✅ Compliant"),"✅ Full Compliance",IF(OR(C72="✅ Compliant",D72="✅ Compliant"),"⚠ Partial Compliance","❌ Non-Compliant"))))</f>
        <v/>
      </c>
      <c r="F72" s="20">
        <f>IF(A72="","",IF(AND(B72="Tier 1 - Critical",E72="❌ Non-Compliant"),"🔴 Critical",IF(B72="Tier 1 - Critical","🟡 High",IF(E72="❌ Non-Compliant","🟡 High",IF(E72="⚠ Partial Compliance","🟢 Medium","⚪ Low")))))</f>
        <v/>
      </c>
      <c r="G72" s="26">
        <f>IF(A72="","",IF(C72="❌ Non-Compliant",IF(D72="❌ Non-Compliant","Both RPO &amp; RTO gaps","RPO gap only"),IF(D72="❌ Non-Compliant","RTO gap only",IF(E72="❓ Unknown","Testing required","No gaps"))))</f>
        <v/>
      </c>
      <c r="H72" s="27" t="n"/>
    </row>
    <row r="73">
      <c r="A73" s="20">
        <f>System_Inventory!A73</f>
        <v/>
      </c>
      <c r="B73" s="20">
        <f>System_Inventory!C73</f>
        <v/>
      </c>
      <c r="C73" s="20">
        <f>IF(A73="","",IF(OR(System_Inventory!E73="",Capability_Assessment!E73=""),"❓ Unknown",IF(Capability_Assessment!E73&lt;=System_Inventory!E73,"✅ Compliant","❌ Non-Compliant")))</f>
        <v/>
      </c>
      <c r="D73" s="20">
        <f>IF(A73="","",IF(OR(System_Inventory!F73="",Capability_Assessment!F73=""),"❓ Unknown",IF(Capability_Assessment!F73&lt;=System_Inventory!F73,"✅ Compliant","❌ Non-Compliant")))</f>
        <v/>
      </c>
      <c r="E73" s="20">
        <f>IF(A73="","",IF(OR(C73="❓ Unknown",D73="❓ Unknown"),"❓ Unknown",IF(AND(C73="✅ Compliant",D73="✅ Compliant"),"✅ Full Compliance",IF(OR(C73="✅ Compliant",D73="✅ Compliant"),"⚠ Partial Compliance","❌ Non-Compliant"))))</f>
        <v/>
      </c>
      <c r="F73" s="20">
        <f>IF(A73="","",IF(AND(B73="Tier 1 - Critical",E73="❌ Non-Compliant"),"🔴 Critical",IF(B73="Tier 1 - Critical","🟡 High",IF(E73="❌ Non-Compliant","🟡 High",IF(E73="⚠ Partial Compliance","🟢 Medium","⚪ Low")))))</f>
        <v/>
      </c>
      <c r="G73" s="26">
        <f>IF(A73="","",IF(C73="❌ Non-Compliant",IF(D73="❌ Non-Compliant","Both RPO &amp; RTO gaps","RPO gap only"),IF(D73="❌ Non-Compliant","RTO gap only",IF(E73="❓ Unknown","Testing required","No gaps"))))</f>
        <v/>
      </c>
      <c r="H73" s="27" t="n"/>
    </row>
    <row r="74">
      <c r="A74" s="20">
        <f>System_Inventory!A74</f>
        <v/>
      </c>
      <c r="B74" s="20">
        <f>System_Inventory!C74</f>
        <v/>
      </c>
      <c r="C74" s="20">
        <f>IF(A74="","",IF(OR(System_Inventory!E74="",Capability_Assessment!E74=""),"❓ Unknown",IF(Capability_Assessment!E74&lt;=System_Inventory!E74,"✅ Compliant","❌ Non-Compliant")))</f>
        <v/>
      </c>
      <c r="D74" s="20">
        <f>IF(A74="","",IF(OR(System_Inventory!F74="",Capability_Assessment!F74=""),"❓ Unknown",IF(Capability_Assessment!F74&lt;=System_Inventory!F74,"✅ Compliant","❌ Non-Compliant")))</f>
        <v/>
      </c>
      <c r="E74" s="20">
        <f>IF(A74="","",IF(OR(C74="❓ Unknown",D74="❓ Unknown"),"❓ Unknown",IF(AND(C74="✅ Compliant",D74="✅ Compliant"),"✅ Full Compliance",IF(OR(C74="✅ Compliant",D74="✅ Compliant"),"⚠ Partial Compliance","❌ Non-Compliant"))))</f>
        <v/>
      </c>
      <c r="F74" s="20">
        <f>IF(A74="","",IF(AND(B74="Tier 1 - Critical",E74="❌ Non-Compliant"),"🔴 Critical",IF(B74="Tier 1 - Critical","🟡 High",IF(E74="❌ Non-Compliant","🟡 High",IF(E74="⚠ Partial Compliance","🟢 Medium","⚪ Low")))))</f>
        <v/>
      </c>
      <c r="G74" s="26">
        <f>IF(A74="","",IF(C74="❌ Non-Compliant",IF(D74="❌ Non-Compliant","Both RPO &amp; RTO gaps","RPO gap only"),IF(D74="❌ Non-Compliant","RTO gap only",IF(E74="❓ Unknown","Testing required","No gaps"))))</f>
        <v/>
      </c>
      <c r="H74" s="27" t="n"/>
    </row>
    <row r="75">
      <c r="A75" s="20">
        <f>System_Inventory!A75</f>
        <v/>
      </c>
      <c r="B75" s="20">
        <f>System_Inventory!C75</f>
        <v/>
      </c>
      <c r="C75" s="20">
        <f>IF(A75="","",IF(OR(System_Inventory!E75="",Capability_Assessment!E75=""),"❓ Unknown",IF(Capability_Assessment!E75&lt;=System_Inventory!E75,"✅ Compliant","❌ Non-Compliant")))</f>
        <v/>
      </c>
      <c r="D75" s="20">
        <f>IF(A75="","",IF(OR(System_Inventory!F75="",Capability_Assessment!F75=""),"❓ Unknown",IF(Capability_Assessment!F75&lt;=System_Inventory!F75,"✅ Compliant","❌ Non-Compliant")))</f>
        <v/>
      </c>
      <c r="E75" s="20">
        <f>IF(A75="","",IF(OR(C75="❓ Unknown",D75="❓ Unknown"),"❓ Unknown",IF(AND(C75="✅ Compliant",D75="✅ Compliant"),"✅ Full Compliance",IF(OR(C75="✅ Compliant",D75="✅ Compliant"),"⚠ Partial Compliance","❌ Non-Compliant"))))</f>
        <v/>
      </c>
      <c r="F75" s="20">
        <f>IF(A75="","",IF(AND(B75="Tier 1 - Critical",E75="❌ Non-Compliant"),"🔴 Critical",IF(B75="Tier 1 - Critical","🟡 High",IF(E75="❌ Non-Compliant","🟡 High",IF(E75="⚠ Partial Compliance","🟢 Medium","⚪ Low")))))</f>
        <v/>
      </c>
      <c r="G75" s="26">
        <f>IF(A75="","",IF(C75="❌ Non-Compliant",IF(D75="❌ Non-Compliant","Both RPO &amp; RTO gaps","RPO gap only"),IF(D75="❌ Non-Compliant","RTO gap only",IF(E75="❓ Unknown","Testing required","No gaps"))))</f>
        <v/>
      </c>
      <c r="H75" s="27" t="n"/>
    </row>
    <row r="76">
      <c r="A76" s="20">
        <f>System_Inventory!A76</f>
        <v/>
      </c>
      <c r="B76" s="20">
        <f>System_Inventory!C76</f>
        <v/>
      </c>
      <c r="C76" s="20">
        <f>IF(A76="","",IF(OR(System_Inventory!E76="",Capability_Assessment!E76=""),"❓ Unknown",IF(Capability_Assessment!E76&lt;=System_Inventory!E76,"✅ Compliant","❌ Non-Compliant")))</f>
        <v/>
      </c>
      <c r="D76" s="20">
        <f>IF(A76="","",IF(OR(System_Inventory!F76="",Capability_Assessment!F76=""),"❓ Unknown",IF(Capability_Assessment!F76&lt;=System_Inventory!F76,"✅ Compliant","❌ Non-Compliant")))</f>
        <v/>
      </c>
      <c r="E76" s="20">
        <f>IF(A76="","",IF(OR(C76="❓ Unknown",D76="❓ Unknown"),"❓ Unknown",IF(AND(C76="✅ Compliant",D76="✅ Compliant"),"✅ Full Compliance",IF(OR(C76="✅ Compliant",D76="✅ Compliant"),"⚠ Partial Compliance","❌ Non-Compliant"))))</f>
        <v/>
      </c>
      <c r="F76" s="20">
        <f>IF(A76="","",IF(AND(B76="Tier 1 - Critical",E76="❌ Non-Compliant"),"🔴 Critical",IF(B76="Tier 1 - Critical","🟡 High",IF(E76="❌ Non-Compliant","🟡 High",IF(E76="⚠ Partial Compliance","🟢 Medium","⚪ Low")))))</f>
        <v/>
      </c>
      <c r="G76" s="26">
        <f>IF(A76="","",IF(C76="❌ Non-Compliant",IF(D76="❌ Non-Compliant","Both RPO &amp; RTO gaps","RPO gap only"),IF(D76="❌ Non-Compliant","RTO gap only",IF(E76="❓ Unknown","Testing required","No gaps"))))</f>
        <v/>
      </c>
      <c r="H76" s="27" t="n"/>
    </row>
    <row r="77">
      <c r="A77" s="20">
        <f>System_Inventory!A77</f>
        <v/>
      </c>
      <c r="B77" s="20">
        <f>System_Inventory!C77</f>
        <v/>
      </c>
      <c r="C77" s="20">
        <f>IF(A77="","",IF(OR(System_Inventory!E77="",Capability_Assessment!E77=""),"❓ Unknown",IF(Capability_Assessment!E77&lt;=System_Inventory!E77,"✅ Compliant","❌ Non-Compliant")))</f>
        <v/>
      </c>
      <c r="D77" s="20">
        <f>IF(A77="","",IF(OR(System_Inventory!F77="",Capability_Assessment!F77=""),"❓ Unknown",IF(Capability_Assessment!F77&lt;=System_Inventory!F77,"✅ Compliant","❌ Non-Compliant")))</f>
        <v/>
      </c>
      <c r="E77" s="20">
        <f>IF(A77="","",IF(OR(C77="❓ Unknown",D77="❓ Unknown"),"❓ Unknown",IF(AND(C77="✅ Compliant",D77="✅ Compliant"),"✅ Full Compliance",IF(OR(C77="✅ Compliant",D77="✅ Compliant"),"⚠ Partial Compliance","❌ Non-Compliant"))))</f>
        <v/>
      </c>
      <c r="F77" s="20">
        <f>IF(A77="","",IF(AND(B77="Tier 1 - Critical",E77="❌ Non-Compliant"),"🔴 Critical",IF(B77="Tier 1 - Critical","🟡 High",IF(E77="❌ Non-Compliant","🟡 High",IF(E77="⚠ Partial Compliance","🟢 Medium","⚪ Low")))))</f>
        <v/>
      </c>
      <c r="G77" s="26">
        <f>IF(A77="","",IF(C77="❌ Non-Compliant",IF(D77="❌ Non-Compliant","Both RPO &amp; RTO gaps","RPO gap only"),IF(D77="❌ Non-Compliant","RTO gap only",IF(E77="❓ Unknown","Testing required","No gaps"))))</f>
        <v/>
      </c>
      <c r="H77" s="27" t="n"/>
    </row>
    <row r="78">
      <c r="A78" s="20">
        <f>System_Inventory!A78</f>
        <v/>
      </c>
      <c r="B78" s="20">
        <f>System_Inventory!C78</f>
        <v/>
      </c>
      <c r="C78" s="20">
        <f>IF(A78="","",IF(OR(System_Inventory!E78="",Capability_Assessment!E78=""),"❓ Unknown",IF(Capability_Assessment!E78&lt;=System_Inventory!E78,"✅ Compliant","❌ Non-Compliant")))</f>
        <v/>
      </c>
      <c r="D78" s="20">
        <f>IF(A78="","",IF(OR(System_Inventory!F78="",Capability_Assessment!F78=""),"❓ Unknown",IF(Capability_Assessment!F78&lt;=System_Inventory!F78,"✅ Compliant","❌ Non-Compliant")))</f>
        <v/>
      </c>
      <c r="E78" s="20">
        <f>IF(A78="","",IF(OR(C78="❓ Unknown",D78="❓ Unknown"),"❓ Unknown",IF(AND(C78="✅ Compliant",D78="✅ Compliant"),"✅ Full Compliance",IF(OR(C78="✅ Compliant",D78="✅ Compliant"),"⚠ Partial Compliance","❌ Non-Compliant"))))</f>
        <v/>
      </c>
      <c r="F78" s="20">
        <f>IF(A78="","",IF(AND(B78="Tier 1 - Critical",E78="❌ Non-Compliant"),"🔴 Critical",IF(B78="Tier 1 - Critical","🟡 High",IF(E78="❌ Non-Compliant","🟡 High",IF(E78="⚠ Partial Compliance","🟢 Medium","⚪ Low")))))</f>
        <v/>
      </c>
      <c r="G78" s="26">
        <f>IF(A78="","",IF(C78="❌ Non-Compliant",IF(D78="❌ Non-Compliant","Both RPO &amp; RTO gaps","RPO gap only"),IF(D78="❌ Non-Compliant","RTO gap only",IF(E78="❓ Unknown","Testing required","No gaps"))))</f>
        <v/>
      </c>
      <c r="H78" s="27" t="n"/>
    </row>
    <row r="79">
      <c r="A79" s="20">
        <f>System_Inventory!A79</f>
        <v/>
      </c>
      <c r="B79" s="20">
        <f>System_Inventory!C79</f>
        <v/>
      </c>
      <c r="C79" s="20">
        <f>IF(A79="","",IF(OR(System_Inventory!E79="",Capability_Assessment!E79=""),"❓ Unknown",IF(Capability_Assessment!E79&lt;=System_Inventory!E79,"✅ Compliant","❌ Non-Compliant")))</f>
        <v/>
      </c>
      <c r="D79" s="20">
        <f>IF(A79="","",IF(OR(System_Inventory!F79="",Capability_Assessment!F79=""),"❓ Unknown",IF(Capability_Assessment!F79&lt;=System_Inventory!F79,"✅ Compliant","❌ Non-Compliant")))</f>
        <v/>
      </c>
      <c r="E79" s="20">
        <f>IF(A79="","",IF(OR(C79="❓ Unknown",D79="❓ Unknown"),"❓ Unknown",IF(AND(C79="✅ Compliant",D79="✅ Compliant"),"✅ Full Compliance",IF(OR(C79="✅ Compliant",D79="✅ Compliant"),"⚠ Partial Compliance","❌ Non-Compliant"))))</f>
        <v/>
      </c>
      <c r="F79" s="20">
        <f>IF(A79="","",IF(AND(B79="Tier 1 - Critical",E79="❌ Non-Compliant"),"🔴 Critical",IF(B79="Tier 1 - Critical","🟡 High",IF(E79="❌ Non-Compliant","🟡 High",IF(E79="⚠ Partial Compliance","🟢 Medium","⚪ Low")))))</f>
        <v/>
      </c>
      <c r="G79" s="26">
        <f>IF(A79="","",IF(C79="❌ Non-Compliant",IF(D79="❌ Non-Compliant","Both RPO &amp; RTO gaps","RPO gap only"),IF(D79="❌ Non-Compliant","RTO gap only",IF(E79="❓ Unknown","Testing required","No gaps"))))</f>
        <v/>
      </c>
      <c r="H79" s="27" t="n"/>
    </row>
    <row r="80">
      <c r="A80" s="20">
        <f>System_Inventory!A80</f>
        <v/>
      </c>
      <c r="B80" s="20">
        <f>System_Inventory!C80</f>
        <v/>
      </c>
      <c r="C80" s="20">
        <f>IF(A80="","",IF(OR(System_Inventory!E80="",Capability_Assessment!E80=""),"❓ Unknown",IF(Capability_Assessment!E80&lt;=System_Inventory!E80,"✅ Compliant","❌ Non-Compliant")))</f>
        <v/>
      </c>
      <c r="D80" s="20">
        <f>IF(A80="","",IF(OR(System_Inventory!F80="",Capability_Assessment!F80=""),"❓ Unknown",IF(Capability_Assessment!F80&lt;=System_Inventory!F80,"✅ Compliant","❌ Non-Compliant")))</f>
        <v/>
      </c>
      <c r="E80" s="20">
        <f>IF(A80="","",IF(OR(C80="❓ Unknown",D80="❓ Unknown"),"❓ Unknown",IF(AND(C80="✅ Compliant",D80="✅ Compliant"),"✅ Full Compliance",IF(OR(C80="✅ Compliant",D80="✅ Compliant"),"⚠ Partial Compliance","❌ Non-Compliant"))))</f>
        <v/>
      </c>
      <c r="F80" s="20">
        <f>IF(A80="","",IF(AND(B80="Tier 1 - Critical",E80="❌ Non-Compliant"),"🔴 Critical",IF(B80="Tier 1 - Critical","🟡 High",IF(E80="❌ Non-Compliant","🟡 High",IF(E80="⚠ Partial Compliance","🟢 Medium","⚪ Low")))))</f>
        <v/>
      </c>
      <c r="G80" s="26">
        <f>IF(A80="","",IF(C80="❌ Non-Compliant",IF(D80="❌ Non-Compliant","Both RPO &amp; RTO gaps","RPO gap only"),IF(D80="❌ Non-Compliant","RTO gap only",IF(E80="❓ Unknown","Testing required","No gaps"))))</f>
        <v/>
      </c>
      <c r="H80" s="27" t="n"/>
    </row>
    <row r="81">
      <c r="A81" s="20">
        <f>System_Inventory!A81</f>
        <v/>
      </c>
      <c r="B81" s="20">
        <f>System_Inventory!C81</f>
        <v/>
      </c>
      <c r="C81" s="20">
        <f>IF(A81="","",IF(OR(System_Inventory!E81="",Capability_Assessment!E81=""),"❓ Unknown",IF(Capability_Assessment!E81&lt;=System_Inventory!E81,"✅ Compliant","❌ Non-Compliant")))</f>
        <v/>
      </c>
      <c r="D81" s="20">
        <f>IF(A81="","",IF(OR(System_Inventory!F81="",Capability_Assessment!F81=""),"❓ Unknown",IF(Capability_Assessment!F81&lt;=System_Inventory!F81,"✅ Compliant","❌ Non-Compliant")))</f>
        <v/>
      </c>
      <c r="E81" s="20">
        <f>IF(A81="","",IF(OR(C81="❓ Unknown",D81="❓ Unknown"),"❓ Unknown",IF(AND(C81="✅ Compliant",D81="✅ Compliant"),"✅ Full Compliance",IF(OR(C81="✅ Compliant",D81="✅ Compliant"),"⚠ Partial Compliance","❌ Non-Compliant"))))</f>
        <v/>
      </c>
      <c r="F81" s="20">
        <f>IF(A81="","",IF(AND(B81="Tier 1 - Critical",E81="❌ Non-Compliant"),"🔴 Critical",IF(B81="Tier 1 - Critical","🟡 High",IF(E81="❌ Non-Compliant","🟡 High",IF(E81="⚠ Partial Compliance","🟢 Medium","⚪ Low")))))</f>
        <v/>
      </c>
      <c r="G81" s="26">
        <f>IF(A81="","",IF(C81="❌ Non-Compliant",IF(D81="❌ Non-Compliant","Both RPO &amp; RTO gaps","RPO gap only"),IF(D81="❌ Non-Compliant","RTO gap only",IF(E81="❓ Unknown","Testing required","No gaps"))))</f>
        <v/>
      </c>
      <c r="H81" s="27" t="n"/>
    </row>
    <row r="82">
      <c r="A82" s="20">
        <f>System_Inventory!A82</f>
        <v/>
      </c>
      <c r="B82" s="20">
        <f>System_Inventory!C82</f>
        <v/>
      </c>
      <c r="C82" s="20">
        <f>IF(A82="","",IF(OR(System_Inventory!E82="",Capability_Assessment!E82=""),"❓ Unknown",IF(Capability_Assessment!E82&lt;=System_Inventory!E82,"✅ Compliant","❌ Non-Compliant")))</f>
        <v/>
      </c>
      <c r="D82" s="20">
        <f>IF(A82="","",IF(OR(System_Inventory!F82="",Capability_Assessment!F82=""),"❓ Unknown",IF(Capability_Assessment!F82&lt;=System_Inventory!F82,"✅ Compliant","❌ Non-Compliant")))</f>
        <v/>
      </c>
      <c r="E82" s="20">
        <f>IF(A82="","",IF(OR(C82="❓ Unknown",D82="❓ Unknown"),"❓ Unknown",IF(AND(C82="✅ Compliant",D82="✅ Compliant"),"✅ Full Compliance",IF(OR(C82="✅ Compliant",D82="✅ Compliant"),"⚠ Partial Compliance","❌ Non-Compliant"))))</f>
        <v/>
      </c>
      <c r="F82" s="20">
        <f>IF(A82="","",IF(AND(B82="Tier 1 - Critical",E82="❌ Non-Compliant"),"🔴 Critical",IF(B82="Tier 1 - Critical","🟡 High",IF(E82="❌ Non-Compliant","🟡 High",IF(E82="⚠ Partial Compliance","🟢 Medium","⚪ Low")))))</f>
        <v/>
      </c>
      <c r="G82" s="26">
        <f>IF(A82="","",IF(C82="❌ Non-Compliant",IF(D82="❌ Non-Compliant","Both RPO &amp; RTO gaps","RPO gap only"),IF(D82="❌ Non-Compliant","RTO gap only",IF(E82="❓ Unknown","Testing required","No gaps"))))</f>
        <v/>
      </c>
      <c r="H82" s="27" t="n"/>
    </row>
    <row r="83">
      <c r="A83" s="20">
        <f>System_Inventory!A83</f>
        <v/>
      </c>
      <c r="B83" s="20">
        <f>System_Inventory!C83</f>
        <v/>
      </c>
      <c r="C83" s="20">
        <f>IF(A83="","",IF(OR(System_Inventory!E83="",Capability_Assessment!E83=""),"❓ Unknown",IF(Capability_Assessment!E83&lt;=System_Inventory!E83,"✅ Compliant","❌ Non-Compliant")))</f>
        <v/>
      </c>
      <c r="D83" s="20">
        <f>IF(A83="","",IF(OR(System_Inventory!F83="",Capability_Assessment!F83=""),"❓ Unknown",IF(Capability_Assessment!F83&lt;=System_Inventory!F83,"✅ Compliant","❌ Non-Compliant")))</f>
        <v/>
      </c>
      <c r="E83" s="20">
        <f>IF(A83="","",IF(OR(C83="❓ Unknown",D83="❓ Unknown"),"❓ Unknown",IF(AND(C83="✅ Compliant",D83="✅ Compliant"),"✅ Full Compliance",IF(OR(C83="✅ Compliant",D83="✅ Compliant"),"⚠ Partial Compliance","❌ Non-Compliant"))))</f>
        <v/>
      </c>
      <c r="F83" s="20">
        <f>IF(A83="","",IF(AND(B83="Tier 1 - Critical",E83="❌ Non-Compliant"),"🔴 Critical",IF(B83="Tier 1 - Critical","🟡 High",IF(E83="❌ Non-Compliant","🟡 High",IF(E83="⚠ Partial Compliance","🟢 Medium","⚪ Low")))))</f>
        <v/>
      </c>
      <c r="G83" s="26">
        <f>IF(A83="","",IF(C83="❌ Non-Compliant",IF(D83="❌ Non-Compliant","Both RPO &amp; RTO gaps","RPO gap only"),IF(D83="❌ Non-Compliant","RTO gap only",IF(E83="❓ Unknown","Testing required","No gaps"))))</f>
        <v/>
      </c>
      <c r="H83" s="27" t="n"/>
    </row>
    <row r="84">
      <c r="A84" s="20">
        <f>System_Inventory!A84</f>
        <v/>
      </c>
      <c r="B84" s="20">
        <f>System_Inventory!C84</f>
        <v/>
      </c>
      <c r="C84" s="20">
        <f>IF(A84="","",IF(OR(System_Inventory!E84="",Capability_Assessment!E84=""),"❓ Unknown",IF(Capability_Assessment!E84&lt;=System_Inventory!E84,"✅ Compliant","❌ Non-Compliant")))</f>
        <v/>
      </c>
      <c r="D84" s="20">
        <f>IF(A84="","",IF(OR(System_Inventory!F84="",Capability_Assessment!F84=""),"❓ Unknown",IF(Capability_Assessment!F84&lt;=System_Inventory!F84,"✅ Compliant","❌ Non-Compliant")))</f>
        <v/>
      </c>
      <c r="E84" s="20">
        <f>IF(A84="","",IF(OR(C84="❓ Unknown",D84="❓ Unknown"),"❓ Unknown",IF(AND(C84="✅ Compliant",D84="✅ Compliant"),"✅ Full Compliance",IF(OR(C84="✅ Compliant",D84="✅ Compliant"),"⚠ Partial Compliance","❌ Non-Compliant"))))</f>
        <v/>
      </c>
      <c r="F84" s="20">
        <f>IF(A84="","",IF(AND(B84="Tier 1 - Critical",E84="❌ Non-Compliant"),"🔴 Critical",IF(B84="Tier 1 - Critical","🟡 High",IF(E84="❌ Non-Compliant","🟡 High",IF(E84="⚠ Partial Compliance","🟢 Medium","⚪ Low")))))</f>
        <v/>
      </c>
      <c r="G84" s="26">
        <f>IF(A84="","",IF(C84="❌ Non-Compliant",IF(D84="❌ Non-Compliant","Both RPO &amp; RTO gaps","RPO gap only"),IF(D84="❌ Non-Compliant","RTO gap only",IF(E84="❓ Unknown","Testing required","No gaps"))))</f>
        <v/>
      </c>
      <c r="H84" s="27" t="n"/>
    </row>
    <row r="85">
      <c r="A85" s="20">
        <f>System_Inventory!A85</f>
        <v/>
      </c>
      <c r="B85" s="20">
        <f>System_Inventory!C85</f>
        <v/>
      </c>
      <c r="C85" s="20">
        <f>IF(A85="","",IF(OR(System_Inventory!E85="",Capability_Assessment!E85=""),"❓ Unknown",IF(Capability_Assessment!E85&lt;=System_Inventory!E85,"✅ Compliant","❌ Non-Compliant")))</f>
        <v/>
      </c>
      <c r="D85" s="20">
        <f>IF(A85="","",IF(OR(System_Inventory!F85="",Capability_Assessment!F85=""),"❓ Unknown",IF(Capability_Assessment!F85&lt;=System_Inventory!F85,"✅ Compliant","❌ Non-Compliant")))</f>
        <v/>
      </c>
      <c r="E85" s="20">
        <f>IF(A85="","",IF(OR(C85="❓ Unknown",D85="❓ Unknown"),"❓ Unknown",IF(AND(C85="✅ Compliant",D85="✅ Compliant"),"✅ Full Compliance",IF(OR(C85="✅ Compliant",D85="✅ Compliant"),"⚠ Partial Compliance","❌ Non-Compliant"))))</f>
        <v/>
      </c>
      <c r="F85" s="20">
        <f>IF(A85="","",IF(AND(B85="Tier 1 - Critical",E85="❌ Non-Compliant"),"🔴 Critical",IF(B85="Tier 1 - Critical","🟡 High",IF(E85="❌ Non-Compliant","🟡 High",IF(E85="⚠ Partial Compliance","🟢 Medium","⚪ Low")))))</f>
        <v/>
      </c>
      <c r="G85" s="26">
        <f>IF(A85="","",IF(C85="❌ Non-Compliant",IF(D85="❌ Non-Compliant","Both RPO &amp; RTO gaps","RPO gap only"),IF(D85="❌ Non-Compliant","RTO gap only",IF(E85="❓ Unknown","Testing required","No gaps"))))</f>
        <v/>
      </c>
      <c r="H85" s="27" t="n"/>
    </row>
    <row r="86">
      <c r="A86" s="20">
        <f>System_Inventory!A86</f>
        <v/>
      </c>
      <c r="B86" s="20">
        <f>System_Inventory!C86</f>
        <v/>
      </c>
      <c r="C86" s="20">
        <f>IF(A86="","",IF(OR(System_Inventory!E86="",Capability_Assessment!E86=""),"❓ Unknown",IF(Capability_Assessment!E86&lt;=System_Inventory!E86,"✅ Compliant","❌ Non-Compliant")))</f>
        <v/>
      </c>
      <c r="D86" s="20">
        <f>IF(A86="","",IF(OR(System_Inventory!F86="",Capability_Assessment!F86=""),"❓ Unknown",IF(Capability_Assessment!F86&lt;=System_Inventory!F86,"✅ Compliant","❌ Non-Compliant")))</f>
        <v/>
      </c>
      <c r="E86" s="20">
        <f>IF(A86="","",IF(OR(C86="❓ Unknown",D86="❓ Unknown"),"❓ Unknown",IF(AND(C86="✅ Compliant",D86="✅ Compliant"),"✅ Full Compliance",IF(OR(C86="✅ Compliant",D86="✅ Compliant"),"⚠ Partial Compliance","❌ Non-Compliant"))))</f>
        <v/>
      </c>
      <c r="F86" s="20">
        <f>IF(A86="","",IF(AND(B86="Tier 1 - Critical",E86="❌ Non-Compliant"),"🔴 Critical",IF(B86="Tier 1 - Critical","🟡 High",IF(E86="❌ Non-Compliant","🟡 High",IF(E86="⚠ Partial Compliance","🟢 Medium","⚪ Low")))))</f>
        <v/>
      </c>
      <c r="G86" s="26">
        <f>IF(A86="","",IF(C86="❌ Non-Compliant",IF(D86="❌ Non-Compliant","Both RPO &amp; RTO gaps","RPO gap only"),IF(D86="❌ Non-Compliant","RTO gap only",IF(E86="❓ Unknown","Testing required","No gaps"))))</f>
        <v/>
      </c>
      <c r="H86" s="27" t="n"/>
    </row>
    <row r="87">
      <c r="A87" s="20">
        <f>System_Inventory!A87</f>
        <v/>
      </c>
      <c r="B87" s="20">
        <f>System_Inventory!C87</f>
        <v/>
      </c>
      <c r="C87" s="20">
        <f>IF(A87="","",IF(OR(System_Inventory!E87="",Capability_Assessment!E87=""),"❓ Unknown",IF(Capability_Assessment!E87&lt;=System_Inventory!E87,"✅ Compliant","❌ Non-Compliant")))</f>
        <v/>
      </c>
      <c r="D87" s="20">
        <f>IF(A87="","",IF(OR(System_Inventory!F87="",Capability_Assessment!F87=""),"❓ Unknown",IF(Capability_Assessment!F87&lt;=System_Inventory!F87,"✅ Compliant","❌ Non-Compliant")))</f>
        <v/>
      </c>
      <c r="E87" s="20">
        <f>IF(A87="","",IF(OR(C87="❓ Unknown",D87="❓ Unknown"),"❓ Unknown",IF(AND(C87="✅ Compliant",D87="✅ Compliant"),"✅ Full Compliance",IF(OR(C87="✅ Compliant",D87="✅ Compliant"),"⚠ Partial Compliance","❌ Non-Compliant"))))</f>
        <v/>
      </c>
      <c r="F87" s="20">
        <f>IF(A87="","",IF(AND(B87="Tier 1 - Critical",E87="❌ Non-Compliant"),"🔴 Critical",IF(B87="Tier 1 - Critical","🟡 High",IF(E87="❌ Non-Compliant","🟡 High",IF(E87="⚠ Partial Compliance","🟢 Medium","⚪ Low")))))</f>
        <v/>
      </c>
      <c r="G87" s="26">
        <f>IF(A87="","",IF(C87="❌ Non-Compliant",IF(D87="❌ Non-Compliant","Both RPO &amp; RTO gaps","RPO gap only"),IF(D87="❌ Non-Compliant","RTO gap only",IF(E87="❓ Unknown","Testing required","No gaps"))))</f>
        <v/>
      </c>
      <c r="H87" s="27" t="n"/>
    </row>
    <row r="88">
      <c r="A88" s="20">
        <f>System_Inventory!A88</f>
        <v/>
      </c>
      <c r="B88" s="20">
        <f>System_Inventory!C88</f>
        <v/>
      </c>
      <c r="C88" s="20">
        <f>IF(A88="","",IF(OR(System_Inventory!E88="",Capability_Assessment!E88=""),"❓ Unknown",IF(Capability_Assessment!E88&lt;=System_Inventory!E88,"✅ Compliant","❌ Non-Compliant")))</f>
        <v/>
      </c>
      <c r="D88" s="20">
        <f>IF(A88="","",IF(OR(System_Inventory!F88="",Capability_Assessment!F88=""),"❓ Unknown",IF(Capability_Assessment!F88&lt;=System_Inventory!F88,"✅ Compliant","❌ Non-Compliant")))</f>
        <v/>
      </c>
      <c r="E88" s="20">
        <f>IF(A88="","",IF(OR(C88="❓ Unknown",D88="❓ Unknown"),"❓ Unknown",IF(AND(C88="✅ Compliant",D88="✅ Compliant"),"✅ Full Compliance",IF(OR(C88="✅ Compliant",D88="✅ Compliant"),"⚠ Partial Compliance","❌ Non-Compliant"))))</f>
        <v/>
      </c>
      <c r="F88" s="20">
        <f>IF(A88="","",IF(AND(B88="Tier 1 - Critical",E88="❌ Non-Compliant"),"🔴 Critical",IF(B88="Tier 1 - Critical","🟡 High",IF(E88="❌ Non-Compliant","🟡 High",IF(E88="⚠ Partial Compliance","🟢 Medium","⚪ Low")))))</f>
        <v/>
      </c>
      <c r="G88" s="26">
        <f>IF(A88="","",IF(C88="❌ Non-Compliant",IF(D88="❌ Non-Compliant","Both RPO &amp; RTO gaps","RPO gap only"),IF(D88="❌ Non-Compliant","RTO gap only",IF(E88="❓ Unknown","Testing required","No gaps"))))</f>
        <v/>
      </c>
      <c r="H88" s="27" t="n"/>
    </row>
    <row r="89">
      <c r="A89" s="20">
        <f>System_Inventory!A89</f>
        <v/>
      </c>
      <c r="B89" s="20">
        <f>System_Inventory!C89</f>
        <v/>
      </c>
      <c r="C89" s="20">
        <f>IF(A89="","",IF(OR(System_Inventory!E89="",Capability_Assessment!E89=""),"❓ Unknown",IF(Capability_Assessment!E89&lt;=System_Inventory!E89,"✅ Compliant","❌ Non-Compliant")))</f>
        <v/>
      </c>
      <c r="D89" s="20">
        <f>IF(A89="","",IF(OR(System_Inventory!F89="",Capability_Assessment!F89=""),"❓ Unknown",IF(Capability_Assessment!F89&lt;=System_Inventory!F89,"✅ Compliant","❌ Non-Compliant")))</f>
        <v/>
      </c>
      <c r="E89" s="20">
        <f>IF(A89="","",IF(OR(C89="❓ Unknown",D89="❓ Unknown"),"❓ Unknown",IF(AND(C89="✅ Compliant",D89="✅ Compliant"),"✅ Full Compliance",IF(OR(C89="✅ Compliant",D89="✅ Compliant"),"⚠ Partial Compliance","❌ Non-Compliant"))))</f>
        <v/>
      </c>
      <c r="F89" s="20">
        <f>IF(A89="","",IF(AND(B89="Tier 1 - Critical",E89="❌ Non-Compliant"),"🔴 Critical",IF(B89="Tier 1 - Critical","🟡 High",IF(E89="❌ Non-Compliant","🟡 High",IF(E89="⚠ Partial Compliance","🟢 Medium","⚪ Low")))))</f>
        <v/>
      </c>
      <c r="G89" s="26">
        <f>IF(A89="","",IF(C89="❌ Non-Compliant",IF(D89="❌ Non-Compliant","Both RPO &amp; RTO gaps","RPO gap only"),IF(D89="❌ Non-Compliant","RTO gap only",IF(E89="❓ Unknown","Testing required","No gaps"))))</f>
        <v/>
      </c>
      <c r="H89" s="27" t="n"/>
    </row>
    <row r="90">
      <c r="A90" s="20">
        <f>System_Inventory!A90</f>
        <v/>
      </c>
      <c r="B90" s="20">
        <f>System_Inventory!C90</f>
        <v/>
      </c>
      <c r="C90" s="20">
        <f>IF(A90="","",IF(OR(System_Inventory!E90="",Capability_Assessment!E90=""),"❓ Unknown",IF(Capability_Assessment!E90&lt;=System_Inventory!E90,"✅ Compliant","❌ Non-Compliant")))</f>
        <v/>
      </c>
      <c r="D90" s="20">
        <f>IF(A90="","",IF(OR(System_Inventory!F90="",Capability_Assessment!F90=""),"❓ Unknown",IF(Capability_Assessment!F90&lt;=System_Inventory!F90,"✅ Compliant","❌ Non-Compliant")))</f>
        <v/>
      </c>
      <c r="E90" s="20">
        <f>IF(A90="","",IF(OR(C90="❓ Unknown",D90="❓ Unknown"),"❓ Unknown",IF(AND(C90="✅ Compliant",D90="✅ Compliant"),"✅ Full Compliance",IF(OR(C90="✅ Compliant",D90="✅ Compliant"),"⚠ Partial Compliance","❌ Non-Compliant"))))</f>
        <v/>
      </c>
      <c r="F90" s="20">
        <f>IF(A90="","",IF(AND(B90="Tier 1 - Critical",E90="❌ Non-Compliant"),"🔴 Critical",IF(B90="Tier 1 - Critical","🟡 High",IF(E90="❌ Non-Compliant","🟡 High",IF(E90="⚠ Partial Compliance","🟢 Medium","⚪ Low")))))</f>
        <v/>
      </c>
      <c r="G90" s="26">
        <f>IF(A90="","",IF(C90="❌ Non-Compliant",IF(D90="❌ Non-Compliant","Both RPO &amp; RTO gaps","RPO gap only"),IF(D90="❌ Non-Compliant","RTO gap only",IF(E90="❓ Unknown","Testing required","No gaps"))))</f>
        <v/>
      </c>
      <c r="H90" s="27" t="n"/>
    </row>
    <row r="91">
      <c r="A91" s="20">
        <f>System_Inventory!A91</f>
        <v/>
      </c>
      <c r="B91" s="20">
        <f>System_Inventory!C91</f>
        <v/>
      </c>
      <c r="C91" s="20">
        <f>IF(A91="","",IF(OR(System_Inventory!E91="",Capability_Assessment!E91=""),"❓ Unknown",IF(Capability_Assessment!E91&lt;=System_Inventory!E91,"✅ Compliant","❌ Non-Compliant")))</f>
        <v/>
      </c>
      <c r="D91" s="20">
        <f>IF(A91="","",IF(OR(System_Inventory!F91="",Capability_Assessment!F91=""),"❓ Unknown",IF(Capability_Assessment!F91&lt;=System_Inventory!F91,"✅ Compliant","❌ Non-Compliant")))</f>
        <v/>
      </c>
      <c r="E91" s="20">
        <f>IF(A91="","",IF(OR(C91="❓ Unknown",D91="❓ Unknown"),"❓ Unknown",IF(AND(C91="✅ Compliant",D91="✅ Compliant"),"✅ Full Compliance",IF(OR(C91="✅ Compliant",D91="✅ Compliant"),"⚠ Partial Compliance","❌ Non-Compliant"))))</f>
        <v/>
      </c>
      <c r="F91" s="20">
        <f>IF(A91="","",IF(AND(B91="Tier 1 - Critical",E91="❌ Non-Compliant"),"🔴 Critical",IF(B91="Tier 1 - Critical","🟡 High",IF(E91="❌ Non-Compliant","🟡 High",IF(E91="⚠ Partial Compliance","🟢 Medium","⚪ Low")))))</f>
        <v/>
      </c>
      <c r="G91" s="26">
        <f>IF(A91="","",IF(C91="❌ Non-Compliant",IF(D91="❌ Non-Compliant","Both RPO &amp; RTO gaps","RPO gap only"),IF(D91="❌ Non-Compliant","RTO gap only",IF(E91="❓ Unknown","Testing required","No gaps"))))</f>
        <v/>
      </c>
      <c r="H91" s="27" t="n"/>
    </row>
    <row r="92">
      <c r="A92" s="20">
        <f>System_Inventory!A92</f>
        <v/>
      </c>
      <c r="B92" s="20">
        <f>System_Inventory!C92</f>
        <v/>
      </c>
      <c r="C92" s="20">
        <f>IF(A92="","",IF(OR(System_Inventory!E92="",Capability_Assessment!E92=""),"❓ Unknown",IF(Capability_Assessment!E92&lt;=System_Inventory!E92,"✅ Compliant","❌ Non-Compliant")))</f>
        <v/>
      </c>
      <c r="D92" s="20">
        <f>IF(A92="","",IF(OR(System_Inventory!F92="",Capability_Assessment!F92=""),"❓ Unknown",IF(Capability_Assessment!F92&lt;=System_Inventory!F92,"✅ Compliant","❌ Non-Compliant")))</f>
        <v/>
      </c>
      <c r="E92" s="20">
        <f>IF(A92="","",IF(OR(C92="❓ Unknown",D92="❓ Unknown"),"❓ Unknown",IF(AND(C92="✅ Compliant",D92="✅ Compliant"),"✅ Full Compliance",IF(OR(C92="✅ Compliant",D92="✅ Compliant"),"⚠ Partial Compliance","❌ Non-Compliant"))))</f>
        <v/>
      </c>
      <c r="F92" s="20">
        <f>IF(A92="","",IF(AND(B92="Tier 1 - Critical",E92="❌ Non-Compliant"),"🔴 Critical",IF(B92="Tier 1 - Critical","🟡 High",IF(E92="❌ Non-Compliant","🟡 High",IF(E92="⚠ Partial Compliance","🟢 Medium","⚪ Low")))))</f>
        <v/>
      </c>
      <c r="G92" s="26">
        <f>IF(A92="","",IF(C92="❌ Non-Compliant",IF(D92="❌ Non-Compliant","Both RPO &amp; RTO gaps","RPO gap only"),IF(D92="❌ Non-Compliant","RTO gap only",IF(E92="❓ Unknown","Testing required","No gaps"))))</f>
        <v/>
      </c>
      <c r="H92" s="27" t="n"/>
    </row>
    <row r="93">
      <c r="A93" s="20">
        <f>System_Inventory!A93</f>
        <v/>
      </c>
      <c r="B93" s="20">
        <f>System_Inventory!C93</f>
        <v/>
      </c>
      <c r="C93" s="20">
        <f>IF(A93="","",IF(OR(System_Inventory!E93="",Capability_Assessment!E93=""),"❓ Unknown",IF(Capability_Assessment!E93&lt;=System_Inventory!E93,"✅ Compliant","❌ Non-Compliant")))</f>
        <v/>
      </c>
      <c r="D93" s="20">
        <f>IF(A93="","",IF(OR(System_Inventory!F93="",Capability_Assessment!F93=""),"❓ Unknown",IF(Capability_Assessment!F93&lt;=System_Inventory!F93,"✅ Compliant","❌ Non-Compliant")))</f>
        <v/>
      </c>
      <c r="E93" s="20">
        <f>IF(A93="","",IF(OR(C93="❓ Unknown",D93="❓ Unknown"),"❓ Unknown",IF(AND(C93="✅ Compliant",D93="✅ Compliant"),"✅ Full Compliance",IF(OR(C93="✅ Compliant",D93="✅ Compliant"),"⚠ Partial Compliance","❌ Non-Compliant"))))</f>
        <v/>
      </c>
      <c r="F93" s="20">
        <f>IF(A93="","",IF(AND(B93="Tier 1 - Critical",E93="❌ Non-Compliant"),"🔴 Critical",IF(B93="Tier 1 - Critical","🟡 High",IF(E93="❌ Non-Compliant","🟡 High",IF(E93="⚠ Partial Compliance","🟢 Medium","⚪ Low")))))</f>
        <v/>
      </c>
      <c r="G93" s="26">
        <f>IF(A93="","",IF(C93="❌ Non-Compliant",IF(D93="❌ Non-Compliant","Both RPO &amp; RTO gaps","RPO gap only"),IF(D93="❌ Non-Compliant","RTO gap only",IF(E93="❓ Unknown","Testing required","No gaps"))))</f>
        <v/>
      </c>
      <c r="H93" s="27" t="n"/>
    </row>
    <row r="94">
      <c r="A94" s="20">
        <f>System_Inventory!A94</f>
        <v/>
      </c>
      <c r="B94" s="20">
        <f>System_Inventory!C94</f>
        <v/>
      </c>
      <c r="C94" s="20">
        <f>IF(A94="","",IF(OR(System_Inventory!E94="",Capability_Assessment!E94=""),"❓ Unknown",IF(Capability_Assessment!E94&lt;=System_Inventory!E94,"✅ Compliant","❌ Non-Compliant")))</f>
        <v/>
      </c>
      <c r="D94" s="20">
        <f>IF(A94="","",IF(OR(System_Inventory!F94="",Capability_Assessment!F94=""),"❓ Unknown",IF(Capability_Assessment!F94&lt;=System_Inventory!F94,"✅ Compliant","❌ Non-Compliant")))</f>
        <v/>
      </c>
      <c r="E94" s="20">
        <f>IF(A94="","",IF(OR(C94="❓ Unknown",D94="❓ Unknown"),"❓ Unknown",IF(AND(C94="✅ Compliant",D94="✅ Compliant"),"✅ Full Compliance",IF(OR(C94="✅ Compliant",D94="✅ Compliant"),"⚠ Partial Compliance","❌ Non-Compliant"))))</f>
        <v/>
      </c>
      <c r="F94" s="20">
        <f>IF(A94="","",IF(AND(B94="Tier 1 - Critical",E94="❌ Non-Compliant"),"🔴 Critical",IF(B94="Tier 1 - Critical","🟡 High",IF(E94="❌ Non-Compliant","🟡 High",IF(E94="⚠ Partial Compliance","🟢 Medium","⚪ Low")))))</f>
        <v/>
      </c>
      <c r="G94" s="26">
        <f>IF(A94="","",IF(C94="❌ Non-Compliant",IF(D94="❌ Non-Compliant","Both RPO &amp; RTO gaps","RPO gap only"),IF(D94="❌ Non-Compliant","RTO gap only",IF(E94="❓ Unknown","Testing required","No gaps"))))</f>
        <v/>
      </c>
      <c r="H94" s="27" t="n"/>
    </row>
    <row r="95">
      <c r="A95" s="20">
        <f>System_Inventory!A95</f>
        <v/>
      </c>
      <c r="B95" s="20">
        <f>System_Inventory!C95</f>
        <v/>
      </c>
      <c r="C95" s="20">
        <f>IF(A95="","",IF(OR(System_Inventory!E95="",Capability_Assessment!E95=""),"❓ Unknown",IF(Capability_Assessment!E95&lt;=System_Inventory!E95,"✅ Compliant","❌ Non-Compliant")))</f>
        <v/>
      </c>
      <c r="D95" s="20">
        <f>IF(A95="","",IF(OR(System_Inventory!F95="",Capability_Assessment!F95=""),"❓ Unknown",IF(Capability_Assessment!F95&lt;=System_Inventory!F95,"✅ Compliant","❌ Non-Compliant")))</f>
        <v/>
      </c>
      <c r="E95" s="20">
        <f>IF(A95="","",IF(OR(C95="❓ Unknown",D95="❓ Unknown"),"❓ Unknown",IF(AND(C95="✅ Compliant",D95="✅ Compliant"),"✅ Full Compliance",IF(OR(C95="✅ Compliant",D95="✅ Compliant"),"⚠ Partial Compliance","❌ Non-Compliant"))))</f>
        <v/>
      </c>
      <c r="F95" s="20">
        <f>IF(A95="","",IF(AND(B95="Tier 1 - Critical",E95="❌ Non-Compliant"),"🔴 Critical",IF(B95="Tier 1 - Critical","🟡 High",IF(E95="❌ Non-Compliant","🟡 High",IF(E95="⚠ Partial Compliance","🟢 Medium","⚪ Low")))))</f>
        <v/>
      </c>
      <c r="G95" s="26">
        <f>IF(A95="","",IF(C95="❌ Non-Compliant",IF(D95="❌ Non-Compliant","Both RPO &amp; RTO gaps","RPO gap only"),IF(D95="❌ Non-Compliant","RTO gap only",IF(E95="❓ Unknown","Testing required","No gaps"))))</f>
        <v/>
      </c>
      <c r="H95" s="27" t="n"/>
    </row>
    <row r="96">
      <c r="A96" s="20">
        <f>System_Inventory!A96</f>
        <v/>
      </c>
      <c r="B96" s="20">
        <f>System_Inventory!C96</f>
        <v/>
      </c>
      <c r="C96" s="20">
        <f>IF(A96="","",IF(OR(System_Inventory!E96="",Capability_Assessment!E96=""),"❓ Unknown",IF(Capability_Assessment!E96&lt;=System_Inventory!E96,"✅ Compliant","❌ Non-Compliant")))</f>
        <v/>
      </c>
      <c r="D96" s="20">
        <f>IF(A96="","",IF(OR(System_Inventory!F96="",Capability_Assessment!F96=""),"❓ Unknown",IF(Capability_Assessment!F96&lt;=System_Inventory!F96,"✅ Compliant","❌ Non-Compliant")))</f>
        <v/>
      </c>
      <c r="E96" s="20">
        <f>IF(A96="","",IF(OR(C96="❓ Unknown",D96="❓ Unknown"),"❓ Unknown",IF(AND(C96="✅ Compliant",D96="✅ Compliant"),"✅ Full Compliance",IF(OR(C96="✅ Compliant",D96="✅ Compliant"),"⚠ Partial Compliance","❌ Non-Compliant"))))</f>
        <v/>
      </c>
      <c r="F96" s="20">
        <f>IF(A96="","",IF(AND(B96="Tier 1 - Critical",E96="❌ Non-Compliant"),"🔴 Critical",IF(B96="Tier 1 - Critical","🟡 High",IF(E96="❌ Non-Compliant","🟡 High",IF(E96="⚠ Partial Compliance","🟢 Medium","⚪ Low")))))</f>
        <v/>
      </c>
      <c r="G96" s="26">
        <f>IF(A96="","",IF(C96="❌ Non-Compliant",IF(D96="❌ Non-Compliant","Both RPO &amp; RTO gaps","RPO gap only"),IF(D96="❌ Non-Compliant","RTO gap only",IF(E96="❓ Unknown","Testing required","No gaps"))))</f>
        <v/>
      </c>
      <c r="H96" s="27" t="n"/>
    </row>
    <row r="97">
      <c r="A97" s="20">
        <f>System_Inventory!A97</f>
        <v/>
      </c>
      <c r="B97" s="20">
        <f>System_Inventory!C97</f>
        <v/>
      </c>
      <c r="C97" s="20">
        <f>IF(A97="","",IF(OR(System_Inventory!E97="",Capability_Assessment!E97=""),"❓ Unknown",IF(Capability_Assessment!E97&lt;=System_Inventory!E97,"✅ Compliant","❌ Non-Compliant")))</f>
        <v/>
      </c>
      <c r="D97" s="20">
        <f>IF(A97="","",IF(OR(System_Inventory!F97="",Capability_Assessment!F97=""),"❓ Unknown",IF(Capability_Assessment!F97&lt;=System_Inventory!F97,"✅ Compliant","❌ Non-Compliant")))</f>
        <v/>
      </c>
      <c r="E97" s="20">
        <f>IF(A97="","",IF(OR(C97="❓ Unknown",D97="❓ Unknown"),"❓ Unknown",IF(AND(C97="✅ Compliant",D97="✅ Compliant"),"✅ Full Compliance",IF(OR(C97="✅ Compliant",D97="✅ Compliant"),"⚠ Partial Compliance","❌ Non-Compliant"))))</f>
        <v/>
      </c>
      <c r="F97" s="20">
        <f>IF(A97="","",IF(AND(B97="Tier 1 - Critical",E97="❌ Non-Compliant"),"🔴 Critical",IF(B97="Tier 1 - Critical","🟡 High",IF(E97="❌ Non-Compliant","🟡 High",IF(E97="⚠ Partial Compliance","🟢 Medium","⚪ Low")))))</f>
        <v/>
      </c>
      <c r="G97" s="26">
        <f>IF(A97="","",IF(C97="❌ Non-Compliant",IF(D97="❌ Non-Compliant","Both RPO &amp; RTO gaps","RPO gap only"),IF(D97="❌ Non-Compliant","RTO gap only",IF(E97="❓ Unknown","Testing required","No gaps"))))</f>
        <v/>
      </c>
      <c r="H97" s="27" t="n"/>
    </row>
    <row r="98">
      <c r="A98" s="20">
        <f>System_Inventory!A98</f>
        <v/>
      </c>
      <c r="B98" s="20">
        <f>System_Inventory!C98</f>
        <v/>
      </c>
      <c r="C98" s="20">
        <f>IF(A98="","",IF(OR(System_Inventory!E98="",Capability_Assessment!E98=""),"❓ Unknown",IF(Capability_Assessment!E98&lt;=System_Inventory!E98,"✅ Compliant","❌ Non-Compliant")))</f>
        <v/>
      </c>
      <c r="D98" s="20">
        <f>IF(A98="","",IF(OR(System_Inventory!F98="",Capability_Assessment!F98=""),"❓ Unknown",IF(Capability_Assessment!F98&lt;=System_Inventory!F98,"✅ Compliant","❌ Non-Compliant")))</f>
        <v/>
      </c>
      <c r="E98" s="20">
        <f>IF(A98="","",IF(OR(C98="❓ Unknown",D98="❓ Unknown"),"❓ Unknown",IF(AND(C98="✅ Compliant",D98="✅ Compliant"),"✅ Full Compliance",IF(OR(C98="✅ Compliant",D98="✅ Compliant"),"⚠ Partial Compliance","❌ Non-Compliant"))))</f>
        <v/>
      </c>
      <c r="F98" s="20">
        <f>IF(A98="","",IF(AND(B98="Tier 1 - Critical",E98="❌ Non-Compliant"),"🔴 Critical",IF(B98="Tier 1 - Critical","🟡 High",IF(E98="❌ Non-Compliant","🟡 High",IF(E98="⚠ Partial Compliance","🟢 Medium","⚪ Low")))))</f>
        <v/>
      </c>
      <c r="G98" s="26">
        <f>IF(A98="","",IF(C98="❌ Non-Compliant",IF(D98="❌ Non-Compliant","Both RPO &amp; RTO gaps","RPO gap only"),IF(D98="❌ Non-Compliant","RTO gap only",IF(E98="❓ Unknown","Testing required","No gaps"))))</f>
        <v/>
      </c>
      <c r="H98" s="27" t="n"/>
    </row>
    <row r="99">
      <c r="A99" s="20">
        <f>System_Inventory!A99</f>
        <v/>
      </c>
      <c r="B99" s="20">
        <f>System_Inventory!C99</f>
        <v/>
      </c>
      <c r="C99" s="20">
        <f>IF(A99="","",IF(OR(System_Inventory!E99="",Capability_Assessment!E99=""),"❓ Unknown",IF(Capability_Assessment!E99&lt;=System_Inventory!E99,"✅ Compliant","❌ Non-Compliant")))</f>
        <v/>
      </c>
      <c r="D99" s="20">
        <f>IF(A99="","",IF(OR(System_Inventory!F99="",Capability_Assessment!F99=""),"❓ Unknown",IF(Capability_Assessment!F99&lt;=System_Inventory!F99,"✅ Compliant","❌ Non-Compliant")))</f>
        <v/>
      </c>
      <c r="E99" s="20">
        <f>IF(A99="","",IF(OR(C99="❓ Unknown",D99="❓ Unknown"),"❓ Unknown",IF(AND(C99="✅ Compliant",D99="✅ Compliant"),"✅ Full Compliance",IF(OR(C99="✅ Compliant",D99="✅ Compliant"),"⚠ Partial Compliance","❌ Non-Compliant"))))</f>
        <v/>
      </c>
      <c r="F99" s="20">
        <f>IF(A99="","",IF(AND(B99="Tier 1 - Critical",E99="❌ Non-Compliant"),"🔴 Critical",IF(B99="Tier 1 - Critical","🟡 High",IF(E99="❌ Non-Compliant","🟡 High",IF(E99="⚠ Partial Compliance","🟢 Medium","⚪ Low")))))</f>
        <v/>
      </c>
      <c r="G99" s="26">
        <f>IF(A99="","",IF(C99="❌ Non-Compliant",IF(D99="❌ Non-Compliant","Both RPO &amp; RTO gaps","RPO gap only"),IF(D99="❌ Non-Compliant","RTO gap only",IF(E99="❓ Unknown","Testing required","No gaps"))))</f>
        <v/>
      </c>
      <c r="H99" s="27" t="n"/>
    </row>
    <row r="100">
      <c r="A100" s="20">
        <f>System_Inventory!A100</f>
        <v/>
      </c>
      <c r="B100" s="20">
        <f>System_Inventory!C100</f>
        <v/>
      </c>
      <c r="C100" s="20">
        <f>IF(A100="","",IF(OR(System_Inventory!E100="",Capability_Assessment!E100=""),"❓ Unknown",IF(Capability_Assessment!E100&lt;=System_Inventory!E100,"✅ Compliant","❌ Non-Compliant")))</f>
        <v/>
      </c>
      <c r="D100" s="20">
        <f>IF(A100="","",IF(OR(System_Inventory!F100="",Capability_Assessment!F100=""),"❓ Unknown",IF(Capability_Assessment!F100&lt;=System_Inventory!F100,"✅ Compliant","❌ Non-Compliant")))</f>
        <v/>
      </c>
      <c r="E100" s="20">
        <f>IF(A100="","",IF(OR(C100="❓ Unknown",D100="❓ Unknown"),"❓ Unknown",IF(AND(C100="✅ Compliant",D100="✅ Compliant"),"✅ Full Compliance",IF(OR(C100="✅ Compliant",D100="✅ Compliant"),"⚠ Partial Compliance","❌ Non-Compliant"))))</f>
        <v/>
      </c>
      <c r="F100" s="20">
        <f>IF(A100="","",IF(AND(B100="Tier 1 - Critical",E100="❌ Non-Compliant"),"🔴 Critical",IF(B100="Tier 1 - Critical","🟡 High",IF(E100="❌ Non-Compliant","🟡 High",IF(E100="⚠ Partial Compliance","🟢 Medium","⚪ Low")))))</f>
        <v/>
      </c>
      <c r="G100" s="26">
        <f>IF(A100="","",IF(C100="❌ Non-Compliant",IF(D100="❌ Non-Compliant","Both RPO &amp; RTO gaps","RPO gap only"),IF(D100="❌ Non-Compliant","RTO gap only",IF(E100="❓ Unknown","Testing required","No gaps"))))</f>
        <v/>
      </c>
      <c r="H100" s="27" t="n"/>
    </row>
    <row r="101">
      <c r="A101" s="20">
        <f>System_Inventory!A101</f>
        <v/>
      </c>
      <c r="B101" s="20">
        <f>System_Inventory!C101</f>
        <v/>
      </c>
      <c r="C101" s="20">
        <f>IF(A101="","",IF(OR(System_Inventory!E101="",Capability_Assessment!E101=""),"❓ Unknown",IF(Capability_Assessment!E101&lt;=System_Inventory!E101,"✅ Compliant","❌ Non-Compliant")))</f>
        <v/>
      </c>
      <c r="D101" s="20">
        <f>IF(A101="","",IF(OR(System_Inventory!F101="",Capability_Assessment!F101=""),"❓ Unknown",IF(Capability_Assessment!F101&lt;=System_Inventory!F101,"✅ Compliant","❌ Non-Compliant")))</f>
        <v/>
      </c>
      <c r="E101" s="20">
        <f>IF(A101="","",IF(OR(C101="❓ Unknown",D101="❓ Unknown"),"❓ Unknown",IF(AND(C101="✅ Compliant",D101="✅ Compliant"),"✅ Full Compliance",IF(OR(C101="✅ Compliant",D101="✅ Compliant"),"⚠ Partial Compliance","❌ Non-Compliant"))))</f>
        <v/>
      </c>
      <c r="F101" s="20">
        <f>IF(A101="","",IF(AND(B101="Tier 1 - Critical",E101="❌ Non-Compliant"),"🔴 Critical",IF(B101="Tier 1 - Critical","🟡 High",IF(E101="❌ Non-Compliant","🟡 High",IF(E101="⚠ Partial Compliance","🟢 Medium","⚪ Low")))))</f>
        <v/>
      </c>
      <c r="G101" s="26">
        <f>IF(A101="","",IF(C101="❌ Non-Compliant",IF(D101="❌ Non-Compliant","Both RPO &amp; RTO gaps","RPO gap only"),IF(D101="❌ Non-Compliant","RTO gap only",IF(E101="❓ Unknown","Testing required","No gaps"))))</f>
        <v/>
      </c>
      <c r="H101" s="27" t="n"/>
    </row>
    <row r="102">
      <c r="A102" s="20">
        <f>System_Inventory!A102</f>
        <v/>
      </c>
      <c r="B102" s="20">
        <f>System_Inventory!C102</f>
        <v/>
      </c>
      <c r="C102" s="20">
        <f>IF(A102="","",IF(OR(System_Inventory!E102="",Capability_Assessment!E102=""),"❓ Unknown",IF(Capability_Assessment!E102&lt;=System_Inventory!E102,"✅ Compliant","❌ Non-Compliant")))</f>
        <v/>
      </c>
      <c r="D102" s="20">
        <f>IF(A102="","",IF(OR(System_Inventory!F102="",Capability_Assessment!F102=""),"❓ Unknown",IF(Capability_Assessment!F102&lt;=System_Inventory!F102,"✅ Compliant","❌ Non-Compliant")))</f>
        <v/>
      </c>
      <c r="E102" s="20">
        <f>IF(A102="","",IF(OR(C102="❓ Unknown",D102="❓ Unknown"),"❓ Unknown",IF(AND(C102="✅ Compliant",D102="✅ Compliant"),"✅ Full Compliance",IF(OR(C102="✅ Compliant",D102="✅ Compliant"),"⚠ Partial Compliance","❌ Non-Compliant"))))</f>
        <v/>
      </c>
      <c r="F102" s="20">
        <f>IF(A102="","",IF(AND(B102="Tier 1 - Critical",E102="❌ Non-Compliant"),"🔴 Critical",IF(B102="Tier 1 - Critical","🟡 High",IF(E102="❌ Non-Compliant","🟡 High",IF(E102="⚠ Partial Compliance","🟢 Medium","⚪ Low")))))</f>
        <v/>
      </c>
      <c r="G102" s="26">
        <f>IF(A102="","",IF(C102="❌ Non-Compliant",IF(D102="❌ Non-Compliant","Both RPO &amp; RTO gaps","RPO gap only"),IF(D102="❌ Non-Compliant","RTO gap only",IF(E102="❓ Unknown","Testing required","No gaps"))))</f>
        <v/>
      </c>
      <c r="H102" s="27" t="n"/>
    </row>
    <row r="103">
      <c r="A103" s="20">
        <f>System_Inventory!A103</f>
        <v/>
      </c>
      <c r="B103" s="20">
        <f>System_Inventory!C103</f>
        <v/>
      </c>
      <c r="C103" s="20">
        <f>IF(A103="","",IF(OR(System_Inventory!E103="",Capability_Assessment!E103=""),"❓ Unknown",IF(Capability_Assessment!E103&lt;=System_Inventory!E103,"✅ Compliant","❌ Non-Compliant")))</f>
        <v/>
      </c>
      <c r="D103" s="20">
        <f>IF(A103="","",IF(OR(System_Inventory!F103="",Capability_Assessment!F103=""),"❓ Unknown",IF(Capability_Assessment!F103&lt;=System_Inventory!F103,"✅ Compliant","❌ Non-Compliant")))</f>
        <v/>
      </c>
      <c r="E103" s="20">
        <f>IF(A103="","",IF(OR(C103="❓ Unknown",D103="❓ Unknown"),"❓ Unknown",IF(AND(C103="✅ Compliant",D103="✅ Compliant"),"✅ Full Compliance",IF(OR(C103="✅ Compliant",D103="✅ Compliant"),"⚠ Partial Compliance","❌ Non-Compliant"))))</f>
        <v/>
      </c>
      <c r="F103" s="20">
        <f>IF(A103="","",IF(AND(B103="Tier 1 - Critical",E103="❌ Non-Compliant"),"🔴 Critical",IF(B103="Tier 1 - Critical","🟡 High",IF(E103="❌ Non-Compliant","🟡 High",IF(E103="⚠ Partial Compliance","🟢 Medium","⚪ Low")))))</f>
        <v/>
      </c>
      <c r="G103" s="26">
        <f>IF(A103="","",IF(C103="❌ Non-Compliant",IF(D103="❌ Non-Compliant","Both RPO &amp; RTO gaps","RPO gap only"),IF(D103="❌ Non-Compliant","RTO gap only",IF(E103="❓ Unknown","Testing required","No gaps"))))</f>
        <v/>
      </c>
      <c r="H103" s="27" t="n"/>
    </row>
    <row r="104">
      <c r="A104" s="20">
        <f>System_Inventory!A104</f>
        <v/>
      </c>
      <c r="B104" s="20">
        <f>System_Inventory!C104</f>
        <v/>
      </c>
      <c r="C104" s="20">
        <f>IF(A104="","",IF(OR(System_Inventory!E104="",Capability_Assessment!E104=""),"❓ Unknown",IF(Capability_Assessment!E104&lt;=System_Inventory!E104,"✅ Compliant","❌ Non-Compliant")))</f>
        <v/>
      </c>
      <c r="D104" s="20">
        <f>IF(A104="","",IF(OR(System_Inventory!F104="",Capability_Assessment!F104=""),"❓ Unknown",IF(Capability_Assessment!F104&lt;=System_Inventory!F104,"✅ Compliant","❌ Non-Compliant")))</f>
        <v/>
      </c>
      <c r="E104" s="20">
        <f>IF(A104="","",IF(OR(C104="❓ Unknown",D104="❓ Unknown"),"❓ Unknown",IF(AND(C104="✅ Compliant",D104="✅ Compliant"),"✅ Full Compliance",IF(OR(C104="✅ Compliant",D104="✅ Compliant"),"⚠ Partial Compliance","❌ Non-Compliant"))))</f>
        <v/>
      </c>
      <c r="F104" s="20">
        <f>IF(A104="","",IF(AND(B104="Tier 1 - Critical",E104="❌ Non-Compliant"),"🔴 Critical",IF(B104="Tier 1 - Critical","🟡 High",IF(E104="❌ Non-Compliant","🟡 High",IF(E104="⚠ Partial Compliance","🟢 Medium","⚪ Low")))))</f>
        <v/>
      </c>
      <c r="G104" s="26">
        <f>IF(A104="","",IF(C104="❌ Non-Compliant",IF(D104="❌ Non-Compliant","Both RPO &amp; RTO gaps","RPO gap only"),IF(D104="❌ Non-Compliant","RTO gap only",IF(E104="❓ Unknown","Testing required","No gaps"))))</f>
        <v/>
      </c>
      <c r="H104" s="27" t="n"/>
    </row>
    <row r="105">
      <c r="A105" s="20">
        <f>System_Inventory!A105</f>
        <v/>
      </c>
      <c r="B105" s="20">
        <f>System_Inventory!C105</f>
        <v/>
      </c>
      <c r="C105" s="20">
        <f>IF(A105="","",IF(OR(System_Inventory!E105="",Capability_Assessment!E105=""),"❓ Unknown",IF(Capability_Assessment!E105&lt;=System_Inventory!E105,"✅ Compliant","❌ Non-Compliant")))</f>
        <v/>
      </c>
      <c r="D105" s="20">
        <f>IF(A105="","",IF(OR(System_Inventory!F105="",Capability_Assessment!F105=""),"❓ Unknown",IF(Capability_Assessment!F105&lt;=System_Inventory!F105,"✅ Compliant","❌ Non-Compliant")))</f>
        <v/>
      </c>
      <c r="E105" s="20">
        <f>IF(A105="","",IF(OR(C105="❓ Unknown",D105="❓ Unknown"),"❓ Unknown",IF(AND(C105="✅ Compliant",D105="✅ Compliant"),"✅ Full Compliance",IF(OR(C105="✅ Compliant",D105="✅ Compliant"),"⚠ Partial Compliance","❌ Non-Compliant"))))</f>
        <v/>
      </c>
      <c r="F105" s="20">
        <f>IF(A105="","",IF(AND(B105="Tier 1 - Critical",E105="❌ Non-Compliant"),"🔴 Critical",IF(B105="Tier 1 - Critical","🟡 High",IF(E105="❌ Non-Compliant","🟡 High",IF(E105="⚠ Partial Compliance","🟢 Medium","⚪ Low")))))</f>
        <v/>
      </c>
      <c r="G105" s="26">
        <f>IF(A105="","",IF(C105="❌ Non-Compliant",IF(D105="❌ Non-Compliant","Both RPO &amp; RTO gaps","RPO gap only"),IF(D105="❌ Non-Compliant","RTO gap only",IF(E105="❓ Unknown","Testing required","No gaps"))))</f>
        <v/>
      </c>
      <c r="H105" s="27" t="n"/>
    </row>
    <row r="106">
      <c r="A106" s="20">
        <f>System_Inventory!A106</f>
        <v/>
      </c>
      <c r="B106" s="20">
        <f>System_Inventory!C106</f>
        <v/>
      </c>
      <c r="C106" s="20">
        <f>IF(A106="","",IF(OR(System_Inventory!E106="",Capability_Assessment!E106=""),"❓ Unknown",IF(Capability_Assessment!E106&lt;=System_Inventory!E106,"✅ Compliant","❌ Non-Compliant")))</f>
        <v/>
      </c>
      <c r="D106" s="20">
        <f>IF(A106="","",IF(OR(System_Inventory!F106="",Capability_Assessment!F106=""),"❓ Unknown",IF(Capability_Assessment!F106&lt;=System_Inventory!F106,"✅ Compliant","❌ Non-Compliant")))</f>
        <v/>
      </c>
      <c r="E106" s="20">
        <f>IF(A106="","",IF(OR(C106="❓ Unknown",D106="❓ Unknown"),"❓ Unknown",IF(AND(C106="✅ Compliant",D106="✅ Compliant"),"✅ Full Compliance",IF(OR(C106="✅ Compliant",D106="✅ Compliant"),"⚠ Partial Compliance","❌ Non-Compliant"))))</f>
        <v/>
      </c>
      <c r="F106" s="20">
        <f>IF(A106="","",IF(AND(B106="Tier 1 - Critical",E106="❌ Non-Compliant"),"🔴 Critical",IF(B106="Tier 1 - Critical","🟡 High",IF(E106="❌ Non-Compliant","🟡 High",IF(E106="⚠ Partial Compliance","🟢 Medium","⚪ Low")))))</f>
        <v/>
      </c>
      <c r="G106" s="26">
        <f>IF(A106="","",IF(C106="❌ Non-Compliant",IF(D106="❌ Non-Compliant","Both RPO &amp; RTO gaps","RPO gap only"),IF(D106="❌ Non-Compliant","RTO gap only",IF(E106="❓ Unknown","Testing required","No gaps"))))</f>
        <v/>
      </c>
      <c r="H106" s="27" t="n"/>
    </row>
    <row r="107">
      <c r="A107" s="20">
        <f>System_Inventory!A107</f>
        <v/>
      </c>
      <c r="B107" s="20">
        <f>System_Inventory!C107</f>
        <v/>
      </c>
      <c r="C107" s="20">
        <f>IF(A107="","",IF(OR(System_Inventory!E107="",Capability_Assessment!E107=""),"❓ Unknown",IF(Capability_Assessment!E107&lt;=System_Inventory!E107,"✅ Compliant","❌ Non-Compliant")))</f>
        <v/>
      </c>
      <c r="D107" s="20">
        <f>IF(A107="","",IF(OR(System_Inventory!F107="",Capability_Assessment!F107=""),"❓ Unknown",IF(Capability_Assessment!F107&lt;=System_Inventory!F107,"✅ Compliant","❌ Non-Compliant")))</f>
        <v/>
      </c>
      <c r="E107" s="20">
        <f>IF(A107="","",IF(OR(C107="❓ Unknown",D107="❓ Unknown"),"❓ Unknown",IF(AND(C107="✅ Compliant",D107="✅ Compliant"),"✅ Full Compliance",IF(OR(C107="✅ Compliant",D107="✅ Compliant"),"⚠ Partial Compliance","❌ Non-Compliant"))))</f>
        <v/>
      </c>
      <c r="F107" s="20">
        <f>IF(A107="","",IF(AND(B107="Tier 1 - Critical",E107="❌ Non-Compliant"),"🔴 Critical",IF(B107="Tier 1 - Critical","🟡 High",IF(E107="❌ Non-Compliant","🟡 High",IF(E107="⚠ Partial Compliance","🟢 Medium","⚪ Low")))))</f>
        <v/>
      </c>
      <c r="G107" s="26">
        <f>IF(A107="","",IF(C107="❌ Non-Compliant",IF(D107="❌ Non-Compliant","Both RPO &amp; RTO gaps","RPO gap only"),IF(D107="❌ Non-Compliant","RTO gap only",IF(E107="❓ Unknown","Testing required","No gaps"))))</f>
        <v/>
      </c>
      <c r="H107" s="27" t="n"/>
    </row>
    <row r="108">
      <c r="A108" s="20">
        <f>System_Inventory!A108</f>
        <v/>
      </c>
      <c r="B108" s="20">
        <f>System_Inventory!C108</f>
        <v/>
      </c>
      <c r="C108" s="20">
        <f>IF(A108="","",IF(OR(System_Inventory!E108="",Capability_Assessment!E108=""),"❓ Unknown",IF(Capability_Assessment!E108&lt;=System_Inventory!E108,"✅ Compliant","❌ Non-Compliant")))</f>
        <v/>
      </c>
      <c r="D108" s="20">
        <f>IF(A108="","",IF(OR(System_Inventory!F108="",Capability_Assessment!F108=""),"❓ Unknown",IF(Capability_Assessment!F108&lt;=System_Inventory!F108,"✅ Compliant","❌ Non-Compliant")))</f>
        <v/>
      </c>
      <c r="E108" s="20">
        <f>IF(A108="","",IF(OR(C108="❓ Unknown",D108="❓ Unknown"),"❓ Unknown",IF(AND(C108="✅ Compliant",D108="✅ Compliant"),"✅ Full Compliance",IF(OR(C108="✅ Compliant",D108="✅ Compliant"),"⚠ Partial Compliance","❌ Non-Compliant"))))</f>
        <v/>
      </c>
      <c r="F108" s="20">
        <f>IF(A108="","",IF(AND(B108="Tier 1 - Critical",E108="❌ Non-Compliant"),"🔴 Critical",IF(B108="Tier 1 - Critical","🟡 High",IF(E108="❌ Non-Compliant","🟡 High",IF(E108="⚠ Partial Compliance","🟢 Medium","⚪ Low")))))</f>
        <v/>
      </c>
      <c r="G108" s="26">
        <f>IF(A108="","",IF(C108="❌ Non-Compliant",IF(D108="❌ Non-Compliant","Both RPO &amp; RTO gaps","RPO gap only"),IF(D108="❌ Non-Compliant","RTO gap only",IF(E108="❓ Unknown","Testing required","No gaps"))))</f>
        <v/>
      </c>
      <c r="H108" s="27" t="n"/>
    </row>
    <row r="109">
      <c r="A109" s="20">
        <f>System_Inventory!A109</f>
        <v/>
      </c>
      <c r="B109" s="20">
        <f>System_Inventory!C109</f>
        <v/>
      </c>
      <c r="C109" s="20">
        <f>IF(A109="","",IF(OR(System_Inventory!E109="",Capability_Assessment!E109=""),"❓ Unknown",IF(Capability_Assessment!E109&lt;=System_Inventory!E109,"✅ Compliant","❌ Non-Compliant")))</f>
        <v/>
      </c>
      <c r="D109" s="20">
        <f>IF(A109="","",IF(OR(System_Inventory!F109="",Capability_Assessment!F109=""),"❓ Unknown",IF(Capability_Assessment!F109&lt;=System_Inventory!F109,"✅ Compliant","❌ Non-Compliant")))</f>
        <v/>
      </c>
      <c r="E109" s="20">
        <f>IF(A109="","",IF(OR(C109="❓ Unknown",D109="❓ Unknown"),"❓ Unknown",IF(AND(C109="✅ Compliant",D109="✅ Compliant"),"✅ Full Compliance",IF(OR(C109="✅ Compliant",D109="✅ Compliant"),"⚠ Partial Compliance","❌ Non-Compliant"))))</f>
        <v/>
      </c>
      <c r="F109" s="20">
        <f>IF(A109="","",IF(AND(B109="Tier 1 - Critical",E109="❌ Non-Compliant"),"🔴 Critical",IF(B109="Tier 1 - Critical","🟡 High",IF(E109="❌ Non-Compliant","🟡 High",IF(E109="⚠ Partial Compliance","🟢 Medium","⚪ Low")))))</f>
        <v/>
      </c>
      <c r="G109" s="26">
        <f>IF(A109="","",IF(C109="❌ Non-Compliant",IF(D109="❌ Non-Compliant","Both RPO &amp; RTO gaps","RPO gap only"),IF(D109="❌ Non-Compliant","RTO gap only",IF(E109="❓ Unknown","Testing required","No gaps"))))</f>
        <v/>
      </c>
      <c r="H109" s="27" t="n"/>
    </row>
    <row r="110">
      <c r="A110" s="20">
        <f>System_Inventory!A110</f>
        <v/>
      </c>
      <c r="B110" s="20">
        <f>System_Inventory!C110</f>
        <v/>
      </c>
      <c r="C110" s="20">
        <f>IF(A110="","",IF(OR(System_Inventory!E110="",Capability_Assessment!E110=""),"❓ Unknown",IF(Capability_Assessment!E110&lt;=System_Inventory!E110,"✅ Compliant","❌ Non-Compliant")))</f>
        <v/>
      </c>
      <c r="D110" s="20">
        <f>IF(A110="","",IF(OR(System_Inventory!F110="",Capability_Assessment!F110=""),"❓ Unknown",IF(Capability_Assessment!F110&lt;=System_Inventory!F110,"✅ Compliant","❌ Non-Compliant")))</f>
        <v/>
      </c>
      <c r="E110" s="20">
        <f>IF(A110="","",IF(OR(C110="❓ Unknown",D110="❓ Unknown"),"❓ Unknown",IF(AND(C110="✅ Compliant",D110="✅ Compliant"),"✅ Full Compliance",IF(OR(C110="✅ Compliant",D110="✅ Compliant"),"⚠ Partial Compliance","❌ Non-Compliant"))))</f>
        <v/>
      </c>
      <c r="F110" s="20">
        <f>IF(A110="","",IF(AND(B110="Tier 1 - Critical",E110="❌ Non-Compliant"),"🔴 Critical",IF(B110="Tier 1 - Critical","🟡 High",IF(E110="❌ Non-Compliant","🟡 High",IF(E110="⚠ Partial Compliance","🟢 Medium","⚪ Low")))))</f>
        <v/>
      </c>
      <c r="G110" s="26">
        <f>IF(A110="","",IF(C110="❌ Non-Compliant",IF(D110="❌ Non-Compliant","Both RPO &amp; RTO gaps","RPO gap only"),IF(D110="❌ Non-Compliant","RTO gap only",IF(E110="❓ Unknown","Testing required","No gaps"))))</f>
        <v/>
      </c>
      <c r="H110" s="27" t="n"/>
    </row>
    <row r="111">
      <c r="A111" s="20">
        <f>System_Inventory!A111</f>
        <v/>
      </c>
      <c r="B111" s="20">
        <f>System_Inventory!C111</f>
        <v/>
      </c>
      <c r="C111" s="20">
        <f>IF(A111="","",IF(OR(System_Inventory!E111="",Capability_Assessment!E111=""),"❓ Unknown",IF(Capability_Assessment!E111&lt;=System_Inventory!E111,"✅ Compliant","❌ Non-Compliant")))</f>
        <v/>
      </c>
      <c r="D111" s="20">
        <f>IF(A111="","",IF(OR(System_Inventory!F111="",Capability_Assessment!F111=""),"❓ Unknown",IF(Capability_Assessment!F111&lt;=System_Inventory!F111,"✅ Compliant","❌ Non-Compliant")))</f>
        <v/>
      </c>
      <c r="E111" s="20">
        <f>IF(A111="","",IF(OR(C111="❓ Unknown",D111="❓ Unknown"),"❓ Unknown",IF(AND(C111="✅ Compliant",D111="✅ Compliant"),"✅ Full Compliance",IF(OR(C111="✅ Compliant",D111="✅ Compliant"),"⚠ Partial Compliance","❌ Non-Compliant"))))</f>
        <v/>
      </c>
      <c r="F111" s="20">
        <f>IF(A111="","",IF(AND(B111="Tier 1 - Critical",E111="❌ Non-Compliant"),"🔴 Critical",IF(B111="Tier 1 - Critical","🟡 High",IF(E111="❌ Non-Compliant","🟡 High",IF(E111="⚠ Partial Compliance","🟢 Medium","⚪ Low")))))</f>
        <v/>
      </c>
      <c r="G111" s="26">
        <f>IF(A111="","",IF(C111="❌ Non-Compliant",IF(D111="❌ Non-Compliant","Both RPO &amp; RTO gaps","RPO gap only"),IF(D111="❌ Non-Compliant","RTO gap only",IF(E111="❓ Unknown","Testing required","No gaps"))))</f>
        <v/>
      </c>
      <c r="H111" s="27" t="n"/>
    </row>
    <row r="112">
      <c r="A112" s="20">
        <f>System_Inventory!A112</f>
        <v/>
      </c>
      <c r="B112" s="20">
        <f>System_Inventory!C112</f>
        <v/>
      </c>
      <c r="C112" s="20">
        <f>IF(A112="","",IF(OR(System_Inventory!E112="",Capability_Assessment!E112=""),"❓ Unknown",IF(Capability_Assessment!E112&lt;=System_Inventory!E112,"✅ Compliant","❌ Non-Compliant")))</f>
        <v/>
      </c>
      <c r="D112" s="20">
        <f>IF(A112="","",IF(OR(System_Inventory!F112="",Capability_Assessment!F112=""),"❓ Unknown",IF(Capability_Assessment!F112&lt;=System_Inventory!F112,"✅ Compliant","❌ Non-Compliant")))</f>
        <v/>
      </c>
      <c r="E112" s="20">
        <f>IF(A112="","",IF(OR(C112="❓ Unknown",D112="❓ Unknown"),"❓ Unknown",IF(AND(C112="✅ Compliant",D112="✅ Compliant"),"✅ Full Compliance",IF(OR(C112="✅ Compliant",D112="✅ Compliant"),"⚠ Partial Compliance","❌ Non-Compliant"))))</f>
        <v/>
      </c>
      <c r="F112" s="20">
        <f>IF(A112="","",IF(AND(B112="Tier 1 - Critical",E112="❌ Non-Compliant"),"🔴 Critical",IF(B112="Tier 1 - Critical","🟡 High",IF(E112="❌ Non-Compliant","🟡 High",IF(E112="⚠ Partial Compliance","🟢 Medium","⚪ Low")))))</f>
        <v/>
      </c>
      <c r="G112" s="26">
        <f>IF(A112="","",IF(C112="❌ Non-Compliant",IF(D112="❌ Non-Compliant","Both RPO &amp; RTO gaps","RPO gap only"),IF(D112="❌ Non-Compliant","RTO gap only",IF(E112="❓ Unknown","Testing required","No gaps"))))</f>
        <v/>
      </c>
      <c r="H112" s="27" t="n"/>
    </row>
    <row r="113">
      <c r="A113" s="20">
        <f>System_Inventory!A113</f>
        <v/>
      </c>
      <c r="B113" s="20">
        <f>System_Inventory!C113</f>
        <v/>
      </c>
      <c r="C113" s="20">
        <f>IF(A113="","",IF(OR(System_Inventory!E113="",Capability_Assessment!E113=""),"❓ Unknown",IF(Capability_Assessment!E113&lt;=System_Inventory!E113,"✅ Compliant","❌ Non-Compliant")))</f>
        <v/>
      </c>
      <c r="D113" s="20">
        <f>IF(A113="","",IF(OR(System_Inventory!F113="",Capability_Assessment!F113=""),"❓ Unknown",IF(Capability_Assessment!F113&lt;=System_Inventory!F113,"✅ Compliant","❌ Non-Compliant")))</f>
        <v/>
      </c>
      <c r="E113" s="20">
        <f>IF(A113="","",IF(OR(C113="❓ Unknown",D113="❓ Unknown"),"❓ Unknown",IF(AND(C113="✅ Compliant",D113="✅ Compliant"),"✅ Full Compliance",IF(OR(C113="✅ Compliant",D113="✅ Compliant"),"⚠ Partial Compliance","❌ Non-Compliant"))))</f>
        <v/>
      </c>
      <c r="F113" s="20">
        <f>IF(A113="","",IF(AND(B113="Tier 1 - Critical",E113="❌ Non-Compliant"),"🔴 Critical",IF(B113="Tier 1 - Critical","🟡 High",IF(E113="❌ Non-Compliant","🟡 High",IF(E113="⚠ Partial Compliance","🟢 Medium","⚪ Low")))))</f>
        <v/>
      </c>
      <c r="G113" s="26">
        <f>IF(A113="","",IF(C113="❌ Non-Compliant",IF(D113="❌ Non-Compliant","Both RPO &amp; RTO gaps","RPO gap only"),IF(D113="❌ Non-Compliant","RTO gap only",IF(E113="❓ Unknown","Testing required","No gaps"))))</f>
        <v/>
      </c>
      <c r="H113" s="27" t="n"/>
    </row>
    <row r="114">
      <c r="A114" s="20">
        <f>System_Inventory!A114</f>
        <v/>
      </c>
      <c r="B114" s="20">
        <f>System_Inventory!C114</f>
        <v/>
      </c>
      <c r="C114" s="20">
        <f>IF(A114="","",IF(OR(System_Inventory!E114="",Capability_Assessment!E114=""),"❓ Unknown",IF(Capability_Assessment!E114&lt;=System_Inventory!E114,"✅ Compliant","❌ Non-Compliant")))</f>
        <v/>
      </c>
      <c r="D114" s="20">
        <f>IF(A114="","",IF(OR(System_Inventory!F114="",Capability_Assessment!F114=""),"❓ Unknown",IF(Capability_Assessment!F114&lt;=System_Inventory!F114,"✅ Compliant","❌ Non-Compliant")))</f>
        <v/>
      </c>
      <c r="E114" s="20">
        <f>IF(A114="","",IF(OR(C114="❓ Unknown",D114="❓ Unknown"),"❓ Unknown",IF(AND(C114="✅ Compliant",D114="✅ Compliant"),"✅ Full Compliance",IF(OR(C114="✅ Compliant",D114="✅ Compliant"),"⚠ Partial Compliance","❌ Non-Compliant"))))</f>
        <v/>
      </c>
      <c r="F114" s="20">
        <f>IF(A114="","",IF(AND(B114="Tier 1 - Critical",E114="❌ Non-Compliant"),"🔴 Critical",IF(B114="Tier 1 - Critical","🟡 High",IF(E114="❌ Non-Compliant","🟡 High",IF(E114="⚠ Partial Compliance","🟢 Medium","⚪ Low")))))</f>
        <v/>
      </c>
      <c r="G114" s="26">
        <f>IF(A114="","",IF(C114="❌ Non-Compliant",IF(D114="❌ Non-Compliant","Both RPO &amp; RTO gaps","RPO gap only"),IF(D114="❌ Non-Compliant","RTO gap only",IF(E114="❓ Unknown","Testing required","No gaps"))))</f>
        <v/>
      </c>
      <c r="H114" s="27" t="n"/>
    </row>
    <row r="117">
      <c r="A117" s="3" t="inlineStr">
        <is>
          <t>COMPLIANCE SUMMARY METRICS</t>
        </is>
      </c>
    </row>
    <row r="118">
      <c r="A118" s="6" t="inlineStr">
        <is>
          <t>Total Systems:</t>
        </is>
      </c>
      <c r="B118" s="6">
        <f>COUNTA(A5:A114)</f>
        <v/>
      </c>
    </row>
    <row r="119">
      <c r="A119" s="6" t="inlineStr">
        <is>
          <t>Full Compliance (✅):</t>
        </is>
      </c>
      <c r="B119" s="6">
        <f>COUNTIF(E5:E114,"✅*")</f>
        <v/>
      </c>
    </row>
    <row r="120">
      <c r="A120" s="6" t="inlineStr">
        <is>
          <t>Partial Compliance (⚠️):</t>
        </is>
      </c>
      <c r="B120" s="6">
        <f>COUNTIF(E5:E114,"⚠*")</f>
        <v/>
      </c>
    </row>
    <row r="121">
      <c r="A121" s="6" t="inlineStr">
        <is>
          <t>Non-Compliant (❌):</t>
        </is>
      </c>
      <c r="B121" s="6">
        <f>COUNTIF(E5:E114,"❌*")</f>
        <v/>
      </c>
    </row>
    <row r="122">
      <c r="A122" s="6" t="inlineStr">
        <is>
          <t>Unknown (❓):</t>
        </is>
      </c>
      <c r="B122" s="6">
        <f>COUNTIF(E5:E114,"❓*")</f>
        <v/>
      </c>
    </row>
    <row r="123">
      <c r="A123" s="6" t="inlineStr">
        <is>
          <t>Overall Compliance Rate:</t>
        </is>
      </c>
      <c r="B123" s="28">
        <f>IF(B118&gt;0,B119/B118,0)</f>
        <v/>
      </c>
    </row>
  </sheetData>
  <mergeCells count="3">
    <mergeCell ref="A117:H117"/>
    <mergeCell ref="A2:H2"/>
    <mergeCell ref="A1:H1"/>
  </mergeCells>
  <dataValidations coun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0"/>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8" customWidth="1" min="5" max="5"/>
    <col width="15" customWidth="1" min="6" max="6"/>
    <col width="40" customWidth="1" min="7" max="7"/>
    <col width="15" customWidth="1" min="8" max="8"/>
  </cols>
  <sheetData>
    <row r="1" ht="30" customHeight="1">
      <c r="A1" s="18" t="inlineStr">
        <is>
          <t>GAP ANALYSIS &amp; REMEDIATION TRACKING</t>
        </is>
      </c>
    </row>
    <row r="2">
      <c r="A2" s="3" t="inlineStr">
        <is>
          <t>Document identified gaps with risk scoring and remediation plans</t>
        </is>
      </c>
    </row>
    <row r="4">
      <c r="A4" s="19" t="inlineStr">
        <is>
          <t>Gap ID</t>
        </is>
      </c>
      <c r="B4" s="19" t="inlineStr">
        <is>
          <t>System</t>
        </is>
      </c>
      <c r="C4" s="19" t="inlineStr">
        <is>
          <t>Gap Type</t>
        </is>
      </c>
      <c r="D4" s="19" t="inlineStr">
        <is>
          <t>Gap Description</t>
        </is>
      </c>
      <c r="E4" s="19" t="inlineStr">
        <is>
          <t>Risk Score (1-10)</t>
        </is>
      </c>
      <c r="F4" s="19" t="inlineStr">
        <is>
          <t>Priority</t>
        </is>
      </c>
      <c r="G4" s="19" t="inlineStr">
        <is>
          <t>Remediation Plan</t>
        </is>
      </c>
      <c r="H4" s="19" t="inlineStr">
        <is>
          <t>Status</t>
        </is>
      </c>
    </row>
    <row r="5">
      <c r="A5" s="29" t="inlineStr">
        <is>
          <t>GAP-001</t>
        </is>
      </c>
      <c r="B5" s="21" t="n"/>
      <c r="C5" s="20" t="inlineStr">
        <is>
          <t>E-Commerce Website</t>
        </is>
      </c>
      <c r="D5" s="21" t="inlineStr">
        <is>
          <t>RTO Gap</t>
        </is>
      </c>
      <c r="E5" s="21" t="inlineStr">
        <is>
          <t>RTO requirement 2hr, current capability 4hr (restore time), missing redundancy</t>
        </is>
      </c>
      <c r="F5" s="20" t="n">
        <v>8</v>
      </c>
      <c r="G5" s="21" t="inlineStr">
        <is>
          <t>🟡 High</t>
        </is>
      </c>
      <c r="H5" s="21" t="inlineStr">
        <is>
          <t>Implement Active-Passive cluster to achieve &lt;2hr RTO via failover</t>
        </is>
      </c>
      <c r="I5" s="20" t="inlineStr">
        <is>
          <t>⏳ In Progress</t>
        </is>
      </c>
    </row>
    <row r="6">
      <c r="A6" s="29" t="inlineStr">
        <is>
          <t>GAP-002</t>
        </is>
      </c>
      <c r="B6" s="21" t="n"/>
      <c r="C6" s="20" t="inlineStr">
        <is>
          <t>Payment Gateway</t>
        </is>
      </c>
      <c r="D6" s="21" t="inlineStr">
        <is>
          <t>Testing Gap</t>
        </is>
      </c>
      <c r="E6" s="21" t="inlineStr">
        <is>
          <t>Failover capability exists but not tested in last 90 days, compliance unknown</t>
        </is>
      </c>
      <c r="F6" s="20" t="n">
        <v>9</v>
      </c>
      <c r="G6" s="21" t="inlineStr">
        <is>
          <t>🔴 Critical</t>
        </is>
      </c>
      <c r="H6" s="21" t="inlineStr">
        <is>
          <t>Schedule failover test within 30 days, document results</t>
        </is>
      </c>
      <c r="I6" s="20" t="inlineStr">
        <is>
          <t>🔴 Open</t>
        </is>
      </c>
    </row>
    <row r="7">
      <c r="A7" s="29" t="inlineStr">
        <is>
          <t>GAP-003</t>
        </is>
      </c>
      <c r="B7" s="21" t="n"/>
      <c r="C7" s="20" t="inlineStr">
        <is>
          <t>CRM System</t>
        </is>
      </c>
      <c r="D7" s="21" t="inlineStr">
        <is>
          <t>RTO Gap</t>
        </is>
      </c>
      <c r="E7" s="21" t="inlineStr">
        <is>
          <t>RTO requirement 6hr, current restore time 8hr, no failover capability</t>
        </is>
      </c>
      <c r="F7" s="20" t="n">
        <v>7</v>
      </c>
      <c r="G7" s="21" t="inlineStr">
        <is>
          <t>🟡 High</t>
        </is>
      </c>
      <c r="H7" s="21" t="inlineStr">
        <is>
          <t>Optimize restore procedures, implement parallel restore, target &lt;6hr</t>
        </is>
      </c>
      <c r="I7" s="20" t="inlineStr">
        <is>
          <t>⏳ In Progress</t>
        </is>
      </c>
    </row>
    <row r="8">
      <c r="A8" s="29" t="inlineStr">
        <is>
          <t>GAP-004</t>
        </is>
      </c>
      <c r="B8" s="21" t="n"/>
      <c r="C8" s="20" t="inlineStr">
        <is>
          <t>Email System</t>
        </is>
      </c>
      <c r="D8" s="21" t="inlineStr">
        <is>
          <t>RTO Gap</t>
        </is>
      </c>
      <c r="E8" s="21" t="inlineStr">
        <is>
          <t>RTO requirement 4hr, restore time 12hr, no redundancy</t>
        </is>
      </c>
      <c r="F8" s="20" t="n">
        <v>6</v>
      </c>
      <c r="G8" s="21" t="inlineStr">
        <is>
          <t>🟡 High</t>
        </is>
      </c>
      <c r="H8" s="21" t="inlineStr">
        <is>
          <t>Consider cloud email with built-in redundancy (Office 365, Gmail)</t>
        </is>
      </c>
      <c r="I8" s="20" t="inlineStr">
        <is>
          <t>🔴 Open</t>
        </is>
      </c>
    </row>
    <row r="9">
      <c r="A9" s="29" t="inlineStr">
        <is>
          <t>GAP-005</t>
        </is>
      </c>
      <c r="B9" s="21" t="n"/>
      <c r="C9" s="20" t="inlineStr">
        <is>
          <t>HR Information System</t>
        </is>
      </c>
      <c r="D9" s="21" t="inlineStr">
        <is>
          <t>Both RPO &amp; RTO</t>
        </is>
      </c>
      <c r="E9" s="21" t="inlineStr">
        <is>
          <t>RPO req 24hr, backup frequency 24hr (at limit), RTO req 24hr, restore time 20hr</t>
        </is>
      </c>
      <c r="F9" s="20" t="n">
        <v>5</v>
      </c>
      <c r="G9" s="21" t="inlineStr">
        <is>
          <t>🟢 Medium</t>
        </is>
      </c>
      <c r="H9" s="21" t="inlineStr">
        <is>
          <t>Monitor closely, acceptable but no margin for error</t>
        </is>
      </c>
      <c r="I9" s="20" t="inlineStr">
        <is>
          <t>➖ Risk Accepted</t>
        </is>
      </c>
    </row>
    <row r="10">
      <c r="A10" s="29" t="inlineStr">
        <is>
          <t>GAP-006</t>
        </is>
      </c>
      <c r="B10" s="21" t="n"/>
      <c r="C10" s="20" t="inlineStr">
        <is>
          <t>File Server</t>
        </is>
      </c>
      <c r="D10" s="21" t="inlineStr">
        <is>
          <t>RPO Gap</t>
        </is>
      </c>
      <c r="E10" s="21" t="inlineStr">
        <is>
          <t>RPO requirement 24hr, backup frequency 168hr (weekly)</t>
        </is>
      </c>
      <c r="F10" s="20" t="n">
        <v>4</v>
      </c>
      <c r="G10" s="21" t="inlineStr">
        <is>
          <t>🟢 Medium</t>
        </is>
      </c>
      <c r="H10" s="21" t="inlineStr">
        <is>
          <t>Increase backup frequency to daily (24hr) to meet RPO requirement</t>
        </is>
      </c>
      <c r="I10" s="20" t="inlineStr">
        <is>
          <t>✅ Closed</t>
        </is>
      </c>
    </row>
    <row r="11">
      <c r="A11" s="29" t="inlineStr">
        <is>
          <t>GAP-007</t>
        </is>
      </c>
      <c r="B11" s="21" t="n"/>
      <c r="C11" s="20" t="inlineStr">
        <is>
          <t>Document Repository</t>
        </is>
      </c>
      <c r="D11" s="21" t="inlineStr">
        <is>
          <t>Testing Gap</t>
        </is>
      </c>
      <c r="E11" s="21" t="inlineStr">
        <is>
          <t>Restore time not tested, compliance status unknown</t>
        </is>
      </c>
      <c r="F11" s="20" t="n">
        <v>3</v>
      </c>
      <c r="G11" s="21" t="inlineStr">
        <is>
          <t>🟢 Medium</t>
        </is>
      </c>
      <c r="H11" s="21" t="inlineStr">
        <is>
          <t>Schedule restore test, document actual restore time</t>
        </is>
      </c>
      <c r="I11" s="20" t="inlineStr">
        <is>
          <t>⏳ In Progress</t>
        </is>
      </c>
    </row>
    <row r="12">
      <c r="A12" s="29" t="inlineStr">
        <is>
          <t>GAP-008</t>
        </is>
      </c>
      <c r="B12" s="21" t="n"/>
      <c r="C12" s="20" t="inlineStr">
        <is>
          <t>Test Database</t>
        </is>
      </c>
      <c r="D12" s="21" t="inlineStr">
        <is>
          <t>Documentation Gap</t>
        </is>
      </c>
      <c r="E12" s="21" t="inlineStr">
        <is>
          <t>BIA not performed, RPO/RTO requirements undefined</t>
        </is>
      </c>
      <c r="F12" s="20" t="n">
        <v>2</v>
      </c>
      <c r="G12" s="21" t="inlineStr">
        <is>
          <t>⚪ Low</t>
        </is>
      </c>
      <c r="H12" s="21" t="inlineStr">
        <is>
          <t>Conduct BIA for dev/test systems, document acceptable recovery times</t>
        </is>
      </c>
      <c r="I12" s="20" t="inlineStr">
        <is>
          <t>🔴 Open</t>
        </is>
      </c>
    </row>
    <row r="13">
      <c r="A13" s="29" t="inlineStr">
        <is>
          <t>GAP-009</t>
        </is>
      </c>
      <c r="B13" s="21" t="n"/>
      <c r="C13" s="20" t="inlineStr">
        <is>
          <t>Payment Gateway</t>
        </is>
      </c>
      <c r="D13" s="21" t="inlineStr">
        <is>
          <t>RPO Gap</t>
        </is>
      </c>
      <c r="E13" s="21" t="inlineStr">
        <is>
          <t>RPO requirement 15min, backup frequency 15min (at limit, no margin)</t>
        </is>
      </c>
      <c r="F13" s="20" t="n">
        <v>8</v>
      </c>
      <c r="G13" s="21" t="inlineStr">
        <is>
          <t>🔴 Critical</t>
        </is>
      </c>
      <c r="H13" s="21" t="inlineStr">
        <is>
          <t>Implement continuous replication (synchronous) to eliminate RPO gap</t>
        </is>
      </c>
      <c r="I13" s="20" t="inlineStr">
        <is>
          <t>⏳ In Progress</t>
        </is>
      </c>
    </row>
    <row r="14">
      <c r="A14" s="29" t="inlineStr">
        <is>
          <t>GAP-010</t>
        </is>
      </c>
      <c r="B14" s="21" t="n"/>
      <c r="C14" s="20" t="inlineStr">
        <is>
          <t>Training System</t>
        </is>
      </c>
      <c r="D14" s="21" t="inlineStr">
        <is>
          <t>Both RPO &amp; RTO</t>
        </is>
      </c>
      <c r="E14" s="21" t="inlineStr">
        <is>
          <t>Requirements far exceed capabilities but Tier 4 (low priority), risk acceptable</t>
        </is>
      </c>
      <c r="F14" s="20" t="n">
        <v>1</v>
      </c>
      <c r="G14" s="21" t="inlineStr">
        <is>
          <t>⚪ Low</t>
        </is>
      </c>
      <c r="H14" s="21" t="inlineStr">
        <is>
          <t>No action required, business accepts risk for non-critical system</t>
        </is>
      </c>
      <c r="I14" s="20" t="inlineStr">
        <is>
          <t>➖ Risk Accepted</t>
        </is>
      </c>
    </row>
    <row r="15">
      <c r="A15" s="29" t="inlineStr">
        <is>
          <t>GAP-011</t>
        </is>
      </c>
      <c r="B15" s="30" t="n"/>
      <c r="C15" s="20" t="n"/>
      <c r="D15" s="30" t="n"/>
      <c r="E15" s="22" t="n"/>
      <c r="F15" s="20" t="n"/>
      <c r="G15" s="30" t="n"/>
      <c r="H15" s="20" t="n"/>
    </row>
    <row r="16">
      <c r="A16" s="29" t="inlineStr">
        <is>
          <t>GAP-012</t>
        </is>
      </c>
      <c r="B16" s="30" t="n"/>
      <c r="C16" s="20" t="n"/>
      <c r="D16" s="30" t="n"/>
      <c r="E16" s="22" t="n"/>
      <c r="F16" s="20" t="n"/>
      <c r="G16" s="30" t="n"/>
      <c r="H16" s="20" t="n"/>
    </row>
    <row r="17">
      <c r="A17" s="29" t="inlineStr">
        <is>
          <t>GAP-013</t>
        </is>
      </c>
      <c r="B17" s="30" t="n"/>
      <c r="C17" s="20" t="n"/>
      <c r="D17" s="30" t="n"/>
      <c r="E17" s="22" t="n"/>
      <c r="F17" s="20" t="n"/>
      <c r="G17" s="30" t="n"/>
      <c r="H17" s="20" t="n"/>
    </row>
    <row r="18">
      <c r="A18" s="29" t="inlineStr">
        <is>
          <t>GAP-014</t>
        </is>
      </c>
      <c r="B18" s="30" t="n"/>
      <c r="C18" s="20" t="n"/>
      <c r="D18" s="30" t="n"/>
      <c r="E18" s="22" t="n"/>
      <c r="F18" s="20" t="n"/>
      <c r="G18" s="30" t="n"/>
      <c r="H18" s="20" t="n"/>
    </row>
    <row r="19">
      <c r="A19" s="29" t="inlineStr">
        <is>
          <t>GAP-015</t>
        </is>
      </c>
      <c r="B19" s="30" t="n"/>
      <c r="C19" s="20" t="n"/>
      <c r="D19" s="30" t="n"/>
      <c r="E19" s="22" t="n"/>
      <c r="F19" s="20" t="n"/>
      <c r="G19" s="30" t="n"/>
      <c r="H19" s="20" t="n"/>
    </row>
    <row r="20">
      <c r="A20" s="29" t="inlineStr">
        <is>
          <t>GAP-016</t>
        </is>
      </c>
      <c r="B20" s="30" t="n"/>
      <c r="C20" s="20" t="n"/>
      <c r="D20" s="30" t="n"/>
      <c r="E20" s="22" t="n"/>
      <c r="F20" s="20" t="n"/>
      <c r="G20" s="30" t="n"/>
      <c r="H20" s="20" t="n"/>
    </row>
    <row r="21">
      <c r="A21" s="29" t="inlineStr">
        <is>
          <t>GAP-017</t>
        </is>
      </c>
      <c r="B21" s="30" t="n"/>
      <c r="C21" s="20" t="n"/>
      <c r="D21" s="30" t="n"/>
      <c r="E21" s="22" t="n"/>
      <c r="F21" s="20" t="n"/>
      <c r="G21" s="30" t="n"/>
      <c r="H21" s="20" t="n"/>
    </row>
    <row r="22">
      <c r="A22" s="29" t="inlineStr">
        <is>
          <t>GAP-018</t>
        </is>
      </c>
      <c r="B22" s="30" t="n"/>
      <c r="C22" s="20" t="n"/>
      <c r="D22" s="30" t="n"/>
      <c r="E22" s="22" t="n"/>
      <c r="F22" s="20" t="n"/>
      <c r="G22" s="30" t="n"/>
      <c r="H22" s="20" t="n"/>
    </row>
    <row r="23">
      <c r="A23" s="29" t="inlineStr">
        <is>
          <t>GAP-019</t>
        </is>
      </c>
      <c r="B23" s="30" t="n"/>
      <c r="C23" s="20" t="n"/>
      <c r="D23" s="30" t="n"/>
      <c r="E23" s="22" t="n"/>
      <c r="F23" s="20" t="n"/>
      <c r="G23" s="30" t="n"/>
      <c r="H23" s="20" t="n"/>
    </row>
    <row r="24">
      <c r="A24" s="29" t="inlineStr">
        <is>
          <t>GAP-020</t>
        </is>
      </c>
      <c r="B24" s="30" t="n"/>
      <c r="C24" s="20" t="n"/>
      <c r="D24" s="30" t="n"/>
      <c r="E24" s="22" t="n"/>
      <c r="F24" s="20" t="n"/>
      <c r="G24" s="30" t="n"/>
      <c r="H24" s="20" t="n"/>
    </row>
    <row r="25">
      <c r="A25" s="29" t="inlineStr">
        <is>
          <t>GAP-021</t>
        </is>
      </c>
      <c r="B25" s="30" t="n"/>
      <c r="C25" s="20" t="n"/>
      <c r="D25" s="30" t="n"/>
      <c r="E25" s="22" t="n"/>
      <c r="F25" s="20" t="n"/>
      <c r="G25" s="30" t="n"/>
      <c r="H25" s="20" t="n"/>
    </row>
    <row r="26">
      <c r="A26" s="29" t="inlineStr">
        <is>
          <t>GAP-022</t>
        </is>
      </c>
      <c r="B26" s="30" t="n"/>
      <c r="C26" s="20" t="n"/>
      <c r="D26" s="30" t="n"/>
      <c r="E26" s="22" t="n"/>
      <c r="F26" s="20" t="n"/>
      <c r="G26" s="30" t="n"/>
      <c r="H26" s="20" t="n"/>
    </row>
    <row r="27">
      <c r="A27" s="29" t="inlineStr">
        <is>
          <t>GAP-023</t>
        </is>
      </c>
      <c r="B27" s="30" t="n"/>
      <c r="C27" s="20" t="n"/>
      <c r="D27" s="30" t="n"/>
      <c r="E27" s="22" t="n"/>
      <c r="F27" s="20" t="n"/>
      <c r="G27" s="30" t="n"/>
      <c r="H27" s="20" t="n"/>
    </row>
    <row r="28">
      <c r="A28" s="29" t="inlineStr">
        <is>
          <t>GAP-024</t>
        </is>
      </c>
      <c r="B28" s="30" t="n"/>
      <c r="C28" s="20" t="n"/>
      <c r="D28" s="30" t="n"/>
      <c r="E28" s="22" t="n"/>
      <c r="F28" s="20" t="n"/>
      <c r="G28" s="30" t="n"/>
      <c r="H28" s="20" t="n"/>
    </row>
    <row r="29">
      <c r="A29" s="29" t="inlineStr">
        <is>
          <t>GAP-025</t>
        </is>
      </c>
      <c r="B29" s="30" t="n"/>
      <c r="C29" s="20" t="n"/>
      <c r="D29" s="30" t="n"/>
      <c r="E29" s="22" t="n"/>
      <c r="F29" s="20" t="n"/>
      <c r="G29" s="30" t="n"/>
      <c r="H29" s="20" t="n"/>
    </row>
    <row r="30">
      <c r="A30" s="29" t="inlineStr">
        <is>
          <t>GAP-026</t>
        </is>
      </c>
      <c r="B30" s="30" t="n"/>
      <c r="C30" s="20" t="n"/>
      <c r="D30" s="30" t="n"/>
      <c r="E30" s="22" t="n"/>
      <c r="F30" s="20" t="n"/>
      <c r="G30" s="30" t="n"/>
      <c r="H30" s="20" t="n"/>
    </row>
    <row r="31">
      <c r="A31" s="29" t="inlineStr">
        <is>
          <t>GAP-027</t>
        </is>
      </c>
      <c r="B31" s="30" t="n"/>
      <c r="C31" s="20" t="n"/>
      <c r="D31" s="30" t="n"/>
      <c r="E31" s="22" t="n"/>
      <c r="F31" s="20" t="n"/>
      <c r="G31" s="30" t="n"/>
      <c r="H31" s="20" t="n"/>
    </row>
    <row r="32">
      <c r="A32" s="29" t="inlineStr">
        <is>
          <t>GAP-028</t>
        </is>
      </c>
      <c r="B32" s="30" t="n"/>
      <c r="C32" s="20" t="n"/>
      <c r="D32" s="30" t="n"/>
      <c r="E32" s="22" t="n"/>
      <c r="F32" s="20" t="n"/>
      <c r="G32" s="30" t="n"/>
      <c r="H32" s="20" t="n"/>
    </row>
    <row r="33">
      <c r="A33" s="29" t="inlineStr">
        <is>
          <t>GAP-029</t>
        </is>
      </c>
      <c r="B33" s="30" t="n"/>
      <c r="C33" s="20" t="n"/>
      <c r="D33" s="30" t="n"/>
      <c r="E33" s="22" t="n"/>
      <c r="F33" s="20" t="n"/>
      <c r="G33" s="30" t="n"/>
      <c r="H33" s="20" t="n"/>
    </row>
    <row r="34">
      <c r="A34" s="29" t="inlineStr">
        <is>
          <t>GAP-030</t>
        </is>
      </c>
      <c r="B34" s="30" t="n"/>
      <c r="C34" s="20" t="n"/>
      <c r="D34" s="30" t="n"/>
      <c r="E34" s="22" t="n"/>
      <c r="F34" s="20" t="n"/>
      <c r="G34" s="30" t="n"/>
      <c r="H34" s="20" t="n"/>
    </row>
    <row r="35">
      <c r="A35" s="29" t="inlineStr">
        <is>
          <t>GAP-031</t>
        </is>
      </c>
      <c r="B35" s="30" t="n"/>
      <c r="C35" s="20" t="n"/>
      <c r="D35" s="30" t="n"/>
      <c r="E35" s="22" t="n"/>
      <c r="F35" s="20" t="n"/>
      <c r="G35" s="30" t="n"/>
      <c r="H35" s="20" t="n"/>
    </row>
    <row r="36">
      <c r="A36" s="29" t="inlineStr">
        <is>
          <t>GAP-032</t>
        </is>
      </c>
      <c r="B36" s="30" t="n"/>
      <c r="C36" s="20" t="n"/>
      <c r="D36" s="30" t="n"/>
      <c r="E36" s="22" t="n"/>
      <c r="F36" s="20" t="n"/>
      <c r="G36" s="30" t="n"/>
      <c r="H36" s="20" t="n"/>
    </row>
    <row r="37">
      <c r="A37" s="29" t="inlineStr">
        <is>
          <t>GAP-033</t>
        </is>
      </c>
      <c r="B37" s="30" t="n"/>
      <c r="C37" s="20" t="n"/>
      <c r="D37" s="30" t="n"/>
      <c r="E37" s="22" t="n"/>
      <c r="F37" s="20" t="n"/>
      <c r="G37" s="30" t="n"/>
      <c r="H37" s="20" t="n"/>
    </row>
    <row r="38">
      <c r="A38" s="29" t="inlineStr">
        <is>
          <t>GAP-034</t>
        </is>
      </c>
      <c r="B38" s="30" t="n"/>
      <c r="C38" s="20" t="n"/>
      <c r="D38" s="30" t="n"/>
      <c r="E38" s="22" t="n"/>
      <c r="F38" s="20" t="n"/>
      <c r="G38" s="30" t="n"/>
      <c r="H38" s="20" t="n"/>
    </row>
    <row r="39">
      <c r="A39" s="29" t="inlineStr">
        <is>
          <t>GAP-035</t>
        </is>
      </c>
      <c r="B39" s="30" t="n"/>
      <c r="C39" s="20" t="n"/>
      <c r="D39" s="30" t="n"/>
      <c r="E39" s="22" t="n"/>
      <c r="F39" s="20" t="n"/>
      <c r="G39" s="30" t="n"/>
      <c r="H39" s="20" t="n"/>
    </row>
    <row r="40">
      <c r="A40" s="29" t="inlineStr">
        <is>
          <t>GAP-036</t>
        </is>
      </c>
      <c r="B40" s="30" t="n"/>
      <c r="C40" s="20" t="n"/>
      <c r="D40" s="30" t="n"/>
      <c r="E40" s="22" t="n"/>
      <c r="F40" s="20" t="n"/>
      <c r="G40" s="30" t="n"/>
      <c r="H40" s="20" t="n"/>
    </row>
    <row r="41">
      <c r="A41" s="29" t="inlineStr">
        <is>
          <t>GAP-037</t>
        </is>
      </c>
      <c r="B41" s="30" t="n"/>
      <c r="C41" s="20" t="n"/>
      <c r="D41" s="30" t="n"/>
      <c r="E41" s="22" t="n"/>
      <c r="F41" s="20" t="n"/>
      <c r="G41" s="30" t="n"/>
      <c r="H41" s="20" t="n"/>
    </row>
    <row r="42">
      <c r="A42" s="29" t="inlineStr">
        <is>
          <t>GAP-038</t>
        </is>
      </c>
      <c r="B42" s="30" t="n"/>
      <c r="C42" s="20" t="n"/>
      <c r="D42" s="30" t="n"/>
      <c r="E42" s="22" t="n"/>
      <c r="F42" s="20" t="n"/>
      <c r="G42" s="30" t="n"/>
      <c r="H42" s="20" t="n"/>
    </row>
    <row r="43">
      <c r="A43" s="29" t="inlineStr">
        <is>
          <t>GAP-039</t>
        </is>
      </c>
      <c r="B43" s="30" t="n"/>
      <c r="C43" s="20" t="n"/>
      <c r="D43" s="30" t="n"/>
      <c r="E43" s="22" t="n"/>
      <c r="F43" s="20" t="n"/>
      <c r="G43" s="30" t="n"/>
      <c r="H43" s="20" t="n"/>
    </row>
    <row r="44">
      <c r="A44" s="29" t="inlineStr">
        <is>
          <t>GAP-040</t>
        </is>
      </c>
      <c r="B44" s="30" t="n"/>
      <c r="C44" s="20" t="n"/>
      <c r="D44" s="30" t="n"/>
      <c r="E44" s="22" t="n"/>
      <c r="F44" s="20" t="n"/>
      <c r="G44" s="30" t="n"/>
      <c r="H44" s="20" t="n"/>
    </row>
    <row r="45">
      <c r="A45" s="29" t="inlineStr">
        <is>
          <t>GAP-041</t>
        </is>
      </c>
      <c r="B45" s="30" t="n"/>
      <c r="C45" s="20" t="n"/>
      <c r="D45" s="30" t="n"/>
      <c r="E45" s="22" t="n"/>
      <c r="F45" s="20" t="n"/>
      <c r="G45" s="30" t="n"/>
      <c r="H45" s="20" t="n"/>
    </row>
    <row r="46">
      <c r="A46" s="29" t="inlineStr">
        <is>
          <t>GAP-042</t>
        </is>
      </c>
      <c r="B46" s="30" t="n"/>
      <c r="C46" s="20" t="n"/>
      <c r="D46" s="30" t="n"/>
      <c r="E46" s="22" t="n"/>
      <c r="F46" s="20" t="n"/>
      <c r="G46" s="30" t="n"/>
      <c r="H46" s="20" t="n"/>
    </row>
    <row r="47">
      <c r="A47" s="29" t="inlineStr">
        <is>
          <t>GAP-043</t>
        </is>
      </c>
      <c r="B47" s="30" t="n"/>
      <c r="C47" s="20" t="n"/>
      <c r="D47" s="30" t="n"/>
      <c r="E47" s="22" t="n"/>
      <c r="F47" s="20" t="n"/>
      <c r="G47" s="30" t="n"/>
      <c r="H47" s="20" t="n"/>
    </row>
    <row r="48">
      <c r="A48" s="29" t="inlineStr">
        <is>
          <t>GAP-044</t>
        </is>
      </c>
      <c r="B48" s="30" t="n"/>
      <c r="C48" s="20" t="n"/>
      <c r="D48" s="30" t="n"/>
      <c r="E48" s="22" t="n"/>
      <c r="F48" s="20" t="n"/>
      <c r="G48" s="30" t="n"/>
      <c r="H48" s="20" t="n"/>
    </row>
    <row r="49">
      <c r="A49" s="29" t="inlineStr">
        <is>
          <t>GAP-045</t>
        </is>
      </c>
      <c r="B49" s="30" t="n"/>
      <c r="C49" s="20" t="n"/>
      <c r="D49" s="30" t="n"/>
      <c r="E49" s="22" t="n"/>
      <c r="F49" s="20" t="n"/>
      <c r="G49" s="30" t="n"/>
      <c r="H49" s="20" t="n"/>
    </row>
    <row r="50">
      <c r="A50" s="29" t="inlineStr">
        <is>
          <t>GAP-046</t>
        </is>
      </c>
      <c r="B50" s="30" t="n"/>
      <c r="C50" s="20" t="n"/>
      <c r="D50" s="30" t="n"/>
      <c r="E50" s="22" t="n"/>
      <c r="F50" s="20" t="n"/>
      <c r="G50" s="30" t="n"/>
      <c r="H50" s="20" t="n"/>
    </row>
    <row r="51">
      <c r="A51" s="29" t="inlineStr">
        <is>
          <t>GAP-047</t>
        </is>
      </c>
      <c r="B51" s="30" t="n"/>
      <c r="C51" s="20" t="n"/>
      <c r="D51" s="30" t="n"/>
      <c r="E51" s="22" t="n"/>
      <c r="F51" s="20" t="n"/>
      <c r="G51" s="30" t="n"/>
      <c r="H51" s="20" t="n"/>
    </row>
    <row r="52">
      <c r="A52" s="29" t="inlineStr">
        <is>
          <t>GAP-048</t>
        </is>
      </c>
      <c r="B52" s="30" t="n"/>
      <c r="C52" s="20" t="n"/>
      <c r="D52" s="30" t="n"/>
      <c r="E52" s="22" t="n"/>
      <c r="F52" s="20" t="n"/>
      <c r="G52" s="30" t="n"/>
      <c r="H52" s="20" t="n"/>
    </row>
    <row r="53">
      <c r="A53" s="29" t="inlineStr">
        <is>
          <t>GAP-049</t>
        </is>
      </c>
      <c r="B53" s="30" t="n"/>
      <c r="C53" s="20" t="n"/>
      <c r="D53" s="30" t="n"/>
      <c r="E53" s="22" t="n"/>
      <c r="F53" s="20" t="n"/>
      <c r="G53" s="30" t="n"/>
      <c r="H53" s="20" t="n"/>
    </row>
    <row r="54">
      <c r="A54" s="29" t="inlineStr">
        <is>
          <t>GAP-050</t>
        </is>
      </c>
      <c r="B54" s="30" t="n"/>
      <c r="C54" s="20" t="n"/>
      <c r="D54" s="30" t="n"/>
      <c r="E54" s="22" t="n"/>
      <c r="F54" s="20" t="n"/>
      <c r="G54" s="30" t="n"/>
      <c r="H54" s="20" t="n"/>
    </row>
    <row r="55">
      <c r="A55" s="29" t="inlineStr">
        <is>
          <t>GAP-051</t>
        </is>
      </c>
      <c r="B55" s="30" t="n"/>
      <c r="C55" s="20" t="n"/>
      <c r="D55" s="30" t="n"/>
      <c r="E55" s="22" t="n"/>
      <c r="F55" s="20" t="n"/>
      <c r="G55" s="30" t="n"/>
      <c r="H55" s="20" t="n"/>
    </row>
    <row r="56">
      <c r="A56" s="29" t="inlineStr">
        <is>
          <t>GAP-052</t>
        </is>
      </c>
      <c r="B56" s="30" t="n"/>
      <c r="C56" s="20" t="n"/>
      <c r="D56" s="30" t="n"/>
      <c r="E56" s="22" t="n"/>
      <c r="F56" s="20" t="n"/>
      <c r="G56" s="30" t="n"/>
      <c r="H56" s="20" t="n"/>
    </row>
    <row r="57">
      <c r="A57" s="29" t="inlineStr">
        <is>
          <t>GAP-053</t>
        </is>
      </c>
      <c r="B57" s="30" t="n"/>
      <c r="C57" s="20" t="n"/>
      <c r="D57" s="30" t="n"/>
      <c r="E57" s="22" t="n"/>
      <c r="F57" s="20" t="n"/>
      <c r="G57" s="30" t="n"/>
      <c r="H57" s="20" t="n"/>
    </row>
    <row r="58">
      <c r="A58" s="29" t="inlineStr">
        <is>
          <t>GAP-054</t>
        </is>
      </c>
      <c r="B58" s="30" t="n"/>
      <c r="C58" s="20" t="n"/>
      <c r="D58" s="30" t="n"/>
      <c r="E58" s="22" t="n"/>
      <c r="F58" s="20" t="n"/>
      <c r="G58" s="30" t="n"/>
      <c r="H58" s="20" t="n"/>
    </row>
    <row r="59">
      <c r="A59" s="29" t="inlineStr">
        <is>
          <t>GAP-055</t>
        </is>
      </c>
      <c r="B59" s="30" t="n"/>
      <c r="C59" s="20" t="n"/>
      <c r="D59" s="30" t="n"/>
      <c r="E59" s="22" t="n"/>
      <c r="F59" s="20" t="n"/>
      <c r="G59" s="30" t="n"/>
      <c r="H59" s="20" t="n"/>
    </row>
    <row r="60">
      <c r="A60" s="29" t="inlineStr">
        <is>
          <t>GAP-056</t>
        </is>
      </c>
      <c r="B60" s="30" t="n"/>
      <c r="C60" s="20" t="n"/>
      <c r="D60" s="30" t="n"/>
      <c r="E60" s="22" t="n"/>
      <c r="F60" s="20" t="n"/>
      <c r="G60" s="30" t="n"/>
      <c r="H60" s="20" t="n"/>
    </row>
    <row r="61">
      <c r="A61" s="29" t="inlineStr">
        <is>
          <t>GAP-057</t>
        </is>
      </c>
      <c r="B61" s="30" t="n"/>
      <c r="C61" s="20" t="n"/>
      <c r="D61" s="30" t="n"/>
      <c r="E61" s="22" t="n"/>
      <c r="F61" s="20" t="n"/>
      <c r="G61" s="30" t="n"/>
      <c r="H61" s="20" t="n"/>
    </row>
    <row r="62">
      <c r="A62" s="29" t="inlineStr">
        <is>
          <t>GAP-058</t>
        </is>
      </c>
      <c r="B62" s="30" t="n"/>
      <c r="C62" s="20" t="n"/>
      <c r="D62" s="30" t="n"/>
      <c r="E62" s="22" t="n"/>
      <c r="F62" s="20" t="n"/>
      <c r="G62" s="30" t="n"/>
      <c r="H62" s="20" t="n"/>
    </row>
    <row r="63">
      <c r="A63" s="29" t="inlineStr">
        <is>
          <t>GAP-059</t>
        </is>
      </c>
      <c r="B63" s="30" t="n"/>
      <c r="C63" s="20" t="n"/>
      <c r="D63" s="30" t="n"/>
      <c r="E63" s="22" t="n"/>
      <c r="F63" s="20" t="n"/>
      <c r="G63" s="30" t="n"/>
      <c r="H63" s="20" t="n"/>
    </row>
    <row r="64">
      <c r="A64" s="29" t="inlineStr">
        <is>
          <t>GAP-060</t>
        </is>
      </c>
      <c r="B64" s="30" t="n"/>
      <c r="C64" s="20" t="n"/>
      <c r="D64" s="30" t="n"/>
      <c r="E64" s="22" t="n"/>
      <c r="F64" s="20" t="n"/>
      <c r="G64" s="30" t="n"/>
      <c r="H64" s="20" t="n"/>
    </row>
    <row r="65">
      <c r="A65" s="29" t="inlineStr">
        <is>
          <t>GAP-061</t>
        </is>
      </c>
      <c r="B65" s="30" t="n"/>
      <c r="C65" s="20" t="n"/>
      <c r="D65" s="30" t="n"/>
      <c r="E65" s="22" t="n"/>
      <c r="F65" s="20" t="n"/>
      <c r="G65" s="30" t="n"/>
      <c r="H65" s="20" t="n"/>
    </row>
    <row r="66">
      <c r="A66" s="29" t="inlineStr">
        <is>
          <t>GAP-062</t>
        </is>
      </c>
      <c r="B66" s="30" t="n"/>
      <c r="C66" s="20" t="n"/>
      <c r="D66" s="30" t="n"/>
      <c r="E66" s="22" t="n"/>
      <c r="F66" s="20" t="n"/>
      <c r="G66" s="30" t="n"/>
      <c r="H66" s="20" t="n"/>
    </row>
    <row r="67">
      <c r="A67" s="29" t="inlineStr">
        <is>
          <t>GAP-063</t>
        </is>
      </c>
      <c r="B67" s="30" t="n"/>
      <c r="C67" s="20" t="n"/>
      <c r="D67" s="30" t="n"/>
      <c r="E67" s="22" t="n"/>
      <c r="F67" s="20" t="n"/>
      <c r="G67" s="30" t="n"/>
      <c r="H67" s="20" t="n"/>
    </row>
    <row r="68">
      <c r="A68" s="29" t="inlineStr">
        <is>
          <t>GAP-064</t>
        </is>
      </c>
      <c r="B68" s="30" t="n"/>
      <c r="C68" s="20" t="n"/>
      <c r="D68" s="30" t="n"/>
      <c r="E68" s="22" t="n"/>
      <c r="F68" s="20" t="n"/>
      <c r="G68" s="30" t="n"/>
      <c r="H68" s="20" t="n"/>
    </row>
    <row r="69">
      <c r="A69" s="29" t="inlineStr">
        <is>
          <t>GAP-065</t>
        </is>
      </c>
      <c r="B69" s="30" t="n"/>
      <c r="C69" s="20" t="n"/>
      <c r="D69" s="30" t="n"/>
      <c r="E69" s="22" t="n"/>
      <c r="F69" s="20" t="n"/>
      <c r="G69" s="30" t="n"/>
      <c r="H69" s="20" t="n"/>
    </row>
    <row r="70">
      <c r="A70" s="29" t="inlineStr">
        <is>
          <t>GAP-066</t>
        </is>
      </c>
      <c r="B70" s="30" t="n"/>
      <c r="C70" s="20" t="n"/>
      <c r="D70" s="30" t="n"/>
      <c r="E70" s="22" t="n"/>
      <c r="F70" s="20" t="n"/>
      <c r="G70" s="30" t="n"/>
      <c r="H70" s="20" t="n"/>
    </row>
    <row r="71">
      <c r="A71" s="29" t="inlineStr">
        <is>
          <t>GAP-067</t>
        </is>
      </c>
      <c r="B71" s="30" t="n"/>
      <c r="C71" s="20" t="n"/>
      <c r="D71" s="30" t="n"/>
      <c r="E71" s="22" t="n"/>
      <c r="F71" s="20" t="n"/>
      <c r="G71" s="30" t="n"/>
      <c r="H71" s="20" t="n"/>
    </row>
    <row r="72">
      <c r="A72" s="29" t="inlineStr">
        <is>
          <t>GAP-068</t>
        </is>
      </c>
      <c r="B72" s="30" t="n"/>
      <c r="C72" s="20" t="n"/>
      <c r="D72" s="30" t="n"/>
      <c r="E72" s="22" t="n"/>
      <c r="F72" s="20" t="n"/>
      <c r="G72" s="30" t="n"/>
      <c r="H72" s="20" t="n"/>
    </row>
    <row r="73">
      <c r="A73" s="29" t="inlineStr">
        <is>
          <t>GAP-069</t>
        </is>
      </c>
      <c r="B73" s="30" t="n"/>
      <c r="C73" s="20" t="n"/>
      <c r="D73" s="30" t="n"/>
      <c r="E73" s="22" t="n"/>
      <c r="F73" s="20" t="n"/>
      <c r="G73" s="30" t="n"/>
      <c r="H73" s="20" t="n"/>
    </row>
    <row r="74">
      <c r="A74" s="29" t="inlineStr">
        <is>
          <t>GAP-070</t>
        </is>
      </c>
      <c r="B74" s="30" t="n"/>
      <c r="C74" s="20" t="n"/>
      <c r="D74" s="30" t="n"/>
      <c r="E74" s="22" t="n"/>
      <c r="F74" s="20" t="n"/>
      <c r="G74" s="30" t="n"/>
      <c r="H74" s="20" t="n"/>
    </row>
    <row r="75">
      <c r="A75" s="29" t="inlineStr">
        <is>
          <t>GAP-071</t>
        </is>
      </c>
      <c r="B75" s="30" t="n"/>
      <c r="C75" s="20" t="n"/>
      <c r="D75" s="30" t="n"/>
      <c r="E75" s="22" t="n"/>
      <c r="F75" s="20" t="n"/>
      <c r="G75" s="30" t="n"/>
      <c r="H75" s="20" t="n"/>
    </row>
    <row r="76">
      <c r="A76" s="29" t="inlineStr">
        <is>
          <t>GAP-072</t>
        </is>
      </c>
      <c r="B76" s="30" t="n"/>
      <c r="C76" s="20" t="n"/>
      <c r="D76" s="30" t="n"/>
      <c r="E76" s="22" t="n"/>
      <c r="F76" s="20" t="n"/>
      <c r="G76" s="30" t="n"/>
      <c r="H76" s="20" t="n"/>
    </row>
    <row r="77">
      <c r="A77" s="29" t="inlineStr">
        <is>
          <t>GAP-073</t>
        </is>
      </c>
      <c r="B77" s="30" t="n"/>
      <c r="C77" s="20" t="n"/>
      <c r="D77" s="30" t="n"/>
      <c r="E77" s="22" t="n"/>
      <c r="F77" s="20" t="n"/>
      <c r="G77" s="30" t="n"/>
      <c r="H77" s="20" t="n"/>
    </row>
    <row r="78">
      <c r="A78" s="29" t="inlineStr">
        <is>
          <t>GAP-074</t>
        </is>
      </c>
      <c r="B78" s="30" t="n"/>
      <c r="C78" s="20" t="n"/>
      <c r="D78" s="30" t="n"/>
      <c r="E78" s="22" t="n"/>
      <c r="F78" s="20" t="n"/>
      <c r="G78" s="30" t="n"/>
      <c r="H78" s="20" t="n"/>
    </row>
    <row r="79">
      <c r="A79" s="29" t="inlineStr">
        <is>
          <t>GAP-075</t>
        </is>
      </c>
      <c r="B79" s="30" t="n"/>
      <c r="C79" s="20" t="n"/>
      <c r="D79" s="30" t="n"/>
      <c r="E79" s="22" t="n"/>
      <c r="F79" s="20" t="n"/>
      <c r="G79" s="30" t="n"/>
      <c r="H79" s="20" t="n"/>
    </row>
    <row r="80">
      <c r="A80" s="29" t="inlineStr">
        <is>
          <t>GAP-076</t>
        </is>
      </c>
      <c r="B80" s="30" t="n"/>
      <c r="C80" s="20" t="n"/>
      <c r="D80" s="30" t="n"/>
      <c r="E80" s="22" t="n"/>
      <c r="F80" s="20" t="n"/>
      <c r="G80" s="30" t="n"/>
      <c r="H80" s="20" t="n"/>
    </row>
    <row r="81">
      <c r="A81" s="29" t="inlineStr">
        <is>
          <t>GAP-077</t>
        </is>
      </c>
      <c r="B81" s="30" t="n"/>
      <c r="C81" s="20" t="n"/>
      <c r="D81" s="30" t="n"/>
      <c r="E81" s="22" t="n"/>
      <c r="F81" s="20" t="n"/>
      <c r="G81" s="30" t="n"/>
      <c r="H81" s="20" t="n"/>
    </row>
    <row r="82">
      <c r="A82" s="29" t="inlineStr">
        <is>
          <t>GAP-078</t>
        </is>
      </c>
      <c r="B82" s="30" t="n"/>
      <c r="C82" s="20" t="n"/>
      <c r="D82" s="30" t="n"/>
      <c r="E82" s="22" t="n"/>
      <c r="F82" s="20" t="n"/>
      <c r="G82" s="30" t="n"/>
      <c r="H82" s="20" t="n"/>
    </row>
    <row r="83">
      <c r="A83" s="29" t="inlineStr">
        <is>
          <t>GAP-079</t>
        </is>
      </c>
      <c r="B83" s="30" t="n"/>
      <c r="C83" s="20" t="n"/>
      <c r="D83" s="30" t="n"/>
      <c r="E83" s="22" t="n"/>
      <c r="F83" s="20" t="n"/>
      <c r="G83" s="30" t="n"/>
      <c r="H83" s="20" t="n"/>
    </row>
    <row r="84">
      <c r="A84" s="29" t="inlineStr">
        <is>
          <t>GAP-080</t>
        </is>
      </c>
      <c r="B84" s="30" t="n"/>
      <c r="C84" s="20" t="n"/>
      <c r="D84" s="30" t="n"/>
      <c r="E84" s="22" t="n"/>
      <c r="F84" s="20" t="n"/>
      <c r="G84" s="30" t="n"/>
      <c r="H84" s="20" t="n"/>
    </row>
    <row r="85">
      <c r="A85" s="29" t="inlineStr">
        <is>
          <t>GAP-081</t>
        </is>
      </c>
      <c r="B85" s="30" t="n"/>
      <c r="C85" s="20" t="n"/>
      <c r="D85" s="30" t="n"/>
      <c r="E85" s="22" t="n"/>
      <c r="F85" s="20" t="n"/>
      <c r="G85" s="30" t="n"/>
      <c r="H85" s="20" t="n"/>
    </row>
    <row r="86">
      <c r="A86" s="29" t="inlineStr">
        <is>
          <t>GAP-082</t>
        </is>
      </c>
      <c r="B86" s="30" t="n"/>
      <c r="C86" s="20" t="n"/>
      <c r="D86" s="30" t="n"/>
      <c r="E86" s="22" t="n"/>
      <c r="F86" s="20" t="n"/>
      <c r="G86" s="30" t="n"/>
      <c r="H86" s="20" t="n"/>
    </row>
    <row r="87">
      <c r="A87" s="29" t="inlineStr">
        <is>
          <t>GAP-083</t>
        </is>
      </c>
      <c r="B87" s="30" t="n"/>
      <c r="C87" s="20" t="n"/>
      <c r="D87" s="30" t="n"/>
      <c r="E87" s="22" t="n"/>
      <c r="F87" s="20" t="n"/>
      <c r="G87" s="30" t="n"/>
      <c r="H87" s="20" t="n"/>
    </row>
    <row r="88">
      <c r="A88" s="29" t="inlineStr">
        <is>
          <t>GAP-084</t>
        </is>
      </c>
      <c r="B88" s="30" t="n"/>
      <c r="C88" s="20" t="n"/>
      <c r="D88" s="30" t="n"/>
      <c r="E88" s="22" t="n"/>
      <c r="F88" s="20" t="n"/>
      <c r="G88" s="30" t="n"/>
      <c r="H88" s="20" t="n"/>
    </row>
    <row r="89">
      <c r="A89" s="29" t="inlineStr">
        <is>
          <t>GAP-085</t>
        </is>
      </c>
      <c r="B89" s="30" t="n"/>
      <c r="C89" s="20" t="n"/>
      <c r="D89" s="30" t="n"/>
      <c r="E89" s="22" t="n"/>
      <c r="F89" s="20" t="n"/>
      <c r="G89" s="30" t="n"/>
      <c r="H89" s="20" t="n"/>
    </row>
    <row r="90">
      <c r="A90" s="29" t="inlineStr">
        <is>
          <t>GAP-086</t>
        </is>
      </c>
      <c r="B90" s="30" t="n"/>
      <c r="C90" s="20" t="n"/>
      <c r="D90" s="30" t="n"/>
      <c r="E90" s="22" t="n"/>
      <c r="F90" s="20" t="n"/>
      <c r="G90" s="30" t="n"/>
      <c r="H90" s="20" t="n"/>
    </row>
    <row r="91">
      <c r="A91" s="29" t="inlineStr">
        <is>
          <t>GAP-087</t>
        </is>
      </c>
      <c r="B91" s="30" t="n"/>
      <c r="C91" s="20" t="n"/>
      <c r="D91" s="30" t="n"/>
      <c r="E91" s="22" t="n"/>
      <c r="F91" s="20" t="n"/>
      <c r="G91" s="30" t="n"/>
      <c r="H91" s="20" t="n"/>
    </row>
    <row r="92">
      <c r="A92" s="29" t="inlineStr">
        <is>
          <t>GAP-088</t>
        </is>
      </c>
      <c r="B92" s="30" t="n"/>
      <c r="C92" s="20" t="n"/>
      <c r="D92" s="30" t="n"/>
      <c r="E92" s="22" t="n"/>
      <c r="F92" s="20" t="n"/>
      <c r="G92" s="30" t="n"/>
      <c r="H92" s="20" t="n"/>
    </row>
    <row r="93">
      <c r="A93" s="29" t="inlineStr">
        <is>
          <t>GAP-089</t>
        </is>
      </c>
      <c r="B93" s="30" t="n"/>
      <c r="C93" s="20" t="n"/>
      <c r="D93" s="30" t="n"/>
      <c r="E93" s="22" t="n"/>
      <c r="F93" s="20" t="n"/>
      <c r="G93" s="30" t="n"/>
      <c r="H93" s="20" t="n"/>
    </row>
    <row r="94">
      <c r="A94" s="29" t="inlineStr">
        <is>
          <t>GAP-090</t>
        </is>
      </c>
      <c r="B94" s="30" t="n"/>
      <c r="C94" s="20" t="n"/>
      <c r="D94" s="30" t="n"/>
      <c r="E94" s="22" t="n"/>
      <c r="F94" s="20" t="n"/>
      <c r="G94" s="30" t="n"/>
      <c r="H94" s="20" t="n"/>
    </row>
    <row r="95">
      <c r="A95" s="29" t="inlineStr">
        <is>
          <t>GAP-091</t>
        </is>
      </c>
      <c r="B95" s="30" t="n"/>
      <c r="C95" s="20" t="n"/>
      <c r="D95" s="30" t="n"/>
      <c r="E95" s="22" t="n"/>
      <c r="F95" s="20" t="n"/>
      <c r="G95" s="30" t="n"/>
      <c r="H95" s="20" t="n"/>
    </row>
    <row r="96">
      <c r="A96" s="29" t="inlineStr">
        <is>
          <t>GAP-092</t>
        </is>
      </c>
      <c r="B96" s="30" t="n"/>
      <c r="C96" s="20" t="n"/>
      <c r="D96" s="30" t="n"/>
      <c r="E96" s="22" t="n"/>
      <c r="F96" s="20" t="n"/>
      <c r="G96" s="30" t="n"/>
      <c r="H96" s="20" t="n"/>
    </row>
    <row r="97">
      <c r="A97" s="29" t="inlineStr">
        <is>
          <t>GAP-093</t>
        </is>
      </c>
      <c r="B97" s="30" t="n"/>
      <c r="C97" s="20" t="n"/>
      <c r="D97" s="30" t="n"/>
      <c r="E97" s="22" t="n"/>
      <c r="F97" s="20" t="n"/>
      <c r="G97" s="30" t="n"/>
      <c r="H97" s="20" t="n"/>
    </row>
    <row r="98">
      <c r="A98" s="29" t="inlineStr">
        <is>
          <t>GAP-094</t>
        </is>
      </c>
      <c r="B98" s="30" t="n"/>
      <c r="C98" s="20" t="n"/>
      <c r="D98" s="30" t="n"/>
      <c r="E98" s="22" t="n"/>
      <c r="F98" s="20" t="n"/>
      <c r="G98" s="30" t="n"/>
      <c r="H98" s="20" t="n"/>
    </row>
    <row r="99">
      <c r="A99" s="29" t="inlineStr">
        <is>
          <t>GAP-095</t>
        </is>
      </c>
      <c r="B99" s="30" t="n"/>
      <c r="C99" s="20" t="n"/>
      <c r="D99" s="30" t="n"/>
      <c r="E99" s="22" t="n"/>
      <c r="F99" s="20" t="n"/>
      <c r="G99" s="30" t="n"/>
      <c r="H99" s="20" t="n"/>
    </row>
    <row r="100">
      <c r="A100" s="29" t="inlineStr">
        <is>
          <t>GAP-096</t>
        </is>
      </c>
      <c r="B100" s="30" t="n"/>
      <c r="C100" s="20" t="n"/>
      <c r="D100" s="30" t="n"/>
      <c r="E100" s="22" t="n"/>
      <c r="F100" s="20" t="n"/>
      <c r="G100" s="30" t="n"/>
      <c r="H100" s="20" t="n"/>
    </row>
    <row r="101">
      <c r="A101" s="29" t="inlineStr">
        <is>
          <t>GAP-097</t>
        </is>
      </c>
      <c r="B101" s="30" t="n"/>
      <c r="C101" s="20" t="n"/>
      <c r="D101" s="30" t="n"/>
      <c r="E101" s="22" t="n"/>
      <c r="F101" s="20" t="n"/>
      <c r="G101" s="30" t="n"/>
      <c r="H101" s="20" t="n"/>
    </row>
    <row r="102">
      <c r="A102" s="29" t="inlineStr">
        <is>
          <t>GAP-098</t>
        </is>
      </c>
      <c r="B102" s="30" t="n"/>
      <c r="C102" s="20" t="n"/>
      <c r="D102" s="30" t="n"/>
      <c r="E102" s="22" t="n"/>
      <c r="F102" s="20" t="n"/>
      <c r="G102" s="30" t="n"/>
      <c r="H102" s="20" t="n"/>
    </row>
    <row r="103">
      <c r="A103" s="29" t="inlineStr">
        <is>
          <t>GAP-099</t>
        </is>
      </c>
      <c r="B103" s="30" t="n"/>
      <c r="C103" s="20" t="n"/>
      <c r="D103" s="30" t="n"/>
      <c r="E103" s="22" t="n"/>
      <c r="F103" s="20" t="n"/>
      <c r="G103" s="30" t="n"/>
      <c r="H103" s="20" t="n"/>
    </row>
    <row r="104">
      <c r="A104" s="29" t="inlineStr">
        <is>
          <t>GAP-100</t>
        </is>
      </c>
      <c r="B104" s="30" t="n"/>
      <c r="C104" s="20" t="n"/>
      <c r="D104" s="30" t="n"/>
      <c r="E104" s="22" t="n"/>
      <c r="F104" s="20" t="n"/>
      <c r="G104" s="30" t="n"/>
      <c r="H104" s="20" t="n"/>
    </row>
    <row r="105">
      <c r="A105" s="29" t="inlineStr">
        <is>
          <t>GAP-101</t>
        </is>
      </c>
      <c r="B105" s="30" t="n"/>
      <c r="C105" s="20" t="n"/>
      <c r="D105" s="30" t="n"/>
      <c r="E105" s="22" t="n"/>
      <c r="F105" s="20" t="n"/>
      <c r="G105" s="30" t="n"/>
      <c r="H105" s="20" t="n"/>
    </row>
    <row r="106">
      <c r="A106" s="29" t="inlineStr">
        <is>
          <t>GAP-102</t>
        </is>
      </c>
      <c r="B106" s="30" t="n"/>
      <c r="C106" s="20" t="n"/>
      <c r="D106" s="30" t="n"/>
      <c r="E106" s="22" t="n"/>
      <c r="F106" s="20" t="n"/>
      <c r="G106" s="30" t="n"/>
      <c r="H106" s="20" t="n"/>
    </row>
    <row r="107">
      <c r="A107" s="29" t="inlineStr">
        <is>
          <t>GAP-103</t>
        </is>
      </c>
      <c r="B107" s="30" t="n"/>
      <c r="C107" s="20" t="n"/>
      <c r="D107" s="30" t="n"/>
      <c r="E107" s="22" t="n"/>
      <c r="F107" s="20" t="n"/>
      <c r="G107" s="30" t="n"/>
      <c r="H107" s="20" t="n"/>
    </row>
    <row r="108">
      <c r="A108" s="29" t="inlineStr">
        <is>
          <t>GAP-104</t>
        </is>
      </c>
      <c r="B108" s="30" t="n"/>
      <c r="C108" s="20" t="n"/>
      <c r="D108" s="30" t="n"/>
      <c r="E108" s="22" t="n"/>
      <c r="F108" s="20" t="n"/>
      <c r="G108" s="30" t="n"/>
      <c r="H108" s="20" t="n"/>
    </row>
    <row r="109">
      <c r="A109" s="29" t="inlineStr">
        <is>
          <t>GAP-105</t>
        </is>
      </c>
      <c r="B109" s="30" t="n"/>
      <c r="C109" s="20" t="n"/>
      <c r="D109" s="30" t="n"/>
      <c r="E109" s="22" t="n"/>
      <c r="F109" s="20" t="n"/>
      <c r="G109" s="30" t="n"/>
      <c r="H109" s="20" t="n"/>
    </row>
    <row r="110">
      <c r="A110" s="29" t="inlineStr">
        <is>
          <t>GAP-106</t>
        </is>
      </c>
      <c r="B110" s="30" t="n"/>
      <c r="C110" s="20" t="n"/>
      <c r="D110" s="30" t="n"/>
      <c r="E110" s="22" t="n"/>
      <c r="F110" s="20" t="n"/>
      <c r="G110" s="30" t="n"/>
      <c r="H110" s="20" t="n"/>
    </row>
    <row r="111">
      <c r="A111" s="29" t="inlineStr">
        <is>
          <t>GAP-107</t>
        </is>
      </c>
      <c r="B111" s="30" t="n"/>
      <c r="C111" s="20" t="n"/>
      <c r="D111" s="30" t="n"/>
      <c r="E111" s="22" t="n"/>
      <c r="F111" s="20" t="n"/>
      <c r="G111" s="30" t="n"/>
      <c r="H111" s="20" t="n"/>
    </row>
    <row r="112">
      <c r="A112" s="29" t="inlineStr">
        <is>
          <t>GAP-108</t>
        </is>
      </c>
      <c r="B112" s="30" t="n"/>
      <c r="C112" s="20" t="n"/>
      <c r="D112" s="30" t="n"/>
      <c r="E112" s="22" t="n"/>
      <c r="F112" s="20" t="n"/>
      <c r="G112" s="30" t="n"/>
      <c r="H112" s="20" t="n"/>
    </row>
    <row r="113">
      <c r="A113" s="29" t="inlineStr">
        <is>
          <t>GAP-109</t>
        </is>
      </c>
      <c r="B113" s="30" t="n"/>
      <c r="C113" s="20" t="n"/>
      <c r="D113" s="30" t="n"/>
      <c r="E113" s="22" t="n"/>
      <c r="F113" s="20" t="n"/>
      <c r="G113" s="30" t="n"/>
      <c r="H113" s="20" t="n"/>
    </row>
    <row r="114">
      <c r="A114" s="29" t="inlineStr">
        <is>
          <t>GAP-110</t>
        </is>
      </c>
      <c r="B114" s="30" t="n"/>
      <c r="C114" s="20" t="n"/>
      <c r="D114" s="30" t="n"/>
      <c r="E114" s="22" t="n"/>
      <c r="F114" s="20" t="n"/>
      <c r="G114" s="30" t="n"/>
      <c r="H114" s="20" t="n"/>
    </row>
    <row r="117">
      <c r="A117" s="3" t="inlineStr">
        <is>
          <t>GAP SUMMARY METRICS</t>
        </is>
      </c>
    </row>
    <row r="118">
      <c r="A118" s="6" t="inlineStr">
        <is>
          <t>Total Gaps Identified:</t>
        </is>
      </c>
      <c r="B118" s="6">
        <f>COUNTA(B5:B114)</f>
        <v/>
      </c>
    </row>
    <row r="119">
      <c r="A119" s="6" t="inlineStr">
        <is>
          <t>🔴 Critical Priority:</t>
        </is>
      </c>
      <c r="B119" s="6">
        <f>COUNTIF(F5:F114,"🔴*")</f>
        <v/>
      </c>
    </row>
    <row r="120">
      <c r="A120" s="6" t="inlineStr">
        <is>
          <t>🟡 High Priority:</t>
        </is>
      </c>
      <c r="B120" s="6">
        <f>COUNTIF(F5:F114,"🟡*")</f>
        <v/>
      </c>
    </row>
    <row r="121">
      <c r="A121" s="6" t="inlineStr">
        <is>
          <t>🟢 Medium Priority:</t>
        </is>
      </c>
      <c r="B121" s="6">
        <f>COUNTIF(F5:F114,"🟢*")</f>
        <v/>
      </c>
    </row>
    <row r="122">
      <c r="A122" s="6" t="inlineStr">
        <is>
          <t>⚪ Low Priority:</t>
        </is>
      </c>
      <c r="B122" s="6">
        <f>COUNTIF(F5:F114,"⚪*")</f>
        <v/>
      </c>
    </row>
    <row r="124">
      <c r="A124" s="6" t="inlineStr">
        <is>
          <t>🔴 Open Gaps:</t>
        </is>
      </c>
      <c r="B124" s="6">
        <f>COUNTIF(H5:H114,"🔴*")</f>
        <v/>
      </c>
    </row>
    <row r="125">
      <c r="A125" s="6" t="inlineStr">
        <is>
          <t>⏳ In Progress:</t>
        </is>
      </c>
      <c r="B125" s="6">
        <f>COUNTIF(H5:H114,"⏳*")</f>
        <v/>
      </c>
    </row>
    <row r="126">
      <c r="A126" s="6" t="inlineStr">
        <is>
          <t>✅ Closed Gaps:</t>
        </is>
      </c>
      <c r="B126" s="6">
        <f>COUNTIF(H5:H114,"✅*")</f>
        <v/>
      </c>
    </row>
    <row r="127">
      <c r="A127" s="6" t="inlineStr">
        <is>
          <t>➖ Risk Accepted:</t>
        </is>
      </c>
      <c r="B127" s="6">
        <f>COUNTIF(H5:H114,"➖*")</f>
        <v/>
      </c>
    </row>
    <row r="129">
      <c r="A129" s="6" t="inlineStr">
        <is>
          <t>Average Risk Score:</t>
        </is>
      </c>
      <c r="B129" s="31">
        <f>IFERROR(AVERAGE(E5:E114),0)</f>
        <v/>
      </c>
    </row>
    <row r="130">
      <c r="A130" s="6" t="inlineStr">
        <is>
          <t>Max Risk Score:</t>
        </is>
      </c>
      <c r="B130" s="31">
        <f>IFERROR(MAX(E5:E114),0)</f>
        <v/>
      </c>
    </row>
  </sheetData>
  <mergeCells count="3">
    <mergeCell ref="A117:H117"/>
    <mergeCell ref="A2:H2"/>
    <mergeCell ref="A1:H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 Critical,🟡 High,🟢 Medium,⚪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"RPO Gap,RTO Gap,Both RPO &amp; RTO,Testing Gap,Documentation Gap"</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showDropDown="0" showInputMessage="0" showErrorMessage="0" allowBlank="0" type="list">
      <formula1>"🔴 Open,⏳ In Progress,✅ Closed,➖ 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2" customWidth="1" min="4" max="4"/>
    <col width="35" customWidth="1" min="5" max="5"/>
    <col width="15" customWidth="1" min="6" max="6"/>
    <col width="20" customWidth="1" min="7" max="7"/>
    <col width="20" customWidth="1" min="8" max="8"/>
  </cols>
  <sheetData>
    <row r="1" ht="30" customHeight="1">
      <c r="A1" s="18" t="inlineStr">
        <is>
          <t>EVIDENCE REGISTER</t>
        </is>
      </c>
    </row>
    <row r="2">
      <c r="A2" s="3" t="inlineStr">
        <is>
          <t>Document all evidence supporting this assessment (MINIMUM 5 evidence items required for audit compliance)</t>
        </is>
      </c>
    </row>
    <row r="4">
      <c r="A4" s="19" t="inlineStr">
        <is>
          <t>Evidence ID</t>
        </is>
      </c>
      <c r="B4" s="19" t="inlineStr">
        <is>
          <t>Evidence Type</t>
        </is>
      </c>
      <c r="C4" s="19" t="inlineStr">
        <is>
          <t>Description</t>
        </is>
      </c>
      <c r="D4" s="19" t="inlineStr">
        <is>
          <t>Related Sheet/Row</t>
        </is>
      </c>
      <c r="E4" s="19" t="inlineStr">
        <is>
          <t>Location/Path</t>
        </is>
      </c>
      <c r="F4" s="19" t="inlineStr">
        <is>
          <t>Date Collected</t>
        </is>
      </c>
      <c r="G4" s="19" t="inlineStr">
        <is>
          <t>Collected By</t>
        </is>
      </c>
      <c r="H4" s="19" t="inlineStr">
        <is>
          <t>Verification Status</t>
        </is>
      </c>
    </row>
    <row r="5">
      <c r="A5" s="29" t="inlineStr">
        <is>
          <t>EVD-001</t>
        </is>
      </c>
      <c r="B5" s="20" t="n"/>
      <c r="C5" s="21" t="inlineStr">
        <is>
          <t>BIA Report</t>
        </is>
      </c>
      <c r="D5" s="21" t="inlineStr">
        <is>
          <t>Business Impact Analysis Q1 2024 - RPO/RTO requirements</t>
        </is>
      </c>
      <c r="E5" s="21" t="inlineStr">
        <is>
          <t>System_Inventory (all rows)</t>
        </is>
      </c>
      <c r="F5" s="32" t="inlineStr">
        <is>
          <t>/evidence/bia/BIA_Report_Q1_2024.pdf</t>
        </is>
      </c>
      <c r="G5" s="21" t="inlineStr">
        <is>
          <t>31.01.2026</t>
        </is>
      </c>
      <c r="H5" s="20" t="inlineStr">
        <is>
          <t>BC/DR Coordinator</t>
        </is>
      </c>
      <c r="I5" s="20" t="inlineStr">
        <is>
          <t>✅ Verified</t>
        </is>
      </c>
    </row>
    <row r="6">
      <c r="A6" s="29" t="inlineStr">
        <is>
          <t>EVD-002</t>
        </is>
      </c>
      <c r="B6" s="20" t="n"/>
      <c r="C6" s="21" t="inlineStr">
        <is>
          <t>Test Result</t>
        </is>
      </c>
      <c r="D6" s="21" t="inlineStr">
        <is>
          <t>E-Commerce restore test results - 4hr restore time</t>
        </is>
      </c>
      <c r="E6" s="21" t="inlineStr">
        <is>
          <t>Capability_Assessment!A5</t>
        </is>
      </c>
      <c r="F6" s="32" t="inlineStr">
        <is>
          <t>/evidence/testing/ecommerce_restore_test_2024-01-05.pdf</t>
        </is>
      </c>
      <c r="G6" s="21" t="inlineStr">
        <is>
          <t>26.01.2026</t>
        </is>
      </c>
      <c r="H6" s="20" t="inlineStr">
        <is>
          <t>Infrastructure Team</t>
        </is>
      </c>
      <c r="I6" s="20" t="inlineStr">
        <is>
          <t>✅ Verified</t>
        </is>
      </c>
    </row>
    <row r="7">
      <c r="A7" s="29" t="inlineStr">
        <is>
          <t>EVD-003</t>
        </is>
      </c>
      <c r="B7" s="20" t="n"/>
      <c r="C7" s="21" t="inlineStr">
        <is>
          <t>Test Result</t>
        </is>
      </c>
      <c r="D7" s="21" t="inlineStr">
        <is>
          <t>Payment Gateway failover test - 5min failover time</t>
        </is>
      </c>
      <c r="E7" s="21" t="inlineStr">
        <is>
          <t>Capability_Assessment!A6</t>
        </is>
      </c>
      <c r="F7" s="32" t="inlineStr">
        <is>
          <t>/evidence/testing/payment_failover_test_2024-01-03.pdf</t>
        </is>
      </c>
      <c r="G7" s="21" t="inlineStr">
        <is>
          <t>24.01.2026</t>
        </is>
      </c>
      <c r="H7" s="20" t="inlineStr">
        <is>
          <t>Infrastructure Team</t>
        </is>
      </c>
      <c r="I7" s="20" t="inlineStr">
        <is>
          <t>✅ Verified</t>
        </is>
      </c>
    </row>
    <row r="8">
      <c r="A8" s="29" t="inlineStr">
        <is>
          <t>EVD-004</t>
        </is>
      </c>
      <c r="B8" s="20" t="n"/>
      <c r="C8" s="21" t="inlineStr">
        <is>
          <t>Screenshot</t>
        </is>
      </c>
      <c r="D8" s="21" t="inlineStr">
        <is>
          <t>Backup monitoring dashboard - all systems backup status</t>
        </is>
      </c>
      <c r="E8" s="21" t="inlineStr">
        <is>
          <t>Backup_Inventory (WB1)</t>
        </is>
      </c>
      <c r="F8" s="32" t="inlineStr">
        <is>
          <t>/evidence/monitoring/backup_dashboard_2024-01-10.png</t>
        </is>
      </c>
      <c r="G8" s="21" t="inlineStr">
        <is>
          <t>31.01.2026</t>
        </is>
      </c>
      <c r="H8" s="20" t="inlineStr">
        <is>
          <t>Backup Administrator</t>
        </is>
      </c>
      <c r="I8" s="20" t="inlineStr">
        <is>
          <t>✅ Verified</t>
        </is>
      </c>
    </row>
    <row r="9">
      <c r="A9" s="29" t="inlineStr">
        <is>
          <t>EVD-005</t>
        </is>
      </c>
      <c r="B9" s="20" t="n"/>
      <c r="C9" s="21" t="inlineStr">
        <is>
          <t>Config File</t>
        </is>
      </c>
      <c r="D9" s="21" t="inlineStr">
        <is>
          <t>Backup schedule configuration - all systems</t>
        </is>
      </c>
      <c r="E9" s="21" t="inlineStr">
        <is>
          <t>System_Inventory</t>
        </is>
      </c>
      <c r="F9" s="32" t="inlineStr">
        <is>
          <t>/evidence/configs/backup_schedules.json</t>
        </is>
      </c>
      <c r="G9" s="21" t="inlineStr">
        <is>
          <t>29.01.2026</t>
        </is>
      </c>
      <c r="H9" s="20" t="inlineStr">
        <is>
          <t>Backup Administrator</t>
        </is>
      </c>
      <c r="I9" s="20" t="inlineStr">
        <is>
          <t>✅ Verified</t>
        </is>
      </c>
    </row>
    <row r="10">
      <c r="A10" s="29" t="inlineStr">
        <is>
          <t>EVD-006</t>
        </is>
      </c>
      <c r="B10" s="20" t="n"/>
      <c r="C10" s="21" t="inlineStr">
        <is>
          <t>Report</t>
        </is>
      </c>
      <c r="D10" s="21" t="inlineStr">
        <is>
          <t>RPO/RTO compliance calculations - automated report</t>
        </is>
      </c>
      <c r="E10" s="21" t="inlineStr">
        <is>
          <t>Compliance_Matrix</t>
        </is>
      </c>
      <c r="F10" s="32" t="inlineStr">
        <is>
          <t>/evidence/reports/rpo_rto_compliance_2024-01-10.xlsx</t>
        </is>
      </c>
      <c r="G10" s="21" t="inlineStr">
        <is>
          <t>31.01.2026</t>
        </is>
      </c>
      <c r="H10" s="20" t="inlineStr">
        <is>
          <t>Assessment Team</t>
        </is>
      </c>
      <c r="I10" s="20" t="inlineStr">
        <is>
          <t>⏳ Pending</t>
        </is>
      </c>
    </row>
    <row r="11">
      <c r="A11" s="29" t="inlineStr">
        <is>
          <t>EVD-007</t>
        </is>
      </c>
      <c r="B11" s="20" t="n"/>
      <c r="C11" s="21" t="inlineStr">
        <is>
          <t>Diagram</t>
        </is>
      </c>
      <c r="D11" s="21" t="inlineStr">
        <is>
          <t>High-availability architecture diagram - critical systems</t>
        </is>
      </c>
      <c r="E11" s="21" t="inlineStr">
        <is>
          <t>Capability_Assessment (Tier 1)</t>
        </is>
      </c>
      <c r="F11" s="32" t="inlineStr">
        <is>
          <t>/evidence/diagrams/ha_architecture_2024.vsdx</t>
        </is>
      </c>
      <c r="G11" s="21" t="inlineStr">
        <is>
          <t>21.01.2026</t>
        </is>
      </c>
      <c r="H11" s="20" t="inlineStr">
        <is>
          <t>Solutions Architect</t>
        </is>
      </c>
      <c r="I11" s="20" t="inlineStr">
        <is>
          <t>✅ Verified</t>
        </is>
      </c>
    </row>
    <row r="12">
      <c r="A12" s="29" t="inlineStr">
        <is>
          <t>EVD-008</t>
        </is>
      </c>
      <c r="B12" s="20" t="n"/>
      <c r="C12" s="21" t="inlineStr">
        <is>
          <t>Policy Document</t>
        </is>
      </c>
      <c r="D12" s="21" t="inlineStr">
        <is>
          <t>BC/DR Policy - RPO/RTO requirements policy</t>
        </is>
      </c>
      <c r="E12" s="21" t="inlineStr">
        <is>
          <t>All worksheets</t>
        </is>
      </c>
      <c r="F12" s="32" t="inlineStr">
        <is>
          <t>/evidence/policies/ISMS-POL-A813-814-530.pdf</t>
        </is>
      </c>
      <c r="G12" s="21" t="inlineStr">
        <is>
          <t>01.01.2026</t>
        </is>
      </c>
      <c r="H12" s="20" t="inlineStr">
        <is>
          <t>ISO Coordinator</t>
        </is>
      </c>
      <c r="I12" s="20" t="inlineStr">
        <is>
          <t>✅ Verified</t>
        </is>
      </c>
    </row>
    <row r="13">
      <c r="A13" s="29" t="inlineStr">
        <is>
          <t>EVD-009</t>
        </is>
      </c>
      <c r="B13" s="20" t="n"/>
      <c r="C13" s="30" t="n"/>
      <c r="D13" s="30" t="n"/>
      <c r="E13" s="30" t="n"/>
      <c r="F13" s="33" t="n"/>
      <c r="G13" s="30" t="n"/>
      <c r="H13" s="20" t="n"/>
    </row>
    <row r="14">
      <c r="A14" s="29" t="inlineStr">
        <is>
          <t>EVD-010</t>
        </is>
      </c>
      <c r="B14" s="20" t="n"/>
      <c r="C14" s="30" t="n"/>
      <c r="D14" s="30" t="n"/>
      <c r="E14" s="30" t="n"/>
      <c r="F14" s="33" t="n"/>
      <c r="G14" s="30" t="n"/>
      <c r="H14" s="20" t="n"/>
    </row>
    <row r="15">
      <c r="A15" s="29" t="inlineStr">
        <is>
          <t>EVD-011</t>
        </is>
      </c>
      <c r="B15" s="20" t="n"/>
      <c r="C15" s="30" t="n"/>
      <c r="D15" s="30" t="n"/>
      <c r="E15" s="30" t="n"/>
      <c r="F15" s="33" t="n"/>
      <c r="G15" s="30" t="n"/>
      <c r="H15" s="20" t="n"/>
    </row>
    <row r="16">
      <c r="A16" s="29" t="inlineStr">
        <is>
          <t>EVD-012</t>
        </is>
      </c>
      <c r="B16" s="20" t="n"/>
      <c r="C16" s="30" t="n"/>
      <c r="D16" s="30" t="n"/>
      <c r="E16" s="30" t="n"/>
      <c r="F16" s="33" t="n"/>
      <c r="G16" s="30" t="n"/>
      <c r="H16" s="20" t="n"/>
    </row>
    <row r="17">
      <c r="A17" s="29" t="inlineStr">
        <is>
          <t>EVD-013</t>
        </is>
      </c>
      <c r="B17" s="20" t="n"/>
      <c r="C17" s="30" t="n"/>
      <c r="D17" s="30" t="n"/>
      <c r="E17" s="30" t="n"/>
      <c r="F17" s="33" t="n"/>
      <c r="G17" s="30" t="n"/>
      <c r="H17" s="20" t="n"/>
    </row>
    <row r="18">
      <c r="A18" s="29" t="inlineStr">
        <is>
          <t>EVD-014</t>
        </is>
      </c>
      <c r="B18" s="20" t="n"/>
      <c r="C18" s="30" t="n"/>
      <c r="D18" s="30" t="n"/>
      <c r="E18" s="30" t="n"/>
      <c r="F18" s="33" t="n"/>
      <c r="G18" s="30" t="n"/>
      <c r="H18" s="20" t="n"/>
    </row>
    <row r="19">
      <c r="A19" s="29" t="inlineStr">
        <is>
          <t>EVD-015</t>
        </is>
      </c>
      <c r="B19" s="20" t="n"/>
      <c r="C19" s="30" t="n"/>
      <c r="D19" s="30" t="n"/>
      <c r="E19" s="30" t="n"/>
      <c r="F19" s="33" t="n"/>
      <c r="G19" s="30" t="n"/>
      <c r="H19" s="20" t="n"/>
    </row>
    <row r="20">
      <c r="A20" s="29" t="inlineStr">
        <is>
          <t>EVD-016</t>
        </is>
      </c>
      <c r="B20" s="20" t="n"/>
      <c r="C20" s="30" t="n"/>
      <c r="D20" s="30" t="n"/>
      <c r="E20" s="30" t="n"/>
      <c r="F20" s="33" t="n"/>
      <c r="G20" s="30" t="n"/>
      <c r="H20" s="20" t="n"/>
    </row>
    <row r="21">
      <c r="A21" s="29" t="inlineStr">
        <is>
          <t>EVD-017</t>
        </is>
      </c>
      <c r="B21" s="20" t="n"/>
      <c r="C21" s="30" t="n"/>
      <c r="D21" s="30" t="n"/>
      <c r="E21" s="30" t="n"/>
      <c r="F21" s="33" t="n"/>
      <c r="G21" s="30" t="n"/>
      <c r="H21" s="20" t="n"/>
    </row>
    <row r="22">
      <c r="A22" s="29" t="inlineStr">
        <is>
          <t>EVD-018</t>
        </is>
      </c>
      <c r="B22" s="20" t="n"/>
      <c r="C22" s="30" t="n"/>
      <c r="D22" s="30" t="n"/>
      <c r="E22" s="30" t="n"/>
      <c r="F22" s="33" t="n"/>
      <c r="G22" s="30" t="n"/>
      <c r="H22" s="20" t="n"/>
    </row>
    <row r="23">
      <c r="A23" s="29" t="inlineStr">
        <is>
          <t>EVD-019</t>
        </is>
      </c>
      <c r="B23" s="20" t="n"/>
      <c r="C23" s="30" t="n"/>
      <c r="D23" s="30" t="n"/>
      <c r="E23" s="30" t="n"/>
      <c r="F23" s="33" t="n"/>
      <c r="G23" s="30" t="n"/>
      <c r="H23" s="20" t="n"/>
    </row>
    <row r="24">
      <c r="A24" s="29" t="inlineStr">
        <is>
          <t>EVD-020</t>
        </is>
      </c>
      <c r="B24" s="20" t="n"/>
      <c r="C24" s="30" t="n"/>
      <c r="D24" s="30" t="n"/>
      <c r="E24" s="30" t="n"/>
      <c r="F24" s="33" t="n"/>
      <c r="G24" s="30" t="n"/>
      <c r="H24" s="20" t="n"/>
    </row>
    <row r="25">
      <c r="A25" s="29" t="inlineStr">
        <is>
          <t>EVD-021</t>
        </is>
      </c>
      <c r="B25" s="20" t="n"/>
      <c r="C25" s="30" t="n"/>
      <c r="D25" s="30" t="n"/>
      <c r="E25" s="30" t="n"/>
      <c r="F25" s="33" t="n"/>
      <c r="G25" s="30" t="n"/>
      <c r="H25" s="20" t="n"/>
    </row>
    <row r="26">
      <c r="A26" s="29" t="inlineStr">
        <is>
          <t>EVD-022</t>
        </is>
      </c>
      <c r="B26" s="20" t="n"/>
      <c r="C26" s="30" t="n"/>
      <c r="D26" s="30" t="n"/>
      <c r="E26" s="30" t="n"/>
      <c r="F26" s="33" t="n"/>
      <c r="G26" s="30" t="n"/>
      <c r="H26" s="20" t="n"/>
    </row>
    <row r="27">
      <c r="A27" s="29" t="inlineStr">
        <is>
          <t>EVD-023</t>
        </is>
      </c>
      <c r="B27" s="20" t="n"/>
      <c r="C27" s="30" t="n"/>
      <c r="D27" s="30" t="n"/>
      <c r="E27" s="30" t="n"/>
      <c r="F27" s="33" t="n"/>
      <c r="G27" s="30" t="n"/>
      <c r="H27" s="20" t="n"/>
    </row>
    <row r="28">
      <c r="A28" s="29" t="inlineStr">
        <is>
          <t>EVD-024</t>
        </is>
      </c>
      <c r="B28" s="20" t="n"/>
      <c r="C28" s="30" t="n"/>
      <c r="D28" s="30" t="n"/>
      <c r="E28" s="30" t="n"/>
      <c r="F28" s="33" t="n"/>
      <c r="G28" s="30" t="n"/>
      <c r="H28" s="20" t="n"/>
    </row>
    <row r="29">
      <c r="A29" s="29" t="inlineStr">
        <is>
          <t>EVD-025</t>
        </is>
      </c>
      <c r="B29" s="20" t="n"/>
      <c r="C29" s="30" t="n"/>
      <c r="D29" s="30" t="n"/>
      <c r="E29" s="30" t="n"/>
      <c r="F29" s="33" t="n"/>
      <c r="G29" s="30" t="n"/>
      <c r="H29" s="20" t="n"/>
    </row>
    <row r="30">
      <c r="A30" s="29" t="inlineStr">
        <is>
          <t>EVD-026</t>
        </is>
      </c>
      <c r="B30" s="20" t="n"/>
      <c r="C30" s="30" t="n"/>
      <c r="D30" s="30" t="n"/>
      <c r="E30" s="30" t="n"/>
      <c r="F30" s="33" t="n"/>
      <c r="G30" s="30" t="n"/>
      <c r="H30" s="20" t="n"/>
    </row>
    <row r="31">
      <c r="A31" s="29" t="inlineStr">
        <is>
          <t>EVD-027</t>
        </is>
      </c>
      <c r="B31" s="20" t="n"/>
      <c r="C31" s="30" t="n"/>
      <c r="D31" s="30" t="n"/>
      <c r="E31" s="30" t="n"/>
      <c r="F31" s="33" t="n"/>
      <c r="G31" s="30" t="n"/>
      <c r="H31" s="20" t="n"/>
    </row>
    <row r="32">
      <c r="A32" s="29" t="inlineStr">
        <is>
          <t>EVD-028</t>
        </is>
      </c>
      <c r="B32" s="20" t="n"/>
      <c r="C32" s="30" t="n"/>
      <c r="D32" s="30" t="n"/>
      <c r="E32" s="30" t="n"/>
      <c r="F32" s="33" t="n"/>
      <c r="G32" s="30" t="n"/>
      <c r="H32" s="20" t="n"/>
    </row>
    <row r="33">
      <c r="A33" s="29" t="inlineStr">
        <is>
          <t>EVD-029</t>
        </is>
      </c>
      <c r="B33" s="20" t="n"/>
      <c r="C33" s="30" t="n"/>
      <c r="D33" s="30" t="n"/>
      <c r="E33" s="30" t="n"/>
      <c r="F33" s="33" t="n"/>
      <c r="G33" s="30" t="n"/>
      <c r="H33" s="20" t="n"/>
    </row>
    <row r="34">
      <c r="A34" s="29" t="inlineStr">
        <is>
          <t>EVD-030</t>
        </is>
      </c>
      <c r="B34" s="20" t="n"/>
      <c r="C34" s="30" t="n"/>
      <c r="D34" s="30" t="n"/>
      <c r="E34" s="30" t="n"/>
      <c r="F34" s="33" t="n"/>
      <c r="G34" s="30" t="n"/>
      <c r="H34" s="20" t="n"/>
    </row>
    <row r="35">
      <c r="A35" s="29" t="inlineStr">
        <is>
          <t>EVD-031</t>
        </is>
      </c>
      <c r="B35" s="20" t="n"/>
      <c r="C35" s="30" t="n"/>
      <c r="D35" s="30" t="n"/>
      <c r="E35" s="30" t="n"/>
      <c r="F35" s="33" t="n"/>
      <c r="G35" s="30" t="n"/>
      <c r="H35" s="20" t="n"/>
    </row>
    <row r="36">
      <c r="A36" s="29" t="inlineStr">
        <is>
          <t>EVD-032</t>
        </is>
      </c>
      <c r="B36" s="20" t="n"/>
      <c r="C36" s="30" t="n"/>
      <c r="D36" s="30" t="n"/>
      <c r="E36" s="30" t="n"/>
      <c r="F36" s="33" t="n"/>
      <c r="G36" s="30" t="n"/>
      <c r="H36" s="20" t="n"/>
    </row>
    <row r="37">
      <c r="A37" s="29" t="inlineStr">
        <is>
          <t>EVD-033</t>
        </is>
      </c>
      <c r="B37" s="20" t="n"/>
      <c r="C37" s="30" t="n"/>
      <c r="D37" s="30" t="n"/>
      <c r="E37" s="30" t="n"/>
      <c r="F37" s="33" t="n"/>
      <c r="G37" s="30" t="n"/>
      <c r="H37" s="20" t="n"/>
    </row>
    <row r="38">
      <c r="A38" s="29" t="inlineStr">
        <is>
          <t>EVD-034</t>
        </is>
      </c>
      <c r="B38" s="20" t="n"/>
      <c r="C38" s="30" t="n"/>
      <c r="D38" s="30" t="n"/>
      <c r="E38" s="30" t="n"/>
      <c r="F38" s="33" t="n"/>
      <c r="G38" s="30" t="n"/>
      <c r="H38" s="20" t="n"/>
    </row>
    <row r="39">
      <c r="A39" s="29" t="inlineStr">
        <is>
          <t>EVD-035</t>
        </is>
      </c>
      <c r="B39" s="20" t="n"/>
      <c r="C39" s="30" t="n"/>
      <c r="D39" s="30" t="n"/>
      <c r="E39" s="30" t="n"/>
      <c r="F39" s="33" t="n"/>
      <c r="G39" s="30" t="n"/>
      <c r="H39" s="20" t="n"/>
    </row>
    <row r="40">
      <c r="A40" s="29" t="inlineStr">
        <is>
          <t>EVD-036</t>
        </is>
      </c>
      <c r="B40" s="20" t="n"/>
      <c r="C40" s="30" t="n"/>
      <c r="D40" s="30" t="n"/>
      <c r="E40" s="30" t="n"/>
      <c r="F40" s="33" t="n"/>
      <c r="G40" s="30" t="n"/>
      <c r="H40" s="20" t="n"/>
    </row>
    <row r="41">
      <c r="A41" s="29" t="inlineStr">
        <is>
          <t>EVD-037</t>
        </is>
      </c>
      <c r="B41" s="20" t="n"/>
      <c r="C41" s="30" t="n"/>
      <c r="D41" s="30" t="n"/>
      <c r="E41" s="30" t="n"/>
      <c r="F41" s="33" t="n"/>
      <c r="G41" s="30" t="n"/>
      <c r="H41" s="20" t="n"/>
    </row>
    <row r="42">
      <c r="A42" s="29" t="inlineStr">
        <is>
          <t>EVD-038</t>
        </is>
      </c>
      <c r="B42" s="20" t="n"/>
      <c r="C42" s="30" t="n"/>
      <c r="D42" s="30" t="n"/>
      <c r="E42" s="30" t="n"/>
      <c r="F42" s="33" t="n"/>
      <c r="G42" s="30" t="n"/>
      <c r="H42" s="20" t="n"/>
    </row>
    <row r="43">
      <c r="A43" s="29" t="inlineStr">
        <is>
          <t>EVD-039</t>
        </is>
      </c>
      <c r="B43" s="20" t="n"/>
      <c r="C43" s="30" t="n"/>
      <c r="D43" s="30" t="n"/>
      <c r="E43" s="30" t="n"/>
      <c r="F43" s="33" t="n"/>
      <c r="G43" s="30" t="n"/>
      <c r="H43" s="20" t="n"/>
    </row>
    <row r="44">
      <c r="A44" s="29" t="inlineStr">
        <is>
          <t>EVD-040</t>
        </is>
      </c>
      <c r="B44" s="20" t="n"/>
      <c r="C44" s="30" t="n"/>
      <c r="D44" s="30" t="n"/>
      <c r="E44" s="30" t="n"/>
      <c r="F44" s="33" t="n"/>
      <c r="G44" s="30" t="n"/>
      <c r="H44" s="20" t="n"/>
    </row>
    <row r="45">
      <c r="A45" s="29" t="inlineStr">
        <is>
          <t>EVD-041</t>
        </is>
      </c>
      <c r="B45" s="20" t="n"/>
      <c r="C45" s="30" t="n"/>
      <c r="D45" s="30" t="n"/>
      <c r="E45" s="30" t="n"/>
      <c r="F45" s="33" t="n"/>
      <c r="G45" s="30" t="n"/>
      <c r="H45" s="20" t="n"/>
    </row>
    <row r="46">
      <c r="A46" s="29" t="inlineStr">
        <is>
          <t>EVD-042</t>
        </is>
      </c>
      <c r="B46" s="20" t="n"/>
      <c r="C46" s="30" t="n"/>
      <c r="D46" s="30" t="n"/>
      <c r="E46" s="30" t="n"/>
      <c r="F46" s="33" t="n"/>
      <c r="G46" s="30" t="n"/>
      <c r="H46" s="20" t="n"/>
    </row>
    <row r="47">
      <c r="A47" s="29" t="inlineStr">
        <is>
          <t>EVD-043</t>
        </is>
      </c>
      <c r="B47" s="20" t="n"/>
      <c r="C47" s="30" t="n"/>
      <c r="D47" s="30" t="n"/>
      <c r="E47" s="30" t="n"/>
      <c r="F47" s="33" t="n"/>
      <c r="G47" s="30" t="n"/>
      <c r="H47" s="20" t="n"/>
    </row>
    <row r="48">
      <c r="A48" s="29" t="inlineStr">
        <is>
          <t>EVD-044</t>
        </is>
      </c>
      <c r="B48" s="20" t="n"/>
      <c r="C48" s="30" t="n"/>
      <c r="D48" s="30" t="n"/>
      <c r="E48" s="30" t="n"/>
      <c r="F48" s="33" t="n"/>
      <c r="G48" s="30" t="n"/>
      <c r="H48" s="20" t="n"/>
    </row>
    <row r="49">
      <c r="A49" s="29" t="inlineStr">
        <is>
          <t>EVD-045</t>
        </is>
      </c>
      <c r="B49" s="20" t="n"/>
      <c r="C49" s="30" t="n"/>
      <c r="D49" s="30" t="n"/>
      <c r="E49" s="30" t="n"/>
      <c r="F49" s="33" t="n"/>
      <c r="G49" s="30" t="n"/>
      <c r="H49" s="20" t="n"/>
    </row>
    <row r="50">
      <c r="A50" s="29" t="inlineStr">
        <is>
          <t>EVD-046</t>
        </is>
      </c>
      <c r="B50" s="20" t="n"/>
      <c r="C50" s="30" t="n"/>
      <c r="D50" s="30" t="n"/>
      <c r="E50" s="30" t="n"/>
      <c r="F50" s="33" t="n"/>
      <c r="G50" s="30" t="n"/>
      <c r="H50" s="20" t="n"/>
    </row>
    <row r="51">
      <c r="A51" s="29" t="inlineStr">
        <is>
          <t>EVD-047</t>
        </is>
      </c>
      <c r="B51" s="20" t="n"/>
      <c r="C51" s="30" t="n"/>
      <c r="D51" s="30" t="n"/>
      <c r="E51" s="30" t="n"/>
      <c r="F51" s="33" t="n"/>
      <c r="G51" s="30" t="n"/>
      <c r="H51" s="20" t="n"/>
    </row>
    <row r="52">
      <c r="A52" s="29" t="inlineStr">
        <is>
          <t>EVD-048</t>
        </is>
      </c>
      <c r="B52" s="20" t="n"/>
      <c r="C52" s="30" t="n"/>
      <c r="D52" s="30" t="n"/>
      <c r="E52" s="30" t="n"/>
      <c r="F52" s="33" t="n"/>
      <c r="G52" s="30" t="n"/>
      <c r="H52" s="20" t="n"/>
    </row>
    <row r="53">
      <c r="A53" s="29" t="inlineStr">
        <is>
          <t>EVD-049</t>
        </is>
      </c>
      <c r="B53" s="20" t="n"/>
      <c r="C53" s="30" t="n"/>
      <c r="D53" s="30" t="n"/>
      <c r="E53" s="30" t="n"/>
      <c r="F53" s="33" t="n"/>
      <c r="G53" s="30" t="n"/>
      <c r="H53" s="20" t="n"/>
    </row>
    <row r="54">
      <c r="A54" s="29" t="inlineStr">
        <is>
          <t>EVD-050</t>
        </is>
      </c>
      <c r="B54" s="20" t="n"/>
      <c r="C54" s="30" t="n"/>
      <c r="D54" s="30" t="n"/>
      <c r="E54" s="30" t="n"/>
      <c r="F54" s="33" t="n"/>
      <c r="G54" s="30" t="n"/>
      <c r="H54" s="20" t="n"/>
    </row>
    <row r="55">
      <c r="A55" s="29" t="inlineStr">
        <is>
          <t>EVD-051</t>
        </is>
      </c>
      <c r="B55" s="20" t="n"/>
      <c r="C55" s="30" t="n"/>
      <c r="D55" s="30" t="n"/>
      <c r="E55" s="30" t="n"/>
      <c r="F55" s="33" t="n"/>
      <c r="G55" s="30" t="n"/>
      <c r="H55" s="20" t="n"/>
    </row>
    <row r="56">
      <c r="A56" s="29" t="inlineStr">
        <is>
          <t>EVD-052</t>
        </is>
      </c>
      <c r="B56" s="20" t="n"/>
      <c r="C56" s="30" t="n"/>
      <c r="D56" s="30" t="n"/>
      <c r="E56" s="30" t="n"/>
      <c r="F56" s="33" t="n"/>
      <c r="G56" s="30" t="n"/>
      <c r="H56" s="20" t="n"/>
    </row>
    <row r="57">
      <c r="A57" s="29" t="inlineStr">
        <is>
          <t>EVD-053</t>
        </is>
      </c>
      <c r="B57" s="20" t="n"/>
      <c r="C57" s="30" t="n"/>
      <c r="D57" s="30" t="n"/>
      <c r="E57" s="30" t="n"/>
      <c r="F57" s="33" t="n"/>
      <c r="G57" s="30" t="n"/>
      <c r="H57" s="20" t="n"/>
    </row>
    <row r="58">
      <c r="A58" s="29" t="inlineStr">
        <is>
          <t>EVD-054</t>
        </is>
      </c>
      <c r="B58" s="20" t="n"/>
      <c r="C58" s="30" t="n"/>
      <c r="D58" s="30" t="n"/>
      <c r="E58" s="30" t="n"/>
      <c r="F58" s="33" t="n"/>
      <c r="G58" s="30" t="n"/>
      <c r="H58" s="20" t="n"/>
    </row>
    <row r="59">
      <c r="A59" s="29" t="inlineStr">
        <is>
          <t>EVD-055</t>
        </is>
      </c>
      <c r="B59" s="20" t="n"/>
      <c r="C59" s="30" t="n"/>
      <c r="D59" s="30" t="n"/>
      <c r="E59" s="30" t="n"/>
      <c r="F59" s="33" t="n"/>
      <c r="G59" s="30" t="n"/>
      <c r="H59" s="20" t="n"/>
    </row>
    <row r="60">
      <c r="A60" s="29" t="inlineStr">
        <is>
          <t>EVD-056</t>
        </is>
      </c>
      <c r="B60" s="20" t="n"/>
      <c r="C60" s="30" t="n"/>
      <c r="D60" s="30" t="n"/>
      <c r="E60" s="30" t="n"/>
      <c r="F60" s="33" t="n"/>
      <c r="G60" s="30" t="n"/>
      <c r="H60" s="20" t="n"/>
    </row>
    <row r="61">
      <c r="A61" s="29" t="inlineStr">
        <is>
          <t>EVD-057</t>
        </is>
      </c>
      <c r="B61" s="20" t="n"/>
      <c r="C61" s="30" t="n"/>
      <c r="D61" s="30" t="n"/>
      <c r="E61" s="30" t="n"/>
      <c r="F61" s="33" t="n"/>
      <c r="G61" s="30" t="n"/>
      <c r="H61" s="20" t="n"/>
    </row>
    <row r="62">
      <c r="A62" s="29" t="inlineStr">
        <is>
          <t>EVD-058</t>
        </is>
      </c>
      <c r="B62" s="20" t="n"/>
      <c r="C62" s="30" t="n"/>
      <c r="D62" s="30" t="n"/>
      <c r="E62" s="30" t="n"/>
      <c r="F62" s="33" t="n"/>
      <c r="G62" s="30" t="n"/>
      <c r="H62" s="20" t="n"/>
    </row>
    <row r="63">
      <c r="A63" s="29" t="inlineStr">
        <is>
          <t>EVD-059</t>
        </is>
      </c>
      <c r="B63" s="20" t="n"/>
      <c r="C63" s="30" t="n"/>
      <c r="D63" s="30" t="n"/>
      <c r="E63" s="30" t="n"/>
      <c r="F63" s="33" t="n"/>
      <c r="G63" s="30" t="n"/>
      <c r="H63" s="20" t="n"/>
    </row>
    <row r="64">
      <c r="A64" s="29" t="inlineStr">
        <is>
          <t>EVD-060</t>
        </is>
      </c>
      <c r="B64" s="20" t="n"/>
      <c r="C64" s="30" t="n"/>
      <c r="D64" s="30" t="n"/>
      <c r="E64" s="30" t="n"/>
      <c r="F64" s="33" t="n"/>
      <c r="G64" s="30" t="n"/>
      <c r="H64" s="20" t="n"/>
    </row>
    <row r="65">
      <c r="A65" s="29" t="inlineStr">
        <is>
          <t>EVD-061</t>
        </is>
      </c>
      <c r="B65" s="20" t="n"/>
      <c r="C65" s="30" t="n"/>
      <c r="D65" s="30" t="n"/>
      <c r="E65" s="30" t="n"/>
      <c r="F65" s="33" t="n"/>
      <c r="G65" s="30" t="n"/>
      <c r="H65" s="20" t="n"/>
    </row>
    <row r="66">
      <c r="A66" s="29" t="inlineStr">
        <is>
          <t>EVD-062</t>
        </is>
      </c>
      <c r="B66" s="20" t="n"/>
      <c r="C66" s="30" t="n"/>
      <c r="D66" s="30" t="n"/>
      <c r="E66" s="30" t="n"/>
      <c r="F66" s="33" t="n"/>
      <c r="G66" s="30" t="n"/>
      <c r="H66" s="20" t="n"/>
    </row>
    <row r="67">
      <c r="A67" s="29" t="inlineStr">
        <is>
          <t>EVD-063</t>
        </is>
      </c>
      <c r="B67" s="20" t="n"/>
      <c r="C67" s="30" t="n"/>
      <c r="D67" s="30" t="n"/>
      <c r="E67" s="30" t="n"/>
      <c r="F67" s="33" t="n"/>
      <c r="G67" s="30" t="n"/>
      <c r="H67" s="20" t="n"/>
    </row>
    <row r="68">
      <c r="A68" s="29" t="inlineStr">
        <is>
          <t>EVD-064</t>
        </is>
      </c>
      <c r="B68" s="20" t="n"/>
      <c r="C68" s="30" t="n"/>
      <c r="D68" s="30" t="n"/>
      <c r="E68" s="30" t="n"/>
      <c r="F68" s="33" t="n"/>
      <c r="G68" s="30" t="n"/>
      <c r="H68" s="20" t="n"/>
    </row>
    <row r="69">
      <c r="A69" s="29" t="inlineStr">
        <is>
          <t>EVD-065</t>
        </is>
      </c>
      <c r="B69" s="20" t="n"/>
      <c r="C69" s="30" t="n"/>
      <c r="D69" s="30" t="n"/>
      <c r="E69" s="30" t="n"/>
      <c r="F69" s="33" t="n"/>
      <c r="G69" s="30" t="n"/>
      <c r="H69" s="20" t="n"/>
    </row>
    <row r="70">
      <c r="A70" s="29" t="inlineStr">
        <is>
          <t>EVD-066</t>
        </is>
      </c>
      <c r="B70" s="20" t="n"/>
      <c r="C70" s="30" t="n"/>
      <c r="D70" s="30" t="n"/>
      <c r="E70" s="30" t="n"/>
      <c r="F70" s="33" t="n"/>
      <c r="G70" s="30" t="n"/>
      <c r="H70" s="20" t="n"/>
    </row>
    <row r="71">
      <c r="A71" s="29" t="inlineStr">
        <is>
          <t>EVD-067</t>
        </is>
      </c>
      <c r="B71" s="20" t="n"/>
      <c r="C71" s="30" t="n"/>
      <c r="D71" s="30" t="n"/>
      <c r="E71" s="30" t="n"/>
      <c r="F71" s="33" t="n"/>
      <c r="G71" s="30" t="n"/>
      <c r="H71" s="20" t="n"/>
    </row>
    <row r="72">
      <c r="A72" s="29" t="inlineStr">
        <is>
          <t>EVD-068</t>
        </is>
      </c>
      <c r="B72" s="20" t="n"/>
      <c r="C72" s="30" t="n"/>
      <c r="D72" s="30" t="n"/>
      <c r="E72" s="30" t="n"/>
      <c r="F72" s="33" t="n"/>
      <c r="G72" s="30" t="n"/>
      <c r="H72" s="20" t="n"/>
    </row>
    <row r="73">
      <c r="A73" s="29" t="inlineStr">
        <is>
          <t>EVD-069</t>
        </is>
      </c>
      <c r="B73" s="20" t="n"/>
      <c r="C73" s="30" t="n"/>
      <c r="D73" s="30" t="n"/>
      <c r="E73" s="30" t="n"/>
      <c r="F73" s="33" t="n"/>
      <c r="G73" s="30" t="n"/>
      <c r="H73" s="20" t="n"/>
    </row>
    <row r="74">
      <c r="A74" s="29" t="inlineStr">
        <is>
          <t>EVD-070</t>
        </is>
      </c>
      <c r="B74" s="20" t="n"/>
      <c r="C74" s="30" t="n"/>
      <c r="D74" s="30" t="n"/>
      <c r="E74" s="30" t="n"/>
      <c r="F74" s="33" t="n"/>
      <c r="G74" s="30" t="n"/>
      <c r="H74" s="20" t="n"/>
    </row>
    <row r="75">
      <c r="A75" s="29" t="inlineStr">
        <is>
          <t>EVD-071</t>
        </is>
      </c>
      <c r="B75" s="20" t="n"/>
      <c r="C75" s="30" t="n"/>
      <c r="D75" s="30" t="n"/>
      <c r="E75" s="30" t="n"/>
      <c r="F75" s="33" t="n"/>
      <c r="G75" s="30" t="n"/>
      <c r="H75" s="20" t="n"/>
    </row>
    <row r="76">
      <c r="A76" s="29" t="inlineStr">
        <is>
          <t>EVD-072</t>
        </is>
      </c>
      <c r="B76" s="20" t="n"/>
      <c r="C76" s="30" t="n"/>
      <c r="D76" s="30" t="n"/>
      <c r="E76" s="30" t="n"/>
      <c r="F76" s="33" t="n"/>
      <c r="G76" s="30" t="n"/>
      <c r="H76" s="20" t="n"/>
    </row>
    <row r="77">
      <c r="A77" s="29" t="inlineStr">
        <is>
          <t>EVD-073</t>
        </is>
      </c>
      <c r="B77" s="20" t="n"/>
      <c r="C77" s="30" t="n"/>
      <c r="D77" s="30" t="n"/>
      <c r="E77" s="30" t="n"/>
      <c r="F77" s="33" t="n"/>
      <c r="G77" s="30" t="n"/>
      <c r="H77" s="20" t="n"/>
    </row>
    <row r="78">
      <c r="A78" s="29" t="inlineStr">
        <is>
          <t>EVD-074</t>
        </is>
      </c>
      <c r="B78" s="20" t="n"/>
      <c r="C78" s="30" t="n"/>
      <c r="D78" s="30" t="n"/>
      <c r="E78" s="30" t="n"/>
      <c r="F78" s="33" t="n"/>
      <c r="G78" s="30" t="n"/>
      <c r="H78" s="20" t="n"/>
    </row>
    <row r="79">
      <c r="A79" s="29" t="inlineStr">
        <is>
          <t>EVD-075</t>
        </is>
      </c>
      <c r="B79" s="20" t="n"/>
      <c r="C79" s="30" t="n"/>
      <c r="D79" s="30" t="n"/>
      <c r="E79" s="30" t="n"/>
      <c r="F79" s="33" t="n"/>
      <c r="G79" s="30" t="n"/>
      <c r="H79" s="20" t="n"/>
    </row>
    <row r="80">
      <c r="A80" s="29" t="inlineStr">
        <is>
          <t>EVD-076</t>
        </is>
      </c>
      <c r="B80" s="20" t="n"/>
      <c r="C80" s="30" t="n"/>
      <c r="D80" s="30" t="n"/>
      <c r="E80" s="30" t="n"/>
      <c r="F80" s="33" t="n"/>
      <c r="G80" s="30" t="n"/>
      <c r="H80" s="20" t="n"/>
    </row>
    <row r="81">
      <c r="A81" s="29" t="inlineStr">
        <is>
          <t>EVD-077</t>
        </is>
      </c>
      <c r="B81" s="20" t="n"/>
      <c r="C81" s="30" t="n"/>
      <c r="D81" s="30" t="n"/>
      <c r="E81" s="30" t="n"/>
      <c r="F81" s="33" t="n"/>
      <c r="G81" s="30" t="n"/>
      <c r="H81" s="20" t="n"/>
    </row>
    <row r="82">
      <c r="A82" s="29" t="inlineStr">
        <is>
          <t>EVD-078</t>
        </is>
      </c>
      <c r="B82" s="20" t="n"/>
      <c r="C82" s="30" t="n"/>
      <c r="D82" s="30" t="n"/>
      <c r="E82" s="30" t="n"/>
      <c r="F82" s="33" t="n"/>
      <c r="G82" s="30" t="n"/>
      <c r="H82" s="20" t="n"/>
    </row>
    <row r="83">
      <c r="A83" s="29" t="inlineStr">
        <is>
          <t>EVD-079</t>
        </is>
      </c>
      <c r="B83" s="20" t="n"/>
      <c r="C83" s="30" t="n"/>
      <c r="D83" s="30" t="n"/>
      <c r="E83" s="30" t="n"/>
      <c r="F83" s="33" t="n"/>
      <c r="G83" s="30" t="n"/>
      <c r="H83" s="20" t="n"/>
    </row>
    <row r="84">
      <c r="A84" s="29" t="inlineStr">
        <is>
          <t>EVD-080</t>
        </is>
      </c>
      <c r="B84" s="20" t="n"/>
      <c r="C84" s="30" t="n"/>
      <c r="D84" s="30" t="n"/>
      <c r="E84" s="30" t="n"/>
      <c r="F84" s="33" t="n"/>
      <c r="G84" s="30" t="n"/>
      <c r="H84" s="20" t="n"/>
    </row>
    <row r="85">
      <c r="A85" s="29" t="inlineStr">
        <is>
          <t>EVD-081</t>
        </is>
      </c>
      <c r="B85" s="20" t="n"/>
      <c r="C85" s="30" t="n"/>
      <c r="D85" s="30" t="n"/>
      <c r="E85" s="30" t="n"/>
      <c r="F85" s="33" t="n"/>
      <c r="G85" s="30" t="n"/>
      <c r="H85" s="20" t="n"/>
    </row>
    <row r="86">
      <c r="A86" s="29" t="inlineStr">
        <is>
          <t>EVD-082</t>
        </is>
      </c>
      <c r="B86" s="20" t="n"/>
      <c r="C86" s="30" t="n"/>
      <c r="D86" s="30" t="n"/>
      <c r="E86" s="30" t="n"/>
      <c r="F86" s="33" t="n"/>
      <c r="G86" s="30" t="n"/>
      <c r="H86" s="20" t="n"/>
    </row>
    <row r="87">
      <c r="A87" s="29" t="inlineStr">
        <is>
          <t>EVD-083</t>
        </is>
      </c>
      <c r="B87" s="20" t="n"/>
      <c r="C87" s="30" t="n"/>
      <c r="D87" s="30" t="n"/>
      <c r="E87" s="30" t="n"/>
      <c r="F87" s="33" t="n"/>
      <c r="G87" s="30" t="n"/>
      <c r="H87" s="20" t="n"/>
    </row>
    <row r="88">
      <c r="A88" s="29" t="inlineStr">
        <is>
          <t>EVD-084</t>
        </is>
      </c>
      <c r="B88" s="20" t="n"/>
      <c r="C88" s="30" t="n"/>
      <c r="D88" s="30" t="n"/>
      <c r="E88" s="30" t="n"/>
      <c r="F88" s="33" t="n"/>
      <c r="G88" s="30" t="n"/>
      <c r="H88" s="20" t="n"/>
    </row>
    <row r="89">
      <c r="A89" s="29" t="inlineStr">
        <is>
          <t>EVD-085</t>
        </is>
      </c>
      <c r="B89" s="20" t="n"/>
      <c r="C89" s="30" t="n"/>
      <c r="D89" s="30" t="n"/>
      <c r="E89" s="30" t="n"/>
      <c r="F89" s="33" t="n"/>
      <c r="G89" s="30" t="n"/>
      <c r="H89" s="20" t="n"/>
    </row>
    <row r="90">
      <c r="A90" s="29" t="inlineStr">
        <is>
          <t>EVD-086</t>
        </is>
      </c>
      <c r="B90" s="20" t="n"/>
      <c r="C90" s="30" t="n"/>
      <c r="D90" s="30" t="n"/>
      <c r="E90" s="30" t="n"/>
      <c r="F90" s="33" t="n"/>
      <c r="G90" s="30" t="n"/>
      <c r="H90" s="20" t="n"/>
    </row>
    <row r="91">
      <c r="A91" s="29" t="inlineStr">
        <is>
          <t>EVD-087</t>
        </is>
      </c>
      <c r="B91" s="20" t="n"/>
      <c r="C91" s="30" t="n"/>
      <c r="D91" s="30" t="n"/>
      <c r="E91" s="30" t="n"/>
      <c r="F91" s="33" t="n"/>
      <c r="G91" s="30" t="n"/>
      <c r="H91" s="20" t="n"/>
    </row>
    <row r="92">
      <c r="A92" s="29" t="inlineStr">
        <is>
          <t>EVD-088</t>
        </is>
      </c>
      <c r="B92" s="20" t="n"/>
      <c r="C92" s="30" t="n"/>
      <c r="D92" s="30" t="n"/>
      <c r="E92" s="30" t="n"/>
      <c r="F92" s="33" t="n"/>
      <c r="G92" s="30" t="n"/>
      <c r="H92" s="20" t="n"/>
    </row>
    <row r="93">
      <c r="A93" s="29" t="inlineStr">
        <is>
          <t>EVD-089</t>
        </is>
      </c>
      <c r="B93" s="20" t="n"/>
      <c r="C93" s="30" t="n"/>
      <c r="D93" s="30" t="n"/>
      <c r="E93" s="30" t="n"/>
      <c r="F93" s="33" t="n"/>
      <c r="G93" s="30" t="n"/>
      <c r="H93" s="20" t="n"/>
    </row>
    <row r="94">
      <c r="A94" s="29" t="inlineStr">
        <is>
          <t>EVD-090</t>
        </is>
      </c>
      <c r="B94" s="20" t="n"/>
      <c r="C94" s="30" t="n"/>
      <c r="D94" s="30" t="n"/>
      <c r="E94" s="30" t="n"/>
      <c r="F94" s="33" t="n"/>
      <c r="G94" s="30" t="n"/>
      <c r="H94" s="20" t="n"/>
    </row>
    <row r="95">
      <c r="A95" s="29" t="inlineStr">
        <is>
          <t>EVD-091</t>
        </is>
      </c>
      <c r="B95" s="20" t="n"/>
      <c r="C95" s="30" t="n"/>
      <c r="D95" s="30" t="n"/>
      <c r="E95" s="30" t="n"/>
      <c r="F95" s="33" t="n"/>
      <c r="G95" s="30" t="n"/>
      <c r="H95" s="20" t="n"/>
    </row>
    <row r="96">
      <c r="A96" s="29" t="inlineStr">
        <is>
          <t>EVD-092</t>
        </is>
      </c>
      <c r="B96" s="20" t="n"/>
      <c r="C96" s="30" t="n"/>
      <c r="D96" s="30" t="n"/>
      <c r="E96" s="30" t="n"/>
      <c r="F96" s="33" t="n"/>
      <c r="G96" s="30" t="n"/>
      <c r="H96" s="20" t="n"/>
    </row>
    <row r="97">
      <c r="A97" s="29" t="inlineStr">
        <is>
          <t>EVD-093</t>
        </is>
      </c>
      <c r="B97" s="20" t="n"/>
      <c r="C97" s="30" t="n"/>
      <c r="D97" s="30" t="n"/>
      <c r="E97" s="30" t="n"/>
      <c r="F97" s="33" t="n"/>
      <c r="G97" s="30" t="n"/>
      <c r="H97" s="20" t="n"/>
    </row>
    <row r="98">
      <c r="A98" s="29" t="inlineStr">
        <is>
          <t>EVD-094</t>
        </is>
      </c>
      <c r="B98" s="20" t="n"/>
      <c r="C98" s="30" t="n"/>
      <c r="D98" s="30" t="n"/>
      <c r="E98" s="30" t="n"/>
      <c r="F98" s="33" t="n"/>
      <c r="G98" s="30" t="n"/>
      <c r="H98" s="20" t="n"/>
    </row>
    <row r="99">
      <c r="A99" s="29" t="inlineStr">
        <is>
          <t>EVD-095</t>
        </is>
      </c>
      <c r="B99" s="20" t="n"/>
      <c r="C99" s="30" t="n"/>
      <c r="D99" s="30" t="n"/>
      <c r="E99" s="30" t="n"/>
      <c r="F99" s="33" t="n"/>
      <c r="G99" s="30" t="n"/>
      <c r="H99" s="20" t="n"/>
    </row>
    <row r="100">
      <c r="A100" s="29" t="inlineStr">
        <is>
          <t>EVD-096</t>
        </is>
      </c>
      <c r="B100" s="20" t="n"/>
      <c r="C100" s="30" t="n"/>
      <c r="D100" s="30" t="n"/>
      <c r="E100" s="30" t="n"/>
      <c r="F100" s="33" t="n"/>
      <c r="G100" s="30" t="n"/>
      <c r="H100" s="20" t="n"/>
    </row>
    <row r="101">
      <c r="A101" s="29" t="inlineStr">
        <is>
          <t>EVD-097</t>
        </is>
      </c>
      <c r="B101" s="20" t="n"/>
      <c r="C101" s="30" t="n"/>
      <c r="D101" s="30" t="n"/>
      <c r="E101" s="30" t="n"/>
      <c r="F101" s="33" t="n"/>
      <c r="G101" s="30" t="n"/>
      <c r="H101" s="20" t="n"/>
    </row>
    <row r="102">
      <c r="A102" s="29" t="inlineStr">
        <is>
          <t>EVD-098</t>
        </is>
      </c>
      <c r="B102" s="20" t="n"/>
      <c r="C102" s="30" t="n"/>
      <c r="D102" s="30" t="n"/>
      <c r="E102" s="30" t="n"/>
      <c r="F102" s="33" t="n"/>
      <c r="G102" s="30" t="n"/>
      <c r="H102" s="20" t="n"/>
    </row>
    <row r="103">
      <c r="A103" s="29" t="inlineStr">
        <is>
          <t>EVD-099</t>
        </is>
      </c>
      <c r="B103" s="20" t="n"/>
      <c r="C103" s="30" t="n"/>
      <c r="D103" s="30" t="n"/>
      <c r="E103" s="30" t="n"/>
      <c r="F103" s="33" t="n"/>
      <c r="G103" s="30" t="n"/>
      <c r="H103" s="20" t="n"/>
    </row>
    <row r="104">
      <c r="A104" s="29" t="inlineStr">
        <is>
          <t>EVD-100</t>
        </is>
      </c>
      <c r="B104" s="20" t="n"/>
      <c r="C104" s="30" t="n"/>
      <c r="D104" s="30" t="n"/>
      <c r="E104" s="30" t="n"/>
      <c r="F104" s="33" t="n"/>
      <c r="G104" s="30" t="n"/>
      <c r="H104" s="20" t="n"/>
    </row>
    <row r="107">
      <c r="A107" s="3" t="inlineStr">
        <is>
          <t>EVIDENCE COLLECTION SUMMARY</t>
        </is>
      </c>
    </row>
    <row r="108">
      <c r="A108" s="6" t="inlineStr">
        <is>
          <t>Total Evidence Items:</t>
        </is>
      </c>
      <c r="B108" s="6">
        <f>COUNTA(A5:A104)</f>
        <v/>
      </c>
    </row>
    <row r="109">
      <c r="A109" s="6" t="inlineStr">
        <is>
          <t>✅ Verified Evidence:</t>
        </is>
      </c>
      <c r="B109" s="6">
        <f>COUNTIF(H5:H104,"✅*")</f>
        <v/>
      </c>
    </row>
    <row r="110">
      <c r="A110" s="6" t="inlineStr">
        <is>
          <t>⏳ Pending Verification:</t>
        </is>
      </c>
      <c r="B110" s="6">
        <f>COUNTIF(H5:H104,"⏳*")</f>
        <v/>
      </c>
    </row>
    <row r="111">
      <c r="A111" s="6" t="inlineStr">
        <is>
          <t>❌ Not Verified:</t>
        </is>
      </c>
      <c r="B111" s="6">
        <f>COUNTIF(H5:H104,"❌*")</f>
        <v/>
      </c>
    </row>
    <row r="113">
      <c r="A113" s="6" t="inlineStr">
        <is>
          <t>Minimum Required:</t>
        </is>
      </c>
      <c r="B113" s="34" t="inlineStr">
        <is>
          <t>5</t>
        </is>
      </c>
    </row>
    <row r="114">
      <c r="A114" s="6" t="inlineStr">
        <is>
          <t>Compliance Status:</t>
        </is>
      </c>
      <c r="B114" s="6">
        <f>IF(B108&gt;=5,"✅ Sufficient Evidence","❌ Insufficient Evidence")</f>
        <v/>
      </c>
    </row>
  </sheetData>
  <mergeCells count="3">
    <mergeCell ref="A2:H2"/>
    <mergeCell ref="A107:H107"/>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File,Screenshot,Report,Log File,Test Result,Policy Document,BIA Report,Contract,Diagram,Other"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s>
  <sheetData>
    <row r="1" ht="30" customHeight="1">
      <c r="A1" s="18" t="inlineStr">
        <is>
          <t>ASSESSMENT APPROVAL &amp; SIGN-OFF</t>
        </is>
      </c>
    </row>
    <row r="3">
      <c r="A3" s="3" t="inlineStr">
        <is>
          <t>ASSESSMENT SUMMARY</t>
        </is>
      </c>
    </row>
    <row r="4">
      <c r="A4" s="6" t="inlineStr">
        <is>
          <t>Assessment Document:</t>
        </is>
      </c>
      <c r="B4" t="inlineStr">
        <is>
          <t>RPO/RTO Compliance Matrix</t>
        </is>
      </c>
    </row>
    <row r="5">
      <c r="A5" s="6" t="inlineStr">
        <is>
          <t>Assessment ID:</t>
        </is>
      </c>
      <c r="B5" t="inlineStr">
        <is>
          <t>ISMS-IMP-A.8.13.3</t>
        </is>
      </c>
    </row>
    <row r="6">
      <c r="A6" s="6" t="inlineStr">
        <is>
          <t>ISO 27001:2022 Controls:</t>
        </is>
      </c>
      <c r="B6" t="inlineStr">
        <is>
          <t>A.8.13 (Information Backup)</t>
        </is>
      </c>
    </row>
    <row r="7">
      <c r="A7" s="6" t="inlineStr">
        <is>
          <t>Assessment Period:</t>
        </is>
      </c>
      <c r="B7" s="35" t="inlineStr">
        <is>
          <t>[USER INPUT - e.g., Q1 2024, January 2024]</t>
        </is>
      </c>
    </row>
    <row r="8">
      <c r="A8" s="6" t="inlineStr">
        <is>
          <t>Total Systems Assessed:</t>
        </is>
      </c>
      <c r="B8">
        <f>Summary!B5</f>
        <v/>
      </c>
    </row>
    <row r="9">
      <c r="A9" s="6" t="inlineStr">
        <is>
          <t>Overall RPO/RTO Compliance Rate:</t>
        </is>
      </c>
      <c r="B9" s="36">
        <f>Summary!B10</f>
        <v/>
      </c>
    </row>
    <row r="10">
      <c r="A10" s="6" t="inlineStr">
        <is>
          <t>Critical Priority Gaps:</t>
        </is>
      </c>
      <c r="B10">
        <f>Summary!B23</f>
        <v/>
      </c>
    </row>
    <row r="11">
      <c r="A11" s="6" t="inlineStr">
        <is>
          <t>Open Gaps Requiring Remediation:</t>
        </is>
      </c>
      <c r="B11">
        <f>Summary!B29</f>
        <v/>
      </c>
    </row>
    <row r="12">
      <c r="A12" s="6" t="inlineStr">
        <is>
          <t>Critical Gaps Summary:</t>
        </is>
      </c>
      <c r="B12" s="35" t="inlineStr">
        <is>
          <t>[USER INPUT - list critical gaps from Gap_Analysis]</t>
        </is>
      </c>
    </row>
    <row r="13">
      <c r="A13" s="6" t="inlineStr">
        <is>
          <t>Evidence Items Collected:</t>
        </is>
      </c>
      <c r="B13">
        <f>COUNTA(Evidence_Register!A5:A104)</f>
        <v/>
      </c>
    </row>
    <row r="14">
      <c r="A14" s="6" t="inlineStr">
        <is>
          <t>Assessment Status:</t>
        </is>
      </c>
      <c r="B14" s="35" t="inlineStr">
        <is>
          <t>[SELECT FROM DROPDOWN]</t>
        </is>
      </c>
    </row>
    <row r="17">
      <c r="A17" s="3" t="inlineStr">
        <is>
          <t>LEVEL 1: ASSESSMENT COMPLETED BY</t>
        </is>
      </c>
    </row>
    <row r="18">
      <c r="A18" s="6" t="inlineStr">
        <is>
          <t>Name:</t>
        </is>
      </c>
      <c r="B18" s="35" t="n"/>
    </row>
    <row r="19">
      <c r="A19" s="6" t="inlineStr">
        <is>
          <t>Role/Title:</t>
        </is>
      </c>
      <c r="B19" s="35" t="n"/>
    </row>
    <row r="20">
      <c r="A20" s="6" t="inlineStr">
        <is>
          <t>Department:</t>
        </is>
      </c>
      <c r="B20" s="35" t="n"/>
    </row>
    <row r="21">
      <c r="A21" s="6" t="inlineStr">
        <is>
          <t>Email:</t>
        </is>
      </c>
      <c r="B21" s="35" t="n"/>
    </row>
    <row r="22">
      <c r="A22" s="6" t="inlineStr">
        <is>
          <t>Date Completed:</t>
        </is>
      </c>
      <c r="B22" s="37">
        <f>TODAY()</f>
        <v/>
      </c>
    </row>
    <row r="23">
      <c r="A23" s="6" t="inlineStr">
        <is>
          <t>Signature/Initials:</t>
        </is>
      </c>
      <c r="B23" s="35" t="n"/>
    </row>
    <row r="26">
      <c r="A26" s="3" t="inlineStr">
        <is>
          <t>LEVEL 2: REVIEWED BY (INFORMATION SECURITY OFFICER)</t>
        </is>
      </c>
    </row>
    <row r="27">
      <c r="A27" s="6" t="inlineStr">
        <is>
          <t>Name:</t>
        </is>
      </c>
      <c r="B27" s="35" t="n"/>
    </row>
    <row r="28">
      <c r="A28" s="6" t="inlineStr">
        <is>
          <t>Review Date:</t>
        </is>
      </c>
      <c r="B28" s="38" t="n"/>
    </row>
    <row r="29">
      <c r="A29" s="6" t="inlineStr">
        <is>
          <t>Review Notes:</t>
        </is>
      </c>
      <c r="B29" s="39" t="n"/>
    </row>
    <row r="30"/>
    <row r="31"/>
    <row r="32">
      <c r="A32" s="6" t="inlineStr">
        <is>
          <t>Recommendation:</t>
        </is>
      </c>
      <c r="B32" s="35" t="n"/>
    </row>
    <row r="35">
      <c r="A35" s="40" t="inlineStr">
        <is>
          <t>LEVEL 3: APPROVED BY (CISO / SECURITY DIRECTOR)</t>
        </is>
      </c>
    </row>
    <row r="36">
      <c r="A36" s="6" t="inlineStr">
        <is>
          <t>Name:</t>
        </is>
      </c>
      <c r="B36" s="35" t="n"/>
    </row>
    <row r="37">
      <c r="A37" s="6" t="inlineStr">
        <is>
          <t>Approval Date:</t>
        </is>
      </c>
      <c r="B37" s="38" t="n"/>
    </row>
    <row r="38">
      <c r="A38" s="6" t="inlineStr">
        <is>
          <t>Approval Decision:</t>
        </is>
      </c>
      <c r="B38" s="35" t="n"/>
    </row>
    <row r="39">
      <c r="A39" s="6" t="inlineStr">
        <is>
          <t>Conditions/Notes:</t>
        </is>
      </c>
      <c r="B39" s="39" t="n"/>
    </row>
    <row r="40"/>
    <row r="41"/>
    <row r="44">
      <c r="A44" s="3" t="inlineStr">
        <is>
          <t>NEXT REVIEW DETAILS</t>
        </is>
      </c>
    </row>
    <row r="45">
      <c r="A45" s="6" t="inlineStr">
        <is>
          <t>Next Review Date (Quarterly):</t>
        </is>
      </c>
      <c r="B45" s="37">
        <f>TODAY()+90</f>
        <v/>
      </c>
    </row>
    <row r="46">
      <c r="A46" s="6" t="inlineStr">
        <is>
          <t>Review Responsible:</t>
        </is>
      </c>
      <c r="B46" s="35" t="n"/>
    </row>
    <row r="47">
      <c r="A47" s="6" t="inlineStr">
        <is>
          <t>Special Considerations:</t>
        </is>
      </c>
      <c r="B47" s="35" t="n"/>
    </row>
    <row r="50">
      <c r="A50" s="3" t="inlineStr">
        <is>
          <t>APPROVAL WORKFLOW REQUIREMENTS</t>
        </is>
      </c>
    </row>
    <row r="51">
      <c r="A51" s="5" t="inlineStr">
        <is>
          <t>• All 3 approval levels must be completed for final approval</t>
        </is>
      </c>
    </row>
    <row r="52">
      <c r="A52" s="5" t="inlineStr">
        <is>
          <t>• Minimum 5 evidence items must be documented in Evidence_Register</t>
        </is>
      </c>
    </row>
    <row r="53">
      <c r="A53" s="5" t="inlineStr">
        <is>
          <t>• Assessment status must be "Final" before CISO approval</t>
        </is>
      </c>
    </row>
    <row r="54">
      <c r="A54" s="5" t="inlineStr">
        <is>
          <t>• If "Requires Remediation", re-assessment required after gap closure</t>
        </is>
      </c>
    </row>
    <row r="55">
      <c r="A55" s="5" t="inlineStr">
        <is>
          <t>• Quarterly re-assessment recommended for continuous compliance (RPO/RTO capabilities change)</t>
        </is>
      </c>
    </row>
    <row r="56">
      <c r="A56" s="5" t="inlineStr">
        <is>
          <t>• Critical priority gaps (🔴) require executive awareness and remediation tracking</t>
        </is>
      </c>
    </row>
  </sheetData>
  <mergeCells count="37">
    <mergeCell ref="B9:E9"/>
    <mergeCell ref="B37:E37"/>
    <mergeCell ref="B6:E6"/>
    <mergeCell ref="A1:E1"/>
    <mergeCell ref="B5:E5"/>
    <mergeCell ref="B20:E20"/>
    <mergeCell ref="B36:E36"/>
    <mergeCell ref="B32:E32"/>
    <mergeCell ref="B45:E45"/>
    <mergeCell ref="B4:E4"/>
    <mergeCell ref="B7:E7"/>
    <mergeCell ref="B47:E47"/>
    <mergeCell ref="B46:E46"/>
    <mergeCell ref="B22:E22"/>
    <mergeCell ref="A3:E3"/>
    <mergeCell ref="B18:E18"/>
    <mergeCell ref="B27:E27"/>
    <mergeCell ref="A50:E50"/>
    <mergeCell ref="A26:E26"/>
    <mergeCell ref="B12:E12"/>
    <mergeCell ref="B21:E21"/>
    <mergeCell ref="B39:E39"/>
    <mergeCell ref="B11:E11"/>
    <mergeCell ref="A17:E17"/>
    <mergeCell ref="B14:E14"/>
    <mergeCell ref="B23:E23"/>
    <mergeCell ref="A35:E35"/>
    <mergeCell ref="B8:E8"/>
    <mergeCell ref="B39:E41"/>
    <mergeCell ref="B13:E13"/>
    <mergeCell ref="B38:E38"/>
    <mergeCell ref="B29:E29"/>
    <mergeCell ref="B19:E19"/>
    <mergeCell ref="B29:E31"/>
    <mergeCell ref="A44:E44"/>
    <mergeCell ref="B10:E10"/>
    <mergeCell ref="B28:E28"/>
  </mergeCells>
  <dataValidations count="3">
    <dataValidation sqref="B14" showDropDown="0" showInputMessage="0" showErrorMessage="0" allowBlank="0" type="list">
      <formula1>"Draft,Under Review,Final,Requires Remediation"</formula1>
    </dataValidation>
    <dataValidation sqref="B38" showDropDown="0" showInputMessage="0" showErrorMessage="0" allowBlank="0" type="list">
      <formula1>"Approved,Approved with Conditions,Rejected,Requires Rework"</formula1>
    </dataValidation>
    <dataValidation sqref="B32"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2026-01-31T02:18:30Z</dcterms:created>
  <dcterms:modified xmlns:dcterms="http://purl.org/dc/terms/" xmlns:xsi="http://www.w3.org/2001/XMLSchema-instance" xsi:type="dcterms:W3CDTF">2026-01-31T02:18:31Z</dcterms:modified>
</cp:coreProperties>
</file>