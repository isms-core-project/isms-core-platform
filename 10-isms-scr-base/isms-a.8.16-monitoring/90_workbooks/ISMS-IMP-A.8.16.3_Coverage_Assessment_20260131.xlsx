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 Asset Coverage" sheetId="2" state="visible" r:id="rId2"/>
    <sheet xmlns:r="http://schemas.openxmlformats.org/officeDocument/2006/relationships" name="2. Network Coverage" sheetId="3" state="visible" r:id="rId3"/>
    <sheet xmlns:r="http://schemas.openxmlformats.org/officeDocument/2006/relationships" name="3. User Identity Coverage" sheetId="4" state="visible" r:id="rId4"/>
    <sheet xmlns:r="http://schemas.openxmlformats.org/officeDocument/2006/relationships" name="4. Application Coverage" sheetId="5" state="visible" r:id="rId5"/>
    <sheet xmlns:r="http://schemas.openxmlformats.org/officeDocument/2006/relationships" name="5. Gap Analysis" sheetId="6" state="visible" r:id="rId6"/>
    <sheet xmlns:r="http://schemas.openxmlformats.org/officeDocument/2006/relationships" name="Summary Dashboard" sheetId="7" state="visible" r:id="rId7"/>
    <sheet xmlns:r="http://schemas.openxmlformats.org/officeDocument/2006/relationships" name="Evidence Register"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1"/>
    </font>
    <font>
      <b val="1"/>
      <color rgb="00FFFFFF"/>
      <sz val="12"/>
    </font>
    <font>
      <b val="1"/>
    </font>
    <font>
      <b val="1"/>
      <color rgb="00003366"/>
      <sz val="11"/>
    </font>
    <font>
      <b val="1"/>
      <sz val="11"/>
    </font>
    <font>
      <name val="Calibri"/>
      <b val="1"/>
      <sz val="10"/>
    </font>
    <font>
      <name val="Calibri"/>
      <i val="1"/>
      <color rgb="00808080"/>
      <sz val="9"/>
    </font>
    <font>
      <b val="1"/>
      <sz val="12"/>
    </font>
    <font>
      <b val="1"/>
      <color rgb="00003366"/>
      <sz val="12"/>
    </font>
  </fonts>
  <fills count="8">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E7E6E6"/>
        <bgColor rgb="00E7E6E6"/>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xf>
    <xf numFmtId="0" fontId="4" fillId="0" borderId="0" pivotButton="0" quotePrefix="0" xfId="0"/>
    <xf numFmtId="0" fontId="0" fillId="4" borderId="0" pivotButton="0" quotePrefix="0" xfId="0"/>
    <xf numFmtId="0" fontId="0" fillId="0" borderId="0"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vertical="center" wrapText="1"/>
    </xf>
    <xf numFmtId="0" fontId="7" fillId="5" borderId="1" applyAlignment="1" pivotButton="0" quotePrefix="0" xfId="0">
      <alignment horizontal="center" vertical="center" wrapText="1"/>
    </xf>
    <xf numFmtId="0" fontId="8" fillId="6" borderId="0" applyAlignment="1" pivotButton="0" quotePrefix="0" xfId="0">
      <alignment horizontal="left" vertical="center" wrapText="1"/>
    </xf>
    <xf numFmtId="0" fontId="0" fillId="4" borderId="1" pivotButton="0" quotePrefix="0" xfId="0"/>
    <xf numFmtId="0" fontId="0" fillId="0" borderId="4" pivotButton="0" quotePrefix="0" xfId="0"/>
    <xf numFmtId="0" fontId="0" fillId="0" borderId="5" pivotButton="0" quotePrefix="0" xfId="0"/>
    <xf numFmtId="0" fontId="9" fillId="0" borderId="0" pivotButton="0" quotePrefix="0" xfId="0"/>
    <xf numFmtId="0" fontId="10" fillId="0" borderId="0" pivotButton="0" quotePrefix="0" xfId="0"/>
    <xf numFmtId="0" fontId="0" fillId="7" borderId="0" pivotButton="0" quotePrefix="0" xfId="0"/>
    <xf numFmtId="0" fontId="0" fillId="4" borderId="1" applyAlignment="1" pivotButton="0" quotePrefix="0" xfId="0">
      <alignment vertical="center" wrapText="1"/>
    </xf>
    <xf numFmtId="0" fontId="4" fillId="0" borderId="0" applyAlignment="1" pivotButton="0" quotePrefix="0" xfId="0">
      <alignment vertical="center" wrapText="1"/>
    </xf>
    <xf numFmtId="0" fontId="6"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5" customWidth="1" min="1" max="1"/>
    <col width="40" customWidth="1" min="2" max="2"/>
    <col width="15" customWidth="1" min="3" max="3"/>
    <col width="15" customWidth="1" min="4" max="4"/>
    <col width="15" customWidth="1" min="5" max="5"/>
    <col width="15" customWidth="1" min="6" max="6"/>
    <col width="15" customWidth="1" min="7" max="7"/>
  </cols>
  <sheetData>
    <row r="1" ht="40" customHeight="1">
      <c r="A1" s="1" t="inlineStr">
        <is>
          <t>MONITORING COVERAGE ASSESSMENT</t>
        </is>
      </c>
    </row>
    <row r="2" ht="25" customHeight="1">
      <c r="A2" s="2" t="inlineStr">
        <is>
          <t>ISO/IEC 27001:2022 - Control A.8.16: Monitoring Activities</t>
        </is>
      </c>
    </row>
    <row r="4">
      <c r="A4" s="3" t="inlineStr">
        <is>
          <t>DOCUMENT INFORMATION</t>
        </is>
      </c>
    </row>
    <row r="5">
      <c r="A5" s="4" t="inlineStr">
        <is>
          <t>Document ID:</t>
        </is>
      </c>
      <c r="B5" t="inlineStr">
        <is>
          <t>ISMS-IMP-A.8.16.3</t>
        </is>
      </c>
    </row>
    <row r="6">
      <c r="A6" s="4" t="inlineStr">
        <is>
          <t>Assessment Area:</t>
        </is>
      </c>
      <c r="B6" t="inlineStr">
        <is>
          <t>Monitoring Coverage</t>
        </is>
      </c>
    </row>
    <row r="7">
      <c r="A7" s="4" t="inlineStr">
        <is>
          <t>Related Policy:</t>
        </is>
      </c>
      <c r="B7" t="inlineStr">
        <is>
          <t>ISMS-POL-A.8.16-S2.1.1, S2.1.2</t>
        </is>
      </c>
    </row>
    <row r="8">
      <c r="A8" s="4" t="inlineStr">
        <is>
          <t>Version:</t>
        </is>
      </c>
      <c r="B8" t="inlineStr">
        <is>
          <t>1.0</t>
        </is>
      </c>
    </row>
    <row r="9">
      <c r="A9" s="4" t="inlineStr">
        <is>
          <t>Assessment Date:</t>
        </is>
      </c>
      <c r="B9" s="5" t="inlineStr">
        <is>
          <t>[USER INPUT - DD.MM.YYYY]</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3">
      <c r="A13" s="4" t="inlineStr">
        <is>
          <t>Next Review Date:</t>
        </is>
      </c>
      <c r="B13">
        <f>IF(B8&lt;&gt;"","=B8+90","")</f>
        <v/>
      </c>
    </row>
    <row r="16">
      <c r="A16" s="3" t="inlineStr">
        <is>
          <t>HOW TO USE THIS WORKBOOK</t>
        </is>
      </c>
    </row>
    <row r="17" ht="25" customHeight="1">
      <c r="A17" s="6" t="inlineStr">
        <is>
          <t>1. Complete comprehensive asset inventory (Sheet 1)</t>
        </is>
      </c>
    </row>
    <row r="18" ht="25" customHeight="1">
      <c r="A18" s="6" t="inlineStr">
        <is>
          <t>2. Document all network segments and coverage (Sheet 2)</t>
        </is>
      </c>
    </row>
    <row r="19" ht="25" customHeight="1">
      <c r="A19" s="6" t="inlineStr">
        <is>
          <t>3. Assess user and identity system monitoring (Sheet 3)</t>
        </is>
      </c>
    </row>
    <row r="20" ht="25" customHeight="1">
      <c r="A20" s="6" t="inlineStr">
        <is>
          <t>4. Inventory application monitoring coverage (Sheet 4)</t>
        </is>
      </c>
    </row>
    <row r="21" ht="25" customHeight="1">
      <c r="A21" s="6" t="inlineStr">
        <is>
          <t>5. Identify and document all coverage gaps (Sheet 5)</t>
        </is>
      </c>
    </row>
    <row r="22" ht="25" customHeight="1">
      <c r="A22" s="6" t="inlineStr">
        <is>
          <t>6. Review Summary Dashboard for overall coverage status</t>
        </is>
      </c>
    </row>
    <row r="23" ht="25" customHeight="1">
      <c r="A23" s="6" t="inlineStr">
        <is>
          <t>7. Prioritize gaps by criticality and regulatory requirements</t>
        </is>
      </c>
    </row>
    <row r="24" ht="25" customHeight="1">
      <c r="A24" s="6" t="inlineStr">
        <is>
          <t>8. Document evidence in Evidence Register</t>
        </is>
      </c>
    </row>
    <row r="25" ht="25" customHeight="1">
      <c r="A25" s="6" t="inlineStr">
        <is>
          <t>9. Obtain approvals via Approval Sign-Off sheet</t>
        </is>
      </c>
    </row>
    <row r="28" ht="30" customHeight="1">
      <c r="A28" s="7" t="inlineStr">
        <is>
          <t>KEY PRINCIPLE: You Can't Protect What You Can't See</t>
        </is>
      </c>
    </row>
  </sheetData>
  <mergeCells count="5">
    <mergeCell ref="A1:G1"/>
    <mergeCell ref="A4:G4"/>
    <mergeCell ref="A16:G16"/>
    <mergeCell ref="A2:G2"/>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0"/>
  <sheetViews>
    <sheetView workbookViewId="0">
      <selection activeCell="A1" sqref="A1"/>
    </sheetView>
  </sheetViews>
  <sheetFormatPr baseColWidth="8" defaultRowHeight="15"/>
  <cols>
    <col width="15" customWidth="1" min="1" max="1"/>
    <col width="28" customWidth="1" min="2" max="2"/>
    <col width="22" customWidth="1" min="3" max="3"/>
    <col width="22" customWidth="1" min="4" max="4"/>
    <col width="18" customWidth="1" min="5" max="5"/>
    <col width="20" customWidth="1" min="6" max="6"/>
    <col width="20" customWidth="1" min="7" max="7"/>
    <col width="18" customWidth="1" min="8" max="8"/>
    <col width="15" customWidth="1" min="9" max="9"/>
    <col width="22" customWidth="1" min="10" max="10"/>
    <col width="16" customWidth="1" min="11" max="11"/>
    <col width="16" customWidth="1" min="12" max="12"/>
    <col width="30" customWidth="1" min="13" max="13"/>
    <col width="22" customWidth="1" min="14" max="14"/>
    <col width="16" customWidth="1" min="15" max="15"/>
    <col width="18" customWidth="1" min="16" max="16"/>
    <col width="14" customWidth="1" min="17" max="17"/>
    <col width="18" customWidth="1" min="18" max="18"/>
    <col width="30" customWidth="1" min="19" max="19"/>
    <col width="16" customWidth="1" min="20" max="20"/>
    <col width="14" customWidth="1" min="21" max="21"/>
    <col width="20" customWidth="1" min="22" max="22"/>
    <col width="25" customWidth="1" min="23" max="23"/>
  </cols>
  <sheetData>
    <row r="1" ht="35" customHeight="1">
      <c r="A1" s="1" t="inlineStr">
        <is>
          <t>1. ASSET INVENTORY &amp; MONITORING COVERAGE</t>
        </is>
      </c>
    </row>
    <row r="2">
      <c r="A2" s="2" t="inlineStr">
        <is>
          <t>Policy Reference: ISMS-POL-A.8.16-S2.1.1 - Assess asset coverage</t>
        </is>
      </c>
    </row>
    <row r="3" ht="30" customHeight="1">
      <c r="A3" s="8" t="inlineStr">
        <is>
          <t>Are all organizational assets inventoried and appropriate assets monitored?</t>
        </is>
      </c>
    </row>
    <row r="6">
      <c r="A6" s="9" t="inlineStr">
        <is>
          <t>Asset ID</t>
        </is>
      </c>
      <c r="B6" s="9" t="inlineStr">
        <is>
          <t>Asset Name</t>
        </is>
      </c>
      <c r="C6" s="9" t="inlineStr">
        <is>
          <t>Asset Type</t>
        </is>
      </c>
      <c r="D6" s="9" t="inlineStr">
        <is>
          <t>Operating System</t>
        </is>
      </c>
      <c r="E6" s="9" t="inlineStr">
        <is>
          <t>Location</t>
        </is>
      </c>
      <c r="F6" s="9" t="inlineStr">
        <is>
          <t>Business Unit</t>
        </is>
      </c>
      <c r="G6" s="9" t="inlineStr">
        <is>
          <t>Asset Owner</t>
        </is>
      </c>
      <c r="H6" s="9" t="inlineStr">
        <is>
          <t>Data Classification</t>
        </is>
      </c>
      <c r="I6" s="9" t="inlineStr">
        <is>
          <t>Criticality</t>
        </is>
      </c>
      <c r="J6" s="9" t="inlineStr">
        <is>
          <t>Regulatory Scope</t>
        </is>
      </c>
      <c r="K6" s="9" t="inlineStr">
        <is>
          <t>Monitoring Required</t>
        </is>
      </c>
      <c r="L6" s="9" t="inlineStr">
        <is>
          <t>Currently Monitored</t>
        </is>
      </c>
      <c r="M6" s="9" t="inlineStr">
        <is>
          <t>Log Types Collected</t>
        </is>
      </c>
      <c r="N6" s="9" t="inlineStr">
        <is>
          <t>Monitoring Platform</t>
        </is>
      </c>
      <c r="O6" s="9" t="inlineStr">
        <is>
          <t>Baseline Established</t>
        </is>
      </c>
      <c r="P6" s="9" t="inlineStr">
        <is>
          <t>Detection Rules Active</t>
        </is>
      </c>
      <c r="Q6" s="9" t="inlineStr">
        <is>
          <t>Last Log Verified</t>
        </is>
      </c>
      <c r="R6" s="9" t="inlineStr">
        <is>
          <t>Coverage Status</t>
        </is>
      </c>
      <c r="S6" s="9" t="inlineStr">
        <is>
          <t>Gap Reason</t>
        </is>
      </c>
      <c r="T6" s="9" t="inlineStr">
        <is>
          <t>Exception Approved</t>
        </is>
      </c>
      <c r="U6" s="9" t="inlineStr">
        <is>
          <t>Target Coverage Date</t>
        </is>
      </c>
      <c r="V6" s="9" t="inlineStr">
        <is>
          <t>Responsible Party</t>
        </is>
      </c>
      <c r="W6" s="9" t="inlineStr">
        <is>
          <t>Notes</t>
        </is>
      </c>
    </row>
    <row r="7">
      <c r="A7" s="10" t="inlineStr">
        <is>
          <t>SRV-001</t>
        </is>
      </c>
      <c r="B7" s="10" t="inlineStr">
        <is>
          <t>DC01-Primary</t>
        </is>
      </c>
      <c r="C7" s="10" t="inlineStr">
        <is>
          <t>Server</t>
        </is>
      </c>
      <c r="D7" s="10" t="inlineStr">
        <is>
          <t>Windows Server 2022</t>
        </is>
      </c>
      <c r="E7" s="10" t="inlineStr">
        <is>
          <t>DataCenter-1</t>
        </is>
      </c>
      <c r="F7" s="10" t="inlineStr">
        <is>
          <t>IT Operations</t>
        </is>
      </c>
      <c r="G7" s="10" t="inlineStr">
        <is>
          <t>J. Smith</t>
        </is>
      </c>
      <c r="H7" s="10" t="inlineStr">
        <is>
          <t>Confidential</t>
        </is>
      </c>
      <c r="I7" s="10" t="inlineStr">
        <is>
          <t>Critical</t>
        </is>
      </c>
      <c r="J7" s="10" t="inlineStr">
        <is>
          <t>Multiple</t>
        </is>
      </c>
      <c r="K7" s="10" t="inlineStr">
        <is>
          <t>Mandatory</t>
        </is>
      </c>
      <c r="L7" s="10" t="inlineStr">
        <is>
          <t>Yes</t>
        </is>
      </c>
      <c r="M7" s="10" t="inlineStr">
        <is>
          <t>Security, System, Application</t>
        </is>
      </c>
      <c r="N7" s="10" t="inlineStr">
        <is>
          <t>Splunk</t>
        </is>
      </c>
      <c r="O7" s="10" t="inlineStr">
        <is>
          <t>Yes</t>
        </is>
      </c>
      <c r="P7" s="10" t="inlineStr">
        <is>
          <t>15</t>
        </is>
      </c>
      <c r="Q7" s="10" t="inlineStr">
        <is>
          <t>05.01.2025</t>
        </is>
      </c>
      <c r="R7" s="10" t="inlineStr">
        <is>
          <t>✅ Full Coverage</t>
        </is>
      </c>
      <c r="S7" s="10" t="inlineStr">
        <is>
          <t>None</t>
        </is>
      </c>
      <c r="T7" s="10" t="inlineStr">
        <is>
          <t>N/A</t>
        </is>
      </c>
      <c r="U7" s="10" t="inlineStr">
        <is>
          <t>N/A</t>
        </is>
      </c>
      <c r="V7" s="10" t="inlineStr">
        <is>
          <t>SOC Team</t>
        </is>
      </c>
      <c r="W7" s="10" t="inlineStr">
        <is>
          <t>Production DC</t>
        </is>
      </c>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row>
    <row r="33">
      <c r="A33" s="11" t="n"/>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row>
    <row r="34">
      <c r="A34" s="11" t="n"/>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row>
    <row r="35">
      <c r="A35" s="11" t="n"/>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row>
    <row r="36">
      <c r="A36" s="11" t="n"/>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row>
    <row r="37">
      <c r="A37" s="11" t="n"/>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row>
    <row r="38">
      <c r="A38" s="11" t="n"/>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row>
    <row r="39">
      <c r="A39" s="11" t="n"/>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row>
    <row r="40">
      <c r="A40" s="11" t="n"/>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row>
    <row r="41">
      <c r="A41" s="11" t="n"/>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row>
    <row r="42">
      <c r="A42" s="11" t="n"/>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row>
    <row r="43">
      <c r="A43" s="11" t="n"/>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row>
    <row r="44">
      <c r="A44" s="11" t="n"/>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row>
    <row r="45">
      <c r="A45" s="11" t="n"/>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row>
    <row r="46">
      <c r="A46" s="11" t="n"/>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row>
    <row r="47">
      <c r="A47" s="11" t="n"/>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row>
    <row r="48">
      <c r="A48" s="11" t="n"/>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row>
    <row r="49">
      <c r="A49" s="11" t="n"/>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row>
    <row r="50">
      <c r="A50" s="11" t="n"/>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row>
    <row r="53">
      <c r="A53" s="3" t="inlineStr">
        <is>
          <t>ASSET COVERAGE COMPLIANCE CHECKLIST</t>
        </is>
      </c>
    </row>
    <row r="54">
      <c r="A54" s="9" t="inlineStr">
        <is>
          <t>#</t>
        </is>
      </c>
      <c r="B54" s="9" t="inlineStr">
        <is>
          <t>Requirement</t>
        </is>
      </c>
      <c r="C54" s="12" t="n"/>
      <c r="D54" s="12" t="n"/>
      <c r="E54" s="12" t="n"/>
      <c r="F54" s="12" t="n"/>
      <c r="G54" s="12" t="n"/>
      <c r="H54" s="12" t="n"/>
      <c r="I54" s="12" t="n"/>
      <c r="J54" s="12" t="n"/>
      <c r="K54" s="12" t="n"/>
      <c r="L54" s="12" t="n"/>
      <c r="M54" s="12" t="n"/>
      <c r="N54" s="12" t="n"/>
      <c r="O54" s="12" t="n"/>
      <c r="P54" s="12" t="n"/>
      <c r="Q54" s="12" t="n"/>
      <c r="R54" s="12" t="n"/>
      <c r="S54" s="12" t="n"/>
      <c r="T54" s="12" t="n"/>
      <c r="U54" s="12" t="n"/>
      <c r="V54" s="13" t="n"/>
    </row>
    <row r="55" ht="25" customHeight="1">
      <c r="A55" t="n">
        <v>1</v>
      </c>
      <c r="B55" s="6" t="inlineStr">
        <is>
          <t>Complete asset inventory maintained</t>
        </is>
      </c>
      <c r="W55" s="5" t="n"/>
    </row>
    <row r="56" ht="25" customHeight="1">
      <c r="A56" t="n">
        <v>2</v>
      </c>
      <c r="B56" s="6" t="inlineStr">
        <is>
          <t>Asset inventory updated at least quarterly</t>
        </is>
      </c>
      <c r="W56" s="5" t="n"/>
    </row>
    <row r="57" ht="25" customHeight="1">
      <c r="A57" t="n">
        <v>3</v>
      </c>
      <c r="B57" s="6" t="inlineStr">
        <is>
          <t>All assets classified by criticality</t>
        </is>
      </c>
      <c r="W57" s="5" t="n"/>
    </row>
    <row r="58" ht="25" customHeight="1">
      <c r="A58" t="n">
        <v>4</v>
      </c>
      <c r="B58" s="6" t="inlineStr">
        <is>
          <t>All Critical assets monitored (100%)</t>
        </is>
      </c>
      <c r="W58" s="5" t="n"/>
    </row>
    <row r="59" ht="25" customHeight="1">
      <c r="A59" t="n">
        <v>5</v>
      </c>
      <c r="B59" s="6" t="inlineStr">
        <is>
          <t>&gt;80% of High priority assets monitored</t>
        </is>
      </c>
      <c r="W59" s="5" t="n"/>
    </row>
    <row r="60" ht="25" customHeight="1">
      <c r="A60" t="n">
        <v>6</v>
      </c>
      <c r="B60" s="6" t="inlineStr">
        <is>
          <t>&gt;60% of Medium priority assets monitored</t>
        </is>
      </c>
      <c r="W60" s="5" t="n"/>
    </row>
    <row r="61" ht="25" customHeight="1">
      <c r="A61" t="n">
        <v>7</v>
      </c>
      <c r="B61" s="6" t="inlineStr">
        <is>
          <t>All PCI-DSS scope systems monitored</t>
        </is>
      </c>
      <c r="W61" s="5" t="n"/>
    </row>
    <row r="62" ht="25" customHeight="1">
      <c r="A62" t="n">
        <v>8</v>
      </c>
      <c r="B62" s="6" t="inlineStr">
        <is>
          <t>All HIPAA scope systems monitored</t>
        </is>
      </c>
      <c r="W62" s="5" t="n"/>
    </row>
    <row r="63" ht="25" customHeight="1">
      <c r="A63" t="n">
        <v>9</v>
      </c>
      <c r="B63" s="6" t="inlineStr">
        <is>
          <t>All systems handling confidential data monitored</t>
        </is>
      </c>
      <c r="W63" s="5" t="n"/>
    </row>
    <row r="64" ht="25" customHeight="1">
      <c r="A64" t="n">
        <v>10</v>
      </c>
      <c r="B64" s="6" t="inlineStr">
        <is>
          <t>Monitoring coverage gaps documented</t>
        </is>
      </c>
      <c r="W64" s="5" t="n"/>
    </row>
    <row r="65" ht="25" customHeight="1">
      <c r="A65" t="n">
        <v>11</v>
      </c>
      <c r="B65" s="6" t="inlineStr">
        <is>
          <t>Exceptions formally approved</t>
        </is>
      </c>
      <c r="W65" s="5" t="n"/>
    </row>
    <row r="66" ht="25" customHeight="1">
      <c r="A66" t="n">
        <v>12</v>
      </c>
      <c r="B66" s="6" t="inlineStr">
        <is>
          <t>Gap remediation plans exist</t>
        </is>
      </c>
      <c r="W66" s="5" t="n"/>
    </row>
    <row r="67" ht="25" customHeight="1">
      <c r="A67" t="n">
        <v>13</v>
      </c>
      <c r="B67" s="6" t="inlineStr">
        <is>
          <t>Coverage status reported monthly</t>
        </is>
      </c>
      <c r="W67" s="5" t="n"/>
    </row>
    <row r="68" ht="25" customHeight="1">
      <c r="A68" t="n">
        <v>14</v>
      </c>
      <c r="B68" s="6" t="inlineStr">
        <is>
          <t>Asset decommissioning process includes monitoring removal</t>
        </is>
      </c>
      <c r="W68" s="5" t="n"/>
    </row>
    <row r="69" ht="25" customHeight="1">
      <c r="A69" t="n">
        <v>15</v>
      </c>
      <c r="B69" s="6" t="inlineStr">
        <is>
          <t>New assets onboarded to monitoring within 30 days</t>
        </is>
      </c>
      <c r="W69" s="5" t="n"/>
    </row>
    <row r="70">
      <c r="A70" s="14" t="inlineStr">
        <is>
          <t>SCORE:</t>
        </is>
      </c>
      <c r="B70" s="15">
        <f>COUNTIF(W55:W69,"✅ Compliant")&amp;" / 15"</f>
        <v/>
      </c>
    </row>
  </sheetData>
  <mergeCells count="21">
    <mergeCell ref="B58:V58"/>
    <mergeCell ref="B60:V60"/>
    <mergeCell ref="B67:V67"/>
    <mergeCell ref="B61:V61"/>
    <mergeCell ref="B57:V57"/>
    <mergeCell ref="A1:W1"/>
    <mergeCell ref="B69:V69"/>
    <mergeCell ref="B65:V65"/>
    <mergeCell ref="B55:V55"/>
    <mergeCell ref="B68:V68"/>
    <mergeCell ref="B64:V64"/>
    <mergeCell ref="B70:E70"/>
    <mergeCell ref="A3:W3"/>
    <mergeCell ref="B63:V63"/>
    <mergeCell ref="A2:W2"/>
    <mergeCell ref="B54:V54"/>
    <mergeCell ref="B62:V62"/>
    <mergeCell ref="A53:W53"/>
    <mergeCell ref="B59:V59"/>
    <mergeCell ref="B66:V66"/>
    <mergeCell ref="B56:V56"/>
  </mergeCells>
  <dataValidations count="9">
    <dataValidation sqref="O8 O9 O10 O11 O12 O13 O14 O15 O16 O17 O18 O19 O20 O21 O22 O23 O24 O25 O26 O27 O28 O29 O30 O31 O32 O33 O34 O35 O36 O37 O38 O39 O40 O41 O42 O43 O44 O45 O46 O47 O48 O49 O50 T8 T9 T10 T11 T12 T13 T14 T15 T16 T17 T18 T19 T20 T21 T22 T23 T24 T25 T26 T27 T28 T29 T30 T31 T32 T33 T34 T35 T36 T37 T38 T39 T40 T41 T42 T43 T44 T45 T46 T47 T48 T49 T50" showDropDown="0" showInputMessage="0" showErrorMessage="0" allowBlank="0" type="list">
      <formula1>"Yes,No,N/A"</formula1>
    </dataValidation>
    <dataValidation sqref="L8 L9 L10 L11 L12 L13 L14 L15 L16 L17 L18 L19 L20 L21 L22 L23 L24 L25 L26 L27 L28 L29 L30 L31 L32 L33 L34 L35 L36 L37 L38 L39 L40 L41 L42 L43 L44 L45 L46 L47 L48 L49 L50" showDropDown="0" showInputMessage="0" showErrorMessage="0" allowBlank="0" type="list">
      <formula1>"Yes,No,Partial"</formula1>
    </dataValidation>
    <dataValidation sqref="C8 C9 C10 C11 C12 C13 C14 C15 C16 C17 C18 C19 C20 C21 C22 C23 C24 C25 C26 C27 C28 C29 C30 C31 C32 C33 C34 C35 C36 C37 C38 C39 C40 C41 C42 C43 C44 C45 C46 C47 C48 C49 C50" showDropDown="0" showInputMessage="0" showErrorMessage="0" allowBlank="0" type="list">
      <formula1>"Server,Network Device,Security Device,Endpoint,Cloud Resource,Database,Application,Container,IoT Device,Other"</formula1>
    </dataValidation>
    <dataValidation sqref="H8 H9 H10 H11 H12 H13 H14 H15 H16 H17 H18 H19 H20 H21 H22 H23 H24 H25 H26 H27 H28 H29 H30 H31 H32 H33 H34 H35 H36 H37 H38 H39 H40 H41 H42 H43 H44 H45 H46 H47 H48 H49 H50" showDropDown="0" showInputMessage="0" showErrorMessage="0" allowBlank="0" type="list">
      <formula1>"Confidential,Internal,Public"</formula1>
    </dataValidation>
    <dataValidation sqref="I8 I9 I10 I11 I12 I13 I14 I15 I16 I17 I18 I19 I20 I21 I22 I23 I24 I25 I26 I27 I28 I29 I30 I31 I32 I33 I34 I35 I36 I37 I38 I39 I40 I41 I42 I43 I44 I45 I46 I47 I48 I49 I50" showDropDown="0" showInputMessage="0" showErrorMessage="0" allowBlank="0" type="list">
      <formula1>"Critical,High,Medium,Low"</formula1>
    </dataValidation>
    <dataValidation sqref="J8 J9 J10 J11 J12 J13 J14 J15 J16 J17 J18 J19 J20 J21 J22 J23 J24 J25 J26 J27 J28 J29 J30 J31 J32 J33 J34 J35 J36 J37 J38 J39 J40 J41 J42 J43 J44 J45 J46 J47 J48 J49 J50" showDropDown="0" showInputMessage="0" showErrorMessage="0" allowBlank="0" type="list">
      <formula1>"PCI-DSS,HIPAA,GDPR,SOX,Multiple,None"</formula1>
    </dataValidation>
    <dataValidation sqref="K8 K9 K10 K11 K12 K13 K14 K15 K16 K17 K18 K19 K20 K21 K22 K23 K24 K25 K26 K27 K28 K29 K30 K31 K32 K33 K34 K35 K36 K37 K38 K39 K40 K41 K42 K43 K44 K45 K46 K47 K48 K49 K50" showDropDown="0" showInputMessage="0" showErrorMessage="0" allowBlank="0" type="list">
      <formula1>"Mandatory,Recommended,Optional,N/A"</formula1>
    </dataValidation>
    <dataValidation sqref="R8 R9 R10 R11 R12 R13 R14 R15 R16 R17 R18 R19 R20 R21 R22 R23 R24 R25 R26 R27 R28 R29 R30 R31 R32 R33 R34 R35 R36 R37 R38 R39 R40 R41 R42 R43 R44 R45 R46 R47 R48 R49 R50" showDropDown="0" showInputMessage="0" showErrorMessage="0" allowBlank="0" type="list">
      <formula1>"✅ Full Coverage,⚠️ Partial Coverage,❌ No Coverage,N/A"</formula1>
    </dataValidation>
    <dataValidation sqref="W55 W56 W57 W58 W59 W60 W61 W62 W63 W64 W65 W66 W67 W68 W69"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7"/>
  <sheetViews>
    <sheetView workbookViewId="0">
      <selection activeCell="A1" sqref="A1"/>
    </sheetView>
  </sheetViews>
  <sheetFormatPr baseColWidth="8" defaultRowHeight="15"/>
  <cols>
    <col width="28" customWidth="1" min="1" max="1"/>
    <col width="22" customWidth="1" min="2" max="2"/>
    <col width="20" customWidth="1" min="3" max="3"/>
    <col width="12" customWidth="1" min="4" max="4"/>
    <col width="15" customWidth="1" min="5" max="5"/>
    <col width="15" customWidth="1" min="6" max="6"/>
    <col width="18" customWidth="1" min="7" max="7"/>
    <col width="18" customWidth="1" min="8" max="8"/>
    <col width="16" customWidth="1" min="9" max="9"/>
    <col width="16" customWidth="1" min="10" max="10"/>
    <col width="18" customWidth="1" min="11" max="11"/>
    <col width="18" customWidth="1" min="12" max="12"/>
    <col width="16" customWidth="1" min="13" max="13"/>
    <col width="16" customWidth="1" min="14" max="14"/>
    <col width="18" customWidth="1" min="15" max="15"/>
    <col width="30" customWidth="1" min="16" max="16"/>
    <col width="16" customWidth="1" min="17" max="17"/>
    <col width="14" customWidth="1" min="18" max="18"/>
    <col width="20" customWidth="1" min="19" max="19"/>
    <col width="25" customWidth="1" min="20" max="20"/>
  </cols>
  <sheetData>
    <row r="1" ht="35" customHeight="1">
      <c r="A1" s="1" t="inlineStr">
        <is>
          <t>2. NETWORK SEGMENT COVERAGE ASSESSMENT</t>
        </is>
      </c>
    </row>
    <row r="2">
      <c r="A2" s="2" t="inlineStr">
        <is>
          <t>Policy Reference: ISMS-POL-A.8.16-S2.1.1 - Assess network coverage</t>
        </is>
      </c>
    </row>
    <row r="6">
      <c r="A6" s="9" t="inlineStr">
        <is>
          <t>Network Segment/Zone</t>
        </is>
      </c>
      <c r="B6" s="9" t="inlineStr">
        <is>
          <t>Segment Type</t>
        </is>
      </c>
      <c r="C6" s="9" t="inlineStr">
        <is>
          <t>IP Range/CIDR</t>
        </is>
      </c>
      <c r="D6" s="9" t="inlineStr">
        <is>
          <t>VLAN ID</t>
        </is>
      </c>
      <c r="E6" s="9" t="inlineStr">
        <is>
          <t>Number of Assets</t>
        </is>
      </c>
      <c r="F6" s="9" t="inlineStr">
        <is>
          <t>Criticality</t>
        </is>
      </c>
      <c r="G6" s="9" t="inlineStr">
        <is>
          <t>Data Classification</t>
        </is>
      </c>
      <c r="H6" s="9" t="inlineStr">
        <is>
          <t>Perimeter Monitoring</t>
        </is>
      </c>
      <c r="I6" s="9" t="inlineStr">
        <is>
          <t>Flow Monitoring</t>
        </is>
      </c>
      <c r="J6" s="9" t="inlineStr">
        <is>
          <t>DNS Monitoring</t>
        </is>
      </c>
      <c r="K6" s="9" t="inlineStr">
        <is>
          <t>Endpoint Monitoring</t>
        </is>
      </c>
      <c r="L6" s="9" t="inlineStr">
        <is>
          <t>Log Collection Active</t>
        </is>
      </c>
      <c r="M6" s="9" t="inlineStr">
        <is>
          <t>Network Tap/SPAN</t>
        </is>
      </c>
      <c r="N6" s="9" t="inlineStr">
        <is>
          <t>Isolation Status</t>
        </is>
      </c>
      <c r="O6" s="9" t="inlineStr">
        <is>
          <t>Coverage Status</t>
        </is>
      </c>
      <c r="P6" s="9" t="inlineStr">
        <is>
          <t>Gaps Identified</t>
        </is>
      </c>
      <c r="Q6" s="9" t="inlineStr">
        <is>
          <t>Exception Approved</t>
        </is>
      </c>
      <c r="R6" s="9" t="inlineStr">
        <is>
          <t>Target Date</t>
        </is>
      </c>
      <c r="S6" s="9" t="inlineStr">
        <is>
          <t>Responsible Party</t>
        </is>
      </c>
      <c r="T6" s="9" t="inlineStr">
        <is>
          <t>Notes</t>
        </is>
      </c>
    </row>
    <row r="8">
      <c r="A8" s="11" t="n"/>
      <c r="B8" s="11" t="n"/>
      <c r="C8" s="11" t="n"/>
      <c r="D8" s="11" t="n"/>
      <c r="E8" s="11" t="n"/>
      <c r="F8" s="11" t="n"/>
      <c r="G8" s="11" t="n"/>
      <c r="H8" s="11" t="n"/>
      <c r="I8" s="11" t="n"/>
      <c r="J8" s="11" t="n"/>
      <c r="K8" s="11" t="n"/>
      <c r="L8" s="11" t="n"/>
      <c r="M8" s="11" t="n"/>
      <c r="N8" s="11" t="n"/>
      <c r="O8" s="11" t="n"/>
      <c r="P8" s="11" t="n"/>
      <c r="Q8" s="11" t="n"/>
      <c r="R8" s="11" t="n"/>
      <c r="S8" s="11" t="n"/>
      <c r="T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row>
    <row r="35">
      <c r="A35" s="3" t="inlineStr">
        <is>
          <t>NETWORK COVERAGE CHECKLIST</t>
        </is>
      </c>
    </row>
    <row r="36">
      <c r="A36" s="9" t="inlineStr">
        <is>
          <t>#</t>
        </is>
      </c>
      <c r="B36" s="9" t="inlineStr">
        <is>
          <t>Requirement</t>
        </is>
      </c>
      <c r="C36" s="12" t="n"/>
      <c r="D36" s="12" t="n"/>
      <c r="E36" s="12" t="n"/>
      <c r="F36" s="12" t="n"/>
      <c r="G36" s="12" t="n"/>
      <c r="H36" s="12" t="n"/>
      <c r="I36" s="12" t="n"/>
      <c r="J36" s="12" t="n"/>
      <c r="K36" s="12" t="n"/>
      <c r="L36" s="12" t="n"/>
      <c r="M36" s="12" t="n"/>
      <c r="N36" s="12" t="n"/>
      <c r="O36" s="12" t="n"/>
      <c r="P36" s="12" t="n"/>
      <c r="Q36" s="12" t="n"/>
      <c r="R36" s="12" t="n"/>
      <c r="S36" s="13" t="n"/>
    </row>
    <row r="37" ht="25" customHeight="1">
      <c r="A37" t="n">
        <v>1</v>
      </c>
      <c r="B37" s="6" t="inlineStr">
        <is>
          <t>All network segments inventoried</t>
        </is>
      </c>
      <c r="T37" s="5" t="n"/>
    </row>
    <row r="38" ht="25" customHeight="1">
      <c r="A38" t="n">
        <v>2</v>
      </c>
      <c r="B38" s="6" t="inlineStr">
        <is>
          <t>All production segments monitored</t>
        </is>
      </c>
      <c r="T38" s="5" t="n"/>
    </row>
    <row r="39" ht="25" customHeight="1">
      <c r="A39" t="n">
        <v>3</v>
      </c>
      <c r="B39" s="6" t="inlineStr">
        <is>
          <t>All DMZ segments monitored</t>
        </is>
      </c>
      <c r="T39" s="5" t="n"/>
    </row>
    <row r="40" ht="25" customHeight="1">
      <c r="A40" t="n">
        <v>4</v>
      </c>
      <c r="B40" s="6" t="inlineStr">
        <is>
          <t>Critical segments have redundant monitoring</t>
        </is>
      </c>
      <c r="T40" s="5" t="n"/>
    </row>
    <row r="41" ht="25" customHeight="1">
      <c r="A41" t="n">
        <v>5</v>
      </c>
      <c r="B41" s="6" t="inlineStr">
        <is>
          <t>Perimeter traffic monitored (firewall + IDS/IPS)</t>
        </is>
      </c>
      <c r="T41" s="5" t="n"/>
    </row>
    <row r="42" ht="25" customHeight="1">
      <c r="A42" t="n">
        <v>6</v>
      </c>
      <c r="B42" s="6" t="inlineStr">
        <is>
          <t>Internal traffic monitored (flow data)</t>
        </is>
      </c>
      <c r="T42" s="5" t="n"/>
    </row>
    <row r="43" ht="25" customHeight="1">
      <c r="A43" t="n">
        <v>7</v>
      </c>
      <c r="B43" s="6" t="inlineStr">
        <is>
          <t>DNS queries monitored</t>
        </is>
      </c>
      <c r="T43" s="5" t="n"/>
    </row>
    <row r="44" ht="25" customHeight="1">
      <c r="A44" t="n">
        <v>8</v>
      </c>
      <c r="B44" s="6" t="inlineStr">
        <is>
          <t>Endpoints monitored (EDR/AV integration)</t>
        </is>
      </c>
      <c r="T44" s="5" t="n"/>
    </row>
    <row r="45" ht="25" customHeight="1">
      <c r="A45" t="n">
        <v>9</v>
      </c>
      <c r="B45" s="6" t="inlineStr">
        <is>
          <t>East-west traffic visibility (lateral movement detection)</t>
        </is>
      </c>
      <c r="T45" s="5" t="n"/>
    </row>
    <row r="46" ht="25" customHeight="1">
      <c r="A46" t="n">
        <v>10</v>
      </c>
      <c r="B46" s="6" t="inlineStr">
        <is>
          <t>Cloud network segments included</t>
        </is>
      </c>
      <c r="T46" s="5" t="n"/>
    </row>
    <row r="47">
      <c r="A47" s="14" t="inlineStr">
        <is>
          <t>SCORE:</t>
        </is>
      </c>
      <c r="B47" s="15">
        <f>COUNTIF(T37:T46,"✅ Compliant")&amp;" / 10"</f>
        <v/>
      </c>
    </row>
  </sheetData>
  <mergeCells count="15">
    <mergeCell ref="A1:T1"/>
    <mergeCell ref="B38:S38"/>
    <mergeCell ref="B44:S44"/>
    <mergeCell ref="B39:S39"/>
    <mergeCell ref="A35:T35"/>
    <mergeCell ref="B42:S42"/>
    <mergeCell ref="B46:S46"/>
    <mergeCell ref="B36:S36"/>
    <mergeCell ref="B37:S37"/>
    <mergeCell ref="A2:T2"/>
    <mergeCell ref="B40:S40"/>
    <mergeCell ref="B41:S41"/>
    <mergeCell ref="B45:S45"/>
    <mergeCell ref="B47:E47"/>
    <mergeCell ref="B43:S43"/>
  </mergeCells>
  <dataValidations count="83">
    <dataValidation sqref="Q8 Q9 Q10 Q11 Q12 Q13 Q14 Q15 Q16 Q17 Q18 Q19 Q20 Q21 Q22 Q23 Q24 Q25 Q26 Q27 Q28 Q29 Q30 Q31 Q32" showDropDown="0" showInputMessage="0" showErrorMessage="0" allowBlank="0" type="list">
      <formula1>"Yes,No,N/A"</formula1>
    </dataValidation>
    <dataValidation sqref="I8 I9 I10 I11 I12 I13 I14 I15 I16 I17 I18 I19 I20 I21 I22 I23 I24 I25 I26 I27 I28 I29 I30 I31 I32 J8 J9 J10 J11 J12 J13 J14 J15 J16 J17 J18 J19 J20 J21 J22 J23 J24 J25 J26 J27 J28 J29 J30 J31 J32 L8 L9 L10 L11 L12 L13 L14 L15 L16 L17 L18 L19 L20 L21 L22 L23 L24 L25 L26 L27 L28 L29 L30 L31 L32" showDropDown="0" showInputMessage="0" showErrorMessage="0" allowBlank="0" type="list">
      <formula1>"Yes,Partial,No"</formula1>
    </dataValidation>
    <dataValidation sqref="G8 G9 G10 G11 G12 G13 G14 G15 G16 G17 G18 G19 G20 G21 G22 G23 G24 G25 G26 G27 G28 G29 G30 G31 G32" showDropDown="0" showInputMessage="0" showErrorMessage="0" allowBlank="0" type="list">
      <formula1>"Confidential,Internal,Public"</formula1>
    </dataValidation>
    <dataValidation sqref="F8 F9 F10 F11 F12 F13 F14 F15 F16 F17 F18 F19 F20 F21 F22 F23 F24 F25 F26 F27 F28 F29 F30 F31 F32" showDropDown="0" showInputMessage="0" showErrorMessage="0" allowBlank="0" type="list">
      <formula1>"Critical,High,Medium,Low"</formula1>
    </dataValidation>
    <dataValidation sqref="B8 B9 B10 B11 B12 B13 B14 B15 B16 B17 B18 B19 B20 B21 B22 B23 B24 B25 B26 B27 B28 B29 B30 B31 B32" showDropDown="0" showInputMessage="0" showErrorMessage="0" allowBlank="0" type="list">
      <formula1>"Production,DMZ,Internal,Management,Guest,Partner,Development,Test,Cloud VPC,Other"</formula1>
    </dataValidation>
    <dataValidation sqref="H8 H9 H10 H11 H12 H13 H14 H15 H16 H17 H18 H19 H20 H21 H22 H23 H24 H25 H26 H27 H28 H29 H30 H31 H32" showDropDown="0" showInputMessage="0" showErrorMessage="0" allowBlank="0" type="list">
      <formula1>"Firewall,IDS/IPS,Both,None"</formula1>
    </dataValidation>
    <dataValidation sqref="N8 N9 N10 N11 N12 N13 N14 N15 N16 N17 N18 N19 N20 N21 N22 N23 N24 N25 N26 N27 N28 N29 N30 N31 N32" showDropDown="0" showInputMessage="0" showErrorMessage="0" allowBlank="0" type="list">
      <formula1>"Isolated,Semi-Isolated,Open"</formula1>
    </dataValidation>
    <dataValidation sqref="T37 T38 T39 T40 T41 T42 T43 T44 T45 T46" showDropDown="0" showInputMessage="0" showErrorMessage="0" allowBlank="0" type="list">
      <formula1>"✅ Compliant,⚠️ Partial,❌ Non-Compliant,N/A"</formula1>
    </dataValidation>
    <dataValidation sqref="K8" showDropDown="0" showInputMessage="0" showErrorMessage="0" allowBlank="0" type="list">
      <formula1>"Yes (EDR),Partial,No"</formula1>
    </dataValidation>
    <dataValidation sqref="M8" showDropDown="0" showInputMessage="0" showErrorMessage="0" allowBlank="0" type="list">
      <formula1>"Yes,No,Planned"</formula1>
    </dataValidation>
    <dataValidation sqref="O8" showDropDown="0" showInputMessage="0" showErrorMessage="0" allowBlank="0" type="list">
      <formula1>"✅ Full,⚠️ Partial,❌ None,N/A"</formula1>
    </dataValidation>
    <dataValidation sqref="K9" showDropDown="0" showInputMessage="0" showErrorMessage="0" allowBlank="0" type="list">
      <formula1>"Yes (EDR),Partial,No"</formula1>
    </dataValidation>
    <dataValidation sqref="M9" showDropDown="0" showInputMessage="0" showErrorMessage="0" allowBlank="0" type="list">
      <formula1>"Yes,No,Planned"</formula1>
    </dataValidation>
    <dataValidation sqref="O9" showDropDown="0" showInputMessage="0" showErrorMessage="0" allowBlank="0" type="list">
      <formula1>"✅ Full,⚠️ Partial,❌ None,N/A"</formula1>
    </dataValidation>
    <dataValidation sqref="K10" showDropDown="0" showInputMessage="0" showErrorMessage="0" allowBlank="0" type="list">
      <formula1>"Yes (EDR),Partial,No"</formula1>
    </dataValidation>
    <dataValidation sqref="M10" showDropDown="0" showInputMessage="0" showErrorMessage="0" allowBlank="0" type="list">
      <formula1>"Yes,No,Planned"</formula1>
    </dataValidation>
    <dataValidation sqref="O10" showDropDown="0" showInputMessage="0" showErrorMessage="0" allowBlank="0" type="list">
      <formula1>"✅ Full,⚠️ Partial,❌ None,N/A"</formula1>
    </dataValidation>
    <dataValidation sqref="K11" showDropDown="0" showInputMessage="0" showErrorMessage="0" allowBlank="0" type="list">
      <formula1>"Yes (EDR),Partial,No"</formula1>
    </dataValidation>
    <dataValidation sqref="M11" showDropDown="0" showInputMessage="0" showErrorMessage="0" allowBlank="0" type="list">
      <formula1>"Yes,No,Planned"</formula1>
    </dataValidation>
    <dataValidation sqref="O11" showDropDown="0" showInputMessage="0" showErrorMessage="0" allowBlank="0" type="list">
      <formula1>"✅ Full,⚠️ Partial,❌ None,N/A"</formula1>
    </dataValidation>
    <dataValidation sqref="K12" showDropDown="0" showInputMessage="0" showErrorMessage="0" allowBlank="0" type="list">
      <formula1>"Yes (EDR),Partial,No"</formula1>
    </dataValidation>
    <dataValidation sqref="M12" showDropDown="0" showInputMessage="0" showErrorMessage="0" allowBlank="0" type="list">
      <formula1>"Yes,No,Planned"</formula1>
    </dataValidation>
    <dataValidation sqref="O12" showDropDown="0" showInputMessage="0" showErrorMessage="0" allowBlank="0" type="list">
      <formula1>"✅ Full,⚠️ Partial,❌ None,N/A"</formula1>
    </dataValidation>
    <dataValidation sqref="K13" showDropDown="0" showInputMessage="0" showErrorMessage="0" allowBlank="0" type="list">
      <formula1>"Yes (EDR),Partial,No"</formula1>
    </dataValidation>
    <dataValidation sqref="M13" showDropDown="0" showInputMessage="0" showErrorMessage="0" allowBlank="0" type="list">
      <formula1>"Yes,No,Planned"</formula1>
    </dataValidation>
    <dataValidation sqref="O13" showDropDown="0" showInputMessage="0" showErrorMessage="0" allowBlank="0" type="list">
      <formula1>"✅ Full,⚠️ Partial,❌ None,N/A"</formula1>
    </dataValidation>
    <dataValidation sqref="K14" showDropDown="0" showInputMessage="0" showErrorMessage="0" allowBlank="0" type="list">
      <formula1>"Yes (EDR),Partial,No"</formula1>
    </dataValidation>
    <dataValidation sqref="M14" showDropDown="0" showInputMessage="0" showErrorMessage="0" allowBlank="0" type="list">
      <formula1>"Yes,No,Planned"</formula1>
    </dataValidation>
    <dataValidation sqref="O14" showDropDown="0" showInputMessage="0" showErrorMessage="0" allowBlank="0" type="list">
      <formula1>"✅ Full,⚠️ Partial,❌ None,N/A"</formula1>
    </dataValidation>
    <dataValidation sqref="K15" showDropDown="0" showInputMessage="0" showErrorMessage="0" allowBlank="0" type="list">
      <formula1>"Yes (EDR),Partial,No"</formula1>
    </dataValidation>
    <dataValidation sqref="M15" showDropDown="0" showInputMessage="0" showErrorMessage="0" allowBlank="0" type="list">
      <formula1>"Yes,No,Planned"</formula1>
    </dataValidation>
    <dataValidation sqref="O15" showDropDown="0" showInputMessage="0" showErrorMessage="0" allowBlank="0" type="list">
      <formula1>"✅ Full,⚠️ Partial,❌ None,N/A"</formula1>
    </dataValidation>
    <dataValidation sqref="K16" showDropDown="0" showInputMessage="0" showErrorMessage="0" allowBlank="0" type="list">
      <formula1>"Yes (EDR),Partial,No"</formula1>
    </dataValidation>
    <dataValidation sqref="M16" showDropDown="0" showInputMessage="0" showErrorMessage="0" allowBlank="0" type="list">
      <formula1>"Yes,No,Planned"</formula1>
    </dataValidation>
    <dataValidation sqref="O16" showDropDown="0" showInputMessage="0" showErrorMessage="0" allowBlank="0" type="list">
      <formula1>"✅ Full,⚠️ Partial,❌ None,N/A"</formula1>
    </dataValidation>
    <dataValidation sqref="K17" showDropDown="0" showInputMessage="0" showErrorMessage="0" allowBlank="0" type="list">
      <formula1>"Yes (EDR),Partial,No"</formula1>
    </dataValidation>
    <dataValidation sqref="M17" showDropDown="0" showInputMessage="0" showErrorMessage="0" allowBlank="0" type="list">
      <formula1>"Yes,No,Planned"</formula1>
    </dataValidation>
    <dataValidation sqref="O17" showDropDown="0" showInputMessage="0" showErrorMessage="0" allowBlank="0" type="list">
      <formula1>"✅ Full,⚠️ Partial,❌ None,N/A"</formula1>
    </dataValidation>
    <dataValidation sqref="K18" showDropDown="0" showInputMessage="0" showErrorMessage="0" allowBlank="0" type="list">
      <formula1>"Yes (EDR),Partial,No"</formula1>
    </dataValidation>
    <dataValidation sqref="M18" showDropDown="0" showInputMessage="0" showErrorMessage="0" allowBlank="0" type="list">
      <formula1>"Yes,No,Planned"</formula1>
    </dataValidation>
    <dataValidation sqref="O18" showDropDown="0" showInputMessage="0" showErrorMessage="0" allowBlank="0" type="list">
      <formula1>"✅ Full,⚠️ Partial,❌ None,N/A"</formula1>
    </dataValidation>
    <dataValidation sqref="K19" showDropDown="0" showInputMessage="0" showErrorMessage="0" allowBlank="0" type="list">
      <formula1>"Yes (EDR),Partial,No"</formula1>
    </dataValidation>
    <dataValidation sqref="M19" showDropDown="0" showInputMessage="0" showErrorMessage="0" allowBlank="0" type="list">
      <formula1>"Yes,No,Planned"</formula1>
    </dataValidation>
    <dataValidation sqref="O19" showDropDown="0" showInputMessage="0" showErrorMessage="0" allowBlank="0" type="list">
      <formula1>"✅ Full,⚠️ Partial,❌ None,N/A"</formula1>
    </dataValidation>
    <dataValidation sqref="K20" showDropDown="0" showInputMessage="0" showErrorMessage="0" allowBlank="0" type="list">
      <formula1>"Yes (EDR),Partial,No"</formula1>
    </dataValidation>
    <dataValidation sqref="M20" showDropDown="0" showInputMessage="0" showErrorMessage="0" allowBlank="0" type="list">
      <formula1>"Yes,No,Planned"</formula1>
    </dataValidation>
    <dataValidation sqref="O20" showDropDown="0" showInputMessage="0" showErrorMessage="0" allowBlank="0" type="list">
      <formula1>"✅ Full,⚠️ Partial,❌ None,N/A"</formula1>
    </dataValidation>
    <dataValidation sqref="K21" showDropDown="0" showInputMessage="0" showErrorMessage="0" allowBlank="0" type="list">
      <formula1>"Yes (EDR),Partial,No"</formula1>
    </dataValidation>
    <dataValidation sqref="M21" showDropDown="0" showInputMessage="0" showErrorMessage="0" allowBlank="0" type="list">
      <formula1>"Yes,No,Planned"</formula1>
    </dataValidation>
    <dataValidation sqref="O21" showDropDown="0" showInputMessage="0" showErrorMessage="0" allowBlank="0" type="list">
      <formula1>"✅ Full,⚠️ Partial,❌ None,N/A"</formula1>
    </dataValidation>
    <dataValidation sqref="K22" showDropDown="0" showInputMessage="0" showErrorMessage="0" allowBlank="0" type="list">
      <formula1>"Yes (EDR),Partial,No"</formula1>
    </dataValidation>
    <dataValidation sqref="M22" showDropDown="0" showInputMessage="0" showErrorMessage="0" allowBlank="0" type="list">
      <formula1>"Yes,No,Planned"</formula1>
    </dataValidation>
    <dataValidation sqref="O22" showDropDown="0" showInputMessage="0" showErrorMessage="0" allowBlank="0" type="list">
      <formula1>"✅ Full,⚠️ Partial,❌ None,N/A"</formula1>
    </dataValidation>
    <dataValidation sqref="K23" showDropDown="0" showInputMessage="0" showErrorMessage="0" allowBlank="0" type="list">
      <formula1>"Yes (EDR),Partial,No"</formula1>
    </dataValidation>
    <dataValidation sqref="M23" showDropDown="0" showInputMessage="0" showErrorMessage="0" allowBlank="0" type="list">
      <formula1>"Yes,No,Planned"</formula1>
    </dataValidation>
    <dataValidation sqref="O23" showDropDown="0" showInputMessage="0" showErrorMessage="0" allowBlank="0" type="list">
      <formula1>"✅ Full,⚠️ Partial,❌ None,N/A"</formula1>
    </dataValidation>
    <dataValidation sqref="K24" showDropDown="0" showInputMessage="0" showErrorMessage="0" allowBlank="0" type="list">
      <formula1>"Yes (EDR),Partial,No"</formula1>
    </dataValidation>
    <dataValidation sqref="M24" showDropDown="0" showInputMessage="0" showErrorMessage="0" allowBlank="0" type="list">
      <formula1>"Yes,No,Planned"</formula1>
    </dataValidation>
    <dataValidation sqref="O24" showDropDown="0" showInputMessage="0" showErrorMessage="0" allowBlank="0" type="list">
      <formula1>"✅ Full,⚠️ Partial,❌ None,N/A"</formula1>
    </dataValidation>
    <dataValidation sqref="K25" showDropDown="0" showInputMessage="0" showErrorMessage="0" allowBlank="0" type="list">
      <formula1>"Yes (EDR),Partial,No"</formula1>
    </dataValidation>
    <dataValidation sqref="M25" showDropDown="0" showInputMessage="0" showErrorMessage="0" allowBlank="0" type="list">
      <formula1>"Yes,No,Planned"</formula1>
    </dataValidation>
    <dataValidation sqref="O25" showDropDown="0" showInputMessage="0" showErrorMessage="0" allowBlank="0" type="list">
      <formula1>"✅ Full,⚠️ Partial,❌ None,N/A"</formula1>
    </dataValidation>
    <dataValidation sqref="K26" showDropDown="0" showInputMessage="0" showErrorMessage="0" allowBlank="0" type="list">
      <formula1>"Yes (EDR),Partial,No"</formula1>
    </dataValidation>
    <dataValidation sqref="M26" showDropDown="0" showInputMessage="0" showErrorMessage="0" allowBlank="0" type="list">
      <formula1>"Yes,No,Planned"</formula1>
    </dataValidation>
    <dataValidation sqref="O26" showDropDown="0" showInputMessage="0" showErrorMessage="0" allowBlank="0" type="list">
      <formula1>"✅ Full,⚠️ Partial,❌ None,N/A"</formula1>
    </dataValidation>
    <dataValidation sqref="K27" showDropDown="0" showInputMessage="0" showErrorMessage="0" allowBlank="0" type="list">
      <formula1>"Yes (EDR),Partial,No"</formula1>
    </dataValidation>
    <dataValidation sqref="M27" showDropDown="0" showInputMessage="0" showErrorMessage="0" allowBlank="0" type="list">
      <formula1>"Yes,No,Planned"</formula1>
    </dataValidation>
    <dataValidation sqref="O27" showDropDown="0" showInputMessage="0" showErrorMessage="0" allowBlank="0" type="list">
      <formula1>"✅ Full,⚠️ Partial,❌ None,N/A"</formula1>
    </dataValidation>
    <dataValidation sqref="K28" showDropDown="0" showInputMessage="0" showErrorMessage="0" allowBlank="0" type="list">
      <formula1>"Yes (EDR),Partial,No"</formula1>
    </dataValidation>
    <dataValidation sqref="M28" showDropDown="0" showInputMessage="0" showErrorMessage="0" allowBlank="0" type="list">
      <formula1>"Yes,No,Planned"</formula1>
    </dataValidation>
    <dataValidation sqref="O28" showDropDown="0" showInputMessage="0" showErrorMessage="0" allowBlank="0" type="list">
      <formula1>"✅ Full,⚠️ Partial,❌ None,N/A"</formula1>
    </dataValidation>
    <dataValidation sqref="K29" showDropDown="0" showInputMessage="0" showErrorMessage="0" allowBlank="0" type="list">
      <formula1>"Yes (EDR),Partial,No"</formula1>
    </dataValidation>
    <dataValidation sqref="M29" showDropDown="0" showInputMessage="0" showErrorMessage="0" allowBlank="0" type="list">
      <formula1>"Yes,No,Planned"</formula1>
    </dataValidation>
    <dataValidation sqref="O29" showDropDown="0" showInputMessage="0" showErrorMessage="0" allowBlank="0" type="list">
      <formula1>"✅ Full,⚠️ Partial,❌ None,N/A"</formula1>
    </dataValidation>
    <dataValidation sqref="K30" showDropDown="0" showInputMessage="0" showErrorMessage="0" allowBlank="0" type="list">
      <formula1>"Yes (EDR),Partial,No"</formula1>
    </dataValidation>
    <dataValidation sqref="M30" showDropDown="0" showInputMessage="0" showErrorMessage="0" allowBlank="0" type="list">
      <formula1>"Yes,No,Planned"</formula1>
    </dataValidation>
    <dataValidation sqref="O30" showDropDown="0" showInputMessage="0" showErrorMessage="0" allowBlank="0" type="list">
      <formula1>"✅ Full,⚠️ Partial,❌ None,N/A"</formula1>
    </dataValidation>
    <dataValidation sqref="K31" showDropDown="0" showInputMessage="0" showErrorMessage="0" allowBlank="0" type="list">
      <formula1>"Yes (EDR),Partial,No"</formula1>
    </dataValidation>
    <dataValidation sqref="M31" showDropDown="0" showInputMessage="0" showErrorMessage="0" allowBlank="0" type="list">
      <formula1>"Yes,No,Planned"</formula1>
    </dataValidation>
    <dataValidation sqref="O31" showDropDown="0" showInputMessage="0" showErrorMessage="0" allowBlank="0" type="list">
      <formula1>"✅ Full,⚠️ Partial,❌ None,N/A"</formula1>
    </dataValidation>
    <dataValidation sqref="K32" showDropDown="0" showInputMessage="0" showErrorMessage="0" allowBlank="0" type="list">
      <formula1>"Yes (EDR),Partial,No"</formula1>
    </dataValidation>
    <dataValidation sqref="M32" showDropDown="0" showInputMessage="0" showErrorMessage="0" allowBlank="0" type="list">
      <formula1>"Yes,No,Planned"</formula1>
    </dataValidation>
    <dataValidation sqref="O32" showDropDown="0" showInputMessage="0" showErrorMessage="0" allowBlank="0" type="list">
      <formula1>"✅ Full,⚠️ Partial,❌ None,N/A"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cols>
    <col width="25" customWidth="1" min="1" max="1"/>
    <col width="22" customWidth="1" min="2" max="2"/>
    <col width="15" customWidth="1" min="3" max="3"/>
    <col width="20" customWidth="1" min="4" max="4"/>
    <col width="20" customWidth="1" min="5" max="5"/>
    <col width="22" customWidth="1" min="6" max="6"/>
    <col width="22" customWidth="1" min="7" max="7"/>
    <col width="20" customWidth="1" min="8" max="8"/>
    <col width="22" customWidth="1" min="9" max="9"/>
    <col width="18" customWidth="1" min="10" max="10"/>
    <col width="18" customWidth="1" min="11" max="11"/>
    <col width="20" customWidth="1" min="12" max="12"/>
    <col width="22" customWidth="1" min="13" max="13"/>
    <col width="22" customWidth="1" min="14" max="14"/>
    <col width="22" customWidth="1" min="15" max="15"/>
    <col width="22" customWidth="1" min="16" max="16"/>
    <col width="18" customWidth="1" min="17" max="17"/>
    <col width="30" customWidth="1" min="18" max="18"/>
    <col width="16" customWidth="1" min="19" max="19"/>
  </cols>
  <sheetData>
    <row r="1" ht="35" customHeight="1">
      <c r="A1" s="1" t="inlineStr">
        <is>
          <t>3. USER &amp; IDENTITY MONITORING COVERAGE</t>
        </is>
      </c>
    </row>
    <row r="2">
      <c r="A2" s="2" t="inlineStr">
        <is>
          <t>Policy Reference: ISMS-POL-A.8.16-S2.1.2 - Assess user monitoring</t>
        </is>
      </c>
    </row>
    <row r="6">
      <c r="A6" s="9" t="inlineStr">
        <is>
          <t>Identity System</t>
        </is>
      </c>
      <c r="B6" s="9" t="inlineStr">
        <is>
          <t>System Type</t>
        </is>
      </c>
      <c r="C6" s="9" t="inlineStr">
        <is>
          <t>User Count</t>
        </is>
      </c>
      <c r="D6" s="9" t="inlineStr">
        <is>
          <t>Privileged Account Count</t>
        </is>
      </c>
      <c r="E6" s="9" t="inlineStr">
        <is>
          <t>Service Account Count</t>
        </is>
      </c>
      <c r="F6" s="9" t="inlineStr">
        <is>
          <t>Authentication Logs Collected</t>
        </is>
      </c>
      <c r="G6" s="9" t="inlineStr">
        <is>
          <t>Authorization Logs Collected</t>
        </is>
      </c>
      <c r="H6" s="9" t="inlineStr">
        <is>
          <t>Password Change Logs</t>
        </is>
      </c>
      <c r="I6" s="9" t="inlineStr">
        <is>
          <t>Privilege Escalation Logs</t>
        </is>
      </c>
      <c r="J6" s="9" t="inlineStr">
        <is>
          <t>MFA Events Logged</t>
        </is>
      </c>
      <c r="K6" s="9" t="inlineStr">
        <is>
          <t>SSO Events Logged</t>
        </is>
      </c>
      <c r="L6" s="9" t="inlineStr">
        <is>
          <t>Failed Login Monitoring</t>
        </is>
      </c>
      <c r="M6" s="9" t="inlineStr">
        <is>
          <t>After-Hours Access Monitoring</t>
        </is>
      </c>
      <c r="N6" s="9" t="inlineStr">
        <is>
          <t>Geographic Anomaly Detection</t>
        </is>
      </c>
      <c r="O6" s="9" t="inlineStr">
        <is>
          <t>User Behavior Analytics</t>
        </is>
      </c>
      <c r="P6" s="9" t="inlineStr">
        <is>
          <t>Privileged Access Monitoring</t>
        </is>
      </c>
      <c r="Q6" s="9" t="inlineStr">
        <is>
          <t>Coverage Status</t>
        </is>
      </c>
      <c r="R6" s="9" t="inlineStr">
        <is>
          <t>Gaps/Issues</t>
        </is>
      </c>
      <c r="S6" s="9" t="inlineStr">
        <is>
          <t>Priority</t>
        </is>
      </c>
    </row>
    <row r="8">
      <c r="A8" s="11" t="n"/>
      <c r="B8" s="11" t="n"/>
      <c r="C8" s="11" t="n"/>
      <c r="D8" s="11" t="n"/>
      <c r="E8" s="11" t="n"/>
      <c r="F8" s="11" t="n"/>
      <c r="G8" s="11" t="n"/>
      <c r="H8" s="11" t="n"/>
      <c r="I8" s="11" t="n"/>
      <c r="J8" s="11" t="n"/>
      <c r="K8" s="11" t="n"/>
      <c r="L8" s="11" t="n"/>
      <c r="M8" s="11" t="n"/>
      <c r="N8" s="11" t="n"/>
      <c r="O8" s="11" t="n"/>
      <c r="P8" s="11" t="n"/>
      <c r="Q8" s="11" t="n"/>
      <c r="R8" s="11" t="n"/>
      <c r="S8" s="11" t="n"/>
    </row>
    <row r="9">
      <c r="A9" s="11" t="n"/>
      <c r="B9" s="11" t="n"/>
      <c r="C9" s="11" t="n"/>
      <c r="D9" s="11" t="n"/>
      <c r="E9" s="11" t="n"/>
      <c r="F9" s="11" t="n"/>
      <c r="G9" s="11" t="n"/>
      <c r="H9" s="11" t="n"/>
      <c r="I9" s="11" t="n"/>
      <c r="J9" s="11" t="n"/>
      <c r="K9" s="11" t="n"/>
      <c r="L9" s="11" t="n"/>
      <c r="M9" s="11" t="n"/>
      <c r="N9" s="11" t="n"/>
      <c r="O9" s="11" t="n"/>
      <c r="P9" s="11" t="n"/>
      <c r="Q9" s="11" t="n"/>
      <c r="R9" s="11" t="n"/>
      <c r="S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row>
    <row r="25">
      <c r="A25" s="3" t="inlineStr">
        <is>
          <t>USER &amp; IDENTITY COVERAGE CHECKLIST</t>
        </is>
      </c>
    </row>
    <row r="26">
      <c r="A26" s="9" t="inlineStr">
        <is>
          <t>#</t>
        </is>
      </c>
      <c r="B26" s="9" t="inlineStr">
        <is>
          <t>Requirement</t>
        </is>
      </c>
      <c r="C26" s="12" t="n"/>
      <c r="D26" s="12" t="n"/>
      <c r="E26" s="12" t="n"/>
      <c r="F26" s="12" t="n"/>
      <c r="G26" s="12" t="n"/>
      <c r="H26" s="12" t="n"/>
      <c r="I26" s="12" t="n"/>
      <c r="J26" s="12" t="n"/>
      <c r="K26" s="12" t="n"/>
      <c r="L26" s="12" t="n"/>
      <c r="M26" s="12" t="n"/>
      <c r="N26" s="12" t="n"/>
      <c r="O26" s="12" t="n"/>
      <c r="P26" s="12" t="n"/>
      <c r="Q26" s="12" t="n"/>
      <c r="R26" s="13" t="n"/>
    </row>
    <row r="27" ht="25" customHeight="1">
      <c r="A27" t="n">
        <v>1</v>
      </c>
      <c r="B27" s="6" t="inlineStr">
        <is>
          <t>Primary identity system (AD/Azure AD) monitored</t>
        </is>
      </c>
      <c r="S27" s="5" t="n"/>
    </row>
    <row r="28" ht="25" customHeight="1">
      <c r="A28" t="n">
        <v>2</v>
      </c>
      <c r="B28" s="6" t="inlineStr">
        <is>
          <t>All authentication events logged</t>
        </is>
      </c>
      <c r="S28" s="5" t="n"/>
    </row>
    <row r="29" ht="25" customHeight="1">
      <c r="A29" t="n">
        <v>3</v>
      </c>
      <c r="B29" s="6" t="inlineStr">
        <is>
          <t>Failed login attempts monitored and alerted</t>
        </is>
      </c>
      <c r="S29" s="5" t="n"/>
    </row>
    <row r="30" ht="25" customHeight="1">
      <c r="A30" t="n">
        <v>4</v>
      </c>
      <c r="B30" s="6" t="inlineStr">
        <is>
          <t>Privileged account usage monitored</t>
        </is>
      </c>
      <c r="S30" s="5" t="n"/>
    </row>
    <row r="31" ht="25" customHeight="1">
      <c r="A31" t="n">
        <v>5</v>
      </c>
      <c r="B31" s="6" t="inlineStr">
        <is>
          <t>Service account usage monitored</t>
        </is>
      </c>
      <c r="S31" s="5" t="n"/>
    </row>
    <row r="32" ht="25" customHeight="1">
      <c r="A32" t="n">
        <v>6</v>
      </c>
      <c r="B32" s="6" t="inlineStr">
        <is>
          <t>Password changes logged</t>
        </is>
      </c>
      <c r="S32" s="5" t="n"/>
    </row>
    <row r="33" ht="25" customHeight="1">
      <c r="A33" t="n">
        <v>7</v>
      </c>
      <c r="B33" s="6" t="inlineStr">
        <is>
          <t>Privilege escalation logged</t>
        </is>
      </c>
      <c r="S33" s="5" t="n"/>
    </row>
    <row r="34" ht="25" customHeight="1">
      <c r="A34" t="n">
        <v>8</v>
      </c>
      <c r="B34" s="6" t="inlineStr">
        <is>
          <t>MFA events logged (if MFA deployed)</t>
        </is>
      </c>
      <c r="S34" s="5" t="n"/>
    </row>
    <row r="35" ht="25" customHeight="1">
      <c r="A35" t="n">
        <v>9</v>
      </c>
      <c r="B35" s="6" t="inlineStr">
        <is>
          <t>SSO events logged (if SSO deployed)</t>
        </is>
      </c>
      <c r="S35" s="5" t="n"/>
    </row>
    <row r="36" ht="25" customHeight="1">
      <c r="A36" t="n">
        <v>10</v>
      </c>
      <c r="B36" s="6" t="inlineStr">
        <is>
          <t>After-hours access monitored</t>
        </is>
      </c>
      <c r="S36" s="5" t="n"/>
    </row>
    <row r="37" ht="25" customHeight="1">
      <c r="A37" t="n">
        <v>11</v>
      </c>
      <c r="B37" s="6" t="inlineStr">
        <is>
          <t>Geographic anomalies detected</t>
        </is>
      </c>
      <c r="S37" s="5" t="n"/>
    </row>
    <row r="38" ht="25" customHeight="1">
      <c r="A38" t="n">
        <v>12</v>
      </c>
      <c r="B38" s="6" t="inlineStr">
        <is>
          <t>User behavior baselines established</t>
        </is>
      </c>
      <c r="S38" s="5" t="n"/>
    </row>
    <row r="39" ht="25" customHeight="1">
      <c r="A39" t="n">
        <v>13</v>
      </c>
      <c r="B39" s="6" t="inlineStr">
        <is>
          <t>Dormant accounts identified</t>
        </is>
      </c>
      <c r="S39" s="5" t="n"/>
    </row>
    <row r="40" ht="25" customHeight="1">
      <c r="A40" t="n">
        <v>14</v>
      </c>
      <c r="B40" s="6" t="inlineStr">
        <is>
          <t>Privileged access sessions recorded (PAM)</t>
        </is>
      </c>
      <c r="S40" s="5" t="n"/>
    </row>
    <row r="41" ht="25" customHeight="1">
      <c r="A41" t="n">
        <v>15</v>
      </c>
      <c r="B41" s="6" t="inlineStr">
        <is>
          <t>Identity correlation across systems</t>
        </is>
      </c>
      <c r="S41" s="5" t="n"/>
    </row>
    <row r="42">
      <c r="A42" s="14" t="inlineStr">
        <is>
          <t>SCORE:</t>
        </is>
      </c>
      <c r="B42" s="15">
        <f>COUNTIF(S27:S41,"✅ Compliant")&amp;" / 15"</f>
        <v/>
      </c>
    </row>
  </sheetData>
  <mergeCells count="20">
    <mergeCell ref="B32:R32"/>
    <mergeCell ref="B26:R26"/>
    <mergeCell ref="B35:R35"/>
    <mergeCell ref="B31:R31"/>
    <mergeCell ref="B27:R27"/>
    <mergeCell ref="B39:R39"/>
    <mergeCell ref="B29:R29"/>
    <mergeCell ref="A1:S1"/>
    <mergeCell ref="B38:R38"/>
    <mergeCell ref="B34:R34"/>
    <mergeCell ref="B28:R28"/>
    <mergeCell ref="B37:R37"/>
    <mergeCell ref="B42:E42"/>
    <mergeCell ref="A25:S25"/>
    <mergeCell ref="B40:R40"/>
    <mergeCell ref="B30:R30"/>
    <mergeCell ref="B33:R33"/>
    <mergeCell ref="A2:S2"/>
    <mergeCell ref="B41:R41"/>
    <mergeCell ref="B36:R36"/>
  </mergeCells>
  <dataValidations count="51">
    <dataValidation sqref="H8 H9 H10 H11 H12 H13 H14 H15 H16 H17 H18 H19 H20 H21 H22 I8 I9 I10 I11 I12 I13 I14 I15 I16 I17 I18 I19 I20 I21 I22 L8 L9 L10 L11 L12 L13 L14 L15 L16 L17 L18 L19 L20 L21 L22 M8 M9 M10 M11 M12 M13 M14 M15 M16 M17 M18 M19 M20 M21 M22" showDropDown="0" showInputMessage="0" showErrorMessage="0" allowBlank="0" type="list">
      <formula1>"Yes,No"</formula1>
    </dataValidation>
    <dataValidation sqref="J8 J9 J10 J11 J12 J13 J14 J15 J16 J17 J18 J19 J20 J21 J22 K8 K9 K10 K11 K12 K13 K14 K15 K16 K17 K18 K19 K20 K21 K22" showDropDown="0" showInputMessage="0" showErrorMessage="0" allowBlank="0" type="list">
      <formula1>"Yes,No,N/A"</formula1>
    </dataValidation>
    <dataValidation sqref="F8 F9 F10 F11 F12 F13 F14 F15 F16 F17 F18 F19 F20 F21 F22 G8 G9 G10 G11 G12 G13 G14 G15 G16 G17 G18 G19 G20 G21 G22" showDropDown="0" showInputMessage="0" showErrorMessage="0" allowBlank="0" type="list">
      <formula1>"Yes,Partial,No"</formula1>
    </dataValidation>
    <dataValidation sqref="B8 B9 B10 B11 B12 B13 B14 B15 B16 B17 B18 B19 B20 B21 B22" showDropDown="0" showInputMessage="0" showErrorMessage="0" allowBlank="0" type="list">
      <formula1>"Active Directory,Azure AD,LDAP,SAML IdP,OAuth Provider,Database Auth,Application-Specific,Other"</formula1>
    </dataValidation>
    <dataValidation sqref="Q8 Q9 Q10 Q11 Q12 Q13 Q14 Q15 Q16 Q17 Q18 Q19 Q20 Q21 Q22 S27 S28 S29 S30 S31 S32 S33 S34 S35 S36 S37 S38 S39 S40 S41" showDropDown="0" showInputMessage="0" showErrorMessage="0" allowBlank="0" type="list">
      <formula1>"✅ Compliant,⚠️ Partial,❌ Non-Compliant,N/A"</formula1>
    </dataValidation>
    <dataValidation sqref="S8 S9 S10 S11 S12 S13 S14 S15 S16 S17 S18 S19 S20 S21 S22" showDropDown="0" showInputMessage="0" showErrorMessage="0" allowBlank="0" type="list">
      <formula1>"Critical,High,Medium,Low"</formula1>
    </dataValidation>
    <dataValidation sqref="N8" showDropDown="0" showInputMessage="0" showErrorMessage="0" allowBlank="0" type="list">
      <formula1>"Yes,No,Planned"</formula1>
    </dataValidation>
    <dataValidation sqref="O8" showDropDown="0" showInputMessage="0" showErrorMessage="0" allowBlank="0" type="list">
      <formula1>"Yes (UEBA),Planned,No"</formula1>
    </dataValidation>
    <dataValidation sqref="P8" showDropDown="0" showInputMessage="0" showErrorMessage="0" allowBlank="0" type="list">
      <formula1>"Yes (PAM integrated),Partial,No"</formula1>
    </dataValidation>
    <dataValidation sqref="N9" showDropDown="0" showInputMessage="0" showErrorMessage="0" allowBlank="0" type="list">
      <formula1>"Yes,No,Planned"</formula1>
    </dataValidation>
    <dataValidation sqref="O9" showDropDown="0" showInputMessage="0" showErrorMessage="0" allowBlank="0" type="list">
      <formula1>"Yes (UEBA),Planned,No"</formula1>
    </dataValidation>
    <dataValidation sqref="P9" showDropDown="0" showInputMessage="0" showErrorMessage="0" allowBlank="0" type="list">
      <formula1>"Yes (PAM integrated),Partial,No"</formula1>
    </dataValidation>
    <dataValidation sqref="N10" showDropDown="0" showInputMessage="0" showErrorMessage="0" allowBlank="0" type="list">
      <formula1>"Yes,No,Planned"</formula1>
    </dataValidation>
    <dataValidation sqref="O10" showDropDown="0" showInputMessage="0" showErrorMessage="0" allowBlank="0" type="list">
      <formula1>"Yes (UEBA),Planned,No"</formula1>
    </dataValidation>
    <dataValidation sqref="P10" showDropDown="0" showInputMessage="0" showErrorMessage="0" allowBlank="0" type="list">
      <formula1>"Yes (PAM integrated),Partial,No"</formula1>
    </dataValidation>
    <dataValidation sqref="N11" showDropDown="0" showInputMessage="0" showErrorMessage="0" allowBlank="0" type="list">
      <formula1>"Yes,No,Planned"</formula1>
    </dataValidation>
    <dataValidation sqref="O11" showDropDown="0" showInputMessage="0" showErrorMessage="0" allowBlank="0" type="list">
      <formula1>"Yes (UEBA),Planned,No"</formula1>
    </dataValidation>
    <dataValidation sqref="P11" showDropDown="0" showInputMessage="0" showErrorMessage="0" allowBlank="0" type="list">
      <formula1>"Yes (PAM integrated),Partial,No"</formula1>
    </dataValidation>
    <dataValidation sqref="N12" showDropDown="0" showInputMessage="0" showErrorMessage="0" allowBlank="0" type="list">
      <formula1>"Yes,No,Planned"</formula1>
    </dataValidation>
    <dataValidation sqref="O12" showDropDown="0" showInputMessage="0" showErrorMessage="0" allowBlank="0" type="list">
      <formula1>"Yes (UEBA),Planned,No"</formula1>
    </dataValidation>
    <dataValidation sqref="P12" showDropDown="0" showInputMessage="0" showErrorMessage="0" allowBlank="0" type="list">
      <formula1>"Yes (PAM integrated),Partial,No"</formula1>
    </dataValidation>
    <dataValidation sqref="N13" showDropDown="0" showInputMessage="0" showErrorMessage="0" allowBlank="0" type="list">
      <formula1>"Yes,No,Planned"</formula1>
    </dataValidation>
    <dataValidation sqref="O13" showDropDown="0" showInputMessage="0" showErrorMessage="0" allowBlank="0" type="list">
      <formula1>"Yes (UEBA),Planned,No"</formula1>
    </dataValidation>
    <dataValidation sqref="P13" showDropDown="0" showInputMessage="0" showErrorMessage="0" allowBlank="0" type="list">
      <formula1>"Yes (PAM integrated),Partial,No"</formula1>
    </dataValidation>
    <dataValidation sqref="N14" showDropDown="0" showInputMessage="0" showErrorMessage="0" allowBlank="0" type="list">
      <formula1>"Yes,No,Planned"</formula1>
    </dataValidation>
    <dataValidation sqref="O14" showDropDown="0" showInputMessage="0" showErrorMessage="0" allowBlank="0" type="list">
      <formula1>"Yes (UEBA),Planned,No"</formula1>
    </dataValidation>
    <dataValidation sqref="P14" showDropDown="0" showInputMessage="0" showErrorMessage="0" allowBlank="0" type="list">
      <formula1>"Yes (PAM integrated),Partial,No"</formula1>
    </dataValidation>
    <dataValidation sqref="N15" showDropDown="0" showInputMessage="0" showErrorMessage="0" allowBlank="0" type="list">
      <formula1>"Yes,No,Planned"</formula1>
    </dataValidation>
    <dataValidation sqref="O15" showDropDown="0" showInputMessage="0" showErrorMessage="0" allowBlank="0" type="list">
      <formula1>"Yes (UEBA),Planned,No"</formula1>
    </dataValidation>
    <dataValidation sqref="P15" showDropDown="0" showInputMessage="0" showErrorMessage="0" allowBlank="0" type="list">
      <formula1>"Yes (PAM integrated),Partial,No"</formula1>
    </dataValidation>
    <dataValidation sqref="N16" showDropDown="0" showInputMessage="0" showErrorMessage="0" allowBlank="0" type="list">
      <formula1>"Yes,No,Planned"</formula1>
    </dataValidation>
    <dataValidation sqref="O16" showDropDown="0" showInputMessage="0" showErrorMessage="0" allowBlank="0" type="list">
      <formula1>"Yes (UEBA),Planned,No"</formula1>
    </dataValidation>
    <dataValidation sqref="P16" showDropDown="0" showInputMessage="0" showErrorMessage="0" allowBlank="0" type="list">
      <formula1>"Yes (PAM integrated),Partial,No"</formula1>
    </dataValidation>
    <dataValidation sqref="N17" showDropDown="0" showInputMessage="0" showErrorMessage="0" allowBlank="0" type="list">
      <formula1>"Yes,No,Planned"</formula1>
    </dataValidation>
    <dataValidation sqref="O17" showDropDown="0" showInputMessage="0" showErrorMessage="0" allowBlank="0" type="list">
      <formula1>"Yes (UEBA),Planned,No"</formula1>
    </dataValidation>
    <dataValidation sqref="P17" showDropDown="0" showInputMessage="0" showErrorMessage="0" allowBlank="0" type="list">
      <formula1>"Yes (PAM integrated),Partial,No"</formula1>
    </dataValidation>
    <dataValidation sqref="N18" showDropDown="0" showInputMessage="0" showErrorMessage="0" allowBlank="0" type="list">
      <formula1>"Yes,No,Planned"</formula1>
    </dataValidation>
    <dataValidation sqref="O18" showDropDown="0" showInputMessage="0" showErrorMessage="0" allowBlank="0" type="list">
      <formula1>"Yes (UEBA),Planned,No"</formula1>
    </dataValidation>
    <dataValidation sqref="P18" showDropDown="0" showInputMessage="0" showErrorMessage="0" allowBlank="0" type="list">
      <formula1>"Yes (PAM integrated),Partial,No"</formula1>
    </dataValidation>
    <dataValidation sqref="N19" showDropDown="0" showInputMessage="0" showErrorMessage="0" allowBlank="0" type="list">
      <formula1>"Yes,No,Planned"</formula1>
    </dataValidation>
    <dataValidation sqref="O19" showDropDown="0" showInputMessage="0" showErrorMessage="0" allowBlank="0" type="list">
      <formula1>"Yes (UEBA),Planned,No"</formula1>
    </dataValidation>
    <dataValidation sqref="P19" showDropDown="0" showInputMessage="0" showErrorMessage="0" allowBlank="0" type="list">
      <formula1>"Yes (PAM integrated),Partial,No"</formula1>
    </dataValidation>
    <dataValidation sqref="N20" showDropDown="0" showInputMessage="0" showErrorMessage="0" allowBlank="0" type="list">
      <formula1>"Yes,No,Planned"</formula1>
    </dataValidation>
    <dataValidation sqref="O20" showDropDown="0" showInputMessage="0" showErrorMessage="0" allowBlank="0" type="list">
      <formula1>"Yes (UEBA),Planned,No"</formula1>
    </dataValidation>
    <dataValidation sqref="P20" showDropDown="0" showInputMessage="0" showErrorMessage="0" allowBlank="0" type="list">
      <formula1>"Yes (PAM integrated),Partial,No"</formula1>
    </dataValidation>
    <dataValidation sqref="N21" showDropDown="0" showInputMessage="0" showErrorMessage="0" allowBlank="0" type="list">
      <formula1>"Yes,No,Planned"</formula1>
    </dataValidation>
    <dataValidation sqref="O21" showDropDown="0" showInputMessage="0" showErrorMessage="0" allowBlank="0" type="list">
      <formula1>"Yes (UEBA),Planned,No"</formula1>
    </dataValidation>
    <dataValidation sqref="P21" showDropDown="0" showInputMessage="0" showErrorMessage="0" allowBlank="0" type="list">
      <formula1>"Yes (PAM integrated),Partial,No"</formula1>
    </dataValidation>
    <dataValidation sqref="N22" showDropDown="0" showInputMessage="0" showErrorMessage="0" allowBlank="0" type="list">
      <formula1>"Yes,No,Planned"</formula1>
    </dataValidation>
    <dataValidation sqref="O22" showDropDown="0" showInputMessage="0" showErrorMessage="0" allowBlank="0" type="list">
      <formula1>"Yes (UEBA),Planned,No"</formula1>
    </dataValidation>
    <dataValidation sqref="P22" showDropDown="0" showInputMessage="0" showErrorMessage="0" allowBlank="0" type="list">
      <formula1>"Yes (PAM integrated),Partial,No"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2"/>
  <sheetViews>
    <sheetView workbookViewId="0">
      <selection activeCell="A1" sqref="A1"/>
    </sheetView>
  </sheetViews>
  <sheetFormatPr baseColWidth="8" defaultRowHeight="15"/>
  <cols>
    <col width="28" customWidth="1" min="1" max="1"/>
    <col width="22" customWidth="1" min="2" max="2"/>
    <col width="20" customWidth="1" min="3" max="3"/>
    <col width="20" customWidth="1" min="4" max="4"/>
    <col width="18" customWidth="1" min="5" max="5"/>
    <col width="15" customWidth="1" min="6" max="6"/>
    <col width="18" customWidth="1" min="7" max="7"/>
    <col width="22" customWidth="1" min="8" max="8"/>
    <col width="18" customWidth="1" min="9" max="9"/>
    <col width="22" customWidth="1" min="10" max="10"/>
    <col width="20" customWidth="1" min="11" max="11"/>
    <col width="18" customWidth="1" min="12" max="12"/>
    <col width="20" customWidth="1" min="13" max="13"/>
    <col width="20" customWidth="1" min="14" max="14"/>
    <col width="20" customWidth="1" min="15" max="15"/>
    <col width="16" customWidth="1" min="16" max="16"/>
    <col width="16" customWidth="1" min="17" max="17"/>
    <col width="18" customWidth="1" min="18" max="18"/>
    <col width="30" customWidth="1" min="19" max="19"/>
    <col width="14" customWidth="1" min="20" max="20"/>
    <col width="16" customWidth="1" min="21" max="21"/>
  </cols>
  <sheetData>
    <row r="1" ht="35" customHeight="1">
      <c r="A1" s="1" t="inlineStr">
        <is>
          <t>4. APPLICATION &amp; SERVICE MONITORING COVERAGE</t>
        </is>
      </c>
    </row>
    <row r="2">
      <c r="A2" s="2" t="inlineStr">
        <is>
          <t>Policy Reference: ISMS-POL-A.8.16-S2.1.2 - Assess application coverage</t>
        </is>
      </c>
    </row>
    <row r="6">
      <c r="A6" s="9" t="inlineStr">
        <is>
          <t>Application/Service Name</t>
        </is>
      </c>
      <c r="B6" s="9" t="inlineStr">
        <is>
          <t>Application Type</t>
        </is>
      </c>
      <c r="C6" s="9" t="inlineStr">
        <is>
          <t>Business Unit</t>
        </is>
      </c>
      <c r="D6" s="9" t="inlineStr">
        <is>
          <t>Application Owner</t>
        </is>
      </c>
      <c r="E6" s="9" t="inlineStr">
        <is>
          <t>Data Classification</t>
        </is>
      </c>
      <c r="F6" s="9" t="inlineStr">
        <is>
          <t>Criticality</t>
        </is>
      </c>
      <c r="G6" s="9" t="inlineStr">
        <is>
          <t>User Base</t>
        </is>
      </c>
      <c r="H6" s="9" t="inlineStr">
        <is>
          <t>Application Logs Collected</t>
        </is>
      </c>
      <c r="I6" s="9" t="inlineStr">
        <is>
          <t>API Logs Collected</t>
        </is>
      </c>
      <c r="J6" s="9" t="inlineStr">
        <is>
          <t>Database Logs Collected</t>
        </is>
      </c>
      <c r="K6" s="9" t="inlineStr">
        <is>
          <t>Error/Exception Logging</t>
        </is>
      </c>
      <c r="L6" s="9" t="inlineStr">
        <is>
          <t>Transaction Logging</t>
        </is>
      </c>
      <c r="M6" s="9" t="inlineStr">
        <is>
          <t>Access Control Logs</t>
        </is>
      </c>
      <c r="N6" s="9" t="inlineStr">
        <is>
          <t>Data Export Monitoring</t>
        </is>
      </c>
      <c r="O6" s="9" t="inlineStr">
        <is>
          <t>Performance Monitoring</t>
        </is>
      </c>
      <c r="P6" s="9" t="inlineStr">
        <is>
          <t>WAF Integration</t>
        </is>
      </c>
      <c r="Q6" s="9" t="inlineStr">
        <is>
          <t>APM Integration</t>
        </is>
      </c>
      <c r="R6" s="9" t="inlineStr">
        <is>
          <t>Coverage Status</t>
        </is>
      </c>
      <c r="S6" s="9" t="inlineStr">
        <is>
          <t>Gaps</t>
        </is>
      </c>
      <c r="T6" s="9" t="inlineStr">
        <is>
          <t>Target Date</t>
        </is>
      </c>
      <c r="U6" s="9" t="inlineStr">
        <is>
          <t>Priority</t>
        </is>
      </c>
    </row>
    <row r="7">
      <c r="A7" s="10" t="inlineStr">
        <is>
          <t>Customer Portal</t>
        </is>
      </c>
      <c r="B7" s="10" t="inlineStr">
        <is>
          <t>Web Application</t>
        </is>
      </c>
      <c r="C7" s="10" t="inlineStr">
        <is>
          <t>Sales</t>
        </is>
      </c>
      <c r="D7" s="10" t="inlineStr">
        <is>
          <t>M. Johnson</t>
        </is>
      </c>
      <c r="E7" s="10" t="inlineStr">
        <is>
          <t>Confidential</t>
        </is>
      </c>
      <c r="F7" s="10" t="inlineStr">
        <is>
          <t>High</t>
        </is>
      </c>
      <c r="G7" s="10" t="inlineStr">
        <is>
          <t>5000 users</t>
        </is>
      </c>
      <c r="H7" s="10" t="inlineStr">
        <is>
          <t>Yes</t>
        </is>
      </c>
      <c r="I7" s="10" t="inlineStr">
        <is>
          <t>Yes</t>
        </is>
      </c>
      <c r="J7" s="10" t="inlineStr">
        <is>
          <t>Yes</t>
        </is>
      </c>
      <c r="K7" s="10" t="inlineStr">
        <is>
          <t>Yes</t>
        </is>
      </c>
      <c r="L7" s="10" t="inlineStr">
        <is>
          <t>Yes</t>
        </is>
      </c>
      <c r="M7" s="10" t="inlineStr">
        <is>
          <t>Yes</t>
        </is>
      </c>
      <c r="N7" s="10" t="inlineStr">
        <is>
          <t>Yes</t>
        </is>
      </c>
      <c r="O7" s="10" t="inlineStr">
        <is>
          <t>Yes</t>
        </is>
      </c>
      <c r="P7" s="10" t="inlineStr">
        <is>
          <t>Yes</t>
        </is>
      </c>
      <c r="Q7" s="10" t="inlineStr">
        <is>
          <t>Yes</t>
        </is>
      </c>
      <c r="R7" s="10" t="inlineStr">
        <is>
          <t>✅ Compliant</t>
        </is>
      </c>
      <c r="S7" s="10" t="inlineStr">
        <is>
          <t>None</t>
        </is>
      </c>
      <c r="T7" s="10" t="inlineStr">
        <is>
          <t>N/A</t>
        </is>
      </c>
      <c r="U7" s="10" t="inlineStr">
        <is>
          <t>High</t>
        </is>
      </c>
    </row>
    <row r="8">
      <c r="A8" s="11" t="n"/>
      <c r="B8" s="11" t="n"/>
      <c r="C8" s="11" t="n"/>
      <c r="D8" s="11" t="n"/>
      <c r="E8" s="11" t="n"/>
      <c r="F8" s="11" t="n"/>
      <c r="G8" s="11" t="n"/>
      <c r="H8" s="11" t="n"/>
      <c r="I8" s="11" t="n"/>
      <c r="J8" s="11" t="n"/>
      <c r="K8" s="11" t="n"/>
      <c r="L8" s="11" t="n"/>
      <c r="M8" s="11" t="n"/>
      <c r="N8" s="11" t="n"/>
      <c r="O8" s="11" t="n"/>
      <c r="P8" s="11" t="n"/>
      <c r="Q8" s="11" t="n"/>
      <c r="R8" s="11" t="n"/>
      <c r="S8" s="11" t="n"/>
      <c r="T8" s="11" t="n"/>
      <c r="U8" s="11" t="n"/>
    </row>
    <row r="9">
      <c r="A9" s="11" t="n"/>
      <c r="B9" s="11" t="n"/>
      <c r="C9" s="11" t="n"/>
      <c r="D9" s="11" t="n"/>
      <c r="E9" s="11" t="n"/>
      <c r="F9" s="11" t="n"/>
      <c r="G9" s="11" t="n"/>
      <c r="H9" s="11" t="n"/>
      <c r="I9" s="11" t="n"/>
      <c r="J9" s="11" t="n"/>
      <c r="K9" s="11" t="n"/>
      <c r="L9" s="11" t="n"/>
      <c r="M9" s="11" t="n"/>
      <c r="N9" s="11" t="n"/>
      <c r="O9" s="11" t="n"/>
      <c r="P9" s="11" t="n"/>
      <c r="Q9" s="11" t="n"/>
      <c r="R9" s="11" t="n"/>
      <c r="S9" s="11" t="n"/>
      <c r="T9" s="11" t="n"/>
      <c r="U9" s="11" t="n"/>
    </row>
    <row r="10">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row>
    <row r="11">
      <c r="A11" s="11" t="n"/>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row>
    <row r="12">
      <c r="A12" s="11" t="n"/>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row>
    <row r="13">
      <c r="A13" s="11" t="n"/>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row>
    <row r="14">
      <c r="A14" s="11" t="n"/>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row>
    <row r="15">
      <c r="A15" s="11"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row>
    <row r="16">
      <c r="A16" s="11"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row>
    <row r="17">
      <c r="A17" s="11" t="n"/>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row>
    <row r="18">
      <c r="A18" s="11" t="n"/>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row>
    <row r="19">
      <c r="A19" s="11" t="n"/>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row>
    <row r="20">
      <c r="A20" s="11" t="n"/>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row>
    <row r="21">
      <c r="A21" s="11" t="n"/>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row>
    <row r="22">
      <c r="A22" s="11" t="n"/>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row>
    <row r="23">
      <c r="A23" s="11" t="n"/>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row>
    <row r="24">
      <c r="A24" s="11" t="n"/>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row>
    <row r="25">
      <c r="A25" s="11" t="n"/>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row>
    <row r="26">
      <c r="A26" s="11" t="n"/>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row>
    <row r="27">
      <c r="A27" s="11" t="n"/>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row>
    <row r="28">
      <c r="A28" s="11" t="n"/>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row>
    <row r="29">
      <c r="A29" s="11" t="n"/>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row>
    <row r="30">
      <c r="A30" s="11" t="n"/>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row>
    <row r="31">
      <c r="A31" s="11" t="n"/>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row>
    <row r="32">
      <c r="A32" s="11" t="n"/>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row>
    <row r="35">
      <c r="A35" s="3" t="inlineStr">
        <is>
          <t>APPLICATION COVERAGE CHECKLIST</t>
        </is>
      </c>
    </row>
    <row r="36">
      <c r="A36" s="9" t="inlineStr">
        <is>
          <t>#</t>
        </is>
      </c>
      <c r="B36" s="9" t="inlineStr">
        <is>
          <t>Requirement</t>
        </is>
      </c>
      <c r="C36" s="12" t="n"/>
      <c r="D36" s="12" t="n"/>
      <c r="E36" s="12" t="n"/>
      <c r="F36" s="12" t="n"/>
      <c r="G36" s="12" t="n"/>
      <c r="H36" s="12" t="n"/>
      <c r="I36" s="12" t="n"/>
      <c r="J36" s="12" t="n"/>
      <c r="K36" s="12" t="n"/>
      <c r="L36" s="12" t="n"/>
      <c r="M36" s="12" t="n"/>
      <c r="N36" s="12" t="n"/>
      <c r="O36" s="12" t="n"/>
      <c r="P36" s="12" t="n"/>
      <c r="Q36" s="12" t="n"/>
      <c r="R36" s="12" t="n"/>
      <c r="S36" s="12" t="n"/>
      <c r="T36" s="13" t="n"/>
    </row>
    <row r="37" ht="25" customHeight="1">
      <c r="A37" t="n">
        <v>1</v>
      </c>
      <c r="B37" s="6" t="inlineStr">
        <is>
          <t>All critical applications monitored</t>
        </is>
      </c>
      <c r="U37" s="5" t="n"/>
    </row>
    <row r="38" ht="25" customHeight="1">
      <c r="A38" t="n">
        <v>2</v>
      </c>
      <c r="B38" s="6" t="inlineStr">
        <is>
          <t>&gt;80% of high-priority applications monitored</t>
        </is>
      </c>
      <c r="U38" s="5" t="n"/>
    </row>
    <row r="39" ht="25" customHeight="1">
      <c r="A39" t="n">
        <v>3</v>
      </c>
      <c r="B39" s="6" t="inlineStr">
        <is>
          <t>Application error/exception logs collected</t>
        </is>
      </c>
      <c r="U39" s="5" t="n"/>
    </row>
    <row r="40" ht="25" customHeight="1">
      <c r="A40" t="n">
        <v>4</v>
      </c>
      <c r="B40" s="6" t="inlineStr">
        <is>
          <t>API calls logged (if API-based)</t>
        </is>
      </c>
      <c r="U40" s="5" t="n"/>
    </row>
    <row r="41" ht="25" customHeight="1">
      <c r="A41" t="n">
        <v>5</v>
      </c>
      <c r="B41" s="6" t="inlineStr">
        <is>
          <t>Database queries logged (if database-backed)</t>
        </is>
      </c>
      <c r="U41" s="5" t="n"/>
    </row>
    <row r="42" ht="25" customHeight="1">
      <c r="A42" t="n">
        <v>6</v>
      </c>
      <c r="B42" s="6" t="inlineStr">
        <is>
          <t>User access logged</t>
        </is>
      </c>
      <c r="U42" s="5" t="n"/>
    </row>
    <row r="43" ht="25" customHeight="1">
      <c r="A43" t="n">
        <v>7</v>
      </c>
      <c r="B43" s="6" t="inlineStr">
        <is>
          <t>Data exports/downloads monitored</t>
        </is>
      </c>
      <c r="U43" s="5" t="n"/>
    </row>
    <row r="44" ht="25" customHeight="1">
      <c r="A44" t="n">
        <v>8</v>
      </c>
      <c r="B44" s="6" t="inlineStr">
        <is>
          <t>File uploads monitored</t>
        </is>
      </c>
      <c r="U44" s="5" t="n"/>
    </row>
    <row r="45" ht="25" customHeight="1">
      <c r="A45" t="n">
        <v>9</v>
      </c>
      <c r="B45" s="6" t="inlineStr">
        <is>
          <t>Configuration changes logged</t>
        </is>
      </c>
      <c r="U45" s="5" t="n"/>
    </row>
    <row r="46" ht="25" customHeight="1">
      <c r="A46" t="n">
        <v>10</v>
      </c>
      <c r="B46" s="6" t="inlineStr">
        <is>
          <t>WAF deployed for internet-facing apps</t>
        </is>
      </c>
      <c r="U46" s="5" t="n"/>
    </row>
    <row r="47" ht="25" customHeight="1">
      <c r="A47" t="n">
        <v>11</v>
      </c>
      <c r="B47" s="6" t="inlineStr">
        <is>
          <t>APM integrated for performance visibility</t>
        </is>
      </c>
      <c r="U47" s="5" t="n"/>
    </row>
    <row r="48" ht="25" customHeight="1">
      <c r="A48" t="n">
        <v>12</v>
      </c>
      <c r="B48" s="6" t="inlineStr">
        <is>
          <t>Cloud application logs collected (SaaS)</t>
        </is>
      </c>
      <c r="U48" s="5" t="n"/>
    </row>
    <row r="49" ht="25" customHeight="1">
      <c r="A49" t="n">
        <v>13</v>
      </c>
      <c r="B49" s="6" t="inlineStr">
        <is>
          <t>Mobile app backend logs collected</t>
        </is>
      </c>
      <c r="U49" s="5" t="n"/>
    </row>
    <row r="50" ht="25" customHeight="1">
      <c r="A50" t="n">
        <v>14</v>
      </c>
      <c r="B50" s="6" t="inlineStr">
        <is>
          <t>Third-party integrations monitored</t>
        </is>
      </c>
      <c r="U50" s="5" t="n"/>
    </row>
    <row r="51" ht="25" customHeight="1">
      <c r="A51" t="n">
        <v>15</v>
      </c>
      <c r="B51" s="6" t="inlineStr">
        <is>
          <t>Application security events forwarded to SIEM</t>
        </is>
      </c>
      <c r="U51" s="5" t="n"/>
    </row>
    <row r="52">
      <c r="A52" s="14" t="inlineStr">
        <is>
          <t>SCORE:</t>
        </is>
      </c>
      <c r="B52" s="15">
        <f>COUNTIF(U37:U51,"✅ Compliant")&amp;" / 15"</f>
        <v/>
      </c>
    </row>
  </sheetData>
  <mergeCells count="20">
    <mergeCell ref="B37:T37"/>
    <mergeCell ref="B40:T40"/>
    <mergeCell ref="B49:T49"/>
    <mergeCell ref="B51:T51"/>
    <mergeCell ref="A2:U2"/>
    <mergeCell ref="B45:T45"/>
    <mergeCell ref="B36:T36"/>
    <mergeCell ref="B50:T50"/>
    <mergeCell ref="B41:T41"/>
    <mergeCell ref="B47:T47"/>
    <mergeCell ref="A35:U35"/>
    <mergeCell ref="B46:T46"/>
    <mergeCell ref="B52:E52"/>
    <mergeCell ref="B43:T43"/>
    <mergeCell ref="B39:T39"/>
    <mergeCell ref="B48:T48"/>
    <mergeCell ref="B42:T42"/>
    <mergeCell ref="B44:T44"/>
    <mergeCell ref="A1:U1"/>
    <mergeCell ref="B38:T38"/>
  </mergeCells>
  <dataValidations count="8">
    <dataValidation sqref="I8 I9 I10 I11 I12 I13 I14 I15 I16 I17 I18 I19 I20 I21 I22 I23 I24 I25 I26 I27 I28 I29 I30 I31 I32 L8 L9 L10 L11 L12 L13 L14 L15 L16 L17 L18 L19 L20 L21 L22 L23 L24 L25 L26 L27 L28 L29 L30 L31 L32 M8 M9 M10 M11 M12 M13 M14 M15 M16 M17 M18 M19 M20 M21 M22 M23 M24 M25 M26 M27 M28 M29 M30 M31 M32 N8 N9 N10 N11 N12 N13 N14 N15 N16 N17 N18 N19 N20 N21 N22 N23 N24 N25 N26 N27 N28 N29 N30 N31 N32 O8 O9 O10 O11 O12 O13 O14 O15 O16 O17 O18 O19 O20 O21 O22 O23 O24 O25 O26 O27 O28 O29 O30 O31 O32 Q8 Q9 Q10 Q11 Q12 Q13 Q14 Q15 Q16 Q17 Q18 Q19 Q20 Q21 Q22 Q23 Q24 Q25 Q26 Q27 Q28 Q29 Q30 Q31 Q32" showDropDown="0" showInputMessage="0" showErrorMessage="0" allowBlank="0" type="list">
      <formula1>"Yes,No"</formula1>
    </dataValidation>
    <dataValidation sqref="P8 P9 P10 P11 P12 P13 P14 P15 P16 P17 P18 P19 P20 P21 P22 P23 P24 P25 P26 P27 P28 P29 P30 P31 P32" showDropDown="0" showInputMessage="0" showErrorMessage="0" allowBlank="0" type="list">
      <formula1>"Yes,No,N/A"</formula1>
    </dataValidation>
    <dataValidation sqref="H8 H9 H10 H11 H12 H13 H14 H15 H16 H17 H18 H19 H20 H21 H22 H23 H24 H25 H26 H27 H28 H29 H30 H31 H32 J8 J9 J10 J11 J12 J13 J14 J15 J16 J17 J18 J19 J20 J21 J22 J23 J24 J25 J26 J27 J28 J29 J30 J31 J32 K8 K9 K10 K11 K12 K13 K14 K15 K16 K17 K18 K19 K20 K21 K22 K23 K24 K25 K26 K27 K28 K29 K30 K31 K32" showDropDown="0" showInputMessage="0" showErrorMessage="0" allowBlank="0" type="list">
      <formula1>"Yes,Partial,No"</formula1>
    </dataValidation>
    <dataValidation sqref="E8 E9 E10 E11 E12 E13 E14 E15 E16 E17 E18 E19 E20 E21 E22 E23 E24 E25 E26 E27 E28 E29 E30 E31 E32" showDropDown="0" showInputMessage="0" showErrorMessage="0" allowBlank="0" type="list">
      <formula1>"Confidential,Internal,Public"</formula1>
    </dataValidation>
    <dataValidation sqref="F8 F9 F10 F11 F12 F13 F14 F15 F16 F17 F18 F19 F20 F21 F22 F23 F24 F25 F26 F27 F28 F29 F30 F31 F32" showDropDown="0" showInputMessage="0" showErrorMessage="0" allowBlank="0" type="list">
      <formula1>"Critical,High,Medium,Low"</formula1>
    </dataValidation>
    <dataValidation sqref="B8 B9 B10 B11 B12 B13 B14 B15 B16 B17 B18 B19 B20 B21 B22 B23 B24 B25 B26 B27 B28 B29 B30 B31 B32" showDropDown="0" showInputMessage="0" showErrorMessage="0" allowBlank="0" type="list">
      <formula1>"Web Application,Database,API,Microservice,SaaS,Mobile App,Desktop App,Other"</formula1>
    </dataValidation>
    <dataValidation sqref="R8 R9 R10 R11 R12 R13 R14 R15 R16 R17 R18 R19 R20 R21 R22 R23 R24 R25 R26 R27 R28 R29 R30 R31 R32 U37 U38 U39 U40 U41 U42 U43 U44 U45 U46 U47 U48 U49 U50 U51" showDropDown="0" showInputMessage="0" showErrorMessage="0" allowBlank="0" type="list">
      <formula1>"✅ Compliant,⚠️ Partial,❌ Non-Compliant,N/A"</formula1>
    </dataValidation>
    <dataValidation sqref="U8 U9 U10 U11 U12 U13 U14 U15 U16 U17 U18 U19 U20 U21 U22 U23 U24 U25 U26 U27 U28 U29 U30 U31 U32" showDropDown="0" showInputMessage="0" showErrorMessage="0" allowBlank="0"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
  <sheetViews>
    <sheetView workbookViewId="0">
      <selection activeCell="A1" sqref="A1"/>
    </sheetView>
  </sheetViews>
  <sheetFormatPr baseColWidth="8" defaultRowHeight="15"/>
  <cols>
    <col width="12" customWidth="1" min="1" max="1"/>
    <col width="22" customWidth="1" min="2" max="2"/>
    <col width="28" customWidth="1" min="3" max="3"/>
    <col width="35" customWidth="1" min="4" max="4"/>
    <col width="30" customWidth="1" min="5" max="5"/>
    <col width="15" customWidth="1" min="6" max="6"/>
    <col width="30" customWidth="1" min="7" max="7"/>
    <col width="16" customWidth="1" min="8" max="8"/>
    <col width="15" customWidth="1" min="9" max="9"/>
    <col width="30" customWidth="1" min="10" max="10"/>
    <col width="35" customWidth="1" min="11" max="11"/>
    <col width="20" customWidth="1" min="12" max="12"/>
    <col width="14" customWidth="1" min="13" max="13"/>
    <col width="15" customWidth="1" min="14" max="14"/>
    <col width="18" customWidth="1" min="15" max="15"/>
    <col width="14" customWidth="1" min="16" max="16"/>
    <col width="25" customWidth="1" min="17" max="17"/>
    <col width="30" customWidth="1" min="18" max="18"/>
  </cols>
  <sheetData>
    <row r="1" ht="35" customHeight="1">
      <c r="A1" s="1" t="inlineStr">
        <is>
          <t>5. COVERAGE GAP ANALYSIS</t>
        </is>
      </c>
    </row>
    <row r="2">
      <c r="A2" s="2" t="inlineStr">
        <is>
          <t>Policy Reference: ISMS-POL-A.8.16-S2.1 - Document and remediate coverage gaps</t>
        </is>
      </c>
    </row>
    <row r="3" ht="30" customHeight="1">
      <c r="A3" s="8" t="inlineStr">
        <is>
          <t>Are all monitoring coverage gaps identified, documented, and tracked to remediation?</t>
        </is>
      </c>
    </row>
    <row r="6">
      <c r="A6" s="9" t="inlineStr">
        <is>
          <t>Gap ID</t>
        </is>
      </c>
      <c r="B6" s="9" t="inlineStr">
        <is>
          <t>Gap Category</t>
        </is>
      </c>
      <c r="C6" s="9" t="inlineStr">
        <is>
          <t>Affected Asset/System</t>
        </is>
      </c>
      <c r="D6" s="9" t="inlineStr">
        <is>
          <t>Gap Description</t>
        </is>
      </c>
      <c r="E6" s="9" t="inlineStr">
        <is>
          <t>Business Impact</t>
        </is>
      </c>
      <c r="F6" s="9" t="inlineStr">
        <is>
          <t>Risk Level</t>
        </is>
      </c>
      <c r="G6" s="9" t="inlineStr">
        <is>
          <t>Root Cause</t>
        </is>
      </c>
      <c r="H6" s="9" t="inlineStr">
        <is>
          <t>Exception Approved</t>
        </is>
      </c>
      <c r="I6" s="9" t="inlineStr">
        <is>
          <t>Exception ID</t>
        </is>
      </c>
      <c r="J6" s="9" t="inlineStr">
        <is>
          <t>Compensating Controls</t>
        </is>
      </c>
      <c r="K6" s="9" t="inlineStr">
        <is>
          <t>Remediation Plan</t>
        </is>
      </c>
      <c r="L6" s="9" t="inlineStr">
        <is>
          <t>Remediation Owner</t>
        </is>
      </c>
      <c r="M6" s="9" t="inlineStr">
        <is>
          <t>Target Date</t>
        </is>
      </c>
      <c r="N6" s="9" t="inlineStr">
        <is>
          <t>Budget Required</t>
        </is>
      </c>
      <c r="O6" s="9" t="inlineStr">
        <is>
          <t>Status</t>
        </is>
      </c>
      <c r="P6" s="9" t="inlineStr">
        <is>
          <t>Status Date</t>
        </is>
      </c>
      <c r="Q6" s="9" t="inlineStr">
        <is>
          <t>Verification Method</t>
        </is>
      </c>
      <c r="R6" s="9" t="inlineStr">
        <is>
          <t>Notes</t>
        </is>
      </c>
    </row>
    <row r="7">
      <c r="A7" s="10" t="inlineStr">
        <is>
          <t>GAP-001</t>
        </is>
      </c>
      <c r="B7" s="10" t="inlineStr">
        <is>
          <t>Asset Not Monitored</t>
        </is>
      </c>
      <c r="C7" s="10" t="inlineStr">
        <is>
          <t>Legacy File Server</t>
        </is>
      </c>
      <c r="D7" s="10" t="inlineStr">
        <is>
          <t>No log collection configured</t>
        </is>
      </c>
      <c r="E7" s="10" t="inlineStr">
        <is>
          <t>Medium - non-critical legacy system</t>
        </is>
      </c>
      <c r="F7" s="10" t="inlineStr">
        <is>
          <t>Medium</t>
        </is>
      </c>
      <c r="G7" s="10" t="inlineStr">
        <is>
          <t>End-of-life system, no agent support</t>
        </is>
      </c>
      <c r="H7" s="10" t="inlineStr">
        <is>
          <t>Yes</t>
        </is>
      </c>
      <c r="I7" s="10" t="inlineStr">
        <is>
          <t>EXC-2024-015</t>
        </is>
      </c>
      <c r="J7" s="10" t="inlineStr">
        <is>
          <t>Network-level monitoring via firewall</t>
        </is>
      </c>
      <c r="K7" s="10" t="inlineStr">
        <is>
          <t>Migrate to new storage platform</t>
        </is>
      </c>
      <c r="L7" s="10" t="inlineStr">
        <is>
          <t>Infrastructure Team</t>
        </is>
      </c>
      <c r="M7" s="10" t="inlineStr">
        <is>
          <t>31.03.2025</t>
        </is>
      </c>
      <c r="N7" s="10" t="inlineStr">
        <is>
          <t>Yes</t>
        </is>
      </c>
      <c r="O7" s="10" t="inlineStr">
        <is>
          <t>In Progress</t>
        </is>
      </c>
      <c r="P7" s="10" t="inlineStr">
        <is>
          <t>15.12.2024</t>
        </is>
      </c>
      <c r="Q7" s="10" t="inlineStr">
        <is>
          <t>Post-migration verification</t>
        </is>
      </c>
      <c r="R7" s="10" t="inlineStr">
        <is>
          <t>Budget approved Q1</t>
        </is>
      </c>
    </row>
    <row r="8" ht="25" customHeight="1">
      <c r="A8" s="16">
        <f>"GAP-"&amp;TEXT(ROW()-7,"000")</f>
        <v/>
      </c>
      <c r="B8" s="17" t="n"/>
      <c r="C8" s="17" t="n"/>
      <c r="D8" s="17" t="n"/>
      <c r="E8" s="17" t="n"/>
      <c r="F8" s="17" t="n"/>
      <c r="G8" s="17" t="n"/>
      <c r="H8" s="17" t="n"/>
      <c r="I8" s="17" t="n"/>
      <c r="J8" s="17" t="n"/>
      <c r="K8" s="17" t="n"/>
      <c r="L8" s="17" t="n"/>
      <c r="M8" s="17" t="n"/>
      <c r="N8" s="17" t="n"/>
      <c r="O8" s="17" t="n"/>
      <c r="P8" s="17" t="n"/>
      <c r="Q8" s="17" t="n"/>
      <c r="R8" s="17" t="n"/>
    </row>
    <row r="9" ht="25" customHeight="1">
      <c r="A9" s="16">
        <f>"GAP-"&amp;TEXT(ROW()-7,"000")</f>
        <v/>
      </c>
      <c r="B9" s="17" t="n"/>
      <c r="C9" s="17" t="n"/>
      <c r="D9" s="17" t="n"/>
      <c r="E9" s="17" t="n"/>
      <c r="F9" s="17" t="n"/>
      <c r="G9" s="17" t="n"/>
      <c r="H9" s="17" t="n"/>
      <c r="I9" s="17" t="n"/>
      <c r="J9" s="17" t="n"/>
      <c r="K9" s="17" t="n"/>
      <c r="L9" s="17" t="n"/>
      <c r="M9" s="17" t="n"/>
      <c r="N9" s="17" t="n"/>
      <c r="O9" s="17" t="n"/>
      <c r="P9" s="17" t="n"/>
      <c r="Q9" s="17" t="n"/>
      <c r="R9" s="17" t="n"/>
    </row>
    <row r="10" ht="25" customHeight="1">
      <c r="A10" s="16">
        <f>"GAP-"&amp;TEXT(ROW()-7,"000")</f>
        <v/>
      </c>
      <c r="B10" s="17" t="n"/>
      <c r="C10" s="17" t="n"/>
      <c r="D10" s="17" t="n"/>
      <c r="E10" s="17" t="n"/>
      <c r="F10" s="17" t="n"/>
      <c r="G10" s="17" t="n"/>
      <c r="H10" s="17" t="n"/>
      <c r="I10" s="17" t="n"/>
      <c r="J10" s="17" t="n"/>
      <c r="K10" s="17" t="n"/>
      <c r="L10" s="17" t="n"/>
      <c r="M10" s="17" t="n"/>
      <c r="N10" s="17" t="n"/>
      <c r="O10" s="17" t="n"/>
      <c r="P10" s="17" t="n"/>
      <c r="Q10" s="17" t="n"/>
      <c r="R10" s="17" t="n"/>
    </row>
    <row r="11" ht="25" customHeight="1">
      <c r="A11" s="16">
        <f>"GAP-"&amp;TEXT(ROW()-7,"000")</f>
        <v/>
      </c>
      <c r="B11" s="17" t="n"/>
      <c r="C11" s="17" t="n"/>
      <c r="D11" s="17" t="n"/>
      <c r="E11" s="17" t="n"/>
      <c r="F11" s="17" t="n"/>
      <c r="G11" s="17" t="n"/>
      <c r="H11" s="17" t="n"/>
      <c r="I11" s="17" t="n"/>
      <c r="J11" s="17" t="n"/>
      <c r="K11" s="17" t="n"/>
      <c r="L11" s="17" t="n"/>
      <c r="M11" s="17" t="n"/>
      <c r="N11" s="17" t="n"/>
      <c r="O11" s="17" t="n"/>
      <c r="P11" s="17" t="n"/>
      <c r="Q11" s="17" t="n"/>
      <c r="R11" s="17" t="n"/>
    </row>
    <row r="12" ht="25" customHeight="1">
      <c r="A12" s="16">
        <f>"GAP-"&amp;TEXT(ROW()-7,"000")</f>
        <v/>
      </c>
      <c r="B12" s="17" t="n"/>
      <c r="C12" s="17" t="n"/>
      <c r="D12" s="17" t="n"/>
      <c r="E12" s="17" t="n"/>
      <c r="F12" s="17" t="n"/>
      <c r="G12" s="17" t="n"/>
      <c r="H12" s="17" t="n"/>
      <c r="I12" s="17" t="n"/>
      <c r="J12" s="17" t="n"/>
      <c r="K12" s="17" t="n"/>
      <c r="L12" s="17" t="n"/>
      <c r="M12" s="17" t="n"/>
      <c r="N12" s="17" t="n"/>
      <c r="O12" s="17" t="n"/>
      <c r="P12" s="17" t="n"/>
      <c r="Q12" s="17" t="n"/>
      <c r="R12" s="17" t="n"/>
    </row>
    <row r="13" ht="25" customHeight="1">
      <c r="A13" s="16">
        <f>"GAP-"&amp;TEXT(ROW()-7,"000")</f>
        <v/>
      </c>
      <c r="B13" s="17" t="n"/>
      <c r="C13" s="17" t="n"/>
      <c r="D13" s="17" t="n"/>
      <c r="E13" s="17" t="n"/>
      <c r="F13" s="17" t="n"/>
      <c r="G13" s="17" t="n"/>
      <c r="H13" s="17" t="n"/>
      <c r="I13" s="17" t="n"/>
      <c r="J13" s="17" t="n"/>
      <c r="K13" s="17" t="n"/>
      <c r="L13" s="17" t="n"/>
      <c r="M13" s="17" t="n"/>
      <c r="N13" s="17" t="n"/>
      <c r="O13" s="17" t="n"/>
      <c r="P13" s="17" t="n"/>
      <c r="Q13" s="17" t="n"/>
      <c r="R13" s="17" t="n"/>
    </row>
    <row r="14" ht="25" customHeight="1">
      <c r="A14" s="16">
        <f>"GAP-"&amp;TEXT(ROW()-7,"000")</f>
        <v/>
      </c>
      <c r="B14" s="17" t="n"/>
      <c r="C14" s="17" t="n"/>
      <c r="D14" s="17" t="n"/>
      <c r="E14" s="17" t="n"/>
      <c r="F14" s="17" t="n"/>
      <c r="G14" s="17" t="n"/>
      <c r="H14" s="17" t="n"/>
      <c r="I14" s="17" t="n"/>
      <c r="J14" s="17" t="n"/>
      <c r="K14" s="17" t="n"/>
      <c r="L14" s="17" t="n"/>
      <c r="M14" s="17" t="n"/>
      <c r="N14" s="17" t="n"/>
      <c r="O14" s="17" t="n"/>
      <c r="P14" s="17" t="n"/>
      <c r="Q14" s="17" t="n"/>
      <c r="R14" s="17" t="n"/>
    </row>
    <row r="15" ht="25" customHeight="1">
      <c r="A15" s="16">
        <f>"GAP-"&amp;TEXT(ROW()-7,"000")</f>
        <v/>
      </c>
      <c r="B15" s="17" t="n"/>
      <c r="C15" s="17" t="n"/>
      <c r="D15" s="17" t="n"/>
      <c r="E15" s="17" t="n"/>
      <c r="F15" s="17" t="n"/>
      <c r="G15" s="17" t="n"/>
      <c r="H15" s="17" t="n"/>
      <c r="I15" s="17" t="n"/>
      <c r="J15" s="17" t="n"/>
      <c r="K15" s="17" t="n"/>
      <c r="L15" s="17" t="n"/>
      <c r="M15" s="17" t="n"/>
      <c r="N15" s="17" t="n"/>
      <c r="O15" s="17" t="n"/>
      <c r="P15" s="17" t="n"/>
      <c r="Q15" s="17" t="n"/>
      <c r="R15" s="17" t="n"/>
    </row>
    <row r="16" ht="25" customHeight="1">
      <c r="A16" s="16">
        <f>"GAP-"&amp;TEXT(ROW()-7,"000")</f>
        <v/>
      </c>
      <c r="B16" s="17" t="n"/>
      <c r="C16" s="17" t="n"/>
      <c r="D16" s="17" t="n"/>
      <c r="E16" s="17" t="n"/>
      <c r="F16" s="17" t="n"/>
      <c r="G16" s="17" t="n"/>
      <c r="H16" s="17" t="n"/>
      <c r="I16" s="17" t="n"/>
      <c r="J16" s="17" t="n"/>
      <c r="K16" s="17" t="n"/>
      <c r="L16" s="17" t="n"/>
      <c r="M16" s="17" t="n"/>
      <c r="N16" s="17" t="n"/>
      <c r="O16" s="17" t="n"/>
      <c r="P16" s="17" t="n"/>
      <c r="Q16" s="17" t="n"/>
      <c r="R16" s="17" t="n"/>
    </row>
    <row r="17" ht="25" customHeight="1">
      <c r="A17" s="16">
        <f>"GAP-"&amp;TEXT(ROW()-7,"000")</f>
        <v/>
      </c>
      <c r="B17" s="17" t="n"/>
      <c r="C17" s="17" t="n"/>
      <c r="D17" s="17" t="n"/>
      <c r="E17" s="17" t="n"/>
      <c r="F17" s="17" t="n"/>
      <c r="G17" s="17" t="n"/>
      <c r="H17" s="17" t="n"/>
      <c r="I17" s="17" t="n"/>
      <c r="J17" s="17" t="n"/>
      <c r="K17" s="17" t="n"/>
      <c r="L17" s="17" t="n"/>
      <c r="M17" s="17" t="n"/>
      <c r="N17" s="17" t="n"/>
      <c r="O17" s="17" t="n"/>
      <c r="P17" s="17" t="n"/>
      <c r="Q17" s="17" t="n"/>
      <c r="R17" s="17" t="n"/>
    </row>
    <row r="18" ht="25" customHeight="1">
      <c r="A18" s="16">
        <f>"GAP-"&amp;TEXT(ROW()-7,"000")</f>
        <v/>
      </c>
      <c r="B18" s="17" t="n"/>
      <c r="C18" s="17" t="n"/>
      <c r="D18" s="17" t="n"/>
      <c r="E18" s="17" t="n"/>
      <c r="F18" s="17" t="n"/>
      <c r="G18" s="17" t="n"/>
      <c r="H18" s="17" t="n"/>
      <c r="I18" s="17" t="n"/>
      <c r="J18" s="17" t="n"/>
      <c r="K18" s="17" t="n"/>
      <c r="L18" s="17" t="n"/>
      <c r="M18" s="17" t="n"/>
      <c r="N18" s="17" t="n"/>
      <c r="O18" s="17" t="n"/>
      <c r="P18" s="17" t="n"/>
      <c r="Q18" s="17" t="n"/>
      <c r="R18" s="17" t="n"/>
    </row>
    <row r="19" ht="25" customHeight="1">
      <c r="A19" s="16">
        <f>"GAP-"&amp;TEXT(ROW()-7,"000")</f>
        <v/>
      </c>
      <c r="B19" s="17" t="n"/>
      <c r="C19" s="17" t="n"/>
      <c r="D19" s="17" t="n"/>
      <c r="E19" s="17" t="n"/>
      <c r="F19" s="17" t="n"/>
      <c r="G19" s="17" t="n"/>
      <c r="H19" s="17" t="n"/>
      <c r="I19" s="17" t="n"/>
      <c r="J19" s="17" t="n"/>
      <c r="K19" s="17" t="n"/>
      <c r="L19" s="17" t="n"/>
      <c r="M19" s="17" t="n"/>
      <c r="N19" s="17" t="n"/>
      <c r="O19" s="17" t="n"/>
      <c r="P19" s="17" t="n"/>
      <c r="Q19" s="17" t="n"/>
      <c r="R19" s="17" t="n"/>
    </row>
    <row r="20" ht="25" customHeight="1">
      <c r="A20" s="16">
        <f>"GAP-"&amp;TEXT(ROW()-7,"000")</f>
        <v/>
      </c>
      <c r="B20" s="17" t="n"/>
      <c r="C20" s="17" t="n"/>
      <c r="D20" s="17" t="n"/>
      <c r="E20" s="17" t="n"/>
      <c r="F20" s="17" t="n"/>
      <c r="G20" s="17" t="n"/>
      <c r="H20" s="17" t="n"/>
      <c r="I20" s="17" t="n"/>
      <c r="J20" s="17" t="n"/>
      <c r="K20" s="17" t="n"/>
      <c r="L20" s="17" t="n"/>
      <c r="M20" s="17" t="n"/>
      <c r="N20" s="17" t="n"/>
      <c r="O20" s="17" t="n"/>
      <c r="P20" s="17" t="n"/>
      <c r="Q20" s="17" t="n"/>
      <c r="R20" s="17" t="n"/>
    </row>
    <row r="21" ht="25" customHeight="1">
      <c r="A21" s="16">
        <f>"GAP-"&amp;TEXT(ROW()-7,"000")</f>
        <v/>
      </c>
      <c r="B21" s="17" t="n"/>
      <c r="C21" s="17" t="n"/>
      <c r="D21" s="17" t="n"/>
      <c r="E21" s="17" t="n"/>
      <c r="F21" s="17" t="n"/>
      <c r="G21" s="17" t="n"/>
      <c r="H21" s="17" t="n"/>
      <c r="I21" s="17" t="n"/>
      <c r="J21" s="17" t="n"/>
      <c r="K21" s="17" t="n"/>
      <c r="L21" s="17" t="n"/>
      <c r="M21" s="17" t="n"/>
      <c r="N21" s="17" t="n"/>
      <c r="O21" s="17" t="n"/>
      <c r="P21" s="17" t="n"/>
      <c r="Q21" s="17" t="n"/>
      <c r="R21" s="17" t="n"/>
    </row>
    <row r="22" ht="25" customHeight="1">
      <c r="A22" s="16">
        <f>"GAP-"&amp;TEXT(ROW()-7,"000")</f>
        <v/>
      </c>
      <c r="B22" s="17" t="n"/>
      <c r="C22" s="17" t="n"/>
      <c r="D22" s="17" t="n"/>
      <c r="E22" s="17" t="n"/>
      <c r="F22" s="17" t="n"/>
      <c r="G22" s="17" t="n"/>
      <c r="H22" s="17" t="n"/>
      <c r="I22" s="17" t="n"/>
      <c r="J22" s="17" t="n"/>
      <c r="K22" s="17" t="n"/>
      <c r="L22" s="17" t="n"/>
      <c r="M22" s="17" t="n"/>
      <c r="N22" s="17" t="n"/>
      <c r="O22" s="17" t="n"/>
      <c r="P22" s="17" t="n"/>
      <c r="Q22" s="17" t="n"/>
      <c r="R22" s="17" t="n"/>
    </row>
    <row r="23" ht="25" customHeight="1">
      <c r="A23" s="16">
        <f>"GAP-"&amp;TEXT(ROW()-7,"000")</f>
        <v/>
      </c>
      <c r="B23" s="17" t="n"/>
      <c r="C23" s="17" t="n"/>
      <c r="D23" s="17" t="n"/>
      <c r="E23" s="17" t="n"/>
      <c r="F23" s="17" t="n"/>
      <c r="G23" s="17" t="n"/>
      <c r="H23" s="17" t="n"/>
      <c r="I23" s="17" t="n"/>
      <c r="J23" s="17" t="n"/>
      <c r="K23" s="17" t="n"/>
      <c r="L23" s="17" t="n"/>
      <c r="M23" s="17" t="n"/>
      <c r="N23" s="17" t="n"/>
      <c r="O23" s="17" t="n"/>
      <c r="P23" s="17" t="n"/>
      <c r="Q23" s="17" t="n"/>
      <c r="R23" s="17" t="n"/>
    </row>
    <row r="24" ht="25" customHeight="1">
      <c r="A24" s="16">
        <f>"GAP-"&amp;TEXT(ROW()-7,"000")</f>
        <v/>
      </c>
      <c r="B24" s="17" t="n"/>
      <c r="C24" s="17" t="n"/>
      <c r="D24" s="17" t="n"/>
      <c r="E24" s="17" t="n"/>
      <c r="F24" s="17" t="n"/>
      <c r="G24" s="17" t="n"/>
      <c r="H24" s="17" t="n"/>
      <c r="I24" s="17" t="n"/>
      <c r="J24" s="17" t="n"/>
      <c r="K24" s="17" t="n"/>
      <c r="L24" s="17" t="n"/>
      <c r="M24" s="17" t="n"/>
      <c r="N24" s="17" t="n"/>
      <c r="O24" s="17" t="n"/>
      <c r="P24" s="17" t="n"/>
      <c r="Q24" s="17" t="n"/>
      <c r="R24" s="17" t="n"/>
    </row>
    <row r="25" ht="25" customHeight="1">
      <c r="A25" s="16">
        <f>"GAP-"&amp;TEXT(ROW()-7,"000")</f>
        <v/>
      </c>
      <c r="B25" s="17" t="n"/>
      <c r="C25" s="17" t="n"/>
      <c r="D25" s="17" t="n"/>
      <c r="E25" s="17" t="n"/>
      <c r="F25" s="17" t="n"/>
      <c r="G25" s="17" t="n"/>
      <c r="H25" s="17" t="n"/>
      <c r="I25" s="17" t="n"/>
      <c r="J25" s="17" t="n"/>
      <c r="K25" s="17" t="n"/>
      <c r="L25" s="17" t="n"/>
      <c r="M25" s="17" t="n"/>
      <c r="N25" s="17" t="n"/>
      <c r="O25" s="17" t="n"/>
      <c r="P25" s="17" t="n"/>
      <c r="Q25" s="17" t="n"/>
      <c r="R25" s="17" t="n"/>
    </row>
    <row r="26" ht="25" customHeight="1">
      <c r="A26" s="16">
        <f>"GAP-"&amp;TEXT(ROW()-7,"000")</f>
        <v/>
      </c>
      <c r="B26" s="17" t="n"/>
      <c r="C26" s="17" t="n"/>
      <c r="D26" s="17" t="n"/>
      <c r="E26" s="17" t="n"/>
      <c r="F26" s="17" t="n"/>
      <c r="G26" s="17" t="n"/>
      <c r="H26" s="17" t="n"/>
      <c r="I26" s="17" t="n"/>
      <c r="J26" s="17" t="n"/>
      <c r="K26" s="17" t="n"/>
      <c r="L26" s="17" t="n"/>
      <c r="M26" s="17" t="n"/>
      <c r="N26" s="17" t="n"/>
      <c r="O26" s="17" t="n"/>
      <c r="P26" s="17" t="n"/>
      <c r="Q26" s="17" t="n"/>
      <c r="R26" s="17" t="n"/>
    </row>
    <row r="27" ht="25" customHeight="1">
      <c r="A27" s="16">
        <f>"GAP-"&amp;TEXT(ROW()-7,"000")</f>
        <v/>
      </c>
      <c r="B27" s="17" t="n"/>
      <c r="C27" s="17" t="n"/>
      <c r="D27" s="17" t="n"/>
      <c r="E27" s="17" t="n"/>
      <c r="F27" s="17" t="n"/>
      <c r="G27" s="17" t="n"/>
      <c r="H27" s="17" t="n"/>
      <c r="I27" s="17" t="n"/>
      <c r="J27" s="17" t="n"/>
      <c r="K27" s="17" t="n"/>
      <c r="L27" s="17" t="n"/>
      <c r="M27" s="17" t="n"/>
      <c r="N27" s="17" t="n"/>
      <c r="O27" s="17" t="n"/>
      <c r="P27" s="17" t="n"/>
      <c r="Q27" s="17" t="n"/>
      <c r="R27" s="17" t="n"/>
    </row>
    <row r="28" ht="25" customHeight="1">
      <c r="A28" s="16">
        <f>"GAP-"&amp;TEXT(ROW()-7,"000")</f>
        <v/>
      </c>
      <c r="B28" s="17" t="n"/>
      <c r="C28" s="17" t="n"/>
      <c r="D28" s="17" t="n"/>
      <c r="E28" s="17" t="n"/>
      <c r="F28" s="17" t="n"/>
      <c r="G28" s="17" t="n"/>
      <c r="H28" s="17" t="n"/>
      <c r="I28" s="17" t="n"/>
      <c r="J28" s="17" t="n"/>
      <c r="K28" s="17" t="n"/>
      <c r="L28" s="17" t="n"/>
      <c r="M28" s="17" t="n"/>
      <c r="N28" s="17" t="n"/>
      <c r="O28" s="17" t="n"/>
      <c r="P28" s="17" t="n"/>
      <c r="Q28" s="17" t="n"/>
      <c r="R28" s="17" t="n"/>
    </row>
    <row r="29" ht="25" customHeight="1">
      <c r="A29" s="16">
        <f>"GAP-"&amp;TEXT(ROW()-7,"000")</f>
        <v/>
      </c>
      <c r="B29" s="17" t="n"/>
      <c r="C29" s="17" t="n"/>
      <c r="D29" s="17" t="n"/>
      <c r="E29" s="17" t="n"/>
      <c r="F29" s="17" t="n"/>
      <c r="G29" s="17" t="n"/>
      <c r="H29" s="17" t="n"/>
      <c r="I29" s="17" t="n"/>
      <c r="J29" s="17" t="n"/>
      <c r="K29" s="17" t="n"/>
      <c r="L29" s="17" t="n"/>
      <c r="M29" s="17" t="n"/>
      <c r="N29" s="17" t="n"/>
      <c r="O29" s="17" t="n"/>
      <c r="P29" s="17" t="n"/>
      <c r="Q29" s="17" t="n"/>
      <c r="R29" s="17" t="n"/>
    </row>
    <row r="30" ht="25" customHeight="1">
      <c r="A30" s="16">
        <f>"GAP-"&amp;TEXT(ROW()-7,"000")</f>
        <v/>
      </c>
      <c r="B30" s="17" t="n"/>
      <c r="C30" s="17" t="n"/>
      <c r="D30" s="17" t="n"/>
      <c r="E30" s="17" t="n"/>
      <c r="F30" s="17" t="n"/>
      <c r="G30" s="17" t="n"/>
      <c r="H30" s="17" t="n"/>
      <c r="I30" s="17" t="n"/>
      <c r="J30" s="17" t="n"/>
      <c r="K30" s="17" t="n"/>
      <c r="L30" s="17" t="n"/>
      <c r="M30" s="17" t="n"/>
      <c r="N30" s="17" t="n"/>
      <c r="O30" s="17" t="n"/>
      <c r="P30" s="17" t="n"/>
      <c r="Q30" s="17" t="n"/>
      <c r="R30" s="17" t="n"/>
    </row>
    <row r="31" ht="25" customHeight="1">
      <c r="A31" s="16">
        <f>"GAP-"&amp;TEXT(ROW()-7,"000")</f>
        <v/>
      </c>
      <c r="B31" s="17" t="n"/>
      <c r="C31" s="17" t="n"/>
      <c r="D31" s="17" t="n"/>
      <c r="E31" s="17" t="n"/>
      <c r="F31" s="17" t="n"/>
      <c r="G31" s="17" t="n"/>
      <c r="H31" s="17" t="n"/>
      <c r="I31" s="17" t="n"/>
      <c r="J31" s="17" t="n"/>
      <c r="K31" s="17" t="n"/>
      <c r="L31" s="17" t="n"/>
      <c r="M31" s="17" t="n"/>
      <c r="N31" s="17" t="n"/>
      <c r="O31" s="17" t="n"/>
      <c r="P31" s="17" t="n"/>
      <c r="Q31" s="17" t="n"/>
      <c r="R31" s="17" t="n"/>
    </row>
    <row r="32" ht="25" customHeight="1">
      <c r="A32" s="16">
        <f>"GAP-"&amp;TEXT(ROW()-7,"000")</f>
        <v/>
      </c>
      <c r="B32" s="17" t="n"/>
      <c r="C32" s="17" t="n"/>
      <c r="D32" s="17" t="n"/>
      <c r="E32" s="17" t="n"/>
      <c r="F32" s="17" t="n"/>
      <c r="G32" s="17" t="n"/>
      <c r="H32" s="17" t="n"/>
      <c r="I32" s="17" t="n"/>
      <c r="J32" s="17" t="n"/>
      <c r="K32" s="17" t="n"/>
      <c r="L32" s="17" t="n"/>
      <c r="M32" s="17" t="n"/>
      <c r="N32" s="17" t="n"/>
      <c r="O32" s="17" t="n"/>
      <c r="P32" s="17" t="n"/>
      <c r="Q32" s="17" t="n"/>
      <c r="R32" s="17" t="n"/>
    </row>
    <row r="33" ht="25" customHeight="1">
      <c r="A33" s="16">
        <f>"GAP-"&amp;TEXT(ROW()-7,"000")</f>
        <v/>
      </c>
      <c r="B33" s="17" t="n"/>
      <c r="C33" s="17" t="n"/>
      <c r="D33" s="17" t="n"/>
      <c r="E33" s="17" t="n"/>
      <c r="F33" s="17" t="n"/>
      <c r="G33" s="17" t="n"/>
      <c r="H33" s="17" t="n"/>
      <c r="I33" s="17" t="n"/>
      <c r="J33" s="17" t="n"/>
      <c r="K33" s="17" t="n"/>
      <c r="L33" s="17" t="n"/>
      <c r="M33" s="17" t="n"/>
      <c r="N33" s="17" t="n"/>
      <c r="O33" s="17" t="n"/>
      <c r="P33" s="17" t="n"/>
      <c r="Q33" s="17" t="n"/>
      <c r="R33" s="17" t="n"/>
    </row>
    <row r="34" ht="25" customHeight="1">
      <c r="A34" s="16">
        <f>"GAP-"&amp;TEXT(ROW()-7,"000")</f>
        <v/>
      </c>
      <c r="B34" s="17" t="n"/>
      <c r="C34" s="17" t="n"/>
      <c r="D34" s="17" t="n"/>
      <c r="E34" s="17" t="n"/>
      <c r="F34" s="17" t="n"/>
      <c r="G34" s="17" t="n"/>
      <c r="H34" s="17" t="n"/>
      <c r="I34" s="17" t="n"/>
      <c r="J34" s="17" t="n"/>
      <c r="K34" s="17" t="n"/>
      <c r="L34" s="17" t="n"/>
      <c r="M34" s="17" t="n"/>
      <c r="N34" s="17" t="n"/>
      <c r="O34" s="17" t="n"/>
      <c r="P34" s="17" t="n"/>
      <c r="Q34" s="17" t="n"/>
      <c r="R34" s="17" t="n"/>
    </row>
    <row r="35" ht="25" customHeight="1">
      <c r="A35" s="16">
        <f>"GAP-"&amp;TEXT(ROW()-7,"000")</f>
        <v/>
      </c>
      <c r="B35" s="17" t="n"/>
      <c r="C35" s="17" t="n"/>
      <c r="D35" s="17" t="n"/>
      <c r="E35" s="17" t="n"/>
      <c r="F35" s="17" t="n"/>
      <c r="G35" s="17" t="n"/>
      <c r="H35" s="17" t="n"/>
      <c r="I35" s="17" t="n"/>
      <c r="J35" s="17" t="n"/>
      <c r="K35" s="17" t="n"/>
      <c r="L35" s="17" t="n"/>
      <c r="M35" s="17" t="n"/>
      <c r="N35" s="17" t="n"/>
      <c r="O35" s="17" t="n"/>
      <c r="P35" s="17" t="n"/>
      <c r="Q35" s="17" t="n"/>
      <c r="R35" s="17" t="n"/>
    </row>
    <row r="36" ht="25" customHeight="1">
      <c r="A36" s="16">
        <f>"GAP-"&amp;TEXT(ROW()-7,"000")</f>
        <v/>
      </c>
      <c r="B36" s="17" t="n"/>
      <c r="C36" s="17" t="n"/>
      <c r="D36" s="17" t="n"/>
      <c r="E36" s="17" t="n"/>
      <c r="F36" s="17" t="n"/>
      <c r="G36" s="17" t="n"/>
      <c r="H36" s="17" t="n"/>
      <c r="I36" s="17" t="n"/>
      <c r="J36" s="17" t="n"/>
      <c r="K36" s="17" t="n"/>
      <c r="L36" s="17" t="n"/>
      <c r="M36" s="17" t="n"/>
      <c r="N36" s="17" t="n"/>
      <c r="O36" s="17" t="n"/>
      <c r="P36" s="17" t="n"/>
      <c r="Q36" s="17" t="n"/>
      <c r="R36" s="17" t="n"/>
    </row>
    <row r="37" ht="25" customHeight="1">
      <c r="A37" s="16">
        <f>"GAP-"&amp;TEXT(ROW()-7,"000")</f>
        <v/>
      </c>
      <c r="B37" s="17" t="n"/>
      <c r="C37" s="17" t="n"/>
      <c r="D37" s="17" t="n"/>
      <c r="E37" s="17" t="n"/>
      <c r="F37" s="17" t="n"/>
      <c r="G37" s="17" t="n"/>
      <c r="H37" s="17" t="n"/>
      <c r="I37" s="17" t="n"/>
      <c r="J37" s="17" t="n"/>
      <c r="K37" s="17" t="n"/>
      <c r="L37" s="17" t="n"/>
      <c r="M37" s="17" t="n"/>
      <c r="N37" s="17" t="n"/>
      <c r="O37" s="17" t="n"/>
      <c r="P37" s="17" t="n"/>
      <c r="Q37" s="17" t="n"/>
      <c r="R37" s="17" t="n"/>
    </row>
    <row r="38" ht="25" customHeight="1">
      <c r="A38" s="16">
        <f>"GAP-"&amp;TEXT(ROW()-7,"000")</f>
        <v/>
      </c>
      <c r="B38" s="17" t="n"/>
      <c r="C38" s="17" t="n"/>
      <c r="D38" s="17" t="n"/>
      <c r="E38" s="17" t="n"/>
      <c r="F38" s="17" t="n"/>
      <c r="G38" s="17" t="n"/>
      <c r="H38" s="17" t="n"/>
      <c r="I38" s="17" t="n"/>
      <c r="J38" s="17" t="n"/>
      <c r="K38" s="17" t="n"/>
      <c r="L38" s="17" t="n"/>
      <c r="M38" s="17" t="n"/>
      <c r="N38" s="17" t="n"/>
      <c r="O38" s="17" t="n"/>
      <c r="P38" s="17" t="n"/>
      <c r="Q38" s="17" t="n"/>
      <c r="R38" s="17" t="n"/>
    </row>
    <row r="39" ht="25" customHeight="1">
      <c r="A39" s="16">
        <f>"GAP-"&amp;TEXT(ROW()-7,"000")</f>
        <v/>
      </c>
      <c r="B39" s="17" t="n"/>
      <c r="C39" s="17" t="n"/>
      <c r="D39" s="17" t="n"/>
      <c r="E39" s="17" t="n"/>
      <c r="F39" s="17" t="n"/>
      <c r="G39" s="17" t="n"/>
      <c r="H39" s="17" t="n"/>
      <c r="I39" s="17" t="n"/>
      <c r="J39" s="17" t="n"/>
      <c r="K39" s="17" t="n"/>
      <c r="L39" s="17" t="n"/>
      <c r="M39" s="17" t="n"/>
      <c r="N39" s="17" t="n"/>
      <c r="O39" s="17" t="n"/>
      <c r="P39" s="17" t="n"/>
      <c r="Q39" s="17" t="n"/>
      <c r="R39" s="17" t="n"/>
    </row>
    <row r="40" ht="25" customHeight="1">
      <c r="A40" s="16">
        <f>"GAP-"&amp;TEXT(ROW()-7,"000")</f>
        <v/>
      </c>
      <c r="B40" s="17" t="n"/>
      <c r="C40" s="17" t="n"/>
      <c r="D40" s="17" t="n"/>
      <c r="E40" s="17" t="n"/>
      <c r="F40" s="17" t="n"/>
      <c r="G40" s="17" t="n"/>
      <c r="H40" s="17" t="n"/>
      <c r="I40" s="17" t="n"/>
      <c r="J40" s="17" t="n"/>
      <c r="K40" s="17" t="n"/>
      <c r="L40" s="17" t="n"/>
      <c r="M40" s="17" t="n"/>
      <c r="N40" s="17" t="n"/>
      <c r="O40" s="17" t="n"/>
      <c r="P40" s="17" t="n"/>
      <c r="Q40" s="17" t="n"/>
      <c r="R40" s="17" t="n"/>
    </row>
    <row r="41" ht="25" customHeight="1">
      <c r="A41" s="16">
        <f>"GAP-"&amp;TEXT(ROW()-7,"000")</f>
        <v/>
      </c>
      <c r="B41" s="17" t="n"/>
      <c r="C41" s="17" t="n"/>
      <c r="D41" s="17" t="n"/>
      <c r="E41" s="17" t="n"/>
      <c r="F41" s="17" t="n"/>
      <c r="G41" s="17" t="n"/>
      <c r="H41" s="17" t="n"/>
      <c r="I41" s="17" t="n"/>
      <c r="J41" s="17" t="n"/>
      <c r="K41" s="17" t="n"/>
      <c r="L41" s="17" t="n"/>
      <c r="M41" s="17" t="n"/>
      <c r="N41" s="17" t="n"/>
      <c r="O41" s="17" t="n"/>
      <c r="P41" s="17" t="n"/>
      <c r="Q41" s="17" t="n"/>
      <c r="R41" s="17" t="n"/>
    </row>
    <row r="42" ht="25" customHeight="1">
      <c r="A42" s="16">
        <f>"GAP-"&amp;TEXT(ROW()-7,"000")</f>
        <v/>
      </c>
      <c r="B42" s="17" t="n"/>
      <c r="C42" s="17" t="n"/>
      <c r="D42" s="17" t="n"/>
      <c r="E42" s="17" t="n"/>
      <c r="F42" s="17" t="n"/>
      <c r="G42" s="17" t="n"/>
      <c r="H42" s="17" t="n"/>
      <c r="I42" s="17" t="n"/>
      <c r="J42" s="17" t="n"/>
      <c r="K42" s="17" t="n"/>
      <c r="L42" s="17" t="n"/>
      <c r="M42" s="17" t="n"/>
      <c r="N42" s="17" t="n"/>
      <c r="O42" s="17" t="n"/>
      <c r="P42" s="17" t="n"/>
      <c r="Q42" s="17" t="n"/>
      <c r="R42" s="17" t="n"/>
    </row>
    <row r="43" ht="25" customHeight="1">
      <c r="A43" s="16">
        <f>"GAP-"&amp;TEXT(ROW()-7,"000")</f>
        <v/>
      </c>
      <c r="B43" s="17" t="n"/>
      <c r="C43" s="17" t="n"/>
      <c r="D43" s="17" t="n"/>
      <c r="E43" s="17" t="n"/>
      <c r="F43" s="17" t="n"/>
      <c r="G43" s="17" t="n"/>
      <c r="H43" s="17" t="n"/>
      <c r="I43" s="17" t="n"/>
      <c r="J43" s="17" t="n"/>
      <c r="K43" s="17" t="n"/>
      <c r="L43" s="17" t="n"/>
      <c r="M43" s="17" t="n"/>
      <c r="N43" s="17" t="n"/>
      <c r="O43" s="17" t="n"/>
      <c r="P43" s="17" t="n"/>
      <c r="Q43" s="17" t="n"/>
      <c r="R43" s="17" t="n"/>
    </row>
    <row r="44" ht="25" customHeight="1">
      <c r="A44" s="16">
        <f>"GAP-"&amp;TEXT(ROW()-7,"000")</f>
        <v/>
      </c>
      <c r="B44" s="17" t="n"/>
      <c r="C44" s="17" t="n"/>
      <c r="D44" s="17" t="n"/>
      <c r="E44" s="17" t="n"/>
      <c r="F44" s="17" t="n"/>
      <c r="G44" s="17" t="n"/>
      <c r="H44" s="17" t="n"/>
      <c r="I44" s="17" t="n"/>
      <c r="J44" s="17" t="n"/>
      <c r="K44" s="17" t="n"/>
      <c r="L44" s="17" t="n"/>
      <c r="M44" s="17" t="n"/>
      <c r="N44" s="17" t="n"/>
      <c r="O44" s="17" t="n"/>
      <c r="P44" s="17" t="n"/>
      <c r="Q44" s="17" t="n"/>
      <c r="R44" s="17" t="n"/>
    </row>
    <row r="45" ht="25" customHeight="1">
      <c r="A45" s="16">
        <f>"GAP-"&amp;TEXT(ROW()-7,"000")</f>
        <v/>
      </c>
      <c r="B45" s="17" t="n"/>
      <c r="C45" s="17" t="n"/>
      <c r="D45" s="17" t="n"/>
      <c r="E45" s="17" t="n"/>
      <c r="F45" s="17" t="n"/>
      <c r="G45" s="17" t="n"/>
      <c r="H45" s="17" t="n"/>
      <c r="I45" s="17" t="n"/>
      <c r="J45" s="17" t="n"/>
      <c r="K45" s="17" t="n"/>
      <c r="L45" s="17" t="n"/>
      <c r="M45" s="17" t="n"/>
      <c r="N45" s="17" t="n"/>
      <c r="O45" s="17" t="n"/>
      <c r="P45" s="17" t="n"/>
      <c r="Q45" s="17" t="n"/>
      <c r="R45" s="17" t="n"/>
    </row>
    <row r="46" ht="25" customHeight="1">
      <c r="A46" s="16">
        <f>"GAP-"&amp;TEXT(ROW()-7,"000")</f>
        <v/>
      </c>
      <c r="B46" s="17" t="n"/>
      <c r="C46" s="17" t="n"/>
      <c r="D46" s="17" t="n"/>
      <c r="E46" s="17" t="n"/>
      <c r="F46" s="17" t="n"/>
      <c r="G46" s="17" t="n"/>
      <c r="H46" s="17" t="n"/>
      <c r="I46" s="17" t="n"/>
      <c r="J46" s="17" t="n"/>
      <c r="K46" s="17" t="n"/>
      <c r="L46" s="17" t="n"/>
      <c r="M46" s="17" t="n"/>
      <c r="N46" s="17" t="n"/>
      <c r="O46" s="17" t="n"/>
      <c r="P46" s="17" t="n"/>
      <c r="Q46" s="17" t="n"/>
      <c r="R46" s="17" t="n"/>
    </row>
    <row r="47" ht="25" customHeight="1">
      <c r="A47" s="16">
        <f>"GAP-"&amp;TEXT(ROW()-7,"000")</f>
        <v/>
      </c>
      <c r="B47" s="17" t="n"/>
      <c r="C47" s="17" t="n"/>
      <c r="D47" s="17" t="n"/>
      <c r="E47" s="17" t="n"/>
      <c r="F47" s="17" t="n"/>
      <c r="G47" s="17" t="n"/>
      <c r="H47" s="17" t="n"/>
      <c r="I47" s="17" t="n"/>
      <c r="J47" s="17" t="n"/>
      <c r="K47" s="17" t="n"/>
      <c r="L47" s="17" t="n"/>
      <c r="M47" s="17" t="n"/>
      <c r="N47" s="17" t="n"/>
      <c r="O47" s="17" t="n"/>
      <c r="P47" s="17" t="n"/>
      <c r="Q47" s="17" t="n"/>
      <c r="R47" s="17" t="n"/>
    </row>
    <row r="50">
      <c r="A50" s="3" t="inlineStr">
        <is>
          <t>GAP SUMMARY STATISTICS</t>
        </is>
      </c>
    </row>
    <row r="51">
      <c r="A51" s="9" t="inlineStr">
        <is>
          <t>Metric</t>
        </is>
      </c>
      <c r="B51" s="12" t="n"/>
      <c r="C51" s="12" t="n"/>
      <c r="D51" s="12" t="n"/>
      <c r="E51" s="12" t="n"/>
      <c r="F51" s="12" t="n"/>
      <c r="G51" s="12" t="n"/>
      <c r="H51" s="12" t="n"/>
      <c r="I51" s="12" t="n"/>
      <c r="J51" s="12" t="n"/>
      <c r="K51" s="12" t="n"/>
      <c r="L51" s="12" t="n"/>
      <c r="M51" s="12" t="n"/>
      <c r="N51" s="12" t="n"/>
      <c r="O51" s="12" t="n"/>
      <c r="P51" s="12" t="n"/>
      <c r="Q51" s="12" t="n"/>
      <c r="R51" s="12" t="n"/>
    </row>
    <row r="52" ht="25" customHeight="1">
      <c r="A52" s="6" t="inlineStr">
        <is>
          <t>Total Gaps Identified</t>
        </is>
      </c>
    </row>
    <row r="53" ht="25" customHeight="1">
      <c r="A53" s="6" t="inlineStr">
        <is>
          <t>Critical Gaps</t>
        </is>
      </c>
    </row>
    <row r="54" ht="25" customHeight="1">
      <c r="A54" s="6" t="inlineStr">
        <is>
          <t>High Gaps</t>
        </is>
      </c>
    </row>
    <row r="55" ht="25" customHeight="1">
      <c r="A55" s="6" t="inlineStr">
        <is>
          <t>Open Gaps</t>
        </is>
      </c>
    </row>
    <row r="56" ht="25" customHeight="1">
      <c r="A56" s="6" t="inlineStr">
        <is>
          <t>In Progress</t>
        </is>
      </c>
    </row>
    <row r="57" ht="25" customHeight="1">
      <c r="A57" s="6" t="inlineStr">
        <is>
          <t>Resolved Gaps</t>
        </is>
      </c>
    </row>
    <row r="58" ht="25" customHeight="1">
      <c r="A58" s="6" t="inlineStr">
        <is>
          <t>Accepted Risks</t>
        </is>
      </c>
    </row>
    <row r="59" ht="25" customHeight="1">
      <c r="A59" s="6" t="inlineStr">
        <is>
          <t>Overdue (Past Target Date)</t>
        </is>
      </c>
    </row>
    <row r="62">
      <c r="A62" s="3" t="inlineStr">
        <is>
          <t>GAP MANAGEMENT CHECKLIST</t>
        </is>
      </c>
    </row>
    <row r="63">
      <c r="A63" s="9" t="inlineStr">
        <is>
          <t>#</t>
        </is>
      </c>
      <c r="B63" s="9" t="inlineStr">
        <is>
          <t>Requirement</t>
        </is>
      </c>
      <c r="C63" s="12" t="n"/>
      <c r="D63" s="12" t="n"/>
      <c r="E63" s="12" t="n"/>
      <c r="F63" s="12" t="n"/>
      <c r="G63" s="12" t="n"/>
      <c r="H63" s="12" t="n"/>
      <c r="I63" s="12" t="n"/>
      <c r="J63" s="12" t="n"/>
      <c r="K63" s="12" t="n"/>
      <c r="L63" s="12" t="n"/>
      <c r="M63" s="12" t="n"/>
      <c r="N63" s="12" t="n"/>
      <c r="O63" s="12" t="n"/>
      <c r="P63" s="12" t="n"/>
      <c r="Q63" s="13" t="n"/>
    </row>
    <row r="64" ht="25" customHeight="1">
      <c r="A64" t="n">
        <v>1</v>
      </c>
      <c r="B64" s="6" t="inlineStr">
        <is>
          <t>All coverage gaps identified</t>
        </is>
      </c>
      <c r="R64" s="5" t="n"/>
    </row>
    <row r="65" ht="25" customHeight="1">
      <c r="A65" t="n">
        <v>2</v>
      </c>
      <c r="B65" s="6" t="inlineStr">
        <is>
          <t>Gaps categorized by type</t>
        </is>
      </c>
      <c r="R65" s="5" t="n"/>
    </row>
    <row r="66" ht="25" customHeight="1">
      <c r="A66" t="n">
        <v>3</v>
      </c>
      <c r="B66" s="6" t="inlineStr">
        <is>
          <t>Risk level assessed for each gap</t>
        </is>
      </c>
      <c r="R66" s="5" t="n"/>
    </row>
    <row r="67" ht="25" customHeight="1">
      <c r="A67" t="n">
        <v>4</v>
      </c>
      <c r="B67" s="6" t="inlineStr">
        <is>
          <t>Root cause analysis conducted</t>
        </is>
      </c>
      <c r="R67" s="5" t="n"/>
    </row>
    <row r="68" ht="25" customHeight="1">
      <c r="A68" t="n">
        <v>5</v>
      </c>
      <c r="B68" s="6" t="inlineStr">
        <is>
          <t>Critical gaps remediated within 30 days</t>
        </is>
      </c>
      <c r="R68" s="5" t="n"/>
    </row>
    <row r="69" ht="25" customHeight="1">
      <c r="A69" t="n">
        <v>6</v>
      </c>
      <c r="B69" s="6" t="inlineStr">
        <is>
          <t>High gaps remediated within 90 days</t>
        </is>
      </c>
      <c r="R69" s="5" t="n"/>
    </row>
    <row r="70" ht="25" customHeight="1">
      <c r="A70" t="n">
        <v>7</v>
      </c>
      <c r="B70" s="6" t="inlineStr">
        <is>
          <t>Exceptions formally approved</t>
        </is>
      </c>
      <c r="R70" s="5" t="n"/>
    </row>
    <row r="71" ht="25" customHeight="1">
      <c r="A71" t="n">
        <v>8</v>
      </c>
      <c r="B71" s="6" t="inlineStr">
        <is>
          <t>Compensating controls documented</t>
        </is>
      </c>
      <c r="R71" s="5" t="n"/>
    </row>
    <row r="72" ht="25" customHeight="1">
      <c r="A72" t="n">
        <v>9</v>
      </c>
      <c r="B72" s="6" t="inlineStr">
        <is>
          <t>Remediation plans documented</t>
        </is>
      </c>
      <c r="R72" s="5" t="n"/>
    </row>
    <row r="73" ht="25" customHeight="1">
      <c r="A73" t="n">
        <v>10</v>
      </c>
      <c r="B73" s="6" t="inlineStr">
        <is>
          <t>Gap remediation tracked</t>
        </is>
      </c>
      <c r="R73" s="5" t="n"/>
    </row>
    <row r="74" ht="25" customHeight="1">
      <c r="A74" t="n">
        <v>11</v>
      </c>
      <c r="B74" s="6" t="inlineStr">
        <is>
          <t>Verification conducted post-remediation</t>
        </is>
      </c>
      <c r="R74" s="5" t="n"/>
    </row>
    <row r="75" ht="25" customHeight="1">
      <c r="A75" t="n">
        <v>12</v>
      </c>
      <c r="B75" s="6" t="inlineStr">
        <is>
          <t>Trends analyzed (recurring gaps?)</t>
        </is>
      </c>
      <c r="R75" s="5" t="n"/>
    </row>
    <row r="76" ht="25" customHeight="1">
      <c r="A76" t="n">
        <v>13</v>
      </c>
      <c r="B76" s="6" t="inlineStr">
        <is>
          <t>Gaps reported to CISO monthly</t>
        </is>
      </c>
      <c r="R76" s="5" t="n"/>
    </row>
    <row r="77" ht="25" customHeight="1">
      <c r="A77" t="n">
        <v>14</v>
      </c>
      <c r="B77" s="6" t="inlineStr">
        <is>
          <t>Improvement actions implemented</t>
        </is>
      </c>
      <c r="R77" s="5" t="n"/>
    </row>
    <row r="78" ht="25" customHeight="1">
      <c r="A78" t="n">
        <v>15</v>
      </c>
      <c r="B78" s="6" t="inlineStr">
        <is>
          <t>Coverage metrics improving over time</t>
        </is>
      </c>
      <c r="R78" s="5" t="n"/>
    </row>
    <row r="79">
      <c r="A79" s="14" t="inlineStr">
        <is>
          <t>SCORE:</t>
        </is>
      </c>
      <c r="B79" s="15">
        <f>COUNTIF(R64:R78,"✅ Compliant")&amp;" / 15"</f>
        <v/>
      </c>
    </row>
  </sheetData>
  <mergeCells count="58">
    <mergeCell ref="D52:R52"/>
    <mergeCell ref="A54:F54"/>
    <mergeCell ref="D57:R57"/>
    <mergeCell ref="C52:L52"/>
    <mergeCell ref="B54:I54"/>
    <mergeCell ref="B65:Q65"/>
    <mergeCell ref="B59:I59"/>
    <mergeCell ref="B74:Q74"/>
    <mergeCell ref="A56:F56"/>
    <mergeCell ref="B68:Q68"/>
    <mergeCell ref="B64:Q64"/>
    <mergeCell ref="A55:F55"/>
    <mergeCell ref="A50:R50"/>
    <mergeCell ref="A57:F57"/>
    <mergeCell ref="B56:I56"/>
    <mergeCell ref="A3:R3"/>
    <mergeCell ref="D53:R53"/>
    <mergeCell ref="B52:I52"/>
    <mergeCell ref="C53:L53"/>
    <mergeCell ref="C57:L57"/>
    <mergeCell ref="B58:I58"/>
    <mergeCell ref="B79:E79"/>
    <mergeCell ref="B76:Q76"/>
    <mergeCell ref="A2:R2"/>
    <mergeCell ref="B63:Q63"/>
    <mergeCell ref="B75:Q75"/>
    <mergeCell ref="D56:R56"/>
    <mergeCell ref="A53:F53"/>
    <mergeCell ref="B57:I57"/>
    <mergeCell ref="C58:L58"/>
    <mergeCell ref="D58:R58"/>
    <mergeCell ref="B72:Q72"/>
    <mergeCell ref="A62:R62"/>
    <mergeCell ref="A52:F52"/>
    <mergeCell ref="B53:I53"/>
    <mergeCell ref="D55:R55"/>
    <mergeCell ref="B66:Q66"/>
    <mergeCell ref="D51:R51"/>
    <mergeCell ref="B71:Q71"/>
    <mergeCell ref="D54:R54"/>
    <mergeCell ref="A58:F58"/>
    <mergeCell ref="B77:Q77"/>
    <mergeCell ref="B70:Q70"/>
    <mergeCell ref="D59:R59"/>
    <mergeCell ref="C54:L54"/>
    <mergeCell ref="A59:F59"/>
    <mergeCell ref="B67:Q67"/>
    <mergeCell ref="A51:F51"/>
    <mergeCell ref="C55:L55"/>
    <mergeCell ref="B55:I55"/>
    <mergeCell ref="B51:I51"/>
    <mergeCell ref="C56:L56"/>
    <mergeCell ref="C59:L59"/>
    <mergeCell ref="B73:Q73"/>
    <mergeCell ref="A1:R1"/>
    <mergeCell ref="B69:Q69"/>
    <mergeCell ref="C51:L51"/>
    <mergeCell ref="B78:Q78"/>
  </mergeCells>
  <dataValidations count="6">
    <dataValidation sqref="B8 B9 B10 B11 B12 B13 B14 B15 B16 B17 B18 B19 B20 B21 B22 B23 B24 B25 B26 B27 B28 B29 B30 B31 B32 B33 B34 B35 B36 B37 B38 B39 B40 B41 B42 B43 B44 B45 B46 B47" showDropDown="0" showInputMessage="0" showErrorMessage="0" allowBlank="0" type="list">
      <formula1>"Asset Not Monitored,Log Source Missing,Network Segment Gap,User/Identity Gap,Application Gap,Detection Gap,Other"</formula1>
    </dataValidation>
    <dataValidation sqref="O8 O9 O10 O11 O12 O13 O14 O15 O16 O17 O18 O19 O20 O21 O22 O23 O24 O25 O26 O27 O28 O29 O30 O31 O32 O33 O34 O35 O36 O37 O38 O39 O40 O41 O42 O43 O44 O45 O46 O47" showDropDown="0" showInputMessage="0" showErrorMessage="0" allowBlank="0" type="list">
      <formula1>"Open,In Progress,Resolved,Deferred,Accepted"</formula1>
    </dataValidation>
    <dataValidation sqref="R64 R65 R66 R67 R68 R69 R70 R71 R72 R73 R74 R75 R76 R77 R78" showDropDown="0" showInputMessage="0" showErrorMessage="0" allowBlank="0" type="list">
      <formula1>"✅ Compliant,⚠️ Partial,❌ Non-Compliant,N/A"</formula1>
    </dataValidation>
    <dataValidation sqref="F8 F9 F10 F11 F12 F13 F14 F15 F16 F17 F18 F19 F20 F21 F22 F23 F24 F25 F26 F27 F28 F29 F30 F31 F32 F33 F34 F35 F36 F37 F38 F39 F40 F41 F42 F43 F44 F45 F46 F47" showDropDown="0" showInputMessage="0" showErrorMessage="0" allowBlank="0" type="list">
      <formula1>"Critical,High,Medium,Low"</formula1>
    </dataValidation>
    <dataValidation sqref="N8 N9 N10 N11 N12 N13 N14 N15 N16 N17 N18 N19 N20 N21 N22 N23 N24 N25 N26 N27 N28 N29 N30 N31 N32 N33 N34 N35 N36 N37 N38 N39 N40 N41 N42 N43 N44 N45 N46 N47" showDropDown="0" showInputMessage="0" showErrorMessage="0" allowBlank="0" type="list">
      <formula1>"Yes,No,Unknown"</formula1>
    </dataValidation>
    <dataValidation sqref="H8 H9 H10 H11 H12 H13 H14 H15 H16 H17 H18 H19 H20 H21 H22 H23 H24 H25 H26 H27 H28 H29 H30 H31 H32 H33 H34 H35 H36 H37 H38 H39 H40 H41 H42 H43 H44 H45 H46 H47" showDropDown="0" showInputMessage="0" showErrorMessage="0" allowBlank="0" type="list">
      <formula1>"Yes,No,Pending"</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8"/>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40" customHeight="1">
      <c r="A1" s="1" t="inlineStr">
        <is>
          <t>MONITORING COVERAGE - SUMMARY DASHBOARD</t>
        </is>
      </c>
    </row>
    <row r="2" ht="25" customHeight="1">
      <c r="A2" s="2" t="inlineStr">
        <is>
          <t>Consolidated Coverage Assessment - ISMS-IMP-A.8.16.3</t>
        </is>
      </c>
    </row>
    <row r="4">
      <c r="A4" s="3" t="inlineStr">
        <is>
          <t>OVERALL COVERAGE SUMMARY</t>
        </is>
      </c>
    </row>
    <row r="5">
      <c r="A5" s="9" t="inlineStr">
        <is>
          <t>Metric</t>
        </is>
      </c>
      <c r="B5" s="12" t="n"/>
      <c r="C5" s="12" t="n"/>
      <c r="D5" s="12" t="n"/>
      <c r="E5" s="12" t="n"/>
      <c r="F5" s="12" t="n"/>
      <c r="G5" s="12" t="n"/>
      <c r="H5" s="12" t="n"/>
      <c r="I5" s="12" t="n"/>
      <c r="J5" s="12" t="n"/>
      <c r="K5" s="12" t="n"/>
      <c r="L5" s="12" t="n"/>
      <c r="M5" s="12" t="n"/>
      <c r="N5" s="12" t="n"/>
    </row>
    <row r="6" ht="25" customHeight="1">
      <c r="A6" s="6" t="inlineStr">
        <is>
          <t>Total Assets in Inventory</t>
        </is>
      </c>
    </row>
    <row r="7" ht="25" customHeight="1">
      <c r="A7" s="6" t="inlineStr">
        <is>
          <t>Assets Monitored</t>
        </is>
      </c>
    </row>
    <row r="8" ht="25" customHeight="1">
      <c r="A8" s="6" t="inlineStr">
        <is>
          <t>% Asset Coverage</t>
        </is>
      </c>
    </row>
    <row r="9" ht="25" customHeight="1">
      <c r="A9" s="6" t="inlineStr">
        <is>
          <t>Critical Assets - 100% Monitored</t>
        </is>
      </c>
    </row>
    <row r="10" ht="25" customHeight="1">
      <c r="A10" s="6" t="inlineStr">
        <is>
          <t>High Assets - % Monitored</t>
        </is>
      </c>
    </row>
    <row r="11" ht="25" customHeight="1">
      <c r="A11" s="6" t="inlineStr">
        <is>
          <t>Network Segments Monitored</t>
        </is>
      </c>
    </row>
    <row r="12" ht="25" customHeight="1">
      <c r="A12" s="6" t="inlineStr">
        <is>
          <t>Identity Systems Monitored</t>
        </is>
      </c>
    </row>
    <row r="13" ht="25" customHeight="1">
      <c r="A13" s="6" t="inlineStr">
        <is>
          <t>Applications Monitored</t>
        </is>
      </c>
    </row>
    <row r="14" ht="25" customHeight="1">
      <c r="A14" s="6" t="inlineStr">
        <is>
          <t>Total Gaps Identified</t>
        </is>
      </c>
    </row>
    <row r="15" ht="25" customHeight="1">
      <c r="A15" s="6" t="inlineStr">
        <is>
          <t>Critical Gaps Open</t>
        </is>
      </c>
    </row>
    <row r="20">
      <c r="A20" s="3" t="inlineStr">
        <is>
          <t>COMPLIANCE SUMMARY BY ASSESSMENT AREA</t>
        </is>
      </c>
    </row>
    <row r="21">
      <c r="A21" s="9" t="inlineStr">
        <is>
          <t>Assessment Area</t>
        </is>
      </c>
      <c r="B21" s="9" t="inlineStr">
        <is>
          <t>Compliant</t>
        </is>
      </c>
      <c r="C21" s="9" t="inlineStr">
        <is>
          <t>Partial</t>
        </is>
      </c>
      <c r="D21" s="9" t="inlineStr">
        <is>
          <t>Non-Compliant</t>
        </is>
      </c>
      <c r="E21" s="9" t="inlineStr">
        <is>
          <t>N/A</t>
        </is>
      </c>
      <c r="F21" s="9" t="inlineStr">
        <is>
          <t>Total Items</t>
        </is>
      </c>
      <c r="G21" s="9" t="inlineStr">
        <is>
          <t>Compliance %</t>
        </is>
      </c>
      <c r="H21" s="9" t="inlineStr">
        <is>
          <t>Status</t>
        </is>
      </c>
    </row>
    <row r="22" ht="25" customHeight="1">
      <c r="A22" s="18" t="inlineStr">
        <is>
          <t>1. Asset Coverage</t>
        </is>
      </c>
      <c r="B22">
        <f>COUNTIF('1. Asset Coverage'!W55:W69,"✅ Compliant")</f>
        <v/>
      </c>
      <c r="C22">
        <f>COUNTIF('1. Asset Coverage'!W55:W69,"⚠️ Partial")</f>
        <v/>
      </c>
      <c r="D22">
        <f>COUNTIF('1. Asset Coverage'!W55:W69,"❌ Non-Compliant")</f>
        <v/>
      </c>
      <c r="E22">
        <f>COUNTIF('1. Asset Coverage'!W55:W69,"N/A")</f>
        <v/>
      </c>
      <c r="F22" t="inlineStr">
        <is>
          <t>15</t>
        </is>
      </c>
      <c r="G22">
        <f>IF(F22&gt;0,ROUND(B22/(F22-E22)*100,1)&amp;"%","N/A")</f>
        <v/>
      </c>
      <c r="H22">
        <f>IF(G22="N/A","N/A",IF(VALUE(LEFT(G22,LEN(G22)-1))&gt;=80,"✅ Good",IF(VALUE(LEFT(G22,LEN(G22)-1))&gt;=60,"⚠️ Needs Work","❌ Critical")))</f>
        <v/>
      </c>
    </row>
    <row r="23" ht="25" customHeight="1">
      <c r="A23" s="18" t="inlineStr">
        <is>
          <t>2. Network Coverage</t>
        </is>
      </c>
      <c r="B23">
        <f>COUNTIF('2. Network Coverage'!T37:T46,"✅ Compliant")</f>
        <v/>
      </c>
      <c r="C23">
        <f>COUNTIF('2. Network Coverage'!T37:T46,"⚠️ Partial")</f>
        <v/>
      </c>
      <c r="D23">
        <f>COUNTIF('2. Network Coverage'!T37:T46,"❌ Non-Compliant")</f>
        <v/>
      </c>
      <c r="E23">
        <f>COUNTIF('2. Network Coverage'!T37:T46,"N/A")</f>
        <v/>
      </c>
      <c r="F23" t="inlineStr">
        <is>
          <t>10</t>
        </is>
      </c>
      <c r="G23">
        <f>IF(F23&gt;0,ROUND(B23/(F23-E23)*100,1)&amp;"%","N/A")</f>
        <v/>
      </c>
      <c r="H23">
        <f>IF(G23="N/A","N/A",IF(VALUE(LEFT(G23,LEN(G23)-1))&gt;=80,"✅ Good",IF(VALUE(LEFT(G23,LEN(G23)-1))&gt;=60,"⚠️ Needs Work","❌ Critical")))</f>
        <v/>
      </c>
    </row>
    <row r="24" ht="25" customHeight="1">
      <c r="A24" s="18" t="inlineStr">
        <is>
          <t>3. User/Identity Coverage</t>
        </is>
      </c>
      <c r="B24">
        <f>COUNTIF('3. User Identity Coverage'!S27:S41,"✅ Compliant")</f>
        <v/>
      </c>
      <c r="C24">
        <f>COUNTIF('3. User Identity Coverage'!S27:S41,"⚠️ Partial")</f>
        <v/>
      </c>
      <c r="D24">
        <f>COUNTIF('3. User Identity Coverage'!S27:S41,"❌ Non-Compliant")</f>
        <v/>
      </c>
      <c r="E24">
        <f>COUNTIF('3. User Identity Coverage'!S27:S41,"N/A")</f>
        <v/>
      </c>
      <c r="F24" t="inlineStr">
        <is>
          <t>15</t>
        </is>
      </c>
      <c r="G24">
        <f>IF(F24&gt;0,ROUND(B24/(F24-E24)*100,1)&amp;"%","N/A")</f>
        <v/>
      </c>
      <c r="H24">
        <f>IF(G24="N/A","N/A",IF(VALUE(LEFT(G24,LEN(G24)-1))&gt;=80,"✅ Good",IF(VALUE(LEFT(G24,LEN(G24)-1))&gt;=60,"⚠️ Needs Work","❌ Critical")))</f>
        <v/>
      </c>
    </row>
    <row r="25" ht="25" customHeight="1">
      <c r="A25" s="18" t="inlineStr">
        <is>
          <t>4. Application Coverage</t>
        </is>
      </c>
      <c r="B25">
        <f>COUNTIF('4. Application Coverage'!U37:U51,"✅ Compliant")</f>
        <v/>
      </c>
      <c r="C25">
        <f>COUNTIF('4. Application Coverage'!U37:U51,"⚠️ Partial")</f>
        <v/>
      </c>
      <c r="D25">
        <f>COUNTIF('4. Application Coverage'!U37:U51,"❌ Non-Compliant")</f>
        <v/>
      </c>
      <c r="E25">
        <f>COUNTIF('4. Application Coverage'!U37:U51,"N/A")</f>
        <v/>
      </c>
      <c r="F25" t="inlineStr">
        <is>
          <t>15</t>
        </is>
      </c>
      <c r="G25">
        <f>IF(F25&gt;0,ROUND(B25/(F25-E25)*100,1)&amp;"%","N/A")</f>
        <v/>
      </c>
      <c r="H25">
        <f>IF(G25="N/A","N/A",IF(VALUE(LEFT(G25,LEN(G25)-1))&gt;=80,"✅ Good",IF(VALUE(LEFT(G25,LEN(G25)-1))&gt;=60,"⚠️ Needs Work","❌ Critical")))</f>
        <v/>
      </c>
    </row>
    <row r="26" ht="25" customHeight="1">
      <c r="A26" s="18" t="inlineStr">
        <is>
          <t>5. Gap Management</t>
        </is>
      </c>
      <c r="B26">
        <f>COUNTIF('5. Gap Analysis'!R64:R78,"✅ Compliant")</f>
        <v/>
      </c>
      <c r="C26">
        <f>COUNTIF('5. Gap Analysis'!R64:R78,"⚠️ Partial")</f>
        <v/>
      </c>
      <c r="D26">
        <f>COUNTIF('5. Gap Analysis'!R64:R78,"❌ Non-Compliant")</f>
        <v/>
      </c>
      <c r="E26">
        <f>COUNTIF('5. Gap Analysis'!R64:R78,"N/A")</f>
        <v/>
      </c>
      <c r="F26" t="inlineStr">
        <is>
          <t>15</t>
        </is>
      </c>
      <c r="G26">
        <f>IF(F26&gt;0,ROUND(B26/(F26-E26)*100,1)&amp;"%","N/A")</f>
        <v/>
      </c>
      <c r="H26">
        <f>IF(G26="N/A","N/A",IF(VALUE(LEFT(G26,LEN(G26)-1))&gt;=80,"✅ Good",IF(VALUE(LEFT(G26,LEN(G26)-1))&gt;=60,"⚠️ Needs Work","❌ Critical")))</f>
        <v/>
      </c>
    </row>
    <row r="28">
      <c r="A28" s="19" t="inlineStr">
        <is>
          <t>OVERALL TOTAL</t>
        </is>
      </c>
      <c r="B28" s="19">
        <f>SUM(B22:B26)</f>
        <v/>
      </c>
      <c r="C28" s="19">
        <f>SUM(C22:C26)</f>
        <v/>
      </c>
      <c r="D28" s="19">
        <f>SUM(D22:D26)</f>
        <v/>
      </c>
      <c r="E28" s="19">
        <f>SUM(E22:E26)</f>
        <v/>
      </c>
      <c r="F28" s="19">
        <f>SUM(F22:F26)</f>
        <v/>
      </c>
      <c r="G28" s="19">
        <f>IF(F28&gt;0,ROUND(B28/(F28-E28)*100,1)&amp;"%","N/A")</f>
        <v/>
      </c>
      <c r="H28" s="19">
        <f>IF(G28="N/A","N/A",IF(VALUE(LEFT(G28,LEN(G28)-1))&gt;=80,"✅ Good",IF(VALUE(LEFT(G28,LEN(G28)-1))&gt;=60,"⚠️ Needs Work","❌ Critical")))</f>
        <v/>
      </c>
    </row>
  </sheetData>
  <mergeCells count="48">
    <mergeCell ref="C10:K10"/>
    <mergeCell ref="B7:I7"/>
    <mergeCell ref="C9:K9"/>
    <mergeCell ref="D10:N10"/>
    <mergeCell ref="A12:F12"/>
    <mergeCell ref="C12:K12"/>
    <mergeCell ref="A1:N1"/>
    <mergeCell ref="B12:I12"/>
    <mergeCell ref="C11:K11"/>
    <mergeCell ref="D6:N6"/>
    <mergeCell ref="B11:I11"/>
    <mergeCell ref="A14:F14"/>
    <mergeCell ref="A5:F5"/>
    <mergeCell ref="A8:F8"/>
    <mergeCell ref="D11:N11"/>
    <mergeCell ref="B14:I14"/>
    <mergeCell ref="C8:K8"/>
    <mergeCell ref="D13:N13"/>
    <mergeCell ref="B8:I8"/>
    <mergeCell ref="C7:K7"/>
    <mergeCell ref="B13:I13"/>
    <mergeCell ref="A10:F10"/>
    <mergeCell ref="A13:F13"/>
    <mergeCell ref="D7:N7"/>
    <mergeCell ref="A2:N2"/>
    <mergeCell ref="A9:F9"/>
    <mergeCell ref="B10:I10"/>
    <mergeCell ref="C13:K13"/>
    <mergeCell ref="A15:F15"/>
    <mergeCell ref="C6:K6"/>
    <mergeCell ref="B9:I9"/>
    <mergeCell ref="D9:N9"/>
    <mergeCell ref="A11:F11"/>
    <mergeCell ref="D12:N12"/>
    <mergeCell ref="C15:K15"/>
    <mergeCell ref="D8:N8"/>
    <mergeCell ref="B15:I15"/>
    <mergeCell ref="C5:K5"/>
    <mergeCell ref="A4:N4"/>
    <mergeCell ref="B6:I6"/>
    <mergeCell ref="A20:N20"/>
    <mergeCell ref="C14:K14"/>
    <mergeCell ref="D15:N15"/>
    <mergeCell ref="A6:F6"/>
    <mergeCell ref="B5:I5"/>
    <mergeCell ref="D5:N5"/>
    <mergeCell ref="D14:N14"/>
    <mergeCell ref="A7:F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2026-01-31T02:18:08Z</dcterms:created>
  <dcterms:modified xmlns:dcterms="http://purl.org/dc/terms/" xmlns:xsi="http://www.w3.org/2001/XMLSchema-instance" xsi:type="dcterms:W3CDTF">2026-01-31T02:18:09Z</dcterms:modified>
</cp:coreProperties>
</file>