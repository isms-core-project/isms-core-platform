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Baseline Inventory" sheetId="2" state="visible" r:id="rId2"/>
    <sheet xmlns:r="http://schemas.openxmlformats.org/officeDocument/2006/relationships" name="2. Detection Rules" sheetId="3" state="visible" r:id="rId3"/>
    <sheet xmlns:r="http://schemas.openxmlformats.org/officeDocument/2006/relationships" name="3. MITRE ATT&amp;CK Coverage" sheetId="4" state="visible" r:id="rId4"/>
    <sheet xmlns:r="http://schemas.openxmlformats.org/officeDocument/2006/relationships" name="4. Rule Performance" sheetId="5" state="visible" r:id="rId5"/>
    <sheet xmlns:r="http://schemas.openxmlformats.org/officeDocument/2006/relationships" name="5. Testing Valid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11"/>
    </font>
    <font>
      <b val="1"/>
      <color rgb="00FFFFFF"/>
      <sz val="12"/>
    </font>
    <font>
      <b val="1"/>
    </font>
    <font>
      <name val="Calibri"/>
      <b val="1"/>
      <sz val="10"/>
    </font>
    <font>
      <i val="1"/>
      <color rgb="00666666"/>
      <sz val="10"/>
    </font>
    <font>
      <b val="1"/>
      <color rgb="00003366"/>
      <sz val="10"/>
    </font>
    <font>
      <b val="1"/>
      <sz val="11"/>
    </font>
    <font>
      <name val="Calibri"/>
      <i val="1"/>
      <color rgb="00808080"/>
      <sz val="9"/>
    </font>
    <font>
      <b val="1"/>
      <sz val="12"/>
    </font>
    <font>
      <b val="1"/>
      <color rgb="00003366"/>
      <sz val="12"/>
    </font>
    <font>
      <b val="1"/>
      <color rgb="00003366"/>
      <sz val="11"/>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B4C7E7"/>
        <bgColor rgb="00B4C7E7"/>
      </patternFill>
    </fill>
    <fill>
      <patternFill patternType="solid">
        <fgColor rgb="00F2F2F2"/>
        <bgColor rgb="00F2F2F2"/>
      </patternFill>
    </fill>
    <fill>
      <patternFill patternType="solid">
        <fgColor rgb="00E7E6E6"/>
        <bgColor rgb="00E7E6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5" borderId="1" applyAlignment="1" pivotButton="0" quotePrefix="0" xfId="0">
      <alignment horizontal="center" vertical="center" wrapText="1"/>
    </xf>
    <xf numFmtId="0" fontId="0" fillId="6" borderId="0" pivotButton="0" quotePrefix="0" xfId="0"/>
    <xf numFmtId="0" fontId="0" fillId="7" borderId="0" pivotButton="0" quotePrefix="0" xfId="0"/>
    <xf numFmtId="0" fontId="0" fillId="8" borderId="0" pivotButton="0" quotePrefix="0" xfId="0"/>
    <xf numFmtId="0" fontId="0" fillId="0" borderId="4" pivotButton="0" quotePrefix="0" xfId="0"/>
    <xf numFmtId="0" fontId="0" fillId="0" borderId="5"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wrapText="1"/>
    </xf>
    <xf numFmtId="0" fontId="9" fillId="9" borderId="0" applyAlignment="1" pivotButton="0" quotePrefix="0" xfId="0">
      <alignment horizontal="left" vertical="center" wrapText="1"/>
    </xf>
    <xf numFmtId="0" fontId="0" fillId="4" borderId="1" pivotButton="0" quotePrefix="0" xfId="0"/>
    <xf numFmtId="0" fontId="0" fillId="10" borderId="1"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4" fillId="0" borderId="0" applyAlignment="1" pivotButton="0" quotePrefix="0" xfId="0">
      <alignment vertical="center" wrapText="1"/>
    </xf>
    <xf numFmtId="0" fontId="8" fillId="5" borderId="0" pivotButton="0" quotePrefix="0" xfId="0"/>
    <xf numFmtId="0" fontId="0" fillId="4" borderId="0" applyAlignment="1" pivotButton="0" quotePrefix="0" xfId="0">
      <alignment vertical="center" wrapText="1"/>
    </xf>
    <xf numFmtId="0" fontId="0" fillId="10" borderId="0"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5" customWidth="1" min="1" max="1"/>
    <col width="40" customWidth="1" min="2" max="2"/>
    <col width="40" customWidth="1" min="3" max="3"/>
    <col width="15" customWidth="1" min="4" max="4"/>
    <col width="15" customWidth="1" min="5" max="5"/>
    <col width="15" customWidth="1" min="6" max="6"/>
    <col width="15" customWidth="1" min="7" max="7"/>
  </cols>
  <sheetData>
    <row r="1" ht="40" customHeight="1">
      <c r="A1" s="1" t="inlineStr">
        <is>
          <t>BASELINE &amp; DETECTION RULES ASSESSMENT</t>
        </is>
      </c>
    </row>
    <row r="2" ht="25" customHeight="1">
      <c r="A2" s="2" t="inlineStr">
        <is>
          <t>ISO/IEC 27001:2022 - Control A.8.16: Monitoring Activities</t>
        </is>
      </c>
    </row>
    <row r="4">
      <c r="A4" s="3" t="inlineStr">
        <is>
          <t>DOCUMENT INFORMATION</t>
        </is>
      </c>
    </row>
    <row r="5">
      <c r="A5" s="4" t="inlineStr">
        <is>
          <t>Document ID:</t>
        </is>
      </c>
      <c r="B5" t="inlineStr">
        <is>
          <t>ISMS-IMP-A.8.16.2</t>
        </is>
      </c>
    </row>
    <row r="6">
      <c r="A6" s="4" t="inlineStr">
        <is>
          <t>Assessment Area:</t>
        </is>
      </c>
      <c r="B6" t="inlineStr">
        <is>
          <t>Baseline &amp; Detection Rules</t>
        </is>
      </c>
    </row>
    <row r="7">
      <c r="A7" s="4" t="inlineStr">
        <is>
          <t>Related Policy:</t>
        </is>
      </c>
      <c r="B7" t="inlineStr">
        <is>
          <t>ISMS-POL-A.8.16-S2.2</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each worksheet tab in sequence (1-5)</t>
        </is>
      </c>
    </row>
    <row r="18" ht="25" customHeight="1">
      <c r="A18" s="6" t="inlineStr">
        <is>
          <t>2. Document ALL baselines established for monitoring</t>
        </is>
      </c>
    </row>
    <row r="19" ht="25" customHeight="1">
      <c r="A19" s="6" t="inlineStr">
        <is>
          <t>3. Inventory ALL active detection/correlation rules</t>
        </is>
      </c>
    </row>
    <row r="20" ht="25" customHeight="1">
      <c r="A20" s="6" t="inlineStr">
        <is>
          <t>4. Map detection rules to MITRE ATT&amp;CK framework</t>
        </is>
      </c>
    </row>
    <row r="21" ht="25" customHeight="1">
      <c r="A21" s="6" t="inlineStr">
        <is>
          <t>5. Assess rule performance (false positives, true positives)</t>
        </is>
      </c>
    </row>
    <row r="22" ht="25" customHeight="1">
      <c r="A22" s="6" t="inlineStr">
        <is>
          <t>6. Document testing and validation activities</t>
        </is>
      </c>
    </row>
    <row r="23" ht="25" customHeight="1">
      <c r="A23" s="6" t="inlineStr">
        <is>
          <t>7. Review Summary Dashboard for coverage gaps</t>
        </is>
      </c>
    </row>
    <row r="24" ht="25" customHeight="1">
      <c r="A24" s="6" t="inlineStr">
        <is>
          <t>8. Gather evidence and list in Evidence Register</t>
        </is>
      </c>
    </row>
    <row r="25" ht="25" customHeight="1">
      <c r="A25" s="6" t="inlineStr">
        <is>
          <t>9. Obtain approvals via Approval Sign-Off sheet</t>
        </is>
      </c>
    </row>
    <row r="28">
      <c r="A28" s="3" t="inlineStr">
        <is>
          <t>STATUS LEGEND</t>
        </is>
      </c>
    </row>
    <row r="29">
      <c r="A29" s="7" t="inlineStr">
        <is>
          <t>Symbol</t>
        </is>
      </c>
      <c r="B29" s="7" t="inlineStr">
        <is>
          <t>Meaning</t>
        </is>
      </c>
      <c r="C29" s="7" t="inlineStr">
        <is>
          <t>When to Use</t>
        </is>
      </c>
    </row>
    <row r="30">
      <c r="A30" s="8" t="inlineStr">
        <is>
          <t>✅ Active/Covered</t>
        </is>
      </c>
      <c r="B30" t="inlineStr">
        <is>
          <t>Baseline/rule active and effective</t>
        </is>
      </c>
      <c r="C30" t="inlineStr">
        <is>
          <t>Working as intended</t>
        </is>
      </c>
    </row>
    <row r="31">
      <c r="A31" s="9" t="inlineStr">
        <is>
          <t>⚠️ Partial/Stale</t>
        </is>
      </c>
      <c r="B31" t="inlineStr">
        <is>
          <t>Needs attention or update</t>
        </is>
      </c>
      <c r="C31" t="inlineStr">
        <is>
          <t>Requires tuning or refresh</t>
        </is>
      </c>
    </row>
    <row r="32">
      <c r="A32" s="8" t="inlineStr">
        <is>
          <t>❌ Missing/Not Covered</t>
        </is>
      </c>
      <c r="B32" t="inlineStr">
        <is>
          <t>Gap identified</t>
        </is>
      </c>
      <c r="C32" t="inlineStr">
        <is>
          <t>Critical gap to address</t>
        </is>
      </c>
    </row>
    <row r="33">
      <c r="A33" s="10" t="inlineStr">
        <is>
          <t>🔄 In Development/Planned</t>
        </is>
      </c>
      <c r="B33" t="inlineStr">
        <is>
          <t>Work in progress</t>
        </is>
      </c>
      <c r="C33" t="inlineStr">
        <is>
          <t>Future implementation</t>
        </is>
      </c>
    </row>
    <row r="36">
      <c r="A36" s="3" t="inlineStr">
        <is>
          <t>KEY DEFINITIONS</t>
        </is>
      </c>
    </row>
    <row r="37">
      <c r="A37" s="7" t="inlineStr">
        <is>
          <t>Term</t>
        </is>
      </c>
      <c r="B37" s="7" t="inlineStr">
        <is>
          <t>Definition</t>
        </is>
      </c>
      <c r="C37" s="11" t="n"/>
      <c r="D37" s="11" t="n"/>
      <c r="E37" s="11" t="n"/>
      <c r="F37" s="11" t="n"/>
      <c r="G37" s="12" t="n"/>
    </row>
    <row r="38" ht="30" customHeight="1">
      <c r="A38" s="4" t="inlineStr">
        <is>
          <t>Baseline</t>
        </is>
      </c>
      <c r="B38" s="6" t="inlineStr">
        <is>
          <t>Normal behavior pattern established through observation and statistical analysis</t>
        </is>
      </c>
    </row>
    <row r="39" ht="30" customHeight="1">
      <c r="A39" s="4" t="inlineStr">
        <is>
          <t>Anomaly Detection</t>
        </is>
      </c>
      <c r="B39" s="6" t="inlineStr">
        <is>
          <t>Identification of deviations from established baseline behavior</t>
        </is>
      </c>
    </row>
    <row r="40" ht="30" customHeight="1">
      <c r="A40" s="4" t="inlineStr">
        <is>
          <t>Correlation Rule</t>
        </is>
      </c>
      <c r="B40" s="6" t="inlineStr">
        <is>
          <t>Logic combining multiple events/conditions to detect complex attack patterns</t>
        </is>
      </c>
    </row>
    <row r="41" ht="30" customHeight="1">
      <c r="A41" s="4" t="inlineStr">
        <is>
          <t>True Positive (TP)</t>
        </is>
      </c>
      <c r="B41" s="6" t="inlineStr">
        <is>
          <t>Alert correctly identifying actual security incident</t>
        </is>
      </c>
    </row>
    <row r="42" ht="30" customHeight="1">
      <c r="A42" s="4" t="inlineStr">
        <is>
          <t>False Positive (FP)</t>
        </is>
      </c>
      <c r="B42" s="6" t="inlineStr">
        <is>
          <t>Alert incorrectly flagging benign activity as malicious</t>
        </is>
      </c>
    </row>
    <row r="43" ht="30" customHeight="1">
      <c r="A43" s="4" t="inlineStr">
        <is>
          <t>True Negative (TN)</t>
        </is>
      </c>
      <c r="B43" s="6" t="inlineStr">
        <is>
          <t>Benign activity correctly not triggering alert</t>
        </is>
      </c>
    </row>
    <row r="44" ht="30" customHeight="1">
      <c r="A44" s="4" t="inlineStr">
        <is>
          <t>False Negative (FN)</t>
        </is>
      </c>
      <c r="B44" s="6" t="inlineStr">
        <is>
          <t>Malicious activity failing to trigger alert (detection miss)</t>
        </is>
      </c>
    </row>
    <row r="45" ht="30" customHeight="1">
      <c r="A45" s="4" t="inlineStr">
        <is>
          <t>MITRE ATT&amp;CK</t>
        </is>
      </c>
      <c r="B45" s="6" t="inlineStr">
        <is>
          <t>Framework of adversary tactics, techniques, and procedures (TTPs)</t>
        </is>
      </c>
    </row>
    <row r="46" ht="30" customHeight="1">
      <c r="A46" s="4" t="inlineStr">
        <is>
          <t>Detection Rate</t>
        </is>
      </c>
      <c r="B46" s="6" t="inlineStr">
        <is>
          <t>Percentage of actual incidents correctly detected (TP / (TP + FN))</t>
        </is>
      </c>
    </row>
    <row r="47" ht="30" customHeight="1">
      <c r="A47" s="4" t="inlineStr">
        <is>
          <t>Precision</t>
        </is>
      </c>
      <c r="B47" s="6" t="inlineStr">
        <is>
          <t>Percentage of alerts that are true positives (TP / (TP + FP))</t>
        </is>
      </c>
    </row>
    <row r="50" ht="35" customHeight="1">
      <c r="A50" s="13" t="inlineStr">
        <is>
          <t>"It doesn't matter how beautiful your theory is... If it doesn't agree with experiment, it's wrong." - Richard Feynman</t>
        </is>
      </c>
    </row>
    <row r="51">
      <c r="A51" s="14" t="inlineStr">
        <is>
          <t>🎯 Detection rules without testing are just hopeful thinking. Test. Measure. Improve.</t>
        </is>
      </c>
    </row>
  </sheetData>
  <mergeCells count="19">
    <mergeCell ref="B42:G42"/>
    <mergeCell ref="A4:G4"/>
    <mergeCell ref="B44:G44"/>
    <mergeCell ref="A28:G28"/>
    <mergeCell ref="B38:G38"/>
    <mergeCell ref="B37:G37"/>
    <mergeCell ref="B40:G40"/>
    <mergeCell ref="A51:G51"/>
    <mergeCell ref="A36:G36"/>
    <mergeCell ref="A1:G1"/>
    <mergeCell ref="B45:G45"/>
    <mergeCell ref="B41:G41"/>
    <mergeCell ref="A16:G16"/>
    <mergeCell ref="B47:G47"/>
    <mergeCell ref="B46:G46"/>
    <mergeCell ref="A50:G50"/>
    <mergeCell ref="A2:G2"/>
    <mergeCell ref="B43:G43"/>
    <mergeCell ref="B39:G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cols>
    <col width="28" customWidth="1" min="1" max="1"/>
    <col width="22" customWidth="1" min="2" max="2"/>
    <col width="30" customWidth="1" min="3" max="3"/>
    <col width="25" customWidth="1" min="4" max="4"/>
    <col width="18" customWidth="1" min="5" max="5"/>
    <col width="16" customWidth="1" min="6" max="6"/>
    <col width="16" customWidth="1" min="7" max="7"/>
    <col width="18" customWidth="1" min="8" max="8"/>
    <col width="25" customWidth="1" min="9" max="9"/>
    <col width="25" customWidth="1" min="10" max="10"/>
    <col width="20" customWidth="1" min="11" max="11"/>
    <col width="18" customWidth="1" min="12" max="12"/>
    <col width="16" customWidth="1" min="13" max="13"/>
    <col width="18" customWidth="1" min="14" max="14"/>
    <col width="30" customWidth="1" min="15" max="15"/>
    <col width="20" customWidth="1" min="16" max="16"/>
    <col width="15" customWidth="1" min="17" max="17"/>
  </cols>
  <sheetData>
    <row r="1" ht="35" customHeight="1">
      <c r="A1" s="1" t="inlineStr">
        <is>
          <t>1. BASELINE INVENTORY &amp; MAINTENANCE</t>
        </is>
      </c>
    </row>
    <row r="2">
      <c r="A2" s="2" t="inlineStr">
        <is>
          <t>Policy Reference: ISMS-POL-A.8.16-S2.2.1 - Establish and maintain behavioral baselines</t>
        </is>
      </c>
    </row>
    <row r="3" ht="30" customHeight="1">
      <c r="A3" s="15" t="inlineStr">
        <is>
          <t>Are baselines established for critical systems, users, and network traffic to enable anomaly detection?</t>
        </is>
      </c>
    </row>
    <row r="4">
      <c r="A4" s="4" t="inlineStr">
        <is>
          <t>Overall Baseline Status:</t>
        </is>
      </c>
      <c r="B4" s="5" t="n"/>
    </row>
    <row r="6">
      <c r="A6" s="7" t="inlineStr">
        <is>
          <t>Baseline Name/ID</t>
        </is>
      </c>
      <c r="B6" s="7" t="inlineStr">
        <is>
          <t>Baseline Type</t>
        </is>
      </c>
      <c r="C6" s="7" t="inlineStr">
        <is>
          <t>Scope/Target</t>
        </is>
      </c>
      <c r="D6" s="7" t="inlineStr">
        <is>
          <t>Data Source</t>
        </is>
      </c>
      <c r="E6" s="7" t="inlineStr">
        <is>
          <t>Baseline Period</t>
        </is>
      </c>
      <c r="F6" s="7" t="inlineStr">
        <is>
          <t>Established Date</t>
        </is>
      </c>
      <c r="G6" s="7" t="inlineStr">
        <is>
          <t>Last Updated</t>
        </is>
      </c>
      <c r="H6" s="7" t="inlineStr">
        <is>
          <t>Update Frequency</t>
        </is>
      </c>
      <c r="I6" s="7" t="inlineStr">
        <is>
          <t>Anomaly Detection Method</t>
        </is>
      </c>
      <c r="J6" s="7" t="inlineStr">
        <is>
          <t>Threshold/Criteria</t>
        </is>
      </c>
      <c r="K6" s="7" t="inlineStr">
        <is>
          <t>Alert Rules Linked</t>
        </is>
      </c>
      <c r="L6" s="7" t="inlineStr">
        <is>
          <t>Baseline Status</t>
        </is>
      </c>
      <c r="M6" s="7" t="inlineStr">
        <is>
          <t>Days Since Update</t>
        </is>
      </c>
      <c r="N6" s="7" t="inlineStr">
        <is>
          <t>Compliance Status</t>
        </is>
      </c>
      <c r="O6" s="7" t="inlineStr">
        <is>
          <t>Issues/Gaps</t>
        </is>
      </c>
      <c r="P6" s="7" t="inlineStr">
        <is>
          <t>Owner</t>
        </is>
      </c>
      <c r="Q6" s="7" t="inlineStr">
        <is>
          <t>Priority</t>
        </is>
      </c>
    </row>
    <row r="7">
      <c r="A7" s="16" t="inlineStr">
        <is>
          <t>BL-USER-001</t>
        </is>
      </c>
      <c r="B7" s="16" t="inlineStr">
        <is>
          <t>User Activity</t>
        </is>
      </c>
      <c r="C7" s="16" t="inlineStr">
        <is>
          <t>Executive users</t>
        </is>
      </c>
      <c r="D7" s="16" t="inlineStr">
        <is>
          <t>Windows Event Logs</t>
        </is>
      </c>
      <c r="E7" s="16" t="inlineStr">
        <is>
          <t>30 days</t>
        </is>
      </c>
      <c r="F7" s="16" t="inlineStr">
        <is>
          <t>15.11.2024</t>
        </is>
      </c>
      <c r="G7" s="16" t="inlineStr">
        <is>
          <t>05.01.2025</t>
        </is>
      </c>
      <c r="H7" s="16" t="inlineStr">
        <is>
          <t>Monthly</t>
        </is>
      </c>
      <c r="I7" s="16" t="inlineStr">
        <is>
          <t>Automated</t>
        </is>
      </c>
      <c r="J7" s="16" t="inlineStr">
        <is>
          <t>3 std dev from mean</t>
        </is>
      </c>
      <c r="K7" s="16" t="inlineStr">
        <is>
          <t>RULE-105, RULE-203</t>
        </is>
      </c>
      <c r="L7" s="16" t="inlineStr">
        <is>
          <t>✅ Active</t>
        </is>
      </c>
      <c r="M7" s="16" t="inlineStr">
        <is>
          <t>2</t>
        </is>
      </c>
      <c r="N7" s="16" t="inlineStr">
        <is>
          <t>✅ Compliant</t>
        </is>
      </c>
      <c r="O7" s="16" t="inlineStr">
        <is>
          <t>None</t>
        </is>
      </c>
      <c r="P7" s="16" t="inlineStr">
        <is>
          <t>SOC Team</t>
        </is>
      </c>
      <c r="Q7" s="16" t="inlineStr">
        <is>
          <t>High</t>
        </is>
      </c>
    </row>
    <row r="8">
      <c r="A8" s="17" t="n"/>
      <c r="B8" s="17" t="n"/>
      <c r="C8" s="17" t="n"/>
      <c r="D8" s="17" t="n"/>
      <c r="E8" s="17" t="n"/>
      <c r="F8" s="17" t="n"/>
      <c r="G8" s="17" t="n"/>
      <c r="H8" s="17" t="n"/>
      <c r="I8" s="17" t="n"/>
      <c r="J8" s="17" t="n"/>
      <c r="K8" s="17" t="n"/>
      <c r="L8" s="17" t="n"/>
      <c r="M8" s="18">
        <f>IF(G8&lt;&gt;"",TODAY()-G8,"")</f>
        <v/>
      </c>
      <c r="N8" s="17" t="n"/>
      <c r="O8" s="17" t="n"/>
      <c r="P8" s="17" t="n"/>
      <c r="Q8" s="17" t="n"/>
    </row>
    <row r="9">
      <c r="A9" s="17" t="n"/>
      <c r="B9" s="17" t="n"/>
      <c r="C9" s="17" t="n"/>
      <c r="D9" s="17" t="n"/>
      <c r="E9" s="17" t="n"/>
      <c r="F9" s="17" t="n"/>
      <c r="G9" s="17" t="n"/>
      <c r="H9" s="17" t="n"/>
      <c r="I9" s="17" t="n"/>
      <c r="J9" s="17" t="n"/>
      <c r="K9" s="17" t="n"/>
      <c r="L9" s="17" t="n"/>
      <c r="M9" s="18">
        <f>IF(G9&lt;&gt;"",TODAY()-G9,"")</f>
        <v/>
      </c>
      <c r="N9" s="17" t="n"/>
      <c r="O9" s="17" t="n"/>
      <c r="P9" s="17" t="n"/>
      <c r="Q9" s="17" t="n"/>
    </row>
    <row r="10">
      <c r="A10" s="17" t="n"/>
      <c r="B10" s="17" t="n"/>
      <c r="C10" s="17" t="n"/>
      <c r="D10" s="17" t="n"/>
      <c r="E10" s="17" t="n"/>
      <c r="F10" s="17" t="n"/>
      <c r="G10" s="17" t="n"/>
      <c r="H10" s="17" t="n"/>
      <c r="I10" s="17" t="n"/>
      <c r="J10" s="17" t="n"/>
      <c r="K10" s="17" t="n"/>
      <c r="L10" s="17" t="n"/>
      <c r="M10" s="18">
        <f>IF(G10&lt;&gt;"",TODAY()-G10,"")</f>
        <v/>
      </c>
      <c r="N10" s="17" t="n"/>
      <c r="O10" s="17" t="n"/>
      <c r="P10" s="17" t="n"/>
      <c r="Q10" s="17" t="n"/>
    </row>
    <row r="11">
      <c r="A11" s="17" t="n"/>
      <c r="B11" s="17" t="n"/>
      <c r="C11" s="17" t="n"/>
      <c r="D11" s="17" t="n"/>
      <c r="E11" s="17" t="n"/>
      <c r="F11" s="17" t="n"/>
      <c r="G11" s="17" t="n"/>
      <c r="H11" s="17" t="n"/>
      <c r="I11" s="17" t="n"/>
      <c r="J11" s="17" t="n"/>
      <c r="K11" s="17" t="n"/>
      <c r="L11" s="17" t="n"/>
      <c r="M11" s="18">
        <f>IF(G11&lt;&gt;"",TODAY()-G11,"")</f>
        <v/>
      </c>
      <c r="N11" s="17" t="n"/>
      <c r="O11" s="17" t="n"/>
      <c r="P11" s="17" t="n"/>
      <c r="Q11" s="17" t="n"/>
    </row>
    <row r="12">
      <c r="A12" s="17" t="n"/>
      <c r="B12" s="17" t="n"/>
      <c r="C12" s="17" t="n"/>
      <c r="D12" s="17" t="n"/>
      <c r="E12" s="17" t="n"/>
      <c r="F12" s="17" t="n"/>
      <c r="G12" s="17" t="n"/>
      <c r="H12" s="17" t="n"/>
      <c r="I12" s="17" t="n"/>
      <c r="J12" s="17" t="n"/>
      <c r="K12" s="17" t="n"/>
      <c r="L12" s="17" t="n"/>
      <c r="M12" s="18">
        <f>IF(G12&lt;&gt;"",TODAY()-G12,"")</f>
        <v/>
      </c>
      <c r="N12" s="17" t="n"/>
      <c r="O12" s="17" t="n"/>
      <c r="P12" s="17" t="n"/>
      <c r="Q12" s="17" t="n"/>
    </row>
    <row r="13">
      <c r="A13" s="17" t="n"/>
      <c r="B13" s="17" t="n"/>
      <c r="C13" s="17" t="n"/>
      <c r="D13" s="17" t="n"/>
      <c r="E13" s="17" t="n"/>
      <c r="F13" s="17" t="n"/>
      <c r="G13" s="17" t="n"/>
      <c r="H13" s="17" t="n"/>
      <c r="I13" s="17" t="n"/>
      <c r="J13" s="17" t="n"/>
      <c r="K13" s="17" t="n"/>
      <c r="L13" s="17" t="n"/>
      <c r="M13" s="18">
        <f>IF(G13&lt;&gt;"",TODAY()-G13,"")</f>
        <v/>
      </c>
      <c r="N13" s="17" t="n"/>
      <c r="O13" s="17" t="n"/>
      <c r="P13" s="17" t="n"/>
      <c r="Q13" s="17" t="n"/>
    </row>
    <row r="14">
      <c r="A14" s="17" t="n"/>
      <c r="B14" s="17" t="n"/>
      <c r="C14" s="17" t="n"/>
      <c r="D14" s="17" t="n"/>
      <c r="E14" s="17" t="n"/>
      <c r="F14" s="17" t="n"/>
      <c r="G14" s="17" t="n"/>
      <c r="H14" s="17" t="n"/>
      <c r="I14" s="17" t="n"/>
      <c r="J14" s="17" t="n"/>
      <c r="K14" s="17" t="n"/>
      <c r="L14" s="17" t="n"/>
      <c r="M14" s="18">
        <f>IF(G14&lt;&gt;"",TODAY()-G14,"")</f>
        <v/>
      </c>
      <c r="N14" s="17" t="n"/>
      <c r="O14" s="17" t="n"/>
      <c r="P14" s="17" t="n"/>
      <c r="Q14" s="17" t="n"/>
    </row>
    <row r="15">
      <c r="A15" s="17" t="n"/>
      <c r="B15" s="17" t="n"/>
      <c r="C15" s="17" t="n"/>
      <c r="D15" s="17" t="n"/>
      <c r="E15" s="17" t="n"/>
      <c r="F15" s="17" t="n"/>
      <c r="G15" s="17" t="n"/>
      <c r="H15" s="17" t="n"/>
      <c r="I15" s="17" t="n"/>
      <c r="J15" s="17" t="n"/>
      <c r="K15" s="17" t="n"/>
      <c r="L15" s="17" t="n"/>
      <c r="M15" s="18">
        <f>IF(G15&lt;&gt;"",TODAY()-G15,"")</f>
        <v/>
      </c>
      <c r="N15" s="17" t="n"/>
      <c r="O15" s="17" t="n"/>
      <c r="P15" s="17" t="n"/>
      <c r="Q15" s="17" t="n"/>
    </row>
    <row r="16">
      <c r="A16" s="17" t="n"/>
      <c r="B16" s="17" t="n"/>
      <c r="C16" s="17" t="n"/>
      <c r="D16" s="17" t="n"/>
      <c r="E16" s="17" t="n"/>
      <c r="F16" s="17" t="n"/>
      <c r="G16" s="17" t="n"/>
      <c r="H16" s="17" t="n"/>
      <c r="I16" s="17" t="n"/>
      <c r="J16" s="17" t="n"/>
      <c r="K16" s="17" t="n"/>
      <c r="L16" s="17" t="n"/>
      <c r="M16" s="18">
        <f>IF(G16&lt;&gt;"",TODAY()-G16,"")</f>
        <v/>
      </c>
      <c r="N16" s="17" t="n"/>
      <c r="O16" s="17" t="n"/>
      <c r="P16" s="17" t="n"/>
      <c r="Q16" s="17" t="n"/>
    </row>
    <row r="17">
      <c r="A17" s="17" t="n"/>
      <c r="B17" s="17" t="n"/>
      <c r="C17" s="17" t="n"/>
      <c r="D17" s="17" t="n"/>
      <c r="E17" s="17" t="n"/>
      <c r="F17" s="17" t="n"/>
      <c r="G17" s="17" t="n"/>
      <c r="H17" s="17" t="n"/>
      <c r="I17" s="17" t="n"/>
      <c r="J17" s="17" t="n"/>
      <c r="K17" s="17" t="n"/>
      <c r="L17" s="17" t="n"/>
      <c r="M17" s="18">
        <f>IF(G17&lt;&gt;"",TODAY()-G17,"")</f>
        <v/>
      </c>
      <c r="N17" s="17" t="n"/>
      <c r="O17" s="17" t="n"/>
      <c r="P17" s="17" t="n"/>
      <c r="Q17" s="17" t="n"/>
    </row>
    <row r="18">
      <c r="A18" s="17" t="n"/>
      <c r="B18" s="17" t="n"/>
      <c r="C18" s="17" t="n"/>
      <c r="D18" s="17" t="n"/>
      <c r="E18" s="17" t="n"/>
      <c r="F18" s="17" t="n"/>
      <c r="G18" s="17" t="n"/>
      <c r="H18" s="17" t="n"/>
      <c r="I18" s="17" t="n"/>
      <c r="J18" s="17" t="n"/>
      <c r="K18" s="17" t="n"/>
      <c r="L18" s="17" t="n"/>
      <c r="M18" s="18">
        <f>IF(G18&lt;&gt;"",TODAY()-G18,"")</f>
        <v/>
      </c>
      <c r="N18" s="17" t="n"/>
      <c r="O18" s="17" t="n"/>
      <c r="P18" s="17" t="n"/>
      <c r="Q18" s="17" t="n"/>
    </row>
    <row r="19">
      <c r="A19" s="17" t="n"/>
      <c r="B19" s="17" t="n"/>
      <c r="C19" s="17" t="n"/>
      <c r="D19" s="17" t="n"/>
      <c r="E19" s="17" t="n"/>
      <c r="F19" s="17" t="n"/>
      <c r="G19" s="17" t="n"/>
      <c r="H19" s="17" t="n"/>
      <c r="I19" s="17" t="n"/>
      <c r="J19" s="17" t="n"/>
      <c r="K19" s="17" t="n"/>
      <c r="L19" s="17" t="n"/>
      <c r="M19" s="18">
        <f>IF(G19&lt;&gt;"",TODAY()-G19,"")</f>
        <v/>
      </c>
      <c r="N19" s="17" t="n"/>
      <c r="O19" s="17" t="n"/>
      <c r="P19" s="17" t="n"/>
      <c r="Q19" s="17" t="n"/>
    </row>
    <row r="20">
      <c r="A20" s="17" t="n"/>
      <c r="B20" s="17" t="n"/>
      <c r="C20" s="17" t="n"/>
      <c r="D20" s="17" t="n"/>
      <c r="E20" s="17" t="n"/>
      <c r="F20" s="17" t="n"/>
      <c r="G20" s="17" t="n"/>
      <c r="H20" s="17" t="n"/>
      <c r="I20" s="17" t="n"/>
      <c r="J20" s="17" t="n"/>
      <c r="K20" s="17" t="n"/>
      <c r="L20" s="17" t="n"/>
      <c r="M20" s="18">
        <f>IF(G20&lt;&gt;"",TODAY()-G20,"")</f>
        <v/>
      </c>
      <c r="N20" s="17" t="n"/>
      <c r="O20" s="17" t="n"/>
      <c r="P20" s="17" t="n"/>
      <c r="Q20" s="17" t="n"/>
    </row>
    <row r="21">
      <c r="A21" s="17" t="n"/>
      <c r="B21" s="17" t="n"/>
      <c r="C21" s="17" t="n"/>
      <c r="D21" s="17" t="n"/>
      <c r="E21" s="17" t="n"/>
      <c r="F21" s="17" t="n"/>
      <c r="G21" s="17" t="n"/>
      <c r="H21" s="17" t="n"/>
      <c r="I21" s="17" t="n"/>
      <c r="J21" s="17" t="n"/>
      <c r="K21" s="17" t="n"/>
      <c r="L21" s="17" t="n"/>
      <c r="M21" s="18">
        <f>IF(G21&lt;&gt;"",TODAY()-G21,"")</f>
        <v/>
      </c>
      <c r="N21" s="17" t="n"/>
      <c r="O21" s="17" t="n"/>
      <c r="P21" s="17" t="n"/>
      <c r="Q21" s="17" t="n"/>
    </row>
    <row r="22">
      <c r="A22" s="17" t="n"/>
      <c r="B22" s="17" t="n"/>
      <c r="C22" s="17" t="n"/>
      <c r="D22" s="17" t="n"/>
      <c r="E22" s="17" t="n"/>
      <c r="F22" s="17" t="n"/>
      <c r="G22" s="17" t="n"/>
      <c r="H22" s="17" t="n"/>
      <c r="I22" s="17" t="n"/>
      <c r="J22" s="17" t="n"/>
      <c r="K22" s="17" t="n"/>
      <c r="L22" s="17" t="n"/>
      <c r="M22" s="18">
        <f>IF(G22&lt;&gt;"",TODAY()-G22,"")</f>
        <v/>
      </c>
      <c r="N22" s="17" t="n"/>
      <c r="O22" s="17" t="n"/>
      <c r="P22" s="17" t="n"/>
      <c r="Q22" s="17" t="n"/>
    </row>
    <row r="23">
      <c r="A23" s="17" t="n"/>
      <c r="B23" s="17" t="n"/>
      <c r="C23" s="17" t="n"/>
      <c r="D23" s="17" t="n"/>
      <c r="E23" s="17" t="n"/>
      <c r="F23" s="17" t="n"/>
      <c r="G23" s="17" t="n"/>
      <c r="H23" s="17" t="n"/>
      <c r="I23" s="17" t="n"/>
      <c r="J23" s="17" t="n"/>
      <c r="K23" s="17" t="n"/>
      <c r="L23" s="17" t="n"/>
      <c r="M23" s="18">
        <f>IF(G23&lt;&gt;"",TODAY()-G23,"")</f>
        <v/>
      </c>
      <c r="N23" s="17" t="n"/>
      <c r="O23" s="17" t="n"/>
      <c r="P23" s="17" t="n"/>
      <c r="Q23" s="17" t="n"/>
    </row>
    <row r="24">
      <c r="A24" s="17" t="n"/>
      <c r="B24" s="17" t="n"/>
      <c r="C24" s="17" t="n"/>
      <c r="D24" s="17" t="n"/>
      <c r="E24" s="17" t="n"/>
      <c r="F24" s="17" t="n"/>
      <c r="G24" s="17" t="n"/>
      <c r="H24" s="17" t="n"/>
      <c r="I24" s="17" t="n"/>
      <c r="J24" s="17" t="n"/>
      <c r="K24" s="17" t="n"/>
      <c r="L24" s="17" t="n"/>
      <c r="M24" s="18">
        <f>IF(G24&lt;&gt;"",TODAY()-G24,"")</f>
        <v/>
      </c>
      <c r="N24" s="17" t="n"/>
      <c r="O24" s="17" t="n"/>
      <c r="P24" s="17" t="n"/>
      <c r="Q24" s="17" t="n"/>
    </row>
    <row r="25">
      <c r="A25" s="17" t="n"/>
      <c r="B25" s="17" t="n"/>
      <c r="C25" s="17" t="n"/>
      <c r="D25" s="17" t="n"/>
      <c r="E25" s="17" t="n"/>
      <c r="F25" s="17" t="n"/>
      <c r="G25" s="17" t="n"/>
      <c r="H25" s="17" t="n"/>
      <c r="I25" s="17" t="n"/>
      <c r="J25" s="17" t="n"/>
      <c r="K25" s="17" t="n"/>
      <c r="L25" s="17" t="n"/>
      <c r="M25" s="18">
        <f>IF(G25&lt;&gt;"",TODAY()-G25,"")</f>
        <v/>
      </c>
      <c r="N25" s="17" t="n"/>
      <c r="O25" s="17" t="n"/>
      <c r="P25" s="17" t="n"/>
      <c r="Q25" s="17" t="n"/>
    </row>
    <row r="26">
      <c r="A26" s="17" t="n"/>
      <c r="B26" s="17" t="n"/>
      <c r="C26" s="17" t="n"/>
      <c r="D26" s="17" t="n"/>
      <c r="E26" s="17" t="n"/>
      <c r="F26" s="17" t="n"/>
      <c r="G26" s="17" t="n"/>
      <c r="H26" s="17" t="n"/>
      <c r="I26" s="17" t="n"/>
      <c r="J26" s="17" t="n"/>
      <c r="K26" s="17" t="n"/>
      <c r="L26" s="17" t="n"/>
      <c r="M26" s="18">
        <f>IF(G26&lt;&gt;"",TODAY()-G26,"")</f>
        <v/>
      </c>
      <c r="N26" s="17" t="n"/>
      <c r="O26" s="17" t="n"/>
      <c r="P26" s="17" t="n"/>
      <c r="Q26" s="17" t="n"/>
    </row>
    <row r="27">
      <c r="A27" s="17" t="n"/>
      <c r="B27" s="17" t="n"/>
      <c r="C27" s="17" t="n"/>
      <c r="D27" s="17" t="n"/>
      <c r="E27" s="17" t="n"/>
      <c r="F27" s="17" t="n"/>
      <c r="G27" s="17" t="n"/>
      <c r="H27" s="17" t="n"/>
      <c r="I27" s="17" t="n"/>
      <c r="J27" s="17" t="n"/>
      <c r="K27" s="17" t="n"/>
      <c r="L27" s="17" t="n"/>
      <c r="M27" s="18">
        <f>IF(G27&lt;&gt;"",TODAY()-G27,"")</f>
        <v/>
      </c>
      <c r="N27" s="17" t="n"/>
      <c r="O27" s="17" t="n"/>
      <c r="P27" s="17" t="n"/>
      <c r="Q27" s="17" t="n"/>
    </row>
    <row r="28">
      <c r="A28" s="17" t="n"/>
      <c r="B28" s="17" t="n"/>
      <c r="C28" s="17" t="n"/>
      <c r="D28" s="17" t="n"/>
      <c r="E28" s="17" t="n"/>
      <c r="F28" s="17" t="n"/>
      <c r="G28" s="17" t="n"/>
      <c r="H28" s="17" t="n"/>
      <c r="I28" s="17" t="n"/>
      <c r="J28" s="17" t="n"/>
      <c r="K28" s="17" t="n"/>
      <c r="L28" s="17" t="n"/>
      <c r="M28" s="18">
        <f>IF(G28&lt;&gt;"",TODAY()-G28,"")</f>
        <v/>
      </c>
      <c r="N28" s="17" t="n"/>
      <c r="O28" s="17" t="n"/>
      <c r="P28" s="17" t="n"/>
      <c r="Q28" s="17" t="n"/>
    </row>
    <row r="29">
      <c r="A29" s="17" t="n"/>
      <c r="B29" s="17" t="n"/>
      <c r="C29" s="17" t="n"/>
      <c r="D29" s="17" t="n"/>
      <c r="E29" s="17" t="n"/>
      <c r="F29" s="17" t="n"/>
      <c r="G29" s="17" t="n"/>
      <c r="H29" s="17" t="n"/>
      <c r="I29" s="17" t="n"/>
      <c r="J29" s="17" t="n"/>
      <c r="K29" s="17" t="n"/>
      <c r="L29" s="17" t="n"/>
      <c r="M29" s="18">
        <f>IF(G29&lt;&gt;"",TODAY()-G29,"")</f>
        <v/>
      </c>
      <c r="N29" s="17" t="n"/>
      <c r="O29" s="17" t="n"/>
      <c r="P29" s="17" t="n"/>
      <c r="Q29" s="17" t="n"/>
    </row>
    <row r="30">
      <c r="A30" s="17" t="n"/>
      <c r="B30" s="17" t="n"/>
      <c r="C30" s="17" t="n"/>
      <c r="D30" s="17" t="n"/>
      <c r="E30" s="17" t="n"/>
      <c r="F30" s="17" t="n"/>
      <c r="G30" s="17" t="n"/>
      <c r="H30" s="17" t="n"/>
      <c r="I30" s="17" t="n"/>
      <c r="J30" s="17" t="n"/>
      <c r="K30" s="17" t="n"/>
      <c r="L30" s="17" t="n"/>
      <c r="M30" s="18">
        <f>IF(G30&lt;&gt;"",TODAY()-G30,"")</f>
        <v/>
      </c>
      <c r="N30" s="17" t="n"/>
      <c r="O30" s="17" t="n"/>
      <c r="P30" s="17" t="n"/>
      <c r="Q30" s="17" t="n"/>
    </row>
    <row r="31">
      <c r="A31" s="17" t="n"/>
      <c r="B31" s="17" t="n"/>
      <c r="C31" s="17" t="n"/>
      <c r="D31" s="17" t="n"/>
      <c r="E31" s="17" t="n"/>
      <c r="F31" s="17" t="n"/>
      <c r="G31" s="17" t="n"/>
      <c r="H31" s="17" t="n"/>
      <c r="I31" s="17" t="n"/>
      <c r="J31" s="17" t="n"/>
      <c r="K31" s="17" t="n"/>
      <c r="L31" s="17" t="n"/>
      <c r="M31" s="18">
        <f>IF(G31&lt;&gt;"",TODAY()-G31,"")</f>
        <v/>
      </c>
      <c r="N31" s="17" t="n"/>
      <c r="O31" s="17" t="n"/>
      <c r="P31" s="17" t="n"/>
      <c r="Q31" s="17" t="n"/>
    </row>
    <row r="32">
      <c r="A32" s="17" t="n"/>
      <c r="B32" s="17" t="n"/>
      <c r="C32" s="17" t="n"/>
      <c r="D32" s="17" t="n"/>
      <c r="E32" s="17" t="n"/>
      <c r="F32" s="17" t="n"/>
      <c r="G32" s="17" t="n"/>
      <c r="H32" s="17" t="n"/>
      <c r="I32" s="17" t="n"/>
      <c r="J32" s="17" t="n"/>
      <c r="K32" s="17" t="n"/>
      <c r="L32" s="17" t="n"/>
      <c r="M32" s="18">
        <f>IF(G32&lt;&gt;"",TODAY()-G32,"")</f>
        <v/>
      </c>
      <c r="N32" s="17" t="n"/>
      <c r="O32" s="17" t="n"/>
      <c r="P32" s="17" t="n"/>
      <c r="Q32" s="17" t="n"/>
    </row>
    <row r="33">
      <c r="A33" s="17" t="n"/>
      <c r="B33" s="17" t="n"/>
      <c r="C33" s="17" t="n"/>
      <c r="D33" s="17" t="n"/>
      <c r="E33" s="17" t="n"/>
      <c r="F33" s="17" t="n"/>
      <c r="G33" s="17" t="n"/>
      <c r="H33" s="17" t="n"/>
      <c r="I33" s="17" t="n"/>
      <c r="J33" s="17" t="n"/>
      <c r="K33" s="17" t="n"/>
      <c r="L33" s="17" t="n"/>
      <c r="M33" s="18">
        <f>IF(G33&lt;&gt;"",TODAY()-G33,"")</f>
        <v/>
      </c>
      <c r="N33" s="17" t="n"/>
      <c r="O33" s="17" t="n"/>
      <c r="P33" s="17" t="n"/>
      <c r="Q33" s="17" t="n"/>
    </row>
    <row r="34">
      <c r="A34" s="17" t="n"/>
      <c r="B34" s="17" t="n"/>
      <c r="C34" s="17" t="n"/>
      <c r="D34" s="17" t="n"/>
      <c r="E34" s="17" t="n"/>
      <c r="F34" s="17" t="n"/>
      <c r="G34" s="17" t="n"/>
      <c r="H34" s="17" t="n"/>
      <c r="I34" s="17" t="n"/>
      <c r="J34" s="17" t="n"/>
      <c r="K34" s="17" t="n"/>
      <c r="L34" s="17" t="n"/>
      <c r="M34" s="18">
        <f>IF(G34&lt;&gt;"",TODAY()-G34,"")</f>
        <v/>
      </c>
      <c r="N34" s="17" t="n"/>
      <c r="O34" s="17" t="n"/>
      <c r="P34" s="17" t="n"/>
      <c r="Q34" s="17" t="n"/>
    </row>
    <row r="35">
      <c r="A35" s="17" t="n"/>
      <c r="B35" s="17" t="n"/>
      <c r="C35" s="17" t="n"/>
      <c r="D35" s="17" t="n"/>
      <c r="E35" s="17" t="n"/>
      <c r="F35" s="17" t="n"/>
      <c r="G35" s="17" t="n"/>
      <c r="H35" s="17" t="n"/>
      <c r="I35" s="17" t="n"/>
      <c r="J35" s="17" t="n"/>
      <c r="K35" s="17" t="n"/>
      <c r="L35" s="17" t="n"/>
      <c r="M35" s="18">
        <f>IF(G35&lt;&gt;"",TODAY()-G35,"")</f>
        <v/>
      </c>
      <c r="N35" s="17" t="n"/>
      <c r="O35" s="17" t="n"/>
      <c r="P35" s="17" t="n"/>
      <c r="Q35" s="17" t="n"/>
    </row>
    <row r="36">
      <c r="A36" s="17" t="n"/>
      <c r="B36" s="17" t="n"/>
      <c r="C36" s="17" t="n"/>
      <c r="D36" s="17" t="n"/>
      <c r="E36" s="17" t="n"/>
      <c r="F36" s="17" t="n"/>
      <c r="G36" s="17" t="n"/>
      <c r="H36" s="17" t="n"/>
      <c r="I36" s="17" t="n"/>
      <c r="J36" s="17" t="n"/>
      <c r="K36" s="17" t="n"/>
      <c r="L36" s="17" t="n"/>
      <c r="M36" s="18">
        <f>IF(G36&lt;&gt;"",TODAY()-G36,"")</f>
        <v/>
      </c>
      <c r="N36" s="17" t="n"/>
      <c r="O36" s="17" t="n"/>
      <c r="P36" s="17" t="n"/>
      <c r="Q36" s="17" t="n"/>
    </row>
    <row r="37">
      <c r="A37" s="17" t="n"/>
      <c r="B37" s="17" t="n"/>
      <c r="C37" s="17" t="n"/>
      <c r="D37" s="17" t="n"/>
      <c r="E37" s="17" t="n"/>
      <c r="F37" s="17" t="n"/>
      <c r="G37" s="17" t="n"/>
      <c r="H37" s="17" t="n"/>
      <c r="I37" s="17" t="n"/>
      <c r="J37" s="17" t="n"/>
      <c r="K37" s="17" t="n"/>
      <c r="L37" s="17" t="n"/>
      <c r="M37" s="18">
        <f>IF(G37&lt;&gt;"",TODAY()-G37,"")</f>
        <v/>
      </c>
      <c r="N37" s="17" t="n"/>
      <c r="O37" s="17" t="n"/>
      <c r="P37" s="17" t="n"/>
      <c r="Q37" s="17" t="n"/>
    </row>
    <row r="40">
      <c r="A40" s="3" t="inlineStr">
        <is>
          <t>BASELINE STATISTICS</t>
        </is>
      </c>
    </row>
    <row r="41">
      <c r="A41" s="7" t="inlineStr">
        <is>
          <t>Metric</t>
        </is>
      </c>
      <c r="B41" s="11" t="n"/>
      <c r="C41" s="11" t="n"/>
      <c r="D41" s="11" t="n"/>
      <c r="E41" s="11" t="n"/>
      <c r="F41" s="11" t="n"/>
      <c r="G41" s="11" t="n"/>
      <c r="H41" s="11" t="n"/>
      <c r="I41" s="11" t="n"/>
      <c r="J41" s="11" t="n"/>
      <c r="K41" s="11" t="n"/>
      <c r="L41" s="11" t="n"/>
      <c r="M41" s="11" t="n"/>
      <c r="N41" s="11" t="n"/>
      <c r="O41" s="11" t="n"/>
      <c r="P41" s="11" t="n"/>
      <c r="Q41" s="11" t="n"/>
    </row>
    <row r="42" ht="25" customHeight="1">
      <c r="A42" s="6" t="inlineStr">
        <is>
          <t>Total Baselines Defined</t>
        </is>
      </c>
    </row>
    <row r="43" ht="25" customHeight="1">
      <c r="A43" s="6" t="inlineStr">
        <is>
          <t>Active Baselines</t>
        </is>
      </c>
    </row>
    <row r="44" ht="25" customHeight="1">
      <c r="A44" s="6" t="inlineStr">
        <is>
          <t>Stale Baselines (&gt;90 days)</t>
        </is>
      </c>
    </row>
    <row r="45" ht="25" customHeight="1">
      <c r="A45" s="6" t="inlineStr">
        <is>
          <t>Baselines by Type: User Activity</t>
        </is>
      </c>
    </row>
    <row r="46" ht="25" customHeight="1">
      <c r="A46" s="6" t="inlineStr">
        <is>
          <t>Baselines by Type: System Activity</t>
        </is>
      </c>
    </row>
    <row r="47" ht="25" customHeight="1">
      <c r="A47" s="6" t="inlineStr">
        <is>
          <t>Baselines by Type: Network Traffic</t>
        </is>
      </c>
    </row>
    <row r="48" ht="25" customHeight="1">
      <c r="A48" s="6" t="inlineStr">
        <is>
          <t>Automated Anomaly Detection</t>
        </is>
      </c>
    </row>
    <row r="49" ht="25" customHeight="1">
      <c r="A49" s="6" t="inlineStr">
        <is>
          <t>Baselines with Linked Rules</t>
        </is>
      </c>
    </row>
    <row r="52">
      <c r="A52" s="3" t="inlineStr">
        <is>
          <t>BASELINE COMPLIANCE CHECKLIST</t>
        </is>
      </c>
    </row>
    <row r="53">
      <c r="A53" s="7" t="inlineStr">
        <is>
          <t>#</t>
        </is>
      </c>
      <c r="B53" s="7" t="inlineStr">
        <is>
          <t>Requirement</t>
        </is>
      </c>
      <c r="C53" s="11" t="n"/>
      <c r="D53" s="11" t="n"/>
      <c r="E53" s="11" t="n"/>
      <c r="F53" s="11" t="n"/>
      <c r="G53" s="11" t="n"/>
      <c r="H53" s="11" t="n"/>
      <c r="I53" s="11" t="n"/>
      <c r="J53" s="11" t="n"/>
      <c r="K53" s="11" t="n"/>
      <c r="L53" s="11" t="n"/>
      <c r="M53" s="11" t="n"/>
      <c r="N53" s="11" t="n"/>
      <c r="O53" s="11" t="n"/>
      <c r="P53" s="12" t="n"/>
    </row>
    <row r="54" ht="25" customHeight="1">
      <c r="A54" t="n">
        <v>1</v>
      </c>
      <c r="B54" s="6" t="inlineStr">
        <is>
          <t>Baselines established for Tier 1 (critical) systems</t>
        </is>
      </c>
      <c r="Q54" s="5" t="n"/>
    </row>
    <row r="55" ht="25" customHeight="1">
      <c r="A55" t="n">
        <v>2</v>
      </c>
      <c r="B55" s="6" t="inlineStr">
        <is>
          <t>Baselines established for Tier 2 (high) systems</t>
        </is>
      </c>
      <c r="Q55" s="5" t="n"/>
    </row>
    <row r="56" ht="25" customHeight="1">
      <c r="A56" t="n">
        <v>3</v>
      </c>
      <c r="B56" s="6" t="inlineStr">
        <is>
          <t>Baselines established for privileged user accounts</t>
        </is>
      </c>
      <c r="Q56" s="5" t="n"/>
    </row>
    <row r="57" ht="25" customHeight="1">
      <c r="A57" t="n">
        <v>4</v>
      </c>
      <c r="B57" s="6" t="inlineStr">
        <is>
          <t>Baselines established for network traffic patterns</t>
        </is>
      </c>
      <c r="Q57" s="5" t="n"/>
    </row>
    <row r="58" ht="25" customHeight="1">
      <c r="A58" t="n">
        <v>5</v>
      </c>
      <c r="B58" s="6" t="inlineStr">
        <is>
          <t>Baselines established for application behavior</t>
        </is>
      </c>
      <c r="Q58" s="5" t="n"/>
    </row>
    <row r="59" ht="25" customHeight="1">
      <c r="A59" t="n">
        <v>6</v>
      </c>
      <c r="B59" s="6" t="inlineStr">
        <is>
          <t>Baseline establishment period adequate (min 30 days)</t>
        </is>
      </c>
      <c r="Q59" s="5" t="n"/>
    </row>
    <row r="60" ht="25" customHeight="1">
      <c r="A60" t="n">
        <v>7</v>
      </c>
      <c r="B60" s="6" t="inlineStr">
        <is>
          <t>Baseline update frequency defined and documented</t>
        </is>
      </c>
      <c r="Q60" s="5" t="n"/>
    </row>
    <row r="61" ht="25" customHeight="1">
      <c r="A61" t="n">
        <v>8</v>
      </c>
      <c r="B61" s="6" t="inlineStr">
        <is>
          <t>Baselines reviewed and updated regularly (max 90 days)</t>
        </is>
      </c>
      <c r="Q61" s="5" t="n"/>
    </row>
    <row r="62" ht="25" customHeight="1">
      <c r="A62" t="n">
        <v>9</v>
      </c>
      <c r="B62" s="6" t="inlineStr">
        <is>
          <t>Anomaly detection methods documented</t>
        </is>
      </c>
      <c r="Q62" s="5" t="n"/>
    </row>
    <row r="63" ht="25" customHeight="1">
      <c r="A63" t="n">
        <v>10</v>
      </c>
      <c r="B63" s="6" t="inlineStr">
        <is>
          <t>Anomaly thresholds defined and justified</t>
        </is>
      </c>
      <c r="Q63" s="5" t="n"/>
    </row>
    <row r="64" ht="25" customHeight="1">
      <c r="A64" t="n">
        <v>11</v>
      </c>
      <c r="B64" s="6" t="inlineStr">
        <is>
          <t>Alert rules linked to baseline deviations</t>
        </is>
      </c>
      <c r="Q64" s="5" t="n"/>
    </row>
    <row r="65" ht="25" customHeight="1">
      <c r="A65" t="n">
        <v>12</v>
      </c>
      <c r="B65" s="6" t="inlineStr">
        <is>
          <t>Baseline staleness monitored (alerts for &gt;90 days)</t>
        </is>
      </c>
      <c r="Q65" s="5" t="n"/>
    </row>
    <row r="66" ht="25" customHeight="1">
      <c r="A66" t="n">
        <v>13</v>
      </c>
      <c r="B66" s="6" t="inlineStr">
        <is>
          <t>Baseline ownership assigned</t>
        </is>
      </c>
      <c r="Q66" s="5" t="n"/>
    </row>
    <row r="67" ht="25" customHeight="1">
      <c r="A67" t="n">
        <v>14</v>
      </c>
      <c r="B67" s="6" t="inlineStr">
        <is>
          <t>Baseline documentation maintained</t>
        </is>
      </c>
      <c r="Q67" s="5" t="n"/>
    </row>
    <row r="68" ht="25" customHeight="1">
      <c r="A68" t="n">
        <v>15</v>
      </c>
      <c r="B68" s="6" t="inlineStr">
        <is>
          <t>Baseline effectiveness reviewed quarterly</t>
        </is>
      </c>
      <c r="Q68" s="5" t="n"/>
    </row>
    <row r="69">
      <c r="A69" s="19" t="inlineStr">
        <is>
          <t>SCORE:</t>
        </is>
      </c>
      <c r="B69" s="20">
        <f>COUNTIF(Q54:Q68,"✅ Compliant")&amp;" / 15"</f>
        <v/>
      </c>
    </row>
    <row r="75">
      <c r="A75" s="21" t="inlineStr">
        <is>
          <t>REFERENCE: BASELINE TYPES &amp; RECOMMENDATIONS</t>
        </is>
      </c>
    </row>
    <row r="76">
      <c r="A76" s="7" t="inlineStr">
        <is>
          <t>Baseline Type</t>
        </is>
      </c>
      <c r="B76" s="7" t="inlineStr">
        <is>
          <t>Example Metrics</t>
        </is>
      </c>
      <c r="C76" s="7" t="inlineStr">
        <is>
          <t>Recommended Period</t>
        </is>
      </c>
      <c r="D76" s="7" t="inlineStr">
        <is>
          <t>Update Frequency</t>
        </is>
      </c>
    </row>
    <row r="77" ht="30" customHeight="1">
      <c r="A77" s="22" t="inlineStr">
        <is>
          <t>User Activity</t>
        </is>
      </c>
    </row>
    <row r="78" ht="30" customHeight="1">
      <c r="A78" s="22" t="inlineStr">
        <is>
          <t>System Activity</t>
        </is>
      </c>
    </row>
    <row r="79" ht="30" customHeight="1">
      <c r="A79" s="22" t="inlineStr">
        <is>
          <t>Network Traffic</t>
        </is>
      </c>
    </row>
    <row r="80" ht="30" customHeight="1">
      <c r="A80" s="22" t="inlineStr">
        <is>
          <t>Application Behavior</t>
        </is>
      </c>
    </row>
    <row r="81" ht="30" customHeight="1">
      <c r="A81" s="22" t="inlineStr">
        <is>
          <t>Security Events</t>
        </is>
      </c>
    </row>
  </sheetData>
  <mergeCells count="80">
    <mergeCell ref="C47:N47"/>
    <mergeCell ref="A81:D81"/>
    <mergeCell ref="A48:G48"/>
    <mergeCell ref="C77:L77"/>
    <mergeCell ref="B65:P65"/>
    <mergeCell ref="A75:Q75"/>
    <mergeCell ref="A45:G45"/>
    <mergeCell ref="B68:P68"/>
    <mergeCell ref="A3:Q3"/>
    <mergeCell ref="D47:Q47"/>
    <mergeCell ref="B43:K43"/>
    <mergeCell ref="A46:G46"/>
    <mergeCell ref="C42:N42"/>
    <mergeCell ref="B59:P59"/>
    <mergeCell ref="B69:E69"/>
    <mergeCell ref="A40:Q40"/>
    <mergeCell ref="D79:Q79"/>
    <mergeCell ref="C44:N44"/>
    <mergeCell ref="C81:L81"/>
    <mergeCell ref="D81:Q81"/>
    <mergeCell ref="B45:K45"/>
    <mergeCell ref="C46:N46"/>
    <mergeCell ref="D49:Q49"/>
    <mergeCell ref="B47:K47"/>
    <mergeCell ref="C48:N48"/>
    <mergeCell ref="A49:G49"/>
    <mergeCell ref="B46:K46"/>
    <mergeCell ref="A79:D79"/>
    <mergeCell ref="B78:I78"/>
    <mergeCell ref="C79:L79"/>
    <mergeCell ref="A2:Q2"/>
    <mergeCell ref="B63:P63"/>
    <mergeCell ref="B48:K48"/>
    <mergeCell ref="C49:N49"/>
    <mergeCell ref="B66:P66"/>
    <mergeCell ref="B49:K49"/>
    <mergeCell ref="B67:P67"/>
    <mergeCell ref="B61:P61"/>
    <mergeCell ref="A43:G43"/>
    <mergeCell ref="D46:Q46"/>
    <mergeCell ref="D80:Q80"/>
    <mergeCell ref="B41:K41"/>
    <mergeCell ref="A77:D77"/>
    <mergeCell ref="B77:I77"/>
    <mergeCell ref="C78:L78"/>
    <mergeCell ref="D41:Q41"/>
    <mergeCell ref="B55:P55"/>
    <mergeCell ref="B64:P64"/>
    <mergeCell ref="A78:D78"/>
    <mergeCell ref="D43:Q43"/>
    <mergeCell ref="A80:D80"/>
    <mergeCell ref="D42:Q42"/>
    <mergeCell ref="B79:I79"/>
    <mergeCell ref="B58:P58"/>
    <mergeCell ref="A47:G47"/>
    <mergeCell ref="D44:Q44"/>
    <mergeCell ref="C41:N41"/>
    <mergeCell ref="B81:I81"/>
    <mergeCell ref="B60:P60"/>
    <mergeCell ref="B57:P57"/>
    <mergeCell ref="A1:Q1"/>
    <mergeCell ref="B53:P53"/>
    <mergeCell ref="C43:N43"/>
    <mergeCell ref="A44:G44"/>
    <mergeCell ref="D45:Q45"/>
    <mergeCell ref="B4:E4"/>
    <mergeCell ref="D77:Q77"/>
    <mergeCell ref="D48:Q48"/>
    <mergeCell ref="D78:Q78"/>
    <mergeCell ref="A41:G41"/>
    <mergeCell ref="B42:K42"/>
    <mergeCell ref="B62:P62"/>
    <mergeCell ref="C80:L80"/>
    <mergeCell ref="B54:P54"/>
    <mergeCell ref="B44:K44"/>
    <mergeCell ref="C45:N45"/>
    <mergeCell ref="A52:Q52"/>
    <mergeCell ref="B80:I80"/>
    <mergeCell ref="B56:P56"/>
    <mergeCell ref="A42:G42"/>
  </mergeCells>
  <dataValidations count="6">
    <dataValidation sqref="B8 B9 B10 B11 B12 B13 B14 B15 B16 B17 B18 B19 B20 B21 B22 B23 B24 B25 B26 B27 B28 B29 B30 B31 B32 B33 B34 B35 B36 B37" showDropDown="0" showInputMessage="0" showErrorMessage="0" allowBlank="0" type="list">
      <formula1>"User Activity,System Activity,Network Traffic,Application Behavior,Security Events,Resource Usage,Other"</formula1>
    </dataValidation>
    <dataValidation sqref="L8 L9 L10 L11 L12 L13 L14 L15 L16 L17 L18 L19 L20 L21 L22 L23 L24 L25 L26 L27 L28 L29 L30 L31 L32 L33 L34 L35 L36 L37" showDropDown="0" showInputMessage="0" showErrorMessage="0" allowBlank="0" type="list">
      <formula1>"✅ Active,⚠️ Stale,❌ Missing,🔄 In Development"</formula1>
    </dataValidation>
    <dataValidation sqref="H8 H9 H10 H11 H12 H13 H14 H15 H16 H17 H18 H19 H20 H21 H22 H23 H24 H25 H26 H27 H28 H29 H30 H31 H32 H33 H34 H35 H36 H37" showDropDown="0" showInputMessage="0" showErrorMessage="0" allowBlank="0" type="list">
      <formula1>"Daily,Weekly,Monthly,Quarterly,Annual,As Needed"</formula1>
    </dataValidation>
    <dataValidation sqref="I8 I9 I10 I11 I12 I13 I14 I15 I16 I17 I18 I19 I20 I21 I22 I23 I24 I25 I26 I27 I28 I29 I30 I31 I32 I33 I34 I35 I36 I37" showDropDown="0" showInputMessage="0" showErrorMessage="0" allowBlank="0" type="list">
      <formula1>"Automated,Manual,Hybrid,None"</formula1>
    </dataValidation>
    <dataValidation sqref="N8 N9 N10 N11 N12 N13 N14 N15 N16 N17 N18 N19 N20 N21 N22 N23 N24 N25 N26 N27 N28 N29 N30 N31 N32 N33 N34 N35 N36 N37 Q54 Q55 Q56 Q57 Q58 Q59 Q60 Q61 Q62 Q63 Q64 Q65 Q66 Q67 Q68" showDropDown="0" showInputMessage="0" showErrorMessage="0" allowBlank="0" type="list">
      <formula1>"✅ Compliant,⚠️ Partial,❌ Non-Compliant,N/A"</formula1>
    </dataValidation>
    <dataValidation sqref="Q8 Q9 Q10 Q11 Q12 Q13 Q14 Q15 Q16 Q17 Q18 Q19 Q20 Q21 Q22 Q23 Q24 Q25 Q26 Q27 Q28 Q29 Q30 Q31 Q32 Q33 Q34 Q35 Q36 Q3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9"/>
  <sheetViews>
    <sheetView workbookViewId="0">
      <selection activeCell="A1" sqref="A1"/>
    </sheetView>
  </sheetViews>
  <sheetFormatPr baseColWidth="8" defaultRowHeight="15"/>
  <cols>
    <col width="30" customWidth="1" min="1" max="1"/>
    <col width="22" customWidth="1" min="2" max="2"/>
    <col width="40" customWidth="1" min="3" max="3"/>
    <col width="15" customWidth="1" min="4" max="4"/>
    <col width="30" customWidth="1" min="5" max="5"/>
    <col width="40" customWidth="1" min="6" max="6"/>
    <col width="25" customWidth="1" min="7" max="7"/>
    <col width="25" customWidth="1" min="8" max="8"/>
    <col width="16" customWidth="1" min="9" max="9"/>
    <col width="16" customWidth="1" min="10" max="10"/>
    <col width="16" customWidth="1" min="11" max="11"/>
    <col width="18" customWidth="1" min="12" max="12"/>
    <col width="18" customWidth="1" min="13" max="13"/>
    <col width="18" customWidth="1" min="14" max="14"/>
    <col width="15" customWidth="1" min="15" max="15"/>
    <col width="18" customWidth="1" min="16" max="16"/>
    <col width="18" customWidth="1" min="17" max="17"/>
    <col width="20" customWidth="1" min="18" max="18"/>
    <col width="18" customWidth="1" min="19" max="19"/>
    <col width="35" customWidth="1" min="20" max="20"/>
    <col width="15" customWidth="1" min="21" max="21"/>
  </cols>
  <sheetData>
    <row r="1" ht="35" customHeight="1">
      <c r="A1" s="1" t="inlineStr">
        <is>
          <t>2. DETECTION RULES INVENTORY</t>
        </is>
      </c>
    </row>
    <row r="2">
      <c r="A2" s="2" t="inlineStr">
        <is>
          <t>Policy Reference: ISMS-POL-A.8.16-S2.2.2 - Detection rule coverage and effectiveness</t>
        </is>
      </c>
    </row>
    <row r="3" ht="30" customHeight="1">
      <c r="A3" s="15" t="inlineStr">
        <is>
          <t>Are detection/correlation rules comprehensively covering security threats and regularly tuned for effectiveness?</t>
        </is>
      </c>
    </row>
    <row r="6">
      <c r="A6" s="7" t="inlineStr">
        <is>
          <t>Rule ID/Name</t>
        </is>
      </c>
      <c r="B6" s="7" t="inlineStr">
        <is>
          <t>Rule Type</t>
        </is>
      </c>
      <c r="C6" s="7" t="inlineStr">
        <is>
          <t>Description</t>
        </is>
      </c>
      <c r="D6" s="7" t="inlineStr">
        <is>
          <t>Severity</t>
        </is>
      </c>
      <c r="E6" s="7" t="inlineStr">
        <is>
          <t>Data Source(s)</t>
        </is>
      </c>
      <c r="F6" s="7" t="inlineStr">
        <is>
          <t>Rule Logic Summary</t>
        </is>
      </c>
      <c r="G6" s="7" t="inlineStr">
        <is>
          <t>MITRE Tactic</t>
        </is>
      </c>
      <c r="H6" s="7" t="inlineStr">
        <is>
          <t>MITRE Technique</t>
        </is>
      </c>
      <c r="I6" s="7" t="inlineStr">
        <is>
          <t>Created Date</t>
        </is>
      </c>
      <c r="J6" s="7" t="inlineStr">
        <is>
          <t>Last Modified</t>
        </is>
      </c>
      <c r="K6" s="7" t="inlineStr">
        <is>
          <t>Last Triggered</t>
        </is>
      </c>
      <c r="L6" s="7" t="inlineStr">
        <is>
          <t>Trigger Count (30d)</t>
        </is>
      </c>
      <c r="M6" s="7" t="inlineStr">
        <is>
          <t>True Positives (30d)</t>
        </is>
      </c>
      <c r="N6" s="7" t="inlineStr">
        <is>
          <t>False Positives (30d)</t>
        </is>
      </c>
      <c r="O6" s="7" t="inlineStr">
        <is>
          <t>Precision %</t>
        </is>
      </c>
      <c r="P6" s="7" t="inlineStr">
        <is>
          <t>Rule Status</t>
        </is>
      </c>
      <c r="Q6" s="7" t="inlineStr">
        <is>
          <t>Tuning Status</t>
        </is>
      </c>
      <c r="R6" s="7" t="inlineStr">
        <is>
          <t>Owner</t>
        </is>
      </c>
      <c r="S6" s="7" t="inlineStr">
        <is>
          <t>Compliance Status</t>
        </is>
      </c>
      <c r="T6" s="7" t="inlineStr">
        <is>
          <t>Issues/Notes</t>
        </is>
      </c>
      <c r="U6" s="7" t="inlineStr">
        <is>
          <t>Priority</t>
        </is>
      </c>
    </row>
    <row r="7">
      <c r="A7" s="16" t="inlineStr">
        <is>
          <t>RULE-105</t>
        </is>
      </c>
      <c r="B7" s="16" t="inlineStr">
        <is>
          <t>Correlation</t>
        </is>
      </c>
      <c r="C7" s="16" t="inlineStr">
        <is>
          <t>Detect privilege escalation via Kerberos</t>
        </is>
      </c>
      <c r="D7" s="16" t="inlineStr">
        <is>
          <t>High</t>
        </is>
      </c>
      <c r="E7" s="16" t="inlineStr">
        <is>
          <t>Windows Event Logs</t>
        </is>
      </c>
      <c r="F7" s="16" t="inlineStr">
        <is>
          <t>4768 + 4769 + 4672 within 5 min</t>
        </is>
      </c>
      <c r="G7" s="16" t="inlineStr">
        <is>
          <t>Privilege Escalation</t>
        </is>
      </c>
      <c r="H7" s="16" t="inlineStr">
        <is>
          <t>T1078 - Valid Accounts</t>
        </is>
      </c>
      <c r="I7" s="16" t="inlineStr">
        <is>
          <t>10.08.2024</t>
        </is>
      </c>
      <c r="J7" s="16" t="inlineStr">
        <is>
          <t>15.12.2024</t>
        </is>
      </c>
      <c r="K7" s="16" t="inlineStr">
        <is>
          <t>05.01.2025</t>
        </is>
      </c>
      <c r="L7" s="16" t="inlineStr">
        <is>
          <t>12</t>
        </is>
      </c>
      <c r="M7" s="16" t="inlineStr">
        <is>
          <t>10</t>
        </is>
      </c>
      <c r="N7" s="16" t="inlineStr">
        <is>
          <t>2</t>
        </is>
      </c>
      <c r="O7" s="16" t="inlineStr">
        <is>
          <t>83%</t>
        </is>
      </c>
      <c r="P7" s="16" t="inlineStr">
        <is>
          <t>✅ Active</t>
        </is>
      </c>
      <c r="Q7" s="16" t="inlineStr">
        <is>
          <t>Optimized</t>
        </is>
      </c>
      <c r="R7" s="16" t="inlineStr">
        <is>
          <t>SOC Team</t>
        </is>
      </c>
      <c r="S7" s="16" t="inlineStr">
        <is>
          <t>✅ Compliant</t>
        </is>
      </c>
      <c r="T7" s="16" t="inlineStr">
        <is>
          <t>None</t>
        </is>
      </c>
      <c r="U7" s="16" t="inlineStr">
        <is>
          <t>High</t>
        </is>
      </c>
    </row>
    <row r="8">
      <c r="A8" s="17" t="n"/>
      <c r="B8" s="17" t="n"/>
      <c r="C8" s="17" t="n"/>
      <c r="D8" s="17" t="n"/>
      <c r="E8" s="17" t="n"/>
      <c r="F8" s="17" t="n"/>
      <c r="G8" s="17" t="n"/>
      <c r="H8" s="17" t="n"/>
      <c r="I8" s="17" t="n"/>
      <c r="J8" s="17" t="n"/>
      <c r="K8" s="17" t="n"/>
      <c r="L8" s="17" t="n"/>
      <c r="M8" s="17" t="n"/>
      <c r="N8" s="17" t="n"/>
      <c r="O8" s="18">
        <f>IF(AND(M8&lt;&gt;"",N8&lt;&gt;""),ROUND(M8/(M8+N8)*100,1)&amp;"%","")</f>
        <v/>
      </c>
      <c r="P8" s="17" t="n"/>
      <c r="Q8" s="17" t="n"/>
      <c r="R8" s="17" t="n"/>
      <c r="S8" s="17" t="n"/>
      <c r="T8" s="17" t="n"/>
      <c r="U8" s="17" t="n"/>
    </row>
    <row r="9">
      <c r="A9" s="17" t="n"/>
      <c r="B9" s="17" t="n"/>
      <c r="C9" s="17" t="n"/>
      <c r="D9" s="17" t="n"/>
      <c r="E9" s="17" t="n"/>
      <c r="F9" s="17" t="n"/>
      <c r="G9" s="17" t="n"/>
      <c r="H9" s="17" t="n"/>
      <c r="I9" s="17" t="n"/>
      <c r="J9" s="17" t="n"/>
      <c r="K9" s="17" t="n"/>
      <c r="L9" s="17" t="n"/>
      <c r="M9" s="17" t="n"/>
      <c r="N9" s="17" t="n"/>
      <c r="O9" s="18">
        <f>IF(AND(M9&lt;&gt;"",N9&lt;&gt;""),ROUND(M9/(M9+N9)*100,1)&amp;"%","")</f>
        <v/>
      </c>
      <c r="P9" s="17" t="n"/>
      <c r="Q9" s="17" t="n"/>
      <c r="R9" s="17" t="n"/>
      <c r="S9" s="17" t="n"/>
      <c r="T9" s="17" t="n"/>
      <c r="U9" s="17" t="n"/>
    </row>
    <row r="10">
      <c r="A10" s="17" t="n"/>
      <c r="B10" s="17" t="n"/>
      <c r="C10" s="17" t="n"/>
      <c r="D10" s="17" t="n"/>
      <c r="E10" s="17" t="n"/>
      <c r="F10" s="17" t="n"/>
      <c r="G10" s="17" t="n"/>
      <c r="H10" s="17" t="n"/>
      <c r="I10" s="17" t="n"/>
      <c r="J10" s="17" t="n"/>
      <c r="K10" s="17" t="n"/>
      <c r="L10" s="17" t="n"/>
      <c r="M10" s="17" t="n"/>
      <c r="N10" s="17" t="n"/>
      <c r="O10" s="18">
        <f>IF(AND(M10&lt;&gt;"",N10&lt;&gt;""),ROUND(M10/(M10+N10)*100,1)&amp;"%","")</f>
        <v/>
      </c>
      <c r="P10" s="17" t="n"/>
      <c r="Q10" s="17" t="n"/>
      <c r="R10" s="17" t="n"/>
      <c r="S10" s="17" t="n"/>
      <c r="T10" s="17" t="n"/>
      <c r="U10" s="17" t="n"/>
    </row>
    <row r="11">
      <c r="A11" s="17" t="n"/>
      <c r="B11" s="17" t="n"/>
      <c r="C11" s="17" t="n"/>
      <c r="D11" s="17" t="n"/>
      <c r="E11" s="17" t="n"/>
      <c r="F11" s="17" t="n"/>
      <c r="G11" s="17" t="n"/>
      <c r="H11" s="17" t="n"/>
      <c r="I11" s="17" t="n"/>
      <c r="J11" s="17" t="n"/>
      <c r="K11" s="17" t="n"/>
      <c r="L11" s="17" t="n"/>
      <c r="M11" s="17" t="n"/>
      <c r="N11" s="17" t="n"/>
      <c r="O11" s="18">
        <f>IF(AND(M11&lt;&gt;"",N11&lt;&gt;""),ROUND(M11/(M11+N11)*100,1)&amp;"%","")</f>
        <v/>
      </c>
      <c r="P11" s="17" t="n"/>
      <c r="Q11" s="17" t="n"/>
      <c r="R11" s="17" t="n"/>
      <c r="S11" s="17" t="n"/>
      <c r="T11" s="17" t="n"/>
      <c r="U11" s="17" t="n"/>
    </row>
    <row r="12">
      <c r="A12" s="17" t="n"/>
      <c r="B12" s="17" t="n"/>
      <c r="C12" s="17" t="n"/>
      <c r="D12" s="17" t="n"/>
      <c r="E12" s="17" t="n"/>
      <c r="F12" s="17" t="n"/>
      <c r="G12" s="17" t="n"/>
      <c r="H12" s="17" t="n"/>
      <c r="I12" s="17" t="n"/>
      <c r="J12" s="17" t="n"/>
      <c r="K12" s="17" t="n"/>
      <c r="L12" s="17" t="n"/>
      <c r="M12" s="17" t="n"/>
      <c r="N12" s="17" t="n"/>
      <c r="O12" s="18">
        <f>IF(AND(M12&lt;&gt;"",N12&lt;&gt;""),ROUND(M12/(M12+N12)*100,1)&amp;"%","")</f>
        <v/>
      </c>
      <c r="P12" s="17" t="n"/>
      <c r="Q12" s="17" t="n"/>
      <c r="R12" s="17" t="n"/>
      <c r="S12" s="17" t="n"/>
      <c r="T12" s="17" t="n"/>
      <c r="U12" s="17" t="n"/>
    </row>
    <row r="13">
      <c r="A13" s="17" t="n"/>
      <c r="B13" s="17" t="n"/>
      <c r="C13" s="17" t="n"/>
      <c r="D13" s="17" t="n"/>
      <c r="E13" s="17" t="n"/>
      <c r="F13" s="17" t="n"/>
      <c r="G13" s="17" t="n"/>
      <c r="H13" s="17" t="n"/>
      <c r="I13" s="17" t="n"/>
      <c r="J13" s="17" t="n"/>
      <c r="K13" s="17" t="n"/>
      <c r="L13" s="17" t="n"/>
      <c r="M13" s="17" t="n"/>
      <c r="N13" s="17" t="n"/>
      <c r="O13" s="18">
        <f>IF(AND(M13&lt;&gt;"",N13&lt;&gt;""),ROUND(M13/(M13+N13)*100,1)&amp;"%","")</f>
        <v/>
      </c>
      <c r="P13" s="17" t="n"/>
      <c r="Q13" s="17" t="n"/>
      <c r="R13" s="17" t="n"/>
      <c r="S13" s="17" t="n"/>
      <c r="T13" s="17" t="n"/>
      <c r="U13" s="17" t="n"/>
    </row>
    <row r="14">
      <c r="A14" s="17" t="n"/>
      <c r="B14" s="17" t="n"/>
      <c r="C14" s="17" t="n"/>
      <c r="D14" s="17" t="n"/>
      <c r="E14" s="17" t="n"/>
      <c r="F14" s="17" t="n"/>
      <c r="G14" s="17" t="n"/>
      <c r="H14" s="17" t="n"/>
      <c r="I14" s="17" t="n"/>
      <c r="J14" s="17" t="n"/>
      <c r="K14" s="17" t="n"/>
      <c r="L14" s="17" t="n"/>
      <c r="M14" s="17" t="n"/>
      <c r="N14" s="17" t="n"/>
      <c r="O14" s="18">
        <f>IF(AND(M14&lt;&gt;"",N14&lt;&gt;""),ROUND(M14/(M14+N14)*100,1)&amp;"%","")</f>
        <v/>
      </c>
      <c r="P14" s="17" t="n"/>
      <c r="Q14" s="17" t="n"/>
      <c r="R14" s="17" t="n"/>
      <c r="S14" s="17" t="n"/>
      <c r="T14" s="17" t="n"/>
      <c r="U14" s="17" t="n"/>
    </row>
    <row r="15">
      <c r="A15" s="17" t="n"/>
      <c r="B15" s="17" t="n"/>
      <c r="C15" s="17" t="n"/>
      <c r="D15" s="17" t="n"/>
      <c r="E15" s="17" t="n"/>
      <c r="F15" s="17" t="n"/>
      <c r="G15" s="17" t="n"/>
      <c r="H15" s="17" t="n"/>
      <c r="I15" s="17" t="n"/>
      <c r="J15" s="17" t="n"/>
      <c r="K15" s="17" t="n"/>
      <c r="L15" s="17" t="n"/>
      <c r="M15" s="17" t="n"/>
      <c r="N15" s="17" t="n"/>
      <c r="O15" s="18">
        <f>IF(AND(M15&lt;&gt;"",N15&lt;&gt;""),ROUND(M15/(M15+N15)*100,1)&amp;"%","")</f>
        <v/>
      </c>
      <c r="P15" s="17" t="n"/>
      <c r="Q15" s="17" t="n"/>
      <c r="R15" s="17" t="n"/>
      <c r="S15" s="17" t="n"/>
      <c r="T15" s="17" t="n"/>
      <c r="U15" s="17" t="n"/>
    </row>
    <row r="16">
      <c r="A16" s="17" t="n"/>
      <c r="B16" s="17" t="n"/>
      <c r="C16" s="17" t="n"/>
      <c r="D16" s="17" t="n"/>
      <c r="E16" s="17" t="n"/>
      <c r="F16" s="17" t="n"/>
      <c r="G16" s="17" t="n"/>
      <c r="H16" s="17" t="n"/>
      <c r="I16" s="17" t="n"/>
      <c r="J16" s="17" t="n"/>
      <c r="K16" s="17" t="n"/>
      <c r="L16" s="17" t="n"/>
      <c r="M16" s="17" t="n"/>
      <c r="N16" s="17" t="n"/>
      <c r="O16" s="18">
        <f>IF(AND(M16&lt;&gt;"",N16&lt;&gt;""),ROUND(M16/(M16+N16)*100,1)&amp;"%","")</f>
        <v/>
      </c>
      <c r="P16" s="17" t="n"/>
      <c r="Q16" s="17" t="n"/>
      <c r="R16" s="17" t="n"/>
      <c r="S16" s="17" t="n"/>
      <c r="T16" s="17" t="n"/>
      <c r="U16" s="17" t="n"/>
    </row>
    <row r="17">
      <c r="A17" s="17" t="n"/>
      <c r="B17" s="17" t="n"/>
      <c r="C17" s="17" t="n"/>
      <c r="D17" s="17" t="n"/>
      <c r="E17" s="17" t="n"/>
      <c r="F17" s="17" t="n"/>
      <c r="G17" s="17" t="n"/>
      <c r="H17" s="17" t="n"/>
      <c r="I17" s="17" t="n"/>
      <c r="J17" s="17" t="n"/>
      <c r="K17" s="17" t="n"/>
      <c r="L17" s="17" t="n"/>
      <c r="M17" s="17" t="n"/>
      <c r="N17" s="17" t="n"/>
      <c r="O17" s="18">
        <f>IF(AND(M17&lt;&gt;"",N17&lt;&gt;""),ROUND(M17/(M17+N17)*100,1)&amp;"%","")</f>
        <v/>
      </c>
      <c r="P17" s="17" t="n"/>
      <c r="Q17" s="17" t="n"/>
      <c r="R17" s="17" t="n"/>
      <c r="S17" s="17" t="n"/>
      <c r="T17" s="17" t="n"/>
      <c r="U17" s="17" t="n"/>
    </row>
    <row r="18">
      <c r="A18" s="17" t="n"/>
      <c r="B18" s="17" t="n"/>
      <c r="C18" s="17" t="n"/>
      <c r="D18" s="17" t="n"/>
      <c r="E18" s="17" t="n"/>
      <c r="F18" s="17" t="n"/>
      <c r="G18" s="17" t="n"/>
      <c r="H18" s="17" t="n"/>
      <c r="I18" s="17" t="n"/>
      <c r="J18" s="17" t="n"/>
      <c r="K18" s="17" t="n"/>
      <c r="L18" s="17" t="n"/>
      <c r="M18" s="17" t="n"/>
      <c r="N18" s="17" t="n"/>
      <c r="O18" s="18">
        <f>IF(AND(M18&lt;&gt;"",N18&lt;&gt;""),ROUND(M18/(M18+N18)*100,1)&amp;"%","")</f>
        <v/>
      </c>
      <c r="P18" s="17" t="n"/>
      <c r="Q18" s="17" t="n"/>
      <c r="R18" s="17" t="n"/>
      <c r="S18" s="17" t="n"/>
      <c r="T18" s="17" t="n"/>
      <c r="U18" s="17" t="n"/>
    </row>
    <row r="19">
      <c r="A19" s="17" t="n"/>
      <c r="B19" s="17" t="n"/>
      <c r="C19" s="17" t="n"/>
      <c r="D19" s="17" t="n"/>
      <c r="E19" s="17" t="n"/>
      <c r="F19" s="17" t="n"/>
      <c r="G19" s="17" t="n"/>
      <c r="H19" s="17" t="n"/>
      <c r="I19" s="17" t="n"/>
      <c r="J19" s="17" t="n"/>
      <c r="K19" s="17" t="n"/>
      <c r="L19" s="17" t="n"/>
      <c r="M19" s="17" t="n"/>
      <c r="N19" s="17" t="n"/>
      <c r="O19" s="18">
        <f>IF(AND(M19&lt;&gt;"",N19&lt;&gt;""),ROUND(M19/(M19+N19)*100,1)&amp;"%","")</f>
        <v/>
      </c>
      <c r="P19" s="17" t="n"/>
      <c r="Q19" s="17" t="n"/>
      <c r="R19" s="17" t="n"/>
      <c r="S19" s="17" t="n"/>
      <c r="T19" s="17" t="n"/>
      <c r="U19" s="17" t="n"/>
    </row>
    <row r="20">
      <c r="A20" s="17" t="n"/>
      <c r="B20" s="17" t="n"/>
      <c r="C20" s="17" t="n"/>
      <c r="D20" s="17" t="n"/>
      <c r="E20" s="17" t="n"/>
      <c r="F20" s="17" t="n"/>
      <c r="G20" s="17" t="n"/>
      <c r="H20" s="17" t="n"/>
      <c r="I20" s="17" t="n"/>
      <c r="J20" s="17" t="n"/>
      <c r="K20" s="17" t="n"/>
      <c r="L20" s="17" t="n"/>
      <c r="M20" s="17" t="n"/>
      <c r="N20" s="17" t="n"/>
      <c r="O20" s="18">
        <f>IF(AND(M20&lt;&gt;"",N20&lt;&gt;""),ROUND(M20/(M20+N20)*100,1)&amp;"%","")</f>
        <v/>
      </c>
      <c r="P20" s="17" t="n"/>
      <c r="Q20" s="17" t="n"/>
      <c r="R20" s="17" t="n"/>
      <c r="S20" s="17" t="n"/>
      <c r="T20" s="17" t="n"/>
      <c r="U20" s="17" t="n"/>
    </row>
    <row r="21">
      <c r="A21" s="17" t="n"/>
      <c r="B21" s="17" t="n"/>
      <c r="C21" s="17" t="n"/>
      <c r="D21" s="17" t="n"/>
      <c r="E21" s="17" t="n"/>
      <c r="F21" s="17" t="n"/>
      <c r="G21" s="17" t="n"/>
      <c r="H21" s="17" t="n"/>
      <c r="I21" s="17" t="n"/>
      <c r="J21" s="17" t="n"/>
      <c r="K21" s="17" t="n"/>
      <c r="L21" s="17" t="n"/>
      <c r="M21" s="17" t="n"/>
      <c r="N21" s="17" t="n"/>
      <c r="O21" s="18">
        <f>IF(AND(M21&lt;&gt;"",N21&lt;&gt;""),ROUND(M21/(M21+N21)*100,1)&amp;"%","")</f>
        <v/>
      </c>
      <c r="P21" s="17" t="n"/>
      <c r="Q21" s="17" t="n"/>
      <c r="R21" s="17" t="n"/>
      <c r="S21" s="17" t="n"/>
      <c r="T21" s="17" t="n"/>
      <c r="U21" s="17" t="n"/>
    </row>
    <row r="22">
      <c r="A22" s="17" t="n"/>
      <c r="B22" s="17" t="n"/>
      <c r="C22" s="17" t="n"/>
      <c r="D22" s="17" t="n"/>
      <c r="E22" s="17" t="n"/>
      <c r="F22" s="17" t="n"/>
      <c r="G22" s="17" t="n"/>
      <c r="H22" s="17" t="n"/>
      <c r="I22" s="17" t="n"/>
      <c r="J22" s="17" t="n"/>
      <c r="K22" s="17" t="n"/>
      <c r="L22" s="17" t="n"/>
      <c r="M22" s="17" t="n"/>
      <c r="N22" s="17" t="n"/>
      <c r="O22" s="18">
        <f>IF(AND(M22&lt;&gt;"",N22&lt;&gt;""),ROUND(M22/(M22+N22)*100,1)&amp;"%","")</f>
        <v/>
      </c>
      <c r="P22" s="17" t="n"/>
      <c r="Q22" s="17" t="n"/>
      <c r="R22" s="17" t="n"/>
      <c r="S22" s="17" t="n"/>
      <c r="T22" s="17" t="n"/>
      <c r="U22" s="17" t="n"/>
    </row>
    <row r="23">
      <c r="A23" s="17" t="n"/>
      <c r="B23" s="17" t="n"/>
      <c r="C23" s="17" t="n"/>
      <c r="D23" s="17" t="n"/>
      <c r="E23" s="17" t="n"/>
      <c r="F23" s="17" t="n"/>
      <c r="G23" s="17" t="n"/>
      <c r="H23" s="17" t="n"/>
      <c r="I23" s="17" t="n"/>
      <c r="J23" s="17" t="n"/>
      <c r="K23" s="17" t="n"/>
      <c r="L23" s="17" t="n"/>
      <c r="M23" s="17" t="n"/>
      <c r="N23" s="17" t="n"/>
      <c r="O23" s="18">
        <f>IF(AND(M23&lt;&gt;"",N23&lt;&gt;""),ROUND(M23/(M23+N23)*100,1)&amp;"%","")</f>
        <v/>
      </c>
      <c r="P23" s="17" t="n"/>
      <c r="Q23" s="17" t="n"/>
      <c r="R23" s="17" t="n"/>
      <c r="S23" s="17" t="n"/>
      <c r="T23" s="17" t="n"/>
      <c r="U23" s="17" t="n"/>
    </row>
    <row r="24">
      <c r="A24" s="17" t="n"/>
      <c r="B24" s="17" t="n"/>
      <c r="C24" s="17" t="n"/>
      <c r="D24" s="17" t="n"/>
      <c r="E24" s="17" t="n"/>
      <c r="F24" s="17" t="n"/>
      <c r="G24" s="17" t="n"/>
      <c r="H24" s="17" t="n"/>
      <c r="I24" s="17" t="n"/>
      <c r="J24" s="17" t="n"/>
      <c r="K24" s="17" t="n"/>
      <c r="L24" s="17" t="n"/>
      <c r="M24" s="17" t="n"/>
      <c r="N24" s="17" t="n"/>
      <c r="O24" s="18">
        <f>IF(AND(M24&lt;&gt;"",N24&lt;&gt;""),ROUND(M24/(M24+N24)*100,1)&amp;"%","")</f>
        <v/>
      </c>
      <c r="P24" s="17" t="n"/>
      <c r="Q24" s="17" t="n"/>
      <c r="R24" s="17" t="n"/>
      <c r="S24" s="17" t="n"/>
      <c r="T24" s="17" t="n"/>
      <c r="U24" s="17" t="n"/>
    </row>
    <row r="25">
      <c r="A25" s="17" t="n"/>
      <c r="B25" s="17" t="n"/>
      <c r="C25" s="17" t="n"/>
      <c r="D25" s="17" t="n"/>
      <c r="E25" s="17" t="n"/>
      <c r="F25" s="17" t="n"/>
      <c r="G25" s="17" t="n"/>
      <c r="H25" s="17" t="n"/>
      <c r="I25" s="17" t="n"/>
      <c r="J25" s="17" t="n"/>
      <c r="K25" s="17" t="n"/>
      <c r="L25" s="17" t="n"/>
      <c r="M25" s="17" t="n"/>
      <c r="N25" s="17" t="n"/>
      <c r="O25" s="18">
        <f>IF(AND(M25&lt;&gt;"",N25&lt;&gt;""),ROUND(M25/(M25+N25)*100,1)&amp;"%","")</f>
        <v/>
      </c>
      <c r="P25" s="17" t="n"/>
      <c r="Q25" s="17" t="n"/>
      <c r="R25" s="17" t="n"/>
      <c r="S25" s="17" t="n"/>
      <c r="T25" s="17" t="n"/>
      <c r="U25" s="17" t="n"/>
    </row>
    <row r="26">
      <c r="A26" s="17" t="n"/>
      <c r="B26" s="17" t="n"/>
      <c r="C26" s="17" t="n"/>
      <c r="D26" s="17" t="n"/>
      <c r="E26" s="17" t="n"/>
      <c r="F26" s="17" t="n"/>
      <c r="G26" s="17" t="n"/>
      <c r="H26" s="17" t="n"/>
      <c r="I26" s="17" t="n"/>
      <c r="J26" s="17" t="n"/>
      <c r="K26" s="17" t="n"/>
      <c r="L26" s="17" t="n"/>
      <c r="M26" s="17" t="n"/>
      <c r="N26" s="17" t="n"/>
      <c r="O26" s="18">
        <f>IF(AND(M26&lt;&gt;"",N26&lt;&gt;""),ROUND(M26/(M26+N26)*100,1)&amp;"%","")</f>
        <v/>
      </c>
      <c r="P26" s="17" t="n"/>
      <c r="Q26" s="17" t="n"/>
      <c r="R26" s="17" t="n"/>
      <c r="S26" s="17" t="n"/>
      <c r="T26" s="17" t="n"/>
      <c r="U26" s="17" t="n"/>
    </row>
    <row r="27">
      <c r="A27" s="17" t="n"/>
      <c r="B27" s="17" t="n"/>
      <c r="C27" s="17" t="n"/>
      <c r="D27" s="17" t="n"/>
      <c r="E27" s="17" t="n"/>
      <c r="F27" s="17" t="n"/>
      <c r="G27" s="17" t="n"/>
      <c r="H27" s="17" t="n"/>
      <c r="I27" s="17" t="n"/>
      <c r="J27" s="17" t="n"/>
      <c r="K27" s="17" t="n"/>
      <c r="L27" s="17" t="n"/>
      <c r="M27" s="17" t="n"/>
      <c r="N27" s="17" t="n"/>
      <c r="O27" s="18">
        <f>IF(AND(M27&lt;&gt;"",N27&lt;&gt;""),ROUND(M27/(M27+N27)*100,1)&amp;"%","")</f>
        <v/>
      </c>
      <c r="P27" s="17" t="n"/>
      <c r="Q27" s="17" t="n"/>
      <c r="R27" s="17" t="n"/>
      <c r="S27" s="17" t="n"/>
      <c r="T27" s="17" t="n"/>
      <c r="U27" s="17" t="n"/>
    </row>
    <row r="28">
      <c r="A28" s="17" t="n"/>
      <c r="B28" s="17" t="n"/>
      <c r="C28" s="17" t="n"/>
      <c r="D28" s="17" t="n"/>
      <c r="E28" s="17" t="n"/>
      <c r="F28" s="17" t="n"/>
      <c r="G28" s="17" t="n"/>
      <c r="H28" s="17" t="n"/>
      <c r="I28" s="17" t="n"/>
      <c r="J28" s="17" t="n"/>
      <c r="K28" s="17" t="n"/>
      <c r="L28" s="17" t="n"/>
      <c r="M28" s="17" t="n"/>
      <c r="N28" s="17" t="n"/>
      <c r="O28" s="18">
        <f>IF(AND(M28&lt;&gt;"",N28&lt;&gt;""),ROUND(M28/(M28+N28)*100,1)&amp;"%","")</f>
        <v/>
      </c>
      <c r="P28" s="17" t="n"/>
      <c r="Q28" s="17" t="n"/>
      <c r="R28" s="17" t="n"/>
      <c r="S28" s="17" t="n"/>
      <c r="T28" s="17" t="n"/>
      <c r="U28" s="17" t="n"/>
    </row>
    <row r="29">
      <c r="A29" s="17" t="n"/>
      <c r="B29" s="17" t="n"/>
      <c r="C29" s="17" t="n"/>
      <c r="D29" s="17" t="n"/>
      <c r="E29" s="17" t="n"/>
      <c r="F29" s="17" t="n"/>
      <c r="G29" s="17" t="n"/>
      <c r="H29" s="17" t="n"/>
      <c r="I29" s="17" t="n"/>
      <c r="J29" s="17" t="n"/>
      <c r="K29" s="17" t="n"/>
      <c r="L29" s="17" t="n"/>
      <c r="M29" s="17" t="n"/>
      <c r="N29" s="17" t="n"/>
      <c r="O29" s="18">
        <f>IF(AND(M29&lt;&gt;"",N29&lt;&gt;""),ROUND(M29/(M29+N29)*100,1)&amp;"%","")</f>
        <v/>
      </c>
      <c r="P29" s="17" t="n"/>
      <c r="Q29" s="17" t="n"/>
      <c r="R29" s="17" t="n"/>
      <c r="S29" s="17" t="n"/>
      <c r="T29" s="17" t="n"/>
      <c r="U29" s="17" t="n"/>
    </row>
    <row r="30">
      <c r="A30" s="17" t="n"/>
      <c r="B30" s="17" t="n"/>
      <c r="C30" s="17" t="n"/>
      <c r="D30" s="17" t="n"/>
      <c r="E30" s="17" t="n"/>
      <c r="F30" s="17" t="n"/>
      <c r="G30" s="17" t="n"/>
      <c r="H30" s="17" t="n"/>
      <c r="I30" s="17" t="n"/>
      <c r="J30" s="17" t="n"/>
      <c r="K30" s="17" t="n"/>
      <c r="L30" s="17" t="n"/>
      <c r="M30" s="17" t="n"/>
      <c r="N30" s="17" t="n"/>
      <c r="O30" s="18">
        <f>IF(AND(M30&lt;&gt;"",N30&lt;&gt;""),ROUND(M30/(M30+N30)*100,1)&amp;"%","")</f>
        <v/>
      </c>
      <c r="P30" s="17" t="n"/>
      <c r="Q30" s="17" t="n"/>
      <c r="R30" s="17" t="n"/>
      <c r="S30" s="17" t="n"/>
      <c r="T30" s="17" t="n"/>
      <c r="U30" s="17" t="n"/>
    </row>
    <row r="31">
      <c r="A31" s="17" t="n"/>
      <c r="B31" s="17" t="n"/>
      <c r="C31" s="17" t="n"/>
      <c r="D31" s="17" t="n"/>
      <c r="E31" s="17" t="n"/>
      <c r="F31" s="17" t="n"/>
      <c r="G31" s="17" t="n"/>
      <c r="H31" s="17" t="n"/>
      <c r="I31" s="17" t="n"/>
      <c r="J31" s="17" t="n"/>
      <c r="K31" s="17" t="n"/>
      <c r="L31" s="17" t="n"/>
      <c r="M31" s="17" t="n"/>
      <c r="N31" s="17" t="n"/>
      <c r="O31" s="18">
        <f>IF(AND(M31&lt;&gt;"",N31&lt;&gt;""),ROUND(M31/(M31+N31)*100,1)&amp;"%","")</f>
        <v/>
      </c>
      <c r="P31" s="17" t="n"/>
      <c r="Q31" s="17" t="n"/>
      <c r="R31" s="17" t="n"/>
      <c r="S31" s="17" t="n"/>
      <c r="T31" s="17" t="n"/>
      <c r="U31" s="17" t="n"/>
    </row>
    <row r="32">
      <c r="A32" s="17" t="n"/>
      <c r="B32" s="17" t="n"/>
      <c r="C32" s="17" t="n"/>
      <c r="D32" s="17" t="n"/>
      <c r="E32" s="17" t="n"/>
      <c r="F32" s="17" t="n"/>
      <c r="G32" s="17" t="n"/>
      <c r="H32" s="17" t="n"/>
      <c r="I32" s="17" t="n"/>
      <c r="J32" s="17" t="n"/>
      <c r="K32" s="17" t="n"/>
      <c r="L32" s="17" t="n"/>
      <c r="M32" s="17" t="n"/>
      <c r="N32" s="17" t="n"/>
      <c r="O32" s="18">
        <f>IF(AND(M32&lt;&gt;"",N32&lt;&gt;""),ROUND(M32/(M32+N32)*100,1)&amp;"%","")</f>
        <v/>
      </c>
      <c r="P32" s="17" t="n"/>
      <c r="Q32" s="17" t="n"/>
      <c r="R32" s="17" t="n"/>
      <c r="S32" s="17" t="n"/>
      <c r="T32" s="17" t="n"/>
      <c r="U32" s="17" t="n"/>
    </row>
    <row r="33">
      <c r="A33" s="17" t="n"/>
      <c r="B33" s="17" t="n"/>
      <c r="C33" s="17" t="n"/>
      <c r="D33" s="17" t="n"/>
      <c r="E33" s="17" t="n"/>
      <c r="F33" s="17" t="n"/>
      <c r="G33" s="17" t="n"/>
      <c r="H33" s="17" t="n"/>
      <c r="I33" s="17" t="n"/>
      <c r="J33" s="17" t="n"/>
      <c r="K33" s="17" t="n"/>
      <c r="L33" s="17" t="n"/>
      <c r="M33" s="17" t="n"/>
      <c r="N33" s="17" t="n"/>
      <c r="O33" s="18">
        <f>IF(AND(M33&lt;&gt;"",N33&lt;&gt;""),ROUND(M33/(M33+N33)*100,1)&amp;"%","")</f>
        <v/>
      </c>
      <c r="P33" s="17" t="n"/>
      <c r="Q33" s="17" t="n"/>
      <c r="R33" s="17" t="n"/>
      <c r="S33" s="17" t="n"/>
      <c r="T33" s="17" t="n"/>
      <c r="U33" s="17" t="n"/>
    </row>
    <row r="34">
      <c r="A34" s="17" t="n"/>
      <c r="B34" s="17" t="n"/>
      <c r="C34" s="17" t="n"/>
      <c r="D34" s="17" t="n"/>
      <c r="E34" s="17" t="n"/>
      <c r="F34" s="17" t="n"/>
      <c r="G34" s="17" t="n"/>
      <c r="H34" s="17" t="n"/>
      <c r="I34" s="17" t="n"/>
      <c r="J34" s="17" t="n"/>
      <c r="K34" s="17" t="n"/>
      <c r="L34" s="17" t="n"/>
      <c r="M34" s="17" t="n"/>
      <c r="N34" s="17" t="n"/>
      <c r="O34" s="18">
        <f>IF(AND(M34&lt;&gt;"",N34&lt;&gt;""),ROUND(M34/(M34+N34)*100,1)&amp;"%","")</f>
        <v/>
      </c>
      <c r="P34" s="17" t="n"/>
      <c r="Q34" s="17" t="n"/>
      <c r="R34" s="17" t="n"/>
      <c r="S34" s="17" t="n"/>
      <c r="T34" s="17" t="n"/>
      <c r="U34" s="17" t="n"/>
    </row>
    <row r="35">
      <c r="A35" s="17" t="n"/>
      <c r="B35" s="17" t="n"/>
      <c r="C35" s="17" t="n"/>
      <c r="D35" s="17" t="n"/>
      <c r="E35" s="17" t="n"/>
      <c r="F35" s="17" t="n"/>
      <c r="G35" s="17" t="n"/>
      <c r="H35" s="17" t="n"/>
      <c r="I35" s="17" t="n"/>
      <c r="J35" s="17" t="n"/>
      <c r="K35" s="17" t="n"/>
      <c r="L35" s="17" t="n"/>
      <c r="M35" s="17" t="n"/>
      <c r="N35" s="17" t="n"/>
      <c r="O35" s="18">
        <f>IF(AND(M35&lt;&gt;"",N35&lt;&gt;""),ROUND(M35/(M35+N35)*100,1)&amp;"%","")</f>
        <v/>
      </c>
      <c r="P35" s="17" t="n"/>
      <c r="Q35" s="17" t="n"/>
      <c r="R35" s="17" t="n"/>
      <c r="S35" s="17" t="n"/>
      <c r="T35" s="17" t="n"/>
      <c r="U35" s="17" t="n"/>
    </row>
    <row r="36">
      <c r="A36" s="17" t="n"/>
      <c r="B36" s="17" t="n"/>
      <c r="C36" s="17" t="n"/>
      <c r="D36" s="17" t="n"/>
      <c r="E36" s="17" t="n"/>
      <c r="F36" s="17" t="n"/>
      <c r="G36" s="17" t="n"/>
      <c r="H36" s="17" t="n"/>
      <c r="I36" s="17" t="n"/>
      <c r="J36" s="17" t="n"/>
      <c r="K36" s="17" t="n"/>
      <c r="L36" s="17" t="n"/>
      <c r="M36" s="17" t="n"/>
      <c r="N36" s="17" t="n"/>
      <c r="O36" s="18">
        <f>IF(AND(M36&lt;&gt;"",N36&lt;&gt;""),ROUND(M36/(M36+N36)*100,1)&amp;"%","")</f>
        <v/>
      </c>
      <c r="P36" s="17" t="n"/>
      <c r="Q36" s="17" t="n"/>
      <c r="R36" s="17" t="n"/>
      <c r="S36" s="17" t="n"/>
      <c r="T36" s="17" t="n"/>
      <c r="U36" s="17" t="n"/>
    </row>
    <row r="37">
      <c r="A37" s="17" t="n"/>
      <c r="B37" s="17" t="n"/>
      <c r="C37" s="17" t="n"/>
      <c r="D37" s="17" t="n"/>
      <c r="E37" s="17" t="n"/>
      <c r="F37" s="17" t="n"/>
      <c r="G37" s="17" t="n"/>
      <c r="H37" s="17" t="n"/>
      <c r="I37" s="17" t="n"/>
      <c r="J37" s="17" t="n"/>
      <c r="K37" s="17" t="n"/>
      <c r="L37" s="17" t="n"/>
      <c r="M37" s="17" t="n"/>
      <c r="N37" s="17" t="n"/>
      <c r="O37" s="18">
        <f>IF(AND(M37&lt;&gt;"",N37&lt;&gt;""),ROUND(M37/(M37+N37)*100,1)&amp;"%","")</f>
        <v/>
      </c>
      <c r="P37" s="17" t="n"/>
      <c r="Q37" s="17" t="n"/>
      <c r="R37" s="17" t="n"/>
      <c r="S37" s="17" t="n"/>
      <c r="T37" s="17" t="n"/>
      <c r="U37" s="17" t="n"/>
    </row>
    <row r="38">
      <c r="A38" s="17" t="n"/>
      <c r="B38" s="17" t="n"/>
      <c r="C38" s="17" t="n"/>
      <c r="D38" s="17" t="n"/>
      <c r="E38" s="17" t="n"/>
      <c r="F38" s="17" t="n"/>
      <c r="G38" s="17" t="n"/>
      <c r="H38" s="17" t="n"/>
      <c r="I38" s="17" t="n"/>
      <c r="J38" s="17" t="n"/>
      <c r="K38" s="17" t="n"/>
      <c r="L38" s="17" t="n"/>
      <c r="M38" s="17" t="n"/>
      <c r="N38" s="17" t="n"/>
      <c r="O38" s="18">
        <f>IF(AND(M38&lt;&gt;"",N38&lt;&gt;""),ROUND(M38/(M38+N38)*100,1)&amp;"%","")</f>
        <v/>
      </c>
      <c r="P38" s="17" t="n"/>
      <c r="Q38" s="17" t="n"/>
      <c r="R38" s="17" t="n"/>
      <c r="S38" s="17" t="n"/>
      <c r="T38" s="17" t="n"/>
      <c r="U38" s="17" t="n"/>
    </row>
    <row r="39">
      <c r="A39" s="17" t="n"/>
      <c r="B39" s="17" t="n"/>
      <c r="C39" s="17" t="n"/>
      <c r="D39" s="17" t="n"/>
      <c r="E39" s="17" t="n"/>
      <c r="F39" s="17" t="n"/>
      <c r="G39" s="17" t="n"/>
      <c r="H39" s="17" t="n"/>
      <c r="I39" s="17" t="n"/>
      <c r="J39" s="17" t="n"/>
      <c r="K39" s="17" t="n"/>
      <c r="L39" s="17" t="n"/>
      <c r="M39" s="17" t="n"/>
      <c r="N39" s="17" t="n"/>
      <c r="O39" s="18">
        <f>IF(AND(M39&lt;&gt;"",N39&lt;&gt;""),ROUND(M39/(M39+N39)*100,1)&amp;"%","")</f>
        <v/>
      </c>
      <c r="P39" s="17" t="n"/>
      <c r="Q39" s="17" t="n"/>
      <c r="R39" s="17" t="n"/>
      <c r="S39" s="17" t="n"/>
      <c r="T39" s="17" t="n"/>
      <c r="U39" s="17" t="n"/>
    </row>
    <row r="40">
      <c r="A40" s="17" t="n"/>
      <c r="B40" s="17" t="n"/>
      <c r="C40" s="17" t="n"/>
      <c r="D40" s="17" t="n"/>
      <c r="E40" s="17" t="n"/>
      <c r="F40" s="17" t="n"/>
      <c r="G40" s="17" t="n"/>
      <c r="H40" s="17" t="n"/>
      <c r="I40" s="17" t="n"/>
      <c r="J40" s="17" t="n"/>
      <c r="K40" s="17" t="n"/>
      <c r="L40" s="17" t="n"/>
      <c r="M40" s="17" t="n"/>
      <c r="N40" s="17" t="n"/>
      <c r="O40" s="18">
        <f>IF(AND(M40&lt;&gt;"",N40&lt;&gt;""),ROUND(M40/(M40+N40)*100,1)&amp;"%","")</f>
        <v/>
      </c>
      <c r="P40" s="17" t="n"/>
      <c r="Q40" s="17" t="n"/>
      <c r="R40" s="17" t="n"/>
      <c r="S40" s="17" t="n"/>
      <c r="T40" s="17" t="n"/>
      <c r="U40" s="17" t="n"/>
    </row>
    <row r="41">
      <c r="A41" s="17" t="n"/>
      <c r="B41" s="17" t="n"/>
      <c r="C41" s="17" t="n"/>
      <c r="D41" s="17" t="n"/>
      <c r="E41" s="17" t="n"/>
      <c r="F41" s="17" t="n"/>
      <c r="G41" s="17" t="n"/>
      <c r="H41" s="17" t="n"/>
      <c r="I41" s="17" t="n"/>
      <c r="J41" s="17" t="n"/>
      <c r="K41" s="17" t="n"/>
      <c r="L41" s="17" t="n"/>
      <c r="M41" s="17" t="n"/>
      <c r="N41" s="17" t="n"/>
      <c r="O41" s="18">
        <f>IF(AND(M41&lt;&gt;"",N41&lt;&gt;""),ROUND(M41/(M41+N41)*100,1)&amp;"%","")</f>
        <v/>
      </c>
      <c r="P41" s="17" t="n"/>
      <c r="Q41" s="17" t="n"/>
      <c r="R41" s="17" t="n"/>
      <c r="S41" s="17" t="n"/>
      <c r="T41" s="17" t="n"/>
      <c r="U41" s="17" t="n"/>
    </row>
    <row r="42">
      <c r="A42" s="17" t="n"/>
      <c r="B42" s="17" t="n"/>
      <c r="C42" s="17" t="n"/>
      <c r="D42" s="17" t="n"/>
      <c r="E42" s="17" t="n"/>
      <c r="F42" s="17" t="n"/>
      <c r="G42" s="17" t="n"/>
      <c r="H42" s="17" t="n"/>
      <c r="I42" s="17" t="n"/>
      <c r="J42" s="17" t="n"/>
      <c r="K42" s="17" t="n"/>
      <c r="L42" s="17" t="n"/>
      <c r="M42" s="17" t="n"/>
      <c r="N42" s="17" t="n"/>
      <c r="O42" s="18">
        <f>IF(AND(M42&lt;&gt;"",N42&lt;&gt;""),ROUND(M42/(M42+N42)*100,1)&amp;"%","")</f>
        <v/>
      </c>
      <c r="P42" s="17" t="n"/>
      <c r="Q42" s="17" t="n"/>
      <c r="R42" s="17" t="n"/>
      <c r="S42" s="17" t="n"/>
      <c r="T42" s="17" t="n"/>
      <c r="U42" s="17" t="n"/>
    </row>
    <row r="43">
      <c r="A43" s="17" t="n"/>
      <c r="B43" s="17" t="n"/>
      <c r="C43" s="17" t="n"/>
      <c r="D43" s="17" t="n"/>
      <c r="E43" s="17" t="n"/>
      <c r="F43" s="17" t="n"/>
      <c r="G43" s="17" t="n"/>
      <c r="H43" s="17" t="n"/>
      <c r="I43" s="17" t="n"/>
      <c r="J43" s="17" t="n"/>
      <c r="K43" s="17" t="n"/>
      <c r="L43" s="17" t="n"/>
      <c r="M43" s="17" t="n"/>
      <c r="N43" s="17" t="n"/>
      <c r="O43" s="18">
        <f>IF(AND(M43&lt;&gt;"",N43&lt;&gt;""),ROUND(M43/(M43+N43)*100,1)&amp;"%","")</f>
        <v/>
      </c>
      <c r="P43" s="17" t="n"/>
      <c r="Q43" s="17" t="n"/>
      <c r="R43" s="17" t="n"/>
      <c r="S43" s="17" t="n"/>
      <c r="T43" s="17" t="n"/>
      <c r="U43" s="17" t="n"/>
    </row>
    <row r="44">
      <c r="A44" s="17" t="n"/>
      <c r="B44" s="17" t="n"/>
      <c r="C44" s="17" t="n"/>
      <c r="D44" s="17" t="n"/>
      <c r="E44" s="17" t="n"/>
      <c r="F44" s="17" t="n"/>
      <c r="G44" s="17" t="n"/>
      <c r="H44" s="17" t="n"/>
      <c r="I44" s="17" t="n"/>
      <c r="J44" s="17" t="n"/>
      <c r="K44" s="17" t="n"/>
      <c r="L44" s="17" t="n"/>
      <c r="M44" s="17" t="n"/>
      <c r="N44" s="17" t="n"/>
      <c r="O44" s="18">
        <f>IF(AND(M44&lt;&gt;"",N44&lt;&gt;""),ROUND(M44/(M44+N44)*100,1)&amp;"%","")</f>
        <v/>
      </c>
      <c r="P44" s="17" t="n"/>
      <c r="Q44" s="17" t="n"/>
      <c r="R44" s="17" t="n"/>
      <c r="S44" s="17" t="n"/>
      <c r="T44" s="17" t="n"/>
      <c r="U44" s="17" t="n"/>
    </row>
    <row r="45">
      <c r="A45" s="17" t="n"/>
      <c r="B45" s="17" t="n"/>
      <c r="C45" s="17" t="n"/>
      <c r="D45" s="17" t="n"/>
      <c r="E45" s="17" t="n"/>
      <c r="F45" s="17" t="n"/>
      <c r="G45" s="17" t="n"/>
      <c r="H45" s="17" t="n"/>
      <c r="I45" s="17" t="n"/>
      <c r="J45" s="17" t="n"/>
      <c r="K45" s="17" t="n"/>
      <c r="L45" s="17" t="n"/>
      <c r="M45" s="17" t="n"/>
      <c r="N45" s="17" t="n"/>
      <c r="O45" s="18">
        <f>IF(AND(M45&lt;&gt;"",N45&lt;&gt;""),ROUND(M45/(M45+N45)*100,1)&amp;"%","")</f>
        <v/>
      </c>
      <c r="P45" s="17" t="n"/>
      <c r="Q45" s="17" t="n"/>
      <c r="R45" s="17" t="n"/>
      <c r="S45" s="17" t="n"/>
      <c r="T45" s="17" t="n"/>
      <c r="U45" s="17" t="n"/>
    </row>
    <row r="46">
      <c r="A46" s="17" t="n"/>
      <c r="B46" s="17" t="n"/>
      <c r="C46" s="17" t="n"/>
      <c r="D46" s="17" t="n"/>
      <c r="E46" s="17" t="n"/>
      <c r="F46" s="17" t="n"/>
      <c r="G46" s="17" t="n"/>
      <c r="H46" s="17" t="n"/>
      <c r="I46" s="17" t="n"/>
      <c r="J46" s="17" t="n"/>
      <c r="K46" s="17" t="n"/>
      <c r="L46" s="17" t="n"/>
      <c r="M46" s="17" t="n"/>
      <c r="N46" s="17" t="n"/>
      <c r="O46" s="18">
        <f>IF(AND(M46&lt;&gt;"",N46&lt;&gt;""),ROUND(M46/(M46+N46)*100,1)&amp;"%","")</f>
        <v/>
      </c>
      <c r="P46" s="17" t="n"/>
      <c r="Q46" s="17" t="n"/>
      <c r="R46" s="17" t="n"/>
      <c r="S46" s="17" t="n"/>
      <c r="T46" s="17" t="n"/>
      <c r="U46" s="17" t="n"/>
    </row>
    <row r="47">
      <c r="A47" s="17" t="n"/>
      <c r="B47" s="17" t="n"/>
      <c r="C47" s="17" t="n"/>
      <c r="D47" s="17" t="n"/>
      <c r="E47" s="17" t="n"/>
      <c r="F47" s="17" t="n"/>
      <c r="G47" s="17" t="n"/>
      <c r="H47" s="17" t="n"/>
      <c r="I47" s="17" t="n"/>
      <c r="J47" s="17" t="n"/>
      <c r="K47" s="17" t="n"/>
      <c r="L47" s="17" t="n"/>
      <c r="M47" s="17" t="n"/>
      <c r="N47" s="17" t="n"/>
      <c r="O47" s="18">
        <f>IF(AND(M47&lt;&gt;"",N47&lt;&gt;""),ROUND(M47/(M47+N47)*100,1)&amp;"%","")</f>
        <v/>
      </c>
      <c r="P47" s="17" t="n"/>
      <c r="Q47" s="17" t="n"/>
      <c r="R47" s="17" t="n"/>
      <c r="S47" s="17" t="n"/>
      <c r="T47" s="17" t="n"/>
      <c r="U47" s="17" t="n"/>
    </row>
    <row r="48">
      <c r="A48" s="17" t="n"/>
      <c r="B48" s="17" t="n"/>
      <c r="C48" s="17" t="n"/>
      <c r="D48" s="17" t="n"/>
      <c r="E48" s="17" t="n"/>
      <c r="F48" s="17" t="n"/>
      <c r="G48" s="17" t="n"/>
      <c r="H48" s="17" t="n"/>
      <c r="I48" s="17" t="n"/>
      <c r="J48" s="17" t="n"/>
      <c r="K48" s="17" t="n"/>
      <c r="L48" s="17" t="n"/>
      <c r="M48" s="17" t="n"/>
      <c r="N48" s="17" t="n"/>
      <c r="O48" s="18">
        <f>IF(AND(M48&lt;&gt;"",N48&lt;&gt;""),ROUND(M48/(M48+N48)*100,1)&amp;"%","")</f>
        <v/>
      </c>
      <c r="P48" s="17" t="n"/>
      <c r="Q48" s="17" t="n"/>
      <c r="R48" s="17" t="n"/>
      <c r="S48" s="17" t="n"/>
      <c r="T48" s="17" t="n"/>
      <c r="U48" s="17" t="n"/>
    </row>
    <row r="49">
      <c r="A49" s="17" t="n"/>
      <c r="B49" s="17" t="n"/>
      <c r="C49" s="17" t="n"/>
      <c r="D49" s="17" t="n"/>
      <c r="E49" s="17" t="n"/>
      <c r="F49" s="17" t="n"/>
      <c r="G49" s="17" t="n"/>
      <c r="H49" s="17" t="n"/>
      <c r="I49" s="17" t="n"/>
      <c r="J49" s="17" t="n"/>
      <c r="K49" s="17" t="n"/>
      <c r="L49" s="17" t="n"/>
      <c r="M49" s="17" t="n"/>
      <c r="N49" s="17" t="n"/>
      <c r="O49" s="18">
        <f>IF(AND(M49&lt;&gt;"",N49&lt;&gt;""),ROUND(M49/(M49+N49)*100,1)&amp;"%","")</f>
        <v/>
      </c>
      <c r="P49" s="17" t="n"/>
      <c r="Q49" s="17" t="n"/>
      <c r="R49" s="17" t="n"/>
      <c r="S49" s="17" t="n"/>
      <c r="T49" s="17" t="n"/>
      <c r="U49" s="17" t="n"/>
    </row>
    <row r="50">
      <c r="A50" s="17" t="n"/>
      <c r="B50" s="17" t="n"/>
      <c r="C50" s="17" t="n"/>
      <c r="D50" s="17" t="n"/>
      <c r="E50" s="17" t="n"/>
      <c r="F50" s="17" t="n"/>
      <c r="G50" s="17" t="n"/>
      <c r="H50" s="17" t="n"/>
      <c r="I50" s="17" t="n"/>
      <c r="J50" s="17" t="n"/>
      <c r="K50" s="17" t="n"/>
      <c r="L50" s="17" t="n"/>
      <c r="M50" s="17" t="n"/>
      <c r="N50" s="17" t="n"/>
      <c r="O50" s="18">
        <f>IF(AND(M50&lt;&gt;"",N50&lt;&gt;""),ROUND(M50/(M50+N50)*100,1)&amp;"%","")</f>
        <v/>
      </c>
      <c r="P50" s="17" t="n"/>
      <c r="Q50" s="17" t="n"/>
      <c r="R50" s="17" t="n"/>
      <c r="S50" s="17" t="n"/>
      <c r="T50" s="17" t="n"/>
      <c r="U50" s="17" t="n"/>
    </row>
    <row r="51">
      <c r="A51" s="17" t="n"/>
      <c r="B51" s="17" t="n"/>
      <c r="C51" s="17" t="n"/>
      <c r="D51" s="17" t="n"/>
      <c r="E51" s="17" t="n"/>
      <c r="F51" s="17" t="n"/>
      <c r="G51" s="17" t="n"/>
      <c r="H51" s="17" t="n"/>
      <c r="I51" s="17" t="n"/>
      <c r="J51" s="17" t="n"/>
      <c r="K51" s="17" t="n"/>
      <c r="L51" s="17" t="n"/>
      <c r="M51" s="17" t="n"/>
      <c r="N51" s="17" t="n"/>
      <c r="O51" s="18">
        <f>IF(AND(M51&lt;&gt;"",N51&lt;&gt;""),ROUND(M51/(M51+N51)*100,1)&amp;"%","")</f>
        <v/>
      </c>
      <c r="P51" s="17" t="n"/>
      <c r="Q51" s="17" t="n"/>
      <c r="R51" s="17" t="n"/>
      <c r="S51" s="17" t="n"/>
      <c r="T51" s="17" t="n"/>
      <c r="U51" s="17" t="n"/>
    </row>
    <row r="52">
      <c r="A52" s="17" t="n"/>
      <c r="B52" s="17" t="n"/>
      <c r="C52" s="17" t="n"/>
      <c r="D52" s="17" t="n"/>
      <c r="E52" s="17" t="n"/>
      <c r="F52" s="17" t="n"/>
      <c r="G52" s="17" t="n"/>
      <c r="H52" s="17" t="n"/>
      <c r="I52" s="17" t="n"/>
      <c r="J52" s="17" t="n"/>
      <c r="K52" s="17" t="n"/>
      <c r="L52" s="17" t="n"/>
      <c r="M52" s="17" t="n"/>
      <c r="N52" s="17" t="n"/>
      <c r="O52" s="18">
        <f>IF(AND(M52&lt;&gt;"",N52&lt;&gt;""),ROUND(M52/(M52+N52)*100,1)&amp;"%","")</f>
        <v/>
      </c>
      <c r="P52" s="17" t="n"/>
      <c r="Q52" s="17" t="n"/>
      <c r="R52" s="17" t="n"/>
      <c r="S52" s="17" t="n"/>
      <c r="T52" s="17" t="n"/>
      <c r="U52" s="17" t="n"/>
    </row>
    <row r="53">
      <c r="A53" s="17" t="n"/>
      <c r="B53" s="17" t="n"/>
      <c r="C53" s="17" t="n"/>
      <c r="D53" s="17" t="n"/>
      <c r="E53" s="17" t="n"/>
      <c r="F53" s="17" t="n"/>
      <c r="G53" s="17" t="n"/>
      <c r="H53" s="17" t="n"/>
      <c r="I53" s="17" t="n"/>
      <c r="J53" s="17" t="n"/>
      <c r="K53" s="17" t="n"/>
      <c r="L53" s="17" t="n"/>
      <c r="M53" s="17" t="n"/>
      <c r="N53" s="17" t="n"/>
      <c r="O53" s="18">
        <f>IF(AND(M53&lt;&gt;"",N53&lt;&gt;""),ROUND(M53/(M53+N53)*100,1)&amp;"%","")</f>
        <v/>
      </c>
      <c r="P53" s="17" t="n"/>
      <c r="Q53" s="17" t="n"/>
      <c r="R53" s="17" t="n"/>
      <c r="S53" s="17" t="n"/>
      <c r="T53" s="17" t="n"/>
      <c r="U53" s="17" t="n"/>
    </row>
    <row r="54">
      <c r="A54" s="17" t="n"/>
      <c r="B54" s="17" t="n"/>
      <c r="C54" s="17" t="n"/>
      <c r="D54" s="17" t="n"/>
      <c r="E54" s="17" t="n"/>
      <c r="F54" s="17" t="n"/>
      <c r="G54" s="17" t="n"/>
      <c r="H54" s="17" t="n"/>
      <c r="I54" s="17" t="n"/>
      <c r="J54" s="17" t="n"/>
      <c r="K54" s="17" t="n"/>
      <c r="L54" s="17" t="n"/>
      <c r="M54" s="17" t="n"/>
      <c r="N54" s="17" t="n"/>
      <c r="O54" s="18">
        <f>IF(AND(M54&lt;&gt;"",N54&lt;&gt;""),ROUND(M54/(M54+N54)*100,1)&amp;"%","")</f>
        <v/>
      </c>
      <c r="P54" s="17" t="n"/>
      <c r="Q54" s="17" t="n"/>
      <c r="R54" s="17" t="n"/>
      <c r="S54" s="17" t="n"/>
      <c r="T54" s="17" t="n"/>
      <c r="U54" s="17" t="n"/>
    </row>
    <row r="55">
      <c r="A55" s="17" t="n"/>
      <c r="B55" s="17" t="n"/>
      <c r="C55" s="17" t="n"/>
      <c r="D55" s="17" t="n"/>
      <c r="E55" s="17" t="n"/>
      <c r="F55" s="17" t="n"/>
      <c r="G55" s="17" t="n"/>
      <c r="H55" s="17" t="n"/>
      <c r="I55" s="17" t="n"/>
      <c r="J55" s="17" t="n"/>
      <c r="K55" s="17" t="n"/>
      <c r="L55" s="17" t="n"/>
      <c r="M55" s="17" t="n"/>
      <c r="N55" s="17" t="n"/>
      <c r="O55" s="18">
        <f>IF(AND(M55&lt;&gt;"",N55&lt;&gt;""),ROUND(M55/(M55+N55)*100,1)&amp;"%","")</f>
        <v/>
      </c>
      <c r="P55" s="17" t="n"/>
      <c r="Q55" s="17" t="n"/>
      <c r="R55" s="17" t="n"/>
      <c r="S55" s="17" t="n"/>
      <c r="T55" s="17" t="n"/>
      <c r="U55" s="17" t="n"/>
    </row>
    <row r="56">
      <c r="A56" s="17" t="n"/>
      <c r="B56" s="17" t="n"/>
      <c r="C56" s="17" t="n"/>
      <c r="D56" s="17" t="n"/>
      <c r="E56" s="17" t="n"/>
      <c r="F56" s="17" t="n"/>
      <c r="G56" s="17" t="n"/>
      <c r="H56" s="17" t="n"/>
      <c r="I56" s="17" t="n"/>
      <c r="J56" s="17" t="n"/>
      <c r="K56" s="17" t="n"/>
      <c r="L56" s="17" t="n"/>
      <c r="M56" s="17" t="n"/>
      <c r="N56" s="17" t="n"/>
      <c r="O56" s="18">
        <f>IF(AND(M56&lt;&gt;"",N56&lt;&gt;""),ROUND(M56/(M56+N56)*100,1)&amp;"%","")</f>
        <v/>
      </c>
      <c r="P56" s="17" t="n"/>
      <c r="Q56" s="17" t="n"/>
      <c r="R56" s="17" t="n"/>
      <c r="S56" s="17" t="n"/>
      <c r="T56" s="17" t="n"/>
      <c r="U56" s="17" t="n"/>
    </row>
    <row r="57">
      <c r="A57" s="17" t="n"/>
      <c r="B57" s="17" t="n"/>
      <c r="C57" s="17" t="n"/>
      <c r="D57" s="17" t="n"/>
      <c r="E57" s="17" t="n"/>
      <c r="F57" s="17" t="n"/>
      <c r="G57" s="17" t="n"/>
      <c r="H57" s="17" t="n"/>
      <c r="I57" s="17" t="n"/>
      <c r="J57" s="17" t="n"/>
      <c r="K57" s="17" t="n"/>
      <c r="L57" s="17" t="n"/>
      <c r="M57" s="17" t="n"/>
      <c r="N57" s="17" t="n"/>
      <c r="O57" s="18">
        <f>IF(AND(M57&lt;&gt;"",N57&lt;&gt;""),ROUND(M57/(M57+N57)*100,1)&amp;"%","")</f>
        <v/>
      </c>
      <c r="P57" s="17" t="n"/>
      <c r="Q57" s="17" t="n"/>
      <c r="R57" s="17" t="n"/>
      <c r="S57" s="17" t="n"/>
      <c r="T57" s="17" t="n"/>
      <c r="U57" s="17" t="n"/>
    </row>
    <row r="60">
      <c r="A60" s="3" t="inlineStr">
        <is>
          <t>DETECTION RULE STATISTICS</t>
        </is>
      </c>
    </row>
    <row r="61">
      <c r="A61" s="7" t="inlineStr">
        <is>
          <t>Metric</t>
        </is>
      </c>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row>
    <row r="62" ht="25" customHeight="1">
      <c r="A62" s="6" t="inlineStr">
        <is>
          <t>Total Active Rules</t>
        </is>
      </c>
    </row>
    <row r="63" ht="25" customHeight="1">
      <c r="A63" s="6" t="inlineStr">
        <is>
          <t>Rules by Severity: Critical</t>
        </is>
      </c>
    </row>
    <row r="64" ht="25" customHeight="1">
      <c r="A64" s="6" t="inlineStr">
        <is>
          <t>Rules by Severity: High</t>
        </is>
      </c>
    </row>
    <row r="65" ht="25" customHeight="1">
      <c r="A65" s="6" t="inlineStr">
        <is>
          <t>Rules Triggered (30d)</t>
        </is>
      </c>
    </row>
    <row r="66" ht="25" customHeight="1">
      <c r="A66" s="6" t="inlineStr">
        <is>
          <t>Average Precision %</t>
        </is>
      </c>
    </row>
    <row r="67" ht="25" customHeight="1">
      <c r="A67" s="6" t="inlineStr">
        <is>
          <t>Rules Needing Tuning</t>
        </is>
      </c>
    </row>
    <row r="68" ht="25" customHeight="1">
      <c r="A68" s="6" t="inlineStr">
        <is>
          <t>Rules Not Triggered (30d)</t>
        </is>
      </c>
    </row>
    <row r="69" ht="25" customHeight="1">
      <c r="A69" s="6" t="inlineStr">
        <is>
          <t>Rules Updated (30d)</t>
        </is>
      </c>
    </row>
    <row r="72">
      <c r="A72" s="3" t="inlineStr">
        <is>
          <t>DETECTION RULE COMPLIANCE CHECKLIST</t>
        </is>
      </c>
    </row>
    <row r="73">
      <c r="A73" s="7" t="inlineStr">
        <is>
          <t>#</t>
        </is>
      </c>
      <c r="B73" s="7" t="inlineStr">
        <is>
          <t>Requirement</t>
        </is>
      </c>
      <c r="C73" s="11" t="n"/>
      <c r="D73" s="11" t="n"/>
      <c r="E73" s="11" t="n"/>
      <c r="F73" s="11" t="n"/>
      <c r="G73" s="11" t="n"/>
      <c r="H73" s="11" t="n"/>
      <c r="I73" s="11" t="n"/>
      <c r="J73" s="11" t="n"/>
      <c r="K73" s="11" t="n"/>
      <c r="L73" s="11" t="n"/>
      <c r="M73" s="11" t="n"/>
      <c r="N73" s="11" t="n"/>
      <c r="O73" s="11" t="n"/>
      <c r="P73" s="11" t="n"/>
      <c r="Q73" s="11" t="n"/>
      <c r="R73" s="11" t="n"/>
      <c r="S73" s="11" t="n"/>
      <c r="T73" s="12" t="n"/>
    </row>
    <row r="74" ht="25" customHeight="1">
      <c r="A74" t="n">
        <v>1</v>
      </c>
      <c r="B74" s="6" t="inlineStr">
        <is>
          <t>Detection rules cover critical threats (malware, ransomware, data exfil)</t>
        </is>
      </c>
      <c r="U74" s="5" t="n"/>
    </row>
    <row r="75" ht="25" customHeight="1">
      <c r="A75" t="n">
        <v>2</v>
      </c>
      <c r="B75" s="6" t="inlineStr">
        <is>
          <t>Rules aligned with MITRE ATT&amp;CK framework</t>
        </is>
      </c>
      <c r="U75" s="5" t="n"/>
    </row>
    <row r="76" ht="25" customHeight="1">
      <c r="A76" t="n">
        <v>3</v>
      </c>
      <c r="B76" s="6" t="inlineStr">
        <is>
          <t>Rules cover all MITRE tactics (Initial Access → Impact)</t>
        </is>
      </c>
      <c r="U76" s="5" t="n"/>
    </row>
    <row r="77" ht="25" customHeight="1">
      <c r="A77" t="n">
        <v>4</v>
      </c>
      <c r="B77" s="6" t="inlineStr">
        <is>
          <t>Rule logic documented and peer-reviewed</t>
        </is>
      </c>
      <c r="U77" s="5" t="n"/>
    </row>
    <row r="78" ht="25" customHeight="1">
      <c r="A78" t="n">
        <v>5</v>
      </c>
      <c r="B78" s="6" t="inlineStr">
        <is>
          <t>Rules tested before production deployment</t>
        </is>
      </c>
      <c r="U78" s="5" t="n"/>
    </row>
    <row r="79" ht="25" customHeight="1">
      <c r="A79" t="n">
        <v>6</v>
      </c>
      <c r="B79" s="6" t="inlineStr">
        <is>
          <t>Rule performance tracked (TP, FP, precision)</t>
        </is>
      </c>
      <c r="U79" s="5" t="n"/>
    </row>
    <row r="80" ht="25" customHeight="1">
      <c r="A80" t="n">
        <v>7</v>
      </c>
      <c r="B80" s="6" t="inlineStr">
        <is>
          <t>False positive rate acceptable (&lt;30%)</t>
        </is>
      </c>
      <c r="U80" s="5" t="n"/>
    </row>
    <row r="81" ht="25" customHeight="1">
      <c r="A81" t="n">
        <v>8</v>
      </c>
      <c r="B81" s="6" t="inlineStr">
        <is>
          <t>Rules tuned regularly (quarterly minimum)</t>
        </is>
      </c>
      <c r="U81" s="5" t="n"/>
    </row>
    <row r="82" ht="25" customHeight="1">
      <c r="A82" t="n">
        <v>9</v>
      </c>
      <c r="B82" s="6" t="inlineStr">
        <is>
          <t>Inactive rules (not triggered 90+ days) reviewed</t>
        </is>
      </c>
      <c r="U82" s="5" t="n"/>
    </row>
    <row r="83" ht="25" customHeight="1">
      <c r="A83" t="n">
        <v>10</v>
      </c>
      <c r="B83" s="6" t="inlineStr">
        <is>
          <t>Critical/High severity rules prioritized</t>
        </is>
      </c>
      <c r="U83" s="5" t="n"/>
    </row>
    <row r="84" ht="25" customHeight="1">
      <c r="A84" t="n">
        <v>11</v>
      </c>
      <c r="B84" s="6" t="inlineStr">
        <is>
          <t>Rule ownership assigned</t>
        </is>
      </c>
      <c r="U84" s="5" t="n"/>
    </row>
    <row r="85" ht="25" customHeight="1">
      <c r="A85" t="n">
        <v>12</v>
      </c>
      <c r="B85" s="6" t="inlineStr">
        <is>
          <t>Rules version controlled</t>
        </is>
      </c>
      <c r="U85" s="5" t="n"/>
    </row>
    <row r="86" ht="25" customHeight="1">
      <c r="A86" t="n">
        <v>13</v>
      </c>
      <c r="B86" s="6" t="inlineStr">
        <is>
          <t>Rule changes require approval (change management)</t>
        </is>
      </c>
      <c r="U86" s="5" t="n"/>
    </row>
    <row r="87" ht="25" customHeight="1">
      <c r="A87" t="n">
        <v>14</v>
      </c>
      <c r="B87" s="6" t="inlineStr">
        <is>
          <t>Rules tested against attack simulations</t>
        </is>
      </c>
      <c r="U87" s="5" t="n"/>
    </row>
    <row r="88" ht="25" customHeight="1">
      <c r="A88" t="n">
        <v>15</v>
      </c>
      <c r="B88" s="6" t="inlineStr">
        <is>
          <t>Rule effectiveness reviewed quarterly</t>
        </is>
      </c>
      <c r="U88" s="5" t="n"/>
    </row>
    <row r="89">
      <c r="A89" s="19" t="inlineStr">
        <is>
          <t>SCORE:</t>
        </is>
      </c>
      <c r="B89" s="20">
        <f>COUNTIF(U74:U88,"✅ Compliant")&amp;" / 15"</f>
        <v/>
      </c>
    </row>
  </sheetData>
  <mergeCells count="58">
    <mergeCell ref="A67:H67"/>
    <mergeCell ref="C63:Q63"/>
    <mergeCell ref="C65:Q65"/>
    <mergeCell ref="B87:T87"/>
    <mergeCell ref="B65:N65"/>
    <mergeCell ref="B84:T84"/>
    <mergeCell ref="A64:H64"/>
    <mergeCell ref="B74:T74"/>
    <mergeCell ref="B68:N68"/>
    <mergeCell ref="B64:N64"/>
    <mergeCell ref="B83:T83"/>
    <mergeCell ref="D61:U61"/>
    <mergeCell ref="B89:E89"/>
    <mergeCell ref="A61:H61"/>
    <mergeCell ref="A3:U3"/>
    <mergeCell ref="D66:U66"/>
    <mergeCell ref="B80:T80"/>
    <mergeCell ref="B76:T76"/>
    <mergeCell ref="B63:N63"/>
    <mergeCell ref="A2:U2"/>
    <mergeCell ref="A69:H69"/>
    <mergeCell ref="A65:H65"/>
    <mergeCell ref="B85:T85"/>
    <mergeCell ref="B79:T79"/>
    <mergeCell ref="D62:U62"/>
    <mergeCell ref="B62:N62"/>
    <mergeCell ref="C61:Q61"/>
    <mergeCell ref="A66:H66"/>
    <mergeCell ref="B75:T75"/>
    <mergeCell ref="B66:N66"/>
    <mergeCell ref="C67:Q67"/>
    <mergeCell ref="D68:U68"/>
    <mergeCell ref="B81:T81"/>
    <mergeCell ref="D64:U64"/>
    <mergeCell ref="A72:U72"/>
    <mergeCell ref="D67:U67"/>
    <mergeCell ref="C66:Q66"/>
    <mergeCell ref="C69:Q69"/>
    <mergeCell ref="B77:T77"/>
    <mergeCell ref="B86:T86"/>
    <mergeCell ref="D69:U69"/>
    <mergeCell ref="C68:Q68"/>
    <mergeCell ref="A62:H62"/>
    <mergeCell ref="B67:N67"/>
    <mergeCell ref="B61:N61"/>
    <mergeCell ref="C62:Q62"/>
    <mergeCell ref="D63:U63"/>
    <mergeCell ref="A60:U60"/>
    <mergeCell ref="A63:H63"/>
    <mergeCell ref="B88:T88"/>
    <mergeCell ref="A68:H68"/>
    <mergeCell ref="B82:T82"/>
    <mergeCell ref="B73:T73"/>
    <mergeCell ref="B69:N69"/>
    <mergeCell ref="A1:U1"/>
    <mergeCell ref="D65:U65"/>
    <mergeCell ref="C64:Q64"/>
    <mergeCell ref="B78:T78"/>
  </mergeCells>
  <dataValidations count="7">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"Correlation,Anomaly Detection,Threshold,Signature,Machine Learning,Threat Intel,Other"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"Critical,High,Medium,Low,Informational"</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 Active,⚠️ Testing,❌ Disabled,🔄 Tuning"</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"Reconnaissance,Resource Development,Initial Access,Execution,Persistence,Privilege Escalation,Defense Evasion,Credential Access,Discovery,Lateral Movement,Collection,Command and Control,Exfiltration,Impact"</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"Optimized,Needs Tuning,Under Review,New Rule"</formula1>
    </dataValidation>
    <dataValidation sqref="S8 S9 S10 S11 S12 S13 S14 S15 S16 S17 S18 S19 S20 S21 S22 S23 S24 S25 S26 S27 S28 S29 S30 S31 S32 S33 S34 S35 S36 S37 S38 S39 S40 S41 S42 S43 S44 S45 S46 S47 S48 S49 S50 S51 S52 S53 S54 S55 S56 S57 U74 U75 U76 U77 U78 U79 U80 U81 U82 U83 U84 U85 U86 U87 U88"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cols>
    <col width="25" customWidth="1" min="1" max="1"/>
    <col width="20" customWidth="1" min="2" max="2"/>
    <col width="35" customWidth="1" min="3" max="3"/>
    <col width="45" customWidth="1" min="4" max="4"/>
    <col width="15" customWidth="1" min="5" max="5"/>
    <col width="30" customWidth="1" min="6" max="6"/>
    <col width="12" customWidth="1" min="7" max="7"/>
    <col width="30" customWidth="1" min="8" max="8"/>
    <col width="18" customWidth="1" min="9" max="9"/>
    <col width="18" customWidth="1" min="10" max="10"/>
    <col width="16" customWidth="1" min="11" max="11"/>
    <col width="15" customWidth="1" min="12" max="12"/>
    <col width="35" customWidth="1" min="13" max="13"/>
    <col width="15" customWidth="1" min="14" max="14"/>
  </cols>
  <sheetData>
    <row r="1" ht="35" customHeight="1">
      <c r="A1" s="1" t="inlineStr">
        <is>
          <t>3. MITRE ATT&amp;CK FRAMEWORK COVERAGE</t>
        </is>
      </c>
    </row>
    <row r="2">
      <c r="A2" s="2" t="inlineStr">
        <is>
          <t>Policy Reference: ISMS-POL-A.8.16-S2.2.3 - Detection coverage mapped to threat framework</t>
        </is>
      </c>
    </row>
    <row r="3" ht="30" customHeight="1">
      <c r="A3" s="15" t="inlineStr">
        <is>
          <t>Are detection capabilities mapped to MITRE ATT&amp;CK framework with adequate coverage across all tactics?</t>
        </is>
      </c>
    </row>
    <row r="6">
      <c r="A6" s="7" t="inlineStr">
        <is>
          <t>MITRE Tactic</t>
        </is>
      </c>
      <c r="B6" s="7" t="inlineStr">
        <is>
          <t>MITRE Technique ID</t>
        </is>
      </c>
      <c r="C6" s="7" t="inlineStr">
        <is>
          <t>Technique Name</t>
        </is>
      </c>
      <c r="D6" s="7" t="inlineStr">
        <is>
          <t>Technique Description</t>
        </is>
      </c>
      <c r="E6" s="7" t="inlineStr">
        <is>
          <t>Risk Level</t>
        </is>
      </c>
      <c r="F6" s="7" t="inlineStr">
        <is>
          <t>Detection Rules</t>
        </is>
      </c>
      <c r="G6" s="7" t="inlineStr">
        <is>
          <t>Rule Count</t>
        </is>
      </c>
      <c r="H6" s="7" t="inlineStr">
        <is>
          <t>Data Sources Available</t>
        </is>
      </c>
      <c r="I6" s="7" t="inlineStr">
        <is>
          <t>Coverage Status</t>
        </is>
      </c>
      <c r="J6" s="7" t="inlineStr">
        <is>
          <t>Detection Quality</t>
        </is>
      </c>
      <c r="K6" s="7" t="inlineStr">
        <is>
          <t>Last Tested</t>
        </is>
      </c>
      <c r="L6" s="7" t="inlineStr">
        <is>
          <t>Test Result</t>
        </is>
      </c>
      <c r="M6" s="7" t="inlineStr">
        <is>
          <t>Notes/Gaps</t>
        </is>
      </c>
      <c r="N6" s="7" t="inlineStr">
        <is>
          <t>Priority</t>
        </is>
      </c>
    </row>
    <row r="7">
      <c r="A7" s="16" t="inlineStr">
        <is>
          <t>Initial Access</t>
        </is>
      </c>
      <c r="B7" s="16" t="inlineStr">
        <is>
          <t>T1078</t>
        </is>
      </c>
      <c r="C7" s="16" t="inlineStr">
        <is>
          <t>Valid Accounts</t>
        </is>
      </c>
      <c r="D7" s="16" t="inlineStr">
        <is>
          <t>Adversaries use valid accounts</t>
        </is>
      </c>
      <c r="E7" s="16" t="inlineStr">
        <is>
          <t>High</t>
        </is>
      </c>
      <c r="F7" s="16" t="inlineStr">
        <is>
          <t>RULE-105, RULE-112</t>
        </is>
      </c>
      <c r="G7" s="16" t="inlineStr">
        <is>
          <t>2</t>
        </is>
      </c>
      <c r="H7" s="16" t="inlineStr">
        <is>
          <t>AD Logs, VPN Logs</t>
        </is>
      </c>
      <c r="I7" s="16" t="inlineStr">
        <is>
          <t>✅ Covered</t>
        </is>
      </c>
      <c r="J7" s="16" t="inlineStr">
        <is>
          <t>Good</t>
        </is>
      </c>
      <c r="K7" s="16" t="inlineStr">
        <is>
          <t>20.12.2024</t>
        </is>
      </c>
      <c r="L7" s="16" t="inlineStr">
        <is>
          <t>Pass</t>
        </is>
      </c>
      <c r="M7" s="16" t="inlineStr">
        <is>
          <t>Working well</t>
        </is>
      </c>
      <c r="N7" s="16" t="inlineStr">
        <is>
          <t>High</t>
        </is>
      </c>
    </row>
    <row r="8">
      <c r="A8" s="16" t="inlineStr">
        <is>
          <t>Execution</t>
        </is>
      </c>
      <c r="B8" s="16" t="inlineStr">
        <is>
          <t>T1059</t>
        </is>
      </c>
      <c r="C8" s="16" t="inlineStr">
        <is>
          <t>Command and Scripting Interpreter</t>
        </is>
      </c>
      <c r="D8" s="16" t="inlineStr">
        <is>
          <t>Execute commands via scripts</t>
        </is>
      </c>
      <c r="E8" s="16" t="inlineStr">
        <is>
          <t>High</t>
        </is>
      </c>
      <c r="F8" s="16" t="inlineStr">
        <is>
          <t>RULE-203, RULE-204</t>
        </is>
      </c>
      <c r="G8" s="16" t="inlineStr">
        <is>
          <t>2</t>
        </is>
      </c>
      <c r="H8" s="16" t="inlineStr">
        <is>
          <t>Process Logs, EDR</t>
        </is>
      </c>
      <c r="I8" s="16" t="inlineStr">
        <is>
          <t>✅ Covered</t>
        </is>
      </c>
      <c r="J8" s="16" t="inlineStr">
        <is>
          <t>Excellent</t>
        </is>
      </c>
      <c r="K8" s="16" t="inlineStr">
        <is>
          <t>18.12.2024</t>
        </is>
      </c>
      <c r="L8" s="16" t="inlineStr">
        <is>
          <t>Pass</t>
        </is>
      </c>
      <c r="M8" s="16" t="inlineStr">
        <is>
          <t>None</t>
        </is>
      </c>
      <c r="N8" s="16" t="inlineStr">
        <is>
          <t>High</t>
        </is>
      </c>
    </row>
    <row r="9">
      <c r="A9" s="16" t="inlineStr">
        <is>
          <t>Persistence</t>
        </is>
      </c>
      <c r="B9" s="16" t="inlineStr">
        <is>
          <t>T1547</t>
        </is>
      </c>
      <c r="C9" s="16" t="inlineStr">
        <is>
          <t>Boot or Logon Autostart</t>
        </is>
      </c>
      <c r="D9" s="16" t="inlineStr">
        <is>
          <t>Persist via autostart</t>
        </is>
      </c>
      <c r="E9" s="16" t="inlineStr">
        <is>
          <t>Medium</t>
        </is>
      </c>
      <c r="F9" s="16" t="inlineStr">
        <is>
          <t>RULE-301</t>
        </is>
      </c>
      <c r="G9" s="16" t="inlineStr">
        <is>
          <t>1</t>
        </is>
      </c>
      <c r="H9" s="16" t="inlineStr">
        <is>
          <t>Registry, File System</t>
        </is>
      </c>
      <c r="I9" s="16" t="inlineStr">
        <is>
          <t>⚠️ Partial</t>
        </is>
      </c>
      <c r="J9" s="16" t="inlineStr">
        <is>
          <t>Fair</t>
        </is>
      </c>
      <c r="K9" s="16" t="inlineStr">
        <is>
          <t>10.12.2024</t>
        </is>
      </c>
      <c r="L9" s="16" t="inlineStr">
        <is>
          <t>Partial</t>
        </is>
      </c>
      <c r="M9" s="16" t="inlineStr">
        <is>
          <t>Needs more coverage</t>
        </is>
      </c>
      <c r="N9" s="16" t="inlineStr">
        <is>
          <t>Medium</t>
        </is>
      </c>
    </row>
    <row r="10">
      <c r="A10" s="17" t="n"/>
      <c r="B10" s="17" t="n"/>
      <c r="C10" s="17" t="n"/>
      <c r="D10" s="17" t="n"/>
      <c r="E10" s="17" t="n"/>
      <c r="F10" s="17" t="n"/>
      <c r="G10" s="18">
        <f>IF(F10&lt;&gt;"",LEN(F10)-LEN(SUBSTITUTE(F10,",",""))+1,0)</f>
        <v/>
      </c>
      <c r="H10" s="17" t="n"/>
      <c r="I10" s="17" t="n"/>
      <c r="J10" s="17" t="n"/>
      <c r="K10" s="17" t="n"/>
      <c r="L10" s="17" t="n"/>
      <c r="M10" s="17" t="n"/>
      <c r="N10" s="17" t="n"/>
    </row>
    <row r="11">
      <c r="A11" s="17" t="n"/>
      <c r="B11" s="17" t="n"/>
      <c r="C11" s="17" t="n"/>
      <c r="D11" s="17" t="n"/>
      <c r="E11" s="17" t="n"/>
      <c r="F11" s="17" t="n"/>
      <c r="G11" s="18">
        <f>IF(F11&lt;&gt;"",LEN(F11)-LEN(SUBSTITUTE(F11,",",""))+1,0)</f>
        <v/>
      </c>
      <c r="H11" s="17" t="n"/>
      <c r="I11" s="17" t="n"/>
      <c r="J11" s="17" t="n"/>
      <c r="K11" s="17" t="n"/>
      <c r="L11" s="17" t="n"/>
      <c r="M11" s="17" t="n"/>
      <c r="N11" s="17" t="n"/>
    </row>
    <row r="12">
      <c r="A12" s="17" t="n"/>
      <c r="B12" s="17" t="n"/>
      <c r="C12" s="17" t="n"/>
      <c r="D12" s="17" t="n"/>
      <c r="E12" s="17" t="n"/>
      <c r="F12" s="17" t="n"/>
      <c r="G12" s="18">
        <f>IF(F12&lt;&gt;"",LEN(F12)-LEN(SUBSTITUTE(F12,",",""))+1,0)</f>
        <v/>
      </c>
      <c r="H12" s="17" t="n"/>
      <c r="I12" s="17" t="n"/>
      <c r="J12" s="17" t="n"/>
      <c r="K12" s="17" t="n"/>
      <c r="L12" s="17" t="n"/>
      <c r="M12" s="17" t="n"/>
      <c r="N12" s="17" t="n"/>
    </row>
    <row r="13">
      <c r="A13" s="17" t="n"/>
      <c r="B13" s="17" t="n"/>
      <c r="C13" s="17" t="n"/>
      <c r="D13" s="17" t="n"/>
      <c r="E13" s="17" t="n"/>
      <c r="F13" s="17" t="n"/>
      <c r="G13" s="18">
        <f>IF(F13&lt;&gt;"",LEN(F13)-LEN(SUBSTITUTE(F13,",",""))+1,0)</f>
        <v/>
      </c>
      <c r="H13" s="17" t="n"/>
      <c r="I13" s="17" t="n"/>
      <c r="J13" s="17" t="n"/>
      <c r="K13" s="17" t="n"/>
      <c r="L13" s="17" t="n"/>
      <c r="M13" s="17" t="n"/>
      <c r="N13" s="17" t="n"/>
    </row>
    <row r="14">
      <c r="A14" s="17" t="n"/>
      <c r="B14" s="17" t="n"/>
      <c r="C14" s="17" t="n"/>
      <c r="D14" s="17" t="n"/>
      <c r="E14" s="17" t="n"/>
      <c r="F14" s="17" t="n"/>
      <c r="G14" s="18">
        <f>IF(F14&lt;&gt;"",LEN(F14)-LEN(SUBSTITUTE(F14,",",""))+1,0)</f>
        <v/>
      </c>
      <c r="H14" s="17" t="n"/>
      <c r="I14" s="17" t="n"/>
      <c r="J14" s="17" t="n"/>
      <c r="K14" s="17" t="n"/>
      <c r="L14" s="17" t="n"/>
      <c r="M14" s="17" t="n"/>
      <c r="N14" s="17" t="n"/>
    </row>
    <row r="15">
      <c r="A15" s="17" t="n"/>
      <c r="B15" s="17" t="n"/>
      <c r="C15" s="17" t="n"/>
      <c r="D15" s="17" t="n"/>
      <c r="E15" s="17" t="n"/>
      <c r="F15" s="17" t="n"/>
      <c r="G15" s="18">
        <f>IF(F15&lt;&gt;"",LEN(F15)-LEN(SUBSTITUTE(F15,",",""))+1,0)</f>
        <v/>
      </c>
      <c r="H15" s="17" t="n"/>
      <c r="I15" s="17" t="n"/>
      <c r="J15" s="17" t="n"/>
      <c r="K15" s="17" t="n"/>
      <c r="L15" s="17" t="n"/>
      <c r="M15" s="17" t="n"/>
      <c r="N15" s="17" t="n"/>
    </row>
    <row r="16">
      <c r="A16" s="17" t="n"/>
      <c r="B16" s="17" t="n"/>
      <c r="C16" s="17" t="n"/>
      <c r="D16" s="17" t="n"/>
      <c r="E16" s="17" t="n"/>
      <c r="F16" s="17" t="n"/>
      <c r="G16" s="18">
        <f>IF(F16&lt;&gt;"",LEN(F16)-LEN(SUBSTITUTE(F16,",",""))+1,0)</f>
        <v/>
      </c>
      <c r="H16" s="17" t="n"/>
      <c r="I16" s="17" t="n"/>
      <c r="J16" s="17" t="n"/>
      <c r="K16" s="17" t="n"/>
      <c r="L16" s="17" t="n"/>
      <c r="M16" s="17" t="n"/>
      <c r="N16" s="17" t="n"/>
    </row>
    <row r="17">
      <c r="A17" s="17" t="n"/>
      <c r="B17" s="17" t="n"/>
      <c r="C17" s="17" t="n"/>
      <c r="D17" s="17" t="n"/>
      <c r="E17" s="17" t="n"/>
      <c r="F17" s="17" t="n"/>
      <c r="G17" s="18">
        <f>IF(F17&lt;&gt;"",LEN(F17)-LEN(SUBSTITUTE(F17,",",""))+1,0)</f>
        <v/>
      </c>
      <c r="H17" s="17" t="n"/>
      <c r="I17" s="17" t="n"/>
      <c r="J17" s="17" t="n"/>
      <c r="K17" s="17" t="n"/>
      <c r="L17" s="17" t="n"/>
      <c r="M17" s="17" t="n"/>
      <c r="N17" s="17" t="n"/>
    </row>
    <row r="18">
      <c r="A18" s="17" t="n"/>
      <c r="B18" s="17" t="n"/>
      <c r="C18" s="17" t="n"/>
      <c r="D18" s="17" t="n"/>
      <c r="E18" s="17" t="n"/>
      <c r="F18" s="17" t="n"/>
      <c r="G18" s="18">
        <f>IF(F18&lt;&gt;"",LEN(F18)-LEN(SUBSTITUTE(F18,",",""))+1,0)</f>
        <v/>
      </c>
      <c r="H18" s="17" t="n"/>
      <c r="I18" s="17" t="n"/>
      <c r="J18" s="17" t="n"/>
      <c r="K18" s="17" t="n"/>
      <c r="L18" s="17" t="n"/>
      <c r="M18" s="17" t="n"/>
      <c r="N18" s="17" t="n"/>
    </row>
    <row r="19">
      <c r="A19" s="17" t="n"/>
      <c r="B19" s="17" t="n"/>
      <c r="C19" s="17" t="n"/>
      <c r="D19" s="17" t="n"/>
      <c r="E19" s="17" t="n"/>
      <c r="F19" s="17" t="n"/>
      <c r="G19" s="18">
        <f>IF(F19&lt;&gt;"",LEN(F19)-LEN(SUBSTITUTE(F19,",",""))+1,0)</f>
        <v/>
      </c>
      <c r="H19" s="17" t="n"/>
      <c r="I19" s="17" t="n"/>
      <c r="J19" s="17" t="n"/>
      <c r="K19" s="17" t="n"/>
      <c r="L19" s="17" t="n"/>
      <c r="M19" s="17" t="n"/>
      <c r="N19" s="17" t="n"/>
    </row>
    <row r="20">
      <c r="A20" s="17" t="n"/>
      <c r="B20" s="17" t="n"/>
      <c r="C20" s="17" t="n"/>
      <c r="D20" s="17" t="n"/>
      <c r="E20" s="17" t="n"/>
      <c r="F20" s="17" t="n"/>
      <c r="G20" s="18">
        <f>IF(F20&lt;&gt;"",LEN(F20)-LEN(SUBSTITUTE(F20,",",""))+1,0)</f>
        <v/>
      </c>
      <c r="H20" s="17" t="n"/>
      <c r="I20" s="17" t="n"/>
      <c r="J20" s="17" t="n"/>
      <c r="K20" s="17" t="n"/>
      <c r="L20" s="17" t="n"/>
      <c r="M20" s="17" t="n"/>
      <c r="N20" s="17" t="n"/>
    </row>
    <row r="21">
      <c r="A21" s="17" t="n"/>
      <c r="B21" s="17" t="n"/>
      <c r="C21" s="17" t="n"/>
      <c r="D21" s="17" t="n"/>
      <c r="E21" s="17" t="n"/>
      <c r="F21" s="17" t="n"/>
      <c r="G21" s="18">
        <f>IF(F21&lt;&gt;"",LEN(F21)-LEN(SUBSTITUTE(F21,",",""))+1,0)</f>
        <v/>
      </c>
      <c r="H21" s="17" t="n"/>
      <c r="I21" s="17" t="n"/>
      <c r="J21" s="17" t="n"/>
      <c r="K21" s="17" t="n"/>
      <c r="L21" s="17" t="n"/>
      <c r="M21" s="17" t="n"/>
      <c r="N21" s="17" t="n"/>
    </row>
    <row r="22">
      <c r="A22" s="17" t="n"/>
      <c r="B22" s="17" t="n"/>
      <c r="C22" s="17" t="n"/>
      <c r="D22" s="17" t="n"/>
      <c r="E22" s="17" t="n"/>
      <c r="F22" s="17" t="n"/>
      <c r="G22" s="18">
        <f>IF(F22&lt;&gt;"",LEN(F22)-LEN(SUBSTITUTE(F22,",",""))+1,0)</f>
        <v/>
      </c>
      <c r="H22" s="17" t="n"/>
      <c r="I22" s="17" t="n"/>
      <c r="J22" s="17" t="n"/>
      <c r="K22" s="17" t="n"/>
      <c r="L22" s="17" t="n"/>
      <c r="M22" s="17" t="n"/>
      <c r="N22" s="17" t="n"/>
    </row>
    <row r="23">
      <c r="A23" s="17" t="n"/>
      <c r="B23" s="17" t="n"/>
      <c r="C23" s="17" t="n"/>
      <c r="D23" s="17" t="n"/>
      <c r="E23" s="17" t="n"/>
      <c r="F23" s="17" t="n"/>
      <c r="G23" s="18">
        <f>IF(F23&lt;&gt;"",LEN(F23)-LEN(SUBSTITUTE(F23,",",""))+1,0)</f>
        <v/>
      </c>
      <c r="H23" s="17" t="n"/>
      <c r="I23" s="17" t="n"/>
      <c r="J23" s="17" t="n"/>
      <c r="K23" s="17" t="n"/>
      <c r="L23" s="17" t="n"/>
      <c r="M23" s="17" t="n"/>
      <c r="N23" s="17" t="n"/>
    </row>
    <row r="24">
      <c r="A24" s="17" t="n"/>
      <c r="B24" s="17" t="n"/>
      <c r="C24" s="17" t="n"/>
      <c r="D24" s="17" t="n"/>
      <c r="E24" s="17" t="n"/>
      <c r="F24" s="17" t="n"/>
      <c r="G24" s="18">
        <f>IF(F24&lt;&gt;"",LEN(F24)-LEN(SUBSTITUTE(F24,",",""))+1,0)</f>
        <v/>
      </c>
      <c r="H24" s="17" t="n"/>
      <c r="I24" s="17" t="n"/>
      <c r="J24" s="17" t="n"/>
      <c r="K24" s="17" t="n"/>
      <c r="L24" s="17" t="n"/>
      <c r="M24" s="17" t="n"/>
      <c r="N24" s="17" t="n"/>
    </row>
    <row r="25">
      <c r="A25" s="17" t="n"/>
      <c r="B25" s="17" t="n"/>
      <c r="C25" s="17" t="n"/>
      <c r="D25" s="17" t="n"/>
      <c r="E25" s="17" t="n"/>
      <c r="F25" s="17" t="n"/>
      <c r="G25" s="18">
        <f>IF(F25&lt;&gt;"",LEN(F25)-LEN(SUBSTITUTE(F25,",",""))+1,0)</f>
        <v/>
      </c>
      <c r="H25" s="17" t="n"/>
      <c r="I25" s="17" t="n"/>
      <c r="J25" s="17" t="n"/>
      <c r="K25" s="17" t="n"/>
      <c r="L25" s="17" t="n"/>
      <c r="M25" s="17" t="n"/>
      <c r="N25" s="17" t="n"/>
    </row>
    <row r="26">
      <c r="A26" s="17" t="n"/>
      <c r="B26" s="17" t="n"/>
      <c r="C26" s="17" t="n"/>
      <c r="D26" s="17" t="n"/>
      <c r="E26" s="17" t="n"/>
      <c r="F26" s="17" t="n"/>
      <c r="G26" s="18">
        <f>IF(F26&lt;&gt;"",LEN(F26)-LEN(SUBSTITUTE(F26,",",""))+1,0)</f>
        <v/>
      </c>
      <c r="H26" s="17" t="n"/>
      <c r="I26" s="17" t="n"/>
      <c r="J26" s="17" t="n"/>
      <c r="K26" s="17" t="n"/>
      <c r="L26" s="17" t="n"/>
      <c r="M26" s="17" t="n"/>
      <c r="N26" s="17" t="n"/>
    </row>
    <row r="27">
      <c r="A27" s="17" t="n"/>
      <c r="B27" s="17" t="n"/>
      <c r="C27" s="17" t="n"/>
      <c r="D27" s="17" t="n"/>
      <c r="E27" s="17" t="n"/>
      <c r="F27" s="17" t="n"/>
      <c r="G27" s="18">
        <f>IF(F27&lt;&gt;"",LEN(F27)-LEN(SUBSTITUTE(F27,",",""))+1,0)</f>
        <v/>
      </c>
      <c r="H27" s="17" t="n"/>
      <c r="I27" s="17" t="n"/>
      <c r="J27" s="17" t="n"/>
      <c r="K27" s="17" t="n"/>
      <c r="L27" s="17" t="n"/>
      <c r="M27" s="17" t="n"/>
      <c r="N27" s="17" t="n"/>
    </row>
    <row r="28">
      <c r="A28" s="17" t="n"/>
      <c r="B28" s="17" t="n"/>
      <c r="C28" s="17" t="n"/>
      <c r="D28" s="17" t="n"/>
      <c r="E28" s="17" t="n"/>
      <c r="F28" s="17" t="n"/>
      <c r="G28" s="18">
        <f>IF(F28&lt;&gt;"",LEN(F28)-LEN(SUBSTITUTE(F28,",",""))+1,0)</f>
        <v/>
      </c>
      <c r="H28" s="17" t="n"/>
      <c r="I28" s="17" t="n"/>
      <c r="J28" s="17" t="n"/>
      <c r="K28" s="17" t="n"/>
      <c r="L28" s="17" t="n"/>
      <c r="M28" s="17" t="n"/>
      <c r="N28" s="17" t="n"/>
    </row>
    <row r="29">
      <c r="A29" s="17" t="n"/>
      <c r="B29" s="17" t="n"/>
      <c r="C29" s="17" t="n"/>
      <c r="D29" s="17" t="n"/>
      <c r="E29" s="17" t="n"/>
      <c r="F29" s="17" t="n"/>
      <c r="G29" s="18">
        <f>IF(F29&lt;&gt;"",LEN(F29)-LEN(SUBSTITUTE(F29,",",""))+1,0)</f>
        <v/>
      </c>
      <c r="H29" s="17" t="n"/>
      <c r="I29" s="17" t="n"/>
      <c r="J29" s="17" t="n"/>
      <c r="K29" s="17" t="n"/>
      <c r="L29" s="17" t="n"/>
      <c r="M29" s="17" t="n"/>
      <c r="N29" s="17" t="n"/>
    </row>
    <row r="30">
      <c r="A30" s="17" t="n"/>
      <c r="B30" s="17" t="n"/>
      <c r="C30" s="17" t="n"/>
      <c r="D30" s="17" t="n"/>
      <c r="E30" s="17" t="n"/>
      <c r="F30" s="17" t="n"/>
      <c r="G30" s="18">
        <f>IF(F30&lt;&gt;"",LEN(F30)-LEN(SUBSTITUTE(F30,",",""))+1,0)</f>
        <v/>
      </c>
      <c r="H30" s="17" t="n"/>
      <c r="I30" s="17" t="n"/>
      <c r="J30" s="17" t="n"/>
      <c r="K30" s="17" t="n"/>
      <c r="L30" s="17" t="n"/>
      <c r="M30" s="17" t="n"/>
      <c r="N30" s="17" t="n"/>
    </row>
    <row r="31">
      <c r="A31" s="17" t="n"/>
      <c r="B31" s="17" t="n"/>
      <c r="C31" s="17" t="n"/>
      <c r="D31" s="17" t="n"/>
      <c r="E31" s="17" t="n"/>
      <c r="F31" s="17" t="n"/>
      <c r="G31" s="18">
        <f>IF(F31&lt;&gt;"",LEN(F31)-LEN(SUBSTITUTE(F31,",",""))+1,0)</f>
        <v/>
      </c>
      <c r="H31" s="17" t="n"/>
      <c r="I31" s="17" t="n"/>
      <c r="J31" s="17" t="n"/>
      <c r="K31" s="17" t="n"/>
      <c r="L31" s="17" t="n"/>
      <c r="M31" s="17" t="n"/>
      <c r="N31" s="17" t="n"/>
    </row>
    <row r="32">
      <c r="A32" s="17" t="n"/>
      <c r="B32" s="17" t="n"/>
      <c r="C32" s="17" t="n"/>
      <c r="D32" s="17" t="n"/>
      <c r="E32" s="17" t="n"/>
      <c r="F32" s="17" t="n"/>
      <c r="G32" s="18">
        <f>IF(F32&lt;&gt;"",LEN(F32)-LEN(SUBSTITUTE(F32,",",""))+1,0)</f>
        <v/>
      </c>
      <c r="H32" s="17" t="n"/>
      <c r="I32" s="17" t="n"/>
      <c r="J32" s="17" t="n"/>
      <c r="K32" s="17" t="n"/>
      <c r="L32" s="17" t="n"/>
      <c r="M32" s="17" t="n"/>
      <c r="N32" s="17" t="n"/>
    </row>
    <row r="33">
      <c r="A33" s="17" t="n"/>
      <c r="B33" s="17" t="n"/>
      <c r="C33" s="17" t="n"/>
      <c r="D33" s="17" t="n"/>
      <c r="E33" s="17" t="n"/>
      <c r="F33" s="17" t="n"/>
      <c r="G33" s="18">
        <f>IF(F33&lt;&gt;"",LEN(F33)-LEN(SUBSTITUTE(F33,",",""))+1,0)</f>
        <v/>
      </c>
      <c r="H33" s="17" t="n"/>
      <c r="I33" s="17" t="n"/>
      <c r="J33" s="17" t="n"/>
      <c r="K33" s="17" t="n"/>
      <c r="L33" s="17" t="n"/>
      <c r="M33" s="17" t="n"/>
      <c r="N33" s="17" t="n"/>
    </row>
    <row r="34">
      <c r="A34" s="17" t="n"/>
      <c r="B34" s="17" t="n"/>
      <c r="C34" s="17" t="n"/>
      <c r="D34" s="17" t="n"/>
      <c r="E34" s="17" t="n"/>
      <c r="F34" s="17" t="n"/>
      <c r="G34" s="18">
        <f>IF(F34&lt;&gt;"",LEN(F34)-LEN(SUBSTITUTE(F34,",",""))+1,0)</f>
        <v/>
      </c>
      <c r="H34" s="17" t="n"/>
      <c r="I34" s="17" t="n"/>
      <c r="J34" s="17" t="n"/>
      <c r="K34" s="17" t="n"/>
      <c r="L34" s="17" t="n"/>
      <c r="M34" s="17" t="n"/>
      <c r="N34" s="17" t="n"/>
    </row>
    <row r="35">
      <c r="A35" s="17" t="n"/>
      <c r="B35" s="17" t="n"/>
      <c r="C35" s="17" t="n"/>
      <c r="D35" s="17" t="n"/>
      <c r="E35" s="17" t="n"/>
      <c r="F35" s="17" t="n"/>
      <c r="G35" s="18">
        <f>IF(F35&lt;&gt;"",LEN(F35)-LEN(SUBSTITUTE(F35,",",""))+1,0)</f>
        <v/>
      </c>
      <c r="H35" s="17" t="n"/>
      <c r="I35" s="17" t="n"/>
      <c r="J35" s="17" t="n"/>
      <c r="K35" s="17" t="n"/>
      <c r="L35" s="17" t="n"/>
      <c r="M35" s="17" t="n"/>
      <c r="N35" s="17" t="n"/>
    </row>
    <row r="36">
      <c r="A36" s="17" t="n"/>
      <c r="B36" s="17" t="n"/>
      <c r="C36" s="17" t="n"/>
      <c r="D36" s="17" t="n"/>
      <c r="E36" s="17" t="n"/>
      <c r="F36" s="17" t="n"/>
      <c r="G36" s="18">
        <f>IF(F36&lt;&gt;"",LEN(F36)-LEN(SUBSTITUTE(F36,",",""))+1,0)</f>
        <v/>
      </c>
      <c r="H36" s="17" t="n"/>
      <c r="I36" s="17" t="n"/>
      <c r="J36" s="17" t="n"/>
      <c r="K36" s="17" t="n"/>
      <c r="L36" s="17" t="n"/>
      <c r="M36" s="17" t="n"/>
      <c r="N36" s="17" t="n"/>
    </row>
    <row r="37">
      <c r="A37" s="17" t="n"/>
      <c r="B37" s="17" t="n"/>
      <c r="C37" s="17" t="n"/>
      <c r="D37" s="17" t="n"/>
      <c r="E37" s="17" t="n"/>
      <c r="F37" s="17" t="n"/>
      <c r="G37" s="18">
        <f>IF(F37&lt;&gt;"",LEN(F37)-LEN(SUBSTITUTE(F37,",",""))+1,0)</f>
        <v/>
      </c>
      <c r="H37" s="17" t="n"/>
      <c r="I37" s="17" t="n"/>
      <c r="J37" s="17" t="n"/>
      <c r="K37" s="17" t="n"/>
      <c r="L37" s="17" t="n"/>
      <c r="M37" s="17" t="n"/>
      <c r="N37" s="17" t="n"/>
    </row>
    <row r="38">
      <c r="A38" s="17" t="n"/>
      <c r="B38" s="17" t="n"/>
      <c r="C38" s="17" t="n"/>
      <c r="D38" s="17" t="n"/>
      <c r="E38" s="17" t="n"/>
      <c r="F38" s="17" t="n"/>
      <c r="G38" s="18">
        <f>IF(F38&lt;&gt;"",LEN(F38)-LEN(SUBSTITUTE(F38,",",""))+1,0)</f>
        <v/>
      </c>
      <c r="H38" s="17" t="n"/>
      <c r="I38" s="17" t="n"/>
      <c r="J38" s="17" t="n"/>
      <c r="K38" s="17" t="n"/>
      <c r="L38" s="17" t="n"/>
      <c r="M38" s="17" t="n"/>
      <c r="N38" s="17" t="n"/>
    </row>
    <row r="39">
      <c r="A39" s="17" t="n"/>
      <c r="B39" s="17" t="n"/>
      <c r="C39" s="17" t="n"/>
      <c r="D39" s="17" t="n"/>
      <c r="E39" s="17" t="n"/>
      <c r="F39" s="17" t="n"/>
      <c r="G39" s="18">
        <f>IF(F39&lt;&gt;"",LEN(F39)-LEN(SUBSTITUTE(F39,",",""))+1,0)</f>
        <v/>
      </c>
      <c r="H39" s="17" t="n"/>
      <c r="I39" s="17" t="n"/>
      <c r="J39" s="17" t="n"/>
      <c r="K39" s="17" t="n"/>
      <c r="L39" s="17" t="n"/>
      <c r="M39" s="17" t="n"/>
      <c r="N39" s="17" t="n"/>
    </row>
    <row r="40">
      <c r="A40" s="17" t="n"/>
      <c r="B40" s="17" t="n"/>
      <c r="C40" s="17" t="n"/>
      <c r="D40" s="17" t="n"/>
      <c r="E40" s="17" t="n"/>
      <c r="F40" s="17" t="n"/>
      <c r="G40" s="18">
        <f>IF(F40&lt;&gt;"",LEN(F40)-LEN(SUBSTITUTE(F40,",",""))+1,0)</f>
        <v/>
      </c>
      <c r="H40" s="17" t="n"/>
      <c r="I40" s="17" t="n"/>
      <c r="J40" s="17" t="n"/>
      <c r="K40" s="17" t="n"/>
      <c r="L40" s="17" t="n"/>
      <c r="M40" s="17" t="n"/>
      <c r="N40" s="17" t="n"/>
    </row>
    <row r="41">
      <c r="A41" s="17" t="n"/>
      <c r="B41" s="17" t="n"/>
      <c r="C41" s="17" t="n"/>
      <c r="D41" s="17" t="n"/>
      <c r="E41" s="17" t="n"/>
      <c r="F41" s="17" t="n"/>
      <c r="G41" s="18">
        <f>IF(F41&lt;&gt;"",LEN(F41)-LEN(SUBSTITUTE(F41,",",""))+1,0)</f>
        <v/>
      </c>
      <c r="H41" s="17" t="n"/>
      <c r="I41" s="17" t="n"/>
      <c r="J41" s="17" t="n"/>
      <c r="K41" s="17" t="n"/>
      <c r="L41" s="17" t="n"/>
      <c r="M41" s="17" t="n"/>
      <c r="N41" s="17" t="n"/>
    </row>
    <row r="42">
      <c r="A42" s="17" t="n"/>
      <c r="B42" s="17" t="n"/>
      <c r="C42" s="17" t="n"/>
      <c r="D42" s="17" t="n"/>
      <c r="E42" s="17" t="n"/>
      <c r="F42" s="17" t="n"/>
      <c r="G42" s="18">
        <f>IF(F42&lt;&gt;"",LEN(F42)-LEN(SUBSTITUTE(F42,",",""))+1,0)</f>
        <v/>
      </c>
      <c r="H42" s="17" t="n"/>
      <c r="I42" s="17" t="n"/>
      <c r="J42" s="17" t="n"/>
      <c r="K42" s="17" t="n"/>
      <c r="L42" s="17" t="n"/>
      <c r="M42" s="17" t="n"/>
      <c r="N42" s="17" t="n"/>
    </row>
    <row r="43">
      <c r="A43" s="17" t="n"/>
      <c r="B43" s="17" t="n"/>
      <c r="C43" s="17" t="n"/>
      <c r="D43" s="17" t="n"/>
      <c r="E43" s="17" t="n"/>
      <c r="F43" s="17" t="n"/>
      <c r="G43" s="18">
        <f>IF(F43&lt;&gt;"",LEN(F43)-LEN(SUBSTITUTE(F43,",",""))+1,0)</f>
        <v/>
      </c>
      <c r="H43" s="17" t="n"/>
      <c r="I43" s="17" t="n"/>
      <c r="J43" s="17" t="n"/>
      <c r="K43" s="17" t="n"/>
      <c r="L43" s="17" t="n"/>
      <c r="M43" s="17" t="n"/>
      <c r="N43" s="17" t="n"/>
    </row>
    <row r="44">
      <c r="A44" s="17" t="n"/>
      <c r="B44" s="17" t="n"/>
      <c r="C44" s="17" t="n"/>
      <c r="D44" s="17" t="n"/>
      <c r="E44" s="17" t="n"/>
      <c r="F44" s="17" t="n"/>
      <c r="G44" s="18">
        <f>IF(F44&lt;&gt;"",LEN(F44)-LEN(SUBSTITUTE(F44,",",""))+1,0)</f>
        <v/>
      </c>
      <c r="H44" s="17" t="n"/>
      <c r="I44" s="17" t="n"/>
      <c r="J44" s="17" t="n"/>
      <c r="K44" s="17" t="n"/>
      <c r="L44" s="17" t="n"/>
      <c r="M44" s="17" t="n"/>
      <c r="N44" s="17" t="n"/>
    </row>
    <row r="45">
      <c r="A45" s="17" t="n"/>
      <c r="B45" s="17" t="n"/>
      <c r="C45" s="17" t="n"/>
      <c r="D45" s="17" t="n"/>
      <c r="E45" s="17" t="n"/>
      <c r="F45" s="17" t="n"/>
      <c r="G45" s="18">
        <f>IF(F45&lt;&gt;"",LEN(F45)-LEN(SUBSTITUTE(F45,",",""))+1,0)</f>
        <v/>
      </c>
      <c r="H45" s="17" t="n"/>
      <c r="I45" s="17" t="n"/>
      <c r="J45" s="17" t="n"/>
      <c r="K45" s="17" t="n"/>
      <c r="L45" s="17" t="n"/>
      <c r="M45" s="17" t="n"/>
      <c r="N45" s="17" t="n"/>
    </row>
    <row r="46">
      <c r="A46" s="17" t="n"/>
      <c r="B46" s="17" t="n"/>
      <c r="C46" s="17" t="n"/>
      <c r="D46" s="17" t="n"/>
      <c r="E46" s="17" t="n"/>
      <c r="F46" s="17" t="n"/>
      <c r="G46" s="18">
        <f>IF(F46&lt;&gt;"",LEN(F46)-LEN(SUBSTITUTE(F46,",",""))+1,0)</f>
        <v/>
      </c>
      <c r="H46" s="17" t="n"/>
      <c r="I46" s="17" t="n"/>
      <c r="J46" s="17" t="n"/>
      <c r="K46" s="17" t="n"/>
      <c r="L46" s="17" t="n"/>
      <c r="M46" s="17" t="n"/>
      <c r="N46" s="17" t="n"/>
    </row>
    <row r="47">
      <c r="A47" s="17" t="n"/>
      <c r="B47" s="17" t="n"/>
      <c r="C47" s="17" t="n"/>
      <c r="D47" s="17" t="n"/>
      <c r="E47" s="17" t="n"/>
      <c r="F47" s="17" t="n"/>
      <c r="G47" s="18">
        <f>IF(F47&lt;&gt;"",LEN(F47)-LEN(SUBSTITUTE(F47,",",""))+1,0)</f>
        <v/>
      </c>
      <c r="H47" s="17" t="n"/>
      <c r="I47" s="17" t="n"/>
      <c r="J47" s="17" t="n"/>
      <c r="K47" s="17" t="n"/>
      <c r="L47" s="17" t="n"/>
      <c r="M47" s="17" t="n"/>
      <c r="N47" s="17" t="n"/>
    </row>
    <row r="48">
      <c r="A48" s="17" t="n"/>
      <c r="B48" s="17" t="n"/>
      <c r="C48" s="17" t="n"/>
      <c r="D48" s="17" t="n"/>
      <c r="E48" s="17" t="n"/>
      <c r="F48" s="17" t="n"/>
      <c r="G48" s="18">
        <f>IF(F48&lt;&gt;"",LEN(F48)-LEN(SUBSTITUTE(F48,",",""))+1,0)</f>
        <v/>
      </c>
      <c r="H48" s="17" t="n"/>
      <c r="I48" s="17" t="n"/>
      <c r="J48" s="17" t="n"/>
      <c r="K48" s="17" t="n"/>
      <c r="L48" s="17" t="n"/>
      <c r="M48" s="17" t="n"/>
      <c r="N48" s="17" t="n"/>
    </row>
    <row r="49">
      <c r="A49" s="17" t="n"/>
      <c r="B49" s="17" t="n"/>
      <c r="C49" s="17" t="n"/>
      <c r="D49" s="17" t="n"/>
      <c r="E49" s="17" t="n"/>
      <c r="F49" s="17" t="n"/>
      <c r="G49" s="18">
        <f>IF(F49&lt;&gt;"",LEN(F49)-LEN(SUBSTITUTE(F49,",",""))+1,0)</f>
        <v/>
      </c>
      <c r="H49" s="17" t="n"/>
      <c r="I49" s="17" t="n"/>
      <c r="J49" s="17" t="n"/>
      <c r="K49" s="17" t="n"/>
      <c r="L49" s="17" t="n"/>
      <c r="M49" s="17" t="n"/>
      <c r="N49" s="17" t="n"/>
    </row>
    <row r="50">
      <c r="A50" s="17" t="n"/>
      <c r="B50" s="17" t="n"/>
      <c r="C50" s="17" t="n"/>
      <c r="D50" s="17" t="n"/>
      <c r="E50" s="17" t="n"/>
      <c r="F50" s="17" t="n"/>
      <c r="G50" s="18">
        <f>IF(F50&lt;&gt;"",LEN(F50)-LEN(SUBSTITUTE(F50,",",""))+1,0)</f>
        <v/>
      </c>
      <c r="H50" s="17" t="n"/>
      <c r="I50" s="17" t="n"/>
      <c r="J50" s="17" t="n"/>
      <c r="K50" s="17" t="n"/>
      <c r="L50" s="17" t="n"/>
      <c r="M50" s="17" t="n"/>
      <c r="N50" s="17" t="n"/>
    </row>
    <row r="51">
      <c r="A51" s="17" t="n"/>
      <c r="B51" s="17" t="n"/>
      <c r="C51" s="17" t="n"/>
      <c r="D51" s="17" t="n"/>
      <c r="E51" s="17" t="n"/>
      <c r="F51" s="17" t="n"/>
      <c r="G51" s="18">
        <f>IF(F51&lt;&gt;"",LEN(F51)-LEN(SUBSTITUTE(F51,",",""))+1,0)</f>
        <v/>
      </c>
      <c r="H51" s="17" t="n"/>
      <c r="I51" s="17" t="n"/>
      <c r="J51" s="17" t="n"/>
      <c r="K51" s="17" t="n"/>
      <c r="L51" s="17" t="n"/>
      <c r="M51" s="17" t="n"/>
      <c r="N51" s="17" t="n"/>
    </row>
    <row r="52">
      <c r="A52" s="17" t="n"/>
      <c r="B52" s="17" t="n"/>
      <c r="C52" s="17" t="n"/>
      <c r="D52" s="17" t="n"/>
      <c r="E52" s="17" t="n"/>
      <c r="F52" s="17" t="n"/>
      <c r="G52" s="18">
        <f>IF(F52&lt;&gt;"",LEN(F52)-LEN(SUBSTITUTE(F52,",",""))+1,0)</f>
        <v/>
      </c>
      <c r="H52" s="17" t="n"/>
      <c r="I52" s="17" t="n"/>
      <c r="J52" s="17" t="n"/>
      <c r="K52" s="17" t="n"/>
      <c r="L52" s="17" t="n"/>
      <c r="M52" s="17" t="n"/>
      <c r="N52" s="17" t="n"/>
    </row>
    <row r="53">
      <c r="A53" s="17" t="n"/>
      <c r="B53" s="17" t="n"/>
      <c r="C53" s="17" t="n"/>
      <c r="D53" s="17" t="n"/>
      <c r="E53" s="17" t="n"/>
      <c r="F53" s="17" t="n"/>
      <c r="G53" s="18">
        <f>IF(F53&lt;&gt;"",LEN(F53)-LEN(SUBSTITUTE(F53,",",""))+1,0)</f>
        <v/>
      </c>
      <c r="H53" s="17" t="n"/>
      <c r="I53" s="17" t="n"/>
      <c r="J53" s="17" t="n"/>
      <c r="K53" s="17" t="n"/>
      <c r="L53" s="17" t="n"/>
      <c r="M53" s="17" t="n"/>
      <c r="N53" s="17" t="n"/>
    </row>
    <row r="54">
      <c r="A54" s="17" t="n"/>
      <c r="B54" s="17" t="n"/>
      <c r="C54" s="17" t="n"/>
      <c r="D54" s="17" t="n"/>
      <c r="E54" s="17" t="n"/>
      <c r="F54" s="17" t="n"/>
      <c r="G54" s="18">
        <f>IF(F54&lt;&gt;"",LEN(F54)-LEN(SUBSTITUTE(F54,",",""))+1,0)</f>
        <v/>
      </c>
      <c r="H54" s="17" t="n"/>
      <c r="I54" s="17" t="n"/>
      <c r="J54" s="17" t="n"/>
      <c r="K54" s="17" t="n"/>
      <c r="L54" s="17" t="n"/>
      <c r="M54" s="17" t="n"/>
      <c r="N54" s="17" t="n"/>
    </row>
    <row r="55">
      <c r="A55" s="17" t="n"/>
      <c r="B55" s="17" t="n"/>
      <c r="C55" s="17" t="n"/>
      <c r="D55" s="17" t="n"/>
      <c r="E55" s="17" t="n"/>
      <c r="F55" s="17" t="n"/>
      <c r="G55" s="18">
        <f>IF(F55&lt;&gt;"",LEN(F55)-LEN(SUBSTITUTE(F55,",",""))+1,0)</f>
        <v/>
      </c>
      <c r="H55" s="17" t="n"/>
      <c r="I55" s="17" t="n"/>
      <c r="J55" s="17" t="n"/>
      <c r="K55" s="17" t="n"/>
      <c r="L55" s="17" t="n"/>
      <c r="M55" s="17" t="n"/>
      <c r="N55" s="17" t="n"/>
    </row>
    <row r="56">
      <c r="A56" s="17" t="n"/>
      <c r="B56" s="17" t="n"/>
      <c r="C56" s="17" t="n"/>
      <c r="D56" s="17" t="n"/>
      <c r="E56" s="17" t="n"/>
      <c r="F56" s="17" t="n"/>
      <c r="G56" s="18">
        <f>IF(F56&lt;&gt;"",LEN(F56)-LEN(SUBSTITUTE(F56,",",""))+1,0)</f>
        <v/>
      </c>
      <c r="H56" s="17" t="n"/>
      <c r="I56" s="17" t="n"/>
      <c r="J56" s="17" t="n"/>
      <c r="K56" s="17" t="n"/>
      <c r="L56" s="17" t="n"/>
      <c r="M56" s="17" t="n"/>
      <c r="N56" s="17" t="n"/>
    </row>
    <row r="57">
      <c r="A57" s="17" t="n"/>
      <c r="B57" s="17" t="n"/>
      <c r="C57" s="17" t="n"/>
      <c r="D57" s="17" t="n"/>
      <c r="E57" s="17" t="n"/>
      <c r="F57" s="17" t="n"/>
      <c r="G57" s="18">
        <f>IF(F57&lt;&gt;"",LEN(F57)-LEN(SUBSTITUTE(F57,",",""))+1,0)</f>
        <v/>
      </c>
      <c r="H57" s="17" t="n"/>
      <c r="I57" s="17" t="n"/>
      <c r="J57" s="17" t="n"/>
      <c r="K57" s="17" t="n"/>
      <c r="L57" s="17" t="n"/>
      <c r="M57" s="17" t="n"/>
      <c r="N57" s="17" t="n"/>
    </row>
    <row r="58">
      <c r="A58" s="17" t="n"/>
      <c r="B58" s="17" t="n"/>
      <c r="C58" s="17" t="n"/>
      <c r="D58" s="17" t="n"/>
      <c r="E58" s="17" t="n"/>
      <c r="F58" s="17" t="n"/>
      <c r="G58" s="18">
        <f>IF(F58&lt;&gt;"",LEN(F58)-LEN(SUBSTITUTE(F58,",",""))+1,0)</f>
        <v/>
      </c>
      <c r="H58" s="17" t="n"/>
      <c r="I58" s="17" t="n"/>
      <c r="J58" s="17" t="n"/>
      <c r="K58" s="17" t="n"/>
      <c r="L58" s="17" t="n"/>
      <c r="M58" s="17" t="n"/>
      <c r="N58" s="17" t="n"/>
    </row>
    <row r="59">
      <c r="A59" s="17" t="n"/>
      <c r="B59" s="17" t="n"/>
      <c r="C59" s="17" t="n"/>
      <c r="D59" s="17" t="n"/>
      <c r="E59" s="17" t="n"/>
      <c r="F59" s="17" t="n"/>
      <c r="G59" s="18">
        <f>IF(F59&lt;&gt;"",LEN(F59)-LEN(SUBSTITUTE(F59,",",""))+1,0)</f>
        <v/>
      </c>
      <c r="H59" s="17" t="n"/>
      <c r="I59" s="17" t="n"/>
      <c r="J59" s="17" t="n"/>
      <c r="K59" s="17" t="n"/>
      <c r="L59" s="17" t="n"/>
      <c r="M59" s="17" t="n"/>
      <c r="N59" s="17" t="n"/>
    </row>
    <row r="62">
      <c r="A62" s="3" t="inlineStr">
        <is>
          <t>MITRE ATT&amp;CK TACTICS COVERAGE SUMMARY</t>
        </is>
      </c>
    </row>
    <row r="63">
      <c r="A63" s="7" t="inlineStr">
        <is>
          <t>Tactic</t>
        </is>
      </c>
      <c r="B63" s="7" t="inlineStr">
        <is>
          <t>Techniques Documented</t>
        </is>
      </c>
      <c r="C63" s="12" t="n"/>
      <c r="D63" s="11" t="n"/>
      <c r="E63" s="11" t="n"/>
      <c r="F63" s="11" t="n"/>
      <c r="G63" s="11" t="n"/>
      <c r="H63" s="11" t="n"/>
      <c r="I63" s="11" t="n"/>
      <c r="J63" s="11" t="n"/>
      <c r="K63" s="11" t="n"/>
      <c r="L63" s="11" t="n"/>
      <c r="M63" s="11" t="n"/>
      <c r="N63" s="11" t="n"/>
    </row>
    <row r="64" ht="20" customHeight="1">
      <c r="A64" s="22" t="inlineStr">
        <is>
          <t>Reconnaissance</t>
        </is>
      </c>
      <c r="B64">
        <f>COUNTIF(A$10:A$59,"Reconnaissance")</f>
        <v/>
      </c>
    </row>
    <row r="65" ht="20" customHeight="1">
      <c r="A65" s="22" t="inlineStr">
        <is>
          <t>Resource Development</t>
        </is>
      </c>
      <c r="B65">
        <f>COUNTIF(A$10:A$59,"Resource Development")</f>
        <v/>
      </c>
    </row>
    <row r="66" ht="20" customHeight="1">
      <c r="A66" s="22" t="inlineStr">
        <is>
          <t>Initial Access</t>
        </is>
      </c>
      <c r="B66">
        <f>COUNTIF(A$10:A$59,"Initial Access")</f>
        <v/>
      </c>
    </row>
    <row r="67" ht="20" customHeight="1">
      <c r="A67" s="22" t="inlineStr">
        <is>
          <t>Execution</t>
        </is>
      </c>
      <c r="B67">
        <f>COUNTIF(A$10:A$59,"Execution")</f>
        <v/>
      </c>
    </row>
    <row r="68" ht="20" customHeight="1">
      <c r="A68" s="22" t="inlineStr">
        <is>
          <t>Persistence</t>
        </is>
      </c>
      <c r="B68">
        <f>COUNTIF(A$10:A$59,"Persistence")</f>
        <v/>
      </c>
    </row>
    <row r="69" ht="20" customHeight="1">
      <c r="A69" s="22" t="inlineStr">
        <is>
          <t>Privilege Escalation</t>
        </is>
      </c>
      <c r="B69">
        <f>COUNTIF(A$10:A$59,"Privilege Escalation")</f>
        <v/>
      </c>
    </row>
    <row r="70" ht="20" customHeight="1">
      <c r="A70" s="22" t="inlineStr">
        <is>
          <t>Defense Evasion</t>
        </is>
      </c>
      <c r="B70">
        <f>COUNTIF(A$10:A$59,"Defense Evasion")</f>
        <v/>
      </c>
    </row>
    <row r="71" ht="20" customHeight="1">
      <c r="A71" s="22" t="inlineStr">
        <is>
          <t>Credential Access</t>
        </is>
      </c>
      <c r="B71">
        <f>COUNTIF(A$10:A$59,"Credential Access")</f>
        <v/>
      </c>
    </row>
    <row r="72" ht="20" customHeight="1">
      <c r="A72" s="22" t="inlineStr">
        <is>
          <t>Discovery</t>
        </is>
      </c>
      <c r="B72">
        <f>COUNTIF(A$10:A$59,"Discovery")</f>
        <v/>
      </c>
    </row>
    <row r="73" ht="20" customHeight="1">
      <c r="A73" s="22" t="inlineStr">
        <is>
          <t>Lateral Movement</t>
        </is>
      </c>
      <c r="B73">
        <f>COUNTIF(A$10:A$59,"Lateral Movement")</f>
        <v/>
      </c>
    </row>
    <row r="74" ht="20" customHeight="1">
      <c r="A74" s="22" t="inlineStr">
        <is>
          <t>Collection</t>
        </is>
      </c>
      <c r="B74">
        <f>COUNTIF(A$10:A$59,"Collection")</f>
        <v/>
      </c>
    </row>
    <row r="75" ht="20" customHeight="1">
      <c r="A75" s="22" t="inlineStr">
        <is>
          <t>Command and Control</t>
        </is>
      </c>
      <c r="B75">
        <f>COUNTIF(A$10:A$59,"Command and Control")</f>
        <v/>
      </c>
    </row>
    <row r="76" ht="20" customHeight="1">
      <c r="A76" s="22" t="inlineStr">
        <is>
          <t>Exfiltration</t>
        </is>
      </c>
      <c r="B76">
        <f>COUNTIF(A$10:A$59,"Exfiltration")</f>
        <v/>
      </c>
    </row>
    <row r="77" ht="20" customHeight="1">
      <c r="A77" s="22" t="inlineStr">
        <is>
          <t>Impact</t>
        </is>
      </c>
      <c r="B77">
        <f>COUNTIF(A$10:A$59,"Impact")</f>
        <v/>
      </c>
    </row>
    <row r="79">
      <c r="A79" s="23" t="inlineStr">
        <is>
          <t>OVERALL COVERAGE</t>
        </is>
      </c>
      <c r="B79" s="23">
        <f>SUM(B64:B77)</f>
        <v/>
      </c>
    </row>
    <row r="82">
      <c r="A82" s="3" t="inlineStr">
        <is>
          <t>MITRE ATT&amp;CK COVERAGE CHECKLIST</t>
        </is>
      </c>
    </row>
    <row r="83">
      <c r="A83" s="7" t="inlineStr">
        <is>
          <t>#</t>
        </is>
      </c>
      <c r="B83" s="7" t="inlineStr">
        <is>
          <t>Requirement</t>
        </is>
      </c>
      <c r="C83" s="11" t="n"/>
      <c r="D83" s="11" t="n"/>
      <c r="E83" s="11" t="n"/>
      <c r="F83" s="11" t="n"/>
      <c r="G83" s="11" t="n"/>
      <c r="H83" s="11" t="n"/>
      <c r="I83" s="11" t="n"/>
      <c r="J83" s="11" t="n"/>
      <c r="K83" s="11" t="n"/>
      <c r="L83" s="11" t="n"/>
      <c r="M83" s="12" t="n"/>
    </row>
    <row r="84" ht="25" customHeight="1">
      <c r="A84" t="n">
        <v>1</v>
      </c>
      <c r="B84" s="6" t="inlineStr">
        <is>
          <t>Detection rules mapped to MITRE ATT&amp;CK framework</t>
        </is>
      </c>
      <c r="N84" s="5" t="n"/>
    </row>
    <row r="85" ht="25" customHeight="1">
      <c r="A85" t="n">
        <v>2</v>
      </c>
      <c r="B85" s="6" t="inlineStr">
        <is>
          <t>All 14 MITRE tactics have at least partial coverage</t>
        </is>
      </c>
      <c r="N85" s="5" t="n"/>
    </row>
    <row r="86" ht="25" customHeight="1">
      <c r="A86" t="n">
        <v>3</v>
      </c>
      <c r="B86" s="6" t="inlineStr">
        <is>
          <t>High-risk techniques (Initial Access, Execution) fully covered</t>
        </is>
      </c>
      <c r="N86" s="5" t="n"/>
    </row>
    <row r="87" ht="25" customHeight="1">
      <c r="A87" t="n">
        <v>4</v>
      </c>
      <c r="B87" s="6" t="inlineStr">
        <is>
          <t>Coverage &gt;60% across all tactics</t>
        </is>
      </c>
      <c r="N87" s="5" t="n"/>
    </row>
    <row r="88" ht="25" customHeight="1">
      <c r="A88" t="n">
        <v>5</v>
      </c>
      <c r="B88" s="6" t="inlineStr">
        <is>
          <t>Coverage gaps identified and documented</t>
        </is>
      </c>
      <c r="N88" s="5" t="n"/>
    </row>
    <row r="89" ht="25" customHeight="1">
      <c r="A89" t="n">
        <v>6</v>
      </c>
      <c r="B89" s="6" t="inlineStr">
        <is>
          <t>MITRE technique descriptions documented</t>
        </is>
      </c>
      <c r="N89" s="5" t="n"/>
    </row>
    <row r="90" ht="25" customHeight="1">
      <c r="A90" t="n">
        <v>7</v>
      </c>
      <c r="B90" s="6" t="inlineStr">
        <is>
          <t>Required data sources identified for each technique</t>
        </is>
      </c>
      <c r="N90" s="5" t="n"/>
    </row>
    <row r="91" ht="25" customHeight="1">
      <c r="A91" t="n">
        <v>8</v>
      </c>
      <c r="B91" s="6" t="inlineStr">
        <is>
          <t>Data source availability assessed</t>
        </is>
      </c>
      <c r="N91" s="5" t="n"/>
    </row>
    <row r="92" ht="25" customHeight="1">
      <c r="A92" t="n">
        <v>9</v>
      </c>
      <c r="B92" s="6" t="inlineStr">
        <is>
          <t>Coverage tested via attack simulations</t>
        </is>
      </c>
      <c r="N92" s="5" t="n"/>
    </row>
    <row r="93" ht="25" customHeight="1">
      <c r="A93" t="n">
        <v>10</v>
      </c>
      <c r="B93" s="6" t="inlineStr">
        <is>
          <t>Coverage reviewed quarterly</t>
        </is>
      </c>
      <c r="N93" s="5" t="n"/>
    </row>
    <row r="94" ht="25" customHeight="1">
      <c r="A94" t="n">
        <v>11</v>
      </c>
      <c r="B94" s="6" t="inlineStr">
        <is>
          <t>New/emerging techniques evaluated</t>
        </is>
      </c>
      <c r="N94" s="5" t="n"/>
    </row>
    <row r="95" ht="25" customHeight="1">
      <c r="A95" t="n">
        <v>12</v>
      </c>
      <c r="B95" s="6" t="inlineStr">
        <is>
          <t>Coverage gaps prioritized for remediation</t>
        </is>
      </c>
      <c r="N95" s="5" t="n"/>
    </row>
    <row r="96" ht="25" customHeight="1">
      <c r="A96" t="n">
        <v>13</v>
      </c>
      <c r="B96" s="6" t="inlineStr">
        <is>
          <t>MITRE mapping maintained in detection rules</t>
        </is>
      </c>
      <c r="N96" s="5" t="n"/>
    </row>
    <row r="97" ht="25" customHeight="1">
      <c r="A97" t="n">
        <v>14</v>
      </c>
      <c r="B97" s="6" t="inlineStr">
        <is>
          <t>Coverage metrics tracked over time</t>
        </is>
      </c>
      <c r="N97" s="5" t="n"/>
    </row>
    <row r="98" ht="25" customHeight="1">
      <c r="A98" t="n">
        <v>15</v>
      </c>
      <c r="B98" s="6" t="inlineStr">
        <is>
          <t>MITRE Navigator export available</t>
        </is>
      </c>
      <c r="N98" s="5" t="n"/>
    </row>
    <row r="99">
      <c r="A99" s="19" t="inlineStr">
        <is>
          <t>SCORE:</t>
        </is>
      </c>
      <c r="B99" s="20">
        <f>COUNTIF(N84:N98,"✅ Compliant")&amp;" / 15"</f>
        <v/>
      </c>
    </row>
  </sheetData>
  <mergeCells count="103">
    <mergeCell ref="E68:I68"/>
    <mergeCell ref="D74:G74"/>
    <mergeCell ref="D68:G68"/>
    <mergeCell ref="E67:I67"/>
    <mergeCell ref="F70:N70"/>
    <mergeCell ref="F79:N79"/>
    <mergeCell ref="B77:C77"/>
    <mergeCell ref="F72:N72"/>
    <mergeCell ref="C71:E71"/>
    <mergeCell ref="B67:C67"/>
    <mergeCell ref="B84:M84"/>
    <mergeCell ref="F71:N71"/>
    <mergeCell ref="B92:M92"/>
    <mergeCell ref="B69:C69"/>
    <mergeCell ref="B94:M94"/>
    <mergeCell ref="D77:G77"/>
    <mergeCell ref="C77:E77"/>
    <mergeCell ref="D70:G70"/>
    <mergeCell ref="B64:C64"/>
    <mergeCell ref="F63:N63"/>
    <mergeCell ref="C74:E74"/>
    <mergeCell ref="D72:G72"/>
    <mergeCell ref="F74:N74"/>
    <mergeCell ref="B63:C63"/>
    <mergeCell ref="B96:M96"/>
    <mergeCell ref="D71:G71"/>
    <mergeCell ref="F76:N76"/>
    <mergeCell ref="B98:M98"/>
    <mergeCell ref="C75:E75"/>
    <mergeCell ref="D64:G64"/>
    <mergeCell ref="B66:C66"/>
    <mergeCell ref="F66:N66"/>
    <mergeCell ref="D73:G73"/>
    <mergeCell ref="B88:M88"/>
    <mergeCell ref="F75:N75"/>
    <mergeCell ref="A1:N1"/>
    <mergeCell ref="C70:E70"/>
    <mergeCell ref="E69:I69"/>
    <mergeCell ref="B83:M83"/>
    <mergeCell ref="A3:N3"/>
    <mergeCell ref="E77:I77"/>
    <mergeCell ref="B85:M85"/>
    <mergeCell ref="F64:N64"/>
    <mergeCell ref="F73:N73"/>
    <mergeCell ref="E70:I70"/>
    <mergeCell ref="D75:G75"/>
    <mergeCell ref="C79:E79"/>
    <mergeCell ref="E72:I72"/>
    <mergeCell ref="C73:E73"/>
    <mergeCell ref="B79:C79"/>
    <mergeCell ref="C63:E63"/>
    <mergeCell ref="B72:C72"/>
    <mergeCell ref="A82:N82"/>
    <mergeCell ref="B71:C71"/>
    <mergeCell ref="B87:M87"/>
    <mergeCell ref="D79:G79"/>
    <mergeCell ref="D63:G63"/>
    <mergeCell ref="C67:E67"/>
    <mergeCell ref="F77:N77"/>
    <mergeCell ref="E74:I74"/>
    <mergeCell ref="C72:E72"/>
    <mergeCell ref="D65:G65"/>
    <mergeCell ref="A2:N2"/>
    <mergeCell ref="C69:E69"/>
    <mergeCell ref="F69:N69"/>
    <mergeCell ref="D76:G76"/>
    <mergeCell ref="B91:M91"/>
    <mergeCell ref="F65:N65"/>
    <mergeCell ref="D66:G66"/>
    <mergeCell ref="B76:C76"/>
    <mergeCell ref="B93:M93"/>
    <mergeCell ref="C64:E64"/>
    <mergeCell ref="B99:E99"/>
    <mergeCell ref="B75:C75"/>
    <mergeCell ref="B86:M86"/>
    <mergeCell ref="E71:I71"/>
    <mergeCell ref="A63"/>
    <mergeCell ref="D67:G67"/>
    <mergeCell ref="E64:I64"/>
    <mergeCell ref="B70:C70"/>
    <mergeCell ref="E79:I79"/>
    <mergeCell ref="E73:I73"/>
    <mergeCell ref="C76:E76"/>
    <mergeCell ref="D69:G69"/>
    <mergeCell ref="E63:I63"/>
    <mergeCell ref="F67:N67"/>
    <mergeCell ref="B73:C73"/>
    <mergeCell ref="E65:I65"/>
    <mergeCell ref="B95:M95"/>
    <mergeCell ref="C66:E66"/>
    <mergeCell ref="B89:M89"/>
    <mergeCell ref="B97:M97"/>
    <mergeCell ref="C68:E68"/>
    <mergeCell ref="B65:C65"/>
    <mergeCell ref="B74:C74"/>
    <mergeCell ref="B68:C68"/>
    <mergeCell ref="E76:I76"/>
    <mergeCell ref="F68:N68"/>
    <mergeCell ref="B90:M90"/>
    <mergeCell ref="A62:N62"/>
    <mergeCell ref="E66:I66"/>
    <mergeCell ref="E75:I75"/>
    <mergeCell ref="C65:E65"/>
  </mergeCells>
  <dataValidations count="7">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"Critical,High,Medium,Low,Informational"</formula1>
    </dataValidation>
    <dataValidation sqref="A10 A11 A12 A13 A14 A15 A16 A17 A18 A19 A20 A21 A22 A23 A24 A25 A26 A27 A28 A29 A30 A31 A32 A33 A34 A35 A36 A37 A38 A39 A40 A41 A42 A43 A44 A45 A46 A47 A48 A49 A50 A51 A52 A53 A54 A55 A56 A57 A58 A59" showDropDown="0" showInputMessage="0" showErrorMessage="0" allowBlank="0" type="list">
      <formula1>"Reconnaissance,Resource Development,Initial Access,Execution,Persistence,Privilege Escalation,Defense Evasion,Credential Access,Discovery,Lateral Movement,Collection,Command and Control,Exfiltration,Impact"</formula1>
    </dataValidation>
    <dataValidation sqref="I10 I11 I12 I13 I14 I15 I16 I17 I18 I19 I20 I21 I22 I23 I24 I25 I26 I27 I28 I29 I30 I31 I32 I33 I34 I35 I36 I37 I38 I39 I40 I41 I42 I43 I44 I45 I46 I47 I48 I49 I50 I51 I52 I53 I54 I55 I56 I57 I58 I59" showDropDown="0" showInputMessage="0" showErrorMessage="0" allowBlank="0" type="list">
      <formula1>"✅ Covered,⚠️ Partial,❌ Not Covered,🔄 Planned"</formula1>
    </dataValidation>
    <dataValidation sqref="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"Excellent,Good,Fair,Poor"</formula1>
    </dataValidation>
    <dataValidation sqref="L10 L11 L12 L13 L14 L15 L16 L17 L18 L19 L20 L21 L22 L23 L24 L25 L26 L27 L28 L29 L30 L31 L32 L33 L34 L35 L36 L37 L38 L39 L40 L41 L42 L43 L44 L45 L46 L47 L48 L49 L50 L51 L52 L53 L54 L55 L56 L57 L58 L59" showDropDown="0" showInputMessage="0" showErrorMessage="0" allowBlank="0" type="list">
      <formula1>"Pass,Fail,Partial,Not Tested"</formula1>
    </dataValidation>
    <dataValidation sqref="N84 N85 N86 N87 N88 N89 N90 N91 N92 N93 N94 N95 N96 N97 N98" showDropDown="0" showInputMessage="0" showErrorMessage="0" allowBlank="0" type="list">
      <formula1>"✅ Compliant,⚠️ Partial,❌ Non-Compliant,N/A"</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"Critical,High,Medium,Low,None"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2" customWidth="1" min="6" max="6"/>
    <col width="12" customWidth="1" min="7" max="7"/>
    <col width="12" customWidth="1" min="8" max="8"/>
    <col width="15" customWidth="1" min="9" max="9"/>
    <col width="30" customWidth="1" min="10" max="10"/>
    <col width="16" customWidth="1" min="11" max="11"/>
    <col width="18" customWidth="1" min="12" max="12"/>
    <col width="18" customWidth="1" min="13" max="13"/>
    <col width="20" customWidth="1" min="14" max="14"/>
    <col width="30" customWidth="1" min="15" max="15"/>
    <col width="15" customWidth="1" min="16" max="16"/>
  </cols>
  <sheetData>
    <row r="1" ht="35" customHeight="1">
      <c r="A1" s="1" t="inlineStr">
        <is>
          <t>4. RULE PERFORMANCE &amp; TUNING TRACKING</t>
        </is>
      </c>
    </row>
    <row r="2">
      <c r="A2" s="2" t="inlineStr">
        <is>
          <t>Policy Reference: ISMS-POL-A.8.16-S2.2.4 - Rule performance monitoring and optimization</t>
        </is>
      </c>
    </row>
    <row r="3" ht="30" customHeight="1">
      <c r="A3" s="15" t="inlineStr">
        <is>
          <t>Are detection rules monitored for performance and regularly tuned to maintain effectiveness?</t>
        </is>
      </c>
    </row>
    <row r="5">
      <c r="A5" s="3" t="inlineStr">
        <is>
          <t>RULE PERFORMANCE METRICS (Last 30 Days)</t>
        </is>
      </c>
    </row>
    <row r="6">
      <c r="A6" s="7" t="inlineStr">
        <is>
          <t>Rule ID/Name</t>
        </is>
      </c>
      <c r="B6" s="7" t="inlineStr">
        <is>
          <t>Total Triggers</t>
        </is>
      </c>
      <c r="C6" s="7" t="inlineStr">
        <is>
          <t>True Positives</t>
        </is>
      </c>
      <c r="D6" s="7" t="inlineStr">
        <is>
          <t>False Positives</t>
        </is>
      </c>
      <c r="E6" s="7" t="inlineStr">
        <is>
          <t>False Negatives</t>
        </is>
      </c>
      <c r="F6" s="7" t="inlineStr">
        <is>
          <t>Precision %</t>
        </is>
      </c>
      <c r="G6" s="7" t="inlineStr">
        <is>
          <t>Recall %</t>
        </is>
      </c>
      <c r="H6" s="7" t="inlineStr">
        <is>
          <t>F1 Score</t>
        </is>
      </c>
      <c r="I6" s="7" t="inlineStr">
        <is>
          <t>MTTD (minutes)</t>
        </is>
      </c>
      <c r="J6" s="7" t="inlineStr">
        <is>
          <t>Tuning Actions</t>
        </is>
      </c>
      <c r="K6" s="7" t="inlineStr">
        <is>
          <t>Last Tuned</t>
        </is>
      </c>
      <c r="L6" s="7" t="inlineStr">
        <is>
          <t>Tuning Status</t>
        </is>
      </c>
      <c r="M6" s="7" t="inlineStr">
        <is>
          <t>Performance Trend</t>
        </is>
      </c>
      <c r="N6" s="7" t="inlineStr">
        <is>
          <t>Owner</t>
        </is>
      </c>
      <c r="O6" s="7" t="inlineStr">
        <is>
          <t>Issues</t>
        </is>
      </c>
      <c r="P6" s="7" t="inlineStr">
        <is>
          <t>Priority</t>
        </is>
      </c>
    </row>
    <row r="7">
      <c r="A7" s="16" t="inlineStr">
        <is>
          <t>RULE-105</t>
        </is>
      </c>
      <c r="B7" s="16" t="inlineStr">
        <is>
          <t>12</t>
        </is>
      </c>
      <c r="C7" s="16" t="inlineStr">
        <is>
          <t>10</t>
        </is>
      </c>
      <c r="D7" s="16" t="inlineStr">
        <is>
          <t>2</t>
        </is>
      </c>
      <c r="E7" s="16" t="inlineStr">
        <is>
          <t>1</t>
        </is>
      </c>
      <c r="F7" s="16" t="inlineStr">
        <is>
          <t>83%</t>
        </is>
      </c>
      <c r="G7" s="16" t="inlineStr">
        <is>
          <t>91%</t>
        </is>
      </c>
      <c r="H7" s="16" t="inlineStr">
        <is>
          <t>0.87</t>
        </is>
      </c>
      <c r="I7" s="16" t="inlineStr">
        <is>
          <t>8</t>
        </is>
      </c>
      <c r="J7" s="16" t="inlineStr">
        <is>
          <t>Adjusted threshold</t>
        </is>
      </c>
      <c r="K7" s="16" t="inlineStr">
        <is>
          <t>15.12.2024</t>
        </is>
      </c>
      <c r="L7" s="16" t="inlineStr">
        <is>
          <t>Optimized</t>
        </is>
      </c>
      <c r="M7" s="16" t="inlineStr">
        <is>
          <t>Improving</t>
        </is>
      </c>
      <c r="N7" s="16" t="inlineStr">
        <is>
          <t>SOC Team</t>
        </is>
      </c>
      <c r="O7" s="16" t="inlineStr">
        <is>
          <t>None</t>
        </is>
      </c>
      <c r="P7" s="16" t="inlineStr">
        <is>
          <t>Medium</t>
        </is>
      </c>
    </row>
    <row r="8">
      <c r="A8" s="17" t="n"/>
      <c r="B8" s="17" t="n"/>
      <c r="C8" s="17" t="n"/>
      <c r="D8" s="17" t="n"/>
      <c r="E8" s="17" t="n"/>
      <c r="F8" s="18">
        <f>IF(AND(C8&lt;&gt;"",D8&lt;&gt;""),ROUND(C8/(C8+D8)*100,1)&amp;"%","")</f>
        <v/>
      </c>
      <c r="G8" s="18">
        <f>IF(AND(C8&lt;&gt;"",E8&lt;&gt;""),ROUND(C8/(C8+E8)*100,1)&amp;"%","")</f>
        <v/>
      </c>
      <c r="H8" s="18">
        <f>IF(AND(F8&lt;&gt;"",G8&lt;&gt;""),ROUND(2*(VALUE(LEFT(F8,LEN(F8)-1))/100)*(VALUE(LEFT(G8,LEN(G8)-1))/100)/((VALUE(LEFT(F8,LEN(F8)-1))/100)+(VALUE(LEFT(G8,LEN(G8)-1))/100)),2),"")</f>
        <v/>
      </c>
      <c r="I8" s="17" t="n"/>
      <c r="J8" s="17" t="n"/>
      <c r="K8" s="17" t="n"/>
      <c r="L8" s="17" t="n"/>
      <c r="M8" s="17" t="n"/>
      <c r="N8" s="17" t="n"/>
      <c r="O8" s="17" t="n"/>
      <c r="P8" s="17" t="n"/>
    </row>
    <row r="9">
      <c r="A9" s="17" t="n"/>
      <c r="B9" s="17" t="n"/>
      <c r="C9" s="17" t="n"/>
      <c r="D9" s="17" t="n"/>
      <c r="E9" s="17" t="n"/>
      <c r="F9" s="18">
        <f>IF(AND(C9&lt;&gt;"",D9&lt;&gt;""),ROUND(C9/(C9+D9)*100,1)&amp;"%","")</f>
        <v/>
      </c>
      <c r="G9" s="18">
        <f>IF(AND(C9&lt;&gt;"",E9&lt;&gt;""),ROUND(C9/(C9+E9)*100,1)&amp;"%","")</f>
        <v/>
      </c>
      <c r="H9" s="18">
        <f>IF(AND(F9&lt;&gt;"",G9&lt;&gt;""),ROUND(2*(VALUE(LEFT(F9,LEN(F9)-1))/100)*(VALUE(LEFT(G9,LEN(G9)-1))/100)/((VALUE(LEFT(F9,LEN(F9)-1))/100)+(VALUE(LEFT(G9,LEN(G9)-1))/100)),2),"")</f>
        <v/>
      </c>
      <c r="I9" s="17" t="n"/>
      <c r="J9" s="17" t="n"/>
      <c r="K9" s="17" t="n"/>
      <c r="L9" s="17" t="n"/>
      <c r="M9" s="17" t="n"/>
      <c r="N9" s="17" t="n"/>
      <c r="O9" s="17" t="n"/>
      <c r="P9" s="17" t="n"/>
    </row>
    <row r="10">
      <c r="A10" s="17" t="n"/>
      <c r="B10" s="17" t="n"/>
      <c r="C10" s="17" t="n"/>
      <c r="D10" s="17" t="n"/>
      <c r="E10" s="17" t="n"/>
      <c r="F10" s="18">
        <f>IF(AND(C10&lt;&gt;"",D10&lt;&gt;""),ROUND(C10/(C10+D10)*100,1)&amp;"%","")</f>
        <v/>
      </c>
      <c r="G10" s="18">
        <f>IF(AND(C10&lt;&gt;"",E10&lt;&gt;""),ROUND(C10/(C10+E10)*100,1)&amp;"%","")</f>
        <v/>
      </c>
      <c r="H10" s="18">
        <f>IF(AND(F10&lt;&gt;"",G10&lt;&gt;""),ROUND(2*(VALUE(LEFT(F10,LEN(F10)-1))/100)*(VALUE(LEFT(G10,LEN(G10)-1))/100)/((VALUE(LEFT(F10,LEN(F10)-1))/100)+(VALUE(LEFT(G10,LEN(G10)-1))/100)),2),"")</f>
        <v/>
      </c>
      <c r="I10" s="17" t="n"/>
      <c r="J10" s="17" t="n"/>
      <c r="K10" s="17" t="n"/>
      <c r="L10" s="17" t="n"/>
      <c r="M10" s="17" t="n"/>
      <c r="N10" s="17" t="n"/>
      <c r="O10" s="17" t="n"/>
      <c r="P10" s="17" t="n"/>
    </row>
    <row r="11">
      <c r="A11" s="17" t="n"/>
      <c r="B11" s="17" t="n"/>
      <c r="C11" s="17" t="n"/>
      <c r="D11" s="17" t="n"/>
      <c r="E11" s="17" t="n"/>
      <c r="F11" s="18">
        <f>IF(AND(C11&lt;&gt;"",D11&lt;&gt;""),ROUND(C11/(C11+D11)*100,1)&amp;"%","")</f>
        <v/>
      </c>
      <c r="G11" s="18">
        <f>IF(AND(C11&lt;&gt;"",E11&lt;&gt;""),ROUND(C11/(C11+E11)*100,1)&amp;"%","")</f>
        <v/>
      </c>
      <c r="H11" s="18">
        <f>IF(AND(F11&lt;&gt;"",G11&lt;&gt;""),ROUND(2*(VALUE(LEFT(F11,LEN(F11)-1))/100)*(VALUE(LEFT(G11,LEN(G11)-1))/100)/((VALUE(LEFT(F11,LEN(F11)-1))/100)+(VALUE(LEFT(G11,LEN(G11)-1))/100)),2),"")</f>
        <v/>
      </c>
      <c r="I11" s="17" t="n"/>
      <c r="J11" s="17" t="n"/>
      <c r="K11" s="17" t="n"/>
      <c r="L11" s="17" t="n"/>
      <c r="M11" s="17" t="n"/>
      <c r="N11" s="17" t="n"/>
      <c r="O11" s="17" t="n"/>
      <c r="P11" s="17" t="n"/>
    </row>
    <row r="12">
      <c r="A12" s="17" t="n"/>
      <c r="B12" s="17" t="n"/>
      <c r="C12" s="17" t="n"/>
      <c r="D12" s="17" t="n"/>
      <c r="E12" s="17" t="n"/>
      <c r="F12" s="18">
        <f>IF(AND(C12&lt;&gt;"",D12&lt;&gt;""),ROUND(C12/(C12+D12)*100,1)&amp;"%","")</f>
        <v/>
      </c>
      <c r="G12" s="18">
        <f>IF(AND(C12&lt;&gt;"",E12&lt;&gt;""),ROUND(C12/(C12+E12)*100,1)&amp;"%","")</f>
        <v/>
      </c>
      <c r="H12" s="18">
        <f>IF(AND(F12&lt;&gt;"",G12&lt;&gt;""),ROUND(2*(VALUE(LEFT(F12,LEN(F12)-1))/100)*(VALUE(LEFT(G12,LEN(G12)-1))/100)/((VALUE(LEFT(F12,LEN(F12)-1))/100)+(VALUE(LEFT(G12,LEN(G12)-1))/100)),2),"")</f>
        <v/>
      </c>
      <c r="I12" s="17" t="n"/>
      <c r="J12" s="17" t="n"/>
      <c r="K12" s="17" t="n"/>
      <c r="L12" s="17" t="n"/>
      <c r="M12" s="17" t="n"/>
      <c r="N12" s="17" t="n"/>
      <c r="O12" s="17" t="n"/>
      <c r="P12" s="17" t="n"/>
    </row>
    <row r="13">
      <c r="A13" s="17" t="n"/>
      <c r="B13" s="17" t="n"/>
      <c r="C13" s="17" t="n"/>
      <c r="D13" s="17" t="n"/>
      <c r="E13" s="17" t="n"/>
      <c r="F13" s="18">
        <f>IF(AND(C13&lt;&gt;"",D13&lt;&gt;""),ROUND(C13/(C13+D13)*100,1)&amp;"%","")</f>
        <v/>
      </c>
      <c r="G13" s="18">
        <f>IF(AND(C13&lt;&gt;"",E13&lt;&gt;""),ROUND(C13/(C13+E13)*100,1)&amp;"%","")</f>
        <v/>
      </c>
      <c r="H13" s="18">
        <f>IF(AND(F13&lt;&gt;"",G13&lt;&gt;""),ROUND(2*(VALUE(LEFT(F13,LEN(F13)-1))/100)*(VALUE(LEFT(G13,LEN(G13)-1))/100)/((VALUE(LEFT(F13,LEN(F13)-1))/100)+(VALUE(LEFT(G13,LEN(G13)-1))/100)),2),"")</f>
        <v/>
      </c>
      <c r="I13" s="17" t="n"/>
      <c r="J13" s="17" t="n"/>
      <c r="K13" s="17" t="n"/>
      <c r="L13" s="17" t="n"/>
      <c r="M13" s="17" t="n"/>
      <c r="N13" s="17" t="n"/>
      <c r="O13" s="17" t="n"/>
      <c r="P13" s="17" t="n"/>
    </row>
    <row r="14">
      <c r="A14" s="17" t="n"/>
      <c r="B14" s="17" t="n"/>
      <c r="C14" s="17" t="n"/>
      <c r="D14" s="17" t="n"/>
      <c r="E14" s="17" t="n"/>
      <c r="F14" s="18">
        <f>IF(AND(C14&lt;&gt;"",D14&lt;&gt;""),ROUND(C14/(C14+D14)*100,1)&amp;"%","")</f>
        <v/>
      </c>
      <c r="G14" s="18">
        <f>IF(AND(C14&lt;&gt;"",E14&lt;&gt;""),ROUND(C14/(C14+E14)*100,1)&amp;"%","")</f>
        <v/>
      </c>
      <c r="H14" s="18">
        <f>IF(AND(F14&lt;&gt;"",G14&lt;&gt;""),ROUND(2*(VALUE(LEFT(F14,LEN(F14)-1))/100)*(VALUE(LEFT(G14,LEN(G14)-1))/100)/((VALUE(LEFT(F14,LEN(F14)-1))/100)+(VALUE(LEFT(G14,LEN(G14)-1))/100)),2),"")</f>
        <v/>
      </c>
      <c r="I14" s="17" t="n"/>
      <c r="J14" s="17" t="n"/>
      <c r="K14" s="17" t="n"/>
      <c r="L14" s="17" t="n"/>
      <c r="M14" s="17" t="n"/>
      <c r="N14" s="17" t="n"/>
      <c r="O14" s="17" t="n"/>
      <c r="P14" s="17" t="n"/>
    </row>
    <row r="15">
      <c r="A15" s="17" t="n"/>
      <c r="B15" s="17" t="n"/>
      <c r="C15" s="17" t="n"/>
      <c r="D15" s="17" t="n"/>
      <c r="E15" s="17" t="n"/>
      <c r="F15" s="18">
        <f>IF(AND(C15&lt;&gt;"",D15&lt;&gt;""),ROUND(C15/(C15+D15)*100,1)&amp;"%","")</f>
        <v/>
      </c>
      <c r="G15" s="18">
        <f>IF(AND(C15&lt;&gt;"",E15&lt;&gt;""),ROUND(C15/(C15+E15)*100,1)&amp;"%","")</f>
        <v/>
      </c>
      <c r="H15" s="18">
        <f>IF(AND(F15&lt;&gt;"",G15&lt;&gt;""),ROUND(2*(VALUE(LEFT(F15,LEN(F15)-1))/100)*(VALUE(LEFT(G15,LEN(G15)-1))/100)/((VALUE(LEFT(F15,LEN(F15)-1))/100)+(VALUE(LEFT(G15,LEN(G15)-1))/100)),2),"")</f>
        <v/>
      </c>
      <c r="I15" s="17" t="n"/>
      <c r="J15" s="17" t="n"/>
      <c r="K15" s="17" t="n"/>
      <c r="L15" s="17" t="n"/>
      <c r="M15" s="17" t="n"/>
      <c r="N15" s="17" t="n"/>
      <c r="O15" s="17" t="n"/>
      <c r="P15" s="17" t="n"/>
    </row>
    <row r="16">
      <c r="A16" s="17" t="n"/>
      <c r="B16" s="17" t="n"/>
      <c r="C16" s="17" t="n"/>
      <c r="D16" s="17" t="n"/>
      <c r="E16" s="17" t="n"/>
      <c r="F16" s="18">
        <f>IF(AND(C16&lt;&gt;"",D16&lt;&gt;""),ROUND(C16/(C16+D16)*100,1)&amp;"%","")</f>
        <v/>
      </c>
      <c r="G16" s="18">
        <f>IF(AND(C16&lt;&gt;"",E16&lt;&gt;""),ROUND(C16/(C16+E16)*100,1)&amp;"%","")</f>
        <v/>
      </c>
      <c r="H16" s="18">
        <f>IF(AND(F16&lt;&gt;"",G16&lt;&gt;""),ROUND(2*(VALUE(LEFT(F16,LEN(F16)-1))/100)*(VALUE(LEFT(G16,LEN(G16)-1))/100)/((VALUE(LEFT(F16,LEN(F16)-1))/100)+(VALUE(LEFT(G16,LEN(G16)-1))/100)),2),"")</f>
        <v/>
      </c>
      <c r="I16" s="17" t="n"/>
      <c r="J16" s="17" t="n"/>
      <c r="K16" s="17" t="n"/>
      <c r="L16" s="17" t="n"/>
      <c r="M16" s="17" t="n"/>
      <c r="N16" s="17" t="n"/>
      <c r="O16" s="17" t="n"/>
      <c r="P16" s="17" t="n"/>
    </row>
    <row r="17">
      <c r="A17" s="17" t="n"/>
      <c r="B17" s="17" t="n"/>
      <c r="C17" s="17" t="n"/>
      <c r="D17" s="17" t="n"/>
      <c r="E17" s="17" t="n"/>
      <c r="F17" s="18">
        <f>IF(AND(C17&lt;&gt;"",D17&lt;&gt;""),ROUND(C17/(C17+D17)*100,1)&amp;"%","")</f>
        <v/>
      </c>
      <c r="G17" s="18">
        <f>IF(AND(C17&lt;&gt;"",E17&lt;&gt;""),ROUND(C17/(C17+E17)*100,1)&amp;"%","")</f>
        <v/>
      </c>
      <c r="H17" s="18">
        <f>IF(AND(F17&lt;&gt;"",G17&lt;&gt;""),ROUND(2*(VALUE(LEFT(F17,LEN(F17)-1))/100)*(VALUE(LEFT(G17,LEN(G17)-1))/100)/((VALUE(LEFT(F17,LEN(F17)-1))/100)+(VALUE(LEFT(G17,LEN(G17)-1))/100)),2),"")</f>
        <v/>
      </c>
      <c r="I17" s="17" t="n"/>
      <c r="J17" s="17" t="n"/>
      <c r="K17" s="17" t="n"/>
      <c r="L17" s="17" t="n"/>
      <c r="M17" s="17" t="n"/>
      <c r="N17" s="17" t="n"/>
      <c r="O17" s="17" t="n"/>
      <c r="P17" s="17" t="n"/>
    </row>
    <row r="18">
      <c r="A18" s="17" t="n"/>
      <c r="B18" s="17" t="n"/>
      <c r="C18" s="17" t="n"/>
      <c r="D18" s="17" t="n"/>
      <c r="E18" s="17" t="n"/>
      <c r="F18" s="18">
        <f>IF(AND(C18&lt;&gt;"",D18&lt;&gt;""),ROUND(C18/(C18+D18)*100,1)&amp;"%","")</f>
        <v/>
      </c>
      <c r="G18" s="18">
        <f>IF(AND(C18&lt;&gt;"",E18&lt;&gt;""),ROUND(C18/(C18+E18)*100,1)&amp;"%","")</f>
        <v/>
      </c>
      <c r="H18" s="18">
        <f>IF(AND(F18&lt;&gt;"",G18&lt;&gt;""),ROUND(2*(VALUE(LEFT(F18,LEN(F18)-1))/100)*(VALUE(LEFT(G18,LEN(G18)-1))/100)/((VALUE(LEFT(F18,LEN(F18)-1))/100)+(VALUE(LEFT(G18,LEN(G18)-1))/100)),2),"")</f>
        <v/>
      </c>
      <c r="I18" s="17" t="n"/>
      <c r="J18" s="17" t="n"/>
      <c r="K18" s="17" t="n"/>
      <c r="L18" s="17" t="n"/>
      <c r="M18" s="17" t="n"/>
      <c r="N18" s="17" t="n"/>
      <c r="O18" s="17" t="n"/>
      <c r="P18" s="17" t="n"/>
    </row>
    <row r="19">
      <c r="A19" s="17" t="n"/>
      <c r="B19" s="17" t="n"/>
      <c r="C19" s="17" t="n"/>
      <c r="D19" s="17" t="n"/>
      <c r="E19" s="17" t="n"/>
      <c r="F19" s="18">
        <f>IF(AND(C19&lt;&gt;"",D19&lt;&gt;""),ROUND(C19/(C19+D19)*100,1)&amp;"%","")</f>
        <v/>
      </c>
      <c r="G19" s="18">
        <f>IF(AND(C19&lt;&gt;"",E19&lt;&gt;""),ROUND(C19/(C19+E19)*100,1)&amp;"%","")</f>
        <v/>
      </c>
      <c r="H19" s="18">
        <f>IF(AND(F19&lt;&gt;"",G19&lt;&gt;""),ROUND(2*(VALUE(LEFT(F19,LEN(F19)-1))/100)*(VALUE(LEFT(G19,LEN(G19)-1))/100)/((VALUE(LEFT(F19,LEN(F19)-1))/100)+(VALUE(LEFT(G19,LEN(G19)-1))/100)),2),"")</f>
        <v/>
      </c>
      <c r="I19" s="17" t="n"/>
      <c r="J19" s="17" t="n"/>
      <c r="K19" s="17" t="n"/>
      <c r="L19" s="17" t="n"/>
      <c r="M19" s="17" t="n"/>
      <c r="N19" s="17" t="n"/>
      <c r="O19" s="17" t="n"/>
      <c r="P19" s="17" t="n"/>
    </row>
    <row r="20">
      <c r="A20" s="17" t="n"/>
      <c r="B20" s="17" t="n"/>
      <c r="C20" s="17" t="n"/>
      <c r="D20" s="17" t="n"/>
      <c r="E20" s="17" t="n"/>
      <c r="F20" s="18">
        <f>IF(AND(C20&lt;&gt;"",D20&lt;&gt;""),ROUND(C20/(C20+D20)*100,1)&amp;"%","")</f>
        <v/>
      </c>
      <c r="G20" s="18">
        <f>IF(AND(C20&lt;&gt;"",E20&lt;&gt;""),ROUND(C20/(C20+E20)*100,1)&amp;"%","")</f>
        <v/>
      </c>
      <c r="H20" s="18">
        <f>IF(AND(F20&lt;&gt;"",G20&lt;&gt;""),ROUND(2*(VALUE(LEFT(F20,LEN(F20)-1))/100)*(VALUE(LEFT(G20,LEN(G20)-1))/100)/((VALUE(LEFT(F20,LEN(F20)-1))/100)+(VALUE(LEFT(G20,LEN(G20)-1))/100)),2),"")</f>
        <v/>
      </c>
      <c r="I20" s="17" t="n"/>
      <c r="J20" s="17" t="n"/>
      <c r="K20" s="17" t="n"/>
      <c r="L20" s="17" t="n"/>
      <c r="M20" s="17" t="n"/>
      <c r="N20" s="17" t="n"/>
      <c r="O20" s="17" t="n"/>
      <c r="P20" s="17" t="n"/>
    </row>
    <row r="21">
      <c r="A21" s="17" t="n"/>
      <c r="B21" s="17" t="n"/>
      <c r="C21" s="17" t="n"/>
      <c r="D21" s="17" t="n"/>
      <c r="E21" s="17" t="n"/>
      <c r="F21" s="18">
        <f>IF(AND(C21&lt;&gt;"",D21&lt;&gt;""),ROUND(C21/(C21+D21)*100,1)&amp;"%","")</f>
        <v/>
      </c>
      <c r="G21" s="18">
        <f>IF(AND(C21&lt;&gt;"",E21&lt;&gt;""),ROUND(C21/(C21+E21)*100,1)&amp;"%","")</f>
        <v/>
      </c>
      <c r="H21" s="18">
        <f>IF(AND(F21&lt;&gt;"",G21&lt;&gt;""),ROUND(2*(VALUE(LEFT(F21,LEN(F21)-1))/100)*(VALUE(LEFT(G21,LEN(G21)-1))/100)/((VALUE(LEFT(F21,LEN(F21)-1))/100)+(VALUE(LEFT(G21,LEN(G21)-1))/100)),2),"")</f>
        <v/>
      </c>
      <c r="I21" s="17" t="n"/>
      <c r="J21" s="17" t="n"/>
      <c r="K21" s="17" t="n"/>
      <c r="L21" s="17" t="n"/>
      <c r="M21" s="17" t="n"/>
      <c r="N21" s="17" t="n"/>
      <c r="O21" s="17" t="n"/>
      <c r="P21" s="17" t="n"/>
    </row>
    <row r="22">
      <c r="A22" s="17" t="n"/>
      <c r="B22" s="17" t="n"/>
      <c r="C22" s="17" t="n"/>
      <c r="D22" s="17" t="n"/>
      <c r="E22" s="17" t="n"/>
      <c r="F22" s="18">
        <f>IF(AND(C22&lt;&gt;"",D22&lt;&gt;""),ROUND(C22/(C22+D22)*100,1)&amp;"%","")</f>
        <v/>
      </c>
      <c r="G22" s="18">
        <f>IF(AND(C22&lt;&gt;"",E22&lt;&gt;""),ROUND(C22/(C22+E22)*100,1)&amp;"%","")</f>
        <v/>
      </c>
      <c r="H22" s="18">
        <f>IF(AND(F22&lt;&gt;"",G22&lt;&gt;""),ROUND(2*(VALUE(LEFT(F22,LEN(F22)-1))/100)*(VALUE(LEFT(G22,LEN(G22)-1))/100)/((VALUE(LEFT(F22,LEN(F22)-1))/100)+(VALUE(LEFT(G22,LEN(G22)-1))/100)),2),"")</f>
        <v/>
      </c>
      <c r="I22" s="17" t="n"/>
      <c r="J22" s="17" t="n"/>
      <c r="K22" s="17" t="n"/>
      <c r="L22" s="17" t="n"/>
      <c r="M22" s="17" t="n"/>
      <c r="N22" s="17" t="n"/>
      <c r="O22" s="17" t="n"/>
      <c r="P22" s="17" t="n"/>
    </row>
    <row r="23">
      <c r="A23" s="17" t="n"/>
      <c r="B23" s="17" t="n"/>
      <c r="C23" s="17" t="n"/>
      <c r="D23" s="17" t="n"/>
      <c r="E23" s="17" t="n"/>
      <c r="F23" s="18">
        <f>IF(AND(C23&lt;&gt;"",D23&lt;&gt;""),ROUND(C23/(C23+D23)*100,1)&amp;"%","")</f>
        <v/>
      </c>
      <c r="G23" s="18">
        <f>IF(AND(C23&lt;&gt;"",E23&lt;&gt;""),ROUND(C23/(C23+E23)*100,1)&amp;"%","")</f>
        <v/>
      </c>
      <c r="H23" s="18">
        <f>IF(AND(F23&lt;&gt;"",G23&lt;&gt;""),ROUND(2*(VALUE(LEFT(F23,LEN(F23)-1))/100)*(VALUE(LEFT(G23,LEN(G23)-1))/100)/((VALUE(LEFT(F23,LEN(F23)-1))/100)+(VALUE(LEFT(G23,LEN(G23)-1))/100)),2),"")</f>
        <v/>
      </c>
      <c r="I23" s="17" t="n"/>
      <c r="J23" s="17" t="n"/>
      <c r="K23" s="17" t="n"/>
      <c r="L23" s="17" t="n"/>
      <c r="M23" s="17" t="n"/>
      <c r="N23" s="17" t="n"/>
      <c r="O23" s="17" t="n"/>
      <c r="P23" s="17" t="n"/>
    </row>
    <row r="24">
      <c r="A24" s="17" t="n"/>
      <c r="B24" s="17" t="n"/>
      <c r="C24" s="17" t="n"/>
      <c r="D24" s="17" t="n"/>
      <c r="E24" s="17" t="n"/>
      <c r="F24" s="18">
        <f>IF(AND(C24&lt;&gt;"",D24&lt;&gt;""),ROUND(C24/(C24+D24)*100,1)&amp;"%","")</f>
        <v/>
      </c>
      <c r="G24" s="18">
        <f>IF(AND(C24&lt;&gt;"",E24&lt;&gt;""),ROUND(C24/(C24+E24)*100,1)&amp;"%","")</f>
        <v/>
      </c>
      <c r="H24" s="18">
        <f>IF(AND(F24&lt;&gt;"",G24&lt;&gt;""),ROUND(2*(VALUE(LEFT(F24,LEN(F24)-1))/100)*(VALUE(LEFT(G24,LEN(G24)-1))/100)/((VALUE(LEFT(F24,LEN(F24)-1))/100)+(VALUE(LEFT(G24,LEN(G24)-1))/100)),2),"")</f>
        <v/>
      </c>
      <c r="I24" s="17" t="n"/>
      <c r="J24" s="17" t="n"/>
      <c r="K24" s="17" t="n"/>
      <c r="L24" s="17" t="n"/>
      <c r="M24" s="17" t="n"/>
      <c r="N24" s="17" t="n"/>
      <c r="O24" s="17" t="n"/>
      <c r="P24" s="17" t="n"/>
    </row>
    <row r="25">
      <c r="A25" s="17" t="n"/>
      <c r="B25" s="17" t="n"/>
      <c r="C25" s="17" t="n"/>
      <c r="D25" s="17" t="n"/>
      <c r="E25" s="17" t="n"/>
      <c r="F25" s="18">
        <f>IF(AND(C25&lt;&gt;"",D25&lt;&gt;""),ROUND(C25/(C25+D25)*100,1)&amp;"%","")</f>
        <v/>
      </c>
      <c r="G25" s="18">
        <f>IF(AND(C25&lt;&gt;"",E25&lt;&gt;""),ROUND(C25/(C25+E25)*100,1)&amp;"%","")</f>
        <v/>
      </c>
      <c r="H25" s="18">
        <f>IF(AND(F25&lt;&gt;"",G25&lt;&gt;""),ROUND(2*(VALUE(LEFT(F25,LEN(F25)-1))/100)*(VALUE(LEFT(G25,LEN(G25)-1))/100)/((VALUE(LEFT(F25,LEN(F25)-1))/100)+(VALUE(LEFT(G25,LEN(G25)-1))/100)),2),"")</f>
        <v/>
      </c>
      <c r="I25" s="17" t="n"/>
      <c r="J25" s="17" t="n"/>
      <c r="K25" s="17" t="n"/>
      <c r="L25" s="17" t="n"/>
      <c r="M25" s="17" t="n"/>
      <c r="N25" s="17" t="n"/>
      <c r="O25" s="17" t="n"/>
      <c r="P25" s="17" t="n"/>
    </row>
    <row r="26">
      <c r="A26" s="17" t="n"/>
      <c r="B26" s="17" t="n"/>
      <c r="C26" s="17" t="n"/>
      <c r="D26" s="17" t="n"/>
      <c r="E26" s="17" t="n"/>
      <c r="F26" s="18">
        <f>IF(AND(C26&lt;&gt;"",D26&lt;&gt;""),ROUND(C26/(C26+D26)*100,1)&amp;"%","")</f>
        <v/>
      </c>
      <c r="G26" s="18">
        <f>IF(AND(C26&lt;&gt;"",E26&lt;&gt;""),ROUND(C26/(C26+E26)*100,1)&amp;"%","")</f>
        <v/>
      </c>
      <c r="H26" s="18">
        <f>IF(AND(F26&lt;&gt;"",G26&lt;&gt;""),ROUND(2*(VALUE(LEFT(F26,LEN(F26)-1))/100)*(VALUE(LEFT(G26,LEN(G26)-1))/100)/((VALUE(LEFT(F26,LEN(F26)-1))/100)+(VALUE(LEFT(G26,LEN(G26)-1))/100)),2),"")</f>
        <v/>
      </c>
      <c r="I26" s="17" t="n"/>
      <c r="J26" s="17" t="n"/>
      <c r="K26" s="17" t="n"/>
      <c r="L26" s="17" t="n"/>
      <c r="M26" s="17" t="n"/>
      <c r="N26" s="17" t="n"/>
      <c r="O26" s="17" t="n"/>
      <c r="P26" s="17" t="n"/>
    </row>
    <row r="27">
      <c r="A27" s="17" t="n"/>
      <c r="B27" s="17" t="n"/>
      <c r="C27" s="17" t="n"/>
      <c r="D27" s="17" t="n"/>
      <c r="E27" s="17" t="n"/>
      <c r="F27" s="18">
        <f>IF(AND(C27&lt;&gt;"",D27&lt;&gt;""),ROUND(C27/(C27+D27)*100,1)&amp;"%","")</f>
        <v/>
      </c>
      <c r="G27" s="18">
        <f>IF(AND(C27&lt;&gt;"",E27&lt;&gt;""),ROUND(C27/(C27+E27)*100,1)&amp;"%","")</f>
        <v/>
      </c>
      <c r="H27" s="18">
        <f>IF(AND(F27&lt;&gt;"",G27&lt;&gt;""),ROUND(2*(VALUE(LEFT(F27,LEN(F27)-1))/100)*(VALUE(LEFT(G27,LEN(G27)-1))/100)/((VALUE(LEFT(F27,LEN(F27)-1))/100)+(VALUE(LEFT(G27,LEN(G27)-1))/100)),2),"")</f>
        <v/>
      </c>
      <c r="I27" s="17" t="n"/>
      <c r="J27" s="17" t="n"/>
      <c r="K27" s="17" t="n"/>
      <c r="L27" s="17" t="n"/>
      <c r="M27" s="17" t="n"/>
      <c r="N27" s="17" t="n"/>
      <c r="O27" s="17" t="n"/>
      <c r="P27" s="17" t="n"/>
    </row>
    <row r="28">
      <c r="A28" s="17" t="n"/>
      <c r="B28" s="17" t="n"/>
      <c r="C28" s="17" t="n"/>
      <c r="D28" s="17" t="n"/>
      <c r="E28" s="17" t="n"/>
      <c r="F28" s="18">
        <f>IF(AND(C28&lt;&gt;"",D28&lt;&gt;""),ROUND(C28/(C28+D28)*100,1)&amp;"%","")</f>
        <v/>
      </c>
      <c r="G28" s="18">
        <f>IF(AND(C28&lt;&gt;"",E28&lt;&gt;""),ROUND(C28/(C28+E28)*100,1)&amp;"%","")</f>
        <v/>
      </c>
      <c r="H28" s="18">
        <f>IF(AND(F28&lt;&gt;"",G28&lt;&gt;""),ROUND(2*(VALUE(LEFT(F28,LEN(F28)-1))/100)*(VALUE(LEFT(G28,LEN(G28)-1))/100)/((VALUE(LEFT(F28,LEN(F28)-1))/100)+(VALUE(LEFT(G28,LEN(G28)-1))/100)),2),"")</f>
        <v/>
      </c>
      <c r="I28" s="17" t="n"/>
      <c r="J28" s="17" t="n"/>
      <c r="K28" s="17" t="n"/>
      <c r="L28" s="17" t="n"/>
      <c r="M28" s="17" t="n"/>
      <c r="N28" s="17" t="n"/>
      <c r="O28" s="17" t="n"/>
      <c r="P28" s="17" t="n"/>
    </row>
    <row r="29">
      <c r="A29" s="17" t="n"/>
      <c r="B29" s="17" t="n"/>
      <c r="C29" s="17" t="n"/>
      <c r="D29" s="17" t="n"/>
      <c r="E29" s="17" t="n"/>
      <c r="F29" s="18">
        <f>IF(AND(C29&lt;&gt;"",D29&lt;&gt;""),ROUND(C29/(C29+D29)*100,1)&amp;"%","")</f>
        <v/>
      </c>
      <c r="G29" s="18">
        <f>IF(AND(C29&lt;&gt;"",E29&lt;&gt;""),ROUND(C29/(C29+E29)*100,1)&amp;"%","")</f>
        <v/>
      </c>
      <c r="H29" s="18">
        <f>IF(AND(F29&lt;&gt;"",G29&lt;&gt;""),ROUND(2*(VALUE(LEFT(F29,LEN(F29)-1))/100)*(VALUE(LEFT(G29,LEN(G29)-1))/100)/((VALUE(LEFT(F29,LEN(F29)-1))/100)+(VALUE(LEFT(G29,LEN(G29)-1))/100)),2),"")</f>
        <v/>
      </c>
      <c r="I29" s="17" t="n"/>
      <c r="J29" s="17" t="n"/>
      <c r="K29" s="17" t="n"/>
      <c r="L29" s="17" t="n"/>
      <c r="M29" s="17" t="n"/>
      <c r="N29" s="17" t="n"/>
      <c r="O29" s="17" t="n"/>
      <c r="P29" s="17" t="n"/>
    </row>
    <row r="30">
      <c r="A30" s="17" t="n"/>
      <c r="B30" s="17" t="n"/>
      <c r="C30" s="17" t="n"/>
      <c r="D30" s="17" t="n"/>
      <c r="E30" s="17" t="n"/>
      <c r="F30" s="18">
        <f>IF(AND(C30&lt;&gt;"",D30&lt;&gt;""),ROUND(C30/(C30+D30)*100,1)&amp;"%","")</f>
        <v/>
      </c>
      <c r="G30" s="18">
        <f>IF(AND(C30&lt;&gt;"",E30&lt;&gt;""),ROUND(C30/(C30+E30)*100,1)&amp;"%","")</f>
        <v/>
      </c>
      <c r="H30" s="18">
        <f>IF(AND(F30&lt;&gt;"",G30&lt;&gt;""),ROUND(2*(VALUE(LEFT(F30,LEN(F30)-1))/100)*(VALUE(LEFT(G30,LEN(G30)-1))/100)/((VALUE(LEFT(F30,LEN(F30)-1))/100)+(VALUE(LEFT(G30,LEN(G30)-1))/100)),2),"")</f>
        <v/>
      </c>
      <c r="I30" s="17" t="n"/>
      <c r="J30" s="17" t="n"/>
      <c r="K30" s="17" t="n"/>
      <c r="L30" s="17" t="n"/>
      <c r="M30" s="17" t="n"/>
      <c r="N30" s="17" t="n"/>
      <c r="O30" s="17" t="n"/>
      <c r="P30" s="17" t="n"/>
    </row>
    <row r="31">
      <c r="A31" s="17" t="n"/>
      <c r="B31" s="17" t="n"/>
      <c r="C31" s="17" t="n"/>
      <c r="D31" s="17" t="n"/>
      <c r="E31" s="17" t="n"/>
      <c r="F31" s="18">
        <f>IF(AND(C31&lt;&gt;"",D31&lt;&gt;""),ROUND(C31/(C31+D31)*100,1)&amp;"%","")</f>
        <v/>
      </c>
      <c r="G31" s="18">
        <f>IF(AND(C31&lt;&gt;"",E31&lt;&gt;""),ROUND(C31/(C31+E31)*100,1)&amp;"%","")</f>
        <v/>
      </c>
      <c r="H31" s="18">
        <f>IF(AND(F31&lt;&gt;"",G31&lt;&gt;""),ROUND(2*(VALUE(LEFT(F31,LEN(F31)-1))/100)*(VALUE(LEFT(G31,LEN(G31)-1))/100)/((VALUE(LEFT(F31,LEN(F31)-1))/100)+(VALUE(LEFT(G31,LEN(G31)-1))/100)),2),"")</f>
        <v/>
      </c>
      <c r="I31" s="17" t="n"/>
      <c r="J31" s="17" t="n"/>
      <c r="K31" s="17" t="n"/>
      <c r="L31" s="17" t="n"/>
      <c r="M31" s="17" t="n"/>
      <c r="N31" s="17" t="n"/>
      <c r="O31" s="17" t="n"/>
      <c r="P31" s="17" t="n"/>
    </row>
    <row r="32">
      <c r="A32" s="17" t="n"/>
      <c r="B32" s="17" t="n"/>
      <c r="C32" s="17" t="n"/>
      <c r="D32" s="17" t="n"/>
      <c r="E32" s="17" t="n"/>
      <c r="F32" s="18">
        <f>IF(AND(C32&lt;&gt;"",D32&lt;&gt;""),ROUND(C32/(C32+D32)*100,1)&amp;"%","")</f>
        <v/>
      </c>
      <c r="G32" s="18">
        <f>IF(AND(C32&lt;&gt;"",E32&lt;&gt;""),ROUND(C32/(C32+E32)*100,1)&amp;"%","")</f>
        <v/>
      </c>
      <c r="H32" s="18">
        <f>IF(AND(F32&lt;&gt;"",G32&lt;&gt;""),ROUND(2*(VALUE(LEFT(F32,LEN(F32)-1))/100)*(VALUE(LEFT(G32,LEN(G32)-1))/100)/((VALUE(LEFT(F32,LEN(F32)-1))/100)+(VALUE(LEFT(G32,LEN(G32)-1))/100)),2),"")</f>
        <v/>
      </c>
      <c r="I32" s="17" t="n"/>
      <c r="J32" s="17" t="n"/>
      <c r="K32" s="17" t="n"/>
      <c r="L32" s="17" t="n"/>
      <c r="M32" s="17" t="n"/>
      <c r="N32" s="17" t="n"/>
      <c r="O32" s="17" t="n"/>
      <c r="P32" s="17" t="n"/>
    </row>
    <row r="33">
      <c r="A33" s="17" t="n"/>
      <c r="B33" s="17" t="n"/>
      <c r="C33" s="17" t="n"/>
      <c r="D33" s="17" t="n"/>
      <c r="E33" s="17" t="n"/>
      <c r="F33" s="18">
        <f>IF(AND(C33&lt;&gt;"",D33&lt;&gt;""),ROUND(C33/(C33+D33)*100,1)&amp;"%","")</f>
        <v/>
      </c>
      <c r="G33" s="18">
        <f>IF(AND(C33&lt;&gt;"",E33&lt;&gt;""),ROUND(C33/(C33+E33)*100,1)&amp;"%","")</f>
        <v/>
      </c>
      <c r="H33" s="18">
        <f>IF(AND(F33&lt;&gt;"",G33&lt;&gt;""),ROUND(2*(VALUE(LEFT(F33,LEN(F33)-1))/100)*(VALUE(LEFT(G33,LEN(G33)-1))/100)/((VALUE(LEFT(F33,LEN(F33)-1))/100)+(VALUE(LEFT(G33,LEN(G33)-1))/100)),2),"")</f>
        <v/>
      </c>
      <c r="I33" s="17" t="n"/>
      <c r="J33" s="17" t="n"/>
      <c r="K33" s="17" t="n"/>
      <c r="L33" s="17" t="n"/>
      <c r="M33" s="17" t="n"/>
      <c r="N33" s="17" t="n"/>
      <c r="O33" s="17" t="n"/>
      <c r="P33" s="17" t="n"/>
    </row>
    <row r="34">
      <c r="A34" s="17" t="n"/>
      <c r="B34" s="17" t="n"/>
      <c r="C34" s="17" t="n"/>
      <c r="D34" s="17" t="n"/>
      <c r="E34" s="17" t="n"/>
      <c r="F34" s="18">
        <f>IF(AND(C34&lt;&gt;"",D34&lt;&gt;""),ROUND(C34/(C34+D34)*100,1)&amp;"%","")</f>
        <v/>
      </c>
      <c r="G34" s="18">
        <f>IF(AND(C34&lt;&gt;"",E34&lt;&gt;""),ROUND(C34/(C34+E34)*100,1)&amp;"%","")</f>
        <v/>
      </c>
      <c r="H34" s="18">
        <f>IF(AND(F34&lt;&gt;"",G34&lt;&gt;""),ROUND(2*(VALUE(LEFT(F34,LEN(F34)-1))/100)*(VALUE(LEFT(G34,LEN(G34)-1))/100)/((VALUE(LEFT(F34,LEN(F34)-1))/100)+(VALUE(LEFT(G34,LEN(G34)-1))/100)),2),"")</f>
        <v/>
      </c>
      <c r="I34" s="17" t="n"/>
      <c r="J34" s="17" t="n"/>
      <c r="K34" s="17" t="n"/>
      <c r="L34" s="17" t="n"/>
      <c r="M34" s="17" t="n"/>
      <c r="N34" s="17" t="n"/>
      <c r="O34" s="17" t="n"/>
      <c r="P34" s="17" t="n"/>
    </row>
    <row r="35">
      <c r="A35" s="17" t="n"/>
      <c r="B35" s="17" t="n"/>
      <c r="C35" s="17" t="n"/>
      <c r="D35" s="17" t="n"/>
      <c r="E35" s="17" t="n"/>
      <c r="F35" s="18">
        <f>IF(AND(C35&lt;&gt;"",D35&lt;&gt;""),ROUND(C35/(C35+D35)*100,1)&amp;"%","")</f>
        <v/>
      </c>
      <c r="G35" s="18">
        <f>IF(AND(C35&lt;&gt;"",E35&lt;&gt;""),ROUND(C35/(C35+E35)*100,1)&amp;"%","")</f>
        <v/>
      </c>
      <c r="H35" s="18">
        <f>IF(AND(F35&lt;&gt;"",G35&lt;&gt;""),ROUND(2*(VALUE(LEFT(F35,LEN(F35)-1))/100)*(VALUE(LEFT(G35,LEN(G35)-1))/100)/((VALUE(LEFT(F35,LEN(F35)-1))/100)+(VALUE(LEFT(G35,LEN(G35)-1))/100)),2),"")</f>
        <v/>
      </c>
      <c r="I35" s="17" t="n"/>
      <c r="J35" s="17" t="n"/>
      <c r="K35" s="17" t="n"/>
      <c r="L35" s="17" t="n"/>
      <c r="M35" s="17" t="n"/>
      <c r="N35" s="17" t="n"/>
      <c r="O35" s="17" t="n"/>
      <c r="P35" s="17" t="n"/>
    </row>
    <row r="36">
      <c r="A36" s="17" t="n"/>
      <c r="B36" s="17" t="n"/>
      <c r="C36" s="17" t="n"/>
      <c r="D36" s="17" t="n"/>
      <c r="E36" s="17" t="n"/>
      <c r="F36" s="18">
        <f>IF(AND(C36&lt;&gt;"",D36&lt;&gt;""),ROUND(C36/(C36+D36)*100,1)&amp;"%","")</f>
        <v/>
      </c>
      <c r="G36" s="18">
        <f>IF(AND(C36&lt;&gt;"",E36&lt;&gt;""),ROUND(C36/(C36+E36)*100,1)&amp;"%","")</f>
        <v/>
      </c>
      <c r="H36" s="18">
        <f>IF(AND(F36&lt;&gt;"",G36&lt;&gt;""),ROUND(2*(VALUE(LEFT(F36,LEN(F36)-1))/100)*(VALUE(LEFT(G36,LEN(G36)-1))/100)/((VALUE(LEFT(F36,LEN(F36)-1))/100)+(VALUE(LEFT(G36,LEN(G36)-1))/100)),2),"")</f>
        <v/>
      </c>
      <c r="I36" s="17" t="n"/>
      <c r="J36" s="17" t="n"/>
      <c r="K36" s="17" t="n"/>
      <c r="L36" s="17" t="n"/>
      <c r="M36" s="17" t="n"/>
      <c r="N36" s="17" t="n"/>
      <c r="O36" s="17" t="n"/>
      <c r="P36" s="17" t="n"/>
    </row>
    <row r="37">
      <c r="A37" s="17" t="n"/>
      <c r="B37" s="17" t="n"/>
      <c r="C37" s="17" t="n"/>
      <c r="D37" s="17" t="n"/>
      <c r="E37" s="17" t="n"/>
      <c r="F37" s="18">
        <f>IF(AND(C37&lt;&gt;"",D37&lt;&gt;""),ROUND(C37/(C37+D37)*100,1)&amp;"%","")</f>
        <v/>
      </c>
      <c r="G37" s="18">
        <f>IF(AND(C37&lt;&gt;"",E37&lt;&gt;""),ROUND(C37/(C37+E37)*100,1)&amp;"%","")</f>
        <v/>
      </c>
      <c r="H37" s="18">
        <f>IF(AND(F37&lt;&gt;"",G37&lt;&gt;""),ROUND(2*(VALUE(LEFT(F37,LEN(F37)-1))/100)*(VALUE(LEFT(G37,LEN(G37)-1))/100)/((VALUE(LEFT(F37,LEN(F37)-1))/100)+(VALUE(LEFT(G37,LEN(G37)-1))/100)),2),"")</f>
        <v/>
      </c>
      <c r="I37" s="17" t="n"/>
      <c r="J37" s="17" t="n"/>
      <c r="K37" s="17" t="n"/>
      <c r="L37" s="17" t="n"/>
      <c r="M37" s="17" t="n"/>
      <c r="N37" s="17" t="n"/>
      <c r="O37" s="17" t="n"/>
      <c r="P37" s="17" t="n"/>
    </row>
    <row r="40">
      <c r="A40" s="3" t="inlineStr">
        <is>
          <t>PERFORMANCE STATISTICS</t>
        </is>
      </c>
    </row>
    <row r="41">
      <c r="A41" s="7" t="inlineStr">
        <is>
          <t>Metric</t>
        </is>
      </c>
      <c r="B41" s="11" t="n"/>
      <c r="C41" s="11" t="n"/>
      <c r="D41" s="11" t="n"/>
      <c r="E41" s="11" t="n"/>
      <c r="F41" s="11" t="n"/>
      <c r="G41" s="11" t="n"/>
      <c r="H41" s="11" t="n"/>
      <c r="I41" s="11" t="n"/>
      <c r="J41" s="11" t="n"/>
      <c r="K41" s="11" t="n"/>
      <c r="L41" s="11" t="n"/>
      <c r="M41" s="11" t="n"/>
      <c r="N41" s="11" t="n"/>
      <c r="O41" s="11" t="n"/>
      <c r="P41" s="11" t="n"/>
    </row>
    <row r="42" ht="25" customHeight="1">
      <c r="A42" s="6" t="inlineStr">
        <is>
          <t>Average Precision across all rules</t>
        </is>
      </c>
    </row>
    <row r="43" ht="25" customHeight="1">
      <c r="A43" s="6" t="inlineStr">
        <is>
          <t>Average Recall across all rules</t>
        </is>
      </c>
    </row>
    <row r="44" ht="25" customHeight="1">
      <c r="A44" s="6" t="inlineStr">
        <is>
          <t>Average F1 Score</t>
        </is>
      </c>
    </row>
    <row r="45" ht="25" customHeight="1">
      <c r="A45" s="6" t="inlineStr">
        <is>
          <t>Rules with Precision &lt;70%</t>
        </is>
      </c>
    </row>
    <row r="46" ht="25" customHeight="1">
      <c r="A46" s="6" t="inlineStr">
        <is>
          <t>Rules with high FP rate (&gt;30%)</t>
        </is>
      </c>
    </row>
    <row r="47" ht="25" customHeight="1">
      <c r="A47" s="6" t="inlineStr">
        <is>
          <t>Rules requiring tuning</t>
        </is>
      </c>
    </row>
    <row r="48" ht="25" customHeight="1">
      <c r="A48" s="6" t="inlineStr">
        <is>
          <t>Rules tuned in last 30 days</t>
        </is>
      </c>
    </row>
    <row r="49" ht="25" customHeight="1">
      <c r="A49" s="6" t="inlineStr">
        <is>
          <t>Average MTTD (minutes)</t>
        </is>
      </c>
    </row>
    <row r="52">
      <c r="A52" s="3" t="inlineStr">
        <is>
          <t>RECENT TUNING ACTIONS LOG</t>
        </is>
      </c>
    </row>
    <row r="53">
      <c r="A53" s="7" t="inlineStr">
        <is>
          <t>Date</t>
        </is>
      </c>
      <c r="B53" s="7" t="inlineStr">
        <is>
          <t>Rule ID</t>
        </is>
      </c>
      <c r="C53" s="7" t="inlineStr">
        <is>
          <t>Action Taken</t>
        </is>
      </c>
      <c r="D53" s="7" t="inlineStr">
        <is>
          <t>Reason</t>
        </is>
      </c>
      <c r="E53" s="7" t="inlineStr">
        <is>
          <t>Before Precision</t>
        </is>
      </c>
      <c r="F53" s="7" t="inlineStr">
        <is>
          <t>After Precision</t>
        </is>
      </c>
      <c r="G53" s="7" t="inlineStr">
        <is>
          <t>Performed By</t>
        </is>
      </c>
    </row>
    <row r="54" ht="25" customHeight="1">
      <c r="A54" s="24" t="n"/>
      <c r="B54" s="24" t="n"/>
      <c r="C54" s="24" t="n"/>
      <c r="D54" s="24" t="n"/>
      <c r="E54" s="24" t="n"/>
      <c r="F54" s="24" t="n"/>
      <c r="G54" s="24" t="n"/>
    </row>
    <row r="55" ht="25" customHeight="1">
      <c r="A55" s="24" t="n"/>
      <c r="B55" s="24" t="n"/>
      <c r="C55" s="24" t="n"/>
      <c r="D55" s="24" t="n"/>
      <c r="E55" s="24" t="n"/>
      <c r="F55" s="24" t="n"/>
      <c r="G55" s="24" t="n"/>
    </row>
    <row r="56" ht="25" customHeight="1">
      <c r="A56" s="24" t="n"/>
      <c r="B56" s="24" t="n"/>
      <c r="C56" s="24" t="n"/>
      <c r="D56" s="24" t="n"/>
      <c r="E56" s="24" t="n"/>
      <c r="F56" s="24" t="n"/>
      <c r="G56" s="24" t="n"/>
    </row>
    <row r="57" ht="25" customHeight="1">
      <c r="A57" s="24" t="n"/>
      <c r="B57" s="24" t="n"/>
      <c r="C57" s="24" t="n"/>
      <c r="D57" s="24" t="n"/>
      <c r="E57" s="24" t="n"/>
      <c r="F57" s="24" t="n"/>
      <c r="G57" s="24" t="n"/>
    </row>
    <row r="58" ht="25" customHeight="1">
      <c r="A58" s="24" t="n"/>
      <c r="B58" s="24" t="n"/>
      <c r="C58" s="24" t="n"/>
      <c r="D58" s="24" t="n"/>
      <c r="E58" s="24" t="n"/>
      <c r="F58" s="24" t="n"/>
      <c r="G58" s="24" t="n"/>
    </row>
    <row r="59" ht="25" customHeight="1">
      <c r="A59" s="24" t="n"/>
      <c r="B59" s="24" t="n"/>
      <c r="C59" s="24" t="n"/>
      <c r="D59" s="24" t="n"/>
      <c r="E59" s="24" t="n"/>
      <c r="F59" s="24" t="n"/>
      <c r="G59" s="24" t="n"/>
    </row>
    <row r="60" ht="25" customHeight="1">
      <c r="A60" s="24" t="n"/>
      <c r="B60" s="24" t="n"/>
      <c r="C60" s="24" t="n"/>
      <c r="D60" s="24" t="n"/>
      <c r="E60" s="24" t="n"/>
      <c r="F60" s="24" t="n"/>
      <c r="G60" s="24" t="n"/>
    </row>
    <row r="61" ht="25" customHeight="1">
      <c r="A61" s="24" t="n"/>
      <c r="B61" s="24" t="n"/>
      <c r="C61" s="24" t="n"/>
      <c r="D61" s="24" t="n"/>
      <c r="E61" s="24" t="n"/>
      <c r="F61" s="24" t="n"/>
      <c r="G61" s="24" t="n"/>
    </row>
    <row r="62" ht="25" customHeight="1">
      <c r="A62" s="24" t="n"/>
      <c r="B62" s="24" t="n"/>
      <c r="C62" s="24" t="n"/>
      <c r="D62" s="24" t="n"/>
      <c r="E62" s="24" t="n"/>
      <c r="F62" s="24" t="n"/>
      <c r="G62" s="24" t="n"/>
    </row>
    <row r="63" ht="25" customHeight="1">
      <c r="A63" s="24" t="n"/>
      <c r="B63" s="24" t="n"/>
      <c r="C63" s="24" t="n"/>
      <c r="D63" s="24" t="n"/>
      <c r="E63" s="24" t="n"/>
      <c r="F63" s="24" t="n"/>
      <c r="G63" s="24" t="n"/>
    </row>
    <row r="66">
      <c r="A66" s="3" t="inlineStr">
        <is>
          <t>RULE PERFORMANCE &amp; TUNING CHECKLIST</t>
        </is>
      </c>
    </row>
    <row r="67">
      <c r="A67" s="7" t="inlineStr">
        <is>
          <t>#</t>
        </is>
      </c>
      <c r="B67" s="7" t="inlineStr">
        <is>
          <t>Requirement</t>
        </is>
      </c>
      <c r="C67" s="11" t="n"/>
      <c r="D67" s="11" t="n"/>
      <c r="E67" s="11" t="n"/>
      <c r="F67" s="11" t="n"/>
      <c r="G67" s="11" t="n"/>
      <c r="H67" s="11" t="n"/>
      <c r="I67" s="11" t="n"/>
      <c r="J67" s="11" t="n"/>
      <c r="K67" s="11" t="n"/>
      <c r="L67" s="11" t="n"/>
      <c r="M67" s="11" t="n"/>
      <c r="N67" s="11" t="n"/>
      <c r="O67" s="12" t="n"/>
    </row>
    <row r="68" ht="25" customHeight="1">
      <c r="A68" t="n">
        <v>1</v>
      </c>
      <c r="B68" s="6" t="inlineStr">
        <is>
          <t>Rule performance metrics collected (TP, FP, FN)</t>
        </is>
      </c>
      <c r="P68" s="5" t="n"/>
    </row>
    <row r="69" ht="25" customHeight="1">
      <c r="A69" t="n">
        <v>2</v>
      </c>
      <c r="B69" s="6" t="inlineStr">
        <is>
          <t>Precision calculated for all active rules</t>
        </is>
      </c>
      <c r="P69" s="5" t="n"/>
    </row>
    <row r="70" ht="25" customHeight="1">
      <c r="A70" t="n">
        <v>3</v>
      </c>
      <c r="B70" s="6" t="inlineStr">
        <is>
          <t>Recall calculated for all active rules</t>
        </is>
      </c>
      <c r="P70" s="5" t="n"/>
    </row>
    <row r="71" ht="25" customHeight="1">
      <c r="A71" t="n">
        <v>4</v>
      </c>
      <c r="B71" s="6" t="inlineStr">
        <is>
          <t>F1 Score tracked to balance precision and recall</t>
        </is>
      </c>
      <c r="P71" s="5" t="n"/>
    </row>
    <row r="72" ht="25" customHeight="1">
      <c r="A72" t="n">
        <v>5</v>
      </c>
      <c r="B72" s="6" t="inlineStr">
        <is>
          <t>MTTD tracked for critical/high severity rules</t>
        </is>
      </c>
      <c r="P72" s="5" t="n"/>
    </row>
    <row r="73" ht="25" customHeight="1">
      <c r="A73" t="n">
        <v>6</v>
      </c>
      <c r="B73" s="6" t="inlineStr">
        <is>
          <t>Rules with precision &lt;70% identified for tuning</t>
        </is>
      </c>
      <c r="P73" s="5" t="n"/>
    </row>
    <row r="74" ht="25" customHeight="1">
      <c r="A74" t="n">
        <v>7</v>
      </c>
      <c r="B74" s="6" t="inlineStr">
        <is>
          <t>False positive rate acceptable (&lt;30%)</t>
        </is>
      </c>
      <c r="P74" s="5" t="n"/>
    </row>
    <row r="75" ht="25" customHeight="1">
      <c r="A75" t="n">
        <v>8</v>
      </c>
      <c r="B75" s="6" t="inlineStr">
        <is>
          <t>False negative testing performed</t>
        </is>
      </c>
      <c r="P75" s="5" t="n"/>
    </row>
    <row r="76" ht="25" customHeight="1">
      <c r="A76" t="n">
        <v>9</v>
      </c>
      <c r="B76" s="6" t="inlineStr">
        <is>
          <t>Tuning actions documented and tracked</t>
        </is>
      </c>
      <c r="P76" s="5" t="n"/>
    </row>
    <row r="77" ht="25" customHeight="1">
      <c r="A77" t="n">
        <v>10</v>
      </c>
      <c r="B77" s="6" t="inlineStr">
        <is>
          <t>Rules tuned regularly (quarterly minimum)</t>
        </is>
      </c>
      <c r="P77" s="5" t="n"/>
    </row>
    <row r="78" ht="25" customHeight="1">
      <c r="A78" t="n">
        <v>11</v>
      </c>
      <c r="B78" s="6" t="inlineStr">
        <is>
          <t>Performance trends monitored over time</t>
        </is>
      </c>
      <c r="P78" s="5" t="n"/>
    </row>
    <row r="79" ht="25" customHeight="1">
      <c r="A79" t="n">
        <v>12</v>
      </c>
      <c r="B79" s="6" t="inlineStr">
        <is>
          <t>High-priority rules tuned within 30 days of issues</t>
        </is>
      </c>
      <c r="P79" s="5" t="n"/>
    </row>
    <row r="80" ht="25" customHeight="1">
      <c r="A80" t="n">
        <v>13</v>
      </c>
      <c r="B80" s="6" t="inlineStr">
        <is>
          <t>Tuning effectiveness measured (before/after metrics)</t>
        </is>
      </c>
      <c r="P80" s="5" t="n"/>
    </row>
    <row r="81" ht="25" customHeight="1">
      <c r="A81" t="n">
        <v>14</v>
      </c>
      <c r="B81" s="6" t="inlineStr">
        <is>
          <t>Rule owners assigned and accountable</t>
        </is>
      </c>
      <c r="P81" s="5" t="n"/>
    </row>
    <row r="82" ht="25" customHeight="1">
      <c r="A82" t="n">
        <v>15</v>
      </c>
      <c r="B82" s="6" t="inlineStr">
        <is>
          <t>Performance metrics reviewed in quarterly meetings</t>
        </is>
      </c>
      <c r="P82" s="5" t="n"/>
    </row>
    <row r="83">
      <c r="A83" s="19" t="inlineStr">
        <is>
          <t>SCORE:</t>
        </is>
      </c>
      <c r="B83" s="20">
        <f>COUNTIF(P68:P82,"✅ Compliant")&amp;" / 15"</f>
        <v/>
      </c>
    </row>
  </sheetData>
  <mergeCells count="60">
    <mergeCell ref="B79:O79"/>
    <mergeCell ref="A5:P5"/>
    <mergeCell ref="C49:M49"/>
    <mergeCell ref="B75:O75"/>
    <mergeCell ref="B83:E83"/>
    <mergeCell ref="B42:J42"/>
    <mergeCell ref="B72:O72"/>
    <mergeCell ref="C42:M42"/>
    <mergeCell ref="B81:O81"/>
    <mergeCell ref="A43:G43"/>
    <mergeCell ref="A52:P52"/>
    <mergeCell ref="B44:J44"/>
    <mergeCell ref="D42:P42"/>
    <mergeCell ref="C45:M45"/>
    <mergeCell ref="B71:O71"/>
    <mergeCell ref="A44:G44"/>
    <mergeCell ref="B77:O77"/>
    <mergeCell ref="A40:P40"/>
    <mergeCell ref="B70:O70"/>
    <mergeCell ref="A48:G48"/>
    <mergeCell ref="C41:M41"/>
    <mergeCell ref="D44:P44"/>
    <mergeCell ref="C47:M47"/>
    <mergeCell ref="B49:J49"/>
    <mergeCell ref="B67:O67"/>
    <mergeCell ref="C44:M44"/>
    <mergeCell ref="A49:G49"/>
    <mergeCell ref="A45:G45"/>
    <mergeCell ref="D46:P46"/>
    <mergeCell ref="B82:O82"/>
    <mergeCell ref="C43:M43"/>
    <mergeCell ref="B73:O73"/>
    <mergeCell ref="B45:J45"/>
    <mergeCell ref="A1:P1"/>
    <mergeCell ref="B69:O69"/>
    <mergeCell ref="D45:P45"/>
    <mergeCell ref="B78:O78"/>
    <mergeCell ref="C46:M46"/>
    <mergeCell ref="B41:J41"/>
    <mergeCell ref="A41:G41"/>
    <mergeCell ref="D49:P49"/>
    <mergeCell ref="B47:J47"/>
    <mergeCell ref="C48:M48"/>
    <mergeCell ref="A46:G46"/>
    <mergeCell ref="B74:O74"/>
    <mergeCell ref="D41:P41"/>
    <mergeCell ref="A66:P66"/>
    <mergeCell ref="B46:J46"/>
    <mergeCell ref="B68:O68"/>
    <mergeCell ref="D48:P48"/>
    <mergeCell ref="B48:J48"/>
    <mergeCell ref="B80:O80"/>
    <mergeCell ref="A3:P3"/>
    <mergeCell ref="B76:O76"/>
    <mergeCell ref="B43:J43"/>
    <mergeCell ref="D47:P47"/>
    <mergeCell ref="D43:P43"/>
    <mergeCell ref="A47:G47"/>
    <mergeCell ref="A42:G42"/>
    <mergeCell ref="A2:P2"/>
  </mergeCells>
  <dataValidations count="3">
    <dataValidation sqref="L8 L9 L10 L11 L12 L13 L14 L15 L16 L17 L18 L19 L20 L21 L22 L23 L24 L25 L26 L27 L28 L29 L30 L31 L32 L33 L34 L35 L36 L37" showDropDown="0" showInputMessage="0" showErrorMessage="0" allowBlank="0" type="list">
      <formula1>"Optimized,Needs Tuning,Under Review,New Rule"</formula1>
    </dataValidation>
    <dataValidation sqref="P68 P69 P70 P71 P72 P73 P74 P75 P76 P77 P78 P79 P80 P81 P82" showDropDown="0" showInputMessage="0" showErrorMessage="0" allowBlank="0" type="list">
      <formula1>"✅ Compliant,⚠️ Partial,❌ Non-Compliant,N/A"</formula1>
    </dataValidation>
    <dataValidation sqref="P8 P9 P10 P11 P12 P13 P14 P15 P16 P17 P18 P19 P20 P21 P22 P23 P24 P25 P26 P27 P28 P29 P30 P31 P32 P33 P34 P35 P36 P37" showDropDown="0" showInputMessage="0" showErrorMessage="0" allowBlank="0" type="list">
      <formula1>"Critical,High,Medium,Low,None"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cols>
    <col width="15" customWidth="1" min="1" max="1"/>
    <col width="30" customWidth="1" min="2" max="2"/>
    <col width="16" customWidth="1" min="3" max="3"/>
    <col width="20" customWidth="1" min="4" max="4"/>
    <col width="40" customWidth="1" min="5" max="5"/>
    <col width="35" customWidth="1" min="6" max="6"/>
    <col width="35" customWidth="1" min="7" max="7"/>
    <col width="15" customWidth="1" min="8" max="8"/>
    <col width="15" customWidth="1" min="9" max="9"/>
    <col width="35" customWidth="1" min="10" max="10"/>
    <col width="35" customWidth="1" min="11" max="11"/>
    <col width="15" customWidth="1" min="12" max="12"/>
    <col width="20" customWidth="1" min="13" max="13"/>
    <col width="35" customWidth="1" min="14" max="14"/>
  </cols>
  <sheetData>
    <row r="1" ht="35" customHeight="1">
      <c r="A1" s="1" t="inlineStr">
        <is>
          <t>5. DETECTION TESTING &amp; VALIDATION</t>
        </is>
      </c>
    </row>
    <row r="2">
      <c r="A2" s="2" t="inlineStr">
        <is>
          <t>Policy Reference: ISMS-POL-A.8.16-S2.2.5 - Detection rule testing and validation</t>
        </is>
      </c>
    </row>
    <row r="3" ht="30" customHeight="1">
      <c r="A3" s="15" t="inlineStr">
        <is>
          <t>Are detection rules tested and validated to ensure they detect intended threats?</t>
        </is>
      </c>
    </row>
    <row r="6">
      <c r="A6" s="7" t="inlineStr">
        <is>
          <t>Test ID</t>
        </is>
      </c>
      <c r="B6" s="7" t="inlineStr">
        <is>
          <t>Rule ID/Name</t>
        </is>
      </c>
      <c r="C6" s="7" t="inlineStr">
        <is>
          <t>Test Date</t>
        </is>
      </c>
      <c r="D6" s="7" t="inlineStr">
        <is>
          <t>Test Type</t>
        </is>
      </c>
      <c r="E6" s="7" t="inlineStr">
        <is>
          <t>Test Scenario</t>
        </is>
      </c>
      <c r="F6" s="7" t="inlineStr">
        <is>
          <t>Expected Result</t>
        </is>
      </c>
      <c r="G6" s="7" t="inlineStr">
        <is>
          <t>Actual Result</t>
        </is>
      </c>
      <c r="H6" s="7" t="inlineStr">
        <is>
          <t>Test Result</t>
        </is>
      </c>
      <c r="I6" s="7" t="inlineStr">
        <is>
          <t>Detection Time</t>
        </is>
      </c>
      <c r="J6" s="7" t="inlineStr">
        <is>
          <t>Issues Identified</t>
        </is>
      </c>
      <c r="K6" s="7" t="inlineStr">
        <is>
          <t>Remediation Action</t>
        </is>
      </c>
      <c r="L6" s="7" t="inlineStr">
        <is>
          <t>Retested</t>
        </is>
      </c>
      <c r="M6" s="7" t="inlineStr">
        <is>
          <t>Tested By</t>
        </is>
      </c>
      <c r="N6" s="7" t="inlineStr">
        <is>
          <t>Notes</t>
        </is>
      </c>
    </row>
    <row r="7">
      <c r="A7" s="16" t="inlineStr">
        <is>
          <t>TEST-001</t>
        </is>
      </c>
      <c r="B7" s="16" t="inlineStr">
        <is>
          <t>RULE-105</t>
        </is>
      </c>
      <c r="C7" s="16" t="inlineStr">
        <is>
          <t>20.12.2024</t>
        </is>
      </c>
      <c r="D7" s="16" t="inlineStr">
        <is>
          <t>Attack Simulation</t>
        </is>
      </c>
      <c r="E7" s="16" t="inlineStr">
        <is>
          <t>Kerberos Golden Ticket attack</t>
        </is>
      </c>
      <c r="F7" s="16" t="inlineStr">
        <is>
          <t>Alert triggered within 5 min</t>
        </is>
      </c>
      <c r="G7" s="16" t="inlineStr">
        <is>
          <t>Alert triggered in 3 min</t>
        </is>
      </c>
      <c r="H7" s="16" t="inlineStr">
        <is>
          <t>Pass</t>
        </is>
      </c>
      <c r="I7" s="16" t="inlineStr">
        <is>
          <t>3 min</t>
        </is>
      </c>
      <c r="J7" s="16" t="inlineStr">
        <is>
          <t>None</t>
        </is>
      </c>
      <c r="K7" s="16" t="inlineStr">
        <is>
          <t>N/A</t>
        </is>
      </c>
      <c r="L7" s="16" t="inlineStr">
        <is>
          <t>Yes</t>
        </is>
      </c>
      <c r="M7" s="16" t="inlineStr">
        <is>
          <t>SOC Team</t>
        </is>
      </c>
      <c r="N7" s="16" t="inlineStr">
        <is>
          <t>Working as expected</t>
        </is>
      </c>
    </row>
    <row r="8" ht="25" customHeight="1">
      <c r="A8" s="25">
        <f>"TEST-"&amp;TEXT(ROW()-7,"000")</f>
        <v/>
      </c>
      <c r="B8" s="26" t="n"/>
      <c r="C8" s="26" t="n"/>
      <c r="D8" s="26" t="n"/>
      <c r="E8" s="26" t="n"/>
      <c r="F8" s="26" t="n"/>
      <c r="G8" s="26" t="n"/>
      <c r="H8" s="26" t="n"/>
      <c r="I8" s="26" t="n"/>
      <c r="J8" s="26" t="n"/>
      <c r="K8" s="26" t="n"/>
      <c r="L8" s="26" t="n"/>
      <c r="M8" s="26" t="n"/>
      <c r="N8" s="26" t="n"/>
    </row>
    <row r="9" ht="25" customHeight="1">
      <c r="A9" s="25">
        <f>"TEST-"&amp;TEXT(ROW()-7,"000")</f>
        <v/>
      </c>
      <c r="B9" s="26" t="n"/>
      <c r="C9" s="26" t="n"/>
      <c r="D9" s="26" t="n"/>
      <c r="E9" s="26" t="n"/>
      <c r="F9" s="26" t="n"/>
      <c r="G9" s="26" t="n"/>
      <c r="H9" s="26" t="n"/>
      <c r="I9" s="26" t="n"/>
      <c r="J9" s="26" t="n"/>
      <c r="K9" s="26" t="n"/>
      <c r="L9" s="26" t="n"/>
      <c r="M9" s="26" t="n"/>
      <c r="N9" s="26" t="n"/>
    </row>
    <row r="10" ht="25" customHeight="1">
      <c r="A10" s="25">
        <f>"TEST-"&amp;TEXT(ROW()-7,"000")</f>
        <v/>
      </c>
      <c r="B10" s="26" t="n"/>
      <c r="C10" s="26" t="n"/>
      <c r="D10" s="26" t="n"/>
      <c r="E10" s="26" t="n"/>
      <c r="F10" s="26" t="n"/>
      <c r="G10" s="26" t="n"/>
      <c r="H10" s="26" t="n"/>
      <c r="I10" s="26" t="n"/>
      <c r="J10" s="26" t="n"/>
      <c r="K10" s="26" t="n"/>
      <c r="L10" s="26" t="n"/>
      <c r="M10" s="26" t="n"/>
      <c r="N10" s="26" t="n"/>
    </row>
    <row r="11" ht="25" customHeight="1">
      <c r="A11" s="25">
        <f>"TEST-"&amp;TEXT(ROW()-7,"000")</f>
        <v/>
      </c>
      <c r="B11" s="26" t="n"/>
      <c r="C11" s="26" t="n"/>
      <c r="D11" s="26" t="n"/>
      <c r="E11" s="26" t="n"/>
      <c r="F11" s="26" t="n"/>
      <c r="G11" s="26" t="n"/>
      <c r="H11" s="26" t="n"/>
      <c r="I11" s="26" t="n"/>
      <c r="J11" s="26" t="n"/>
      <c r="K11" s="26" t="n"/>
      <c r="L11" s="26" t="n"/>
      <c r="M11" s="26" t="n"/>
      <c r="N11" s="26" t="n"/>
    </row>
    <row r="12" ht="25" customHeight="1">
      <c r="A12" s="25">
        <f>"TEST-"&amp;TEXT(ROW()-7,"000")</f>
        <v/>
      </c>
      <c r="B12" s="26" t="n"/>
      <c r="C12" s="26" t="n"/>
      <c r="D12" s="26" t="n"/>
      <c r="E12" s="26" t="n"/>
      <c r="F12" s="26" t="n"/>
      <c r="G12" s="26" t="n"/>
      <c r="H12" s="26" t="n"/>
      <c r="I12" s="26" t="n"/>
      <c r="J12" s="26" t="n"/>
      <c r="K12" s="26" t="n"/>
      <c r="L12" s="26" t="n"/>
      <c r="M12" s="26" t="n"/>
      <c r="N12" s="26" t="n"/>
    </row>
    <row r="13" ht="25" customHeight="1">
      <c r="A13" s="25">
        <f>"TEST-"&amp;TEXT(ROW()-7,"000")</f>
        <v/>
      </c>
      <c r="B13" s="26" t="n"/>
      <c r="C13" s="26" t="n"/>
      <c r="D13" s="26" t="n"/>
      <c r="E13" s="26" t="n"/>
      <c r="F13" s="26" t="n"/>
      <c r="G13" s="26" t="n"/>
      <c r="H13" s="26" t="n"/>
      <c r="I13" s="26" t="n"/>
      <c r="J13" s="26" t="n"/>
      <c r="K13" s="26" t="n"/>
      <c r="L13" s="26" t="n"/>
      <c r="M13" s="26" t="n"/>
      <c r="N13" s="26" t="n"/>
    </row>
    <row r="14" ht="25" customHeight="1">
      <c r="A14" s="25">
        <f>"TEST-"&amp;TEXT(ROW()-7,"000")</f>
        <v/>
      </c>
      <c r="B14" s="26" t="n"/>
      <c r="C14" s="26" t="n"/>
      <c r="D14" s="26" t="n"/>
      <c r="E14" s="26" t="n"/>
      <c r="F14" s="26" t="n"/>
      <c r="G14" s="26" t="n"/>
      <c r="H14" s="26" t="n"/>
      <c r="I14" s="26" t="n"/>
      <c r="J14" s="26" t="n"/>
      <c r="K14" s="26" t="n"/>
      <c r="L14" s="26" t="n"/>
      <c r="M14" s="26" t="n"/>
      <c r="N14" s="26" t="n"/>
    </row>
    <row r="15" ht="25" customHeight="1">
      <c r="A15" s="25">
        <f>"TEST-"&amp;TEXT(ROW()-7,"000")</f>
        <v/>
      </c>
      <c r="B15" s="26" t="n"/>
      <c r="C15" s="26" t="n"/>
      <c r="D15" s="26" t="n"/>
      <c r="E15" s="26" t="n"/>
      <c r="F15" s="26" t="n"/>
      <c r="G15" s="26" t="n"/>
      <c r="H15" s="26" t="n"/>
      <c r="I15" s="26" t="n"/>
      <c r="J15" s="26" t="n"/>
      <c r="K15" s="26" t="n"/>
      <c r="L15" s="26" t="n"/>
      <c r="M15" s="26" t="n"/>
      <c r="N15" s="26" t="n"/>
    </row>
    <row r="16" ht="25" customHeight="1">
      <c r="A16" s="25">
        <f>"TEST-"&amp;TEXT(ROW()-7,"000")</f>
        <v/>
      </c>
      <c r="B16" s="26" t="n"/>
      <c r="C16" s="26" t="n"/>
      <c r="D16" s="26" t="n"/>
      <c r="E16" s="26" t="n"/>
      <c r="F16" s="26" t="n"/>
      <c r="G16" s="26" t="n"/>
      <c r="H16" s="26" t="n"/>
      <c r="I16" s="26" t="n"/>
      <c r="J16" s="26" t="n"/>
      <c r="K16" s="26" t="n"/>
      <c r="L16" s="26" t="n"/>
      <c r="M16" s="26" t="n"/>
      <c r="N16" s="26" t="n"/>
    </row>
    <row r="17" ht="25" customHeight="1">
      <c r="A17" s="25">
        <f>"TEST-"&amp;TEXT(ROW()-7,"000")</f>
        <v/>
      </c>
      <c r="B17" s="26" t="n"/>
      <c r="C17" s="26" t="n"/>
      <c r="D17" s="26" t="n"/>
      <c r="E17" s="26" t="n"/>
      <c r="F17" s="26" t="n"/>
      <c r="G17" s="26" t="n"/>
      <c r="H17" s="26" t="n"/>
      <c r="I17" s="26" t="n"/>
      <c r="J17" s="26" t="n"/>
      <c r="K17" s="26" t="n"/>
      <c r="L17" s="26" t="n"/>
      <c r="M17" s="26" t="n"/>
      <c r="N17" s="26" t="n"/>
    </row>
    <row r="18" ht="25" customHeight="1">
      <c r="A18" s="25">
        <f>"TEST-"&amp;TEXT(ROW()-7,"000")</f>
        <v/>
      </c>
      <c r="B18" s="26" t="n"/>
      <c r="C18" s="26" t="n"/>
      <c r="D18" s="26" t="n"/>
      <c r="E18" s="26" t="n"/>
      <c r="F18" s="26" t="n"/>
      <c r="G18" s="26" t="n"/>
      <c r="H18" s="26" t="n"/>
      <c r="I18" s="26" t="n"/>
      <c r="J18" s="26" t="n"/>
      <c r="K18" s="26" t="n"/>
      <c r="L18" s="26" t="n"/>
      <c r="M18" s="26" t="n"/>
      <c r="N18" s="26" t="n"/>
    </row>
    <row r="19" ht="25" customHeight="1">
      <c r="A19" s="25">
        <f>"TEST-"&amp;TEXT(ROW()-7,"000")</f>
        <v/>
      </c>
      <c r="B19" s="26" t="n"/>
      <c r="C19" s="26" t="n"/>
      <c r="D19" s="26" t="n"/>
      <c r="E19" s="26" t="n"/>
      <c r="F19" s="26" t="n"/>
      <c r="G19" s="26" t="n"/>
      <c r="H19" s="26" t="n"/>
      <c r="I19" s="26" t="n"/>
      <c r="J19" s="26" t="n"/>
      <c r="K19" s="26" t="n"/>
      <c r="L19" s="26" t="n"/>
      <c r="M19" s="26" t="n"/>
      <c r="N19" s="26" t="n"/>
    </row>
    <row r="20" ht="25" customHeight="1">
      <c r="A20" s="25">
        <f>"TEST-"&amp;TEXT(ROW()-7,"000")</f>
        <v/>
      </c>
      <c r="B20" s="26" t="n"/>
      <c r="C20" s="26" t="n"/>
      <c r="D20" s="26" t="n"/>
      <c r="E20" s="26" t="n"/>
      <c r="F20" s="26" t="n"/>
      <c r="G20" s="26" t="n"/>
      <c r="H20" s="26" t="n"/>
      <c r="I20" s="26" t="n"/>
      <c r="J20" s="26" t="n"/>
      <c r="K20" s="26" t="n"/>
      <c r="L20" s="26" t="n"/>
      <c r="M20" s="26" t="n"/>
      <c r="N20" s="26" t="n"/>
    </row>
    <row r="21" ht="25" customHeight="1">
      <c r="A21" s="25">
        <f>"TEST-"&amp;TEXT(ROW()-7,"000")</f>
        <v/>
      </c>
      <c r="B21" s="26" t="n"/>
      <c r="C21" s="26" t="n"/>
      <c r="D21" s="26" t="n"/>
      <c r="E21" s="26" t="n"/>
      <c r="F21" s="26" t="n"/>
      <c r="G21" s="26" t="n"/>
      <c r="H21" s="26" t="n"/>
      <c r="I21" s="26" t="n"/>
      <c r="J21" s="26" t="n"/>
      <c r="K21" s="26" t="n"/>
      <c r="L21" s="26" t="n"/>
      <c r="M21" s="26" t="n"/>
      <c r="N21" s="26" t="n"/>
    </row>
    <row r="22" ht="25" customHeight="1">
      <c r="A22" s="25">
        <f>"TEST-"&amp;TEXT(ROW()-7,"000")</f>
        <v/>
      </c>
      <c r="B22" s="26" t="n"/>
      <c r="C22" s="26" t="n"/>
      <c r="D22" s="26" t="n"/>
      <c r="E22" s="26" t="n"/>
      <c r="F22" s="26" t="n"/>
      <c r="G22" s="26" t="n"/>
      <c r="H22" s="26" t="n"/>
      <c r="I22" s="26" t="n"/>
      <c r="J22" s="26" t="n"/>
      <c r="K22" s="26" t="n"/>
      <c r="L22" s="26" t="n"/>
      <c r="M22" s="26" t="n"/>
      <c r="N22" s="26" t="n"/>
    </row>
    <row r="23" ht="25" customHeight="1">
      <c r="A23" s="25">
        <f>"TEST-"&amp;TEXT(ROW()-7,"000")</f>
        <v/>
      </c>
      <c r="B23" s="26" t="n"/>
      <c r="C23" s="26" t="n"/>
      <c r="D23" s="26" t="n"/>
      <c r="E23" s="26" t="n"/>
      <c r="F23" s="26" t="n"/>
      <c r="G23" s="26" t="n"/>
      <c r="H23" s="26" t="n"/>
      <c r="I23" s="26" t="n"/>
      <c r="J23" s="26" t="n"/>
      <c r="K23" s="26" t="n"/>
      <c r="L23" s="26" t="n"/>
      <c r="M23" s="26" t="n"/>
      <c r="N23" s="26" t="n"/>
    </row>
    <row r="24" ht="25" customHeight="1">
      <c r="A24" s="25">
        <f>"TEST-"&amp;TEXT(ROW()-7,"000")</f>
        <v/>
      </c>
      <c r="B24" s="26" t="n"/>
      <c r="C24" s="26" t="n"/>
      <c r="D24" s="26" t="n"/>
      <c r="E24" s="26" t="n"/>
      <c r="F24" s="26" t="n"/>
      <c r="G24" s="26" t="n"/>
      <c r="H24" s="26" t="n"/>
      <c r="I24" s="26" t="n"/>
      <c r="J24" s="26" t="n"/>
      <c r="K24" s="26" t="n"/>
      <c r="L24" s="26" t="n"/>
      <c r="M24" s="26" t="n"/>
      <c r="N24" s="26" t="n"/>
    </row>
    <row r="25" ht="25" customHeight="1">
      <c r="A25" s="25">
        <f>"TEST-"&amp;TEXT(ROW()-7,"000")</f>
        <v/>
      </c>
      <c r="B25" s="26" t="n"/>
      <c r="C25" s="26" t="n"/>
      <c r="D25" s="26" t="n"/>
      <c r="E25" s="26" t="n"/>
      <c r="F25" s="26" t="n"/>
      <c r="G25" s="26" t="n"/>
      <c r="H25" s="26" t="n"/>
      <c r="I25" s="26" t="n"/>
      <c r="J25" s="26" t="n"/>
      <c r="K25" s="26" t="n"/>
      <c r="L25" s="26" t="n"/>
      <c r="M25" s="26" t="n"/>
      <c r="N25" s="26" t="n"/>
    </row>
    <row r="26" ht="25" customHeight="1">
      <c r="A26" s="25">
        <f>"TEST-"&amp;TEXT(ROW()-7,"000")</f>
        <v/>
      </c>
      <c r="B26" s="26" t="n"/>
      <c r="C26" s="26" t="n"/>
      <c r="D26" s="26" t="n"/>
      <c r="E26" s="26" t="n"/>
      <c r="F26" s="26" t="n"/>
      <c r="G26" s="26" t="n"/>
      <c r="H26" s="26" t="n"/>
      <c r="I26" s="26" t="n"/>
      <c r="J26" s="26" t="n"/>
      <c r="K26" s="26" t="n"/>
      <c r="L26" s="26" t="n"/>
      <c r="M26" s="26" t="n"/>
      <c r="N26" s="26" t="n"/>
    </row>
    <row r="27" ht="25" customHeight="1">
      <c r="A27" s="25">
        <f>"TEST-"&amp;TEXT(ROW()-7,"000")</f>
        <v/>
      </c>
      <c r="B27" s="26" t="n"/>
      <c r="C27" s="26" t="n"/>
      <c r="D27" s="26" t="n"/>
      <c r="E27" s="26" t="n"/>
      <c r="F27" s="26" t="n"/>
      <c r="G27" s="26" t="n"/>
      <c r="H27" s="26" t="n"/>
      <c r="I27" s="26" t="n"/>
      <c r="J27" s="26" t="n"/>
      <c r="K27" s="26" t="n"/>
      <c r="L27" s="26" t="n"/>
      <c r="M27" s="26" t="n"/>
      <c r="N27" s="26" t="n"/>
    </row>
    <row r="28" ht="25" customHeight="1">
      <c r="A28" s="25">
        <f>"TEST-"&amp;TEXT(ROW()-7,"000")</f>
        <v/>
      </c>
      <c r="B28" s="26" t="n"/>
      <c r="C28" s="26" t="n"/>
      <c r="D28" s="26" t="n"/>
      <c r="E28" s="26" t="n"/>
      <c r="F28" s="26" t="n"/>
      <c r="G28" s="26" t="n"/>
      <c r="H28" s="26" t="n"/>
      <c r="I28" s="26" t="n"/>
      <c r="J28" s="26" t="n"/>
      <c r="K28" s="26" t="n"/>
      <c r="L28" s="26" t="n"/>
      <c r="M28" s="26" t="n"/>
      <c r="N28" s="26" t="n"/>
    </row>
    <row r="29" ht="25" customHeight="1">
      <c r="A29" s="25">
        <f>"TEST-"&amp;TEXT(ROW()-7,"000")</f>
        <v/>
      </c>
      <c r="B29" s="26" t="n"/>
      <c r="C29" s="26" t="n"/>
      <c r="D29" s="26" t="n"/>
      <c r="E29" s="26" t="n"/>
      <c r="F29" s="26" t="n"/>
      <c r="G29" s="26" t="n"/>
      <c r="H29" s="26" t="n"/>
      <c r="I29" s="26" t="n"/>
      <c r="J29" s="26" t="n"/>
      <c r="K29" s="26" t="n"/>
      <c r="L29" s="26" t="n"/>
      <c r="M29" s="26" t="n"/>
      <c r="N29" s="26" t="n"/>
    </row>
    <row r="30" ht="25" customHeight="1">
      <c r="A30" s="25">
        <f>"TEST-"&amp;TEXT(ROW()-7,"000")</f>
        <v/>
      </c>
      <c r="B30" s="26" t="n"/>
      <c r="C30" s="26" t="n"/>
      <c r="D30" s="26" t="n"/>
      <c r="E30" s="26" t="n"/>
      <c r="F30" s="26" t="n"/>
      <c r="G30" s="26" t="n"/>
      <c r="H30" s="26" t="n"/>
      <c r="I30" s="26" t="n"/>
      <c r="J30" s="26" t="n"/>
      <c r="K30" s="26" t="n"/>
      <c r="L30" s="26" t="n"/>
      <c r="M30" s="26" t="n"/>
      <c r="N30" s="26" t="n"/>
    </row>
    <row r="31" ht="25" customHeight="1">
      <c r="A31" s="25">
        <f>"TEST-"&amp;TEXT(ROW()-7,"000")</f>
        <v/>
      </c>
      <c r="B31" s="26" t="n"/>
      <c r="C31" s="26" t="n"/>
      <c r="D31" s="26" t="n"/>
      <c r="E31" s="26" t="n"/>
      <c r="F31" s="26" t="n"/>
      <c r="G31" s="26" t="n"/>
      <c r="H31" s="26" t="n"/>
      <c r="I31" s="26" t="n"/>
      <c r="J31" s="26" t="n"/>
      <c r="K31" s="26" t="n"/>
      <c r="L31" s="26" t="n"/>
      <c r="M31" s="26" t="n"/>
      <c r="N31" s="26" t="n"/>
    </row>
    <row r="32" ht="25" customHeight="1">
      <c r="A32" s="25">
        <f>"TEST-"&amp;TEXT(ROW()-7,"000")</f>
        <v/>
      </c>
      <c r="B32" s="26" t="n"/>
      <c r="C32" s="26" t="n"/>
      <c r="D32" s="26" t="n"/>
      <c r="E32" s="26" t="n"/>
      <c r="F32" s="26" t="n"/>
      <c r="G32" s="26" t="n"/>
      <c r="H32" s="26" t="n"/>
      <c r="I32" s="26" t="n"/>
      <c r="J32" s="26" t="n"/>
      <c r="K32" s="26" t="n"/>
      <c r="L32" s="26" t="n"/>
      <c r="M32" s="26" t="n"/>
      <c r="N32" s="26" t="n"/>
    </row>
    <row r="33" ht="25" customHeight="1">
      <c r="A33" s="25">
        <f>"TEST-"&amp;TEXT(ROW()-7,"000")</f>
        <v/>
      </c>
      <c r="B33" s="26" t="n"/>
      <c r="C33" s="26" t="n"/>
      <c r="D33" s="26" t="n"/>
      <c r="E33" s="26" t="n"/>
      <c r="F33" s="26" t="n"/>
      <c r="G33" s="26" t="n"/>
      <c r="H33" s="26" t="n"/>
      <c r="I33" s="26" t="n"/>
      <c r="J33" s="26" t="n"/>
      <c r="K33" s="26" t="n"/>
      <c r="L33" s="26" t="n"/>
      <c r="M33" s="26" t="n"/>
      <c r="N33" s="26" t="n"/>
    </row>
    <row r="34" ht="25" customHeight="1">
      <c r="A34" s="25">
        <f>"TEST-"&amp;TEXT(ROW()-7,"000")</f>
        <v/>
      </c>
      <c r="B34" s="26" t="n"/>
      <c r="C34" s="26" t="n"/>
      <c r="D34" s="26" t="n"/>
      <c r="E34" s="26" t="n"/>
      <c r="F34" s="26" t="n"/>
      <c r="G34" s="26" t="n"/>
      <c r="H34" s="26" t="n"/>
      <c r="I34" s="26" t="n"/>
      <c r="J34" s="26" t="n"/>
      <c r="K34" s="26" t="n"/>
      <c r="L34" s="26" t="n"/>
      <c r="M34" s="26" t="n"/>
      <c r="N34" s="26" t="n"/>
    </row>
    <row r="35" ht="25" customHeight="1">
      <c r="A35" s="25">
        <f>"TEST-"&amp;TEXT(ROW()-7,"000")</f>
        <v/>
      </c>
      <c r="B35" s="26" t="n"/>
      <c r="C35" s="26" t="n"/>
      <c r="D35" s="26" t="n"/>
      <c r="E35" s="26" t="n"/>
      <c r="F35" s="26" t="n"/>
      <c r="G35" s="26" t="n"/>
      <c r="H35" s="26" t="n"/>
      <c r="I35" s="26" t="n"/>
      <c r="J35" s="26" t="n"/>
      <c r="K35" s="26" t="n"/>
      <c r="L35" s="26" t="n"/>
      <c r="M35" s="26" t="n"/>
      <c r="N35" s="26" t="n"/>
    </row>
    <row r="36" ht="25" customHeight="1">
      <c r="A36" s="25">
        <f>"TEST-"&amp;TEXT(ROW()-7,"000")</f>
        <v/>
      </c>
      <c r="B36" s="26" t="n"/>
      <c r="C36" s="26" t="n"/>
      <c r="D36" s="26" t="n"/>
      <c r="E36" s="26" t="n"/>
      <c r="F36" s="26" t="n"/>
      <c r="G36" s="26" t="n"/>
      <c r="H36" s="26" t="n"/>
      <c r="I36" s="26" t="n"/>
      <c r="J36" s="26" t="n"/>
      <c r="K36" s="26" t="n"/>
      <c r="L36" s="26" t="n"/>
      <c r="M36" s="26" t="n"/>
      <c r="N36" s="26" t="n"/>
    </row>
    <row r="37" ht="25" customHeight="1">
      <c r="A37" s="25">
        <f>"TEST-"&amp;TEXT(ROW()-7,"000")</f>
        <v/>
      </c>
      <c r="B37" s="26" t="n"/>
      <c r="C37" s="26" t="n"/>
      <c r="D37" s="26" t="n"/>
      <c r="E37" s="26" t="n"/>
      <c r="F37" s="26" t="n"/>
      <c r="G37" s="26" t="n"/>
      <c r="H37" s="26" t="n"/>
      <c r="I37" s="26" t="n"/>
      <c r="J37" s="26" t="n"/>
      <c r="K37" s="26" t="n"/>
      <c r="L37" s="26" t="n"/>
      <c r="M37" s="26" t="n"/>
      <c r="N37" s="26" t="n"/>
    </row>
    <row r="40">
      <c r="A40" s="3" t="inlineStr">
        <is>
          <t>TESTING STATISTICS</t>
        </is>
      </c>
    </row>
    <row r="41">
      <c r="A41" s="7" t="inlineStr">
        <is>
          <t>Metric</t>
        </is>
      </c>
      <c r="B41" s="11" t="n"/>
      <c r="C41" s="11" t="n"/>
      <c r="D41" s="11" t="n"/>
      <c r="E41" s="11" t="n"/>
      <c r="F41" s="11" t="n"/>
      <c r="G41" s="11" t="n"/>
      <c r="H41" s="11" t="n"/>
      <c r="I41" s="11" t="n"/>
      <c r="J41" s="11" t="n"/>
      <c r="K41" s="11" t="n"/>
      <c r="L41" s="11" t="n"/>
      <c r="M41" s="11" t="n"/>
      <c r="N41" s="11" t="n"/>
    </row>
    <row r="42" ht="25" customHeight="1">
      <c r="A42" s="6" t="inlineStr">
        <is>
          <t>Total Tests Performed</t>
        </is>
      </c>
    </row>
    <row r="43" ht="25" customHeight="1">
      <c r="A43" s="6" t="inlineStr">
        <is>
          <t>Tests Passed</t>
        </is>
      </c>
    </row>
    <row r="44" ht="25" customHeight="1">
      <c r="A44" s="6" t="inlineStr">
        <is>
          <t>Tests Failed</t>
        </is>
      </c>
    </row>
    <row r="45" ht="25" customHeight="1">
      <c r="A45" s="6" t="inlineStr">
        <is>
          <t>Tests Partial</t>
        </is>
      </c>
    </row>
    <row r="46" ht="25" customHeight="1">
      <c r="A46" s="6" t="inlineStr">
        <is>
          <t>Pass Rate %</t>
        </is>
      </c>
    </row>
    <row r="47" ht="25" customHeight="1">
      <c r="A47" s="6" t="inlineStr">
        <is>
          <t>Average Detection Time</t>
        </is>
      </c>
    </row>
    <row r="48" ht="25" customHeight="1">
      <c r="A48" s="6" t="inlineStr">
        <is>
          <t>Tests Requiring Retest</t>
        </is>
      </c>
    </row>
    <row r="49" ht="25" customHeight="1">
      <c r="A49" s="6" t="inlineStr">
        <is>
          <t>Rules Not Tested (90+ days)</t>
        </is>
      </c>
    </row>
    <row r="52">
      <c r="A52" s="3" t="inlineStr">
        <is>
          <t>TESTING &amp; VALIDATION CHECKLIST</t>
        </is>
      </c>
    </row>
    <row r="53">
      <c r="A53" s="7" t="inlineStr">
        <is>
          <t>#</t>
        </is>
      </c>
      <c r="B53" s="7" t="inlineStr">
        <is>
          <t>Requirement</t>
        </is>
      </c>
      <c r="C53" s="11" t="n"/>
      <c r="D53" s="11" t="n"/>
      <c r="E53" s="11" t="n"/>
      <c r="F53" s="11" t="n"/>
      <c r="G53" s="11" t="n"/>
      <c r="H53" s="11" t="n"/>
      <c r="I53" s="11" t="n"/>
      <c r="J53" s="11" t="n"/>
      <c r="K53" s="11" t="n"/>
      <c r="L53" s="11" t="n"/>
      <c r="M53" s="12" t="n"/>
    </row>
    <row r="54" ht="25" customHeight="1">
      <c r="A54" t="n">
        <v>1</v>
      </c>
      <c r="B54" s="6" t="inlineStr">
        <is>
          <t>All critical/high severity rules tested before production</t>
        </is>
      </c>
      <c r="N54" s="5" t="n"/>
    </row>
    <row r="55" ht="25" customHeight="1">
      <c r="A55" t="n">
        <v>2</v>
      </c>
      <c r="B55" s="6" t="inlineStr">
        <is>
          <t>Testing performed using realistic attack scenarios</t>
        </is>
      </c>
      <c r="N55" s="5" t="n"/>
    </row>
    <row r="56" ht="25" customHeight="1">
      <c r="A56" t="n">
        <v>3</v>
      </c>
      <c r="B56" s="6" t="inlineStr">
        <is>
          <t>Attack simulations (Purple Team exercises) conducted</t>
        </is>
      </c>
      <c r="N56" s="5" t="n"/>
    </row>
    <row r="57" ht="25" customHeight="1">
      <c r="A57" t="n">
        <v>4</v>
      </c>
      <c r="B57" s="6" t="inlineStr">
        <is>
          <t>Detection time measured and within acceptable range</t>
        </is>
      </c>
      <c r="N57" s="5" t="n"/>
    </row>
    <row r="58" ht="25" customHeight="1">
      <c r="A58" t="n">
        <v>5</v>
      </c>
      <c r="B58" s="6" t="inlineStr">
        <is>
          <t>Unit tests performed for individual rule logic</t>
        </is>
      </c>
      <c r="N58" s="5" t="n"/>
    </row>
    <row r="59" ht="25" customHeight="1">
      <c r="A59" t="n">
        <v>6</v>
      </c>
      <c r="B59" s="6" t="inlineStr">
        <is>
          <t>Integration tests performed for multi-event correlation</t>
        </is>
      </c>
      <c r="N59" s="5" t="n"/>
    </row>
    <row r="60" ht="25" customHeight="1">
      <c r="A60" t="n">
        <v>7</v>
      </c>
      <c r="B60" s="6" t="inlineStr">
        <is>
          <t>Regression testing after rule modifications</t>
        </is>
      </c>
      <c r="N60" s="5" t="n"/>
    </row>
    <row r="61" ht="25" customHeight="1">
      <c r="A61" t="n">
        <v>8</v>
      </c>
      <c r="B61" s="6" t="inlineStr">
        <is>
          <t>Test results documented with evidence</t>
        </is>
      </c>
      <c r="N61" s="5" t="n"/>
    </row>
    <row r="62" ht="25" customHeight="1">
      <c r="A62" t="n">
        <v>9</v>
      </c>
      <c r="B62" s="6" t="inlineStr">
        <is>
          <t>Failed tests result in rule improvement</t>
        </is>
      </c>
      <c r="N62" s="5" t="n"/>
    </row>
    <row r="63" ht="25" customHeight="1">
      <c r="A63" t="n">
        <v>10</v>
      </c>
      <c r="B63" s="6" t="inlineStr">
        <is>
          <t>Rules tested quarterly minimum</t>
        </is>
      </c>
      <c r="N63" s="5" t="n"/>
    </row>
    <row r="64" ht="25" customHeight="1">
      <c r="A64" t="n">
        <v>11</v>
      </c>
      <c r="B64" s="6" t="inlineStr">
        <is>
          <t>MITRE techniques tested via attack simulations</t>
        </is>
      </c>
      <c r="N64" s="5" t="n"/>
    </row>
    <row r="65" ht="25" customHeight="1">
      <c r="A65" t="n">
        <v>12</v>
      </c>
      <c r="B65" s="6" t="inlineStr">
        <is>
          <t>False negative testing performed</t>
        </is>
      </c>
      <c r="N65" s="5" t="n"/>
    </row>
    <row r="66" ht="25" customHeight="1">
      <c r="A66" t="n">
        <v>13</v>
      </c>
      <c r="B66" s="6" t="inlineStr">
        <is>
          <t>Detection gaps identified and documented</t>
        </is>
      </c>
      <c r="N66" s="5" t="n"/>
    </row>
    <row r="67" ht="25" customHeight="1">
      <c r="A67" t="n">
        <v>14</v>
      </c>
      <c r="B67" s="6" t="inlineStr">
        <is>
          <t>Testing schedule maintained and followed</t>
        </is>
      </c>
      <c r="N67" s="5" t="n"/>
    </row>
    <row r="68" ht="25" customHeight="1">
      <c r="A68" t="n">
        <v>15</v>
      </c>
      <c r="B68" s="6" t="inlineStr">
        <is>
          <t>Test results reviewed by SOC management</t>
        </is>
      </c>
      <c r="N68" s="5" t="n"/>
    </row>
    <row r="69">
      <c r="A69" s="19" t="inlineStr">
        <is>
          <t>SCORE:</t>
        </is>
      </c>
      <c r="B69" s="20">
        <f>COUNTIF(N54:N68,"✅ Compliant")&amp;" / 15"</f>
        <v/>
      </c>
    </row>
  </sheetData>
  <mergeCells count="58">
    <mergeCell ref="A40:N40"/>
    <mergeCell ref="A41:F41"/>
    <mergeCell ref="C47:K47"/>
    <mergeCell ref="A46:F46"/>
    <mergeCell ref="C41:K41"/>
    <mergeCell ref="D44:N44"/>
    <mergeCell ref="B60:M60"/>
    <mergeCell ref="B47:I47"/>
    <mergeCell ref="B67:M67"/>
    <mergeCell ref="C44:K44"/>
    <mergeCell ref="B61:M61"/>
    <mergeCell ref="B57:M57"/>
    <mergeCell ref="B46:I46"/>
    <mergeCell ref="D46:N46"/>
    <mergeCell ref="B53:M53"/>
    <mergeCell ref="C43:K43"/>
    <mergeCell ref="B43:I43"/>
    <mergeCell ref="A1:N1"/>
    <mergeCell ref="D45:N45"/>
    <mergeCell ref="C46:K46"/>
    <mergeCell ref="A47:F47"/>
    <mergeCell ref="A42:F42"/>
    <mergeCell ref="B48:I48"/>
    <mergeCell ref="B42:I42"/>
    <mergeCell ref="D49:N49"/>
    <mergeCell ref="C48:K48"/>
    <mergeCell ref="B65:M65"/>
    <mergeCell ref="B68:M68"/>
    <mergeCell ref="D41:N41"/>
    <mergeCell ref="D48:N48"/>
    <mergeCell ref="A43:F43"/>
    <mergeCell ref="B55:M55"/>
    <mergeCell ref="B64:M64"/>
    <mergeCell ref="A3:N3"/>
    <mergeCell ref="B44:I44"/>
    <mergeCell ref="D47:N47"/>
    <mergeCell ref="A44:F44"/>
    <mergeCell ref="A2:N2"/>
    <mergeCell ref="B63:M63"/>
    <mergeCell ref="D43:N43"/>
    <mergeCell ref="A48:F48"/>
    <mergeCell ref="C49:K49"/>
    <mergeCell ref="B49:I49"/>
    <mergeCell ref="A49:F49"/>
    <mergeCell ref="B54:M54"/>
    <mergeCell ref="B62:M62"/>
    <mergeCell ref="C42:K42"/>
    <mergeCell ref="B59:M59"/>
    <mergeCell ref="A45:F45"/>
    <mergeCell ref="B69:E69"/>
    <mergeCell ref="A52:N52"/>
    <mergeCell ref="B66:M66"/>
    <mergeCell ref="D42:N42"/>
    <mergeCell ref="C45:K45"/>
    <mergeCell ref="B56:M56"/>
    <mergeCell ref="B45:I45"/>
    <mergeCell ref="B58:M58"/>
    <mergeCell ref="B41:I41"/>
  </mergeCells>
  <dataValidations count="4">
    <dataValidation sqref="L8 L9 L10 L11 L12 L13 L14 L15 L16 L17 L18 L19 L20 L21 L22 L23 L24 L25 L26 L27 L28 L29 L30 L31 L32 L33 L34 L35 L36 L37" showDropDown="0" showInputMessage="0" showErrorMessage="0" allowBlank="0" type="list">
      <formula1>"Yes,No"</formula1>
    </dataValidation>
    <dataValidation sqref="H8 H9 H10 H11 H12 H13 H14 H15 H16 H17 H18 H19 H20 H21 H22 H23 H24 H25 H26 H27 H28 H29 H30 H31 H32 H33 H34 H35 H36 H37" showDropDown="0" showInputMessage="0" showErrorMessage="0" allowBlank="0" type="list">
      <formula1>"Pass,Fail,Partial,Not Tested"</formula1>
    </dataValidation>
    <dataValidation sqref="N54 N55 N56 N57 N58 N59 N60 N61 N62 N63 N64 N65 N66 N67 N68" showDropDown="0" showInputMessage="0" showErrorMessage="0" allowBlank="0" type="list">
      <formula1>"✅ Compliant,⚠️ Partial,❌ Non-Compliant,N/A"</formula1>
    </dataValidation>
    <dataValidation sqref="D8 D9 D10 D11 D12 D13 D14 D15 D16 D17 D18 D19 D20 D21 D22 D23 D24 D25 D26 D27 D28 D29 D30 D31 D32 D33 D34 D35 D36 D37" showDropDown="0" showInputMessage="0" showErrorMessage="0" allowBlank="0" type="list">
      <formula1>"Attack Simulation,Purple Team,Unit Test,Integration Test,Regression Test,Penetration Test"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BASELINE &amp; DETECTION - SUMMARY DASHBOARD</t>
        </is>
      </c>
    </row>
    <row r="2" ht="25" customHeight="1">
      <c r="A2" s="2" t="inlineStr">
        <is>
          <t>Consolidated Assessment Overview - ISMS-IMP-A.8.16.2</t>
        </is>
      </c>
    </row>
    <row r="4">
      <c r="A4" s="3" t="inlineStr">
        <is>
          <t>OVERALL ASSESSMENT STATUS</t>
        </is>
      </c>
    </row>
    <row r="6">
      <c r="A6" s="7" t="inlineStr">
        <is>
          <t>Assessment Area</t>
        </is>
      </c>
      <c r="B6" s="7" t="inlineStr">
        <is>
          <t>Compliant</t>
        </is>
      </c>
      <c r="C6" s="7" t="inlineStr">
        <is>
          <t>Partial</t>
        </is>
      </c>
      <c r="D6" s="7" t="inlineStr">
        <is>
          <t>Non-Compliant</t>
        </is>
      </c>
      <c r="E6" s="7" t="inlineStr">
        <is>
          <t>N/A</t>
        </is>
      </c>
      <c r="F6" s="7" t="inlineStr">
        <is>
          <t>Total Items</t>
        </is>
      </c>
      <c r="G6" s="7" t="inlineStr">
        <is>
          <t>Compliance %</t>
        </is>
      </c>
      <c r="H6" s="7" t="inlineStr">
        <is>
          <t>Status</t>
        </is>
      </c>
    </row>
    <row r="7" ht="25" customHeight="1">
      <c r="A7" s="22" t="inlineStr">
        <is>
          <t>1. Baseline Inventory &amp; Maintenance</t>
        </is>
      </c>
      <c r="B7">
        <f>COUNTIF('1. Baseline Inventory'!Q54:Q68,"✅ Compliant")</f>
        <v/>
      </c>
      <c r="C7">
        <f>COUNTIF('1. Baseline Inventory'!Q54:Q68,"⚠️ Partial")</f>
        <v/>
      </c>
      <c r="D7">
        <f>COUNTIF('1. Baseline Inventory'!Q54:Q68,"❌ Non-Compliant")</f>
        <v/>
      </c>
      <c r="E7">
        <f>COUNTIF('1. Baseline Inventory'!Q54:Q68,"N/A")</f>
        <v/>
      </c>
      <c r="F7" t="inlineStr">
        <is>
          <t>15</t>
        </is>
      </c>
      <c r="G7">
        <f>IF(F7&gt;0,ROUND(B7/(F7-E7)*100,1)&amp;"%","N/A")</f>
        <v/>
      </c>
      <c r="H7">
        <f>IF(G7="N/A","N/A",IF(VALUE(LEFT(G7,LEN(G7)-1))&gt;=80,"✅ Good",IF(VALUE(LEFT(G7,LEN(G7)-1))&gt;=60,"⚠️ Needs Work","❌ Critical")))</f>
        <v/>
      </c>
    </row>
    <row r="8" ht="25" customHeight="1">
      <c r="A8" s="22" t="inlineStr">
        <is>
          <t>2. Detection Rules Inventory</t>
        </is>
      </c>
      <c r="B8">
        <f>COUNTIF('2. Detection Rules'!U74:U88,"✅ Compliant")</f>
        <v/>
      </c>
      <c r="C8">
        <f>COUNTIF('2. Detection Rules'!U74:U88,"⚠️ Partial")</f>
        <v/>
      </c>
      <c r="D8">
        <f>COUNTIF('2. Detection Rules'!U74:U88,"❌ Non-Compliant")</f>
        <v/>
      </c>
      <c r="E8">
        <f>COUNTIF('2. Detection Rules'!U74:U88,"N/A")</f>
        <v/>
      </c>
      <c r="F8" t="inlineStr">
        <is>
          <t>15</t>
        </is>
      </c>
      <c r="G8">
        <f>IF(F8&gt;0,ROUND(B8/(F8-E8)*100,1)&amp;"%","N/A")</f>
        <v/>
      </c>
      <c r="H8">
        <f>IF(G8="N/A","N/A",IF(VALUE(LEFT(G8,LEN(G8)-1))&gt;=80,"✅ Good",IF(VALUE(LEFT(G8,LEN(G8)-1))&gt;=60,"⚠️ Needs Work","❌ Critical")))</f>
        <v/>
      </c>
    </row>
    <row r="9" ht="25" customHeight="1">
      <c r="A9" s="22" t="inlineStr">
        <is>
          <t>3. MITRE ATT&amp;CK Coverage</t>
        </is>
      </c>
      <c r="B9">
        <f>COUNTIF('3. MITRE ATT&amp;CK Coverage'!N84:N98,"✅ Compliant")</f>
        <v/>
      </c>
      <c r="C9">
        <f>COUNTIF('3. MITRE ATT&amp;CK Coverage'!N84:N98,"⚠️ Partial")</f>
        <v/>
      </c>
      <c r="D9">
        <f>COUNTIF('3. MITRE ATT&amp;CK Coverage'!N84:N98,"❌ Non-Compliant")</f>
        <v/>
      </c>
      <c r="E9">
        <f>COUNTIF('3. MITRE ATT&amp;CK Coverage'!N84:N98,"N/A")</f>
        <v/>
      </c>
      <c r="F9" t="inlineStr">
        <is>
          <t>15</t>
        </is>
      </c>
      <c r="G9">
        <f>IF(F9&gt;0,ROUND(B9/(F9-E9)*100,1)&amp;"%","N/A")</f>
        <v/>
      </c>
      <c r="H9">
        <f>IF(G9="N/A","N/A",IF(VALUE(LEFT(G9,LEN(G9)-1))&gt;=80,"✅ Good",IF(VALUE(LEFT(G9,LEN(G9)-1))&gt;=60,"⚠️ Needs Work","❌ Critical")))</f>
        <v/>
      </c>
    </row>
    <row r="10" ht="25" customHeight="1">
      <c r="A10" s="22" t="inlineStr">
        <is>
          <t>4. Rule Performance &amp; Tuning</t>
        </is>
      </c>
      <c r="B10">
        <f>COUNTIF('4. Rule Performance'!P68:P82,"✅ Compliant")</f>
        <v/>
      </c>
      <c r="C10">
        <f>COUNTIF('4. Rule Performance'!P68:P82,"⚠️ Partial")</f>
        <v/>
      </c>
      <c r="D10">
        <f>COUNTIF('4. Rule Performance'!P68:P82,"❌ Non-Compliant")</f>
        <v/>
      </c>
      <c r="E10">
        <f>COUNTIF('4. Rule Performance'!P68:P82,"N/A")</f>
        <v/>
      </c>
      <c r="F10" t="inlineStr">
        <is>
          <t>15</t>
        </is>
      </c>
      <c r="G10">
        <f>IF(F10&gt;0,ROUND(B10/(F10-E10)*100,1)&amp;"%","N/A")</f>
        <v/>
      </c>
      <c r="H10">
        <f>IF(G10="N/A","N/A",IF(VALUE(LEFT(G10,LEN(G10)-1))&gt;=80,"✅ Good",IF(VALUE(LEFT(G10,LEN(G10)-1))&gt;=60,"⚠️ Needs Work","❌ Critical")))</f>
        <v/>
      </c>
    </row>
    <row r="11" ht="25" customHeight="1">
      <c r="A11" s="22" t="inlineStr">
        <is>
          <t>5. Testing &amp; Validation</t>
        </is>
      </c>
      <c r="B11">
        <f>COUNTIF('5. Testing Validation'!N54:N68,"✅ Compliant")</f>
        <v/>
      </c>
      <c r="C11">
        <f>COUNTIF('5. Testing Validation'!N54:N68,"⚠️ Partial")</f>
        <v/>
      </c>
      <c r="D11">
        <f>COUNTIF('5. Testing Validation'!N54:N68,"❌ Non-Compliant")</f>
        <v/>
      </c>
      <c r="E11">
        <f>COUNTIF('5. Testing Validation'!N54:N68,"N/A")</f>
        <v/>
      </c>
      <c r="F11" t="inlineStr">
        <is>
          <t>15</t>
        </is>
      </c>
      <c r="G11">
        <f>IF(F11&gt;0,ROUND(B11/(F11-E11)*100,1)&amp;"%","N/A")</f>
        <v/>
      </c>
      <c r="H11">
        <f>IF(G11="N/A","N/A",IF(VALUE(LEFT(G11,LEN(G11)-1))&gt;=80,"✅ Good",IF(VALUE(LEFT(G11,LEN(G11)-1))&gt;=60,"⚠️ Needs Work","❌ Critical")))</f>
        <v/>
      </c>
    </row>
    <row r="13">
      <c r="A13" s="23" t="inlineStr">
        <is>
          <t>OVERALL TOTAL</t>
        </is>
      </c>
      <c r="B13" s="23">
        <f>SUM(B7:B11)</f>
        <v/>
      </c>
      <c r="C13" s="23">
        <f>SUM(C7:C11)</f>
        <v/>
      </c>
      <c r="D13" s="23">
        <f>SUM(D7:D11)</f>
        <v/>
      </c>
      <c r="E13" s="23">
        <f>SUM(E7:E11)</f>
        <v/>
      </c>
      <c r="F13" s="23">
        <f>SUM(F7:F11)</f>
        <v/>
      </c>
      <c r="G13" s="23">
        <f>IF(F13&gt;0,ROUND(B13/(F13-E13)*100,1)&amp;"%","N/A")</f>
        <v/>
      </c>
      <c r="H13" s="23">
        <f>IF(G13="N/A","N/A",IF(VALUE(LEFT(G13,LEN(G13)-1))&gt;=80,"✅ Good",IF(VALUE(LEFT(G13,LEN(G13)-1))&gt;=60,"⚠️ Needs Work","❌ Critical")))</f>
        <v/>
      </c>
    </row>
    <row r="16">
      <c r="A16" s="3" t="inlineStr">
        <is>
          <t>KEY METRICS SUMMARY</t>
        </is>
      </c>
    </row>
    <row r="17">
      <c r="A17" s="7" t="inlineStr">
        <is>
          <t>Metric</t>
        </is>
      </c>
      <c r="B17" s="11" t="n"/>
      <c r="C17" s="11" t="n"/>
      <c r="D17" s="11" t="n"/>
      <c r="E17" s="11" t="n"/>
      <c r="F17" s="11" t="n"/>
      <c r="G17" s="11" t="n"/>
      <c r="H17" s="11" t="n"/>
      <c r="I17" s="11" t="n"/>
      <c r="J17" s="11" t="n"/>
      <c r="K17" s="11" t="n"/>
      <c r="L17" s="11" t="n"/>
      <c r="M17" s="11" t="n"/>
      <c r="N17" s="11" t="n"/>
    </row>
    <row r="18" ht="25" customHeight="1">
      <c r="A18" s="6" t="inlineStr">
        <is>
          <t>Total Baselines Established</t>
        </is>
      </c>
    </row>
    <row r="19" ht="25" customHeight="1">
      <c r="A19" s="6" t="inlineStr">
        <is>
          <t>Stale Baselines (&gt;90 days)</t>
        </is>
      </c>
    </row>
    <row r="20" ht="25" customHeight="1">
      <c r="A20" s="6" t="inlineStr">
        <is>
          <t>Total Active Detection Rules</t>
        </is>
      </c>
    </row>
    <row r="21" ht="25" customHeight="1">
      <c r="A21" s="6" t="inlineStr">
        <is>
          <t>Rules Requiring Tuning</t>
        </is>
      </c>
    </row>
    <row r="22" ht="25" customHeight="1">
      <c r="A22" s="6" t="inlineStr">
        <is>
          <t>MITRE ATT&amp;CK Coverage %</t>
        </is>
      </c>
    </row>
    <row r="23" ht="25" customHeight="1">
      <c r="A23" s="6" t="inlineStr">
        <is>
          <t>Average Rule Precision %</t>
        </is>
      </c>
    </row>
    <row r="24" ht="25" customHeight="1">
      <c r="A24" s="6" t="inlineStr">
        <is>
          <t>Test Pass Rate %</t>
        </is>
      </c>
    </row>
  </sheetData>
  <mergeCells count="36">
    <mergeCell ref="D20:N20"/>
    <mergeCell ref="D19:N19"/>
    <mergeCell ref="C22:K22"/>
    <mergeCell ref="B22:I22"/>
    <mergeCell ref="A18:F18"/>
    <mergeCell ref="A21:F21"/>
    <mergeCell ref="D22:N22"/>
    <mergeCell ref="A1:N1"/>
    <mergeCell ref="B18:I18"/>
    <mergeCell ref="C21:K21"/>
    <mergeCell ref="B21:I21"/>
    <mergeCell ref="D21:N21"/>
    <mergeCell ref="A16:N16"/>
    <mergeCell ref="A23:F23"/>
    <mergeCell ref="A22:F22"/>
    <mergeCell ref="A17:F17"/>
    <mergeCell ref="C17:K17"/>
    <mergeCell ref="C23:K23"/>
    <mergeCell ref="A20:F20"/>
    <mergeCell ref="B23:I23"/>
    <mergeCell ref="D17:N17"/>
    <mergeCell ref="B17:I17"/>
    <mergeCell ref="A19:F19"/>
    <mergeCell ref="C19:K19"/>
    <mergeCell ref="A2:N2"/>
    <mergeCell ref="C18:K18"/>
    <mergeCell ref="B19:I19"/>
    <mergeCell ref="D18:N18"/>
    <mergeCell ref="A24:F24"/>
    <mergeCell ref="C24:K24"/>
    <mergeCell ref="A4:N4"/>
    <mergeCell ref="B24:I24"/>
    <mergeCell ref="B20:I20"/>
    <mergeCell ref="D24:N24"/>
    <mergeCell ref="D23:N23"/>
    <mergeCell ref="C20:K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2026-01-31T02:18:08Z</dcterms:created>
  <dcterms:modified xmlns:dcterms="http://purl.org/dc/terms/" xmlns:xsi="http://www.w3.org/2001/XMLSchema-instance" xsi:type="dcterms:W3CDTF">2026-01-31T02:18:08Z</dcterms:modified>
</cp:coreProperties>
</file>