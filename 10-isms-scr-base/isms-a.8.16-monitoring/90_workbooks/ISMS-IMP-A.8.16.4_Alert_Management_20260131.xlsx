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Alert Generation" sheetId="2" state="visible" r:id="rId2"/>
    <sheet xmlns:r="http://schemas.openxmlformats.org/officeDocument/2006/relationships" name="2. Triage Investigation" sheetId="3" state="visible" r:id="rId3"/>
    <sheet xmlns:r="http://schemas.openxmlformats.org/officeDocument/2006/relationships" name="3. Escalation Response" sheetId="4" state="visible" r:id="rId4"/>
    <sheet xmlns:r="http://schemas.openxmlformats.org/officeDocument/2006/relationships" name="4. Performance Metrics" sheetId="5" state="visible" r:id="rId5"/>
    <sheet xmlns:r="http://schemas.openxmlformats.org/officeDocument/2006/relationships" name="5. SOC Readiness"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b val="1"/>
      <color rgb="00FFFFFF"/>
      <sz val="11"/>
    </font>
    <font>
      <b val="1"/>
      <color rgb="00FFFFFF"/>
      <sz val="12"/>
    </font>
    <font>
      <b val="1"/>
    </font>
    <font>
      <i val="1"/>
      <color rgb="00666666"/>
      <sz val="10"/>
    </font>
    <font>
      <b val="1"/>
      <color rgb="00003366"/>
      <sz val="10"/>
    </font>
    <font>
      <b val="1"/>
      <sz val="11"/>
    </font>
    <font>
      <name val="Calibri"/>
      <b val="1"/>
      <sz val="10"/>
    </font>
    <font>
      <name val="Calibri"/>
      <i val="1"/>
      <color rgb="00808080"/>
      <sz val="9"/>
    </font>
    <font>
      <b val="1"/>
      <sz val="12"/>
    </font>
    <font>
      <b val="1"/>
      <color rgb="00003366"/>
      <sz val="12"/>
    </font>
    <font>
      <b val="1"/>
      <color rgb="00003366"/>
      <sz val="11"/>
    </font>
  </fonts>
  <fills count="7">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xf>
    <xf numFmtId="0" fontId="4" fillId="0" borderId="0" pivotButton="0" quotePrefix="0" xfId="0"/>
    <xf numFmtId="0" fontId="0" fillId="4" borderId="0" pivotButton="0" quotePrefix="0" xfId="0"/>
    <xf numFmtId="0" fontId="0" fillId="0" borderId="0" applyAlignment="1" pivotButton="0" quotePrefix="0" xfId="0">
      <alignment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xf>
    <xf numFmtId="0" fontId="7" fillId="0" borderId="0" applyAlignment="1" pivotButton="0" quotePrefix="0" xfId="0">
      <alignment vertical="center" wrapText="1"/>
    </xf>
    <xf numFmtId="0" fontId="8" fillId="5" borderId="1" applyAlignment="1" pivotButton="0" quotePrefix="0" xfId="0">
      <alignment horizontal="center" vertical="center" wrapText="1"/>
    </xf>
    <xf numFmtId="0" fontId="9" fillId="6" borderId="0" applyAlignment="1" pivotButton="0" quotePrefix="0" xfId="0">
      <alignment horizontal="left" vertical="center" wrapText="1"/>
    </xf>
    <xf numFmtId="0" fontId="0" fillId="4" borderId="1" pivotButton="0" quotePrefix="0" xfId="0"/>
    <xf numFmtId="0" fontId="0" fillId="0" borderId="4" pivotButton="0" quotePrefix="0" xfId="0"/>
    <xf numFmtId="0" fontId="0" fillId="0" borderId="5" pivotButton="0" quotePrefix="0" xfId="0"/>
    <xf numFmtId="0" fontId="10" fillId="0" borderId="0" pivotButton="0" quotePrefix="0" xfId="0"/>
    <xf numFmtId="0" fontId="11" fillId="0" borderId="0" pivotButton="0" quotePrefix="0" xfId="0"/>
    <xf numFmtId="0" fontId="12" fillId="0" borderId="0" applyAlignment="1" pivotButton="0" quotePrefix="0" xfId="0">
      <alignment horizontal="center" vertical="center"/>
    </xf>
    <xf numFmtId="0" fontId="4" fillId="0" borderId="0" applyAlignment="1" pivotButton="0" quotePrefix="0" xfId="0">
      <alignment vertical="center" wrapText="1"/>
    </xf>
    <xf numFmtId="0" fontId="7"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5" customWidth="1" min="1" max="1"/>
    <col width="40" customWidth="1" min="2" max="2"/>
    <col width="15" customWidth="1" min="3" max="3"/>
    <col width="15" customWidth="1" min="4" max="4"/>
    <col width="15" customWidth="1" min="5" max="5"/>
    <col width="15" customWidth="1" min="6" max="6"/>
    <col width="15" customWidth="1" min="7" max="7"/>
  </cols>
  <sheetData>
    <row r="1" ht="40" customHeight="1">
      <c r="A1" s="1" t="inlineStr">
        <is>
          <t>ALERT MANAGEMENT &amp; RESPONSE ASSESSMENT</t>
        </is>
      </c>
    </row>
    <row r="2" ht="25" customHeight="1">
      <c r="A2" s="2" t="inlineStr">
        <is>
          <t>ISO/IEC 27001:2022 - Control A.8.16: Monitoring Activities</t>
        </is>
      </c>
    </row>
    <row r="4">
      <c r="A4" s="3" t="inlineStr">
        <is>
          <t>DOCUMENT INFORMATION</t>
        </is>
      </c>
    </row>
    <row r="5">
      <c r="A5" s="4" t="inlineStr">
        <is>
          <t>Document ID:</t>
        </is>
      </c>
      <c r="B5" t="inlineStr">
        <is>
          <t>ISMS-IMP-A.8.16.4</t>
        </is>
      </c>
    </row>
    <row r="6">
      <c r="A6" s="4" t="inlineStr">
        <is>
          <t>Assessment Area:</t>
        </is>
      </c>
      <c r="B6" t="inlineStr">
        <is>
          <t>Alert Management &amp; Response</t>
        </is>
      </c>
    </row>
    <row r="7">
      <c r="A7" s="4" t="inlineStr">
        <is>
          <t>Related Policy:</t>
        </is>
      </c>
      <c r="B7" t="inlineStr">
        <is>
          <t>ISMS-POL-A.8.16-S2.3</t>
        </is>
      </c>
    </row>
    <row r="8">
      <c r="A8" s="4" t="inlineStr">
        <is>
          <t>Version:</t>
        </is>
      </c>
      <c r="B8" t="inlineStr">
        <is>
          <t>1.0</t>
        </is>
      </c>
    </row>
    <row r="9">
      <c r="A9" s="4" t="inlineStr">
        <is>
          <t>Assessment Date:</t>
        </is>
      </c>
      <c r="B9" s="5" t="inlineStr">
        <is>
          <t>[USER INPUT - DD.MM.YYYY]</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3">
      <c r="A13" s="4" t="inlineStr">
        <is>
          <t>Next Review Date:</t>
        </is>
      </c>
      <c r="B13">
        <f>IF(B8&lt;&gt;"",B8+90,"")</f>
        <v/>
      </c>
    </row>
    <row r="16">
      <c r="A16" s="3" t="inlineStr">
        <is>
          <t>HOW TO USE THIS WORKBOOK</t>
        </is>
      </c>
    </row>
    <row r="17" ht="25" customHeight="1">
      <c r="A17" s="6" t="inlineStr">
        <is>
          <t>1. Complete Alert Generation inventory (Sheet 1)</t>
        </is>
      </c>
    </row>
    <row r="18" ht="25" customHeight="1">
      <c r="A18" s="6" t="inlineStr">
        <is>
          <t>2. Document Triage &amp; Investigation processes (Sheet 2)</t>
        </is>
      </c>
    </row>
    <row r="19" ht="25" customHeight="1">
      <c r="A19" s="6" t="inlineStr">
        <is>
          <t>3. Define Escalation &amp; Response procedures (Sheet 3)</t>
        </is>
      </c>
    </row>
    <row r="20" ht="25" customHeight="1">
      <c r="A20" s="6" t="inlineStr">
        <is>
          <t>4. Track Performance Metrics (Sheet 4)</t>
        </is>
      </c>
    </row>
    <row r="21" ht="25" customHeight="1">
      <c r="A21" s="6" t="inlineStr">
        <is>
          <t>5. Assess SOC Operational Readiness (Sheet 5)</t>
        </is>
      </c>
    </row>
    <row r="22" ht="25" customHeight="1">
      <c r="A22" s="6" t="inlineStr">
        <is>
          <t>6. Review Summary Dashboard for gaps</t>
        </is>
      </c>
    </row>
    <row r="23" ht="25" customHeight="1">
      <c r="A23" s="6" t="inlineStr">
        <is>
          <t>7. Gather evidence and document in Evidence Register</t>
        </is>
      </c>
    </row>
    <row r="24" ht="25" customHeight="1">
      <c r="A24" s="6" t="inlineStr">
        <is>
          <t>8. Obtain approvals via Approval Sign-Off sheet</t>
        </is>
      </c>
    </row>
    <row r="25" ht="25" customHeight="1">
      <c r="A25" s="6" t="inlineStr">
        <is>
          <t>9. Review quarterly and update metrics</t>
        </is>
      </c>
    </row>
    <row r="28" ht="30" customHeight="1">
      <c r="A28" s="7" t="inlineStr">
        <is>
          <t>"In God we trust. All others must bring data." - W. Edwards Deming</t>
        </is>
      </c>
    </row>
    <row r="29">
      <c r="A29" s="8" t="inlineStr">
        <is>
          <t>🎯 Measure response times. Track effectiveness. Improve continuously.</t>
        </is>
      </c>
    </row>
  </sheetData>
  <mergeCells count="6">
    <mergeCell ref="A1:G1"/>
    <mergeCell ref="A4:G4"/>
    <mergeCell ref="A16:G16"/>
    <mergeCell ref="A2:G2"/>
    <mergeCell ref="A29:G29"/>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9"/>
  <sheetViews>
    <sheetView workbookViewId="0">
      <selection activeCell="A1" sqref="A1"/>
    </sheetView>
  </sheetViews>
  <sheetFormatPr baseColWidth="8" defaultRowHeight="15"/>
  <cols>
    <col width="30" customWidth="1" min="1" max="1"/>
    <col width="22" customWidth="1" min="2" max="2"/>
    <col width="20" customWidth="1" min="3" max="3"/>
    <col width="15" customWidth="1" min="4" max="4"/>
    <col width="22" customWidth="1" min="5" max="5"/>
    <col width="35" customWidth="1" min="6" max="6"/>
    <col width="30" customWidth="1" min="7" max="7"/>
    <col width="30" customWidth="1" min="8" max="8"/>
    <col width="15" customWidth="1" min="9" max="9"/>
    <col width="15" customWidth="1" min="10" max="10"/>
    <col width="15" customWidth="1" min="11" max="11"/>
    <col width="15" customWidth="1" min="12" max="12"/>
    <col width="22" customWidth="1" min="13" max="13"/>
    <col width="18" customWidth="1" min="14" max="14"/>
    <col width="16" customWidth="1" min="15" max="15"/>
    <col width="16" customWidth="1" min="16" max="16"/>
    <col width="18" customWidth="1" min="17" max="17"/>
    <col width="16" customWidth="1" min="18" max="18"/>
    <col width="14" customWidth="1" min="19" max="19"/>
    <col width="18" customWidth="1" min="20" max="20"/>
    <col width="30" customWidth="1" min="21" max="21"/>
    <col width="16" customWidth="1" min="22" max="22"/>
  </cols>
  <sheetData>
    <row r="1" ht="35" customHeight="1">
      <c r="A1" s="1" t="inlineStr">
        <is>
          <t>1. ALERT GENERATION &amp; CLASSIFICATION ASSESSMENT</t>
        </is>
      </c>
    </row>
    <row r="2">
      <c r="A2" s="2" t="inlineStr">
        <is>
          <t>Policy Reference: ISMS-POL-A.8.16-S2.3.3 - Alert generation</t>
        </is>
      </c>
    </row>
    <row r="3" ht="30" customHeight="1">
      <c r="A3" s="9" t="inlineStr">
        <is>
          <t>Are alerts properly generated, classified, enriched, and managed?</t>
        </is>
      </c>
    </row>
    <row r="6">
      <c r="A6" s="10" t="inlineStr">
        <is>
          <t>Alert Type/Name</t>
        </is>
      </c>
      <c r="B6" s="10" t="inlineStr">
        <is>
          <t>Alert Source</t>
        </is>
      </c>
      <c r="C6" s="10" t="inlineStr">
        <is>
          <t>Detection Rule ID</t>
        </is>
      </c>
      <c r="D6" s="10" t="inlineStr">
        <is>
          <t>Alert Severity</t>
        </is>
      </c>
      <c r="E6" s="10" t="inlineStr">
        <is>
          <t>MITRE ATT&amp;CK Technique</t>
        </is>
      </c>
      <c r="F6" s="10" t="inlineStr">
        <is>
          <t>Alert Description</t>
        </is>
      </c>
      <c r="G6" s="10" t="inlineStr">
        <is>
          <t>Trigger Criteria</t>
        </is>
      </c>
      <c r="H6" s="10" t="inlineStr">
        <is>
          <t>Enrichment Data</t>
        </is>
      </c>
      <c r="I6" s="10" t="inlineStr">
        <is>
          <t>Expected FP Rate</t>
        </is>
      </c>
      <c r="J6" s="10" t="inlineStr">
        <is>
          <t>Actual FP Rate (30d)</t>
        </is>
      </c>
      <c r="K6" s="10" t="inlineStr">
        <is>
          <t>Alert Volume (30d)</t>
        </is>
      </c>
      <c r="L6" s="10" t="inlineStr">
        <is>
          <t>True Positives (30d)</t>
        </is>
      </c>
      <c r="M6" s="10" t="inlineStr">
        <is>
          <t>Response Playbook</t>
        </is>
      </c>
      <c r="N6" s="10" t="inlineStr">
        <is>
          <t>SLA Timeframe</t>
        </is>
      </c>
      <c r="O6" s="10" t="inlineStr">
        <is>
          <t>Auto-Enrichment</t>
        </is>
      </c>
      <c r="P6" s="10" t="inlineStr">
        <is>
          <t>Auto-Containment</t>
        </is>
      </c>
      <c r="Q6" s="10" t="inlineStr">
        <is>
          <t>Deduplication Enabled</t>
        </is>
      </c>
      <c r="R6" s="10" t="inlineStr">
        <is>
          <t>Alert Status</t>
        </is>
      </c>
      <c r="S6" s="10" t="inlineStr">
        <is>
          <t>Last Tuned</t>
        </is>
      </c>
      <c r="T6" s="10" t="inlineStr">
        <is>
          <t>Compliance Status</t>
        </is>
      </c>
      <c r="U6" s="10" t="inlineStr">
        <is>
          <t>Issues/Gaps</t>
        </is>
      </c>
      <c r="V6" s="10" t="inlineStr">
        <is>
          <t>Tuning Priority</t>
        </is>
      </c>
    </row>
    <row r="7">
      <c r="A7" s="11" t="inlineStr">
        <is>
          <t>Privilege Escalation Alert</t>
        </is>
      </c>
      <c r="B7" s="11" t="inlineStr">
        <is>
          <t>SIEM</t>
        </is>
      </c>
      <c r="C7" s="11" t="inlineStr">
        <is>
          <t>RULE-105</t>
        </is>
      </c>
      <c r="D7" s="11" t="inlineStr">
        <is>
          <t>High (P2)</t>
        </is>
      </c>
      <c r="E7" s="11" t="inlineStr">
        <is>
          <t>T1068</t>
        </is>
      </c>
      <c r="F7" s="11" t="inlineStr">
        <is>
          <t>Detects privilege escalation attempts</t>
        </is>
      </c>
      <c r="G7" s="11" t="inlineStr">
        <is>
          <t>Event 4672 + 4768 within 5 min</t>
        </is>
      </c>
      <c r="H7" s="11" t="inlineStr">
        <is>
          <t>User context, asset info, threat intel</t>
        </is>
      </c>
      <c r="I7" s="11" t="inlineStr">
        <is>
          <t>10%</t>
        </is>
      </c>
      <c r="J7" s="11" t="inlineStr">
        <is>
          <t>8%</t>
        </is>
      </c>
      <c r="K7" s="11" t="inlineStr">
        <is>
          <t>45</t>
        </is>
      </c>
      <c r="L7" s="11" t="inlineStr">
        <is>
          <t>41</t>
        </is>
      </c>
      <c r="M7" s="11" t="inlineStr">
        <is>
          <t>PB-PRIV-ESC-001</t>
        </is>
      </c>
      <c r="N7" s="11" t="inlineStr">
        <is>
          <t>&lt;1 hr</t>
        </is>
      </c>
      <c r="O7" s="11" t="inlineStr">
        <is>
          <t>Yes</t>
        </is>
      </c>
      <c r="P7" s="11" t="inlineStr">
        <is>
          <t>No</t>
        </is>
      </c>
      <c r="Q7" s="11" t="inlineStr">
        <is>
          <t>Yes</t>
        </is>
      </c>
      <c r="R7" s="11" t="inlineStr">
        <is>
          <t>Active</t>
        </is>
      </c>
      <c r="S7" s="11" t="inlineStr">
        <is>
          <t>15.12.2024</t>
        </is>
      </c>
      <c r="T7" s="11" t="inlineStr">
        <is>
          <t>✅ Compliant</t>
        </is>
      </c>
      <c r="U7" s="11" t="inlineStr">
        <is>
          <t>None</t>
        </is>
      </c>
      <c r="V7" s="11" t="inlineStr">
        <is>
          <t>Low</t>
        </is>
      </c>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c r="V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c r="V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row>
    <row r="29">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row>
    <row r="31">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row>
    <row r="33">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row>
    <row r="40">
      <c r="A40" s="3" t="inlineStr">
        <is>
          <t>ALERT STATISTICS</t>
        </is>
      </c>
    </row>
    <row r="41">
      <c r="A41" s="10" t="inlineStr">
        <is>
          <t>Metric</t>
        </is>
      </c>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row>
    <row r="42" ht="25" customHeight="1">
      <c r="A42" s="6" t="inlineStr">
        <is>
          <t>Total Active Alerts</t>
        </is>
      </c>
    </row>
    <row r="43" ht="25" customHeight="1">
      <c r="A43" s="6" t="inlineStr">
        <is>
          <t>Critical Alerts</t>
        </is>
      </c>
    </row>
    <row r="44" ht="25" customHeight="1">
      <c r="A44" s="6" t="inlineStr">
        <is>
          <t>High Alerts</t>
        </is>
      </c>
    </row>
    <row r="45" ht="25" customHeight="1">
      <c r="A45" s="6" t="inlineStr">
        <is>
          <t>Alerts with Playbooks</t>
        </is>
      </c>
    </row>
    <row r="46" ht="25" customHeight="1">
      <c r="A46" s="6" t="inlineStr">
        <is>
          <t>Alerts with Auto-Enrichment</t>
        </is>
      </c>
    </row>
    <row r="47" ht="25" customHeight="1">
      <c r="A47" s="6" t="inlineStr">
        <is>
          <t>Alerts Needing Tuning</t>
        </is>
      </c>
    </row>
    <row r="48" ht="25" customHeight="1">
      <c r="A48" s="6" t="inlineStr">
        <is>
          <t>Average FP Rate</t>
        </is>
      </c>
    </row>
    <row r="49" ht="25" customHeight="1">
      <c r="A49" s="6" t="inlineStr">
        <is>
          <t>Alerts Without Deduplication</t>
        </is>
      </c>
    </row>
    <row r="52">
      <c r="A52" s="3" t="inlineStr">
        <is>
          <t>ALERT GENERATION CHECKLIST</t>
        </is>
      </c>
    </row>
    <row r="53">
      <c r="A53" s="10" t="inlineStr">
        <is>
          <t>#</t>
        </is>
      </c>
      <c r="B53" s="10" t="inlineStr">
        <is>
          <t>Requirement</t>
        </is>
      </c>
      <c r="C53" s="13" t="n"/>
      <c r="D53" s="13" t="n"/>
      <c r="E53" s="13" t="n"/>
      <c r="F53" s="13" t="n"/>
      <c r="G53" s="13" t="n"/>
      <c r="H53" s="13" t="n"/>
      <c r="I53" s="13" t="n"/>
      <c r="J53" s="13" t="n"/>
      <c r="K53" s="13" t="n"/>
      <c r="L53" s="13" t="n"/>
      <c r="M53" s="13" t="n"/>
      <c r="N53" s="13" t="n"/>
      <c r="O53" s="13" t="n"/>
      <c r="P53" s="13" t="n"/>
      <c r="Q53" s="13" t="n"/>
      <c r="R53" s="13" t="n"/>
      <c r="S53" s="13" t="n"/>
      <c r="T53" s="13" t="n"/>
      <c r="U53" s="14" t="n"/>
    </row>
    <row r="54" ht="25" customHeight="1">
      <c r="A54" t="n">
        <v>1</v>
      </c>
      <c r="B54" s="6" t="inlineStr">
        <is>
          <t>All alert types documented</t>
        </is>
      </c>
      <c r="V54" s="5" t="n"/>
    </row>
    <row r="55" ht="25" customHeight="1">
      <c r="A55" t="n">
        <v>2</v>
      </c>
      <c r="B55" s="6" t="inlineStr">
        <is>
          <t>Alert severity classification consistent</t>
        </is>
      </c>
      <c r="V55" s="5" t="n"/>
    </row>
    <row r="56" ht="25" customHeight="1">
      <c r="A56" t="n">
        <v>3</v>
      </c>
      <c r="B56" s="6" t="inlineStr">
        <is>
          <t>MITRE ATT&amp;CK mapping documented</t>
        </is>
      </c>
      <c r="V56" s="5" t="n"/>
    </row>
    <row r="57" ht="25" customHeight="1">
      <c r="A57" t="n">
        <v>4</v>
      </c>
      <c r="B57" s="6" t="inlineStr">
        <is>
          <t>Trigger criteria documented</t>
        </is>
      </c>
      <c r="V57" s="5" t="n"/>
    </row>
    <row r="58" ht="25" customHeight="1">
      <c r="A58" t="n">
        <v>5</v>
      </c>
      <c r="B58" s="6" t="inlineStr">
        <is>
          <t>Alert enrichment configured</t>
        </is>
      </c>
      <c r="V58" s="5" t="n"/>
    </row>
    <row r="59" ht="25" customHeight="1">
      <c r="A59" t="n">
        <v>6</v>
      </c>
      <c r="B59" s="6" t="inlineStr">
        <is>
          <t>Response playbook exists</t>
        </is>
      </c>
      <c r="V59" s="5" t="n"/>
    </row>
    <row r="60" ht="25" customHeight="1">
      <c r="A60" t="n">
        <v>7</v>
      </c>
      <c r="B60" s="6" t="inlineStr">
        <is>
          <t>SLA timeframes defined</t>
        </is>
      </c>
      <c r="V60" s="5" t="n"/>
    </row>
    <row r="61" ht="25" customHeight="1">
      <c r="A61" t="n">
        <v>8</v>
      </c>
      <c r="B61" s="6" t="inlineStr">
        <is>
          <t>False positive rates tracked (&lt;25% overall, &lt;10% critical)</t>
        </is>
      </c>
      <c r="V61" s="5" t="n"/>
    </row>
    <row r="62" ht="25" customHeight="1">
      <c r="A62" t="n">
        <v>9</v>
      </c>
      <c r="B62" s="6" t="inlineStr">
        <is>
          <t>High FP alerts tuned within 30 days</t>
        </is>
      </c>
      <c r="V62" s="5" t="n"/>
    </row>
    <row r="63" ht="25" customHeight="1">
      <c r="A63" t="n">
        <v>10</v>
      </c>
      <c r="B63" s="6" t="inlineStr">
        <is>
          <t>Alert deduplication configured</t>
        </is>
      </c>
      <c r="V63" s="5" t="n"/>
    </row>
    <row r="64" ht="25" customHeight="1">
      <c r="A64" t="n">
        <v>11</v>
      </c>
      <c r="B64" s="6" t="inlineStr">
        <is>
          <t>Auto-containment for high-confidence</t>
        </is>
      </c>
      <c r="V64" s="5" t="n"/>
    </row>
    <row r="65" ht="25" customHeight="1">
      <c r="A65" t="n">
        <v>12</v>
      </c>
      <c r="B65" s="6" t="inlineStr">
        <is>
          <t>Alerts tested before production</t>
        </is>
      </c>
      <c r="V65" s="5" t="n"/>
    </row>
    <row r="66" ht="25" customHeight="1">
      <c r="A66" t="n">
        <v>13</v>
      </c>
      <c r="B66" s="6" t="inlineStr">
        <is>
          <t>Alert volume monitored for spikes</t>
        </is>
      </c>
      <c r="V66" s="5" t="n"/>
    </row>
    <row r="67" ht="25" customHeight="1">
      <c r="A67" t="n">
        <v>14</v>
      </c>
      <c r="B67" s="6" t="inlineStr">
        <is>
          <t>Noisy alerts identified and tuned</t>
        </is>
      </c>
      <c r="V67" s="5" t="n"/>
    </row>
    <row r="68" ht="25" customHeight="1">
      <c r="A68" t="n">
        <v>15</v>
      </c>
      <c r="B68" s="6" t="inlineStr">
        <is>
          <t>Retired alerts properly archived</t>
        </is>
      </c>
      <c r="V68" s="5" t="n"/>
    </row>
    <row r="69">
      <c r="A69" s="15" t="inlineStr">
        <is>
          <t>SCORE:</t>
        </is>
      </c>
      <c r="B69" s="16">
        <f>COUNTIF(V54:V68,"✅ Compliant")&amp;" / 15"</f>
        <v/>
      </c>
    </row>
  </sheetData>
  <mergeCells count="49">
    <mergeCell ref="A2:V2"/>
    <mergeCell ref="B63:U63"/>
    <mergeCell ref="A48:H48"/>
    <mergeCell ref="C49:V49"/>
    <mergeCell ref="B49:N49"/>
    <mergeCell ref="B62:U62"/>
    <mergeCell ref="A49:H49"/>
    <mergeCell ref="B54:U54"/>
    <mergeCell ref="A45:H45"/>
    <mergeCell ref="C42:V42"/>
    <mergeCell ref="B59:U59"/>
    <mergeCell ref="B66:U66"/>
    <mergeCell ref="A52:V52"/>
    <mergeCell ref="C45:V45"/>
    <mergeCell ref="B45:N45"/>
    <mergeCell ref="B41:N41"/>
    <mergeCell ref="B56:U56"/>
    <mergeCell ref="B58:U58"/>
    <mergeCell ref="A41:H41"/>
    <mergeCell ref="A40:V40"/>
    <mergeCell ref="C47:V47"/>
    <mergeCell ref="A46:H46"/>
    <mergeCell ref="B47:N47"/>
    <mergeCell ref="C44:V44"/>
    <mergeCell ref="C41:V41"/>
    <mergeCell ref="B60:U60"/>
    <mergeCell ref="B46:N46"/>
    <mergeCell ref="B61:U61"/>
    <mergeCell ref="B67:U67"/>
    <mergeCell ref="B57:U57"/>
    <mergeCell ref="A1:V1"/>
    <mergeCell ref="C43:V43"/>
    <mergeCell ref="B53:U53"/>
    <mergeCell ref="B43:N43"/>
    <mergeCell ref="A42:H42"/>
    <mergeCell ref="B48:N48"/>
    <mergeCell ref="C46:V46"/>
    <mergeCell ref="A47:H47"/>
    <mergeCell ref="B42:N42"/>
    <mergeCell ref="B65:U65"/>
    <mergeCell ref="A43:H43"/>
    <mergeCell ref="C48:V48"/>
    <mergeCell ref="B69:E69"/>
    <mergeCell ref="B68:U68"/>
    <mergeCell ref="B64:U64"/>
    <mergeCell ref="B55:U55"/>
    <mergeCell ref="B44:N44"/>
    <mergeCell ref="A44:H44"/>
    <mergeCell ref="A3:V3"/>
  </mergeCells>
  <dataValidations count="9">
    <dataValidation sqref="B8 B9 B10 B11 B12 B13 B14 B15 B16 B17 B18 B19 B20 B21 B22 B23 B24 B25 B26 B27 B28 B29 B30 B31 B32 B33 B34 B35 B36 B37" showDropDown="0" showInputMessage="0" showErrorMessage="0" allowBlank="0" type="list">
      <formula1>"SIEM,IDS/IPS,EDR,NDR,Firewall,WAF,AV,DLP,Cloud Security,Other"</formula1>
    </dataValidation>
    <dataValidation sqref="D8 D9 D10 D11 D12 D13 D14 D15 D16 D17 D18 D19 D20 D21 D22 D23 D24 D25 D26 D27 D28 D29 D30 D31 D32 D33 D34 D35 D36 D37" showDropDown="0" showInputMessage="0" showErrorMessage="0" allowBlank="0" type="list">
      <formula1>"Critical (P1),High (P2),Medium (P3),Low (P4)"</formula1>
    </dataValidation>
    <dataValidation sqref="N8 N9 N10 N11 N12 N13 N14 N15 N16 N17 N18 N19 N20 N21 N22 N23 N24 N25 N26 N27 N28 N29 N30 N31 N32 N33 N34 N35 N36 N37" showDropDown="0" showInputMessage="0" showErrorMessage="0" allowBlank="0" type="list">
      <formula1>"&lt;15 min,&lt;1 hr,&lt;4 hrs,&lt;1 day,&lt;3 days"</formula1>
    </dataValidation>
    <dataValidation sqref="Q8 Q9 Q10 Q11 Q12 Q13 Q14 Q15 Q16 Q17 Q18 Q19 Q20 Q21 Q22 Q23 Q24 Q25 Q26 Q27 Q28 Q29 Q30 Q31 Q32 Q33 Q34 Q35 Q36 Q37" showDropDown="0" showInputMessage="0" showErrorMessage="0" allowBlank="0" type="list">
      <formula1>"Yes,No"</formula1>
    </dataValidation>
    <dataValidation sqref="P8 P9 P10 P11 P12 P13 P14 P15 P16 P17 P18 P19 P20 P21 P22 P23 P24 P25 P26 P27 P28 P29 P30 P31 P32 P33 P34 P35 P36 P37" showDropDown="0" showInputMessage="0" showErrorMessage="0" allowBlank="0" type="list">
      <formula1>"Yes,No,N/A"</formula1>
    </dataValidation>
    <dataValidation sqref="O8 O9 O10 O11 O12 O13 O14 O15 O16 O17 O18 O19 O20 O21 O22 O23 O24 O25 O26 O27 O28 O29 O30 O31 O32 O33 O34 O35 O36 O37" showDropDown="0" showInputMessage="0" showErrorMessage="0" allowBlank="0" type="list">
      <formula1>"Yes,Partial,No"</formula1>
    </dataValidation>
    <dataValidation sqref="R8 R9 R10 R11 R12 R13 R14 R15 R16 R17 R18 R19 R20 R21 R22 R23 R24 R25 R26 R27 R28 R29 R30 R31 R32 R33 R34 R35 R36 R37" showDropDown="0" showInputMessage="0" showErrorMessage="0" allowBlank="0" type="list">
      <formula1>"Active,Testing,Tuning Needed,Retired"</formula1>
    </dataValidation>
    <dataValidation sqref="T8 T9 T10 T11 T12 T13 T14 T15 T16 T17 T18 T19 T20 T21 T22 T23 T24 T25 T26 T27 T28 T29 T30 T31 T32 T33 T34 T35 T36 T37 V54 V55 V56 V57 V58 V59 V60 V61 V62 V63 V64 V65 V66 V67 V68" showDropDown="0" showInputMessage="0" showErrorMessage="0" allowBlank="0" type="list">
      <formula1>"✅ Compliant,⚠️ Partial,❌ Non-Compliant,N/A"</formula1>
    </dataValidation>
    <dataValidation sqref="V8 V9 V10 V11 V12 V13 V14 V15 V16 V17 V18 V19 V20 V21 V22 V23 V24 V25 V26 V27 V28 V29 V30 V31 V32 V33 V34 V35 V36 V37"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4"/>
  <sheetViews>
    <sheetView workbookViewId="0">
      <selection activeCell="A1" sqref="A1"/>
    </sheetView>
  </sheetViews>
  <sheetFormatPr baseColWidth="8" defaultRowHeight="15"/>
  <cols>
    <col width="28" customWidth="1" min="1" max="1"/>
    <col width="20" customWidth="1" min="2" max="2"/>
    <col width="18" customWidth="1" min="3" max="3"/>
    <col width="25" customWidth="1" min="4" max="4"/>
    <col width="16" customWidth="1" min="5" max="5"/>
    <col width="25" customWidth="1" min="6" max="6"/>
    <col width="18" customWidth="1" min="7" max="7"/>
    <col width="18" customWidth="1" min="8" max="8"/>
    <col width="18" customWidth="1" min="9" max="9"/>
    <col width="16" customWidth="1" min="10" max="10"/>
    <col width="30" customWidth="1" min="11" max="11"/>
    <col width="25" customWidth="1" min="12" max="12"/>
    <col width="12" customWidth="1" min="13" max="13"/>
    <col width="18" customWidth="1" min="14" max="14"/>
    <col width="18" customWidth="1" min="15" max="15"/>
    <col width="30" customWidth="1" min="16" max="16"/>
    <col width="15" customWidth="1" min="17" max="17"/>
    <col width="16" customWidth="1" min="18" max="18"/>
    <col width="14" customWidth="1" min="19" max="19"/>
    <col width="30" customWidth="1" min="20" max="20"/>
    <col width="16" customWidth="1" min="21" max="21"/>
  </cols>
  <sheetData>
    <row r="1" ht="35" customHeight="1">
      <c r="A1" s="1" t="inlineStr">
        <is>
          <t>2. TRIAGE &amp; INVESTIGATION PROCESS ASSESSMENT</t>
        </is>
      </c>
    </row>
    <row r="2">
      <c r="A2" s="2" t="inlineStr">
        <is>
          <t>Policy Reference: ISMS-POL-A.8.16-S2.3.5 - Triage procedures</t>
        </is>
      </c>
    </row>
    <row r="3" ht="30" customHeight="1">
      <c r="A3" s="9" t="inlineStr">
        <is>
          <t>Are triage and investigation processes documented, trained, and effective?</t>
        </is>
      </c>
    </row>
    <row r="6">
      <c r="A6" s="10" t="inlineStr">
        <is>
          <t>Process Step</t>
        </is>
      </c>
      <c r="B6" s="10" t="inlineStr">
        <is>
          <t>Process Owner</t>
        </is>
      </c>
      <c r="C6" s="10" t="inlineStr">
        <is>
          <t>Procedure Documented</t>
        </is>
      </c>
      <c r="D6" s="10" t="inlineStr">
        <is>
          <t>Documentation Location</t>
        </is>
      </c>
      <c r="E6" s="10" t="inlineStr">
        <is>
          <t>Training Provided</t>
        </is>
      </c>
      <c r="F6" s="10" t="inlineStr">
        <is>
          <t>Tools/Systems Used</t>
        </is>
      </c>
      <c r="G6" s="10" t="inlineStr">
        <is>
          <t>Automation Level</t>
        </is>
      </c>
      <c r="H6" s="10" t="inlineStr">
        <is>
          <t>Average Time (Minutes)</t>
        </is>
      </c>
      <c r="I6" s="10" t="inlineStr">
        <is>
          <t>SLA Target (Minutes)</t>
        </is>
      </c>
      <c r="J6" s="10" t="inlineStr">
        <is>
          <t>SLA Compliance %</t>
        </is>
      </c>
      <c r="K6" s="10" t="inlineStr">
        <is>
          <t>Bottlenecks Identified</t>
        </is>
      </c>
      <c r="L6" s="10" t="inlineStr">
        <is>
          <t>Quality Metrics</t>
        </is>
      </c>
      <c r="M6" s="10" t="inlineStr">
        <is>
          <t>Error Rate %</t>
        </is>
      </c>
      <c r="N6" s="10" t="inlineStr">
        <is>
          <t>Analyst Workload</t>
        </is>
      </c>
      <c r="O6" s="10" t="inlineStr">
        <is>
          <t>Shift Coverage</t>
        </is>
      </c>
      <c r="P6" s="10" t="inlineStr">
        <is>
          <t>Escalation Criteria</t>
        </is>
      </c>
      <c r="Q6" s="10" t="inlineStr">
        <is>
          <t>Escalation Rate %</t>
        </is>
      </c>
      <c r="R6" s="10" t="inlineStr">
        <is>
          <t>Process Status</t>
        </is>
      </c>
      <c r="S6" s="10" t="inlineStr">
        <is>
          <t>Last Process Review</t>
        </is>
      </c>
      <c r="T6" s="10" t="inlineStr">
        <is>
          <t>Improvement Opportunities</t>
        </is>
      </c>
      <c r="U6" s="10" t="inlineStr">
        <is>
          <t>Priority</t>
        </is>
      </c>
    </row>
    <row r="7">
      <c r="A7" s="11" t="inlineStr">
        <is>
          <t>Initial Assessment</t>
        </is>
      </c>
      <c r="B7" s="11" t="inlineStr">
        <is>
          <t>Tier 1 Analyst</t>
        </is>
      </c>
      <c r="C7" s="11" t="inlineStr">
        <is>
          <t>Yes</t>
        </is>
      </c>
      <c r="D7" s="11" t="inlineStr">
        <is>
          <t>SOC-SOP-002</t>
        </is>
      </c>
      <c r="E7" s="11" t="inlineStr">
        <is>
          <t>Yes</t>
        </is>
      </c>
      <c r="F7" s="11" t="inlineStr">
        <is>
          <t>SIEM, EDR Console</t>
        </is>
      </c>
      <c r="G7" s="11" t="inlineStr">
        <is>
          <t>Partially Automated</t>
        </is>
      </c>
      <c r="H7" s="11" t="inlineStr">
        <is>
          <t>8</t>
        </is>
      </c>
      <c r="I7" s="11" t="inlineStr">
        <is>
          <t>15</t>
        </is>
      </c>
      <c r="J7" s="11" t="inlineStr">
        <is>
          <t>92%</t>
        </is>
      </c>
      <c r="K7" s="11" t="inlineStr">
        <is>
          <t>Manual enrichment takes time</t>
        </is>
      </c>
      <c r="L7" s="11" t="inlineStr">
        <is>
          <t>First contact resolution rate</t>
        </is>
      </c>
      <c r="M7" s="11" t="inlineStr">
        <is>
          <t>3%</t>
        </is>
      </c>
      <c r="N7" s="11" t="inlineStr">
        <is>
          <t>35 alerts/shift</t>
        </is>
      </c>
      <c r="O7" s="11" t="inlineStr">
        <is>
          <t>24/7</t>
        </is>
      </c>
      <c r="P7" s="11" t="inlineStr">
        <is>
          <t>Severity High + Confirmed TP</t>
        </is>
      </c>
      <c r="Q7" s="11" t="inlineStr">
        <is>
          <t>12%</t>
        </is>
      </c>
      <c r="R7" s="11" t="inlineStr">
        <is>
          <t>✅ Defined</t>
        </is>
      </c>
      <c r="S7" s="11" t="inlineStr">
        <is>
          <t>10.12.2024</t>
        </is>
      </c>
      <c r="T7" s="11" t="inlineStr">
        <is>
          <t>Automate enrichment</t>
        </is>
      </c>
      <c r="U7" s="11" t="inlineStr">
        <is>
          <t>Medium</t>
        </is>
      </c>
    </row>
    <row r="8">
      <c r="A8" s="12" t="n"/>
      <c r="B8" s="12" t="n"/>
      <c r="C8" s="12" t="n"/>
      <c r="D8" s="12" t="n"/>
      <c r="E8" s="12" t="n"/>
      <c r="F8" s="12" t="n"/>
      <c r="G8" s="12" t="n"/>
      <c r="H8" s="12" t="n"/>
      <c r="I8" s="12" t="n"/>
      <c r="J8" s="12" t="n"/>
      <c r="K8" s="12" t="n"/>
      <c r="L8" s="12" t="n"/>
      <c r="M8" s="12" t="n"/>
      <c r="N8" s="12" t="n"/>
      <c r="O8" s="12" t="n"/>
      <c r="P8" s="12" t="n"/>
      <c r="Q8" s="12" t="n"/>
      <c r="R8" s="12" t="n"/>
      <c r="S8" s="12" t="n"/>
      <c r="T8" s="12" t="n"/>
      <c r="U8" s="12" t="n"/>
    </row>
    <row r="9">
      <c r="A9" s="12" t="n"/>
      <c r="B9" s="12" t="n"/>
      <c r="C9" s="12" t="n"/>
      <c r="D9" s="12" t="n"/>
      <c r="E9" s="12" t="n"/>
      <c r="F9" s="12" t="n"/>
      <c r="G9" s="12" t="n"/>
      <c r="H9" s="12" t="n"/>
      <c r="I9" s="12" t="n"/>
      <c r="J9" s="12" t="n"/>
      <c r="K9" s="12" t="n"/>
      <c r="L9" s="12" t="n"/>
      <c r="M9" s="12" t="n"/>
      <c r="N9" s="12" t="n"/>
      <c r="O9" s="12" t="n"/>
      <c r="P9" s="12" t="n"/>
      <c r="Q9" s="12" t="n"/>
      <c r="R9" s="12" t="n"/>
      <c r="S9" s="12" t="n"/>
      <c r="T9" s="12" t="n"/>
      <c r="U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row>
    <row r="25">
      <c r="A25" s="3" t="inlineStr">
        <is>
          <t>TRIAGE PROCESS STATISTICS</t>
        </is>
      </c>
    </row>
    <row r="26">
      <c r="A26" s="10" t="inlineStr">
        <is>
          <t>Metric</t>
        </is>
      </c>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row>
    <row r="27" ht="25" customHeight="1">
      <c r="A27" s="6" t="inlineStr">
        <is>
          <t>Process Steps Documented</t>
        </is>
      </c>
    </row>
    <row r="28" ht="25" customHeight="1">
      <c r="A28" s="6" t="inlineStr">
        <is>
          <t>Fully Automated Steps</t>
        </is>
      </c>
    </row>
    <row r="29" ht="25" customHeight="1">
      <c r="A29" s="6" t="inlineStr">
        <is>
          <t>Partially Automated Steps</t>
        </is>
      </c>
    </row>
    <row r="30" ht="25" customHeight="1">
      <c r="A30" s="6" t="inlineStr">
        <is>
          <t>Manual Steps</t>
        </is>
      </c>
    </row>
    <row r="31" ht="25" customHeight="1">
      <c r="A31" s="6" t="inlineStr">
        <is>
          <t>Steps Meeting SLA</t>
        </is>
      </c>
    </row>
    <row r="32" ht="25" customHeight="1">
      <c r="A32" s="6" t="inlineStr">
        <is>
          <t>Staff Trained</t>
        </is>
      </c>
    </row>
    <row r="33" ht="25" customHeight="1">
      <c r="A33" s="6" t="inlineStr">
        <is>
          <t>Processes Reviewed (90d)</t>
        </is>
      </c>
    </row>
    <row r="34" ht="25" customHeight="1">
      <c r="A34" s="6" t="inlineStr">
        <is>
          <t>Average Escalation Rate</t>
        </is>
      </c>
    </row>
    <row r="37">
      <c r="A37" s="3" t="inlineStr">
        <is>
          <t>TRIAGE &amp; INVESTIGATION CHECKLIST</t>
        </is>
      </c>
    </row>
    <row r="38">
      <c r="A38" s="10" t="inlineStr">
        <is>
          <t>#</t>
        </is>
      </c>
      <c r="B38" s="10" t="inlineStr">
        <is>
          <t>Requirement</t>
        </is>
      </c>
      <c r="C38" s="13" t="n"/>
      <c r="D38" s="13" t="n"/>
      <c r="E38" s="13" t="n"/>
      <c r="F38" s="13" t="n"/>
      <c r="G38" s="13" t="n"/>
      <c r="H38" s="13" t="n"/>
      <c r="I38" s="13" t="n"/>
      <c r="J38" s="13" t="n"/>
      <c r="K38" s="13" t="n"/>
      <c r="L38" s="13" t="n"/>
      <c r="M38" s="13" t="n"/>
      <c r="N38" s="13" t="n"/>
      <c r="O38" s="13" t="n"/>
      <c r="P38" s="13" t="n"/>
      <c r="Q38" s="13" t="n"/>
      <c r="R38" s="13" t="n"/>
      <c r="S38" s="13" t="n"/>
      <c r="T38" s="14" t="n"/>
    </row>
    <row r="39" ht="25" customHeight="1">
      <c r="A39" t="n">
        <v>1</v>
      </c>
      <c r="B39" s="6" t="inlineStr">
        <is>
          <t>Triage procedure documented</t>
        </is>
      </c>
      <c r="U39" s="5" t="n"/>
    </row>
    <row r="40" ht="25" customHeight="1">
      <c r="A40" t="n">
        <v>2</v>
      </c>
      <c r="B40" s="6" t="inlineStr">
        <is>
          <t>Triage steps clearly defined</t>
        </is>
      </c>
      <c r="U40" s="5" t="n"/>
    </row>
    <row r="41" ht="25" customHeight="1">
      <c r="A41" t="n">
        <v>3</v>
      </c>
      <c r="B41" s="6" t="inlineStr">
        <is>
          <t>Disposition criteria documented (TP/FP/Benign/Investigation)</t>
        </is>
      </c>
      <c r="U41" s="5" t="n"/>
    </row>
    <row r="42" ht="25" customHeight="1">
      <c r="A42" t="n">
        <v>4</v>
      </c>
      <c r="B42" s="6" t="inlineStr">
        <is>
          <t>Triage timeframes defined per severity</t>
        </is>
      </c>
      <c r="U42" s="5" t="n"/>
    </row>
    <row r="43" ht="25" customHeight="1">
      <c r="A43" t="n">
        <v>5</v>
      </c>
      <c r="B43" s="6" t="inlineStr">
        <is>
          <t>SOC analysts trained on triage procedures</t>
        </is>
      </c>
      <c r="U43" s="5" t="n"/>
    </row>
    <row r="44" ht="25" customHeight="1">
      <c r="A44" t="n">
        <v>6</v>
      </c>
      <c r="B44" s="6" t="inlineStr">
        <is>
          <t>Triage tools accessible to all analysts</t>
        </is>
      </c>
      <c r="U44" s="5" t="n"/>
    </row>
    <row r="45" ht="25" customHeight="1">
      <c r="A45" t="n">
        <v>7</v>
      </c>
      <c r="B45" s="6" t="inlineStr">
        <is>
          <t>Context enrichment automated where possible</t>
        </is>
      </c>
      <c r="U45" s="5" t="n"/>
    </row>
    <row r="46" ht="25" customHeight="1">
      <c r="A46" t="n">
        <v>8</v>
      </c>
      <c r="B46" s="6" t="inlineStr">
        <is>
          <t>Common false positive scenarios documented</t>
        </is>
      </c>
      <c r="U46" s="5" t="n"/>
    </row>
    <row r="47" ht="25" customHeight="1">
      <c r="A47" t="n">
        <v>9</v>
      </c>
      <c r="B47" s="6" t="inlineStr">
        <is>
          <t>Investigation playbooks exist</t>
        </is>
      </c>
      <c r="U47" s="5" t="n"/>
    </row>
    <row r="48" ht="25" customHeight="1">
      <c r="A48" t="n">
        <v>10</v>
      </c>
      <c r="B48" s="6" t="inlineStr">
        <is>
          <t>Evidence collection guidance provided</t>
        </is>
      </c>
      <c r="U48" s="5" t="n"/>
    </row>
    <row r="49" ht="25" customHeight="1">
      <c r="A49" t="n">
        <v>11</v>
      </c>
      <c r="B49" s="6" t="inlineStr">
        <is>
          <t>Documentation requirements defined</t>
        </is>
      </c>
      <c r="U49" s="5" t="n"/>
    </row>
    <row r="50" ht="25" customHeight="1">
      <c r="A50" t="n">
        <v>12</v>
      </c>
      <c r="B50" s="6" t="inlineStr">
        <is>
          <t>Escalation criteria clearly defined</t>
        </is>
      </c>
      <c r="U50" s="5" t="n"/>
    </row>
    <row r="51" ht="25" customHeight="1">
      <c r="A51" t="n">
        <v>13</v>
      </c>
      <c r="B51" s="6" t="inlineStr">
        <is>
          <t>Escalation paths documented</t>
        </is>
      </c>
      <c r="U51" s="5" t="n"/>
    </row>
    <row r="52" ht="25" customHeight="1">
      <c r="A52" t="n">
        <v>14</v>
      </c>
      <c r="B52" s="6" t="inlineStr">
        <is>
          <t>Process reviewed quarterly</t>
        </is>
      </c>
      <c r="U52" s="5" t="n"/>
    </row>
    <row r="53" ht="25" customHeight="1">
      <c r="A53" t="n">
        <v>15</v>
      </c>
      <c r="B53" s="6" t="inlineStr">
        <is>
          <t>Continuous improvement implemented</t>
        </is>
      </c>
      <c r="U53" s="5" t="n"/>
    </row>
    <row r="54">
      <c r="A54" s="15" t="inlineStr">
        <is>
          <t>SCORE:</t>
        </is>
      </c>
      <c r="B54" s="16">
        <f>COUNTIF(U39:U53,"✅ Compliant")&amp;" / 15"</f>
        <v/>
      </c>
    </row>
  </sheetData>
  <mergeCells count="49">
    <mergeCell ref="A32:G32"/>
    <mergeCell ref="C27:U27"/>
    <mergeCell ref="A25:U25"/>
    <mergeCell ref="B40:T40"/>
    <mergeCell ref="A37:U37"/>
    <mergeCell ref="B49:T49"/>
    <mergeCell ref="A29:G29"/>
    <mergeCell ref="B29:M29"/>
    <mergeCell ref="A28:G28"/>
    <mergeCell ref="A3:U3"/>
    <mergeCell ref="C32:U32"/>
    <mergeCell ref="B34:M34"/>
    <mergeCell ref="B51:T51"/>
    <mergeCell ref="B28:M28"/>
    <mergeCell ref="A2:U2"/>
    <mergeCell ref="B45:T45"/>
    <mergeCell ref="A31:G31"/>
    <mergeCell ref="C28:U28"/>
    <mergeCell ref="A34:G34"/>
    <mergeCell ref="B50:T50"/>
    <mergeCell ref="B54:E54"/>
    <mergeCell ref="B41:T41"/>
    <mergeCell ref="A30:G30"/>
    <mergeCell ref="C34:U34"/>
    <mergeCell ref="B30:M30"/>
    <mergeCell ref="B47:T47"/>
    <mergeCell ref="C30:U30"/>
    <mergeCell ref="C33:U33"/>
    <mergeCell ref="B33:M33"/>
    <mergeCell ref="B46:T46"/>
    <mergeCell ref="C26:U26"/>
    <mergeCell ref="B32:M32"/>
    <mergeCell ref="B52:T52"/>
    <mergeCell ref="B26:M26"/>
    <mergeCell ref="C29:U29"/>
    <mergeCell ref="B43:T43"/>
    <mergeCell ref="B39:T39"/>
    <mergeCell ref="B48:T48"/>
    <mergeCell ref="B42:T42"/>
    <mergeCell ref="A27:G27"/>
    <mergeCell ref="C31:U31"/>
    <mergeCell ref="B31:M31"/>
    <mergeCell ref="A26:G26"/>
    <mergeCell ref="B44:T44"/>
    <mergeCell ref="B53:T53"/>
    <mergeCell ref="B27:M27"/>
    <mergeCell ref="A1:U1"/>
    <mergeCell ref="A33:G33"/>
    <mergeCell ref="B38:T38"/>
  </mergeCells>
  <dataValidations count="8">
    <dataValidation sqref="C8 C9 C10 C11 C12 C13 C14 C15 C16 C17 C18 C19 C20 C21 C22" showDropDown="0" showInputMessage="0" showErrorMessage="0" allowBlank="0" type="list">
      <formula1>"Yes,Partial,No"</formula1>
    </dataValidation>
    <dataValidation sqref="U39 U40 U41 U42 U43 U44 U45 U46 U47 U48 U49 U50 U51 U52 U53" showDropDown="0" showInputMessage="0" showErrorMessage="0" allowBlank="0" type="list">
      <formula1>"✅ Compliant,⚠️ Partial,❌ Non-Compliant,N/A"</formula1>
    </dataValidation>
    <dataValidation sqref="U8 U9 U10 U11 U12 U13 U14 U15 U16 U17 U18 U19 U20 U21 U22" showDropDown="0" showInputMessage="0" showErrorMessage="0" allowBlank="0" type="list">
      <formula1>"Critical,High,Medium,Low,None"</formula1>
    </dataValidation>
    <dataValidation sqref="G8 G9 G10 G11 G12 G13 G14 G15 G16 G17 G18 G19 G20 G21 G22" showDropDown="0" showInputMessage="0" showErrorMessage="0" allowBlank="0" type="list">
      <formula1>"Fully Automated,Partially Automated,Manual"</formula1>
    </dataValidation>
    <dataValidation sqref="R8 R9 R10 R11 R12 R13 R14 R15 R16 R17 R18 R19 R20 R21 R22" showDropDown="0" showInputMessage="0" showErrorMessage="0" allowBlank="0" type="list">
      <formula1>"✅ Defined,⚠️ Partial,❌ Undefined"</formula1>
    </dataValidation>
    <dataValidation sqref="O8 O9 O10 O11 O12 O13 O14 O15 O16 O17 O18 O19 O20 O21 O22" showDropDown="0" showInputMessage="0" showErrorMessage="0" allowBlank="0" type="list">
      <formula1>"24/7,Business Hours,On-Call"</formula1>
    </dataValidation>
    <dataValidation sqref="A8 A9 A10 A11 A12 A13 A14 A15 A16 A17 A18 A19 A20 A21 A22" showDropDown="0" showInputMessage="0" showErrorMessage="0" allowBlank="0" type="list">
      <formula1>"Alert Acknowledgment,Initial Assessment,Context Gathering,Disposition Decision,Investigation,Documentation,Escalation,Closure"</formula1>
    </dataValidation>
    <dataValidation sqref="E8 E9 E10 E11 E12 E13 E14 E15 E16 E17 E18 E19 E20 E21 E22" showDropDown="0" showInputMessage="0" showErrorMessage="0" allowBlank="0" type="list">
      <formula1>"Yes,No,Planned"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9"/>
  <sheetViews>
    <sheetView workbookViewId="0">
      <selection activeCell="A1" sqref="A1"/>
    </sheetView>
  </sheetViews>
  <sheetFormatPr baseColWidth="8" defaultRowHeight="15"/>
  <cols>
    <col width="30" customWidth="1" min="1" max="1"/>
    <col width="30" customWidth="1" min="2" max="2"/>
    <col width="20" customWidth="1" min="3" max="3"/>
    <col width="22" customWidth="1" min="4" max="4"/>
    <col width="22" customWidth="1" min="5" max="5"/>
    <col width="22" customWidth="1" min="6" max="6"/>
    <col width="18" customWidth="1" min="7" max="7"/>
    <col width="16" customWidth="1" min="8" max="8"/>
    <col width="35" customWidth="1" min="9" max="9"/>
    <col width="18" customWidth="1" min="10" max="10"/>
    <col width="18" customWidth="1" min="11" max="11"/>
    <col width="18" customWidth="1" min="12" max="12"/>
    <col width="14" customWidth="1" min="13" max="13"/>
    <col width="16" customWidth="1" min="14" max="14"/>
    <col width="20" customWidth="1" min="15" max="15"/>
    <col width="16" customWidth="1" min="16" max="16"/>
    <col width="18" customWidth="1" min="17" max="17"/>
    <col width="30" customWidth="1" min="18" max="18"/>
    <col width="16" customWidth="1" min="19" max="19"/>
  </cols>
  <sheetData>
    <row r="1" ht="35" customHeight="1">
      <c r="A1" s="1" t="inlineStr">
        <is>
          <t>3. ESCALATION &amp; RESPONSE PROCEDURES</t>
        </is>
      </c>
    </row>
    <row r="2">
      <c r="A2" s="2" t="inlineStr">
        <is>
          <t>Policy Reference: ISMS-POL-A.8.16-S2.3.7 - Escalation procedures</t>
        </is>
      </c>
    </row>
    <row r="3" ht="30" customHeight="1">
      <c r="A3" s="9" t="inlineStr">
        <is>
          <t>Are escalation paths documented, tested, and effective?</t>
        </is>
      </c>
    </row>
    <row r="6">
      <c r="A6" s="10" t="inlineStr">
        <is>
          <t>Escalation Scenario</t>
        </is>
      </c>
      <c r="B6" s="10" t="inlineStr">
        <is>
          <t>Trigger Criteria</t>
        </is>
      </c>
      <c r="C6" s="10" t="inlineStr">
        <is>
          <t>Escalation Level</t>
        </is>
      </c>
      <c r="D6" s="10" t="inlineStr">
        <is>
          <t>Target Person/Team</t>
        </is>
      </c>
      <c r="E6" s="10" t="inlineStr">
        <is>
          <t>Primary Contact</t>
        </is>
      </c>
      <c r="F6" s="10" t="inlineStr">
        <is>
          <t>Backup Contact</t>
        </is>
      </c>
      <c r="G6" s="10" t="inlineStr">
        <is>
          <t>Contact Method</t>
        </is>
      </c>
      <c r="H6" s="10" t="inlineStr">
        <is>
          <t>Escalation Timeframe</t>
        </is>
      </c>
      <c r="I6" s="10" t="inlineStr">
        <is>
          <t>Information to Provide</t>
        </is>
      </c>
      <c r="J6" s="10" t="inlineStr">
        <is>
          <t>Expected Response Time</t>
        </is>
      </c>
      <c r="K6" s="10" t="inlineStr">
        <is>
          <t>Procedure Documented</t>
        </is>
      </c>
      <c r="L6" s="10" t="inlineStr">
        <is>
          <t>Tested Frequency</t>
        </is>
      </c>
      <c r="M6" s="10" t="inlineStr">
        <is>
          <t>Last Tested</t>
        </is>
      </c>
      <c r="N6" s="10" t="inlineStr">
        <is>
          <t>Test Result</t>
        </is>
      </c>
      <c r="O6" s="10" t="inlineStr">
        <is>
          <t>After-Hours Procedure</t>
        </is>
      </c>
      <c r="P6" s="10" t="inlineStr">
        <is>
          <t>Escalation Rate (30d)</t>
        </is>
      </c>
      <c r="Q6" s="10" t="inlineStr">
        <is>
          <t>Compliance Status</t>
        </is>
      </c>
      <c r="R6" s="10" t="inlineStr">
        <is>
          <t>Gaps/Issues</t>
        </is>
      </c>
      <c r="S6" s="10" t="inlineStr">
        <is>
          <t>Priority</t>
        </is>
      </c>
    </row>
    <row r="7">
      <c r="A7" s="11" t="inlineStr">
        <is>
          <t>Critical Alert - Confirmed Ransomware</t>
        </is>
      </c>
      <c r="B7" s="11" t="inlineStr">
        <is>
          <t>Ransomware indicators + file encryption</t>
        </is>
      </c>
      <c r="C7" s="11" t="inlineStr">
        <is>
          <t>SOC→IR</t>
        </is>
      </c>
      <c r="D7" s="11" t="inlineStr">
        <is>
          <t>Incident Response Team</t>
        </is>
      </c>
      <c r="E7" s="11" t="inlineStr">
        <is>
          <t>IR Lead (555-0100)</t>
        </is>
      </c>
      <c r="F7" s="11" t="inlineStr">
        <is>
          <t>IR Manager (555-0101)</t>
        </is>
      </c>
      <c r="G7" s="11" t="inlineStr">
        <is>
          <t>Phone</t>
        </is>
      </c>
      <c r="H7" s="11" t="inlineStr">
        <is>
          <t>Within 15 min</t>
        </is>
      </c>
      <c r="I7" s="11" t="inlineStr">
        <is>
          <t>Alert details, affected systems, IOCs</t>
        </is>
      </c>
      <c r="J7" s="11" t="inlineStr">
        <is>
          <t>30 min</t>
        </is>
      </c>
      <c r="K7" s="11" t="inlineStr">
        <is>
          <t>Yes</t>
        </is>
      </c>
      <c r="L7" s="11" t="inlineStr">
        <is>
          <t>Quarterly</t>
        </is>
      </c>
      <c r="M7" s="11" t="inlineStr">
        <is>
          <t>15.10.2024</t>
        </is>
      </c>
      <c r="N7" s="11" t="inlineStr">
        <is>
          <t>Successful</t>
        </is>
      </c>
      <c r="O7" s="11" t="inlineStr">
        <is>
          <t>On-Call</t>
        </is>
      </c>
      <c r="P7" s="11" t="inlineStr">
        <is>
          <t>3 incidents</t>
        </is>
      </c>
      <c r="Q7" s="11" t="inlineStr">
        <is>
          <t>✅ Compliant</t>
        </is>
      </c>
      <c r="R7" s="11" t="inlineStr">
        <is>
          <t>None</t>
        </is>
      </c>
      <c r="S7" s="11" t="inlineStr">
        <is>
          <t>Critical</t>
        </is>
      </c>
    </row>
    <row r="8">
      <c r="A8" s="12" t="n"/>
      <c r="B8" s="12" t="n"/>
      <c r="C8" s="12" t="n"/>
      <c r="D8" s="12" t="n"/>
      <c r="E8" s="12" t="n"/>
      <c r="F8" s="12" t="n"/>
      <c r="G8" s="12" t="n"/>
      <c r="H8" s="12" t="n"/>
      <c r="I8" s="12" t="n"/>
      <c r="J8" s="12" t="n"/>
      <c r="K8" s="12" t="n"/>
      <c r="L8" s="12" t="n"/>
      <c r="M8" s="12" t="n"/>
      <c r="N8" s="12" t="n"/>
      <c r="O8" s="12" t="n"/>
      <c r="P8" s="12" t="n"/>
      <c r="Q8" s="12" t="n"/>
      <c r="R8" s="12" t="n"/>
      <c r="S8" s="12" t="n"/>
    </row>
    <row r="9">
      <c r="A9" s="12" t="n"/>
      <c r="B9" s="12" t="n"/>
      <c r="C9" s="12" t="n"/>
      <c r="D9" s="12" t="n"/>
      <c r="E9" s="12" t="n"/>
      <c r="F9" s="12" t="n"/>
      <c r="G9" s="12" t="n"/>
      <c r="H9" s="12" t="n"/>
      <c r="I9" s="12" t="n"/>
      <c r="J9" s="12" t="n"/>
      <c r="K9" s="12" t="n"/>
      <c r="L9" s="12" t="n"/>
      <c r="M9" s="12" t="n"/>
      <c r="N9" s="12" t="n"/>
      <c r="O9" s="12" t="n"/>
      <c r="P9" s="12" t="n"/>
      <c r="Q9" s="12" t="n"/>
      <c r="R9" s="12" t="n"/>
      <c r="S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row>
    <row r="27">
      <c r="A27" s="12" t="n"/>
      <c r="B27" s="12" t="n"/>
      <c r="C27" s="12" t="n"/>
      <c r="D27" s="12" t="n"/>
      <c r="E27" s="12" t="n"/>
      <c r="F27" s="12" t="n"/>
      <c r="G27" s="12" t="n"/>
      <c r="H27" s="12" t="n"/>
      <c r="I27" s="12" t="n"/>
      <c r="J27" s="12" t="n"/>
      <c r="K27" s="12" t="n"/>
      <c r="L27" s="12" t="n"/>
      <c r="M27" s="12" t="n"/>
      <c r="N27" s="12" t="n"/>
      <c r="O27" s="12" t="n"/>
      <c r="P27" s="12" t="n"/>
      <c r="Q27" s="12" t="n"/>
      <c r="R27" s="12" t="n"/>
      <c r="S27" s="12" t="n"/>
    </row>
    <row r="30">
      <c r="A30" s="3" t="inlineStr">
        <is>
          <t>ESCALATION STATISTICS</t>
        </is>
      </c>
    </row>
    <row r="31">
      <c r="A31" s="10" t="inlineStr">
        <is>
          <t>Metric</t>
        </is>
      </c>
      <c r="B31" s="13" t="n"/>
      <c r="C31" s="13" t="n"/>
      <c r="D31" s="13" t="n"/>
      <c r="E31" s="13" t="n"/>
      <c r="F31" s="13" t="n"/>
      <c r="G31" s="13" t="n"/>
      <c r="H31" s="13" t="n"/>
      <c r="I31" s="13" t="n"/>
      <c r="J31" s="13" t="n"/>
      <c r="K31" s="13" t="n"/>
      <c r="L31" s="13" t="n"/>
      <c r="M31" s="13" t="n"/>
      <c r="N31" s="13" t="n"/>
      <c r="O31" s="13" t="n"/>
      <c r="P31" s="13" t="n"/>
      <c r="Q31" s="13" t="n"/>
      <c r="R31" s="13" t="n"/>
      <c r="S31" s="13" t="n"/>
    </row>
    <row r="32" ht="25" customHeight="1">
      <c r="A32" s="6" t="inlineStr">
        <is>
          <t>Total Escalation Paths Documented</t>
        </is>
      </c>
    </row>
    <row r="33" ht="25" customHeight="1">
      <c r="A33" s="6" t="inlineStr">
        <is>
          <t>Paths with Procedures</t>
        </is>
      </c>
    </row>
    <row r="34" ht="25" customHeight="1">
      <c r="A34" s="6" t="inlineStr">
        <is>
          <t>Tested Quarterly</t>
        </is>
      </c>
    </row>
    <row r="35" ht="25" customHeight="1">
      <c r="A35" s="6" t="inlineStr">
        <is>
          <t>Tested in Last 90 Days</t>
        </is>
      </c>
    </row>
    <row r="36" ht="25" customHeight="1">
      <c r="A36" s="6" t="inlineStr">
        <is>
          <t>Successful Test Results</t>
        </is>
      </c>
    </row>
    <row r="37" ht="25" customHeight="1">
      <c r="A37" s="6" t="inlineStr">
        <is>
          <t>Paths with After-Hours Coverage</t>
        </is>
      </c>
    </row>
    <row r="38" ht="25" customHeight="1">
      <c r="A38" s="6" t="inlineStr">
        <is>
          <t>Paths Needing Improvement</t>
        </is>
      </c>
    </row>
    <row r="39" ht="25" customHeight="1">
      <c r="A39" s="6" t="inlineStr">
        <is>
          <t>Critical Escalations (30d)</t>
        </is>
      </c>
    </row>
    <row r="42">
      <c r="A42" s="3" t="inlineStr">
        <is>
          <t>ESCALATION &amp; RESPONSE CHECKLIST</t>
        </is>
      </c>
    </row>
    <row r="43">
      <c r="A43" s="10" t="inlineStr">
        <is>
          <t>#</t>
        </is>
      </c>
      <c r="B43" s="10" t="inlineStr">
        <is>
          <t>Requirement</t>
        </is>
      </c>
      <c r="C43" s="13" t="n"/>
      <c r="D43" s="13" t="n"/>
      <c r="E43" s="13" t="n"/>
      <c r="F43" s="13" t="n"/>
      <c r="G43" s="13" t="n"/>
      <c r="H43" s="13" t="n"/>
      <c r="I43" s="13" t="n"/>
      <c r="J43" s="13" t="n"/>
      <c r="K43" s="13" t="n"/>
      <c r="L43" s="13" t="n"/>
      <c r="M43" s="13" t="n"/>
      <c r="N43" s="13" t="n"/>
      <c r="O43" s="13" t="n"/>
      <c r="P43" s="13" t="n"/>
      <c r="Q43" s="13" t="n"/>
      <c r="R43" s="14" t="n"/>
    </row>
    <row r="44" ht="25" customHeight="1">
      <c r="A44" t="n">
        <v>1</v>
      </c>
      <c r="B44" s="6" t="inlineStr">
        <is>
          <t>Escalation paths documented for all severity levels</t>
        </is>
      </c>
      <c r="S44" s="5" t="n"/>
    </row>
    <row r="45" ht="25" customHeight="1">
      <c r="A45" t="n">
        <v>2</v>
      </c>
      <c r="B45" s="6" t="inlineStr">
        <is>
          <t>Escalation criteria clearly defined</t>
        </is>
      </c>
      <c r="S45" s="5" t="n"/>
    </row>
    <row r="46" ht="25" customHeight="1">
      <c r="A46" t="n">
        <v>3</v>
      </c>
      <c r="B46" s="6" t="inlineStr">
        <is>
          <t>Contact information current (verified quarterly)</t>
        </is>
      </c>
      <c r="S46" s="5" t="n"/>
    </row>
    <row r="47" ht="25" customHeight="1">
      <c r="A47" t="n">
        <v>4</v>
      </c>
      <c r="B47" s="6" t="inlineStr">
        <is>
          <t>Backup contacts identified</t>
        </is>
      </c>
      <c r="S47" s="5" t="n"/>
    </row>
    <row r="48" ht="25" customHeight="1">
      <c r="A48" t="n">
        <v>5</v>
      </c>
      <c r="B48" s="6" t="inlineStr">
        <is>
          <t>After-hours escalation procedures defined</t>
        </is>
      </c>
      <c r="S48" s="5" t="n"/>
    </row>
    <row r="49" ht="25" customHeight="1">
      <c r="A49" t="n">
        <v>6</v>
      </c>
      <c r="B49" s="6" t="inlineStr">
        <is>
          <t>On-call rotation established</t>
        </is>
      </c>
      <c r="S49" s="5" t="n"/>
    </row>
    <row r="50" ht="25" customHeight="1">
      <c r="A50" t="n">
        <v>7</v>
      </c>
      <c r="B50" s="6" t="inlineStr">
        <is>
          <t>Escalation timeframes defined</t>
        </is>
      </c>
      <c r="S50" s="5" t="n"/>
    </row>
    <row r="51" ht="25" customHeight="1">
      <c r="A51" t="n">
        <v>8</v>
      </c>
      <c r="B51" s="6" t="inlineStr">
        <is>
          <t>Information requirements documented (what to escalate)</t>
        </is>
      </c>
      <c r="S51" s="5" t="n"/>
    </row>
    <row r="52" ht="25" customHeight="1">
      <c r="A52" t="n">
        <v>9</v>
      </c>
      <c r="B52" s="6" t="inlineStr">
        <is>
          <t>Communication templates available</t>
        </is>
      </c>
      <c r="S52" s="5" t="n"/>
    </row>
    <row r="53" ht="25" customHeight="1">
      <c r="A53" t="n">
        <v>10</v>
      </c>
      <c r="B53" s="6" t="inlineStr">
        <is>
          <t>Escalation tracking in place</t>
        </is>
      </c>
      <c r="S53" s="5" t="n"/>
    </row>
    <row r="54" ht="25" customHeight="1">
      <c r="A54" t="n">
        <v>11</v>
      </c>
      <c r="B54" s="6" t="inlineStr">
        <is>
          <t>Escalation procedures tested (tabletop exercises)</t>
        </is>
      </c>
      <c r="S54" s="5" t="n"/>
    </row>
    <row r="55" ht="25" customHeight="1">
      <c r="A55" t="n">
        <v>12</v>
      </c>
      <c r="B55" s="6" t="inlineStr">
        <is>
          <t>External escalation procedures defined (law enforcement, regulators)</t>
        </is>
      </c>
      <c r="S55" s="5" t="n"/>
    </row>
    <row r="56" ht="25" customHeight="1">
      <c r="A56" t="n">
        <v>13</v>
      </c>
      <c r="B56" s="6" t="inlineStr">
        <is>
          <t>Executive escalation criteria defined</t>
        </is>
      </c>
      <c r="S56" s="5" t="n"/>
    </row>
    <row r="57" ht="25" customHeight="1">
      <c r="A57" t="n">
        <v>14</v>
      </c>
      <c r="B57" s="6" t="inlineStr">
        <is>
          <t>Escalation metrics tracked</t>
        </is>
      </c>
      <c r="S57" s="5" t="n"/>
    </row>
    <row r="58" ht="25" customHeight="1">
      <c r="A58" t="n">
        <v>15</v>
      </c>
      <c r="B58" s="6" t="inlineStr">
        <is>
          <t>False escalations analyzed and reduced</t>
        </is>
      </c>
      <c r="S58" s="5" t="n"/>
    </row>
    <row r="59">
      <c r="A59" s="15" t="inlineStr">
        <is>
          <t>SCORE:</t>
        </is>
      </c>
      <c r="B59" s="16">
        <f>COUNTIF(S44:S58,"✅ Compliant")&amp;" / 15"</f>
        <v/>
      </c>
    </row>
  </sheetData>
  <mergeCells count="49">
    <mergeCell ref="B35:L35"/>
    <mergeCell ref="A42:S42"/>
    <mergeCell ref="B50:R50"/>
    <mergeCell ref="A37:F37"/>
    <mergeCell ref="C34:S34"/>
    <mergeCell ref="B47:R47"/>
    <mergeCell ref="B54:R54"/>
    <mergeCell ref="C33:S33"/>
    <mergeCell ref="B31:L31"/>
    <mergeCell ref="B46:R46"/>
    <mergeCell ref="A33:F33"/>
    <mergeCell ref="B56:R56"/>
    <mergeCell ref="B58:R58"/>
    <mergeCell ref="B52:R52"/>
    <mergeCell ref="C35:S35"/>
    <mergeCell ref="B39:L39"/>
    <mergeCell ref="B43:R43"/>
    <mergeCell ref="A32:F32"/>
    <mergeCell ref="B48:R48"/>
    <mergeCell ref="A35:F35"/>
    <mergeCell ref="B59:E59"/>
    <mergeCell ref="A30:S30"/>
    <mergeCell ref="C31:S31"/>
    <mergeCell ref="A38:F38"/>
    <mergeCell ref="B45:R45"/>
    <mergeCell ref="B57:R57"/>
    <mergeCell ref="B38:L38"/>
    <mergeCell ref="B44:R44"/>
    <mergeCell ref="B53:R53"/>
    <mergeCell ref="A1:S1"/>
    <mergeCell ref="A31:F31"/>
    <mergeCell ref="B34:L34"/>
    <mergeCell ref="B37:L37"/>
    <mergeCell ref="A34:F34"/>
    <mergeCell ref="C36:S36"/>
    <mergeCell ref="A39:F39"/>
    <mergeCell ref="B49:R49"/>
    <mergeCell ref="C39:S39"/>
    <mergeCell ref="A36:F36"/>
    <mergeCell ref="B33:L33"/>
    <mergeCell ref="B55:R55"/>
    <mergeCell ref="B51:R51"/>
    <mergeCell ref="C32:S32"/>
    <mergeCell ref="A3:S3"/>
    <mergeCell ref="C37:S37"/>
    <mergeCell ref="C38:S38"/>
    <mergeCell ref="B36:L36"/>
    <mergeCell ref="B32:L32"/>
    <mergeCell ref="A2:S2"/>
  </mergeCells>
  <dataValidations count="8">
    <dataValidation sqref="K8 K9 K10 K11 K12 K13 K14 K15 K16 K17 K18 K19 K20 K21 K22 K23 K24 K25 K26 K27" showDropDown="0" showInputMessage="0" showErrorMessage="0" allowBlank="0" type="list">
      <formula1>"Yes,Partial,No"</formula1>
    </dataValidation>
    <dataValidation sqref="Q8 Q9 Q10 Q11 Q12 Q13 Q14 Q15 Q16 Q17 Q18 Q19 Q20 Q21 Q22 Q23 Q24 Q25 Q26 Q27 S44 S45 S46 S47 S48 S49 S50 S51 S52 S53 S54 S55 S56 S57 S58" showDropDown="0" showInputMessage="0" showErrorMessage="0" allowBlank="0" type="list">
      <formula1>"✅ Compliant,⚠️ Partial,❌ Non-Compliant,N/A"</formula1>
    </dataValidation>
    <dataValidation sqref="S8 S9 S10 S11 S12 S13 S14 S15 S16 S17 S18 S19 S20 S21 S22 S23 S24 S25 S26 S27" showDropDown="0" showInputMessage="0" showErrorMessage="0" allowBlank="0" type="list">
      <formula1>"Critical,High,Medium,Low,None"</formula1>
    </dataValidation>
    <dataValidation sqref="C8 C9 C10 C11 C12 C13 C14 C15 C16 C17 C18 C19 C20 C21 C22 C23 C24 C25 C26 C27" showDropDown="0" showInputMessage="0" showErrorMessage="0" allowBlank="0" type="list">
      <formula1>"Tier 1→Tier 2,Tier 2→Tier 3,SOC→IR,IR→CISO,CISO→Exec,Exec→Board,External"</formula1>
    </dataValidation>
    <dataValidation sqref="G8 G9 G10 G11 G12 G13 G14 G15 G16 G17 G18 G19 G20 G21 G22 G23 G24 G25 G26 G27" showDropDown="0" showInputMessage="0" showErrorMessage="0" allowBlank="0" type="list">
      <formula1>"Phone,Email,Ticketing System,Secure Chat,Multiple"</formula1>
    </dataValidation>
    <dataValidation sqref="L8 L9 L10 L11 L12 L13 L14 L15 L16 L17 L18 L19 L20 L21 L22 L23 L24 L25 L26 L27" showDropDown="0" showInputMessage="0" showErrorMessage="0" allowBlank="0" type="list">
      <formula1>"Quarterly,Semi-Annually,Annually,Never"</formula1>
    </dataValidation>
    <dataValidation sqref="N8 N9 N10 N11 N12 N13 N14 N15 N16 N17 N18 N19 N20 N21 N22 N23 N24 N25 N26 N27" showDropDown="0" showInputMessage="0" showErrorMessage="0" allowBlank="0" type="list">
      <formula1>"Successful,Issues Found,Not Tested"</formula1>
    </dataValidation>
    <dataValidation sqref="O8 O9 O10 O11 O12 O13 O14 O15 O16 O17 O18 O19 O20 O21 O22 O23 O24 O25 O26 O27" showDropDown="0" showInputMessage="0" showErrorMessage="0" allowBlank="0" type="list">
      <formula1>"On-Call,24/7 SOC,Automated,None"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9"/>
  <sheetViews>
    <sheetView workbookViewId="0">
      <selection activeCell="A1" sqref="A1"/>
    </sheetView>
  </sheetViews>
  <sheetFormatPr baseColWidth="8" defaultRowHeight="15"/>
  <cols>
    <col width="30" customWidth="1" min="1" max="1"/>
    <col width="22" customWidth="1" min="2" max="2"/>
    <col width="25" customWidth="1" min="3" max="3"/>
    <col width="22" customWidth="1" min="4" max="4"/>
    <col width="15" customWidth="1" min="5" max="5"/>
    <col width="15" customWidth="1" min="6" max="6"/>
    <col width="16" customWidth="1" min="7" max="7"/>
    <col width="16" customWidth="1" min="8" max="8"/>
    <col width="18" customWidth="1" min="9" max="9"/>
    <col width="18" customWidth="1" min="10" max="10"/>
    <col width="20" customWidth="1" min="11" max="11"/>
    <col width="18" customWidth="1" min="12" max="12"/>
    <col width="18" customWidth="1" min="13" max="13"/>
    <col width="18" customWidth="1" min="14" max="14"/>
    <col width="14" customWidth="1" min="15" max="15"/>
    <col width="30" customWidth="1" min="16" max="16"/>
    <col width="18" customWidth="1" min="17" max="17"/>
    <col width="25" customWidth="1" min="18" max="18"/>
  </cols>
  <sheetData>
    <row r="1" ht="35" customHeight="1">
      <c r="A1" s="1" t="inlineStr">
        <is>
          <t>4. ALERT PERFORMANCE METRICS</t>
        </is>
      </c>
    </row>
    <row r="2">
      <c r="A2" s="2" t="inlineStr">
        <is>
          <t>Policy Reference: ISMS-POL-A.8.16-S2.3.9 - Performance metrics</t>
        </is>
      </c>
    </row>
    <row r="3" ht="30" customHeight="1">
      <c r="A3" s="9" t="inlineStr">
        <is>
          <t>Are alert performance metrics tracked, analyzed, and driving improvement?</t>
        </is>
      </c>
    </row>
    <row r="6">
      <c r="A6" s="10" t="inlineStr">
        <is>
          <t>Metric Name</t>
        </is>
      </c>
      <c r="B6" s="10" t="inlineStr">
        <is>
          <t>Metric Category</t>
        </is>
      </c>
      <c r="C6" s="10" t="inlineStr">
        <is>
          <t>Measurement Method</t>
        </is>
      </c>
      <c r="D6" s="10" t="inlineStr">
        <is>
          <t>Data Source</t>
        </is>
      </c>
      <c r="E6" s="10" t="inlineStr">
        <is>
          <t>Current Value</t>
        </is>
      </c>
      <c r="F6" s="10" t="inlineStr">
        <is>
          <t>Target/SLA</t>
        </is>
      </c>
      <c r="G6" s="10" t="inlineStr">
        <is>
          <t>Status</t>
        </is>
      </c>
      <c r="H6" s="10" t="inlineStr">
        <is>
          <t>Trend (30d)</t>
        </is>
      </c>
      <c r="I6" s="10" t="inlineStr">
        <is>
          <t>Measurement Frequency</t>
        </is>
      </c>
      <c r="J6" s="10" t="inlineStr">
        <is>
          <t>Reporting Frequency</t>
        </is>
      </c>
      <c r="K6" s="10" t="inlineStr">
        <is>
          <t>Reported To</t>
        </is>
      </c>
      <c r="L6" s="10" t="inlineStr">
        <is>
          <t>Automated Tracking</t>
        </is>
      </c>
      <c r="M6" s="10" t="inlineStr">
        <is>
          <t>Dashboard Available</t>
        </is>
      </c>
      <c r="N6" s="10" t="inlineStr">
        <is>
          <t>Alert on Threshold</t>
        </is>
      </c>
      <c r="O6" s="10" t="inlineStr">
        <is>
          <t>Last Review</t>
        </is>
      </c>
      <c r="P6" s="10" t="inlineStr">
        <is>
          <t>Action Items</t>
        </is>
      </c>
      <c r="Q6" s="10" t="inlineStr">
        <is>
          <t>Compliance Status</t>
        </is>
      </c>
      <c r="R6" s="10" t="inlineStr">
        <is>
          <t>Notes</t>
        </is>
      </c>
    </row>
    <row r="7">
      <c r="A7" s="11" t="inlineStr">
        <is>
          <t>Mean Time To Acknowledge (MTTA)</t>
        </is>
      </c>
      <c r="B7" s="11" t="inlineStr">
        <is>
          <t>Response Time</t>
        </is>
      </c>
      <c r="C7" s="11" t="inlineStr">
        <is>
          <t>SIEM timestamp analysis</t>
        </is>
      </c>
      <c r="D7" s="11" t="inlineStr">
        <is>
          <t>SIEM</t>
        </is>
      </c>
      <c r="E7" s="11" t="inlineStr">
        <is>
          <t>8 min</t>
        </is>
      </c>
      <c r="F7" s="11" t="inlineStr">
        <is>
          <t>&lt;15 min</t>
        </is>
      </c>
      <c r="G7" s="11" t="inlineStr">
        <is>
          <t>✅ Meeting Target</t>
        </is>
      </c>
      <c r="H7" s="11" t="inlineStr">
        <is>
          <t>Improving</t>
        </is>
      </c>
      <c r="I7" s="11" t="inlineStr">
        <is>
          <t>Real-Time</t>
        </is>
      </c>
      <c r="J7" s="11" t="inlineStr">
        <is>
          <t>Daily</t>
        </is>
      </c>
      <c r="K7" s="11" t="inlineStr">
        <is>
          <t>SOC Lead</t>
        </is>
      </c>
      <c r="L7" s="11" t="inlineStr">
        <is>
          <t>Yes</t>
        </is>
      </c>
      <c r="M7" s="11" t="inlineStr">
        <is>
          <t>Yes</t>
        </is>
      </c>
      <c r="N7" s="11" t="inlineStr">
        <is>
          <t>Yes</t>
        </is>
      </c>
      <c r="O7" s="11" t="inlineStr">
        <is>
          <t>05.01.2025</t>
        </is>
      </c>
      <c r="P7" s="11" t="inlineStr">
        <is>
          <t>None - on target</t>
        </is>
      </c>
      <c r="Q7" s="11" t="inlineStr">
        <is>
          <t>✅ Compliant</t>
        </is>
      </c>
      <c r="R7" s="11" t="inlineStr">
        <is>
          <t>Critical alerts only</t>
        </is>
      </c>
    </row>
    <row r="8">
      <c r="A8" s="12" t="n"/>
      <c r="B8" s="12" t="n"/>
      <c r="C8" s="12" t="n"/>
      <c r="D8" s="12" t="n"/>
      <c r="E8" s="12" t="n"/>
      <c r="F8" s="12" t="n"/>
      <c r="G8" s="12" t="n"/>
      <c r="H8" s="12" t="n"/>
      <c r="I8" s="12" t="n"/>
      <c r="J8" s="12" t="n"/>
      <c r="K8" s="12" t="n"/>
      <c r="L8" s="12" t="n"/>
      <c r="M8" s="12" t="n"/>
      <c r="N8" s="12" t="n"/>
      <c r="O8" s="12" t="n"/>
      <c r="P8" s="12" t="n"/>
      <c r="Q8" s="12" t="n"/>
      <c r="R8" s="12" t="n"/>
    </row>
    <row r="9">
      <c r="A9" s="12" t="n"/>
      <c r="B9" s="12" t="n"/>
      <c r="C9" s="12" t="n"/>
      <c r="D9" s="12" t="n"/>
      <c r="E9" s="12" t="n"/>
      <c r="F9" s="12" t="n"/>
      <c r="G9" s="12" t="n"/>
      <c r="H9" s="12" t="n"/>
      <c r="I9" s="12" t="n"/>
      <c r="J9" s="12" t="n"/>
      <c r="K9" s="12" t="n"/>
      <c r="L9" s="12" t="n"/>
      <c r="M9" s="12" t="n"/>
      <c r="N9" s="12" t="n"/>
      <c r="O9" s="12" t="n"/>
      <c r="P9" s="12" t="n"/>
      <c r="Q9" s="12" t="n"/>
      <c r="R9" s="12" t="n"/>
    </row>
    <row r="10">
      <c r="A10" s="12" t="n"/>
      <c r="B10" s="12" t="n"/>
      <c r="C10" s="12" t="n"/>
      <c r="D10" s="12" t="n"/>
      <c r="E10" s="12" t="n"/>
      <c r="F10" s="12" t="n"/>
      <c r="G10" s="12" t="n"/>
      <c r="H10" s="12" t="n"/>
      <c r="I10" s="12" t="n"/>
      <c r="J10" s="12" t="n"/>
      <c r="K10" s="12" t="n"/>
      <c r="L10" s="12" t="n"/>
      <c r="M10" s="12" t="n"/>
      <c r="N10" s="12" t="n"/>
      <c r="O10" s="12" t="n"/>
      <c r="P10" s="12" t="n"/>
      <c r="Q10" s="12" t="n"/>
      <c r="R10" s="12" t="n"/>
    </row>
    <row r="11">
      <c r="A11" s="12" t="n"/>
      <c r="B11" s="12" t="n"/>
      <c r="C11" s="12" t="n"/>
      <c r="D11" s="12" t="n"/>
      <c r="E11" s="12" t="n"/>
      <c r="F11" s="12" t="n"/>
      <c r="G11" s="12" t="n"/>
      <c r="H11" s="12" t="n"/>
      <c r="I11" s="12" t="n"/>
      <c r="J11" s="12" t="n"/>
      <c r="K11" s="12" t="n"/>
      <c r="L11" s="12" t="n"/>
      <c r="M11" s="12" t="n"/>
      <c r="N11" s="12" t="n"/>
      <c r="O11" s="12" t="n"/>
      <c r="P11" s="12" t="n"/>
      <c r="Q11" s="12" t="n"/>
      <c r="R11" s="12" t="n"/>
    </row>
    <row r="12">
      <c r="A12" s="12" t="n"/>
      <c r="B12" s="12" t="n"/>
      <c r="C12" s="12" t="n"/>
      <c r="D12" s="12" t="n"/>
      <c r="E12" s="12" t="n"/>
      <c r="F12" s="12" t="n"/>
      <c r="G12" s="12" t="n"/>
      <c r="H12" s="12" t="n"/>
      <c r="I12" s="12" t="n"/>
      <c r="J12" s="12" t="n"/>
      <c r="K12" s="12" t="n"/>
      <c r="L12" s="12" t="n"/>
      <c r="M12" s="12" t="n"/>
      <c r="N12" s="12" t="n"/>
      <c r="O12" s="12" t="n"/>
      <c r="P12" s="12" t="n"/>
      <c r="Q12" s="12" t="n"/>
      <c r="R12" s="12" t="n"/>
    </row>
    <row r="13">
      <c r="A13" s="12" t="n"/>
      <c r="B13" s="12" t="n"/>
      <c r="C13" s="12" t="n"/>
      <c r="D13" s="12" t="n"/>
      <c r="E13" s="12" t="n"/>
      <c r="F13" s="12" t="n"/>
      <c r="G13" s="12" t="n"/>
      <c r="H13" s="12" t="n"/>
      <c r="I13" s="12" t="n"/>
      <c r="J13" s="12" t="n"/>
      <c r="K13" s="12" t="n"/>
      <c r="L13" s="12" t="n"/>
      <c r="M13" s="12" t="n"/>
      <c r="N13" s="12" t="n"/>
      <c r="O13" s="12" t="n"/>
      <c r="P13" s="12" t="n"/>
      <c r="Q13" s="12" t="n"/>
      <c r="R13" s="12" t="n"/>
    </row>
    <row r="14">
      <c r="A14" s="12" t="n"/>
      <c r="B14" s="12" t="n"/>
      <c r="C14" s="12" t="n"/>
      <c r="D14" s="12" t="n"/>
      <c r="E14" s="12" t="n"/>
      <c r="F14" s="12" t="n"/>
      <c r="G14" s="12" t="n"/>
      <c r="H14" s="12" t="n"/>
      <c r="I14" s="12" t="n"/>
      <c r="J14" s="12" t="n"/>
      <c r="K14" s="12" t="n"/>
      <c r="L14" s="12" t="n"/>
      <c r="M14" s="12" t="n"/>
      <c r="N14" s="12" t="n"/>
      <c r="O14" s="12" t="n"/>
      <c r="P14" s="12" t="n"/>
      <c r="Q14" s="12" t="n"/>
      <c r="R14" s="12" t="n"/>
    </row>
    <row r="15">
      <c r="A15" s="12" t="n"/>
      <c r="B15" s="12" t="n"/>
      <c r="C15" s="12" t="n"/>
      <c r="D15" s="12" t="n"/>
      <c r="E15" s="12" t="n"/>
      <c r="F15" s="12" t="n"/>
      <c r="G15" s="12" t="n"/>
      <c r="H15" s="12" t="n"/>
      <c r="I15" s="12" t="n"/>
      <c r="J15" s="12" t="n"/>
      <c r="K15" s="12" t="n"/>
      <c r="L15" s="12" t="n"/>
      <c r="M15" s="12" t="n"/>
      <c r="N15" s="12" t="n"/>
      <c r="O15" s="12" t="n"/>
      <c r="P15" s="12" t="n"/>
      <c r="Q15" s="12" t="n"/>
      <c r="R15" s="12" t="n"/>
    </row>
    <row r="16">
      <c r="A16" s="12" t="n"/>
      <c r="B16" s="12" t="n"/>
      <c r="C16" s="12" t="n"/>
      <c r="D16" s="12" t="n"/>
      <c r="E16" s="12" t="n"/>
      <c r="F16" s="12" t="n"/>
      <c r="G16" s="12" t="n"/>
      <c r="H16" s="12" t="n"/>
      <c r="I16" s="12" t="n"/>
      <c r="J16" s="12" t="n"/>
      <c r="K16" s="12" t="n"/>
      <c r="L16" s="12" t="n"/>
      <c r="M16" s="12" t="n"/>
      <c r="N16" s="12" t="n"/>
      <c r="O16" s="12" t="n"/>
      <c r="P16" s="12" t="n"/>
      <c r="Q16" s="12" t="n"/>
      <c r="R16" s="12" t="n"/>
    </row>
    <row r="17">
      <c r="A17" s="12" t="n"/>
      <c r="B17" s="12" t="n"/>
      <c r="C17" s="12" t="n"/>
      <c r="D17" s="12" t="n"/>
      <c r="E17" s="12" t="n"/>
      <c r="F17" s="12" t="n"/>
      <c r="G17" s="12" t="n"/>
      <c r="H17" s="12" t="n"/>
      <c r="I17" s="12" t="n"/>
      <c r="J17" s="12" t="n"/>
      <c r="K17" s="12" t="n"/>
      <c r="L17" s="12" t="n"/>
      <c r="M17" s="12" t="n"/>
      <c r="N17" s="12" t="n"/>
      <c r="O17" s="12" t="n"/>
      <c r="P17" s="12" t="n"/>
      <c r="Q17" s="12" t="n"/>
      <c r="R17" s="12" t="n"/>
    </row>
    <row r="18">
      <c r="A18" s="12" t="n"/>
      <c r="B18" s="12" t="n"/>
      <c r="C18" s="12" t="n"/>
      <c r="D18" s="12" t="n"/>
      <c r="E18" s="12" t="n"/>
      <c r="F18" s="12" t="n"/>
      <c r="G18" s="12" t="n"/>
      <c r="H18" s="12" t="n"/>
      <c r="I18" s="12" t="n"/>
      <c r="J18" s="12" t="n"/>
      <c r="K18" s="12" t="n"/>
      <c r="L18" s="12" t="n"/>
      <c r="M18" s="12" t="n"/>
      <c r="N18" s="12" t="n"/>
      <c r="O18" s="12" t="n"/>
      <c r="P18" s="12" t="n"/>
      <c r="Q18" s="12" t="n"/>
      <c r="R18" s="12" t="n"/>
    </row>
    <row r="19">
      <c r="A19" s="12" t="n"/>
      <c r="B19" s="12" t="n"/>
      <c r="C19" s="12" t="n"/>
      <c r="D19" s="12" t="n"/>
      <c r="E19" s="12" t="n"/>
      <c r="F19" s="12" t="n"/>
      <c r="G19" s="12" t="n"/>
      <c r="H19" s="12" t="n"/>
      <c r="I19" s="12" t="n"/>
      <c r="J19" s="12" t="n"/>
      <c r="K19" s="12" t="n"/>
      <c r="L19" s="12" t="n"/>
      <c r="M19" s="12" t="n"/>
      <c r="N19" s="12" t="n"/>
      <c r="O19" s="12" t="n"/>
      <c r="P19" s="12" t="n"/>
      <c r="Q19" s="12" t="n"/>
      <c r="R19" s="12" t="n"/>
    </row>
    <row r="20">
      <c r="A20" s="12" t="n"/>
      <c r="B20" s="12" t="n"/>
      <c r="C20" s="12" t="n"/>
      <c r="D20" s="12" t="n"/>
      <c r="E20" s="12" t="n"/>
      <c r="F20" s="12" t="n"/>
      <c r="G20" s="12" t="n"/>
      <c r="H20" s="12" t="n"/>
      <c r="I20" s="12" t="n"/>
      <c r="J20" s="12" t="n"/>
      <c r="K20" s="12" t="n"/>
      <c r="L20" s="12" t="n"/>
      <c r="M20" s="12" t="n"/>
      <c r="N20" s="12" t="n"/>
      <c r="O20" s="12" t="n"/>
      <c r="P20" s="12" t="n"/>
      <c r="Q20" s="12" t="n"/>
      <c r="R20" s="12" t="n"/>
    </row>
    <row r="21">
      <c r="A21" s="12" t="n"/>
      <c r="B21" s="12" t="n"/>
      <c r="C21" s="12" t="n"/>
      <c r="D21" s="12" t="n"/>
      <c r="E21" s="12" t="n"/>
      <c r="F21" s="12" t="n"/>
      <c r="G21" s="12" t="n"/>
      <c r="H21" s="12" t="n"/>
      <c r="I21" s="12" t="n"/>
      <c r="J21" s="12" t="n"/>
      <c r="K21" s="12" t="n"/>
      <c r="L21" s="12" t="n"/>
      <c r="M21" s="12" t="n"/>
      <c r="N21" s="12" t="n"/>
      <c r="O21" s="12" t="n"/>
      <c r="P21" s="12" t="n"/>
      <c r="Q21" s="12" t="n"/>
      <c r="R21" s="12" t="n"/>
    </row>
    <row r="22">
      <c r="A22" s="12" t="n"/>
      <c r="B22" s="12" t="n"/>
      <c r="C22" s="12" t="n"/>
      <c r="D22" s="12" t="n"/>
      <c r="E22" s="12" t="n"/>
      <c r="F22" s="12" t="n"/>
      <c r="G22" s="12" t="n"/>
      <c r="H22" s="12" t="n"/>
      <c r="I22" s="12" t="n"/>
      <c r="J22" s="12" t="n"/>
      <c r="K22" s="12" t="n"/>
      <c r="L22" s="12" t="n"/>
      <c r="M22" s="12" t="n"/>
      <c r="N22" s="12" t="n"/>
      <c r="O22" s="12" t="n"/>
      <c r="P22" s="12" t="n"/>
      <c r="Q22" s="12" t="n"/>
      <c r="R22" s="12" t="n"/>
    </row>
    <row r="23">
      <c r="A23" s="12" t="n"/>
      <c r="B23" s="12" t="n"/>
      <c r="C23" s="12" t="n"/>
      <c r="D23" s="12" t="n"/>
      <c r="E23" s="12" t="n"/>
      <c r="F23" s="12" t="n"/>
      <c r="G23" s="12" t="n"/>
      <c r="H23" s="12" t="n"/>
      <c r="I23" s="12" t="n"/>
      <c r="J23" s="12" t="n"/>
      <c r="K23" s="12" t="n"/>
      <c r="L23" s="12" t="n"/>
      <c r="M23" s="12" t="n"/>
      <c r="N23" s="12" t="n"/>
      <c r="O23" s="12" t="n"/>
      <c r="P23" s="12" t="n"/>
      <c r="Q23" s="12" t="n"/>
      <c r="R23" s="12" t="n"/>
    </row>
    <row r="24">
      <c r="A24" s="12" t="n"/>
      <c r="B24" s="12" t="n"/>
      <c r="C24" s="12" t="n"/>
      <c r="D24" s="12" t="n"/>
      <c r="E24" s="12" t="n"/>
      <c r="F24" s="12" t="n"/>
      <c r="G24" s="12" t="n"/>
      <c r="H24" s="12" t="n"/>
      <c r="I24" s="12" t="n"/>
      <c r="J24" s="12" t="n"/>
      <c r="K24" s="12" t="n"/>
      <c r="L24" s="12" t="n"/>
      <c r="M24" s="12" t="n"/>
      <c r="N24" s="12" t="n"/>
      <c r="O24" s="12" t="n"/>
      <c r="P24" s="12" t="n"/>
      <c r="Q24" s="12" t="n"/>
      <c r="R24" s="12" t="n"/>
    </row>
    <row r="25">
      <c r="A25" s="12" t="n"/>
      <c r="B25" s="12" t="n"/>
      <c r="C25" s="12" t="n"/>
      <c r="D25" s="12" t="n"/>
      <c r="E25" s="12" t="n"/>
      <c r="F25" s="12" t="n"/>
      <c r="G25" s="12" t="n"/>
      <c r="H25" s="12" t="n"/>
      <c r="I25" s="12" t="n"/>
      <c r="J25" s="12" t="n"/>
      <c r="K25" s="12" t="n"/>
      <c r="L25" s="12" t="n"/>
      <c r="M25" s="12" t="n"/>
      <c r="N25" s="12" t="n"/>
      <c r="O25" s="12" t="n"/>
      <c r="P25" s="12" t="n"/>
      <c r="Q25" s="12" t="n"/>
      <c r="R25" s="12" t="n"/>
    </row>
    <row r="26">
      <c r="A26" s="12" t="n"/>
      <c r="B26" s="12" t="n"/>
      <c r="C26" s="12" t="n"/>
      <c r="D26" s="12" t="n"/>
      <c r="E26" s="12" t="n"/>
      <c r="F26" s="12" t="n"/>
      <c r="G26" s="12" t="n"/>
      <c r="H26" s="12" t="n"/>
      <c r="I26" s="12" t="n"/>
      <c r="J26" s="12" t="n"/>
      <c r="K26" s="12" t="n"/>
      <c r="L26" s="12" t="n"/>
      <c r="M26" s="12" t="n"/>
      <c r="N26" s="12" t="n"/>
      <c r="O26" s="12" t="n"/>
      <c r="P26" s="12" t="n"/>
      <c r="Q26" s="12" t="n"/>
      <c r="R26" s="12" t="n"/>
    </row>
    <row r="27">
      <c r="A27" s="12" t="n"/>
      <c r="B27" s="12" t="n"/>
      <c r="C27" s="12" t="n"/>
      <c r="D27" s="12" t="n"/>
      <c r="E27" s="12" t="n"/>
      <c r="F27" s="12" t="n"/>
      <c r="G27" s="12" t="n"/>
      <c r="H27" s="12" t="n"/>
      <c r="I27" s="12" t="n"/>
      <c r="J27" s="12" t="n"/>
      <c r="K27" s="12" t="n"/>
      <c r="L27" s="12" t="n"/>
      <c r="M27" s="12" t="n"/>
      <c r="N27" s="12" t="n"/>
      <c r="O27" s="12" t="n"/>
      <c r="P27" s="12" t="n"/>
      <c r="Q27" s="12" t="n"/>
      <c r="R27" s="12" t="n"/>
    </row>
    <row r="30">
      <c r="A30" s="3" t="inlineStr">
        <is>
          <t>METRICS TRACKING STATISTICS</t>
        </is>
      </c>
    </row>
    <row r="31">
      <c r="A31" s="10" t="inlineStr">
        <is>
          <t>Metric</t>
        </is>
      </c>
      <c r="B31" s="13" t="n"/>
      <c r="C31" s="13" t="n"/>
      <c r="D31" s="13" t="n"/>
      <c r="E31" s="13" t="n"/>
      <c r="F31" s="13" t="n"/>
      <c r="G31" s="13" t="n"/>
      <c r="H31" s="13" t="n"/>
      <c r="I31" s="13" t="n"/>
      <c r="J31" s="13" t="n"/>
      <c r="K31" s="13" t="n"/>
      <c r="L31" s="13" t="n"/>
      <c r="M31" s="13" t="n"/>
      <c r="N31" s="13" t="n"/>
      <c r="O31" s="13" t="n"/>
      <c r="P31" s="13" t="n"/>
      <c r="Q31" s="13" t="n"/>
      <c r="R31" s="13" t="n"/>
    </row>
    <row r="32" ht="25" customHeight="1">
      <c r="A32" s="6" t="inlineStr">
        <is>
          <t>Total Metrics Tracked</t>
        </is>
      </c>
    </row>
    <row r="33" ht="25" customHeight="1">
      <c r="A33" s="6" t="inlineStr">
        <is>
          <t>Metrics Meeting Target</t>
        </is>
      </c>
    </row>
    <row r="34" ht="25" customHeight="1">
      <c r="A34" s="6" t="inlineStr">
        <is>
          <t>Metrics Below Target</t>
        </is>
      </c>
    </row>
    <row r="35" ht="25" customHeight="1">
      <c r="A35" s="6" t="inlineStr">
        <is>
          <t>Metrics in Critical State</t>
        </is>
      </c>
    </row>
    <row r="36" ht="25" customHeight="1">
      <c r="A36" s="6" t="inlineStr">
        <is>
          <t>Improving Trends</t>
        </is>
      </c>
    </row>
    <row r="37" ht="25" customHeight="1">
      <c r="A37" s="6" t="inlineStr">
        <is>
          <t>Declining Trends</t>
        </is>
      </c>
    </row>
    <row r="38" ht="25" customHeight="1">
      <c r="A38" s="6" t="inlineStr">
        <is>
          <t>Automated Tracking</t>
        </is>
      </c>
    </row>
    <row r="39" ht="25" customHeight="1">
      <c r="A39" s="6" t="inlineStr">
        <is>
          <t>Dashboard Visibility</t>
        </is>
      </c>
    </row>
    <row r="42">
      <c r="A42" s="17" t="inlineStr">
        <is>
          <t>KEY METRICS REFERENCE (MTTA/MTTT/MTTI/MTTR)</t>
        </is>
      </c>
    </row>
    <row r="43">
      <c r="A43" s="10" t="inlineStr">
        <is>
          <t>Metric</t>
        </is>
      </c>
      <c r="B43" s="10" t="inlineStr">
        <is>
          <t>Definition</t>
        </is>
      </c>
      <c r="C43" s="10" t="inlineStr">
        <is>
          <t>Target (Critical)</t>
        </is>
      </c>
      <c r="D43" s="10" t="inlineStr">
        <is>
          <t>Target (High)</t>
        </is>
      </c>
      <c r="E43" s="10" t="inlineStr">
        <is>
          <t>Target (Medium)</t>
        </is>
      </c>
    </row>
    <row r="44" ht="25" customHeight="1">
      <c r="A44" s="18" t="inlineStr">
        <is>
          <t>MTTA</t>
        </is>
      </c>
      <c r="B44" s="6" t="inlineStr">
        <is>
          <t>Mean Time To Acknowledge</t>
        </is>
      </c>
    </row>
    <row r="45" ht="25" customHeight="1">
      <c r="A45" s="18" t="inlineStr">
        <is>
          <t>MTTT</t>
        </is>
      </c>
      <c r="B45" s="6" t="inlineStr">
        <is>
          <t>Mean Time To Triage</t>
        </is>
      </c>
    </row>
    <row r="46" ht="25" customHeight="1">
      <c r="A46" s="18" t="inlineStr">
        <is>
          <t>MTTI</t>
        </is>
      </c>
      <c r="B46" s="6" t="inlineStr">
        <is>
          <t>Mean Time To Investigate</t>
        </is>
      </c>
    </row>
    <row r="47" ht="25" customHeight="1">
      <c r="A47" s="18" t="inlineStr">
        <is>
          <t>MTTR</t>
        </is>
      </c>
      <c r="B47" s="6" t="inlineStr">
        <is>
          <t>Mean Time To Resolve</t>
        </is>
      </c>
    </row>
    <row r="48" ht="25" customHeight="1">
      <c r="A48" s="18" t="inlineStr">
        <is>
          <t>TP Rate</t>
        </is>
      </c>
      <c r="B48" s="6" t="inlineStr">
        <is>
          <t>True Positive Rate</t>
        </is>
      </c>
    </row>
    <row r="49" ht="25" customHeight="1">
      <c r="A49" s="18" t="inlineStr">
        <is>
          <t>FP Rate</t>
        </is>
      </c>
      <c r="B49" s="6" t="inlineStr">
        <is>
          <t>False Positive Rate</t>
        </is>
      </c>
    </row>
    <row r="52">
      <c r="A52" s="3" t="inlineStr">
        <is>
          <t>PERFORMANCE METRICS CHECKLIST</t>
        </is>
      </c>
    </row>
    <row r="53">
      <c r="A53" s="10" t="inlineStr">
        <is>
          <t>#</t>
        </is>
      </c>
      <c r="B53" s="10" t="inlineStr">
        <is>
          <t>Requirement</t>
        </is>
      </c>
      <c r="C53" s="13" t="n"/>
      <c r="D53" s="13" t="n"/>
      <c r="E53" s="13" t="n"/>
      <c r="F53" s="13" t="n"/>
      <c r="G53" s="13" t="n"/>
      <c r="H53" s="13" t="n"/>
      <c r="I53" s="13" t="n"/>
      <c r="J53" s="13" t="n"/>
      <c r="K53" s="13" t="n"/>
      <c r="L53" s="13" t="n"/>
      <c r="M53" s="13" t="n"/>
      <c r="N53" s="13" t="n"/>
      <c r="O53" s="13" t="n"/>
      <c r="P53" s="13" t="n"/>
      <c r="Q53" s="14" t="n"/>
    </row>
    <row r="54" ht="25" customHeight="1">
      <c r="A54" t="n">
        <v>1</v>
      </c>
      <c r="B54" s="6" t="inlineStr">
        <is>
          <t>Alert volume metrics tracked</t>
        </is>
      </c>
      <c r="R54" s="5" t="n"/>
    </row>
    <row r="55" ht="25" customHeight="1">
      <c r="A55" t="n">
        <v>2</v>
      </c>
      <c r="B55" s="6" t="inlineStr">
        <is>
          <t>Response time metrics tracked (MTTA, MTTT, MTTI, MTTR)</t>
        </is>
      </c>
      <c r="R55" s="5" t="n"/>
    </row>
    <row r="56" ht="25" customHeight="1">
      <c r="A56" t="n">
        <v>3</v>
      </c>
      <c r="B56" s="6" t="inlineStr">
        <is>
          <t>Quality metrics tracked (TP rate, FP rate)</t>
        </is>
      </c>
      <c r="R56" s="5" t="n"/>
    </row>
    <row r="57" ht="25" customHeight="1">
      <c r="A57" t="n">
        <v>4</v>
      </c>
      <c r="B57" s="6" t="inlineStr">
        <is>
          <t>Effectiveness metrics tracked (detection rate)</t>
        </is>
      </c>
      <c r="R57" s="5" t="n"/>
    </row>
    <row r="58" ht="25" customHeight="1">
      <c r="A58" t="n">
        <v>5</v>
      </c>
      <c r="B58" s="6" t="inlineStr">
        <is>
          <t>Metrics targets defined</t>
        </is>
      </c>
      <c r="R58" s="5" t="n"/>
    </row>
    <row r="59" ht="25" customHeight="1">
      <c r="A59" t="n">
        <v>6</v>
      </c>
      <c r="B59" s="6" t="inlineStr">
        <is>
          <t>Metrics measured consistently</t>
        </is>
      </c>
      <c r="R59" s="5" t="n"/>
    </row>
    <row r="60" ht="25" customHeight="1">
      <c r="A60" t="n">
        <v>7</v>
      </c>
      <c r="B60" s="6" t="inlineStr">
        <is>
          <t>Metrics reported to SOC Lead (weekly)</t>
        </is>
      </c>
      <c r="R60" s="5" t="n"/>
    </row>
    <row r="61" ht="25" customHeight="1">
      <c r="A61" t="n">
        <v>8</v>
      </c>
      <c r="B61" s="6" t="inlineStr">
        <is>
          <t>Metrics reported to CISO (monthly)</t>
        </is>
      </c>
      <c r="R61" s="5" t="n"/>
    </row>
    <row r="62" ht="25" customHeight="1">
      <c r="A62" t="n">
        <v>9</v>
      </c>
      <c r="B62" s="6" t="inlineStr">
        <is>
          <t>Metrics dashboard available</t>
        </is>
      </c>
      <c r="R62" s="5" t="n"/>
    </row>
    <row r="63" ht="25" customHeight="1">
      <c r="A63" t="n">
        <v>10</v>
      </c>
      <c r="B63" s="6" t="inlineStr">
        <is>
          <t>Trends analyzed</t>
        </is>
      </c>
      <c r="R63" s="5" t="n"/>
    </row>
    <row r="64" ht="25" customHeight="1">
      <c r="A64" t="n">
        <v>11</v>
      </c>
      <c r="B64" s="6" t="inlineStr">
        <is>
          <t>Performance issues identified</t>
        </is>
      </c>
      <c r="R64" s="5" t="n"/>
    </row>
    <row r="65" ht="25" customHeight="1">
      <c r="A65" t="n">
        <v>12</v>
      </c>
      <c r="B65" s="6" t="inlineStr">
        <is>
          <t>Improvement actions taken</t>
        </is>
      </c>
      <c r="R65" s="5" t="n"/>
    </row>
    <row r="66" ht="25" customHeight="1">
      <c r="A66" t="n">
        <v>13</v>
      </c>
      <c r="B66" s="6" t="inlineStr">
        <is>
          <t>SLA compliance tracked</t>
        </is>
      </c>
      <c r="R66" s="5" t="n"/>
    </row>
    <row r="67" ht="25" customHeight="1">
      <c r="A67" t="n">
        <v>14</v>
      </c>
      <c r="B67" s="6" t="inlineStr">
        <is>
          <t>Metrics drive tuning decisions</t>
        </is>
      </c>
      <c r="R67" s="5" t="n"/>
    </row>
    <row r="68" ht="25" customHeight="1">
      <c r="A68" t="n">
        <v>15</v>
      </c>
      <c r="B68" s="6" t="inlineStr">
        <is>
          <t>Metrics included in management reporting</t>
        </is>
      </c>
      <c r="R68" s="5" t="n"/>
    </row>
    <row r="69">
      <c r="A69" s="15" t="inlineStr">
        <is>
          <t>SCORE:</t>
        </is>
      </c>
      <c r="B69" s="16">
        <f>COUNTIF(R54:R68,"✅ Compliant")&amp;" / 15"</f>
        <v/>
      </c>
    </row>
  </sheetData>
  <mergeCells count="80">
    <mergeCell ref="C36:R36"/>
    <mergeCell ref="B49:H49"/>
    <mergeCell ref="B64:Q64"/>
    <mergeCell ref="D45:N45"/>
    <mergeCell ref="E48:R48"/>
    <mergeCell ref="A2:R2"/>
    <mergeCell ref="B63:Q63"/>
    <mergeCell ref="A32:F32"/>
    <mergeCell ref="A42:R42"/>
    <mergeCell ref="D48:N48"/>
    <mergeCell ref="A38:F38"/>
    <mergeCell ref="B66:Q66"/>
    <mergeCell ref="A31:F31"/>
    <mergeCell ref="A30:R30"/>
    <mergeCell ref="B44:H44"/>
    <mergeCell ref="B61:Q61"/>
    <mergeCell ref="B69:E69"/>
    <mergeCell ref="B53:Q53"/>
    <mergeCell ref="C47:K47"/>
    <mergeCell ref="D44:N44"/>
    <mergeCell ref="A44"/>
    <mergeCell ref="B55:Q55"/>
    <mergeCell ref="B36:K36"/>
    <mergeCell ref="A33:F33"/>
    <mergeCell ref="E44:R44"/>
    <mergeCell ref="C34:R34"/>
    <mergeCell ref="A35:F35"/>
    <mergeCell ref="B54:Q54"/>
    <mergeCell ref="B31:K31"/>
    <mergeCell ref="D47:N47"/>
    <mergeCell ref="B56:Q56"/>
    <mergeCell ref="E46:R46"/>
    <mergeCell ref="B39:K39"/>
    <mergeCell ref="B58:Q58"/>
    <mergeCell ref="B60:Q60"/>
    <mergeCell ref="C31:R31"/>
    <mergeCell ref="B57:Q57"/>
    <mergeCell ref="C45:K45"/>
    <mergeCell ref="A1:R1"/>
    <mergeCell ref="A47"/>
    <mergeCell ref="E47:R47"/>
    <mergeCell ref="C44:K44"/>
    <mergeCell ref="C38:R38"/>
    <mergeCell ref="B45:H45"/>
    <mergeCell ref="C46:K46"/>
    <mergeCell ref="A48"/>
    <mergeCell ref="D49:N49"/>
    <mergeCell ref="B47:H47"/>
    <mergeCell ref="C48:K48"/>
    <mergeCell ref="B62:Q62"/>
    <mergeCell ref="C33:R33"/>
    <mergeCell ref="B46:H46"/>
    <mergeCell ref="B59:Q59"/>
    <mergeCell ref="A52:R52"/>
    <mergeCell ref="C35:R35"/>
    <mergeCell ref="B48:H48"/>
    <mergeCell ref="A34:F34"/>
    <mergeCell ref="C49:K49"/>
    <mergeCell ref="A39:F39"/>
    <mergeCell ref="E45:R45"/>
    <mergeCell ref="A36:F36"/>
    <mergeCell ref="B38:K38"/>
    <mergeCell ref="A37:F37"/>
    <mergeCell ref="C39:R39"/>
    <mergeCell ref="B65:Q65"/>
    <mergeCell ref="B68:Q68"/>
    <mergeCell ref="D46:N46"/>
    <mergeCell ref="B33:K33"/>
    <mergeCell ref="C32:R32"/>
    <mergeCell ref="A3:R3"/>
    <mergeCell ref="C37:R37"/>
    <mergeCell ref="B32:K32"/>
    <mergeCell ref="B35:K35"/>
    <mergeCell ref="A49"/>
    <mergeCell ref="A45"/>
    <mergeCell ref="E49:R49"/>
    <mergeCell ref="A46"/>
    <mergeCell ref="B67:Q67"/>
    <mergeCell ref="B34:K34"/>
    <mergeCell ref="B37:K37"/>
  </mergeCells>
  <dataValidations count="6">
    <dataValidation sqref="L8 L9 L10 L11 L12 L13 L14 L15 L16 L17 L18 L19 L20 L21 L22 L23 L24 L25 L26 L27 M8 M9 M10 M11 M12 M13 M14 M15 M16 M17 M18 M19 M20 M21 M22 M23 M24 M25 M26 M27 N8 N9 N10 N11 N12 N13 N14 N15 N16 N17 N18 N19 N20 N21 N22 N23 N24 N25 N26 N27" showDropDown="0" showInputMessage="0" showErrorMessage="0" allowBlank="0" type="list">
      <formula1>"Yes,No"</formula1>
    </dataValidation>
    <dataValidation sqref="Q8 Q9 Q10 Q11 Q12 Q13 Q14 Q15 Q16 Q17 Q18 Q19 Q20 Q21 Q22 Q23 Q24 Q25 Q26 Q27 R54 R55 R56 R57 R58 R59 R60 R61 R62 R63 R64 R65 R66 R67 R68" showDropDown="0" showInputMessage="0" showErrorMessage="0" allowBlank="0" type="list">
      <formula1>"✅ Compliant,⚠️ Partial,❌ Non-Compliant,N/A"</formula1>
    </dataValidation>
    <dataValidation sqref="B8 B9 B10 B11 B12 B13 B14 B15 B16 B17 B18 B19 B20 B21 B22 B23 B24 B25 B26 B27" showDropDown="0" showInputMessage="0" showErrorMessage="0" allowBlank="0" type="list">
      <formula1>"Volume,Response Time,Quality,Effectiveness,Workload"</formula1>
    </dataValidation>
    <dataValidation sqref="G8 G9 G10 G11 G12 G13 G14 G15 G16 G17 G18 G19 G20 G21 G22 G23 G24 G25 G26 G27" showDropDown="0" showInputMessage="0" showErrorMessage="0" allowBlank="0" type="list">
      <formula1>"✅ Meeting Target,⚠️ Below Target,❌ Critical"</formula1>
    </dataValidation>
    <dataValidation sqref="H8 H9 H10 H11 H12 H13 H14 H15 H16 H17 H18 H19 H20 H21 H22 H23 H24 H25 H26 H27" showDropDown="0" showInputMessage="0" showErrorMessage="0" allowBlank="0" type="list">
      <formula1>"Improving,Stable,Declining"</formula1>
    </dataValidation>
    <dataValidation sqref="I8 I9 I10 I11 I12 I13 I14 I15 I16 I17 I18 I19 I20 I21 I22 I23 I24 I25 I26 I27 J8 J9 J10 J11 J12 J13 J14 J15 J16 J17 J18 J19 J20 J21 J22 J23 J24 J25 J26 J27" showDropDown="0" showInputMessage="0" showErrorMessage="0" allowBlank="0" type="list">
      <formula1>"Real-Time,Daily,Weekly,Monthly,Quarterly"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4"/>
  <sheetViews>
    <sheetView workbookViewId="0">
      <selection activeCell="A1" sqref="A1"/>
    </sheetView>
  </sheetViews>
  <sheetFormatPr baseColWidth="8" defaultRowHeight="15"/>
  <cols>
    <col width="28" customWidth="1" min="1" max="1"/>
    <col width="35" customWidth="1" min="2" max="2"/>
    <col width="35" customWidth="1" min="3" max="3"/>
    <col width="18" customWidth="1" min="4" max="4"/>
    <col width="30" customWidth="1" min="5" max="5"/>
    <col width="30" customWidth="1" min="6" max="6"/>
    <col width="25" customWidth="1" min="7" max="7"/>
    <col width="15" customWidth="1" min="8" max="8"/>
    <col width="30" customWidth="1" min="9" max="9"/>
    <col width="14" customWidth="1" min="10" max="10"/>
    <col width="20" customWidth="1" min="11" max="11"/>
    <col width="15" customWidth="1" min="12" max="12"/>
    <col width="25" customWidth="1" min="13" max="13"/>
    <col width="16" customWidth="1" min="14" max="14"/>
    <col width="14" customWidth="1" min="15" max="15"/>
    <col width="18" customWidth="1" min="16" max="16"/>
    <col width="25" customWidth="1" min="17" max="17"/>
  </cols>
  <sheetData>
    <row r="1" ht="35" customHeight="1">
      <c r="A1" s="1" t="inlineStr">
        <is>
          <t>5. SOC OPERATIONAL READINESS ASSESSMENT</t>
        </is>
      </c>
    </row>
    <row r="2">
      <c r="A2" s="2" t="inlineStr">
        <is>
          <t>Policy Reference: ISMS-POL-A.8.16-S3 - SOC operations</t>
        </is>
      </c>
    </row>
    <row r="3" ht="30" customHeight="1">
      <c r="A3" s="9" t="inlineStr">
        <is>
          <t>Is the SOC operationally ready with adequate staffing, training, tools, and procedures?</t>
        </is>
      </c>
    </row>
    <row r="6">
      <c r="A6" s="10" t="inlineStr">
        <is>
          <t>Readiness Area</t>
        </is>
      </c>
      <c r="B6" s="10" t="inlineStr">
        <is>
          <t>Requirement</t>
        </is>
      </c>
      <c r="C6" s="10" t="inlineStr">
        <is>
          <t>Current State</t>
        </is>
      </c>
      <c r="D6" s="10" t="inlineStr">
        <is>
          <t>Status</t>
        </is>
      </c>
      <c r="E6" s="10" t="inlineStr">
        <is>
          <t>Evidence</t>
        </is>
      </c>
      <c r="F6" s="10" t="inlineStr">
        <is>
          <t>Gap Description</t>
        </is>
      </c>
      <c r="G6" s="10" t="inlineStr">
        <is>
          <t>Business Impact</t>
        </is>
      </c>
      <c r="H6" s="10" t="inlineStr">
        <is>
          <t>Risk Level</t>
        </is>
      </c>
      <c r="I6" s="10" t="inlineStr">
        <is>
          <t>Remediation Plan</t>
        </is>
      </c>
      <c r="J6" s="10" t="inlineStr">
        <is>
          <t>Target Date</t>
        </is>
      </c>
      <c r="K6" s="10" t="inlineStr">
        <is>
          <t>Owner</t>
        </is>
      </c>
      <c r="L6" s="10" t="inlineStr">
        <is>
          <t>Budget Required</t>
        </is>
      </c>
      <c r="M6" s="10" t="inlineStr">
        <is>
          <t>Dependencies</t>
        </is>
      </c>
      <c r="N6" s="10" t="inlineStr">
        <is>
          <t>Status</t>
        </is>
      </c>
      <c r="O6" s="10" t="inlineStr">
        <is>
          <t>Last Updated</t>
        </is>
      </c>
      <c r="P6" s="10" t="inlineStr">
        <is>
          <t>Compliance Status</t>
        </is>
      </c>
      <c r="Q6" s="10" t="inlineStr">
        <is>
          <t>Notes</t>
        </is>
      </c>
    </row>
    <row r="7">
      <c r="A7" s="11" t="inlineStr">
        <is>
          <t>Staffing</t>
        </is>
      </c>
      <c r="B7" s="11" t="inlineStr">
        <is>
          <t>24/7 SOC coverage with Tier 1/2 analysts</t>
        </is>
      </c>
      <c r="C7" s="11" t="inlineStr">
        <is>
          <t>5 Tier 1, 3 Tier 2, 24/7 coverage</t>
        </is>
      </c>
      <c r="D7" s="11" t="inlineStr">
        <is>
          <t>✅ Adequate</t>
        </is>
      </c>
      <c r="E7" s="11" t="inlineStr">
        <is>
          <t>Shift rosters, staffing plan</t>
        </is>
      </c>
      <c r="F7" s="11" t="inlineStr">
        <is>
          <t>None</t>
        </is>
      </c>
      <c r="G7" s="11" t="inlineStr">
        <is>
          <t>N/A</t>
        </is>
      </c>
      <c r="H7" s="11" t="inlineStr">
        <is>
          <t>Low</t>
        </is>
      </c>
      <c r="I7" s="11" t="inlineStr">
        <is>
          <t>N/A</t>
        </is>
      </c>
      <c r="J7" s="11" t="inlineStr">
        <is>
          <t>N/A</t>
        </is>
      </c>
      <c r="K7" s="11" t="inlineStr">
        <is>
          <t>SOC Manager</t>
        </is>
      </c>
      <c r="L7" s="11" t="inlineStr">
        <is>
          <t>No</t>
        </is>
      </c>
      <c r="M7" s="11" t="inlineStr">
        <is>
          <t>None</t>
        </is>
      </c>
      <c r="N7" s="11" t="inlineStr">
        <is>
          <t>Complete</t>
        </is>
      </c>
      <c r="O7" s="11" t="inlineStr">
        <is>
          <t>01.01.2025</t>
        </is>
      </c>
      <c r="P7" s="11" t="inlineStr">
        <is>
          <t>✅ Compliant</t>
        </is>
      </c>
      <c r="Q7" s="11" t="inlineStr">
        <is>
          <t>Adequate staffing levels</t>
        </is>
      </c>
    </row>
    <row r="8">
      <c r="A8" s="12" t="n"/>
      <c r="B8" s="12" t="n"/>
      <c r="C8" s="12" t="n"/>
      <c r="D8" s="12" t="n"/>
      <c r="E8" s="12" t="n"/>
      <c r="F8" s="12" t="n"/>
      <c r="G8" s="12" t="n"/>
      <c r="H8" s="12" t="n"/>
      <c r="I8" s="12" t="n"/>
      <c r="J8" s="12" t="n"/>
      <c r="K8" s="12" t="n"/>
      <c r="L8" s="12" t="n"/>
      <c r="M8" s="12" t="n"/>
      <c r="N8" s="12" t="n"/>
      <c r="O8" s="12" t="n"/>
      <c r="P8" s="12" t="n"/>
      <c r="Q8" s="12" t="n"/>
    </row>
    <row r="9">
      <c r="A9" s="12" t="n"/>
      <c r="B9" s="12" t="n"/>
      <c r="C9" s="12" t="n"/>
      <c r="D9" s="12" t="n"/>
      <c r="E9" s="12" t="n"/>
      <c r="F9" s="12" t="n"/>
      <c r="G9" s="12" t="n"/>
      <c r="H9" s="12" t="n"/>
      <c r="I9" s="12" t="n"/>
      <c r="J9" s="12" t="n"/>
      <c r="K9" s="12" t="n"/>
      <c r="L9" s="12" t="n"/>
      <c r="M9" s="12" t="n"/>
      <c r="N9" s="12" t="n"/>
      <c r="O9" s="12" t="n"/>
      <c r="P9" s="12" t="n"/>
      <c r="Q9" s="12" t="n"/>
    </row>
    <row r="10">
      <c r="A10" s="12" t="n"/>
      <c r="B10" s="12" t="n"/>
      <c r="C10" s="12" t="n"/>
      <c r="D10" s="12" t="n"/>
      <c r="E10" s="12" t="n"/>
      <c r="F10" s="12" t="n"/>
      <c r="G10" s="12" t="n"/>
      <c r="H10" s="12" t="n"/>
      <c r="I10" s="12" t="n"/>
      <c r="J10" s="12" t="n"/>
      <c r="K10" s="12" t="n"/>
      <c r="L10" s="12" t="n"/>
      <c r="M10" s="12" t="n"/>
      <c r="N10" s="12" t="n"/>
      <c r="O10" s="12" t="n"/>
      <c r="P10" s="12" t="n"/>
      <c r="Q10" s="12" t="n"/>
    </row>
    <row r="11">
      <c r="A11" s="12" t="n"/>
      <c r="B11" s="12" t="n"/>
      <c r="C11" s="12" t="n"/>
      <c r="D11" s="12" t="n"/>
      <c r="E11" s="12" t="n"/>
      <c r="F11" s="12" t="n"/>
      <c r="G11" s="12" t="n"/>
      <c r="H11" s="12" t="n"/>
      <c r="I11" s="12" t="n"/>
      <c r="J11" s="12" t="n"/>
      <c r="K11" s="12" t="n"/>
      <c r="L11" s="12" t="n"/>
      <c r="M11" s="12" t="n"/>
      <c r="N11" s="12" t="n"/>
      <c r="O11" s="12" t="n"/>
      <c r="P11" s="12" t="n"/>
      <c r="Q11" s="12" t="n"/>
    </row>
    <row r="12">
      <c r="A12" s="12" t="n"/>
      <c r="B12" s="12" t="n"/>
      <c r="C12" s="12" t="n"/>
      <c r="D12" s="12" t="n"/>
      <c r="E12" s="12" t="n"/>
      <c r="F12" s="12" t="n"/>
      <c r="G12" s="12" t="n"/>
      <c r="H12" s="12" t="n"/>
      <c r="I12" s="12" t="n"/>
      <c r="J12" s="12" t="n"/>
      <c r="K12" s="12" t="n"/>
      <c r="L12" s="12" t="n"/>
      <c r="M12" s="12" t="n"/>
      <c r="N12" s="12" t="n"/>
      <c r="O12" s="12" t="n"/>
      <c r="P12" s="12" t="n"/>
      <c r="Q12" s="12" t="n"/>
    </row>
    <row r="13">
      <c r="A13" s="12" t="n"/>
      <c r="B13" s="12" t="n"/>
      <c r="C13" s="12" t="n"/>
      <c r="D13" s="12" t="n"/>
      <c r="E13" s="12" t="n"/>
      <c r="F13" s="12" t="n"/>
      <c r="G13" s="12" t="n"/>
      <c r="H13" s="12" t="n"/>
      <c r="I13" s="12" t="n"/>
      <c r="J13" s="12" t="n"/>
      <c r="K13" s="12" t="n"/>
      <c r="L13" s="12" t="n"/>
      <c r="M13" s="12" t="n"/>
      <c r="N13" s="12" t="n"/>
      <c r="O13" s="12" t="n"/>
      <c r="P13" s="12" t="n"/>
      <c r="Q13" s="12" t="n"/>
    </row>
    <row r="14">
      <c r="A14" s="12" t="n"/>
      <c r="B14" s="12" t="n"/>
      <c r="C14" s="12" t="n"/>
      <c r="D14" s="12" t="n"/>
      <c r="E14" s="12" t="n"/>
      <c r="F14" s="12" t="n"/>
      <c r="G14" s="12" t="n"/>
      <c r="H14" s="12" t="n"/>
      <c r="I14" s="12" t="n"/>
      <c r="J14" s="12" t="n"/>
      <c r="K14" s="12" t="n"/>
      <c r="L14" s="12" t="n"/>
      <c r="M14" s="12" t="n"/>
      <c r="N14" s="12" t="n"/>
      <c r="O14" s="12" t="n"/>
      <c r="P14" s="12" t="n"/>
      <c r="Q14" s="12" t="n"/>
    </row>
    <row r="15">
      <c r="A15" s="12" t="n"/>
      <c r="B15" s="12" t="n"/>
      <c r="C15" s="12" t="n"/>
      <c r="D15" s="12" t="n"/>
      <c r="E15" s="12" t="n"/>
      <c r="F15" s="12" t="n"/>
      <c r="G15" s="12" t="n"/>
      <c r="H15" s="12" t="n"/>
      <c r="I15" s="12" t="n"/>
      <c r="J15" s="12" t="n"/>
      <c r="K15" s="12" t="n"/>
      <c r="L15" s="12" t="n"/>
      <c r="M15" s="12" t="n"/>
      <c r="N15" s="12" t="n"/>
      <c r="O15" s="12" t="n"/>
      <c r="P15" s="12" t="n"/>
      <c r="Q15" s="12" t="n"/>
    </row>
    <row r="16">
      <c r="A16" s="12" t="n"/>
      <c r="B16" s="12" t="n"/>
      <c r="C16" s="12" t="n"/>
      <c r="D16" s="12" t="n"/>
      <c r="E16" s="12" t="n"/>
      <c r="F16" s="12" t="n"/>
      <c r="G16" s="12" t="n"/>
      <c r="H16" s="12" t="n"/>
      <c r="I16" s="12" t="n"/>
      <c r="J16" s="12" t="n"/>
      <c r="K16" s="12" t="n"/>
      <c r="L16" s="12" t="n"/>
      <c r="M16" s="12" t="n"/>
      <c r="N16" s="12" t="n"/>
      <c r="O16" s="12" t="n"/>
      <c r="P16" s="12" t="n"/>
      <c r="Q16" s="12" t="n"/>
    </row>
    <row r="17">
      <c r="A17" s="12" t="n"/>
      <c r="B17" s="12" t="n"/>
      <c r="C17" s="12" t="n"/>
      <c r="D17" s="12" t="n"/>
      <c r="E17" s="12" t="n"/>
      <c r="F17" s="12" t="n"/>
      <c r="G17" s="12" t="n"/>
      <c r="H17" s="12" t="n"/>
      <c r="I17" s="12" t="n"/>
      <c r="J17" s="12" t="n"/>
      <c r="K17" s="12" t="n"/>
      <c r="L17" s="12" t="n"/>
      <c r="M17" s="12" t="n"/>
      <c r="N17" s="12" t="n"/>
      <c r="O17" s="12" t="n"/>
      <c r="P17" s="12" t="n"/>
      <c r="Q17" s="12" t="n"/>
    </row>
    <row r="18">
      <c r="A18" s="12" t="n"/>
      <c r="B18" s="12" t="n"/>
      <c r="C18" s="12" t="n"/>
      <c r="D18" s="12" t="n"/>
      <c r="E18" s="12" t="n"/>
      <c r="F18" s="12" t="n"/>
      <c r="G18" s="12" t="n"/>
      <c r="H18" s="12" t="n"/>
      <c r="I18" s="12" t="n"/>
      <c r="J18" s="12" t="n"/>
      <c r="K18" s="12" t="n"/>
      <c r="L18" s="12" t="n"/>
      <c r="M18" s="12" t="n"/>
      <c r="N18" s="12" t="n"/>
      <c r="O18" s="12" t="n"/>
      <c r="P18" s="12" t="n"/>
      <c r="Q18" s="12" t="n"/>
    </row>
    <row r="19">
      <c r="A19" s="12" t="n"/>
      <c r="B19" s="12" t="n"/>
      <c r="C19" s="12" t="n"/>
      <c r="D19" s="12" t="n"/>
      <c r="E19" s="12" t="n"/>
      <c r="F19" s="12" t="n"/>
      <c r="G19" s="12" t="n"/>
      <c r="H19" s="12" t="n"/>
      <c r="I19" s="12" t="n"/>
      <c r="J19" s="12" t="n"/>
      <c r="K19" s="12" t="n"/>
      <c r="L19" s="12" t="n"/>
      <c r="M19" s="12" t="n"/>
      <c r="N19" s="12" t="n"/>
      <c r="O19" s="12" t="n"/>
      <c r="P19" s="12" t="n"/>
      <c r="Q19" s="12" t="n"/>
    </row>
    <row r="20">
      <c r="A20" s="12" t="n"/>
      <c r="B20" s="12" t="n"/>
      <c r="C20" s="12" t="n"/>
      <c r="D20" s="12" t="n"/>
      <c r="E20" s="12" t="n"/>
      <c r="F20" s="12" t="n"/>
      <c r="G20" s="12" t="n"/>
      <c r="H20" s="12" t="n"/>
      <c r="I20" s="12" t="n"/>
      <c r="J20" s="12" t="n"/>
      <c r="K20" s="12" t="n"/>
      <c r="L20" s="12" t="n"/>
      <c r="M20" s="12" t="n"/>
      <c r="N20" s="12" t="n"/>
      <c r="O20" s="12" t="n"/>
      <c r="P20" s="12" t="n"/>
      <c r="Q20" s="12" t="n"/>
    </row>
    <row r="21">
      <c r="A21" s="12" t="n"/>
      <c r="B21" s="12" t="n"/>
      <c r="C21" s="12" t="n"/>
      <c r="D21" s="12" t="n"/>
      <c r="E21" s="12" t="n"/>
      <c r="F21" s="12" t="n"/>
      <c r="G21" s="12" t="n"/>
      <c r="H21" s="12" t="n"/>
      <c r="I21" s="12" t="n"/>
      <c r="J21" s="12" t="n"/>
      <c r="K21" s="12" t="n"/>
      <c r="L21" s="12" t="n"/>
      <c r="M21" s="12" t="n"/>
      <c r="N21" s="12" t="n"/>
      <c r="O21" s="12" t="n"/>
      <c r="P21" s="12" t="n"/>
      <c r="Q21" s="12" t="n"/>
    </row>
    <row r="22">
      <c r="A22" s="12" t="n"/>
      <c r="B22" s="12" t="n"/>
      <c r="C22" s="12" t="n"/>
      <c r="D22" s="12" t="n"/>
      <c r="E22" s="12" t="n"/>
      <c r="F22" s="12" t="n"/>
      <c r="G22" s="12" t="n"/>
      <c r="H22" s="12" t="n"/>
      <c r="I22" s="12" t="n"/>
      <c r="J22" s="12" t="n"/>
      <c r="K22" s="12" t="n"/>
      <c r="L22" s="12" t="n"/>
      <c r="M22" s="12" t="n"/>
      <c r="N22" s="12" t="n"/>
      <c r="O22" s="12" t="n"/>
      <c r="P22" s="12" t="n"/>
      <c r="Q22" s="12" t="n"/>
    </row>
    <row r="23">
      <c r="A23" s="12" t="n"/>
      <c r="B23" s="12" t="n"/>
      <c r="C23" s="12" t="n"/>
      <c r="D23" s="12" t="n"/>
      <c r="E23" s="12" t="n"/>
      <c r="F23" s="12" t="n"/>
      <c r="G23" s="12" t="n"/>
      <c r="H23" s="12" t="n"/>
      <c r="I23" s="12" t="n"/>
      <c r="J23" s="12" t="n"/>
      <c r="K23" s="12" t="n"/>
      <c r="L23" s="12" t="n"/>
      <c r="M23" s="12" t="n"/>
      <c r="N23" s="12" t="n"/>
      <c r="O23" s="12" t="n"/>
      <c r="P23" s="12" t="n"/>
      <c r="Q23" s="12" t="n"/>
    </row>
    <row r="24">
      <c r="A24" s="12" t="n"/>
      <c r="B24" s="12" t="n"/>
      <c r="C24" s="12" t="n"/>
      <c r="D24" s="12" t="n"/>
      <c r="E24" s="12" t="n"/>
      <c r="F24" s="12" t="n"/>
      <c r="G24" s="12" t="n"/>
      <c r="H24" s="12" t="n"/>
      <c r="I24" s="12" t="n"/>
      <c r="J24" s="12" t="n"/>
      <c r="K24" s="12" t="n"/>
      <c r="L24" s="12" t="n"/>
      <c r="M24" s="12" t="n"/>
      <c r="N24" s="12" t="n"/>
      <c r="O24" s="12" t="n"/>
      <c r="P24" s="12" t="n"/>
      <c r="Q24" s="12" t="n"/>
    </row>
    <row r="25">
      <c r="A25" s="12" t="n"/>
      <c r="B25" s="12" t="n"/>
      <c r="C25" s="12" t="n"/>
      <c r="D25" s="12" t="n"/>
      <c r="E25" s="12" t="n"/>
      <c r="F25" s="12" t="n"/>
      <c r="G25" s="12" t="n"/>
      <c r="H25" s="12" t="n"/>
      <c r="I25" s="12" t="n"/>
      <c r="J25" s="12" t="n"/>
      <c r="K25" s="12" t="n"/>
      <c r="L25" s="12" t="n"/>
      <c r="M25" s="12" t="n"/>
      <c r="N25" s="12" t="n"/>
      <c r="O25" s="12" t="n"/>
      <c r="P25" s="12" t="n"/>
      <c r="Q25" s="12" t="n"/>
    </row>
    <row r="26">
      <c r="A26" s="12" t="n"/>
      <c r="B26" s="12" t="n"/>
      <c r="C26" s="12" t="n"/>
      <c r="D26" s="12" t="n"/>
      <c r="E26" s="12" t="n"/>
      <c r="F26" s="12" t="n"/>
      <c r="G26" s="12" t="n"/>
      <c r="H26" s="12" t="n"/>
      <c r="I26" s="12" t="n"/>
      <c r="J26" s="12" t="n"/>
      <c r="K26" s="12" t="n"/>
      <c r="L26" s="12" t="n"/>
      <c r="M26" s="12" t="n"/>
      <c r="N26" s="12" t="n"/>
      <c r="O26" s="12" t="n"/>
      <c r="P26" s="12" t="n"/>
      <c r="Q26" s="12" t="n"/>
    </row>
    <row r="27">
      <c r="A27" s="12" t="n"/>
      <c r="B27" s="12" t="n"/>
      <c r="C27" s="12" t="n"/>
      <c r="D27" s="12" t="n"/>
      <c r="E27" s="12" t="n"/>
      <c r="F27" s="12" t="n"/>
      <c r="G27" s="12" t="n"/>
      <c r="H27" s="12" t="n"/>
      <c r="I27" s="12" t="n"/>
      <c r="J27" s="12" t="n"/>
      <c r="K27" s="12" t="n"/>
      <c r="L27" s="12" t="n"/>
      <c r="M27" s="12" t="n"/>
      <c r="N27" s="12" t="n"/>
      <c r="O27" s="12" t="n"/>
      <c r="P27" s="12" t="n"/>
      <c r="Q27" s="12" t="n"/>
    </row>
    <row r="28">
      <c r="A28" s="12" t="n"/>
      <c r="B28" s="12" t="n"/>
      <c r="C28" s="12" t="n"/>
      <c r="D28" s="12" t="n"/>
      <c r="E28" s="12" t="n"/>
      <c r="F28" s="12" t="n"/>
      <c r="G28" s="12" t="n"/>
      <c r="H28" s="12" t="n"/>
      <c r="I28" s="12" t="n"/>
      <c r="J28" s="12" t="n"/>
      <c r="K28" s="12" t="n"/>
      <c r="L28" s="12" t="n"/>
      <c r="M28" s="12" t="n"/>
      <c r="N28" s="12" t="n"/>
      <c r="O28" s="12" t="n"/>
      <c r="P28" s="12" t="n"/>
      <c r="Q28" s="12" t="n"/>
    </row>
    <row r="29">
      <c r="A29" s="12" t="n"/>
      <c r="B29" s="12" t="n"/>
      <c r="C29" s="12" t="n"/>
      <c r="D29" s="12" t="n"/>
      <c r="E29" s="12" t="n"/>
      <c r="F29" s="12" t="n"/>
      <c r="G29" s="12" t="n"/>
      <c r="H29" s="12" t="n"/>
      <c r="I29" s="12" t="n"/>
      <c r="J29" s="12" t="n"/>
      <c r="K29" s="12" t="n"/>
      <c r="L29" s="12" t="n"/>
      <c r="M29" s="12" t="n"/>
      <c r="N29" s="12" t="n"/>
      <c r="O29" s="12" t="n"/>
      <c r="P29" s="12" t="n"/>
      <c r="Q29" s="12" t="n"/>
    </row>
    <row r="30">
      <c r="A30" s="12" t="n"/>
      <c r="B30" s="12" t="n"/>
      <c r="C30" s="12" t="n"/>
      <c r="D30" s="12" t="n"/>
      <c r="E30" s="12" t="n"/>
      <c r="F30" s="12" t="n"/>
      <c r="G30" s="12" t="n"/>
      <c r="H30" s="12" t="n"/>
      <c r="I30" s="12" t="n"/>
      <c r="J30" s="12" t="n"/>
      <c r="K30" s="12" t="n"/>
      <c r="L30" s="12" t="n"/>
      <c r="M30" s="12" t="n"/>
      <c r="N30" s="12" t="n"/>
      <c r="O30" s="12" t="n"/>
      <c r="P30" s="12" t="n"/>
      <c r="Q30" s="12" t="n"/>
    </row>
    <row r="31">
      <c r="A31" s="12" t="n"/>
      <c r="B31" s="12" t="n"/>
      <c r="C31" s="12" t="n"/>
      <c r="D31" s="12" t="n"/>
      <c r="E31" s="12" t="n"/>
      <c r="F31" s="12" t="n"/>
      <c r="G31" s="12" t="n"/>
      <c r="H31" s="12" t="n"/>
      <c r="I31" s="12" t="n"/>
      <c r="J31" s="12" t="n"/>
      <c r="K31" s="12" t="n"/>
      <c r="L31" s="12" t="n"/>
      <c r="M31" s="12" t="n"/>
      <c r="N31" s="12" t="n"/>
      <c r="O31" s="12" t="n"/>
      <c r="P31" s="12" t="n"/>
      <c r="Q31" s="12" t="n"/>
    </row>
    <row r="32">
      <c r="A32" s="12" t="n"/>
      <c r="B32" s="12" t="n"/>
      <c r="C32" s="12" t="n"/>
      <c r="D32" s="12" t="n"/>
      <c r="E32" s="12" t="n"/>
      <c r="F32" s="12" t="n"/>
      <c r="G32" s="12" t="n"/>
      <c r="H32" s="12" t="n"/>
      <c r="I32" s="12" t="n"/>
      <c r="J32" s="12" t="n"/>
      <c r="K32" s="12" t="n"/>
      <c r="L32" s="12" t="n"/>
      <c r="M32" s="12" t="n"/>
      <c r="N32" s="12" t="n"/>
      <c r="O32" s="12" t="n"/>
      <c r="P32" s="12" t="n"/>
      <c r="Q32" s="12" t="n"/>
    </row>
    <row r="35">
      <c r="A35" s="3" t="inlineStr">
        <is>
          <t>SOC READINESS STATISTICS</t>
        </is>
      </c>
    </row>
    <row r="36">
      <c r="A36" s="10" t="inlineStr">
        <is>
          <t>Metric</t>
        </is>
      </c>
      <c r="B36" s="13" t="n"/>
      <c r="C36" s="13" t="n"/>
      <c r="D36" s="13" t="n"/>
      <c r="E36" s="13" t="n"/>
      <c r="F36" s="13" t="n"/>
      <c r="G36" s="13" t="n"/>
      <c r="H36" s="13" t="n"/>
      <c r="I36" s="13" t="n"/>
      <c r="J36" s="13" t="n"/>
      <c r="K36" s="13" t="n"/>
      <c r="L36" s="13" t="n"/>
      <c r="M36" s="13" t="n"/>
      <c r="N36" s="13" t="n"/>
      <c r="O36" s="13" t="n"/>
      <c r="P36" s="13" t="n"/>
      <c r="Q36" s="13" t="n"/>
    </row>
    <row r="37" ht="25" customHeight="1">
      <c r="A37" s="6" t="inlineStr">
        <is>
          <t>Total Readiness Requirements</t>
        </is>
      </c>
    </row>
    <row r="38" ht="25" customHeight="1">
      <c r="A38" s="6" t="inlineStr">
        <is>
          <t>Requirements Adequate</t>
        </is>
      </c>
    </row>
    <row r="39" ht="25" customHeight="1">
      <c r="A39" s="6" t="inlineStr">
        <is>
          <t>Requirements Needing Improvement</t>
        </is>
      </c>
    </row>
    <row r="40" ht="25" customHeight="1">
      <c r="A40" s="6" t="inlineStr">
        <is>
          <t>Requirements Inadequate</t>
        </is>
      </c>
    </row>
    <row r="41" ht="25" customHeight="1">
      <c r="A41" s="6" t="inlineStr">
        <is>
          <t>Remediation Complete</t>
        </is>
      </c>
    </row>
    <row r="42" ht="25" customHeight="1">
      <c r="A42" s="6" t="inlineStr">
        <is>
          <t>Remediation In Progress</t>
        </is>
      </c>
    </row>
    <row r="43" ht="25" customHeight="1">
      <c r="A43" s="6" t="inlineStr">
        <is>
          <t>Staffing by Area</t>
        </is>
      </c>
    </row>
    <row r="44" ht="25" customHeight="1">
      <c r="A44" s="6" t="inlineStr">
        <is>
          <t>Training by Area</t>
        </is>
      </c>
    </row>
    <row r="47">
      <c r="A47" s="3" t="inlineStr">
        <is>
          <t>SOC OPERATIONAL READINESS CHECKLIST</t>
        </is>
      </c>
    </row>
    <row r="48">
      <c r="A48" s="10" t="inlineStr">
        <is>
          <t>#</t>
        </is>
      </c>
      <c r="B48" s="10" t="inlineStr">
        <is>
          <t>Requirement</t>
        </is>
      </c>
      <c r="C48" s="13" t="n"/>
      <c r="D48" s="13" t="n"/>
      <c r="E48" s="13" t="n"/>
      <c r="F48" s="13" t="n"/>
      <c r="G48" s="13" t="n"/>
      <c r="H48" s="13" t="n"/>
      <c r="I48" s="13" t="n"/>
      <c r="J48" s="13" t="n"/>
      <c r="K48" s="13" t="n"/>
      <c r="L48" s="13" t="n"/>
      <c r="M48" s="13" t="n"/>
      <c r="N48" s="13" t="n"/>
      <c r="O48" s="13" t="n"/>
      <c r="P48" s="14" t="n"/>
    </row>
    <row r="49" ht="25" customHeight="1">
      <c r="A49" t="n">
        <v>1</v>
      </c>
      <c r="B49" s="6" t="inlineStr">
        <is>
          <t>SOC staffing adequate for 24/7 coverage</t>
        </is>
      </c>
      <c r="Q49" s="5" t="n"/>
    </row>
    <row r="50" ht="25" customHeight="1">
      <c r="A50" t="n">
        <v>2</v>
      </c>
      <c r="B50" s="6" t="inlineStr">
        <is>
          <t>Analyst to alert ratio acceptable (&lt;50 alerts/shift)</t>
        </is>
      </c>
      <c r="Q50" s="5" t="n"/>
    </row>
    <row r="51" ht="25" customHeight="1">
      <c r="A51" t="n">
        <v>3</v>
      </c>
      <c r="B51" s="6" t="inlineStr">
        <is>
          <t>SOC tiers defined (Tier 1, 2, 3)</t>
        </is>
      </c>
      <c r="Q51" s="5" t="n"/>
    </row>
    <row r="52" ht="25" customHeight="1">
      <c r="A52" t="n">
        <v>4</v>
      </c>
      <c r="B52" s="6" t="inlineStr">
        <is>
          <t>On-call rotation established</t>
        </is>
      </c>
      <c r="Q52" s="5" t="n"/>
    </row>
    <row r="53" ht="25" customHeight="1">
      <c r="A53" t="n">
        <v>5</v>
      </c>
      <c r="B53" s="6" t="inlineStr">
        <is>
          <t>Shift handover procedures defined</t>
        </is>
      </c>
      <c r="Q53" s="5" t="n"/>
    </row>
    <row r="54" ht="25" customHeight="1">
      <c r="A54" t="n">
        <v>6</v>
      </c>
      <c r="B54" s="6" t="inlineStr">
        <is>
          <t>SOC analysts trained on triage procedures</t>
        </is>
      </c>
      <c r="Q54" s="5" t="n"/>
    </row>
    <row r="55" ht="25" customHeight="1">
      <c r="A55" t="n">
        <v>7</v>
      </c>
      <c r="B55" s="6" t="inlineStr">
        <is>
          <t>SOC analysts trained on investigation playbooks</t>
        </is>
      </c>
      <c r="Q55" s="5" t="n"/>
    </row>
    <row r="56" ht="25" customHeight="1">
      <c r="A56" t="n">
        <v>8</v>
      </c>
      <c r="B56" s="6" t="inlineStr">
        <is>
          <t>SOC analysts trained on tools (SIEM, EDR, etc.)</t>
        </is>
      </c>
      <c r="Q56" s="5" t="n"/>
    </row>
    <row r="57" ht="25" customHeight="1">
      <c r="A57" t="n">
        <v>9</v>
      </c>
      <c r="B57" s="6" t="inlineStr">
        <is>
          <t>Training records maintained</t>
        </is>
      </c>
      <c r="Q57" s="5" t="n"/>
    </row>
    <row r="58" ht="25" customHeight="1">
      <c r="A58" t="n">
        <v>10</v>
      </c>
      <c r="B58" s="6" t="inlineStr">
        <is>
          <t>Quarterly training refreshers conducted</t>
        </is>
      </c>
      <c r="Q58" s="5" t="n"/>
    </row>
    <row r="59" ht="25" customHeight="1">
      <c r="A59" t="n">
        <v>11</v>
      </c>
      <c r="B59" s="6" t="inlineStr">
        <is>
          <t>All required tools accessible to SOC</t>
        </is>
      </c>
      <c r="Q59" s="5" t="n"/>
    </row>
    <row r="60" ht="25" customHeight="1">
      <c r="A60" t="n">
        <v>12</v>
      </c>
      <c r="B60" s="6" t="inlineStr">
        <is>
          <t>Tool access tested and functional</t>
        </is>
      </c>
      <c r="Q60" s="5" t="n"/>
    </row>
    <row r="61" ht="25" customHeight="1">
      <c r="A61" t="n">
        <v>13</v>
      </c>
      <c r="B61" s="6" t="inlineStr">
        <is>
          <t>Tool documentation available</t>
        </is>
      </c>
      <c r="Q61" s="5" t="n"/>
    </row>
    <row r="62" ht="25" customHeight="1">
      <c r="A62" t="n">
        <v>14</v>
      </c>
      <c r="B62" s="6" t="inlineStr">
        <is>
          <t>Tool integrations working</t>
        </is>
      </c>
      <c r="Q62" s="5" t="n"/>
    </row>
    <row r="63" ht="25" customHeight="1">
      <c r="A63" t="n">
        <v>15</v>
      </c>
      <c r="B63" s="6" t="inlineStr">
        <is>
          <t>Communication systems functional (ticketing, chat, email)</t>
        </is>
      </c>
      <c r="Q63" s="5" t="n"/>
    </row>
    <row r="64" ht="25" customHeight="1">
      <c r="A64" t="n">
        <v>16</v>
      </c>
      <c r="B64" s="6" t="inlineStr">
        <is>
          <t>SOC procedures documented</t>
        </is>
      </c>
      <c r="Q64" s="5" t="n"/>
    </row>
    <row r="65" ht="25" customHeight="1">
      <c r="A65" t="n">
        <v>17</v>
      </c>
      <c r="B65" s="6" t="inlineStr">
        <is>
          <t>Playbooks available for common alert types</t>
        </is>
      </c>
      <c r="Q65" s="5" t="n"/>
    </row>
    <row r="66" ht="25" customHeight="1">
      <c r="A66" t="n">
        <v>18</v>
      </c>
      <c r="B66" s="6" t="inlineStr">
        <is>
          <t>Escalation procedures documented</t>
        </is>
      </c>
      <c r="Q66" s="5" t="n"/>
    </row>
    <row r="67" ht="25" customHeight="1">
      <c r="A67" t="n">
        <v>19</v>
      </c>
      <c r="B67" s="6" t="inlineStr">
        <is>
          <t>Shift handover checklists available</t>
        </is>
      </c>
      <c r="Q67" s="5" t="n"/>
    </row>
    <row r="68" ht="25" customHeight="1">
      <c r="A68" t="n">
        <v>20</v>
      </c>
      <c r="B68" s="6" t="inlineStr">
        <is>
          <t>Standard operating procedures (SOPs) updated</t>
        </is>
      </c>
      <c r="Q68" s="5" t="n"/>
    </row>
    <row r="69" ht="25" customHeight="1">
      <c r="A69" t="n">
        <v>21</v>
      </c>
      <c r="B69" s="6" t="inlineStr">
        <is>
          <t>Tabletop exercises conducted quarterly</t>
        </is>
      </c>
      <c r="Q69" s="5" t="n"/>
    </row>
    <row r="70" ht="25" customHeight="1">
      <c r="A70" t="n">
        <v>22</v>
      </c>
      <c r="B70" s="6" t="inlineStr">
        <is>
          <t>Alert response tested (red team, purple team)</t>
        </is>
      </c>
      <c r="Q70" s="5" t="n"/>
    </row>
    <row r="71" ht="25" customHeight="1">
      <c r="A71" t="n">
        <v>23</v>
      </c>
      <c r="B71" s="6" t="inlineStr">
        <is>
          <t>Escalation procedures tested</t>
        </is>
      </c>
      <c r="Q71" s="5" t="n"/>
    </row>
    <row r="72" ht="25" customHeight="1">
      <c r="A72" t="n">
        <v>24</v>
      </c>
      <c r="B72" s="6" t="inlineStr">
        <is>
          <t>Communication systems tested</t>
        </is>
      </c>
      <c r="Q72" s="5" t="n"/>
    </row>
    <row r="73" ht="25" customHeight="1">
      <c r="A73" t="n">
        <v>25</v>
      </c>
      <c r="B73" s="6" t="inlineStr">
        <is>
          <t>Disaster recovery procedures tested</t>
        </is>
      </c>
      <c r="Q73" s="5" t="n"/>
    </row>
    <row r="74">
      <c r="A74" s="15" t="inlineStr">
        <is>
          <t>SCORE:</t>
        </is>
      </c>
      <c r="B74" s="16">
        <f>COUNTIF(Q49:Q73,"✅ Compliant")&amp;" / 25"</f>
        <v/>
      </c>
    </row>
  </sheetData>
  <mergeCells count="59">
    <mergeCell ref="A41:F41"/>
    <mergeCell ref="B48:P48"/>
    <mergeCell ref="B40:K40"/>
    <mergeCell ref="B74:E74"/>
    <mergeCell ref="A37:F37"/>
    <mergeCell ref="C44:Q44"/>
    <mergeCell ref="C41:Q41"/>
    <mergeCell ref="B60:P60"/>
    <mergeCell ref="B67:P67"/>
    <mergeCell ref="B61:P61"/>
    <mergeCell ref="B57:P57"/>
    <mergeCell ref="C40:Q40"/>
    <mergeCell ref="B73:P73"/>
    <mergeCell ref="A1:Q1"/>
    <mergeCell ref="B36:K36"/>
    <mergeCell ref="B53:P53"/>
    <mergeCell ref="C43:Q43"/>
    <mergeCell ref="B41:K41"/>
    <mergeCell ref="A42:F42"/>
    <mergeCell ref="B69:P69"/>
    <mergeCell ref="C36:Q36"/>
    <mergeCell ref="B70:P70"/>
    <mergeCell ref="B49:P49"/>
    <mergeCell ref="C39:Q39"/>
    <mergeCell ref="B65:P65"/>
    <mergeCell ref="B68:P68"/>
    <mergeCell ref="A43:F43"/>
    <mergeCell ref="A38:F38"/>
    <mergeCell ref="B55:P55"/>
    <mergeCell ref="B51:P51"/>
    <mergeCell ref="B64:P64"/>
    <mergeCell ref="A3:Q3"/>
    <mergeCell ref="C38:Q38"/>
    <mergeCell ref="A44:F44"/>
    <mergeCell ref="A2:Q2"/>
    <mergeCell ref="C37:Q37"/>
    <mergeCell ref="B39:K39"/>
    <mergeCell ref="A40:F40"/>
    <mergeCell ref="B43:K43"/>
    <mergeCell ref="B63:P63"/>
    <mergeCell ref="B50:P50"/>
    <mergeCell ref="A39:F39"/>
    <mergeCell ref="B42:K42"/>
    <mergeCell ref="A47:Q47"/>
    <mergeCell ref="B62:P62"/>
    <mergeCell ref="B54:P54"/>
    <mergeCell ref="A36:F36"/>
    <mergeCell ref="C42:Q42"/>
    <mergeCell ref="B72:P72"/>
    <mergeCell ref="A35:Q35"/>
    <mergeCell ref="B59:P59"/>
    <mergeCell ref="B66:P66"/>
    <mergeCell ref="B44:K44"/>
    <mergeCell ref="B71:P71"/>
    <mergeCell ref="B38:K38"/>
    <mergeCell ref="B56:P56"/>
    <mergeCell ref="B52:P52"/>
    <mergeCell ref="B58:P58"/>
    <mergeCell ref="B37:K37"/>
  </mergeCells>
  <dataValidations count="6">
    <dataValidation sqref="P8 P9 P10 P11 P12 P13 P14 P15 P16 P17 P18 P19 P20 P21 P22 P23 P24 P25 P26 P27 P28 P29 P30 P31 P32 Q49 Q50 Q51 Q52 Q53 Q54 Q55 Q56 Q57 Q58 Q59 Q60 Q61 Q62 Q63 Q64 Q65 Q66 Q67 Q68 Q69 Q70 Q71 Q72 Q73" showDropDown="0" showInputMessage="0" showErrorMessage="0" allowBlank="0" type="list">
      <formula1>"✅ Compliant,⚠️ Partial,❌ Non-Compliant,N/A"</formula1>
    </dataValidation>
    <dataValidation sqref="H8 H9 H10 H11 H12 H13 H14 H15 H16 H17 H18 H19 H20 H21 H22 H23 H24 H25 H26 H27 H28 H29 H30 H31 H32" showDropDown="0" showInputMessage="0" showErrorMessage="0" allowBlank="0" type="list">
      <formula1>"Critical,High,Medium,Low,None"</formula1>
    </dataValidation>
    <dataValidation sqref="A8 A9 A10 A11 A12 A13 A14 A15 A16 A17 A18 A19 A20 A21 A22 A23 A24 A25 A26 A27 A28 A29 A30 A31 A32" showDropDown="0" showInputMessage="0" showErrorMessage="0" allowBlank="0" type="list">
      <formula1>"Staffing,Training,Tools,Procedures,Communication,Facilities,Testing,Documentation"</formula1>
    </dataValidation>
    <dataValidation sqref="D8 D9 D10 D11 D12 D13 D14 D15 D16 D17 D18 D19 D20 D21 D22 D23 D24 D25 D26 D27 D28 D29 D30 D31 D32" showDropDown="0" showInputMessage="0" showErrorMessage="0" allowBlank="0" type="list">
      <formula1>"✅ Adequate,⚠️ Needs Improvement,❌ Inadequate"</formula1>
    </dataValidation>
    <dataValidation sqref="L8 L9 L10 L11 L12 L13 L14 L15 L16 L17 L18 L19 L20 L21 L22 L23 L24 L25 L26 L27 L28 L29 L30 L31 L32" showDropDown="0" showInputMessage="0" showErrorMessage="0" allowBlank="0" type="list">
      <formula1>"Yes,No,Unknown"</formula1>
    </dataValidation>
    <dataValidation sqref="N8 N9 N10 N11 N12 N13 N14 N15 N16 N17 N18 N19 N20 N21 N22 N23 N24 N25 N26 N27 N28 N29 N30 N31 N32" showDropDown="0" showInputMessage="0" showErrorMessage="0" allowBlank="0" type="list">
      <formula1>"Complete,In Progress,Planned,Not Started"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40" customHeight="1">
      <c r="A1" s="1" t="inlineStr">
        <is>
          <t>ALERT MANAGEMENT - SUMMARY DASHBOARD</t>
        </is>
      </c>
    </row>
    <row r="2" ht="25" customHeight="1">
      <c r="A2" s="2" t="inlineStr">
        <is>
          <t>Consolidated Assessment - ISMS-IMP-A.8.16.4</t>
        </is>
      </c>
    </row>
    <row r="4">
      <c r="A4" s="3" t="inlineStr">
        <is>
          <t>ALERT MANAGEMENT SUMMARY</t>
        </is>
      </c>
    </row>
    <row r="5">
      <c r="A5" s="10" t="inlineStr">
        <is>
          <t>Metric</t>
        </is>
      </c>
      <c r="B5" s="13" t="n"/>
      <c r="C5" s="13" t="n"/>
      <c r="D5" s="13" t="n"/>
      <c r="E5" s="13" t="n"/>
      <c r="F5" s="13" t="n"/>
      <c r="G5" s="13" t="n"/>
      <c r="H5" s="13" t="n"/>
      <c r="I5" s="13" t="n"/>
      <c r="J5" s="13" t="n"/>
      <c r="K5" s="13" t="n"/>
      <c r="L5" s="13" t="n"/>
      <c r="M5" s="13" t="n"/>
      <c r="N5" s="13" t="n"/>
    </row>
    <row r="6" ht="25" customHeight="1">
      <c r="A6" s="6" t="inlineStr">
        <is>
          <t>Total Active Alerts</t>
        </is>
      </c>
    </row>
    <row r="7" ht="25" customHeight="1">
      <c r="A7" s="6" t="inlineStr">
        <is>
          <t>Critical Alerts</t>
        </is>
      </c>
    </row>
    <row r="8" ht="25" customHeight="1">
      <c r="A8" s="6" t="inlineStr">
        <is>
          <t>Average FP Rate</t>
        </is>
      </c>
    </row>
    <row r="9" ht="25" customHeight="1">
      <c r="A9" s="6" t="inlineStr">
        <is>
          <t>Alerts with Playbooks</t>
        </is>
      </c>
    </row>
    <row r="10" ht="25" customHeight="1">
      <c r="A10" s="6" t="inlineStr">
        <is>
          <t>Alerts Needing Tuning</t>
        </is>
      </c>
    </row>
    <row r="13">
      <c r="A13" s="3" t="inlineStr">
        <is>
          <t>RESPONSE TIME PERFORMANCE</t>
        </is>
      </c>
    </row>
    <row r="14">
      <c r="A14" s="10" t="inlineStr">
        <is>
          <t>Metric</t>
        </is>
      </c>
      <c r="B14" s="13" t="n"/>
      <c r="C14" s="13" t="n"/>
      <c r="D14" s="13" t="n"/>
      <c r="E14" s="13" t="n"/>
      <c r="F14" s="13" t="n"/>
      <c r="G14" s="13" t="n"/>
      <c r="H14" s="13" t="n"/>
      <c r="I14" s="13" t="n"/>
      <c r="J14" s="13" t="n"/>
      <c r="K14" s="13" t="n"/>
      <c r="L14" s="13" t="n"/>
      <c r="M14" s="13" t="n"/>
      <c r="N14" s="13" t="n"/>
    </row>
    <row r="15" ht="25" customHeight="1">
      <c r="A15" s="6" t="inlineStr">
        <is>
          <t>MTTA - Critical Alerts</t>
        </is>
      </c>
    </row>
    <row r="16" ht="25" customHeight="1">
      <c r="A16" s="6" t="inlineStr">
        <is>
          <t>MTTA - High Alerts</t>
        </is>
      </c>
    </row>
    <row r="17" ht="25" customHeight="1">
      <c r="A17" s="6" t="inlineStr">
        <is>
          <t>MTTT - Critical Alerts</t>
        </is>
      </c>
    </row>
    <row r="18" ht="25" customHeight="1">
      <c r="A18" s="6" t="inlineStr">
        <is>
          <t>MTTT - High Alerts</t>
        </is>
      </c>
    </row>
    <row r="19" ht="25" customHeight="1">
      <c r="A19" s="6" t="inlineStr">
        <is>
          <t>SLA Compliance Rate</t>
        </is>
      </c>
    </row>
    <row r="22">
      <c r="A22" s="3" t="inlineStr">
        <is>
          <t>ESCALATION METRICS</t>
        </is>
      </c>
    </row>
    <row r="23">
      <c r="A23" s="10" t="inlineStr">
        <is>
          <t>Metric</t>
        </is>
      </c>
      <c r="B23" s="13" t="n"/>
      <c r="C23" s="13" t="n"/>
      <c r="D23" s="13" t="n"/>
      <c r="E23" s="13" t="n"/>
      <c r="F23" s="13" t="n"/>
      <c r="G23" s="13" t="n"/>
      <c r="H23" s="13" t="n"/>
      <c r="I23" s="13" t="n"/>
      <c r="J23" s="13" t="n"/>
      <c r="K23" s="13" t="n"/>
      <c r="L23" s="13" t="n"/>
      <c r="M23" s="13" t="n"/>
      <c r="N23" s="13" t="n"/>
    </row>
    <row r="24" ht="25" customHeight="1">
      <c r="A24" s="6" t="inlineStr">
        <is>
          <t>Total Escalation Paths</t>
        </is>
      </c>
    </row>
    <row r="25" ht="25" customHeight="1">
      <c r="A25" s="6" t="inlineStr">
        <is>
          <t>Paths Tested (90d)</t>
        </is>
      </c>
    </row>
    <row r="26" ht="25" customHeight="1">
      <c r="A26" s="6" t="inlineStr">
        <is>
          <t>Successful Tests</t>
        </is>
      </c>
    </row>
    <row r="27" ht="25" customHeight="1">
      <c r="A27" s="6" t="inlineStr">
        <is>
          <t>Paths Needing Improvement</t>
        </is>
      </c>
    </row>
    <row r="29">
      <c r="A29" s="3" t="inlineStr">
        <is>
          <t>SOC OPERATIONAL HEALTH</t>
        </is>
      </c>
    </row>
    <row r="30">
      <c r="A30" s="10" t="inlineStr">
        <is>
          <t>Metric</t>
        </is>
      </c>
      <c r="B30" s="13" t="n"/>
      <c r="C30" s="13" t="n"/>
      <c r="D30" s="13" t="n"/>
      <c r="E30" s="13" t="n"/>
      <c r="F30" s="13" t="n"/>
      <c r="G30" s="13" t="n"/>
      <c r="H30" s="13" t="n"/>
      <c r="I30" s="13" t="n"/>
      <c r="J30" s="13" t="n"/>
      <c r="K30" s="13" t="n"/>
      <c r="L30" s="13" t="n"/>
      <c r="M30" s="13" t="n"/>
      <c r="N30" s="13" t="n"/>
    </row>
    <row r="31" ht="25" customHeight="1">
      <c r="A31" s="6" t="inlineStr">
        <is>
          <t>SOC Readiness - Adequate</t>
        </is>
      </c>
    </row>
    <row r="32" ht="25" customHeight="1">
      <c r="A32" s="6" t="inlineStr">
        <is>
          <t>Requirements Needing Improvement</t>
        </is>
      </c>
    </row>
    <row r="33" ht="25" customHeight="1">
      <c r="A33" s="6" t="inlineStr">
        <is>
          <t>Requirements Inadequate</t>
        </is>
      </c>
    </row>
    <row r="34" ht="25" customHeight="1">
      <c r="A34" s="6" t="inlineStr">
        <is>
          <t>Training Completion</t>
        </is>
      </c>
    </row>
    <row r="37">
      <c r="A37" s="3" t="inlineStr">
        <is>
          <t>COMPLIANCE SUMMARY</t>
        </is>
      </c>
    </row>
    <row r="38">
      <c r="A38" s="10" t="inlineStr">
        <is>
          <t>Assessment Area</t>
        </is>
      </c>
      <c r="B38" s="10" t="inlineStr">
        <is>
          <t>Compliant</t>
        </is>
      </c>
      <c r="C38" s="10" t="inlineStr">
        <is>
          <t>Partial</t>
        </is>
      </c>
      <c r="D38" s="10" t="inlineStr">
        <is>
          <t>Non-Compliant</t>
        </is>
      </c>
      <c r="E38" s="10" t="inlineStr">
        <is>
          <t>N/A</t>
        </is>
      </c>
      <c r="F38" s="10" t="inlineStr">
        <is>
          <t>Total</t>
        </is>
      </c>
      <c r="G38" s="10" t="inlineStr">
        <is>
          <t>Compliance %</t>
        </is>
      </c>
      <c r="H38" s="10" t="inlineStr">
        <is>
          <t>Status</t>
        </is>
      </c>
    </row>
    <row r="39" ht="25" customHeight="1">
      <c r="A39" s="18" t="inlineStr">
        <is>
          <t>1. Alert Generation</t>
        </is>
      </c>
      <c r="B39">
        <f>COUNTIF('1. Alert Generation'!V54:V68,"✅ Compliant")</f>
        <v/>
      </c>
      <c r="C39">
        <f>COUNTIF('1. Alert Generation'!V54:V68,"⚠️ Partial")</f>
        <v/>
      </c>
      <c r="D39">
        <f>COUNTIF('1. Alert Generation'!V54:V68,"❌ Non-Compliant")</f>
        <v/>
      </c>
      <c r="E39">
        <f>COUNTIF('1. Alert Generation'!V54:V68,"N/A")</f>
        <v/>
      </c>
      <c r="F39" t="inlineStr">
        <is>
          <t>15</t>
        </is>
      </c>
      <c r="G39">
        <f>IF(F39&gt;0,ROUND(B39/(F39-E39)*100,1)&amp;"%","N/A")</f>
        <v/>
      </c>
      <c r="H39">
        <f>IF(G39="N/A","N/A",IF(VALUE(LEFT(G39,LEN(G39)-1))&gt;=80,"✅ Good","⚠️ Needs Work"))</f>
        <v/>
      </c>
    </row>
    <row r="40" ht="25" customHeight="1">
      <c r="A40" s="18" t="inlineStr">
        <is>
          <t>2. Triage &amp; Investigation</t>
        </is>
      </c>
      <c r="B40">
        <f>COUNTIF('2. Triage Investigation'!U39:U53,"✅ Compliant")</f>
        <v/>
      </c>
      <c r="C40">
        <f>COUNTIF('2. Triage Investigation'!U39:U53,"⚠️ Partial")</f>
        <v/>
      </c>
      <c r="D40">
        <f>COUNTIF('2. Triage Investigation'!U39:U53,"❌ Non-Compliant")</f>
        <v/>
      </c>
      <c r="E40">
        <f>COUNTIF('2. Triage Investigation'!U39:U53,"N/A")</f>
        <v/>
      </c>
      <c r="F40" t="inlineStr">
        <is>
          <t>15</t>
        </is>
      </c>
      <c r="G40">
        <f>IF(F40&gt;0,ROUND(B40/(F40-E40)*100,1)&amp;"%","N/A")</f>
        <v/>
      </c>
      <c r="H40">
        <f>IF(G40="N/A","N/A",IF(VALUE(LEFT(G40,LEN(G40)-1))&gt;=80,"✅ Good","⚠️ Needs Work"))</f>
        <v/>
      </c>
    </row>
    <row r="41" ht="25" customHeight="1">
      <c r="A41" s="18" t="inlineStr">
        <is>
          <t>3. Escalation &amp; Response</t>
        </is>
      </c>
      <c r="B41">
        <f>COUNTIF('3. Escalation Response'!S44:S58,"✅ Compliant")</f>
        <v/>
      </c>
      <c r="C41">
        <f>COUNTIF('3. Escalation Response'!S44:S58,"⚠️ Partial")</f>
        <v/>
      </c>
      <c r="D41">
        <f>COUNTIF('3. Escalation Response'!S44:S58,"❌ Non-Compliant")</f>
        <v/>
      </c>
      <c r="E41">
        <f>COUNTIF('3. Escalation Response'!S44:S58,"N/A")</f>
        <v/>
      </c>
      <c r="F41" t="inlineStr">
        <is>
          <t>15</t>
        </is>
      </c>
      <c r="G41">
        <f>IF(F41&gt;0,ROUND(B41/(F41-E41)*100,1)&amp;"%","N/A")</f>
        <v/>
      </c>
      <c r="H41">
        <f>IF(G41="N/A","N/A",IF(VALUE(LEFT(G41,LEN(G41)-1))&gt;=80,"✅ Good","⚠️ Needs Work"))</f>
        <v/>
      </c>
    </row>
    <row r="42" ht="25" customHeight="1">
      <c r="A42" s="18" t="inlineStr">
        <is>
          <t>4. Performance Metrics</t>
        </is>
      </c>
      <c r="B42">
        <f>COUNTIF('4. Performance Metrics'!R54:R68,"✅ Compliant")</f>
        <v/>
      </c>
      <c r="C42">
        <f>COUNTIF('4. Performance Metrics'!R54:R68,"⚠️ Partial")</f>
        <v/>
      </c>
      <c r="D42">
        <f>COUNTIF('4. Performance Metrics'!R54:R68,"❌ Non-Compliant")</f>
        <v/>
      </c>
      <c r="E42">
        <f>COUNTIF('4. Performance Metrics'!R54:R68,"N/A")</f>
        <v/>
      </c>
      <c r="F42" t="inlineStr">
        <is>
          <t>15</t>
        </is>
      </c>
      <c r="G42">
        <f>IF(F42&gt;0,ROUND(B42/(F42-E42)*100,1)&amp;"%","N/A")</f>
        <v/>
      </c>
      <c r="H42">
        <f>IF(G42="N/A","N/A",IF(VALUE(LEFT(G42,LEN(G42)-1))&gt;=80,"✅ Good","⚠️ Needs Work"))</f>
        <v/>
      </c>
    </row>
    <row r="43" ht="25" customHeight="1">
      <c r="A43" s="18" t="inlineStr">
        <is>
          <t>5. SOC Readiness</t>
        </is>
      </c>
      <c r="B43">
        <f>COUNTIF('5. SOC Readiness'!Q49:Q73,"✅ Compliant")</f>
        <v/>
      </c>
      <c r="C43">
        <f>COUNTIF('5. SOC Readiness'!Q49:Q73,"⚠️ Partial")</f>
        <v/>
      </c>
      <c r="D43">
        <f>COUNTIF('5. SOC Readiness'!Q49:Q73,"❌ Non-Compliant")</f>
        <v/>
      </c>
      <c r="E43">
        <f>COUNTIF('5. SOC Readiness'!Q49:Q73,"N/A")</f>
        <v/>
      </c>
      <c r="F43" t="inlineStr">
        <is>
          <t>25</t>
        </is>
      </c>
      <c r="G43">
        <f>IF(F43&gt;0,ROUND(B43/(F43-E43)*100,1)&amp;"%","N/A")</f>
        <v/>
      </c>
      <c r="H43">
        <f>IF(G43="N/A","N/A",IF(VALUE(LEFT(G43,LEN(G43)-1))&gt;=80,"✅ Good","⚠️ Needs Work"))</f>
        <v/>
      </c>
    </row>
    <row r="45">
      <c r="A45" s="19" t="inlineStr">
        <is>
          <t>OVERALL TOTAL</t>
        </is>
      </c>
      <c r="B45" s="19">
        <f>SUM(B39:B43)</f>
        <v/>
      </c>
      <c r="C45" s="19">
        <f>SUM(C39:C43)</f>
        <v/>
      </c>
      <c r="D45" s="19">
        <f>SUM(D39:D43)</f>
        <v/>
      </c>
      <c r="E45" s="19">
        <f>SUM(E39:E43)</f>
        <v/>
      </c>
      <c r="F45" s="19">
        <f>SUM(F39:F43)</f>
        <v/>
      </c>
      <c r="G45" s="19">
        <f>IF(F45&gt;0,ROUND(B45/(F45-E45)*100,1)&amp;"%","N/A")</f>
        <v/>
      </c>
      <c r="H45" s="19">
        <f>IF(G45="N/A","N/A",IF(VALUE(LEFT(G45,LEN(G45)-1))&gt;=80,"✅ Good","⚠️ Needs Work"))</f>
        <v/>
      </c>
    </row>
    <row r="47">
      <c r="A47" s="3" t="inlineStr">
        <is>
          <t>CRITICAL ISSUES</t>
        </is>
      </c>
    </row>
    <row r="48">
      <c r="A48" s="10" t="inlineStr">
        <is>
          <t>Priority</t>
        </is>
      </c>
      <c r="B48" s="10" t="inlineStr">
        <is>
          <t>Issue</t>
        </is>
      </c>
      <c r="C48" s="13" t="n"/>
      <c r="D48" s="13" t="n"/>
      <c r="E48" s="13" t="n"/>
      <c r="F48" s="13" t="n"/>
      <c r="G48" s="13" t="n"/>
      <c r="H48" s="13" t="n"/>
      <c r="I48" s="13" t="n"/>
      <c r="J48" s="13" t="n"/>
      <c r="K48" s="13" t="n"/>
      <c r="L48" s="13" t="n"/>
      <c r="M48" s="13" t="n"/>
      <c r="N48" s="13" t="n"/>
    </row>
    <row r="49" ht="25" customHeight="1">
      <c r="A49" s="5" t="n"/>
      <c r="B49" s="5" t="n"/>
    </row>
    <row r="50" ht="25" customHeight="1">
      <c r="A50" s="5" t="n"/>
      <c r="B50" s="5" t="n"/>
    </row>
    <row r="51" ht="25" customHeight="1">
      <c r="A51" s="5" t="n"/>
      <c r="B51" s="5" t="n"/>
    </row>
    <row r="52" ht="25" customHeight="1">
      <c r="A52" s="5" t="n"/>
      <c r="B52" s="5" t="n"/>
    </row>
    <row r="53" ht="25" customHeight="1">
      <c r="A53" s="5" t="n"/>
      <c r="B53" s="5" t="n"/>
    </row>
    <row r="54" ht="25" customHeight="1">
      <c r="A54" s="5" t="n"/>
      <c r="B54" s="5" t="n"/>
    </row>
    <row r="55" ht="25" customHeight="1">
      <c r="A55" s="5" t="n"/>
      <c r="B55" s="5" t="n"/>
    </row>
    <row r="56" ht="25" customHeight="1">
      <c r="A56" s="5" t="n"/>
      <c r="B56" s="5" t="n"/>
    </row>
  </sheetData>
  <mergeCells count="119">
    <mergeCell ref="D56:J56"/>
    <mergeCell ref="C31:N31"/>
    <mergeCell ref="B53:D53"/>
    <mergeCell ref="D51:J51"/>
    <mergeCell ref="A5:F5"/>
    <mergeCell ref="A32:F32"/>
    <mergeCell ref="C23:N23"/>
    <mergeCell ref="F56:N56"/>
    <mergeCell ref="A37:N37"/>
    <mergeCell ref="B8:I8"/>
    <mergeCell ref="C7:N7"/>
    <mergeCell ref="F52:N52"/>
    <mergeCell ref="B17:I17"/>
    <mergeCell ref="D52:J52"/>
    <mergeCell ref="B10:I10"/>
    <mergeCell ref="A31:F31"/>
    <mergeCell ref="B19:I19"/>
    <mergeCell ref="C18:N18"/>
    <mergeCell ref="A15:F15"/>
    <mergeCell ref="B54:D54"/>
    <mergeCell ref="C34:N34"/>
    <mergeCell ref="B9:I9"/>
    <mergeCell ref="A24:F24"/>
    <mergeCell ref="F54:N54"/>
    <mergeCell ref="D53:J53"/>
    <mergeCell ref="E54:L54"/>
    <mergeCell ref="B56:D56"/>
    <mergeCell ref="B5:I5"/>
    <mergeCell ref="A7:F7"/>
    <mergeCell ref="A16:F16"/>
    <mergeCell ref="E56:L56"/>
    <mergeCell ref="A27:F27"/>
    <mergeCell ref="A18:F18"/>
    <mergeCell ref="B31:I31"/>
    <mergeCell ref="A1:N1"/>
    <mergeCell ref="A33:F33"/>
    <mergeCell ref="B14:I14"/>
    <mergeCell ref="B23:I23"/>
    <mergeCell ref="F48:N48"/>
    <mergeCell ref="C32:N32"/>
    <mergeCell ref="A9:F9"/>
    <mergeCell ref="E49:L49"/>
    <mergeCell ref="C51:G51"/>
    <mergeCell ref="A30:F30"/>
    <mergeCell ref="D49:J49"/>
    <mergeCell ref="C48:G48"/>
    <mergeCell ref="C24:N24"/>
    <mergeCell ref="B33:I33"/>
    <mergeCell ref="A4:N4"/>
    <mergeCell ref="C33:N33"/>
    <mergeCell ref="C26:N26"/>
    <mergeCell ref="B48:D48"/>
    <mergeCell ref="C49:G49"/>
    <mergeCell ref="C10:N10"/>
    <mergeCell ref="C16:N16"/>
    <mergeCell ref="B25:I25"/>
    <mergeCell ref="C25:N25"/>
    <mergeCell ref="F50:N50"/>
    <mergeCell ref="D55:J55"/>
    <mergeCell ref="C9:N9"/>
    <mergeCell ref="A26:F26"/>
    <mergeCell ref="B27:I27"/>
    <mergeCell ref="D54:J54"/>
    <mergeCell ref="E51:L51"/>
    <mergeCell ref="B49:D49"/>
    <mergeCell ref="C50:G50"/>
    <mergeCell ref="A8:F8"/>
    <mergeCell ref="A17:F17"/>
    <mergeCell ref="C55:G55"/>
    <mergeCell ref="B51:D51"/>
    <mergeCell ref="A10:F10"/>
    <mergeCell ref="A19:F19"/>
    <mergeCell ref="F49:N49"/>
    <mergeCell ref="A2:N2"/>
    <mergeCell ref="B50:D50"/>
    <mergeCell ref="A34:F34"/>
    <mergeCell ref="A47:N47"/>
    <mergeCell ref="C52:G52"/>
    <mergeCell ref="C30:N30"/>
    <mergeCell ref="C6:N6"/>
    <mergeCell ref="B15:I15"/>
    <mergeCell ref="C15:N15"/>
    <mergeCell ref="B24:I24"/>
    <mergeCell ref="A29:N29"/>
    <mergeCell ref="A13:N13"/>
    <mergeCell ref="B32:I32"/>
    <mergeCell ref="E53:L53"/>
    <mergeCell ref="F55:N55"/>
    <mergeCell ref="B26:I26"/>
    <mergeCell ref="E50:L50"/>
    <mergeCell ref="F51:N51"/>
    <mergeCell ref="B7:I7"/>
    <mergeCell ref="B16:I16"/>
    <mergeCell ref="E55:L55"/>
    <mergeCell ref="E52:L52"/>
    <mergeCell ref="B18:I18"/>
    <mergeCell ref="E48:L48"/>
    <mergeCell ref="D50:J50"/>
    <mergeCell ref="A14:F14"/>
    <mergeCell ref="C27:N27"/>
    <mergeCell ref="C54:G54"/>
    <mergeCell ref="A23:F23"/>
    <mergeCell ref="C8:N8"/>
    <mergeCell ref="C17:N17"/>
    <mergeCell ref="B55:D55"/>
    <mergeCell ref="C56:G56"/>
    <mergeCell ref="C19:N19"/>
    <mergeCell ref="B34:I34"/>
    <mergeCell ref="F53:N53"/>
    <mergeCell ref="B30:I30"/>
    <mergeCell ref="A22:N22"/>
    <mergeCell ref="D48:J48"/>
    <mergeCell ref="B6:I6"/>
    <mergeCell ref="C5:N5"/>
    <mergeCell ref="C14:N14"/>
    <mergeCell ref="A6:F6"/>
    <mergeCell ref="B52:D52"/>
    <mergeCell ref="C53:G53"/>
    <mergeCell ref="A25:F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2026-01-31T02:18:09Z</dcterms:created>
  <dcterms:modified xmlns:dcterms="http://purl.org/dc/terms/" xmlns:xsi="http://www.w3.org/2001/XMLSchema-instance" xsi:type="dcterms:W3CDTF">2026-01-31T02:18:09Z</dcterms:modified>
</cp:coreProperties>
</file>