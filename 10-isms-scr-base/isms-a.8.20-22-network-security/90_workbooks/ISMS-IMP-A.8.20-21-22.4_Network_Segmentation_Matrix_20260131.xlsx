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Security_Zones_Inventory" sheetId="2" state="visible" r:id="rId2"/>
    <sheet xmlns:r="http://schemas.openxmlformats.org/officeDocument/2006/relationships" name="Segmentation_Matrix" sheetId="3" state="visible" r:id="rId3"/>
    <sheet xmlns:r="http://schemas.openxmlformats.org/officeDocument/2006/relationships" name="VLAN_Inventory" sheetId="4" state="visible" r:id="rId4"/>
    <sheet xmlns:r="http://schemas.openxmlformats.org/officeDocument/2006/relationships" name="Firewall_Rules_Assessment" sheetId="5" state="visible" r:id="rId5"/>
    <sheet xmlns:r="http://schemas.openxmlformats.org/officeDocument/2006/relationships" name="ACL_Assessment" sheetId="6" state="visible" r:id="rId6"/>
    <sheet xmlns:r="http://schemas.openxmlformats.org/officeDocument/2006/relationships" name="Segmentation_Testing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Compliance_Summary" sheetId="9" state="visible" r:id="rId9"/>
    <sheet xmlns:r="http://schemas.openxmlformats.org/officeDocument/2006/relationships" name="Remediation_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center"/>
    </xf>
    <xf numFmtId="0" fontId="4" fillId="7" borderId="0" pivotButton="0" quotePrefix="0" xfId="0"/>
    <xf numFmtId="0" fontId="5" fillId="8" borderId="0" pivotButton="0" quotePrefix="0" xfId="0"/>
  </cellXfs>
  <cellStyles count="1">
    <cellStyle name="Normal" xfId="0" builtinId="0" hidden="0"/>
  </cellStyles>
  <dxfs count="8"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name val="Calibri"/>
        <b val="1"/>
        <color rgb="00FFFFFF"/>
        <sz val="10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Segmentation Test Results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'Compliance_Summary'!$A$18:$A$21</f>
            </numRef>
          </cat>
          <val>
            <numRef>
              <f>'Compliance_Summary'!$B$18:$B$21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ISMS-IMP-A.8.20-21-22.4  -  Network Segmentation Matrix &amp; Assessment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Segmentation Matrix &amp; Assessment</t>
        </is>
      </c>
    </row>
    <row r="5">
      <c r="A5" s="3" t="inlineStr">
        <is>
          <t>Generated:</t>
        </is>
      </c>
      <c r="B5" s="4" t="inlineStr">
        <is>
          <t>31.01.2026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A.8.22 (Segregation of Networks)</t>
        </is>
      </c>
    </row>
    <row r="8">
      <c r="A8" s="3" t="inlineStr">
        <is>
          <t>Purpose:</t>
        </is>
      </c>
      <c r="B8" s="4" t="inlineStr">
        <is>
          <t>Assess network segmentation architecture and effectiveness</t>
        </is>
      </c>
    </row>
    <row r="9">
      <c r="A9" s="3" t="inlineStr">
        <is>
          <t>Related IMP:</t>
        </is>
      </c>
      <c r="B9" s="4" t="inlineStr">
        <is>
          <t>ISMS-IMP-A.8.20-21-22-S5 (Segmentation Implementation)</t>
        </is>
      </c>
    </row>
    <row r="11">
      <c r="A11" s="2" t="inlineStr">
        <is>
          <t>Assessment Approach</t>
        </is>
      </c>
    </row>
    <row r="12" ht="25" customHeight="1">
      <c r="A12" s="4" t="inlineStr">
        <is>
          <t>1. ZONE IDENTIFICATION: Define all security zones (DMZ, Internal, Management, Guest, etc.)</t>
        </is>
      </c>
    </row>
    <row r="13" ht="25" customHeight="1">
      <c r="A13" s="4" t="inlineStr">
        <is>
          <t>2. TRUST BOUNDARIES: Map trust levels and security requirements per zone</t>
        </is>
      </c>
    </row>
    <row r="14" ht="25" customHeight="1">
      <c r="A14" s="4" t="inlineStr">
        <is>
          <t>3. SEGMENTATION MATRIX: Document zone-to-zone traffic rules (Allow/Deny/Inspect)</t>
        </is>
      </c>
    </row>
    <row r="15" ht="25" customHeight="1">
      <c r="A15" s="4" t="inlineStr">
        <is>
          <t>4. VLAN DESIGN: Verify VLAN numbering, naming, and zone assignment</t>
        </is>
      </c>
    </row>
    <row r="16" ht="25" customHeight="1">
      <c r="A16" s="4" t="inlineStr">
        <is>
          <t>5. FIREWALL RULES: Review firewall rules for zone separation</t>
        </is>
      </c>
    </row>
    <row r="17" ht="25" customHeight="1">
      <c r="A17" s="4" t="inlineStr">
        <is>
          <t>6. ACL ASSESSMENT: Verify router/switch ACLs enforce segmentation</t>
        </is>
      </c>
    </row>
    <row r="18" ht="25" customHeight="1">
      <c r="A18" s="4" t="inlineStr">
        <is>
          <t>7. EFFECTIVENESS TESTING: Test segmentation with traffic flow validation</t>
        </is>
      </c>
    </row>
    <row r="19" ht="25" customHeight="1">
      <c r="A19" s="4" t="inlineStr">
        <is>
          <t>8. GAP IDENTIFICATION: Identify flat networks, excessive trust, missing controls</t>
        </is>
      </c>
    </row>
    <row r="21">
      <c r="A21" s="2" t="inlineStr">
        <is>
          <t>Security Zone Design Principles</t>
        </is>
      </c>
    </row>
    <row r="22" ht="20" customHeight="1">
      <c r="A22" s="4" t="inlineStr">
        <is>
          <t>• DEFAULT DENY: Default policy is deny; only explicitly allowed traffic permitted</t>
        </is>
      </c>
    </row>
    <row r="23" ht="20" customHeight="1">
      <c r="A23" s="4" t="inlineStr">
        <is>
          <t>• LEAST PRIVILEGE: Only necessary traffic flows between zones</t>
        </is>
      </c>
    </row>
    <row r="24" ht="20" customHeight="1">
      <c r="A24" s="4" t="inlineStr">
        <is>
          <t>• TRUST BOUNDARIES: Clear separation between trust levels (untrusted → trusted)</t>
        </is>
      </c>
    </row>
    <row r="25" ht="20" customHeight="1">
      <c r="A25" s="4" t="inlineStr">
        <is>
          <t>• DEFENSE IN DEPTH: Multiple layers (firewalls, ACLs, VLANs)</t>
        </is>
      </c>
    </row>
    <row r="26" ht="20" customHeight="1">
      <c r="A26" s="4" t="inlineStr">
        <is>
          <t>• MICROSEGMENTATION: Further divide zones where appropriate (e.g., datacenter tiers)</t>
        </is>
      </c>
    </row>
    <row r="27" ht="20" customHeight="1">
      <c r="A27" s="4" t="inlineStr">
        <is>
          <t>• MONITORING: Log and monitor inter-zone traffic</t>
        </is>
      </c>
    </row>
    <row r="29">
      <c r="A29" s="2" t="inlineStr">
        <is>
          <t>Common Security Zones</t>
        </is>
      </c>
    </row>
    <row r="30">
      <c r="A30" s="3" t="inlineStr">
        <is>
          <t>Zone</t>
        </is>
      </c>
      <c r="B30" s="3" t="inlineStr">
        <is>
          <t>Purpose</t>
        </is>
      </c>
      <c r="C30" s="3" t="inlineStr">
        <is>
          <t>Trust Level</t>
        </is>
      </c>
    </row>
    <row r="31" ht="25" customHeight="1">
      <c r="A31" s="3" t="inlineStr">
        <is>
          <t>Internet/DMZ</t>
        </is>
      </c>
      <c r="B31" s="4" t="inlineStr">
        <is>
          <t>Public-facing services</t>
        </is>
      </c>
      <c r="C31" s="4" t="inlineStr">
        <is>
          <t>Untrusted</t>
        </is>
      </c>
    </row>
    <row r="32" ht="25" customHeight="1">
      <c r="A32" s="3" t="inlineStr">
        <is>
          <t>Internal</t>
        </is>
      </c>
      <c r="B32" s="4" t="inlineStr">
        <is>
          <t>User workstations and internal applications</t>
        </is>
      </c>
      <c r="C32" s="4" t="inlineStr">
        <is>
          <t>High Trust</t>
        </is>
      </c>
    </row>
    <row r="33" ht="25" customHeight="1">
      <c r="A33" s="3" t="inlineStr">
        <is>
          <t>Management</t>
        </is>
      </c>
      <c r="B33" s="4" t="inlineStr">
        <is>
          <t>Network device management</t>
        </is>
      </c>
      <c r="C33" s="4" t="inlineStr">
        <is>
          <t>Trusted</t>
        </is>
      </c>
    </row>
    <row r="34" ht="25" customHeight="1">
      <c r="A34" s="3" t="inlineStr">
        <is>
          <t>Datacenter/Server</t>
        </is>
      </c>
      <c r="B34" s="4" t="inlineStr">
        <is>
          <t>Application and database servers</t>
        </is>
      </c>
      <c r="C34" s="4" t="inlineStr">
        <is>
          <t>Medium Trust</t>
        </is>
      </c>
    </row>
    <row r="35" ht="25" customHeight="1">
      <c r="A35" s="3" t="inlineStr">
        <is>
          <t>Guest</t>
        </is>
      </c>
      <c r="B35" s="4" t="inlineStr">
        <is>
          <t>Guest Wi-Fi and temporary access</t>
        </is>
      </c>
      <c r="C35" s="4" t="inlineStr">
        <is>
          <t>Untrusted</t>
        </is>
      </c>
    </row>
    <row r="36" ht="25" customHeight="1">
      <c r="A36" s="3" t="inlineStr">
        <is>
          <t>Branch/Remote</t>
        </is>
      </c>
      <c r="B36" s="4" t="inlineStr">
        <is>
          <t>Branch office networks</t>
        </is>
      </c>
      <c r="C36" s="4" t="inlineStr">
        <is>
          <t>Medium Trust</t>
        </is>
      </c>
    </row>
    <row r="37" ht="25" customHeight="1">
      <c r="A37" s="3" t="inlineStr">
        <is>
          <t>Cloud</t>
        </is>
      </c>
      <c r="B37" s="4" t="inlineStr">
        <is>
          <t>Cloud-hosted resources (AWS, Azure, GCP)</t>
        </is>
      </c>
      <c r="C37" s="4" t="inlineStr">
        <is>
          <t>Low Trust</t>
        </is>
      </c>
    </row>
    <row r="38" ht="25" customHeight="1">
      <c r="A38" s="3" t="inlineStr">
        <is>
          <t>OT/ICS</t>
        </is>
      </c>
      <c r="B38" s="4" t="inlineStr">
        <is>
          <t>Operational Technology / Industrial Control Systems</t>
        </is>
      </c>
      <c r="C38" s="4" t="inlineStr">
        <is>
          <t>High Trust</t>
        </is>
      </c>
    </row>
    <row r="40">
      <c r="A40" s="2" t="inlineStr">
        <is>
          <t>⚠ IMPORTANT ASSESSMENT NOTES</t>
        </is>
      </c>
    </row>
    <row r="41" ht="20" customHeight="1">
      <c r="A41" s="4" t="inlineStr">
        <is>
          <t>• Segmentation Matrix is the core assessment - defines allowed traffic between zones</t>
        </is>
      </c>
    </row>
    <row r="42" ht="20" customHeight="1">
      <c r="A42" s="4" t="inlineStr">
        <is>
          <t>• Test effectiveness: Verify traffic denied when it should be (no bypass routes)</t>
        </is>
      </c>
    </row>
    <row r="43" ht="20" customHeight="1">
      <c r="A43" s="4" t="inlineStr">
        <is>
          <t>• Identify flat networks: Any networks without segmentation are critical gaps</t>
        </is>
      </c>
    </row>
    <row r="44" ht="20" customHeight="1">
      <c r="A44" s="4" t="inlineStr">
        <is>
          <t>• Review firewall rules regularly: Outdated rules create security holes</t>
        </is>
      </c>
    </row>
    <row r="45" ht="20" customHeight="1">
      <c r="A45" s="4" t="inlineStr">
        <is>
          <t>• Document exceptions: Any deviations from default deny must be justified</t>
        </is>
      </c>
    </row>
  </sheetData>
  <mergeCells count="25">
    <mergeCell ref="A15:H15"/>
    <mergeCell ref="A24:H24"/>
    <mergeCell ref="A11:H11"/>
    <mergeCell ref="A1:H1"/>
    <mergeCell ref="A45:H45"/>
    <mergeCell ref="A25:H25"/>
    <mergeCell ref="A16:H16"/>
    <mergeCell ref="A41:H41"/>
    <mergeCell ref="A27:H27"/>
    <mergeCell ref="A3:B3"/>
    <mergeCell ref="A12:H12"/>
    <mergeCell ref="A18:H18"/>
    <mergeCell ref="A26:H26"/>
    <mergeCell ref="A21:H21"/>
    <mergeCell ref="A42:H42"/>
    <mergeCell ref="A14:H14"/>
    <mergeCell ref="A23:H23"/>
    <mergeCell ref="A22:H22"/>
    <mergeCell ref="A17:H17"/>
    <mergeCell ref="A29:H29"/>
    <mergeCell ref="A43:H43"/>
    <mergeCell ref="A13:H13"/>
    <mergeCell ref="A19:H19"/>
    <mergeCell ref="A44:H4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25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20" customWidth="1" min="11" max="11"/>
    <col width="40" customWidth="1" min="12" max="12"/>
  </cols>
  <sheetData>
    <row r="1" ht="25" customHeight="1">
      <c r="A1" s="1" t="inlineStr">
        <is>
          <t>Security Zones Inventory - Generated 31.01.2026</t>
        </is>
      </c>
    </row>
    <row r="2" ht="30" customHeight="1">
      <c r="A2" s="4" t="inlineStr">
        <is>
          <t>📋 Define all security zones in the network. This is the foundation for the segmentation matrix.</t>
        </is>
      </c>
    </row>
    <row r="3">
      <c r="A3" s="3" t="inlineStr">
        <is>
          <t>Zone ID</t>
        </is>
      </c>
      <c r="B3" s="3" t="inlineStr">
        <is>
          <t>Zone Name</t>
        </is>
      </c>
      <c r="C3" s="3" t="inlineStr">
        <is>
          <t>Purpose</t>
        </is>
      </c>
      <c r="D3" s="3" t="inlineStr">
        <is>
          <t>Trust Level</t>
        </is>
      </c>
      <c r="E3" s="3" t="inlineStr">
        <is>
          <t>Networks/Subnets</t>
        </is>
      </c>
      <c r="F3" s="3" t="inlineStr">
        <is>
          <t>VLANs</t>
        </is>
      </c>
      <c r="G3" s="3" t="inlineStr">
        <is>
          <t>Segmentation Type</t>
        </is>
      </c>
      <c r="H3" s="3" t="inlineStr">
        <is>
          <t>Devices Count</t>
        </is>
      </c>
      <c r="I3" s="3" t="inlineStr">
        <is>
          <t>Critical Assets</t>
        </is>
      </c>
      <c r="J3" s="3" t="inlineStr">
        <is>
          <t>Internet Access</t>
        </is>
      </c>
      <c r="K3" s="3" t="inlineStr">
        <is>
          <t>Owner</t>
        </is>
      </c>
      <c r="L3" s="3" t="inlineStr">
        <is>
          <t>Notes</t>
        </is>
      </c>
    </row>
    <row r="4">
      <c r="A4">
        <f>IF(B4&lt;&gt;"","ZONE-" &amp; TEXT(1,"00"),"")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>
        <f>IF(B5&lt;&gt;"","ZONE-" &amp; TEXT(2,"00"),"")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>
        <f>IF(B6&lt;&gt;"","ZONE-" &amp; TEXT(3,"00"),"")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>
        <f>IF(B7&lt;&gt;"","ZONE-" &amp; TEXT(4,"00"),"")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>
        <f>IF(B8&lt;&gt;"","ZONE-" &amp; TEXT(5,"00"),"")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>
        <f>IF(B9&lt;&gt;"","ZONE-" &amp; TEXT(6,"00"),"")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>
        <f>IF(B10&lt;&gt;"","ZONE-" &amp; TEXT(7,"00"),"")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>
        <f>IF(B11&lt;&gt;"","ZONE-" &amp; TEXT(8,"00"),"")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>
        <f>IF(B12&lt;&gt;"","ZONE-" &amp; TEXT(9,"00"),"")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>
        <f>IF(B13&lt;&gt;"","ZONE-" &amp; TEXT(10,"00"),"")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>
        <f>IF(B14&lt;&gt;"","ZONE-" &amp; TEXT(11,"00"),"")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>
        <f>IF(B15&lt;&gt;"","ZONE-" &amp; TEXT(12,"00"),"")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>
        <f>IF(B16&lt;&gt;"","ZONE-" &amp; TEXT(13,"00"),"")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>
        <f>IF(B17&lt;&gt;"","ZONE-" &amp; TEXT(14,"00"),"")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>
        <f>IF(B18&lt;&gt;"","ZONE-" &amp; TEXT(15,"00"),"")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>
        <f>IF(B19&lt;&gt;"","ZONE-" &amp; TEXT(16,"00"),"")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>
        <f>IF(B20&lt;&gt;"","ZONE-" &amp; TEXT(17,"00"),"")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>
        <f>IF(B21&lt;&gt;"","ZONE-" &amp; TEXT(18,"00"),"")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>
        <f>IF(B22&lt;&gt;"","ZONE-" &amp; TEXT(19,"00"),"")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>
        <f>IF(B23&lt;&gt;"","ZONE-" &amp; TEXT(20,"00"),"")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>
        <f>IF(B24&lt;&gt;"","ZONE-" &amp; TEXT(21,"00"),"")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>
        <f>IF(B25&lt;&gt;"","ZONE-" &amp; TEXT(22,"00"),"")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>
        <f>IF(B26&lt;&gt;"","ZONE-" &amp; TEXT(23,"00"),"")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>
        <f>IF(B27&lt;&gt;"","ZONE-" &amp; TEXT(24,"00"),"")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>
        <f>IF(B28&lt;&gt;"","ZONE-" &amp; TEXT(25,"00"),"")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>
        <f>IF(B29&lt;&gt;"","ZONE-" &amp; TEXT(26,"00"),"")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>
        <f>IF(B30&lt;&gt;"","ZONE-" &amp; TEXT(27,"00"),"")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>
        <f>IF(B31&lt;&gt;"","ZONE-" &amp; TEXT(28,"00"),"")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>
        <f>IF(B32&lt;&gt;"","ZONE-" &amp; TEXT(29,"00"),"")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>
        <f>IF(B33&lt;&gt;"","ZONE-" &amp; TEXT(30,"00"),"")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>
        <f>IF(B34&lt;&gt;"","ZONE-" &amp; TEXT(31,"00"),"")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>
        <f>IF(B35&lt;&gt;"","ZONE-" &amp; TEXT(32,"00"),"")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>
        <f>IF(B36&lt;&gt;"","ZONE-" &amp; TEXT(33,"00"),"")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>
        <f>IF(B37&lt;&gt;"","ZONE-" &amp; TEXT(34,"00"),"")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>
        <f>IF(B38&lt;&gt;"","ZONE-" &amp; TEXT(35,"00"),"")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>
        <f>IF(B39&lt;&gt;"","ZONE-" &amp; TEXT(36,"00"),"")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>
        <f>IF(B40&lt;&gt;"","ZONE-" &amp; TEXT(37,"00"),"")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>
        <f>IF(B41&lt;&gt;"","ZONE-" &amp; TEXT(38,"00"),"")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>
        <f>IF(B42&lt;&gt;"","ZONE-" &amp; TEXT(39,"00"),"")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>
        <f>IF(B43&lt;&gt;"","ZONE-" &amp; TEXT(40,"00"),"")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>
        <f>IF(B44&lt;&gt;"","ZONE-" &amp; TEXT(41,"00"),"")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>
        <f>IF(B45&lt;&gt;"","ZONE-" &amp; TEXT(42,"00"),"")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>
        <f>IF(B46&lt;&gt;"","ZONE-" &amp; TEXT(43,"00"),"")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>
        <f>IF(B47&lt;&gt;"","ZONE-" &amp; TEXT(44,"00"),"")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>
        <f>IF(B48&lt;&gt;"","ZONE-" &amp; TEXT(45,"00"),"")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>
        <f>IF(B49&lt;&gt;"","ZONE-" &amp; TEXT(46,"00"),"")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>
        <f>IF(B50&lt;&gt;"","ZONE-" &amp; TEXT(47,"00"),"")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>
        <f>IF(B51&lt;&gt;"","ZONE-" &amp; TEXT(48,"00"),"")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>
        <f>IF(B52&lt;&gt;"","ZONE-" &amp; TEXT(49,"00"),"")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>
        <f>IF(B53&lt;&gt;"","ZONE-" &amp; TEXT(50,"00"),"")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</sheetData>
  <mergeCells count="2">
    <mergeCell ref="A2:L2"/>
    <mergeCell ref="A1:L1"/>
  </mergeCells>
  <dataValidations count="2">
    <dataValidation sqref="D4:D53" showDropDown="0" showInputMessage="0" showErrorMessage="0" allowBlank="0" type="list">
      <formula1>"Untrusted,Low Trust,Medium Trust,High Trust,Trusted"</formula1>
    </dataValidation>
    <dataValidation sqref="G4:G53" showDropDown="0" showInputMessage="0" showErrorMessage="0" allowBlank="1" type="list">
      <formula1>"VLAN,Physical,VRF,Virtual Network,Cloud Security Group"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5" customWidth="1" min="5" max="5"/>
    <col width="40" customWidth="1" min="6" max="6"/>
    <col width="15" customWidth="1" min="7" max="7"/>
    <col width="15" customWidth="1" min="8" max="8"/>
    <col width="12" customWidth="1" min="9" max="9"/>
    <col width="12" customWidth="1" min="10" max="10"/>
    <col width="40" customWidth="1" min="11" max="11"/>
  </cols>
  <sheetData>
    <row r="1" ht="25" customHeight="1">
      <c r="A1" s="1" t="inlineStr">
        <is>
          <t>Network Segmentation Matrix - Zone-to-Zone Traffic Rules</t>
        </is>
      </c>
    </row>
    <row r="2" ht="30" customHeight="1">
      <c r="A2" s="4" t="inlineStr">
        <is>
          <t>📋 Define allowed/denied traffic between security zones. This is the CORE segmentation assessment.</t>
        </is>
      </c>
    </row>
    <row r="3">
      <c r="A3" s="4" t="inlineStr">
        <is>
          <t>💡 FORMAT: Each row defines traffic flow from Source Zone → Destination Zone. Action: Allow/Deny/Inspect.</t>
        </is>
      </c>
    </row>
    <row r="4">
      <c r="A4" s="3" t="inlineStr">
        <is>
          <t>Rule ID</t>
        </is>
      </c>
      <c r="B4" s="3" t="inlineStr">
        <is>
          <t>Source Zone</t>
        </is>
      </c>
      <c r="C4" s="3" t="inlineStr">
        <is>
          <t>Destination Zone</t>
        </is>
      </c>
      <c r="D4" s="3" t="inlineStr">
        <is>
          <t>Traffic Action</t>
        </is>
      </c>
      <c r="E4" s="3" t="inlineStr">
        <is>
          <t>Protocols/Ports</t>
        </is>
      </c>
      <c r="F4" s="3" t="inlineStr">
        <is>
          <t>Justification</t>
        </is>
      </c>
      <c r="G4" s="3" t="inlineStr">
        <is>
          <t>Firewall Enforced</t>
        </is>
      </c>
      <c r="H4" s="3" t="inlineStr">
        <is>
          <t>ACL Enforced</t>
        </is>
      </c>
      <c r="I4" s="3" t="inlineStr">
        <is>
          <t>Monitoring</t>
        </is>
      </c>
      <c r="J4" s="3" t="inlineStr">
        <is>
          <t>Last Reviewed</t>
        </is>
      </c>
      <c r="K4" s="3" t="inlineStr">
        <is>
          <t>Notes</t>
        </is>
      </c>
    </row>
    <row r="5">
      <c r="A5">
        <f>IF(B5&lt;&gt;"","SEG-" &amp; TEXT(1,"000"),"")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>
        <f>IF(B6&lt;&gt;"","SEG-" &amp; TEXT(2,"000"),"")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>
        <f>IF(B7&lt;&gt;"","SEG-" &amp; TEXT(3,"000"),"")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>
        <f>IF(B8&lt;&gt;"","SEG-" &amp; TEXT(4,"000"),"")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>
        <f>IF(B9&lt;&gt;"","SEG-" &amp; TEXT(5,"000"),"")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>
        <f>IF(B10&lt;&gt;"","SEG-" &amp; TEXT(6,"000"),"")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>
        <f>IF(B11&lt;&gt;"","SEG-" &amp; TEXT(7,"000"),"")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>
        <f>IF(B12&lt;&gt;"","SEG-" &amp; TEXT(8,"000"),"")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>
        <f>IF(B13&lt;&gt;"","SEG-" &amp; TEXT(9,"000"),"")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>
        <f>IF(B14&lt;&gt;"","SEG-" &amp; TEXT(10,"000"),"")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>
        <f>IF(B15&lt;&gt;"","SEG-" &amp; TEXT(11,"000"),"")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>
        <f>IF(B16&lt;&gt;"","SEG-" &amp; TEXT(12,"000"),"")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>
        <f>IF(B17&lt;&gt;"","SEG-" &amp; TEXT(13,"000"),"")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>
        <f>IF(B18&lt;&gt;"","SEG-" &amp; TEXT(14,"000"),"")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>
        <f>IF(B19&lt;&gt;"","SEG-" &amp; TEXT(15,"000"),"")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>
        <f>IF(B20&lt;&gt;"","SEG-" &amp; TEXT(16,"000"),"")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>
        <f>IF(B21&lt;&gt;"","SEG-" &amp; TEXT(17,"000"),"")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>
        <f>IF(B22&lt;&gt;"","SEG-" &amp; TEXT(18,"000"),"")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>
        <f>IF(B23&lt;&gt;"","SEG-" &amp; TEXT(19,"000"),"")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>
        <f>IF(B24&lt;&gt;"","SEG-" &amp; TEXT(20,"000"),"")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>
        <f>IF(B25&lt;&gt;"","SEG-" &amp; TEXT(21,"000"),"")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>
        <f>IF(B26&lt;&gt;"","SEG-" &amp; TEXT(22,"000"),"")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>
        <f>IF(B27&lt;&gt;"","SEG-" &amp; TEXT(23,"000"),"")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>
        <f>IF(B28&lt;&gt;"","SEG-" &amp; TEXT(24,"000"),"")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>
        <f>IF(B29&lt;&gt;"","SEG-" &amp; TEXT(25,"000"),"")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>
        <f>IF(B30&lt;&gt;"","SEG-" &amp; TEXT(26,"000"),"")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>
        <f>IF(B31&lt;&gt;"","SEG-" &amp; TEXT(27,"000"),"")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>
        <f>IF(B32&lt;&gt;"","SEG-" &amp; TEXT(28,"000"),"")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>
        <f>IF(B33&lt;&gt;"","SEG-" &amp; TEXT(29,"000"),"")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>
        <f>IF(B34&lt;&gt;"","SEG-" &amp; TEXT(30,"000"),"")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>
        <f>IF(B35&lt;&gt;"","SEG-" &amp; TEXT(31,"000"),"")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>
        <f>IF(B36&lt;&gt;"","SEG-" &amp; TEXT(32,"000"),"")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>
        <f>IF(B37&lt;&gt;"","SEG-" &amp; TEXT(33,"000"),"")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>
        <f>IF(B38&lt;&gt;"","SEG-" &amp; TEXT(34,"000"),"")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>
        <f>IF(B39&lt;&gt;"","SEG-" &amp; TEXT(35,"000"),"")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>
        <f>IF(B40&lt;&gt;"","SEG-" &amp; TEXT(36,"000"),"")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>
        <f>IF(B41&lt;&gt;"","SEG-" &amp; TEXT(37,"000"),"")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>
        <f>IF(B42&lt;&gt;"","SEG-" &amp; TEXT(38,"000"),"")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>
        <f>IF(B43&lt;&gt;"","SEG-" &amp; TEXT(39,"000"),"")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>
        <f>IF(B44&lt;&gt;"","SEG-" &amp; TEXT(40,"000"),"")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>
        <f>IF(B45&lt;&gt;"","SEG-" &amp; TEXT(41,"000"),"")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>
        <f>IF(B46&lt;&gt;"","SEG-" &amp; TEXT(42,"000"),"")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>
        <f>IF(B47&lt;&gt;"","SEG-" &amp; TEXT(43,"000"),"")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>
        <f>IF(B48&lt;&gt;"","SEG-" &amp; TEXT(44,"000"),"")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>
        <f>IF(B49&lt;&gt;"","SEG-" &amp; TEXT(45,"000"),"")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>
        <f>IF(B50&lt;&gt;"","SEG-" &amp; TEXT(46,"000"),"")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>
        <f>IF(B51&lt;&gt;"","SEG-" &amp; TEXT(47,"000"),"")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>
        <f>IF(B52&lt;&gt;"","SEG-" &amp; TEXT(48,"000"),"")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>
        <f>IF(B53&lt;&gt;"","SEG-" &amp; TEXT(49,"000"),"")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>
        <f>IF(B54&lt;&gt;"","SEG-" &amp; TEXT(50,"000"),"")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6">
      <c r="A56" s="2" t="inlineStr">
        <is>
          <t>Common Segmentation Matrix Examples</t>
        </is>
      </c>
    </row>
    <row r="57">
      <c r="A57" s="3" t="inlineStr">
        <is>
          <t>Source</t>
        </is>
      </c>
      <c r="B57" s="3" t="inlineStr">
        <is>
          <t>Destination</t>
        </is>
      </c>
      <c r="C57" s="3" t="inlineStr">
        <is>
          <t>Action</t>
        </is>
      </c>
      <c r="D57" s="3" t="inlineStr">
        <is>
          <t>Justification</t>
        </is>
      </c>
    </row>
    <row r="58" ht="25" customHeight="1">
      <c r="A58" s="4" t="inlineStr">
        <is>
          <t>Internet/DMZ</t>
        </is>
      </c>
      <c r="B58" s="4" t="inlineStr">
        <is>
          <t>Internal</t>
        </is>
      </c>
      <c r="C58" s="6" t="inlineStr">
        <is>
          <t>Deny</t>
        </is>
      </c>
      <c r="D58" s="4" t="inlineStr">
        <is>
          <t>External users cannot access internal network</t>
        </is>
      </c>
    </row>
    <row r="59" ht="25" customHeight="1">
      <c r="A59" s="4" t="inlineStr">
        <is>
          <t>Internal</t>
        </is>
      </c>
      <c r="B59" s="4" t="inlineStr">
        <is>
          <t>Internet/DMZ</t>
        </is>
      </c>
      <c r="C59" s="7" t="inlineStr">
        <is>
          <t>Allow</t>
        </is>
      </c>
      <c r="D59" s="4" t="inlineStr">
        <is>
          <t>Internal users can access public services</t>
        </is>
      </c>
    </row>
    <row r="60" ht="25" customHeight="1">
      <c r="A60" s="4" t="inlineStr">
        <is>
          <t>Internal</t>
        </is>
      </c>
      <c r="B60" s="4" t="inlineStr">
        <is>
          <t>Datacenter</t>
        </is>
      </c>
      <c r="C60" s="7" t="inlineStr">
        <is>
          <t>Allow</t>
        </is>
      </c>
      <c r="D60" s="4" t="inlineStr">
        <is>
          <t>Users need access to application servers</t>
        </is>
      </c>
    </row>
    <row r="61" ht="25" customHeight="1">
      <c r="A61" s="4" t="inlineStr">
        <is>
          <t>Guest</t>
        </is>
      </c>
      <c r="B61" s="4" t="inlineStr">
        <is>
          <t>Internal</t>
        </is>
      </c>
      <c r="C61" s="6" t="inlineStr">
        <is>
          <t>Deny</t>
        </is>
      </c>
      <c r="D61" s="4" t="inlineStr">
        <is>
          <t>Guest Wi-Fi isolated from corporate network</t>
        </is>
      </c>
    </row>
    <row r="62" ht="25" customHeight="1">
      <c r="A62" s="4" t="inlineStr">
        <is>
          <t>Guest</t>
        </is>
      </c>
      <c r="B62" s="4" t="inlineStr">
        <is>
          <t>Internet</t>
        </is>
      </c>
      <c r="C62" s="7" t="inlineStr">
        <is>
          <t>Allow</t>
        </is>
      </c>
      <c r="D62" s="4" t="inlineStr">
        <is>
          <t>Guest users can access internet only</t>
        </is>
      </c>
    </row>
    <row r="63" ht="25" customHeight="1">
      <c r="A63" s="4" t="inlineStr">
        <is>
          <t>Management</t>
        </is>
      </c>
      <c r="B63" s="4" t="inlineStr">
        <is>
          <t>All Zones</t>
        </is>
      </c>
      <c r="C63" s="7" t="inlineStr">
        <is>
          <t>Allow</t>
        </is>
      </c>
      <c r="D63" s="4" t="inlineStr">
        <is>
          <t>Management needs access to all devices</t>
        </is>
      </c>
    </row>
    <row r="64" ht="25" customHeight="1">
      <c r="A64" s="4" t="inlineStr">
        <is>
          <t>All Zones</t>
        </is>
      </c>
      <c r="B64" s="4" t="inlineStr">
        <is>
          <t>Management</t>
        </is>
      </c>
      <c r="C64" s="6" t="inlineStr">
        <is>
          <t>Deny</t>
        </is>
      </c>
      <c r="D64" s="4" t="inlineStr">
        <is>
          <t>Management zone is protected</t>
        </is>
      </c>
    </row>
  </sheetData>
  <mergeCells count="4">
    <mergeCell ref="A2:K2"/>
    <mergeCell ref="A1:K1"/>
    <mergeCell ref="A56:K56"/>
    <mergeCell ref="A3:K3"/>
  </mergeCells>
  <conditionalFormatting sqref="D5:D54">
    <cfRule type="cellIs" priority="1" operator="equal" dxfId="0">
      <formula>"Allow"</formula>
    </cfRule>
    <cfRule type="cellIs" priority="2" operator="equal" dxfId="1">
      <formula>"Deny"</formula>
    </cfRule>
  </conditionalFormatting>
  <dataValidations count="1">
    <dataValidation sqref="D5:D54" showDropDown="0" showInputMessage="0" showErrorMessage="0" allowBlank="0" type="list">
      <formula1>"Allow,Deny,Inspect"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  <col width="35" customWidth="1" min="5" max="5"/>
    <col width="20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1" ht="25" customHeight="1">
      <c r="A1" s="1" t="inlineStr">
        <is>
          <t>VLAN Inventory &amp; Design Assessment</t>
        </is>
      </c>
    </row>
    <row r="2">
      <c r="A2" s="4" t="inlineStr">
        <is>
          <t>📋 Document all VLANs. Verify VLAN numbering, naming standards, and zone assignment.</t>
        </is>
      </c>
    </row>
    <row r="3">
      <c r="A3" s="3" t="inlineStr">
        <is>
          <t>VLAN ID</t>
        </is>
      </c>
      <c r="B3" s="3" t="inlineStr">
        <is>
          <t>VLAN Name</t>
        </is>
      </c>
      <c r="C3" s="3" t="inlineStr">
        <is>
          <t>Security Zone</t>
        </is>
      </c>
      <c r="D3" s="3" t="inlineStr">
        <is>
          <t>IP Subnet</t>
        </is>
      </c>
      <c r="E3" s="3" t="inlineStr">
        <is>
          <t>Purpose</t>
        </is>
      </c>
      <c r="F3" s="3" t="inlineStr">
        <is>
          <t>Devices/Ports</t>
        </is>
      </c>
      <c r="G3" s="3" t="inlineStr">
        <is>
          <t>Trunk Allowed</t>
        </is>
      </c>
      <c r="H3" s="3" t="inlineStr">
        <is>
          <t>Native VLAN</t>
        </is>
      </c>
      <c r="I3" s="3" t="inlineStr">
        <is>
          <t>Last Reviewed</t>
        </is>
      </c>
      <c r="J3" s="3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5">
      <c r="A105" s="2" t="inlineStr">
        <is>
          <t>VLAN Design Best Practices (per IMP-S5)</t>
        </is>
      </c>
    </row>
    <row r="106" ht="20" customHeight="1">
      <c r="A106" s="4" t="inlineStr">
        <is>
          <t>• VLAN NUMBERING: Consistent scheme (e.g., 10-99 for users, 100-199 for servers, 200-299 for management)</t>
        </is>
      </c>
    </row>
    <row r="107" ht="20" customHeight="1">
      <c r="A107" s="4" t="inlineStr">
        <is>
          <t>• VLAN NAMING: Descriptive names (e.g., VLAN-10-USERS-FLOOR1, VLAN-100-SERVERS-WEB)</t>
        </is>
      </c>
    </row>
    <row r="108" ht="20" customHeight="1">
      <c r="A108" s="4" t="inlineStr">
        <is>
          <t>• NATIVE VLAN: Change from default VLAN 1, use dedicated unused VLAN</t>
        </is>
      </c>
    </row>
    <row r="109" ht="20" customHeight="1">
      <c r="A109" s="4" t="inlineStr">
        <is>
          <t>• VLAN PRUNING: Only allow necessary VLANs on trunks</t>
        </is>
      </c>
    </row>
    <row r="110" ht="20" customHeight="1">
      <c r="A110" s="4" t="inlineStr">
        <is>
          <t>• ONE VLAN PER ZONE: Each security zone maps to dedicated VLANs</t>
        </is>
      </c>
    </row>
    <row r="111" ht="20" customHeight="1">
      <c r="A111" s="4" t="inlineStr">
        <is>
          <t>• DOCUMENTATION: Maintain VLAN database with assignments and purpose</t>
        </is>
      </c>
    </row>
  </sheetData>
  <mergeCells count="9">
    <mergeCell ref="A107:J107"/>
    <mergeCell ref="A1:J1"/>
    <mergeCell ref="A111:J111"/>
    <mergeCell ref="A110:J110"/>
    <mergeCell ref="A106:J106"/>
    <mergeCell ref="A105:J105"/>
    <mergeCell ref="A109:J109"/>
    <mergeCell ref="A2:J2"/>
    <mergeCell ref="A108:J1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8" customWidth="1" min="4" max="4"/>
    <col width="18" customWidth="1" min="5" max="5"/>
    <col width="20" customWidth="1" min="6" max="6"/>
    <col width="20" customWidth="1" min="7" max="7"/>
    <col width="18" customWidth="1" min="8" max="8"/>
    <col width="12" customWidth="1" min="9" max="9"/>
    <col width="15" customWidth="1" min="10" max="10"/>
    <col width="12" customWidth="1" min="11" max="11"/>
    <col width="15" customWidth="1" min="12" max="12"/>
    <col width="40" customWidth="1" min="13" max="13"/>
  </cols>
  <sheetData>
    <row r="1" ht="25" customHeight="1">
      <c r="A1" s="1" t="inlineStr">
        <is>
          <t>Firewall Rules Assessment</t>
        </is>
      </c>
    </row>
    <row r="2">
      <c r="A2" s="4" t="inlineStr">
        <is>
          <t>📋 Review firewall rules that enforce zone segmentation. Focus on inter-zone traffic controls.</t>
        </is>
      </c>
    </row>
    <row r="3">
      <c r="A3" s="3" t="inlineStr">
        <is>
          <t>Rule ID</t>
        </is>
      </c>
      <c r="B3" s="3" t="inlineStr">
        <is>
          <t>Firewall</t>
        </is>
      </c>
      <c r="C3" s="3" t="inlineStr">
        <is>
          <t>Rule Number</t>
        </is>
      </c>
      <c r="D3" s="3" t="inlineStr">
        <is>
          <t>Source Zone</t>
        </is>
      </c>
      <c r="E3" s="3" t="inlineStr">
        <is>
          <t>Destination Zone</t>
        </is>
      </c>
      <c r="F3" s="3" t="inlineStr">
        <is>
          <t>Source IP/Network</t>
        </is>
      </c>
      <c r="G3" s="3" t="inlineStr">
        <is>
          <t>Destination IP/Network</t>
        </is>
      </c>
      <c r="H3" s="3" t="inlineStr">
        <is>
          <t>Service/Port</t>
        </is>
      </c>
      <c r="I3" s="3" t="inlineStr">
        <is>
          <t>Action</t>
        </is>
      </c>
      <c r="J3" s="3" t="inlineStr">
        <is>
          <t>Review Status</t>
        </is>
      </c>
      <c r="K3" s="3" t="inlineStr">
        <is>
          <t>Last Modified</t>
        </is>
      </c>
      <c r="L3" s="3" t="inlineStr">
        <is>
          <t>Reviewed By</t>
        </is>
      </c>
      <c r="M3" s="3" t="inlineStr">
        <is>
          <t>Notes</t>
        </is>
      </c>
    </row>
    <row r="4">
      <c r="A4">
        <f>IF(B4&lt;&gt;"","FW-RULE-" &amp; TEXT(1,"000"),"")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>
        <f>IF(B5&lt;&gt;"","FW-RULE-" &amp; TEXT(2,"000"),"")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>
        <f>IF(B6&lt;&gt;"","FW-RULE-" &amp; TEXT(3,"000"),"")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>
        <f>IF(B7&lt;&gt;"","FW-RULE-" &amp; TEXT(4,"000"),"")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>
        <f>IF(B8&lt;&gt;"","FW-RULE-" &amp; TEXT(5,"000"),"")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>
        <f>IF(B9&lt;&gt;"","FW-RULE-" &amp; TEXT(6,"000"),"")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>
        <f>IF(B10&lt;&gt;"","FW-RULE-" &amp; TEXT(7,"000"),"")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>
        <f>IF(B11&lt;&gt;"","FW-RULE-" &amp; TEXT(8,"000"),"")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>
        <f>IF(B12&lt;&gt;"","FW-RULE-" &amp; TEXT(9,"000"),"")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>
        <f>IF(B13&lt;&gt;"","FW-RULE-" &amp; TEXT(10,"000"),"")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>
        <f>IF(B14&lt;&gt;"","FW-RULE-" &amp; TEXT(11,"000"),"")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>
        <f>IF(B15&lt;&gt;"","FW-RULE-" &amp; TEXT(12,"000"),"")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>
        <f>IF(B16&lt;&gt;"","FW-RULE-" &amp; TEXT(13,"000"),"")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>
        <f>IF(B17&lt;&gt;"","FW-RULE-" &amp; TEXT(14,"000"),"")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>
        <f>IF(B18&lt;&gt;"","FW-RULE-" &amp; TEXT(15,"000"),"")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>
        <f>IF(B19&lt;&gt;"","FW-RULE-" &amp; TEXT(16,"000"),"")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>
        <f>IF(B20&lt;&gt;"","FW-RULE-" &amp; TEXT(17,"000"),"")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>
        <f>IF(B21&lt;&gt;"","FW-RULE-" &amp; TEXT(18,"000"),"")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>
        <f>IF(B22&lt;&gt;"","FW-RULE-" &amp; TEXT(19,"000"),"")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>
        <f>IF(B23&lt;&gt;"","FW-RULE-" &amp; TEXT(20,"000"),"")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>
        <f>IF(B24&lt;&gt;"","FW-RULE-" &amp; TEXT(21,"000"),"")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>
        <f>IF(B25&lt;&gt;"","FW-RULE-" &amp; TEXT(22,"000"),"")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>
        <f>IF(B26&lt;&gt;"","FW-RULE-" &amp; TEXT(23,"000"),"")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>
        <f>IF(B27&lt;&gt;"","FW-RULE-" &amp; TEXT(24,"000"),"")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>
        <f>IF(B28&lt;&gt;"","FW-RULE-" &amp; TEXT(25,"000"),"")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>
        <f>IF(B29&lt;&gt;"","FW-RULE-" &amp; TEXT(26,"000"),"")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>
        <f>IF(B30&lt;&gt;"","FW-RULE-" &amp; TEXT(27,"000"),"")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>
        <f>IF(B31&lt;&gt;"","FW-RULE-" &amp; TEXT(28,"000"),"")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>
        <f>IF(B32&lt;&gt;"","FW-RULE-" &amp; TEXT(29,"000"),"")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>
        <f>IF(B33&lt;&gt;"","FW-RULE-" &amp; TEXT(30,"000"),"")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>
        <f>IF(B34&lt;&gt;"","FW-RULE-" &amp; TEXT(31,"000"),"")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>
        <f>IF(B35&lt;&gt;"","FW-RULE-" &amp; TEXT(32,"000"),"")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>
        <f>IF(B36&lt;&gt;"","FW-RULE-" &amp; TEXT(33,"000"),"")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>
        <f>IF(B37&lt;&gt;"","FW-RULE-" &amp; TEXT(34,"000"),"")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>
        <f>IF(B38&lt;&gt;"","FW-RULE-" &amp; TEXT(35,"000"),"")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>
        <f>IF(B39&lt;&gt;"","FW-RULE-" &amp; TEXT(36,"000"),"")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>
        <f>IF(B40&lt;&gt;"","FW-RULE-" &amp; TEXT(37,"000"),"")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>
        <f>IF(B41&lt;&gt;"","FW-RULE-" &amp; TEXT(38,"000"),"")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>
        <f>IF(B42&lt;&gt;"","FW-RULE-" &amp; TEXT(39,"000"),"")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>
        <f>IF(B43&lt;&gt;"","FW-RULE-" &amp; TEXT(40,"000"),"")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>
        <f>IF(B44&lt;&gt;"","FW-RULE-" &amp; TEXT(41,"000"),"")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>
        <f>IF(B45&lt;&gt;"","FW-RULE-" &amp; TEXT(42,"000"),"")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>
        <f>IF(B46&lt;&gt;"","FW-RULE-" &amp; TEXT(43,"000"),"")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>
        <f>IF(B47&lt;&gt;"","FW-RULE-" &amp; TEXT(44,"000"),"")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>
        <f>IF(B48&lt;&gt;"","FW-RULE-" &amp; TEXT(45,"000"),"")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>
        <f>IF(B49&lt;&gt;"","FW-RULE-" &amp; TEXT(46,"000"),"")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>
        <f>IF(B50&lt;&gt;"","FW-RULE-" &amp; TEXT(47,"000"),"")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>
        <f>IF(B51&lt;&gt;"","FW-RULE-" &amp; TEXT(48,"000"),"")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>
        <f>IF(B52&lt;&gt;"","FW-RULE-" &amp; TEXT(49,"000"),"")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>
        <f>IF(B53&lt;&gt;"","FW-RULE-" &amp; TEXT(50,"000"),"")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>
        <f>IF(B54&lt;&gt;"","FW-RULE-" &amp; TEXT(51,"000"),"")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>
        <f>IF(B55&lt;&gt;"","FW-RULE-" &amp; TEXT(52,"000"),"")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>
        <f>IF(B56&lt;&gt;"","FW-RULE-" &amp; TEXT(53,"000"),"")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>
        <f>IF(B57&lt;&gt;"","FW-RULE-" &amp; TEXT(54,"000"),"")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>
        <f>IF(B58&lt;&gt;"","FW-RULE-" &amp; TEXT(55,"000"),"")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>
        <f>IF(B59&lt;&gt;"","FW-RULE-" &amp; TEXT(56,"000"),"")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>
        <f>IF(B60&lt;&gt;"","FW-RULE-" &amp; TEXT(57,"000"),"")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>
        <f>IF(B61&lt;&gt;"","FW-RULE-" &amp; TEXT(58,"000"),"")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>
        <f>IF(B62&lt;&gt;"","FW-RULE-" &amp; TEXT(59,"000"),"")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>
        <f>IF(B63&lt;&gt;"","FW-RULE-" &amp; TEXT(60,"000"),"")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>
        <f>IF(B64&lt;&gt;"","FW-RULE-" &amp; TEXT(61,"000"),"")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>
        <f>IF(B65&lt;&gt;"","FW-RULE-" &amp; TEXT(62,"000"),"")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>
        <f>IF(B66&lt;&gt;"","FW-RULE-" &amp; TEXT(63,"000"),"")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>
        <f>IF(B67&lt;&gt;"","FW-RULE-" &amp; TEXT(64,"000"),"")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>
        <f>IF(B68&lt;&gt;"","FW-RULE-" &amp; TEXT(65,"000"),"")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>
        <f>IF(B69&lt;&gt;"","FW-RULE-" &amp; TEXT(66,"000"),"")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>
        <f>IF(B70&lt;&gt;"","FW-RULE-" &amp; TEXT(67,"000"),"")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>
        <f>IF(B71&lt;&gt;"","FW-RULE-" &amp; TEXT(68,"000"),"")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>
        <f>IF(B72&lt;&gt;"","FW-RULE-" &amp; TEXT(69,"000"),"")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>
        <f>IF(B73&lt;&gt;"","FW-RULE-" &amp; TEXT(70,"000"),"")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>
        <f>IF(B74&lt;&gt;"","FW-RULE-" &amp; TEXT(71,"000"),"")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>
        <f>IF(B75&lt;&gt;"","FW-RULE-" &amp; TEXT(72,"000"),"")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>
        <f>IF(B76&lt;&gt;"","FW-RULE-" &amp; TEXT(73,"000"),"")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>
        <f>IF(B77&lt;&gt;"","FW-RULE-" &amp; TEXT(74,"000"),"")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>
        <f>IF(B78&lt;&gt;"","FW-RULE-" &amp; TEXT(75,"000"),"")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>
        <f>IF(B79&lt;&gt;"","FW-RULE-" &amp; TEXT(76,"000"),"")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>
        <f>IF(B80&lt;&gt;"","FW-RULE-" &amp; TEXT(77,"000"),"")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>
        <f>IF(B81&lt;&gt;"","FW-RULE-" &amp; TEXT(78,"000"),"")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>
        <f>IF(B82&lt;&gt;"","FW-RULE-" &amp; TEXT(79,"000"),"")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>
        <f>IF(B83&lt;&gt;"","FW-RULE-" &amp; TEXT(80,"000"),"")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>
        <f>IF(B84&lt;&gt;"","FW-RULE-" &amp; TEXT(81,"000"),"")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>
        <f>IF(B85&lt;&gt;"","FW-RULE-" &amp; TEXT(82,"000"),"")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>
        <f>IF(B86&lt;&gt;"","FW-RULE-" &amp; TEXT(83,"000"),"")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>
        <f>IF(B87&lt;&gt;"","FW-RULE-" &amp; TEXT(84,"000"),"")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>
        <f>IF(B88&lt;&gt;"","FW-RULE-" &amp; TEXT(85,"000"),"")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>
        <f>IF(B89&lt;&gt;"","FW-RULE-" &amp; TEXT(86,"000"),"")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>
        <f>IF(B90&lt;&gt;"","FW-RULE-" &amp; TEXT(87,"000"),"")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>
        <f>IF(B91&lt;&gt;"","FW-RULE-" &amp; TEXT(88,"000"),"")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>
        <f>IF(B92&lt;&gt;"","FW-RULE-" &amp; TEXT(89,"000"),"")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>
        <f>IF(B93&lt;&gt;"","FW-RULE-" &amp; TEXT(90,"000"),"")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>
        <f>IF(B94&lt;&gt;"","FW-RULE-" &amp; TEXT(91,"000"),"")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>
        <f>IF(B95&lt;&gt;"","FW-RULE-" &amp; TEXT(92,"000"),"")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>
        <f>IF(B96&lt;&gt;"","FW-RULE-" &amp; TEXT(93,"000"),"")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>
        <f>IF(B97&lt;&gt;"","FW-RULE-" &amp; TEXT(94,"000"),"")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>
        <f>IF(B98&lt;&gt;"","FW-RULE-" &amp; TEXT(95,"000"),"")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>
        <f>IF(B99&lt;&gt;"","FW-RULE-" &amp; TEXT(96,"000"),"")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>
        <f>IF(B100&lt;&gt;"","FW-RULE-" &amp; TEXT(97,"000"),"")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>
        <f>IF(B101&lt;&gt;"","FW-RULE-" &amp; TEXT(98,"000"),"")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>
        <f>IF(B102&lt;&gt;"","FW-RULE-" &amp; TEXT(99,"000"),"")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>
        <f>IF(B103&lt;&gt;"","FW-RULE-" &amp; TEXT(100,"000"),"")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5">
      <c r="A105" s="2" t="inlineStr">
        <is>
          <t>Firewall Rule Review Guidelines</t>
        </is>
      </c>
    </row>
    <row r="106" ht="20" customHeight="1">
      <c r="A106" s="4" t="inlineStr">
        <is>
          <t>• QUARTERLY REVIEW: Review all firewall rules at least quarterly</t>
        </is>
      </c>
    </row>
    <row r="107" ht="20" customHeight="1">
      <c r="A107" s="4" t="inlineStr">
        <is>
          <t>• REMOVE UNUSED: Identify and remove unused rules (hit count = 0)</t>
        </is>
      </c>
    </row>
    <row r="108" ht="20" customHeight="1">
      <c r="A108" s="4" t="inlineStr">
        <is>
          <t>• SPECIFIC &gt; ANY: Avoid 'any any any' rules; be specific about source/destination/service</t>
        </is>
      </c>
    </row>
    <row r="109" ht="20" customHeight="1">
      <c r="A109" s="4" t="inlineStr">
        <is>
          <t>• LOGGING: Enable logging for inter-zone traffic (especially deny rules)</t>
        </is>
      </c>
    </row>
    <row r="110" ht="20" customHeight="1">
      <c r="A110" s="4" t="inlineStr">
        <is>
          <t>• RULE ORDER: Most specific rules first, default deny last</t>
        </is>
      </c>
    </row>
    <row r="111" ht="20" customHeight="1">
      <c r="A111" s="4" t="inlineStr">
        <is>
          <t>• DOCUMENTATION: Every rule must have business justification</t>
        </is>
      </c>
    </row>
  </sheetData>
  <mergeCells count="9">
    <mergeCell ref="A108:M108"/>
    <mergeCell ref="A1:M1"/>
    <mergeCell ref="A110:M110"/>
    <mergeCell ref="A111:M111"/>
    <mergeCell ref="A106:M106"/>
    <mergeCell ref="A105:M105"/>
    <mergeCell ref="A109:M109"/>
    <mergeCell ref="A2:M2"/>
    <mergeCell ref="A107:M107"/>
  </mergeCells>
  <conditionalFormatting sqref="I4:I103">
    <cfRule type="cellIs" priority="1" operator="equal" dxfId="0">
      <formula>"Allow"</formula>
    </cfRule>
    <cfRule type="cellIs" priority="2" operator="equal" dxfId="1">
      <formula>"Deny"</formula>
    </cfRule>
  </conditionalFormatting>
  <dataValidations count="2">
    <dataValidation sqref="I4:I103" showDropDown="0" showInputMessage="0" showErrorMessage="0" allowBlank="0" type="list">
      <formula1>"Allow,Deny,Drop,Reject"</formula1>
    </dataValidation>
    <dataValidation sqref="H4:H53 J4:J103" showDropDown="0" showInputMessage="0" showErrorMessage="0" allowBlank="1" type="list">
      <formula1>"Current,Outdated,Unused,Requires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2" customWidth="1" min="5" max="5"/>
    <col width="35" customWidth="1" min="6" max="6"/>
    <col width="20" customWidth="1" min="7" max="7"/>
    <col width="15" customWidth="1" min="8" max="8"/>
    <col width="12" customWidth="1" min="9" max="9"/>
    <col width="12" customWidth="1" min="10" max="10"/>
    <col width="15" customWidth="1" min="11" max="11"/>
    <col width="40" customWidth="1" min="12" max="12"/>
  </cols>
  <sheetData>
    <row r="1" ht="25" customHeight="1">
      <c r="A1" s="1" t="inlineStr">
        <is>
          <t>ACL (Access Control List) Assessment</t>
        </is>
      </c>
    </row>
    <row r="2">
      <c r="A2" s="4" t="inlineStr">
        <is>
          <t>📋 Review router/switch ACLs that enforce segmentation. Complement firewall rules.</t>
        </is>
      </c>
    </row>
    <row r="3">
      <c r="A3" s="3" t="inlineStr">
        <is>
          <t>ACL ID</t>
        </is>
      </c>
      <c r="B3" s="3" t="inlineStr">
        <is>
          <t>Device</t>
        </is>
      </c>
      <c r="C3" s="3" t="inlineStr">
        <is>
          <t>ACL Name/Number</t>
        </is>
      </c>
      <c r="D3" s="3" t="inlineStr">
        <is>
          <t>Interface</t>
        </is>
      </c>
      <c r="E3" s="3" t="inlineStr">
        <is>
          <t>Direction</t>
        </is>
      </c>
      <c r="F3" s="3" t="inlineStr">
        <is>
          <t>Purpose</t>
        </is>
      </c>
      <c r="G3" s="3" t="inlineStr">
        <is>
          <t>Zones Protected</t>
        </is>
      </c>
      <c r="H3" s="3" t="inlineStr">
        <is>
          <t>Review Status</t>
        </is>
      </c>
      <c r="I3" s="3" t="inlineStr">
        <is>
          <t>Effectiveness</t>
        </is>
      </c>
      <c r="J3" s="3" t="inlineStr">
        <is>
          <t>Last Modified</t>
        </is>
      </c>
      <c r="K3" s="3" t="inlineStr">
        <is>
          <t>Reviewed By</t>
        </is>
      </c>
      <c r="L3" s="3" t="inlineStr">
        <is>
          <t>Notes</t>
        </is>
      </c>
    </row>
    <row r="4">
      <c r="A4">
        <f>IF(B4&lt;&gt;"","ACL-" &amp; TEXT(1,"00"),"")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>
        <f>IF(B5&lt;&gt;"","ACL-" &amp; TEXT(2,"00"),"")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>
        <f>IF(B6&lt;&gt;"","ACL-" &amp; TEXT(3,"00"),"")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>
        <f>IF(B7&lt;&gt;"","ACL-" &amp; TEXT(4,"00"),"")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>
        <f>IF(B8&lt;&gt;"","ACL-" &amp; TEXT(5,"00"),"")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>
        <f>IF(B9&lt;&gt;"","ACL-" &amp; TEXT(6,"00"),"")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>
        <f>IF(B10&lt;&gt;"","ACL-" &amp; TEXT(7,"00"),"")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>
        <f>IF(B11&lt;&gt;"","ACL-" &amp; TEXT(8,"00"),"")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>
        <f>IF(B12&lt;&gt;"","ACL-" &amp; TEXT(9,"00"),"")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>
        <f>IF(B13&lt;&gt;"","ACL-" &amp; TEXT(10,"00"),"")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>
        <f>IF(B14&lt;&gt;"","ACL-" &amp; TEXT(11,"00"),"")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>
        <f>IF(B15&lt;&gt;"","ACL-" &amp; TEXT(12,"00"),"")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>
        <f>IF(B16&lt;&gt;"","ACL-" &amp; TEXT(13,"00"),"")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>
        <f>IF(B17&lt;&gt;"","ACL-" &amp; TEXT(14,"00"),"")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>
        <f>IF(B18&lt;&gt;"","ACL-" &amp; TEXT(15,"00"),"")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>
        <f>IF(B19&lt;&gt;"","ACL-" &amp; TEXT(16,"00"),"")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>
        <f>IF(B20&lt;&gt;"","ACL-" &amp; TEXT(17,"00"),"")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>
        <f>IF(B21&lt;&gt;"","ACL-" &amp; TEXT(18,"00"),"")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>
        <f>IF(B22&lt;&gt;"","ACL-" &amp; TEXT(19,"00"),"")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>
        <f>IF(B23&lt;&gt;"","ACL-" &amp; TEXT(20,"00"),"")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>
        <f>IF(B24&lt;&gt;"","ACL-" &amp; TEXT(21,"00"),"")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>
        <f>IF(B25&lt;&gt;"","ACL-" &amp; TEXT(22,"00"),"")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>
        <f>IF(B26&lt;&gt;"","ACL-" &amp; TEXT(23,"00"),"")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>
        <f>IF(B27&lt;&gt;"","ACL-" &amp; TEXT(24,"00"),"")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>
        <f>IF(B28&lt;&gt;"","ACL-" &amp; TEXT(25,"00"),"")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>
        <f>IF(B29&lt;&gt;"","ACL-" &amp; TEXT(26,"00"),"")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>
        <f>IF(B30&lt;&gt;"","ACL-" &amp; TEXT(27,"00"),"")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>
        <f>IF(B31&lt;&gt;"","ACL-" &amp; TEXT(28,"00"),"")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>
        <f>IF(B32&lt;&gt;"","ACL-" &amp; TEXT(29,"00"),"")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>
        <f>IF(B33&lt;&gt;"","ACL-" &amp; TEXT(30,"00"),"")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>
        <f>IF(B34&lt;&gt;"","ACL-" &amp; TEXT(31,"00"),"")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>
        <f>IF(B35&lt;&gt;"","ACL-" &amp; TEXT(32,"00"),"")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>
        <f>IF(B36&lt;&gt;"","ACL-" &amp; TEXT(33,"00"),"")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>
        <f>IF(B37&lt;&gt;"","ACL-" &amp; TEXT(34,"00"),"")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>
        <f>IF(B38&lt;&gt;"","ACL-" &amp; TEXT(35,"00"),"")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>
        <f>IF(B39&lt;&gt;"","ACL-" &amp; TEXT(36,"00"),"")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>
        <f>IF(B40&lt;&gt;"","ACL-" &amp; TEXT(37,"00"),"")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>
        <f>IF(B41&lt;&gt;"","ACL-" &amp; TEXT(38,"00"),"")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>
        <f>IF(B42&lt;&gt;"","ACL-" &amp; TEXT(39,"00"),"")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>
        <f>IF(B43&lt;&gt;"","ACL-" &amp; TEXT(40,"00"),"")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>
        <f>IF(B44&lt;&gt;"","ACL-" &amp; TEXT(41,"00"),"")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>
        <f>IF(B45&lt;&gt;"","ACL-" &amp; TEXT(42,"00"),"")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>
        <f>IF(B46&lt;&gt;"","ACL-" &amp; TEXT(43,"00"),"")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>
        <f>IF(B47&lt;&gt;"","ACL-" &amp; TEXT(44,"00"),"")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>
        <f>IF(B48&lt;&gt;"","ACL-" &amp; TEXT(45,"00"),"")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>
        <f>IF(B49&lt;&gt;"","ACL-" &amp; TEXT(46,"00"),"")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>
        <f>IF(B50&lt;&gt;"","ACL-" &amp; TEXT(47,"00"),"")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>
        <f>IF(B51&lt;&gt;"","ACL-" &amp; TEXT(48,"00"),"")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>
        <f>IF(B52&lt;&gt;"","ACL-" &amp; TEXT(49,"00"),"")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>
        <f>IF(B53&lt;&gt;"","ACL-" &amp; TEXT(50,"00"),"")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5">
      <c r="A55" s="2" t="inlineStr">
        <is>
          <t>ACL Best Practices (per IMP-S5)</t>
        </is>
      </c>
    </row>
    <row r="56" ht="20" customHeight="1">
      <c r="A56" s="4" t="inlineStr">
        <is>
          <t>• ACL PLACEMENT: Apply inbound on router interfaces (filter before routing)</t>
        </is>
      </c>
    </row>
    <row r="57" ht="20" customHeight="1">
      <c r="A57" s="4" t="inlineStr">
        <is>
          <t>• SPECIFIC FIRST: Most specific ACL entries first, general/deny last</t>
        </is>
      </c>
    </row>
    <row r="58" ht="20" customHeight="1">
      <c r="A58" s="4" t="inlineStr">
        <is>
          <t>• EXPLICIT DENY: Include explicit deny at end (implicit deny doesn't log)</t>
        </is>
      </c>
    </row>
    <row r="59" ht="20" customHeight="1">
      <c r="A59" s="4" t="inlineStr">
        <is>
          <t>• NAMING: Use descriptive names for extended ACLs (e.g., ACL-BLOCK-GUEST-TO-INTERNAL)</t>
        </is>
      </c>
    </row>
    <row r="60" ht="20" customHeight="1">
      <c r="A60" s="4" t="inlineStr">
        <is>
          <t>• TESTING: Test ACLs with traffic generators/packet captures before production</t>
        </is>
      </c>
    </row>
    <row r="61" ht="20" customHeight="1">
      <c r="A61" s="4" t="inlineStr">
        <is>
          <t>• DOCUMENTATION: Maintain ACL documentation with business justification per entry</t>
        </is>
      </c>
    </row>
  </sheetData>
  <mergeCells count="9">
    <mergeCell ref="A57:L57"/>
    <mergeCell ref="A2:L2"/>
    <mergeCell ref="A60:L60"/>
    <mergeCell ref="A1:L1"/>
    <mergeCell ref="A61:L61"/>
    <mergeCell ref="A58:L58"/>
    <mergeCell ref="A56:L56"/>
    <mergeCell ref="A55:L55"/>
    <mergeCell ref="A59:L59"/>
  </mergeCells>
  <dataValidations count="1">
    <dataValidation sqref="H4:H53 J4:J103" showDropDown="0" showInputMessage="0" showErrorMessage="0" allowBlank="1" type="list">
      <formula1>"Current,Outdated,Unused,Requires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2" customWidth="1" min="9" max="9"/>
    <col width="15" customWidth="1" min="10" max="10"/>
    <col width="40" customWidth="1" min="11" max="11"/>
  </cols>
  <sheetData>
    <row r="1" ht="25" customHeight="1">
      <c r="A1" s="1" t="inlineStr">
        <is>
          <t>Segmentation Effectiveness Testing</t>
        </is>
      </c>
    </row>
    <row r="2">
      <c r="A2" s="4" t="inlineStr">
        <is>
          <t>📋 Test segmentation effectiveness. Verify traffic is blocked when expected (no bypass routes).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Source Zone</t>
        </is>
      </c>
      <c r="D3" s="3" t="inlineStr">
        <is>
          <t>Destination Zone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Test Result</t>
        </is>
      </c>
      <c r="H3" s="3" t="inlineStr">
        <is>
          <t>Test Method</t>
        </is>
      </c>
      <c r="I3" s="3" t="inlineStr">
        <is>
          <t>Test Date</t>
        </is>
      </c>
      <c r="J3" s="3" t="inlineStr">
        <is>
          <t>Tested By</t>
        </is>
      </c>
      <c r="K3" s="3" t="inlineStr">
        <is>
          <t>Notes</t>
        </is>
      </c>
    </row>
    <row r="4">
      <c r="A4">
        <f>IF(B4&lt;&gt;"","SEG-TEST-" &amp; TEXT(1,"00"),"")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>
        <f>IF(B5&lt;&gt;"","SEG-TEST-" &amp; TEXT(2,"00"),"")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>
        <f>IF(B6&lt;&gt;"","SEG-TEST-" &amp; TEXT(3,"00"),"")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>
        <f>IF(B7&lt;&gt;"","SEG-TEST-" &amp; TEXT(4,"00"),"")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>
        <f>IF(B8&lt;&gt;"","SEG-TEST-" &amp; TEXT(5,"00"),"")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>
        <f>IF(B9&lt;&gt;"","SEG-TEST-" &amp; TEXT(6,"00"),"")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>
        <f>IF(B10&lt;&gt;"","SEG-TEST-" &amp; TEXT(7,"00"),"")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>
        <f>IF(B11&lt;&gt;"","SEG-TEST-" &amp; TEXT(8,"00"),"")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>
        <f>IF(B12&lt;&gt;"","SEG-TEST-" &amp; TEXT(9,"00"),"")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>
        <f>IF(B13&lt;&gt;"","SEG-TEST-" &amp; TEXT(10,"00"),"")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>
        <f>IF(B14&lt;&gt;"","SEG-TEST-" &amp; TEXT(11,"00"),"")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>
        <f>IF(B15&lt;&gt;"","SEG-TEST-" &amp; TEXT(12,"00"),"")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>
        <f>IF(B16&lt;&gt;"","SEG-TEST-" &amp; TEXT(13,"00"),"")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>
        <f>IF(B17&lt;&gt;"","SEG-TEST-" &amp; TEXT(14,"00"),"")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>
        <f>IF(B18&lt;&gt;"","SEG-TEST-" &amp; TEXT(15,"00"),"")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>
        <f>IF(B19&lt;&gt;"","SEG-TEST-" &amp; TEXT(16,"00"),"")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>
        <f>IF(B20&lt;&gt;"","SEG-TEST-" &amp; TEXT(17,"00"),"")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>
        <f>IF(B21&lt;&gt;"","SEG-TEST-" &amp; TEXT(18,"00"),"")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>
        <f>IF(B22&lt;&gt;"","SEG-TEST-" &amp; TEXT(19,"00"),"")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>
        <f>IF(B23&lt;&gt;"","SEG-TEST-" &amp; TEXT(20,"00"),"")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>
        <f>IF(B24&lt;&gt;"","SEG-TEST-" &amp; TEXT(21,"00"),"")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>
        <f>IF(B25&lt;&gt;"","SEG-TEST-" &amp; TEXT(22,"00"),"")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>
        <f>IF(B26&lt;&gt;"","SEG-TEST-" &amp; TEXT(23,"00"),"")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>
        <f>IF(B27&lt;&gt;"","SEG-TEST-" &amp; TEXT(24,"00"),"")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>
        <f>IF(B28&lt;&gt;"","SEG-TEST-" &amp; TEXT(25,"00"),"")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>
        <f>IF(B29&lt;&gt;"","SEG-TEST-" &amp; TEXT(26,"00"),"")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>
        <f>IF(B30&lt;&gt;"","SEG-TEST-" &amp; TEXT(27,"00"),"")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>
        <f>IF(B31&lt;&gt;"","SEG-TEST-" &amp; TEXT(28,"00"),"")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>
        <f>IF(B32&lt;&gt;"","SEG-TEST-" &amp; TEXT(29,"00"),"")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>
        <f>IF(B33&lt;&gt;"","SEG-TEST-" &amp; TEXT(30,"00"),"")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5">
      <c r="A35" s="2" t="inlineStr">
        <is>
          <t>Segmentation Testing Methods (per IMP-S5)</t>
        </is>
      </c>
    </row>
    <row r="36">
      <c r="A36" s="3" t="inlineStr">
        <is>
          <t>Test Method</t>
        </is>
      </c>
      <c r="B36" s="3" t="inlineStr">
        <is>
          <t>Description</t>
        </is>
      </c>
    </row>
    <row r="37" ht="25" customHeight="1">
      <c r="A37" s="3" t="inlineStr">
        <is>
          <t>Ping Test</t>
        </is>
      </c>
      <c r="B37" s="4" t="inlineStr">
        <is>
          <t>Simple connectivity test - should fail if segmentation working</t>
        </is>
      </c>
    </row>
    <row r="38" ht="25" customHeight="1">
      <c r="A38" s="3" t="inlineStr">
        <is>
          <t>Traceroute</t>
        </is>
      </c>
      <c r="B38" s="4" t="inlineStr">
        <is>
          <t>Verify traffic path - should stop at firewall/router</t>
        </is>
      </c>
    </row>
    <row r="39" ht="25" customHeight="1">
      <c r="A39" s="3" t="inlineStr">
        <is>
          <t>Port Scan (nmap)</t>
        </is>
      </c>
      <c r="B39" s="4" t="inlineStr">
        <is>
          <t>Verify ports blocked between zones</t>
        </is>
      </c>
    </row>
    <row r="40" ht="25" customHeight="1">
      <c r="A40" s="3" t="inlineStr">
        <is>
          <t>HTTP/HTTPS Request</t>
        </is>
      </c>
      <c r="B40" s="4" t="inlineStr">
        <is>
          <t>Test application layer connectivity</t>
        </is>
      </c>
    </row>
    <row r="41" ht="25" customHeight="1">
      <c r="A41" s="3" t="inlineStr">
        <is>
          <t>Packet Capture</t>
        </is>
      </c>
      <c r="B41" s="4" t="inlineStr">
        <is>
          <t>Capture traffic to verify deny/drop behavior</t>
        </is>
      </c>
    </row>
    <row r="42" ht="25" customHeight="1">
      <c r="A42" s="3" t="inlineStr">
        <is>
          <t>Lateral Movement Test</t>
        </is>
      </c>
      <c r="B42" s="4" t="inlineStr">
        <is>
          <t>Attempt to pivot from one zone to another (pentesting)</t>
        </is>
      </c>
    </row>
  </sheetData>
  <mergeCells count="9">
    <mergeCell ref="A35:K35"/>
    <mergeCell ref="B41:K41"/>
    <mergeCell ref="B40:K40"/>
    <mergeCell ref="A2:K2"/>
    <mergeCell ref="B39:K39"/>
    <mergeCell ref="B38:K38"/>
    <mergeCell ref="B42:K42"/>
    <mergeCell ref="A1:K1"/>
    <mergeCell ref="B37:K37"/>
  </mergeCells>
  <conditionalFormatting sqref="G4:G33">
    <cfRule type="cellIs" priority="1" operator="equal" dxfId="2">
      <formula>"Pass"</formula>
    </cfRule>
    <cfRule type="cellIs" priority="2" operator="equal" dxfId="3">
      <formula>"Fail"</formula>
    </cfRule>
  </conditionalFormatting>
  <dataValidations count="1">
    <dataValidation sqref="G4:G33" showDropDown="0" showInputMessage="0" showErrorMessage="0" allowBlank="0" type="list">
      <formula1>"Pass,Fail,Partial,Not Tested"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35" customWidth="1" min="5" max="5"/>
    <col width="12" customWidth="1" min="6" max="6"/>
    <col width="40" customWidth="1" min="7" max="7"/>
    <col width="20" customWidth="1" min="8" max="8"/>
    <col width="15" customWidth="1" min="9" max="9"/>
    <col width="12" customWidth="1" min="10" max="10"/>
  </cols>
  <sheetData>
    <row r="1" ht="25" customHeight="1">
      <c r="A1" s="1" t="inlineStr">
        <is>
          <t>Segmentation Gaps - Remediation Tracking</t>
        </is>
      </c>
    </row>
    <row r="2">
      <c r="A2" s="4" t="inlineStr">
        <is>
          <t>📋 Document segmentation gaps: flat networks, excessive trust, missing controls, bypass routes.</t>
        </is>
      </c>
    </row>
    <row r="3">
      <c r="A3" s="3" t="inlineStr">
        <is>
          <t>Gap ID</t>
        </is>
      </c>
      <c r="B3" s="3" t="inlineStr">
        <is>
          <t>Gap Type</t>
        </is>
      </c>
      <c r="C3" s="3" t="inlineStr">
        <is>
          <t>Location/Zone</t>
        </is>
      </c>
      <c r="D3" s="3" t="inlineStr">
        <is>
          <t>Description</t>
        </is>
      </c>
      <c r="E3" s="3" t="inlineStr">
        <is>
          <t>Risk</t>
        </is>
      </c>
      <c r="F3" s="3" t="inlineStr">
        <is>
          <t>Severity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Status</t>
        </is>
      </c>
      <c r="J3" s="3" t="inlineStr">
        <is>
          <t>Target Date</t>
        </is>
      </c>
    </row>
    <row r="4">
      <c r="A4">
        <f>IF(B4&lt;&gt;"","SEG-GAP-" &amp; TEXT(1,"000"),"")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>
        <f>IF(B5&lt;&gt;"","SEG-GAP-" &amp; TEXT(2,"000"),"")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>
        <f>IF(B6&lt;&gt;"","SEG-GAP-" &amp; TEXT(3,"000"),"")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>
        <f>IF(B7&lt;&gt;"","SEG-GAP-" &amp; TEXT(4,"000"),"")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>
        <f>IF(B8&lt;&gt;"","SEG-GAP-" &amp; TEXT(5,"000"),"")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>
        <f>IF(B9&lt;&gt;"","SEG-GAP-" &amp; TEXT(6,"000"),"")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>
        <f>IF(B10&lt;&gt;"","SEG-GAP-" &amp; TEXT(7,"000"),"")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>
        <f>IF(B11&lt;&gt;"","SEG-GAP-" &amp; TEXT(8,"000"),"")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>
        <f>IF(B12&lt;&gt;"","SEG-GAP-" &amp; TEXT(9,"000"),"")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>
        <f>IF(B13&lt;&gt;"","SEG-GAP-" &amp; TEXT(10,"000"),"")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>
        <f>IF(B14&lt;&gt;"","SEG-GAP-" &amp; TEXT(11,"000"),"")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>
        <f>IF(B15&lt;&gt;"","SEG-GAP-" &amp; TEXT(12,"000"),"")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>
        <f>IF(B16&lt;&gt;"","SEG-GAP-" &amp; TEXT(13,"000"),"")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>
        <f>IF(B17&lt;&gt;"","SEG-GAP-" &amp; TEXT(14,"000"),"")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>
        <f>IF(B18&lt;&gt;"","SEG-GAP-" &amp; TEXT(15,"000"),"")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>
        <f>IF(B19&lt;&gt;"","SEG-GAP-" &amp; TEXT(16,"000"),"")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>
        <f>IF(B20&lt;&gt;"","SEG-GAP-" &amp; TEXT(17,"000"),"")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>
        <f>IF(B21&lt;&gt;"","SEG-GAP-" &amp; TEXT(18,"000"),"")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>
        <f>IF(B22&lt;&gt;"","SEG-GAP-" &amp; TEXT(19,"000"),"")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>
        <f>IF(B23&lt;&gt;"","SEG-GAP-" &amp; TEXT(20,"000"),"")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>
        <f>IF(B24&lt;&gt;"","SEG-GAP-" &amp; TEXT(21,"000"),"")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>
        <f>IF(B25&lt;&gt;"","SEG-GAP-" &amp; TEXT(22,"000"),"")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>
        <f>IF(B26&lt;&gt;"","SEG-GAP-" &amp; TEXT(23,"000"),"")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>
        <f>IF(B27&lt;&gt;"","SEG-GAP-" &amp; TEXT(24,"000"),"")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>
        <f>IF(B28&lt;&gt;"","SEG-GAP-" &amp; TEXT(25,"000"),"")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>
        <f>IF(B29&lt;&gt;"","SEG-GAP-" &amp; TEXT(26,"000"),"")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>
        <f>IF(B30&lt;&gt;"","SEG-GAP-" &amp; TEXT(27,"000"),"")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>
        <f>IF(B31&lt;&gt;"","SEG-GAP-" &amp; TEXT(28,"000"),"")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>
        <f>IF(B32&lt;&gt;"","SEG-GAP-" &amp; TEXT(29,"000"),"")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>
        <f>IF(B33&lt;&gt;"","SEG-GAP-" &amp; TEXT(30,"000"),"")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>
        <f>IF(B34&lt;&gt;"","SEG-GAP-" &amp; TEXT(31,"000"),"")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>
        <f>IF(B35&lt;&gt;"","SEG-GAP-" &amp; TEXT(32,"000"),"")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>
        <f>IF(B36&lt;&gt;"","SEG-GAP-" &amp; TEXT(33,"000"),"")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>
        <f>IF(B37&lt;&gt;"","SEG-GAP-" &amp; TEXT(34,"000"),"")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>
        <f>IF(B38&lt;&gt;"","SEG-GAP-" &amp; TEXT(35,"000"),"")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>
        <f>IF(B39&lt;&gt;"","SEG-GAP-" &amp; TEXT(36,"000"),"")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>
        <f>IF(B40&lt;&gt;"","SEG-GAP-" &amp; TEXT(37,"000"),"")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>
        <f>IF(B41&lt;&gt;"","SEG-GAP-" &amp; TEXT(38,"000"),"")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>
        <f>IF(B42&lt;&gt;"","SEG-GAP-" &amp; TEXT(39,"000"),"")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>
        <f>IF(B43&lt;&gt;"","SEG-GAP-" &amp; TEXT(40,"000"),"")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>
        <f>IF(B44&lt;&gt;"","SEG-GAP-" &amp; TEXT(41,"000"),"")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>
        <f>IF(B45&lt;&gt;"","SEG-GAP-" &amp; TEXT(42,"000"),"")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>
        <f>IF(B46&lt;&gt;"","SEG-GAP-" &amp; TEXT(43,"000"),"")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>
        <f>IF(B47&lt;&gt;"","SEG-GAP-" &amp; TEXT(44,"000"),"")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>
        <f>IF(B48&lt;&gt;"","SEG-GAP-" &amp; TEXT(45,"000"),"")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>
        <f>IF(B49&lt;&gt;"","SEG-GAP-" &amp; TEXT(46,"000"),"")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>
        <f>IF(B50&lt;&gt;"","SEG-GAP-" &amp; TEXT(47,"000"),"")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>
        <f>IF(B51&lt;&gt;"","SEG-GAP-" &amp; TEXT(48,"000"),"")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>
        <f>IF(B52&lt;&gt;"","SEG-GAP-" &amp; TEXT(49,"000"),"")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>
        <f>IF(B53&lt;&gt;"","SEG-GAP-" &amp; TEXT(50,"000"),"")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5">
      <c r="A55" s="2" t="inlineStr">
        <is>
          <t>Common Segmentation Gaps</t>
        </is>
      </c>
    </row>
    <row r="56" ht="20" customHeight="1">
      <c r="A56" s="4" t="inlineStr">
        <is>
          <t>Flat Network: No segmentation; all devices in same broadcast domain (Critical)</t>
        </is>
      </c>
    </row>
    <row r="57" ht="20" customHeight="1">
      <c r="A57" s="4" t="inlineStr">
        <is>
          <t>Excessive Trust: Guest/DMZ can access internal resources (High)</t>
        </is>
      </c>
    </row>
    <row r="58" ht="20" customHeight="1">
      <c r="A58" s="4" t="inlineStr">
        <is>
          <t>Missing Firewall Rules: Zones defined but not enforced by firewall (High)</t>
        </is>
      </c>
    </row>
    <row r="59" ht="20" customHeight="1">
      <c r="A59" s="4" t="inlineStr">
        <is>
          <t>Overly Permissive Rules: 'any any any' rules bypass segmentation (Medium)</t>
        </is>
      </c>
    </row>
    <row r="60" ht="20" customHeight="1">
      <c r="A60" s="4" t="inlineStr">
        <is>
          <t>VLAN Hopping Risk: Native VLAN 1, DTP enabled (Medium)</t>
        </is>
      </c>
    </row>
    <row r="61" ht="20" customHeight="1">
      <c r="A61" s="4" t="inlineStr">
        <is>
          <t>Bypass Routes: Alternative paths circumvent segmentation (Critical)</t>
        </is>
      </c>
    </row>
    <row r="62" ht="20" customHeight="1">
      <c r="A62" s="4" t="inlineStr">
        <is>
          <t>Outdated Rules: Firewall rules not reviewed, unused rules accumulate (Low)</t>
        </is>
      </c>
    </row>
  </sheetData>
  <mergeCells count="10">
    <mergeCell ref="A1:J1"/>
    <mergeCell ref="A61:J61"/>
    <mergeCell ref="A58:J58"/>
    <mergeCell ref="A56:J56"/>
    <mergeCell ref="A62:J62"/>
    <mergeCell ref="A55:J55"/>
    <mergeCell ref="A59:J59"/>
    <mergeCell ref="A57:J57"/>
    <mergeCell ref="A2:J2"/>
    <mergeCell ref="A60:J60"/>
  </mergeCells>
  <conditionalFormatting sqref="F4:F53">
    <cfRule type="cellIs" priority="1" operator="equal" dxfId="4">
      <formula>"Critical"</formula>
    </cfRule>
    <cfRule type="cellIs" priority="2" operator="equal" dxfId="5">
      <formula>"High"</formula>
    </cfRule>
    <cfRule type="cellIs" priority="3" operator="equal" dxfId="6">
      <formula>"Medium"</formula>
    </cfRule>
    <cfRule type="cellIs" priority="4" operator="equal" dxfId="7">
      <formula>"Low"</formula>
    </cfRule>
  </conditionalFormatting>
  <dataValidations count="2">
    <dataValidation sqref="B4:B33 F4:F53" showDropDown="0" showInputMessage="0" showErrorMessage="0" allowBlank="0" type="list">
      <formula1>"🔴 Critical,🟡 High,🟢 Medium,⚪ Low"</formula1>
    </dataValidation>
    <dataValidation sqref="H4:H33 I4:I53" showDropDown="0" showInputMessage="0" showErrorMessage="0" allowBlank="0" type="list">
      <formula1>"Open,In Progress,Resolved,Accepted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3" customWidth="1" min="5" max="5"/>
    <col width="3" customWidth="1" min="6" max="6"/>
  </cols>
  <sheetData>
    <row r="1" ht="25" customHeight="1">
      <c r="A1" s="1" t="inlineStr">
        <is>
          <t>Network Segmentation Compliance Summary</t>
        </is>
      </c>
    </row>
    <row r="3">
      <c r="A3" s="2" t="inlineStr">
        <is>
          <t>Summary Statistics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3" t="inlineStr">
        <is>
          <t>Security Zones Defined</t>
        </is>
      </c>
      <c r="B5" s="4">
        <f>COUNTA(Security_Zones_Inventory!B4:B53)</f>
        <v/>
      </c>
    </row>
    <row r="6">
      <c r="A6" s="3" t="inlineStr">
        <is>
          <t>VLANs Documented</t>
        </is>
      </c>
      <c r="B6" s="4">
        <f>COUNTA(VLAN_Inventory!A4:A103)</f>
        <v/>
      </c>
    </row>
    <row r="7">
      <c r="A7" s="3" t="inlineStr">
        <is>
          <t>Segmentation Rules</t>
        </is>
      </c>
      <c r="B7" s="4">
        <f>COUNTA(Segmentation_Matrix!B5:B54)</f>
        <v/>
      </c>
    </row>
    <row r="8">
      <c r="A8" s="3" t="inlineStr">
        <is>
          <t>Firewall Rules Reviewed</t>
        </is>
      </c>
      <c r="B8" s="4">
        <f>COUNTA(Firewall_Rules_Assessment!B4:B103)</f>
        <v/>
      </c>
    </row>
    <row r="9">
      <c r="A9" s="3" t="inlineStr">
        <is>
          <t>ACLs Reviewed</t>
        </is>
      </c>
      <c r="B9" s="4">
        <f>COUNTA(ACL_Assessment!B4:B53)</f>
        <v/>
      </c>
    </row>
    <row r="10">
      <c r="A10" s="3" t="inlineStr">
        <is>
          <t>Segmentation Tests</t>
        </is>
      </c>
      <c r="B10" s="4">
        <f>COUNTA(Segmentation_Testing!B4:B33)</f>
        <v/>
      </c>
    </row>
    <row r="11">
      <c r="A11" s="3" t="inlineStr">
        <is>
          <t>Tests Passed</t>
        </is>
      </c>
      <c r="B11" s="4">
        <f>COUNTIF(Segmentation_Testing!G4:G33,"Pass")</f>
        <v/>
      </c>
    </row>
    <row r="12">
      <c r="A12" s="3" t="inlineStr">
        <is>
          <t>Tests Failed</t>
        </is>
      </c>
      <c r="B12" s="4">
        <f>COUNTIF(Segmentation_Testing!G4:G33,"Fail")</f>
        <v/>
      </c>
    </row>
    <row r="13">
      <c r="A13" s="3" t="inlineStr">
        <is>
          <t>Identified Gaps</t>
        </is>
      </c>
      <c r="B13" s="4">
        <f>COUNTA(Gap_Analysis!B4:B53)</f>
        <v/>
      </c>
    </row>
    <row r="14">
      <c r="A14" s="3" t="inlineStr">
        <is>
          <t>Critical Gaps</t>
        </is>
      </c>
      <c r="B14" s="4">
        <f>COUNTIF(Gap_Analysis!F4:F53,"Critical")</f>
        <v/>
      </c>
    </row>
    <row r="16">
      <c r="A16" s="2" t="inlineStr">
        <is>
          <t>Segmentation Test Results</t>
        </is>
      </c>
    </row>
    <row r="17">
      <c r="A17" s="3" t="inlineStr">
        <is>
          <t>Result</t>
        </is>
      </c>
      <c r="B17" s="3" t="inlineStr">
        <is>
          <t>Count</t>
        </is>
      </c>
    </row>
    <row r="18">
      <c r="A18" s="4" t="inlineStr">
        <is>
          <t>Pass</t>
        </is>
      </c>
      <c r="B18" s="4">
        <f>COUNTIF(Segmentation_Testing!G4:G33,"Pass")</f>
        <v/>
      </c>
    </row>
    <row r="19">
      <c r="A19" s="4" t="inlineStr">
        <is>
          <t>Fail</t>
        </is>
      </c>
      <c r="B19" s="4">
        <f>COUNTIF(Segmentation_Testing!G4:G33,"Fail")</f>
        <v/>
      </c>
    </row>
    <row r="20">
      <c r="A20" s="4" t="inlineStr">
        <is>
          <t>Partial</t>
        </is>
      </c>
      <c r="B20" s="4">
        <f>COUNTIF(Segmentation_Testing!G4:G33,"Partial")</f>
        <v/>
      </c>
    </row>
    <row r="21">
      <c r="A21" s="4" t="inlineStr">
        <is>
          <t>Not Tested</t>
        </is>
      </c>
      <c r="B21" s="4">
        <f>COUNTIF(Segmentation_Testing!G4:G33,"Not Tested")</f>
        <v/>
      </c>
    </row>
    <row r="23">
      <c r="A23" s="2" t="inlineStr">
        <is>
          <t>Compliance Targets &amp; Status</t>
        </is>
      </c>
    </row>
    <row r="24">
      <c r="A24" s="3" t="inlineStr">
        <is>
          <t>Metric</t>
        </is>
      </c>
      <c r="B24" s="3" t="inlineStr">
        <is>
          <t>Target</t>
        </is>
      </c>
      <c r="C24" s="3" t="inlineStr">
        <is>
          <t>Current</t>
        </is>
      </c>
      <c r="D24" s="3" t="inlineStr">
        <is>
          <t>Status</t>
        </is>
      </c>
    </row>
    <row r="25">
      <c r="A25" s="3" t="inlineStr">
        <is>
          <t>Zones Defined</t>
        </is>
      </c>
      <c r="B25" s="4" t="inlineStr">
        <is>
          <t>All networks</t>
        </is>
      </c>
      <c r="C25" s="4" t="inlineStr">
        <is>
          <t>Manual count</t>
        </is>
      </c>
      <c r="D25" s="4" t="inlineStr">
        <is>
          <t>Check zones cover all networks</t>
        </is>
      </c>
    </row>
    <row r="26">
      <c r="A26" s="3" t="inlineStr">
        <is>
          <t>Segmentation Matrix Complete</t>
        </is>
      </c>
      <c r="B26" s="4" t="inlineStr">
        <is>
          <t>All zone pairs</t>
        </is>
      </c>
      <c r="C26" s="4" t="inlineStr">
        <is>
          <t>Manual review</t>
        </is>
      </c>
      <c r="D26" s="4" t="inlineStr">
        <is>
          <t>Verify no gaps in matrix</t>
        </is>
      </c>
    </row>
    <row r="27">
      <c r="A27" s="3" t="inlineStr">
        <is>
          <t>Test Pass Rate</t>
        </is>
      </c>
      <c r="B27" s="4" t="inlineStr">
        <is>
          <t>≥ 95%</t>
        </is>
      </c>
      <c r="C27" s="4">
        <f>B7/(B7+B8)*100</f>
        <v/>
      </c>
      <c r="D27" s="4">
        <f>IF(C27&gt;=95,"✔ Met","✗ Not Met")</f>
        <v/>
      </c>
    </row>
    <row r="28">
      <c r="A28" s="3" t="inlineStr">
        <is>
          <t>Critical Gaps</t>
        </is>
      </c>
      <c r="B28" s="4">
        <f> 0</f>
        <v/>
      </c>
      <c r="C28" s="4">
        <f>B12</f>
        <v/>
      </c>
      <c r="D28" s="4">
        <f>IF(C28=0,"✔ Met","✗ Not Met")</f>
        <v/>
      </c>
    </row>
  </sheetData>
  <mergeCells count="4">
    <mergeCell ref="A3:F3"/>
    <mergeCell ref="A16:F16"/>
    <mergeCell ref="A1:F1"/>
    <mergeCell ref="A23:F2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5" customWidth="1" min="4" max="4"/>
    <col width="40" customWidth="1" min="5" max="5"/>
    <col width="20" customWidth="1" min="6" max="6"/>
    <col width="12" customWidth="1" min="7" max="7"/>
    <col width="15" customWidth="1" min="8" max="8"/>
  </cols>
  <sheetData>
    <row r="1" ht="25" customHeight="1">
      <c r="A1" s="1" t="inlineStr">
        <is>
          <t>Segmentation Remediation Roadmap</t>
        </is>
      </c>
    </row>
    <row r="2">
      <c r="A2" s="4" t="inlineStr">
        <is>
          <t>📋 Prioritized plan for segmentation improvements. Focus on Critical gaps first.</t>
        </is>
      </c>
    </row>
    <row r="3">
      <c r="A3" s="3" t="inlineStr">
        <is>
          <t>Priority</t>
        </is>
      </c>
      <c r="B3" s="3" t="inlineStr">
        <is>
          <t>Severity</t>
        </is>
      </c>
      <c r="C3" s="3" t="inlineStr">
        <is>
          <t>Improvement</t>
        </is>
      </c>
      <c r="D3" s="3" t="inlineStr">
        <is>
          <t>Affected Zones</t>
        </is>
      </c>
      <c r="E3" s="3" t="inlineStr">
        <is>
          <t>Remediation Action</t>
        </is>
      </c>
      <c r="F3" s="3" t="inlineStr">
        <is>
          <t>Owner</t>
        </is>
      </c>
      <c r="G3" s="3" t="inlineStr">
        <is>
          <t>Target Date</t>
        </is>
      </c>
      <c r="H3" s="3" t="inlineStr">
        <is>
          <t>Status</t>
        </is>
      </c>
    </row>
    <row r="4">
      <c r="A4" t="n">
        <v>1</v>
      </c>
      <c r="B4" s="5" t="n"/>
      <c r="C4" s="5" t="n"/>
      <c r="D4" s="5" t="n"/>
      <c r="E4" s="5" t="n"/>
      <c r="F4" s="5" t="n"/>
      <c r="G4" s="5" t="n"/>
      <c r="H4" s="5" t="n"/>
    </row>
    <row r="5">
      <c r="A5" t="n">
        <v>2</v>
      </c>
      <c r="B5" s="5" t="n"/>
      <c r="C5" s="5" t="n"/>
      <c r="D5" s="5" t="n"/>
      <c r="E5" s="5" t="n"/>
      <c r="F5" s="5" t="n"/>
      <c r="G5" s="5" t="n"/>
      <c r="H5" s="5" t="n"/>
    </row>
    <row r="6">
      <c r="A6" t="n">
        <v>3</v>
      </c>
      <c r="B6" s="5" t="n"/>
      <c r="C6" s="5" t="n"/>
      <c r="D6" s="5" t="n"/>
      <c r="E6" s="5" t="n"/>
      <c r="F6" s="5" t="n"/>
      <c r="G6" s="5" t="n"/>
      <c r="H6" s="5" t="n"/>
    </row>
    <row r="7">
      <c r="A7" t="n">
        <v>4</v>
      </c>
      <c r="B7" s="5" t="n"/>
      <c r="C7" s="5" t="n"/>
      <c r="D7" s="5" t="n"/>
      <c r="E7" s="5" t="n"/>
      <c r="F7" s="5" t="n"/>
      <c r="G7" s="5" t="n"/>
      <c r="H7" s="5" t="n"/>
    </row>
    <row r="8">
      <c r="A8" t="n">
        <v>5</v>
      </c>
      <c r="B8" s="5" t="n"/>
      <c r="C8" s="5" t="n"/>
      <c r="D8" s="5" t="n"/>
      <c r="E8" s="5" t="n"/>
      <c r="F8" s="5" t="n"/>
      <c r="G8" s="5" t="n"/>
      <c r="H8" s="5" t="n"/>
    </row>
    <row r="9">
      <c r="A9" t="n">
        <v>6</v>
      </c>
      <c r="B9" s="5" t="n"/>
      <c r="C9" s="5" t="n"/>
      <c r="D9" s="5" t="n"/>
      <c r="E9" s="5" t="n"/>
      <c r="F9" s="5" t="n"/>
      <c r="G9" s="5" t="n"/>
      <c r="H9" s="5" t="n"/>
    </row>
    <row r="10">
      <c r="A10" t="n">
        <v>7</v>
      </c>
      <c r="B10" s="5" t="n"/>
      <c r="C10" s="5" t="n"/>
      <c r="D10" s="5" t="n"/>
      <c r="E10" s="5" t="n"/>
      <c r="F10" s="5" t="n"/>
      <c r="G10" s="5" t="n"/>
      <c r="H10" s="5" t="n"/>
    </row>
    <row r="11">
      <c r="A11" t="n">
        <v>8</v>
      </c>
      <c r="B11" s="5" t="n"/>
      <c r="C11" s="5" t="n"/>
      <c r="D11" s="5" t="n"/>
      <c r="E11" s="5" t="n"/>
      <c r="F11" s="5" t="n"/>
      <c r="G11" s="5" t="n"/>
      <c r="H11" s="5" t="n"/>
    </row>
    <row r="12">
      <c r="A12" t="n">
        <v>9</v>
      </c>
      <c r="B12" s="5" t="n"/>
      <c r="C12" s="5" t="n"/>
      <c r="D12" s="5" t="n"/>
      <c r="E12" s="5" t="n"/>
      <c r="F12" s="5" t="n"/>
      <c r="G12" s="5" t="n"/>
      <c r="H12" s="5" t="n"/>
    </row>
    <row r="13">
      <c r="A13" t="n">
        <v>10</v>
      </c>
      <c r="B13" s="5" t="n"/>
      <c r="C13" s="5" t="n"/>
      <c r="D13" s="5" t="n"/>
      <c r="E13" s="5" t="n"/>
      <c r="F13" s="5" t="n"/>
      <c r="G13" s="5" t="n"/>
      <c r="H13" s="5" t="n"/>
    </row>
    <row r="14">
      <c r="A14" t="n">
        <v>11</v>
      </c>
      <c r="B14" s="5" t="n"/>
      <c r="C14" s="5" t="n"/>
      <c r="D14" s="5" t="n"/>
      <c r="E14" s="5" t="n"/>
      <c r="F14" s="5" t="n"/>
      <c r="G14" s="5" t="n"/>
      <c r="H14" s="5" t="n"/>
    </row>
    <row r="15">
      <c r="A15" t="n">
        <v>12</v>
      </c>
      <c r="B15" s="5" t="n"/>
      <c r="C15" s="5" t="n"/>
      <c r="D15" s="5" t="n"/>
      <c r="E15" s="5" t="n"/>
      <c r="F15" s="5" t="n"/>
      <c r="G15" s="5" t="n"/>
      <c r="H15" s="5" t="n"/>
    </row>
    <row r="16">
      <c r="A16" t="n">
        <v>13</v>
      </c>
      <c r="B16" s="5" t="n"/>
      <c r="C16" s="5" t="n"/>
      <c r="D16" s="5" t="n"/>
      <c r="E16" s="5" t="n"/>
      <c r="F16" s="5" t="n"/>
      <c r="G16" s="5" t="n"/>
      <c r="H16" s="5" t="n"/>
    </row>
    <row r="17">
      <c r="A17" t="n">
        <v>14</v>
      </c>
      <c r="B17" s="5" t="n"/>
      <c r="C17" s="5" t="n"/>
      <c r="D17" s="5" t="n"/>
      <c r="E17" s="5" t="n"/>
      <c r="F17" s="5" t="n"/>
      <c r="G17" s="5" t="n"/>
      <c r="H17" s="5" t="n"/>
    </row>
    <row r="18">
      <c r="A18" t="n">
        <v>15</v>
      </c>
      <c r="B18" s="5" t="n"/>
      <c r="C18" s="5" t="n"/>
      <c r="D18" s="5" t="n"/>
      <c r="E18" s="5" t="n"/>
      <c r="F18" s="5" t="n"/>
      <c r="G18" s="5" t="n"/>
      <c r="H18" s="5" t="n"/>
    </row>
    <row r="19">
      <c r="A19" t="n">
        <v>16</v>
      </c>
      <c r="B19" s="5" t="n"/>
      <c r="C19" s="5" t="n"/>
      <c r="D19" s="5" t="n"/>
      <c r="E19" s="5" t="n"/>
      <c r="F19" s="5" t="n"/>
      <c r="G19" s="5" t="n"/>
      <c r="H19" s="5" t="n"/>
    </row>
    <row r="20">
      <c r="A20" t="n">
        <v>17</v>
      </c>
      <c r="B20" s="5" t="n"/>
      <c r="C20" s="5" t="n"/>
      <c r="D20" s="5" t="n"/>
      <c r="E20" s="5" t="n"/>
      <c r="F20" s="5" t="n"/>
      <c r="G20" s="5" t="n"/>
      <c r="H20" s="5" t="n"/>
    </row>
    <row r="21">
      <c r="A21" t="n">
        <v>18</v>
      </c>
      <c r="B21" s="5" t="n"/>
      <c r="C21" s="5" t="n"/>
      <c r="D21" s="5" t="n"/>
      <c r="E21" s="5" t="n"/>
      <c r="F21" s="5" t="n"/>
      <c r="G21" s="5" t="n"/>
      <c r="H21" s="5" t="n"/>
    </row>
    <row r="22">
      <c r="A22" t="n">
        <v>19</v>
      </c>
      <c r="B22" s="5" t="n"/>
      <c r="C22" s="5" t="n"/>
      <c r="D22" s="5" t="n"/>
      <c r="E22" s="5" t="n"/>
      <c r="F22" s="5" t="n"/>
      <c r="G22" s="5" t="n"/>
      <c r="H22" s="5" t="n"/>
    </row>
    <row r="23">
      <c r="A23" t="n">
        <v>20</v>
      </c>
      <c r="B23" s="5" t="n"/>
      <c r="C23" s="5" t="n"/>
      <c r="D23" s="5" t="n"/>
      <c r="E23" s="5" t="n"/>
      <c r="F23" s="5" t="n"/>
      <c r="G23" s="5" t="n"/>
      <c r="H23" s="5" t="n"/>
    </row>
    <row r="24">
      <c r="A24" t="n">
        <v>21</v>
      </c>
      <c r="B24" s="5" t="n"/>
      <c r="C24" s="5" t="n"/>
      <c r="D24" s="5" t="n"/>
      <c r="E24" s="5" t="n"/>
      <c r="F24" s="5" t="n"/>
      <c r="G24" s="5" t="n"/>
      <c r="H24" s="5" t="n"/>
    </row>
    <row r="25">
      <c r="A25" t="n">
        <v>22</v>
      </c>
      <c r="B25" s="5" t="n"/>
      <c r="C25" s="5" t="n"/>
      <c r="D25" s="5" t="n"/>
      <c r="E25" s="5" t="n"/>
      <c r="F25" s="5" t="n"/>
      <c r="G25" s="5" t="n"/>
      <c r="H25" s="5" t="n"/>
    </row>
    <row r="26">
      <c r="A26" t="n">
        <v>23</v>
      </c>
      <c r="B26" s="5" t="n"/>
      <c r="C26" s="5" t="n"/>
      <c r="D26" s="5" t="n"/>
      <c r="E26" s="5" t="n"/>
      <c r="F26" s="5" t="n"/>
      <c r="G26" s="5" t="n"/>
      <c r="H26" s="5" t="n"/>
    </row>
    <row r="27">
      <c r="A27" t="n">
        <v>24</v>
      </c>
      <c r="B27" s="5" t="n"/>
      <c r="C27" s="5" t="n"/>
      <c r="D27" s="5" t="n"/>
      <c r="E27" s="5" t="n"/>
      <c r="F27" s="5" t="n"/>
      <c r="G27" s="5" t="n"/>
      <c r="H27" s="5" t="n"/>
    </row>
    <row r="28">
      <c r="A28" t="n">
        <v>25</v>
      </c>
      <c r="B28" s="5" t="n"/>
      <c r="C28" s="5" t="n"/>
      <c r="D28" s="5" t="n"/>
      <c r="E28" s="5" t="n"/>
      <c r="F28" s="5" t="n"/>
      <c r="G28" s="5" t="n"/>
      <c r="H28" s="5" t="n"/>
    </row>
    <row r="29">
      <c r="A29" t="n">
        <v>26</v>
      </c>
      <c r="B29" s="5" t="n"/>
      <c r="C29" s="5" t="n"/>
      <c r="D29" s="5" t="n"/>
      <c r="E29" s="5" t="n"/>
      <c r="F29" s="5" t="n"/>
      <c r="G29" s="5" t="n"/>
      <c r="H29" s="5" t="n"/>
    </row>
    <row r="30">
      <c r="A30" t="n">
        <v>27</v>
      </c>
      <c r="B30" s="5" t="n"/>
      <c r="C30" s="5" t="n"/>
      <c r="D30" s="5" t="n"/>
      <c r="E30" s="5" t="n"/>
      <c r="F30" s="5" t="n"/>
      <c r="G30" s="5" t="n"/>
      <c r="H30" s="5" t="n"/>
    </row>
    <row r="31">
      <c r="A31" t="n">
        <v>28</v>
      </c>
      <c r="B31" s="5" t="n"/>
      <c r="C31" s="5" t="n"/>
      <c r="D31" s="5" t="n"/>
      <c r="E31" s="5" t="n"/>
      <c r="F31" s="5" t="n"/>
      <c r="G31" s="5" t="n"/>
      <c r="H31" s="5" t="n"/>
    </row>
    <row r="32">
      <c r="A32" t="n">
        <v>29</v>
      </c>
      <c r="B32" s="5" t="n"/>
      <c r="C32" s="5" t="n"/>
      <c r="D32" s="5" t="n"/>
      <c r="E32" s="5" t="n"/>
      <c r="F32" s="5" t="n"/>
      <c r="G32" s="5" t="n"/>
      <c r="H32" s="5" t="n"/>
    </row>
    <row r="33">
      <c r="A33" t="n">
        <v>30</v>
      </c>
      <c r="B33" s="5" t="n"/>
      <c r="C33" s="5" t="n"/>
      <c r="D33" s="5" t="n"/>
      <c r="E33" s="5" t="n"/>
      <c r="F33" s="5" t="n"/>
      <c r="G33" s="5" t="n"/>
      <c r="H33" s="5" t="n"/>
    </row>
    <row r="35">
      <c r="A35" s="2" t="inlineStr">
        <is>
          <t>Segmentation Remediation Approach</t>
        </is>
      </c>
    </row>
    <row r="36" ht="20" customHeight="1">
      <c r="A36" s="4" t="inlineStr">
        <is>
          <t>1. CRITICAL FIRST: Address Critical gaps immediately (flat networks, bypass routes)</t>
        </is>
      </c>
    </row>
    <row r="37" ht="20" customHeight="1">
      <c r="A37" s="4" t="inlineStr">
        <is>
          <t>2. QUICK WINS: Implement easy improvements (VLAN assignment, ACL updates)</t>
        </is>
      </c>
    </row>
    <row r="38" ht="20" customHeight="1">
      <c r="A38" s="4" t="inlineStr">
        <is>
          <t>3. FIREWALL RULES: Review and tighten firewall rules between zones</t>
        </is>
      </c>
    </row>
    <row r="39" ht="20" customHeight="1">
      <c r="A39" s="4" t="inlineStr">
        <is>
          <t>4. TESTING: Re-test after each change to verify effectiveness</t>
        </is>
      </c>
    </row>
    <row r="40" ht="20" customHeight="1">
      <c r="A40" s="4" t="inlineStr">
        <is>
          <t>5. DOCUMENTATION: Update network documentation (topology, VLAN database)</t>
        </is>
      </c>
    </row>
    <row r="41" ht="20" customHeight="1">
      <c r="A41" s="4" t="inlineStr">
        <is>
          <t>6. MONITORING: Enable logging and alerting for inter-zone traffic</t>
        </is>
      </c>
    </row>
  </sheetData>
  <mergeCells count="9">
    <mergeCell ref="A39:H39"/>
    <mergeCell ref="A35:H35"/>
    <mergeCell ref="A38:H38"/>
    <mergeCell ref="A2:H2"/>
    <mergeCell ref="A41:H41"/>
    <mergeCell ref="A36:H36"/>
    <mergeCell ref="A1:H1"/>
    <mergeCell ref="A37:H37"/>
    <mergeCell ref="A40:H40"/>
  </mergeCells>
  <conditionalFormatting sqref="B4:B33">
    <cfRule type="cellIs" priority="1" operator="equal" dxfId="4">
      <formula>"Critical"</formula>
    </cfRule>
    <cfRule type="cellIs" priority="2" operator="equal" dxfId="5">
      <formula>"High"</formula>
    </cfRule>
    <cfRule type="cellIs" priority="3" operator="equal" dxfId="6">
      <formula>"Medium"</formula>
    </cfRule>
  </conditionalFormatting>
  <dataValidations count="2">
    <dataValidation sqref="B4:B33 F4:F53" showDropDown="0" showInputMessage="0" showErrorMessage="0" allowBlank="0" type="list">
      <formula1>"🔴 Critical,🟡 High,🟢 Medium,⚪ Low"</formula1>
    </dataValidation>
    <dataValidation sqref="H4:H33 I4:I53" showDropDown="0" showInputMessage="0" showErrorMessage="0" allowBlank="0" type="list">
      <formula1>"Open,In Progress,Resolved,Accepted Risk"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2026-01-31T02:18:33Z</dcterms:created>
  <dcterms:modified xmlns:dcterms="http://purl.org/dc/terms/" xmlns:xsi="http://www.w3.org/2001/XMLSchema-instance" xsi:type="dcterms:W3CDTF">2026-01-31T02:18:33Z</dcterms:modified>
</cp:coreProperties>
</file>