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uide" sheetId="1" state="visible" r:id="rId1"/>
    <sheet xmlns:r="http://schemas.openxmlformats.org/officeDocument/2006/relationships" name="Device_Hardening_Assessment" sheetId="2" state="visible" r:id="rId2"/>
    <sheet xmlns:r="http://schemas.openxmlformats.org/officeDocument/2006/relationships" name="Hardening_Baseline_Reference" sheetId="3" state="visible" r:id="rId3"/>
    <sheet xmlns:r="http://schemas.openxmlformats.org/officeDocument/2006/relationships" name="Gap_Summary" sheetId="4" state="visible" r:id="rId4"/>
    <sheet xmlns:r="http://schemas.openxmlformats.org/officeDocument/2006/relationships" name="Compliance_Scoring" sheetId="5" state="visible" r:id="rId5"/>
    <sheet xmlns:r="http://schemas.openxmlformats.org/officeDocument/2006/relationships" name="Device_Type_Compliance" sheetId="6" state="visible" r:id="rId6"/>
    <sheet xmlns:r="http://schemas.openxmlformats.org/officeDocument/2006/relationships" name="Top_Gaps_Analysis" sheetId="7" state="visible" r:id="rId7"/>
    <sheet xmlns:r="http://schemas.openxmlformats.org/officeDocument/2006/relationships" name="Remediation_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color rgb="007F7F7F"/>
      <sz val="10"/>
    </font>
    <font>
      <name val="Calibri"/>
      <b val="1"/>
      <color rgb="00FFFFFF"/>
      <sz val="10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FCC"/>
        <bgColor rgb="00FFFFCC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6" borderId="0" pivotButton="0" quotePrefix="0" xfId="0"/>
    <xf numFmtId="0" fontId="5" fillId="7" borderId="0" pivotButton="0" quotePrefix="0" xfId="0"/>
    <xf numFmtId="0" fontId="6" fillId="4" borderId="0" pivotButton="0" quotePrefix="0" xfId="0"/>
    <xf numFmtId="0" fontId="0" fillId="8" borderId="1" applyAlignment="1" pivotButton="0" quotePrefix="0" xfId="0">
      <alignment horizontal="center" vertical="center"/>
    </xf>
    <xf numFmtId="164" fontId="0" fillId="0" borderId="0" pivotButton="0" quotePrefix="0" xfId="0"/>
    <xf numFmtId="0" fontId="7" fillId="9" borderId="0" pivotButton="0" quotePrefix="0" xfId="0"/>
    <xf numFmtId="0" fontId="8" fillId="10" borderId="0" pivotButton="0" quotePrefix="0" xfId="0"/>
    <xf numFmtId="0" fontId="8" fillId="11" borderId="0" pivotButton="0" quotePrefix="0" xfId="0"/>
    <xf numFmtId="0" fontId="8" fillId="12" borderId="0" pivotButton="0" quotePrefix="0" xfId="0"/>
    <xf numFmtId="164" fontId="0" fillId="5" borderId="1" applyAlignment="1" pivotButton="0" quotePrefix="0" xfId="0">
      <alignment horizontal="left" vertical="top" wrapText="1"/>
    </xf>
    <xf numFmtId="165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0">
    <dxf>
      <font>
        <name val="Calibr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Calibri"/>
        <color rgb="007F7F7F"/>
        <sz val="10"/>
      </font>
      <fill>
        <patternFill patternType="solid">
          <fgColor rgb="00D9D9D9"/>
          <bgColor rgb="00D9D9D9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name val="Calibri"/>
        <b val="1"/>
        <color rgb="00FFFFFF"/>
        <sz val="10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Status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'Compliance_Scoring'!$A$15:$A$18</f>
            </numRef>
          </cat>
          <val>
            <numRef>
              <f>'Compliance_Scoring'!$B$15:$B$18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Compliance Score by Device Type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'Device_Type_Compliance'!$A$6:$A$14</f>
            </numRef>
          </cat>
          <val>
            <numRef>
              <f>'Device_Type_Compliance'!$C$6:$C$14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Device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Most Common Hardening Failures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'Top_Gaps_Analysis'!$A$6:$A$20</f>
            </numRef>
          </cat>
          <val>
            <numRef>
              <f>'Top_Gaps_Analysis'!$B$6:$B$20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Requirement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Failure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22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ISMS-IMP-A.8.20-21-22.2  -  Network Device Security Assessment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Device Security Assessment</t>
        </is>
      </c>
    </row>
    <row r="5">
      <c r="A5" s="3" t="inlineStr">
        <is>
          <t>Generated:</t>
        </is>
      </c>
      <c r="B5" s="4" t="inlineStr">
        <is>
          <t>31.01.2026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Control:</t>
        </is>
      </c>
      <c r="B7" s="4" t="inlineStr">
        <is>
          <t>ISO 27001:2022 A.8.20 (Networks Security)</t>
        </is>
      </c>
    </row>
    <row r="8">
      <c r="A8" s="3" t="inlineStr">
        <is>
          <t>Purpose:</t>
        </is>
      </c>
      <c r="B8" s="4" t="inlineStr">
        <is>
          <t>Assess device hardening compliance against security baselines</t>
        </is>
      </c>
    </row>
    <row r="9">
      <c r="A9" s="3" t="inlineStr">
        <is>
          <t>Related IMP:</t>
        </is>
      </c>
      <c r="B9" s="4" t="inlineStr">
        <is>
          <t>ISMS-IMP-A.8.20-21-22-S3 (Device Hardening Process)</t>
        </is>
      </c>
    </row>
    <row r="10">
      <c r="A10" s="3" t="inlineStr">
        <is>
          <t>Prerequisite:</t>
        </is>
      </c>
      <c r="B10" s="4" t="inlineStr">
        <is>
          <t>Workbook 1 (Device Inventory) should be completed</t>
        </is>
      </c>
    </row>
    <row r="12">
      <c r="A12" s="2" t="inlineStr">
        <is>
          <t>Assessment Methodology</t>
        </is>
      </c>
    </row>
    <row r="13" ht="25" customHeight="1">
      <c r="A13" s="4" t="inlineStr">
        <is>
          <t>1. PREPARATION: Review Device_Inventory from Workbook 1, identify devices to assess</t>
        </is>
      </c>
    </row>
    <row r="14" ht="25" customHeight="1">
      <c r="A14" s="4" t="inlineStr">
        <is>
          <t>2. BASELINE REVIEW: Study Hardening_Baseline_Reference sheet (CIS Benchmarks, vendor guides)</t>
        </is>
      </c>
    </row>
    <row r="15" ht="25" customHeight="1">
      <c r="A15" s="4" t="inlineStr">
        <is>
          <t>3. DEVICE ASSESSMENT: For each device, evaluate compliance with each hardening requirement</t>
        </is>
      </c>
    </row>
    <row r="16" ht="25" customHeight="1">
      <c r="A16" s="4" t="inlineStr">
        <is>
          <t>4. SCORING: Use Yes/No/N/A for each requirement. Compliance score auto-calculates.</t>
        </is>
      </c>
    </row>
    <row r="17" ht="25" customHeight="1">
      <c r="A17" s="4" t="inlineStr">
        <is>
          <t>5. GAP IDENTIFICATION: Document non-compliant items in Gap_Summary sheet</t>
        </is>
      </c>
    </row>
    <row r="18" ht="25" customHeight="1">
      <c r="A18" s="4" t="inlineStr">
        <is>
          <t>6. REMEDIATION: Prioritize gaps by severity, create remediation plan</t>
        </is>
      </c>
    </row>
    <row r="19" ht="25" customHeight="1">
      <c r="A19" s="4" t="inlineStr">
        <is>
          <t>7. VALIDATION: Re-assess after remediation, update compliance scores</t>
        </is>
      </c>
    </row>
    <row r="20" ht="25" customHeight="1">
      <c r="A20" s="4" t="inlineStr">
        <is>
          <t>8. EVIDENCE: Maintain configuration backups, scan results as evidence</t>
        </is>
      </c>
    </row>
    <row r="22">
      <c r="A22" s="2" t="inlineStr">
        <is>
          <t>Assessment Response Criteria</t>
        </is>
      </c>
    </row>
    <row r="23">
      <c r="A23" s="3" t="inlineStr">
        <is>
          <t>Response</t>
        </is>
      </c>
      <c r="B23" s="3" t="inlineStr">
        <is>
          <t>Definition</t>
        </is>
      </c>
      <c r="C23" s="3" t="inlineStr">
        <is>
          <t>When to Use</t>
        </is>
      </c>
    </row>
    <row r="24" ht="30" customHeight="1">
      <c r="A24" s="5" t="inlineStr">
        <is>
          <t>Yes</t>
        </is>
      </c>
      <c r="B24" s="4" t="inlineStr">
        <is>
          <t>Requirement is fully implemented and verified</t>
        </is>
      </c>
      <c r="C24" s="4" t="inlineStr">
        <is>
          <t>Hardening control is configured correctly and confirmed</t>
        </is>
      </c>
    </row>
    <row r="25" ht="30" customHeight="1">
      <c r="A25" s="6" t="inlineStr">
        <is>
          <t>No</t>
        </is>
      </c>
      <c r="B25" s="4" t="inlineStr">
        <is>
          <t>Requirement is NOT implemented or incorrectly configured</t>
        </is>
      </c>
      <c r="C25" s="4" t="inlineStr">
        <is>
          <t>Control is missing, disabled, or misconfigured</t>
        </is>
      </c>
    </row>
    <row r="26" ht="30" customHeight="1">
      <c r="A26" s="7" t="inlineStr">
        <is>
          <t>N/A</t>
        </is>
      </c>
      <c r="B26" s="4" t="inlineStr">
        <is>
          <t>Requirement does not apply to this device</t>
        </is>
      </c>
      <c r="C26" s="4" t="inlineStr">
        <is>
          <t>Device type/role does not require this control</t>
        </is>
      </c>
    </row>
    <row r="28">
      <c r="A28" s="2" t="inlineStr">
        <is>
          <t>Compliance Scoring Formula</t>
        </is>
      </c>
    </row>
    <row r="29" ht="25" customHeight="1">
      <c r="A29" s="4" t="inlineStr">
        <is>
          <t>Compliance Score (%) = (Count of "Yes") / (Count of "Yes" + Count of "No") × 100</t>
        </is>
      </c>
    </row>
    <row r="30">
      <c r="A30" s="4" t="inlineStr">
        <is>
          <t>📌 NOTE: "N/A" responses are excluded from scoring (not applicable controls do not affect compliance)</t>
        </is>
      </c>
    </row>
    <row r="32">
      <c r="A32" s="2" t="inlineStr">
        <is>
          <t>Hardening Requirements Overview (15 Requirements)</t>
        </is>
      </c>
    </row>
    <row r="33">
      <c r="A33" s="3" t="inlineStr">
        <is>
          <t>#</t>
        </is>
      </c>
      <c r="B33" s="3" t="inlineStr">
        <is>
          <t>Requirement</t>
        </is>
      </c>
      <c r="C33" s="3" t="inlineStr">
        <is>
          <t>Applicability</t>
        </is>
      </c>
    </row>
    <row r="34" ht="20" customHeight="1">
      <c r="A34" s="3" t="n">
        <v>1</v>
      </c>
      <c r="B34" s="4" t="inlineStr">
        <is>
          <t>Default Credentials Disabled</t>
        </is>
      </c>
      <c r="C34" s="4" t="inlineStr">
        <is>
          <t>All devices</t>
        </is>
      </c>
    </row>
    <row r="35" ht="20" customHeight="1">
      <c r="A35" s="3" t="n">
        <v>2</v>
      </c>
      <c r="B35" s="4" t="inlineStr">
        <is>
          <t>Strong Password Policy</t>
        </is>
      </c>
      <c r="C35" s="4" t="inlineStr">
        <is>
          <t>All devices</t>
        </is>
      </c>
    </row>
    <row r="36" ht="20" customHeight="1">
      <c r="A36" s="3" t="n">
        <v>3</v>
      </c>
      <c r="B36" s="4" t="inlineStr">
        <is>
          <t>Multi-Factor Authentication (MFA)</t>
        </is>
      </c>
      <c r="C36" s="4" t="inlineStr">
        <is>
          <t>Management devices, critical infrastructure</t>
        </is>
      </c>
    </row>
    <row r="37" ht="20" customHeight="1">
      <c r="A37" s="3" t="n">
        <v>4</v>
      </c>
      <c r="B37" s="4" t="inlineStr">
        <is>
          <t>Unnecessary Services Disabled</t>
        </is>
      </c>
      <c r="C37" s="4" t="inlineStr">
        <is>
          <t>All devices (disable unused services)</t>
        </is>
      </c>
    </row>
    <row r="38" ht="20" customHeight="1">
      <c r="A38" s="3" t="n">
        <v>5</v>
      </c>
      <c r="B38" s="4" t="inlineStr">
        <is>
          <t>Secure Management (SSH/HTTPS Only)</t>
        </is>
      </c>
      <c r="C38" s="4" t="inlineStr">
        <is>
          <t>All devices (SSH for CLI, HTTPS for web)</t>
        </is>
      </c>
    </row>
    <row r="39" ht="20" customHeight="1">
      <c r="A39" s="3" t="n">
        <v>6</v>
      </c>
      <c r="B39" s="4" t="inlineStr">
        <is>
          <t>Logging Enabled</t>
        </is>
      </c>
      <c r="C39" s="4" t="inlineStr">
        <is>
          <t>All devices (syslog, local logs)</t>
        </is>
      </c>
    </row>
    <row r="40" ht="20" customHeight="1">
      <c r="A40" s="3" t="n">
        <v>7</v>
      </c>
      <c r="B40" s="4" t="inlineStr">
        <is>
          <t>NTP Configured</t>
        </is>
      </c>
      <c r="C40" s="4" t="inlineStr">
        <is>
          <t>All devices (time synchronization)</t>
        </is>
      </c>
    </row>
    <row r="41" ht="20" customHeight="1">
      <c r="A41" s="3" t="n">
        <v>8</v>
      </c>
      <c r="B41" s="4" t="inlineStr">
        <is>
          <t>SNMPv3 Only (v1/v2c Disabled)</t>
        </is>
      </c>
      <c r="C41" s="4" t="inlineStr">
        <is>
          <t>All devices (if SNMP used)</t>
        </is>
      </c>
    </row>
    <row r="42" ht="20" customHeight="1">
      <c r="A42" s="3" t="n">
        <v>9</v>
      </c>
      <c r="B42" s="4" t="inlineStr">
        <is>
          <t>Session Timeouts Configured</t>
        </is>
      </c>
      <c r="C42" s="4" t="inlineStr">
        <is>
          <t>All devices (idle timeout)</t>
        </is>
      </c>
    </row>
    <row r="43" ht="20" customHeight="1">
      <c r="A43" s="3" t="n">
        <v>10</v>
      </c>
      <c r="B43" s="4" t="inlineStr">
        <is>
          <t>Banner Messages Configured</t>
        </is>
      </c>
      <c r="C43" s="4" t="inlineStr">
        <is>
          <t>All devices (login banner)</t>
        </is>
      </c>
    </row>
    <row r="44" ht="20" customHeight="1">
      <c r="A44" s="3" t="n">
        <v>11</v>
      </c>
      <c r="B44" s="4" t="inlineStr">
        <is>
          <t>Configuration Backups</t>
        </is>
      </c>
      <c r="C44" s="4" t="inlineStr">
        <is>
          <t>All devices (automated backups)</t>
        </is>
      </c>
    </row>
    <row r="45" ht="20" customHeight="1">
      <c r="A45" s="3" t="n">
        <v>12</v>
      </c>
      <c r="B45" s="4" t="inlineStr">
        <is>
          <t>Firmware/Software Up-to-Date</t>
        </is>
      </c>
      <c r="C45" s="4" t="inlineStr">
        <is>
          <t>All devices (security patches)</t>
        </is>
      </c>
    </row>
    <row r="46" ht="20" customHeight="1">
      <c r="A46" s="3" t="n">
        <v>13</v>
      </c>
      <c r="B46" s="4" t="inlineStr">
        <is>
          <t>Access Control Lists (ACLs)</t>
        </is>
      </c>
      <c r="C46" s="4" t="inlineStr">
        <is>
          <t>Routers, Firewalls (ingress/egress filtering)</t>
        </is>
      </c>
    </row>
    <row r="47" ht="20" customHeight="1">
      <c r="A47" s="3" t="n">
        <v>14</v>
      </c>
      <c r="B47" s="4" t="inlineStr">
        <is>
          <t>Encrypted Management Traffic</t>
        </is>
      </c>
      <c r="C47" s="4" t="inlineStr">
        <is>
          <t>All devices (TLS for management)</t>
        </is>
      </c>
    </row>
    <row r="48" ht="20" customHeight="1">
      <c r="A48" s="3" t="n">
        <v>15</v>
      </c>
      <c r="B48" s="4" t="inlineStr">
        <is>
          <t>Least Privilege Access</t>
        </is>
      </c>
      <c r="C48" s="4" t="inlineStr">
        <is>
          <t>All devices (role-based access)</t>
        </is>
      </c>
    </row>
    <row r="50">
      <c r="A50" s="2" t="inlineStr">
        <is>
          <t>⚠ IMPORTANT ASSESSMENT NOTES</t>
        </is>
      </c>
    </row>
    <row r="51" ht="20" customHeight="1">
      <c r="A51" s="4" t="inlineStr">
        <is>
          <t>• Base assessments on CIS Benchmarks and vendor hardening guides (see Hardening_Baseline_Reference)</t>
        </is>
      </c>
    </row>
    <row r="52" ht="20" customHeight="1">
      <c r="A52" s="4" t="inlineStr">
        <is>
          <t>• Verify configurations via CLI, GUI, or config file review (don't rely on documentation alone)</t>
        </is>
      </c>
    </row>
    <row r="53" ht="20" customHeight="1">
      <c r="A53" s="4" t="inlineStr">
        <is>
          <t>• Use 'N/A' appropriately - don't mark everything N/A to inflate scores</t>
        </is>
      </c>
    </row>
    <row r="54" ht="20" customHeight="1">
      <c r="A54" s="4" t="inlineStr">
        <is>
          <t>• Document evidence for each assessment (config screenshots, command outputs)</t>
        </is>
      </c>
    </row>
    <row r="55" ht="20" customHeight="1">
      <c r="A55" s="4" t="inlineStr">
        <is>
          <t>• Reassess after remediation to track improvement</t>
        </is>
      </c>
    </row>
    <row r="56" ht="20" customHeight="1">
      <c r="A56" s="4" t="inlineStr">
        <is>
          <t>• Critical/High severity gaps require immediate remediation</t>
        </is>
      </c>
    </row>
  </sheetData>
  <mergeCells count="23">
    <mergeCell ref="A30:H30"/>
    <mergeCell ref="A15:H15"/>
    <mergeCell ref="A51:H51"/>
    <mergeCell ref="A1:H1"/>
    <mergeCell ref="A16:H16"/>
    <mergeCell ref="A54:H54"/>
    <mergeCell ref="A3:B3"/>
    <mergeCell ref="A12:H12"/>
    <mergeCell ref="A18:H18"/>
    <mergeCell ref="A50:H50"/>
    <mergeCell ref="A56:H56"/>
    <mergeCell ref="A55:H55"/>
    <mergeCell ref="A14:H14"/>
    <mergeCell ref="A32:H32"/>
    <mergeCell ref="A22:H22"/>
    <mergeCell ref="A17:H17"/>
    <mergeCell ref="A53:H53"/>
    <mergeCell ref="A29:H29"/>
    <mergeCell ref="A20:H20"/>
    <mergeCell ref="A52:H52"/>
    <mergeCell ref="A28:H28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" customWidth="1" min="21" max="21"/>
    <col width="10" customWidth="1" min="22" max="22"/>
    <col width="15" customWidth="1" min="23" max="23"/>
    <col width="20" customWidth="1" min="24" max="24"/>
    <col width="40" customWidth="1" min="25" max="25"/>
  </cols>
  <sheetData>
    <row r="1" ht="25" customHeight="1">
      <c r="A1" s="1" t="inlineStr">
        <is>
          <t>Network Device Hardening Assessment - Generated 31.01.2026</t>
        </is>
      </c>
    </row>
    <row r="2" ht="30" customHeight="1">
      <c r="A2" s="4" t="inlineStr">
        <is>
          <t>📋 Assess each device against 15 hardening requirements. Yellow cells are assessment fields (Yes/No/N/A). Compliance score auto-calculates.</t>
        </is>
      </c>
    </row>
    <row r="3">
      <c r="A3" s="3" t="inlineStr">
        <is>
          <t>Device ID</t>
        </is>
      </c>
      <c r="B3" s="3" t="inlineStr">
        <is>
          <t>Device Type</t>
        </is>
      </c>
      <c r="C3" s="3" t="inlineStr">
        <is>
          <t>Hostname</t>
        </is>
      </c>
      <c r="D3" s="3" t="inlineStr">
        <is>
          <t>Primary IP</t>
        </is>
      </c>
      <c r="E3" s="3" t="inlineStr">
        <is>
          <t>Criticality</t>
        </is>
      </c>
      <c r="F3" s="3" t="inlineStr">
        <is>
          <t>Default Credentials Disabled</t>
        </is>
      </c>
      <c r="G3" s="3" t="inlineStr">
        <is>
          <t>Strong Password Policy</t>
        </is>
      </c>
      <c r="H3" s="3" t="inlineStr">
        <is>
          <t>Multi-Factor Authentication (MFA)</t>
        </is>
      </c>
      <c r="I3" s="3" t="inlineStr">
        <is>
          <t>Unnecessary Services Disabled</t>
        </is>
      </c>
      <c r="J3" s="3" t="inlineStr">
        <is>
          <t>Secure Management (SSH/HTTPS Only)</t>
        </is>
      </c>
      <c r="K3" s="3" t="inlineStr">
        <is>
          <t>Logging Enabled</t>
        </is>
      </c>
      <c r="L3" s="3" t="inlineStr">
        <is>
          <t>NTP Configured</t>
        </is>
      </c>
      <c r="M3" s="3" t="inlineStr">
        <is>
          <t>SNMPv3 Only (v1/v2c Disabled)</t>
        </is>
      </c>
      <c r="N3" s="3" t="inlineStr">
        <is>
          <t>Session Timeouts Configured</t>
        </is>
      </c>
      <c r="O3" s="3" t="inlineStr">
        <is>
          <t>Banner Messages Configured</t>
        </is>
      </c>
      <c r="P3" s="3" t="inlineStr">
        <is>
          <t>Configuration Backups</t>
        </is>
      </c>
      <c r="Q3" s="3" t="inlineStr">
        <is>
          <t>Firmware/Software Up-to-Date</t>
        </is>
      </c>
      <c r="R3" s="3" t="inlineStr">
        <is>
          <t>Access Control Lists (ACLs)</t>
        </is>
      </c>
      <c r="S3" s="3" t="inlineStr">
        <is>
          <t>Encrypted Management Traffic</t>
        </is>
      </c>
      <c r="T3" s="3" t="inlineStr">
        <is>
          <t>Least Privilege Access</t>
        </is>
      </c>
      <c r="U3" s="3" t="inlineStr">
        <is>
          <t>Compliance Score (%)</t>
        </is>
      </c>
      <c r="V3" s="3" t="inlineStr">
        <is>
          <t>Gap Count</t>
        </is>
      </c>
      <c r="W3" s="3" t="inlineStr">
        <is>
          <t>Assessment Date</t>
        </is>
      </c>
      <c r="X3" s="3" t="inlineStr">
        <is>
          <t>Assessor</t>
        </is>
      </c>
      <c r="Y3" s="3" t="inlineStr">
        <is>
          <t>Notes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>
        <f>IF(COUNTIF(F4:T4,"Yes")+COUNTIF(F4:T4,"No")=0,"",COUNTIF(F4:T4,"Yes")/(COUNTIF(F4:T4,"Yes")+COUNTIF(F4:T4,"No"))*100)</f>
        <v/>
      </c>
      <c r="V4">
        <f>COUNTIF(F4:T4,"No")</f>
        <v/>
      </c>
      <c r="W4" s="8" t="n"/>
      <c r="X4" s="8" t="n"/>
      <c r="Y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>
        <f>IF(COUNTIF(F5:T5,"Yes")+COUNTIF(F5:T5,"No")=0,"",COUNTIF(F5:T5,"Yes")/(COUNTIF(F5:T5,"Yes")+COUNTIF(F5:T5,"No"))*100)</f>
        <v/>
      </c>
      <c r="V5">
        <f>COUNTIF(F5:T5,"No")</f>
        <v/>
      </c>
      <c r="W5" s="8" t="n"/>
      <c r="X5" s="8" t="n"/>
      <c r="Y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>
        <f>IF(COUNTIF(F6:T6,"Yes")+COUNTIF(F6:T6,"No")=0,"",COUNTIF(F6:T6,"Yes")/(COUNTIF(F6:T6,"Yes")+COUNTIF(F6:T6,"No"))*100)</f>
        <v/>
      </c>
      <c r="V6">
        <f>COUNTIF(F6:T6,"No")</f>
        <v/>
      </c>
      <c r="W6" s="8" t="n"/>
      <c r="X6" s="8" t="n"/>
      <c r="Y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9">
        <f>IF(COUNTIF(F7:T7,"Yes")+COUNTIF(F7:T7,"No")=0,"",COUNTIF(F7:T7,"Yes")/(COUNTIF(F7:T7,"Yes")+COUNTIF(F7:T7,"No"))*100)</f>
        <v/>
      </c>
      <c r="V7">
        <f>COUNTIF(F7:T7,"No")</f>
        <v/>
      </c>
      <c r="W7" s="8" t="n"/>
      <c r="X7" s="8" t="n"/>
      <c r="Y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9">
        <f>IF(COUNTIF(F8:T8,"Yes")+COUNTIF(F8:T8,"No")=0,"",COUNTIF(F8:T8,"Yes")/(COUNTIF(F8:T8,"Yes")+COUNTIF(F8:T8,"No"))*100)</f>
        <v/>
      </c>
      <c r="V8">
        <f>COUNTIF(F8:T8,"No")</f>
        <v/>
      </c>
      <c r="W8" s="8" t="n"/>
      <c r="X8" s="8" t="n"/>
      <c r="Y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9">
        <f>IF(COUNTIF(F9:T9,"Yes")+COUNTIF(F9:T9,"No")=0,"",COUNTIF(F9:T9,"Yes")/(COUNTIF(F9:T9,"Yes")+COUNTIF(F9:T9,"No"))*100)</f>
        <v/>
      </c>
      <c r="V9">
        <f>COUNTIF(F9:T9,"No")</f>
        <v/>
      </c>
      <c r="W9" s="8" t="n"/>
      <c r="X9" s="8" t="n"/>
      <c r="Y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9">
        <f>IF(COUNTIF(F10:T10,"Yes")+COUNTIF(F10:T10,"No")=0,"",COUNTIF(F10:T10,"Yes")/(COUNTIF(F10:T10,"Yes")+COUNTIF(F10:T10,"No"))*100)</f>
        <v/>
      </c>
      <c r="V10">
        <f>COUNTIF(F10:T10,"No")</f>
        <v/>
      </c>
      <c r="W10" s="8" t="n"/>
      <c r="X10" s="8" t="n"/>
      <c r="Y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9">
        <f>IF(COUNTIF(F11:T11,"Yes")+COUNTIF(F11:T11,"No")=0,"",COUNTIF(F11:T11,"Yes")/(COUNTIF(F11:T11,"Yes")+COUNTIF(F11:T11,"No"))*100)</f>
        <v/>
      </c>
      <c r="V11">
        <f>COUNTIF(F11:T11,"No")</f>
        <v/>
      </c>
      <c r="W11" s="8" t="n"/>
      <c r="X11" s="8" t="n"/>
      <c r="Y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9">
        <f>IF(COUNTIF(F12:T12,"Yes")+COUNTIF(F12:T12,"No")=0,"",COUNTIF(F12:T12,"Yes")/(COUNTIF(F12:T12,"Yes")+COUNTIF(F12:T12,"No"))*100)</f>
        <v/>
      </c>
      <c r="V12">
        <f>COUNTIF(F12:T12,"No")</f>
        <v/>
      </c>
      <c r="W12" s="8" t="n"/>
      <c r="X12" s="8" t="n"/>
      <c r="Y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9">
        <f>IF(COUNTIF(F13:T13,"Yes")+COUNTIF(F13:T13,"No")=0,"",COUNTIF(F13:T13,"Yes")/(COUNTIF(F13:T13,"Yes")+COUNTIF(F13:T13,"No"))*100)</f>
        <v/>
      </c>
      <c r="V13">
        <f>COUNTIF(F13:T13,"No")</f>
        <v/>
      </c>
      <c r="W13" s="8" t="n"/>
      <c r="X13" s="8" t="n"/>
      <c r="Y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9">
        <f>IF(COUNTIF(F14:T14,"Yes")+COUNTIF(F14:T14,"No")=0,"",COUNTIF(F14:T14,"Yes")/(COUNTIF(F14:T14,"Yes")+COUNTIF(F14:T14,"No"))*100)</f>
        <v/>
      </c>
      <c r="V14">
        <f>COUNTIF(F14:T14,"No")</f>
        <v/>
      </c>
      <c r="W14" s="8" t="n"/>
      <c r="X14" s="8" t="n"/>
      <c r="Y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9">
        <f>IF(COUNTIF(F15:T15,"Yes")+COUNTIF(F15:T15,"No")=0,"",COUNTIF(F15:T15,"Yes")/(COUNTIF(F15:T15,"Yes")+COUNTIF(F15:T15,"No"))*100)</f>
        <v/>
      </c>
      <c r="V15">
        <f>COUNTIF(F15:T15,"No")</f>
        <v/>
      </c>
      <c r="W15" s="8" t="n"/>
      <c r="X15" s="8" t="n"/>
      <c r="Y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9">
        <f>IF(COUNTIF(F16:T16,"Yes")+COUNTIF(F16:T16,"No")=0,"",COUNTIF(F16:T16,"Yes")/(COUNTIF(F16:T16,"Yes")+COUNTIF(F16:T16,"No"))*100)</f>
        <v/>
      </c>
      <c r="V16">
        <f>COUNTIF(F16:T16,"No")</f>
        <v/>
      </c>
      <c r="W16" s="8" t="n"/>
      <c r="X16" s="8" t="n"/>
      <c r="Y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9">
        <f>IF(COUNTIF(F17:T17,"Yes")+COUNTIF(F17:T17,"No")=0,"",COUNTIF(F17:T17,"Yes")/(COUNTIF(F17:T17,"Yes")+COUNTIF(F17:T17,"No"))*100)</f>
        <v/>
      </c>
      <c r="V17">
        <f>COUNTIF(F17:T17,"No")</f>
        <v/>
      </c>
      <c r="W17" s="8" t="n"/>
      <c r="X17" s="8" t="n"/>
      <c r="Y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9">
        <f>IF(COUNTIF(F18:T18,"Yes")+COUNTIF(F18:T18,"No")=0,"",COUNTIF(F18:T18,"Yes")/(COUNTIF(F18:T18,"Yes")+COUNTIF(F18:T18,"No"))*100)</f>
        <v/>
      </c>
      <c r="V18">
        <f>COUNTIF(F18:T18,"No")</f>
        <v/>
      </c>
      <c r="W18" s="8" t="n"/>
      <c r="X18" s="8" t="n"/>
      <c r="Y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9">
        <f>IF(COUNTIF(F19:T19,"Yes")+COUNTIF(F19:T19,"No")=0,"",COUNTIF(F19:T19,"Yes")/(COUNTIF(F19:T19,"Yes")+COUNTIF(F19:T19,"No"))*100)</f>
        <v/>
      </c>
      <c r="V19">
        <f>COUNTIF(F19:T19,"No")</f>
        <v/>
      </c>
      <c r="W19" s="8" t="n"/>
      <c r="X19" s="8" t="n"/>
      <c r="Y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9">
        <f>IF(COUNTIF(F20:T20,"Yes")+COUNTIF(F20:T20,"No")=0,"",COUNTIF(F20:T20,"Yes")/(COUNTIF(F20:T20,"Yes")+COUNTIF(F20:T20,"No"))*100)</f>
        <v/>
      </c>
      <c r="V20">
        <f>COUNTIF(F20:T20,"No")</f>
        <v/>
      </c>
      <c r="W20" s="8" t="n"/>
      <c r="X20" s="8" t="n"/>
      <c r="Y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9">
        <f>IF(COUNTIF(F21:T21,"Yes")+COUNTIF(F21:T21,"No")=0,"",COUNTIF(F21:T21,"Yes")/(COUNTIF(F21:T21,"Yes")+COUNTIF(F21:T21,"No"))*100)</f>
        <v/>
      </c>
      <c r="V21">
        <f>COUNTIF(F21:T21,"No")</f>
        <v/>
      </c>
      <c r="W21" s="8" t="n"/>
      <c r="X21" s="8" t="n"/>
      <c r="Y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9">
        <f>IF(COUNTIF(F22:T22,"Yes")+COUNTIF(F22:T22,"No")=0,"",COUNTIF(F22:T22,"Yes")/(COUNTIF(F22:T22,"Yes")+COUNTIF(F22:T22,"No"))*100)</f>
        <v/>
      </c>
      <c r="V22">
        <f>COUNTIF(F22:T22,"No")</f>
        <v/>
      </c>
      <c r="W22" s="8" t="n"/>
      <c r="X22" s="8" t="n"/>
      <c r="Y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>
        <f>IF(COUNTIF(F23:T23,"Yes")+COUNTIF(F23:T23,"No")=0,"",COUNTIF(F23:T23,"Yes")/(COUNTIF(F23:T23,"Yes")+COUNTIF(F23:T23,"No"))*100)</f>
        <v/>
      </c>
      <c r="V23">
        <f>COUNTIF(F23:T23,"No")</f>
        <v/>
      </c>
      <c r="W23" s="8" t="n"/>
      <c r="X23" s="8" t="n"/>
      <c r="Y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>
        <f>IF(COUNTIF(F24:T24,"Yes")+COUNTIF(F24:T24,"No")=0,"",COUNTIF(F24:T24,"Yes")/(COUNTIF(F24:T24,"Yes")+COUNTIF(F24:T24,"No"))*100)</f>
        <v/>
      </c>
      <c r="V24">
        <f>COUNTIF(F24:T24,"No")</f>
        <v/>
      </c>
      <c r="W24" s="8" t="n"/>
      <c r="X24" s="8" t="n"/>
      <c r="Y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9">
        <f>IF(COUNTIF(F25:T25,"Yes")+COUNTIF(F25:T25,"No")=0,"",COUNTIF(F25:T25,"Yes")/(COUNTIF(F25:T25,"Yes")+COUNTIF(F25:T25,"No"))*100)</f>
        <v/>
      </c>
      <c r="V25">
        <f>COUNTIF(F25:T25,"No")</f>
        <v/>
      </c>
      <c r="W25" s="8" t="n"/>
      <c r="X25" s="8" t="n"/>
      <c r="Y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9">
        <f>IF(COUNTIF(F26:T26,"Yes")+COUNTIF(F26:T26,"No")=0,"",COUNTIF(F26:T26,"Yes")/(COUNTIF(F26:T26,"Yes")+COUNTIF(F26:T26,"No"))*100)</f>
        <v/>
      </c>
      <c r="V26">
        <f>COUNTIF(F26:T26,"No")</f>
        <v/>
      </c>
      <c r="W26" s="8" t="n"/>
      <c r="X26" s="8" t="n"/>
      <c r="Y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9">
        <f>IF(COUNTIF(F27:T27,"Yes")+COUNTIF(F27:T27,"No")=0,"",COUNTIF(F27:T27,"Yes")/(COUNTIF(F27:T27,"Yes")+COUNTIF(F27:T27,"No"))*100)</f>
        <v/>
      </c>
      <c r="V27">
        <f>COUNTIF(F27:T27,"No")</f>
        <v/>
      </c>
      <c r="W27" s="8" t="n"/>
      <c r="X27" s="8" t="n"/>
      <c r="Y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9">
        <f>IF(COUNTIF(F28:T28,"Yes")+COUNTIF(F28:T28,"No")=0,"",COUNTIF(F28:T28,"Yes")/(COUNTIF(F28:T28,"Yes")+COUNTIF(F28:T28,"No"))*100)</f>
        <v/>
      </c>
      <c r="V28">
        <f>COUNTIF(F28:T28,"No")</f>
        <v/>
      </c>
      <c r="W28" s="8" t="n"/>
      <c r="X28" s="8" t="n"/>
      <c r="Y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9">
        <f>IF(COUNTIF(F29:T29,"Yes")+COUNTIF(F29:T29,"No")=0,"",COUNTIF(F29:T29,"Yes")/(COUNTIF(F29:T29,"Yes")+COUNTIF(F29:T29,"No"))*100)</f>
        <v/>
      </c>
      <c r="V29">
        <f>COUNTIF(F29:T29,"No")</f>
        <v/>
      </c>
      <c r="W29" s="8" t="n"/>
      <c r="X29" s="8" t="n"/>
      <c r="Y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9">
        <f>IF(COUNTIF(F30:T30,"Yes")+COUNTIF(F30:T30,"No")=0,"",COUNTIF(F30:T30,"Yes")/(COUNTIF(F30:T30,"Yes")+COUNTIF(F30:T30,"No"))*100)</f>
        <v/>
      </c>
      <c r="V30">
        <f>COUNTIF(F30:T30,"No")</f>
        <v/>
      </c>
      <c r="W30" s="8" t="n"/>
      <c r="X30" s="8" t="n"/>
      <c r="Y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>
        <f>IF(COUNTIF(F31:T31,"Yes")+COUNTIF(F31:T31,"No")=0,"",COUNTIF(F31:T31,"Yes")/(COUNTIF(F31:T31,"Yes")+COUNTIF(F31:T31,"No"))*100)</f>
        <v/>
      </c>
      <c r="V31">
        <f>COUNTIF(F31:T31,"No")</f>
        <v/>
      </c>
      <c r="W31" s="8" t="n"/>
      <c r="X31" s="8" t="n"/>
      <c r="Y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9">
        <f>IF(COUNTIF(F32:T32,"Yes")+COUNTIF(F32:T32,"No")=0,"",COUNTIF(F32:T32,"Yes")/(COUNTIF(F32:T32,"Yes")+COUNTIF(F32:T32,"No"))*100)</f>
        <v/>
      </c>
      <c r="V32">
        <f>COUNTIF(F32:T32,"No")</f>
        <v/>
      </c>
      <c r="W32" s="8" t="n"/>
      <c r="X32" s="8" t="n"/>
      <c r="Y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>
        <f>IF(COUNTIF(F33:T33,"Yes")+COUNTIF(F33:T33,"No")=0,"",COUNTIF(F33:T33,"Yes")/(COUNTIF(F33:T33,"Yes")+COUNTIF(F33:T33,"No"))*100)</f>
        <v/>
      </c>
      <c r="V33">
        <f>COUNTIF(F33:T33,"No")</f>
        <v/>
      </c>
      <c r="W33" s="8" t="n"/>
      <c r="X33" s="8" t="n"/>
      <c r="Y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9">
        <f>IF(COUNTIF(F34:T34,"Yes")+COUNTIF(F34:T34,"No")=0,"",COUNTIF(F34:T34,"Yes")/(COUNTIF(F34:T34,"Yes")+COUNTIF(F34:T34,"No"))*100)</f>
        <v/>
      </c>
      <c r="V34">
        <f>COUNTIF(F34:T34,"No")</f>
        <v/>
      </c>
      <c r="W34" s="8" t="n"/>
      <c r="X34" s="8" t="n"/>
      <c r="Y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9">
        <f>IF(COUNTIF(F35:T35,"Yes")+COUNTIF(F35:T35,"No")=0,"",COUNTIF(F35:T35,"Yes")/(COUNTIF(F35:T35,"Yes")+COUNTIF(F35:T35,"No"))*100)</f>
        <v/>
      </c>
      <c r="V35">
        <f>COUNTIF(F35:T35,"No")</f>
        <v/>
      </c>
      <c r="W35" s="8" t="n"/>
      <c r="X35" s="8" t="n"/>
      <c r="Y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9">
        <f>IF(COUNTIF(F36:T36,"Yes")+COUNTIF(F36:T36,"No")=0,"",COUNTIF(F36:T36,"Yes")/(COUNTIF(F36:T36,"Yes")+COUNTIF(F36:T36,"No"))*100)</f>
        <v/>
      </c>
      <c r="V36">
        <f>COUNTIF(F36:T36,"No")</f>
        <v/>
      </c>
      <c r="W36" s="8" t="n"/>
      <c r="X36" s="8" t="n"/>
      <c r="Y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9">
        <f>IF(COUNTIF(F37:T37,"Yes")+COUNTIF(F37:T37,"No")=0,"",COUNTIF(F37:T37,"Yes")/(COUNTIF(F37:T37,"Yes")+COUNTIF(F37:T37,"No"))*100)</f>
        <v/>
      </c>
      <c r="V37">
        <f>COUNTIF(F37:T37,"No")</f>
        <v/>
      </c>
      <c r="W37" s="8" t="n"/>
      <c r="X37" s="8" t="n"/>
      <c r="Y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9">
        <f>IF(COUNTIF(F38:T38,"Yes")+COUNTIF(F38:T38,"No")=0,"",COUNTIF(F38:T38,"Yes")/(COUNTIF(F38:T38,"Yes")+COUNTIF(F38:T38,"No"))*100)</f>
        <v/>
      </c>
      <c r="V38">
        <f>COUNTIF(F38:T38,"No")</f>
        <v/>
      </c>
      <c r="W38" s="8" t="n"/>
      <c r="X38" s="8" t="n"/>
      <c r="Y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9">
        <f>IF(COUNTIF(F39:T39,"Yes")+COUNTIF(F39:T39,"No")=0,"",COUNTIF(F39:T39,"Yes")/(COUNTIF(F39:T39,"Yes")+COUNTIF(F39:T39,"No"))*100)</f>
        <v/>
      </c>
      <c r="V39">
        <f>COUNTIF(F39:T39,"No")</f>
        <v/>
      </c>
      <c r="W39" s="8" t="n"/>
      <c r="X39" s="8" t="n"/>
      <c r="Y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9">
        <f>IF(COUNTIF(F40:T40,"Yes")+COUNTIF(F40:T40,"No")=0,"",COUNTIF(F40:T40,"Yes")/(COUNTIF(F40:T40,"Yes")+COUNTIF(F40:T40,"No"))*100)</f>
        <v/>
      </c>
      <c r="V40">
        <f>COUNTIF(F40:T40,"No")</f>
        <v/>
      </c>
      <c r="W40" s="8" t="n"/>
      <c r="X40" s="8" t="n"/>
      <c r="Y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9">
        <f>IF(COUNTIF(F41:T41,"Yes")+COUNTIF(F41:T41,"No")=0,"",COUNTIF(F41:T41,"Yes")/(COUNTIF(F41:T41,"Yes")+COUNTIF(F41:T41,"No"))*100)</f>
        <v/>
      </c>
      <c r="V41">
        <f>COUNTIF(F41:T41,"No")</f>
        <v/>
      </c>
      <c r="W41" s="8" t="n"/>
      <c r="X41" s="8" t="n"/>
      <c r="Y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9">
        <f>IF(COUNTIF(F42:T42,"Yes")+COUNTIF(F42:T42,"No")=0,"",COUNTIF(F42:T42,"Yes")/(COUNTIF(F42:T42,"Yes")+COUNTIF(F42:T42,"No"))*100)</f>
        <v/>
      </c>
      <c r="V42">
        <f>COUNTIF(F42:T42,"No")</f>
        <v/>
      </c>
      <c r="W42" s="8" t="n"/>
      <c r="X42" s="8" t="n"/>
      <c r="Y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9">
        <f>IF(COUNTIF(F43:T43,"Yes")+COUNTIF(F43:T43,"No")=0,"",COUNTIF(F43:T43,"Yes")/(COUNTIF(F43:T43,"Yes")+COUNTIF(F43:T43,"No"))*100)</f>
        <v/>
      </c>
      <c r="V43">
        <f>COUNTIF(F43:T43,"No")</f>
        <v/>
      </c>
      <c r="W43" s="8" t="n"/>
      <c r="X43" s="8" t="n"/>
      <c r="Y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9">
        <f>IF(COUNTIF(F44:T44,"Yes")+COUNTIF(F44:T44,"No")=0,"",COUNTIF(F44:T44,"Yes")/(COUNTIF(F44:T44,"Yes")+COUNTIF(F44:T44,"No"))*100)</f>
        <v/>
      </c>
      <c r="V44">
        <f>COUNTIF(F44:T44,"No")</f>
        <v/>
      </c>
      <c r="W44" s="8" t="n"/>
      <c r="X44" s="8" t="n"/>
      <c r="Y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9">
        <f>IF(COUNTIF(F45:T45,"Yes")+COUNTIF(F45:T45,"No")=0,"",COUNTIF(F45:T45,"Yes")/(COUNTIF(F45:T45,"Yes")+COUNTIF(F45:T45,"No"))*100)</f>
        <v/>
      </c>
      <c r="V45">
        <f>COUNTIF(F45:T45,"No")</f>
        <v/>
      </c>
      <c r="W45" s="8" t="n"/>
      <c r="X45" s="8" t="n"/>
      <c r="Y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9">
        <f>IF(COUNTIF(F46:T46,"Yes")+COUNTIF(F46:T46,"No")=0,"",COUNTIF(F46:T46,"Yes")/(COUNTIF(F46:T46,"Yes")+COUNTIF(F46:T46,"No"))*100)</f>
        <v/>
      </c>
      <c r="V46">
        <f>COUNTIF(F46:T46,"No")</f>
        <v/>
      </c>
      <c r="W46" s="8" t="n"/>
      <c r="X46" s="8" t="n"/>
      <c r="Y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9">
        <f>IF(COUNTIF(F47:T47,"Yes")+COUNTIF(F47:T47,"No")=0,"",COUNTIF(F47:T47,"Yes")/(COUNTIF(F47:T47,"Yes")+COUNTIF(F47:T47,"No"))*100)</f>
        <v/>
      </c>
      <c r="V47">
        <f>COUNTIF(F47:T47,"No")</f>
        <v/>
      </c>
      <c r="W47" s="8" t="n"/>
      <c r="X47" s="8" t="n"/>
      <c r="Y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9">
        <f>IF(COUNTIF(F48:T48,"Yes")+COUNTIF(F48:T48,"No")=0,"",COUNTIF(F48:T48,"Yes")/(COUNTIF(F48:T48,"Yes")+COUNTIF(F48:T48,"No"))*100)</f>
        <v/>
      </c>
      <c r="V48">
        <f>COUNTIF(F48:T48,"No")</f>
        <v/>
      </c>
      <c r="W48" s="8" t="n"/>
      <c r="X48" s="8" t="n"/>
      <c r="Y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9">
        <f>IF(COUNTIF(F49:T49,"Yes")+COUNTIF(F49:T49,"No")=0,"",COUNTIF(F49:T49,"Yes")/(COUNTIF(F49:T49,"Yes")+COUNTIF(F49:T49,"No"))*100)</f>
        <v/>
      </c>
      <c r="V49">
        <f>COUNTIF(F49:T49,"No")</f>
        <v/>
      </c>
      <c r="W49" s="8" t="n"/>
      <c r="X49" s="8" t="n"/>
      <c r="Y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9">
        <f>IF(COUNTIF(F50:T50,"Yes")+COUNTIF(F50:T50,"No")=0,"",COUNTIF(F50:T50,"Yes")/(COUNTIF(F50:T50,"Yes")+COUNTIF(F50:T50,"No"))*100)</f>
        <v/>
      </c>
      <c r="V50">
        <f>COUNTIF(F50:T50,"No")</f>
        <v/>
      </c>
      <c r="W50" s="8" t="n"/>
      <c r="X50" s="8" t="n"/>
      <c r="Y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9">
        <f>IF(COUNTIF(F51:T51,"Yes")+COUNTIF(F51:T51,"No")=0,"",COUNTIF(F51:T51,"Yes")/(COUNTIF(F51:T51,"Yes")+COUNTIF(F51:T51,"No"))*100)</f>
        <v/>
      </c>
      <c r="V51">
        <f>COUNTIF(F51:T51,"No")</f>
        <v/>
      </c>
      <c r="W51" s="8" t="n"/>
      <c r="X51" s="8" t="n"/>
      <c r="Y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9">
        <f>IF(COUNTIF(F52:T52,"Yes")+COUNTIF(F52:T52,"No")=0,"",COUNTIF(F52:T52,"Yes")/(COUNTIF(F52:T52,"Yes")+COUNTIF(F52:T52,"No"))*100)</f>
        <v/>
      </c>
      <c r="V52">
        <f>COUNTIF(F52:T52,"No")</f>
        <v/>
      </c>
      <c r="W52" s="8" t="n"/>
      <c r="X52" s="8" t="n"/>
      <c r="Y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9">
        <f>IF(COUNTIF(F53:T53,"Yes")+COUNTIF(F53:T53,"No")=0,"",COUNTIF(F53:T53,"Yes")/(COUNTIF(F53:T53,"Yes")+COUNTIF(F53:T53,"No"))*100)</f>
        <v/>
      </c>
      <c r="V53">
        <f>COUNTIF(F53:T53,"No")</f>
        <v/>
      </c>
      <c r="W53" s="8" t="n"/>
      <c r="X53" s="8" t="n"/>
      <c r="Y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9">
        <f>IF(COUNTIF(F54:T54,"Yes")+COUNTIF(F54:T54,"No")=0,"",COUNTIF(F54:T54,"Yes")/(COUNTIF(F54:T54,"Yes")+COUNTIF(F54:T54,"No"))*100)</f>
        <v/>
      </c>
      <c r="V54">
        <f>COUNTIF(F54:T54,"No")</f>
        <v/>
      </c>
      <c r="W54" s="8" t="n"/>
      <c r="X54" s="8" t="n"/>
      <c r="Y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9">
        <f>IF(COUNTIF(F55:T55,"Yes")+COUNTIF(F55:T55,"No")=0,"",COUNTIF(F55:T55,"Yes")/(COUNTIF(F55:T55,"Yes")+COUNTIF(F55:T55,"No"))*100)</f>
        <v/>
      </c>
      <c r="V55">
        <f>COUNTIF(F55:T55,"No")</f>
        <v/>
      </c>
      <c r="W55" s="8" t="n"/>
      <c r="X55" s="8" t="n"/>
      <c r="Y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9">
        <f>IF(COUNTIF(F56:T56,"Yes")+COUNTIF(F56:T56,"No")=0,"",COUNTIF(F56:T56,"Yes")/(COUNTIF(F56:T56,"Yes")+COUNTIF(F56:T56,"No"))*100)</f>
        <v/>
      </c>
      <c r="V56">
        <f>COUNTIF(F56:T56,"No")</f>
        <v/>
      </c>
      <c r="W56" s="8" t="n"/>
      <c r="X56" s="8" t="n"/>
      <c r="Y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9">
        <f>IF(COUNTIF(F57:T57,"Yes")+COUNTIF(F57:T57,"No")=0,"",COUNTIF(F57:T57,"Yes")/(COUNTIF(F57:T57,"Yes")+COUNTIF(F57:T57,"No"))*100)</f>
        <v/>
      </c>
      <c r="V57">
        <f>COUNTIF(F57:T57,"No")</f>
        <v/>
      </c>
      <c r="W57" s="8" t="n"/>
      <c r="X57" s="8" t="n"/>
      <c r="Y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9">
        <f>IF(COUNTIF(F58:T58,"Yes")+COUNTIF(F58:T58,"No")=0,"",COUNTIF(F58:T58,"Yes")/(COUNTIF(F58:T58,"Yes")+COUNTIF(F58:T58,"No"))*100)</f>
        <v/>
      </c>
      <c r="V58">
        <f>COUNTIF(F58:T58,"No")</f>
        <v/>
      </c>
      <c r="W58" s="8" t="n"/>
      <c r="X58" s="8" t="n"/>
      <c r="Y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9">
        <f>IF(COUNTIF(F59:T59,"Yes")+COUNTIF(F59:T59,"No")=0,"",COUNTIF(F59:T59,"Yes")/(COUNTIF(F59:T59,"Yes")+COUNTIF(F59:T59,"No"))*100)</f>
        <v/>
      </c>
      <c r="V59">
        <f>COUNTIF(F59:T59,"No")</f>
        <v/>
      </c>
      <c r="W59" s="8" t="n"/>
      <c r="X59" s="8" t="n"/>
      <c r="Y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9">
        <f>IF(COUNTIF(F60:T60,"Yes")+COUNTIF(F60:T60,"No")=0,"",COUNTIF(F60:T60,"Yes")/(COUNTIF(F60:T60,"Yes")+COUNTIF(F60:T60,"No"))*100)</f>
        <v/>
      </c>
      <c r="V60">
        <f>COUNTIF(F60:T60,"No")</f>
        <v/>
      </c>
      <c r="W60" s="8" t="n"/>
      <c r="X60" s="8" t="n"/>
      <c r="Y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9">
        <f>IF(COUNTIF(F61:T61,"Yes")+COUNTIF(F61:T61,"No")=0,"",COUNTIF(F61:T61,"Yes")/(COUNTIF(F61:T61,"Yes")+COUNTIF(F61:T61,"No"))*100)</f>
        <v/>
      </c>
      <c r="V61">
        <f>COUNTIF(F61:T61,"No")</f>
        <v/>
      </c>
      <c r="W61" s="8" t="n"/>
      <c r="X61" s="8" t="n"/>
      <c r="Y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9">
        <f>IF(COUNTIF(F62:T62,"Yes")+COUNTIF(F62:T62,"No")=0,"",COUNTIF(F62:T62,"Yes")/(COUNTIF(F62:T62,"Yes")+COUNTIF(F62:T62,"No"))*100)</f>
        <v/>
      </c>
      <c r="V62">
        <f>COUNTIF(F62:T62,"No")</f>
        <v/>
      </c>
      <c r="W62" s="8" t="n"/>
      <c r="X62" s="8" t="n"/>
      <c r="Y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9">
        <f>IF(COUNTIF(F63:T63,"Yes")+COUNTIF(F63:T63,"No")=0,"",COUNTIF(F63:T63,"Yes")/(COUNTIF(F63:T63,"Yes")+COUNTIF(F63:T63,"No"))*100)</f>
        <v/>
      </c>
      <c r="V63">
        <f>COUNTIF(F63:T63,"No")</f>
        <v/>
      </c>
      <c r="W63" s="8" t="n"/>
      <c r="X63" s="8" t="n"/>
      <c r="Y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9">
        <f>IF(COUNTIF(F64:T64,"Yes")+COUNTIF(F64:T64,"No")=0,"",COUNTIF(F64:T64,"Yes")/(COUNTIF(F64:T64,"Yes")+COUNTIF(F64:T64,"No"))*100)</f>
        <v/>
      </c>
      <c r="V64">
        <f>COUNTIF(F64:T64,"No")</f>
        <v/>
      </c>
      <c r="W64" s="8" t="n"/>
      <c r="X64" s="8" t="n"/>
      <c r="Y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9">
        <f>IF(COUNTIF(F65:T65,"Yes")+COUNTIF(F65:T65,"No")=0,"",COUNTIF(F65:T65,"Yes")/(COUNTIF(F65:T65,"Yes")+COUNTIF(F65:T65,"No"))*100)</f>
        <v/>
      </c>
      <c r="V65">
        <f>COUNTIF(F65:T65,"No")</f>
        <v/>
      </c>
      <c r="W65" s="8" t="n"/>
      <c r="X65" s="8" t="n"/>
      <c r="Y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9">
        <f>IF(COUNTIF(F66:T66,"Yes")+COUNTIF(F66:T66,"No")=0,"",COUNTIF(F66:T66,"Yes")/(COUNTIF(F66:T66,"Yes")+COUNTIF(F66:T66,"No"))*100)</f>
        <v/>
      </c>
      <c r="V66">
        <f>COUNTIF(F66:T66,"No")</f>
        <v/>
      </c>
      <c r="W66" s="8" t="n"/>
      <c r="X66" s="8" t="n"/>
      <c r="Y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9">
        <f>IF(COUNTIF(F67:T67,"Yes")+COUNTIF(F67:T67,"No")=0,"",COUNTIF(F67:T67,"Yes")/(COUNTIF(F67:T67,"Yes")+COUNTIF(F67:T67,"No"))*100)</f>
        <v/>
      </c>
      <c r="V67">
        <f>COUNTIF(F67:T67,"No")</f>
        <v/>
      </c>
      <c r="W67" s="8" t="n"/>
      <c r="X67" s="8" t="n"/>
      <c r="Y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9">
        <f>IF(COUNTIF(F68:T68,"Yes")+COUNTIF(F68:T68,"No")=0,"",COUNTIF(F68:T68,"Yes")/(COUNTIF(F68:T68,"Yes")+COUNTIF(F68:T68,"No"))*100)</f>
        <v/>
      </c>
      <c r="V68">
        <f>COUNTIF(F68:T68,"No")</f>
        <v/>
      </c>
      <c r="W68" s="8" t="n"/>
      <c r="X68" s="8" t="n"/>
      <c r="Y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9">
        <f>IF(COUNTIF(F69:T69,"Yes")+COUNTIF(F69:T69,"No")=0,"",COUNTIF(F69:T69,"Yes")/(COUNTIF(F69:T69,"Yes")+COUNTIF(F69:T69,"No"))*100)</f>
        <v/>
      </c>
      <c r="V69">
        <f>COUNTIF(F69:T69,"No")</f>
        <v/>
      </c>
      <c r="W69" s="8" t="n"/>
      <c r="X69" s="8" t="n"/>
      <c r="Y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9">
        <f>IF(COUNTIF(F70:T70,"Yes")+COUNTIF(F70:T70,"No")=0,"",COUNTIF(F70:T70,"Yes")/(COUNTIF(F70:T70,"Yes")+COUNTIF(F70:T70,"No"))*100)</f>
        <v/>
      </c>
      <c r="V70">
        <f>COUNTIF(F70:T70,"No")</f>
        <v/>
      </c>
      <c r="W70" s="8" t="n"/>
      <c r="X70" s="8" t="n"/>
      <c r="Y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9">
        <f>IF(COUNTIF(F71:T71,"Yes")+COUNTIF(F71:T71,"No")=0,"",COUNTIF(F71:T71,"Yes")/(COUNTIF(F71:T71,"Yes")+COUNTIF(F71:T71,"No"))*100)</f>
        <v/>
      </c>
      <c r="V71">
        <f>COUNTIF(F71:T71,"No")</f>
        <v/>
      </c>
      <c r="W71" s="8" t="n"/>
      <c r="X71" s="8" t="n"/>
      <c r="Y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9">
        <f>IF(COUNTIF(F72:T72,"Yes")+COUNTIF(F72:T72,"No")=0,"",COUNTIF(F72:T72,"Yes")/(COUNTIF(F72:T72,"Yes")+COUNTIF(F72:T72,"No"))*100)</f>
        <v/>
      </c>
      <c r="V72">
        <f>COUNTIF(F72:T72,"No")</f>
        <v/>
      </c>
      <c r="W72" s="8" t="n"/>
      <c r="X72" s="8" t="n"/>
      <c r="Y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9">
        <f>IF(COUNTIF(F73:T73,"Yes")+COUNTIF(F73:T73,"No")=0,"",COUNTIF(F73:T73,"Yes")/(COUNTIF(F73:T73,"Yes")+COUNTIF(F73:T73,"No"))*100)</f>
        <v/>
      </c>
      <c r="V73">
        <f>COUNTIF(F73:T73,"No")</f>
        <v/>
      </c>
      <c r="W73" s="8" t="n"/>
      <c r="X73" s="8" t="n"/>
      <c r="Y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9">
        <f>IF(COUNTIF(F74:T74,"Yes")+COUNTIF(F74:T74,"No")=0,"",COUNTIF(F74:T74,"Yes")/(COUNTIF(F74:T74,"Yes")+COUNTIF(F74:T74,"No"))*100)</f>
        <v/>
      </c>
      <c r="V74">
        <f>COUNTIF(F74:T74,"No")</f>
        <v/>
      </c>
      <c r="W74" s="8" t="n"/>
      <c r="X74" s="8" t="n"/>
      <c r="Y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9">
        <f>IF(COUNTIF(F75:T75,"Yes")+COUNTIF(F75:T75,"No")=0,"",COUNTIF(F75:T75,"Yes")/(COUNTIF(F75:T75,"Yes")+COUNTIF(F75:T75,"No"))*100)</f>
        <v/>
      </c>
      <c r="V75">
        <f>COUNTIF(F75:T75,"No")</f>
        <v/>
      </c>
      <c r="W75" s="8" t="n"/>
      <c r="X75" s="8" t="n"/>
      <c r="Y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9">
        <f>IF(COUNTIF(F76:T76,"Yes")+COUNTIF(F76:T76,"No")=0,"",COUNTIF(F76:T76,"Yes")/(COUNTIF(F76:T76,"Yes")+COUNTIF(F76:T76,"No"))*100)</f>
        <v/>
      </c>
      <c r="V76">
        <f>COUNTIF(F76:T76,"No")</f>
        <v/>
      </c>
      <c r="W76" s="8" t="n"/>
      <c r="X76" s="8" t="n"/>
      <c r="Y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9">
        <f>IF(COUNTIF(F77:T77,"Yes")+COUNTIF(F77:T77,"No")=0,"",COUNTIF(F77:T77,"Yes")/(COUNTIF(F77:T77,"Yes")+COUNTIF(F77:T77,"No"))*100)</f>
        <v/>
      </c>
      <c r="V77">
        <f>COUNTIF(F77:T77,"No")</f>
        <v/>
      </c>
      <c r="W77" s="8" t="n"/>
      <c r="X77" s="8" t="n"/>
      <c r="Y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9">
        <f>IF(COUNTIF(F78:T78,"Yes")+COUNTIF(F78:T78,"No")=0,"",COUNTIF(F78:T78,"Yes")/(COUNTIF(F78:T78,"Yes")+COUNTIF(F78:T78,"No"))*100)</f>
        <v/>
      </c>
      <c r="V78">
        <f>COUNTIF(F78:T78,"No")</f>
        <v/>
      </c>
      <c r="W78" s="8" t="n"/>
      <c r="X78" s="8" t="n"/>
      <c r="Y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9">
        <f>IF(COUNTIF(F79:T79,"Yes")+COUNTIF(F79:T79,"No")=0,"",COUNTIF(F79:T79,"Yes")/(COUNTIF(F79:T79,"Yes")+COUNTIF(F79:T79,"No"))*100)</f>
        <v/>
      </c>
      <c r="V79">
        <f>COUNTIF(F79:T79,"No")</f>
        <v/>
      </c>
      <c r="W79" s="8" t="n"/>
      <c r="X79" s="8" t="n"/>
      <c r="Y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9">
        <f>IF(COUNTIF(F80:T80,"Yes")+COUNTIF(F80:T80,"No")=0,"",COUNTIF(F80:T80,"Yes")/(COUNTIF(F80:T80,"Yes")+COUNTIF(F80:T80,"No"))*100)</f>
        <v/>
      </c>
      <c r="V80">
        <f>COUNTIF(F80:T80,"No")</f>
        <v/>
      </c>
      <c r="W80" s="8" t="n"/>
      <c r="X80" s="8" t="n"/>
      <c r="Y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9">
        <f>IF(COUNTIF(F81:T81,"Yes")+COUNTIF(F81:T81,"No")=0,"",COUNTIF(F81:T81,"Yes")/(COUNTIF(F81:T81,"Yes")+COUNTIF(F81:T81,"No"))*100)</f>
        <v/>
      </c>
      <c r="V81">
        <f>COUNTIF(F81:T81,"No")</f>
        <v/>
      </c>
      <c r="W81" s="8" t="n"/>
      <c r="X81" s="8" t="n"/>
      <c r="Y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9">
        <f>IF(COUNTIF(F82:T82,"Yes")+COUNTIF(F82:T82,"No")=0,"",COUNTIF(F82:T82,"Yes")/(COUNTIF(F82:T82,"Yes")+COUNTIF(F82:T82,"No"))*100)</f>
        <v/>
      </c>
      <c r="V82">
        <f>COUNTIF(F82:T82,"No")</f>
        <v/>
      </c>
      <c r="W82" s="8" t="n"/>
      <c r="X82" s="8" t="n"/>
      <c r="Y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9">
        <f>IF(COUNTIF(F83:T83,"Yes")+COUNTIF(F83:T83,"No")=0,"",COUNTIF(F83:T83,"Yes")/(COUNTIF(F83:T83,"Yes")+COUNTIF(F83:T83,"No"))*100)</f>
        <v/>
      </c>
      <c r="V83">
        <f>COUNTIF(F83:T83,"No")</f>
        <v/>
      </c>
      <c r="W83" s="8" t="n"/>
      <c r="X83" s="8" t="n"/>
      <c r="Y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9">
        <f>IF(COUNTIF(F84:T84,"Yes")+COUNTIF(F84:T84,"No")=0,"",COUNTIF(F84:T84,"Yes")/(COUNTIF(F84:T84,"Yes")+COUNTIF(F84:T84,"No"))*100)</f>
        <v/>
      </c>
      <c r="V84">
        <f>COUNTIF(F84:T84,"No")</f>
        <v/>
      </c>
      <c r="W84" s="8" t="n"/>
      <c r="X84" s="8" t="n"/>
      <c r="Y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9">
        <f>IF(COUNTIF(F85:T85,"Yes")+COUNTIF(F85:T85,"No")=0,"",COUNTIF(F85:T85,"Yes")/(COUNTIF(F85:T85,"Yes")+COUNTIF(F85:T85,"No"))*100)</f>
        <v/>
      </c>
      <c r="V85">
        <f>COUNTIF(F85:T85,"No")</f>
        <v/>
      </c>
      <c r="W85" s="8" t="n"/>
      <c r="X85" s="8" t="n"/>
      <c r="Y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9">
        <f>IF(COUNTIF(F86:T86,"Yes")+COUNTIF(F86:T86,"No")=0,"",COUNTIF(F86:T86,"Yes")/(COUNTIF(F86:T86,"Yes")+COUNTIF(F86:T86,"No"))*100)</f>
        <v/>
      </c>
      <c r="V86">
        <f>COUNTIF(F86:T86,"No")</f>
        <v/>
      </c>
      <c r="W86" s="8" t="n"/>
      <c r="X86" s="8" t="n"/>
      <c r="Y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9">
        <f>IF(COUNTIF(F87:T87,"Yes")+COUNTIF(F87:T87,"No")=0,"",COUNTIF(F87:T87,"Yes")/(COUNTIF(F87:T87,"Yes")+COUNTIF(F87:T87,"No"))*100)</f>
        <v/>
      </c>
      <c r="V87">
        <f>COUNTIF(F87:T87,"No")</f>
        <v/>
      </c>
      <c r="W87" s="8" t="n"/>
      <c r="X87" s="8" t="n"/>
      <c r="Y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9">
        <f>IF(COUNTIF(F88:T88,"Yes")+COUNTIF(F88:T88,"No")=0,"",COUNTIF(F88:T88,"Yes")/(COUNTIF(F88:T88,"Yes")+COUNTIF(F88:T88,"No"))*100)</f>
        <v/>
      </c>
      <c r="V88">
        <f>COUNTIF(F88:T88,"No")</f>
        <v/>
      </c>
      <c r="W88" s="8" t="n"/>
      <c r="X88" s="8" t="n"/>
      <c r="Y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9">
        <f>IF(COUNTIF(F89:T89,"Yes")+COUNTIF(F89:T89,"No")=0,"",COUNTIF(F89:T89,"Yes")/(COUNTIF(F89:T89,"Yes")+COUNTIF(F89:T89,"No"))*100)</f>
        <v/>
      </c>
      <c r="V89">
        <f>COUNTIF(F89:T89,"No")</f>
        <v/>
      </c>
      <c r="W89" s="8" t="n"/>
      <c r="X89" s="8" t="n"/>
      <c r="Y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9">
        <f>IF(COUNTIF(F90:T90,"Yes")+COUNTIF(F90:T90,"No")=0,"",COUNTIF(F90:T90,"Yes")/(COUNTIF(F90:T90,"Yes")+COUNTIF(F90:T90,"No"))*100)</f>
        <v/>
      </c>
      <c r="V90">
        <f>COUNTIF(F90:T90,"No")</f>
        <v/>
      </c>
      <c r="W90" s="8" t="n"/>
      <c r="X90" s="8" t="n"/>
      <c r="Y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9">
        <f>IF(COUNTIF(F91:T91,"Yes")+COUNTIF(F91:T91,"No")=0,"",COUNTIF(F91:T91,"Yes")/(COUNTIF(F91:T91,"Yes")+COUNTIF(F91:T91,"No"))*100)</f>
        <v/>
      </c>
      <c r="V91">
        <f>COUNTIF(F91:T91,"No")</f>
        <v/>
      </c>
      <c r="W91" s="8" t="n"/>
      <c r="X91" s="8" t="n"/>
      <c r="Y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9">
        <f>IF(COUNTIF(F92:T92,"Yes")+COUNTIF(F92:T92,"No")=0,"",COUNTIF(F92:T92,"Yes")/(COUNTIF(F92:T92,"Yes")+COUNTIF(F92:T92,"No"))*100)</f>
        <v/>
      </c>
      <c r="V92">
        <f>COUNTIF(F92:T92,"No")</f>
        <v/>
      </c>
      <c r="W92" s="8" t="n"/>
      <c r="X92" s="8" t="n"/>
      <c r="Y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9">
        <f>IF(COUNTIF(F93:T93,"Yes")+COUNTIF(F93:T93,"No")=0,"",COUNTIF(F93:T93,"Yes")/(COUNTIF(F93:T93,"Yes")+COUNTIF(F93:T93,"No"))*100)</f>
        <v/>
      </c>
      <c r="V93">
        <f>COUNTIF(F93:T93,"No")</f>
        <v/>
      </c>
      <c r="W93" s="8" t="n"/>
      <c r="X93" s="8" t="n"/>
      <c r="Y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9">
        <f>IF(COUNTIF(F94:T94,"Yes")+COUNTIF(F94:T94,"No")=0,"",COUNTIF(F94:T94,"Yes")/(COUNTIF(F94:T94,"Yes")+COUNTIF(F94:T94,"No"))*100)</f>
        <v/>
      </c>
      <c r="V94">
        <f>COUNTIF(F94:T94,"No")</f>
        <v/>
      </c>
      <c r="W94" s="8" t="n"/>
      <c r="X94" s="8" t="n"/>
      <c r="Y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9">
        <f>IF(COUNTIF(F95:T95,"Yes")+COUNTIF(F95:T95,"No")=0,"",COUNTIF(F95:T95,"Yes")/(COUNTIF(F95:T95,"Yes")+COUNTIF(F95:T95,"No"))*100)</f>
        <v/>
      </c>
      <c r="V95">
        <f>COUNTIF(F95:T95,"No")</f>
        <v/>
      </c>
      <c r="W95" s="8" t="n"/>
      <c r="X95" s="8" t="n"/>
      <c r="Y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9">
        <f>IF(COUNTIF(F96:T96,"Yes")+COUNTIF(F96:T96,"No")=0,"",COUNTIF(F96:T96,"Yes")/(COUNTIF(F96:T96,"Yes")+COUNTIF(F96:T96,"No"))*100)</f>
        <v/>
      </c>
      <c r="V96">
        <f>COUNTIF(F96:T96,"No")</f>
        <v/>
      </c>
      <c r="W96" s="8" t="n"/>
      <c r="X96" s="8" t="n"/>
      <c r="Y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9">
        <f>IF(COUNTIF(F97:T97,"Yes")+COUNTIF(F97:T97,"No")=0,"",COUNTIF(F97:T97,"Yes")/(COUNTIF(F97:T97,"Yes")+COUNTIF(F97:T97,"No"))*100)</f>
        <v/>
      </c>
      <c r="V97">
        <f>COUNTIF(F97:T97,"No")</f>
        <v/>
      </c>
      <c r="W97" s="8" t="n"/>
      <c r="X97" s="8" t="n"/>
      <c r="Y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9">
        <f>IF(COUNTIF(F98:T98,"Yes")+COUNTIF(F98:T98,"No")=0,"",COUNTIF(F98:T98,"Yes")/(COUNTIF(F98:T98,"Yes")+COUNTIF(F98:T98,"No"))*100)</f>
        <v/>
      </c>
      <c r="V98">
        <f>COUNTIF(F98:T98,"No")</f>
        <v/>
      </c>
      <c r="W98" s="8" t="n"/>
      <c r="X98" s="8" t="n"/>
      <c r="Y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9">
        <f>IF(COUNTIF(F99:T99,"Yes")+COUNTIF(F99:T99,"No")=0,"",COUNTIF(F99:T99,"Yes")/(COUNTIF(F99:T99,"Yes")+COUNTIF(F99:T99,"No"))*100)</f>
        <v/>
      </c>
      <c r="V99">
        <f>COUNTIF(F99:T99,"No")</f>
        <v/>
      </c>
      <c r="W99" s="8" t="n"/>
      <c r="X99" s="8" t="n"/>
      <c r="Y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9">
        <f>IF(COUNTIF(F100:T100,"Yes")+COUNTIF(F100:T100,"No")=0,"",COUNTIF(F100:T100,"Yes")/(COUNTIF(F100:T100,"Yes")+COUNTIF(F100:T100,"No"))*100)</f>
        <v/>
      </c>
      <c r="V100">
        <f>COUNTIF(F100:T100,"No")</f>
        <v/>
      </c>
      <c r="W100" s="8" t="n"/>
      <c r="X100" s="8" t="n"/>
      <c r="Y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9">
        <f>IF(COUNTIF(F101:T101,"Yes")+COUNTIF(F101:T101,"No")=0,"",COUNTIF(F101:T101,"Yes")/(COUNTIF(F101:T101,"Yes")+COUNTIF(F101:T101,"No"))*100)</f>
        <v/>
      </c>
      <c r="V101">
        <f>COUNTIF(F101:T101,"No")</f>
        <v/>
      </c>
      <c r="W101" s="8" t="n"/>
      <c r="X101" s="8" t="n"/>
      <c r="Y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9">
        <f>IF(COUNTIF(F102:T102,"Yes")+COUNTIF(F102:T102,"No")=0,"",COUNTIF(F102:T102,"Yes")/(COUNTIF(F102:T102,"Yes")+COUNTIF(F102:T102,"No"))*100)</f>
        <v/>
      </c>
      <c r="V102">
        <f>COUNTIF(F102:T102,"No")</f>
        <v/>
      </c>
      <c r="W102" s="8" t="n"/>
      <c r="X102" s="8" t="n"/>
      <c r="Y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9">
        <f>IF(COUNTIF(F103:T103,"Yes")+COUNTIF(F103:T103,"No")=0,"",COUNTIF(F103:T103,"Yes")/(COUNTIF(F103:T103,"Yes")+COUNTIF(F103:T103,"No"))*100)</f>
        <v/>
      </c>
      <c r="V103">
        <f>COUNTIF(F103:T103,"No")</f>
        <v/>
      </c>
      <c r="W103" s="8" t="n"/>
      <c r="X103" s="8" t="n"/>
      <c r="Y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9">
        <f>IF(COUNTIF(F104:T104,"Yes")+COUNTIF(F104:T104,"No")=0,"",COUNTIF(F104:T104,"Yes")/(COUNTIF(F104:T104,"Yes")+COUNTIF(F104:T104,"No"))*100)</f>
        <v/>
      </c>
      <c r="V104">
        <f>COUNTIF(F104:T104,"No")</f>
        <v/>
      </c>
      <c r="W104" s="8" t="n"/>
      <c r="X104" s="8" t="n"/>
      <c r="Y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9">
        <f>IF(COUNTIF(F105:T105,"Yes")+COUNTIF(F105:T105,"No")=0,"",COUNTIF(F105:T105,"Yes")/(COUNTIF(F105:T105,"Yes")+COUNTIF(F105:T105,"No"))*100)</f>
        <v/>
      </c>
      <c r="V105">
        <f>COUNTIF(F105:T105,"No")</f>
        <v/>
      </c>
      <c r="W105" s="8" t="n"/>
      <c r="X105" s="8" t="n"/>
      <c r="Y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9">
        <f>IF(COUNTIF(F106:T106,"Yes")+COUNTIF(F106:T106,"No")=0,"",COUNTIF(F106:T106,"Yes")/(COUNTIF(F106:T106,"Yes")+COUNTIF(F106:T106,"No"))*100)</f>
        <v/>
      </c>
      <c r="V106">
        <f>COUNTIF(F106:T106,"No")</f>
        <v/>
      </c>
      <c r="W106" s="8" t="n"/>
      <c r="X106" s="8" t="n"/>
      <c r="Y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9">
        <f>IF(COUNTIF(F107:T107,"Yes")+COUNTIF(F107:T107,"No")=0,"",COUNTIF(F107:T107,"Yes")/(COUNTIF(F107:T107,"Yes")+COUNTIF(F107:T107,"No"))*100)</f>
        <v/>
      </c>
      <c r="V107">
        <f>COUNTIF(F107:T107,"No")</f>
        <v/>
      </c>
      <c r="W107" s="8" t="n"/>
      <c r="X107" s="8" t="n"/>
      <c r="Y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9">
        <f>IF(COUNTIF(F108:T108,"Yes")+COUNTIF(F108:T108,"No")=0,"",COUNTIF(F108:T108,"Yes")/(COUNTIF(F108:T108,"Yes")+COUNTIF(F108:T108,"No"))*100)</f>
        <v/>
      </c>
      <c r="V108">
        <f>COUNTIF(F108:T108,"No")</f>
        <v/>
      </c>
      <c r="W108" s="8" t="n"/>
      <c r="X108" s="8" t="n"/>
      <c r="Y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9">
        <f>IF(COUNTIF(F109:T109,"Yes")+COUNTIF(F109:T109,"No")=0,"",COUNTIF(F109:T109,"Yes")/(COUNTIF(F109:T109,"Yes")+COUNTIF(F109:T109,"No"))*100)</f>
        <v/>
      </c>
      <c r="V109">
        <f>COUNTIF(F109:T109,"No")</f>
        <v/>
      </c>
      <c r="W109" s="8" t="n"/>
      <c r="X109" s="8" t="n"/>
      <c r="Y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9">
        <f>IF(COUNTIF(F110:T110,"Yes")+COUNTIF(F110:T110,"No")=0,"",COUNTIF(F110:T110,"Yes")/(COUNTIF(F110:T110,"Yes")+COUNTIF(F110:T110,"No"))*100)</f>
        <v/>
      </c>
      <c r="V110">
        <f>COUNTIF(F110:T110,"No")</f>
        <v/>
      </c>
      <c r="W110" s="8" t="n"/>
      <c r="X110" s="8" t="n"/>
      <c r="Y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9">
        <f>IF(COUNTIF(F111:T111,"Yes")+COUNTIF(F111:T111,"No")=0,"",COUNTIF(F111:T111,"Yes")/(COUNTIF(F111:T111,"Yes")+COUNTIF(F111:T111,"No"))*100)</f>
        <v/>
      </c>
      <c r="V111">
        <f>COUNTIF(F111:T111,"No")</f>
        <v/>
      </c>
      <c r="W111" s="8" t="n"/>
      <c r="X111" s="8" t="n"/>
      <c r="Y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9">
        <f>IF(COUNTIF(F112:T112,"Yes")+COUNTIF(F112:T112,"No")=0,"",COUNTIF(F112:T112,"Yes")/(COUNTIF(F112:T112,"Yes")+COUNTIF(F112:T112,"No"))*100)</f>
        <v/>
      </c>
      <c r="V112">
        <f>COUNTIF(F112:T112,"No")</f>
        <v/>
      </c>
      <c r="W112" s="8" t="n"/>
      <c r="X112" s="8" t="n"/>
      <c r="Y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9">
        <f>IF(COUNTIF(F113:T113,"Yes")+COUNTIF(F113:T113,"No")=0,"",COUNTIF(F113:T113,"Yes")/(COUNTIF(F113:T113,"Yes")+COUNTIF(F113:T113,"No"))*100)</f>
        <v/>
      </c>
      <c r="V113">
        <f>COUNTIF(F113:T113,"No")</f>
        <v/>
      </c>
      <c r="W113" s="8" t="n"/>
      <c r="X113" s="8" t="n"/>
      <c r="Y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9">
        <f>IF(COUNTIF(F114:T114,"Yes")+COUNTIF(F114:T114,"No")=0,"",COUNTIF(F114:T114,"Yes")/(COUNTIF(F114:T114,"Yes")+COUNTIF(F114:T114,"No"))*100)</f>
        <v/>
      </c>
      <c r="V114">
        <f>COUNTIF(F114:T114,"No")</f>
        <v/>
      </c>
      <c r="W114" s="8" t="n"/>
      <c r="X114" s="8" t="n"/>
      <c r="Y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9">
        <f>IF(COUNTIF(F115:T115,"Yes")+COUNTIF(F115:T115,"No")=0,"",COUNTIF(F115:T115,"Yes")/(COUNTIF(F115:T115,"Yes")+COUNTIF(F115:T115,"No"))*100)</f>
        <v/>
      </c>
      <c r="V115">
        <f>COUNTIF(F115:T115,"No")</f>
        <v/>
      </c>
      <c r="W115" s="8" t="n"/>
      <c r="X115" s="8" t="n"/>
      <c r="Y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9">
        <f>IF(COUNTIF(F116:T116,"Yes")+COUNTIF(F116:T116,"No")=0,"",COUNTIF(F116:T116,"Yes")/(COUNTIF(F116:T116,"Yes")+COUNTIF(F116:T116,"No"))*100)</f>
        <v/>
      </c>
      <c r="V116">
        <f>COUNTIF(F116:T116,"No")</f>
        <v/>
      </c>
      <c r="W116" s="8" t="n"/>
      <c r="X116" s="8" t="n"/>
      <c r="Y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9">
        <f>IF(COUNTIF(F117:T117,"Yes")+COUNTIF(F117:T117,"No")=0,"",COUNTIF(F117:T117,"Yes")/(COUNTIF(F117:T117,"Yes")+COUNTIF(F117:T117,"No"))*100)</f>
        <v/>
      </c>
      <c r="V117">
        <f>COUNTIF(F117:T117,"No")</f>
        <v/>
      </c>
      <c r="W117" s="8" t="n"/>
      <c r="X117" s="8" t="n"/>
      <c r="Y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9">
        <f>IF(COUNTIF(F118:T118,"Yes")+COUNTIF(F118:T118,"No")=0,"",COUNTIF(F118:T118,"Yes")/(COUNTIF(F118:T118,"Yes")+COUNTIF(F118:T118,"No"))*100)</f>
        <v/>
      </c>
      <c r="V118">
        <f>COUNTIF(F118:T118,"No")</f>
        <v/>
      </c>
      <c r="W118" s="8" t="n"/>
      <c r="X118" s="8" t="n"/>
      <c r="Y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9">
        <f>IF(COUNTIF(F119:T119,"Yes")+COUNTIF(F119:T119,"No")=0,"",COUNTIF(F119:T119,"Yes")/(COUNTIF(F119:T119,"Yes")+COUNTIF(F119:T119,"No"))*100)</f>
        <v/>
      </c>
      <c r="V119">
        <f>COUNTIF(F119:T119,"No")</f>
        <v/>
      </c>
      <c r="W119" s="8" t="n"/>
      <c r="X119" s="8" t="n"/>
      <c r="Y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9">
        <f>IF(COUNTIF(F120:T120,"Yes")+COUNTIF(F120:T120,"No")=0,"",COUNTIF(F120:T120,"Yes")/(COUNTIF(F120:T120,"Yes")+COUNTIF(F120:T120,"No"))*100)</f>
        <v/>
      </c>
      <c r="V120">
        <f>COUNTIF(F120:T120,"No")</f>
        <v/>
      </c>
      <c r="W120" s="8" t="n"/>
      <c r="X120" s="8" t="n"/>
      <c r="Y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9">
        <f>IF(COUNTIF(F121:T121,"Yes")+COUNTIF(F121:T121,"No")=0,"",COUNTIF(F121:T121,"Yes")/(COUNTIF(F121:T121,"Yes")+COUNTIF(F121:T121,"No"))*100)</f>
        <v/>
      </c>
      <c r="V121">
        <f>COUNTIF(F121:T121,"No")</f>
        <v/>
      </c>
      <c r="W121" s="8" t="n"/>
      <c r="X121" s="8" t="n"/>
      <c r="Y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9">
        <f>IF(COUNTIF(F122:T122,"Yes")+COUNTIF(F122:T122,"No")=0,"",COUNTIF(F122:T122,"Yes")/(COUNTIF(F122:T122,"Yes")+COUNTIF(F122:T122,"No"))*100)</f>
        <v/>
      </c>
      <c r="V122">
        <f>COUNTIF(F122:T122,"No")</f>
        <v/>
      </c>
      <c r="W122" s="8" t="n"/>
      <c r="X122" s="8" t="n"/>
      <c r="Y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9">
        <f>IF(COUNTIF(F123:T123,"Yes")+COUNTIF(F123:T123,"No")=0,"",COUNTIF(F123:T123,"Yes")/(COUNTIF(F123:T123,"Yes")+COUNTIF(F123:T123,"No"))*100)</f>
        <v/>
      </c>
      <c r="V123">
        <f>COUNTIF(F123:T123,"No")</f>
        <v/>
      </c>
      <c r="W123" s="8" t="n"/>
      <c r="X123" s="8" t="n"/>
      <c r="Y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9">
        <f>IF(COUNTIF(F124:T124,"Yes")+COUNTIF(F124:T124,"No")=0,"",COUNTIF(F124:T124,"Yes")/(COUNTIF(F124:T124,"Yes")+COUNTIF(F124:T124,"No"))*100)</f>
        <v/>
      </c>
      <c r="V124">
        <f>COUNTIF(F124:T124,"No")</f>
        <v/>
      </c>
      <c r="W124" s="8" t="n"/>
      <c r="X124" s="8" t="n"/>
      <c r="Y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9">
        <f>IF(COUNTIF(F125:T125,"Yes")+COUNTIF(F125:T125,"No")=0,"",COUNTIF(F125:T125,"Yes")/(COUNTIF(F125:T125,"Yes")+COUNTIF(F125:T125,"No"))*100)</f>
        <v/>
      </c>
      <c r="V125">
        <f>COUNTIF(F125:T125,"No")</f>
        <v/>
      </c>
      <c r="W125" s="8" t="n"/>
      <c r="X125" s="8" t="n"/>
      <c r="Y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9">
        <f>IF(COUNTIF(F126:T126,"Yes")+COUNTIF(F126:T126,"No")=0,"",COUNTIF(F126:T126,"Yes")/(COUNTIF(F126:T126,"Yes")+COUNTIF(F126:T126,"No"))*100)</f>
        <v/>
      </c>
      <c r="V126">
        <f>COUNTIF(F126:T126,"No")</f>
        <v/>
      </c>
      <c r="W126" s="8" t="n"/>
      <c r="X126" s="8" t="n"/>
      <c r="Y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9">
        <f>IF(COUNTIF(F127:T127,"Yes")+COUNTIF(F127:T127,"No")=0,"",COUNTIF(F127:T127,"Yes")/(COUNTIF(F127:T127,"Yes")+COUNTIF(F127:T127,"No"))*100)</f>
        <v/>
      </c>
      <c r="V127">
        <f>COUNTIF(F127:T127,"No")</f>
        <v/>
      </c>
      <c r="W127" s="8" t="n"/>
      <c r="X127" s="8" t="n"/>
      <c r="Y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9">
        <f>IF(COUNTIF(F128:T128,"Yes")+COUNTIF(F128:T128,"No")=0,"",COUNTIF(F128:T128,"Yes")/(COUNTIF(F128:T128,"Yes")+COUNTIF(F128:T128,"No"))*100)</f>
        <v/>
      </c>
      <c r="V128">
        <f>COUNTIF(F128:T128,"No")</f>
        <v/>
      </c>
      <c r="W128" s="8" t="n"/>
      <c r="X128" s="8" t="n"/>
      <c r="Y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9">
        <f>IF(COUNTIF(F129:T129,"Yes")+COUNTIF(F129:T129,"No")=0,"",COUNTIF(F129:T129,"Yes")/(COUNTIF(F129:T129,"Yes")+COUNTIF(F129:T129,"No"))*100)</f>
        <v/>
      </c>
      <c r="V129">
        <f>COUNTIF(F129:T129,"No")</f>
        <v/>
      </c>
      <c r="W129" s="8" t="n"/>
      <c r="X129" s="8" t="n"/>
      <c r="Y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9">
        <f>IF(COUNTIF(F130:T130,"Yes")+COUNTIF(F130:T130,"No")=0,"",COUNTIF(F130:T130,"Yes")/(COUNTIF(F130:T130,"Yes")+COUNTIF(F130:T130,"No"))*100)</f>
        <v/>
      </c>
      <c r="V130">
        <f>COUNTIF(F130:T130,"No")</f>
        <v/>
      </c>
      <c r="W130" s="8" t="n"/>
      <c r="X130" s="8" t="n"/>
      <c r="Y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9">
        <f>IF(COUNTIF(F131:T131,"Yes")+COUNTIF(F131:T131,"No")=0,"",COUNTIF(F131:T131,"Yes")/(COUNTIF(F131:T131,"Yes")+COUNTIF(F131:T131,"No"))*100)</f>
        <v/>
      </c>
      <c r="V131">
        <f>COUNTIF(F131:T131,"No")</f>
        <v/>
      </c>
      <c r="W131" s="8" t="n"/>
      <c r="X131" s="8" t="n"/>
      <c r="Y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9">
        <f>IF(COUNTIF(F132:T132,"Yes")+COUNTIF(F132:T132,"No")=0,"",COUNTIF(F132:T132,"Yes")/(COUNTIF(F132:T132,"Yes")+COUNTIF(F132:T132,"No"))*100)</f>
        <v/>
      </c>
      <c r="V132">
        <f>COUNTIF(F132:T132,"No")</f>
        <v/>
      </c>
      <c r="W132" s="8" t="n"/>
      <c r="X132" s="8" t="n"/>
      <c r="Y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9">
        <f>IF(COUNTIF(F133:T133,"Yes")+COUNTIF(F133:T133,"No")=0,"",COUNTIF(F133:T133,"Yes")/(COUNTIF(F133:T133,"Yes")+COUNTIF(F133:T133,"No"))*100)</f>
        <v/>
      </c>
      <c r="V133">
        <f>COUNTIF(F133:T133,"No")</f>
        <v/>
      </c>
      <c r="W133" s="8" t="n"/>
      <c r="X133" s="8" t="n"/>
      <c r="Y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9">
        <f>IF(COUNTIF(F134:T134,"Yes")+COUNTIF(F134:T134,"No")=0,"",COUNTIF(F134:T134,"Yes")/(COUNTIF(F134:T134,"Yes")+COUNTIF(F134:T134,"No"))*100)</f>
        <v/>
      </c>
      <c r="V134">
        <f>COUNTIF(F134:T134,"No")</f>
        <v/>
      </c>
      <c r="W134" s="8" t="n"/>
      <c r="X134" s="8" t="n"/>
      <c r="Y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9">
        <f>IF(COUNTIF(F135:T135,"Yes")+COUNTIF(F135:T135,"No")=0,"",COUNTIF(F135:T135,"Yes")/(COUNTIF(F135:T135,"Yes")+COUNTIF(F135:T135,"No"))*100)</f>
        <v/>
      </c>
      <c r="V135">
        <f>COUNTIF(F135:T135,"No")</f>
        <v/>
      </c>
      <c r="W135" s="8" t="n"/>
      <c r="X135" s="8" t="n"/>
      <c r="Y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9">
        <f>IF(COUNTIF(F136:T136,"Yes")+COUNTIF(F136:T136,"No")=0,"",COUNTIF(F136:T136,"Yes")/(COUNTIF(F136:T136,"Yes")+COUNTIF(F136:T136,"No"))*100)</f>
        <v/>
      </c>
      <c r="V136">
        <f>COUNTIF(F136:T136,"No")</f>
        <v/>
      </c>
      <c r="W136" s="8" t="n"/>
      <c r="X136" s="8" t="n"/>
      <c r="Y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9">
        <f>IF(COUNTIF(F137:T137,"Yes")+COUNTIF(F137:T137,"No")=0,"",COUNTIF(F137:T137,"Yes")/(COUNTIF(F137:T137,"Yes")+COUNTIF(F137:T137,"No"))*100)</f>
        <v/>
      </c>
      <c r="V137">
        <f>COUNTIF(F137:T137,"No")</f>
        <v/>
      </c>
      <c r="W137" s="8" t="n"/>
      <c r="X137" s="8" t="n"/>
      <c r="Y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9">
        <f>IF(COUNTIF(F138:T138,"Yes")+COUNTIF(F138:T138,"No")=0,"",COUNTIF(F138:T138,"Yes")/(COUNTIF(F138:T138,"Yes")+COUNTIF(F138:T138,"No"))*100)</f>
        <v/>
      </c>
      <c r="V138">
        <f>COUNTIF(F138:T138,"No")</f>
        <v/>
      </c>
      <c r="W138" s="8" t="n"/>
      <c r="X138" s="8" t="n"/>
      <c r="Y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9">
        <f>IF(COUNTIF(F139:T139,"Yes")+COUNTIF(F139:T139,"No")=0,"",COUNTIF(F139:T139,"Yes")/(COUNTIF(F139:T139,"Yes")+COUNTIF(F139:T139,"No"))*100)</f>
        <v/>
      </c>
      <c r="V139">
        <f>COUNTIF(F139:T139,"No")</f>
        <v/>
      </c>
      <c r="W139" s="8" t="n"/>
      <c r="X139" s="8" t="n"/>
      <c r="Y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9">
        <f>IF(COUNTIF(F140:T140,"Yes")+COUNTIF(F140:T140,"No")=0,"",COUNTIF(F140:T140,"Yes")/(COUNTIF(F140:T140,"Yes")+COUNTIF(F140:T140,"No"))*100)</f>
        <v/>
      </c>
      <c r="V140">
        <f>COUNTIF(F140:T140,"No")</f>
        <v/>
      </c>
      <c r="W140" s="8" t="n"/>
      <c r="X140" s="8" t="n"/>
      <c r="Y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9">
        <f>IF(COUNTIF(F141:T141,"Yes")+COUNTIF(F141:T141,"No")=0,"",COUNTIF(F141:T141,"Yes")/(COUNTIF(F141:T141,"Yes")+COUNTIF(F141:T141,"No"))*100)</f>
        <v/>
      </c>
      <c r="V141">
        <f>COUNTIF(F141:T141,"No")</f>
        <v/>
      </c>
      <c r="W141" s="8" t="n"/>
      <c r="X141" s="8" t="n"/>
      <c r="Y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9">
        <f>IF(COUNTIF(F142:T142,"Yes")+COUNTIF(F142:T142,"No")=0,"",COUNTIF(F142:T142,"Yes")/(COUNTIF(F142:T142,"Yes")+COUNTIF(F142:T142,"No"))*100)</f>
        <v/>
      </c>
      <c r="V142">
        <f>COUNTIF(F142:T142,"No")</f>
        <v/>
      </c>
      <c r="W142" s="8" t="n"/>
      <c r="X142" s="8" t="n"/>
      <c r="Y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9">
        <f>IF(COUNTIF(F143:T143,"Yes")+COUNTIF(F143:T143,"No")=0,"",COUNTIF(F143:T143,"Yes")/(COUNTIF(F143:T143,"Yes")+COUNTIF(F143:T143,"No"))*100)</f>
        <v/>
      </c>
      <c r="V143">
        <f>COUNTIF(F143:T143,"No")</f>
        <v/>
      </c>
      <c r="W143" s="8" t="n"/>
      <c r="X143" s="8" t="n"/>
      <c r="Y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9">
        <f>IF(COUNTIF(F144:T144,"Yes")+COUNTIF(F144:T144,"No")=0,"",COUNTIF(F144:T144,"Yes")/(COUNTIF(F144:T144,"Yes")+COUNTIF(F144:T144,"No"))*100)</f>
        <v/>
      </c>
      <c r="V144">
        <f>COUNTIF(F144:T144,"No")</f>
        <v/>
      </c>
      <c r="W144" s="8" t="n"/>
      <c r="X144" s="8" t="n"/>
      <c r="Y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9">
        <f>IF(COUNTIF(F145:T145,"Yes")+COUNTIF(F145:T145,"No")=0,"",COUNTIF(F145:T145,"Yes")/(COUNTIF(F145:T145,"Yes")+COUNTIF(F145:T145,"No"))*100)</f>
        <v/>
      </c>
      <c r="V145">
        <f>COUNTIF(F145:T145,"No")</f>
        <v/>
      </c>
      <c r="W145" s="8" t="n"/>
      <c r="X145" s="8" t="n"/>
      <c r="Y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9">
        <f>IF(COUNTIF(F146:T146,"Yes")+COUNTIF(F146:T146,"No")=0,"",COUNTIF(F146:T146,"Yes")/(COUNTIF(F146:T146,"Yes")+COUNTIF(F146:T146,"No"))*100)</f>
        <v/>
      </c>
      <c r="V146">
        <f>COUNTIF(F146:T146,"No")</f>
        <v/>
      </c>
      <c r="W146" s="8" t="n"/>
      <c r="X146" s="8" t="n"/>
      <c r="Y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9">
        <f>IF(COUNTIF(F147:T147,"Yes")+COUNTIF(F147:T147,"No")=0,"",COUNTIF(F147:T147,"Yes")/(COUNTIF(F147:T147,"Yes")+COUNTIF(F147:T147,"No"))*100)</f>
        <v/>
      </c>
      <c r="V147">
        <f>COUNTIF(F147:T147,"No")</f>
        <v/>
      </c>
      <c r="W147" s="8" t="n"/>
      <c r="X147" s="8" t="n"/>
      <c r="Y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9">
        <f>IF(COUNTIF(F148:T148,"Yes")+COUNTIF(F148:T148,"No")=0,"",COUNTIF(F148:T148,"Yes")/(COUNTIF(F148:T148,"Yes")+COUNTIF(F148:T148,"No"))*100)</f>
        <v/>
      </c>
      <c r="V148">
        <f>COUNTIF(F148:T148,"No")</f>
        <v/>
      </c>
      <c r="W148" s="8" t="n"/>
      <c r="X148" s="8" t="n"/>
      <c r="Y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9">
        <f>IF(COUNTIF(F149:T149,"Yes")+COUNTIF(F149:T149,"No")=0,"",COUNTIF(F149:T149,"Yes")/(COUNTIF(F149:T149,"Yes")+COUNTIF(F149:T149,"No"))*100)</f>
        <v/>
      </c>
      <c r="V149">
        <f>COUNTIF(F149:T149,"No")</f>
        <v/>
      </c>
      <c r="W149" s="8" t="n"/>
      <c r="X149" s="8" t="n"/>
      <c r="Y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9">
        <f>IF(COUNTIF(F150:T150,"Yes")+COUNTIF(F150:T150,"No")=0,"",COUNTIF(F150:T150,"Yes")/(COUNTIF(F150:T150,"Yes")+COUNTIF(F150:T150,"No"))*100)</f>
        <v/>
      </c>
      <c r="V150">
        <f>COUNTIF(F150:T150,"No")</f>
        <v/>
      </c>
      <c r="W150" s="8" t="n"/>
      <c r="X150" s="8" t="n"/>
      <c r="Y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9">
        <f>IF(COUNTIF(F151:T151,"Yes")+COUNTIF(F151:T151,"No")=0,"",COUNTIF(F151:T151,"Yes")/(COUNTIF(F151:T151,"Yes")+COUNTIF(F151:T151,"No"))*100)</f>
        <v/>
      </c>
      <c r="V151">
        <f>COUNTIF(F151:T151,"No")</f>
        <v/>
      </c>
      <c r="W151" s="8" t="n"/>
      <c r="X151" s="8" t="n"/>
      <c r="Y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9">
        <f>IF(COUNTIF(F152:T152,"Yes")+COUNTIF(F152:T152,"No")=0,"",COUNTIF(F152:T152,"Yes")/(COUNTIF(F152:T152,"Yes")+COUNTIF(F152:T152,"No"))*100)</f>
        <v/>
      </c>
      <c r="V152">
        <f>COUNTIF(F152:T152,"No")</f>
        <v/>
      </c>
      <c r="W152" s="8" t="n"/>
      <c r="X152" s="8" t="n"/>
      <c r="Y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9">
        <f>IF(COUNTIF(F153:T153,"Yes")+COUNTIF(F153:T153,"No")=0,"",COUNTIF(F153:T153,"Yes")/(COUNTIF(F153:T153,"Yes")+COUNTIF(F153:T153,"No"))*100)</f>
        <v/>
      </c>
      <c r="V153">
        <f>COUNTIF(F153:T153,"No")</f>
        <v/>
      </c>
      <c r="W153" s="8" t="n"/>
      <c r="X153" s="8" t="n"/>
      <c r="Y153" s="8" t="n"/>
    </row>
  </sheetData>
  <mergeCells count="2">
    <mergeCell ref="A2:W2"/>
    <mergeCell ref="A1:W1"/>
  </mergeCells>
  <conditionalFormatting sqref="F4:F153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"N/A"</formula>
    </cfRule>
  </conditionalFormatting>
  <conditionalFormatting sqref="G4:G153">
    <cfRule type="cellIs" priority="4" operator="equal" dxfId="0">
      <formula>"Yes"</formula>
    </cfRule>
    <cfRule type="cellIs" priority="5" operator="equal" dxfId="1">
      <formula>"No"</formula>
    </cfRule>
    <cfRule type="cellIs" priority="6" operator="equal" dxfId="2">
      <formula>"N/A"</formula>
    </cfRule>
  </conditionalFormatting>
  <conditionalFormatting sqref="H4:H153">
    <cfRule type="cellIs" priority="7" operator="equal" dxfId="0">
      <formula>"Yes"</formula>
    </cfRule>
    <cfRule type="cellIs" priority="8" operator="equal" dxfId="1">
      <formula>"No"</formula>
    </cfRule>
    <cfRule type="cellIs" priority="9" operator="equal" dxfId="2">
      <formula>"N/A"</formula>
    </cfRule>
  </conditionalFormatting>
  <conditionalFormatting sqref="I4:I153">
    <cfRule type="cellIs" priority="10" operator="equal" dxfId="0">
      <formula>"Yes"</formula>
    </cfRule>
    <cfRule type="cellIs" priority="11" operator="equal" dxfId="1">
      <formula>"No"</formula>
    </cfRule>
    <cfRule type="cellIs" priority="12" operator="equal" dxfId="2">
      <formula>"N/A"</formula>
    </cfRule>
  </conditionalFormatting>
  <conditionalFormatting sqref="J4:J153">
    <cfRule type="cellIs" priority="13" operator="equal" dxfId="0">
      <formula>"Yes"</formula>
    </cfRule>
    <cfRule type="cellIs" priority="14" operator="equal" dxfId="1">
      <formula>"No"</formula>
    </cfRule>
    <cfRule type="cellIs" priority="15" operator="equal" dxfId="2">
      <formula>"N/A"</formula>
    </cfRule>
  </conditionalFormatting>
  <conditionalFormatting sqref="K4:K153">
    <cfRule type="cellIs" priority="16" operator="equal" dxfId="0">
      <formula>"Yes"</formula>
    </cfRule>
    <cfRule type="cellIs" priority="17" operator="equal" dxfId="1">
      <formula>"No"</formula>
    </cfRule>
    <cfRule type="cellIs" priority="18" operator="equal" dxfId="2">
      <formula>"N/A"</formula>
    </cfRule>
  </conditionalFormatting>
  <conditionalFormatting sqref="L4:L153">
    <cfRule type="cellIs" priority="19" operator="equal" dxfId="0">
      <formula>"Yes"</formula>
    </cfRule>
    <cfRule type="cellIs" priority="20" operator="equal" dxfId="1">
      <formula>"No"</formula>
    </cfRule>
    <cfRule type="cellIs" priority="21" operator="equal" dxfId="2">
      <formula>"N/A"</formula>
    </cfRule>
  </conditionalFormatting>
  <conditionalFormatting sqref="M4:M153">
    <cfRule type="cellIs" priority="22" operator="equal" dxfId="0">
      <formula>"Yes"</formula>
    </cfRule>
    <cfRule type="cellIs" priority="23" operator="equal" dxfId="1">
      <formula>"No"</formula>
    </cfRule>
    <cfRule type="cellIs" priority="24" operator="equal" dxfId="2">
      <formula>"N/A"</formula>
    </cfRule>
  </conditionalFormatting>
  <conditionalFormatting sqref="N4:N153">
    <cfRule type="cellIs" priority="25" operator="equal" dxfId="0">
      <formula>"Yes"</formula>
    </cfRule>
    <cfRule type="cellIs" priority="26" operator="equal" dxfId="1">
      <formula>"No"</formula>
    </cfRule>
    <cfRule type="cellIs" priority="27" operator="equal" dxfId="2">
      <formula>"N/A"</formula>
    </cfRule>
  </conditionalFormatting>
  <conditionalFormatting sqref="O4:O153">
    <cfRule type="cellIs" priority="28" operator="equal" dxfId="0">
      <formula>"Yes"</formula>
    </cfRule>
    <cfRule type="cellIs" priority="29" operator="equal" dxfId="1">
      <formula>"No"</formula>
    </cfRule>
    <cfRule type="cellIs" priority="30" operator="equal" dxfId="2">
      <formula>"N/A"</formula>
    </cfRule>
  </conditionalFormatting>
  <conditionalFormatting sqref="P4:P153">
    <cfRule type="cellIs" priority="31" operator="equal" dxfId="0">
      <formula>"Yes"</formula>
    </cfRule>
    <cfRule type="cellIs" priority="32" operator="equal" dxfId="1">
      <formula>"No"</formula>
    </cfRule>
    <cfRule type="cellIs" priority="33" operator="equal" dxfId="2">
      <formula>"N/A"</formula>
    </cfRule>
  </conditionalFormatting>
  <conditionalFormatting sqref="Q4:Q153">
    <cfRule type="cellIs" priority="34" operator="equal" dxfId="0">
      <formula>"Yes"</formula>
    </cfRule>
    <cfRule type="cellIs" priority="35" operator="equal" dxfId="1">
      <formula>"No"</formula>
    </cfRule>
    <cfRule type="cellIs" priority="36" operator="equal" dxfId="2">
      <formula>"N/A"</formula>
    </cfRule>
  </conditionalFormatting>
  <conditionalFormatting sqref="R4:R153">
    <cfRule type="cellIs" priority="37" operator="equal" dxfId="0">
      <formula>"Yes"</formula>
    </cfRule>
    <cfRule type="cellIs" priority="38" operator="equal" dxfId="1">
      <formula>"No"</formula>
    </cfRule>
    <cfRule type="cellIs" priority="39" operator="equal" dxfId="2">
      <formula>"N/A"</formula>
    </cfRule>
  </conditionalFormatting>
  <conditionalFormatting sqref="S4:S153">
    <cfRule type="cellIs" priority="40" operator="equal" dxfId="0">
      <formula>"Yes"</formula>
    </cfRule>
    <cfRule type="cellIs" priority="41" operator="equal" dxfId="1">
      <formula>"No"</formula>
    </cfRule>
    <cfRule type="cellIs" priority="42" operator="equal" dxfId="2">
      <formula>"N/A"</formula>
    </cfRule>
  </conditionalFormatting>
  <conditionalFormatting sqref="T4:T153">
    <cfRule type="cellIs" priority="43" operator="equal" dxfId="0">
      <formula>"Yes"</formula>
    </cfRule>
    <cfRule type="cellIs" priority="44" operator="equal" dxfId="1">
      <formula>"No"</formula>
    </cfRule>
    <cfRule type="cellIs" priority="45" operator="equal" dxfId="2">
      <formula>"N/A"</formula>
    </cfRule>
  </conditionalFormatting>
  <conditionalFormatting sqref="U4:U153">
    <cfRule type="cellIs" priority="46" operator="greaterThanOrEqual" dxfId="3">
      <formula>95</formula>
    </cfRule>
    <cfRule type="cellIs" priority="47" operator="between" dxfId="4">
      <formula>80</formula>
      <formula>94</formula>
    </cfRule>
    <cfRule type="cellIs" priority="48" operator="lessThan" dxfId="5">
      <formula>80</formula>
    </cfRule>
  </conditionalFormatting>
  <dataValidations count="1">
    <dataValidation sqref="F4:F153 G4:G153 H4:H153 I4:I153 J4:J153 K4:K153 L4:L153 M4:M153 N4:N153 O4:O153 P4:P153 Q4:Q153 R4:R153 S4:S153 T4:T153" showDropDown="0" showInputMessage="0" showErrorMessage="0" allowBlank="0" errorTitle="Invalid Value" error="Must be Yes, No, or N/A" type="list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40" customWidth="1" min="4" max="4"/>
    <col width="15" customWidth="1" min="5" max="5"/>
    <col width="15" customWidth="1" min="6" max="6"/>
  </cols>
  <sheetData>
    <row r="1" ht="25" customHeight="1">
      <c r="A1" s="1" t="inlineStr">
        <is>
          <t>Device Hardening Baseline Reference</t>
        </is>
      </c>
    </row>
    <row r="2">
      <c r="A2" s="4" t="inlineStr">
        <is>
          <t>Reference guide for device hardening based on CIS Benchmarks and vendor security guides</t>
        </is>
      </c>
    </row>
    <row r="4">
      <c r="A4" s="2" t="inlineStr">
        <is>
          <t>CIS Benchmarks &amp; Industry Standards</t>
        </is>
      </c>
    </row>
    <row r="5">
      <c r="A5" s="3" t="inlineStr">
        <is>
          <t>Device Type</t>
        </is>
      </c>
      <c r="B5" s="3" t="inlineStr">
        <is>
          <t>Benchmark/Guide</t>
        </is>
      </c>
      <c r="C5" s="3" t="inlineStr">
        <is>
          <t>Version</t>
        </is>
      </c>
      <c r="D5" s="3" t="inlineStr">
        <is>
          <t>URL/Reference</t>
        </is>
      </c>
    </row>
    <row r="6" ht="20" customHeight="1">
      <c r="A6" s="4" t="inlineStr">
        <is>
          <t>Cisco IOS</t>
        </is>
      </c>
      <c r="B6" s="4" t="inlineStr">
        <is>
          <t>CIS Cisco IOS Benchmark</t>
        </is>
      </c>
      <c r="C6" s="4" t="inlineStr">
        <is>
          <t>v4.1.0</t>
        </is>
      </c>
      <c r="D6" s="4" t="inlineStr">
        <is>
          <t>https://www.cisecurity.org/benchmark/cisco</t>
        </is>
      </c>
    </row>
    <row r="7" ht="20" customHeight="1">
      <c r="A7" s="4" t="inlineStr">
        <is>
          <t>Juniper JunOS</t>
        </is>
      </c>
      <c r="B7" s="4" t="inlineStr">
        <is>
          <t>CIS Juniper Benchmark</t>
        </is>
      </c>
      <c r="C7" s="4" t="inlineStr">
        <is>
          <t>v2.1.0</t>
        </is>
      </c>
      <c r="D7" s="4" t="inlineStr">
        <is>
          <t>https://www.cisecurity.org/benchmark/juniper</t>
        </is>
      </c>
    </row>
    <row r="8" ht="20" customHeight="1">
      <c r="A8" s="4" t="inlineStr">
        <is>
          <t>Palo Alto</t>
        </is>
      </c>
      <c r="B8" s="4" t="inlineStr">
        <is>
          <t>CIS Palo Alto Firewall Benchmark</t>
        </is>
      </c>
      <c r="C8" s="4" t="inlineStr">
        <is>
          <t>v1.1.0</t>
        </is>
      </c>
      <c r="D8" s="4" t="inlineStr">
        <is>
          <t>https://www.cisecurity.org/benchmark/palo_alto_networks</t>
        </is>
      </c>
    </row>
    <row r="9" ht="20" customHeight="1">
      <c r="A9" s="4" t="inlineStr">
        <is>
          <t>Fortinet</t>
        </is>
      </c>
      <c r="B9" s="4" t="inlineStr">
        <is>
          <t>CIS Fortinet FortiOS Benchmark</t>
        </is>
      </c>
      <c r="C9" s="4" t="inlineStr">
        <is>
          <t>v1.1.0</t>
        </is>
      </c>
      <c r="D9" s="4" t="inlineStr">
        <is>
          <t>https://www.cisecurity.org/benchmark/fortinet</t>
        </is>
      </c>
    </row>
    <row r="10" ht="20" customHeight="1">
      <c r="A10" s="4" t="inlineStr">
        <is>
          <t>Aruba</t>
        </is>
      </c>
      <c r="B10" s="4" t="inlineStr">
        <is>
          <t>Aruba Hardening Guide</t>
        </is>
      </c>
      <c r="C10" s="4" t="inlineStr">
        <is>
          <t>Latest</t>
        </is>
      </c>
      <c r="D10" s="4" t="inlineStr">
        <is>
          <t>https://www.arubanetworks.com/techdocs/</t>
        </is>
      </c>
    </row>
    <row r="11" ht="20" customHeight="1">
      <c r="A11" s="4" t="inlineStr">
        <is>
          <t>Generic Network</t>
        </is>
      </c>
      <c r="B11" s="4" t="inlineStr">
        <is>
          <t>NIST SP 800-41 (Firewall/Router)</t>
        </is>
      </c>
      <c r="C11" s="4" t="inlineStr">
        <is>
          <t>Rev 1</t>
        </is>
      </c>
      <c r="D11" s="4" t="inlineStr">
        <is>
          <t>https://csrc.nist.gov/publications/detail/sp/800-41/rev-1/final</t>
        </is>
      </c>
    </row>
    <row r="12" ht="20" customHeight="1">
      <c r="A12" s="4" t="inlineStr">
        <is>
          <t>Wireless</t>
        </is>
      </c>
      <c r="B12" s="4" t="inlineStr">
        <is>
          <t>CIS Wireless Network Security</t>
        </is>
      </c>
      <c r="C12" s="4" t="inlineStr">
        <is>
          <t>v1.0</t>
        </is>
      </c>
      <c r="D12" s="4" t="inlineStr">
        <is>
          <t>https://www.cisecurity.org/</t>
        </is>
      </c>
    </row>
    <row r="14">
      <c r="A14" s="2" t="inlineStr">
        <is>
          <t>Hardening Requirements - Implementation Guidance</t>
        </is>
      </c>
    </row>
    <row r="15">
      <c r="A15" s="3" t="inlineStr">
        <is>
          <t>Requirement</t>
        </is>
      </c>
      <c r="B15" s="3" t="inlineStr">
        <is>
          <t>Implementation Guidance</t>
        </is>
      </c>
      <c r="C15" s="3" t="inlineStr">
        <is>
          <t>Verification Method</t>
        </is>
      </c>
    </row>
    <row r="16" ht="40" customHeight="1">
      <c r="A16" s="3" t="inlineStr">
        <is>
          <t>Default Credentials Disabled</t>
        </is>
      </c>
      <c r="B16" s="4" t="inlineStr">
        <is>
          <t>Change default usernames/passwords (admin/admin, cisco/cisco, etc.). Disable or rename default accounts.</t>
        </is>
      </c>
      <c r="C16" s="4" t="inlineStr">
        <is>
          <t>Attempt login with default credentials (should fail). Review user list.</t>
        </is>
      </c>
    </row>
    <row r="17" ht="40" customHeight="1">
      <c r="A17" s="3" t="inlineStr">
        <is>
          <t>Strong Password Policy</t>
        </is>
      </c>
      <c r="B17" s="4" t="inlineStr">
        <is>
          <t>Min 12 chars, complexity (upper/lower/number/special), expiration 90 days, history 5 passwords.</t>
        </is>
      </c>
      <c r="C17" s="4" t="inlineStr">
        <is>
          <t>Check password policy config. Test weak password (should be rejected).</t>
        </is>
      </c>
    </row>
    <row r="18" ht="40" customHeight="1">
      <c r="A18" s="3" t="inlineStr">
        <is>
          <t>Multi-Factor Authentication</t>
        </is>
      </c>
      <c r="B18" s="4" t="inlineStr">
        <is>
          <t>Enable MFA for admin access (TACACS+, RADIUS with OTP/tokens). Critical for privileged access.</t>
        </is>
      </c>
      <c r="C18" s="4" t="inlineStr">
        <is>
          <t>Verify AAA config, test login (should require 2nd factor).</t>
        </is>
      </c>
    </row>
    <row r="19" ht="40" customHeight="1">
      <c r="A19" s="3" t="inlineStr">
        <is>
          <t>Unnecessary Services Disabled</t>
        </is>
      </c>
      <c r="B19" s="4" t="inlineStr">
        <is>
          <t>Disable unused protocols: HTTP (use HTTPS), Telnet (use SSH), FTP, TFTP, finger, echo, CDP (on edge).</t>
        </is>
      </c>
      <c r="C19" s="4" t="inlineStr">
        <is>
          <t>Port scan device, check running services list.</t>
        </is>
      </c>
    </row>
    <row r="20" ht="40" customHeight="1">
      <c r="A20" s="3" t="inlineStr">
        <is>
          <t>Secure Management (SSH/HTTPS)</t>
        </is>
      </c>
      <c r="B20" s="4" t="inlineStr">
        <is>
          <t>Use SSH for CLI (disable Telnet), HTTPS for web (disable HTTP). SSH v2 only.</t>
        </is>
      </c>
      <c r="C20" s="4" t="inlineStr">
        <is>
          <t>Telnet to device (should fail). Check SSH version.</t>
        </is>
      </c>
    </row>
    <row r="21" ht="40" customHeight="1">
      <c r="A21" s="3" t="inlineStr">
        <is>
          <t>Logging Enabled</t>
        </is>
      </c>
      <c r="B21" s="4" t="inlineStr">
        <is>
          <t>Enable syslog to centralized server. Log severity: informational or higher. Buffer logging.</t>
        </is>
      </c>
      <c r="C21" s="4" t="inlineStr">
        <is>
          <t>Check logging config, verify logs reaching syslog server.</t>
        </is>
      </c>
    </row>
    <row r="22" ht="40" customHeight="1">
      <c r="A22" s="3" t="inlineStr">
        <is>
          <t>NTP Configured</t>
        </is>
      </c>
      <c r="B22" s="4" t="inlineStr">
        <is>
          <t>Configure NTP client, point to internal NTP servers. Enable NTP authentication if possible.</t>
        </is>
      </c>
      <c r="C22" s="4" t="inlineStr">
        <is>
          <t>Check NTP config, verify time sync (ntpstat, show ntp status).</t>
        </is>
      </c>
    </row>
    <row r="23" ht="40" customHeight="1">
      <c r="A23" s="3" t="inlineStr">
        <is>
          <t>SNMPv3 Only</t>
        </is>
      </c>
      <c r="B23" s="4" t="inlineStr">
        <is>
          <t>Use SNMPv3 with authentication and encryption. Disable SNMPv1/v2c (community strings).</t>
        </is>
      </c>
      <c r="C23" s="4" t="inlineStr">
        <is>
          <t>Check SNMP config, test v2c query (should fail).</t>
        </is>
      </c>
    </row>
    <row r="24" ht="40" customHeight="1">
      <c r="A24" s="3" t="inlineStr">
        <is>
          <t>Session Timeouts</t>
        </is>
      </c>
      <c r="B24" s="4" t="inlineStr">
        <is>
          <t>Configure idle timeout (e.g., 10 minutes for console, 15 min for VTY). Auto-logout inactive sessions.</t>
        </is>
      </c>
      <c r="C24" s="4" t="inlineStr">
        <is>
          <t>Check timeout config (exec-timeout, idle-timeout).</t>
        </is>
      </c>
    </row>
    <row r="25" ht="40" customHeight="1">
      <c r="A25" s="3" t="inlineStr">
        <is>
          <t>Banner Messages</t>
        </is>
      </c>
      <c r="B25" s="4" t="inlineStr">
        <is>
          <t>Configure login banner warning unauthorized access is prohibited. MOTD and login banners.</t>
        </is>
      </c>
      <c r="C25" s="4" t="inlineStr">
        <is>
          <t>Check banner config, verify displayed on login.</t>
        </is>
      </c>
    </row>
    <row r="26" ht="40" customHeight="1">
      <c r="A26" s="3" t="inlineStr">
        <is>
          <t>Configuration Backups</t>
        </is>
      </c>
      <c r="B26" s="4" t="inlineStr">
        <is>
          <t>Automated nightly config backups to secure location. Use RANCID, Oxidized, or scripts.</t>
        </is>
      </c>
      <c r="C26" s="4" t="inlineStr">
        <is>
          <t>Verify backup schedule, check recent backup files exist.</t>
        </is>
      </c>
    </row>
    <row r="27" ht="40" customHeight="1">
      <c r="A27" s="3" t="inlineStr">
        <is>
          <t>Firmware/Software Updated</t>
        </is>
      </c>
      <c r="B27" s="4" t="inlineStr">
        <is>
          <t>Running latest stable firmware/software with security patches. Track end-of-life dates.</t>
        </is>
      </c>
      <c r="C27" s="4" t="inlineStr">
        <is>
          <t>Check current version vs. vendor latest. Review security advisories.</t>
        </is>
      </c>
    </row>
    <row r="28" ht="40" customHeight="1">
      <c r="A28" s="3" t="inlineStr">
        <is>
          <t>Access Control Lists</t>
        </is>
      </c>
      <c r="B28" s="4" t="inlineStr">
        <is>
          <t>Implement ACLs on routers/firewalls for ingress/egress filtering. Default deny, explicit allow.</t>
        </is>
      </c>
      <c r="C28" s="4" t="inlineStr">
        <is>
          <t>Review ACL config, test traffic (permitted/denied as expected).</t>
        </is>
      </c>
    </row>
    <row r="29" ht="40" customHeight="1">
      <c r="A29" s="3" t="inlineStr">
        <is>
          <t>Encrypted Management</t>
        </is>
      </c>
      <c r="B29" s="4" t="inlineStr">
        <is>
          <t>Encrypt management traffic: SSH (not Telnet), HTTPS (not HTTP), SNMPv3, TLS syslog.</t>
        </is>
      </c>
      <c r="C29" s="4" t="inlineStr">
        <is>
          <t>Capture management traffic (tcpdump), verify encrypted.</t>
        </is>
      </c>
    </row>
    <row r="30" ht="40" customHeight="1">
      <c r="A30" s="3" t="inlineStr">
        <is>
          <t>Least Privilege Access</t>
        </is>
      </c>
      <c r="B30" s="4" t="inlineStr">
        <is>
          <t>Role-based access control (RBAC). Users have minimum privileges needed. Privilege levels configured.</t>
        </is>
      </c>
      <c r="C30" s="4" t="inlineStr">
        <is>
          <t>Review user privilege levels, test restricted user access.</t>
        </is>
      </c>
    </row>
    <row r="32">
      <c r="A32" s="2" t="inlineStr">
        <is>
          <t>Device-Specific Hardening Notes</t>
        </is>
      </c>
    </row>
    <row r="33" ht="30" customHeight="1">
      <c r="A33" s="3" t="inlineStr">
        <is>
          <t>Routers</t>
        </is>
      </c>
      <c r="B33" s="4" t="inlineStr">
        <is>
          <t>Disable IP source routing, enable uRPF, implement ACLs, secure routing protocols (MD5 auth).</t>
        </is>
      </c>
    </row>
    <row r="34" ht="30" customHeight="1">
      <c r="A34" s="3" t="inlineStr">
        <is>
          <t>Switches</t>
        </is>
      </c>
      <c r="B34" s="4" t="inlineStr">
        <is>
          <t>Enable port security, DHCP snooping, DAI, disable DTP, change native VLAN, disable unused ports.</t>
        </is>
      </c>
    </row>
    <row r="35" ht="30" customHeight="1">
      <c r="A35" s="3" t="inlineStr">
        <is>
          <t>Firewalls</t>
        </is>
      </c>
      <c r="B35" s="4" t="inlineStr">
        <is>
          <t>Default deny policy, rule cleanup, logging all denied traffic, regular rule review.</t>
        </is>
      </c>
    </row>
    <row r="36" ht="30" customHeight="1">
      <c r="A36" s="3" t="inlineStr">
        <is>
          <t>Wireless APs</t>
        </is>
      </c>
      <c r="B36" s="4" t="inlineStr">
        <is>
          <t>WPA3 or WPA2-Enterprise, disable WPS, hide SSID (optional), MAC filtering, rogue AP detection.</t>
        </is>
      </c>
    </row>
    <row r="37" ht="30" customHeight="1">
      <c r="A37" s="3" t="inlineStr">
        <is>
          <t>Load Balancers</t>
        </is>
      </c>
      <c r="B37" s="4" t="inlineStr">
        <is>
          <t>Strong SSL/TLS ciphers, disable SSLv3/TLS1.0, enable HSTS, session persistence security.</t>
        </is>
      </c>
    </row>
  </sheetData>
  <mergeCells count="10">
    <mergeCell ref="A2:F2"/>
    <mergeCell ref="A14:F14"/>
    <mergeCell ref="B34:F34"/>
    <mergeCell ref="B33:F33"/>
    <mergeCell ref="A1:F1"/>
    <mergeCell ref="A32:F32"/>
    <mergeCell ref="B37:F37"/>
    <mergeCell ref="A4:F4"/>
    <mergeCell ref="B36:F36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0" customWidth="1" min="5" max="5"/>
    <col width="35" customWidth="1" min="6" max="6"/>
    <col width="12" customWidth="1" min="7" max="7"/>
    <col width="40" customWidth="1" min="8" max="8"/>
    <col width="20" customWidth="1" min="9" max="9"/>
    <col width="15" customWidth="1" min="10" max="10"/>
    <col width="12" customWidth="1" min="11" max="11"/>
  </cols>
  <sheetData>
    <row r="1" ht="25" customHeight="1">
      <c r="A1" s="1" t="inlineStr">
        <is>
          <t>Device Hardening Gaps - Summary &amp; Remediation Tracking</t>
        </is>
      </c>
    </row>
    <row r="2">
      <c r="A2" s="4" t="inlineStr">
        <is>
          <t>📋 Document all "No" responses from Device_Hardening_Assessment. Track remediation progress and priority.</t>
        </is>
      </c>
    </row>
    <row r="3">
      <c r="A3" s="3" t="inlineStr">
        <is>
          <t>Gap ID</t>
        </is>
      </c>
      <c r="B3" s="3" t="inlineStr">
        <is>
          <t>Device ID</t>
        </is>
      </c>
      <c r="C3" s="3" t="inlineStr">
        <is>
          <t>Device Type</t>
        </is>
      </c>
      <c r="D3" s="3" t="inlineStr">
        <is>
          <t>Hostname</t>
        </is>
      </c>
      <c r="E3" s="3" t="inlineStr">
        <is>
          <t>Hardening Requirement</t>
        </is>
      </c>
      <c r="F3" s="3" t="inlineStr">
        <is>
          <t>Current State</t>
        </is>
      </c>
      <c r="G3" s="3" t="inlineStr">
        <is>
          <t>Gap Severity</t>
        </is>
      </c>
      <c r="H3" s="3" t="inlineStr">
        <is>
          <t>Remediation Plan</t>
        </is>
      </c>
      <c r="I3" s="3" t="inlineStr">
        <is>
          <t>Owner</t>
        </is>
      </c>
      <c r="J3" s="3" t="inlineStr">
        <is>
          <t>Status</t>
        </is>
      </c>
      <c r="K3" s="3" t="inlineStr">
        <is>
          <t>Target Date</t>
        </is>
      </c>
    </row>
    <row r="4">
      <c r="A4">
        <f>IF(B4&lt;&gt;"","HARD-GAP-" &amp; TEXT(1,"000"),"")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>
        <f>IF(B5&lt;&gt;"","HARD-GAP-" &amp; TEXT(2,"000"),"")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>
        <f>IF(B6&lt;&gt;"","HARD-GAP-" &amp; TEXT(3,"000"),"")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>
        <f>IF(B7&lt;&gt;"","HARD-GAP-" &amp; TEXT(4,"000"),"")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>
        <f>IF(B8&lt;&gt;"","HARD-GAP-" &amp; TEXT(5,"000"),"")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>
        <f>IF(B9&lt;&gt;"","HARD-GAP-" &amp; TEXT(6,"000"),"")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>
        <f>IF(B10&lt;&gt;"","HARD-GAP-" &amp; TEXT(7,"000"),"")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>
        <f>IF(B11&lt;&gt;"","HARD-GAP-" &amp; TEXT(8,"000"),"")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>
        <f>IF(B12&lt;&gt;"","HARD-GAP-" &amp; TEXT(9,"000"),"")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>
        <f>IF(B13&lt;&gt;"","HARD-GAP-" &amp; TEXT(10,"000"),"")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>
        <f>IF(B14&lt;&gt;"","HARD-GAP-" &amp; TEXT(11,"000"),"")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>
        <f>IF(B15&lt;&gt;"","HARD-GAP-" &amp; TEXT(12,"000"),"")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>
        <f>IF(B16&lt;&gt;"","HARD-GAP-" &amp; TEXT(13,"000"),"")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>
        <f>IF(B17&lt;&gt;"","HARD-GAP-" &amp; TEXT(14,"000"),"")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>
        <f>IF(B18&lt;&gt;"","HARD-GAP-" &amp; TEXT(15,"000"),"")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>
        <f>IF(B19&lt;&gt;"","HARD-GAP-" &amp; TEXT(16,"000"),"")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>
        <f>IF(B20&lt;&gt;"","HARD-GAP-" &amp; TEXT(17,"000"),"")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>
        <f>IF(B21&lt;&gt;"","HARD-GAP-" &amp; TEXT(18,"000"),"")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>
        <f>IF(B22&lt;&gt;"","HARD-GAP-" &amp; TEXT(19,"000"),"")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>
        <f>IF(B23&lt;&gt;"","HARD-GAP-" &amp; TEXT(20,"000"),"")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>
        <f>IF(B24&lt;&gt;"","HARD-GAP-" &amp; TEXT(21,"000"),"")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>
        <f>IF(B25&lt;&gt;"","HARD-GAP-" &amp; TEXT(22,"000"),"")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>
        <f>IF(B26&lt;&gt;"","HARD-GAP-" &amp; TEXT(23,"000"),"")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>
        <f>IF(B27&lt;&gt;"","HARD-GAP-" &amp; TEXT(24,"000"),"")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>
        <f>IF(B28&lt;&gt;"","HARD-GAP-" &amp; TEXT(25,"000"),"")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>
        <f>IF(B29&lt;&gt;"","HARD-GAP-" &amp; TEXT(26,"000"),"")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>
        <f>IF(B30&lt;&gt;"","HARD-GAP-" &amp; TEXT(27,"000"),"")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>
        <f>IF(B31&lt;&gt;"","HARD-GAP-" &amp; TEXT(28,"000"),"")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>
        <f>IF(B32&lt;&gt;"","HARD-GAP-" &amp; TEXT(29,"000"),"")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>
        <f>IF(B33&lt;&gt;"","HARD-GAP-" &amp; TEXT(30,"000"),"")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>
        <f>IF(B34&lt;&gt;"","HARD-GAP-" &amp; TEXT(31,"000"),"")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>
        <f>IF(B35&lt;&gt;"","HARD-GAP-" &amp; TEXT(32,"000"),"")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>
        <f>IF(B36&lt;&gt;"","HARD-GAP-" &amp; TEXT(33,"000"),"")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>
        <f>IF(B37&lt;&gt;"","HARD-GAP-" &amp; TEXT(34,"000"),"")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>
        <f>IF(B38&lt;&gt;"","HARD-GAP-" &amp; TEXT(35,"000"),"")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>
        <f>IF(B39&lt;&gt;"","HARD-GAP-" &amp; TEXT(36,"000"),"")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>
        <f>IF(B40&lt;&gt;"","HARD-GAP-" &amp; TEXT(37,"000"),"")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>
        <f>IF(B41&lt;&gt;"","HARD-GAP-" &amp; TEXT(38,"000"),"")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>
        <f>IF(B42&lt;&gt;"","HARD-GAP-" &amp; TEXT(39,"000"),"")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>
        <f>IF(B43&lt;&gt;"","HARD-GAP-" &amp; TEXT(40,"000"),"")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>
        <f>IF(B44&lt;&gt;"","HARD-GAP-" &amp; TEXT(41,"000"),"")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>
        <f>IF(B45&lt;&gt;"","HARD-GAP-" &amp; TEXT(42,"000"),"")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>
        <f>IF(B46&lt;&gt;"","HARD-GAP-" &amp; TEXT(43,"000"),"")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>
        <f>IF(B47&lt;&gt;"","HARD-GAP-" &amp; TEXT(44,"000"),"")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>
        <f>IF(B48&lt;&gt;"","HARD-GAP-" &amp; TEXT(45,"000"),"")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>
        <f>IF(B49&lt;&gt;"","HARD-GAP-" &amp; TEXT(46,"000"),"")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>
        <f>IF(B50&lt;&gt;"","HARD-GAP-" &amp; TEXT(47,"000"),"")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>
        <f>IF(B51&lt;&gt;"","HARD-GAP-" &amp; TEXT(48,"000"),"")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>
        <f>IF(B52&lt;&gt;"","HARD-GAP-" &amp; TEXT(49,"000"),"")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>
        <f>IF(B53&lt;&gt;"","HARD-GAP-" &amp; TEXT(50,"000"),"")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>
        <f>IF(B54&lt;&gt;"","HARD-GAP-" &amp; TEXT(51,"000"),"")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>
        <f>IF(B55&lt;&gt;"","HARD-GAP-" &amp; TEXT(52,"000"),"")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>
        <f>IF(B56&lt;&gt;"","HARD-GAP-" &amp; TEXT(53,"000"),"")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>
        <f>IF(B57&lt;&gt;"","HARD-GAP-" &amp; TEXT(54,"000"),"")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>
        <f>IF(B58&lt;&gt;"","HARD-GAP-" &amp; TEXT(55,"000"),"")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>
        <f>IF(B59&lt;&gt;"","HARD-GAP-" &amp; TEXT(56,"000"),"")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>
        <f>IF(B60&lt;&gt;"","HARD-GAP-" &amp; TEXT(57,"000"),"")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>
        <f>IF(B61&lt;&gt;"","HARD-GAP-" &amp; TEXT(58,"000"),"")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>
        <f>IF(B62&lt;&gt;"","HARD-GAP-" &amp; TEXT(59,"000"),"")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>
        <f>IF(B63&lt;&gt;"","HARD-GAP-" &amp; TEXT(60,"000"),"")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>
        <f>IF(B64&lt;&gt;"","HARD-GAP-" &amp; TEXT(61,"000"),"")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>
        <f>IF(B65&lt;&gt;"","HARD-GAP-" &amp; TEXT(62,"000"),"")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>
        <f>IF(B66&lt;&gt;"","HARD-GAP-" &amp; TEXT(63,"000"),"")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>
        <f>IF(B67&lt;&gt;"","HARD-GAP-" &amp; TEXT(64,"000"),"")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>
        <f>IF(B68&lt;&gt;"","HARD-GAP-" &amp; TEXT(65,"000"),"")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>
        <f>IF(B69&lt;&gt;"","HARD-GAP-" &amp; TEXT(66,"000"),"")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>
        <f>IF(B70&lt;&gt;"","HARD-GAP-" &amp; TEXT(67,"000"),"")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>
        <f>IF(B71&lt;&gt;"","HARD-GAP-" &amp; TEXT(68,"000"),"")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>
        <f>IF(B72&lt;&gt;"","HARD-GAP-" &amp; TEXT(69,"000"),"")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>
        <f>IF(B73&lt;&gt;"","HARD-GAP-" &amp; TEXT(70,"000"),"")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>
        <f>IF(B74&lt;&gt;"","HARD-GAP-" &amp; TEXT(71,"000"),"")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>
        <f>IF(B75&lt;&gt;"","HARD-GAP-" &amp; TEXT(72,"000"),"")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>
        <f>IF(B76&lt;&gt;"","HARD-GAP-" &amp; TEXT(73,"000"),"")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>
        <f>IF(B77&lt;&gt;"","HARD-GAP-" &amp; TEXT(74,"000"),"")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>
        <f>IF(B78&lt;&gt;"","HARD-GAP-" &amp; TEXT(75,"000"),"")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>
        <f>IF(B79&lt;&gt;"","HARD-GAP-" &amp; TEXT(76,"000"),"")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>
        <f>IF(B80&lt;&gt;"","HARD-GAP-" &amp; TEXT(77,"000"),"")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>
        <f>IF(B81&lt;&gt;"","HARD-GAP-" &amp; TEXT(78,"000"),"")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>
        <f>IF(B82&lt;&gt;"","HARD-GAP-" &amp; TEXT(79,"000"),"")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>
        <f>IF(B83&lt;&gt;"","HARD-GAP-" &amp; TEXT(80,"000"),"")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>
        <f>IF(B84&lt;&gt;"","HARD-GAP-" &amp; TEXT(81,"000"),"")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>
        <f>IF(B85&lt;&gt;"","HARD-GAP-" &amp; TEXT(82,"000"),"")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>
        <f>IF(B86&lt;&gt;"","HARD-GAP-" &amp; TEXT(83,"000"),"")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>
        <f>IF(B87&lt;&gt;"","HARD-GAP-" &amp; TEXT(84,"000"),"")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>
        <f>IF(B88&lt;&gt;"","HARD-GAP-" &amp; TEXT(85,"000"),"")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>
        <f>IF(B89&lt;&gt;"","HARD-GAP-" &amp; TEXT(86,"000"),"")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>
        <f>IF(B90&lt;&gt;"","HARD-GAP-" &amp; TEXT(87,"000"),"")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>
        <f>IF(B91&lt;&gt;"","HARD-GAP-" &amp; TEXT(88,"000"),"")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>
        <f>IF(B92&lt;&gt;"","HARD-GAP-" &amp; TEXT(89,"000"),"")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>
        <f>IF(B93&lt;&gt;"","HARD-GAP-" &amp; TEXT(90,"000"),"")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>
        <f>IF(B94&lt;&gt;"","HARD-GAP-" &amp; TEXT(91,"000"),"")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>
        <f>IF(B95&lt;&gt;"","HARD-GAP-" &amp; TEXT(92,"000"),"")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>
        <f>IF(B96&lt;&gt;"","HARD-GAP-" &amp; TEXT(93,"000"),"")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>
        <f>IF(B97&lt;&gt;"","HARD-GAP-" &amp; TEXT(94,"000"),"")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>
        <f>IF(B98&lt;&gt;"","HARD-GAP-" &amp; TEXT(95,"000"),"")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>
        <f>IF(B99&lt;&gt;"","HARD-GAP-" &amp; TEXT(96,"000"),"")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>
        <f>IF(B100&lt;&gt;"","HARD-GAP-" &amp; TEXT(97,"000"),"")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>
        <f>IF(B101&lt;&gt;"","HARD-GAP-" &amp; TEXT(98,"000"),"")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>
        <f>IF(B102&lt;&gt;"","HARD-GAP-" &amp; TEXT(99,"000"),"")</f>
        <v/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>
        <f>IF(B103&lt;&gt;"","HARD-GAP-" &amp; TEXT(100,"000"),"")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5">
      <c r="A105" s="2" t="inlineStr">
        <is>
          <t>Gap Severity Guidelines</t>
        </is>
      </c>
    </row>
    <row r="106">
      <c r="A106" s="3" t="inlineStr">
        <is>
          <t>Severity</t>
        </is>
      </c>
      <c r="B106" s="3" t="inlineStr">
        <is>
          <t>Definition</t>
        </is>
      </c>
      <c r="C106" s="3" t="inlineStr">
        <is>
          <t>Examples</t>
        </is>
      </c>
    </row>
    <row r="107" ht="30" customHeight="1">
      <c r="A107" s="10" t="inlineStr">
        <is>
          <t>Critical</t>
        </is>
      </c>
      <c r="B107" s="4" t="inlineStr">
        <is>
          <t>Immediate exploitation risk, default credentials, no encryption</t>
        </is>
      </c>
      <c r="C107" s="4" t="inlineStr">
        <is>
          <t>Default passwords still enabled, Telnet enabled on Internet-facing device</t>
        </is>
      </c>
    </row>
    <row r="108" ht="30" customHeight="1">
      <c r="A108" s="11" t="inlineStr">
        <is>
          <t>High</t>
        </is>
      </c>
      <c r="B108" s="4" t="inlineStr">
        <is>
          <t>Significant risk, missing key controls</t>
        </is>
      </c>
      <c r="C108" s="4" t="inlineStr">
        <is>
          <t>No MFA for admin access, SNMPv1/v2c enabled, no logging</t>
        </is>
      </c>
    </row>
    <row r="109" ht="30" customHeight="1">
      <c r="A109" s="12" t="inlineStr">
        <is>
          <t>Medium</t>
        </is>
      </c>
      <c r="B109" s="4" t="inlineStr">
        <is>
          <t>Moderate risk, important controls missing</t>
        </is>
      </c>
      <c r="C109" s="4" t="inlineStr">
        <is>
          <t>Weak password policy, no session timeouts, outdated firmware (non-critical)</t>
        </is>
      </c>
    </row>
    <row r="110" ht="30" customHeight="1">
      <c r="A110" s="13" t="inlineStr">
        <is>
          <t>Low</t>
        </is>
      </c>
      <c r="B110" s="4" t="inlineStr">
        <is>
          <t>Minor gap, limited risk</t>
        </is>
      </c>
      <c r="C110" s="4" t="inlineStr">
        <is>
          <t>Missing login banner, unused ports not disabled</t>
        </is>
      </c>
    </row>
  </sheetData>
  <mergeCells count="3">
    <mergeCell ref="A2:K2"/>
    <mergeCell ref="A105:K105"/>
    <mergeCell ref="A1:K1"/>
  </mergeCells>
  <conditionalFormatting sqref="G4:G103">
    <cfRule type="cellIs" priority="1" operator="equal" dxfId="6">
      <formula>"Critical"</formula>
    </cfRule>
    <cfRule type="cellIs" priority="2" operator="equal" dxfId="7">
      <formula>"High"</formula>
    </cfRule>
    <cfRule type="cellIs" priority="3" operator="equal" dxfId="8">
      <formula>"Medium"</formula>
    </cfRule>
    <cfRule type="cellIs" priority="4" operator="equal" dxfId="9">
      <formula>"Low"</formula>
    </cfRule>
  </conditionalFormatting>
  <dataValidations count="2">
    <dataValidation sqref="B4:B53 G4:G103" showDropDown="0" showInputMessage="0" showErrorMessage="0" allowBlank="0" type="list">
      <formula1>"🔴 Critical,🟡 High,🟢 Medium,⚪ Low"</formula1>
    </dataValidation>
    <dataValidation sqref="H4:H53 J4:J103" showDropDown="0" showInputMessage="0" showErrorMessage="0" allowBlank="0" type="list">
      <formula1>"Open,In Progress,Completed,Accepted Risk,Deferred"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15" customWidth="1" min="4" max="4"/>
    <col width="3" customWidth="1" min="5" max="5"/>
    <col width="3" customWidth="1" min="6" max="6"/>
  </cols>
  <sheetData>
    <row r="1" ht="25" customHeight="1">
      <c r="A1" s="1" t="inlineStr">
        <is>
          <t>Overall Hardening Compliance Scoring</t>
        </is>
      </c>
    </row>
    <row r="3">
      <c r="A3" s="2" t="inlineStr">
        <is>
          <t>Summary Statistics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Formula</t>
        </is>
      </c>
    </row>
    <row r="5">
      <c r="A5" s="3" t="inlineStr">
        <is>
          <t>Total Devices Assessed</t>
        </is>
      </c>
      <c r="B5" s="4">
        <f>COUNTA(Device_Hardening_Assessment!A4:A153)</f>
        <v/>
      </c>
      <c r="C5" s="4">
        <f>COUNTA(Device_Hardening_Assessment!A4:A153)</f>
        <v/>
      </c>
    </row>
    <row r="6">
      <c r="A6" s="3" t="inlineStr">
        <is>
          <t>Devices with Score &gt; 0%</t>
        </is>
      </c>
      <c r="B6" s="4">
        <f>COUNTIF(Device_Hardening_Assessment!U4:U153,"&gt;0")</f>
        <v/>
      </c>
      <c r="C6" s="4">
        <f>COUNTIF(Device_Hardening_Assessment!U4:U153,"&gt;0")</f>
        <v/>
      </c>
    </row>
    <row r="7">
      <c r="A7" s="3" t="inlineStr">
        <is>
          <t>Average Compliance Score</t>
        </is>
      </c>
      <c r="B7" s="14">
        <f>AVERAGE(Device_Hardening_Assessment!U4:U153)</f>
        <v/>
      </c>
      <c r="C7" s="4">
        <f>AVERAGE(Device_Hardening_Assessment!U4:U153)</f>
        <v/>
      </c>
    </row>
    <row r="8">
      <c r="A8" s="3" t="inlineStr">
        <is>
          <t>Compliant Devices (≥95%)</t>
        </is>
      </c>
      <c r="B8" s="4">
        <f>COUNTIF(Device_Hardening_Assessment!U4:U153,"&gt;=95")</f>
        <v/>
      </c>
      <c r="C8" s="4">
        <f>COUNTIF(Device_Hardening_Assessment!U4:U153,"&gt;=95")</f>
        <v/>
      </c>
    </row>
    <row r="9">
      <c r="A9" s="3" t="inlineStr">
        <is>
          <t>Partially Compliant (80-94%)</t>
        </is>
      </c>
      <c r="B9" s="4">
        <f>COUNTIFS(Device_Hardening_Assessment!U4:U153,"&gt;=80",Device_Hardening_Assessment!U4:U153,"&lt;95")</f>
        <v/>
      </c>
      <c r="C9" s="4">
        <f>COUNTIFS(Device_Hardening_Assessment!U4:U153,"&gt;=80",Device_Hardening_Assessment!U4:U153,"&lt;95")</f>
        <v/>
      </c>
    </row>
    <row r="10">
      <c r="A10" s="3" t="inlineStr">
        <is>
          <t>Non-Compliant (&lt;80%)</t>
        </is>
      </c>
      <c r="B10" s="4">
        <f>COUNTIF(Device_Hardening_Assessment!U4:U153,"&lt;80")</f>
        <v/>
      </c>
      <c r="C10" s="4">
        <f>COUNTIF(Device_Hardening_Assessment!U4:U153,"&lt;80")</f>
        <v/>
      </c>
    </row>
    <row r="11">
      <c r="A11" s="3" t="inlineStr">
        <is>
          <t>Total Identified Gaps</t>
        </is>
      </c>
      <c r="B11" s="4">
        <f>SUM(Device_Hardening_Assessment!V4:V153)</f>
        <v/>
      </c>
      <c r="C11" s="4">
        <f>SUM(Device_Hardening_Assessment!V4:V153)</f>
        <v/>
      </c>
    </row>
    <row r="13">
      <c r="A13" s="2" t="inlineStr">
        <is>
          <t>Compliance Status Distribution</t>
        </is>
      </c>
    </row>
    <row r="14">
      <c r="A14" s="3" t="inlineStr">
        <is>
          <t>Status</t>
        </is>
      </c>
      <c r="B14" s="3" t="inlineStr">
        <is>
          <t>Count</t>
        </is>
      </c>
      <c r="C14" s="3" t="inlineStr">
        <is>
          <t>Percentage</t>
        </is>
      </c>
    </row>
    <row r="15">
      <c r="A15" s="4" t="inlineStr">
        <is>
          <t>Compliant (≥95%)</t>
        </is>
      </c>
      <c r="B15" s="4">
        <f>COUNTIF(Device_Hardening_Assessment!U4:U153,"&gt;=95")</f>
        <v/>
      </c>
      <c r="C15" s="15">
        <f>B15/B5*100</f>
        <v/>
      </c>
    </row>
    <row r="16">
      <c r="A16" s="4" t="inlineStr">
        <is>
          <t>Partially Compliant (80-94%)</t>
        </is>
      </c>
      <c r="B16" s="4">
        <f>COUNTIFS(Device_Hardening_Assessment!U4:U153,"&gt;=80",Device_Hardening_Assessment!U4:U153,"&lt;95")</f>
        <v/>
      </c>
      <c r="C16" s="15">
        <f>B16/B5*100</f>
        <v/>
      </c>
    </row>
    <row r="17">
      <c r="A17" s="4" t="inlineStr">
        <is>
          <t>Non-Compliant (&lt;80%)</t>
        </is>
      </c>
      <c r="B17" s="4">
        <f>COUNTIF(Device_Hardening_Assessment!U4:U153,"&lt;80")</f>
        <v/>
      </c>
      <c r="C17" s="15">
        <f>B17/B5*100</f>
        <v/>
      </c>
    </row>
    <row r="18">
      <c r="A18" s="4" t="inlineStr">
        <is>
          <t>Not Assessed</t>
        </is>
      </c>
      <c r="B18" s="4">
        <f>COUNTIF(Device_Hardening_Assessment!U4:U153,"")</f>
        <v/>
      </c>
      <c r="C18" s="15">
        <f>B18/B5*100</f>
        <v/>
      </c>
    </row>
    <row r="20">
      <c r="A20" s="2" t="inlineStr">
        <is>
          <t>Compliance Targets &amp; Status</t>
        </is>
      </c>
    </row>
    <row r="21">
      <c r="A21" s="3" t="inlineStr">
        <is>
          <t>Metric</t>
        </is>
      </c>
      <c r="B21" s="3" t="inlineStr">
        <is>
          <t>Target</t>
        </is>
      </c>
      <c r="C21" s="3" t="inlineStr">
        <is>
          <t>Current</t>
        </is>
      </c>
      <c r="D21" s="3" t="inlineStr">
        <is>
          <t>Status</t>
        </is>
      </c>
    </row>
    <row r="22">
      <c r="A22" s="3" t="inlineStr">
        <is>
          <t>Average Compliance Score</t>
        </is>
      </c>
      <c r="B22" s="4" t="inlineStr">
        <is>
          <t>≥ 95%</t>
        </is>
      </c>
      <c r="C22" s="4">
        <f>B5</f>
        <v/>
      </c>
      <c r="D22" s="4">
        <f>IF(C22&gt;=95,"✔ Met","✗ Not Met")</f>
        <v/>
      </c>
    </row>
    <row r="23">
      <c r="A23" s="3" t="inlineStr">
        <is>
          <t>Compliant Devices %</t>
        </is>
      </c>
      <c r="B23" s="4" t="inlineStr">
        <is>
          <t>≥ 80%</t>
        </is>
      </c>
      <c r="C23" s="14">
        <f>B8/B5*100</f>
        <v/>
      </c>
      <c r="D23" s="4">
        <f>IF(C23&gt;=80,"✔ Met","✗ Not Met")</f>
        <v/>
      </c>
    </row>
    <row r="24">
      <c r="A24" s="3" t="inlineStr">
        <is>
          <t>Critical Gaps</t>
        </is>
      </c>
      <c r="B24" s="4">
        <f> 0</f>
        <v/>
      </c>
      <c r="C24" s="4">
        <f>COUNTIF(Gap_Summary!G4:G103,"Critical")</f>
        <v/>
      </c>
      <c r="D24" s="4">
        <f>IF(C24=0,"✔ Met","✗ Not Met")</f>
        <v/>
      </c>
    </row>
    <row r="25">
      <c r="A25" s="3" t="inlineStr">
        <is>
          <t>High Gaps Remediation</t>
        </is>
      </c>
      <c r="B25" s="4" t="inlineStr">
        <is>
          <t>≥ 80%</t>
        </is>
      </c>
      <c r="C25" s="4">
        <f>COUNTIFS(Gap_Summary!G4:G103,"High",Gap_Summary!J4:J103,"Completed")/COUNTIF(Gap_Summary!G4:G103,"High")*100</f>
        <v/>
      </c>
      <c r="D25" s="4">
        <f>IF(C25&gt;=80,"✔ Met","✗ Not Met")</f>
        <v/>
      </c>
    </row>
  </sheetData>
  <mergeCells count="4">
    <mergeCell ref="A3:F3"/>
    <mergeCell ref="A20:F20"/>
    <mergeCell ref="A13:F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15" customWidth="1" min="5" max="5"/>
    <col width="3" customWidth="1" min="6" max="6"/>
  </cols>
  <sheetData>
    <row r="1" ht="25" customHeight="1">
      <c r="A1" s="1" t="inlineStr">
        <is>
          <t>Compliance Analysis by Device Type</t>
        </is>
      </c>
    </row>
    <row r="2">
      <c r="A2" s="4" t="inlineStr">
        <is>
          <t>Breakdown of hardening compliance scores by device type to identify problem areas</t>
        </is>
      </c>
    </row>
    <row r="4">
      <c r="A4" s="2" t="inlineStr">
        <is>
          <t>Average Compliance Score by Device Type</t>
        </is>
      </c>
    </row>
    <row r="5">
      <c r="A5" s="3" t="inlineStr">
        <is>
          <t>Device Type</t>
        </is>
      </c>
      <c r="B5" s="3" t="inlineStr">
        <is>
          <t>Device Count</t>
        </is>
      </c>
      <c r="C5" s="3" t="inlineStr">
        <is>
          <t>Avg Compliance Score</t>
        </is>
      </c>
      <c r="D5" s="3" t="inlineStr">
        <is>
          <t>Min Score</t>
        </is>
      </c>
      <c r="E5" s="3" t="inlineStr">
        <is>
          <t>Max Score</t>
        </is>
      </c>
    </row>
    <row r="6">
      <c r="A6" s="4" t="inlineStr">
        <is>
          <t>Router</t>
        </is>
      </c>
      <c r="B6" s="4">
        <f>COUNTIF(Device_Hardening_Assessment!B4:B153,"Router")</f>
        <v/>
      </c>
      <c r="C6" s="14">
        <f>AVERAGEIF(Device_Hardening_Assessment!B4:B153,"Router",Device_Hardening_Assessment!U4:U153)</f>
        <v/>
      </c>
      <c r="D6" s="14">
        <f>MINIFS(Device_Hardening_Assessment!U4:U153,Device_Hardening_Assessment!B4:B153,"Router")</f>
        <v/>
      </c>
      <c r="E6" s="14">
        <f>MAXIFS(Device_Hardening_Assessment!U4:U153,Device_Hardening_Assessment!B4:B153,"Router")</f>
        <v/>
      </c>
    </row>
    <row r="7">
      <c r="A7" s="4" t="inlineStr">
        <is>
          <t>Switch</t>
        </is>
      </c>
      <c r="B7" s="4">
        <f>COUNTIF(Device_Hardening_Assessment!B4:B153,"Switch")</f>
        <v/>
      </c>
      <c r="C7" s="14">
        <f>AVERAGEIF(Device_Hardening_Assessment!B4:B153,"Switch",Device_Hardening_Assessment!U4:U153)</f>
        <v/>
      </c>
      <c r="D7" s="14">
        <f>MINIFS(Device_Hardening_Assessment!U4:U153,Device_Hardening_Assessment!B4:B153,"Switch")</f>
        <v/>
      </c>
      <c r="E7" s="14">
        <f>MAXIFS(Device_Hardening_Assessment!U4:U153,Device_Hardening_Assessment!B4:B153,"Switch")</f>
        <v/>
      </c>
    </row>
    <row r="8">
      <c r="A8" s="4" t="inlineStr">
        <is>
          <t>Firewall</t>
        </is>
      </c>
      <c r="B8" s="4">
        <f>COUNTIF(Device_Hardening_Assessment!B4:B153,"Firewall")</f>
        <v/>
      </c>
      <c r="C8" s="14">
        <f>AVERAGEIF(Device_Hardening_Assessment!B4:B153,"Firewall",Device_Hardening_Assessment!U4:U153)</f>
        <v/>
      </c>
      <c r="D8" s="14">
        <f>MINIFS(Device_Hardening_Assessment!U4:U153,Device_Hardening_Assessment!B4:B153,"Firewall")</f>
        <v/>
      </c>
      <c r="E8" s="14">
        <f>MAXIFS(Device_Hardening_Assessment!U4:U153,Device_Hardening_Assessment!B4:B153,"Firewall")</f>
        <v/>
      </c>
    </row>
    <row r="9">
      <c r="A9" s="4" t="inlineStr">
        <is>
          <t>Wireless AP</t>
        </is>
      </c>
      <c r="B9" s="4">
        <f>COUNTIF(Device_Hardening_Assessment!B4:B153,"Wireless AP")</f>
        <v/>
      </c>
      <c r="C9" s="14">
        <f>AVERAGEIF(Device_Hardening_Assessment!B4:B153,"Wireless AP",Device_Hardening_Assessment!U4:U153)</f>
        <v/>
      </c>
      <c r="D9" s="14">
        <f>MINIFS(Device_Hardening_Assessment!U4:U153,Device_Hardening_Assessment!B4:B153,"Wireless AP")</f>
        <v/>
      </c>
      <c r="E9" s="14">
        <f>MAXIFS(Device_Hardening_Assessment!U4:U153,Device_Hardening_Assessment!B4:B153,"Wireless AP")</f>
        <v/>
      </c>
    </row>
    <row r="10">
      <c r="A10" s="4" t="inlineStr">
        <is>
          <t>Load Balancer</t>
        </is>
      </c>
      <c r="B10" s="4">
        <f>COUNTIF(Device_Hardening_Assessment!B4:B153,"Load Balancer")</f>
        <v/>
      </c>
      <c r="C10" s="14">
        <f>AVERAGEIF(Device_Hardening_Assessment!B4:B153,"Load Balancer",Device_Hardening_Assessment!U4:U153)</f>
        <v/>
      </c>
      <c r="D10" s="14">
        <f>MINIFS(Device_Hardening_Assessment!U4:U153,Device_Hardening_Assessment!B4:B153,"Load Balancer")</f>
        <v/>
      </c>
      <c r="E10" s="14">
        <f>MAXIFS(Device_Hardening_Assessment!U4:U153,Device_Hardening_Assessment!B4:B153,"Load Balancer")</f>
        <v/>
      </c>
    </row>
    <row r="11">
      <c r="A11" s="4" t="inlineStr">
        <is>
          <t>VPN Concentrator</t>
        </is>
      </c>
      <c r="B11" s="4">
        <f>COUNTIF(Device_Hardening_Assessment!B4:B153,"VPN Concentrator")</f>
        <v/>
      </c>
      <c r="C11" s="14">
        <f>AVERAGEIF(Device_Hardening_Assessment!B4:B153,"VPN Concentrator",Device_Hardening_Assessment!U4:U153)</f>
        <v/>
      </c>
      <c r="D11" s="14">
        <f>MINIFS(Device_Hardening_Assessment!U4:U153,Device_Hardening_Assessment!B4:B153,"VPN Concentrator")</f>
        <v/>
      </c>
      <c r="E11" s="14">
        <f>MAXIFS(Device_Hardening_Assessment!U4:U153,Device_Hardening_Assessment!B4:B153,"VPN Concentrator")</f>
        <v/>
      </c>
    </row>
    <row r="12">
      <c r="A12" s="4" t="inlineStr">
        <is>
          <t>IDS/IPS</t>
        </is>
      </c>
      <c r="B12" s="4">
        <f>COUNTIF(Device_Hardening_Assessment!B4:B153,"IDS/IPS")</f>
        <v/>
      </c>
      <c r="C12" s="14">
        <f>AVERAGEIF(Device_Hardening_Assessment!B4:B153,"IDS/IPS",Device_Hardening_Assessment!U4:U153)</f>
        <v/>
      </c>
      <c r="D12" s="14">
        <f>MINIFS(Device_Hardening_Assessment!U4:U153,Device_Hardening_Assessment!B4:B153,"IDS/IPS")</f>
        <v/>
      </c>
      <c r="E12" s="14">
        <f>MAXIFS(Device_Hardening_Assessment!U4:U153,Device_Hardening_Assessment!B4:B153,"IDS/IPS")</f>
        <v/>
      </c>
    </row>
    <row r="13">
      <c r="A13" s="4" t="inlineStr">
        <is>
          <t>Network Management</t>
        </is>
      </c>
      <c r="B13" s="4">
        <f>COUNTIF(Device_Hardening_Assessment!B4:B153,"Network Management")</f>
        <v/>
      </c>
      <c r="C13" s="14">
        <f>AVERAGEIF(Device_Hardening_Assessment!B4:B153,"Network Management",Device_Hardening_Assessment!U4:U153)</f>
        <v/>
      </c>
      <c r="D13" s="14">
        <f>MINIFS(Device_Hardening_Assessment!U4:U153,Device_Hardening_Assessment!B4:B153,"Network Management")</f>
        <v/>
      </c>
      <c r="E13" s="14">
        <f>MAXIFS(Device_Hardening_Assessment!U4:U153,Device_Hardening_Assessment!B4:B153,"Network Management")</f>
        <v/>
      </c>
    </row>
    <row r="14">
      <c r="A14" s="4" t="inlineStr">
        <is>
          <t>Other</t>
        </is>
      </c>
      <c r="B14" s="4">
        <f>COUNTIF(Device_Hardening_Assessment!B4:B153,"Other")</f>
        <v/>
      </c>
      <c r="C14" s="14">
        <f>AVERAGEIF(Device_Hardening_Assessment!B4:B153,"Other",Device_Hardening_Assessment!U4:U153)</f>
        <v/>
      </c>
      <c r="D14" s="14">
        <f>MINIFS(Device_Hardening_Assessment!U4:U153,Device_Hardening_Assessment!B4:B153,"Other")</f>
        <v/>
      </c>
      <c r="E14" s="14">
        <f>MAXIFS(Device_Hardening_Assessment!U4:U153,Device_Hardening_Assessment!B4:B153,"Other")</f>
        <v/>
      </c>
    </row>
  </sheetData>
  <mergeCells count="3">
    <mergeCell ref="A2:F2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3" customWidth="1" min="5" max="5"/>
  </cols>
  <sheetData>
    <row r="1" ht="25" customHeight="1">
      <c r="A1" s="1" t="inlineStr">
        <is>
          <t>Top Hardening Gaps - Most Common Failures</t>
        </is>
      </c>
    </row>
    <row r="2">
      <c r="A2" s="4" t="inlineStr">
        <is>
          <t>Identify most frequently failed hardening requirements across all devices</t>
        </is>
      </c>
    </row>
    <row r="4">
      <c r="A4" s="2" t="inlineStr">
        <is>
          <t>Hardening Requirements Failure Analysis (15 Requirements)</t>
        </is>
      </c>
    </row>
    <row r="5">
      <c r="A5" s="3" t="inlineStr">
        <is>
          <t>Requirement</t>
        </is>
      </c>
      <c r="B5" s="3" t="inlineStr">
        <is>
          <t>Total 'No' Count</t>
        </is>
      </c>
      <c r="C5" s="3" t="inlineStr">
        <is>
          <t>Failure Rate %</t>
        </is>
      </c>
      <c r="D5" s="3" t="inlineStr">
        <is>
          <t>Priority</t>
        </is>
      </c>
    </row>
    <row r="6">
      <c r="A6" s="4" t="inlineStr">
        <is>
          <t>Default Credentials Disabled</t>
        </is>
      </c>
      <c r="B6" s="4">
        <f>COUNTIF(Device_Hardening_Assessment!F4:F153,"No")</f>
        <v/>
      </c>
      <c r="C6" s="15">
        <f>B6/COUNTA(Device_Hardening_Assessment!F4:F153)*100</f>
        <v/>
      </c>
      <c r="D6" s="4">
        <f>IF(C6&gt;=75,"CRITICAL",IF(C6&gt;=50,"HIGH",IF(C6&gt;=25,"MEDIUM","LOW")))</f>
        <v/>
      </c>
    </row>
    <row r="7">
      <c r="A7" s="4" t="inlineStr">
        <is>
          <t>Strong Password Policy</t>
        </is>
      </c>
      <c r="B7" s="4">
        <f>COUNTIF(Device_Hardening_Assessment!G4:G153,"No")</f>
        <v/>
      </c>
      <c r="C7" s="15">
        <f>B7/COUNTA(Device_Hardening_Assessment!G4:G153)*100</f>
        <v/>
      </c>
      <c r="D7" s="4">
        <f>IF(C7&gt;=75,"CRITICAL",IF(C7&gt;=50,"HIGH",IF(C7&gt;=25,"MEDIUM","LOW")))</f>
        <v/>
      </c>
    </row>
    <row r="8">
      <c r="A8" s="4" t="inlineStr">
        <is>
          <t>Multi-Factor Authentication (MFA)</t>
        </is>
      </c>
      <c r="B8" s="4">
        <f>COUNTIF(Device_Hardening_Assessment!H4:H153,"No")</f>
        <v/>
      </c>
      <c r="C8" s="15">
        <f>B8/COUNTA(Device_Hardening_Assessment!H4:H153)*100</f>
        <v/>
      </c>
      <c r="D8" s="4">
        <f>IF(C8&gt;=75,"CRITICAL",IF(C8&gt;=50,"HIGH",IF(C8&gt;=25,"MEDIUM","LOW")))</f>
        <v/>
      </c>
    </row>
    <row r="9">
      <c r="A9" s="4" t="inlineStr">
        <is>
          <t>Unnecessary Services Disabled</t>
        </is>
      </c>
      <c r="B9" s="4">
        <f>COUNTIF(Device_Hardening_Assessment!I4:I153,"No")</f>
        <v/>
      </c>
      <c r="C9" s="15">
        <f>B9/COUNTA(Device_Hardening_Assessment!I4:I153)*100</f>
        <v/>
      </c>
      <c r="D9" s="4">
        <f>IF(C9&gt;=75,"CRITICAL",IF(C9&gt;=50,"HIGH",IF(C9&gt;=25,"MEDIUM","LOW")))</f>
        <v/>
      </c>
    </row>
    <row r="10">
      <c r="A10" s="4" t="inlineStr">
        <is>
          <t>Secure Management (SSH/HTTPS Only)</t>
        </is>
      </c>
      <c r="B10" s="4">
        <f>COUNTIF(Device_Hardening_Assessment!J4:J153,"No")</f>
        <v/>
      </c>
      <c r="C10" s="15">
        <f>B10/COUNTA(Device_Hardening_Assessment!J4:J153)*100</f>
        <v/>
      </c>
      <c r="D10" s="4">
        <f>IF(C10&gt;=75,"CRITICAL",IF(C10&gt;=50,"HIGH",IF(C10&gt;=25,"MEDIUM","LOW")))</f>
        <v/>
      </c>
    </row>
    <row r="11">
      <c r="A11" s="4" t="inlineStr">
        <is>
          <t>Logging Enabled</t>
        </is>
      </c>
      <c r="B11" s="4">
        <f>COUNTIF(Device_Hardening_Assessment!K4:K153,"No")</f>
        <v/>
      </c>
      <c r="C11" s="15">
        <f>B11/COUNTA(Device_Hardening_Assessment!K4:K153)*100</f>
        <v/>
      </c>
      <c r="D11" s="4">
        <f>IF(C11&gt;=75,"CRITICAL",IF(C11&gt;=50,"HIGH",IF(C11&gt;=25,"MEDIUM","LOW")))</f>
        <v/>
      </c>
    </row>
    <row r="12">
      <c r="A12" s="4" t="inlineStr">
        <is>
          <t>NTP Configured</t>
        </is>
      </c>
      <c r="B12" s="4">
        <f>COUNTIF(Device_Hardening_Assessment!L4:L153,"No")</f>
        <v/>
      </c>
      <c r="C12" s="15">
        <f>B12/COUNTA(Device_Hardening_Assessment!L4:L153)*100</f>
        <v/>
      </c>
      <c r="D12" s="4">
        <f>IF(C12&gt;=75,"CRITICAL",IF(C12&gt;=50,"HIGH",IF(C12&gt;=25,"MEDIUM","LOW")))</f>
        <v/>
      </c>
    </row>
    <row r="13">
      <c r="A13" s="4" t="inlineStr">
        <is>
          <t>SNMPv3 Only (v1/v2c Disabled)</t>
        </is>
      </c>
      <c r="B13" s="4">
        <f>COUNTIF(Device_Hardening_Assessment!M4:M153,"No")</f>
        <v/>
      </c>
      <c r="C13" s="15">
        <f>B13/COUNTA(Device_Hardening_Assessment!M4:M153)*100</f>
        <v/>
      </c>
      <c r="D13" s="4">
        <f>IF(C13&gt;=75,"CRITICAL",IF(C13&gt;=50,"HIGH",IF(C13&gt;=25,"MEDIUM","LOW")))</f>
        <v/>
      </c>
    </row>
    <row r="14">
      <c r="A14" s="4" t="inlineStr">
        <is>
          <t>Session Timeouts Configured</t>
        </is>
      </c>
      <c r="B14" s="4">
        <f>COUNTIF(Device_Hardening_Assessment!N4:N153,"No")</f>
        <v/>
      </c>
      <c r="C14" s="15">
        <f>B14/COUNTA(Device_Hardening_Assessment!N4:N153)*100</f>
        <v/>
      </c>
      <c r="D14" s="4">
        <f>IF(C14&gt;=75,"CRITICAL",IF(C14&gt;=50,"HIGH",IF(C14&gt;=25,"MEDIUM","LOW")))</f>
        <v/>
      </c>
    </row>
    <row r="15">
      <c r="A15" s="4" t="inlineStr">
        <is>
          <t>Banner Messages Configured</t>
        </is>
      </c>
      <c r="B15" s="4">
        <f>COUNTIF(Device_Hardening_Assessment!O4:O153,"No")</f>
        <v/>
      </c>
      <c r="C15" s="15">
        <f>B15/COUNTA(Device_Hardening_Assessment!O4:O153)*100</f>
        <v/>
      </c>
      <c r="D15" s="4">
        <f>IF(C15&gt;=75,"CRITICAL",IF(C15&gt;=50,"HIGH",IF(C15&gt;=25,"MEDIUM","LOW")))</f>
        <v/>
      </c>
    </row>
    <row r="16">
      <c r="A16" s="4" t="inlineStr">
        <is>
          <t>Configuration Backups</t>
        </is>
      </c>
      <c r="B16" s="4">
        <f>COUNTIF(Device_Hardening_Assessment!P4:P153,"No")</f>
        <v/>
      </c>
      <c r="C16" s="15">
        <f>B16/COUNTA(Device_Hardening_Assessment!P4:P153)*100</f>
        <v/>
      </c>
      <c r="D16" s="4">
        <f>IF(C16&gt;=75,"CRITICAL",IF(C16&gt;=50,"HIGH",IF(C16&gt;=25,"MEDIUM","LOW")))</f>
        <v/>
      </c>
    </row>
    <row r="17">
      <c r="A17" s="4" t="inlineStr">
        <is>
          <t>Firmware/Software Up-to-Date</t>
        </is>
      </c>
      <c r="B17" s="4">
        <f>COUNTIF(Device_Hardening_Assessment!Q4:Q153,"No")</f>
        <v/>
      </c>
      <c r="C17" s="15">
        <f>B17/COUNTA(Device_Hardening_Assessment!Q4:Q153)*100</f>
        <v/>
      </c>
      <c r="D17" s="4">
        <f>IF(C17&gt;=75,"CRITICAL",IF(C17&gt;=50,"HIGH",IF(C17&gt;=25,"MEDIUM","LOW")))</f>
        <v/>
      </c>
    </row>
    <row r="18">
      <c r="A18" s="4" t="inlineStr">
        <is>
          <t>Access Control Lists (ACLs)</t>
        </is>
      </c>
      <c r="B18" s="4">
        <f>COUNTIF(Device_Hardening_Assessment!R4:R153,"No")</f>
        <v/>
      </c>
      <c r="C18" s="15">
        <f>B18/COUNTA(Device_Hardening_Assessment!R4:R153)*100</f>
        <v/>
      </c>
      <c r="D18" s="4">
        <f>IF(C18&gt;=75,"CRITICAL",IF(C18&gt;=50,"HIGH",IF(C18&gt;=25,"MEDIUM","LOW")))</f>
        <v/>
      </c>
    </row>
    <row r="19">
      <c r="A19" s="4" t="inlineStr">
        <is>
          <t>Encrypted Management Traffic</t>
        </is>
      </c>
      <c r="B19" s="4">
        <f>COUNTIF(Device_Hardening_Assessment!S4:S153,"No")</f>
        <v/>
      </c>
      <c r="C19" s="15">
        <f>B19/COUNTA(Device_Hardening_Assessment!S4:S153)*100</f>
        <v/>
      </c>
      <c r="D19" s="4">
        <f>IF(C19&gt;=75,"CRITICAL",IF(C19&gt;=50,"HIGH",IF(C19&gt;=25,"MEDIUM","LOW")))</f>
        <v/>
      </c>
    </row>
    <row r="20">
      <c r="A20" s="4" t="inlineStr">
        <is>
          <t>Least Privilege Access</t>
        </is>
      </c>
      <c r="B20" s="4">
        <f>COUNTIF(Device_Hardening_Assessment!T4:T153,"No")</f>
        <v/>
      </c>
      <c r="C20" s="15">
        <f>B20/COUNTA(Device_Hardening_Assessment!T4:T153)*100</f>
        <v/>
      </c>
      <c r="D20" s="4">
        <f>IF(C20&gt;=75,"CRITICAL",IF(C20&gt;=50,"HIGH",IF(C20&gt;=25,"MEDIUM","LOW")))</f>
        <v/>
      </c>
    </row>
  </sheetData>
  <mergeCells count="3">
    <mergeCell ref="A2:E2"/>
    <mergeCell ref="A1:E1"/>
    <mergeCell ref="A4:E4"/>
  </mergeCells>
  <conditionalFormatting sqref="D6:D20">
    <cfRule type="cellIs" priority="1" operator="equal" dxfId="6">
      <formula>"CRITICAL"</formula>
    </cfRule>
    <cfRule type="cellIs" priority="2" operator="equal" dxfId="7">
      <formula>"HIGH"</formula>
    </cfRule>
    <cfRule type="cellIs" priority="3" operator="equal" dxfId="8">
      <formula>"MEDIUM"</formula>
    </cfRule>
    <cfRule type="cellIs" priority="4" operator="equal" dxfId="9">
      <formula>"LOW"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0" customWidth="1" min="4" max="4"/>
    <col width="40" customWidth="1" min="5" max="5"/>
    <col width="20" customWidth="1" min="6" max="6"/>
    <col width="12" customWidth="1" min="7" max="7"/>
    <col width="15" customWidth="1" min="8" max="8"/>
  </cols>
  <sheetData>
    <row r="1" ht="25" customHeight="1">
      <c r="A1" s="1" t="inlineStr">
        <is>
          <t>Hardening Remediation Roadmap</t>
        </is>
      </c>
    </row>
    <row r="2">
      <c r="A2" s="4" t="inlineStr">
        <is>
          <t>📋 Prioritized remediation plan sorted by severity. Focus on Critical/High gaps first.</t>
        </is>
      </c>
    </row>
    <row r="3">
      <c r="A3" s="3" t="inlineStr">
        <is>
          <t>Priority</t>
        </is>
      </c>
      <c r="B3" s="3" t="inlineStr">
        <is>
          <t>Severity</t>
        </is>
      </c>
      <c r="C3" s="3" t="inlineStr">
        <is>
          <t>Gap Description</t>
        </is>
      </c>
      <c r="D3" s="3" t="inlineStr">
        <is>
          <t>Affected Devices</t>
        </is>
      </c>
      <c r="E3" s="3" t="inlineStr">
        <is>
          <t>Remediation Action</t>
        </is>
      </c>
      <c r="F3" s="3" t="inlineStr">
        <is>
          <t>Owner</t>
        </is>
      </c>
      <c r="G3" s="3" t="inlineStr">
        <is>
          <t>Target Date</t>
        </is>
      </c>
      <c r="H3" s="3" t="inlineStr">
        <is>
          <t>Status</t>
        </is>
      </c>
    </row>
    <row r="4">
      <c r="A4" t="n">
        <v>1</v>
      </c>
      <c r="B4" s="8" t="n"/>
      <c r="C4" s="8" t="n"/>
      <c r="D4" s="8" t="n"/>
      <c r="E4" s="8" t="n"/>
      <c r="F4" s="8" t="n"/>
      <c r="G4" s="8" t="n"/>
      <c r="H4" s="8" t="n"/>
    </row>
    <row r="5">
      <c r="A5" t="n">
        <v>2</v>
      </c>
      <c r="B5" s="8" t="n"/>
      <c r="C5" s="8" t="n"/>
      <c r="D5" s="8" t="n"/>
      <c r="E5" s="8" t="n"/>
      <c r="F5" s="8" t="n"/>
      <c r="G5" s="8" t="n"/>
      <c r="H5" s="8" t="n"/>
    </row>
    <row r="6">
      <c r="A6" t="n">
        <v>3</v>
      </c>
      <c r="B6" s="8" t="n"/>
      <c r="C6" s="8" t="n"/>
      <c r="D6" s="8" t="n"/>
      <c r="E6" s="8" t="n"/>
      <c r="F6" s="8" t="n"/>
      <c r="G6" s="8" t="n"/>
      <c r="H6" s="8" t="n"/>
    </row>
    <row r="7">
      <c r="A7" t="n">
        <v>4</v>
      </c>
      <c r="B7" s="8" t="n"/>
      <c r="C7" s="8" t="n"/>
      <c r="D7" s="8" t="n"/>
      <c r="E7" s="8" t="n"/>
      <c r="F7" s="8" t="n"/>
      <c r="G7" s="8" t="n"/>
      <c r="H7" s="8" t="n"/>
    </row>
    <row r="8">
      <c r="A8" t="n">
        <v>5</v>
      </c>
      <c r="B8" s="8" t="n"/>
      <c r="C8" s="8" t="n"/>
      <c r="D8" s="8" t="n"/>
      <c r="E8" s="8" t="n"/>
      <c r="F8" s="8" t="n"/>
      <c r="G8" s="8" t="n"/>
      <c r="H8" s="8" t="n"/>
    </row>
    <row r="9">
      <c r="A9" t="n">
        <v>6</v>
      </c>
      <c r="B9" s="8" t="n"/>
      <c r="C9" s="8" t="n"/>
      <c r="D9" s="8" t="n"/>
      <c r="E9" s="8" t="n"/>
      <c r="F9" s="8" t="n"/>
      <c r="G9" s="8" t="n"/>
      <c r="H9" s="8" t="n"/>
    </row>
    <row r="10">
      <c r="A10" t="n">
        <v>7</v>
      </c>
      <c r="B10" s="8" t="n"/>
      <c r="C10" s="8" t="n"/>
      <c r="D10" s="8" t="n"/>
      <c r="E10" s="8" t="n"/>
      <c r="F10" s="8" t="n"/>
      <c r="G10" s="8" t="n"/>
      <c r="H10" s="8" t="n"/>
    </row>
    <row r="11">
      <c r="A11" t="n">
        <v>8</v>
      </c>
      <c r="B11" s="8" t="n"/>
      <c r="C11" s="8" t="n"/>
      <c r="D11" s="8" t="n"/>
      <c r="E11" s="8" t="n"/>
      <c r="F11" s="8" t="n"/>
      <c r="G11" s="8" t="n"/>
      <c r="H11" s="8" t="n"/>
    </row>
    <row r="12">
      <c r="A12" t="n">
        <v>9</v>
      </c>
      <c r="B12" s="8" t="n"/>
      <c r="C12" s="8" t="n"/>
      <c r="D12" s="8" t="n"/>
      <c r="E12" s="8" t="n"/>
      <c r="F12" s="8" t="n"/>
      <c r="G12" s="8" t="n"/>
      <c r="H12" s="8" t="n"/>
    </row>
    <row r="13">
      <c r="A13" t="n">
        <v>10</v>
      </c>
      <c r="B13" s="8" t="n"/>
      <c r="C13" s="8" t="n"/>
      <c r="D13" s="8" t="n"/>
      <c r="E13" s="8" t="n"/>
      <c r="F13" s="8" t="n"/>
      <c r="G13" s="8" t="n"/>
      <c r="H13" s="8" t="n"/>
    </row>
    <row r="14">
      <c r="A14" t="n">
        <v>11</v>
      </c>
      <c r="B14" s="8" t="n"/>
      <c r="C14" s="8" t="n"/>
      <c r="D14" s="8" t="n"/>
      <c r="E14" s="8" t="n"/>
      <c r="F14" s="8" t="n"/>
      <c r="G14" s="8" t="n"/>
      <c r="H14" s="8" t="n"/>
    </row>
    <row r="15">
      <c r="A15" t="n">
        <v>12</v>
      </c>
      <c r="B15" s="8" t="n"/>
      <c r="C15" s="8" t="n"/>
      <c r="D15" s="8" t="n"/>
      <c r="E15" s="8" t="n"/>
      <c r="F15" s="8" t="n"/>
      <c r="G15" s="8" t="n"/>
      <c r="H15" s="8" t="n"/>
    </row>
    <row r="16">
      <c r="A16" t="n">
        <v>13</v>
      </c>
      <c r="B16" s="8" t="n"/>
      <c r="C16" s="8" t="n"/>
      <c r="D16" s="8" t="n"/>
      <c r="E16" s="8" t="n"/>
      <c r="F16" s="8" t="n"/>
      <c r="G16" s="8" t="n"/>
      <c r="H16" s="8" t="n"/>
    </row>
    <row r="17">
      <c r="A17" t="n">
        <v>14</v>
      </c>
      <c r="B17" s="8" t="n"/>
      <c r="C17" s="8" t="n"/>
      <c r="D17" s="8" t="n"/>
      <c r="E17" s="8" t="n"/>
      <c r="F17" s="8" t="n"/>
      <c r="G17" s="8" t="n"/>
      <c r="H17" s="8" t="n"/>
    </row>
    <row r="18">
      <c r="A18" t="n">
        <v>15</v>
      </c>
      <c r="B18" s="8" t="n"/>
      <c r="C18" s="8" t="n"/>
      <c r="D18" s="8" t="n"/>
      <c r="E18" s="8" t="n"/>
      <c r="F18" s="8" t="n"/>
      <c r="G18" s="8" t="n"/>
      <c r="H18" s="8" t="n"/>
    </row>
    <row r="19">
      <c r="A19" t="n">
        <v>16</v>
      </c>
      <c r="B19" s="8" t="n"/>
      <c r="C19" s="8" t="n"/>
      <c r="D19" s="8" t="n"/>
      <c r="E19" s="8" t="n"/>
      <c r="F19" s="8" t="n"/>
      <c r="G19" s="8" t="n"/>
      <c r="H19" s="8" t="n"/>
    </row>
    <row r="20">
      <c r="A20" t="n">
        <v>17</v>
      </c>
      <c r="B20" s="8" t="n"/>
      <c r="C20" s="8" t="n"/>
      <c r="D20" s="8" t="n"/>
      <c r="E20" s="8" t="n"/>
      <c r="F20" s="8" t="n"/>
      <c r="G20" s="8" t="n"/>
      <c r="H20" s="8" t="n"/>
    </row>
    <row r="21">
      <c r="A21" t="n">
        <v>18</v>
      </c>
      <c r="B21" s="8" t="n"/>
      <c r="C21" s="8" t="n"/>
      <c r="D21" s="8" t="n"/>
      <c r="E21" s="8" t="n"/>
      <c r="F21" s="8" t="n"/>
      <c r="G21" s="8" t="n"/>
      <c r="H21" s="8" t="n"/>
    </row>
    <row r="22">
      <c r="A22" t="n">
        <v>19</v>
      </c>
      <c r="B22" s="8" t="n"/>
      <c r="C22" s="8" t="n"/>
      <c r="D22" s="8" t="n"/>
      <c r="E22" s="8" t="n"/>
      <c r="F22" s="8" t="n"/>
      <c r="G22" s="8" t="n"/>
      <c r="H22" s="8" t="n"/>
    </row>
    <row r="23">
      <c r="A23" t="n">
        <v>20</v>
      </c>
      <c r="B23" s="8" t="n"/>
      <c r="C23" s="8" t="n"/>
      <c r="D23" s="8" t="n"/>
      <c r="E23" s="8" t="n"/>
      <c r="F23" s="8" t="n"/>
      <c r="G23" s="8" t="n"/>
      <c r="H23" s="8" t="n"/>
    </row>
    <row r="24">
      <c r="A24" t="n">
        <v>21</v>
      </c>
      <c r="B24" s="8" t="n"/>
      <c r="C24" s="8" t="n"/>
      <c r="D24" s="8" t="n"/>
      <c r="E24" s="8" t="n"/>
      <c r="F24" s="8" t="n"/>
      <c r="G24" s="8" t="n"/>
      <c r="H24" s="8" t="n"/>
    </row>
    <row r="25">
      <c r="A25" t="n">
        <v>22</v>
      </c>
      <c r="B25" s="8" t="n"/>
      <c r="C25" s="8" t="n"/>
      <c r="D25" s="8" t="n"/>
      <c r="E25" s="8" t="n"/>
      <c r="F25" s="8" t="n"/>
      <c r="G25" s="8" t="n"/>
      <c r="H25" s="8" t="n"/>
    </row>
    <row r="26">
      <c r="A26" t="n">
        <v>23</v>
      </c>
      <c r="B26" s="8" t="n"/>
      <c r="C26" s="8" t="n"/>
      <c r="D26" s="8" t="n"/>
      <c r="E26" s="8" t="n"/>
      <c r="F26" s="8" t="n"/>
      <c r="G26" s="8" t="n"/>
      <c r="H26" s="8" t="n"/>
    </row>
    <row r="27">
      <c r="A27" t="n">
        <v>24</v>
      </c>
      <c r="B27" s="8" t="n"/>
      <c r="C27" s="8" t="n"/>
      <c r="D27" s="8" t="n"/>
      <c r="E27" s="8" t="n"/>
      <c r="F27" s="8" t="n"/>
      <c r="G27" s="8" t="n"/>
      <c r="H27" s="8" t="n"/>
    </row>
    <row r="28">
      <c r="A28" t="n">
        <v>25</v>
      </c>
      <c r="B28" s="8" t="n"/>
      <c r="C28" s="8" t="n"/>
      <c r="D28" s="8" t="n"/>
      <c r="E28" s="8" t="n"/>
      <c r="F28" s="8" t="n"/>
      <c r="G28" s="8" t="n"/>
      <c r="H28" s="8" t="n"/>
    </row>
    <row r="29">
      <c r="A29" t="n">
        <v>26</v>
      </c>
      <c r="B29" s="8" t="n"/>
      <c r="C29" s="8" t="n"/>
      <c r="D29" s="8" t="n"/>
      <c r="E29" s="8" t="n"/>
      <c r="F29" s="8" t="n"/>
      <c r="G29" s="8" t="n"/>
      <c r="H29" s="8" t="n"/>
    </row>
    <row r="30">
      <c r="A30" t="n">
        <v>27</v>
      </c>
      <c r="B30" s="8" t="n"/>
      <c r="C30" s="8" t="n"/>
      <c r="D30" s="8" t="n"/>
      <c r="E30" s="8" t="n"/>
      <c r="F30" s="8" t="n"/>
      <c r="G30" s="8" t="n"/>
      <c r="H30" s="8" t="n"/>
    </row>
    <row r="31">
      <c r="A31" t="n">
        <v>28</v>
      </c>
      <c r="B31" s="8" t="n"/>
      <c r="C31" s="8" t="n"/>
      <c r="D31" s="8" t="n"/>
      <c r="E31" s="8" t="n"/>
      <c r="F31" s="8" t="n"/>
      <c r="G31" s="8" t="n"/>
      <c r="H31" s="8" t="n"/>
    </row>
    <row r="32">
      <c r="A32" t="n">
        <v>29</v>
      </c>
      <c r="B32" s="8" t="n"/>
      <c r="C32" s="8" t="n"/>
      <c r="D32" s="8" t="n"/>
      <c r="E32" s="8" t="n"/>
      <c r="F32" s="8" t="n"/>
      <c r="G32" s="8" t="n"/>
      <c r="H32" s="8" t="n"/>
    </row>
    <row r="33">
      <c r="A33" t="n">
        <v>30</v>
      </c>
      <c r="B33" s="8" t="n"/>
      <c r="C33" s="8" t="n"/>
      <c r="D33" s="8" t="n"/>
      <c r="E33" s="8" t="n"/>
      <c r="F33" s="8" t="n"/>
      <c r="G33" s="8" t="n"/>
      <c r="H33" s="8" t="n"/>
    </row>
    <row r="34">
      <c r="A34" t="n">
        <v>31</v>
      </c>
      <c r="B34" s="8" t="n"/>
      <c r="C34" s="8" t="n"/>
      <c r="D34" s="8" t="n"/>
      <c r="E34" s="8" t="n"/>
      <c r="F34" s="8" t="n"/>
      <c r="G34" s="8" t="n"/>
      <c r="H34" s="8" t="n"/>
    </row>
    <row r="35">
      <c r="A35" t="n">
        <v>32</v>
      </c>
      <c r="B35" s="8" t="n"/>
      <c r="C35" s="8" t="n"/>
      <c r="D35" s="8" t="n"/>
      <c r="E35" s="8" t="n"/>
      <c r="F35" s="8" t="n"/>
      <c r="G35" s="8" t="n"/>
      <c r="H35" s="8" t="n"/>
    </row>
    <row r="36">
      <c r="A36" t="n">
        <v>33</v>
      </c>
      <c r="B36" s="8" t="n"/>
      <c r="C36" s="8" t="n"/>
      <c r="D36" s="8" t="n"/>
      <c r="E36" s="8" t="n"/>
      <c r="F36" s="8" t="n"/>
      <c r="G36" s="8" t="n"/>
      <c r="H36" s="8" t="n"/>
    </row>
    <row r="37">
      <c r="A37" t="n">
        <v>34</v>
      </c>
      <c r="B37" s="8" t="n"/>
      <c r="C37" s="8" t="n"/>
      <c r="D37" s="8" t="n"/>
      <c r="E37" s="8" t="n"/>
      <c r="F37" s="8" t="n"/>
      <c r="G37" s="8" t="n"/>
      <c r="H37" s="8" t="n"/>
    </row>
    <row r="38">
      <c r="A38" t="n">
        <v>35</v>
      </c>
      <c r="B38" s="8" t="n"/>
      <c r="C38" s="8" t="n"/>
      <c r="D38" s="8" t="n"/>
      <c r="E38" s="8" t="n"/>
      <c r="F38" s="8" t="n"/>
      <c r="G38" s="8" t="n"/>
      <c r="H38" s="8" t="n"/>
    </row>
    <row r="39">
      <c r="A39" t="n">
        <v>36</v>
      </c>
      <c r="B39" s="8" t="n"/>
      <c r="C39" s="8" t="n"/>
      <c r="D39" s="8" t="n"/>
      <c r="E39" s="8" t="n"/>
      <c r="F39" s="8" t="n"/>
      <c r="G39" s="8" t="n"/>
      <c r="H39" s="8" t="n"/>
    </row>
    <row r="40">
      <c r="A40" t="n">
        <v>37</v>
      </c>
      <c r="B40" s="8" t="n"/>
      <c r="C40" s="8" t="n"/>
      <c r="D40" s="8" t="n"/>
      <c r="E40" s="8" t="n"/>
      <c r="F40" s="8" t="n"/>
      <c r="G40" s="8" t="n"/>
      <c r="H40" s="8" t="n"/>
    </row>
    <row r="41">
      <c r="A41" t="n">
        <v>38</v>
      </c>
      <c r="B41" s="8" t="n"/>
      <c r="C41" s="8" t="n"/>
      <c r="D41" s="8" t="n"/>
      <c r="E41" s="8" t="n"/>
      <c r="F41" s="8" t="n"/>
      <c r="G41" s="8" t="n"/>
      <c r="H41" s="8" t="n"/>
    </row>
    <row r="42">
      <c r="A42" t="n">
        <v>39</v>
      </c>
      <c r="B42" s="8" t="n"/>
      <c r="C42" s="8" t="n"/>
      <c r="D42" s="8" t="n"/>
      <c r="E42" s="8" t="n"/>
      <c r="F42" s="8" t="n"/>
      <c r="G42" s="8" t="n"/>
      <c r="H42" s="8" t="n"/>
    </row>
    <row r="43">
      <c r="A43" t="n">
        <v>40</v>
      </c>
      <c r="B43" s="8" t="n"/>
      <c r="C43" s="8" t="n"/>
      <c r="D43" s="8" t="n"/>
      <c r="E43" s="8" t="n"/>
      <c r="F43" s="8" t="n"/>
      <c r="G43" s="8" t="n"/>
      <c r="H43" s="8" t="n"/>
    </row>
    <row r="44">
      <c r="A44" t="n">
        <v>41</v>
      </c>
      <c r="B44" s="8" t="n"/>
      <c r="C44" s="8" t="n"/>
      <c r="D44" s="8" t="n"/>
      <c r="E44" s="8" t="n"/>
      <c r="F44" s="8" t="n"/>
      <c r="G44" s="8" t="n"/>
      <c r="H44" s="8" t="n"/>
    </row>
    <row r="45">
      <c r="A45" t="n">
        <v>42</v>
      </c>
      <c r="B45" s="8" t="n"/>
      <c r="C45" s="8" t="n"/>
      <c r="D45" s="8" t="n"/>
      <c r="E45" s="8" t="n"/>
      <c r="F45" s="8" t="n"/>
      <c r="G45" s="8" t="n"/>
      <c r="H45" s="8" t="n"/>
    </row>
    <row r="46">
      <c r="A46" t="n">
        <v>43</v>
      </c>
      <c r="B46" s="8" t="n"/>
      <c r="C46" s="8" t="n"/>
      <c r="D46" s="8" t="n"/>
      <c r="E46" s="8" t="n"/>
      <c r="F46" s="8" t="n"/>
      <c r="G46" s="8" t="n"/>
      <c r="H46" s="8" t="n"/>
    </row>
    <row r="47">
      <c r="A47" t="n">
        <v>44</v>
      </c>
      <c r="B47" s="8" t="n"/>
      <c r="C47" s="8" t="n"/>
      <c r="D47" s="8" t="n"/>
      <c r="E47" s="8" t="n"/>
      <c r="F47" s="8" t="n"/>
      <c r="G47" s="8" t="n"/>
      <c r="H47" s="8" t="n"/>
    </row>
    <row r="48">
      <c r="A48" t="n">
        <v>45</v>
      </c>
      <c r="B48" s="8" t="n"/>
      <c r="C48" s="8" t="n"/>
      <c r="D48" s="8" t="n"/>
      <c r="E48" s="8" t="n"/>
      <c r="F48" s="8" t="n"/>
      <c r="G48" s="8" t="n"/>
      <c r="H48" s="8" t="n"/>
    </row>
    <row r="49">
      <c r="A49" t="n">
        <v>46</v>
      </c>
      <c r="B49" s="8" t="n"/>
      <c r="C49" s="8" t="n"/>
      <c r="D49" s="8" t="n"/>
      <c r="E49" s="8" t="n"/>
      <c r="F49" s="8" t="n"/>
      <c r="G49" s="8" t="n"/>
      <c r="H49" s="8" t="n"/>
    </row>
    <row r="50">
      <c r="A50" t="n">
        <v>47</v>
      </c>
      <c r="B50" s="8" t="n"/>
      <c r="C50" s="8" t="n"/>
      <c r="D50" s="8" t="n"/>
      <c r="E50" s="8" t="n"/>
      <c r="F50" s="8" t="n"/>
      <c r="G50" s="8" t="n"/>
      <c r="H50" s="8" t="n"/>
    </row>
    <row r="51">
      <c r="A51" t="n">
        <v>48</v>
      </c>
      <c r="B51" s="8" t="n"/>
      <c r="C51" s="8" t="n"/>
      <c r="D51" s="8" t="n"/>
      <c r="E51" s="8" t="n"/>
      <c r="F51" s="8" t="n"/>
      <c r="G51" s="8" t="n"/>
      <c r="H51" s="8" t="n"/>
    </row>
    <row r="52">
      <c r="A52" t="n">
        <v>49</v>
      </c>
      <c r="B52" s="8" t="n"/>
      <c r="C52" s="8" t="n"/>
      <c r="D52" s="8" t="n"/>
      <c r="E52" s="8" t="n"/>
      <c r="F52" s="8" t="n"/>
      <c r="G52" s="8" t="n"/>
      <c r="H52" s="8" t="n"/>
    </row>
    <row r="53">
      <c r="A53" t="n">
        <v>50</v>
      </c>
      <c r="B53" s="8" t="n"/>
      <c r="C53" s="8" t="n"/>
      <c r="D53" s="8" t="n"/>
      <c r="E53" s="8" t="n"/>
      <c r="F53" s="8" t="n"/>
      <c r="G53" s="8" t="n"/>
      <c r="H53" s="8" t="n"/>
    </row>
    <row r="55">
      <c r="A55" s="2" t="inlineStr">
        <is>
          <t>Remediation Approach Guidelines</t>
        </is>
      </c>
    </row>
    <row r="56" ht="20" customHeight="1">
      <c r="A56" s="4" t="inlineStr">
        <is>
          <t>1. PRIORITIZE BY SEVERITY: Address Critical gaps immediately, then High, then Medium/Low</t>
        </is>
      </c>
    </row>
    <row r="57" ht="20" customHeight="1">
      <c r="A57" s="4" t="inlineStr">
        <is>
          <t>2. CLUSTER BY REQUIREMENT: Remediate same requirement across multiple devices together (efficiency)</t>
        </is>
      </c>
    </row>
    <row r="58" ht="20" customHeight="1">
      <c r="A58" s="4" t="inlineStr">
        <is>
          <t>3. LOW-HANGING FRUIT: Quick wins (e.g., enable logging, configure banners) → build momentum</t>
        </is>
      </c>
    </row>
    <row r="59" ht="20" customHeight="1">
      <c r="A59" s="4" t="inlineStr">
        <is>
          <t>4. COMPLEX ITEMS: MFA, major config changes require planning, testing, approval</t>
        </is>
      </c>
    </row>
    <row r="60" ht="20" customHeight="1">
      <c r="A60" s="4" t="inlineStr">
        <is>
          <t>5. VALIDATE: Test in lab/dev environment before production deployment</t>
        </is>
      </c>
    </row>
    <row r="61" ht="20" customHeight="1">
      <c r="A61" s="4" t="inlineStr">
        <is>
          <t>6. DOCUMENT: Maintain change records, configuration backups, validation evidence</t>
        </is>
      </c>
    </row>
    <row r="62" ht="20" customHeight="1">
      <c r="A62" s="4" t="inlineStr">
        <is>
          <t>7. RE-ASSESS: After remediation, re-run assessment to confirm compliance improvement</t>
        </is>
      </c>
    </row>
  </sheetData>
  <mergeCells count="10">
    <mergeCell ref="A56:H56"/>
    <mergeCell ref="A62:H62"/>
    <mergeCell ref="A55:H55"/>
    <mergeCell ref="A59:H59"/>
    <mergeCell ref="A57:H57"/>
    <mergeCell ref="A2:H2"/>
    <mergeCell ref="A60:H60"/>
    <mergeCell ref="A1:H1"/>
    <mergeCell ref="A61:H61"/>
    <mergeCell ref="A58:H58"/>
  </mergeCells>
  <conditionalFormatting sqref="B4:B53">
    <cfRule type="cellIs" priority="1" operator="equal" dxfId="6">
      <formula>"Critical"</formula>
    </cfRule>
    <cfRule type="cellIs" priority="2" operator="equal" dxfId="7">
      <formula>"High"</formula>
    </cfRule>
    <cfRule type="cellIs" priority="3" operator="equal" dxfId="8">
      <formula>"Medium"</formula>
    </cfRule>
    <cfRule type="cellIs" priority="4" operator="equal" dxfId="9">
      <formula>"Low"</formula>
    </cfRule>
  </conditionalFormatting>
  <dataValidations count="2">
    <dataValidation sqref="B4:B53 G4:G103" showDropDown="0" showInputMessage="0" showErrorMessage="0" allowBlank="0" type="list">
      <formula1>"🔴 Critical,🟡 High,🟢 Medium,⚪ Low"</formula1>
    </dataValidation>
    <dataValidation sqref="H4:H53 J4:J103" showDropDown="0" showInputMessage="0" showErrorMessage="0" allowBlank="0" type="list">
      <formula1>"Open,In Progress,Completed,Accepted Risk,Deferred"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2026-01-31T02:18:32Z</dcterms:created>
  <dcterms:modified xmlns:dcterms="http://purl.org/dc/terms/" xmlns:xsi="http://www.w3.org/2001/XMLSchema-instance" xsi:type="dcterms:W3CDTF">2026-01-31T02:18:32Z</dcterms:modified>
</cp:coreProperties>
</file>